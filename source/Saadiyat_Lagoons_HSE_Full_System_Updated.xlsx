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uster_Mast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KPI_Weights" sheetId="4" state="visible" r:id="rId4"/>
    <sheet xmlns:r="http://schemas.openxmlformats.org/officeDocument/2006/relationships" name="Weekly_Inspections" sheetId="5" state="visible" r:id="rId5"/>
    <sheet xmlns:r="http://schemas.openxmlformats.org/officeDocument/2006/relationships" name="Weekly_Dashboard" sheetId="6" state="visible" r:id="rId6"/>
    <sheet xmlns:r="http://schemas.openxmlformats.org/officeDocument/2006/relationships" name="Monthly_Dashboard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CAPA_Tracker" sheetId="9" state="visible" r:id="rId9"/>
  </sheets>
  <definedNames>
    <definedName name="Package_List">'Lookups'!$A$3:$A$5</definedName>
    <definedName name="Cluster_List">'Lookups'!$B$3:$B$17</definedName>
    <definedName name="Evaluator_Role_List">'Lookups'!$C$3:$C$11</definedName>
    <definedName name="High_Risk_Activity_List">'Lookups'!$D$3:$D$18</definedName>
    <definedName name="Yes_No_List">'Lookups'!$E$3:$E$4</definedName>
    <definedName name="Root_Cause_List">'Lookups'!$F$3:$F$13</definedName>
    <definedName name="Status_List">'Lookups'!$G$3:$G$6</definedName>
    <definedName name="KPI_List">'Lookups'!$H$3:$H$17</definedName>
    <definedName name="Score_List">'Lookups'!$I$3:$I$8</definedName>
    <definedName name="_xlnm._FilterDatabase" localSheetId="4" hidden="1">'Weekly_Inspections'!$A$3:$BF$996</definedName>
    <definedName name="_xlnm._FilterDatabase" localSheetId="8" hidden="1">'CAPA_Tracker'!$A$3:$Q$200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9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4" fillId="3" borderId="1" applyAlignment="1" applyProtection="1" pivotButton="0" quotePrefix="0" xfId="0">
      <alignment vertical="top" wrapText="1"/>
      <protection locked="0" hidden="0"/>
    </xf>
    <xf numFmtId="0" fontId="4" fillId="3" borderId="1" applyAlignment="1" applyProtection="1" pivotButton="0" quotePrefix="0" xfId="0">
      <alignment vertical="top" wrapText="1"/>
      <protection locked="0" hidden="0"/>
    </xf>
    <xf numFmtId="165" fontId="3" fillId="4" borderId="1" applyAlignment="1" pivotButton="0" quotePrefix="0" xfId="0">
      <alignment vertical="top" wrapText="1"/>
    </xf>
    <xf numFmtId="164" fontId="4" fillId="3" borderId="1" applyProtection="1" pivotButton="0" quotePrefix="0" xfId="0">
      <protection locked="0" hidden="0"/>
    </xf>
    <xf numFmtId="0" fontId="4" fillId="3" borderId="1" applyProtection="1" pivotButton="0" quotePrefix="0" xfId="0">
      <protection locked="0" hidden="0"/>
    </xf>
    <xf numFmtId="0" fontId="3" fillId="4" borderId="1" pivotButton="0" quotePrefix="0" xfId="0"/>
    <xf numFmtId="0" fontId="5" fillId="0" borderId="0" applyAlignment="1" pivotButton="0" quotePrefix="0" xfId="0">
      <alignment vertical="top" wrapText="1"/>
    </xf>
    <xf numFmtId="0" fontId="4" fillId="3" borderId="0" applyAlignment="1" applyProtection="1" pivotButton="0" quotePrefix="0" xfId="0">
      <alignment vertical="top" wrapText="1"/>
      <protection locked="0" hidden="0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Saadiyat Lagoons HSE Scoring Template - Full System Updated</t>
        </is>
      </c>
    </row>
    <row r="2">
      <c r="A2" s="2" t="inlineStr">
        <is>
          <t>This workbook is structured as a live HSE weekly KPI, dashboard, gap analysis, and CAPA control file. Complete only blue-font input cells or unlocked input fields.</t>
        </is>
      </c>
    </row>
    <row r="3">
      <c r="A3" s="2" t="inlineStr">
        <is>
          <t>Complete the visible input columns only. Hidden columns calculate automatically.</t>
        </is>
      </c>
    </row>
    <row r="4">
      <c r="A4" s="2" t="inlineStr">
        <is>
          <t>Score each KPI from 0 to 5. 0 = collapse of control, 5 = excellent sustained control.</t>
        </is>
      </c>
    </row>
    <row r="5">
      <c r="A5" s="2" t="inlineStr">
        <is>
          <t>Package and Cluster are mandatory. Contractor and responsible team auto-populate.</t>
        </is>
      </c>
    </row>
    <row r="6">
      <c r="A6" s="2" t="inlineStr">
        <is>
          <t>Weekly_Dashboard is for top management review. Monthly_Dashboard tracks recognition trend.</t>
        </is>
      </c>
    </row>
    <row r="7">
      <c r="A7" s="2" t="inlineStr">
        <is>
          <t>Gap_Analysis and CAPA_Tracker are for close-out management.</t>
        </is>
      </c>
    </row>
    <row r="8">
      <c r="A8" s="2" t="inlineStr"/>
    </row>
    <row r="9">
      <c r="A9" s="2" t="inlineStr">
        <is>
          <t>Weekly operating method</t>
        </is>
      </c>
    </row>
    <row r="10">
      <c r="A10" s="2" t="inlineStr">
        <is>
          <t>1. Enter one line per completed site walk in Weekly_Inspections.</t>
        </is>
      </c>
    </row>
    <row r="11">
      <c r="A11" s="2" t="inlineStr">
        <is>
          <t>2. Select Package, Cluster, role, high risk activity, and KPI-for-attention fields from dropdown lists only.</t>
        </is>
      </c>
    </row>
    <row r="12">
      <c r="A12" s="2" t="inlineStr">
        <is>
          <t>3. Score every KPI from 0 to 5. Critical red flag logic reads the gate KPI list directly from KPI_Weights.</t>
        </is>
      </c>
    </row>
    <row r="13">
      <c r="A13" s="2" t="inlineStr">
        <is>
          <t>4. Use Weekly_Dashboard for current week review, Monthly_Dashboard for recognition/improvement review, Gap_Analysis for weak KPI focus, and CAPA_Tracker for closeout status.</t>
        </is>
      </c>
    </row>
    <row r="14">
      <c r="A14" s="2" t="inlineStr">
        <is>
          <t>5. Update Close_Date in CAPA_Tracker once the action is fully verified closed. Overdue status updates automatically.</t>
        </is>
      </c>
    </row>
    <row r="15">
      <c r="A15" s="2" t="inlineStr"/>
    </row>
    <row r="16">
      <c r="A16" s="2" t="inlineStr">
        <is>
          <t>Professional update notes</t>
        </is>
      </c>
    </row>
    <row r="17">
      <c r="A17" s="2" t="inlineStr">
        <is>
          <t>1. Weekly_Inspections and CAPA_Tracker prepared for full live system use.</t>
        </is>
      </c>
    </row>
    <row r="18">
      <c r="A18" s="2" t="inlineStr">
        <is>
          <t>2. Filters and freeze panes are enabled on key operational sheets.</t>
        </is>
      </c>
    </row>
    <row r="19">
      <c r="A19" s="2" t="inlineStr">
        <is>
          <t>3. Dropdown lists added for controlled data entry.</t>
        </is>
      </c>
    </row>
    <row r="20">
      <c r="A20" s="2" t="inlineStr">
        <is>
          <t>4. Dashboards, gap analysis, and CAPA tracker formulas linked to Weekly_Inspections.</t>
        </is>
      </c>
    </row>
    <row r="21">
      <c r="A21" s="2" t="inlineStr">
        <is>
          <t>5. Cluster master, lookup lists, and KPI weights can be revised centrally when formally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22" customWidth="1" min="5" max="5"/>
    <col width="25" customWidth="1" min="6" max="6"/>
    <col width="22" customWidth="1" min="7" max="7"/>
    <col width="28" customWidth="1" min="8" max="8"/>
    <col width="18" customWidth="1" min="9" max="9"/>
  </cols>
  <sheetData>
    <row r="1">
      <c r="A1" s="1" t="inlineStr">
        <is>
          <t>Cluster Master Register</t>
        </is>
      </c>
    </row>
    <row r="2">
      <c r="A2" s="3" t="inlineStr">
        <is>
          <t>Package</t>
        </is>
      </c>
      <c r="B2" s="3" t="inlineStr">
        <is>
          <t>Cluster</t>
        </is>
      </c>
      <c r="C2" s="3" t="inlineStr">
        <is>
          <t>Contractor</t>
        </is>
      </c>
      <c r="D2" s="3" t="inlineStr">
        <is>
          <t>Project Director (PD)</t>
        </is>
      </c>
      <c r="E2" s="3" t="inlineStr">
        <is>
          <t>Project Manager (PM)</t>
        </is>
      </c>
      <c r="F2" s="3" t="inlineStr">
        <is>
          <t>Construction Manager (CM)</t>
        </is>
      </c>
      <c r="G2" s="3" t="inlineStr">
        <is>
          <t>HSE Manager (HSEM)</t>
        </is>
      </c>
      <c r="H2" s="3" t="inlineStr">
        <is>
          <t>Section Engineer (SE)</t>
        </is>
      </c>
      <c r="I2" s="3" t="inlineStr">
        <is>
          <t>Key</t>
        </is>
      </c>
    </row>
    <row r="3">
      <c r="A3" s="4" t="n">
        <v>2</v>
      </c>
      <c r="B3" s="4" t="inlineStr">
        <is>
          <t>Cluster 7A</t>
        </is>
      </c>
      <c r="C3" s="4" t="inlineStr">
        <is>
          <t>TAJV</t>
        </is>
      </c>
      <c r="D3" s="4" t="inlineStr">
        <is>
          <t>Hicham Adel Narch</t>
        </is>
      </c>
      <c r="E3" s="4" t="inlineStr">
        <is>
          <t>Ghaidh Alfaour</t>
        </is>
      </c>
      <c r="F3" s="4" t="inlineStr">
        <is>
          <t>George Deeb</t>
        </is>
      </c>
      <c r="G3" s="4" t="inlineStr">
        <is>
          <t>Timur Terakopov</t>
        </is>
      </c>
      <c r="H3" s="4" t="inlineStr">
        <is>
          <t>Liqat</t>
        </is>
      </c>
      <c r="I3" s="2" t="inlineStr">
        <is>
          <t>2|Cluster 7A</t>
        </is>
      </c>
    </row>
    <row r="4">
      <c r="A4" s="4" t="n">
        <v>2</v>
      </c>
      <c r="B4" s="4" t="inlineStr">
        <is>
          <t>Cluster 7B</t>
        </is>
      </c>
      <c r="C4" s="4" t="inlineStr">
        <is>
          <t>TAJV</t>
        </is>
      </c>
      <c r="D4" s="4" t="inlineStr">
        <is>
          <t>Hicham Adel Narch</t>
        </is>
      </c>
      <c r="E4" s="4" t="inlineStr">
        <is>
          <t>Ghaidh Alfaour</t>
        </is>
      </c>
      <c r="F4" s="4" t="inlineStr">
        <is>
          <t>George Deeb</t>
        </is>
      </c>
      <c r="G4" s="4" t="inlineStr">
        <is>
          <t>Timur Terakopov</t>
        </is>
      </c>
      <c r="H4" s="4" t="inlineStr">
        <is>
          <t>Eyad</t>
        </is>
      </c>
      <c r="I4" s="2" t="inlineStr">
        <is>
          <t>2|Cluster 7B</t>
        </is>
      </c>
    </row>
    <row r="5">
      <c r="A5" s="4" t="n">
        <v>2</v>
      </c>
      <c r="B5" s="4" t="inlineStr">
        <is>
          <t>Cluster 8A</t>
        </is>
      </c>
      <c r="C5" s="4" t="inlineStr">
        <is>
          <t>TAJV</t>
        </is>
      </c>
      <c r="D5" s="4" t="inlineStr">
        <is>
          <t>Hicham Adel Narch</t>
        </is>
      </c>
      <c r="E5" s="4" t="inlineStr">
        <is>
          <t>Ghaidh Alfaour</t>
        </is>
      </c>
      <c r="F5" s="4" t="inlineStr">
        <is>
          <t>Mohamed Salama</t>
        </is>
      </c>
      <c r="G5" s="4" t="inlineStr">
        <is>
          <t>Timur Terakopov</t>
        </is>
      </c>
      <c r="H5" s="4" t="inlineStr">
        <is>
          <t>Ahmad Adel</t>
        </is>
      </c>
      <c r="I5" s="2" t="inlineStr">
        <is>
          <t>2|Cluster 8A</t>
        </is>
      </c>
    </row>
    <row r="6">
      <c r="A6" s="4" t="n">
        <v>2</v>
      </c>
      <c r="B6" s="4" t="inlineStr">
        <is>
          <t>Cluster 8B</t>
        </is>
      </c>
      <c r="C6" s="4" t="inlineStr">
        <is>
          <t>TAJV</t>
        </is>
      </c>
      <c r="D6" s="4" t="inlineStr">
        <is>
          <t>Hicham Adel Narch</t>
        </is>
      </c>
      <c r="E6" s="4" t="inlineStr">
        <is>
          <t>Ghaidh Alfaour</t>
        </is>
      </c>
      <c r="F6" s="4" t="inlineStr">
        <is>
          <t>Mohamed Salama</t>
        </is>
      </c>
      <c r="G6" s="4" t="inlineStr">
        <is>
          <t>Timur Terakopov</t>
        </is>
      </c>
      <c r="H6" s="4" t="inlineStr">
        <is>
          <t>Ahmad Adel</t>
        </is>
      </c>
      <c r="I6" s="2" t="inlineStr">
        <is>
          <t>2|Cluster 8B</t>
        </is>
      </c>
    </row>
    <row r="7">
      <c r="A7" s="4" t="n">
        <v>2</v>
      </c>
      <c r="B7" s="4" t="inlineStr">
        <is>
          <t>Cluster 8C</t>
        </is>
      </c>
      <c r="C7" s="4" t="inlineStr">
        <is>
          <t>TAJV</t>
        </is>
      </c>
      <c r="D7" s="4" t="inlineStr">
        <is>
          <t>Hicham Adel Narch</t>
        </is>
      </c>
      <c r="E7" s="4" t="inlineStr">
        <is>
          <t>Ghaidh Alfaour</t>
        </is>
      </c>
      <c r="F7" s="4" t="inlineStr">
        <is>
          <t>George Deeb</t>
        </is>
      </c>
      <c r="G7" s="4" t="inlineStr">
        <is>
          <t>Timur Terakopov</t>
        </is>
      </c>
      <c r="H7" s="4" t="inlineStr">
        <is>
          <t>Ahmad Adel</t>
        </is>
      </c>
      <c r="I7" s="2" t="inlineStr">
        <is>
          <t>2|Cluster 8C</t>
        </is>
      </c>
    </row>
    <row r="8">
      <c r="A8" s="4" t="n">
        <v>2</v>
      </c>
      <c r="B8" s="4" t="inlineStr">
        <is>
          <t>Cluster 8D</t>
        </is>
      </c>
      <c r="C8" s="4" t="inlineStr">
        <is>
          <t>TAJV</t>
        </is>
      </c>
      <c r="D8" s="4" t="inlineStr">
        <is>
          <t>Hicham Adel Narch</t>
        </is>
      </c>
      <c r="E8" s="4" t="inlineStr">
        <is>
          <t>Ghaidh Alfaour</t>
        </is>
      </c>
      <c r="F8" s="4" t="inlineStr">
        <is>
          <t>George Deeb</t>
        </is>
      </c>
      <c r="G8" s="4" t="inlineStr">
        <is>
          <t>Timur Terakopov</t>
        </is>
      </c>
      <c r="H8" s="4" t="inlineStr">
        <is>
          <t>Ahmad Adel</t>
        </is>
      </c>
      <c r="I8" s="2" t="inlineStr">
        <is>
          <t>2|Cluster 8D</t>
        </is>
      </c>
    </row>
    <row r="9">
      <c r="A9" s="4" t="n">
        <v>3</v>
      </c>
      <c r="B9" s="4" t="inlineStr">
        <is>
          <t>Cluster 3</t>
        </is>
      </c>
      <c r="C9" s="4" t="inlineStr">
        <is>
          <t>INNOVO</t>
        </is>
      </c>
      <c r="D9" s="4" t="inlineStr">
        <is>
          <t>Kahtan Tikriti</t>
        </is>
      </c>
      <c r="E9" s="4" t="inlineStr">
        <is>
          <t>Aiman Abdullah</t>
        </is>
      </c>
      <c r="F9" s="4" t="inlineStr">
        <is>
          <t>Salama Al Samdy</t>
        </is>
      </c>
      <c r="G9" s="4" t="inlineStr">
        <is>
          <t>Mazen Al Atwani</t>
        </is>
      </c>
      <c r="H9" s="4" t="inlineStr">
        <is>
          <t>TBD - Update Section Engineer</t>
        </is>
      </c>
      <c r="I9" s="2" t="inlineStr">
        <is>
          <t>3|Cluster 3</t>
        </is>
      </c>
    </row>
    <row r="10">
      <c r="A10" s="5" t="n">
        <v>3</v>
      </c>
      <c r="B10" s="4" t="inlineStr">
        <is>
          <t>Cluster 4</t>
        </is>
      </c>
      <c r="C10" s="4" t="inlineStr">
        <is>
          <t>INNOVO</t>
        </is>
      </c>
      <c r="D10" s="4" t="inlineStr">
        <is>
          <t>Kahtan Tikriti</t>
        </is>
      </c>
      <c r="E10" s="4" t="inlineStr">
        <is>
          <t>Aiman Abdullah</t>
        </is>
      </c>
      <c r="F10" s="4" t="inlineStr">
        <is>
          <t>Baha Basheer</t>
        </is>
      </c>
      <c r="G10" s="4" t="inlineStr">
        <is>
          <t>Mazen Al Atwani</t>
        </is>
      </c>
      <c r="H10" s="4" t="inlineStr">
        <is>
          <t>TBD - Update Section Engineer</t>
        </is>
      </c>
      <c r="I10" s="2" t="inlineStr">
        <is>
          <t>3|Cluster 4</t>
        </is>
      </c>
    </row>
    <row r="11">
      <c r="A11" s="5" t="n">
        <v>3</v>
      </c>
      <c r="B11" s="4" t="inlineStr">
        <is>
          <t>Cluster 5</t>
        </is>
      </c>
      <c r="C11" s="4" t="inlineStr">
        <is>
          <t>INNOVO</t>
        </is>
      </c>
      <c r="D11" s="4" t="inlineStr">
        <is>
          <t>Kahtan Tikriti</t>
        </is>
      </c>
      <c r="E11" s="4" t="inlineStr">
        <is>
          <t>Michael Ghali</t>
        </is>
      </c>
      <c r="F11" s="4" t="inlineStr">
        <is>
          <t>Robair Louies</t>
        </is>
      </c>
      <c r="G11" s="4" t="inlineStr">
        <is>
          <t>Mazen Al Atwani</t>
        </is>
      </c>
      <c r="H11" s="4" t="inlineStr">
        <is>
          <t>TBD - Update Section Engineer</t>
        </is>
      </c>
      <c r="I11" s="2" t="inlineStr">
        <is>
          <t>3|Cluster 5</t>
        </is>
      </c>
    </row>
    <row r="12">
      <c r="A12" s="5" t="n">
        <v>3</v>
      </c>
      <c r="B12" s="4" t="inlineStr">
        <is>
          <t>Cluster 6</t>
        </is>
      </c>
      <c r="C12" s="4" t="inlineStr">
        <is>
          <t>INNOVO</t>
        </is>
      </c>
      <c r="D12" s="4" t="inlineStr">
        <is>
          <t>Kahtan Tikriti</t>
        </is>
      </c>
      <c r="E12" s="4" t="inlineStr">
        <is>
          <t>Michael Ghali</t>
        </is>
      </c>
      <c r="F12" s="4" t="inlineStr">
        <is>
          <t>Remon Karas</t>
        </is>
      </c>
      <c r="G12" s="4" t="inlineStr">
        <is>
          <t>Mazen Al Atwani</t>
        </is>
      </c>
      <c r="H12" s="4" t="inlineStr">
        <is>
          <t>TBD - Update Section Engineer</t>
        </is>
      </c>
      <c r="I12" s="2" t="inlineStr">
        <is>
          <t>3|Cluster 6</t>
        </is>
      </c>
    </row>
    <row r="13">
      <c r="A13" s="5" t="n">
        <v>4</v>
      </c>
      <c r="B13" s="4" t="inlineStr">
        <is>
          <t>Cluster 1A</t>
        </is>
      </c>
      <c r="C13" s="4" t="inlineStr">
        <is>
          <t>TAJV</t>
        </is>
      </c>
      <c r="D13" s="4" t="inlineStr">
        <is>
          <t>Hicham Adel Narch</t>
        </is>
      </c>
      <c r="E13" s="4" t="inlineStr">
        <is>
          <t>Ghaidh Alfaour</t>
        </is>
      </c>
      <c r="F13" s="4" t="inlineStr">
        <is>
          <t>Alaa Hegab</t>
        </is>
      </c>
      <c r="G13" s="4" t="inlineStr">
        <is>
          <t>Timur Terakopov</t>
        </is>
      </c>
      <c r="H13" s="4" t="inlineStr">
        <is>
          <t>Amr Taha</t>
        </is>
      </c>
      <c r="I13" s="2" t="inlineStr">
        <is>
          <t>4|Cluster 1A</t>
        </is>
      </c>
    </row>
    <row r="14">
      <c r="A14" s="5" t="n">
        <v>4</v>
      </c>
      <c r="B14" s="4" t="inlineStr">
        <is>
          <t>Cluster 1B</t>
        </is>
      </c>
      <c r="C14" s="4" t="inlineStr">
        <is>
          <t>TAJV</t>
        </is>
      </c>
      <c r="D14" s="4" t="inlineStr">
        <is>
          <t>Hicham Adel Narch</t>
        </is>
      </c>
      <c r="E14" s="4" t="inlineStr">
        <is>
          <t>Ghaidh Alfaour</t>
        </is>
      </c>
      <c r="F14" s="4" t="inlineStr">
        <is>
          <t>Hossam Ali Maher</t>
        </is>
      </c>
      <c r="G14" s="4" t="inlineStr">
        <is>
          <t>Timur Terakopov</t>
        </is>
      </c>
      <c r="H14" s="4" t="inlineStr">
        <is>
          <t>Md Ramadan / Osama Said</t>
        </is>
      </c>
      <c r="I14" s="2" t="inlineStr">
        <is>
          <t>4|Cluster 1B</t>
        </is>
      </c>
    </row>
    <row r="15">
      <c r="A15" s="5" t="n">
        <v>4</v>
      </c>
      <c r="B15" s="4" t="inlineStr">
        <is>
          <t>Cluster 2A</t>
        </is>
      </c>
      <c r="C15" s="4" t="inlineStr">
        <is>
          <t>TAJV</t>
        </is>
      </c>
      <c r="D15" s="4" t="inlineStr">
        <is>
          <t>Hicham Adel Narch</t>
        </is>
      </c>
      <c r="E15" s="4" t="inlineStr">
        <is>
          <t>Ghaidh Alfaour</t>
        </is>
      </c>
      <c r="F15" s="4" t="inlineStr">
        <is>
          <t>Ahmed Salah Hassan Dewidar</t>
        </is>
      </c>
      <c r="G15" s="4" t="inlineStr">
        <is>
          <t>Timur Terakopov</t>
        </is>
      </c>
      <c r="H15" s="4" t="inlineStr">
        <is>
          <t>Rami Issa</t>
        </is>
      </c>
      <c r="I15" s="2" t="inlineStr">
        <is>
          <t>4|Cluster 2A</t>
        </is>
      </c>
    </row>
    <row r="16">
      <c r="A16" s="5" t="n">
        <v>4</v>
      </c>
      <c r="B16" s="4" t="inlineStr">
        <is>
          <t>Cluster 2B</t>
        </is>
      </c>
      <c r="C16" s="4" t="inlineStr">
        <is>
          <t>TAJV</t>
        </is>
      </c>
      <c r="D16" s="4" t="inlineStr">
        <is>
          <t>Hicham Adel Narch</t>
        </is>
      </c>
      <c r="E16" s="4" t="inlineStr">
        <is>
          <t>Ghaidh Alfaour</t>
        </is>
      </c>
      <c r="F16" s="4" t="inlineStr">
        <is>
          <t>Ahmed Salah Hassan Dewidar</t>
        </is>
      </c>
      <c r="G16" s="4" t="inlineStr">
        <is>
          <t>Timur Terakopov</t>
        </is>
      </c>
      <c r="H16" s="4" t="inlineStr">
        <is>
          <t>Rami Issa</t>
        </is>
      </c>
      <c r="I16" s="2" t="inlineStr">
        <is>
          <t>4|Cluster 2B</t>
        </is>
      </c>
    </row>
    <row r="17">
      <c r="A17" s="5" t="n">
        <v>4</v>
      </c>
      <c r="B17" s="4" t="inlineStr">
        <is>
          <t>Cluster 2C</t>
        </is>
      </c>
      <c r="C17" s="4" t="inlineStr">
        <is>
          <t>TAJV</t>
        </is>
      </c>
      <c r="D17" s="4" t="inlineStr">
        <is>
          <t>Hicham Adel Narch</t>
        </is>
      </c>
      <c r="E17" s="4" t="inlineStr">
        <is>
          <t>Ghaidh Alfaour</t>
        </is>
      </c>
      <c r="F17" s="4" t="inlineStr">
        <is>
          <t>Ahmed Salah Hassan Dewidar</t>
        </is>
      </c>
      <c r="G17" s="4" t="inlineStr">
        <is>
          <t>Timur Terakopov</t>
        </is>
      </c>
      <c r="H17" s="4" t="inlineStr">
        <is>
          <t>Salah Nayef</t>
        </is>
      </c>
      <c r="I17" s="2" t="inlineStr">
        <is>
          <t>4|Cluster 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4" customWidth="1" min="4" max="4"/>
    <col width="10" customWidth="1" min="5" max="5"/>
    <col width="35" customWidth="1" min="6" max="6"/>
    <col width="14" customWidth="1" min="7" max="7"/>
    <col width="36" customWidth="1" min="8" max="8"/>
    <col width="10" customWidth="1" min="9" max="9"/>
  </cols>
  <sheetData>
    <row r="1">
      <c r="A1" s="1" t="inlineStr">
        <is>
          <t>Lookup Lists</t>
        </is>
      </c>
    </row>
    <row r="2">
      <c r="A2" s="3" t="inlineStr">
        <is>
          <t>Package_List</t>
        </is>
      </c>
      <c r="B2" s="3" t="inlineStr">
        <is>
          <t>Cluster_List</t>
        </is>
      </c>
      <c r="C2" s="3" t="inlineStr">
        <is>
          <t>Evaluator_Role_List</t>
        </is>
      </c>
      <c r="D2" s="3" t="inlineStr">
        <is>
          <t>High_Risk_Activity_List</t>
        </is>
      </c>
      <c r="E2" s="3" t="inlineStr">
        <is>
          <t>Yes_No_List</t>
        </is>
      </c>
      <c r="F2" s="3" t="inlineStr">
        <is>
          <t>Root_Cause_List</t>
        </is>
      </c>
      <c r="G2" s="3" t="inlineStr">
        <is>
          <t>Status_List</t>
        </is>
      </c>
      <c r="H2" s="3" t="inlineStr">
        <is>
          <t>KPI_List</t>
        </is>
      </c>
      <c r="I2" s="3" t="inlineStr">
        <is>
          <t>Score_List</t>
        </is>
      </c>
    </row>
    <row r="3">
      <c r="A3" s="4" t="n">
        <v>2</v>
      </c>
      <c r="B3" s="4" t="inlineStr">
        <is>
          <t>Cluster 7A</t>
        </is>
      </c>
      <c r="C3" s="4" t="inlineStr">
        <is>
          <t>Project Director</t>
        </is>
      </c>
      <c r="D3" s="4" t="inlineStr">
        <is>
          <t>Work at Height</t>
        </is>
      </c>
      <c r="E3" s="4" t="inlineStr">
        <is>
          <t>YES</t>
        </is>
      </c>
      <c r="F3" s="4" t="inlineStr">
        <is>
          <t>Leadership failure</t>
        </is>
      </c>
      <c r="G3" s="4" t="inlineStr">
        <is>
          <t>Open</t>
        </is>
      </c>
      <c r="H3" s="4" t="inlineStr">
        <is>
          <t>Work at Height Control</t>
        </is>
      </c>
      <c r="I3" s="4" t="n">
        <v>0</v>
      </c>
    </row>
    <row r="4">
      <c r="A4" s="4" t="n">
        <v>3</v>
      </c>
      <c r="B4" s="4" t="inlineStr">
        <is>
          <t>Cluster 7B</t>
        </is>
      </c>
      <c r="C4" s="4" t="inlineStr">
        <is>
          <t>Project Manager</t>
        </is>
      </c>
      <c r="D4" s="4" t="inlineStr">
        <is>
          <t>Edge Protection</t>
        </is>
      </c>
      <c r="E4" s="4" t="inlineStr">
        <is>
          <t>NO</t>
        </is>
      </c>
      <c r="F4" s="4" t="inlineStr">
        <is>
          <t>Poor supervision</t>
        </is>
      </c>
      <c r="G4" s="4" t="inlineStr">
        <is>
          <t>In Progress</t>
        </is>
      </c>
      <c r="H4" s="4" t="inlineStr">
        <is>
          <t>Edge Protection</t>
        </is>
      </c>
      <c r="I4" s="4" t="n">
        <v>1</v>
      </c>
    </row>
    <row r="5">
      <c r="A5" s="4" t="n">
        <v>4</v>
      </c>
      <c r="B5" s="4" t="inlineStr">
        <is>
          <t>Cluster 8A</t>
        </is>
      </c>
      <c r="C5" s="4" t="inlineStr">
        <is>
          <t>Construction Manager</t>
        </is>
      </c>
      <c r="D5" s="4" t="inlineStr">
        <is>
          <t>Falling Objects</t>
        </is>
      </c>
      <c r="E5" s="4" t="inlineStr"/>
      <c r="F5" s="4" t="inlineStr">
        <is>
          <t>Poor planning</t>
        </is>
      </c>
      <c r="G5" s="4" t="inlineStr">
        <is>
          <t>Closed</t>
        </is>
      </c>
      <c r="H5" s="4" t="inlineStr">
        <is>
          <t>Falling Object Prevention</t>
        </is>
      </c>
      <c r="I5" s="4" t="n">
        <v>2</v>
      </c>
    </row>
    <row r="6">
      <c r="A6" s="4" t="inlineStr"/>
      <c r="B6" s="4" t="inlineStr">
        <is>
          <t>Cluster 8B</t>
        </is>
      </c>
      <c r="C6" s="4" t="inlineStr">
        <is>
          <t>HSE Manager</t>
        </is>
      </c>
      <c r="D6" s="4" t="inlineStr">
        <is>
          <t>Excavation</t>
        </is>
      </c>
      <c r="E6" s="4" t="inlineStr"/>
      <c r="F6" s="4" t="inlineStr">
        <is>
          <t>PTW failure</t>
        </is>
      </c>
      <c r="G6" s="4" t="inlineStr">
        <is>
          <t>On Hold</t>
        </is>
      </c>
      <c r="H6" s="4" t="inlineStr">
        <is>
          <t>Excavation Safety</t>
        </is>
      </c>
      <c r="I6" s="4" t="n">
        <v>3</v>
      </c>
    </row>
    <row r="7">
      <c r="A7" s="4" t="inlineStr"/>
      <c r="B7" s="4" t="inlineStr">
        <is>
          <t>Cluster 8C</t>
        </is>
      </c>
      <c r="C7" s="4" t="inlineStr">
        <is>
          <t>Section Engineer</t>
        </is>
      </c>
      <c r="D7" s="4" t="inlineStr">
        <is>
          <t>Scaffolding</t>
        </is>
      </c>
      <c r="E7" s="4" t="inlineStr"/>
      <c r="F7" s="4" t="inlineStr">
        <is>
          <t>Weak MSRA</t>
        </is>
      </c>
      <c r="G7" s="4" t="inlineStr"/>
      <c r="H7" s="4" t="inlineStr">
        <is>
          <t>Scaffolding Compliance</t>
        </is>
      </c>
      <c r="I7" s="4" t="n">
        <v>4</v>
      </c>
    </row>
    <row r="8">
      <c r="A8" s="4" t="inlineStr"/>
      <c r="B8" s="4" t="inlineStr">
        <is>
          <t>Cluster 8D</t>
        </is>
      </c>
      <c r="C8" s="4" t="inlineStr">
        <is>
          <t>QA/QC</t>
        </is>
      </c>
      <c r="D8" s="4" t="inlineStr">
        <is>
          <t>Permit to Work</t>
        </is>
      </c>
      <c r="E8" s="4" t="inlineStr"/>
      <c r="F8" s="4" t="inlineStr">
        <is>
          <t>Poor subcontractor control</t>
        </is>
      </c>
      <c r="G8" s="4" t="inlineStr"/>
      <c r="H8" s="4" t="inlineStr">
        <is>
          <t>PTW Implementation</t>
        </is>
      </c>
      <c r="I8" s="4" t="n">
        <v>5</v>
      </c>
    </row>
    <row r="9">
      <c r="A9" s="4" t="inlineStr"/>
      <c r="B9" s="4" t="inlineStr">
        <is>
          <t>Cluster 3</t>
        </is>
      </c>
      <c r="C9" s="4" t="inlineStr">
        <is>
          <t>KEO</t>
        </is>
      </c>
      <c r="D9" s="4" t="inlineStr">
        <is>
          <t>MSRA / Risk Assessment</t>
        </is>
      </c>
      <c r="E9" s="4" t="inlineStr"/>
      <c r="F9" s="4" t="inlineStr">
        <is>
          <t>Resource constraint</t>
        </is>
      </c>
      <c r="G9" s="4" t="inlineStr"/>
      <c r="H9" s="4" t="inlineStr">
        <is>
          <t>PTW Field Verification</t>
        </is>
      </c>
      <c r="I9" s="4" t="inlineStr"/>
    </row>
    <row r="10">
      <c r="A10" s="5" t="inlineStr"/>
      <c r="B10" s="4" t="inlineStr">
        <is>
          <t>Cluster 4</t>
        </is>
      </c>
      <c r="C10" s="4" t="inlineStr">
        <is>
          <t>Client</t>
        </is>
      </c>
      <c r="D10" s="4" t="inlineStr">
        <is>
          <t>Lifting Operations</t>
        </is>
      </c>
      <c r="E10" s="4" t="inlineStr"/>
      <c r="F10" s="4" t="inlineStr">
        <is>
          <t>Inadequate competence</t>
        </is>
      </c>
      <c r="G10" s="4" t="inlineStr"/>
      <c r="H10" s="4" t="inlineStr">
        <is>
          <t>MSRA Quality</t>
        </is>
      </c>
      <c r="I10" s="4" t="inlineStr"/>
    </row>
    <row r="11">
      <c r="A11" s="5" t="inlineStr"/>
      <c r="B11" s="4" t="inlineStr">
        <is>
          <t>Cluster 5</t>
        </is>
      </c>
      <c r="C11" s="4" t="inlineStr">
        <is>
          <t>Other</t>
        </is>
      </c>
      <c r="D11" s="4" t="inlineStr">
        <is>
          <t>Traffic Management</t>
        </is>
      </c>
      <c r="E11" s="4" t="inlineStr"/>
      <c r="F11" s="4" t="inlineStr">
        <is>
          <t>Poor housekeeping culture</t>
        </is>
      </c>
      <c r="G11" s="4" t="inlineStr"/>
      <c r="H11" s="4" t="inlineStr">
        <is>
          <t>Lifting/Precast Installation</t>
        </is>
      </c>
      <c r="I11" s="4" t="inlineStr"/>
    </row>
    <row r="12">
      <c r="A12" s="5" t="inlineStr"/>
      <c r="B12" s="4" t="inlineStr">
        <is>
          <t>Cluster 6</t>
        </is>
      </c>
      <c r="C12" s="4" t="inlineStr"/>
      <c r="D12" s="4" t="inlineStr">
        <is>
          <t>Housekeeping</t>
        </is>
      </c>
      <c r="E12" s="4" t="inlineStr"/>
      <c r="F12" s="4" t="inlineStr">
        <is>
          <t>Interface / simultaneous activity conflict</t>
        </is>
      </c>
      <c r="G12" s="4" t="inlineStr"/>
      <c r="H12" s="4" t="inlineStr">
        <is>
          <t>Traffic &amp; Man-Machine Interface</t>
        </is>
      </c>
      <c r="I12" s="4" t="inlineStr"/>
    </row>
    <row r="13">
      <c r="A13" s="5" t="inlineStr"/>
      <c r="B13" s="4" t="inlineStr">
        <is>
          <t>Cluster 1A</t>
        </is>
      </c>
      <c r="C13" s="4" t="inlineStr"/>
      <c r="D13" s="4" t="inlineStr">
        <is>
          <t>Waste Management</t>
        </is>
      </c>
      <c r="E13" s="4" t="inlineStr"/>
      <c r="F13" s="4" t="inlineStr">
        <is>
          <t>Other</t>
        </is>
      </c>
      <c r="G13" s="4" t="inlineStr"/>
      <c r="H13" s="4" t="inlineStr">
        <is>
          <t>Housekeeping/Waste Management</t>
        </is>
      </c>
      <c r="I13" s="4" t="inlineStr"/>
    </row>
    <row r="14">
      <c r="A14" s="5" t="inlineStr"/>
      <c r="B14" s="4" t="inlineStr">
        <is>
          <t>Cluster 1B</t>
        </is>
      </c>
      <c r="C14" s="4" t="inlineStr"/>
      <c r="D14" s="4" t="inlineStr">
        <is>
          <t>Fire Readiness</t>
        </is>
      </c>
      <c r="E14" s="4" t="inlineStr"/>
      <c r="F14" s="4" t="inlineStr"/>
      <c r="G14" s="4" t="inlineStr"/>
      <c r="H14" s="4" t="inlineStr">
        <is>
          <t>Welfare Arrangement</t>
        </is>
      </c>
      <c r="I14" s="4" t="inlineStr"/>
    </row>
    <row r="15">
      <c r="A15" s="5" t="inlineStr"/>
      <c r="B15" s="4" t="inlineStr">
        <is>
          <t>Cluster 2A</t>
        </is>
      </c>
      <c r="C15" s="4" t="inlineStr"/>
      <c r="D15" s="4" t="inlineStr">
        <is>
          <t>Electrical Safety</t>
        </is>
      </c>
      <c r="E15" s="4" t="inlineStr"/>
      <c r="F15" s="4" t="inlineStr"/>
      <c r="G15" s="4" t="inlineStr"/>
      <c r="H15" s="4" t="inlineStr">
        <is>
          <t>Fire Readiness</t>
        </is>
      </c>
      <c r="I15" s="4" t="inlineStr"/>
    </row>
    <row r="16">
      <c r="A16" s="5" t="inlineStr"/>
      <c r="B16" s="4" t="inlineStr">
        <is>
          <t>Cluster 2B</t>
        </is>
      </c>
      <c r="C16" s="4" t="inlineStr"/>
      <c r="D16" s="4" t="inlineStr">
        <is>
          <t>Portable Power Tools</t>
        </is>
      </c>
      <c r="E16" s="4" t="inlineStr"/>
      <c r="F16" s="4" t="inlineStr"/>
      <c r="G16" s="4" t="inlineStr"/>
      <c r="H16" s="4" t="inlineStr">
        <is>
          <t>Supervision &amp; Subcontractor Control</t>
        </is>
      </c>
      <c r="I16" s="4" t="inlineStr"/>
    </row>
    <row r="17">
      <c r="A17" s="5" t="inlineStr"/>
      <c r="B17" s="4" t="inlineStr">
        <is>
          <t>Cluster 2C</t>
        </is>
      </c>
      <c r="C17" s="4" t="inlineStr"/>
      <c r="D17" s="4" t="inlineStr">
        <is>
          <t>Heat Stress</t>
        </is>
      </c>
      <c r="E17" s="4" t="inlineStr"/>
      <c r="F17" s="4" t="inlineStr"/>
      <c r="G17" s="4" t="inlineStr"/>
      <c r="H17" s="4" t="inlineStr">
        <is>
          <t>Temporary Electrical &amp; Tool Safety</t>
        </is>
      </c>
      <c r="I17" s="4" t="inlineStr"/>
    </row>
    <row r="18">
      <c r="A18" s="5" t="inlineStr"/>
      <c r="B18" s="4" t="inlineStr"/>
      <c r="C18" s="4" t="inlineStr"/>
      <c r="D18" s="4" t="inlineStr">
        <is>
          <t>Other</t>
        </is>
      </c>
      <c r="E18" s="4" t="inlineStr"/>
      <c r="F18" s="4" t="inlineStr"/>
      <c r="G18" s="4" t="inlineStr"/>
      <c r="H18" s="4" t="inlineStr"/>
      <c r="I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50" customWidth="1" min="4" max="4"/>
  </cols>
  <sheetData>
    <row r="1">
      <c r="A1" s="1" t="inlineStr">
        <is>
          <t>KPI Weights and Gate Rules</t>
        </is>
      </c>
    </row>
    <row r="2">
      <c r="A2" s="3" t="inlineStr">
        <is>
          <t>KPI</t>
        </is>
      </c>
      <c r="B2" s="3" t="inlineStr">
        <is>
          <t>Weight</t>
        </is>
      </c>
      <c r="C2" s="3" t="inlineStr">
        <is>
          <t>Critical Gate KPI?</t>
        </is>
      </c>
      <c r="D2" s="3" t="inlineStr">
        <is>
          <t>Notes</t>
        </is>
      </c>
    </row>
    <row r="3">
      <c r="A3" s="4" t="inlineStr">
        <is>
          <t>Work at Height Control</t>
        </is>
      </c>
      <c r="B3" s="6" t="n">
        <v>0.12</v>
      </c>
      <c r="C3" s="4" t="inlineStr">
        <is>
          <t>YES</t>
        </is>
      </c>
      <c r="D3" s="4" t="inlineStr">
        <is>
          <t>Primary fall prevention and work at height control</t>
        </is>
      </c>
    </row>
    <row r="4">
      <c r="A4" s="4" t="inlineStr">
        <is>
          <t>Edge Protection</t>
        </is>
      </c>
      <c r="B4" s="6" t="n">
        <v>0.12</v>
      </c>
      <c r="C4" s="4" t="inlineStr">
        <is>
          <t>NO</t>
        </is>
      </c>
      <c r="D4" s="4" t="inlineStr">
        <is>
          <t>Continuity and quality of edge protection</t>
        </is>
      </c>
    </row>
    <row r="5">
      <c r="A5" s="4" t="inlineStr">
        <is>
          <t>Falling Object Prevention</t>
        </is>
      </c>
      <c r="B5" s="6" t="n">
        <v>0.05</v>
      </c>
      <c r="C5" s="4" t="inlineStr">
        <is>
          <t>NO</t>
        </is>
      </c>
      <c r="D5" s="4" t="inlineStr">
        <is>
          <t>Exclusion zones, toe boards, debris/tool control</t>
        </is>
      </c>
    </row>
    <row r="6">
      <c r="A6" s="4" t="inlineStr">
        <is>
          <t>Excavation Safety</t>
        </is>
      </c>
      <c r="B6" s="6" t="n">
        <v>0.08</v>
      </c>
      <c r="C6" s="4" t="inlineStr">
        <is>
          <t>YES</t>
        </is>
      </c>
      <c r="D6" s="4" t="inlineStr">
        <is>
          <t>Barricading, access, services, support, spoil setback</t>
        </is>
      </c>
    </row>
    <row r="7">
      <c r="A7" s="4" t="inlineStr">
        <is>
          <t>Scaffolding Compliance</t>
        </is>
      </c>
      <c r="B7" s="6" t="n">
        <v>0.1</v>
      </c>
      <c r="C7" s="4" t="inlineStr">
        <is>
          <t>YES</t>
        </is>
      </c>
      <c r="D7" s="4" t="inlineStr">
        <is>
          <t>Tagging, inspection, full planking, access, stability</t>
        </is>
      </c>
    </row>
    <row r="8">
      <c r="A8" s="4" t="inlineStr">
        <is>
          <t>PTW Implementation</t>
        </is>
      </c>
      <c r="B8" s="6" t="n">
        <v>0.08</v>
      </c>
      <c r="C8" s="4" t="inlineStr">
        <is>
          <t>YES</t>
        </is>
      </c>
      <c r="D8" s="4" t="inlineStr">
        <is>
          <t>Valid PTW, correct scope, signatories, controls</t>
        </is>
      </c>
    </row>
    <row r="9">
      <c r="A9" s="4" t="inlineStr">
        <is>
          <t>PTW Field Verification</t>
        </is>
      </c>
      <c r="B9" s="6" t="n">
        <v>0.06</v>
      </c>
      <c r="C9" s="4" t="inlineStr">
        <is>
          <t>NO</t>
        </is>
      </c>
      <c r="D9" s="4" t="inlineStr">
        <is>
          <t>Physical field verification before permit approval</t>
        </is>
      </c>
    </row>
    <row r="10">
      <c r="A10" s="5" t="inlineStr">
        <is>
          <t>MSRA Quality</t>
        </is>
      </c>
      <c r="B10" s="6" t="n">
        <v>0.03</v>
      </c>
      <c r="C10" s="4" t="inlineStr">
        <is>
          <t>NO</t>
        </is>
      </c>
      <c r="D10" s="4" t="inlineStr">
        <is>
          <t>Task-specific risk assessment and understanding</t>
        </is>
      </c>
    </row>
    <row r="11">
      <c r="A11" s="5" t="inlineStr">
        <is>
          <t>Lifting/Precast Installation</t>
        </is>
      </c>
      <c r="B11" s="6" t="n">
        <v>0.1</v>
      </c>
      <c r="C11" s="4" t="inlineStr">
        <is>
          <t>YES</t>
        </is>
      </c>
      <c r="D11" s="4" t="inlineStr">
        <is>
          <t>Lift plan, appointed person, exclusion, rigging</t>
        </is>
      </c>
    </row>
    <row r="12">
      <c r="A12" s="5" t="inlineStr">
        <is>
          <t>Traffic &amp; Man-Machine Interface</t>
        </is>
      </c>
      <c r="B12" s="6" t="n">
        <v>0.06</v>
      </c>
      <c r="C12" s="4" t="inlineStr">
        <is>
          <t>NO</t>
        </is>
      </c>
      <c r="D12" s="4" t="inlineStr">
        <is>
          <t>Pedestrian segregation, routes, signage, reversing</t>
        </is>
      </c>
    </row>
    <row r="13">
      <c r="A13" s="5" t="inlineStr">
        <is>
          <t>Housekeeping/Waste Management</t>
        </is>
      </c>
      <c r="B13" s="6" t="n">
        <v>0.03</v>
      </c>
      <c r="C13" s="4" t="inlineStr">
        <is>
          <t>NO</t>
        </is>
      </c>
      <c r="D13" s="4" t="inlineStr">
        <is>
          <t>Cleanliness, stacking, access routes, slip/trip control</t>
        </is>
      </c>
    </row>
    <row r="14">
      <c r="A14" s="5" t="inlineStr">
        <is>
          <t>Welfare Arrangement</t>
        </is>
      </c>
      <c r="B14" s="6" t="n">
        <v>0.03</v>
      </c>
      <c r="C14" s="4" t="inlineStr">
        <is>
          <t>NO</t>
        </is>
      </c>
      <c r="D14" s="4" t="inlineStr">
        <is>
          <t>Segregation, storage, transfer/disposal control</t>
        </is>
      </c>
    </row>
    <row r="15">
      <c r="A15" s="5" t="inlineStr">
        <is>
          <t>Fire Readiness</t>
        </is>
      </c>
      <c r="B15" s="6" t="n">
        <v>0.05</v>
      </c>
      <c r="C15" s="4" t="inlineStr">
        <is>
          <t>NO</t>
        </is>
      </c>
      <c r="D15" s="4" t="inlineStr">
        <is>
          <t>Fire points, extinguishers, hot work readiness</t>
        </is>
      </c>
    </row>
    <row r="16">
      <c r="A16" s="5" t="inlineStr">
        <is>
          <t>Supervision &amp; Subcontractor Control</t>
        </is>
      </c>
      <c r="B16" s="6" t="n">
        <v>0.03</v>
      </c>
      <c r="C16" s="4" t="inlineStr">
        <is>
          <t>NO</t>
        </is>
      </c>
      <c r="D16" s="4" t="inlineStr">
        <is>
          <t>Visible supervision and subcontractor control</t>
        </is>
      </c>
    </row>
    <row r="17">
      <c r="A17" s="5" t="inlineStr">
        <is>
          <t>Temporary Electrical &amp; Tool Safety</t>
        </is>
      </c>
      <c r="B17" s="6" t="n">
        <v>0.06</v>
      </c>
      <c r="C17" s="4" t="inlineStr">
        <is>
          <t>NO</t>
        </is>
      </c>
      <c r="D17" s="4" t="inlineStr">
        <is>
          <t>Temporary power, RCD, condition of tools/cables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9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1" customWidth="1" min="4" max="4"/>
    <col width="9" customWidth="1" min="5" max="5"/>
    <col width="12" customWidth="1" min="6" max="6"/>
    <col width="18" customWidth="1" min="7" max="7"/>
    <col width="14" customWidth="1" min="8" max="8"/>
    <col width="20" customWidth="1" min="9" max="9"/>
    <col width="20" customWidth="1" min="10" max="10"/>
    <col width="22" customWidth="1" min="11" max="11"/>
    <col width="20" customWidth="1" min="12" max="12"/>
    <col width="22" customWidth="1" min="13" max="13"/>
    <col width="16" customWidth="1" min="14" max="14"/>
    <col width="16" customWidth="1" min="15" max="15"/>
    <col width="18" customWidth="1" min="16" max="16"/>
    <col width="15" customWidth="1" min="17" max="17"/>
    <col width="2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2" customWidth="1" min="28" max="28"/>
    <col width="10" customWidth="1" min="29" max="29"/>
    <col width="14" customWidth="1" min="30" max="30"/>
    <col width="12" customWidth="1" min="31" max="31"/>
    <col width="10" customWidth="1" min="32" max="32"/>
    <col width="14" customWidth="1" min="33" max="33"/>
    <col width="12" customWidth="1" min="34" max="34"/>
    <col width="12" customWidth="1" min="35" max="35"/>
    <col width="10" customWidth="1" min="36" max="36"/>
    <col width="10" customWidth="1" min="37" max="37"/>
    <col width="12" customWidth="1" min="38" max="38"/>
    <col width="12" customWidth="1" min="39" max="39"/>
    <col width="14" customWidth="1" min="40" max="40"/>
    <col width="12" customWidth="1" min="41" max="41"/>
    <col width="18" customWidth="1" min="42" max="42"/>
    <col width="22" customWidth="1" min="43" max="43"/>
    <col width="22" customWidth="1" min="44" max="44"/>
    <col width="24" customWidth="1" min="45" max="45"/>
    <col width="20" customWidth="1" min="46" max="46"/>
    <col width="18" customWidth="1" min="47" max="47"/>
    <col width="16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4" customWidth="1" min="56" max="56"/>
    <col width="16" customWidth="1" min="57" max="57"/>
    <col width="18" customWidth="1" min="58" max="58"/>
    <col width="22" customWidth="1" min="59" max="59"/>
  </cols>
  <sheetData>
    <row r="1">
      <c r="A1" s="1" t="inlineStr">
        <is>
          <t>Weekly Inspection Entry Sheet - Full System</t>
        </is>
      </c>
    </row>
    <row r="2">
      <c r="A2" s="2" t="inlineStr">
        <is>
          <t>Complete only blue-font input cells. Package and Cluster auto-fill leadership, scoring, dashboard, and CAPA logic.</t>
        </is>
      </c>
    </row>
    <row r="3" ht="36" customHeight="1">
      <c r="A3" s="3" t="inlineStr">
        <is>
          <t>Inspection_ID</t>
        </is>
      </c>
      <c r="B3" s="3" t="inlineStr">
        <is>
          <t>Inspection_Date</t>
        </is>
      </c>
      <c r="C3" s="3" t="inlineStr">
        <is>
          <t>Week_No</t>
        </is>
      </c>
      <c r="D3" s="3" t="inlineStr">
        <is>
          <t>Month</t>
        </is>
      </c>
      <c r="E3" s="3" t="inlineStr">
        <is>
          <t>Package</t>
        </is>
      </c>
      <c r="F3" s="3" t="inlineStr">
        <is>
          <t>Cluster</t>
        </is>
      </c>
      <c r="G3" s="3" t="inlineStr">
        <is>
          <t>Package_Cluster_Check</t>
        </is>
      </c>
      <c r="H3" s="3" t="inlineStr">
        <is>
          <t>Contractor</t>
        </is>
      </c>
      <c r="I3" s="3" t="inlineStr">
        <is>
          <t>Project Director (PD)</t>
        </is>
      </c>
      <c r="J3" s="3" t="inlineStr">
        <is>
          <t>Project Manager (PM)</t>
        </is>
      </c>
      <c r="K3" s="3" t="inlineStr">
        <is>
          <t>Construction Manager (CM)</t>
        </is>
      </c>
      <c r="L3" s="3" t="inlineStr">
        <is>
          <t>HSE Manager (HSEM)</t>
        </is>
      </c>
      <c r="M3" s="3" t="inlineStr">
        <is>
          <t>Section Engineer (SE)</t>
        </is>
      </c>
      <c r="N3" s="3" t="inlineStr">
        <is>
          <t>Your_Name</t>
        </is>
      </c>
      <c r="O3" s="3" t="inlineStr">
        <is>
          <t>Your_Role</t>
        </is>
      </c>
      <c r="P3" s="3" t="inlineStr">
        <is>
          <t>Area_or_Villa</t>
        </is>
      </c>
      <c r="Q3" s="3" t="inlineStr">
        <is>
          <t>Workers_Observed</t>
        </is>
      </c>
      <c r="R3" s="3" t="inlineStr">
        <is>
          <t>Main_High_Risk_Activity</t>
        </is>
      </c>
      <c r="S3" s="3" t="inlineStr">
        <is>
          <t>Stop_Work</t>
        </is>
      </c>
      <c r="T3" s="3" t="inlineStr">
        <is>
          <t>Work_at_Height</t>
        </is>
      </c>
      <c r="U3" s="3" t="inlineStr">
        <is>
          <t>Edge_Protection</t>
        </is>
      </c>
      <c r="V3" s="3" t="inlineStr">
        <is>
          <t>Falling_Object_Prevention</t>
        </is>
      </c>
      <c r="W3" s="3" t="inlineStr">
        <is>
          <t>Excavation_Safety</t>
        </is>
      </c>
      <c r="X3" s="3" t="inlineStr">
        <is>
          <t>Scaffolding_Compliance</t>
        </is>
      </c>
      <c r="Y3" s="3" t="inlineStr">
        <is>
          <t>PTW_Implementation</t>
        </is>
      </c>
      <c r="Z3" s="3" t="inlineStr">
        <is>
          <t>PTW_Field_Verification</t>
        </is>
      </c>
      <c r="AA3" s="3" t="inlineStr">
        <is>
          <t>MSRA_Quality</t>
        </is>
      </c>
      <c r="AB3" s="3" t="inlineStr">
        <is>
          <t>Lifting/Precast Installation</t>
        </is>
      </c>
      <c r="AC3" s="3" t="inlineStr">
        <is>
          <t>Traffic_Interface</t>
        </is>
      </c>
      <c r="AD3" s="3" t="inlineStr">
        <is>
          <t>Housekeeping/Waste Management</t>
        </is>
      </c>
      <c r="AE3" s="3" t="inlineStr">
        <is>
          <t>Welfare Arrangement</t>
        </is>
      </c>
      <c r="AF3" s="3" t="inlineStr">
        <is>
          <t>Fire_Readiness</t>
        </is>
      </c>
      <c r="AG3" s="3" t="inlineStr">
        <is>
          <t>Supervision_Subcontractor</t>
        </is>
      </c>
      <c r="AH3" s="3" t="inlineStr">
        <is>
          <t>Electrical_Tool_Safety</t>
        </is>
      </c>
      <c r="AI3" s="3" t="inlineStr">
        <is>
          <t>Total_Score</t>
        </is>
      </c>
      <c r="AJ3" s="3" t="inlineStr">
        <is>
          <t>Raw_Score_%</t>
        </is>
      </c>
      <c r="AK3" s="3" t="inlineStr">
        <is>
          <t>Weighted_Score_%</t>
        </is>
      </c>
      <c r="AL3" s="3" t="inlineStr">
        <is>
          <t>Critical_Red_Flag</t>
        </is>
      </c>
      <c r="AM3" s="3" t="inlineStr">
        <is>
          <t>Award_Eligible</t>
        </is>
      </c>
      <c r="AN3" s="3" t="inlineStr">
        <is>
          <t>Rating_Band</t>
        </is>
      </c>
      <c r="AO3" s="3" t="inlineStr">
        <is>
          <t>Repeat_Issue_Seen</t>
        </is>
      </c>
      <c r="AP3" s="3" t="inlineStr">
        <is>
          <t>Likely_Root_Cause</t>
        </is>
      </c>
      <c r="AQ3" s="3" t="inlineStr">
        <is>
          <t>Top_3_Gaps_Observed</t>
        </is>
      </c>
      <c r="AR3" s="3" t="inlineStr">
        <is>
          <t>Immediate_Action_Taken</t>
        </is>
      </c>
      <c r="AS3" s="3" t="inlineStr">
        <is>
          <t>Preventive_Action_Required</t>
        </is>
      </c>
      <c r="AT3" s="3" t="inlineStr">
        <is>
          <t>Positive_Observations</t>
        </is>
      </c>
      <c r="AU3" s="3" t="inlineStr">
        <is>
          <t>Action_Owner</t>
        </is>
      </c>
      <c r="AV3" s="3" t="inlineStr">
        <is>
          <t>Target_Closeout_Date</t>
        </is>
      </c>
      <c r="AW3" s="3" t="inlineStr">
        <is>
          <t>Evidence_Link_or_Photo</t>
        </is>
      </c>
      <c r="AX3" s="3" t="inlineStr">
        <is>
          <t>KPI_for_PD_Attention</t>
        </is>
      </c>
      <c r="AY3" s="3" t="inlineStr">
        <is>
          <t>KPI_for_PM_Attention</t>
        </is>
      </c>
      <c r="AZ3" s="3" t="inlineStr">
        <is>
          <t>KPI_for_CM_Attention</t>
        </is>
      </c>
      <c r="BA3" s="3" t="inlineStr">
        <is>
          <t>KPI_for_HSEM_Followup</t>
        </is>
      </c>
      <c r="BB3" s="3" t="inlineStr">
        <is>
          <t>KPI_for_SE_Supervision</t>
        </is>
      </c>
      <c r="BC3" s="3" t="inlineStr">
        <is>
          <t>Leadership_Visible_Effective</t>
        </is>
      </c>
      <c r="BD3" s="3" t="inlineStr">
        <is>
          <t>Unsafe_Work_Corrected_Immediately</t>
        </is>
      </c>
      <c r="BE3" s="3" t="inlineStr">
        <is>
          <t>Best_Improved_Cluster_this_Week</t>
        </is>
      </c>
      <c r="BF3" s="3" t="inlineStr">
        <is>
          <t>Cluster_Needing_Immediate_Intervention</t>
        </is>
      </c>
    </row>
    <row r="4">
      <c r="A4" s="7">
        <f>IF(B4="","","INS-"&amp;TEXT(ROW()-3,"000"))</f>
        <v/>
      </c>
      <c r="B4" s="8" t="n">
        <v>46107</v>
      </c>
      <c r="C4" s="7">
        <f>IF(B4="","",ISOWEEKNUM(B4))</f>
        <v/>
      </c>
      <c r="D4" s="7">
        <f>IF(B4="","",TEXT(B4,"yyyy-mm"))</f>
        <v/>
      </c>
      <c r="E4" s="9" t="n">
        <v>4</v>
      </c>
      <c r="F4" s="9" t="inlineStr">
        <is>
          <t>Cluster 2A</t>
        </is>
      </c>
      <c r="G4" s="7">
        <f>IF(OR(E4="",F4=""),"",IF(COUNTIF(Cluster_Master!$I$3:$I$17,E4&amp;"|"&amp;F4)=1,"Valid","Review"))</f>
        <v/>
      </c>
      <c r="H4" s="7">
        <f>IF($G4&lt;&gt;"Valid","",VLOOKUP($E4&amp;"|"&amp;$F4,Cluster_Master!$I$3:$H$17,3,FALSE))</f>
        <v/>
      </c>
      <c r="I4" s="7">
        <f>IF($G4&lt;&gt;"Valid","",VLOOKUP($E4&amp;"|"&amp;$F4,Cluster_Master!$I$3:$H$17,4,FALSE))</f>
        <v/>
      </c>
      <c r="J4" s="7">
        <f>IF($G4&lt;&gt;"Valid","",VLOOKUP($E4&amp;"|"&amp;$F4,Cluster_Master!$I$3:$H$17,5,FALSE))</f>
        <v/>
      </c>
      <c r="K4" s="7">
        <f>IF($G4&lt;&gt;"Valid","",VLOOKUP($E4&amp;"|"&amp;$F4,Cluster_Master!$I$3:$H$17,6,FALSE))</f>
        <v/>
      </c>
      <c r="L4" s="7">
        <f>IF($G4&lt;&gt;"Valid","",VLOOKUP($E4&amp;"|"&amp;$F4,Cluster_Master!$I$3:$H$17,7,FALSE))</f>
        <v/>
      </c>
      <c r="M4" s="7">
        <f>IF($G4&lt;&gt;"Valid","",VLOOKUP($E4&amp;"|"&amp;$F4,Cluster_Master!$I$3:$H$17,8,FALSE))</f>
        <v/>
      </c>
      <c r="N4" s="9" t="inlineStr">
        <is>
          <t>Godwin</t>
        </is>
      </c>
      <c r="O4" s="9" t="inlineStr">
        <is>
          <t>KEO</t>
        </is>
      </c>
      <c r="P4" s="9" t="inlineStr">
        <is>
          <t>Villa 8 to 16</t>
        </is>
      </c>
      <c r="Q4" s="9" t="n"/>
      <c r="R4" s="9" t="inlineStr">
        <is>
          <t>Work at Height</t>
        </is>
      </c>
      <c r="S4" s="9" t="inlineStr">
        <is>
          <t>YES</t>
        </is>
      </c>
      <c r="T4" s="9" t="n">
        <v>2</v>
      </c>
      <c r="U4" s="9" t="n">
        <v>2</v>
      </c>
      <c r="V4" s="9" t="n">
        <v>3</v>
      </c>
      <c r="W4" s="9" t="n">
        <v>3</v>
      </c>
      <c r="X4" s="9" t="n">
        <v>2</v>
      </c>
      <c r="Y4" s="9" t="n">
        <v>3</v>
      </c>
      <c r="Z4" s="9" t="n">
        <v>1</v>
      </c>
      <c r="AA4" s="9" t="n">
        <v>3</v>
      </c>
      <c r="AB4" s="9" t="n"/>
      <c r="AC4" s="9" t="n">
        <v>3</v>
      </c>
      <c r="AD4" s="9" t="n">
        <v>1</v>
      </c>
      <c r="AE4" s="9" t="n">
        <v>1</v>
      </c>
      <c r="AF4" s="9" t="n">
        <v>2</v>
      </c>
      <c r="AG4" s="9" t="n">
        <v>1</v>
      </c>
      <c r="AH4" s="9" t="n">
        <v>2</v>
      </c>
      <c r="AI4" s="7">
        <f>IF(COUNT(T4:AH4)=0,"",SUM(T4:AH4))</f>
        <v/>
      </c>
      <c r="AJ4" s="10">
        <f>IF(AI4="","",AI4/75)</f>
        <v/>
      </c>
      <c r="AK4" s="10">
        <f>IF(AI4="","",SUMPRODUCT(T4:AH4,KPI_Weights!$B$3:$B$17)/5)</f>
        <v/>
      </c>
      <c r="AL4" s="7">
        <f>IF(COUNT(T4:AH4)=0,"",IF(OR(T4&lt;=1,W4&lt;=1,X4&lt;=1,Y4&lt;=1,AB4&lt;=1),"YES","NO"))</f>
        <v/>
      </c>
      <c r="AM4" s="7">
        <f>IF(AK4="","",IF(AND(AK4="NO",AJ4&gt;=0.85),"YES","NO"))</f>
        <v/>
      </c>
      <c r="AN4" s="7">
        <f>IF(AJ4="","",IF(AJ4&gt;=0.90,"Excellent",IF(AJ4&gt;=0.80,"Good",IF(AJ4&gt;=0.70,"Fair","Poor"))))</f>
        <v/>
      </c>
      <c r="AO4" s="9" t="inlineStr">
        <is>
          <t>YES</t>
        </is>
      </c>
      <c r="AP4" s="9" t="inlineStr">
        <is>
          <t>Leadership failure</t>
        </is>
      </c>
      <c r="AQ4" s="9" t="inlineStr">
        <is>
          <t>1. Leadership failure
2. Poor supervision
3. Poor sub-contractor control
4. PTW failure</t>
        </is>
      </c>
      <c r="AR4" s="9" t="inlineStr">
        <is>
          <t>Unsafe work practices were suspended immediately. The CM of the cluster was called but he refused to visit the location.</t>
        </is>
      </c>
      <c r="AS4" s="9" t="inlineStr">
        <is>
          <t>1. PTW must be controlled by the main contractor.
2. Close supervision of sub-contractors by main contractor shall be ensured.
3. Non-performing subcontractors shall not be paid and shall be removed from project.
4. Non-performing construction team shall be replaced without delays</t>
        </is>
      </c>
      <c r="AT4" s="9" t="n"/>
      <c r="AU4" s="9" t="inlineStr">
        <is>
          <t>1-3rd recommendation by the cluster CM
4th recommendation by the PD.</t>
        </is>
      </c>
      <c r="AV4" s="8" t="n">
        <v>46114</v>
      </c>
      <c r="AW4" s="9" t="n"/>
      <c r="AX4" s="9" t="n"/>
      <c r="AY4" s="9" t="n"/>
      <c r="AZ4" s="9" t="n"/>
      <c r="BA4" s="9" t="n"/>
      <c r="BB4" s="9" t="n"/>
      <c r="BC4" s="9" t="inlineStr"/>
      <c r="BD4" s="9" t="inlineStr"/>
      <c r="BE4" s="9" t="inlineStr"/>
      <c r="BF4" s="9" t="inlineStr"/>
    </row>
    <row r="5">
      <c r="A5" s="7">
        <f>IF(B5="","","INS-"&amp;TEXT(ROW()-3,"000"))</f>
        <v/>
      </c>
      <c r="B5" s="8" t="n">
        <v>46107</v>
      </c>
      <c r="C5" s="7">
        <f>IF(B5="","",ISOWEEKNUM(B5))</f>
        <v/>
      </c>
      <c r="D5" s="7">
        <f>IF(B5="","",TEXT(B5,"yyyy-mm"))</f>
        <v/>
      </c>
      <c r="E5" s="9" t="n">
        <v>2</v>
      </c>
      <c r="F5" s="9" t="inlineStr">
        <is>
          <t>Cluster 8A</t>
        </is>
      </c>
      <c r="G5" s="7">
        <f>IF(OR(E5="",F5=""),"",IF(COUNTIF(Cluster_Master!$I$3:$I$17,E5&amp;"|"&amp;F5)=1,"Valid","Review"))</f>
        <v/>
      </c>
      <c r="H5" s="7">
        <f>IF($G5&lt;&gt;"Valid","",VLOOKUP($E5&amp;"|"&amp;$F5,Cluster_Master!$I$3:$H$17,3,FALSE))</f>
        <v/>
      </c>
      <c r="I5" s="7">
        <f>IF($G5&lt;&gt;"Valid","",VLOOKUP($E5&amp;"|"&amp;$F5,Cluster_Master!$I$3:$H$17,4,FALSE))</f>
        <v/>
      </c>
      <c r="J5" s="7">
        <f>IF($G5&lt;&gt;"Valid","",VLOOKUP($E5&amp;"|"&amp;$F5,Cluster_Master!$I$3:$H$17,5,FALSE))</f>
        <v/>
      </c>
      <c r="K5" s="7">
        <f>IF($G5&lt;&gt;"Valid","",VLOOKUP($E5&amp;"|"&amp;$F5,Cluster_Master!$I$3:$H$17,6,FALSE))</f>
        <v/>
      </c>
      <c r="L5" s="7">
        <f>IF($G5&lt;&gt;"Valid","",VLOOKUP($E5&amp;"|"&amp;$F5,Cluster_Master!$I$3:$H$17,7,FALSE))</f>
        <v/>
      </c>
      <c r="M5" s="7">
        <f>IF($G5&lt;&gt;"Valid","",VLOOKUP($E5&amp;"|"&amp;$F5,Cluster_Master!$I$3:$H$17,8,FALSE))</f>
        <v/>
      </c>
      <c r="N5" s="9" t="inlineStr">
        <is>
          <t>Godwin</t>
        </is>
      </c>
      <c r="O5" s="9" t="inlineStr">
        <is>
          <t>KEO</t>
        </is>
      </c>
      <c r="P5" s="9" t="inlineStr">
        <is>
          <t>General</t>
        </is>
      </c>
      <c r="Q5" s="9" t="n"/>
      <c r="R5" s="9" t="inlineStr">
        <is>
          <t>Scaffolding</t>
        </is>
      </c>
      <c r="S5" s="9" t="inlineStr">
        <is>
          <t>NO</t>
        </is>
      </c>
      <c r="T5" s="9" t="n">
        <v>4</v>
      </c>
      <c r="U5" s="9" t="n">
        <v>4</v>
      </c>
      <c r="V5" s="9" t="n">
        <v>4</v>
      </c>
      <c r="W5" s="9" t="n">
        <v>4</v>
      </c>
      <c r="X5" s="9" t="n">
        <v>4</v>
      </c>
      <c r="Y5" s="9" t="n">
        <v>4</v>
      </c>
      <c r="Z5" s="9" t="n">
        <v>4</v>
      </c>
      <c r="AA5" s="9" t="n">
        <v>4</v>
      </c>
      <c r="AB5" s="9" t="n">
        <v>4</v>
      </c>
      <c r="AC5" s="9" t="n">
        <v>4</v>
      </c>
      <c r="AD5" s="9" t="n">
        <v>4</v>
      </c>
      <c r="AE5" s="9" t="n">
        <v>3</v>
      </c>
      <c r="AF5" s="9" t="n">
        <v>4</v>
      </c>
      <c r="AG5" s="9" t="n">
        <v>4</v>
      </c>
      <c r="AH5" s="9" t="n">
        <v>4</v>
      </c>
      <c r="AI5" s="7">
        <f>IF(COUNT(T5:AH5)=0,"",SUM(T5:AH5))</f>
        <v/>
      </c>
      <c r="AJ5" s="10">
        <f>IF(AI5="","",AI5/75)</f>
        <v/>
      </c>
      <c r="AK5" s="10">
        <f>IF(AI5="","",SUMPRODUCT(T5:AH5,KPI_Weights!$B$3:$B$17)/5)</f>
        <v/>
      </c>
      <c r="AL5" s="7">
        <f>IF(COUNT(T5:AH5)=0,"",IF(OR(T5&lt;=1,W5&lt;=1,X5&lt;=1,Y5&lt;=1,AB5&lt;=1),"YES","NO"))</f>
        <v/>
      </c>
      <c r="AM5" s="7">
        <f>IF(AK5="","",IF(AND(AK5="NO",AJ5&gt;=0.85),"YES","NO"))</f>
        <v/>
      </c>
      <c r="AN5" s="7">
        <f>IF(AJ5="","",IF(AJ5&gt;=0.90,"Excellent",IF(AJ5&gt;=0.80,"Good",IF(AJ5&gt;=0.70,"Fair","Poor"))))</f>
        <v/>
      </c>
      <c r="AO5" s="9" t="inlineStr">
        <is>
          <t>NO</t>
        </is>
      </c>
      <c r="AP5" s="9" t="inlineStr">
        <is>
          <t>Other</t>
        </is>
      </c>
      <c r="AQ5" s="9" t="inlineStr">
        <is>
          <t>No significant gap observed</t>
        </is>
      </c>
      <c r="AR5" s="9" t="inlineStr">
        <is>
          <t>The team was commended for their visible leadership in driving transformation at Cluster 8A.</t>
        </is>
      </c>
      <c r="AS5" s="9" t="inlineStr">
        <is>
          <t>The Construction Manager and his team were advised to ensure that sub-contractors do not mess up with their site.
1. No payment for work if site condition is below the acceptable standard.
2. Close supervision of sub-contractors by the construction team of the main contractor.
3. Housekeeping shall be maintained for all shift.
4. Provide a temporary storage area for waste for each villa.
5. PTW shall remain under the control of the main contractor.</t>
        </is>
      </c>
      <c r="AT5" s="9" t="n"/>
      <c r="AU5" s="9" t="inlineStr">
        <is>
          <t>Construction Manager of Cluster 8A
HSE Manager of TAJV</t>
        </is>
      </c>
      <c r="AV5" s="8" t="inlineStr">
        <is>
          <t>Always</t>
        </is>
      </c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</row>
    <row r="6">
      <c r="A6" s="7">
        <f>IF(B6="","","INS-"&amp;TEXT(ROW()-3,"000"))</f>
        <v/>
      </c>
      <c r="B6" s="8" t="n">
        <v>46111</v>
      </c>
      <c r="C6" s="7">
        <f>IF(B6="","",ISOWEEKNUM(B6))</f>
        <v/>
      </c>
      <c r="D6" s="7">
        <f>IF(B6="","",TEXT(B6,"yyyy-mm"))</f>
        <v/>
      </c>
      <c r="E6" s="9" t="n">
        <v>3</v>
      </c>
      <c r="F6" s="9" t="inlineStr">
        <is>
          <t>Cluster 4</t>
        </is>
      </c>
      <c r="G6" s="7">
        <f>IF(OR(E6="",F6=""),"",IF(COUNTIF(Cluster_Master!$I$3:$I$17,E6&amp;"|"&amp;F6)=1,"Valid","Review"))</f>
        <v/>
      </c>
      <c r="H6" s="7">
        <f>IF($G6&lt;&gt;"Valid","",VLOOKUP($E6&amp;"|"&amp;$F6,Cluster_Master!$I$3:$H$17,3,FALSE))</f>
        <v/>
      </c>
      <c r="I6" s="7">
        <f>IF($G6&lt;&gt;"Valid","",VLOOKUP($E6&amp;"|"&amp;$F6,Cluster_Master!$I$3:$H$17,4,FALSE))</f>
        <v/>
      </c>
      <c r="J6" s="7">
        <f>IF($G6&lt;&gt;"Valid","",VLOOKUP($E6&amp;"|"&amp;$F6,Cluster_Master!$I$3:$H$17,5,FALSE))</f>
        <v/>
      </c>
      <c r="K6" s="7">
        <f>IF($G6&lt;&gt;"Valid","",VLOOKUP($E6&amp;"|"&amp;$F6,Cluster_Master!$I$3:$H$17,6,FALSE))</f>
        <v/>
      </c>
      <c r="L6" s="7">
        <f>IF($G6&lt;&gt;"Valid","",VLOOKUP($E6&amp;"|"&amp;$F6,Cluster_Master!$I$3:$H$17,7,FALSE))</f>
        <v/>
      </c>
      <c r="M6" s="7">
        <f>IF($G6&lt;&gt;"Valid","",VLOOKUP($E6&amp;"|"&amp;$F6,Cluster_Master!$I$3:$H$17,8,FALSE))</f>
        <v/>
      </c>
      <c r="N6" s="9" t="inlineStr">
        <is>
          <t>Shinoj</t>
        </is>
      </c>
      <c r="O6" s="9" t="inlineStr">
        <is>
          <t>KEO</t>
        </is>
      </c>
      <c r="P6" s="9" t="inlineStr">
        <is>
          <t>Villa 8 to 16</t>
        </is>
      </c>
      <c r="Q6" s="9" t="inlineStr">
        <is>
          <t>Block work</t>
        </is>
      </c>
      <c r="R6" s="9" t="inlineStr">
        <is>
          <t>Edge Protection</t>
        </is>
      </c>
      <c r="S6" s="9" t="inlineStr">
        <is>
          <t>NO</t>
        </is>
      </c>
      <c r="T6" s="9" t="n">
        <v>3</v>
      </c>
      <c r="U6" s="9" t="n">
        <v>2</v>
      </c>
      <c r="V6" s="9" t="n">
        <v>3</v>
      </c>
      <c r="W6" s="9" t="n">
        <v>3</v>
      </c>
      <c r="X6" s="9" t="n">
        <v>2</v>
      </c>
      <c r="Y6" s="9" t="n">
        <v>4</v>
      </c>
      <c r="Z6" s="9" t="n">
        <v>3</v>
      </c>
      <c r="AA6" s="9" t="n">
        <v>5</v>
      </c>
      <c r="AB6" s="9" t="n">
        <v>1</v>
      </c>
      <c r="AC6" s="9" t="n">
        <v>2</v>
      </c>
      <c r="AD6" s="9" t="n">
        <v>4</v>
      </c>
      <c r="AE6" s="9" t="n">
        <v>2</v>
      </c>
      <c r="AF6" s="9" t="n">
        <v>3</v>
      </c>
      <c r="AG6" s="9" t="n">
        <v>1</v>
      </c>
      <c r="AH6" s="9" t="n">
        <v>3</v>
      </c>
      <c r="AI6" s="7">
        <f>IF(COUNT(T6:AH6)=0,"",SUM(T6:AH6))</f>
        <v/>
      </c>
      <c r="AJ6" s="10">
        <f>IF(AI6="","",AI6/75)</f>
        <v/>
      </c>
      <c r="AK6" s="10">
        <f>IF(AI6="","",SUMPRODUCT(T6:AH6,KPI_Weights!$B$3:$B$17)/5)</f>
        <v/>
      </c>
      <c r="AL6" s="7">
        <f>IF(COUNT(T6:AH6)=0,"",IF(OR(T6&lt;=1,W6&lt;=1,X6&lt;=1,Y6&lt;=1,AB6&lt;=1),"YES","NO"))</f>
        <v/>
      </c>
      <c r="AM6" s="7">
        <f>IF(AK6="","",IF(AND(AK6="NO",AJ6&gt;=0.85),"YES","NO"))</f>
        <v/>
      </c>
      <c r="AN6" s="7">
        <f>IF(AJ6="","",IF(AJ6&gt;=0.90,"Excellent",IF(AJ6&gt;=0.80,"Good",IF(AJ6&gt;=0.70,"Fair","Poor"))))</f>
        <v/>
      </c>
      <c r="AO6" s="9" t="inlineStr">
        <is>
          <t>NO</t>
        </is>
      </c>
      <c r="AP6" s="9" t="inlineStr">
        <is>
          <t>Poor supervision</t>
        </is>
      </c>
      <c r="AQ6" s="9" t="n"/>
      <c r="AR6" s="9" t="inlineStr">
        <is>
          <t>Safety concern identified during site walk.</t>
        </is>
      </c>
      <c r="AS6" s="9" t="inlineStr">
        <is>
          <t>Improve supervision and close the edge protection gaps before continuation.</t>
        </is>
      </c>
      <c r="AT6" s="9" t="n"/>
      <c r="AU6" s="9" t="n"/>
      <c r="AV6" s="8" t="n">
        <v>46112</v>
      </c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</row>
    <row r="7">
      <c r="A7" s="7">
        <f>IF(B7="","","INS-"&amp;TEXT(ROW()-3,"000"))</f>
        <v/>
      </c>
      <c r="B7" s="11" t="n"/>
      <c r="C7" s="7">
        <f>IF(B7="","",ISOWEEKNUM(B7))</f>
        <v/>
      </c>
      <c r="D7" s="7">
        <f>IF(B7="","",TEXT(B7,"yyyy-mm"))</f>
        <v/>
      </c>
      <c r="E7" s="12" t="n"/>
      <c r="F7" s="12" t="n"/>
      <c r="G7" s="7">
        <f>IF(OR(E7="",F7=""),"",IF(COUNTIF(Cluster_Master!$I$3:$I$17,E7&amp;"|"&amp;F7)=1,"Valid","Review"))</f>
        <v/>
      </c>
      <c r="H7" s="7">
        <f>IF($G7&lt;&gt;"Valid","",VLOOKUP($E7&amp;"|"&amp;$F7,Cluster_Master!$I$3:$H$17,3,FALSE))</f>
        <v/>
      </c>
      <c r="I7" s="7">
        <f>IF($G7&lt;&gt;"Valid","",VLOOKUP($E7&amp;"|"&amp;$F7,Cluster_Master!$I$3:$H$17,4,FALSE))</f>
        <v/>
      </c>
      <c r="J7" s="7">
        <f>IF($G7&lt;&gt;"Valid","",VLOOKUP($E7&amp;"|"&amp;$F7,Cluster_Master!$I$3:$H$17,5,FALSE))</f>
        <v/>
      </c>
      <c r="K7" s="7">
        <f>IF($G7&lt;&gt;"Valid","",VLOOKUP($E7&amp;"|"&amp;$F7,Cluster_Master!$I$3:$H$17,6,FALSE))</f>
        <v/>
      </c>
      <c r="L7" s="7">
        <f>IF($G7&lt;&gt;"Valid","",VLOOKUP($E7&amp;"|"&amp;$F7,Cluster_Master!$I$3:$H$17,7,FALSE))</f>
        <v/>
      </c>
      <c r="M7" s="7">
        <f>IF($G7&lt;&gt;"Valid","",VLOOKUP($E7&amp;"|"&amp;$F7,Cluster_Master!$I$3:$H$17,8,FALSE))</f>
        <v/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7">
        <f>IF(COUNT(T7:AH7)=0,"",SUM(T7:AH7))</f>
        <v/>
      </c>
      <c r="AJ7" s="10">
        <f>IF(AI7="","",AI7/75)</f>
        <v/>
      </c>
      <c r="AK7" s="10">
        <f>IF(AI7="","",SUMPRODUCT(T7:AH7,KPI_Weights!$B$3:$B$17)/5)</f>
        <v/>
      </c>
      <c r="AL7" s="7">
        <f>IF(COUNT(T7:AH7)=0,"",IF(OR(T7&lt;=1,W7&lt;=1,X7&lt;=1,Y7&lt;=1,AB7&lt;=1),"YES","NO"))</f>
        <v/>
      </c>
      <c r="AM7" s="7">
        <f>IF(AK7="","",IF(AND(AK7="NO",AJ7&gt;=0.85),"YES","NO"))</f>
        <v/>
      </c>
      <c r="AN7" s="7">
        <f>IF(AJ7="","",IF(AJ7&gt;=0.90,"Excellent",IF(AJ7&gt;=0.80,"Good",IF(AJ7&gt;=0.70,"Fair","Poor"))))</f>
        <v/>
      </c>
      <c r="AO7" s="12" t="n"/>
      <c r="AP7" s="12" t="n"/>
      <c r="AQ7" s="12" t="n"/>
      <c r="AR7" s="12" t="n"/>
      <c r="AS7" s="12" t="n"/>
      <c r="AT7" s="12" t="n"/>
      <c r="AU7" s="12" t="n"/>
      <c r="AV7" s="11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</row>
    <row r="8">
      <c r="A8" s="7">
        <f>IF(B8="","","INS-"&amp;TEXT(ROW()-3,"000"))</f>
        <v/>
      </c>
      <c r="B8" s="11" t="n"/>
      <c r="C8" s="7">
        <f>IF(B8="","",ISOWEEKNUM(B8))</f>
        <v/>
      </c>
      <c r="D8" s="7">
        <f>IF(B8="","",TEXT(B8,"yyyy-mm"))</f>
        <v/>
      </c>
      <c r="E8" s="12" t="n"/>
      <c r="F8" s="12" t="n"/>
      <c r="G8" s="7">
        <f>IF(OR(E8="",F8=""),"",IF(COUNTIF(Cluster_Master!$I$3:$I$17,E8&amp;"|"&amp;F8)=1,"Valid","Review"))</f>
        <v/>
      </c>
      <c r="H8" s="7">
        <f>IF($G8&lt;&gt;"Valid","",VLOOKUP($E8&amp;"|"&amp;$F8,Cluster_Master!$I$3:$H$17,3,FALSE))</f>
        <v/>
      </c>
      <c r="I8" s="7">
        <f>IF($G8&lt;&gt;"Valid","",VLOOKUP($E8&amp;"|"&amp;$F8,Cluster_Master!$I$3:$H$17,4,FALSE))</f>
        <v/>
      </c>
      <c r="J8" s="7">
        <f>IF($G8&lt;&gt;"Valid","",VLOOKUP($E8&amp;"|"&amp;$F8,Cluster_Master!$I$3:$H$17,5,FALSE))</f>
        <v/>
      </c>
      <c r="K8" s="7">
        <f>IF($G8&lt;&gt;"Valid","",VLOOKUP($E8&amp;"|"&amp;$F8,Cluster_Master!$I$3:$H$17,6,FALSE))</f>
        <v/>
      </c>
      <c r="L8" s="7">
        <f>IF($G8&lt;&gt;"Valid","",VLOOKUP($E8&amp;"|"&amp;$F8,Cluster_Master!$I$3:$H$17,7,FALSE))</f>
        <v/>
      </c>
      <c r="M8" s="7">
        <f>IF($G8&lt;&gt;"Valid","",VLOOKUP($E8&amp;"|"&amp;$F8,Cluster_Master!$I$3:$H$17,8,FALSE))</f>
        <v/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7">
        <f>IF(COUNT(T8:AH8)=0,"",SUM(T8:AH8))</f>
        <v/>
      </c>
      <c r="AJ8" s="10">
        <f>IF(AI8="","",AI8/75)</f>
        <v/>
      </c>
      <c r="AK8" s="10">
        <f>IF(AI8="","",SUMPRODUCT(T8:AH8,KPI_Weights!$B$3:$B$17)/5)</f>
        <v/>
      </c>
      <c r="AL8" s="7">
        <f>IF(COUNT(T8:AH8)=0,"",IF(OR(T8&lt;=1,W8&lt;=1,X8&lt;=1,Y8&lt;=1,AB8&lt;=1),"YES","NO"))</f>
        <v/>
      </c>
      <c r="AM8" s="7">
        <f>IF(AK8="","",IF(AND(AK8="NO",AJ8&gt;=0.85),"YES","NO"))</f>
        <v/>
      </c>
      <c r="AN8" s="7">
        <f>IF(AJ8="","",IF(AJ8&gt;=0.90,"Excellent",IF(AJ8&gt;=0.80,"Good",IF(AJ8&gt;=0.70,"Fair","Poor"))))</f>
        <v/>
      </c>
      <c r="AO8" s="12" t="n"/>
      <c r="AP8" s="12" t="n"/>
      <c r="AQ8" s="12" t="n"/>
      <c r="AR8" s="12" t="n"/>
      <c r="AS8" s="12" t="n"/>
      <c r="AT8" s="12" t="n"/>
      <c r="AU8" s="12" t="n"/>
      <c r="AV8" s="11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</row>
    <row r="9">
      <c r="A9" s="7">
        <f>IF(B9="","","INS-"&amp;TEXT(ROW()-3,"000"))</f>
        <v/>
      </c>
      <c r="B9" s="11" t="n"/>
      <c r="C9" s="7">
        <f>IF(B9="","",ISOWEEKNUM(B9))</f>
        <v/>
      </c>
      <c r="D9" s="7">
        <f>IF(B9="","",TEXT(B9,"yyyy-mm"))</f>
        <v/>
      </c>
      <c r="E9" s="12" t="n"/>
      <c r="F9" s="12" t="n"/>
      <c r="G9" s="7">
        <f>IF(OR(E9="",F9=""),"",IF(COUNTIF(Cluster_Master!$I$3:$I$17,E9&amp;"|"&amp;F9)=1,"Valid","Review"))</f>
        <v/>
      </c>
      <c r="H9" s="7">
        <f>IF($G9&lt;&gt;"Valid","",VLOOKUP($E9&amp;"|"&amp;$F9,Cluster_Master!$I$3:$H$17,3,FALSE))</f>
        <v/>
      </c>
      <c r="I9" s="7">
        <f>IF($G9&lt;&gt;"Valid","",VLOOKUP($E9&amp;"|"&amp;$F9,Cluster_Master!$I$3:$H$17,4,FALSE))</f>
        <v/>
      </c>
      <c r="J9" s="7">
        <f>IF($G9&lt;&gt;"Valid","",VLOOKUP($E9&amp;"|"&amp;$F9,Cluster_Master!$I$3:$H$17,5,FALSE))</f>
        <v/>
      </c>
      <c r="K9" s="7">
        <f>IF($G9&lt;&gt;"Valid","",VLOOKUP($E9&amp;"|"&amp;$F9,Cluster_Master!$I$3:$H$17,6,FALSE))</f>
        <v/>
      </c>
      <c r="L9" s="7">
        <f>IF($G9&lt;&gt;"Valid","",VLOOKUP($E9&amp;"|"&amp;$F9,Cluster_Master!$I$3:$H$17,7,FALSE))</f>
        <v/>
      </c>
      <c r="M9" s="7">
        <f>IF($G9&lt;&gt;"Valid","",VLOOKUP($E9&amp;"|"&amp;$F9,Cluster_Master!$I$3:$H$17,8,FALSE))</f>
        <v/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7">
        <f>IF(COUNT(T9:AH9)=0,"",SUM(T9:AH9))</f>
        <v/>
      </c>
      <c r="AJ9" s="10">
        <f>IF(AI9="","",AI9/75)</f>
        <v/>
      </c>
      <c r="AK9" s="10">
        <f>IF(AI9="","",SUMPRODUCT(T9:AH9,KPI_Weights!$B$3:$B$17)/5)</f>
        <v/>
      </c>
      <c r="AL9" s="7">
        <f>IF(COUNT(T9:AH9)=0,"",IF(OR(T9&lt;=1,W9&lt;=1,X9&lt;=1,Y9&lt;=1,AB9&lt;=1),"YES","NO"))</f>
        <v/>
      </c>
      <c r="AM9" s="7">
        <f>IF(AK9="","",IF(AND(AK9="NO",AJ9&gt;=0.85),"YES","NO"))</f>
        <v/>
      </c>
      <c r="AN9" s="7">
        <f>IF(AJ9="","",IF(AJ9&gt;=0.90,"Excellent",IF(AJ9&gt;=0.80,"Good",IF(AJ9&gt;=0.70,"Fair","Poor"))))</f>
        <v/>
      </c>
      <c r="AO9" s="12" t="n"/>
      <c r="AP9" s="12" t="n"/>
      <c r="AQ9" s="12" t="n"/>
      <c r="AR9" s="12" t="n"/>
      <c r="AS9" s="12" t="n"/>
      <c r="AT9" s="12" t="n"/>
      <c r="AU9" s="12" t="n"/>
      <c r="AV9" s="11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</row>
    <row r="10">
      <c r="A10" s="13">
        <f>IF(B10="","","INS-"&amp;TEXT(ROW()-3,"000"))</f>
        <v/>
      </c>
      <c r="B10" s="11" t="n"/>
      <c r="C10" s="7">
        <f>IF(B10="","",ISOWEEKNUM(B10))</f>
        <v/>
      </c>
      <c r="D10" s="7">
        <f>IF(B10="","",TEXT(B10,"yyyy-mm"))</f>
        <v/>
      </c>
      <c r="E10" s="12" t="n"/>
      <c r="F10" s="12" t="n"/>
      <c r="G10" s="7">
        <f>IF(OR(E10="",F10=""),"",IF(COUNTIF(Cluster_Master!$I$3:$I$17,E10&amp;"|"&amp;F10)=1,"Valid","Review"))</f>
        <v/>
      </c>
      <c r="H10" s="7">
        <f>IF($G10&lt;&gt;"Valid","",VLOOKUP($E10&amp;"|"&amp;$F10,Cluster_Master!$I$3:$H$17,3,FALSE))</f>
        <v/>
      </c>
      <c r="I10" s="7">
        <f>IF($G10&lt;&gt;"Valid","",VLOOKUP($E10&amp;"|"&amp;$F10,Cluster_Master!$I$3:$H$17,4,FALSE))</f>
        <v/>
      </c>
      <c r="J10" s="7">
        <f>IF($G10&lt;&gt;"Valid","",VLOOKUP($E10&amp;"|"&amp;$F10,Cluster_Master!$I$3:$H$17,5,FALSE))</f>
        <v/>
      </c>
      <c r="K10" s="7">
        <f>IF($G10&lt;&gt;"Valid","",VLOOKUP($E10&amp;"|"&amp;$F10,Cluster_Master!$I$3:$H$17,6,FALSE))</f>
        <v/>
      </c>
      <c r="L10" s="7">
        <f>IF($G10&lt;&gt;"Valid","",VLOOKUP($E10&amp;"|"&amp;$F10,Cluster_Master!$I$3:$H$17,7,FALSE))</f>
        <v/>
      </c>
      <c r="M10" s="7">
        <f>IF($G10&lt;&gt;"Valid","",VLOOKUP($E10&amp;"|"&amp;$F10,Cluster_Master!$I$3:$H$17,8,FALSE))</f>
        <v/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7">
        <f>IF(COUNT(T10:AH10)=0,"",SUM(T10:AH10))</f>
        <v/>
      </c>
      <c r="AJ10" s="10">
        <f>IF(AI10="","",AI10/75)</f>
        <v/>
      </c>
      <c r="AK10" s="10">
        <f>IF(AI10="","",SUMPRODUCT(T10:AH10,KPI_Weights!$B$3:$B$17)/5)</f>
        <v/>
      </c>
      <c r="AL10" s="7">
        <f>IF(COUNT(T10:AH10)=0,"",IF(OR(T10&lt;=1,W10&lt;=1,X10&lt;=1,Y10&lt;=1,AB10&lt;=1),"YES","NO"))</f>
        <v/>
      </c>
      <c r="AM10" s="7">
        <f>IF(AK10="","",IF(AND(AK10="NO",AJ10&gt;=0.85),"YES","NO"))</f>
        <v/>
      </c>
      <c r="AN10" s="7">
        <f>IF(AJ10="","",IF(AJ10&gt;=0.90,"Excellent",IF(AJ10&gt;=0.80,"Good",IF(AJ10&gt;=0.70,"Fair","Poor"))))</f>
        <v/>
      </c>
      <c r="AO10" s="12" t="n"/>
      <c r="AP10" s="12" t="n"/>
      <c r="AQ10" s="12" t="n"/>
      <c r="AR10" s="12" t="n"/>
      <c r="AS10" s="12" t="n"/>
      <c r="AT10" s="12" t="n"/>
      <c r="AU10" s="12" t="n"/>
      <c r="AV10" s="11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</row>
    <row r="11">
      <c r="A11" s="13">
        <f>IF(B11="","","INS-"&amp;TEXT(ROW()-3,"000"))</f>
        <v/>
      </c>
      <c r="B11" s="11" t="n"/>
      <c r="C11" s="7">
        <f>IF(B11="","",ISOWEEKNUM(B11))</f>
        <v/>
      </c>
      <c r="D11" s="7">
        <f>IF(B11="","",TEXT(B11,"yyyy-mm"))</f>
        <v/>
      </c>
      <c r="E11" s="12" t="n"/>
      <c r="F11" s="12" t="n"/>
      <c r="G11" s="7">
        <f>IF(OR(E11="",F11=""),"",IF(COUNTIF(Cluster_Master!$I$3:$I$17,E11&amp;"|"&amp;F11)=1,"Valid","Review"))</f>
        <v/>
      </c>
      <c r="H11" s="7">
        <f>IF($G11&lt;&gt;"Valid","",VLOOKUP($E11&amp;"|"&amp;$F11,Cluster_Master!$I$3:$H$17,3,FALSE))</f>
        <v/>
      </c>
      <c r="I11" s="7">
        <f>IF($G11&lt;&gt;"Valid","",VLOOKUP($E11&amp;"|"&amp;$F11,Cluster_Master!$I$3:$H$17,4,FALSE))</f>
        <v/>
      </c>
      <c r="J11" s="7">
        <f>IF($G11&lt;&gt;"Valid","",VLOOKUP($E11&amp;"|"&amp;$F11,Cluster_Master!$I$3:$H$17,5,FALSE))</f>
        <v/>
      </c>
      <c r="K11" s="7">
        <f>IF($G11&lt;&gt;"Valid","",VLOOKUP($E11&amp;"|"&amp;$F11,Cluster_Master!$I$3:$H$17,6,FALSE))</f>
        <v/>
      </c>
      <c r="L11" s="7">
        <f>IF($G11&lt;&gt;"Valid","",VLOOKUP($E11&amp;"|"&amp;$F11,Cluster_Master!$I$3:$H$17,7,FALSE))</f>
        <v/>
      </c>
      <c r="M11" s="7">
        <f>IF($G11&lt;&gt;"Valid","",VLOOKUP($E11&amp;"|"&amp;$F11,Cluster_Master!$I$3:$H$17,8,FALSE))</f>
        <v/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7">
        <f>IF(COUNT(T11:AH11)=0,"",SUM(T11:AH11))</f>
        <v/>
      </c>
      <c r="AJ11" s="10">
        <f>IF(AI11="","",AI11/75)</f>
        <v/>
      </c>
      <c r="AK11" s="10">
        <f>IF(AI11="","",SUMPRODUCT(T11:AH11,KPI_Weights!$B$3:$B$17)/5)</f>
        <v/>
      </c>
      <c r="AL11" s="7">
        <f>IF(COUNT(T11:AH11)=0,"",IF(OR(T11&lt;=1,W11&lt;=1,X11&lt;=1,Y11&lt;=1,AB11&lt;=1),"YES","NO"))</f>
        <v/>
      </c>
      <c r="AM11" s="7">
        <f>IF(AK11="","",IF(AND(AK11="NO",AJ11&gt;=0.85),"YES","NO"))</f>
        <v/>
      </c>
      <c r="AN11" s="7">
        <f>IF(AJ11="","",IF(AJ11&gt;=0.90,"Excellent",IF(AJ11&gt;=0.80,"Good",IF(AJ11&gt;=0.70,"Fair","Poor"))))</f>
        <v/>
      </c>
      <c r="AO11" s="12" t="n"/>
      <c r="AP11" s="12" t="n"/>
      <c r="AQ11" s="12" t="n"/>
      <c r="AR11" s="12" t="n"/>
      <c r="AS11" s="12" t="n"/>
      <c r="AT11" s="12" t="n"/>
      <c r="AU11" s="12" t="n"/>
      <c r="AV11" s="11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</row>
    <row r="12">
      <c r="A12" s="13">
        <f>IF(B12="","","INS-"&amp;TEXT(ROW()-3,"000"))</f>
        <v/>
      </c>
      <c r="B12" s="11" t="n"/>
      <c r="C12" s="7">
        <f>IF(B12="","",ISOWEEKNUM(B12))</f>
        <v/>
      </c>
      <c r="D12" s="7">
        <f>IF(B12="","",TEXT(B12,"yyyy-mm"))</f>
        <v/>
      </c>
      <c r="E12" s="12" t="n"/>
      <c r="F12" s="12" t="n"/>
      <c r="G12" s="7">
        <f>IF(OR(E12="",F12=""),"",IF(COUNTIF(Cluster_Master!$I$3:$I$17,E12&amp;"|"&amp;F12)=1,"Valid","Review"))</f>
        <v/>
      </c>
      <c r="H12" s="7">
        <f>IF($G12&lt;&gt;"Valid","",VLOOKUP($E12&amp;"|"&amp;$F12,Cluster_Master!$I$3:$H$17,3,FALSE))</f>
        <v/>
      </c>
      <c r="I12" s="7">
        <f>IF($G12&lt;&gt;"Valid","",VLOOKUP($E12&amp;"|"&amp;$F12,Cluster_Master!$I$3:$H$17,4,FALSE))</f>
        <v/>
      </c>
      <c r="J12" s="7">
        <f>IF($G12&lt;&gt;"Valid","",VLOOKUP($E12&amp;"|"&amp;$F12,Cluster_Master!$I$3:$H$17,5,FALSE))</f>
        <v/>
      </c>
      <c r="K12" s="7">
        <f>IF($G12&lt;&gt;"Valid","",VLOOKUP($E12&amp;"|"&amp;$F12,Cluster_Master!$I$3:$H$17,6,FALSE))</f>
        <v/>
      </c>
      <c r="L12" s="7">
        <f>IF($G12&lt;&gt;"Valid","",VLOOKUP($E12&amp;"|"&amp;$F12,Cluster_Master!$I$3:$H$17,7,FALSE))</f>
        <v/>
      </c>
      <c r="M12" s="7">
        <f>IF($G12&lt;&gt;"Valid","",VLOOKUP($E12&amp;"|"&amp;$F12,Cluster_Master!$I$3:$H$17,8,FALSE))</f>
        <v/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7">
        <f>IF(COUNT(T12:AH12)=0,"",SUM(T12:AH12))</f>
        <v/>
      </c>
      <c r="AJ12" s="10">
        <f>IF(AI12="","",AI12/75)</f>
        <v/>
      </c>
      <c r="AK12" s="10">
        <f>IF(AI12="","",SUMPRODUCT(T12:AH12,KPI_Weights!$B$3:$B$17)/5)</f>
        <v/>
      </c>
      <c r="AL12" s="7">
        <f>IF(COUNT(T12:AH12)=0,"",IF(OR(T12&lt;=1,W12&lt;=1,X12&lt;=1,Y12&lt;=1,AB12&lt;=1),"YES","NO"))</f>
        <v/>
      </c>
      <c r="AM12" s="7">
        <f>IF(AK12="","",IF(AND(AK12="NO",AJ12&gt;=0.85),"YES","NO"))</f>
        <v/>
      </c>
      <c r="AN12" s="7">
        <f>IF(AJ12="","",IF(AJ12&gt;=0.90,"Excellent",IF(AJ12&gt;=0.80,"Good",IF(AJ12&gt;=0.70,"Fair","Poor"))))</f>
        <v/>
      </c>
      <c r="AO12" s="12" t="n"/>
      <c r="AP12" s="12" t="n"/>
      <c r="AQ12" s="12" t="n"/>
      <c r="AR12" s="12" t="n"/>
      <c r="AS12" s="12" t="n"/>
      <c r="AT12" s="12" t="n"/>
      <c r="AU12" s="12" t="n"/>
      <c r="AV12" s="11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</row>
    <row r="13">
      <c r="A13" s="13">
        <f>IF(B13="","","INS-"&amp;TEXT(ROW()-3,"000"))</f>
        <v/>
      </c>
      <c r="B13" s="11" t="n"/>
      <c r="C13" s="7">
        <f>IF(B13="","",ISOWEEKNUM(B13))</f>
        <v/>
      </c>
      <c r="D13" s="7">
        <f>IF(B13="","",TEXT(B13,"yyyy-mm"))</f>
        <v/>
      </c>
      <c r="E13" s="12" t="n"/>
      <c r="F13" s="12" t="n"/>
      <c r="G13" s="7">
        <f>IF(OR(E13="",F13=""),"",IF(COUNTIF(Cluster_Master!$I$3:$I$17,E13&amp;"|"&amp;F13)=1,"Valid","Review"))</f>
        <v/>
      </c>
      <c r="H13" s="7">
        <f>IF($G13&lt;&gt;"Valid","",VLOOKUP($E13&amp;"|"&amp;$F13,Cluster_Master!$I$3:$H$17,3,FALSE))</f>
        <v/>
      </c>
      <c r="I13" s="7">
        <f>IF($G13&lt;&gt;"Valid","",VLOOKUP($E13&amp;"|"&amp;$F13,Cluster_Master!$I$3:$H$17,4,FALSE))</f>
        <v/>
      </c>
      <c r="J13" s="7">
        <f>IF($G13&lt;&gt;"Valid","",VLOOKUP($E13&amp;"|"&amp;$F13,Cluster_Master!$I$3:$H$17,5,FALSE))</f>
        <v/>
      </c>
      <c r="K13" s="7">
        <f>IF($G13&lt;&gt;"Valid","",VLOOKUP($E13&amp;"|"&amp;$F13,Cluster_Master!$I$3:$H$17,6,FALSE))</f>
        <v/>
      </c>
      <c r="L13" s="7">
        <f>IF($G13&lt;&gt;"Valid","",VLOOKUP($E13&amp;"|"&amp;$F13,Cluster_Master!$I$3:$H$17,7,FALSE))</f>
        <v/>
      </c>
      <c r="M13" s="7">
        <f>IF($G13&lt;&gt;"Valid","",VLOOKUP($E13&amp;"|"&amp;$F13,Cluster_Master!$I$3:$H$17,8,FALSE))</f>
        <v/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7">
        <f>IF(COUNT(T13:AH13)=0,"",SUM(T13:AH13))</f>
        <v/>
      </c>
      <c r="AJ13" s="10">
        <f>IF(AI13="","",AI13/75)</f>
        <v/>
      </c>
      <c r="AK13" s="10">
        <f>IF(AI13="","",SUMPRODUCT(T13:AH13,KPI_Weights!$B$3:$B$17)/5)</f>
        <v/>
      </c>
      <c r="AL13" s="7">
        <f>IF(COUNT(T13:AH13)=0,"",IF(OR(T13&lt;=1,W13&lt;=1,X13&lt;=1,Y13&lt;=1,AB13&lt;=1),"YES","NO"))</f>
        <v/>
      </c>
      <c r="AM13" s="7">
        <f>IF(AK13="","",IF(AND(AK13="NO",AJ13&gt;=0.85),"YES","NO"))</f>
        <v/>
      </c>
      <c r="AN13" s="7">
        <f>IF(AJ13="","",IF(AJ13&gt;=0.90,"Excellent",IF(AJ13&gt;=0.80,"Good",IF(AJ13&gt;=0.70,"Fair","Poor"))))</f>
        <v/>
      </c>
      <c r="AO13" s="12" t="n"/>
      <c r="AP13" s="12" t="n"/>
      <c r="AQ13" s="12" t="n"/>
      <c r="AR13" s="12" t="n"/>
      <c r="AS13" s="12" t="n"/>
      <c r="AT13" s="12" t="n"/>
      <c r="AU13" s="12" t="n"/>
      <c r="AV13" s="11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</row>
    <row r="14">
      <c r="A14" s="13">
        <f>IF(B14="","","INS-"&amp;TEXT(ROW()-3,"000"))</f>
        <v/>
      </c>
      <c r="B14" s="11" t="n"/>
      <c r="C14" s="7">
        <f>IF(B14="","",ISOWEEKNUM(B14))</f>
        <v/>
      </c>
      <c r="D14" s="7">
        <f>IF(B14="","",TEXT(B14,"yyyy-mm"))</f>
        <v/>
      </c>
      <c r="E14" s="12" t="n"/>
      <c r="F14" s="12" t="n"/>
      <c r="G14" s="7">
        <f>IF(OR(E14="",F14=""),"",IF(COUNTIF(Cluster_Master!$I$3:$I$17,E14&amp;"|"&amp;F14)=1,"Valid","Review"))</f>
        <v/>
      </c>
      <c r="H14" s="7">
        <f>IF($G14&lt;&gt;"Valid","",VLOOKUP($E14&amp;"|"&amp;$F14,Cluster_Master!$I$3:$H$17,3,FALSE))</f>
        <v/>
      </c>
      <c r="I14" s="7">
        <f>IF($G14&lt;&gt;"Valid","",VLOOKUP($E14&amp;"|"&amp;$F14,Cluster_Master!$I$3:$H$17,4,FALSE))</f>
        <v/>
      </c>
      <c r="J14" s="7">
        <f>IF($G14&lt;&gt;"Valid","",VLOOKUP($E14&amp;"|"&amp;$F14,Cluster_Master!$I$3:$H$17,5,FALSE))</f>
        <v/>
      </c>
      <c r="K14" s="7">
        <f>IF($G14&lt;&gt;"Valid","",VLOOKUP($E14&amp;"|"&amp;$F14,Cluster_Master!$I$3:$H$17,6,FALSE))</f>
        <v/>
      </c>
      <c r="L14" s="7">
        <f>IF($G14&lt;&gt;"Valid","",VLOOKUP($E14&amp;"|"&amp;$F14,Cluster_Master!$I$3:$H$17,7,FALSE))</f>
        <v/>
      </c>
      <c r="M14" s="7">
        <f>IF($G14&lt;&gt;"Valid","",VLOOKUP($E14&amp;"|"&amp;$F14,Cluster_Master!$I$3:$H$17,8,FALSE))</f>
        <v/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7">
        <f>IF(COUNT(T14:AH14)=0,"",SUM(T14:AH14))</f>
        <v/>
      </c>
      <c r="AJ14" s="10">
        <f>IF(AI14="","",AI14/75)</f>
        <v/>
      </c>
      <c r="AK14" s="10">
        <f>IF(AI14="","",SUMPRODUCT(T14:AH14,KPI_Weights!$B$3:$B$17)/5)</f>
        <v/>
      </c>
      <c r="AL14" s="7">
        <f>IF(COUNT(T14:AH14)=0,"",IF(OR(T14&lt;=1,W14&lt;=1,X14&lt;=1,Y14&lt;=1,AB14&lt;=1),"YES","NO"))</f>
        <v/>
      </c>
      <c r="AM14" s="7">
        <f>IF(AK14="","",IF(AND(AK14="NO",AJ14&gt;=0.85),"YES","NO"))</f>
        <v/>
      </c>
      <c r="AN14" s="7">
        <f>IF(AJ14="","",IF(AJ14&gt;=0.90,"Excellent",IF(AJ14&gt;=0.80,"Good",IF(AJ14&gt;=0.70,"Fair","Poor"))))</f>
        <v/>
      </c>
      <c r="AO14" s="12" t="n"/>
      <c r="AP14" s="12" t="n"/>
      <c r="AQ14" s="12" t="n"/>
      <c r="AR14" s="12" t="n"/>
      <c r="AS14" s="12" t="n"/>
      <c r="AT14" s="12" t="n"/>
      <c r="AU14" s="12" t="n"/>
      <c r="AV14" s="11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</row>
    <row r="15">
      <c r="A15" s="13">
        <f>IF(B15="","","INS-"&amp;TEXT(ROW()-3,"000"))</f>
        <v/>
      </c>
      <c r="B15" s="11" t="n"/>
      <c r="C15" s="7">
        <f>IF(B15="","",ISOWEEKNUM(B15))</f>
        <v/>
      </c>
      <c r="D15" s="7">
        <f>IF(B15="","",TEXT(B15,"yyyy-mm"))</f>
        <v/>
      </c>
      <c r="E15" s="12" t="n"/>
      <c r="F15" s="12" t="n"/>
      <c r="G15" s="7">
        <f>IF(OR(E15="",F15=""),"",IF(COUNTIF(Cluster_Master!$I$3:$I$17,E15&amp;"|"&amp;F15)=1,"Valid","Review"))</f>
        <v/>
      </c>
      <c r="H15" s="7">
        <f>IF($G15&lt;&gt;"Valid","",VLOOKUP($E15&amp;"|"&amp;$F15,Cluster_Master!$I$3:$H$17,3,FALSE))</f>
        <v/>
      </c>
      <c r="I15" s="7">
        <f>IF($G15&lt;&gt;"Valid","",VLOOKUP($E15&amp;"|"&amp;$F15,Cluster_Master!$I$3:$H$17,4,FALSE))</f>
        <v/>
      </c>
      <c r="J15" s="7">
        <f>IF($G15&lt;&gt;"Valid","",VLOOKUP($E15&amp;"|"&amp;$F15,Cluster_Master!$I$3:$H$17,5,FALSE))</f>
        <v/>
      </c>
      <c r="K15" s="7">
        <f>IF($G15&lt;&gt;"Valid","",VLOOKUP($E15&amp;"|"&amp;$F15,Cluster_Master!$I$3:$H$17,6,FALSE))</f>
        <v/>
      </c>
      <c r="L15" s="7">
        <f>IF($G15&lt;&gt;"Valid","",VLOOKUP($E15&amp;"|"&amp;$F15,Cluster_Master!$I$3:$H$17,7,FALSE))</f>
        <v/>
      </c>
      <c r="M15" s="7">
        <f>IF($G15&lt;&gt;"Valid","",VLOOKUP($E15&amp;"|"&amp;$F15,Cluster_Master!$I$3:$H$17,8,FALSE))</f>
        <v/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7">
        <f>IF(COUNT(T15:AH15)=0,"",SUM(T15:AH15))</f>
        <v/>
      </c>
      <c r="AJ15" s="10">
        <f>IF(AI15="","",AI15/75)</f>
        <v/>
      </c>
      <c r="AK15" s="10">
        <f>IF(AI15="","",SUMPRODUCT(T15:AH15,KPI_Weights!$B$3:$B$17)/5)</f>
        <v/>
      </c>
      <c r="AL15" s="7">
        <f>IF(COUNT(T15:AH15)=0,"",IF(OR(T15&lt;=1,W15&lt;=1,X15&lt;=1,Y15&lt;=1,AB15&lt;=1),"YES","NO"))</f>
        <v/>
      </c>
      <c r="AM15" s="7">
        <f>IF(AK15="","",IF(AND(AK15="NO",AJ15&gt;=0.85),"YES","NO"))</f>
        <v/>
      </c>
      <c r="AN15" s="7">
        <f>IF(AJ15="","",IF(AJ15&gt;=0.90,"Excellent",IF(AJ15&gt;=0.80,"Good",IF(AJ15&gt;=0.70,"Fair","Poor"))))</f>
        <v/>
      </c>
      <c r="AO15" s="12" t="n"/>
      <c r="AP15" s="12" t="n"/>
      <c r="AQ15" s="12" t="n"/>
      <c r="AR15" s="12" t="n"/>
      <c r="AS15" s="12" t="n"/>
      <c r="AT15" s="12" t="n"/>
      <c r="AU15" s="12" t="n"/>
      <c r="AV15" s="11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</row>
    <row r="16">
      <c r="A16" s="13">
        <f>IF(B16="","","INS-"&amp;TEXT(ROW()-3,"000"))</f>
        <v/>
      </c>
      <c r="B16" s="11" t="n"/>
      <c r="C16" s="7">
        <f>IF(B16="","",ISOWEEKNUM(B16))</f>
        <v/>
      </c>
      <c r="D16" s="7">
        <f>IF(B16="","",TEXT(B16,"yyyy-mm"))</f>
        <v/>
      </c>
      <c r="E16" s="12" t="n"/>
      <c r="F16" s="12" t="n"/>
      <c r="G16" s="7">
        <f>IF(OR(E16="",F16=""),"",IF(COUNTIF(Cluster_Master!$I$3:$I$17,E16&amp;"|"&amp;F16)=1,"Valid","Review"))</f>
        <v/>
      </c>
      <c r="H16" s="7">
        <f>IF($G16&lt;&gt;"Valid","",VLOOKUP($E16&amp;"|"&amp;$F16,Cluster_Master!$I$3:$H$17,3,FALSE))</f>
        <v/>
      </c>
      <c r="I16" s="7">
        <f>IF($G16&lt;&gt;"Valid","",VLOOKUP($E16&amp;"|"&amp;$F16,Cluster_Master!$I$3:$H$17,4,FALSE))</f>
        <v/>
      </c>
      <c r="J16" s="7">
        <f>IF($G16&lt;&gt;"Valid","",VLOOKUP($E16&amp;"|"&amp;$F16,Cluster_Master!$I$3:$H$17,5,FALSE))</f>
        <v/>
      </c>
      <c r="K16" s="7">
        <f>IF($G16&lt;&gt;"Valid","",VLOOKUP($E16&amp;"|"&amp;$F16,Cluster_Master!$I$3:$H$17,6,FALSE))</f>
        <v/>
      </c>
      <c r="L16" s="7">
        <f>IF($G16&lt;&gt;"Valid","",VLOOKUP($E16&amp;"|"&amp;$F16,Cluster_Master!$I$3:$H$17,7,FALSE))</f>
        <v/>
      </c>
      <c r="M16" s="7">
        <f>IF($G16&lt;&gt;"Valid","",VLOOKUP($E16&amp;"|"&amp;$F16,Cluster_Master!$I$3:$H$17,8,FALSE))</f>
        <v/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7">
        <f>IF(COUNT(T16:AH16)=0,"",SUM(T16:AH16))</f>
        <v/>
      </c>
      <c r="AJ16" s="10">
        <f>IF(AI16="","",AI16/75)</f>
        <v/>
      </c>
      <c r="AK16" s="10">
        <f>IF(AI16="","",SUMPRODUCT(T16:AH16,KPI_Weights!$B$3:$B$17)/5)</f>
        <v/>
      </c>
      <c r="AL16" s="7">
        <f>IF(COUNT(T16:AH16)=0,"",IF(OR(T16&lt;=1,W16&lt;=1,X16&lt;=1,Y16&lt;=1,AB16&lt;=1),"YES","NO"))</f>
        <v/>
      </c>
      <c r="AM16" s="7">
        <f>IF(AK16="","",IF(AND(AK16="NO",AJ16&gt;=0.85),"YES","NO"))</f>
        <v/>
      </c>
      <c r="AN16" s="7">
        <f>IF(AJ16="","",IF(AJ16&gt;=0.90,"Excellent",IF(AJ16&gt;=0.80,"Good",IF(AJ16&gt;=0.70,"Fair","Poor"))))</f>
        <v/>
      </c>
      <c r="AO16" s="12" t="n"/>
      <c r="AP16" s="12" t="n"/>
      <c r="AQ16" s="12" t="n"/>
      <c r="AR16" s="12" t="n"/>
      <c r="AS16" s="12" t="n"/>
      <c r="AT16" s="12" t="n"/>
      <c r="AU16" s="12" t="n"/>
      <c r="AV16" s="11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</row>
    <row r="17">
      <c r="A17" s="13">
        <f>IF(B17="","","INS-"&amp;TEXT(ROW()-3,"000"))</f>
        <v/>
      </c>
      <c r="B17" s="11" t="n"/>
      <c r="C17" s="7">
        <f>IF(B17="","",ISOWEEKNUM(B17))</f>
        <v/>
      </c>
      <c r="D17" s="7">
        <f>IF(B17="","",TEXT(B17,"yyyy-mm"))</f>
        <v/>
      </c>
      <c r="E17" s="12" t="n"/>
      <c r="F17" s="12" t="n"/>
      <c r="G17" s="7">
        <f>IF(OR(E17="",F17=""),"",IF(COUNTIF(Cluster_Master!$I$3:$I$17,E17&amp;"|"&amp;F17)=1,"Valid","Review"))</f>
        <v/>
      </c>
      <c r="H17" s="7">
        <f>IF($G17&lt;&gt;"Valid","",VLOOKUP($E17&amp;"|"&amp;$F17,Cluster_Master!$I$3:$H$17,3,FALSE))</f>
        <v/>
      </c>
      <c r="I17" s="7">
        <f>IF($G17&lt;&gt;"Valid","",VLOOKUP($E17&amp;"|"&amp;$F17,Cluster_Master!$I$3:$H$17,4,FALSE))</f>
        <v/>
      </c>
      <c r="J17" s="7">
        <f>IF($G17&lt;&gt;"Valid","",VLOOKUP($E17&amp;"|"&amp;$F17,Cluster_Master!$I$3:$H$17,5,FALSE))</f>
        <v/>
      </c>
      <c r="K17" s="7">
        <f>IF($G17&lt;&gt;"Valid","",VLOOKUP($E17&amp;"|"&amp;$F17,Cluster_Master!$I$3:$H$17,6,FALSE))</f>
        <v/>
      </c>
      <c r="L17" s="7">
        <f>IF($G17&lt;&gt;"Valid","",VLOOKUP($E17&amp;"|"&amp;$F17,Cluster_Master!$I$3:$H$17,7,FALSE))</f>
        <v/>
      </c>
      <c r="M17" s="7">
        <f>IF($G17&lt;&gt;"Valid","",VLOOKUP($E17&amp;"|"&amp;$F17,Cluster_Master!$I$3:$H$17,8,FALSE))</f>
        <v/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7">
        <f>IF(COUNT(T17:AH17)=0,"",SUM(T17:AH17))</f>
        <v/>
      </c>
      <c r="AJ17" s="10">
        <f>IF(AI17="","",AI17/75)</f>
        <v/>
      </c>
      <c r="AK17" s="10">
        <f>IF(AI17="","",SUMPRODUCT(T17:AH17,KPI_Weights!$B$3:$B$17)/5)</f>
        <v/>
      </c>
      <c r="AL17" s="7">
        <f>IF(COUNT(T17:AH17)=0,"",IF(OR(T17&lt;=1,W17&lt;=1,X17&lt;=1,Y17&lt;=1,AB17&lt;=1),"YES","NO"))</f>
        <v/>
      </c>
      <c r="AM17" s="7">
        <f>IF(AK17="","",IF(AND(AK17="NO",AJ17&gt;=0.85),"YES","NO"))</f>
        <v/>
      </c>
      <c r="AN17" s="7">
        <f>IF(AJ17="","",IF(AJ17&gt;=0.90,"Excellent",IF(AJ17&gt;=0.80,"Good",IF(AJ17&gt;=0.70,"Fair","Poor"))))</f>
        <v/>
      </c>
      <c r="AO17" s="12" t="n"/>
      <c r="AP17" s="12" t="n"/>
      <c r="AQ17" s="12" t="n"/>
      <c r="AR17" s="12" t="n"/>
      <c r="AS17" s="12" t="n"/>
      <c r="AT17" s="12" t="n"/>
      <c r="AU17" s="12" t="n"/>
      <c r="AV17" s="11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</row>
    <row r="18">
      <c r="A18" s="13">
        <f>IF(B18="","","INS-"&amp;TEXT(ROW()-3,"000"))</f>
        <v/>
      </c>
      <c r="B18" s="11" t="n"/>
      <c r="C18" s="7">
        <f>IF(B18="","",ISOWEEKNUM(B18))</f>
        <v/>
      </c>
      <c r="D18" s="7">
        <f>IF(B18="","",TEXT(B18,"yyyy-mm"))</f>
        <v/>
      </c>
      <c r="E18" s="12" t="n"/>
      <c r="F18" s="12" t="n"/>
      <c r="G18" s="7">
        <f>IF(OR(E18="",F18=""),"",IF(COUNTIF(Cluster_Master!$I$3:$I$17,E18&amp;"|"&amp;F18)=1,"Valid","Review"))</f>
        <v/>
      </c>
      <c r="H18" s="7">
        <f>IF($G18&lt;&gt;"Valid","",VLOOKUP($E18&amp;"|"&amp;$F18,Cluster_Master!$I$3:$H$17,3,FALSE))</f>
        <v/>
      </c>
      <c r="I18" s="7">
        <f>IF($G18&lt;&gt;"Valid","",VLOOKUP($E18&amp;"|"&amp;$F18,Cluster_Master!$I$3:$H$17,4,FALSE))</f>
        <v/>
      </c>
      <c r="J18" s="7">
        <f>IF($G18&lt;&gt;"Valid","",VLOOKUP($E18&amp;"|"&amp;$F18,Cluster_Master!$I$3:$H$17,5,FALSE))</f>
        <v/>
      </c>
      <c r="K18" s="7">
        <f>IF($G18&lt;&gt;"Valid","",VLOOKUP($E18&amp;"|"&amp;$F18,Cluster_Master!$I$3:$H$17,6,FALSE))</f>
        <v/>
      </c>
      <c r="L18" s="7">
        <f>IF($G18&lt;&gt;"Valid","",VLOOKUP($E18&amp;"|"&amp;$F18,Cluster_Master!$I$3:$H$17,7,FALSE))</f>
        <v/>
      </c>
      <c r="M18" s="7">
        <f>IF($G18&lt;&gt;"Valid","",VLOOKUP($E18&amp;"|"&amp;$F18,Cluster_Master!$I$3:$H$17,8,FALSE))</f>
        <v/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7">
        <f>IF(COUNT(T18:AH18)=0,"",SUM(T18:AH18))</f>
        <v/>
      </c>
      <c r="AJ18" s="10">
        <f>IF(AI18="","",AI18/75)</f>
        <v/>
      </c>
      <c r="AK18" s="10">
        <f>IF(AI18="","",SUMPRODUCT(T18:AH18,KPI_Weights!$B$3:$B$17)/5)</f>
        <v/>
      </c>
      <c r="AL18" s="7">
        <f>IF(COUNT(T18:AH18)=0,"",IF(OR(T18&lt;=1,W18&lt;=1,X18&lt;=1,Y18&lt;=1,AB18&lt;=1),"YES","NO"))</f>
        <v/>
      </c>
      <c r="AM18" s="7">
        <f>IF(AK18="","",IF(AND(AK18="NO",AJ18&gt;=0.85),"YES","NO"))</f>
        <v/>
      </c>
      <c r="AN18" s="7">
        <f>IF(AJ18="","",IF(AJ18&gt;=0.90,"Excellent",IF(AJ18&gt;=0.80,"Good",IF(AJ18&gt;=0.70,"Fair","Poor"))))</f>
        <v/>
      </c>
      <c r="AO18" s="12" t="n"/>
      <c r="AP18" s="12" t="n"/>
      <c r="AQ18" s="12" t="n"/>
      <c r="AR18" s="12" t="n"/>
      <c r="AS18" s="12" t="n"/>
      <c r="AT18" s="12" t="n"/>
      <c r="AU18" s="12" t="n"/>
      <c r="AV18" s="11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</row>
    <row r="19">
      <c r="A19" s="13">
        <f>IF(B19="","","INS-"&amp;TEXT(ROW()-3,"000"))</f>
        <v/>
      </c>
      <c r="B19" s="11" t="n"/>
      <c r="C19" s="7">
        <f>IF(B19="","",ISOWEEKNUM(B19))</f>
        <v/>
      </c>
      <c r="D19" s="7">
        <f>IF(B19="","",TEXT(B19,"yyyy-mm"))</f>
        <v/>
      </c>
      <c r="E19" s="12" t="n"/>
      <c r="F19" s="12" t="n"/>
      <c r="G19" s="7">
        <f>IF(OR(E19="",F19=""),"",IF(COUNTIF(Cluster_Master!$I$3:$I$17,E19&amp;"|"&amp;F19)=1,"Valid","Review"))</f>
        <v/>
      </c>
      <c r="H19" s="7">
        <f>IF($G19&lt;&gt;"Valid","",VLOOKUP($E19&amp;"|"&amp;$F19,Cluster_Master!$I$3:$H$17,3,FALSE))</f>
        <v/>
      </c>
      <c r="I19" s="7">
        <f>IF($G19&lt;&gt;"Valid","",VLOOKUP($E19&amp;"|"&amp;$F19,Cluster_Master!$I$3:$H$17,4,FALSE))</f>
        <v/>
      </c>
      <c r="J19" s="7">
        <f>IF($G19&lt;&gt;"Valid","",VLOOKUP($E19&amp;"|"&amp;$F19,Cluster_Master!$I$3:$H$17,5,FALSE))</f>
        <v/>
      </c>
      <c r="K19" s="7">
        <f>IF($G19&lt;&gt;"Valid","",VLOOKUP($E19&amp;"|"&amp;$F19,Cluster_Master!$I$3:$H$17,6,FALSE))</f>
        <v/>
      </c>
      <c r="L19" s="7">
        <f>IF($G19&lt;&gt;"Valid","",VLOOKUP($E19&amp;"|"&amp;$F19,Cluster_Master!$I$3:$H$17,7,FALSE))</f>
        <v/>
      </c>
      <c r="M19" s="7">
        <f>IF($G19&lt;&gt;"Valid","",VLOOKUP($E19&amp;"|"&amp;$F19,Cluster_Master!$I$3:$H$17,8,FALSE))</f>
        <v/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7">
        <f>IF(COUNT(T19:AH19)=0,"",SUM(T19:AH19))</f>
        <v/>
      </c>
      <c r="AJ19" s="10">
        <f>IF(AI19="","",AI19/75)</f>
        <v/>
      </c>
      <c r="AK19" s="10">
        <f>IF(AI19="","",SUMPRODUCT(T19:AH19,KPI_Weights!$B$3:$B$17)/5)</f>
        <v/>
      </c>
      <c r="AL19" s="7">
        <f>IF(COUNT(T19:AH19)=0,"",IF(OR(T19&lt;=1,W19&lt;=1,X19&lt;=1,Y19&lt;=1,AB19&lt;=1),"YES","NO"))</f>
        <v/>
      </c>
      <c r="AM19" s="7">
        <f>IF(AK19="","",IF(AND(AK19="NO",AJ19&gt;=0.85),"YES","NO"))</f>
        <v/>
      </c>
      <c r="AN19" s="7">
        <f>IF(AJ19="","",IF(AJ19&gt;=0.90,"Excellent",IF(AJ19&gt;=0.80,"Good",IF(AJ19&gt;=0.70,"Fair","Poor"))))</f>
        <v/>
      </c>
      <c r="AO19" s="12" t="n"/>
      <c r="AP19" s="12" t="n"/>
      <c r="AQ19" s="12" t="n"/>
      <c r="AR19" s="12" t="n"/>
      <c r="AS19" s="12" t="n"/>
      <c r="AT19" s="12" t="n"/>
      <c r="AU19" s="12" t="n"/>
      <c r="AV19" s="11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</row>
    <row r="20">
      <c r="A20" s="7">
        <f>IF(B20="","","INS-"&amp;TEXT(ROW()-3,"000"))</f>
        <v/>
      </c>
      <c r="B20" s="11" t="n"/>
      <c r="C20" s="7">
        <f>IF(B20="","",ISOWEEKNUM(B20))</f>
        <v/>
      </c>
      <c r="D20" s="7">
        <f>IF(B20="","",TEXT(B20,"yyyy-mm"))</f>
        <v/>
      </c>
      <c r="E20" s="12" t="n"/>
      <c r="F20" s="12" t="n"/>
      <c r="G20" s="7">
        <f>IF(OR(E20="",F20=""),"",IF(COUNTIF(Cluster_Master!$I$3:$I$17,E20&amp;"|"&amp;F20)=1,"Valid","Review"))</f>
        <v/>
      </c>
      <c r="H20" s="7">
        <f>IF($G20&lt;&gt;"Valid","",VLOOKUP($E20&amp;"|"&amp;$F20,Cluster_Master!$I$3:$H$17,3,FALSE))</f>
        <v/>
      </c>
      <c r="I20" s="7">
        <f>IF($G20&lt;&gt;"Valid","",VLOOKUP($E20&amp;"|"&amp;$F20,Cluster_Master!$I$3:$H$17,4,FALSE))</f>
        <v/>
      </c>
      <c r="J20" s="7">
        <f>IF($G20&lt;&gt;"Valid","",VLOOKUP($E20&amp;"|"&amp;$F20,Cluster_Master!$I$3:$H$17,5,FALSE))</f>
        <v/>
      </c>
      <c r="K20" s="7">
        <f>IF($G20&lt;&gt;"Valid","",VLOOKUP($E20&amp;"|"&amp;$F20,Cluster_Master!$I$3:$H$17,6,FALSE))</f>
        <v/>
      </c>
      <c r="L20" s="7">
        <f>IF($G20&lt;&gt;"Valid","",VLOOKUP($E20&amp;"|"&amp;$F20,Cluster_Master!$I$3:$H$17,7,FALSE))</f>
        <v/>
      </c>
      <c r="M20" s="7">
        <f>IF($G20&lt;&gt;"Valid","",VLOOKUP($E20&amp;"|"&amp;$F20,Cluster_Master!$I$3:$H$17,8,FALSE))</f>
        <v/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7">
        <f>IF(COUNT(T20:AH20)=0,"",SUM(T20:AH20))</f>
        <v/>
      </c>
      <c r="AJ20" s="10">
        <f>IF(AI20="","",AI20/75)</f>
        <v/>
      </c>
      <c r="AK20" s="10">
        <f>IF(AI20="","",SUMPRODUCT(T20:AH20,KPI_Weights!$B$3:$B$17)/5)</f>
        <v/>
      </c>
      <c r="AL20" s="7">
        <f>IF(COUNT(T20:AH20)=0,"",IF(OR(T20&lt;=1,W20&lt;=1,X20&lt;=1,Y20&lt;=1,AB20&lt;=1),"YES","NO"))</f>
        <v/>
      </c>
      <c r="AM20" s="7">
        <f>IF(AK20="","",IF(AND(AK20="NO",AJ20&gt;=0.85),"YES","NO"))</f>
        <v/>
      </c>
      <c r="AN20" s="7">
        <f>IF(AJ20="","",IF(AJ20&gt;=0.90,"Excellent",IF(AJ20&gt;=0.80,"Good",IF(AJ20&gt;=0.70,"Fair","Poor"))))</f>
        <v/>
      </c>
      <c r="AO20" s="12" t="n"/>
      <c r="AP20" s="12" t="n"/>
      <c r="AQ20" s="12" t="n"/>
      <c r="AR20" s="12" t="n"/>
      <c r="AS20" s="12" t="n"/>
      <c r="AT20" s="12" t="n"/>
      <c r="AU20" s="12" t="n"/>
      <c r="AV20" s="11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</row>
    <row r="21">
      <c r="A21" s="7">
        <f>IF(B21="","","INS-"&amp;TEXT(ROW()-3,"000"))</f>
        <v/>
      </c>
      <c r="B21" s="11" t="n"/>
      <c r="C21" s="7">
        <f>IF(B21="","",ISOWEEKNUM(B21))</f>
        <v/>
      </c>
      <c r="D21" s="7">
        <f>IF(B21="","",TEXT(B21,"yyyy-mm"))</f>
        <v/>
      </c>
      <c r="E21" s="12" t="n"/>
      <c r="F21" s="12" t="n"/>
      <c r="G21" s="7">
        <f>IF(OR(E21="",F21=""),"",IF(COUNTIF(Cluster_Master!$I$3:$I$17,E21&amp;"|"&amp;F21)=1,"Valid","Review"))</f>
        <v/>
      </c>
      <c r="H21" s="7">
        <f>IF($G21&lt;&gt;"Valid","",VLOOKUP($E21&amp;"|"&amp;$F21,Cluster_Master!$I$3:$H$17,3,FALSE))</f>
        <v/>
      </c>
      <c r="I21" s="7">
        <f>IF($G21&lt;&gt;"Valid","",VLOOKUP($E21&amp;"|"&amp;$F21,Cluster_Master!$I$3:$H$17,4,FALSE))</f>
        <v/>
      </c>
      <c r="J21" s="7">
        <f>IF($G21&lt;&gt;"Valid","",VLOOKUP($E21&amp;"|"&amp;$F21,Cluster_Master!$I$3:$H$17,5,FALSE))</f>
        <v/>
      </c>
      <c r="K21" s="7">
        <f>IF($G21&lt;&gt;"Valid","",VLOOKUP($E21&amp;"|"&amp;$F21,Cluster_Master!$I$3:$H$17,6,FALSE))</f>
        <v/>
      </c>
      <c r="L21" s="7">
        <f>IF($G21&lt;&gt;"Valid","",VLOOKUP($E21&amp;"|"&amp;$F21,Cluster_Master!$I$3:$H$17,7,FALSE))</f>
        <v/>
      </c>
      <c r="M21" s="7">
        <f>IF($G21&lt;&gt;"Valid","",VLOOKUP($E21&amp;"|"&amp;$F21,Cluster_Master!$I$3:$H$17,8,FALSE))</f>
        <v/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7">
        <f>IF(COUNT(T21:AH21)=0,"",SUM(T21:AH21))</f>
        <v/>
      </c>
      <c r="AJ21" s="10">
        <f>IF(AI21="","",AI21/75)</f>
        <v/>
      </c>
      <c r="AK21" s="10">
        <f>IF(AI21="","",SUMPRODUCT(T21:AH21,KPI_Weights!$B$3:$B$17)/5)</f>
        <v/>
      </c>
      <c r="AL21" s="7">
        <f>IF(COUNT(T21:AH21)=0,"",IF(OR(T21&lt;=1,W21&lt;=1,X21&lt;=1,Y21&lt;=1,AB21&lt;=1),"YES","NO"))</f>
        <v/>
      </c>
      <c r="AM21" s="7">
        <f>IF(AK21="","",IF(AND(AK21="NO",AJ21&gt;=0.85),"YES","NO"))</f>
        <v/>
      </c>
      <c r="AN21" s="7">
        <f>IF(AJ21="","",IF(AJ21&gt;=0.90,"Excellent",IF(AJ21&gt;=0.80,"Good",IF(AJ21&gt;=0.70,"Fair","Poor"))))</f>
        <v/>
      </c>
      <c r="AO21" s="12" t="n"/>
      <c r="AP21" s="12" t="n"/>
      <c r="AQ21" s="12" t="n"/>
      <c r="AR21" s="12" t="n"/>
      <c r="AS21" s="12" t="n"/>
      <c r="AT21" s="12" t="n"/>
      <c r="AU21" s="12" t="n"/>
      <c r="AV21" s="11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</row>
    <row r="22">
      <c r="A22" s="7">
        <f>IF(B22="","","INS-"&amp;TEXT(ROW()-3,"000"))</f>
        <v/>
      </c>
      <c r="B22" s="11" t="n"/>
      <c r="C22" s="7">
        <f>IF(B22="","",ISOWEEKNUM(B22))</f>
        <v/>
      </c>
      <c r="D22" s="7">
        <f>IF(B22="","",TEXT(B22,"yyyy-mm"))</f>
        <v/>
      </c>
      <c r="E22" s="12" t="n"/>
      <c r="F22" s="12" t="n"/>
      <c r="G22" s="7">
        <f>IF(OR(E22="",F22=""),"",IF(COUNTIF(Cluster_Master!$I$3:$I$17,E22&amp;"|"&amp;F22)=1,"Valid","Review"))</f>
        <v/>
      </c>
      <c r="H22" s="7">
        <f>IF($G22&lt;&gt;"Valid","",VLOOKUP($E22&amp;"|"&amp;$F22,Cluster_Master!$I$3:$H$17,3,FALSE))</f>
        <v/>
      </c>
      <c r="I22" s="7">
        <f>IF($G22&lt;&gt;"Valid","",VLOOKUP($E22&amp;"|"&amp;$F22,Cluster_Master!$I$3:$H$17,4,FALSE))</f>
        <v/>
      </c>
      <c r="J22" s="7">
        <f>IF($G22&lt;&gt;"Valid","",VLOOKUP($E22&amp;"|"&amp;$F22,Cluster_Master!$I$3:$H$17,5,FALSE))</f>
        <v/>
      </c>
      <c r="K22" s="7">
        <f>IF($G22&lt;&gt;"Valid","",VLOOKUP($E22&amp;"|"&amp;$F22,Cluster_Master!$I$3:$H$17,6,FALSE))</f>
        <v/>
      </c>
      <c r="L22" s="7">
        <f>IF($G22&lt;&gt;"Valid","",VLOOKUP($E22&amp;"|"&amp;$F22,Cluster_Master!$I$3:$H$17,7,FALSE))</f>
        <v/>
      </c>
      <c r="M22" s="7">
        <f>IF($G22&lt;&gt;"Valid","",VLOOKUP($E22&amp;"|"&amp;$F22,Cluster_Master!$I$3:$H$17,8,FALSE))</f>
        <v/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7">
        <f>IF(COUNT(T22:AH22)=0,"",SUM(T22:AH22))</f>
        <v/>
      </c>
      <c r="AJ22" s="10">
        <f>IF(AI22="","",AI22/75)</f>
        <v/>
      </c>
      <c r="AK22" s="10">
        <f>IF(AI22="","",SUMPRODUCT(T22:AH22,KPI_Weights!$B$3:$B$17)/5)</f>
        <v/>
      </c>
      <c r="AL22" s="7">
        <f>IF(COUNT(T22:AH22)=0,"",IF(OR(T22&lt;=1,W22&lt;=1,X22&lt;=1,Y22&lt;=1,AB22&lt;=1),"YES","NO"))</f>
        <v/>
      </c>
      <c r="AM22" s="7">
        <f>IF(AK22="","",IF(AND(AK22="NO",AJ22&gt;=0.85),"YES","NO"))</f>
        <v/>
      </c>
      <c r="AN22" s="7">
        <f>IF(AJ22="","",IF(AJ22&gt;=0.90,"Excellent",IF(AJ22&gt;=0.80,"Good",IF(AJ22&gt;=0.70,"Fair","Poor"))))</f>
        <v/>
      </c>
      <c r="AO22" s="12" t="n"/>
      <c r="AP22" s="12" t="n"/>
      <c r="AQ22" s="12" t="n"/>
      <c r="AR22" s="12" t="n"/>
      <c r="AS22" s="12" t="n"/>
      <c r="AT22" s="12" t="n"/>
      <c r="AU22" s="12" t="n"/>
      <c r="AV22" s="11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</row>
    <row r="23">
      <c r="A23" s="7">
        <f>IF(B23="","","INS-"&amp;TEXT(ROW()-3,"000"))</f>
        <v/>
      </c>
      <c r="B23" s="11" t="n"/>
      <c r="C23" s="7">
        <f>IF(B23="","",ISOWEEKNUM(B23))</f>
        <v/>
      </c>
      <c r="D23" s="7">
        <f>IF(B23="","",TEXT(B23,"yyyy-mm"))</f>
        <v/>
      </c>
      <c r="E23" s="12" t="n"/>
      <c r="F23" s="12" t="n"/>
      <c r="G23" s="7">
        <f>IF(OR(E23="",F23=""),"",IF(COUNTIF(Cluster_Master!$I$3:$I$17,E23&amp;"|"&amp;F23)=1,"Valid","Review"))</f>
        <v/>
      </c>
      <c r="H23" s="7">
        <f>IF($G23&lt;&gt;"Valid","",VLOOKUP($E23&amp;"|"&amp;$F23,Cluster_Master!$I$3:$H$17,3,FALSE))</f>
        <v/>
      </c>
      <c r="I23" s="7">
        <f>IF($G23&lt;&gt;"Valid","",VLOOKUP($E23&amp;"|"&amp;$F23,Cluster_Master!$I$3:$H$17,4,FALSE))</f>
        <v/>
      </c>
      <c r="J23" s="7">
        <f>IF($G23&lt;&gt;"Valid","",VLOOKUP($E23&amp;"|"&amp;$F23,Cluster_Master!$I$3:$H$17,5,FALSE))</f>
        <v/>
      </c>
      <c r="K23" s="7">
        <f>IF($G23&lt;&gt;"Valid","",VLOOKUP($E23&amp;"|"&amp;$F23,Cluster_Master!$I$3:$H$17,6,FALSE))</f>
        <v/>
      </c>
      <c r="L23" s="7">
        <f>IF($G23&lt;&gt;"Valid","",VLOOKUP($E23&amp;"|"&amp;$F23,Cluster_Master!$I$3:$H$17,7,FALSE))</f>
        <v/>
      </c>
      <c r="M23" s="7">
        <f>IF($G23&lt;&gt;"Valid","",VLOOKUP($E23&amp;"|"&amp;$F23,Cluster_Master!$I$3:$H$17,8,FALSE))</f>
        <v/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7">
        <f>IF(COUNT(T23:AH23)=0,"",SUM(T23:AH23))</f>
        <v/>
      </c>
      <c r="AJ23" s="10">
        <f>IF(AI23="","",AI23/75)</f>
        <v/>
      </c>
      <c r="AK23" s="10">
        <f>IF(AI23="","",SUMPRODUCT(T23:AH23,KPI_Weights!$B$3:$B$17)/5)</f>
        <v/>
      </c>
      <c r="AL23" s="7">
        <f>IF(COUNT(T23:AH23)=0,"",IF(OR(T23&lt;=1,W23&lt;=1,X23&lt;=1,Y23&lt;=1,AB23&lt;=1),"YES","NO"))</f>
        <v/>
      </c>
      <c r="AM23" s="7">
        <f>IF(AK23="","",IF(AND(AK23="NO",AJ23&gt;=0.85),"YES","NO"))</f>
        <v/>
      </c>
      <c r="AN23" s="7">
        <f>IF(AJ23="","",IF(AJ23&gt;=0.90,"Excellent",IF(AJ23&gt;=0.80,"Good",IF(AJ23&gt;=0.70,"Fair","Poor"))))</f>
        <v/>
      </c>
      <c r="AO23" s="12" t="n"/>
      <c r="AP23" s="12" t="n"/>
      <c r="AQ23" s="12" t="n"/>
      <c r="AR23" s="12" t="n"/>
      <c r="AS23" s="12" t="n"/>
      <c r="AT23" s="12" t="n"/>
      <c r="AU23" s="12" t="n"/>
      <c r="AV23" s="11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</row>
    <row r="24">
      <c r="A24" s="7">
        <f>IF(B24="","","INS-"&amp;TEXT(ROW()-3,"000"))</f>
        <v/>
      </c>
      <c r="B24" s="11" t="n"/>
      <c r="C24" s="7">
        <f>IF(B24="","",ISOWEEKNUM(B24))</f>
        <v/>
      </c>
      <c r="D24" s="7">
        <f>IF(B24="","",TEXT(B24,"yyyy-mm"))</f>
        <v/>
      </c>
      <c r="E24" s="12" t="n"/>
      <c r="F24" s="12" t="n"/>
      <c r="G24" s="7">
        <f>IF(OR(E24="",F24=""),"",IF(COUNTIF(Cluster_Master!$I$3:$I$17,E24&amp;"|"&amp;F24)=1,"Valid","Review"))</f>
        <v/>
      </c>
      <c r="H24" s="7">
        <f>IF($G24&lt;&gt;"Valid","",VLOOKUP($E24&amp;"|"&amp;$F24,Cluster_Master!$I$3:$H$17,3,FALSE))</f>
        <v/>
      </c>
      <c r="I24" s="7">
        <f>IF($G24&lt;&gt;"Valid","",VLOOKUP($E24&amp;"|"&amp;$F24,Cluster_Master!$I$3:$H$17,4,FALSE))</f>
        <v/>
      </c>
      <c r="J24" s="7">
        <f>IF($G24&lt;&gt;"Valid","",VLOOKUP($E24&amp;"|"&amp;$F24,Cluster_Master!$I$3:$H$17,5,FALSE))</f>
        <v/>
      </c>
      <c r="K24" s="7">
        <f>IF($G24&lt;&gt;"Valid","",VLOOKUP($E24&amp;"|"&amp;$F24,Cluster_Master!$I$3:$H$17,6,FALSE))</f>
        <v/>
      </c>
      <c r="L24" s="7">
        <f>IF($G24&lt;&gt;"Valid","",VLOOKUP($E24&amp;"|"&amp;$F24,Cluster_Master!$I$3:$H$17,7,FALSE))</f>
        <v/>
      </c>
      <c r="M24" s="7">
        <f>IF($G24&lt;&gt;"Valid","",VLOOKUP($E24&amp;"|"&amp;$F24,Cluster_Master!$I$3:$H$17,8,FALSE))</f>
        <v/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7">
        <f>IF(COUNT(T24:AH24)=0,"",SUM(T24:AH24))</f>
        <v/>
      </c>
      <c r="AJ24" s="10">
        <f>IF(AI24="","",AI24/75)</f>
        <v/>
      </c>
      <c r="AK24" s="10">
        <f>IF(AI24="","",SUMPRODUCT(T24:AH24,KPI_Weights!$B$3:$B$17)/5)</f>
        <v/>
      </c>
      <c r="AL24" s="7">
        <f>IF(COUNT(T24:AH24)=0,"",IF(OR(T24&lt;=1,W24&lt;=1,X24&lt;=1,Y24&lt;=1,AB24&lt;=1),"YES","NO"))</f>
        <v/>
      </c>
      <c r="AM24" s="7">
        <f>IF(AK24="","",IF(AND(AK24="NO",AJ24&gt;=0.85),"YES","NO"))</f>
        <v/>
      </c>
      <c r="AN24" s="7">
        <f>IF(AJ24="","",IF(AJ24&gt;=0.90,"Excellent",IF(AJ24&gt;=0.80,"Good",IF(AJ24&gt;=0.70,"Fair","Poor"))))</f>
        <v/>
      </c>
      <c r="AO24" s="12" t="n"/>
      <c r="AP24" s="12" t="n"/>
      <c r="AQ24" s="12" t="n"/>
      <c r="AR24" s="12" t="n"/>
      <c r="AS24" s="12" t="n"/>
      <c r="AT24" s="12" t="n"/>
      <c r="AU24" s="12" t="n"/>
      <c r="AV24" s="11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</row>
    <row r="25">
      <c r="A25" s="7">
        <f>IF(B25="","","INS-"&amp;TEXT(ROW()-3,"000"))</f>
        <v/>
      </c>
      <c r="B25" s="11" t="n"/>
      <c r="C25" s="7">
        <f>IF(B25="","",ISOWEEKNUM(B25))</f>
        <v/>
      </c>
      <c r="D25" s="7">
        <f>IF(B25="","",TEXT(B25,"yyyy-mm"))</f>
        <v/>
      </c>
      <c r="E25" s="12" t="n"/>
      <c r="F25" s="12" t="n"/>
      <c r="G25" s="7">
        <f>IF(OR(E25="",F25=""),"",IF(COUNTIF(Cluster_Master!$I$3:$I$17,E25&amp;"|"&amp;F25)=1,"Valid","Review"))</f>
        <v/>
      </c>
      <c r="H25" s="7">
        <f>IF($G25&lt;&gt;"Valid","",VLOOKUP($E25&amp;"|"&amp;$F25,Cluster_Master!$I$3:$H$17,3,FALSE))</f>
        <v/>
      </c>
      <c r="I25" s="7">
        <f>IF($G25&lt;&gt;"Valid","",VLOOKUP($E25&amp;"|"&amp;$F25,Cluster_Master!$I$3:$H$17,4,FALSE))</f>
        <v/>
      </c>
      <c r="J25" s="7">
        <f>IF($G25&lt;&gt;"Valid","",VLOOKUP($E25&amp;"|"&amp;$F25,Cluster_Master!$I$3:$H$17,5,FALSE))</f>
        <v/>
      </c>
      <c r="K25" s="7">
        <f>IF($G25&lt;&gt;"Valid","",VLOOKUP($E25&amp;"|"&amp;$F25,Cluster_Master!$I$3:$H$17,6,FALSE))</f>
        <v/>
      </c>
      <c r="L25" s="7">
        <f>IF($G25&lt;&gt;"Valid","",VLOOKUP($E25&amp;"|"&amp;$F25,Cluster_Master!$I$3:$H$17,7,FALSE))</f>
        <v/>
      </c>
      <c r="M25" s="7">
        <f>IF($G25&lt;&gt;"Valid","",VLOOKUP($E25&amp;"|"&amp;$F25,Cluster_Master!$I$3:$H$17,8,FALSE))</f>
        <v/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7">
        <f>IF(COUNT(T25:AH25)=0,"",SUM(T25:AH25))</f>
        <v/>
      </c>
      <c r="AJ25" s="10">
        <f>IF(AI25="","",AI25/75)</f>
        <v/>
      </c>
      <c r="AK25" s="10">
        <f>IF(AI25="","",SUMPRODUCT(T25:AH25,KPI_Weights!$B$3:$B$17)/5)</f>
        <v/>
      </c>
      <c r="AL25" s="7">
        <f>IF(COUNT(T25:AH25)=0,"",IF(OR(T25&lt;=1,W25&lt;=1,X25&lt;=1,Y25&lt;=1,AB25&lt;=1),"YES","NO"))</f>
        <v/>
      </c>
      <c r="AM25" s="7">
        <f>IF(AK25="","",IF(AND(AK25="NO",AJ25&gt;=0.85),"YES","NO"))</f>
        <v/>
      </c>
      <c r="AN25" s="7">
        <f>IF(AJ25="","",IF(AJ25&gt;=0.90,"Excellent",IF(AJ25&gt;=0.80,"Good",IF(AJ25&gt;=0.70,"Fair","Poor"))))</f>
        <v/>
      </c>
      <c r="AO25" s="12" t="n"/>
      <c r="AP25" s="12" t="n"/>
      <c r="AQ25" s="12" t="n"/>
      <c r="AR25" s="12" t="n"/>
      <c r="AS25" s="12" t="n"/>
      <c r="AT25" s="12" t="n"/>
      <c r="AU25" s="12" t="n"/>
      <c r="AV25" s="11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</row>
    <row r="26">
      <c r="A26" s="7">
        <f>IF(B26="","","INS-"&amp;TEXT(ROW()-3,"000"))</f>
        <v/>
      </c>
      <c r="B26" s="11" t="n"/>
      <c r="C26" s="7">
        <f>IF(B26="","",ISOWEEKNUM(B26))</f>
        <v/>
      </c>
      <c r="D26" s="7">
        <f>IF(B26="","",TEXT(B26,"yyyy-mm"))</f>
        <v/>
      </c>
      <c r="E26" s="12" t="n"/>
      <c r="F26" s="12" t="n"/>
      <c r="G26" s="7">
        <f>IF(OR(E26="",F26=""),"",IF(COUNTIF(Cluster_Master!$I$3:$I$17,E26&amp;"|"&amp;F26)=1,"Valid","Review"))</f>
        <v/>
      </c>
      <c r="H26" s="7">
        <f>IF($G26&lt;&gt;"Valid","",VLOOKUP($E26&amp;"|"&amp;$F26,Cluster_Master!$I$3:$H$17,3,FALSE))</f>
        <v/>
      </c>
      <c r="I26" s="7">
        <f>IF($G26&lt;&gt;"Valid","",VLOOKUP($E26&amp;"|"&amp;$F26,Cluster_Master!$I$3:$H$17,4,FALSE))</f>
        <v/>
      </c>
      <c r="J26" s="7">
        <f>IF($G26&lt;&gt;"Valid","",VLOOKUP($E26&amp;"|"&amp;$F26,Cluster_Master!$I$3:$H$17,5,FALSE))</f>
        <v/>
      </c>
      <c r="K26" s="7">
        <f>IF($G26&lt;&gt;"Valid","",VLOOKUP($E26&amp;"|"&amp;$F26,Cluster_Master!$I$3:$H$17,6,FALSE))</f>
        <v/>
      </c>
      <c r="L26" s="7">
        <f>IF($G26&lt;&gt;"Valid","",VLOOKUP($E26&amp;"|"&amp;$F26,Cluster_Master!$I$3:$H$17,7,FALSE))</f>
        <v/>
      </c>
      <c r="M26" s="7">
        <f>IF($G26&lt;&gt;"Valid","",VLOOKUP($E26&amp;"|"&amp;$F26,Cluster_Master!$I$3:$H$17,8,FALSE))</f>
        <v/>
      </c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7">
        <f>IF(COUNT(T26:AH26)=0,"",SUM(T26:AH26))</f>
        <v/>
      </c>
      <c r="AJ26" s="10">
        <f>IF(AI26="","",AI26/75)</f>
        <v/>
      </c>
      <c r="AK26" s="10">
        <f>IF(AI26="","",SUMPRODUCT(T26:AH26,KPI_Weights!$B$3:$B$17)/5)</f>
        <v/>
      </c>
      <c r="AL26" s="7">
        <f>IF(COUNT(T26:AH26)=0,"",IF(OR(T26&lt;=1,W26&lt;=1,X26&lt;=1,Y26&lt;=1,AB26&lt;=1),"YES","NO"))</f>
        <v/>
      </c>
      <c r="AM26" s="7">
        <f>IF(AK26="","",IF(AND(AK26="NO",AJ26&gt;=0.85),"YES","NO"))</f>
        <v/>
      </c>
      <c r="AN26" s="7">
        <f>IF(AJ26="","",IF(AJ26&gt;=0.90,"Excellent",IF(AJ26&gt;=0.80,"Good",IF(AJ26&gt;=0.70,"Fair","Poor"))))</f>
        <v/>
      </c>
      <c r="AO26" s="12" t="n"/>
      <c r="AP26" s="12" t="n"/>
      <c r="AQ26" s="12" t="n"/>
      <c r="AR26" s="12" t="n"/>
      <c r="AS26" s="12" t="n"/>
      <c r="AT26" s="12" t="n"/>
      <c r="AU26" s="12" t="n"/>
      <c r="AV26" s="11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</row>
    <row r="27">
      <c r="A27" s="7">
        <f>IF(B27="","","INS-"&amp;TEXT(ROW()-3,"000"))</f>
        <v/>
      </c>
      <c r="B27" s="11" t="n"/>
      <c r="C27" s="7">
        <f>IF(B27="","",ISOWEEKNUM(B27))</f>
        <v/>
      </c>
      <c r="D27" s="7">
        <f>IF(B27="","",TEXT(B27,"yyyy-mm"))</f>
        <v/>
      </c>
      <c r="E27" s="12" t="n"/>
      <c r="F27" s="12" t="n"/>
      <c r="G27" s="7">
        <f>IF(OR(E27="",F27=""),"",IF(COUNTIF(Cluster_Master!$I$3:$I$17,E27&amp;"|"&amp;F27)=1,"Valid","Review"))</f>
        <v/>
      </c>
      <c r="H27" s="7">
        <f>IF($G27&lt;&gt;"Valid","",VLOOKUP($E27&amp;"|"&amp;$F27,Cluster_Master!$I$3:$H$17,3,FALSE))</f>
        <v/>
      </c>
      <c r="I27" s="7">
        <f>IF($G27&lt;&gt;"Valid","",VLOOKUP($E27&amp;"|"&amp;$F27,Cluster_Master!$I$3:$H$17,4,FALSE))</f>
        <v/>
      </c>
      <c r="J27" s="7">
        <f>IF($G27&lt;&gt;"Valid","",VLOOKUP($E27&amp;"|"&amp;$F27,Cluster_Master!$I$3:$H$17,5,FALSE))</f>
        <v/>
      </c>
      <c r="K27" s="7">
        <f>IF($G27&lt;&gt;"Valid","",VLOOKUP($E27&amp;"|"&amp;$F27,Cluster_Master!$I$3:$H$17,6,FALSE))</f>
        <v/>
      </c>
      <c r="L27" s="7">
        <f>IF($G27&lt;&gt;"Valid","",VLOOKUP($E27&amp;"|"&amp;$F27,Cluster_Master!$I$3:$H$17,7,FALSE))</f>
        <v/>
      </c>
      <c r="M27" s="7">
        <f>IF($G27&lt;&gt;"Valid","",VLOOKUP($E27&amp;"|"&amp;$F27,Cluster_Master!$I$3:$H$17,8,FALSE))</f>
        <v/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7">
        <f>IF(COUNT(T27:AH27)=0,"",SUM(T27:AH27))</f>
        <v/>
      </c>
      <c r="AJ27" s="10">
        <f>IF(AI27="","",AI27/75)</f>
        <v/>
      </c>
      <c r="AK27" s="10">
        <f>IF(AI27="","",SUMPRODUCT(T27:AH27,KPI_Weights!$B$3:$B$17)/5)</f>
        <v/>
      </c>
      <c r="AL27" s="7">
        <f>IF(COUNT(T27:AH27)=0,"",IF(OR(T27&lt;=1,W27&lt;=1,X27&lt;=1,Y27&lt;=1,AB27&lt;=1),"YES","NO"))</f>
        <v/>
      </c>
      <c r="AM27" s="7">
        <f>IF(AK27="","",IF(AND(AK27="NO",AJ27&gt;=0.85),"YES","NO"))</f>
        <v/>
      </c>
      <c r="AN27" s="7">
        <f>IF(AJ27="","",IF(AJ27&gt;=0.90,"Excellent",IF(AJ27&gt;=0.80,"Good",IF(AJ27&gt;=0.70,"Fair","Poor"))))</f>
        <v/>
      </c>
      <c r="AO27" s="12" t="n"/>
      <c r="AP27" s="12" t="n"/>
      <c r="AQ27" s="12" t="n"/>
      <c r="AR27" s="12" t="n"/>
      <c r="AS27" s="12" t="n"/>
      <c r="AT27" s="12" t="n"/>
      <c r="AU27" s="12" t="n"/>
      <c r="AV27" s="11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</row>
    <row r="28">
      <c r="A28" s="7">
        <f>IF(B28="","","INS-"&amp;TEXT(ROW()-3,"000"))</f>
        <v/>
      </c>
      <c r="B28" s="11" t="n"/>
      <c r="C28" s="7">
        <f>IF(B28="","",ISOWEEKNUM(B28))</f>
        <v/>
      </c>
      <c r="D28" s="7">
        <f>IF(B28="","",TEXT(B28,"yyyy-mm"))</f>
        <v/>
      </c>
      <c r="E28" s="12" t="n"/>
      <c r="F28" s="12" t="n"/>
      <c r="G28" s="7">
        <f>IF(OR(E28="",F28=""),"",IF(COUNTIF(Cluster_Master!$I$3:$I$17,E28&amp;"|"&amp;F28)=1,"Valid","Review"))</f>
        <v/>
      </c>
      <c r="H28" s="7">
        <f>IF($G28&lt;&gt;"Valid","",VLOOKUP($E28&amp;"|"&amp;$F28,Cluster_Master!$I$3:$H$17,3,FALSE))</f>
        <v/>
      </c>
      <c r="I28" s="7">
        <f>IF($G28&lt;&gt;"Valid","",VLOOKUP($E28&amp;"|"&amp;$F28,Cluster_Master!$I$3:$H$17,4,FALSE))</f>
        <v/>
      </c>
      <c r="J28" s="7">
        <f>IF($G28&lt;&gt;"Valid","",VLOOKUP($E28&amp;"|"&amp;$F28,Cluster_Master!$I$3:$H$17,5,FALSE))</f>
        <v/>
      </c>
      <c r="K28" s="7">
        <f>IF($G28&lt;&gt;"Valid","",VLOOKUP($E28&amp;"|"&amp;$F28,Cluster_Master!$I$3:$H$17,6,FALSE))</f>
        <v/>
      </c>
      <c r="L28" s="7">
        <f>IF($G28&lt;&gt;"Valid","",VLOOKUP($E28&amp;"|"&amp;$F28,Cluster_Master!$I$3:$H$17,7,FALSE))</f>
        <v/>
      </c>
      <c r="M28" s="7">
        <f>IF($G28&lt;&gt;"Valid","",VLOOKUP($E28&amp;"|"&amp;$F28,Cluster_Master!$I$3:$H$17,8,FALSE))</f>
        <v/>
      </c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7">
        <f>IF(COUNT(T28:AH28)=0,"",SUM(T28:AH28))</f>
        <v/>
      </c>
      <c r="AJ28" s="10">
        <f>IF(AI28="","",AI28/75)</f>
        <v/>
      </c>
      <c r="AK28" s="10">
        <f>IF(AI28="","",SUMPRODUCT(T28:AH28,KPI_Weights!$B$3:$B$17)/5)</f>
        <v/>
      </c>
      <c r="AL28" s="7">
        <f>IF(COUNT(T28:AH28)=0,"",IF(OR(T28&lt;=1,W28&lt;=1,X28&lt;=1,Y28&lt;=1,AB28&lt;=1),"YES","NO"))</f>
        <v/>
      </c>
      <c r="AM28" s="7">
        <f>IF(AK28="","",IF(AND(AK28="NO",AJ28&gt;=0.85),"YES","NO"))</f>
        <v/>
      </c>
      <c r="AN28" s="7">
        <f>IF(AJ28="","",IF(AJ28&gt;=0.90,"Excellent",IF(AJ28&gt;=0.80,"Good",IF(AJ28&gt;=0.70,"Fair","Poor"))))</f>
        <v/>
      </c>
      <c r="AO28" s="12" t="n"/>
      <c r="AP28" s="12" t="n"/>
      <c r="AQ28" s="12" t="n"/>
      <c r="AR28" s="12" t="n"/>
      <c r="AS28" s="12" t="n"/>
      <c r="AT28" s="12" t="n"/>
      <c r="AU28" s="12" t="n"/>
      <c r="AV28" s="11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</row>
    <row r="29">
      <c r="A29" s="7">
        <f>IF(B29="","","INS-"&amp;TEXT(ROW()-3,"000"))</f>
        <v/>
      </c>
      <c r="B29" s="11" t="n"/>
      <c r="C29" s="7">
        <f>IF(B29="","",ISOWEEKNUM(B29))</f>
        <v/>
      </c>
      <c r="D29" s="7">
        <f>IF(B29="","",TEXT(B29,"yyyy-mm"))</f>
        <v/>
      </c>
      <c r="E29" s="12" t="n"/>
      <c r="F29" s="12" t="n"/>
      <c r="G29" s="7">
        <f>IF(OR(E29="",F29=""),"",IF(COUNTIF(Cluster_Master!$I$3:$I$17,E29&amp;"|"&amp;F29)=1,"Valid","Review"))</f>
        <v/>
      </c>
      <c r="H29" s="7">
        <f>IF($G29&lt;&gt;"Valid","",VLOOKUP($E29&amp;"|"&amp;$F29,Cluster_Master!$I$3:$H$17,3,FALSE))</f>
        <v/>
      </c>
      <c r="I29" s="7">
        <f>IF($G29&lt;&gt;"Valid","",VLOOKUP($E29&amp;"|"&amp;$F29,Cluster_Master!$I$3:$H$17,4,FALSE))</f>
        <v/>
      </c>
      <c r="J29" s="7">
        <f>IF($G29&lt;&gt;"Valid","",VLOOKUP($E29&amp;"|"&amp;$F29,Cluster_Master!$I$3:$H$17,5,FALSE))</f>
        <v/>
      </c>
      <c r="K29" s="7">
        <f>IF($G29&lt;&gt;"Valid","",VLOOKUP($E29&amp;"|"&amp;$F29,Cluster_Master!$I$3:$H$17,6,FALSE))</f>
        <v/>
      </c>
      <c r="L29" s="7">
        <f>IF($G29&lt;&gt;"Valid","",VLOOKUP($E29&amp;"|"&amp;$F29,Cluster_Master!$I$3:$H$17,7,FALSE))</f>
        <v/>
      </c>
      <c r="M29" s="7">
        <f>IF($G29&lt;&gt;"Valid","",VLOOKUP($E29&amp;"|"&amp;$F29,Cluster_Master!$I$3:$H$17,8,FALSE))</f>
        <v/>
      </c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7">
        <f>IF(COUNT(T29:AH29)=0,"",SUM(T29:AH29))</f>
        <v/>
      </c>
      <c r="AJ29" s="10">
        <f>IF(AI29="","",AI29/75)</f>
        <v/>
      </c>
      <c r="AK29" s="10">
        <f>IF(AI29="","",SUMPRODUCT(T29:AH29,KPI_Weights!$B$3:$B$17)/5)</f>
        <v/>
      </c>
      <c r="AL29" s="7">
        <f>IF(COUNT(T29:AH29)=0,"",IF(OR(T29&lt;=1,W29&lt;=1,X29&lt;=1,Y29&lt;=1,AB29&lt;=1),"YES","NO"))</f>
        <v/>
      </c>
      <c r="AM29" s="7">
        <f>IF(AK29="","",IF(AND(AK29="NO",AJ29&gt;=0.85),"YES","NO"))</f>
        <v/>
      </c>
      <c r="AN29" s="7">
        <f>IF(AJ29="","",IF(AJ29&gt;=0.90,"Excellent",IF(AJ29&gt;=0.80,"Good",IF(AJ29&gt;=0.70,"Fair","Poor"))))</f>
        <v/>
      </c>
      <c r="AO29" s="12" t="n"/>
      <c r="AP29" s="12" t="n"/>
      <c r="AQ29" s="12" t="n"/>
      <c r="AR29" s="12" t="n"/>
      <c r="AS29" s="12" t="n"/>
      <c r="AT29" s="12" t="n"/>
      <c r="AU29" s="12" t="n"/>
      <c r="AV29" s="11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</row>
    <row r="30">
      <c r="A30" s="7">
        <f>IF(B30="","","INS-"&amp;TEXT(ROW()-3,"000"))</f>
        <v/>
      </c>
      <c r="B30" s="11" t="n"/>
      <c r="C30" s="7">
        <f>IF(B30="","",ISOWEEKNUM(B30))</f>
        <v/>
      </c>
      <c r="D30" s="7">
        <f>IF(B30="","",TEXT(B30,"yyyy-mm"))</f>
        <v/>
      </c>
      <c r="E30" s="12" t="n"/>
      <c r="F30" s="12" t="n"/>
      <c r="G30" s="7">
        <f>IF(OR(E30="",F30=""),"",IF(COUNTIF(Cluster_Master!$I$3:$I$17,E30&amp;"|"&amp;F30)=1,"Valid","Review"))</f>
        <v/>
      </c>
      <c r="H30" s="7">
        <f>IF($G30&lt;&gt;"Valid","",VLOOKUP($E30&amp;"|"&amp;$F30,Cluster_Master!$I$3:$H$17,3,FALSE))</f>
        <v/>
      </c>
      <c r="I30" s="7">
        <f>IF($G30&lt;&gt;"Valid","",VLOOKUP($E30&amp;"|"&amp;$F30,Cluster_Master!$I$3:$H$17,4,FALSE))</f>
        <v/>
      </c>
      <c r="J30" s="7">
        <f>IF($G30&lt;&gt;"Valid","",VLOOKUP($E30&amp;"|"&amp;$F30,Cluster_Master!$I$3:$H$17,5,FALSE))</f>
        <v/>
      </c>
      <c r="K30" s="7">
        <f>IF($G30&lt;&gt;"Valid","",VLOOKUP($E30&amp;"|"&amp;$F30,Cluster_Master!$I$3:$H$17,6,FALSE))</f>
        <v/>
      </c>
      <c r="L30" s="7">
        <f>IF($G30&lt;&gt;"Valid","",VLOOKUP($E30&amp;"|"&amp;$F30,Cluster_Master!$I$3:$H$17,7,FALSE))</f>
        <v/>
      </c>
      <c r="M30" s="7">
        <f>IF($G30&lt;&gt;"Valid","",VLOOKUP($E30&amp;"|"&amp;$F30,Cluster_Master!$I$3:$H$17,8,FALSE))</f>
        <v/>
      </c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7">
        <f>IF(COUNT(T30:AH30)=0,"",SUM(T30:AH30))</f>
        <v/>
      </c>
      <c r="AJ30" s="10">
        <f>IF(AI30="","",AI30/75)</f>
        <v/>
      </c>
      <c r="AK30" s="10">
        <f>IF(AI30="","",SUMPRODUCT(T30:AH30,KPI_Weights!$B$3:$B$17)/5)</f>
        <v/>
      </c>
      <c r="AL30" s="7">
        <f>IF(COUNT(T30:AH30)=0,"",IF(OR(T30&lt;=1,W30&lt;=1,X30&lt;=1,Y30&lt;=1,AB30&lt;=1),"YES","NO"))</f>
        <v/>
      </c>
      <c r="AM30" s="7">
        <f>IF(AK30="","",IF(AND(AK30="NO",AJ30&gt;=0.85),"YES","NO"))</f>
        <v/>
      </c>
      <c r="AN30" s="7">
        <f>IF(AJ30="","",IF(AJ30&gt;=0.90,"Excellent",IF(AJ30&gt;=0.80,"Good",IF(AJ30&gt;=0.70,"Fair","Poor"))))</f>
        <v/>
      </c>
      <c r="AO30" s="12" t="n"/>
      <c r="AP30" s="12" t="n"/>
      <c r="AQ30" s="12" t="n"/>
      <c r="AR30" s="12" t="n"/>
      <c r="AS30" s="12" t="n"/>
      <c r="AT30" s="12" t="n"/>
      <c r="AU30" s="12" t="n"/>
      <c r="AV30" s="11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</row>
    <row r="31">
      <c r="A31" s="7">
        <f>IF(B31="","","INS-"&amp;TEXT(ROW()-3,"000"))</f>
        <v/>
      </c>
      <c r="B31" s="11" t="n"/>
      <c r="C31" s="7">
        <f>IF(B31="","",ISOWEEKNUM(B31))</f>
        <v/>
      </c>
      <c r="D31" s="7">
        <f>IF(B31="","",TEXT(B31,"yyyy-mm"))</f>
        <v/>
      </c>
      <c r="E31" s="12" t="n"/>
      <c r="F31" s="12" t="n"/>
      <c r="G31" s="7">
        <f>IF(OR(E31="",F31=""),"",IF(COUNTIF(Cluster_Master!$I$3:$I$17,E31&amp;"|"&amp;F31)=1,"Valid","Review"))</f>
        <v/>
      </c>
      <c r="H31" s="7">
        <f>IF($G31&lt;&gt;"Valid","",VLOOKUP($E31&amp;"|"&amp;$F31,Cluster_Master!$I$3:$H$17,3,FALSE))</f>
        <v/>
      </c>
      <c r="I31" s="7">
        <f>IF($G31&lt;&gt;"Valid","",VLOOKUP($E31&amp;"|"&amp;$F31,Cluster_Master!$I$3:$H$17,4,FALSE))</f>
        <v/>
      </c>
      <c r="J31" s="7">
        <f>IF($G31&lt;&gt;"Valid","",VLOOKUP($E31&amp;"|"&amp;$F31,Cluster_Master!$I$3:$H$17,5,FALSE))</f>
        <v/>
      </c>
      <c r="K31" s="7">
        <f>IF($G31&lt;&gt;"Valid","",VLOOKUP($E31&amp;"|"&amp;$F31,Cluster_Master!$I$3:$H$17,6,FALSE))</f>
        <v/>
      </c>
      <c r="L31" s="7">
        <f>IF($G31&lt;&gt;"Valid","",VLOOKUP($E31&amp;"|"&amp;$F31,Cluster_Master!$I$3:$H$17,7,FALSE))</f>
        <v/>
      </c>
      <c r="M31" s="7">
        <f>IF($G31&lt;&gt;"Valid","",VLOOKUP($E31&amp;"|"&amp;$F31,Cluster_Master!$I$3:$H$17,8,FALSE))</f>
        <v/>
      </c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7">
        <f>IF(COUNT(T31:AH31)=0,"",SUM(T31:AH31))</f>
        <v/>
      </c>
      <c r="AJ31" s="10">
        <f>IF(AI31="","",AI31/75)</f>
        <v/>
      </c>
      <c r="AK31" s="10">
        <f>IF(AI31="","",SUMPRODUCT(T31:AH31,KPI_Weights!$B$3:$B$17)/5)</f>
        <v/>
      </c>
      <c r="AL31" s="7">
        <f>IF(COUNT(T31:AH31)=0,"",IF(OR(T31&lt;=1,W31&lt;=1,X31&lt;=1,Y31&lt;=1,AB31&lt;=1),"YES","NO"))</f>
        <v/>
      </c>
      <c r="AM31" s="7">
        <f>IF(AK31="","",IF(AND(AK31="NO",AJ31&gt;=0.85),"YES","NO"))</f>
        <v/>
      </c>
      <c r="AN31" s="7">
        <f>IF(AJ31="","",IF(AJ31&gt;=0.90,"Excellent",IF(AJ31&gt;=0.80,"Good",IF(AJ31&gt;=0.70,"Fair","Poor"))))</f>
        <v/>
      </c>
      <c r="AO31" s="12" t="n"/>
      <c r="AP31" s="12" t="n"/>
      <c r="AQ31" s="12" t="n"/>
      <c r="AR31" s="12" t="n"/>
      <c r="AS31" s="12" t="n"/>
      <c r="AT31" s="12" t="n"/>
      <c r="AU31" s="12" t="n"/>
      <c r="AV31" s="11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</row>
    <row r="32">
      <c r="A32" s="7">
        <f>IF(B32="","","INS-"&amp;TEXT(ROW()-3,"000"))</f>
        <v/>
      </c>
      <c r="B32" s="11" t="n"/>
      <c r="C32" s="7">
        <f>IF(B32="","",ISOWEEKNUM(B32))</f>
        <v/>
      </c>
      <c r="D32" s="7">
        <f>IF(B32="","",TEXT(B32,"yyyy-mm"))</f>
        <v/>
      </c>
      <c r="E32" s="12" t="n"/>
      <c r="F32" s="12" t="n"/>
      <c r="G32" s="7">
        <f>IF(OR(E32="",F32=""),"",IF(COUNTIF(Cluster_Master!$I$3:$I$17,E32&amp;"|"&amp;F32)=1,"Valid","Review"))</f>
        <v/>
      </c>
      <c r="H32" s="7">
        <f>IF($G32&lt;&gt;"Valid","",VLOOKUP($E32&amp;"|"&amp;$F32,Cluster_Master!$I$3:$H$17,3,FALSE))</f>
        <v/>
      </c>
      <c r="I32" s="7">
        <f>IF($G32&lt;&gt;"Valid","",VLOOKUP($E32&amp;"|"&amp;$F32,Cluster_Master!$I$3:$H$17,4,FALSE))</f>
        <v/>
      </c>
      <c r="J32" s="7">
        <f>IF($G32&lt;&gt;"Valid","",VLOOKUP($E32&amp;"|"&amp;$F32,Cluster_Master!$I$3:$H$17,5,FALSE))</f>
        <v/>
      </c>
      <c r="K32" s="7">
        <f>IF($G32&lt;&gt;"Valid","",VLOOKUP($E32&amp;"|"&amp;$F32,Cluster_Master!$I$3:$H$17,6,FALSE))</f>
        <v/>
      </c>
      <c r="L32" s="7">
        <f>IF($G32&lt;&gt;"Valid","",VLOOKUP($E32&amp;"|"&amp;$F32,Cluster_Master!$I$3:$H$17,7,FALSE))</f>
        <v/>
      </c>
      <c r="M32" s="7">
        <f>IF($G32&lt;&gt;"Valid","",VLOOKUP($E32&amp;"|"&amp;$F32,Cluster_Master!$I$3:$H$17,8,FALSE))</f>
        <v/>
      </c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7">
        <f>IF(COUNT(T32:AH32)=0,"",SUM(T32:AH32))</f>
        <v/>
      </c>
      <c r="AJ32" s="10">
        <f>IF(AI32="","",AI32/75)</f>
        <v/>
      </c>
      <c r="AK32" s="10">
        <f>IF(AI32="","",SUMPRODUCT(T32:AH32,KPI_Weights!$B$3:$B$17)/5)</f>
        <v/>
      </c>
      <c r="AL32" s="7">
        <f>IF(COUNT(T32:AH32)=0,"",IF(OR(T32&lt;=1,W32&lt;=1,X32&lt;=1,Y32&lt;=1,AB32&lt;=1),"YES","NO"))</f>
        <v/>
      </c>
      <c r="AM32" s="7">
        <f>IF(AK32="","",IF(AND(AK32="NO",AJ32&gt;=0.85),"YES","NO"))</f>
        <v/>
      </c>
      <c r="AN32" s="7">
        <f>IF(AJ32="","",IF(AJ32&gt;=0.90,"Excellent",IF(AJ32&gt;=0.80,"Good",IF(AJ32&gt;=0.70,"Fair","Poor"))))</f>
        <v/>
      </c>
      <c r="AO32" s="12" t="n"/>
      <c r="AP32" s="12" t="n"/>
      <c r="AQ32" s="12" t="n"/>
      <c r="AR32" s="12" t="n"/>
      <c r="AS32" s="12" t="n"/>
      <c r="AT32" s="12" t="n"/>
      <c r="AU32" s="12" t="n"/>
      <c r="AV32" s="11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</row>
    <row r="33">
      <c r="A33" s="7">
        <f>IF(B33="","","INS-"&amp;TEXT(ROW()-3,"000"))</f>
        <v/>
      </c>
      <c r="B33" s="11" t="n"/>
      <c r="C33" s="7">
        <f>IF(B33="","",ISOWEEKNUM(B33))</f>
        <v/>
      </c>
      <c r="D33" s="7">
        <f>IF(B33="","",TEXT(B33,"yyyy-mm"))</f>
        <v/>
      </c>
      <c r="E33" s="12" t="n"/>
      <c r="F33" s="12" t="n"/>
      <c r="G33" s="7">
        <f>IF(OR(E33="",F33=""),"",IF(COUNTIF(Cluster_Master!$I$3:$I$17,E33&amp;"|"&amp;F33)=1,"Valid","Review"))</f>
        <v/>
      </c>
      <c r="H33" s="7">
        <f>IF($G33&lt;&gt;"Valid","",VLOOKUP($E33&amp;"|"&amp;$F33,Cluster_Master!$I$3:$H$17,3,FALSE))</f>
        <v/>
      </c>
      <c r="I33" s="7">
        <f>IF($G33&lt;&gt;"Valid","",VLOOKUP($E33&amp;"|"&amp;$F33,Cluster_Master!$I$3:$H$17,4,FALSE))</f>
        <v/>
      </c>
      <c r="J33" s="7">
        <f>IF($G33&lt;&gt;"Valid","",VLOOKUP($E33&amp;"|"&amp;$F33,Cluster_Master!$I$3:$H$17,5,FALSE))</f>
        <v/>
      </c>
      <c r="K33" s="7">
        <f>IF($G33&lt;&gt;"Valid","",VLOOKUP($E33&amp;"|"&amp;$F33,Cluster_Master!$I$3:$H$17,6,FALSE))</f>
        <v/>
      </c>
      <c r="L33" s="7">
        <f>IF($G33&lt;&gt;"Valid","",VLOOKUP($E33&amp;"|"&amp;$F33,Cluster_Master!$I$3:$H$17,7,FALSE))</f>
        <v/>
      </c>
      <c r="M33" s="7">
        <f>IF($G33&lt;&gt;"Valid","",VLOOKUP($E33&amp;"|"&amp;$F33,Cluster_Master!$I$3:$H$17,8,FALSE))</f>
        <v/>
      </c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7">
        <f>IF(COUNT(T33:AH33)=0,"",SUM(T33:AH33))</f>
        <v/>
      </c>
      <c r="AJ33" s="10">
        <f>IF(AI33="","",AI33/75)</f>
        <v/>
      </c>
      <c r="AK33" s="10">
        <f>IF(AI33="","",SUMPRODUCT(T33:AH33,KPI_Weights!$B$3:$B$17)/5)</f>
        <v/>
      </c>
      <c r="AL33" s="7">
        <f>IF(COUNT(T33:AH33)=0,"",IF(OR(T33&lt;=1,W33&lt;=1,X33&lt;=1,Y33&lt;=1,AB33&lt;=1),"YES","NO"))</f>
        <v/>
      </c>
      <c r="AM33" s="7">
        <f>IF(AK33="","",IF(AND(AK33="NO",AJ33&gt;=0.85),"YES","NO"))</f>
        <v/>
      </c>
      <c r="AN33" s="7">
        <f>IF(AJ33="","",IF(AJ33&gt;=0.90,"Excellent",IF(AJ33&gt;=0.80,"Good",IF(AJ33&gt;=0.70,"Fair","Poor"))))</f>
        <v/>
      </c>
      <c r="AO33" s="12" t="n"/>
      <c r="AP33" s="12" t="n"/>
      <c r="AQ33" s="12" t="n"/>
      <c r="AR33" s="12" t="n"/>
      <c r="AS33" s="12" t="n"/>
      <c r="AT33" s="12" t="n"/>
      <c r="AU33" s="12" t="n"/>
      <c r="AV33" s="11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</row>
    <row r="34">
      <c r="A34" s="7">
        <f>IF(B34="","","INS-"&amp;TEXT(ROW()-3,"000"))</f>
        <v/>
      </c>
      <c r="B34" s="11" t="n"/>
      <c r="C34" s="7">
        <f>IF(B34="","",ISOWEEKNUM(B34))</f>
        <v/>
      </c>
      <c r="D34" s="7">
        <f>IF(B34="","",TEXT(B34,"yyyy-mm"))</f>
        <v/>
      </c>
      <c r="E34" s="12" t="n"/>
      <c r="F34" s="12" t="n"/>
      <c r="G34" s="7">
        <f>IF(OR(E34="",F34=""),"",IF(COUNTIF(Cluster_Master!$I$3:$I$17,E34&amp;"|"&amp;F34)=1,"Valid","Review"))</f>
        <v/>
      </c>
      <c r="H34" s="7">
        <f>IF($G34&lt;&gt;"Valid","",VLOOKUP($E34&amp;"|"&amp;$F34,Cluster_Master!$I$3:$H$17,3,FALSE))</f>
        <v/>
      </c>
      <c r="I34" s="7">
        <f>IF($G34&lt;&gt;"Valid","",VLOOKUP($E34&amp;"|"&amp;$F34,Cluster_Master!$I$3:$H$17,4,FALSE))</f>
        <v/>
      </c>
      <c r="J34" s="7">
        <f>IF($G34&lt;&gt;"Valid","",VLOOKUP($E34&amp;"|"&amp;$F34,Cluster_Master!$I$3:$H$17,5,FALSE))</f>
        <v/>
      </c>
      <c r="K34" s="7">
        <f>IF($G34&lt;&gt;"Valid","",VLOOKUP($E34&amp;"|"&amp;$F34,Cluster_Master!$I$3:$H$17,6,FALSE))</f>
        <v/>
      </c>
      <c r="L34" s="7">
        <f>IF($G34&lt;&gt;"Valid","",VLOOKUP($E34&amp;"|"&amp;$F34,Cluster_Master!$I$3:$H$17,7,FALSE))</f>
        <v/>
      </c>
      <c r="M34" s="7">
        <f>IF($G34&lt;&gt;"Valid","",VLOOKUP($E34&amp;"|"&amp;$F34,Cluster_Master!$I$3:$H$17,8,FALSE))</f>
        <v/>
      </c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7">
        <f>IF(COUNT(T34:AH34)=0,"",SUM(T34:AH34))</f>
        <v/>
      </c>
      <c r="AJ34" s="10">
        <f>IF(AI34="","",AI34/75)</f>
        <v/>
      </c>
      <c r="AK34" s="10">
        <f>IF(AI34="","",SUMPRODUCT(T34:AH34,KPI_Weights!$B$3:$B$17)/5)</f>
        <v/>
      </c>
      <c r="AL34" s="7">
        <f>IF(COUNT(T34:AH34)=0,"",IF(OR(T34&lt;=1,W34&lt;=1,X34&lt;=1,Y34&lt;=1,AB34&lt;=1),"YES","NO"))</f>
        <v/>
      </c>
      <c r="AM34" s="7">
        <f>IF(AK34="","",IF(AND(AK34="NO",AJ34&gt;=0.85),"YES","NO"))</f>
        <v/>
      </c>
      <c r="AN34" s="7">
        <f>IF(AJ34="","",IF(AJ34&gt;=0.90,"Excellent",IF(AJ34&gt;=0.80,"Good",IF(AJ34&gt;=0.70,"Fair","Poor"))))</f>
        <v/>
      </c>
      <c r="AO34" s="12" t="n"/>
      <c r="AP34" s="12" t="n"/>
      <c r="AQ34" s="12" t="n"/>
      <c r="AR34" s="12" t="n"/>
      <c r="AS34" s="12" t="n"/>
      <c r="AT34" s="12" t="n"/>
      <c r="AU34" s="12" t="n"/>
      <c r="AV34" s="11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</row>
    <row r="35">
      <c r="A35" s="7">
        <f>IF(B35="","","INS-"&amp;TEXT(ROW()-3,"000"))</f>
        <v/>
      </c>
      <c r="B35" s="11" t="n"/>
      <c r="C35" s="7">
        <f>IF(B35="","",ISOWEEKNUM(B35))</f>
        <v/>
      </c>
      <c r="D35" s="7">
        <f>IF(B35="","",TEXT(B35,"yyyy-mm"))</f>
        <v/>
      </c>
      <c r="E35" s="12" t="n"/>
      <c r="F35" s="12" t="n"/>
      <c r="G35" s="7">
        <f>IF(OR(E35="",F35=""),"",IF(COUNTIF(Cluster_Master!$I$3:$I$17,E35&amp;"|"&amp;F35)=1,"Valid","Review"))</f>
        <v/>
      </c>
      <c r="H35" s="7">
        <f>IF($G35&lt;&gt;"Valid","",VLOOKUP($E35&amp;"|"&amp;$F35,Cluster_Master!$I$3:$H$17,3,FALSE))</f>
        <v/>
      </c>
      <c r="I35" s="7">
        <f>IF($G35&lt;&gt;"Valid","",VLOOKUP($E35&amp;"|"&amp;$F35,Cluster_Master!$I$3:$H$17,4,FALSE))</f>
        <v/>
      </c>
      <c r="J35" s="7">
        <f>IF($G35&lt;&gt;"Valid","",VLOOKUP($E35&amp;"|"&amp;$F35,Cluster_Master!$I$3:$H$17,5,FALSE))</f>
        <v/>
      </c>
      <c r="K35" s="7">
        <f>IF($G35&lt;&gt;"Valid","",VLOOKUP($E35&amp;"|"&amp;$F35,Cluster_Master!$I$3:$H$17,6,FALSE))</f>
        <v/>
      </c>
      <c r="L35" s="7">
        <f>IF($G35&lt;&gt;"Valid","",VLOOKUP($E35&amp;"|"&amp;$F35,Cluster_Master!$I$3:$H$17,7,FALSE))</f>
        <v/>
      </c>
      <c r="M35" s="7">
        <f>IF($G35&lt;&gt;"Valid","",VLOOKUP($E35&amp;"|"&amp;$F35,Cluster_Master!$I$3:$H$17,8,FALSE))</f>
        <v/>
      </c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7">
        <f>IF(COUNT(T35:AH35)=0,"",SUM(T35:AH35))</f>
        <v/>
      </c>
      <c r="AJ35" s="10">
        <f>IF(AI35="","",AI35/75)</f>
        <v/>
      </c>
      <c r="AK35" s="10">
        <f>IF(AI35="","",SUMPRODUCT(T35:AH35,KPI_Weights!$B$3:$B$17)/5)</f>
        <v/>
      </c>
      <c r="AL35" s="7">
        <f>IF(COUNT(T35:AH35)=0,"",IF(OR(T35&lt;=1,W35&lt;=1,X35&lt;=1,Y35&lt;=1,AB35&lt;=1),"YES","NO"))</f>
        <v/>
      </c>
      <c r="AM35" s="7">
        <f>IF(AK35="","",IF(AND(AK35="NO",AJ35&gt;=0.85),"YES","NO"))</f>
        <v/>
      </c>
      <c r="AN35" s="7">
        <f>IF(AJ35="","",IF(AJ35&gt;=0.90,"Excellent",IF(AJ35&gt;=0.80,"Good",IF(AJ35&gt;=0.70,"Fair","Poor"))))</f>
        <v/>
      </c>
      <c r="AO35" s="12" t="n"/>
      <c r="AP35" s="12" t="n"/>
      <c r="AQ35" s="12" t="n"/>
      <c r="AR35" s="12" t="n"/>
      <c r="AS35" s="12" t="n"/>
      <c r="AT35" s="12" t="n"/>
      <c r="AU35" s="12" t="n"/>
      <c r="AV35" s="11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</row>
    <row r="36">
      <c r="A36" s="7">
        <f>IF(B36="","","INS-"&amp;TEXT(ROW()-3,"000"))</f>
        <v/>
      </c>
      <c r="B36" s="11" t="n"/>
      <c r="C36" s="7">
        <f>IF(B36="","",ISOWEEKNUM(B36))</f>
        <v/>
      </c>
      <c r="D36" s="7">
        <f>IF(B36="","",TEXT(B36,"yyyy-mm"))</f>
        <v/>
      </c>
      <c r="E36" s="12" t="n"/>
      <c r="F36" s="12" t="n"/>
      <c r="G36" s="7">
        <f>IF(OR(E36="",F36=""),"",IF(COUNTIF(Cluster_Master!$I$3:$I$17,E36&amp;"|"&amp;F36)=1,"Valid","Review"))</f>
        <v/>
      </c>
      <c r="H36" s="7">
        <f>IF($G36&lt;&gt;"Valid","",VLOOKUP($E36&amp;"|"&amp;$F36,Cluster_Master!$I$3:$H$17,3,FALSE))</f>
        <v/>
      </c>
      <c r="I36" s="7">
        <f>IF($G36&lt;&gt;"Valid","",VLOOKUP($E36&amp;"|"&amp;$F36,Cluster_Master!$I$3:$H$17,4,FALSE))</f>
        <v/>
      </c>
      <c r="J36" s="7">
        <f>IF($G36&lt;&gt;"Valid","",VLOOKUP($E36&amp;"|"&amp;$F36,Cluster_Master!$I$3:$H$17,5,FALSE))</f>
        <v/>
      </c>
      <c r="K36" s="7">
        <f>IF($G36&lt;&gt;"Valid","",VLOOKUP($E36&amp;"|"&amp;$F36,Cluster_Master!$I$3:$H$17,6,FALSE))</f>
        <v/>
      </c>
      <c r="L36" s="7">
        <f>IF($G36&lt;&gt;"Valid","",VLOOKUP($E36&amp;"|"&amp;$F36,Cluster_Master!$I$3:$H$17,7,FALSE))</f>
        <v/>
      </c>
      <c r="M36" s="7">
        <f>IF($G36&lt;&gt;"Valid","",VLOOKUP($E36&amp;"|"&amp;$F36,Cluster_Master!$I$3:$H$17,8,FALSE))</f>
        <v/>
      </c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7">
        <f>IF(COUNT(T36:AH36)=0,"",SUM(T36:AH36))</f>
        <v/>
      </c>
      <c r="AJ36" s="10">
        <f>IF(AI36="","",AI36/75)</f>
        <v/>
      </c>
      <c r="AK36" s="10">
        <f>IF(AI36="","",SUMPRODUCT(T36:AH36,KPI_Weights!$B$3:$B$17)/5)</f>
        <v/>
      </c>
      <c r="AL36" s="7">
        <f>IF(COUNT(T36:AH36)=0,"",IF(OR(T36&lt;=1,W36&lt;=1,X36&lt;=1,Y36&lt;=1,AB36&lt;=1),"YES","NO"))</f>
        <v/>
      </c>
      <c r="AM36" s="7">
        <f>IF(AK36="","",IF(AND(AK36="NO",AJ36&gt;=0.85),"YES","NO"))</f>
        <v/>
      </c>
      <c r="AN36" s="7">
        <f>IF(AJ36="","",IF(AJ36&gt;=0.90,"Excellent",IF(AJ36&gt;=0.80,"Good",IF(AJ36&gt;=0.70,"Fair","Poor"))))</f>
        <v/>
      </c>
      <c r="AO36" s="12" t="n"/>
      <c r="AP36" s="12" t="n"/>
      <c r="AQ36" s="12" t="n"/>
      <c r="AR36" s="12" t="n"/>
      <c r="AS36" s="12" t="n"/>
      <c r="AT36" s="12" t="n"/>
      <c r="AU36" s="12" t="n"/>
      <c r="AV36" s="11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</row>
    <row r="37">
      <c r="A37" s="7">
        <f>IF(B37="","","INS-"&amp;TEXT(ROW()-3,"000"))</f>
        <v/>
      </c>
      <c r="B37" s="11" t="n"/>
      <c r="C37" s="7">
        <f>IF(B37="","",ISOWEEKNUM(B37))</f>
        <v/>
      </c>
      <c r="D37" s="7">
        <f>IF(B37="","",TEXT(B37,"yyyy-mm"))</f>
        <v/>
      </c>
      <c r="E37" s="12" t="n"/>
      <c r="F37" s="12" t="n"/>
      <c r="G37" s="7">
        <f>IF(OR(E37="",F37=""),"",IF(COUNTIF(Cluster_Master!$I$3:$I$17,E37&amp;"|"&amp;F37)=1,"Valid","Review"))</f>
        <v/>
      </c>
      <c r="H37" s="7">
        <f>IF($G37&lt;&gt;"Valid","",VLOOKUP($E37&amp;"|"&amp;$F37,Cluster_Master!$I$3:$H$17,3,FALSE))</f>
        <v/>
      </c>
      <c r="I37" s="7">
        <f>IF($G37&lt;&gt;"Valid","",VLOOKUP($E37&amp;"|"&amp;$F37,Cluster_Master!$I$3:$H$17,4,FALSE))</f>
        <v/>
      </c>
      <c r="J37" s="7">
        <f>IF($G37&lt;&gt;"Valid","",VLOOKUP($E37&amp;"|"&amp;$F37,Cluster_Master!$I$3:$H$17,5,FALSE))</f>
        <v/>
      </c>
      <c r="K37" s="7">
        <f>IF($G37&lt;&gt;"Valid","",VLOOKUP($E37&amp;"|"&amp;$F37,Cluster_Master!$I$3:$H$17,6,FALSE))</f>
        <v/>
      </c>
      <c r="L37" s="7">
        <f>IF($G37&lt;&gt;"Valid","",VLOOKUP($E37&amp;"|"&amp;$F37,Cluster_Master!$I$3:$H$17,7,FALSE))</f>
        <v/>
      </c>
      <c r="M37" s="7">
        <f>IF($G37&lt;&gt;"Valid","",VLOOKUP($E37&amp;"|"&amp;$F37,Cluster_Master!$I$3:$H$17,8,FALSE))</f>
        <v/>
      </c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7">
        <f>IF(COUNT(T37:AH37)=0,"",SUM(T37:AH37))</f>
        <v/>
      </c>
      <c r="AJ37" s="10">
        <f>IF(AI37="","",AI37/75)</f>
        <v/>
      </c>
      <c r="AK37" s="10">
        <f>IF(AI37="","",SUMPRODUCT(T37:AH37,KPI_Weights!$B$3:$B$17)/5)</f>
        <v/>
      </c>
      <c r="AL37" s="7">
        <f>IF(COUNT(T37:AH37)=0,"",IF(OR(T37&lt;=1,W37&lt;=1,X37&lt;=1,Y37&lt;=1,AB37&lt;=1),"YES","NO"))</f>
        <v/>
      </c>
      <c r="AM37" s="7">
        <f>IF(AK37="","",IF(AND(AK37="NO",AJ37&gt;=0.85),"YES","NO"))</f>
        <v/>
      </c>
      <c r="AN37" s="7">
        <f>IF(AJ37="","",IF(AJ37&gt;=0.90,"Excellent",IF(AJ37&gt;=0.80,"Good",IF(AJ37&gt;=0.70,"Fair","Poor"))))</f>
        <v/>
      </c>
      <c r="AO37" s="12" t="n"/>
      <c r="AP37" s="12" t="n"/>
      <c r="AQ37" s="12" t="n"/>
      <c r="AR37" s="12" t="n"/>
      <c r="AS37" s="12" t="n"/>
      <c r="AT37" s="12" t="n"/>
      <c r="AU37" s="12" t="n"/>
      <c r="AV37" s="11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</row>
    <row r="38">
      <c r="A38" s="7">
        <f>IF(B38="","","INS-"&amp;TEXT(ROW()-3,"000"))</f>
        <v/>
      </c>
      <c r="B38" s="11" t="n"/>
      <c r="C38" s="7">
        <f>IF(B38="","",ISOWEEKNUM(B38))</f>
        <v/>
      </c>
      <c r="D38" s="7">
        <f>IF(B38="","",TEXT(B38,"yyyy-mm"))</f>
        <v/>
      </c>
      <c r="E38" s="12" t="n"/>
      <c r="F38" s="12" t="n"/>
      <c r="G38" s="7">
        <f>IF(OR(E38="",F38=""),"",IF(COUNTIF(Cluster_Master!$I$3:$I$17,E38&amp;"|"&amp;F38)=1,"Valid","Review"))</f>
        <v/>
      </c>
      <c r="H38" s="7">
        <f>IF($G38&lt;&gt;"Valid","",VLOOKUP($E38&amp;"|"&amp;$F38,Cluster_Master!$I$3:$H$17,3,FALSE))</f>
        <v/>
      </c>
      <c r="I38" s="7">
        <f>IF($G38&lt;&gt;"Valid","",VLOOKUP($E38&amp;"|"&amp;$F38,Cluster_Master!$I$3:$H$17,4,FALSE))</f>
        <v/>
      </c>
      <c r="J38" s="7">
        <f>IF($G38&lt;&gt;"Valid","",VLOOKUP($E38&amp;"|"&amp;$F38,Cluster_Master!$I$3:$H$17,5,FALSE))</f>
        <v/>
      </c>
      <c r="K38" s="7">
        <f>IF($G38&lt;&gt;"Valid","",VLOOKUP($E38&amp;"|"&amp;$F38,Cluster_Master!$I$3:$H$17,6,FALSE))</f>
        <v/>
      </c>
      <c r="L38" s="7">
        <f>IF($G38&lt;&gt;"Valid","",VLOOKUP($E38&amp;"|"&amp;$F38,Cluster_Master!$I$3:$H$17,7,FALSE))</f>
        <v/>
      </c>
      <c r="M38" s="7">
        <f>IF($G38&lt;&gt;"Valid","",VLOOKUP($E38&amp;"|"&amp;$F38,Cluster_Master!$I$3:$H$17,8,FALSE))</f>
        <v/>
      </c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7">
        <f>IF(COUNT(T38:AH38)=0,"",SUM(T38:AH38))</f>
        <v/>
      </c>
      <c r="AJ38" s="10">
        <f>IF(AI38="","",AI38/75)</f>
        <v/>
      </c>
      <c r="AK38" s="10">
        <f>IF(AI38="","",SUMPRODUCT(T38:AH38,KPI_Weights!$B$3:$B$17)/5)</f>
        <v/>
      </c>
      <c r="AL38" s="7">
        <f>IF(COUNT(T38:AH38)=0,"",IF(OR(T38&lt;=1,W38&lt;=1,X38&lt;=1,Y38&lt;=1,AB38&lt;=1),"YES","NO"))</f>
        <v/>
      </c>
      <c r="AM38" s="7">
        <f>IF(AK38="","",IF(AND(AK38="NO",AJ38&gt;=0.85),"YES","NO"))</f>
        <v/>
      </c>
      <c r="AN38" s="7">
        <f>IF(AJ38="","",IF(AJ38&gt;=0.90,"Excellent",IF(AJ38&gt;=0.80,"Good",IF(AJ38&gt;=0.70,"Fair","Poor"))))</f>
        <v/>
      </c>
      <c r="AO38" s="12" t="n"/>
      <c r="AP38" s="12" t="n"/>
      <c r="AQ38" s="12" t="n"/>
      <c r="AR38" s="12" t="n"/>
      <c r="AS38" s="12" t="n"/>
      <c r="AT38" s="12" t="n"/>
      <c r="AU38" s="12" t="n"/>
      <c r="AV38" s="11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</row>
    <row r="39">
      <c r="A39" s="7">
        <f>IF(B39="","","INS-"&amp;TEXT(ROW()-3,"000"))</f>
        <v/>
      </c>
      <c r="B39" s="11" t="n"/>
      <c r="C39" s="7">
        <f>IF(B39="","",ISOWEEKNUM(B39))</f>
        <v/>
      </c>
      <c r="D39" s="7">
        <f>IF(B39="","",TEXT(B39,"yyyy-mm"))</f>
        <v/>
      </c>
      <c r="E39" s="12" t="n"/>
      <c r="F39" s="12" t="n"/>
      <c r="G39" s="7">
        <f>IF(OR(E39="",F39=""),"",IF(COUNTIF(Cluster_Master!$I$3:$I$17,E39&amp;"|"&amp;F39)=1,"Valid","Review"))</f>
        <v/>
      </c>
      <c r="H39" s="7">
        <f>IF($G39&lt;&gt;"Valid","",VLOOKUP($E39&amp;"|"&amp;$F39,Cluster_Master!$I$3:$H$17,3,FALSE))</f>
        <v/>
      </c>
      <c r="I39" s="7">
        <f>IF($G39&lt;&gt;"Valid","",VLOOKUP($E39&amp;"|"&amp;$F39,Cluster_Master!$I$3:$H$17,4,FALSE))</f>
        <v/>
      </c>
      <c r="J39" s="7">
        <f>IF($G39&lt;&gt;"Valid","",VLOOKUP($E39&amp;"|"&amp;$F39,Cluster_Master!$I$3:$H$17,5,FALSE))</f>
        <v/>
      </c>
      <c r="K39" s="7">
        <f>IF($G39&lt;&gt;"Valid","",VLOOKUP($E39&amp;"|"&amp;$F39,Cluster_Master!$I$3:$H$17,6,FALSE))</f>
        <v/>
      </c>
      <c r="L39" s="7">
        <f>IF($G39&lt;&gt;"Valid","",VLOOKUP($E39&amp;"|"&amp;$F39,Cluster_Master!$I$3:$H$17,7,FALSE))</f>
        <v/>
      </c>
      <c r="M39" s="7">
        <f>IF($G39&lt;&gt;"Valid","",VLOOKUP($E39&amp;"|"&amp;$F39,Cluster_Master!$I$3:$H$17,8,FALSE))</f>
        <v/>
      </c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7">
        <f>IF(COUNT(T39:AH39)=0,"",SUM(T39:AH39))</f>
        <v/>
      </c>
      <c r="AJ39" s="10">
        <f>IF(AI39="","",AI39/75)</f>
        <v/>
      </c>
      <c r="AK39" s="10">
        <f>IF(AI39="","",SUMPRODUCT(T39:AH39,KPI_Weights!$B$3:$B$17)/5)</f>
        <v/>
      </c>
      <c r="AL39" s="7">
        <f>IF(COUNT(T39:AH39)=0,"",IF(OR(T39&lt;=1,W39&lt;=1,X39&lt;=1,Y39&lt;=1,AB39&lt;=1),"YES","NO"))</f>
        <v/>
      </c>
      <c r="AM39" s="7">
        <f>IF(AK39="","",IF(AND(AK39="NO",AJ39&gt;=0.85),"YES","NO"))</f>
        <v/>
      </c>
      <c r="AN39" s="7">
        <f>IF(AJ39="","",IF(AJ39&gt;=0.90,"Excellent",IF(AJ39&gt;=0.80,"Good",IF(AJ39&gt;=0.70,"Fair","Poor"))))</f>
        <v/>
      </c>
      <c r="AO39" s="12" t="n"/>
      <c r="AP39" s="12" t="n"/>
      <c r="AQ39" s="12" t="n"/>
      <c r="AR39" s="12" t="n"/>
      <c r="AS39" s="12" t="n"/>
      <c r="AT39" s="12" t="n"/>
      <c r="AU39" s="12" t="n"/>
      <c r="AV39" s="11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</row>
    <row r="40">
      <c r="A40" s="7">
        <f>IF(B40="","","INS-"&amp;TEXT(ROW()-3,"000"))</f>
        <v/>
      </c>
      <c r="B40" s="11" t="n"/>
      <c r="C40" s="7">
        <f>IF(B40="","",ISOWEEKNUM(B40))</f>
        <v/>
      </c>
      <c r="D40" s="7">
        <f>IF(B40="","",TEXT(B40,"yyyy-mm"))</f>
        <v/>
      </c>
      <c r="E40" s="12" t="n"/>
      <c r="F40" s="12" t="n"/>
      <c r="G40" s="7">
        <f>IF(OR(E40="",F40=""),"",IF(COUNTIF(Cluster_Master!$I$3:$I$17,E40&amp;"|"&amp;F40)=1,"Valid","Review"))</f>
        <v/>
      </c>
      <c r="H40" s="7">
        <f>IF($G40&lt;&gt;"Valid","",VLOOKUP($E40&amp;"|"&amp;$F40,Cluster_Master!$I$3:$H$17,3,FALSE))</f>
        <v/>
      </c>
      <c r="I40" s="7">
        <f>IF($G40&lt;&gt;"Valid","",VLOOKUP($E40&amp;"|"&amp;$F40,Cluster_Master!$I$3:$H$17,4,FALSE))</f>
        <v/>
      </c>
      <c r="J40" s="7">
        <f>IF($G40&lt;&gt;"Valid","",VLOOKUP($E40&amp;"|"&amp;$F40,Cluster_Master!$I$3:$H$17,5,FALSE))</f>
        <v/>
      </c>
      <c r="K40" s="7">
        <f>IF($G40&lt;&gt;"Valid","",VLOOKUP($E40&amp;"|"&amp;$F40,Cluster_Master!$I$3:$H$17,6,FALSE))</f>
        <v/>
      </c>
      <c r="L40" s="7">
        <f>IF($G40&lt;&gt;"Valid","",VLOOKUP($E40&amp;"|"&amp;$F40,Cluster_Master!$I$3:$H$17,7,FALSE))</f>
        <v/>
      </c>
      <c r="M40" s="7">
        <f>IF($G40&lt;&gt;"Valid","",VLOOKUP($E40&amp;"|"&amp;$F40,Cluster_Master!$I$3:$H$17,8,FALSE))</f>
        <v/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7">
        <f>IF(COUNT(T40:AH40)=0,"",SUM(T40:AH40))</f>
        <v/>
      </c>
      <c r="AJ40" s="10">
        <f>IF(AI40="","",AI40/75)</f>
        <v/>
      </c>
      <c r="AK40" s="10">
        <f>IF(AI40="","",SUMPRODUCT(T40:AH40,KPI_Weights!$B$3:$B$17)/5)</f>
        <v/>
      </c>
      <c r="AL40" s="7">
        <f>IF(COUNT(T40:AH40)=0,"",IF(OR(T40&lt;=1,W40&lt;=1,X40&lt;=1,Y40&lt;=1,AB40&lt;=1),"YES","NO"))</f>
        <v/>
      </c>
      <c r="AM40" s="7">
        <f>IF(AK40="","",IF(AND(AK40="NO",AJ40&gt;=0.85),"YES","NO"))</f>
        <v/>
      </c>
      <c r="AN40" s="7">
        <f>IF(AJ40="","",IF(AJ40&gt;=0.90,"Excellent",IF(AJ40&gt;=0.80,"Good",IF(AJ40&gt;=0.70,"Fair","Poor"))))</f>
        <v/>
      </c>
      <c r="AO40" s="12" t="n"/>
      <c r="AP40" s="12" t="n"/>
      <c r="AQ40" s="12" t="n"/>
      <c r="AR40" s="12" t="n"/>
      <c r="AS40" s="12" t="n"/>
      <c r="AT40" s="12" t="n"/>
      <c r="AU40" s="12" t="n"/>
      <c r="AV40" s="11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</row>
    <row r="41">
      <c r="A41" s="7">
        <f>IF(B41="","","INS-"&amp;TEXT(ROW()-3,"000"))</f>
        <v/>
      </c>
      <c r="B41" s="11" t="n"/>
      <c r="C41" s="7">
        <f>IF(B41="","",ISOWEEKNUM(B41))</f>
        <v/>
      </c>
      <c r="D41" s="7">
        <f>IF(B41="","",TEXT(B41,"yyyy-mm"))</f>
        <v/>
      </c>
      <c r="E41" s="12" t="n"/>
      <c r="F41" s="12" t="n"/>
      <c r="G41" s="7">
        <f>IF(OR(E41="",F41=""),"",IF(COUNTIF(Cluster_Master!$I$3:$I$17,E41&amp;"|"&amp;F41)=1,"Valid","Review"))</f>
        <v/>
      </c>
      <c r="H41" s="7">
        <f>IF($G41&lt;&gt;"Valid","",VLOOKUP($E41&amp;"|"&amp;$F41,Cluster_Master!$I$3:$H$17,3,FALSE))</f>
        <v/>
      </c>
      <c r="I41" s="7">
        <f>IF($G41&lt;&gt;"Valid","",VLOOKUP($E41&amp;"|"&amp;$F41,Cluster_Master!$I$3:$H$17,4,FALSE))</f>
        <v/>
      </c>
      <c r="J41" s="7">
        <f>IF($G41&lt;&gt;"Valid","",VLOOKUP($E41&amp;"|"&amp;$F41,Cluster_Master!$I$3:$H$17,5,FALSE))</f>
        <v/>
      </c>
      <c r="K41" s="7">
        <f>IF($G41&lt;&gt;"Valid","",VLOOKUP($E41&amp;"|"&amp;$F41,Cluster_Master!$I$3:$H$17,6,FALSE))</f>
        <v/>
      </c>
      <c r="L41" s="7">
        <f>IF($G41&lt;&gt;"Valid","",VLOOKUP($E41&amp;"|"&amp;$F41,Cluster_Master!$I$3:$H$17,7,FALSE))</f>
        <v/>
      </c>
      <c r="M41" s="7">
        <f>IF($G41&lt;&gt;"Valid","",VLOOKUP($E41&amp;"|"&amp;$F41,Cluster_Master!$I$3:$H$17,8,FALSE))</f>
        <v/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7">
        <f>IF(COUNT(T41:AH41)=0,"",SUM(T41:AH41))</f>
        <v/>
      </c>
      <c r="AJ41" s="10">
        <f>IF(AI41="","",AI41/75)</f>
        <v/>
      </c>
      <c r="AK41" s="10">
        <f>IF(AI41="","",SUMPRODUCT(T41:AH41,KPI_Weights!$B$3:$B$17)/5)</f>
        <v/>
      </c>
      <c r="AL41" s="7">
        <f>IF(COUNT(T41:AH41)=0,"",IF(OR(T41&lt;=1,W41&lt;=1,X41&lt;=1,Y41&lt;=1,AB41&lt;=1),"YES","NO"))</f>
        <v/>
      </c>
      <c r="AM41" s="7">
        <f>IF(AK41="","",IF(AND(AK41="NO",AJ41&gt;=0.85),"YES","NO"))</f>
        <v/>
      </c>
      <c r="AN41" s="7">
        <f>IF(AJ41="","",IF(AJ41&gt;=0.90,"Excellent",IF(AJ41&gt;=0.80,"Good",IF(AJ41&gt;=0.70,"Fair","Poor"))))</f>
        <v/>
      </c>
      <c r="AO41" s="12" t="n"/>
      <c r="AP41" s="12" t="n"/>
      <c r="AQ41" s="12" t="n"/>
      <c r="AR41" s="12" t="n"/>
      <c r="AS41" s="12" t="n"/>
      <c r="AT41" s="12" t="n"/>
      <c r="AU41" s="12" t="n"/>
      <c r="AV41" s="11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</row>
    <row r="42">
      <c r="A42" s="7">
        <f>IF(B42="","","INS-"&amp;TEXT(ROW()-3,"000"))</f>
        <v/>
      </c>
      <c r="B42" s="11" t="n"/>
      <c r="C42" s="7">
        <f>IF(B42="","",ISOWEEKNUM(B42))</f>
        <v/>
      </c>
      <c r="D42" s="7">
        <f>IF(B42="","",TEXT(B42,"yyyy-mm"))</f>
        <v/>
      </c>
      <c r="E42" s="12" t="n"/>
      <c r="F42" s="12" t="n"/>
      <c r="G42" s="7">
        <f>IF(OR(E42="",F42=""),"",IF(COUNTIF(Cluster_Master!$I$3:$I$17,E42&amp;"|"&amp;F42)=1,"Valid","Review"))</f>
        <v/>
      </c>
      <c r="H42" s="7">
        <f>IF($G42&lt;&gt;"Valid","",VLOOKUP($E42&amp;"|"&amp;$F42,Cluster_Master!$I$3:$H$17,3,FALSE))</f>
        <v/>
      </c>
      <c r="I42" s="7">
        <f>IF($G42&lt;&gt;"Valid","",VLOOKUP($E42&amp;"|"&amp;$F42,Cluster_Master!$I$3:$H$17,4,FALSE))</f>
        <v/>
      </c>
      <c r="J42" s="7">
        <f>IF($G42&lt;&gt;"Valid","",VLOOKUP($E42&amp;"|"&amp;$F42,Cluster_Master!$I$3:$H$17,5,FALSE))</f>
        <v/>
      </c>
      <c r="K42" s="7">
        <f>IF($G42&lt;&gt;"Valid","",VLOOKUP($E42&amp;"|"&amp;$F42,Cluster_Master!$I$3:$H$17,6,FALSE))</f>
        <v/>
      </c>
      <c r="L42" s="7">
        <f>IF($G42&lt;&gt;"Valid","",VLOOKUP($E42&amp;"|"&amp;$F42,Cluster_Master!$I$3:$H$17,7,FALSE))</f>
        <v/>
      </c>
      <c r="M42" s="7">
        <f>IF($G42&lt;&gt;"Valid","",VLOOKUP($E42&amp;"|"&amp;$F42,Cluster_Master!$I$3:$H$17,8,FALSE))</f>
        <v/>
      </c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7">
        <f>IF(COUNT(T42:AH42)=0,"",SUM(T42:AH42))</f>
        <v/>
      </c>
      <c r="AJ42" s="10">
        <f>IF(AI42="","",AI42/75)</f>
        <v/>
      </c>
      <c r="AK42" s="10">
        <f>IF(AI42="","",SUMPRODUCT(T42:AH42,KPI_Weights!$B$3:$B$17)/5)</f>
        <v/>
      </c>
      <c r="AL42" s="7">
        <f>IF(COUNT(T42:AH42)=0,"",IF(OR(T42&lt;=1,W42&lt;=1,X42&lt;=1,Y42&lt;=1,AB42&lt;=1),"YES","NO"))</f>
        <v/>
      </c>
      <c r="AM42" s="7">
        <f>IF(AK42="","",IF(AND(AK42="NO",AJ42&gt;=0.85),"YES","NO"))</f>
        <v/>
      </c>
      <c r="AN42" s="7">
        <f>IF(AJ42="","",IF(AJ42&gt;=0.90,"Excellent",IF(AJ42&gt;=0.80,"Good",IF(AJ42&gt;=0.70,"Fair","Poor"))))</f>
        <v/>
      </c>
      <c r="AO42" s="12" t="n"/>
      <c r="AP42" s="12" t="n"/>
      <c r="AQ42" s="12" t="n"/>
      <c r="AR42" s="12" t="n"/>
      <c r="AS42" s="12" t="n"/>
      <c r="AT42" s="12" t="n"/>
      <c r="AU42" s="12" t="n"/>
      <c r="AV42" s="11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</row>
    <row r="43">
      <c r="A43" s="7">
        <f>IF(B43="","","INS-"&amp;TEXT(ROW()-3,"000"))</f>
        <v/>
      </c>
      <c r="B43" s="11" t="n"/>
      <c r="C43" s="7">
        <f>IF(B43="","",ISOWEEKNUM(B43))</f>
        <v/>
      </c>
      <c r="D43" s="7">
        <f>IF(B43="","",TEXT(B43,"yyyy-mm"))</f>
        <v/>
      </c>
      <c r="E43" s="12" t="n"/>
      <c r="F43" s="12" t="n"/>
      <c r="G43" s="7">
        <f>IF(OR(E43="",F43=""),"",IF(COUNTIF(Cluster_Master!$I$3:$I$17,E43&amp;"|"&amp;F43)=1,"Valid","Review"))</f>
        <v/>
      </c>
      <c r="H43" s="7">
        <f>IF($G43&lt;&gt;"Valid","",VLOOKUP($E43&amp;"|"&amp;$F43,Cluster_Master!$I$3:$H$17,3,FALSE))</f>
        <v/>
      </c>
      <c r="I43" s="7">
        <f>IF($G43&lt;&gt;"Valid","",VLOOKUP($E43&amp;"|"&amp;$F43,Cluster_Master!$I$3:$H$17,4,FALSE))</f>
        <v/>
      </c>
      <c r="J43" s="7">
        <f>IF($G43&lt;&gt;"Valid","",VLOOKUP($E43&amp;"|"&amp;$F43,Cluster_Master!$I$3:$H$17,5,FALSE))</f>
        <v/>
      </c>
      <c r="K43" s="7">
        <f>IF($G43&lt;&gt;"Valid","",VLOOKUP($E43&amp;"|"&amp;$F43,Cluster_Master!$I$3:$H$17,6,FALSE))</f>
        <v/>
      </c>
      <c r="L43" s="7">
        <f>IF($G43&lt;&gt;"Valid","",VLOOKUP($E43&amp;"|"&amp;$F43,Cluster_Master!$I$3:$H$17,7,FALSE))</f>
        <v/>
      </c>
      <c r="M43" s="7">
        <f>IF($G43&lt;&gt;"Valid","",VLOOKUP($E43&amp;"|"&amp;$F43,Cluster_Master!$I$3:$H$17,8,FALSE))</f>
        <v/>
      </c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7">
        <f>IF(COUNT(T43:AH43)=0,"",SUM(T43:AH43))</f>
        <v/>
      </c>
      <c r="AJ43" s="10">
        <f>IF(AI43="","",AI43/75)</f>
        <v/>
      </c>
      <c r="AK43" s="10">
        <f>IF(AI43="","",SUMPRODUCT(T43:AH43,KPI_Weights!$B$3:$B$17)/5)</f>
        <v/>
      </c>
      <c r="AL43" s="7">
        <f>IF(COUNT(T43:AH43)=0,"",IF(OR(T43&lt;=1,W43&lt;=1,X43&lt;=1,Y43&lt;=1,AB43&lt;=1),"YES","NO"))</f>
        <v/>
      </c>
      <c r="AM43" s="7">
        <f>IF(AK43="","",IF(AND(AK43="NO",AJ43&gt;=0.85),"YES","NO"))</f>
        <v/>
      </c>
      <c r="AN43" s="7">
        <f>IF(AJ43="","",IF(AJ43&gt;=0.90,"Excellent",IF(AJ43&gt;=0.80,"Good",IF(AJ43&gt;=0.70,"Fair","Poor"))))</f>
        <v/>
      </c>
      <c r="AO43" s="12" t="n"/>
      <c r="AP43" s="12" t="n"/>
      <c r="AQ43" s="12" t="n"/>
      <c r="AR43" s="12" t="n"/>
      <c r="AS43" s="12" t="n"/>
      <c r="AT43" s="12" t="n"/>
      <c r="AU43" s="12" t="n"/>
      <c r="AV43" s="11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</row>
    <row r="44">
      <c r="A44" s="7">
        <f>IF(B44="","","INS-"&amp;TEXT(ROW()-3,"000"))</f>
        <v/>
      </c>
      <c r="B44" s="11" t="n"/>
      <c r="C44" s="7">
        <f>IF(B44="","",ISOWEEKNUM(B44))</f>
        <v/>
      </c>
      <c r="D44" s="7">
        <f>IF(B44="","",TEXT(B44,"yyyy-mm"))</f>
        <v/>
      </c>
      <c r="E44" s="12" t="n"/>
      <c r="F44" s="12" t="n"/>
      <c r="G44" s="7">
        <f>IF(OR(E44="",F44=""),"",IF(COUNTIF(Cluster_Master!$I$3:$I$17,E44&amp;"|"&amp;F44)=1,"Valid","Review"))</f>
        <v/>
      </c>
      <c r="H44" s="7">
        <f>IF($G44&lt;&gt;"Valid","",VLOOKUP($E44&amp;"|"&amp;$F44,Cluster_Master!$I$3:$H$17,3,FALSE))</f>
        <v/>
      </c>
      <c r="I44" s="7">
        <f>IF($G44&lt;&gt;"Valid","",VLOOKUP($E44&amp;"|"&amp;$F44,Cluster_Master!$I$3:$H$17,4,FALSE))</f>
        <v/>
      </c>
      <c r="J44" s="7">
        <f>IF($G44&lt;&gt;"Valid","",VLOOKUP($E44&amp;"|"&amp;$F44,Cluster_Master!$I$3:$H$17,5,FALSE))</f>
        <v/>
      </c>
      <c r="K44" s="7">
        <f>IF($G44&lt;&gt;"Valid","",VLOOKUP($E44&amp;"|"&amp;$F44,Cluster_Master!$I$3:$H$17,6,FALSE))</f>
        <v/>
      </c>
      <c r="L44" s="7">
        <f>IF($G44&lt;&gt;"Valid","",VLOOKUP($E44&amp;"|"&amp;$F44,Cluster_Master!$I$3:$H$17,7,FALSE))</f>
        <v/>
      </c>
      <c r="M44" s="7">
        <f>IF($G44&lt;&gt;"Valid","",VLOOKUP($E44&amp;"|"&amp;$F44,Cluster_Master!$I$3:$H$17,8,FALSE))</f>
        <v/>
      </c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7">
        <f>IF(COUNT(T44:AH44)=0,"",SUM(T44:AH44))</f>
        <v/>
      </c>
      <c r="AJ44" s="10">
        <f>IF(AI44="","",AI44/75)</f>
        <v/>
      </c>
      <c r="AK44" s="10">
        <f>IF(AI44="","",SUMPRODUCT(T44:AH44,KPI_Weights!$B$3:$B$17)/5)</f>
        <v/>
      </c>
      <c r="AL44" s="7">
        <f>IF(COUNT(T44:AH44)=0,"",IF(OR(T44&lt;=1,W44&lt;=1,X44&lt;=1,Y44&lt;=1,AB44&lt;=1),"YES","NO"))</f>
        <v/>
      </c>
      <c r="AM44" s="7">
        <f>IF(AK44="","",IF(AND(AK44="NO",AJ44&gt;=0.85),"YES","NO"))</f>
        <v/>
      </c>
      <c r="AN44" s="7">
        <f>IF(AJ44="","",IF(AJ44&gt;=0.90,"Excellent",IF(AJ44&gt;=0.80,"Good",IF(AJ44&gt;=0.70,"Fair","Poor"))))</f>
        <v/>
      </c>
      <c r="AO44" s="12" t="n"/>
      <c r="AP44" s="12" t="n"/>
      <c r="AQ44" s="12" t="n"/>
      <c r="AR44" s="12" t="n"/>
      <c r="AS44" s="12" t="n"/>
      <c r="AT44" s="12" t="n"/>
      <c r="AU44" s="12" t="n"/>
      <c r="AV44" s="11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</row>
    <row r="45">
      <c r="A45" s="7">
        <f>IF(B45="","","INS-"&amp;TEXT(ROW()-3,"000"))</f>
        <v/>
      </c>
      <c r="B45" s="11" t="n"/>
      <c r="C45" s="7">
        <f>IF(B45="","",ISOWEEKNUM(B45))</f>
        <v/>
      </c>
      <c r="D45" s="7">
        <f>IF(B45="","",TEXT(B45,"yyyy-mm"))</f>
        <v/>
      </c>
      <c r="E45" s="12" t="n"/>
      <c r="F45" s="12" t="n"/>
      <c r="G45" s="7">
        <f>IF(OR(E45="",F45=""),"",IF(COUNTIF(Cluster_Master!$I$3:$I$17,E45&amp;"|"&amp;F45)=1,"Valid","Review"))</f>
        <v/>
      </c>
      <c r="H45" s="7">
        <f>IF($G45&lt;&gt;"Valid","",VLOOKUP($E45&amp;"|"&amp;$F45,Cluster_Master!$I$3:$H$17,3,FALSE))</f>
        <v/>
      </c>
      <c r="I45" s="7">
        <f>IF($G45&lt;&gt;"Valid","",VLOOKUP($E45&amp;"|"&amp;$F45,Cluster_Master!$I$3:$H$17,4,FALSE))</f>
        <v/>
      </c>
      <c r="J45" s="7">
        <f>IF($G45&lt;&gt;"Valid","",VLOOKUP($E45&amp;"|"&amp;$F45,Cluster_Master!$I$3:$H$17,5,FALSE))</f>
        <v/>
      </c>
      <c r="K45" s="7">
        <f>IF($G45&lt;&gt;"Valid","",VLOOKUP($E45&amp;"|"&amp;$F45,Cluster_Master!$I$3:$H$17,6,FALSE))</f>
        <v/>
      </c>
      <c r="L45" s="7">
        <f>IF($G45&lt;&gt;"Valid","",VLOOKUP($E45&amp;"|"&amp;$F45,Cluster_Master!$I$3:$H$17,7,FALSE))</f>
        <v/>
      </c>
      <c r="M45" s="7">
        <f>IF($G45&lt;&gt;"Valid","",VLOOKUP($E45&amp;"|"&amp;$F45,Cluster_Master!$I$3:$H$17,8,FALSE))</f>
        <v/>
      </c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7">
        <f>IF(COUNT(T45:AH45)=0,"",SUM(T45:AH45))</f>
        <v/>
      </c>
      <c r="AJ45" s="10">
        <f>IF(AI45="","",AI45/75)</f>
        <v/>
      </c>
      <c r="AK45" s="10">
        <f>IF(AI45="","",SUMPRODUCT(T45:AH45,KPI_Weights!$B$3:$B$17)/5)</f>
        <v/>
      </c>
      <c r="AL45" s="7">
        <f>IF(COUNT(T45:AH45)=0,"",IF(OR(T45&lt;=1,W45&lt;=1,X45&lt;=1,Y45&lt;=1,AB45&lt;=1),"YES","NO"))</f>
        <v/>
      </c>
      <c r="AM45" s="7">
        <f>IF(AK45="","",IF(AND(AK45="NO",AJ45&gt;=0.85),"YES","NO"))</f>
        <v/>
      </c>
      <c r="AN45" s="7">
        <f>IF(AJ45="","",IF(AJ45&gt;=0.90,"Excellent",IF(AJ45&gt;=0.80,"Good",IF(AJ45&gt;=0.70,"Fair","Poor"))))</f>
        <v/>
      </c>
      <c r="AO45" s="12" t="n"/>
      <c r="AP45" s="12" t="n"/>
      <c r="AQ45" s="12" t="n"/>
      <c r="AR45" s="12" t="n"/>
      <c r="AS45" s="12" t="n"/>
      <c r="AT45" s="12" t="n"/>
      <c r="AU45" s="12" t="n"/>
      <c r="AV45" s="11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</row>
    <row r="46">
      <c r="A46" s="7">
        <f>IF(B46="","","INS-"&amp;TEXT(ROW()-3,"000"))</f>
        <v/>
      </c>
      <c r="B46" s="11" t="n"/>
      <c r="C46" s="7">
        <f>IF(B46="","",ISOWEEKNUM(B46))</f>
        <v/>
      </c>
      <c r="D46" s="7">
        <f>IF(B46="","",TEXT(B46,"yyyy-mm"))</f>
        <v/>
      </c>
      <c r="E46" s="12" t="n"/>
      <c r="F46" s="12" t="n"/>
      <c r="G46" s="7">
        <f>IF(OR(E46="",F46=""),"",IF(COUNTIF(Cluster_Master!$I$3:$I$17,E46&amp;"|"&amp;F46)=1,"Valid","Review"))</f>
        <v/>
      </c>
      <c r="H46" s="7">
        <f>IF($G46&lt;&gt;"Valid","",VLOOKUP($E46&amp;"|"&amp;$F46,Cluster_Master!$I$3:$H$17,3,FALSE))</f>
        <v/>
      </c>
      <c r="I46" s="7">
        <f>IF($G46&lt;&gt;"Valid","",VLOOKUP($E46&amp;"|"&amp;$F46,Cluster_Master!$I$3:$H$17,4,FALSE))</f>
        <v/>
      </c>
      <c r="J46" s="7">
        <f>IF($G46&lt;&gt;"Valid","",VLOOKUP($E46&amp;"|"&amp;$F46,Cluster_Master!$I$3:$H$17,5,FALSE))</f>
        <v/>
      </c>
      <c r="K46" s="7">
        <f>IF($G46&lt;&gt;"Valid","",VLOOKUP($E46&amp;"|"&amp;$F46,Cluster_Master!$I$3:$H$17,6,FALSE))</f>
        <v/>
      </c>
      <c r="L46" s="7">
        <f>IF($G46&lt;&gt;"Valid","",VLOOKUP($E46&amp;"|"&amp;$F46,Cluster_Master!$I$3:$H$17,7,FALSE))</f>
        <v/>
      </c>
      <c r="M46" s="7">
        <f>IF($G46&lt;&gt;"Valid","",VLOOKUP($E46&amp;"|"&amp;$F46,Cluster_Master!$I$3:$H$17,8,FALSE))</f>
        <v/>
      </c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7">
        <f>IF(COUNT(T46:AH46)=0,"",SUM(T46:AH46))</f>
        <v/>
      </c>
      <c r="AJ46" s="10">
        <f>IF(AI46="","",AI46/75)</f>
        <v/>
      </c>
      <c r="AK46" s="10">
        <f>IF(AI46="","",SUMPRODUCT(T46:AH46,KPI_Weights!$B$3:$B$17)/5)</f>
        <v/>
      </c>
      <c r="AL46" s="7">
        <f>IF(COUNT(T46:AH46)=0,"",IF(OR(T46&lt;=1,W46&lt;=1,X46&lt;=1,Y46&lt;=1,AB46&lt;=1),"YES","NO"))</f>
        <v/>
      </c>
      <c r="AM46" s="7">
        <f>IF(AK46="","",IF(AND(AK46="NO",AJ46&gt;=0.85),"YES","NO"))</f>
        <v/>
      </c>
      <c r="AN46" s="7">
        <f>IF(AJ46="","",IF(AJ46&gt;=0.90,"Excellent",IF(AJ46&gt;=0.80,"Good",IF(AJ46&gt;=0.70,"Fair","Poor"))))</f>
        <v/>
      </c>
      <c r="AO46" s="12" t="n"/>
      <c r="AP46" s="12" t="n"/>
      <c r="AQ46" s="12" t="n"/>
      <c r="AR46" s="12" t="n"/>
      <c r="AS46" s="12" t="n"/>
      <c r="AT46" s="12" t="n"/>
      <c r="AU46" s="12" t="n"/>
      <c r="AV46" s="11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</row>
    <row r="47">
      <c r="A47" s="7">
        <f>IF(B47="","","INS-"&amp;TEXT(ROW()-3,"000"))</f>
        <v/>
      </c>
      <c r="B47" s="11" t="n"/>
      <c r="C47" s="7">
        <f>IF(B47="","",ISOWEEKNUM(B47))</f>
        <v/>
      </c>
      <c r="D47" s="7">
        <f>IF(B47="","",TEXT(B47,"yyyy-mm"))</f>
        <v/>
      </c>
      <c r="E47" s="12" t="n"/>
      <c r="F47" s="12" t="n"/>
      <c r="G47" s="7">
        <f>IF(OR(E47="",F47=""),"",IF(COUNTIF(Cluster_Master!$I$3:$I$17,E47&amp;"|"&amp;F47)=1,"Valid","Review"))</f>
        <v/>
      </c>
      <c r="H47" s="7">
        <f>IF($G47&lt;&gt;"Valid","",VLOOKUP($E47&amp;"|"&amp;$F47,Cluster_Master!$I$3:$H$17,3,FALSE))</f>
        <v/>
      </c>
      <c r="I47" s="7">
        <f>IF($G47&lt;&gt;"Valid","",VLOOKUP($E47&amp;"|"&amp;$F47,Cluster_Master!$I$3:$H$17,4,FALSE))</f>
        <v/>
      </c>
      <c r="J47" s="7">
        <f>IF($G47&lt;&gt;"Valid","",VLOOKUP($E47&amp;"|"&amp;$F47,Cluster_Master!$I$3:$H$17,5,FALSE))</f>
        <v/>
      </c>
      <c r="K47" s="7">
        <f>IF($G47&lt;&gt;"Valid","",VLOOKUP($E47&amp;"|"&amp;$F47,Cluster_Master!$I$3:$H$17,6,FALSE))</f>
        <v/>
      </c>
      <c r="L47" s="7">
        <f>IF($G47&lt;&gt;"Valid","",VLOOKUP($E47&amp;"|"&amp;$F47,Cluster_Master!$I$3:$H$17,7,FALSE))</f>
        <v/>
      </c>
      <c r="M47" s="7">
        <f>IF($G47&lt;&gt;"Valid","",VLOOKUP($E47&amp;"|"&amp;$F47,Cluster_Master!$I$3:$H$17,8,FALSE))</f>
        <v/>
      </c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7">
        <f>IF(COUNT(T47:AH47)=0,"",SUM(T47:AH47))</f>
        <v/>
      </c>
      <c r="AJ47" s="10">
        <f>IF(AI47="","",AI47/75)</f>
        <v/>
      </c>
      <c r="AK47" s="10">
        <f>IF(AI47="","",SUMPRODUCT(T47:AH47,KPI_Weights!$B$3:$B$17)/5)</f>
        <v/>
      </c>
      <c r="AL47" s="7">
        <f>IF(COUNT(T47:AH47)=0,"",IF(OR(T47&lt;=1,W47&lt;=1,X47&lt;=1,Y47&lt;=1,AB47&lt;=1),"YES","NO"))</f>
        <v/>
      </c>
      <c r="AM47" s="7">
        <f>IF(AK47="","",IF(AND(AK47="NO",AJ47&gt;=0.85),"YES","NO"))</f>
        <v/>
      </c>
      <c r="AN47" s="7">
        <f>IF(AJ47="","",IF(AJ47&gt;=0.90,"Excellent",IF(AJ47&gt;=0.80,"Good",IF(AJ47&gt;=0.70,"Fair","Poor"))))</f>
        <v/>
      </c>
      <c r="AO47" s="12" t="n"/>
      <c r="AP47" s="12" t="n"/>
      <c r="AQ47" s="12" t="n"/>
      <c r="AR47" s="12" t="n"/>
      <c r="AS47" s="12" t="n"/>
      <c r="AT47" s="12" t="n"/>
      <c r="AU47" s="12" t="n"/>
      <c r="AV47" s="11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</row>
    <row r="48">
      <c r="A48" s="7">
        <f>IF(B48="","","INS-"&amp;TEXT(ROW()-3,"000"))</f>
        <v/>
      </c>
      <c r="B48" s="11" t="n"/>
      <c r="C48" s="7">
        <f>IF(B48="","",ISOWEEKNUM(B48))</f>
        <v/>
      </c>
      <c r="D48" s="7">
        <f>IF(B48="","",TEXT(B48,"yyyy-mm"))</f>
        <v/>
      </c>
      <c r="E48" s="12" t="n"/>
      <c r="F48" s="12" t="n"/>
      <c r="G48" s="7">
        <f>IF(OR(E48="",F48=""),"",IF(COUNTIF(Cluster_Master!$I$3:$I$17,E48&amp;"|"&amp;F48)=1,"Valid","Review"))</f>
        <v/>
      </c>
      <c r="H48" s="7">
        <f>IF($G48&lt;&gt;"Valid","",VLOOKUP($E48&amp;"|"&amp;$F48,Cluster_Master!$I$3:$H$17,3,FALSE))</f>
        <v/>
      </c>
      <c r="I48" s="7">
        <f>IF($G48&lt;&gt;"Valid","",VLOOKUP($E48&amp;"|"&amp;$F48,Cluster_Master!$I$3:$H$17,4,FALSE))</f>
        <v/>
      </c>
      <c r="J48" s="7">
        <f>IF($G48&lt;&gt;"Valid","",VLOOKUP($E48&amp;"|"&amp;$F48,Cluster_Master!$I$3:$H$17,5,FALSE))</f>
        <v/>
      </c>
      <c r="K48" s="7">
        <f>IF($G48&lt;&gt;"Valid","",VLOOKUP($E48&amp;"|"&amp;$F48,Cluster_Master!$I$3:$H$17,6,FALSE))</f>
        <v/>
      </c>
      <c r="L48" s="7">
        <f>IF($G48&lt;&gt;"Valid","",VLOOKUP($E48&amp;"|"&amp;$F48,Cluster_Master!$I$3:$H$17,7,FALSE))</f>
        <v/>
      </c>
      <c r="M48" s="7">
        <f>IF($G48&lt;&gt;"Valid","",VLOOKUP($E48&amp;"|"&amp;$F48,Cluster_Master!$I$3:$H$17,8,FALSE))</f>
        <v/>
      </c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7">
        <f>IF(COUNT(T48:AH48)=0,"",SUM(T48:AH48))</f>
        <v/>
      </c>
      <c r="AJ48" s="10">
        <f>IF(AI48="","",AI48/75)</f>
        <v/>
      </c>
      <c r="AK48" s="10">
        <f>IF(AI48="","",SUMPRODUCT(T48:AH48,KPI_Weights!$B$3:$B$17)/5)</f>
        <v/>
      </c>
      <c r="AL48" s="7">
        <f>IF(COUNT(T48:AH48)=0,"",IF(OR(T48&lt;=1,W48&lt;=1,X48&lt;=1,Y48&lt;=1,AB48&lt;=1),"YES","NO"))</f>
        <v/>
      </c>
      <c r="AM48" s="7">
        <f>IF(AK48="","",IF(AND(AK48="NO",AJ48&gt;=0.85),"YES","NO"))</f>
        <v/>
      </c>
      <c r="AN48" s="7">
        <f>IF(AJ48="","",IF(AJ48&gt;=0.90,"Excellent",IF(AJ48&gt;=0.80,"Good",IF(AJ48&gt;=0.70,"Fair","Poor"))))</f>
        <v/>
      </c>
      <c r="AO48" s="12" t="n"/>
      <c r="AP48" s="12" t="n"/>
      <c r="AQ48" s="12" t="n"/>
      <c r="AR48" s="12" t="n"/>
      <c r="AS48" s="12" t="n"/>
      <c r="AT48" s="12" t="n"/>
      <c r="AU48" s="12" t="n"/>
      <c r="AV48" s="11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</row>
    <row r="49">
      <c r="A49" s="7">
        <f>IF(B49="","","INS-"&amp;TEXT(ROW()-3,"000"))</f>
        <v/>
      </c>
      <c r="B49" s="11" t="n"/>
      <c r="C49" s="7">
        <f>IF(B49="","",ISOWEEKNUM(B49))</f>
        <v/>
      </c>
      <c r="D49" s="7">
        <f>IF(B49="","",TEXT(B49,"yyyy-mm"))</f>
        <v/>
      </c>
      <c r="E49" s="12" t="n"/>
      <c r="F49" s="12" t="n"/>
      <c r="G49" s="7">
        <f>IF(OR(E49="",F49=""),"",IF(COUNTIF(Cluster_Master!$I$3:$I$17,E49&amp;"|"&amp;F49)=1,"Valid","Review"))</f>
        <v/>
      </c>
      <c r="H49" s="7">
        <f>IF($G49&lt;&gt;"Valid","",VLOOKUP($E49&amp;"|"&amp;$F49,Cluster_Master!$I$3:$H$17,3,FALSE))</f>
        <v/>
      </c>
      <c r="I49" s="7">
        <f>IF($G49&lt;&gt;"Valid","",VLOOKUP($E49&amp;"|"&amp;$F49,Cluster_Master!$I$3:$H$17,4,FALSE))</f>
        <v/>
      </c>
      <c r="J49" s="7">
        <f>IF($G49&lt;&gt;"Valid","",VLOOKUP($E49&amp;"|"&amp;$F49,Cluster_Master!$I$3:$H$17,5,FALSE))</f>
        <v/>
      </c>
      <c r="K49" s="7">
        <f>IF($G49&lt;&gt;"Valid","",VLOOKUP($E49&amp;"|"&amp;$F49,Cluster_Master!$I$3:$H$17,6,FALSE))</f>
        <v/>
      </c>
      <c r="L49" s="7">
        <f>IF($G49&lt;&gt;"Valid","",VLOOKUP($E49&amp;"|"&amp;$F49,Cluster_Master!$I$3:$H$17,7,FALSE))</f>
        <v/>
      </c>
      <c r="M49" s="7">
        <f>IF($G49&lt;&gt;"Valid","",VLOOKUP($E49&amp;"|"&amp;$F49,Cluster_Master!$I$3:$H$17,8,FALSE))</f>
        <v/>
      </c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7">
        <f>IF(COUNT(T49:AH49)=0,"",SUM(T49:AH49))</f>
        <v/>
      </c>
      <c r="AJ49" s="10">
        <f>IF(AI49="","",AI49/75)</f>
        <v/>
      </c>
      <c r="AK49" s="10">
        <f>IF(AI49="","",SUMPRODUCT(T49:AH49,KPI_Weights!$B$3:$B$17)/5)</f>
        <v/>
      </c>
      <c r="AL49" s="7">
        <f>IF(COUNT(T49:AH49)=0,"",IF(OR(T49&lt;=1,W49&lt;=1,X49&lt;=1,Y49&lt;=1,AB49&lt;=1),"YES","NO"))</f>
        <v/>
      </c>
      <c r="AM49" s="7">
        <f>IF(AK49="","",IF(AND(AK49="NO",AJ49&gt;=0.85),"YES","NO"))</f>
        <v/>
      </c>
      <c r="AN49" s="7">
        <f>IF(AJ49="","",IF(AJ49&gt;=0.90,"Excellent",IF(AJ49&gt;=0.80,"Good",IF(AJ49&gt;=0.70,"Fair","Poor"))))</f>
        <v/>
      </c>
      <c r="AO49" s="12" t="n"/>
      <c r="AP49" s="12" t="n"/>
      <c r="AQ49" s="12" t="n"/>
      <c r="AR49" s="12" t="n"/>
      <c r="AS49" s="12" t="n"/>
      <c r="AT49" s="12" t="n"/>
      <c r="AU49" s="12" t="n"/>
      <c r="AV49" s="11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</row>
    <row r="50">
      <c r="A50" s="7">
        <f>IF(B50="","","INS-"&amp;TEXT(ROW()-3,"000"))</f>
        <v/>
      </c>
      <c r="B50" s="11" t="n"/>
      <c r="C50" s="7">
        <f>IF(B50="","",ISOWEEKNUM(B50))</f>
        <v/>
      </c>
      <c r="D50" s="7">
        <f>IF(B50="","",TEXT(B50,"yyyy-mm"))</f>
        <v/>
      </c>
      <c r="E50" s="12" t="n"/>
      <c r="F50" s="12" t="n"/>
      <c r="G50" s="7">
        <f>IF(OR(E50="",F50=""),"",IF(COUNTIF(Cluster_Master!$I$3:$I$17,E50&amp;"|"&amp;F50)=1,"Valid","Review"))</f>
        <v/>
      </c>
      <c r="H50" s="7">
        <f>IF($G50&lt;&gt;"Valid","",VLOOKUP($E50&amp;"|"&amp;$F50,Cluster_Master!$I$3:$H$17,3,FALSE))</f>
        <v/>
      </c>
      <c r="I50" s="7">
        <f>IF($G50&lt;&gt;"Valid","",VLOOKUP($E50&amp;"|"&amp;$F50,Cluster_Master!$I$3:$H$17,4,FALSE))</f>
        <v/>
      </c>
      <c r="J50" s="7">
        <f>IF($G50&lt;&gt;"Valid","",VLOOKUP($E50&amp;"|"&amp;$F50,Cluster_Master!$I$3:$H$17,5,FALSE))</f>
        <v/>
      </c>
      <c r="K50" s="7">
        <f>IF($G50&lt;&gt;"Valid","",VLOOKUP($E50&amp;"|"&amp;$F50,Cluster_Master!$I$3:$H$17,6,FALSE))</f>
        <v/>
      </c>
      <c r="L50" s="7">
        <f>IF($G50&lt;&gt;"Valid","",VLOOKUP($E50&amp;"|"&amp;$F50,Cluster_Master!$I$3:$H$17,7,FALSE))</f>
        <v/>
      </c>
      <c r="M50" s="7">
        <f>IF($G50&lt;&gt;"Valid","",VLOOKUP($E50&amp;"|"&amp;$F50,Cluster_Master!$I$3:$H$17,8,FALSE))</f>
        <v/>
      </c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7">
        <f>IF(COUNT(T50:AH50)=0,"",SUM(T50:AH50))</f>
        <v/>
      </c>
      <c r="AJ50" s="10">
        <f>IF(AI50="","",AI50/75)</f>
        <v/>
      </c>
      <c r="AK50" s="10">
        <f>IF(AI50="","",SUMPRODUCT(T50:AH50,KPI_Weights!$B$3:$B$17)/5)</f>
        <v/>
      </c>
      <c r="AL50" s="7">
        <f>IF(COUNT(T50:AH50)=0,"",IF(OR(T50&lt;=1,W50&lt;=1,X50&lt;=1,Y50&lt;=1,AB50&lt;=1),"YES","NO"))</f>
        <v/>
      </c>
      <c r="AM50" s="7">
        <f>IF(AK50="","",IF(AND(AK50="NO",AJ50&gt;=0.85),"YES","NO"))</f>
        <v/>
      </c>
      <c r="AN50" s="7">
        <f>IF(AJ50="","",IF(AJ50&gt;=0.90,"Excellent",IF(AJ50&gt;=0.80,"Good",IF(AJ50&gt;=0.70,"Fair","Poor"))))</f>
        <v/>
      </c>
      <c r="AO50" s="12" t="n"/>
      <c r="AP50" s="12" t="n"/>
      <c r="AQ50" s="12" t="n"/>
      <c r="AR50" s="12" t="n"/>
      <c r="AS50" s="12" t="n"/>
      <c r="AT50" s="12" t="n"/>
      <c r="AU50" s="12" t="n"/>
      <c r="AV50" s="11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</row>
    <row r="51">
      <c r="A51" s="7">
        <f>IF(B51="","","INS-"&amp;TEXT(ROW()-3,"000"))</f>
        <v/>
      </c>
      <c r="B51" s="11" t="n"/>
      <c r="C51" s="7">
        <f>IF(B51="","",ISOWEEKNUM(B51))</f>
        <v/>
      </c>
      <c r="D51" s="7">
        <f>IF(B51="","",TEXT(B51,"yyyy-mm"))</f>
        <v/>
      </c>
      <c r="E51" s="12" t="n"/>
      <c r="F51" s="12" t="n"/>
      <c r="G51" s="7">
        <f>IF(OR(E51="",F51=""),"",IF(COUNTIF(Cluster_Master!$I$3:$I$17,E51&amp;"|"&amp;F51)=1,"Valid","Review"))</f>
        <v/>
      </c>
      <c r="H51" s="7">
        <f>IF($G51&lt;&gt;"Valid","",VLOOKUP($E51&amp;"|"&amp;$F51,Cluster_Master!$I$3:$H$17,3,FALSE))</f>
        <v/>
      </c>
      <c r="I51" s="7">
        <f>IF($G51&lt;&gt;"Valid","",VLOOKUP($E51&amp;"|"&amp;$F51,Cluster_Master!$I$3:$H$17,4,FALSE))</f>
        <v/>
      </c>
      <c r="J51" s="7">
        <f>IF($G51&lt;&gt;"Valid","",VLOOKUP($E51&amp;"|"&amp;$F51,Cluster_Master!$I$3:$H$17,5,FALSE))</f>
        <v/>
      </c>
      <c r="K51" s="7">
        <f>IF($G51&lt;&gt;"Valid","",VLOOKUP($E51&amp;"|"&amp;$F51,Cluster_Master!$I$3:$H$17,6,FALSE))</f>
        <v/>
      </c>
      <c r="L51" s="7">
        <f>IF($G51&lt;&gt;"Valid","",VLOOKUP($E51&amp;"|"&amp;$F51,Cluster_Master!$I$3:$H$17,7,FALSE))</f>
        <v/>
      </c>
      <c r="M51" s="7">
        <f>IF($G51&lt;&gt;"Valid","",VLOOKUP($E51&amp;"|"&amp;$F51,Cluster_Master!$I$3:$H$17,8,FALSE))</f>
        <v/>
      </c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7">
        <f>IF(COUNT(T51:AH51)=0,"",SUM(T51:AH51))</f>
        <v/>
      </c>
      <c r="AJ51" s="10">
        <f>IF(AI51="","",AI51/75)</f>
        <v/>
      </c>
      <c r="AK51" s="10">
        <f>IF(AI51="","",SUMPRODUCT(T51:AH51,KPI_Weights!$B$3:$B$17)/5)</f>
        <v/>
      </c>
      <c r="AL51" s="7">
        <f>IF(COUNT(T51:AH51)=0,"",IF(OR(T51&lt;=1,W51&lt;=1,X51&lt;=1,Y51&lt;=1,AB51&lt;=1),"YES","NO"))</f>
        <v/>
      </c>
      <c r="AM51" s="7">
        <f>IF(AK51="","",IF(AND(AK51="NO",AJ51&gt;=0.85),"YES","NO"))</f>
        <v/>
      </c>
      <c r="AN51" s="7">
        <f>IF(AJ51="","",IF(AJ51&gt;=0.90,"Excellent",IF(AJ51&gt;=0.80,"Good",IF(AJ51&gt;=0.70,"Fair","Poor"))))</f>
        <v/>
      </c>
      <c r="AO51" s="12" t="n"/>
      <c r="AP51" s="12" t="n"/>
      <c r="AQ51" s="12" t="n"/>
      <c r="AR51" s="12" t="n"/>
      <c r="AS51" s="12" t="n"/>
      <c r="AT51" s="12" t="n"/>
      <c r="AU51" s="12" t="n"/>
      <c r="AV51" s="11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</row>
    <row r="52">
      <c r="A52" s="7">
        <f>IF(B52="","","INS-"&amp;TEXT(ROW()-3,"000"))</f>
        <v/>
      </c>
      <c r="B52" s="11" t="n"/>
      <c r="C52" s="7">
        <f>IF(B52="","",ISOWEEKNUM(B52))</f>
        <v/>
      </c>
      <c r="D52" s="7">
        <f>IF(B52="","",TEXT(B52,"yyyy-mm"))</f>
        <v/>
      </c>
      <c r="E52" s="12" t="n"/>
      <c r="F52" s="12" t="n"/>
      <c r="G52" s="7">
        <f>IF(OR(E52="",F52=""),"",IF(COUNTIF(Cluster_Master!$I$3:$I$17,E52&amp;"|"&amp;F52)=1,"Valid","Review"))</f>
        <v/>
      </c>
      <c r="H52" s="7">
        <f>IF($G52&lt;&gt;"Valid","",VLOOKUP($E52&amp;"|"&amp;$F52,Cluster_Master!$I$3:$H$17,3,FALSE))</f>
        <v/>
      </c>
      <c r="I52" s="7">
        <f>IF($G52&lt;&gt;"Valid","",VLOOKUP($E52&amp;"|"&amp;$F52,Cluster_Master!$I$3:$H$17,4,FALSE))</f>
        <v/>
      </c>
      <c r="J52" s="7">
        <f>IF($G52&lt;&gt;"Valid","",VLOOKUP($E52&amp;"|"&amp;$F52,Cluster_Master!$I$3:$H$17,5,FALSE))</f>
        <v/>
      </c>
      <c r="K52" s="7">
        <f>IF($G52&lt;&gt;"Valid","",VLOOKUP($E52&amp;"|"&amp;$F52,Cluster_Master!$I$3:$H$17,6,FALSE))</f>
        <v/>
      </c>
      <c r="L52" s="7">
        <f>IF($G52&lt;&gt;"Valid","",VLOOKUP($E52&amp;"|"&amp;$F52,Cluster_Master!$I$3:$H$17,7,FALSE))</f>
        <v/>
      </c>
      <c r="M52" s="7">
        <f>IF($G52&lt;&gt;"Valid","",VLOOKUP($E52&amp;"|"&amp;$F52,Cluster_Master!$I$3:$H$17,8,FALSE))</f>
        <v/>
      </c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7">
        <f>IF(COUNT(T52:AH52)=0,"",SUM(T52:AH52))</f>
        <v/>
      </c>
      <c r="AJ52" s="10">
        <f>IF(AI52="","",AI52/75)</f>
        <v/>
      </c>
      <c r="AK52" s="10">
        <f>IF(AI52="","",SUMPRODUCT(T52:AH52,KPI_Weights!$B$3:$B$17)/5)</f>
        <v/>
      </c>
      <c r="AL52" s="7">
        <f>IF(COUNT(T52:AH52)=0,"",IF(OR(T52&lt;=1,W52&lt;=1,X52&lt;=1,Y52&lt;=1,AB52&lt;=1),"YES","NO"))</f>
        <v/>
      </c>
      <c r="AM52" s="7">
        <f>IF(AK52="","",IF(AND(AK52="NO",AJ52&gt;=0.85),"YES","NO"))</f>
        <v/>
      </c>
      <c r="AN52" s="7">
        <f>IF(AJ52="","",IF(AJ52&gt;=0.90,"Excellent",IF(AJ52&gt;=0.80,"Good",IF(AJ52&gt;=0.70,"Fair","Poor"))))</f>
        <v/>
      </c>
      <c r="AO52" s="12" t="n"/>
      <c r="AP52" s="12" t="n"/>
      <c r="AQ52" s="12" t="n"/>
      <c r="AR52" s="12" t="n"/>
      <c r="AS52" s="12" t="n"/>
      <c r="AT52" s="12" t="n"/>
      <c r="AU52" s="12" t="n"/>
      <c r="AV52" s="11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</row>
    <row r="53">
      <c r="A53" s="7">
        <f>IF(B53="","","INS-"&amp;TEXT(ROW()-3,"000"))</f>
        <v/>
      </c>
      <c r="B53" s="11" t="n"/>
      <c r="C53" s="7">
        <f>IF(B53="","",ISOWEEKNUM(B53))</f>
        <v/>
      </c>
      <c r="D53" s="7">
        <f>IF(B53="","",TEXT(B53,"yyyy-mm"))</f>
        <v/>
      </c>
      <c r="E53" s="12" t="n"/>
      <c r="F53" s="12" t="n"/>
      <c r="G53" s="7">
        <f>IF(OR(E53="",F53=""),"",IF(COUNTIF(Cluster_Master!$I$3:$I$17,E53&amp;"|"&amp;F53)=1,"Valid","Review"))</f>
        <v/>
      </c>
      <c r="H53" s="7">
        <f>IF($G53&lt;&gt;"Valid","",VLOOKUP($E53&amp;"|"&amp;$F53,Cluster_Master!$I$3:$H$17,3,FALSE))</f>
        <v/>
      </c>
      <c r="I53" s="7">
        <f>IF($G53&lt;&gt;"Valid","",VLOOKUP($E53&amp;"|"&amp;$F53,Cluster_Master!$I$3:$H$17,4,FALSE))</f>
        <v/>
      </c>
      <c r="J53" s="7">
        <f>IF($G53&lt;&gt;"Valid","",VLOOKUP($E53&amp;"|"&amp;$F53,Cluster_Master!$I$3:$H$17,5,FALSE))</f>
        <v/>
      </c>
      <c r="K53" s="7">
        <f>IF($G53&lt;&gt;"Valid","",VLOOKUP($E53&amp;"|"&amp;$F53,Cluster_Master!$I$3:$H$17,6,FALSE))</f>
        <v/>
      </c>
      <c r="L53" s="7">
        <f>IF($G53&lt;&gt;"Valid","",VLOOKUP($E53&amp;"|"&amp;$F53,Cluster_Master!$I$3:$H$17,7,FALSE))</f>
        <v/>
      </c>
      <c r="M53" s="7">
        <f>IF($G53&lt;&gt;"Valid","",VLOOKUP($E53&amp;"|"&amp;$F53,Cluster_Master!$I$3:$H$17,8,FALSE))</f>
        <v/>
      </c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7">
        <f>IF(COUNT(T53:AH53)=0,"",SUM(T53:AH53))</f>
        <v/>
      </c>
      <c r="AJ53" s="10">
        <f>IF(AI53="","",AI53/75)</f>
        <v/>
      </c>
      <c r="AK53" s="10">
        <f>IF(AI53="","",SUMPRODUCT(T53:AH53,KPI_Weights!$B$3:$B$17)/5)</f>
        <v/>
      </c>
      <c r="AL53" s="7">
        <f>IF(COUNT(T53:AH53)=0,"",IF(OR(T53&lt;=1,W53&lt;=1,X53&lt;=1,Y53&lt;=1,AB53&lt;=1),"YES","NO"))</f>
        <v/>
      </c>
      <c r="AM53" s="7">
        <f>IF(AK53="","",IF(AND(AK53="NO",AJ53&gt;=0.85),"YES","NO"))</f>
        <v/>
      </c>
      <c r="AN53" s="7">
        <f>IF(AJ53="","",IF(AJ53&gt;=0.90,"Excellent",IF(AJ53&gt;=0.80,"Good",IF(AJ53&gt;=0.70,"Fair","Poor"))))</f>
        <v/>
      </c>
      <c r="AO53" s="12" t="n"/>
      <c r="AP53" s="12" t="n"/>
      <c r="AQ53" s="12" t="n"/>
      <c r="AR53" s="12" t="n"/>
      <c r="AS53" s="12" t="n"/>
      <c r="AT53" s="12" t="n"/>
      <c r="AU53" s="12" t="n"/>
      <c r="AV53" s="11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</row>
    <row r="54">
      <c r="A54" s="7">
        <f>IF(B54="","","INS-"&amp;TEXT(ROW()-3,"000"))</f>
        <v/>
      </c>
      <c r="B54" s="11" t="n"/>
      <c r="C54" s="7">
        <f>IF(B54="","",ISOWEEKNUM(B54))</f>
        <v/>
      </c>
      <c r="D54" s="7">
        <f>IF(B54="","",TEXT(B54,"yyyy-mm"))</f>
        <v/>
      </c>
      <c r="E54" s="12" t="n"/>
      <c r="F54" s="12" t="n"/>
      <c r="G54" s="7">
        <f>IF(OR(E54="",F54=""),"",IF(COUNTIF(Cluster_Master!$I$3:$I$17,E54&amp;"|"&amp;F54)=1,"Valid","Review"))</f>
        <v/>
      </c>
      <c r="H54" s="7">
        <f>IF($G54&lt;&gt;"Valid","",VLOOKUP($E54&amp;"|"&amp;$F54,Cluster_Master!$I$3:$H$17,3,FALSE))</f>
        <v/>
      </c>
      <c r="I54" s="7">
        <f>IF($G54&lt;&gt;"Valid","",VLOOKUP($E54&amp;"|"&amp;$F54,Cluster_Master!$I$3:$H$17,4,FALSE))</f>
        <v/>
      </c>
      <c r="J54" s="7">
        <f>IF($G54&lt;&gt;"Valid","",VLOOKUP($E54&amp;"|"&amp;$F54,Cluster_Master!$I$3:$H$17,5,FALSE))</f>
        <v/>
      </c>
      <c r="K54" s="7">
        <f>IF($G54&lt;&gt;"Valid","",VLOOKUP($E54&amp;"|"&amp;$F54,Cluster_Master!$I$3:$H$17,6,FALSE))</f>
        <v/>
      </c>
      <c r="L54" s="7">
        <f>IF($G54&lt;&gt;"Valid","",VLOOKUP($E54&amp;"|"&amp;$F54,Cluster_Master!$I$3:$H$17,7,FALSE))</f>
        <v/>
      </c>
      <c r="M54" s="7">
        <f>IF($G54&lt;&gt;"Valid","",VLOOKUP($E54&amp;"|"&amp;$F54,Cluster_Master!$I$3:$H$17,8,FALSE))</f>
        <v/>
      </c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7">
        <f>IF(COUNT(T54:AH54)=0,"",SUM(T54:AH54))</f>
        <v/>
      </c>
      <c r="AJ54" s="10">
        <f>IF(AI54="","",AI54/75)</f>
        <v/>
      </c>
      <c r="AK54" s="10">
        <f>IF(AI54="","",SUMPRODUCT(T54:AH54,KPI_Weights!$B$3:$B$17)/5)</f>
        <v/>
      </c>
      <c r="AL54" s="7">
        <f>IF(COUNT(T54:AH54)=0,"",IF(OR(T54&lt;=1,W54&lt;=1,X54&lt;=1,Y54&lt;=1,AB54&lt;=1),"YES","NO"))</f>
        <v/>
      </c>
      <c r="AM54" s="7">
        <f>IF(AK54="","",IF(AND(AK54="NO",AJ54&gt;=0.85),"YES","NO"))</f>
        <v/>
      </c>
      <c r="AN54" s="7">
        <f>IF(AJ54="","",IF(AJ54&gt;=0.90,"Excellent",IF(AJ54&gt;=0.80,"Good",IF(AJ54&gt;=0.70,"Fair","Poor"))))</f>
        <v/>
      </c>
      <c r="AO54" s="12" t="n"/>
      <c r="AP54" s="12" t="n"/>
      <c r="AQ54" s="12" t="n"/>
      <c r="AR54" s="12" t="n"/>
      <c r="AS54" s="12" t="n"/>
      <c r="AT54" s="12" t="n"/>
      <c r="AU54" s="12" t="n"/>
      <c r="AV54" s="11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</row>
    <row r="55">
      <c r="A55" s="7">
        <f>IF(B55="","","INS-"&amp;TEXT(ROW()-3,"000"))</f>
        <v/>
      </c>
      <c r="B55" s="11" t="n"/>
      <c r="C55" s="7">
        <f>IF(B55="","",ISOWEEKNUM(B55))</f>
        <v/>
      </c>
      <c r="D55" s="7">
        <f>IF(B55="","",TEXT(B55,"yyyy-mm"))</f>
        <v/>
      </c>
      <c r="E55" s="12" t="n"/>
      <c r="F55" s="12" t="n"/>
      <c r="G55" s="7">
        <f>IF(OR(E55="",F55=""),"",IF(COUNTIF(Cluster_Master!$I$3:$I$17,E55&amp;"|"&amp;F55)=1,"Valid","Review"))</f>
        <v/>
      </c>
      <c r="H55" s="7">
        <f>IF($G55&lt;&gt;"Valid","",VLOOKUP($E55&amp;"|"&amp;$F55,Cluster_Master!$I$3:$H$17,3,FALSE))</f>
        <v/>
      </c>
      <c r="I55" s="7">
        <f>IF($G55&lt;&gt;"Valid","",VLOOKUP($E55&amp;"|"&amp;$F55,Cluster_Master!$I$3:$H$17,4,FALSE))</f>
        <v/>
      </c>
      <c r="J55" s="7">
        <f>IF($G55&lt;&gt;"Valid","",VLOOKUP($E55&amp;"|"&amp;$F55,Cluster_Master!$I$3:$H$17,5,FALSE))</f>
        <v/>
      </c>
      <c r="K55" s="7">
        <f>IF($G55&lt;&gt;"Valid","",VLOOKUP($E55&amp;"|"&amp;$F55,Cluster_Master!$I$3:$H$17,6,FALSE))</f>
        <v/>
      </c>
      <c r="L55" s="7">
        <f>IF($G55&lt;&gt;"Valid","",VLOOKUP($E55&amp;"|"&amp;$F55,Cluster_Master!$I$3:$H$17,7,FALSE))</f>
        <v/>
      </c>
      <c r="M55" s="7">
        <f>IF($G55&lt;&gt;"Valid","",VLOOKUP($E55&amp;"|"&amp;$F55,Cluster_Master!$I$3:$H$17,8,FALSE))</f>
        <v/>
      </c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7">
        <f>IF(COUNT(T55:AH55)=0,"",SUM(T55:AH55))</f>
        <v/>
      </c>
      <c r="AJ55" s="10">
        <f>IF(AI55="","",AI55/75)</f>
        <v/>
      </c>
      <c r="AK55" s="10">
        <f>IF(AI55="","",SUMPRODUCT(T55:AH55,KPI_Weights!$B$3:$B$17)/5)</f>
        <v/>
      </c>
      <c r="AL55" s="7">
        <f>IF(COUNT(T55:AH55)=0,"",IF(OR(T55&lt;=1,W55&lt;=1,X55&lt;=1,Y55&lt;=1,AB55&lt;=1),"YES","NO"))</f>
        <v/>
      </c>
      <c r="AM55" s="7">
        <f>IF(AK55="","",IF(AND(AK55="NO",AJ55&gt;=0.85),"YES","NO"))</f>
        <v/>
      </c>
      <c r="AN55" s="7">
        <f>IF(AJ55="","",IF(AJ55&gt;=0.90,"Excellent",IF(AJ55&gt;=0.80,"Good",IF(AJ55&gt;=0.70,"Fair","Poor"))))</f>
        <v/>
      </c>
      <c r="AO55" s="12" t="n"/>
      <c r="AP55" s="12" t="n"/>
      <c r="AQ55" s="12" t="n"/>
      <c r="AR55" s="12" t="n"/>
      <c r="AS55" s="12" t="n"/>
      <c r="AT55" s="12" t="n"/>
      <c r="AU55" s="12" t="n"/>
      <c r="AV55" s="11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</row>
    <row r="56">
      <c r="A56" s="7">
        <f>IF(B56="","","INS-"&amp;TEXT(ROW()-3,"000"))</f>
        <v/>
      </c>
      <c r="B56" s="11" t="n"/>
      <c r="C56" s="7">
        <f>IF(B56="","",ISOWEEKNUM(B56))</f>
        <v/>
      </c>
      <c r="D56" s="7">
        <f>IF(B56="","",TEXT(B56,"yyyy-mm"))</f>
        <v/>
      </c>
      <c r="E56" s="12" t="n"/>
      <c r="F56" s="12" t="n"/>
      <c r="G56" s="7">
        <f>IF(OR(E56="",F56=""),"",IF(COUNTIF(Cluster_Master!$I$3:$I$17,E56&amp;"|"&amp;F56)=1,"Valid","Review"))</f>
        <v/>
      </c>
      <c r="H56" s="7">
        <f>IF($G56&lt;&gt;"Valid","",VLOOKUP($E56&amp;"|"&amp;$F56,Cluster_Master!$I$3:$H$17,3,FALSE))</f>
        <v/>
      </c>
      <c r="I56" s="7">
        <f>IF($G56&lt;&gt;"Valid","",VLOOKUP($E56&amp;"|"&amp;$F56,Cluster_Master!$I$3:$H$17,4,FALSE))</f>
        <v/>
      </c>
      <c r="J56" s="7">
        <f>IF($G56&lt;&gt;"Valid","",VLOOKUP($E56&amp;"|"&amp;$F56,Cluster_Master!$I$3:$H$17,5,FALSE))</f>
        <v/>
      </c>
      <c r="K56" s="7">
        <f>IF($G56&lt;&gt;"Valid","",VLOOKUP($E56&amp;"|"&amp;$F56,Cluster_Master!$I$3:$H$17,6,FALSE))</f>
        <v/>
      </c>
      <c r="L56" s="7">
        <f>IF($G56&lt;&gt;"Valid","",VLOOKUP($E56&amp;"|"&amp;$F56,Cluster_Master!$I$3:$H$17,7,FALSE))</f>
        <v/>
      </c>
      <c r="M56" s="7">
        <f>IF($G56&lt;&gt;"Valid","",VLOOKUP($E56&amp;"|"&amp;$F56,Cluster_Master!$I$3:$H$17,8,FALSE))</f>
        <v/>
      </c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7">
        <f>IF(COUNT(T56:AH56)=0,"",SUM(T56:AH56))</f>
        <v/>
      </c>
      <c r="AJ56" s="10">
        <f>IF(AI56="","",AI56/75)</f>
        <v/>
      </c>
      <c r="AK56" s="10">
        <f>IF(AI56="","",SUMPRODUCT(T56:AH56,KPI_Weights!$B$3:$B$17)/5)</f>
        <v/>
      </c>
      <c r="AL56" s="7">
        <f>IF(COUNT(T56:AH56)=0,"",IF(OR(T56&lt;=1,W56&lt;=1,X56&lt;=1,Y56&lt;=1,AB56&lt;=1),"YES","NO"))</f>
        <v/>
      </c>
      <c r="AM56" s="7">
        <f>IF(AK56="","",IF(AND(AK56="NO",AJ56&gt;=0.85),"YES","NO"))</f>
        <v/>
      </c>
      <c r="AN56" s="7">
        <f>IF(AJ56="","",IF(AJ56&gt;=0.90,"Excellent",IF(AJ56&gt;=0.80,"Good",IF(AJ56&gt;=0.70,"Fair","Poor"))))</f>
        <v/>
      </c>
      <c r="AO56" s="12" t="n"/>
      <c r="AP56" s="12" t="n"/>
      <c r="AQ56" s="12" t="n"/>
      <c r="AR56" s="12" t="n"/>
      <c r="AS56" s="12" t="n"/>
      <c r="AT56" s="12" t="n"/>
      <c r="AU56" s="12" t="n"/>
      <c r="AV56" s="11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</row>
    <row r="57">
      <c r="A57" s="7">
        <f>IF(B57="","","INS-"&amp;TEXT(ROW()-3,"000"))</f>
        <v/>
      </c>
      <c r="B57" s="11" t="n"/>
      <c r="C57" s="7">
        <f>IF(B57="","",ISOWEEKNUM(B57))</f>
        <v/>
      </c>
      <c r="D57" s="7">
        <f>IF(B57="","",TEXT(B57,"yyyy-mm"))</f>
        <v/>
      </c>
      <c r="E57" s="12" t="n"/>
      <c r="F57" s="12" t="n"/>
      <c r="G57" s="7">
        <f>IF(OR(E57="",F57=""),"",IF(COUNTIF(Cluster_Master!$I$3:$I$17,E57&amp;"|"&amp;F57)=1,"Valid","Review"))</f>
        <v/>
      </c>
      <c r="H57" s="7">
        <f>IF($G57&lt;&gt;"Valid","",VLOOKUP($E57&amp;"|"&amp;$F57,Cluster_Master!$I$3:$H$17,3,FALSE))</f>
        <v/>
      </c>
      <c r="I57" s="7">
        <f>IF($G57&lt;&gt;"Valid","",VLOOKUP($E57&amp;"|"&amp;$F57,Cluster_Master!$I$3:$H$17,4,FALSE))</f>
        <v/>
      </c>
      <c r="J57" s="7">
        <f>IF($G57&lt;&gt;"Valid","",VLOOKUP($E57&amp;"|"&amp;$F57,Cluster_Master!$I$3:$H$17,5,FALSE))</f>
        <v/>
      </c>
      <c r="K57" s="7">
        <f>IF($G57&lt;&gt;"Valid","",VLOOKUP($E57&amp;"|"&amp;$F57,Cluster_Master!$I$3:$H$17,6,FALSE))</f>
        <v/>
      </c>
      <c r="L57" s="7">
        <f>IF($G57&lt;&gt;"Valid","",VLOOKUP($E57&amp;"|"&amp;$F57,Cluster_Master!$I$3:$H$17,7,FALSE))</f>
        <v/>
      </c>
      <c r="M57" s="7">
        <f>IF($G57&lt;&gt;"Valid","",VLOOKUP($E57&amp;"|"&amp;$F57,Cluster_Master!$I$3:$H$17,8,FALSE))</f>
        <v/>
      </c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7">
        <f>IF(COUNT(T57:AH57)=0,"",SUM(T57:AH57))</f>
        <v/>
      </c>
      <c r="AJ57" s="10">
        <f>IF(AI57="","",AI57/75)</f>
        <v/>
      </c>
      <c r="AK57" s="10">
        <f>IF(AI57="","",SUMPRODUCT(T57:AH57,KPI_Weights!$B$3:$B$17)/5)</f>
        <v/>
      </c>
      <c r="AL57" s="7">
        <f>IF(COUNT(T57:AH57)=0,"",IF(OR(T57&lt;=1,W57&lt;=1,X57&lt;=1,Y57&lt;=1,AB57&lt;=1),"YES","NO"))</f>
        <v/>
      </c>
      <c r="AM57" s="7">
        <f>IF(AK57="","",IF(AND(AK57="NO",AJ57&gt;=0.85),"YES","NO"))</f>
        <v/>
      </c>
      <c r="AN57" s="7">
        <f>IF(AJ57="","",IF(AJ57&gt;=0.90,"Excellent",IF(AJ57&gt;=0.80,"Good",IF(AJ57&gt;=0.70,"Fair","Poor"))))</f>
        <v/>
      </c>
      <c r="AO57" s="12" t="n"/>
      <c r="AP57" s="12" t="n"/>
      <c r="AQ57" s="12" t="n"/>
      <c r="AR57" s="12" t="n"/>
      <c r="AS57" s="12" t="n"/>
      <c r="AT57" s="12" t="n"/>
      <c r="AU57" s="12" t="n"/>
      <c r="AV57" s="11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</row>
    <row r="58">
      <c r="A58" s="7">
        <f>IF(B58="","","INS-"&amp;TEXT(ROW()-3,"000"))</f>
        <v/>
      </c>
      <c r="B58" s="11" t="n"/>
      <c r="C58" s="7">
        <f>IF(B58="","",ISOWEEKNUM(B58))</f>
        <v/>
      </c>
      <c r="D58" s="7">
        <f>IF(B58="","",TEXT(B58,"yyyy-mm"))</f>
        <v/>
      </c>
      <c r="E58" s="12" t="n"/>
      <c r="F58" s="12" t="n"/>
      <c r="G58" s="7">
        <f>IF(OR(E58="",F58=""),"",IF(COUNTIF(Cluster_Master!$I$3:$I$17,E58&amp;"|"&amp;F58)=1,"Valid","Review"))</f>
        <v/>
      </c>
      <c r="H58" s="7">
        <f>IF($G58&lt;&gt;"Valid","",VLOOKUP($E58&amp;"|"&amp;$F58,Cluster_Master!$I$3:$H$17,3,FALSE))</f>
        <v/>
      </c>
      <c r="I58" s="7">
        <f>IF($G58&lt;&gt;"Valid","",VLOOKUP($E58&amp;"|"&amp;$F58,Cluster_Master!$I$3:$H$17,4,FALSE))</f>
        <v/>
      </c>
      <c r="J58" s="7">
        <f>IF($G58&lt;&gt;"Valid","",VLOOKUP($E58&amp;"|"&amp;$F58,Cluster_Master!$I$3:$H$17,5,FALSE))</f>
        <v/>
      </c>
      <c r="K58" s="7">
        <f>IF($G58&lt;&gt;"Valid","",VLOOKUP($E58&amp;"|"&amp;$F58,Cluster_Master!$I$3:$H$17,6,FALSE))</f>
        <v/>
      </c>
      <c r="L58" s="7">
        <f>IF($G58&lt;&gt;"Valid","",VLOOKUP($E58&amp;"|"&amp;$F58,Cluster_Master!$I$3:$H$17,7,FALSE))</f>
        <v/>
      </c>
      <c r="M58" s="7">
        <f>IF($G58&lt;&gt;"Valid","",VLOOKUP($E58&amp;"|"&amp;$F58,Cluster_Master!$I$3:$H$17,8,FALSE))</f>
        <v/>
      </c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7">
        <f>IF(COUNT(T58:AH58)=0,"",SUM(T58:AH58))</f>
        <v/>
      </c>
      <c r="AJ58" s="10">
        <f>IF(AI58="","",AI58/75)</f>
        <v/>
      </c>
      <c r="AK58" s="10">
        <f>IF(AI58="","",SUMPRODUCT(T58:AH58,KPI_Weights!$B$3:$B$17)/5)</f>
        <v/>
      </c>
      <c r="AL58" s="7">
        <f>IF(COUNT(T58:AH58)=0,"",IF(OR(T58&lt;=1,W58&lt;=1,X58&lt;=1,Y58&lt;=1,AB58&lt;=1),"YES","NO"))</f>
        <v/>
      </c>
      <c r="AM58" s="7">
        <f>IF(AK58="","",IF(AND(AK58="NO",AJ58&gt;=0.85),"YES","NO"))</f>
        <v/>
      </c>
      <c r="AN58" s="7">
        <f>IF(AJ58="","",IF(AJ58&gt;=0.90,"Excellent",IF(AJ58&gt;=0.80,"Good",IF(AJ58&gt;=0.70,"Fair","Poor"))))</f>
        <v/>
      </c>
      <c r="AO58" s="12" t="n"/>
      <c r="AP58" s="12" t="n"/>
      <c r="AQ58" s="12" t="n"/>
      <c r="AR58" s="12" t="n"/>
      <c r="AS58" s="12" t="n"/>
      <c r="AT58" s="12" t="n"/>
      <c r="AU58" s="12" t="n"/>
      <c r="AV58" s="11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</row>
    <row r="59">
      <c r="A59" s="7">
        <f>IF(B59="","","INS-"&amp;TEXT(ROW()-3,"000"))</f>
        <v/>
      </c>
      <c r="B59" s="11" t="n"/>
      <c r="C59" s="7">
        <f>IF(B59="","",ISOWEEKNUM(B59))</f>
        <v/>
      </c>
      <c r="D59" s="7">
        <f>IF(B59="","",TEXT(B59,"yyyy-mm"))</f>
        <v/>
      </c>
      <c r="E59" s="12" t="n"/>
      <c r="F59" s="12" t="n"/>
      <c r="G59" s="7">
        <f>IF(OR(E59="",F59=""),"",IF(COUNTIF(Cluster_Master!$I$3:$I$17,E59&amp;"|"&amp;F59)=1,"Valid","Review"))</f>
        <v/>
      </c>
      <c r="H59" s="7">
        <f>IF($G59&lt;&gt;"Valid","",VLOOKUP($E59&amp;"|"&amp;$F59,Cluster_Master!$I$3:$H$17,3,FALSE))</f>
        <v/>
      </c>
      <c r="I59" s="7">
        <f>IF($G59&lt;&gt;"Valid","",VLOOKUP($E59&amp;"|"&amp;$F59,Cluster_Master!$I$3:$H$17,4,FALSE))</f>
        <v/>
      </c>
      <c r="J59" s="7">
        <f>IF($G59&lt;&gt;"Valid","",VLOOKUP($E59&amp;"|"&amp;$F59,Cluster_Master!$I$3:$H$17,5,FALSE))</f>
        <v/>
      </c>
      <c r="K59" s="7">
        <f>IF($G59&lt;&gt;"Valid","",VLOOKUP($E59&amp;"|"&amp;$F59,Cluster_Master!$I$3:$H$17,6,FALSE))</f>
        <v/>
      </c>
      <c r="L59" s="7">
        <f>IF($G59&lt;&gt;"Valid","",VLOOKUP($E59&amp;"|"&amp;$F59,Cluster_Master!$I$3:$H$17,7,FALSE))</f>
        <v/>
      </c>
      <c r="M59" s="7">
        <f>IF($G59&lt;&gt;"Valid","",VLOOKUP($E59&amp;"|"&amp;$F59,Cluster_Master!$I$3:$H$17,8,FALSE))</f>
        <v/>
      </c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7">
        <f>IF(COUNT(T59:AH59)=0,"",SUM(T59:AH59))</f>
        <v/>
      </c>
      <c r="AJ59" s="10">
        <f>IF(AI59="","",AI59/75)</f>
        <v/>
      </c>
      <c r="AK59" s="10">
        <f>IF(AI59="","",SUMPRODUCT(T59:AH59,KPI_Weights!$B$3:$B$17)/5)</f>
        <v/>
      </c>
      <c r="AL59" s="7">
        <f>IF(COUNT(T59:AH59)=0,"",IF(OR(T59&lt;=1,W59&lt;=1,X59&lt;=1,Y59&lt;=1,AB59&lt;=1),"YES","NO"))</f>
        <v/>
      </c>
      <c r="AM59" s="7">
        <f>IF(AK59="","",IF(AND(AK59="NO",AJ59&gt;=0.85),"YES","NO"))</f>
        <v/>
      </c>
      <c r="AN59" s="7">
        <f>IF(AJ59="","",IF(AJ59&gt;=0.90,"Excellent",IF(AJ59&gt;=0.80,"Good",IF(AJ59&gt;=0.70,"Fair","Poor"))))</f>
        <v/>
      </c>
      <c r="AO59" s="12" t="n"/>
      <c r="AP59" s="12" t="n"/>
      <c r="AQ59" s="12" t="n"/>
      <c r="AR59" s="12" t="n"/>
      <c r="AS59" s="12" t="n"/>
      <c r="AT59" s="12" t="n"/>
      <c r="AU59" s="12" t="n"/>
      <c r="AV59" s="11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</row>
    <row r="60">
      <c r="A60" s="7">
        <f>IF(B60="","","INS-"&amp;TEXT(ROW()-3,"000"))</f>
        <v/>
      </c>
      <c r="B60" s="11" t="n"/>
      <c r="C60" s="7">
        <f>IF(B60="","",ISOWEEKNUM(B60))</f>
        <v/>
      </c>
      <c r="D60" s="7">
        <f>IF(B60="","",TEXT(B60,"yyyy-mm"))</f>
        <v/>
      </c>
      <c r="E60" s="12" t="n"/>
      <c r="F60" s="12" t="n"/>
      <c r="G60" s="7">
        <f>IF(OR(E60="",F60=""),"",IF(COUNTIF(Cluster_Master!$I$3:$I$17,E60&amp;"|"&amp;F60)=1,"Valid","Review"))</f>
        <v/>
      </c>
      <c r="H60" s="7">
        <f>IF($G60&lt;&gt;"Valid","",VLOOKUP($E60&amp;"|"&amp;$F60,Cluster_Master!$I$3:$H$17,3,FALSE))</f>
        <v/>
      </c>
      <c r="I60" s="7">
        <f>IF($G60&lt;&gt;"Valid","",VLOOKUP($E60&amp;"|"&amp;$F60,Cluster_Master!$I$3:$H$17,4,FALSE))</f>
        <v/>
      </c>
      <c r="J60" s="7">
        <f>IF($G60&lt;&gt;"Valid","",VLOOKUP($E60&amp;"|"&amp;$F60,Cluster_Master!$I$3:$H$17,5,FALSE))</f>
        <v/>
      </c>
      <c r="K60" s="7">
        <f>IF($G60&lt;&gt;"Valid","",VLOOKUP($E60&amp;"|"&amp;$F60,Cluster_Master!$I$3:$H$17,6,FALSE))</f>
        <v/>
      </c>
      <c r="L60" s="7">
        <f>IF($G60&lt;&gt;"Valid","",VLOOKUP($E60&amp;"|"&amp;$F60,Cluster_Master!$I$3:$H$17,7,FALSE))</f>
        <v/>
      </c>
      <c r="M60" s="7">
        <f>IF($G60&lt;&gt;"Valid","",VLOOKUP($E60&amp;"|"&amp;$F60,Cluster_Master!$I$3:$H$17,8,FALSE))</f>
        <v/>
      </c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7">
        <f>IF(COUNT(T60:AH60)=0,"",SUM(T60:AH60))</f>
        <v/>
      </c>
      <c r="AJ60" s="10">
        <f>IF(AI60="","",AI60/75)</f>
        <v/>
      </c>
      <c r="AK60" s="10">
        <f>IF(AI60="","",SUMPRODUCT(T60:AH60,KPI_Weights!$B$3:$B$17)/5)</f>
        <v/>
      </c>
      <c r="AL60" s="7">
        <f>IF(COUNT(T60:AH60)=0,"",IF(OR(T60&lt;=1,W60&lt;=1,X60&lt;=1,Y60&lt;=1,AB60&lt;=1),"YES","NO"))</f>
        <v/>
      </c>
      <c r="AM60" s="7">
        <f>IF(AK60="","",IF(AND(AK60="NO",AJ60&gt;=0.85),"YES","NO"))</f>
        <v/>
      </c>
      <c r="AN60" s="7">
        <f>IF(AJ60="","",IF(AJ60&gt;=0.90,"Excellent",IF(AJ60&gt;=0.80,"Good",IF(AJ60&gt;=0.70,"Fair","Poor"))))</f>
        <v/>
      </c>
      <c r="AO60" s="12" t="n"/>
      <c r="AP60" s="12" t="n"/>
      <c r="AQ60" s="12" t="n"/>
      <c r="AR60" s="12" t="n"/>
      <c r="AS60" s="12" t="n"/>
      <c r="AT60" s="12" t="n"/>
      <c r="AU60" s="12" t="n"/>
      <c r="AV60" s="11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</row>
    <row r="61">
      <c r="A61" s="7">
        <f>IF(B61="","","INS-"&amp;TEXT(ROW()-3,"000"))</f>
        <v/>
      </c>
      <c r="B61" s="11" t="n"/>
      <c r="C61" s="7">
        <f>IF(B61="","",ISOWEEKNUM(B61))</f>
        <v/>
      </c>
      <c r="D61" s="7">
        <f>IF(B61="","",TEXT(B61,"yyyy-mm"))</f>
        <v/>
      </c>
      <c r="E61" s="12" t="n"/>
      <c r="F61" s="12" t="n"/>
      <c r="G61" s="7">
        <f>IF(OR(E61="",F61=""),"",IF(COUNTIF(Cluster_Master!$I$3:$I$17,E61&amp;"|"&amp;F61)=1,"Valid","Review"))</f>
        <v/>
      </c>
      <c r="H61" s="7">
        <f>IF($G61&lt;&gt;"Valid","",VLOOKUP($E61&amp;"|"&amp;$F61,Cluster_Master!$I$3:$H$17,3,FALSE))</f>
        <v/>
      </c>
      <c r="I61" s="7">
        <f>IF($G61&lt;&gt;"Valid","",VLOOKUP($E61&amp;"|"&amp;$F61,Cluster_Master!$I$3:$H$17,4,FALSE))</f>
        <v/>
      </c>
      <c r="J61" s="7">
        <f>IF($G61&lt;&gt;"Valid","",VLOOKUP($E61&amp;"|"&amp;$F61,Cluster_Master!$I$3:$H$17,5,FALSE))</f>
        <v/>
      </c>
      <c r="K61" s="7">
        <f>IF($G61&lt;&gt;"Valid","",VLOOKUP($E61&amp;"|"&amp;$F61,Cluster_Master!$I$3:$H$17,6,FALSE))</f>
        <v/>
      </c>
      <c r="L61" s="7">
        <f>IF($G61&lt;&gt;"Valid","",VLOOKUP($E61&amp;"|"&amp;$F61,Cluster_Master!$I$3:$H$17,7,FALSE))</f>
        <v/>
      </c>
      <c r="M61" s="7">
        <f>IF($G61&lt;&gt;"Valid","",VLOOKUP($E61&amp;"|"&amp;$F61,Cluster_Master!$I$3:$H$17,8,FALSE))</f>
        <v/>
      </c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7">
        <f>IF(COUNT(T61:AH61)=0,"",SUM(T61:AH61))</f>
        <v/>
      </c>
      <c r="AJ61" s="10">
        <f>IF(AI61="","",AI61/75)</f>
        <v/>
      </c>
      <c r="AK61" s="10">
        <f>IF(AI61="","",SUMPRODUCT(T61:AH61,KPI_Weights!$B$3:$B$17)/5)</f>
        <v/>
      </c>
      <c r="AL61" s="7">
        <f>IF(COUNT(T61:AH61)=0,"",IF(OR(T61&lt;=1,W61&lt;=1,X61&lt;=1,Y61&lt;=1,AB61&lt;=1),"YES","NO"))</f>
        <v/>
      </c>
      <c r="AM61" s="7">
        <f>IF(AK61="","",IF(AND(AK61="NO",AJ61&gt;=0.85),"YES","NO"))</f>
        <v/>
      </c>
      <c r="AN61" s="7">
        <f>IF(AJ61="","",IF(AJ61&gt;=0.90,"Excellent",IF(AJ61&gt;=0.80,"Good",IF(AJ61&gt;=0.70,"Fair","Poor"))))</f>
        <v/>
      </c>
      <c r="AO61" s="12" t="n"/>
      <c r="AP61" s="12" t="n"/>
      <c r="AQ61" s="12" t="n"/>
      <c r="AR61" s="12" t="n"/>
      <c r="AS61" s="12" t="n"/>
      <c r="AT61" s="12" t="n"/>
      <c r="AU61" s="12" t="n"/>
      <c r="AV61" s="11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</row>
    <row r="62">
      <c r="A62" s="7">
        <f>IF(B62="","","INS-"&amp;TEXT(ROW()-3,"000"))</f>
        <v/>
      </c>
      <c r="B62" s="11" t="n"/>
      <c r="C62" s="7">
        <f>IF(B62="","",ISOWEEKNUM(B62))</f>
        <v/>
      </c>
      <c r="D62" s="7">
        <f>IF(B62="","",TEXT(B62,"yyyy-mm"))</f>
        <v/>
      </c>
      <c r="E62" s="12" t="n"/>
      <c r="F62" s="12" t="n"/>
      <c r="G62" s="7">
        <f>IF(OR(E62="",F62=""),"",IF(COUNTIF(Cluster_Master!$I$3:$I$17,E62&amp;"|"&amp;F62)=1,"Valid","Review"))</f>
        <v/>
      </c>
      <c r="H62" s="7">
        <f>IF($G62&lt;&gt;"Valid","",VLOOKUP($E62&amp;"|"&amp;$F62,Cluster_Master!$I$3:$H$17,3,FALSE))</f>
        <v/>
      </c>
      <c r="I62" s="7">
        <f>IF($G62&lt;&gt;"Valid","",VLOOKUP($E62&amp;"|"&amp;$F62,Cluster_Master!$I$3:$H$17,4,FALSE))</f>
        <v/>
      </c>
      <c r="J62" s="7">
        <f>IF($G62&lt;&gt;"Valid","",VLOOKUP($E62&amp;"|"&amp;$F62,Cluster_Master!$I$3:$H$17,5,FALSE))</f>
        <v/>
      </c>
      <c r="K62" s="7">
        <f>IF($G62&lt;&gt;"Valid","",VLOOKUP($E62&amp;"|"&amp;$F62,Cluster_Master!$I$3:$H$17,6,FALSE))</f>
        <v/>
      </c>
      <c r="L62" s="7">
        <f>IF($G62&lt;&gt;"Valid","",VLOOKUP($E62&amp;"|"&amp;$F62,Cluster_Master!$I$3:$H$17,7,FALSE))</f>
        <v/>
      </c>
      <c r="M62" s="7">
        <f>IF($G62&lt;&gt;"Valid","",VLOOKUP($E62&amp;"|"&amp;$F62,Cluster_Master!$I$3:$H$17,8,FALSE))</f>
        <v/>
      </c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7">
        <f>IF(COUNT(T62:AH62)=0,"",SUM(T62:AH62))</f>
        <v/>
      </c>
      <c r="AJ62" s="10">
        <f>IF(AI62="","",AI62/75)</f>
        <v/>
      </c>
      <c r="AK62" s="10">
        <f>IF(AI62="","",SUMPRODUCT(T62:AH62,KPI_Weights!$B$3:$B$17)/5)</f>
        <v/>
      </c>
      <c r="AL62" s="7">
        <f>IF(COUNT(T62:AH62)=0,"",IF(OR(T62&lt;=1,W62&lt;=1,X62&lt;=1,Y62&lt;=1,AB62&lt;=1),"YES","NO"))</f>
        <v/>
      </c>
      <c r="AM62" s="7">
        <f>IF(AK62="","",IF(AND(AK62="NO",AJ62&gt;=0.85),"YES","NO"))</f>
        <v/>
      </c>
      <c r="AN62" s="7">
        <f>IF(AJ62="","",IF(AJ62&gt;=0.90,"Excellent",IF(AJ62&gt;=0.80,"Good",IF(AJ62&gt;=0.70,"Fair","Poor"))))</f>
        <v/>
      </c>
      <c r="AO62" s="12" t="n"/>
      <c r="AP62" s="12" t="n"/>
      <c r="AQ62" s="12" t="n"/>
      <c r="AR62" s="12" t="n"/>
      <c r="AS62" s="12" t="n"/>
      <c r="AT62" s="12" t="n"/>
      <c r="AU62" s="12" t="n"/>
      <c r="AV62" s="11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</row>
    <row r="63">
      <c r="A63" s="7">
        <f>IF(B63="","","INS-"&amp;TEXT(ROW()-3,"000"))</f>
        <v/>
      </c>
      <c r="B63" s="11" t="n"/>
      <c r="C63" s="7">
        <f>IF(B63="","",ISOWEEKNUM(B63))</f>
        <v/>
      </c>
      <c r="D63" s="7">
        <f>IF(B63="","",TEXT(B63,"yyyy-mm"))</f>
        <v/>
      </c>
      <c r="E63" s="12" t="n"/>
      <c r="F63" s="12" t="n"/>
      <c r="G63" s="7">
        <f>IF(OR(E63="",F63=""),"",IF(COUNTIF(Cluster_Master!$I$3:$I$17,E63&amp;"|"&amp;F63)=1,"Valid","Review"))</f>
        <v/>
      </c>
      <c r="H63" s="7">
        <f>IF($G63&lt;&gt;"Valid","",VLOOKUP($E63&amp;"|"&amp;$F63,Cluster_Master!$I$3:$H$17,3,FALSE))</f>
        <v/>
      </c>
      <c r="I63" s="7">
        <f>IF($G63&lt;&gt;"Valid","",VLOOKUP($E63&amp;"|"&amp;$F63,Cluster_Master!$I$3:$H$17,4,FALSE))</f>
        <v/>
      </c>
      <c r="J63" s="7">
        <f>IF($G63&lt;&gt;"Valid","",VLOOKUP($E63&amp;"|"&amp;$F63,Cluster_Master!$I$3:$H$17,5,FALSE))</f>
        <v/>
      </c>
      <c r="K63" s="7">
        <f>IF($G63&lt;&gt;"Valid","",VLOOKUP($E63&amp;"|"&amp;$F63,Cluster_Master!$I$3:$H$17,6,FALSE))</f>
        <v/>
      </c>
      <c r="L63" s="7">
        <f>IF($G63&lt;&gt;"Valid","",VLOOKUP($E63&amp;"|"&amp;$F63,Cluster_Master!$I$3:$H$17,7,FALSE))</f>
        <v/>
      </c>
      <c r="M63" s="7">
        <f>IF($G63&lt;&gt;"Valid","",VLOOKUP($E63&amp;"|"&amp;$F63,Cluster_Master!$I$3:$H$17,8,FALSE))</f>
        <v/>
      </c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7">
        <f>IF(COUNT(T63:AH63)=0,"",SUM(T63:AH63))</f>
        <v/>
      </c>
      <c r="AJ63" s="10">
        <f>IF(AI63="","",AI63/75)</f>
        <v/>
      </c>
      <c r="AK63" s="10">
        <f>IF(AI63="","",SUMPRODUCT(T63:AH63,KPI_Weights!$B$3:$B$17)/5)</f>
        <v/>
      </c>
      <c r="AL63" s="7">
        <f>IF(COUNT(T63:AH63)=0,"",IF(OR(T63&lt;=1,W63&lt;=1,X63&lt;=1,Y63&lt;=1,AB63&lt;=1),"YES","NO"))</f>
        <v/>
      </c>
      <c r="AM63" s="7">
        <f>IF(AK63="","",IF(AND(AK63="NO",AJ63&gt;=0.85),"YES","NO"))</f>
        <v/>
      </c>
      <c r="AN63" s="7">
        <f>IF(AJ63="","",IF(AJ63&gt;=0.90,"Excellent",IF(AJ63&gt;=0.80,"Good",IF(AJ63&gt;=0.70,"Fair","Poor"))))</f>
        <v/>
      </c>
      <c r="AO63" s="12" t="n"/>
      <c r="AP63" s="12" t="n"/>
      <c r="AQ63" s="12" t="n"/>
      <c r="AR63" s="12" t="n"/>
      <c r="AS63" s="12" t="n"/>
      <c r="AT63" s="12" t="n"/>
      <c r="AU63" s="12" t="n"/>
      <c r="AV63" s="11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</row>
    <row r="64">
      <c r="A64" s="7">
        <f>IF(B64="","","INS-"&amp;TEXT(ROW()-3,"000"))</f>
        <v/>
      </c>
      <c r="B64" s="11" t="n"/>
      <c r="C64" s="7">
        <f>IF(B64="","",ISOWEEKNUM(B64))</f>
        <v/>
      </c>
      <c r="D64" s="7">
        <f>IF(B64="","",TEXT(B64,"yyyy-mm"))</f>
        <v/>
      </c>
      <c r="E64" s="12" t="n"/>
      <c r="F64" s="12" t="n"/>
      <c r="G64" s="7">
        <f>IF(OR(E64="",F64=""),"",IF(COUNTIF(Cluster_Master!$I$3:$I$17,E64&amp;"|"&amp;F64)=1,"Valid","Review"))</f>
        <v/>
      </c>
      <c r="H64" s="7">
        <f>IF($G64&lt;&gt;"Valid","",VLOOKUP($E64&amp;"|"&amp;$F64,Cluster_Master!$I$3:$H$17,3,FALSE))</f>
        <v/>
      </c>
      <c r="I64" s="7">
        <f>IF($G64&lt;&gt;"Valid","",VLOOKUP($E64&amp;"|"&amp;$F64,Cluster_Master!$I$3:$H$17,4,FALSE))</f>
        <v/>
      </c>
      <c r="J64" s="7">
        <f>IF($G64&lt;&gt;"Valid","",VLOOKUP($E64&amp;"|"&amp;$F64,Cluster_Master!$I$3:$H$17,5,FALSE))</f>
        <v/>
      </c>
      <c r="K64" s="7">
        <f>IF($G64&lt;&gt;"Valid","",VLOOKUP($E64&amp;"|"&amp;$F64,Cluster_Master!$I$3:$H$17,6,FALSE))</f>
        <v/>
      </c>
      <c r="L64" s="7">
        <f>IF($G64&lt;&gt;"Valid","",VLOOKUP($E64&amp;"|"&amp;$F64,Cluster_Master!$I$3:$H$17,7,FALSE))</f>
        <v/>
      </c>
      <c r="M64" s="7">
        <f>IF($G64&lt;&gt;"Valid","",VLOOKUP($E64&amp;"|"&amp;$F64,Cluster_Master!$I$3:$H$17,8,FALSE))</f>
        <v/>
      </c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7">
        <f>IF(COUNT(T64:AH64)=0,"",SUM(T64:AH64))</f>
        <v/>
      </c>
      <c r="AJ64" s="10">
        <f>IF(AI64="","",AI64/75)</f>
        <v/>
      </c>
      <c r="AK64" s="10">
        <f>IF(AI64="","",SUMPRODUCT(T64:AH64,KPI_Weights!$B$3:$B$17)/5)</f>
        <v/>
      </c>
      <c r="AL64" s="7">
        <f>IF(COUNT(T64:AH64)=0,"",IF(OR(T64&lt;=1,W64&lt;=1,X64&lt;=1,Y64&lt;=1,AB64&lt;=1),"YES","NO"))</f>
        <v/>
      </c>
      <c r="AM64" s="7">
        <f>IF(AK64="","",IF(AND(AK64="NO",AJ64&gt;=0.85),"YES","NO"))</f>
        <v/>
      </c>
      <c r="AN64" s="7">
        <f>IF(AJ64="","",IF(AJ64&gt;=0.90,"Excellent",IF(AJ64&gt;=0.80,"Good",IF(AJ64&gt;=0.70,"Fair","Poor"))))</f>
        <v/>
      </c>
      <c r="AO64" s="12" t="n"/>
      <c r="AP64" s="12" t="n"/>
      <c r="AQ64" s="12" t="n"/>
      <c r="AR64" s="12" t="n"/>
      <c r="AS64" s="12" t="n"/>
      <c r="AT64" s="12" t="n"/>
      <c r="AU64" s="12" t="n"/>
      <c r="AV64" s="11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</row>
    <row r="65">
      <c r="A65" s="7">
        <f>IF(B65="","","INS-"&amp;TEXT(ROW()-3,"000"))</f>
        <v/>
      </c>
      <c r="B65" s="11" t="n"/>
      <c r="C65" s="7">
        <f>IF(B65="","",ISOWEEKNUM(B65))</f>
        <v/>
      </c>
      <c r="D65" s="7">
        <f>IF(B65="","",TEXT(B65,"yyyy-mm"))</f>
        <v/>
      </c>
      <c r="E65" s="12" t="n"/>
      <c r="F65" s="12" t="n"/>
      <c r="G65" s="7">
        <f>IF(OR(E65="",F65=""),"",IF(COUNTIF(Cluster_Master!$I$3:$I$17,E65&amp;"|"&amp;F65)=1,"Valid","Review"))</f>
        <v/>
      </c>
      <c r="H65" s="7">
        <f>IF($G65&lt;&gt;"Valid","",VLOOKUP($E65&amp;"|"&amp;$F65,Cluster_Master!$I$3:$H$17,3,FALSE))</f>
        <v/>
      </c>
      <c r="I65" s="7">
        <f>IF($G65&lt;&gt;"Valid","",VLOOKUP($E65&amp;"|"&amp;$F65,Cluster_Master!$I$3:$H$17,4,FALSE))</f>
        <v/>
      </c>
      <c r="J65" s="7">
        <f>IF($G65&lt;&gt;"Valid","",VLOOKUP($E65&amp;"|"&amp;$F65,Cluster_Master!$I$3:$H$17,5,FALSE))</f>
        <v/>
      </c>
      <c r="K65" s="7">
        <f>IF($G65&lt;&gt;"Valid","",VLOOKUP($E65&amp;"|"&amp;$F65,Cluster_Master!$I$3:$H$17,6,FALSE))</f>
        <v/>
      </c>
      <c r="L65" s="7">
        <f>IF($G65&lt;&gt;"Valid","",VLOOKUP($E65&amp;"|"&amp;$F65,Cluster_Master!$I$3:$H$17,7,FALSE))</f>
        <v/>
      </c>
      <c r="M65" s="7">
        <f>IF($G65&lt;&gt;"Valid","",VLOOKUP($E65&amp;"|"&amp;$F65,Cluster_Master!$I$3:$H$17,8,FALSE))</f>
        <v/>
      </c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7">
        <f>IF(COUNT(T65:AH65)=0,"",SUM(T65:AH65))</f>
        <v/>
      </c>
      <c r="AJ65" s="10">
        <f>IF(AI65="","",AI65/75)</f>
        <v/>
      </c>
      <c r="AK65" s="10">
        <f>IF(AI65="","",SUMPRODUCT(T65:AH65,KPI_Weights!$B$3:$B$17)/5)</f>
        <v/>
      </c>
      <c r="AL65" s="7">
        <f>IF(COUNT(T65:AH65)=0,"",IF(OR(T65&lt;=1,W65&lt;=1,X65&lt;=1,Y65&lt;=1,AB65&lt;=1),"YES","NO"))</f>
        <v/>
      </c>
      <c r="AM65" s="7">
        <f>IF(AK65="","",IF(AND(AK65="NO",AJ65&gt;=0.85),"YES","NO"))</f>
        <v/>
      </c>
      <c r="AN65" s="7">
        <f>IF(AJ65="","",IF(AJ65&gt;=0.90,"Excellent",IF(AJ65&gt;=0.80,"Good",IF(AJ65&gt;=0.70,"Fair","Poor"))))</f>
        <v/>
      </c>
      <c r="AO65" s="12" t="n"/>
      <c r="AP65" s="12" t="n"/>
      <c r="AQ65" s="12" t="n"/>
      <c r="AR65" s="12" t="n"/>
      <c r="AS65" s="12" t="n"/>
      <c r="AT65" s="12" t="n"/>
      <c r="AU65" s="12" t="n"/>
      <c r="AV65" s="11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</row>
    <row r="66">
      <c r="A66" s="7">
        <f>IF(B66="","","INS-"&amp;TEXT(ROW()-3,"000"))</f>
        <v/>
      </c>
      <c r="B66" s="11" t="n"/>
      <c r="C66" s="7">
        <f>IF(B66="","",ISOWEEKNUM(B66))</f>
        <v/>
      </c>
      <c r="D66" s="7">
        <f>IF(B66="","",TEXT(B66,"yyyy-mm"))</f>
        <v/>
      </c>
      <c r="E66" s="12" t="n"/>
      <c r="F66" s="12" t="n"/>
      <c r="G66" s="7">
        <f>IF(OR(E66="",F66=""),"",IF(COUNTIF(Cluster_Master!$I$3:$I$17,E66&amp;"|"&amp;F66)=1,"Valid","Review"))</f>
        <v/>
      </c>
      <c r="H66" s="7">
        <f>IF($G66&lt;&gt;"Valid","",VLOOKUP($E66&amp;"|"&amp;$F66,Cluster_Master!$I$3:$H$17,3,FALSE))</f>
        <v/>
      </c>
      <c r="I66" s="7">
        <f>IF($G66&lt;&gt;"Valid","",VLOOKUP($E66&amp;"|"&amp;$F66,Cluster_Master!$I$3:$H$17,4,FALSE))</f>
        <v/>
      </c>
      <c r="J66" s="7">
        <f>IF($G66&lt;&gt;"Valid","",VLOOKUP($E66&amp;"|"&amp;$F66,Cluster_Master!$I$3:$H$17,5,FALSE))</f>
        <v/>
      </c>
      <c r="K66" s="7">
        <f>IF($G66&lt;&gt;"Valid","",VLOOKUP($E66&amp;"|"&amp;$F66,Cluster_Master!$I$3:$H$17,6,FALSE))</f>
        <v/>
      </c>
      <c r="L66" s="7">
        <f>IF($G66&lt;&gt;"Valid","",VLOOKUP($E66&amp;"|"&amp;$F66,Cluster_Master!$I$3:$H$17,7,FALSE))</f>
        <v/>
      </c>
      <c r="M66" s="7">
        <f>IF($G66&lt;&gt;"Valid","",VLOOKUP($E66&amp;"|"&amp;$F66,Cluster_Master!$I$3:$H$17,8,FALSE))</f>
        <v/>
      </c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7">
        <f>IF(COUNT(T66:AH66)=0,"",SUM(T66:AH66))</f>
        <v/>
      </c>
      <c r="AJ66" s="10">
        <f>IF(AI66="","",AI66/75)</f>
        <v/>
      </c>
      <c r="AK66" s="10">
        <f>IF(AI66="","",SUMPRODUCT(T66:AH66,KPI_Weights!$B$3:$B$17)/5)</f>
        <v/>
      </c>
      <c r="AL66" s="7">
        <f>IF(COUNT(T66:AH66)=0,"",IF(OR(T66&lt;=1,W66&lt;=1,X66&lt;=1,Y66&lt;=1,AB66&lt;=1),"YES","NO"))</f>
        <v/>
      </c>
      <c r="AM66" s="7">
        <f>IF(AK66="","",IF(AND(AK66="NO",AJ66&gt;=0.85),"YES","NO"))</f>
        <v/>
      </c>
      <c r="AN66" s="7">
        <f>IF(AJ66="","",IF(AJ66&gt;=0.90,"Excellent",IF(AJ66&gt;=0.80,"Good",IF(AJ66&gt;=0.70,"Fair","Poor"))))</f>
        <v/>
      </c>
      <c r="AO66" s="12" t="n"/>
      <c r="AP66" s="12" t="n"/>
      <c r="AQ66" s="12" t="n"/>
      <c r="AR66" s="12" t="n"/>
      <c r="AS66" s="12" t="n"/>
      <c r="AT66" s="12" t="n"/>
      <c r="AU66" s="12" t="n"/>
      <c r="AV66" s="11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</row>
    <row r="67">
      <c r="A67" s="7">
        <f>IF(B67="","","INS-"&amp;TEXT(ROW()-3,"000"))</f>
        <v/>
      </c>
      <c r="B67" s="11" t="n"/>
      <c r="C67" s="7">
        <f>IF(B67="","",ISOWEEKNUM(B67))</f>
        <v/>
      </c>
      <c r="D67" s="7">
        <f>IF(B67="","",TEXT(B67,"yyyy-mm"))</f>
        <v/>
      </c>
      <c r="E67" s="12" t="n"/>
      <c r="F67" s="12" t="n"/>
      <c r="G67" s="7">
        <f>IF(OR(E67="",F67=""),"",IF(COUNTIF(Cluster_Master!$I$3:$I$17,E67&amp;"|"&amp;F67)=1,"Valid","Review"))</f>
        <v/>
      </c>
      <c r="H67" s="7">
        <f>IF($G67&lt;&gt;"Valid","",VLOOKUP($E67&amp;"|"&amp;$F67,Cluster_Master!$I$3:$H$17,3,FALSE))</f>
        <v/>
      </c>
      <c r="I67" s="7">
        <f>IF($G67&lt;&gt;"Valid","",VLOOKUP($E67&amp;"|"&amp;$F67,Cluster_Master!$I$3:$H$17,4,FALSE))</f>
        <v/>
      </c>
      <c r="J67" s="7">
        <f>IF($G67&lt;&gt;"Valid","",VLOOKUP($E67&amp;"|"&amp;$F67,Cluster_Master!$I$3:$H$17,5,FALSE))</f>
        <v/>
      </c>
      <c r="K67" s="7">
        <f>IF($G67&lt;&gt;"Valid","",VLOOKUP($E67&amp;"|"&amp;$F67,Cluster_Master!$I$3:$H$17,6,FALSE))</f>
        <v/>
      </c>
      <c r="L67" s="7">
        <f>IF($G67&lt;&gt;"Valid","",VLOOKUP($E67&amp;"|"&amp;$F67,Cluster_Master!$I$3:$H$17,7,FALSE))</f>
        <v/>
      </c>
      <c r="M67" s="7">
        <f>IF($G67&lt;&gt;"Valid","",VLOOKUP($E67&amp;"|"&amp;$F67,Cluster_Master!$I$3:$H$17,8,FALSE))</f>
        <v/>
      </c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7">
        <f>IF(COUNT(T67:AH67)=0,"",SUM(T67:AH67))</f>
        <v/>
      </c>
      <c r="AJ67" s="10">
        <f>IF(AI67="","",AI67/75)</f>
        <v/>
      </c>
      <c r="AK67" s="10">
        <f>IF(AI67="","",SUMPRODUCT(T67:AH67,KPI_Weights!$B$3:$B$17)/5)</f>
        <v/>
      </c>
      <c r="AL67" s="7">
        <f>IF(COUNT(T67:AH67)=0,"",IF(OR(T67&lt;=1,W67&lt;=1,X67&lt;=1,Y67&lt;=1,AB67&lt;=1),"YES","NO"))</f>
        <v/>
      </c>
      <c r="AM67" s="7">
        <f>IF(AK67="","",IF(AND(AK67="NO",AJ67&gt;=0.85),"YES","NO"))</f>
        <v/>
      </c>
      <c r="AN67" s="7">
        <f>IF(AJ67="","",IF(AJ67&gt;=0.90,"Excellent",IF(AJ67&gt;=0.80,"Good",IF(AJ67&gt;=0.70,"Fair","Poor"))))</f>
        <v/>
      </c>
      <c r="AO67" s="12" t="n"/>
      <c r="AP67" s="12" t="n"/>
      <c r="AQ67" s="12" t="n"/>
      <c r="AR67" s="12" t="n"/>
      <c r="AS67" s="12" t="n"/>
      <c r="AT67" s="12" t="n"/>
      <c r="AU67" s="12" t="n"/>
      <c r="AV67" s="11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</row>
    <row r="68">
      <c r="A68" s="7">
        <f>IF(B68="","","INS-"&amp;TEXT(ROW()-3,"000"))</f>
        <v/>
      </c>
      <c r="B68" s="11" t="n"/>
      <c r="C68" s="7">
        <f>IF(B68="","",ISOWEEKNUM(B68))</f>
        <v/>
      </c>
      <c r="D68" s="7">
        <f>IF(B68="","",TEXT(B68,"yyyy-mm"))</f>
        <v/>
      </c>
      <c r="E68" s="12" t="n"/>
      <c r="F68" s="12" t="n"/>
      <c r="G68" s="7">
        <f>IF(OR(E68="",F68=""),"",IF(COUNTIF(Cluster_Master!$I$3:$I$17,E68&amp;"|"&amp;F68)=1,"Valid","Review"))</f>
        <v/>
      </c>
      <c r="H68" s="7">
        <f>IF($G68&lt;&gt;"Valid","",VLOOKUP($E68&amp;"|"&amp;$F68,Cluster_Master!$I$3:$H$17,3,FALSE))</f>
        <v/>
      </c>
      <c r="I68" s="7">
        <f>IF($G68&lt;&gt;"Valid","",VLOOKUP($E68&amp;"|"&amp;$F68,Cluster_Master!$I$3:$H$17,4,FALSE))</f>
        <v/>
      </c>
      <c r="J68" s="7">
        <f>IF($G68&lt;&gt;"Valid","",VLOOKUP($E68&amp;"|"&amp;$F68,Cluster_Master!$I$3:$H$17,5,FALSE))</f>
        <v/>
      </c>
      <c r="K68" s="7">
        <f>IF($G68&lt;&gt;"Valid","",VLOOKUP($E68&amp;"|"&amp;$F68,Cluster_Master!$I$3:$H$17,6,FALSE))</f>
        <v/>
      </c>
      <c r="L68" s="7">
        <f>IF($G68&lt;&gt;"Valid","",VLOOKUP($E68&amp;"|"&amp;$F68,Cluster_Master!$I$3:$H$17,7,FALSE))</f>
        <v/>
      </c>
      <c r="M68" s="7">
        <f>IF($G68&lt;&gt;"Valid","",VLOOKUP($E68&amp;"|"&amp;$F68,Cluster_Master!$I$3:$H$17,8,FALSE))</f>
        <v/>
      </c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7">
        <f>IF(COUNT(T68:AH68)=0,"",SUM(T68:AH68))</f>
        <v/>
      </c>
      <c r="AJ68" s="10">
        <f>IF(AI68="","",AI68/75)</f>
        <v/>
      </c>
      <c r="AK68" s="10">
        <f>IF(AI68="","",SUMPRODUCT(T68:AH68,KPI_Weights!$B$3:$B$17)/5)</f>
        <v/>
      </c>
      <c r="AL68" s="7">
        <f>IF(COUNT(T68:AH68)=0,"",IF(OR(T68&lt;=1,W68&lt;=1,X68&lt;=1,Y68&lt;=1,AB68&lt;=1),"YES","NO"))</f>
        <v/>
      </c>
      <c r="AM68" s="7">
        <f>IF(AK68="","",IF(AND(AK68="NO",AJ68&gt;=0.85),"YES","NO"))</f>
        <v/>
      </c>
      <c r="AN68" s="7">
        <f>IF(AJ68="","",IF(AJ68&gt;=0.90,"Excellent",IF(AJ68&gt;=0.80,"Good",IF(AJ68&gt;=0.70,"Fair","Poor"))))</f>
        <v/>
      </c>
      <c r="AO68" s="12" t="n"/>
      <c r="AP68" s="12" t="n"/>
      <c r="AQ68" s="12" t="n"/>
      <c r="AR68" s="12" t="n"/>
      <c r="AS68" s="12" t="n"/>
      <c r="AT68" s="12" t="n"/>
      <c r="AU68" s="12" t="n"/>
      <c r="AV68" s="11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</row>
    <row r="69">
      <c r="A69" s="7">
        <f>IF(B69="","","INS-"&amp;TEXT(ROW()-3,"000"))</f>
        <v/>
      </c>
      <c r="B69" s="11" t="n"/>
      <c r="C69" s="7">
        <f>IF(B69="","",ISOWEEKNUM(B69))</f>
        <v/>
      </c>
      <c r="D69" s="7">
        <f>IF(B69="","",TEXT(B69,"yyyy-mm"))</f>
        <v/>
      </c>
      <c r="E69" s="12" t="n"/>
      <c r="F69" s="12" t="n"/>
      <c r="G69" s="7">
        <f>IF(OR(E69="",F69=""),"",IF(COUNTIF(Cluster_Master!$I$3:$I$17,E69&amp;"|"&amp;F69)=1,"Valid","Review"))</f>
        <v/>
      </c>
      <c r="H69" s="7">
        <f>IF($G69&lt;&gt;"Valid","",VLOOKUP($E69&amp;"|"&amp;$F69,Cluster_Master!$I$3:$H$17,3,FALSE))</f>
        <v/>
      </c>
      <c r="I69" s="7">
        <f>IF($G69&lt;&gt;"Valid","",VLOOKUP($E69&amp;"|"&amp;$F69,Cluster_Master!$I$3:$H$17,4,FALSE))</f>
        <v/>
      </c>
      <c r="J69" s="7">
        <f>IF($G69&lt;&gt;"Valid","",VLOOKUP($E69&amp;"|"&amp;$F69,Cluster_Master!$I$3:$H$17,5,FALSE))</f>
        <v/>
      </c>
      <c r="K69" s="7">
        <f>IF($G69&lt;&gt;"Valid","",VLOOKUP($E69&amp;"|"&amp;$F69,Cluster_Master!$I$3:$H$17,6,FALSE))</f>
        <v/>
      </c>
      <c r="L69" s="7">
        <f>IF($G69&lt;&gt;"Valid","",VLOOKUP($E69&amp;"|"&amp;$F69,Cluster_Master!$I$3:$H$17,7,FALSE))</f>
        <v/>
      </c>
      <c r="M69" s="7">
        <f>IF($G69&lt;&gt;"Valid","",VLOOKUP($E69&amp;"|"&amp;$F69,Cluster_Master!$I$3:$H$17,8,FALSE))</f>
        <v/>
      </c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7">
        <f>IF(COUNT(T69:AH69)=0,"",SUM(T69:AH69))</f>
        <v/>
      </c>
      <c r="AJ69" s="10">
        <f>IF(AI69="","",AI69/75)</f>
        <v/>
      </c>
      <c r="AK69" s="10">
        <f>IF(AI69="","",SUMPRODUCT(T69:AH69,KPI_Weights!$B$3:$B$17)/5)</f>
        <v/>
      </c>
      <c r="AL69" s="7">
        <f>IF(COUNT(T69:AH69)=0,"",IF(OR(T69&lt;=1,W69&lt;=1,X69&lt;=1,Y69&lt;=1,AB69&lt;=1),"YES","NO"))</f>
        <v/>
      </c>
      <c r="AM69" s="7">
        <f>IF(AK69="","",IF(AND(AK69="NO",AJ69&gt;=0.85),"YES","NO"))</f>
        <v/>
      </c>
      <c r="AN69" s="7">
        <f>IF(AJ69="","",IF(AJ69&gt;=0.90,"Excellent",IF(AJ69&gt;=0.80,"Good",IF(AJ69&gt;=0.70,"Fair","Poor"))))</f>
        <v/>
      </c>
      <c r="AO69" s="12" t="n"/>
      <c r="AP69" s="12" t="n"/>
      <c r="AQ69" s="12" t="n"/>
      <c r="AR69" s="12" t="n"/>
      <c r="AS69" s="12" t="n"/>
      <c r="AT69" s="12" t="n"/>
      <c r="AU69" s="12" t="n"/>
      <c r="AV69" s="11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</row>
    <row r="70">
      <c r="A70" s="7">
        <f>IF(B70="","","INS-"&amp;TEXT(ROW()-3,"000"))</f>
        <v/>
      </c>
      <c r="B70" s="11" t="n"/>
      <c r="C70" s="7">
        <f>IF(B70="","",ISOWEEKNUM(B70))</f>
        <v/>
      </c>
      <c r="D70" s="7">
        <f>IF(B70="","",TEXT(B70,"yyyy-mm"))</f>
        <v/>
      </c>
      <c r="E70" s="12" t="n"/>
      <c r="F70" s="12" t="n"/>
      <c r="G70" s="7">
        <f>IF(OR(E70="",F70=""),"",IF(COUNTIF(Cluster_Master!$I$3:$I$17,E70&amp;"|"&amp;F70)=1,"Valid","Review"))</f>
        <v/>
      </c>
      <c r="H70" s="7">
        <f>IF($G70&lt;&gt;"Valid","",VLOOKUP($E70&amp;"|"&amp;$F70,Cluster_Master!$I$3:$H$17,3,FALSE))</f>
        <v/>
      </c>
      <c r="I70" s="7">
        <f>IF($G70&lt;&gt;"Valid","",VLOOKUP($E70&amp;"|"&amp;$F70,Cluster_Master!$I$3:$H$17,4,FALSE))</f>
        <v/>
      </c>
      <c r="J70" s="7">
        <f>IF($G70&lt;&gt;"Valid","",VLOOKUP($E70&amp;"|"&amp;$F70,Cluster_Master!$I$3:$H$17,5,FALSE))</f>
        <v/>
      </c>
      <c r="K70" s="7">
        <f>IF($G70&lt;&gt;"Valid","",VLOOKUP($E70&amp;"|"&amp;$F70,Cluster_Master!$I$3:$H$17,6,FALSE))</f>
        <v/>
      </c>
      <c r="L70" s="7">
        <f>IF($G70&lt;&gt;"Valid","",VLOOKUP($E70&amp;"|"&amp;$F70,Cluster_Master!$I$3:$H$17,7,FALSE))</f>
        <v/>
      </c>
      <c r="M70" s="7">
        <f>IF($G70&lt;&gt;"Valid","",VLOOKUP($E70&amp;"|"&amp;$F70,Cluster_Master!$I$3:$H$17,8,FALSE))</f>
        <v/>
      </c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7">
        <f>IF(COUNT(T70:AH70)=0,"",SUM(T70:AH70))</f>
        <v/>
      </c>
      <c r="AJ70" s="10">
        <f>IF(AI70="","",AI70/75)</f>
        <v/>
      </c>
      <c r="AK70" s="10">
        <f>IF(AI70="","",SUMPRODUCT(T70:AH70,KPI_Weights!$B$3:$B$17)/5)</f>
        <v/>
      </c>
      <c r="AL70" s="7">
        <f>IF(COUNT(T70:AH70)=0,"",IF(OR(T70&lt;=1,W70&lt;=1,X70&lt;=1,Y70&lt;=1,AB70&lt;=1),"YES","NO"))</f>
        <v/>
      </c>
      <c r="AM70" s="7">
        <f>IF(AK70="","",IF(AND(AK70="NO",AJ70&gt;=0.85),"YES","NO"))</f>
        <v/>
      </c>
      <c r="AN70" s="7">
        <f>IF(AJ70="","",IF(AJ70&gt;=0.90,"Excellent",IF(AJ70&gt;=0.80,"Good",IF(AJ70&gt;=0.70,"Fair","Poor"))))</f>
        <v/>
      </c>
      <c r="AO70" s="12" t="n"/>
      <c r="AP70" s="12" t="n"/>
      <c r="AQ70" s="12" t="n"/>
      <c r="AR70" s="12" t="n"/>
      <c r="AS70" s="12" t="n"/>
      <c r="AT70" s="12" t="n"/>
      <c r="AU70" s="12" t="n"/>
      <c r="AV70" s="11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</row>
    <row r="71">
      <c r="A71" s="7">
        <f>IF(B71="","","INS-"&amp;TEXT(ROW()-3,"000"))</f>
        <v/>
      </c>
      <c r="B71" s="11" t="n"/>
      <c r="C71" s="7">
        <f>IF(B71="","",ISOWEEKNUM(B71))</f>
        <v/>
      </c>
      <c r="D71" s="7">
        <f>IF(B71="","",TEXT(B71,"yyyy-mm"))</f>
        <v/>
      </c>
      <c r="E71" s="12" t="n"/>
      <c r="F71" s="12" t="n"/>
      <c r="G71" s="7">
        <f>IF(OR(E71="",F71=""),"",IF(COUNTIF(Cluster_Master!$I$3:$I$17,E71&amp;"|"&amp;F71)=1,"Valid","Review"))</f>
        <v/>
      </c>
      <c r="H71" s="7">
        <f>IF($G71&lt;&gt;"Valid","",VLOOKUP($E71&amp;"|"&amp;$F71,Cluster_Master!$I$3:$H$17,3,FALSE))</f>
        <v/>
      </c>
      <c r="I71" s="7">
        <f>IF($G71&lt;&gt;"Valid","",VLOOKUP($E71&amp;"|"&amp;$F71,Cluster_Master!$I$3:$H$17,4,FALSE))</f>
        <v/>
      </c>
      <c r="J71" s="7">
        <f>IF($G71&lt;&gt;"Valid","",VLOOKUP($E71&amp;"|"&amp;$F71,Cluster_Master!$I$3:$H$17,5,FALSE))</f>
        <v/>
      </c>
      <c r="K71" s="7">
        <f>IF($G71&lt;&gt;"Valid","",VLOOKUP($E71&amp;"|"&amp;$F71,Cluster_Master!$I$3:$H$17,6,FALSE))</f>
        <v/>
      </c>
      <c r="L71" s="7">
        <f>IF($G71&lt;&gt;"Valid","",VLOOKUP($E71&amp;"|"&amp;$F71,Cluster_Master!$I$3:$H$17,7,FALSE))</f>
        <v/>
      </c>
      <c r="M71" s="7">
        <f>IF($G71&lt;&gt;"Valid","",VLOOKUP($E71&amp;"|"&amp;$F71,Cluster_Master!$I$3:$H$17,8,FALSE))</f>
        <v/>
      </c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7">
        <f>IF(COUNT(T71:AH71)=0,"",SUM(T71:AH71))</f>
        <v/>
      </c>
      <c r="AJ71" s="10">
        <f>IF(AI71="","",AI71/75)</f>
        <v/>
      </c>
      <c r="AK71" s="10">
        <f>IF(AI71="","",SUMPRODUCT(T71:AH71,KPI_Weights!$B$3:$B$17)/5)</f>
        <v/>
      </c>
      <c r="AL71" s="7">
        <f>IF(COUNT(T71:AH71)=0,"",IF(OR(T71&lt;=1,W71&lt;=1,X71&lt;=1,Y71&lt;=1,AB71&lt;=1),"YES","NO"))</f>
        <v/>
      </c>
      <c r="AM71" s="7">
        <f>IF(AK71="","",IF(AND(AK71="NO",AJ71&gt;=0.85),"YES","NO"))</f>
        <v/>
      </c>
      <c r="AN71" s="7">
        <f>IF(AJ71="","",IF(AJ71&gt;=0.90,"Excellent",IF(AJ71&gt;=0.80,"Good",IF(AJ71&gt;=0.70,"Fair","Poor"))))</f>
        <v/>
      </c>
      <c r="AO71" s="12" t="n"/>
      <c r="AP71" s="12" t="n"/>
      <c r="AQ71" s="12" t="n"/>
      <c r="AR71" s="12" t="n"/>
      <c r="AS71" s="12" t="n"/>
      <c r="AT71" s="12" t="n"/>
      <c r="AU71" s="12" t="n"/>
      <c r="AV71" s="11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</row>
    <row r="72">
      <c r="A72" s="7">
        <f>IF(B72="","","INS-"&amp;TEXT(ROW()-3,"000"))</f>
        <v/>
      </c>
      <c r="B72" s="11" t="n"/>
      <c r="C72" s="7">
        <f>IF(B72="","",ISOWEEKNUM(B72))</f>
        <v/>
      </c>
      <c r="D72" s="7">
        <f>IF(B72="","",TEXT(B72,"yyyy-mm"))</f>
        <v/>
      </c>
      <c r="E72" s="12" t="n"/>
      <c r="F72" s="12" t="n"/>
      <c r="G72" s="7">
        <f>IF(OR(E72="",F72=""),"",IF(COUNTIF(Cluster_Master!$I$3:$I$17,E72&amp;"|"&amp;F72)=1,"Valid","Review"))</f>
        <v/>
      </c>
      <c r="H72" s="7">
        <f>IF($G72&lt;&gt;"Valid","",VLOOKUP($E72&amp;"|"&amp;$F72,Cluster_Master!$I$3:$H$17,3,FALSE))</f>
        <v/>
      </c>
      <c r="I72" s="7">
        <f>IF($G72&lt;&gt;"Valid","",VLOOKUP($E72&amp;"|"&amp;$F72,Cluster_Master!$I$3:$H$17,4,FALSE))</f>
        <v/>
      </c>
      <c r="J72" s="7">
        <f>IF($G72&lt;&gt;"Valid","",VLOOKUP($E72&amp;"|"&amp;$F72,Cluster_Master!$I$3:$H$17,5,FALSE))</f>
        <v/>
      </c>
      <c r="K72" s="7">
        <f>IF($G72&lt;&gt;"Valid","",VLOOKUP($E72&amp;"|"&amp;$F72,Cluster_Master!$I$3:$H$17,6,FALSE))</f>
        <v/>
      </c>
      <c r="L72" s="7">
        <f>IF($G72&lt;&gt;"Valid","",VLOOKUP($E72&amp;"|"&amp;$F72,Cluster_Master!$I$3:$H$17,7,FALSE))</f>
        <v/>
      </c>
      <c r="M72" s="7">
        <f>IF($G72&lt;&gt;"Valid","",VLOOKUP($E72&amp;"|"&amp;$F72,Cluster_Master!$I$3:$H$17,8,FALSE))</f>
        <v/>
      </c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7">
        <f>IF(COUNT(T72:AH72)=0,"",SUM(T72:AH72))</f>
        <v/>
      </c>
      <c r="AJ72" s="10">
        <f>IF(AI72="","",AI72/75)</f>
        <v/>
      </c>
      <c r="AK72" s="10">
        <f>IF(AI72="","",SUMPRODUCT(T72:AH72,KPI_Weights!$B$3:$B$17)/5)</f>
        <v/>
      </c>
      <c r="AL72" s="7">
        <f>IF(COUNT(T72:AH72)=0,"",IF(OR(T72&lt;=1,W72&lt;=1,X72&lt;=1,Y72&lt;=1,AB72&lt;=1),"YES","NO"))</f>
        <v/>
      </c>
      <c r="AM72" s="7">
        <f>IF(AK72="","",IF(AND(AK72="NO",AJ72&gt;=0.85),"YES","NO"))</f>
        <v/>
      </c>
      <c r="AN72" s="7">
        <f>IF(AJ72="","",IF(AJ72&gt;=0.90,"Excellent",IF(AJ72&gt;=0.80,"Good",IF(AJ72&gt;=0.70,"Fair","Poor"))))</f>
        <v/>
      </c>
      <c r="AO72" s="12" t="n"/>
      <c r="AP72" s="12" t="n"/>
      <c r="AQ72" s="12" t="n"/>
      <c r="AR72" s="12" t="n"/>
      <c r="AS72" s="12" t="n"/>
      <c r="AT72" s="12" t="n"/>
      <c r="AU72" s="12" t="n"/>
      <c r="AV72" s="11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</row>
    <row r="73">
      <c r="A73" s="7">
        <f>IF(B73="","","INS-"&amp;TEXT(ROW()-3,"000"))</f>
        <v/>
      </c>
      <c r="B73" s="11" t="n"/>
      <c r="C73" s="7">
        <f>IF(B73="","",ISOWEEKNUM(B73))</f>
        <v/>
      </c>
      <c r="D73" s="7">
        <f>IF(B73="","",TEXT(B73,"yyyy-mm"))</f>
        <v/>
      </c>
      <c r="E73" s="12" t="n"/>
      <c r="F73" s="12" t="n"/>
      <c r="G73" s="7">
        <f>IF(OR(E73="",F73=""),"",IF(COUNTIF(Cluster_Master!$I$3:$I$17,E73&amp;"|"&amp;F73)=1,"Valid","Review"))</f>
        <v/>
      </c>
      <c r="H73" s="7">
        <f>IF($G73&lt;&gt;"Valid","",VLOOKUP($E73&amp;"|"&amp;$F73,Cluster_Master!$I$3:$H$17,3,FALSE))</f>
        <v/>
      </c>
      <c r="I73" s="7">
        <f>IF($G73&lt;&gt;"Valid","",VLOOKUP($E73&amp;"|"&amp;$F73,Cluster_Master!$I$3:$H$17,4,FALSE))</f>
        <v/>
      </c>
      <c r="J73" s="7">
        <f>IF($G73&lt;&gt;"Valid","",VLOOKUP($E73&amp;"|"&amp;$F73,Cluster_Master!$I$3:$H$17,5,FALSE))</f>
        <v/>
      </c>
      <c r="K73" s="7">
        <f>IF($G73&lt;&gt;"Valid","",VLOOKUP($E73&amp;"|"&amp;$F73,Cluster_Master!$I$3:$H$17,6,FALSE))</f>
        <v/>
      </c>
      <c r="L73" s="7">
        <f>IF($G73&lt;&gt;"Valid","",VLOOKUP($E73&amp;"|"&amp;$F73,Cluster_Master!$I$3:$H$17,7,FALSE))</f>
        <v/>
      </c>
      <c r="M73" s="7">
        <f>IF($G73&lt;&gt;"Valid","",VLOOKUP($E73&amp;"|"&amp;$F73,Cluster_Master!$I$3:$H$17,8,FALSE))</f>
        <v/>
      </c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7">
        <f>IF(COUNT(T73:AH73)=0,"",SUM(T73:AH73))</f>
        <v/>
      </c>
      <c r="AJ73" s="10">
        <f>IF(AI73="","",AI73/75)</f>
        <v/>
      </c>
      <c r="AK73" s="10">
        <f>IF(AI73="","",SUMPRODUCT(T73:AH73,KPI_Weights!$B$3:$B$17)/5)</f>
        <v/>
      </c>
      <c r="AL73" s="7">
        <f>IF(COUNT(T73:AH73)=0,"",IF(OR(T73&lt;=1,W73&lt;=1,X73&lt;=1,Y73&lt;=1,AB73&lt;=1),"YES","NO"))</f>
        <v/>
      </c>
      <c r="AM73" s="7">
        <f>IF(AK73="","",IF(AND(AK73="NO",AJ73&gt;=0.85),"YES","NO"))</f>
        <v/>
      </c>
      <c r="AN73" s="7">
        <f>IF(AJ73="","",IF(AJ73&gt;=0.90,"Excellent",IF(AJ73&gt;=0.80,"Good",IF(AJ73&gt;=0.70,"Fair","Poor"))))</f>
        <v/>
      </c>
      <c r="AO73" s="12" t="n"/>
      <c r="AP73" s="12" t="n"/>
      <c r="AQ73" s="12" t="n"/>
      <c r="AR73" s="12" t="n"/>
      <c r="AS73" s="12" t="n"/>
      <c r="AT73" s="12" t="n"/>
      <c r="AU73" s="12" t="n"/>
      <c r="AV73" s="11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</row>
    <row r="74">
      <c r="A74" s="7">
        <f>IF(B74="","","INS-"&amp;TEXT(ROW()-3,"000"))</f>
        <v/>
      </c>
      <c r="B74" s="11" t="n"/>
      <c r="C74" s="7">
        <f>IF(B74="","",ISOWEEKNUM(B74))</f>
        <v/>
      </c>
      <c r="D74" s="7">
        <f>IF(B74="","",TEXT(B74,"yyyy-mm"))</f>
        <v/>
      </c>
      <c r="E74" s="12" t="n"/>
      <c r="F74" s="12" t="n"/>
      <c r="G74" s="7">
        <f>IF(OR(E74="",F74=""),"",IF(COUNTIF(Cluster_Master!$I$3:$I$17,E74&amp;"|"&amp;F74)=1,"Valid","Review"))</f>
        <v/>
      </c>
      <c r="H74" s="7">
        <f>IF($G74&lt;&gt;"Valid","",VLOOKUP($E74&amp;"|"&amp;$F74,Cluster_Master!$I$3:$H$17,3,FALSE))</f>
        <v/>
      </c>
      <c r="I74" s="7">
        <f>IF($G74&lt;&gt;"Valid","",VLOOKUP($E74&amp;"|"&amp;$F74,Cluster_Master!$I$3:$H$17,4,FALSE))</f>
        <v/>
      </c>
      <c r="J74" s="7">
        <f>IF($G74&lt;&gt;"Valid","",VLOOKUP($E74&amp;"|"&amp;$F74,Cluster_Master!$I$3:$H$17,5,FALSE))</f>
        <v/>
      </c>
      <c r="K74" s="7">
        <f>IF($G74&lt;&gt;"Valid","",VLOOKUP($E74&amp;"|"&amp;$F74,Cluster_Master!$I$3:$H$17,6,FALSE))</f>
        <v/>
      </c>
      <c r="L74" s="7">
        <f>IF($G74&lt;&gt;"Valid","",VLOOKUP($E74&amp;"|"&amp;$F74,Cluster_Master!$I$3:$H$17,7,FALSE))</f>
        <v/>
      </c>
      <c r="M74" s="7">
        <f>IF($G74&lt;&gt;"Valid","",VLOOKUP($E74&amp;"|"&amp;$F74,Cluster_Master!$I$3:$H$17,8,FALSE))</f>
        <v/>
      </c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7">
        <f>IF(COUNT(T74:AH74)=0,"",SUM(T74:AH74))</f>
        <v/>
      </c>
      <c r="AJ74" s="10">
        <f>IF(AI74="","",AI74/75)</f>
        <v/>
      </c>
      <c r="AK74" s="10">
        <f>IF(AI74="","",SUMPRODUCT(T74:AH74,KPI_Weights!$B$3:$B$17)/5)</f>
        <v/>
      </c>
      <c r="AL74" s="7">
        <f>IF(COUNT(T74:AH74)=0,"",IF(OR(T74&lt;=1,W74&lt;=1,X74&lt;=1,Y74&lt;=1,AB74&lt;=1),"YES","NO"))</f>
        <v/>
      </c>
      <c r="AM74" s="7">
        <f>IF(AK74="","",IF(AND(AK74="NO",AJ74&gt;=0.85),"YES","NO"))</f>
        <v/>
      </c>
      <c r="AN74" s="7">
        <f>IF(AJ74="","",IF(AJ74&gt;=0.90,"Excellent",IF(AJ74&gt;=0.80,"Good",IF(AJ74&gt;=0.70,"Fair","Poor"))))</f>
        <v/>
      </c>
      <c r="AO74" s="12" t="n"/>
      <c r="AP74" s="12" t="n"/>
      <c r="AQ74" s="12" t="n"/>
      <c r="AR74" s="12" t="n"/>
      <c r="AS74" s="12" t="n"/>
      <c r="AT74" s="12" t="n"/>
      <c r="AU74" s="12" t="n"/>
      <c r="AV74" s="11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</row>
    <row r="75">
      <c r="A75" s="7">
        <f>IF(B75="","","INS-"&amp;TEXT(ROW()-3,"000"))</f>
        <v/>
      </c>
      <c r="B75" s="11" t="n"/>
      <c r="C75" s="7">
        <f>IF(B75="","",ISOWEEKNUM(B75))</f>
        <v/>
      </c>
      <c r="D75" s="7">
        <f>IF(B75="","",TEXT(B75,"yyyy-mm"))</f>
        <v/>
      </c>
      <c r="E75" s="12" t="n"/>
      <c r="F75" s="12" t="n"/>
      <c r="G75" s="7">
        <f>IF(OR(E75="",F75=""),"",IF(COUNTIF(Cluster_Master!$I$3:$I$17,E75&amp;"|"&amp;F75)=1,"Valid","Review"))</f>
        <v/>
      </c>
      <c r="H75" s="7">
        <f>IF($G75&lt;&gt;"Valid","",VLOOKUP($E75&amp;"|"&amp;$F75,Cluster_Master!$I$3:$H$17,3,FALSE))</f>
        <v/>
      </c>
      <c r="I75" s="7">
        <f>IF($G75&lt;&gt;"Valid","",VLOOKUP($E75&amp;"|"&amp;$F75,Cluster_Master!$I$3:$H$17,4,FALSE))</f>
        <v/>
      </c>
      <c r="J75" s="7">
        <f>IF($G75&lt;&gt;"Valid","",VLOOKUP($E75&amp;"|"&amp;$F75,Cluster_Master!$I$3:$H$17,5,FALSE))</f>
        <v/>
      </c>
      <c r="K75" s="7">
        <f>IF($G75&lt;&gt;"Valid","",VLOOKUP($E75&amp;"|"&amp;$F75,Cluster_Master!$I$3:$H$17,6,FALSE))</f>
        <v/>
      </c>
      <c r="L75" s="7">
        <f>IF($G75&lt;&gt;"Valid","",VLOOKUP($E75&amp;"|"&amp;$F75,Cluster_Master!$I$3:$H$17,7,FALSE))</f>
        <v/>
      </c>
      <c r="M75" s="7">
        <f>IF($G75&lt;&gt;"Valid","",VLOOKUP($E75&amp;"|"&amp;$F75,Cluster_Master!$I$3:$H$17,8,FALSE))</f>
        <v/>
      </c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7">
        <f>IF(COUNT(T75:AH75)=0,"",SUM(T75:AH75))</f>
        <v/>
      </c>
      <c r="AJ75" s="10">
        <f>IF(AI75="","",AI75/75)</f>
        <v/>
      </c>
      <c r="AK75" s="10">
        <f>IF(AI75="","",SUMPRODUCT(T75:AH75,KPI_Weights!$B$3:$B$17)/5)</f>
        <v/>
      </c>
      <c r="AL75" s="7">
        <f>IF(COUNT(T75:AH75)=0,"",IF(OR(T75&lt;=1,W75&lt;=1,X75&lt;=1,Y75&lt;=1,AB75&lt;=1),"YES","NO"))</f>
        <v/>
      </c>
      <c r="AM75" s="7">
        <f>IF(AK75="","",IF(AND(AK75="NO",AJ75&gt;=0.85),"YES","NO"))</f>
        <v/>
      </c>
      <c r="AN75" s="7">
        <f>IF(AJ75="","",IF(AJ75&gt;=0.90,"Excellent",IF(AJ75&gt;=0.80,"Good",IF(AJ75&gt;=0.70,"Fair","Poor"))))</f>
        <v/>
      </c>
      <c r="AO75" s="12" t="n"/>
      <c r="AP75" s="12" t="n"/>
      <c r="AQ75" s="12" t="n"/>
      <c r="AR75" s="12" t="n"/>
      <c r="AS75" s="12" t="n"/>
      <c r="AT75" s="12" t="n"/>
      <c r="AU75" s="12" t="n"/>
      <c r="AV75" s="11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</row>
    <row r="76">
      <c r="A76" s="7">
        <f>IF(B76="","","INS-"&amp;TEXT(ROW()-3,"000"))</f>
        <v/>
      </c>
      <c r="B76" s="11" t="n"/>
      <c r="C76" s="7">
        <f>IF(B76="","",ISOWEEKNUM(B76))</f>
        <v/>
      </c>
      <c r="D76" s="7">
        <f>IF(B76="","",TEXT(B76,"yyyy-mm"))</f>
        <v/>
      </c>
      <c r="E76" s="12" t="n"/>
      <c r="F76" s="12" t="n"/>
      <c r="G76" s="7">
        <f>IF(OR(E76="",F76=""),"",IF(COUNTIF(Cluster_Master!$I$3:$I$17,E76&amp;"|"&amp;F76)=1,"Valid","Review"))</f>
        <v/>
      </c>
      <c r="H76" s="7">
        <f>IF($G76&lt;&gt;"Valid","",VLOOKUP($E76&amp;"|"&amp;$F76,Cluster_Master!$I$3:$H$17,3,FALSE))</f>
        <v/>
      </c>
      <c r="I76" s="7">
        <f>IF($G76&lt;&gt;"Valid","",VLOOKUP($E76&amp;"|"&amp;$F76,Cluster_Master!$I$3:$H$17,4,FALSE))</f>
        <v/>
      </c>
      <c r="J76" s="7">
        <f>IF($G76&lt;&gt;"Valid","",VLOOKUP($E76&amp;"|"&amp;$F76,Cluster_Master!$I$3:$H$17,5,FALSE))</f>
        <v/>
      </c>
      <c r="K76" s="7">
        <f>IF($G76&lt;&gt;"Valid","",VLOOKUP($E76&amp;"|"&amp;$F76,Cluster_Master!$I$3:$H$17,6,FALSE))</f>
        <v/>
      </c>
      <c r="L76" s="7">
        <f>IF($G76&lt;&gt;"Valid","",VLOOKUP($E76&amp;"|"&amp;$F76,Cluster_Master!$I$3:$H$17,7,FALSE))</f>
        <v/>
      </c>
      <c r="M76" s="7">
        <f>IF($G76&lt;&gt;"Valid","",VLOOKUP($E76&amp;"|"&amp;$F76,Cluster_Master!$I$3:$H$17,8,FALSE))</f>
        <v/>
      </c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7">
        <f>IF(COUNT(T76:AH76)=0,"",SUM(T76:AH76))</f>
        <v/>
      </c>
      <c r="AJ76" s="10">
        <f>IF(AI76="","",AI76/75)</f>
        <v/>
      </c>
      <c r="AK76" s="10">
        <f>IF(AI76="","",SUMPRODUCT(T76:AH76,KPI_Weights!$B$3:$B$17)/5)</f>
        <v/>
      </c>
      <c r="AL76" s="7">
        <f>IF(COUNT(T76:AH76)=0,"",IF(OR(T76&lt;=1,W76&lt;=1,X76&lt;=1,Y76&lt;=1,AB76&lt;=1),"YES","NO"))</f>
        <v/>
      </c>
      <c r="AM76" s="7">
        <f>IF(AK76="","",IF(AND(AK76="NO",AJ76&gt;=0.85),"YES","NO"))</f>
        <v/>
      </c>
      <c r="AN76" s="7">
        <f>IF(AJ76="","",IF(AJ76&gt;=0.90,"Excellent",IF(AJ76&gt;=0.80,"Good",IF(AJ76&gt;=0.70,"Fair","Poor"))))</f>
        <v/>
      </c>
      <c r="AO76" s="12" t="n"/>
      <c r="AP76" s="12" t="n"/>
      <c r="AQ76" s="12" t="n"/>
      <c r="AR76" s="12" t="n"/>
      <c r="AS76" s="12" t="n"/>
      <c r="AT76" s="12" t="n"/>
      <c r="AU76" s="12" t="n"/>
      <c r="AV76" s="11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</row>
    <row r="77">
      <c r="A77" s="7">
        <f>IF(B77="","","INS-"&amp;TEXT(ROW()-3,"000"))</f>
        <v/>
      </c>
      <c r="B77" s="11" t="n"/>
      <c r="C77" s="7">
        <f>IF(B77="","",ISOWEEKNUM(B77))</f>
        <v/>
      </c>
      <c r="D77" s="7">
        <f>IF(B77="","",TEXT(B77,"yyyy-mm"))</f>
        <v/>
      </c>
      <c r="E77" s="12" t="n"/>
      <c r="F77" s="12" t="n"/>
      <c r="G77" s="7">
        <f>IF(OR(E77="",F77=""),"",IF(COUNTIF(Cluster_Master!$I$3:$I$17,E77&amp;"|"&amp;F77)=1,"Valid","Review"))</f>
        <v/>
      </c>
      <c r="H77" s="7">
        <f>IF($G77&lt;&gt;"Valid","",VLOOKUP($E77&amp;"|"&amp;$F77,Cluster_Master!$I$3:$H$17,3,FALSE))</f>
        <v/>
      </c>
      <c r="I77" s="7">
        <f>IF($G77&lt;&gt;"Valid","",VLOOKUP($E77&amp;"|"&amp;$F77,Cluster_Master!$I$3:$H$17,4,FALSE))</f>
        <v/>
      </c>
      <c r="J77" s="7">
        <f>IF($G77&lt;&gt;"Valid","",VLOOKUP($E77&amp;"|"&amp;$F77,Cluster_Master!$I$3:$H$17,5,FALSE))</f>
        <v/>
      </c>
      <c r="K77" s="7">
        <f>IF($G77&lt;&gt;"Valid","",VLOOKUP($E77&amp;"|"&amp;$F77,Cluster_Master!$I$3:$H$17,6,FALSE))</f>
        <v/>
      </c>
      <c r="L77" s="7">
        <f>IF($G77&lt;&gt;"Valid","",VLOOKUP($E77&amp;"|"&amp;$F77,Cluster_Master!$I$3:$H$17,7,FALSE))</f>
        <v/>
      </c>
      <c r="M77" s="7">
        <f>IF($G77&lt;&gt;"Valid","",VLOOKUP($E77&amp;"|"&amp;$F77,Cluster_Master!$I$3:$H$17,8,FALSE))</f>
        <v/>
      </c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7">
        <f>IF(COUNT(T77:AH77)=0,"",SUM(T77:AH77))</f>
        <v/>
      </c>
      <c r="AJ77" s="10">
        <f>IF(AI77="","",AI77/75)</f>
        <v/>
      </c>
      <c r="AK77" s="10">
        <f>IF(AI77="","",SUMPRODUCT(T77:AH77,KPI_Weights!$B$3:$B$17)/5)</f>
        <v/>
      </c>
      <c r="AL77" s="7">
        <f>IF(COUNT(T77:AH77)=0,"",IF(OR(T77&lt;=1,W77&lt;=1,X77&lt;=1,Y77&lt;=1,AB77&lt;=1),"YES","NO"))</f>
        <v/>
      </c>
      <c r="AM77" s="7">
        <f>IF(AK77="","",IF(AND(AK77="NO",AJ77&gt;=0.85),"YES","NO"))</f>
        <v/>
      </c>
      <c r="AN77" s="7">
        <f>IF(AJ77="","",IF(AJ77&gt;=0.90,"Excellent",IF(AJ77&gt;=0.80,"Good",IF(AJ77&gt;=0.70,"Fair","Poor"))))</f>
        <v/>
      </c>
      <c r="AO77" s="12" t="n"/>
      <c r="AP77" s="12" t="n"/>
      <c r="AQ77" s="12" t="n"/>
      <c r="AR77" s="12" t="n"/>
      <c r="AS77" s="12" t="n"/>
      <c r="AT77" s="12" t="n"/>
      <c r="AU77" s="12" t="n"/>
      <c r="AV77" s="11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</row>
    <row r="78">
      <c r="A78" s="7">
        <f>IF(B78="","","INS-"&amp;TEXT(ROW()-3,"000"))</f>
        <v/>
      </c>
      <c r="B78" s="11" t="n"/>
      <c r="C78" s="7">
        <f>IF(B78="","",ISOWEEKNUM(B78))</f>
        <v/>
      </c>
      <c r="D78" s="7">
        <f>IF(B78="","",TEXT(B78,"yyyy-mm"))</f>
        <v/>
      </c>
      <c r="E78" s="12" t="n"/>
      <c r="F78" s="12" t="n"/>
      <c r="G78" s="7">
        <f>IF(OR(E78="",F78=""),"",IF(COUNTIF(Cluster_Master!$I$3:$I$17,E78&amp;"|"&amp;F78)=1,"Valid","Review"))</f>
        <v/>
      </c>
      <c r="H78" s="7">
        <f>IF($G78&lt;&gt;"Valid","",VLOOKUP($E78&amp;"|"&amp;$F78,Cluster_Master!$I$3:$H$17,3,FALSE))</f>
        <v/>
      </c>
      <c r="I78" s="7">
        <f>IF($G78&lt;&gt;"Valid","",VLOOKUP($E78&amp;"|"&amp;$F78,Cluster_Master!$I$3:$H$17,4,FALSE))</f>
        <v/>
      </c>
      <c r="J78" s="7">
        <f>IF($G78&lt;&gt;"Valid","",VLOOKUP($E78&amp;"|"&amp;$F78,Cluster_Master!$I$3:$H$17,5,FALSE))</f>
        <v/>
      </c>
      <c r="K78" s="7">
        <f>IF($G78&lt;&gt;"Valid","",VLOOKUP($E78&amp;"|"&amp;$F78,Cluster_Master!$I$3:$H$17,6,FALSE))</f>
        <v/>
      </c>
      <c r="L78" s="7">
        <f>IF($G78&lt;&gt;"Valid","",VLOOKUP($E78&amp;"|"&amp;$F78,Cluster_Master!$I$3:$H$17,7,FALSE))</f>
        <v/>
      </c>
      <c r="M78" s="7">
        <f>IF($G78&lt;&gt;"Valid","",VLOOKUP($E78&amp;"|"&amp;$F78,Cluster_Master!$I$3:$H$17,8,FALSE))</f>
        <v/>
      </c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7">
        <f>IF(COUNT(T78:AH78)=0,"",SUM(T78:AH78))</f>
        <v/>
      </c>
      <c r="AJ78" s="10">
        <f>IF(AI78="","",AI78/75)</f>
        <v/>
      </c>
      <c r="AK78" s="10">
        <f>IF(AI78="","",SUMPRODUCT(T78:AH78,KPI_Weights!$B$3:$B$17)/5)</f>
        <v/>
      </c>
      <c r="AL78" s="7">
        <f>IF(COUNT(T78:AH78)=0,"",IF(OR(T78&lt;=1,W78&lt;=1,X78&lt;=1,Y78&lt;=1,AB78&lt;=1),"YES","NO"))</f>
        <v/>
      </c>
      <c r="AM78" s="7">
        <f>IF(AK78="","",IF(AND(AK78="NO",AJ78&gt;=0.85),"YES","NO"))</f>
        <v/>
      </c>
      <c r="AN78" s="7">
        <f>IF(AJ78="","",IF(AJ78&gt;=0.90,"Excellent",IF(AJ78&gt;=0.80,"Good",IF(AJ78&gt;=0.70,"Fair","Poor"))))</f>
        <v/>
      </c>
      <c r="AO78" s="12" t="n"/>
      <c r="AP78" s="12" t="n"/>
      <c r="AQ78" s="12" t="n"/>
      <c r="AR78" s="12" t="n"/>
      <c r="AS78" s="12" t="n"/>
      <c r="AT78" s="12" t="n"/>
      <c r="AU78" s="12" t="n"/>
      <c r="AV78" s="11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</row>
    <row r="79">
      <c r="A79" s="7">
        <f>IF(B79="","","INS-"&amp;TEXT(ROW()-3,"000"))</f>
        <v/>
      </c>
      <c r="B79" s="11" t="n"/>
      <c r="C79" s="7">
        <f>IF(B79="","",ISOWEEKNUM(B79))</f>
        <v/>
      </c>
      <c r="D79" s="7">
        <f>IF(B79="","",TEXT(B79,"yyyy-mm"))</f>
        <v/>
      </c>
      <c r="E79" s="12" t="n"/>
      <c r="F79" s="12" t="n"/>
      <c r="G79" s="7">
        <f>IF(OR(E79="",F79=""),"",IF(COUNTIF(Cluster_Master!$I$3:$I$17,E79&amp;"|"&amp;F79)=1,"Valid","Review"))</f>
        <v/>
      </c>
      <c r="H79" s="7">
        <f>IF($G79&lt;&gt;"Valid","",VLOOKUP($E79&amp;"|"&amp;$F79,Cluster_Master!$I$3:$H$17,3,FALSE))</f>
        <v/>
      </c>
      <c r="I79" s="7">
        <f>IF($G79&lt;&gt;"Valid","",VLOOKUP($E79&amp;"|"&amp;$F79,Cluster_Master!$I$3:$H$17,4,FALSE))</f>
        <v/>
      </c>
      <c r="J79" s="7">
        <f>IF($G79&lt;&gt;"Valid","",VLOOKUP($E79&amp;"|"&amp;$F79,Cluster_Master!$I$3:$H$17,5,FALSE))</f>
        <v/>
      </c>
      <c r="K79" s="7">
        <f>IF($G79&lt;&gt;"Valid","",VLOOKUP($E79&amp;"|"&amp;$F79,Cluster_Master!$I$3:$H$17,6,FALSE))</f>
        <v/>
      </c>
      <c r="L79" s="7">
        <f>IF($G79&lt;&gt;"Valid","",VLOOKUP($E79&amp;"|"&amp;$F79,Cluster_Master!$I$3:$H$17,7,FALSE))</f>
        <v/>
      </c>
      <c r="M79" s="7">
        <f>IF($G79&lt;&gt;"Valid","",VLOOKUP($E79&amp;"|"&amp;$F79,Cluster_Master!$I$3:$H$17,8,FALSE))</f>
        <v/>
      </c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7">
        <f>IF(COUNT(T79:AH79)=0,"",SUM(T79:AH79))</f>
        <v/>
      </c>
      <c r="AJ79" s="10">
        <f>IF(AI79="","",AI79/75)</f>
        <v/>
      </c>
      <c r="AK79" s="10">
        <f>IF(AI79="","",SUMPRODUCT(T79:AH79,KPI_Weights!$B$3:$B$17)/5)</f>
        <v/>
      </c>
      <c r="AL79" s="7">
        <f>IF(COUNT(T79:AH79)=0,"",IF(OR(T79&lt;=1,W79&lt;=1,X79&lt;=1,Y79&lt;=1,AB79&lt;=1),"YES","NO"))</f>
        <v/>
      </c>
      <c r="AM79" s="7">
        <f>IF(AK79="","",IF(AND(AK79="NO",AJ79&gt;=0.85),"YES","NO"))</f>
        <v/>
      </c>
      <c r="AN79" s="7">
        <f>IF(AJ79="","",IF(AJ79&gt;=0.90,"Excellent",IF(AJ79&gt;=0.80,"Good",IF(AJ79&gt;=0.70,"Fair","Poor"))))</f>
        <v/>
      </c>
      <c r="AO79" s="12" t="n"/>
      <c r="AP79" s="12" t="n"/>
      <c r="AQ79" s="12" t="n"/>
      <c r="AR79" s="12" t="n"/>
      <c r="AS79" s="12" t="n"/>
      <c r="AT79" s="12" t="n"/>
      <c r="AU79" s="12" t="n"/>
      <c r="AV79" s="11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</row>
    <row r="80">
      <c r="A80" s="7">
        <f>IF(B80="","","INS-"&amp;TEXT(ROW()-3,"000"))</f>
        <v/>
      </c>
      <c r="B80" s="11" t="n"/>
      <c r="C80" s="7">
        <f>IF(B80="","",ISOWEEKNUM(B80))</f>
        <v/>
      </c>
      <c r="D80" s="7">
        <f>IF(B80="","",TEXT(B80,"yyyy-mm"))</f>
        <v/>
      </c>
      <c r="E80" s="12" t="n"/>
      <c r="F80" s="12" t="n"/>
      <c r="G80" s="7">
        <f>IF(OR(E80="",F80=""),"",IF(COUNTIF(Cluster_Master!$I$3:$I$17,E80&amp;"|"&amp;F80)=1,"Valid","Review"))</f>
        <v/>
      </c>
      <c r="H80" s="7">
        <f>IF($G80&lt;&gt;"Valid","",VLOOKUP($E80&amp;"|"&amp;$F80,Cluster_Master!$I$3:$H$17,3,FALSE))</f>
        <v/>
      </c>
      <c r="I80" s="7">
        <f>IF($G80&lt;&gt;"Valid","",VLOOKUP($E80&amp;"|"&amp;$F80,Cluster_Master!$I$3:$H$17,4,FALSE))</f>
        <v/>
      </c>
      <c r="J80" s="7">
        <f>IF($G80&lt;&gt;"Valid","",VLOOKUP($E80&amp;"|"&amp;$F80,Cluster_Master!$I$3:$H$17,5,FALSE))</f>
        <v/>
      </c>
      <c r="K80" s="7">
        <f>IF($G80&lt;&gt;"Valid","",VLOOKUP($E80&amp;"|"&amp;$F80,Cluster_Master!$I$3:$H$17,6,FALSE))</f>
        <v/>
      </c>
      <c r="L80" s="7">
        <f>IF($G80&lt;&gt;"Valid","",VLOOKUP($E80&amp;"|"&amp;$F80,Cluster_Master!$I$3:$H$17,7,FALSE))</f>
        <v/>
      </c>
      <c r="M80" s="7">
        <f>IF($G80&lt;&gt;"Valid","",VLOOKUP($E80&amp;"|"&amp;$F80,Cluster_Master!$I$3:$H$17,8,FALSE))</f>
        <v/>
      </c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7">
        <f>IF(COUNT(T80:AH80)=0,"",SUM(T80:AH80))</f>
        <v/>
      </c>
      <c r="AJ80" s="10">
        <f>IF(AI80="","",AI80/75)</f>
        <v/>
      </c>
      <c r="AK80" s="10">
        <f>IF(AI80="","",SUMPRODUCT(T80:AH80,KPI_Weights!$B$3:$B$17)/5)</f>
        <v/>
      </c>
      <c r="AL80" s="7">
        <f>IF(COUNT(T80:AH80)=0,"",IF(OR(T80&lt;=1,W80&lt;=1,X80&lt;=1,Y80&lt;=1,AB80&lt;=1),"YES","NO"))</f>
        <v/>
      </c>
      <c r="AM80" s="7">
        <f>IF(AK80="","",IF(AND(AK80="NO",AJ80&gt;=0.85),"YES","NO"))</f>
        <v/>
      </c>
      <c r="AN80" s="7">
        <f>IF(AJ80="","",IF(AJ80&gt;=0.90,"Excellent",IF(AJ80&gt;=0.80,"Good",IF(AJ80&gt;=0.70,"Fair","Poor"))))</f>
        <v/>
      </c>
      <c r="AO80" s="12" t="n"/>
      <c r="AP80" s="12" t="n"/>
      <c r="AQ80" s="12" t="n"/>
      <c r="AR80" s="12" t="n"/>
      <c r="AS80" s="12" t="n"/>
      <c r="AT80" s="12" t="n"/>
      <c r="AU80" s="12" t="n"/>
      <c r="AV80" s="11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</row>
    <row r="81">
      <c r="A81" s="7">
        <f>IF(B81="","","INS-"&amp;TEXT(ROW()-3,"000"))</f>
        <v/>
      </c>
      <c r="B81" s="11" t="n"/>
      <c r="C81" s="7">
        <f>IF(B81="","",ISOWEEKNUM(B81))</f>
        <v/>
      </c>
      <c r="D81" s="7">
        <f>IF(B81="","",TEXT(B81,"yyyy-mm"))</f>
        <v/>
      </c>
      <c r="E81" s="12" t="n"/>
      <c r="F81" s="12" t="n"/>
      <c r="G81" s="7">
        <f>IF(OR(E81="",F81=""),"",IF(COUNTIF(Cluster_Master!$I$3:$I$17,E81&amp;"|"&amp;F81)=1,"Valid","Review"))</f>
        <v/>
      </c>
      <c r="H81" s="7">
        <f>IF($G81&lt;&gt;"Valid","",VLOOKUP($E81&amp;"|"&amp;$F81,Cluster_Master!$I$3:$H$17,3,FALSE))</f>
        <v/>
      </c>
      <c r="I81" s="7">
        <f>IF($G81&lt;&gt;"Valid","",VLOOKUP($E81&amp;"|"&amp;$F81,Cluster_Master!$I$3:$H$17,4,FALSE))</f>
        <v/>
      </c>
      <c r="J81" s="7">
        <f>IF($G81&lt;&gt;"Valid","",VLOOKUP($E81&amp;"|"&amp;$F81,Cluster_Master!$I$3:$H$17,5,FALSE))</f>
        <v/>
      </c>
      <c r="K81" s="7">
        <f>IF($G81&lt;&gt;"Valid","",VLOOKUP($E81&amp;"|"&amp;$F81,Cluster_Master!$I$3:$H$17,6,FALSE))</f>
        <v/>
      </c>
      <c r="L81" s="7">
        <f>IF($G81&lt;&gt;"Valid","",VLOOKUP($E81&amp;"|"&amp;$F81,Cluster_Master!$I$3:$H$17,7,FALSE))</f>
        <v/>
      </c>
      <c r="M81" s="7">
        <f>IF($G81&lt;&gt;"Valid","",VLOOKUP($E81&amp;"|"&amp;$F81,Cluster_Master!$I$3:$H$17,8,FALSE))</f>
        <v/>
      </c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7">
        <f>IF(COUNT(T81:AH81)=0,"",SUM(T81:AH81))</f>
        <v/>
      </c>
      <c r="AJ81" s="10">
        <f>IF(AI81="","",AI81/75)</f>
        <v/>
      </c>
      <c r="AK81" s="10">
        <f>IF(AI81="","",SUMPRODUCT(T81:AH81,KPI_Weights!$B$3:$B$17)/5)</f>
        <v/>
      </c>
      <c r="AL81" s="7">
        <f>IF(COUNT(T81:AH81)=0,"",IF(OR(T81&lt;=1,W81&lt;=1,X81&lt;=1,Y81&lt;=1,AB81&lt;=1),"YES","NO"))</f>
        <v/>
      </c>
      <c r="AM81" s="7">
        <f>IF(AK81="","",IF(AND(AK81="NO",AJ81&gt;=0.85),"YES","NO"))</f>
        <v/>
      </c>
      <c r="AN81" s="7">
        <f>IF(AJ81="","",IF(AJ81&gt;=0.90,"Excellent",IF(AJ81&gt;=0.80,"Good",IF(AJ81&gt;=0.70,"Fair","Poor"))))</f>
        <v/>
      </c>
      <c r="AO81" s="12" t="n"/>
      <c r="AP81" s="12" t="n"/>
      <c r="AQ81" s="12" t="n"/>
      <c r="AR81" s="12" t="n"/>
      <c r="AS81" s="12" t="n"/>
      <c r="AT81" s="12" t="n"/>
      <c r="AU81" s="12" t="n"/>
      <c r="AV81" s="11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</row>
    <row r="82">
      <c r="A82" s="7">
        <f>IF(B82="","","INS-"&amp;TEXT(ROW()-3,"000"))</f>
        <v/>
      </c>
      <c r="B82" s="11" t="n"/>
      <c r="C82" s="7">
        <f>IF(B82="","",ISOWEEKNUM(B82))</f>
        <v/>
      </c>
      <c r="D82" s="7">
        <f>IF(B82="","",TEXT(B82,"yyyy-mm"))</f>
        <v/>
      </c>
      <c r="E82" s="12" t="n"/>
      <c r="F82" s="12" t="n"/>
      <c r="G82" s="7">
        <f>IF(OR(E82="",F82=""),"",IF(COUNTIF(Cluster_Master!$I$3:$I$17,E82&amp;"|"&amp;F82)=1,"Valid","Review"))</f>
        <v/>
      </c>
      <c r="H82" s="7">
        <f>IF($G82&lt;&gt;"Valid","",VLOOKUP($E82&amp;"|"&amp;$F82,Cluster_Master!$I$3:$H$17,3,FALSE))</f>
        <v/>
      </c>
      <c r="I82" s="7">
        <f>IF($G82&lt;&gt;"Valid","",VLOOKUP($E82&amp;"|"&amp;$F82,Cluster_Master!$I$3:$H$17,4,FALSE))</f>
        <v/>
      </c>
      <c r="J82" s="7">
        <f>IF($G82&lt;&gt;"Valid","",VLOOKUP($E82&amp;"|"&amp;$F82,Cluster_Master!$I$3:$H$17,5,FALSE))</f>
        <v/>
      </c>
      <c r="K82" s="7">
        <f>IF($G82&lt;&gt;"Valid","",VLOOKUP($E82&amp;"|"&amp;$F82,Cluster_Master!$I$3:$H$17,6,FALSE))</f>
        <v/>
      </c>
      <c r="L82" s="7">
        <f>IF($G82&lt;&gt;"Valid","",VLOOKUP($E82&amp;"|"&amp;$F82,Cluster_Master!$I$3:$H$17,7,FALSE))</f>
        <v/>
      </c>
      <c r="M82" s="7">
        <f>IF($G82&lt;&gt;"Valid","",VLOOKUP($E82&amp;"|"&amp;$F82,Cluster_Master!$I$3:$H$17,8,FALSE))</f>
        <v/>
      </c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7">
        <f>IF(COUNT(T82:AH82)=0,"",SUM(T82:AH82))</f>
        <v/>
      </c>
      <c r="AJ82" s="10">
        <f>IF(AI82="","",AI82/75)</f>
        <v/>
      </c>
      <c r="AK82" s="10">
        <f>IF(AI82="","",SUMPRODUCT(T82:AH82,KPI_Weights!$B$3:$B$17)/5)</f>
        <v/>
      </c>
      <c r="AL82" s="7">
        <f>IF(COUNT(T82:AH82)=0,"",IF(OR(T82&lt;=1,W82&lt;=1,X82&lt;=1,Y82&lt;=1,AB82&lt;=1),"YES","NO"))</f>
        <v/>
      </c>
      <c r="AM82" s="7">
        <f>IF(AK82="","",IF(AND(AK82="NO",AJ82&gt;=0.85),"YES","NO"))</f>
        <v/>
      </c>
      <c r="AN82" s="7">
        <f>IF(AJ82="","",IF(AJ82&gt;=0.90,"Excellent",IF(AJ82&gt;=0.80,"Good",IF(AJ82&gt;=0.70,"Fair","Poor"))))</f>
        <v/>
      </c>
      <c r="AO82" s="12" t="n"/>
      <c r="AP82" s="12" t="n"/>
      <c r="AQ82" s="12" t="n"/>
      <c r="AR82" s="12" t="n"/>
      <c r="AS82" s="12" t="n"/>
      <c r="AT82" s="12" t="n"/>
      <c r="AU82" s="12" t="n"/>
      <c r="AV82" s="11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</row>
    <row r="83">
      <c r="A83" s="7">
        <f>IF(B83="","","INS-"&amp;TEXT(ROW()-3,"000"))</f>
        <v/>
      </c>
      <c r="B83" s="11" t="n"/>
      <c r="C83" s="7">
        <f>IF(B83="","",ISOWEEKNUM(B83))</f>
        <v/>
      </c>
      <c r="D83" s="7">
        <f>IF(B83="","",TEXT(B83,"yyyy-mm"))</f>
        <v/>
      </c>
      <c r="E83" s="12" t="n"/>
      <c r="F83" s="12" t="n"/>
      <c r="G83" s="7">
        <f>IF(OR(E83="",F83=""),"",IF(COUNTIF(Cluster_Master!$I$3:$I$17,E83&amp;"|"&amp;F83)=1,"Valid","Review"))</f>
        <v/>
      </c>
      <c r="H83" s="7">
        <f>IF($G83&lt;&gt;"Valid","",VLOOKUP($E83&amp;"|"&amp;$F83,Cluster_Master!$I$3:$H$17,3,FALSE))</f>
        <v/>
      </c>
      <c r="I83" s="7">
        <f>IF($G83&lt;&gt;"Valid","",VLOOKUP($E83&amp;"|"&amp;$F83,Cluster_Master!$I$3:$H$17,4,FALSE))</f>
        <v/>
      </c>
      <c r="J83" s="7">
        <f>IF($G83&lt;&gt;"Valid","",VLOOKUP($E83&amp;"|"&amp;$F83,Cluster_Master!$I$3:$H$17,5,FALSE))</f>
        <v/>
      </c>
      <c r="K83" s="7">
        <f>IF($G83&lt;&gt;"Valid","",VLOOKUP($E83&amp;"|"&amp;$F83,Cluster_Master!$I$3:$H$17,6,FALSE))</f>
        <v/>
      </c>
      <c r="L83" s="7">
        <f>IF($G83&lt;&gt;"Valid","",VLOOKUP($E83&amp;"|"&amp;$F83,Cluster_Master!$I$3:$H$17,7,FALSE))</f>
        <v/>
      </c>
      <c r="M83" s="7">
        <f>IF($G83&lt;&gt;"Valid","",VLOOKUP($E83&amp;"|"&amp;$F83,Cluster_Master!$I$3:$H$17,8,FALSE))</f>
        <v/>
      </c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7">
        <f>IF(COUNT(T83:AH83)=0,"",SUM(T83:AH83))</f>
        <v/>
      </c>
      <c r="AJ83" s="10">
        <f>IF(AI83="","",AI83/75)</f>
        <v/>
      </c>
      <c r="AK83" s="10">
        <f>IF(AI83="","",SUMPRODUCT(T83:AH83,KPI_Weights!$B$3:$B$17)/5)</f>
        <v/>
      </c>
      <c r="AL83" s="7">
        <f>IF(COUNT(T83:AH83)=0,"",IF(OR(T83&lt;=1,W83&lt;=1,X83&lt;=1,Y83&lt;=1,AB83&lt;=1),"YES","NO"))</f>
        <v/>
      </c>
      <c r="AM83" s="7">
        <f>IF(AK83="","",IF(AND(AK83="NO",AJ83&gt;=0.85),"YES","NO"))</f>
        <v/>
      </c>
      <c r="AN83" s="7">
        <f>IF(AJ83="","",IF(AJ83&gt;=0.90,"Excellent",IF(AJ83&gt;=0.80,"Good",IF(AJ83&gt;=0.70,"Fair","Poor"))))</f>
        <v/>
      </c>
      <c r="AO83" s="12" t="n"/>
      <c r="AP83" s="12" t="n"/>
      <c r="AQ83" s="12" t="n"/>
      <c r="AR83" s="12" t="n"/>
      <c r="AS83" s="12" t="n"/>
      <c r="AT83" s="12" t="n"/>
      <c r="AU83" s="12" t="n"/>
      <c r="AV83" s="11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</row>
    <row r="84">
      <c r="A84" s="7">
        <f>IF(B84="","","INS-"&amp;TEXT(ROW()-3,"000"))</f>
        <v/>
      </c>
      <c r="B84" s="11" t="n"/>
      <c r="C84" s="7">
        <f>IF(B84="","",ISOWEEKNUM(B84))</f>
        <v/>
      </c>
      <c r="D84" s="7">
        <f>IF(B84="","",TEXT(B84,"yyyy-mm"))</f>
        <v/>
      </c>
      <c r="E84" s="12" t="n"/>
      <c r="F84" s="12" t="n"/>
      <c r="G84" s="7">
        <f>IF(OR(E84="",F84=""),"",IF(COUNTIF(Cluster_Master!$I$3:$I$17,E84&amp;"|"&amp;F84)=1,"Valid","Review"))</f>
        <v/>
      </c>
      <c r="H84" s="7">
        <f>IF($G84&lt;&gt;"Valid","",VLOOKUP($E84&amp;"|"&amp;$F84,Cluster_Master!$I$3:$H$17,3,FALSE))</f>
        <v/>
      </c>
      <c r="I84" s="7">
        <f>IF($G84&lt;&gt;"Valid","",VLOOKUP($E84&amp;"|"&amp;$F84,Cluster_Master!$I$3:$H$17,4,FALSE))</f>
        <v/>
      </c>
      <c r="J84" s="7">
        <f>IF($G84&lt;&gt;"Valid","",VLOOKUP($E84&amp;"|"&amp;$F84,Cluster_Master!$I$3:$H$17,5,FALSE))</f>
        <v/>
      </c>
      <c r="K84" s="7">
        <f>IF($G84&lt;&gt;"Valid","",VLOOKUP($E84&amp;"|"&amp;$F84,Cluster_Master!$I$3:$H$17,6,FALSE))</f>
        <v/>
      </c>
      <c r="L84" s="7">
        <f>IF($G84&lt;&gt;"Valid","",VLOOKUP($E84&amp;"|"&amp;$F84,Cluster_Master!$I$3:$H$17,7,FALSE))</f>
        <v/>
      </c>
      <c r="M84" s="7">
        <f>IF($G84&lt;&gt;"Valid","",VLOOKUP($E84&amp;"|"&amp;$F84,Cluster_Master!$I$3:$H$17,8,FALSE))</f>
        <v/>
      </c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7">
        <f>IF(COUNT(T84:AH84)=0,"",SUM(T84:AH84))</f>
        <v/>
      </c>
      <c r="AJ84" s="10">
        <f>IF(AI84="","",AI84/75)</f>
        <v/>
      </c>
      <c r="AK84" s="10">
        <f>IF(AI84="","",SUMPRODUCT(T84:AH84,KPI_Weights!$B$3:$B$17)/5)</f>
        <v/>
      </c>
      <c r="AL84" s="7">
        <f>IF(COUNT(T84:AH84)=0,"",IF(OR(T84&lt;=1,W84&lt;=1,X84&lt;=1,Y84&lt;=1,AB84&lt;=1),"YES","NO"))</f>
        <v/>
      </c>
      <c r="AM84" s="7">
        <f>IF(AK84="","",IF(AND(AK84="NO",AJ84&gt;=0.85),"YES","NO"))</f>
        <v/>
      </c>
      <c r="AN84" s="7">
        <f>IF(AJ84="","",IF(AJ84&gt;=0.90,"Excellent",IF(AJ84&gt;=0.80,"Good",IF(AJ84&gt;=0.70,"Fair","Poor"))))</f>
        <v/>
      </c>
      <c r="AO84" s="12" t="n"/>
      <c r="AP84" s="12" t="n"/>
      <c r="AQ84" s="12" t="n"/>
      <c r="AR84" s="12" t="n"/>
      <c r="AS84" s="12" t="n"/>
      <c r="AT84" s="12" t="n"/>
      <c r="AU84" s="12" t="n"/>
      <c r="AV84" s="11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</row>
    <row r="85">
      <c r="A85" s="7">
        <f>IF(B85="","","INS-"&amp;TEXT(ROW()-3,"000"))</f>
        <v/>
      </c>
      <c r="B85" s="11" t="n"/>
      <c r="C85" s="7">
        <f>IF(B85="","",ISOWEEKNUM(B85))</f>
        <v/>
      </c>
      <c r="D85" s="7">
        <f>IF(B85="","",TEXT(B85,"yyyy-mm"))</f>
        <v/>
      </c>
      <c r="E85" s="12" t="n"/>
      <c r="F85" s="12" t="n"/>
      <c r="G85" s="7">
        <f>IF(OR(E85="",F85=""),"",IF(COUNTIF(Cluster_Master!$I$3:$I$17,E85&amp;"|"&amp;F85)=1,"Valid","Review"))</f>
        <v/>
      </c>
      <c r="H85" s="7">
        <f>IF($G85&lt;&gt;"Valid","",VLOOKUP($E85&amp;"|"&amp;$F85,Cluster_Master!$I$3:$H$17,3,FALSE))</f>
        <v/>
      </c>
      <c r="I85" s="7">
        <f>IF($G85&lt;&gt;"Valid","",VLOOKUP($E85&amp;"|"&amp;$F85,Cluster_Master!$I$3:$H$17,4,FALSE))</f>
        <v/>
      </c>
      <c r="J85" s="7">
        <f>IF($G85&lt;&gt;"Valid","",VLOOKUP($E85&amp;"|"&amp;$F85,Cluster_Master!$I$3:$H$17,5,FALSE))</f>
        <v/>
      </c>
      <c r="K85" s="7">
        <f>IF($G85&lt;&gt;"Valid","",VLOOKUP($E85&amp;"|"&amp;$F85,Cluster_Master!$I$3:$H$17,6,FALSE))</f>
        <v/>
      </c>
      <c r="L85" s="7">
        <f>IF($G85&lt;&gt;"Valid","",VLOOKUP($E85&amp;"|"&amp;$F85,Cluster_Master!$I$3:$H$17,7,FALSE))</f>
        <v/>
      </c>
      <c r="M85" s="7">
        <f>IF($G85&lt;&gt;"Valid","",VLOOKUP($E85&amp;"|"&amp;$F85,Cluster_Master!$I$3:$H$17,8,FALSE))</f>
        <v/>
      </c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7">
        <f>IF(COUNT(T85:AH85)=0,"",SUM(T85:AH85))</f>
        <v/>
      </c>
      <c r="AJ85" s="10">
        <f>IF(AI85="","",AI85/75)</f>
        <v/>
      </c>
      <c r="AK85" s="10">
        <f>IF(AI85="","",SUMPRODUCT(T85:AH85,KPI_Weights!$B$3:$B$17)/5)</f>
        <v/>
      </c>
      <c r="AL85" s="7">
        <f>IF(COUNT(T85:AH85)=0,"",IF(OR(T85&lt;=1,W85&lt;=1,X85&lt;=1,Y85&lt;=1,AB85&lt;=1),"YES","NO"))</f>
        <v/>
      </c>
      <c r="AM85" s="7">
        <f>IF(AK85="","",IF(AND(AK85="NO",AJ85&gt;=0.85),"YES","NO"))</f>
        <v/>
      </c>
      <c r="AN85" s="7">
        <f>IF(AJ85="","",IF(AJ85&gt;=0.90,"Excellent",IF(AJ85&gt;=0.80,"Good",IF(AJ85&gt;=0.70,"Fair","Poor"))))</f>
        <v/>
      </c>
      <c r="AO85" s="12" t="n"/>
      <c r="AP85" s="12" t="n"/>
      <c r="AQ85" s="12" t="n"/>
      <c r="AR85" s="12" t="n"/>
      <c r="AS85" s="12" t="n"/>
      <c r="AT85" s="12" t="n"/>
      <c r="AU85" s="12" t="n"/>
      <c r="AV85" s="11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</row>
    <row r="86">
      <c r="A86" s="7">
        <f>IF(B86="","","INS-"&amp;TEXT(ROW()-3,"000"))</f>
        <v/>
      </c>
      <c r="B86" s="11" t="n"/>
      <c r="C86" s="7">
        <f>IF(B86="","",ISOWEEKNUM(B86))</f>
        <v/>
      </c>
      <c r="D86" s="7">
        <f>IF(B86="","",TEXT(B86,"yyyy-mm"))</f>
        <v/>
      </c>
      <c r="E86" s="12" t="n"/>
      <c r="F86" s="12" t="n"/>
      <c r="G86" s="7">
        <f>IF(OR(E86="",F86=""),"",IF(COUNTIF(Cluster_Master!$I$3:$I$17,E86&amp;"|"&amp;F86)=1,"Valid","Review"))</f>
        <v/>
      </c>
      <c r="H86" s="7">
        <f>IF($G86&lt;&gt;"Valid","",VLOOKUP($E86&amp;"|"&amp;$F86,Cluster_Master!$I$3:$H$17,3,FALSE))</f>
        <v/>
      </c>
      <c r="I86" s="7">
        <f>IF($G86&lt;&gt;"Valid","",VLOOKUP($E86&amp;"|"&amp;$F86,Cluster_Master!$I$3:$H$17,4,FALSE))</f>
        <v/>
      </c>
      <c r="J86" s="7">
        <f>IF($G86&lt;&gt;"Valid","",VLOOKUP($E86&amp;"|"&amp;$F86,Cluster_Master!$I$3:$H$17,5,FALSE))</f>
        <v/>
      </c>
      <c r="K86" s="7">
        <f>IF($G86&lt;&gt;"Valid","",VLOOKUP($E86&amp;"|"&amp;$F86,Cluster_Master!$I$3:$H$17,6,FALSE))</f>
        <v/>
      </c>
      <c r="L86" s="7">
        <f>IF($G86&lt;&gt;"Valid","",VLOOKUP($E86&amp;"|"&amp;$F86,Cluster_Master!$I$3:$H$17,7,FALSE))</f>
        <v/>
      </c>
      <c r="M86" s="7">
        <f>IF($G86&lt;&gt;"Valid","",VLOOKUP($E86&amp;"|"&amp;$F86,Cluster_Master!$I$3:$H$17,8,FALSE))</f>
        <v/>
      </c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7">
        <f>IF(COUNT(T86:AH86)=0,"",SUM(T86:AH86))</f>
        <v/>
      </c>
      <c r="AJ86" s="10">
        <f>IF(AI86="","",AI86/75)</f>
        <v/>
      </c>
      <c r="AK86" s="10">
        <f>IF(AI86="","",SUMPRODUCT(T86:AH86,KPI_Weights!$B$3:$B$17)/5)</f>
        <v/>
      </c>
      <c r="AL86" s="7">
        <f>IF(COUNT(T86:AH86)=0,"",IF(OR(T86&lt;=1,W86&lt;=1,X86&lt;=1,Y86&lt;=1,AB86&lt;=1),"YES","NO"))</f>
        <v/>
      </c>
      <c r="AM86" s="7">
        <f>IF(AK86="","",IF(AND(AK86="NO",AJ86&gt;=0.85),"YES","NO"))</f>
        <v/>
      </c>
      <c r="AN86" s="7">
        <f>IF(AJ86="","",IF(AJ86&gt;=0.90,"Excellent",IF(AJ86&gt;=0.80,"Good",IF(AJ86&gt;=0.70,"Fair","Poor"))))</f>
        <v/>
      </c>
      <c r="AO86" s="12" t="n"/>
      <c r="AP86" s="12" t="n"/>
      <c r="AQ86" s="12" t="n"/>
      <c r="AR86" s="12" t="n"/>
      <c r="AS86" s="12" t="n"/>
      <c r="AT86" s="12" t="n"/>
      <c r="AU86" s="12" t="n"/>
      <c r="AV86" s="11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</row>
    <row r="87">
      <c r="A87" s="7">
        <f>IF(B87="","","INS-"&amp;TEXT(ROW()-3,"000"))</f>
        <v/>
      </c>
      <c r="B87" s="11" t="n"/>
      <c r="C87" s="7">
        <f>IF(B87="","",ISOWEEKNUM(B87))</f>
        <v/>
      </c>
      <c r="D87" s="7">
        <f>IF(B87="","",TEXT(B87,"yyyy-mm"))</f>
        <v/>
      </c>
      <c r="E87" s="12" t="n"/>
      <c r="F87" s="12" t="n"/>
      <c r="G87" s="7">
        <f>IF(OR(E87="",F87=""),"",IF(COUNTIF(Cluster_Master!$I$3:$I$17,E87&amp;"|"&amp;F87)=1,"Valid","Review"))</f>
        <v/>
      </c>
      <c r="H87" s="7">
        <f>IF($G87&lt;&gt;"Valid","",VLOOKUP($E87&amp;"|"&amp;$F87,Cluster_Master!$I$3:$H$17,3,FALSE))</f>
        <v/>
      </c>
      <c r="I87" s="7">
        <f>IF($G87&lt;&gt;"Valid","",VLOOKUP($E87&amp;"|"&amp;$F87,Cluster_Master!$I$3:$H$17,4,FALSE))</f>
        <v/>
      </c>
      <c r="J87" s="7">
        <f>IF($G87&lt;&gt;"Valid","",VLOOKUP($E87&amp;"|"&amp;$F87,Cluster_Master!$I$3:$H$17,5,FALSE))</f>
        <v/>
      </c>
      <c r="K87" s="7">
        <f>IF($G87&lt;&gt;"Valid","",VLOOKUP($E87&amp;"|"&amp;$F87,Cluster_Master!$I$3:$H$17,6,FALSE))</f>
        <v/>
      </c>
      <c r="L87" s="7">
        <f>IF($G87&lt;&gt;"Valid","",VLOOKUP($E87&amp;"|"&amp;$F87,Cluster_Master!$I$3:$H$17,7,FALSE))</f>
        <v/>
      </c>
      <c r="M87" s="7">
        <f>IF($G87&lt;&gt;"Valid","",VLOOKUP($E87&amp;"|"&amp;$F87,Cluster_Master!$I$3:$H$17,8,FALSE))</f>
        <v/>
      </c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7">
        <f>IF(COUNT(T87:AH87)=0,"",SUM(T87:AH87))</f>
        <v/>
      </c>
      <c r="AJ87" s="10">
        <f>IF(AI87="","",AI87/75)</f>
        <v/>
      </c>
      <c r="AK87" s="10">
        <f>IF(AI87="","",SUMPRODUCT(T87:AH87,KPI_Weights!$B$3:$B$17)/5)</f>
        <v/>
      </c>
      <c r="AL87" s="7">
        <f>IF(COUNT(T87:AH87)=0,"",IF(OR(T87&lt;=1,W87&lt;=1,X87&lt;=1,Y87&lt;=1,AB87&lt;=1),"YES","NO"))</f>
        <v/>
      </c>
      <c r="AM87" s="7">
        <f>IF(AK87="","",IF(AND(AK87="NO",AJ87&gt;=0.85),"YES","NO"))</f>
        <v/>
      </c>
      <c r="AN87" s="7">
        <f>IF(AJ87="","",IF(AJ87&gt;=0.90,"Excellent",IF(AJ87&gt;=0.80,"Good",IF(AJ87&gt;=0.70,"Fair","Poor"))))</f>
        <v/>
      </c>
      <c r="AO87" s="12" t="n"/>
      <c r="AP87" s="12" t="n"/>
      <c r="AQ87" s="12" t="n"/>
      <c r="AR87" s="12" t="n"/>
      <c r="AS87" s="12" t="n"/>
      <c r="AT87" s="12" t="n"/>
      <c r="AU87" s="12" t="n"/>
      <c r="AV87" s="11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</row>
    <row r="88">
      <c r="A88" s="7">
        <f>IF(B88="","","INS-"&amp;TEXT(ROW()-3,"000"))</f>
        <v/>
      </c>
      <c r="B88" s="11" t="n"/>
      <c r="C88" s="7">
        <f>IF(B88="","",ISOWEEKNUM(B88))</f>
        <v/>
      </c>
      <c r="D88" s="7">
        <f>IF(B88="","",TEXT(B88,"yyyy-mm"))</f>
        <v/>
      </c>
      <c r="E88" s="12" t="n"/>
      <c r="F88" s="12" t="n"/>
      <c r="G88" s="7">
        <f>IF(OR(E88="",F88=""),"",IF(COUNTIF(Cluster_Master!$I$3:$I$17,E88&amp;"|"&amp;F88)=1,"Valid","Review"))</f>
        <v/>
      </c>
      <c r="H88" s="7">
        <f>IF($G88&lt;&gt;"Valid","",VLOOKUP($E88&amp;"|"&amp;$F88,Cluster_Master!$I$3:$H$17,3,FALSE))</f>
        <v/>
      </c>
      <c r="I88" s="7">
        <f>IF($G88&lt;&gt;"Valid","",VLOOKUP($E88&amp;"|"&amp;$F88,Cluster_Master!$I$3:$H$17,4,FALSE))</f>
        <v/>
      </c>
      <c r="J88" s="7">
        <f>IF($G88&lt;&gt;"Valid","",VLOOKUP($E88&amp;"|"&amp;$F88,Cluster_Master!$I$3:$H$17,5,FALSE))</f>
        <v/>
      </c>
      <c r="K88" s="7">
        <f>IF($G88&lt;&gt;"Valid","",VLOOKUP($E88&amp;"|"&amp;$F88,Cluster_Master!$I$3:$H$17,6,FALSE))</f>
        <v/>
      </c>
      <c r="L88" s="7">
        <f>IF($G88&lt;&gt;"Valid","",VLOOKUP($E88&amp;"|"&amp;$F88,Cluster_Master!$I$3:$H$17,7,FALSE))</f>
        <v/>
      </c>
      <c r="M88" s="7">
        <f>IF($G88&lt;&gt;"Valid","",VLOOKUP($E88&amp;"|"&amp;$F88,Cluster_Master!$I$3:$H$17,8,FALSE))</f>
        <v/>
      </c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7">
        <f>IF(COUNT(T88:AH88)=0,"",SUM(T88:AH88))</f>
        <v/>
      </c>
      <c r="AJ88" s="10">
        <f>IF(AI88="","",AI88/75)</f>
        <v/>
      </c>
      <c r="AK88" s="10">
        <f>IF(AI88="","",SUMPRODUCT(T88:AH88,KPI_Weights!$B$3:$B$17)/5)</f>
        <v/>
      </c>
      <c r="AL88" s="7">
        <f>IF(COUNT(T88:AH88)=0,"",IF(OR(T88&lt;=1,W88&lt;=1,X88&lt;=1,Y88&lt;=1,AB88&lt;=1),"YES","NO"))</f>
        <v/>
      </c>
      <c r="AM88" s="7">
        <f>IF(AK88="","",IF(AND(AK88="NO",AJ88&gt;=0.85),"YES","NO"))</f>
        <v/>
      </c>
      <c r="AN88" s="7">
        <f>IF(AJ88="","",IF(AJ88&gt;=0.90,"Excellent",IF(AJ88&gt;=0.80,"Good",IF(AJ88&gt;=0.70,"Fair","Poor"))))</f>
        <v/>
      </c>
      <c r="AO88" s="12" t="n"/>
      <c r="AP88" s="12" t="n"/>
      <c r="AQ88" s="12" t="n"/>
      <c r="AR88" s="12" t="n"/>
      <c r="AS88" s="12" t="n"/>
      <c r="AT88" s="12" t="n"/>
      <c r="AU88" s="12" t="n"/>
      <c r="AV88" s="11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</row>
    <row r="89">
      <c r="A89" s="7">
        <f>IF(B89="","","INS-"&amp;TEXT(ROW()-3,"000"))</f>
        <v/>
      </c>
      <c r="B89" s="11" t="n"/>
      <c r="C89" s="7">
        <f>IF(B89="","",ISOWEEKNUM(B89))</f>
        <v/>
      </c>
      <c r="D89" s="7">
        <f>IF(B89="","",TEXT(B89,"yyyy-mm"))</f>
        <v/>
      </c>
      <c r="E89" s="12" t="n"/>
      <c r="F89" s="12" t="n"/>
      <c r="G89" s="7">
        <f>IF(OR(E89="",F89=""),"",IF(COUNTIF(Cluster_Master!$I$3:$I$17,E89&amp;"|"&amp;F89)=1,"Valid","Review"))</f>
        <v/>
      </c>
      <c r="H89" s="7">
        <f>IF($G89&lt;&gt;"Valid","",VLOOKUP($E89&amp;"|"&amp;$F89,Cluster_Master!$I$3:$H$17,3,FALSE))</f>
        <v/>
      </c>
      <c r="I89" s="7">
        <f>IF($G89&lt;&gt;"Valid","",VLOOKUP($E89&amp;"|"&amp;$F89,Cluster_Master!$I$3:$H$17,4,FALSE))</f>
        <v/>
      </c>
      <c r="J89" s="7">
        <f>IF($G89&lt;&gt;"Valid","",VLOOKUP($E89&amp;"|"&amp;$F89,Cluster_Master!$I$3:$H$17,5,FALSE))</f>
        <v/>
      </c>
      <c r="K89" s="7">
        <f>IF($G89&lt;&gt;"Valid","",VLOOKUP($E89&amp;"|"&amp;$F89,Cluster_Master!$I$3:$H$17,6,FALSE))</f>
        <v/>
      </c>
      <c r="L89" s="7">
        <f>IF($G89&lt;&gt;"Valid","",VLOOKUP($E89&amp;"|"&amp;$F89,Cluster_Master!$I$3:$H$17,7,FALSE))</f>
        <v/>
      </c>
      <c r="M89" s="7">
        <f>IF($G89&lt;&gt;"Valid","",VLOOKUP($E89&amp;"|"&amp;$F89,Cluster_Master!$I$3:$H$17,8,FALSE))</f>
        <v/>
      </c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7">
        <f>IF(COUNT(T89:AH89)=0,"",SUM(T89:AH89))</f>
        <v/>
      </c>
      <c r="AJ89" s="10">
        <f>IF(AI89="","",AI89/75)</f>
        <v/>
      </c>
      <c r="AK89" s="10">
        <f>IF(AI89="","",SUMPRODUCT(T89:AH89,KPI_Weights!$B$3:$B$17)/5)</f>
        <v/>
      </c>
      <c r="AL89" s="7">
        <f>IF(COUNT(T89:AH89)=0,"",IF(OR(T89&lt;=1,W89&lt;=1,X89&lt;=1,Y89&lt;=1,AB89&lt;=1),"YES","NO"))</f>
        <v/>
      </c>
      <c r="AM89" s="7">
        <f>IF(AK89="","",IF(AND(AK89="NO",AJ89&gt;=0.85),"YES","NO"))</f>
        <v/>
      </c>
      <c r="AN89" s="7">
        <f>IF(AJ89="","",IF(AJ89&gt;=0.90,"Excellent",IF(AJ89&gt;=0.80,"Good",IF(AJ89&gt;=0.70,"Fair","Poor"))))</f>
        <v/>
      </c>
      <c r="AO89" s="12" t="n"/>
      <c r="AP89" s="12" t="n"/>
      <c r="AQ89" s="12" t="n"/>
      <c r="AR89" s="12" t="n"/>
      <c r="AS89" s="12" t="n"/>
      <c r="AT89" s="12" t="n"/>
      <c r="AU89" s="12" t="n"/>
      <c r="AV89" s="11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</row>
    <row r="90">
      <c r="A90" s="7">
        <f>IF(B90="","","INS-"&amp;TEXT(ROW()-3,"000"))</f>
        <v/>
      </c>
      <c r="B90" s="11" t="n"/>
      <c r="C90" s="7">
        <f>IF(B90="","",ISOWEEKNUM(B90))</f>
        <v/>
      </c>
      <c r="D90" s="7">
        <f>IF(B90="","",TEXT(B90,"yyyy-mm"))</f>
        <v/>
      </c>
      <c r="E90" s="12" t="n"/>
      <c r="F90" s="12" t="n"/>
      <c r="G90" s="7">
        <f>IF(OR(E90="",F90=""),"",IF(COUNTIF(Cluster_Master!$I$3:$I$17,E90&amp;"|"&amp;F90)=1,"Valid","Review"))</f>
        <v/>
      </c>
      <c r="H90" s="7">
        <f>IF($G90&lt;&gt;"Valid","",VLOOKUP($E90&amp;"|"&amp;$F90,Cluster_Master!$I$3:$H$17,3,FALSE))</f>
        <v/>
      </c>
      <c r="I90" s="7">
        <f>IF($G90&lt;&gt;"Valid","",VLOOKUP($E90&amp;"|"&amp;$F90,Cluster_Master!$I$3:$H$17,4,FALSE))</f>
        <v/>
      </c>
      <c r="J90" s="7">
        <f>IF($G90&lt;&gt;"Valid","",VLOOKUP($E90&amp;"|"&amp;$F90,Cluster_Master!$I$3:$H$17,5,FALSE))</f>
        <v/>
      </c>
      <c r="K90" s="7">
        <f>IF($G90&lt;&gt;"Valid","",VLOOKUP($E90&amp;"|"&amp;$F90,Cluster_Master!$I$3:$H$17,6,FALSE))</f>
        <v/>
      </c>
      <c r="L90" s="7">
        <f>IF($G90&lt;&gt;"Valid","",VLOOKUP($E90&amp;"|"&amp;$F90,Cluster_Master!$I$3:$H$17,7,FALSE))</f>
        <v/>
      </c>
      <c r="M90" s="7">
        <f>IF($G90&lt;&gt;"Valid","",VLOOKUP($E90&amp;"|"&amp;$F90,Cluster_Master!$I$3:$H$17,8,FALSE))</f>
        <v/>
      </c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7">
        <f>IF(COUNT(T90:AH90)=0,"",SUM(T90:AH90))</f>
        <v/>
      </c>
      <c r="AJ90" s="10">
        <f>IF(AI90="","",AI90/75)</f>
        <v/>
      </c>
      <c r="AK90" s="10">
        <f>IF(AI90="","",SUMPRODUCT(T90:AH90,KPI_Weights!$B$3:$B$17)/5)</f>
        <v/>
      </c>
      <c r="AL90" s="7">
        <f>IF(COUNT(T90:AH90)=0,"",IF(OR(T90&lt;=1,W90&lt;=1,X90&lt;=1,Y90&lt;=1,AB90&lt;=1),"YES","NO"))</f>
        <v/>
      </c>
      <c r="AM90" s="7">
        <f>IF(AK90="","",IF(AND(AK90="NO",AJ90&gt;=0.85),"YES","NO"))</f>
        <v/>
      </c>
      <c r="AN90" s="7">
        <f>IF(AJ90="","",IF(AJ90&gt;=0.90,"Excellent",IF(AJ90&gt;=0.80,"Good",IF(AJ90&gt;=0.70,"Fair","Poor"))))</f>
        <v/>
      </c>
      <c r="AO90" s="12" t="n"/>
      <c r="AP90" s="12" t="n"/>
      <c r="AQ90" s="12" t="n"/>
      <c r="AR90" s="12" t="n"/>
      <c r="AS90" s="12" t="n"/>
      <c r="AT90" s="12" t="n"/>
      <c r="AU90" s="12" t="n"/>
      <c r="AV90" s="11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</row>
    <row r="91">
      <c r="A91" s="7">
        <f>IF(B91="","","INS-"&amp;TEXT(ROW()-3,"000"))</f>
        <v/>
      </c>
      <c r="B91" s="11" t="n"/>
      <c r="C91" s="7">
        <f>IF(B91="","",ISOWEEKNUM(B91))</f>
        <v/>
      </c>
      <c r="D91" s="7">
        <f>IF(B91="","",TEXT(B91,"yyyy-mm"))</f>
        <v/>
      </c>
      <c r="E91" s="12" t="n"/>
      <c r="F91" s="12" t="n"/>
      <c r="G91" s="7">
        <f>IF(OR(E91="",F91=""),"",IF(COUNTIF(Cluster_Master!$I$3:$I$17,E91&amp;"|"&amp;F91)=1,"Valid","Review"))</f>
        <v/>
      </c>
      <c r="H91" s="7">
        <f>IF($G91&lt;&gt;"Valid","",VLOOKUP($E91&amp;"|"&amp;$F91,Cluster_Master!$I$3:$H$17,3,FALSE))</f>
        <v/>
      </c>
      <c r="I91" s="7">
        <f>IF($G91&lt;&gt;"Valid","",VLOOKUP($E91&amp;"|"&amp;$F91,Cluster_Master!$I$3:$H$17,4,FALSE))</f>
        <v/>
      </c>
      <c r="J91" s="7">
        <f>IF($G91&lt;&gt;"Valid","",VLOOKUP($E91&amp;"|"&amp;$F91,Cluster_Master!$I$3:$H$17,5,FALSE))</f>
        <v/>
      </c>
      <c r="K91" s="7">
        <f>IF($G91&lt;&gt;"Valid","",VLOOKUP($E91&amp;"|"&amp;$F91,Cluster_Master!$I$3:$H$17,6,FALSE))</f>
        <v/>
      </c>
      <c r="L91" s="7">
        <f>IF($G91&lt;&gt;"Valid","",VLOOKUP($E91&amp;"|"&amp;$F91,Cluster_Master!$I$3:$H$17,7,FALSE))</f>
        <v/>
      </c>
      <c r="M91" s="7">
        <f>IF($G91&lt;&gt;"Valid","",VLOOKUP($E91&amp;"|"&amp;$F91,Cluster_Master!$I$3:$H$17,8,FALSE))</f>
        <v/>
      </c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7">
        <f>IF(COUNT(T91:AH91)=0,"",SUM(T91:AH91))</f>
        <v/>
      </c>
      <c r="AJ91" s="10">
        <f>IF(AI91="","",AI91/75)</f>
        <v/>
      </c>
      <c r="AK91" s="10">
        <f>IF(AI91="","",SUMPRODUCT(T91:AH91,KPI_Weights!$B$3:$B$17)/5)</f>
        <v/>
      </c>
      <c r="AL91" s="7">
        <f>IF(COUNT(T91:AH91)=0,"",IF(OR(T91&lt;=1,W91&lt;=1,X91&lt;=1,Y91&lt;=1,AB91&lt;=1),"YES","NO"))</f>
        <v/>
      </c>
      <c r="AM91" s="7">
        <f>IF(AK91="","",IF(AND(AK91="NO",AJ91&gt;=0.85),"YES","NO"))</f>
        <v/>
      </c>
      <c r="AN91" s="7">
        <f>IF(AJ91="","",IF(AJ91&gt;=0.90,"Excellent",IF(AJ91&gt;=0.80,"Good",IF(AJ91&gt;=0.70,"Fair","Poor"))))</f>
        <v/>
      </c>
      <c r="AO91" s="12" t="n"/>
      <c r="AP91" s="12" t="n"/>
      <c r="AQ91" s="12" t="n"/>
      <c r="AR91" s="12" t="n"/>
      <c r="AS91" s="12" t="n"/>
      <c r="AT91" s="12" t="n"/>
      <c r="AU91" s="12" t="n"/>
      <c r="AV91" s="11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</row>
    <row r="92">
      <c r="A92" s="7">
        <f>IF(B92="","","INS-"&amp;TEXT(ROW()-3,"000"))</f>
        <v/>
      </c>
      <c r="B92" s="11" t="n"/>
      <c r="C92" s="7">
        <f>IF(B92="","",ISOWEEKNUM(B92))</f>
        <v/>
      </c>
      <c r="D92" s="7">
        <f>IF(B92="","",TEXT(B92,"yyyy-mm"))</f>
        <v/>
      </c>
      <c r="E92" s="12" t="n"/>
      <c r="F92" s="12" t="n"/>
      <c r="G92" s="7">
        <f>IF(OR(E92="",F92=""),"",IF(COUNTIF(Cluster_Master!$I$3:$I$17,E92&amp;"|"&amp;F92)=1,"Valid","Review"))</f>
        <v/>
      </c>
      <c r="H92" s="7">
        <f>IF($G92&lt;&gt;"Valid","",VLOOKUP($E92&amp;"|"&amp;$F92,Cluster_Master!$I$3:$H$17,3,FALSE))</f>
        <v/>
      </c>
      <c r="I92" s="7">
        <f>IF($G92&lt;&gt;"Valid","",VLOOKUP($E92&amp;"|"&amp;$F92,Cluster_Master!$I$3:$H$17,4,FALSE))</f>
        <v/>
      </c>
      <c r="J92" s="7">
        <f>IF($G92&lt;&gt;"Valid","",VLOOKUP($E92&amp;"|"&amp;$F92,Cluster_Master!$I$3:$H$17,5,FALSE))</f>
        <v/>
      </c>
      <c r="K92" s="7">
        <f>IF($G92&lt;&gt;"Valid","",VLOOKUP($E92&amp;"|"&amp;$F92,Cluster_Master!$I$3:$H$17,6,FALSE))</f>
        <v/>
      </c>
      <c r="L92" s="7">
        <f>IF($G92&lt;&gt;"Valid","",VLOOKUP($E92&amp;"|"&amp;$F92,Cluster_Master!$I$3:$H$17,7,FALSE))</f>
        <v/>
      </c>
      <c r="M92" s="7">
        <f>IF($G92&lt;&gt;"Valid","",VLOOKUP($E92&amp;"|"&amp;$F92,Cluster_Master!$I$3:$H$17,8,FALSE))</f>
        <v/>
      </c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7">
        <f>IF(COUNT(T92:AH92)=0,"",SUM(T92:AH92))</f>
        <v/>
      </c>
      <c r="AJ92" s="10">
        <f>IF(AI92="","",AI92/75)</f>
        <v/>
      </c>
      <c r="AK92" s="10">
        <f>IF(AI92="","",SUMPRODUCT(T92:AH92,KPI_Weights!$B$3:$B$17)/5)</f>
        <v/>
      </c>
      <c r="AL92" s="7">
        <f>IF(COUNT(T92:AH92)=0,"",IF(OR(T92&lt;=1,W92&lt;=1,X92&lt;=1,Y92&lt;=1,AB92&lt;=1),"YES","NO"))</f>
        <v/>
      </c>
      <c r="AM92" s="7">
        <f>IF(AK92="","",IF(AND(AK92="NO",AJ92&gt;=0.85),"YES","NO"))</f>
        <v/>
      </c>
      <c r="AN92" s="7">
        <f>IF(AJ92="","",IF(AJ92&gt;=0.90,"Excellent",IF(AJ92&gt;=0.80,"Good",IF(AJ92&gt;=0.70,"Fair","Poor"))))</f>
        <v/>
      </c>
      <c r="AO92" s="12" t="n"/>
      <c r="AP92" s="12" t="n"/>
      <c r="AQ92" s="12" t="n"/>
      <c r="AR92" s="12" t="n"/>
      <c r="AS92" s="12" t="n"/>
      <c r="AT92" s="12" t="n"/>
      <c r="AU92" s="12" t="n"/>
      <c r="AV92" s="11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</row>
    <row r="93">
      <c r="A93" s="7">
        <f>IF(B93="","","INS-"&amp;TEXT(ROW()-3,"000"))</f>
        <v/>
      </c>
      <c r="B93" s="11" t="n"/>
      <c r="C93" s="7">
        <f>IF(B93="","",ISOWEEKNUM(B93))</f>
        <v/>
      </c>
      <c r="D93" s="7">
        <f>IF(B93="","",TEXT(B93,"yyyy-mm"))</f>
        <v/>
      </c>
      <c r="E93" s="12" t="n"/>
      <c r="F93" s="12" t="n"/>
      <c r="G93" s="7">
        <f>IF(OR(E93="",F93=""),"",IF(COUNTIF(Cluster_Master!$I$3:$I$17,E93&amp;"|"&amp;F93)=1,"Valid","Review"))</f>
        <v/>
      </c>
      <c r="H93" s="7">
        <f>IF($G93&lt;&gt;"Valid","",VLOOKUP($E93&amp;"|"&amp;$F93,Cluster_Master!$I$3:$H$17,3,FALSE))</f>
        <v/>
      </c>
      <c r="I93" s="7">
        <f>IF($G93&lt;&gt;"Valid","",VLOOKUP($E93&amp;"|"&amp;$F93,Cluster_Master!$I$3:$H$17,4,FALSE))</f>
        <v/>
      </c>
      <c r="J93" s="7">
        <f>IF($G93&lt;&gt;"Valid","",VLOOKUP($E93&amp;"|"&amp;$F93,Cluster_Master!$I$3:$H$17,5,FALSE))</f>
        <v/>
      </c>
      <c r="K93" s="7">
        <f>IF($G93&lt;&gt;"Valid","",VLOOKUP($E93&amp;"|"&amp;$F93,Cluster_Master!$I$3:$H$17,6,FALSE))</f>
        <v/>
      </c>
      <c r="L93" s="7">
        <f>IF($G93&lt;&gt;"Valid","",VLOOKUP($E93&amp;"|"&amp;$F93,Cluster_Master!$I$3:$H$17,7,FALSE))</f>
        <v/>
      </c>
      <c r="M93" s="7">
        <f>IF($G93&lt;&gt;"Valid","",VLOOKUP($E93&amp;"|"&amp;$F93,Cluster_Master!$I$3:$H$17,8,FALSE))</f>
        <v/>
      </c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7">
        <f>IF(COUNT(T93:AH93)=0,"",SUM(T93:AH93))</f>
        <v/>
      </c>
      <c r="AJ93" s="10">
        <f>IF(AI93="","",AI93/75)</f>
        <v/>
      </c>
      <c r="AK93" s="10">
        <f>IF(AI93="","",SUMPRODUCT(T93:AH93,KPI_Weights!$B$3:$B$17)/5)</f>
        <v/>
      </c>
      <c r="AL93" s="7">
        <f>IF(COUNT(T93:AH93)=0,"",IF(OR(T93&lt;=1,W93&lt;=1,X93&lt;=1,Y93&lt;=1,AB93&lt;=1),"YES","NO"))</f>
        <v/>
      </c>
      <c r="AM93" s="7">
        <f>IF(AK93="","",IF(AND(AK93="NO",AJ93&gt;=0.85),"YES","NO"))</f>
        <v/>
      </c>
      <c r="AN93" s="7">
        <f>IF(AJ93="","",IF(AJ93&gt;=0.90,"Excellent",IF(AJ93&gt;=0.80,"Good",IF(AJ93&gt;=0.70,"Fair","Poor"))))</f>
        <v/>
      </c>
      <c r="AO93" s="12" t="n"/>
      <c r="AP93" s="12" t="n"/>
      <c r="AQ93" s="12" t="n"/>
      <c r="AR93" s="12" t="n"/>
      <c r="AS93" s="12" t="n"/>
      <c r="AT93" s="12" t="n"/>
      <c r="AU93" s="12" t="n"/>
      <c r="AV93" s="11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</row>
    <row r="94">
      <c r="A94" s="7">
        <f>IF(B94="","","INS-"&amp;TEXT(ROW()-3,"000"))</f>
        <v/>
      </c>
      <c r="B94" s="11" t="n"/>
      <c r="C94" s="7">
        <f>IF(B94="","",ISOWEEKNUM(B94))</f>
        <v/>
      </c>
      <c r="D94" s="7">
        <f>IF(B94="","",TEXT(B94,"yyyy-mm"))</f>
        <v/>
      </c>
      <c r="E94" s="12" t="n"/>
      <c r="F94" s="12" t="n"/>
      <c r="G94" s="7">
        <f>IF(OR(E94="",F94=""),"",IF(COUNTIF(Cluster_Master!$I$3:$I$17,E94&amp;"|"&amp;F94)=1,"Valid","Review"))</f>
        <v/>
      </c>
      <c r="H94" s="7">
        <f>IF($G94&lt;&gt;"Valid","",VLOOKUP($E94&amp;"|"&amp;$F94,Cluster_Master!$I$3:$H$17,3,FALSE))</f>
        <v/>
      </c>
      <c r="I94" s="7">
        <f>IF($G94&lt;&gt;"Valid","",VLOOKUP($E94&amp;"|"&amp;$F94,Cluster_Master!$I$3:$H$17,4,FALSE))</f>
        <v/>
      </c>
      <c r="J94" s="7">
        <f>IF($G94&lt;&gt;"Valid","",VLOOKUP($E94&amp;"|"&amp;$F94,Cluster_Master!$I$3:$H$17,5,FALSE))</f>
        <v/>
      </c>
      <c r="K94" s="7">
        <f>IF($G94&lt;&gt;"Valid","",VLOOKUP($E94&amp;"|"&amp;$F94,Cluster_Master!$I$3:$H$17,6,FALSE))</f>
        <v/>
      </c>
      <c r="L94" s="7">
        <f>IF($G94&lt;&gt;"Valid","",VLOOKUP($E94&amp;"|"&amp;$F94,Cluster_Master!$I$3:$H$17,7,FALSE))</f>
        <v/>
      </c>
      <c r="M94" s="7">
        <f>IF($G94&lt;&gt;"Valid","",VLOOKUP($E94&amp;"|"&amp;$F94,Cluster_Master!$I$3:$H$17,8,FALSE))</f>
        <v/>
      </c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7">
        <f>IF(COUNT(T94:AH94)=0,"",SUM(T94:AH94))</f>
        <v/>
      </c>
      <c r="AJ94" s="10">
        <f>IF(AI94="","",AI94/75)</f>
        <v/>
      </c>
      <c r="AK94" s="10">
        <f>IF(AI94="","",SUMPRODUCT(T94:AH94,KPI_Weights!$B$3:$B$17)/5)</f>
        <v/>
      </c>
      <c r="AL94" s="7">
        <f>IF(COUNT(T94:AH94)=0,"",IF(OR(T94&lt;=1,W94&lt;=1,X94&lt;=1,Y94&lt;=1,AB94&lt;=1),"YES","NO"))</f>
        <v/>
      </c>
      <c r="AM94" s="7">
        <f>IF(AK94="","",IF(AND(AK94="NO",AJ94&gt;=0.85),"YES","NO"))</f>
        <v/>
      </c>
      <c r="AN94" s="7">
        <f>IF(AJ94="","",IF(AJ94&gt;=0.90,"Excellent",IF(AJ94&gt;=0.80,"Good",IF(AJ94&gt;=0.70,"Fair","Poor"))))</f>
        <v/>
      </c>
      <c r="AO94" s="12" t="n"/>
      <c r="AP94" s="12" t="n"/>
      <c r="AQ94" s="12" t="n"/>
      <c r="AR94" s="12" t="n"/>
      <c r="AS94" s="12" t="n"/>
      <c r="AT94" s="12" t="n"/>
      <c r="AU94" s="12" t="n"/>
      <c r="AV94" s="11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</row>
    <row r="95">
      <c r="A95" s="7">
        <f>IF(B95="","","INS-"&amp;TEXT(ROW()-3,"000"))</f>
        <v/>
      </c>
      <c r="B95" s="11" t="n"/>
      <c r="C95" s="7">
        <f>IF(B95="","",ISOWEEKNUM(B95))</f>
        <v/>
      </c>
      <c r="D95" s="7">
        <f>IF(B95="","",TEXT(B95,"yyyy-mm"))</f>
        <v/>
      </c>
      <c r="E95" s="12" t="n"/>
      <c r="F95" s="12" t="n"/>
      <c r="G95" s="7">
        <f>IF(OR(E95="",F95=""),"",IF(COUNTIF(Cluster_Master!$I$3:$I$17,E95&amp;"|"&amp;F95)=1,"Valid","Review"))</f>
        <v/>
      </c>
      <c r="H95" s="7">
        <f>IF($G95&lt;&gt;"Valid","",VLOOKUP($E95&amp;"|"&amp;$F95,Cluster_Master!$I$3:$H$17,3,FALSE))</f>
        <v/>
      </c>
      <c r="I95" s="7">
        <f>IF($G95&lt;&gt;"Valid","",VLOOKUP($E95&amp;"|"&amp;$F95,Cluster_Master!$I$3:$H$17,4,FALSE))</f>
        <v/>
      </c>
      <c r="J95" s="7">
        <f>IF($G95&lt;&gt;"Valid","",VLOOKUP($E95&amp;"|"&amp;$F95,Cluster_Master!$I$3:$H$17,5,FALSE))</f>
        <v/>
      </c>
      <c r="K95" s="7">
        <f>IF($G95&lt;&gt;"Valid","",VLOOKUP($E95&amp;"|"&amp;$F95,Cluster_Master!$I$3:$H$17,6,FALSE))</f>
        <v/>
      </c>
      <c r="L95" s="7">
        <f>IF($G95&lt;&gt;"Valid","",VLOOKUP($E95&amp;"|"&amp;$F95,Cluster_Master!$I$3:$H$17,7,FALSE))</f>
        <v/>
      </c>
      <c r="M95" s="7">
        <f>IF($G95&lt;&gt;"Valid","",VLOOKUP($E95&amp;"|"&amp;$F95,Cluster_Master!$I$3:$H$17,8,FALSE))</f>
        <v/>
      </c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7">
        <f>IF(COUNT(T95:AH95)=0,"",SUM(T95:AH95))</f>
        <v/>
      </c>
      <c r="AJ95" s="10">
        <f>IF(AI95="","",AI95/75)</f>
        <v/>
      </c>
      <c r="AK95" s="10">
        <f>IF(AI95="","",SUMPRODUCT(T95:AH95,KPI_Weights!$B$3:$B$17)/5)</f>
        <v/>
      </c>
      <c r="AL95" s="7">
        <f>IF(COUNT(T95:AH95)=0,"",IF(OR(T95&lt;=1,W95&lt;=1,X95&lt;=1,Y95&lt;=1,AB95&lt;=1),"YES","NO"))</f>
        <v/>
      </c>
      <c r="AM95" s="7">
        <f>IF(AK95="","",IF(AND(AK95="NO",AJ95&gt;=0.85),"YES","NO"))</f>
        <v/>
      </c>
      <c r="AN95" s="7">
        <f>IF(AJ95="","",IF(AJ95&gt;=0.90,"Excellent",IF(AJ95&gt;=0.80,"Good",IF(AJ95&gt;=0.70,"Fair","Poor"))))</f>
        <v/>
      </c>
      <c r="AO95" s="12" t="n"/>
      <c r="AP95" s="12" t="n"/>
      <c r="AQ95" s="12" t="n"/>
      <c r="AR95" s="12" t="n"/>
      <c r="AS95" s="12" t="n"/>
      <c r="AT95" s="12" t="n"/>
      <c r="AU95" s="12" t="n"/>
      <c r="AV95" s="11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</row>
    <row r="96">
      <c r="A96" s="7">
        <f>IF(B96="","","INS-"&amp;TEXT(ROW()-3,"000"))</f>
        <v/>
      </c>
      <c r="B96" s="11" t="n"/>
      <c r="C96" s="7">
        <f>IF(B96="","",ISOWEEKNUM(B96))</f>
        <v/>
      </c>
      <c r="D96" s="7">
        <f>IF(B96="","",TEXT(B96,"yyyy-mm"))</f>
        <v/>
      </c>
      <c r="E96" s="12" t="n"/>
      <c r="F96" s="12" t="n"/>
      <c r="G96" s="7">
        <f>IF(OR(E96="",F96=""),"",IF(COUNTIF(Cluster_Master!$I$3:$I$17,E96&amp;"|"&amp;F96)=1,"Valid","Review"))</f>
        <v/>
      </c>
      <c r="H96" s="7">
        <f>IF($G96&lt;&gt;"Valid","",VLOOKUP($E96&amp;"|"&amp;$F96,Cluster_Master!$I$3:$H$17,3,FALSE))</f>
        <v/>
      </c>
      <c r="I96" s="7">
        <f>IF($G96&lt;&gt;"Valid","",VLOOKUP($E96&amp;"|"&amp;$F96,Cluster_Master!$I$3:$H$17,4,FALSE))</f>
        <v/>
      </c>
      <c r="J96" s="7">
        <f>IF($G96&lt;&gt;"Valid","",VLOOKUP($E96&amp;"|"&amp;$F96,Cluster_Master!$I$3:$H$17,5,FALSE))</f>
        <v/>
      </c>
      <c r="K96" s="7">
        <f>IF($G96&lt;&gt;"Valid","",VLOOKUP($E96&amp;"|"&amp;$F96,Cluster_Master!$I$3:$H$17,6,FALSE))</f>
        <v/>
      </c>
      <c r="L96" s="7">
        <f>IF($G96&lt;&gt;"Valid","",VLOOKUP($E96&amp;"|"&amp;$F96,Cluster_Master!$I$3:$H$17,7,FALSE))</f>
        <v/>
      </c>
      <c r="M96" s="7">
        <f>IF($G96&lt;&gt;"Valid","",VLOOKUP($E96&amp;"|"&amp;$F96,Cluster_Master!$I$3:$H$17,8,FALSE))</f>
        <v/>
      </c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7">
        <f>IF(COUNT(T96:AH96)=0,"",SUM(T96:AH96))</f>
        <v/>
      </c>
      <c r="AJ96" s="10">
        <f>IF(AI96="","",AI96/75)</f>
        <v/>
      </c>
      <c r="AK96" s="10">
        <f>IF(AI96="","",SUMPRODUCT(T96:AH96,KPI_Weights!$B$3:$B$17)/5)</f>
        <v/>
      </c>
      <c r="AL96" s="7">
        <f>IF(COUNT(T96:AH96)=0,"",IF(OR(T96&lt;=1,W96&lt;=1,X96&lt;=1,Y96&lt;=1,AB96&lt;=1),"YES","NO"))</f>
        <v/>
      </c>
      <c r="AM96" s="7">
        <f>IF(AK96="","",IF(AND(AK96="NO",AJ96&gt;=0.85),"YES","NO"))</f>
        <v/>
      </c>
      <c r="AN96" s="7">
        <f>IF(AJ96="","",IF(AJ96&gt;=0.90,"Excellent",IF(AJ96&gt;=0.80,"Good",IF(AJ96&gt;=0.70,"Fair","Poor"))))</f>
        <v/>
      </c>
      <c r="AO96" s="12" t="n"/>
      <c r="AP96" s="12" t="n"/>
      <c r="AQ96" s="12" t="n"/>
      <c r="AR96" s="12" t="n"/>
      <c r="AS96" s="12" t="n"/>
      <c r="AT96" s="12" t="n"/>
      <c r="AU96" s="12" t="n"/>
      <c r="AV96" s="11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</row>
    <row r="97">
      <c r="A97" s="7">
        <f>IF(B97="","","INS-"&amp;TEXT(ROW()-3,"000"))</f>
        <v/>
      </c>
      <c r="B97" s="11" t="n"/>
      <c r="C97" s="7">
        <f>IF(B97="","",ISOWEEKNUM(B97))</f>
        <v/>
      </c>
      <c r="D97" s="7">
        <f>IF(B97="","",TEXT(B97,"yyyy-mm"))</f>
        <v/>
      </c>
      <c r="E97" s="12" t="n"/>
      <c r="F97" s="12" t="n"/>
      <c r="G97" s="7">
        <f>IF(OR(E97="",F97=""),"",IF(COUNTIF(Cluster_Master!$I$3:$I$17,E97&amp;"|"&amp;F97)=1,"Valid","Review"))</f>
        <v/>
      </c>
      <c r="H97" s="7">
        <f>IF($G97&lt;&gt;"Valid","",VLOOKUP($E97&amp;"|"&amp;$F97,Cluster_Master!$I$3:$H$17,3,FALSE))</f>
        <v/>
      </c>
      <c r="I97" s="7">
        <f>IF($G97&lt;&gt;"Valid","",VLOOKUP($E97&amp;"|"&amp;$F97,Cluster_Master!$I$3:$H$17,4,FALSE))</f>
        <v/>
      </c>
      <c r="J97" s="7">
        <f>IF($G97&lt;&gt;"Valid","",VLOOKUP($E97&amp;"|"&amp;$F97,Cluster_Master!$I$3:$H$17,5,FALSE))</f>
        <v/>
      </c>
      <c r="K97" s="7">
        <f>IF($G97&lt;&gt;"Valid","",VLOOKUP($E97&amp;"|"&amp;$F97,Cluster_Master!$I$3:$H$17,6,FALSE))</f>
        <v/>
      </c>
      <c r="L97" s="7">
        <f>IF($G97&lt;&gt;"Valid","",VLOOKUP($E97&amp;"|"&amp;$F97,Cluster_Master!$I$3:$H$17,7,FALSE))</f>
        <v/>
      </c>
      <c r="M97" s="7">
        <f>IF($G97&lt;&gt;"Valid","",VLOOKUP($E97&amp;"|"&amp;$F97,Cluster_Master!$I$3:$H$17,8,FALSE))</f>
        <v/>
      </c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7">
        <f>IF(COUNT(T97:AH97)=0,"",SUM(T97:AH97))</f>
        <v/>
      </c>
      <c r="AJ97" s="10">
        <f>IF(AI97="","",AI97/75)</f>
        <v/>
      </c>
      <c r="AK97" s="10">
        <f>IF(AI97="","",SUMPRODUCT(T97:AH97,KPI_Weights!$B$3:$B$17)/5)</f>
        <v/>
      </c>
      <c r="AL97" s="7">
        <f>IF(COUNT(T97:AH97)=0,"",IF(OR(T97&lt;=1,W97&lt;=1,X97&lt;=1,Y97&lt;=1,AB97&lt;=1),"YES","NO"))</f>
        <v/>
      </c>
      <c r="AM97" s="7">
        <f>IF(AK97="","",IF(AND(AK97="NO",AJ97&gt;=0.85),"YES","NO"))</f>
        <v/>
      </c>
      <c r="AN97" s="7">
        <f>IF(AJ97="","",IF(AJ97&gt;=0.90,"Excellent",IF(AJ97&gt;=0.80,"Good",IF(AJ97&gt;=0.70,"Fair","Poor"))))</f>
        <v/>
      </c>
      <c r="AO97" s="12" t="n"/>
      <c r="AP97" s="12" t="n"/>
      <c r="AQ97" s="12" t="n"/>
      <c r="AR97" s="12" t="n"/>
      <c r="AS97" s="12" t="n"/>
      <c r="AT97" s="12" t="n"/>
      <c r="AU97" s="12" t="n"/>
      <c r="AV97" s="11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</row>
    <row r="98">
      <c r="A98" s="7">
        <f>IF(B98="","","INS-"&amp;TEXT(ROW()-3,"000"))</f>
        <v/>
      </c>
      <c r="B98" s="11" t="n"/>
      <c r="C98" s="7">
        <f>IF(B98="","",ISOWEEKNUM(B98))</f>
        <v/>
      </c>
      <c r="D98" s="7">
        <f>IF(B98="","",TEXT(B98,"yyyy-mm"))</f>
        <v/>
      </c>
      <c r="E98" s="12" t="n"/>
      <c r="F98" s="12" t="n"/>
      <c r="G98" s="7">
        <f>IF(OR(E98="",F98=""),"",IF(COUNTIF(Cluster_Master!$I$3:$I$17,E98&amp;"|"&amp;F98)=1,"Valid","Review"))</f>
        <v/>
      </c>
      <c r="H98" s="7">
        <f>IF($G98&lt;&gt;"Valid","",VLOOKUP($E98&amp;"|"&amp;$F98,Cluster_Master!$I$3:$H$17,3,FALSE))</f>
        <v/>
      </c>
      <c r="I98" s="7">
        <f>IF($G98&lt;&gt;"Valid","",VLOOKUP($E98&amp;"|"&amp;$F98,Cluster_Master!$I$3:$H$17,4,FALSE))</f>
        <v/>
      </c>
      <c r="J98" s="7">
        <f>IF($G98&lt;&gt;"Valid","",VLOOKUP($E98&amp;"|"&amp;$F98,Cluster_Master!$I$3:$H$17,5,FALSE))</f>
        <v/>
      </c>
      <c r="K98" s="7">
        <f>IF($G98&lt;&gt;"Valid","",VLOOKUP($E98&amp;"|"&amp;$F98,Cluster_Master!$I$3:$H$17,6,FALSE))</f>
        <v/>
      </c>
      <c r="L98" s="7">
        <f>IF($G98&lt;&gt;"Valid","",VLOOKUP($E98&amp;"|"&amp;$F98,Cluster_Master!$I$3:$H$17,7,FALSE))</f>
        <v/>
      </c>
      <c r="M98" s="7">
        <f>IF($G98&lt;&gt;"Valid","",VLOOKUP($E98&amp;"|"&amp;$F98,Cluster_Master!$I$3:$H$17,8,FALSE))</f>
        <v/>
      </c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7">
        <f>IF(COUNT(T98:AH98)=0,"",SUM(T98:AH98))</f>
        <v/>
      </c>
      <c r="AJ98" s="10">
        <f>IF(AI98="","",AI98/75)</f>
        <v/>
      </c>
      <c r="AK98" s="10">
        <f>IF(AI98="","",SUMPRODUCT(T98:AH98,KPI_Weights!$B$3:$B$17)/5)</f>
        <v/>
      </c>
      <c r="AL98" s="7">
        <f>IF(COUNT(T98:AH98)=0,"",IF(OR(T98&lt;=1,W98&lt;=1,X98&lt;=1,Y98&lt;=1,AB98&lt;=1),"YES","NO"))</f>
        <v/>
      </c>
      <c r="AM98" s="7">
        <f>IF(AK98="","",IF(AND(AK98="NO",AJ98&gt;=0.85),"YES","NO"))</f>
        <v/>
      </c>
      <c r="AN98" s="7">
        <f>IF(AJ98="","",IF(AJ98&gt;=0.90,"Excellent",IF(AJ98&gt;=0.80,"Good",IF(AJ98&gt;=0.70,"Fair","Poor"))))</f>
        <v/>
      </c>
      <c r="AO98" s="12" t="n"/>
      <c r="AP98" s="12" t="n"/>
      <c r="AQ98" s="12" t="n"/>
      <c r="AR98" s="12" t="n"/>
      <c r="AS98" s="12" t="n"/>
      <c r="AT98" s="12" t="n"/>
      <c r="AU98" s="12" t="n"/>
      <c r="AV98" s="11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</row>
    <row r="99">
      <c r="A99" s="7">
        <f>IF(B99="","","INS-"&amp;TEXT(ROW()-3,"000"))</f>
        <v/>
      </c>
      <c r="B99" s="11" t="n"/>
      <c r="C99" s="7">
        <f>IF(B99="","",ISOWEEKNUM(B99))</f>
        <v/>
      </c>
      <c r="D99" s="7">
        <f>IF(B99="","",TEXT(B99,"yyyy-mm"))</f>
        <v/>
      </c>
      <c r="E99" s="12" t="n"/>
      <c r="F99" s="12" t="n"/>
      <c r="G99" s="7">
        <f>IF(OR(E99="",F99=""),"",IF(COUNTIF(Cluster_Master!$I$3:$I$17,E99&amp;"|"&amp;F99)=1,"Valid","Review"))</f>
        <v/>
      </c>
      <c r="H99" s="7">
        <f>IF($G99&lt;&gt;"Valid","",VLOOKUP($E99&amp;"|"&amp;$F99,Cluster_Master!$I$3:$H$17,3,FALSE))</f>
        <v/>
      </c>
      <c r="I99" s="7">
        <f>IF($G99&lt;&gt;"Valid","",VLOOKUP($E99&amp;"|"&amp;$F99,Cluster_Master!$I$3:$H$17,4,FALSE))</f>
        <v/>
      </c>
      <c r="J99" s="7">
        <f>IF($G99&lt;&gt;"Valid","",VLOOKUP($E99&amp;"|"&amp;$F99,Cluster_Master!$I$3:$H$17,5,FALSE))</f>
        <v/>
      </c>
      <c r="K99" s="7">
        <f>IF($G99&lt;&gt;"Valid","",VLOOKUP($E99&amp;"|"&amp;$F99,Cluster_Master!$I$3:$H$17,6,FALSE))</f>
        <v/>
      </c>
      <c r="L99" s="7">
        <f>IF($G99&lt;&gt;"Valid","",VLOOKUP($E99&amp;"|"&amp;$F99,Cluster_Master!$I$3:$H$17,7,FALSE))</f>
        <v/>
      </c>
      <c r="M99" s="7">
        <f>IF($G99&lt;&gt;"Valid","",VLOOKUP($E99&amp;"|"&amp;$F99,Cluster_Master!$I$3:$H$17,8,FALSE))</f>
        <v/>
      </c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7">
        <f>IF(COUNT(T99:AH99)=0,"",SUM(T99:AH99))</f>
        <v/>
      </c>
      <c r="AJ99" s="10">
        <f>IF(AI99="","",AI99/75)</f>
        <v/>
      </c>
      <c r="AK99" s="10">
        <f>IF(AI99="","",SUMPRODUCT(T99:AH99,KPI_Weights!$B$3:$B$17)/5)</f>
        <v/>
      </c>
      <c r="AL99" s="7">
        <f>IF(COUNT(T99:AH99)=0,"",IF(OR(T99&lt;=1,W99&lt;=1,X99&lt;=1,Y99&lt;=1,AB99&lt;=1),"YES","NO"))</f>
        <v/>
      </c>
      <c r="AM99" s="7">
        <f>IF(AK99="","",IF(AND(AK99="NO",AJ99&gt;=0.85),"YES","NO"))</f>
        <v/>
      </c>
      <c r="AN99" s="7">
        <f>IF(AJ99="","",IF(AJ99&gt;=0.90,"Excellent",IF(AJ99&gt;=0.80,"Good",IF(AJ99&gt;=0.70,"Fair","Poor"))))</f>
        <v/>
      </c>
      <c r="AO99" s="12" t="n"/>
      <c r="AP99" s="12" t="n"/>
      <c r="AQ99" s="12" t="n"/>
      <c r="AR99" s="12" t="n"/>
      <c r="AS99" s="12" t="n"/>
      <c r="AT99" s="12" t="n"/>
      <c r="AU99" s="12" t="n"/>
      <c r="AV99" s="11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</row>
    <row r="100">
      <c r="A100" s="13">
        <f>IF(B100="","","INS-"&amp;TEXT(ROW()-3,"000"))</f>
        <v/>
      </c>
      <c r="B100" s="11" t="n"/>
      <c r="C100" s="7">
        <f>IF(B100="","",ISOWEEKNUM(B100))</f>
        <v/>
      </c>
      <c r="D100" s="7">
        <f>IF(B100="","",TEXT(B100,"yyyy-mm"))</f>
        <v/>
      </c>
      <c r="E100" s="12" t="n"/>
      <c r="F100" s="12" t="n"/>
      <c r="G100" s="7">
        <f>IF(OR(E100="",F100=""),"",IF(COUNTIF(Cluster_Master!$I$3:$I$17,E100&amp;"|"&amp;F100)=1,"Valid","Review"))</f>
        <v/>
      </c>
      <c r="H100" s="7">
        <f>IF($G100&lt;&gt;"Valid","",VLOOKUP($E100&amp;"|"&amp;$F100,Cluster_Master!$I$3:$H$17,3,FALSE))</f>
        <v/>
      </c>
      <c r="I100" s="7">
        <f>IF($G100&lt;&gt;"Valid","",VLOOKUP($E100&amp;"|"&amp;$F100,Cluster_Master!$I$3:$H$17,4,FALSE))</f>
        <v/>
      </c>
      <c r="J100" s="7">
        <f>IF($G100&lt;&gt;"Valid","",VLOOKUP($E100&amp;"|"&amp;$F100,Cluster_Master!$I$3:$H$17,5,FALSE))</f>
        <v/>
      </c>
      <c r="K100" s="7">
        <f>IF($G100&lt;&gt;"Valid","",VLOOKUP($E100&amp;"|"&amp;$F100,Cluster_Master!$I$3:$H$17,6,FALSE))</f>
        <v/>
      </c>
      <c r="L100" s="7">
        <f>IF($G100&lt;&gt;"Valid","",VLOOKUP($E100&amp;"|"&amp;$F100,Cluster_Master!$I$3:$H$17,7,FALSE))</f>
        <v/>
      </c>
      <c r="M100" s="7">
        <f>IF($G100&lt;&gt;"Valid","",VLOOKUP($E100&amp;"|"&amp;$F100,Cluster_Master!$I$3:$H$17,8,FALSE))</f>
        <v/>
      </c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7">
        <f>IF(COUNT(T100:AH100)=0,"",SUM(T100:AH100))</f>
        <v/>
      </c>
      <c r="AJ100" s="10">
        <f>IF(AI100="","",AI100/75)</f>
        <v/>
      </c>
      <c r="AK100" s="10">
        <f>IF(AI100="","",SUMPRODUCT(T100:AH100,KPI_Weights!$B$3:$B$17)/5)</f>
        <v/>
      </c>
      <c r="AL100" s="7">
        <f>IF(COUNT(T100:AH100)=0,"",IF(OR(T100&lt;=1,W100&lt;=1,X100&lt;=1,Y100&lt;=1,AB100&lt;=1),"YES","NO"))</f>
        <v/>
      </c>
      <c r="AM100" s="7">
        <f>IF(AK100="","",IF(AND(AK100="NO",AJ100&gt;=0.85),"YES","NO"))</f>
        <v/>
      </c>
      <c r="AN100" s="7">
        <f>IF(AJ100="","",IF(AJ100&gt;=0.90,"Excellent",IF(AJ100&gt;=0.80,"Good",IF(AJ100&gt;=0.70,"Fair","Poor"))))</f>
        <v/>
      </c>
      <c r="AO100" s="12" t="n"/>
      <c r="AP100" s="12" t="n"/>
      <c r="AQ100" s="12" t="n"/>
      <c r="AR100" s="12" t="n"/>
      <c r="AS100" s="12" t="n"/>
      <c r="AT100" s="12" t="n"/>
      <c r="AU100" s="12" t="n"/>
      <c r="AV100" s="11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</row>
    <row r="101">
      <c r="A101" s="13">
        <f>IF(B101="","","INS-"&amp;TEXT(ROW()-3,"000"))</f>
        <v/>
      </c>
      <c r="B101" s="11" t="n"/>
      <c r="C101" s="7">
        <f>IF(B101="","",ISOWEEKNUM(B101))</f>
        <v/>
      </c>
      <c r="D101" s="7">
        <f>IF(B101="","",TEXT(B101,"yyyy-mm"))</f>
        <v/>
      </c>
      <c r="E101" s="12" t="n"/>
      <c r="F101" s="12" t="n"/>
      <c r="G101" s="7">
        <f>IF(OR(E101="",F101=""),"",IF(COUNTIF(Cluster_Master!$I$3:$I$17,E101&amp;"|"&amp;F101)=1,"Valid","Review"))</f>
        <v/>
      </c>
      <c r="H101" s="7">
        <f>IF($G101&lt;&gt;"Valid","",VLOOKUP($E101&amp;"|"&amp;$F101,Cluster_Master!$I$3:$H$17,3,FALSE))</f>
        <v/>
      </c>
      <c r="I101" s="7">
        <f>IF($G101&lt;&gt;"Valid","",VLOOKUP($E101&amp;"|"&amp;$F101,Cluster_Master!$I$3:$H$17,4,FALSE))</f>
        <v/>
      </c>
      <c r="J101" s="7">
        <f>IF($G101&lt;&gt;"Valid","",VLOOKUP($E101&amp;"|"&amp;$F101,Cluster_Master!$I$3:$H$17,5,FALSE))</f>
        <v/>
      </c>
      <c r="K101" s="7">
        <f>IF($G101&lt;&gt;"Valid","",VLOOKUP($E101&amp;"|"&amp;$F101,Cluster_Master!$I$3:$H$17,6,FALSE))</f>
        <v/>
      </c>
      <c r="L101" s="7">
        <f>IF($G101&lt;&gt;"Valid","",VLOOKUP($E101&amp;"|"&amp;$F101,Cluster_Master!$I$3:$H$17,7,FALSE))</f>
        <v/>
      </c>
      <c r="M101" s="7">
        <f>IF($G101&lt;&gt;"Valid","",VLOOKUP($E101&amp;"|"&amp;$F101,Cluster_Master!$I$3:$H$17,8,FALSE))</f>
        <v/>
      </c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7">
        <f>IF(COUNT(T101:AH101)=0,"",SUM(T101:AH101))</f>
        <v/>
      </c>
      <c r="AJ101" s="10">
        <f>IF(AI101="","",AI101/75)</f>
        <v/>
      </c>
      <c r="AK101" s="10">
        <f>IF(AI101="","",SUMPRODUCT(T101:AH101,KPI_Weights!$B$3:$B$17)/5)</f>
        <v/>
      </c>
      <c r="AL101" s="7">
        <f>IF(COUNT(T101:AH101)=0,"",IF(OR(T101&lt;=1,W101&lt;=1,X101&lt;=1,Y101&lt;=1,AB101&lt;=1),"YES","NO"))</f>
        <v/>
      </c>
      <c r="AM101" s="7">
        <f>IF(AK101="","",IF(AND(AK101="NO",AJ101&gt;=0.85),"YES","NO"))</f>
        <v/>
      </c>
      <c r="AN101" s="7">
        <f>IF(AJ101="","",IF(AJ101&gt;=0.90,"Excellent",IF(AJ101&gt;=0.80,"Good",IF(AJ101&gt;=0.70,"Fair","Poor"))))</f>
        <v/>
      </c>
      <c r="AO101" s="12" t="n"/>
      <c r="AP101" s="12" t="n"/>
      <c r="AQ101" s="12" t="n"/>
      <c r="AR101" s="12" t="n"/>
      <c r="AS101" s="12" t="n"/>
      <c r="AT101" s="12" t="n"/>
      <c r="AU101" s="12" t="n"/>
      <c r="AV101" s="11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</row>
    <row r="102">
      <c r="A102" s="13">
        <f>IF(B102="","","INS-"&amp;TEXT(ROW()-3,"000"))</f>
        <v/>
      </c>
      <c r="B102" s="11" t="n"/>
      <c r="C102" s="7">
        <f>IF(B102="","",ISOWEEKNUM(B102))</f>
        <v/>
      </c>
      <c r="D102" s="7">
        <f>IF(B102="","",TEXT(B102,"yyyy-mm"))</f>
        <v/>
      </c>
      <c r="E102" s="12" t="n"/>
      <c r="F102" s="12" t="n"/>
      <c r="G102" s="7">
        <f>IF(OR(E102="",F102=""),"",IF(COUNTIF(Cluster_Master!$I$3:$I$17,E102&amp;"|"&amp;F102)=1,"Valid","Review"))</f>
        <v/>
      </c>
      <c r="H102" s="7">
        <f>IF($G102&lt;&gt;"Valid","",VLOOKUP($E102&amp;"|"&amp;$F102,Cluster_Master!$I$3:$H$17,3,FALSE))</f>
        <v/>
      </c>
      <c r="I102" s="7">
        <f>IF($G102&lt;&gt;"Valid","",VLOOKUP($E102&amp;"|"&amp;$F102,Cluster_Master!$I$3:$H$17,4,FALSE))</f>
        <v/>
      </c>
      <c r="J102" s="7">
        <f>IF($G102&lt;&gt;"Valid","",VLOOKUP($E102&amp;"|"&amp;$F102,Cluster_Master!$I$3:$H$17,5,FALSE))</f>
        <v/>
      </c>
      <c r="K102" s="7">
        <f>IF($G102&lt;&gt;"Valid","",VLOOKUP($E102&amp;"|"&amp;$F102,Cluster_Master!$I$3:$H$17,6,FALSE))</f>
        <v/>
      </c>
      <c r="L102" s="7">
        <f>IF($G102&lt;&gt;"Valid","",VLOOKUP($E102&amp;"|"&amp;$F102,Cluster_Master!$I$3:$H$17,7,FALSE))</f>
        <v/>
      </c>
      <c r="M102" s="7">
        <f>IF($G102&lt;&gt;"Valid","",VLOOKUP($E102&amp;"|"&amp;$F102,Cluster_Master!$I$3:$H$17,8,FALSE))</f>
        <v/>
      </c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7">
        <f>IF(COUNT(T102:AH102)=0,"",SUM(T102:AH102))</f>
        <v/>
      </c>
      <c r="AJ102" s="10">
        <f>IF(AI102="","",AI102/75)</f>
        <v/>
      </c>
      <c r="AK102" s="10">
        <f>IF(AI102="","",SUMPRODUCT(T102:AH102,KPI_Weights!$B$3:$B$17)/5)</f>
        <v/>
      </c>
      <c r="AL102" s="7">
        <f>IF(COUNT(T102:AH102)=0,"",IF(OR(T102&lt;=1,W102&lt;=1,X102&lt;=1,Y102&lt;=1,AB102&lt;=1),"YES","NO"))</f>
        <v/>
      </c>
      <c r="AM102" s="7">
        <f>IF(AK102="","",IF(AND(AK102="NO",AJ102&gt;=0.85),"YES","NO"))</f>
        <v/>
      </c>
      <c r="AN102" s="7">
        <f>IF(AJ102="","",IF(AJ102&gt;=0.90,"Excellent",IF(AJ102&gt;=0.80,"Good",IF(AJ102&gt;=0.70,"Fair","Poor"))))</f>
        <v/>
      </c>
      <c r="AO102" s="12" t="n"/>
      <c r="AP102" s="12" t="n"/>
      <c r="AQ102" s="12" t="n"/>
      <c r="AR102" s="12" t="n"/>
      <c r="AS102" s="12" t="n"/>
      <c r="AT102" s="12" t="n"/>
      <c r="AU102" s="12" t="n"/>
      <c r="AV102" s="11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</row>
    <row r="103">
      <c r="A103" s="13">
        <f>IF(B103="","","INS-"&amp;TEXT(ROW()-3,"000"))</f>
        <v/>
      </c>
      <c r="B103" s="11" t="n"/>
      <c r="C103" s="7">
        <f>IF(B103="","",ISOWEEKNUM(B103))</f>
        <v/>
      </c>
      <c r="D103" s="7">
        <f>IF(B103="","",TEXT(B103,"yyyy-mm"))</f>
        <v/>
      </c>
      <c r="E103" s="12" t="n"/>
      <c r="F103" s="12" t="n"/>
      <c r="G103" s="7">
        <f>IF(OR(E103="",F103=""),"",IF(COUNTIF(Cluster_Master!$I$3:$I$17,E103&amp;"|"&amp;F103)=1,"Valid","Review"))</f>
        <v/>
      </c>
      <c r="H103" s="7">
        <f>IF($G103&lt;&gt;"Valid","",VLOOKUP($E103&amp;"|"&amp;$F103,Cluster_Master!$I$3:$H$17,3,FALSE))</f>
        <v/>
      </c>
      <c r="I103" s="7">
        <f>IF($G103&lt;&gt;"Valid","",VLOOKUP($E103&amp;"|"&amp;$F103,Cluster_Master!$I$3:$H$17,4,FALSE))</f>
        <v/>
      </c>
      <c r="J103" s="7">
        <f>IF($G103&lt;&gt;"Valid","",VLOOKUP($E103&amp;"|"&amp;$F103,Cluster_Master!$I$3:$H$17,5,FALSE))</f>
        <v/>
      </c>
      <c r="K103" s="7">
        <f>IF($G103&lt;&gt;"Valid","",VLOOKUP($E103&amp;"|"&amp;$F103,Cluster_Master!$I$3:$H$17,6,FALSE))</f>
        <v/>
      </c>
      <c r="L103" s="7">
        <f>IF($G103&lt;&gt;"Valid","",VLOOKUP($E103&amp;"|"&amp;$F103,Cluster_Master!$I$3:$H$17,7,FALSE))</f>
        <v/>
      </c>
      <c r="M103" s="7">
        <f>IF($G103&lt;&gt;"Valid","",VLOOKUP($E103&amp;"|"&amp;$F103,Cluster_Master!$I$3:$H$17,8,FALSE))</f>
        <v/>
      </c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7">
        <f>IF(COUNT(T103:AH103)=0,"",SUM(T103:AH103))</f>
        <v/>
      </c>
      <c r="AJ103" s="10">
        <f>IF(AI103="","",AI103/75)</f>
        <v/>
      </c>
      <c r="AK103" s="10">
        <f>IF(AI103="","",SUMPRODUCT(T103:AH103,KPI_Weights!$B$3:$B$17)/5)</f>
        <v/>
      </c>
      <c r="AL103" s="7">
        <f>IF(COUNT(T103:AH103)=0,"",IF(OR(T103&lt;=1,W103&lt;=1,X103&lt;=1,Y103&lt;=1,AB103&lt;=1),"YES","NO"))</f>
        <v/>
      </c>
      <c r="AM103" s="7">
        <f>IF(AK103="","",IF(AND(AK103="NO",AJ103&gt;=0.85),"YES","NO"))</f>
        <v/>
      </c>
      <c r="AN103" s="7">
        <f>IF(AJ103="","",IF(AJ103&gt;=0.90,"Excellent",IF(AJ103&gt;=0.80,"Good",IF(AJ103&gt;=0.70,"Fair","Poor"))))</f>
        <v/>
      </c>
      <c r="AO103" s="12" t="n"/>
      <c r="AP103" s="12" t="n"/>
      <c r="AQ103" s="12" t="n"/>
      <c r="AR103" s="12" t="n"/>
      <c r="AS103" s="12" t="n"/>
      <c r="AT103" s="12" t="n"/>
      <c r="AU103" s="12" t="n"/>
      <c r="AV103" s="11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</row>
    <row r="104">
      <c r="A104" s="13">
        <f>IF(B104="","","INS-"&amp;TEXT(ROW()-3,"000"))</f>
        <v/>
      </c>
      <c r="B104" s="11" t="n"/>
      <c r="C104" s="7">
        <f>IF(B104="","",ISOWEEKNUM(B104))</f>
        <v/>
      </c>
      <c r="D104" s="7">
        <f>IF(B104="","",TEXT(B104,"yyyy-mm"))</f>
        <v/>
      </c>
      <c r="E104" s="12" t="n"/>
      <c r="F104" s="12" t="n"/>
      <c r="G104" s="7">
        <f>IF(OR(E104="",F104=""),"",IF(COUNTIF(Cluster_Master!$I$3:$I$17,E104&amp;"|"&amp;F104)=1,"Valid","Review"))</f>
        <v/>
      </c>
      <c r="H104" s="7">
        <f>IF($G104&lt;&gt;"Valid","",VLOOKUP($E104&amp;"|"&amp;$F104,Cluster_Master!$I$3:$H$17,3,FALSE))</f>
        <v/>
      </c>
      <c r="I104" s="7">
        <f>IF($G104&lt;&gt;"Valid","",VLOOKUP($E104&amp;"|"&amp;$F104,Cluster_Master!$I$3:$H$17,4,FALSE))</f>
        <v/>
      </c>
      <c r="J104" s="7">
        <f>IF($G104&lt;&gt;"Valid","",VLOOKUP($E104&amp;"|"&amp;$F104,Cluster_Master!$I$3:$H$17,5,FALSE))</f>
        <v/>
      </c>
      <c r="K104" s="7">
        <f>IF($G104&lt;&gt;"Valid","",VLOOKUP($E104&amp;"|"&amp;$F104,Cluster_Master!$I$3:$H$17,6,FALSE))</f>
        <v/>
      </c>
      <c r="L104" s="7">
        <f>IF($G104&lt;&gt;"Valid","",VLOOKUP($E104&amp;"|"&amp;$F104,Cluster_Master!$I$3:$H$17,7,FALSE))</f>
        <v/>
      </c>
      <c r="M104" s="7">
        <f>IF($G104&lt;&gt;"Valid","",VLOOKUP($E104&amp;"|"&amp;$F104,Cluster_Master!$I$3:$H$17,8,FALSE))</f>
        <v/>
      </c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7">
        <f>IF(COUNT(T104:AH104)=0,"",SUM(T104:AH104))</f>
        <v/>
      </c>
      <c r="AJ104" s="10">
        <f>IF(AI104="","",AI104/75)</f>
        <v/>
      </c>
      <c r="AK104" s="10">
        <f>IF(AI104="","",SUMPRODUCT(T104:AH104,KPI_Weights!$B$3:$B$17)/5)</f>
        <v/>
      </c>
      <c r="AL104" s="7">
        <f>IF(COUNT(T104:AH104)=0,"",IF(OR(T104&lt;=1,W104&lt;=1,X104&lt;=1,Y104&lt;=1,AB104&lt;=1),"YES","NO"))</f>
        <v/>
      </c>
      <c r="AM104" s="7">
        <f>IF(AK104="","",IF(AND(AK104="NO",AJ104&gt;=0.85),"YES","NO"))</f>
        <v/>
      </c>
      <c r="AN104" s="7">
        <f>IF(AJ104="","",IF(AJ104&gt;=0.90,"Excellent",IF(AJ104&gt;=0.80,"Good",IF(AJ104&gt;=0.70,"Fair","Poor"))))</f>
        <v/>
      </c>
      <c r="AO104" s="12" t="n"/>
      <c r="AP104" s="12" t="n"/>
      <c r="AQ104" s="12" t="n"/>
      <c r="AR104" s="12" t="n"/>
      <c r="AS104" s="12" t="n"/>
      <c r="AT104" s="12" t="n"/>
      <c r="AU104" s="12" t="n"/>
      <c r="AV104" s="11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</row>
    <row r="105">
      <c r="A105" s="13">
        <f>IF(B105="","","INS-"&amp;TEXT(ROW()-3,"000"))</f>
        <v/>
      </c>
      <c r="B105" s="11" t="n"/>
      <c r="C105" s="7">
        <f>IF(B105="","",ISOWEEKNUM(B105))</f>
        <v/>
      </c>
      <c r="D105" s="7">
        <f>IF(B105="","",TEXT(B105,"yyyy-mm"))</f>
        <v/>
      </c>
      <c r="E105" s="12" t="n"/>
      <c r="F105" s="12" t="n"/>
      <c r="G105" s="7">
        <f>IF(OR(E105="",F105=""),"",IF(COUNTIF(Cluster_Master!$I$3:$I$17,E105&amp;"|"&amp;F105)=1,"Valid","Review"))</f>
        <v/>
      </c>
      <c r="H105" s="7">
        <f>IF($G105&lt;&gt;"Valid","",VLOOKUP($E105&amp;"|"&amp;$F105,Cluster_Master!$I$3:$H$17,3,FALSE))</f>
        <v/>
      </c>
      <c r="I105" s="7">
        <f>IF($G105&lt;&gt;"Valid","",VLOOKUP($E105&amp;"|"&amp;$F105,Cluster_Master!$I$3:$H$17,4,FALSE))</f>
        <v/>
      </c>
      <c r="J105" s="7">
        <f>IF($G105&lt;&gt;"Valid","",VLOOKUP($E105&amp;"|"&amp;$F105,Cluster_Master!$I$3:$H$17,5,FALSE))</f>
        <v/>
      </c>
      <c r="K105" s="7">
        <f>IF($G105&lt;&gt;"Valid","",VLOOKUP($E105&amp;"|"&amp;$F105,Cluster_Master!$I$3:$H$17,6,FALSE))</f>
        <v/>
      </c>
      <c r="L105" s="7">
        <f>IF($G105&lt;&gt;"Valid","",VLOOKUP($E105&amp;"|"&amp;$F105,Cluster_Master!$I$3:$H$17,7,FALSE))</f>
        <v/>
      </c>
      <c r="M105" s="7">
        <f>IF($G105&lt;&gt;"Valid","",VLOOKUP($E105&amp;"|"&amp;$F105,Cluster_Master!$I$3:$H$17,8,FALSE))</f>
        <v/>
      </c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7">
        <f>IF(COUNT(T105:AH105)=0,"",SUM(T105:AH105))</f>
        <v/>
      </c>
      <c r="AJ105" s="10">
        <f>IF(AI105="","",AI105/75)</f>
        <v/>
      </c>
      <c r="AK105" s="10">
        <f>IF(AI105="","",SUMPRODUCT(T105:AH105,KPI_Weights!$B$3:$B$17)/5)</f>
        <v/>
      </c>
      <c r="AL105" s="7">
        <f>IF(COUNT(T105:AH105)=0,"",IF(OR(T105&lt;=1,W105&lt;=1,X105&lt;=1,Y105&lt;=1,AB105&lt;=1),"YES","NO"))</f>
        <v/>
      </c>
      <c r="AM105" s="7">
        <f>IF(AK105="","",IF(AND(AK105="NO",AJ105&gt;=0.85),"YES","NO"))</f>
        <v/>
      </c>
      <c r="AN105" s="7">
        <f>IF(AJ105="","",IF(AJ105&gt;=0.90,"Excellent",IF(AJ105&gt;=0.80,"Good",IF(AJ105&gt;=0.70,"Fair","Poor"))))</f>
        <v/>
      </c>
      <c r="AO105" s="12" t="n"/>
      <c r="AP105" s="12" t="n"/>
      <c r="AQ105" s="12" t="n"/>
      <c r="AR105" s="12" t="n"/>
      <c r="AS105" s="12" t="n"/>
      <c r="AT105" s="12" t="n"/>
      <c r="AU105" s="12" t="n"/>
      <c r="AV105" s="11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</row>
    <row r="106">
      <c r="A106" s="13">
        <f>IF(B106="","","INS-"&amp;TEXT(ROW()-3,"000"))</f>
        <v/>
      </c>
      <c r="B106" s="11" t="n"/>
      <c r="C106" s="7">
        <f>IF(B106="","",ISOWEEKNUM(B106))</f>
        <v/>
      </c>
      <c r="D106" s="7">
        <f>IF(B106="","",TEXT(B106,"yyyy-mm"))</f>
        <v/>
      </c>
      <c r="E106" s="12" t="n"/>
      <c r="F106" s="12" t="n"/>
      <c r="G106" s="7">
        <f>IF(OR(E106="",F106=""),"",IF(COUNTIF(Cluster_Master!$I$3:$I$17,E106&amp;"|"&amp;F106)=1,"Valid","Review"))</f>
        <v/>
      </c>
      <c r="H106" s="7">
        <f>IF($G106&lt;&gt;"Valid","",VLOOKUP($E106&amp;"|"&amp;$F106,Cluster_Master!$I$3:$H$17,3,FALSE))</f>
        <v/>
      </c>
      <c r="I106" s="7">
        <f>IF($G106&lt;&gt;"Valid","",VLOOKUP($E106&amp;"|"&amp;$F106,Cluster_Master!$I$3:$H$17,4,FALSE))</f>
        <v/>
      </c>
      <c r="J106" s="7">
        <f>IF($G106&lt;&gt;"Valid","",VLOOKUP($E106&amp;"|"&amp;$F106,Cluster_Master!$I$3:$H$17,5,FALSE))</f>
        <v/>
      </c>
      <c r="K106" s="7">
        <f>IF($G106&lt;&gt;"Valid","",VLOOKUP($E106&amp;"|"&amp;$F106,Cluster_Master!$I$3:$H$17,6,FALSE))</f>
        <v/>
      </c>
      <c r="L106" s="7">
        <f>IF($G106&lt;&gt;"Valid","",VLOOKUP($E106&amp;"|"&amp;$F106,Cluster_Master!$I$3:$H$17,7,FALSE))</f>
        <v/>
      </c>
      <c r="M106" s="7">
        <f>IF($G106&lt;&gt;"Valid","",VLOOKUP($E106&amp;"|"&amp;$F106,Cluster_Master!$I$3:$H$17,8,FALSE))</f>
        <v/>
      </c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7">
        <f>IF(COUNT(T106:AH106)=0,"",SUM(T106:AH106))</f>
        <v/>
      </c>
      <c r="AJ106" s="10">
        <f>IF(AI106="","",AI106/75)</f>
        <v/>
      </c>
      <c r="AK106" s="10">
        <f>IF(AI106="","",SUMPRODUCT(T106:AH106,KPI_Weights!$B$3:$B$17)/5)</f>
        <v/>
      </c>
      <c r="AL106" s="7">
        <f>IF(COUNT(T106:AH106)=0,"",IF(OR(T106&lt;=1,W106&lt;=1,X106&lt;=1,Y106&lt;=1,AB106&lt;=1),"YES","NO"))</f>
        <v/>
      </c>
      <c r="AM106" s="7">
        <f>IF(AK106="","",IF(AND(AK106="NO",AJ106&gt;=0.85),"YES","NO"))</f>
        <v/>
      </c>
      <c r="AN106" s="7">
        <f>IF(AJ106="","",IF(AJ106&gt;=0.90,"Excellent",IF(AJ106&gt;=0.80,"Good",IF(AJ106&gt;=0.70,"Fair","Poor"))))</f>
        <v/>
      </c>
      <c r="AO106" s="12" t="n"/>
      <c r="AP106" s="12" t="n"/>
      <c r="AQ106" s="12" t="n"/>
      <c r="AR106" s="12" t="n"/>
      <c r="AS106" s="12" t="n"/>
      <c r="AT106" s="12" t="n"/>
      <c r="AU106" s="12" t="n"/>
      <c r="AV106" s="11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</row>
    <row r="107">
      <c r="A107" s="13">
        <f>IF(B107="","","INS-"&amp;TEXT(ROW()-3,"000"))</f>
        <v/>
      </c>
      <c r="B107" s="11" t="n"/>
      <c r="C107" s="7">
        <f>IF(B107="","",ISOWEEKNUM(B107))</f>
        <v/>
      </c>
      <c r="D107" s="7">
        <f>IF(B107="","",TEXT(B107,"yyyy-mm"))</f>
        <v/>
      </c>
      <c r="E107" s="12" t="n"/>
      <c r="F107" s="12" t="n"/>
      <c r="G107" s="7">
        <f>IF(OR(E107="",F107=""),"",IF(COUNTIF(Cluster_Master!$I$3:$I$17,E107&amp;"|"&amp;F107)=1,"Valid","Review"))</f>
        <v/>
      </c>
      <c r="H107" s="7">
        <f>IF($G107&lt;&gt;"Valid","",VLOOKUP($E107&amp;"|"&amp;$F107,Cluster_Master!$I$3:$H$17,3,FALSE))</f>
        <v/>
      </c>
      <c r="I107" s="7">
        <f>IF($G107&lt;&gt;"Valid","",VLOOKUP($E107&amp;"|"&amp;$F107,Cluster_Master!$I$3:$H$17,4,FALSE))</f>
        <v/>
      </c>
      <c r="J107" s="7">
        <f>IF($G107&lt;&gt;"Valid","",VLOOKUP($E107&amp;"|"&amp;$F107,Cluster_Master!$I$3:$H$17,5,FALSE))</f>
        <v/>
      </c>
      <c r="K107" s="7">
        <f>IF($G107&lt;&gt;"Valid","",VLOOKUP($E107&amp;"|"&amp;$F107,Cluster_Master!$I$3:$H$17,6,FALSE))</f>
        <v/>
      </c>
      <c r="L107" s="7">
        <f>IF($G107&lt;&gt;"Valid","",VLOOKUP($E107&amp;"|"&amp;$F107,Cluster_Master!$I$3:$H$17,7,FALSE))</f>
        <v/>
      </c>
      <c r="M107" s="7">
        <f>IF($G107&lt;&gt;"Valid","",VLOOKUP($E107&amp;"|"&amp;$F107,Cluster_Master!$I$3:$H$17,8,FALSE))</f>
        <v/>
      </c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7">
        <f>IF(COUNT(T107:AH107)=0,"",SUM(T107:AH107))</f>
        <v/>
      </c>
      <c r="AJ107" s="10">
        <f>IF(AI107="","",AI107/75)</f>
        <v/>
      </c>
      <c r="AK107" s="10">
        <f>IF(AI107="","",SUMPRODUCT(T107:AH107,KPI_Weights!$B$3:$B$17)/5)</f>
        <v/>
      </c>
      <c r="AL107" s="7">
        <f>IF(COUNT(T107:AH107)=0,"",IF(OR(T107&lt;=1,W107&lt;=1,X107&lt;=1,Y107&lt;=1,AB107&lt;=1),"YES","NO"))</f>
        <v/>
      </c>
      <c r="AM107" s="7">
        <f>IF(AK107="","",IF(AND(AK107="NO",AJ107&gt;=0.85),"YES","NO"))</f>
        <v/>
      </c>
      <c r="AN107" s="7">
        <f>IF(AJ107="","",IF(AJ107&gt;=0.90,"Excellent",IF(AJ107&gt;=0.80,"Good",IF(AJ107&gt;=0.70,"Fair","Poor"))))</f>
        <v/>
      </c>
      <c r="AO107" s="12" t="n"/>
      <c r="AP107" s="12" t="n"/>
      <c r="AQ107" s="12" t="n"/>
      <c r="AR107" s="12" t="n"/>
      <c r="AS107" s="12" t="n"/>
      <c r="AT107" s="12" t="n"/>
      <c r="AU107" s="12" t="n"/>
      <c r="AV107" s="11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</row>
    <row r="108">
      <c r="A108" s="13">
        <f>IF(B108="","","INS-"&amp;TEXT(ROW()-3,"000"))</f>
        <v/>
      </c>
      <c r="B108" s="11" t="n"/>
      <c r="C108" s="7">
        <f>IF(B108="","",ISOWEEKNUM(B108))</f>
        <v/>
      </c>
      <c r="D108" s="7">
        <f>IF(B108="","",TEXT(B108,"yyyy-mm"))</f>
        <v/>
      </c>
      <c r="E108" s="12" t="n"/>
      <c r="F108" s="12" t="n"/>
      <c r="G108" s="7">
        <f>IF(OR(E108="",F108=""),"",IF(COUNTIF(Cluster_Master!$I$3:$I$17,E108&amp;"|"&amp;F108)=1,"Valid","Review"))</f>
        <v/>
      </c>
      <c r="H108" s="7">
        <f>IF($G108&lt;&gt;"Valid","",VLOOKUP($E108&amp;"|"&amp;$F108,Cluster_Master!$I$3:$H$17,3,FALSE))</f>
        <v/>
      </c>
      <c r="I108" s="7">
        <f>IF($G108&lt;&gt;"Valid","",VLOOKUP($E108&amp;"|"&amp;$F108,Cluster_Master!$I$3:$H$17,4,FALSE))</f>
        <v/>
      </c>
      <c r="J108" s="7">
        <f>IF($G108&lt;&gt;"Valid","",VLOOKUP($E108&amp;"|"&amp;$F108,Cluster_Master!$I$3:$H$17,5,FALSE))</f>
        <v/>
      </c>
      <c r="K108" s="7">
        <f>IF($G108&lt;&gt;"Valid","",VLOOKUP($E108&amp;"|"&amp;$F108,Cluster_Master!$I$3:$H$17,6,FALSE))</f>
        <v/>
      </c>
      <c r="L108" s="7">
        <f>IF($G108&lt;&gt;"Valid","",VLOOKUP($E108&amp;"|"&amp;$F108,Cluster_Master!$I$3:$H$17,7,FALSE))</f>
        <v/>
      </c>
      <c r="M108" s="7">
        <f>IF($G108&lt;&gt;"Valid","",VLOOKUP($E108&amp;"|"&amp;$F108,Cluster_Master!$I$3:$H$17,8,FALSE))</f>
        <v/>
      </c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7">
        <f>IF(COUNT(T108:AH108)=0,"",SUM(T108:AH108))</f>
        <v/>
      </c>
      <c r="AJ108" s="10">
        <f>IF(AI108="","",AI108/75)</f>
        <v/>
      </c>
      <c r="AK108" s="10">
        <f>IF(AI108="","",SUMPRODUCT(T108:AH108,KPI_Weights!$B$3:$B$17)/5)</f>
        <v/>
      </c>
      <c r="AL108" s="7">
        <f>IF(COUNT(T108:AH108)=0,"",IF(OR(T108&lt;=1,W108&lt;=1,X108&lt;=1,Y108&lt;=1,AB108&lt;=1),"YES","NO"))</f>
        <v/>
      </c>
      <c r="AM108" s="7">
        <f>IF(AK108="","",IF(AND(AK108="NO",AJ108&gt;=0.85),"YES","NO"))</f>
        <v/>
      </c>
      <c r="AN108" s="7">
        <f>IF(AJ108="","",IF(AJ108&gt;=0.90,"Excellent",IF(AJ108&gt;=0.80,"Good",IF(AJ108&gt;=0.70,"Fair","Poor"))))</f>
        <v/>
      </c>
      <c r="AO108" s="12" t="n"/>
      <c r="AP108" s="12" t="n"/>
      <c r="AQ108" s="12" t="n"/>
      <c r="AR108" s="12" t="n"/>
      <c r="AS108" s="12" t="n"/>
      <c r="AT108" s="12" t="n"/>
      <c r="AU108" s="12" t="n"/>
      <c r="AV108" s="11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</row>
    <row r="109">
      <c r="A109" s="13">
        <f>IF(B109="","","INS-"&amp;TEXT(ROW()-3,"000"))</f>
        <v/>
      </c>
      <c r="B109" s="11" t="n"/>
      <c r="C109" s="7">
        <f>IF(B109="","",ISOWEEKNUM(B109))</f>
        <v/>
      </c>
      <c r="D109" s="7">
        <f>IF(B109="","",TEXT(B109,"yyyy-mm"))</f>
        <v/>
      </c>
      <c r="E109" s="12" t="n"/>
      <c r="F109" s="12" t="n"/>
      <c r="G109" s="7">
        <f>IF(OR(E109="",F109=""),"",IF(COUNTIF(Cluster_Master!$I$3:$I$17,E109&amp;"|"&amp;F109)=1,"Valid","Review"))</f>
        <v/>
      </c>
      <c r="H109" s="7">
        <f>IF($G109&lt;&gt;"Valid","",VLOOKUP($E109&amp;"|"&amp;$F109,Cluster_Master!$I$3:$H$17,3,FALSE))</f>
        <v/>
      </c>
      <c r="I109" s="7">
        <f>IF($G109&lt;&gt;"Valid","",VLOOKUP($E109&amp;"|"&amp;$F109,Cluster_Master!$I$3:$H$17,4,FALSE))</f>
        <v/>
      </c>
      <c r="J109" s="7">
        <f>IF($G109&lt;&gt;"Valid","",VLOOKUP($E109&amp;"|"&amp;$F109,Cluster_Master!$I$3:$H$17,5,FALSE))</f>
        <v/>
      </c>
      <c r="K109" s="7">
        <f>IF($G109&lt;&gt;"Valid","",VLOOKUP($E109&amp;"|"&amp;$F109,Cluster_Master!$I$3:$H$17,6,FALSE))</f>
        <v/>
      </c>
      <c r="L109" s="7">
        <f>IF($G109&lt;&gt;"Valid","",VLOOKUP($E109&amp;"|"&amp;$F109,Cluster_Master!$I$3:$H$17,7,FALSE))</f>
        <v/>
      </c>
      <c r="M109" s="7">
        <f>IF($G109&lt;&gt;"Valid","",VLOOKUP($E109&amp;"|"&amp;$F109,Cluster_Master!$I$3:$H$17,8,FALSE))</f>
        <v/>
      </c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7">
        <f>IF(COUNT(T109:AH109)=0,"",SUM(T109:AH109))</f>
        <v/>
      </c>
      <c r="AJ109" s="10">
        <f>IF(AI109="","",AI109/75)</f>
        <v/>
      </c>
      <c r="AK109" s="10">
        <f>IF(AI109="","",SUMPRODUCT(T109:AH109,KPI_Weights!$B$3:$B$17)/5)</f>
        <v/>
      </c>
      <c r="AL109" s="7">
        <f>IF(COUNT(T109:AH109)=0,"",IF(OR(T109&lt;=1,W109&lt;=1,X109&lt;=1,Y109&lt;=1,AB109&lt;=1),"YES","NO"))</f>
        <v/>
      </c>
      <c r="AM109" s="7">
        <f>IF(AK109="","",IF(AND(AK109="NO",AJ109&gt;=0.85),"YES","NO"))</f>
        <v/>
      </c>
      <c r="AN109" s="7">
        <f>IF(AJ109="","",IF(AJ109&gt;=0.90,"Excellent",IF(AJ109&gt;=0.80,"Good",IF(AJ109&gt;=0.70,"Fair","Poor"))))</f>
        <v/>
      </c>
      <c r="AO109" s="12" t="n"/>
      <c r="AP109" s="12" t="n"/>
      <c r="AQ109" s="12" t="n"/>
      <c r="AR109" s="12" t="n"/>
      <c r="AS109" s="12" t="n"/>
      <c r="AT109" s="12" t="n"/>
      <c r="AU109" s="12" t="n"/>
      <c r="AV109" s="11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</row>
    <row r="110">
      <c r="A110" s="13">
        <f>IF(B110="","","INS-"&amp;TEXT(ROW()-3,"000"))</f>
        <v/>
      </c>
      <c r="B110" s="11" t="n"/>
      <c r="C110" s="7">
        <f>IF(B110="","",ISOWEEKNUM(B110))</f>
        <v/>
      </c>
      <c r="D110" s="7">
        <f>IF(B110="","",TEXT(B110,"yyyy-mm"))</f>
        <v/>
      </c>
      <c r="E110" s="12" t="n"/>
      <c r="F110" s="12" t="n"/>
      <c r="G110" s="7">
        <f>IF(OR(E110="",F110=""),"",IF(COUNTIF(Cluster_Master!$I$3:$I$17,E110&amp;"|"&amp;F110)=1,"Valid","Review"))</f>
        <v/>
      </c>
      <c r="H110" s="7">
        <f>IF($G110&lt;&gt;"Valid","",VLOOKUP($E110&amp;"|"&amp;$F110,Cluster_Master!$I$3:$H$17,3,FALSE))</f>
        <v/>
      </c>
      <c r="I110" s="7">
        <f>IF($G110&lt;&gt;"Valid","",VLOOKUP($E110&amp;"|"&amp;$F110,Cluster_Master!$I$3:$H$17,4,FALSE))</f>
        <v/>
      </c>
      <c r="J110" s="7">
        <f>IF($G110&lt;&gt;"Valid","",VLOOKUP($E110&amp;"|"&amp;$F110,Cluster_Master!$I$3:$H$17,5,FALSE))</f>
        <v/>
      </c>
      <c r="K110" s="7">
        <f>IF($G110&lt;&gt;"Valid","",VLOOKUP($E110&amp;"|"&amp;$F110,Cluster_Master!$I$3:$H$17,6,FALSE))</f>
        <v/>
      </c>
      <c r="L110" s="7">
        <f>IF($G110&lt;&gt;"Valid","",VLOOKUP($E110&amp;"|"&amp;$F110,Cluster_Master!$I$3:$H$17,7,FALSE))</f>
        <v/>
      </c>
      <c r="M110" s="7">
        <f>IF($G110&lt;&gt;"Valid","",VLOOKUP($E110&amp;"|"&amp;$F110,Cluster_Master!$I$3:$H$17,8,FALSE))</f>
        <v/>
      </c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7">
        <f>IF(COUNT(T110:AH110)=0,"",SUM(T110:AH110))</f>
        <v/>
      </c>
      <c r="AJ110" s="10">
        <f>IF(AI110="","",AI110/75)</f>
        <v/>
      </c>
      <c r="AK110" s="10">
        <f>IF(AI110="","",SUMPRODUCT(T110:AH110,KPI_Weights!$B$3:$B$17)/5)</f>
        <v/>
      </c>
      <c r="AL110" s="7">
        <f>IF(COUNT(T110:AH110)=0,"",IF(OR(T110&lt;=1,W110&lt;=1,X110&lt;=1,Y110&lt;=1,AB110&lt;=1),"YES","NO"))</f>
        <v/>
      </c>
      <c r="AM110" s="7">
        <f>IF(AK110="","",IF(AND(AK110="NO",AJ110&gt;=0.85),"YES","NO"))</f>
        <v/>
      </c>
      <c r="AN110" s="7">
        <f>IF(AJ110="","",IF(AJ110&gt;=0.90,"Excellent",IF(AJ110&gt;=0.80,"Good",IF(AJ110&gt;=0.70,"Fair","Poor"))))</f>
        <v/>
      </c>
      <c r="AO110" s="12" t="n"/>
      <c r="AP110" s="12" t="n"/>
      <c r="AQ110" s="12" t="n"/>
      <c r="AR110" s="12" t="n"/>
      <c r="AS110" s="12" t="n"/>
      <c r="AT110" s="12" t="n"/>
      <c r="AU110" s="12" t="n"/>
      <c r="AV110" s="11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</row>
    <row r="111">
      <c r="A111" s="13">
        <f>IF(B111="","","INS-"&amp;TEXT(ROW()-3,"000"))</f>
        <v/>
      </c>
      <c r="B111" s="11" t="n"/>
      <c r="C111" s="7">
        <f>IF(B111="","",ISOWEEKNUM(B111))</f>
        <v/>
      </c>
      <c r="D111" s="7">
        <f>IF(B111="","",TEXT(B111,"yyyy-mm"))</f>
        <v/>
      </c>
      <c r="E111" s="12" t="n"/>
      <c r="F111" s="12" t="n"/>
      <c r="G111" s="7">
        <f>IF(OR(E111="",F111=""),"",IF(COUNTIF(Cluster_Master!$I$3:$I$17,E111&amp;"|"&amp;F111)=1,"Valid","Review"))</f>
        <v/>
      </c>
      <c r="H111" s="7">
        <f>IF($G111&lt;&gt;"Valid","",VLOOKUP($E111&amp;"|"&amp;$F111,Cluster_Master!$I$3:$H$17,3,FALSE))</f>
        <v/>
      </c>
      <c r="I111" s="7">
        <f>IF($G111&lt;&gt;"Valid","",VLOOKUP($E111&amp;"|"&amp;$F111,Cluster_Master!$I$3:$H$17,4,FALSE))</f>
        <v/>
      </c>
      <c r="J111" s="7">
        <f>IF($G111&lt;&gt;"Valid","",VLOOKUP($E111&amp;"|"&amp;$F111,Cluster_Master!$I$3:$H$17,5,FALSE))</f>
        <v/>
      </c>
      <c r="K111" s="7">
        <f>IF($G111&lt;&gt;"Valid","",VLOOKUP($E111&amp;"|"&amp;$F111,Cluster_Master!$I$3:$H$17,6,FALSE))</f>
        <v/>
      </c>
      <c r="L111" s="7">
        <f>IF($G111&lt;&gt;"Valid","",VLOOKUP($E111&amp;"|"&amp;$F111,Cluster_Master!$I$3:$H$17,7,FALSE))</f>
        <v/>
      </c>
      <c r="M111" s="7">
        <f>IF($G111&lt;&gt;"Valid","",VLOOKUP($E111&amp;"|"&amp;$F111,Cluster_Master!$I$3:$H$17,8,FALSE))</f>
        <v/>
      </c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7">
        <f>IF(COUNT(T111:AH111)=0,"",SUM(T111:AH111))</f>
        <v/>
      </c>
      <c r="AJ111" s="10">
        <f>IF(AI111="","",AI111/75)</f>
        <v/>
      </c>
      <c r="AK111" s="10">
        <f>IF(AI111="","",SUMPRODUCT(T111:AH111,KPI_Weights!$B$3:$B$17)/5)</f>
        <v/>
      </c>
      <c r="AL111" s="7">
        <f>IF(COUNT(T111:AH111)=0,"",IF(OR(T111&lt;=1,W111&lt;=1,X111&lt;=1,Y111&lt;=1,AB111&lt;=1),"YES","NO"))</f>
        <v/>
      </c>
      <c r="AM111" s="7">
        <f>IF(AK111="","",IF(AND(AK111="NO",AJ111&gt;=0.85),"YES","NO"))</f>
        <v/>
      </c>
      <c r="AN111" s="7">
        <f>IF(AJ111="","",IF(AJ111&gt;=0.90,"Excellent",IF(AJ111&gt;=0.80,"Good",IF(AJ111&gt;=0.70,"Fair","Poor"))))</f>
        <v/>
      </c>
      <c r="AO111" s="12" t="n"/>
      <c r="AP111" s="12" t="n"/>
      <c r="AQ111" s="12" t="n"/>
      <c r="AR111" s="12" t="n"/>
      <c r="AS111" s="12" t="n"/>
      <c r="AT111" s="12" t="n"/>
      <c r="AU111" s="12" t="n"/>
      <c r="AV111" s="11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</row>
    <row r="112">
      <c r="A112" s="13">
        <f>IF(B112="","","INS-"&amp;TEXT(ROW()-3,"000"))</f>
        <v/>
      </c>
      <c r="B112" s="11" t="n"/>
      <c r="C112" s="7">
        <f>IF(B112="","",ISOWEEKNUM(B112))</f>
        <v/>
      </c>
      <c r="D112" s="7">
        <f>IF(B112="","",TEXT(B112,"yyyy-mm"))</f>
        <v/>
      </c>
      <c r="E112" s="12" t="n"/>
      <c r="F112" s="12" t="n"/>
      <c r="G112" s="7">
        <f>IF(OR(E112="",F112=""),"",IF(COUNTIF(Cluster_Master!$I$3:$I$17,E112&amp;"|"&amp;F112)=1,"Valid","Review"))</f>
        <v/>
      </c>
      <c r="H112" s="7">
        <f>IF($G112&lt;&gt;"Valid","",VLOOKUP($E112&amp;"|"&amp;$F112,Cluster_Master!$I$3:$H$17,3,FALSE))</f>
        <v/>
      </c>
      <c r="I112" s="7">
        <f>IF($G112&lt;&gt;"Valid","",VLOOKUP($E112&amp;"|"&amp;$F112,Cluster_Master!$I$3:$H$17,4,FALSE))</f>
        <v/>
      </c>
      <c r="J112" s="7">
        <f>IF($G112&lt;&gt;"Valid","",VLOOKUP($E112&amp;"|"&amp;$F112,Cluster_Master!$I$3:$H$17,5,FALSE))</f>
        <v/>
      </c>
      <c r="K112" s="7">
        <f>IF($G112&lt;&gt;"Valid","",VLOOKUP($E112&amp;"|"&amp;$F112,Cluster_Master!$I$3:$H$17,6,FALSE))</f>
        <v/>
      </c>
      <c r="L112" s="7">
        <f>IF($G112&lt;&gt;"Valid","",VLOOKUP($E112&amp;"|"&amp;$F112,Cluster_Master!$I$3:$H$17,7,FALSE))</f>
        <v/>
      </c>
      <c r="M112" s="7">
        <f>IF($G112&lt;&gt;"Valid","",VLOOKUP($E112&amp;"|"&amp;$F112,Cluster_Master!$I$3:$H$17,8,FALSE))</f>
        <v/>
      </c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7">
        <f>IF(COUNT(T112:AH112)=0,"",SUM(T112:AH112))</f>
        <v/>
      </c>
      <c r="AJ112" s="10">
        <f>IF(AI112="","",AI112/75)</f>
        <v/>
      </c>
      <c r="AK112" s="10">
        <f>IF(AI112="","",SUMPRODUCT(T112:AH112,KPI_Weights!$B$3:$B$17)/5)</f>
        <v/>
      </c>
      <c r="AL112" s="7">
        <f>IF(COUNT(T112:AH112)=0,"",IF(OR(T112&lt;=1,W112&lt;=1,X112&lt;=1,Y112&lt;=1,AB112&lt;=1),"YES","NO"))</f>
        <v/>
      </c>
      <c r="AM112" s="7">
        <f>IF(AK112="","",IF(AND(AK112="NO",AJ112&gt;=0.85),"YES","NO"))</f>
        <v/>
      </c>
      <c r="AN112" s="7">
        <f>IF(AJ112="","",IF(AJ112&gt;=0.90,"Excellent",IF(AJ112&gt;=0.80,"Good",IF(AJ112&gt;=0.70,"Fair","Poor"))))</f>
        <v/>
      </c>
      <c r="AO112" s="12" t="n"/>
      <c r="AP112" s="12" t="n"/>
      <c r="AQ112" s="12" t="n"/>
      <c r="AR112" s="12" t="n"/>
      <c r="AS112" s="12" t="n"/>
      <c r="AT112" s="12" t="n"/>
      <c r="AU112" s="12" t="n"/>
      <c r="AV112" s="11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</row>
    <row r="113">
      <c r="A113" s="13">
        <f>IF(B113="","","INS-"&amp;TEXT(ROW()-3,"000"))</f>
        <v/>
      </c>
      <c r="B113" s="11" t="n"/>
      <c r="C113" s="7">
        <f>IF(B113="","",ISOWEEKNUM(B113))</f>
        <v/>
      </c>
      <c r="D113" s="7">
        <f>IF(B113="","",TEXT(B113,"yyyy-mm"))</f>
        <v/>
      </c>
      <c r="E113" s="12" t="n"/>
      <c r="F113" s="12" t="n"/>
      <c r="G113" s="7">
        <f>IF(OR(E113="",F113=""),"",IF(COUNTIF(Cluster_Master!$I$3:$I$17,E113&amp;"|"&amp;F113)=1,"Valid","Review"))</f>
        <v/>
      </c>
      <c r="H113" s="7">
        <f>IF($G113&lt;&gt;"Valid","",VLOOKUP($E113&amp;"|"&amp;$F113,Cluster_Master!$I$3:$H$17,3,FALSE))</f>
        <v/>
      </c>
      <c r="I113" s="7">
        <f>IF($G113&lt;&gt;"Valid","",VLOOKUP($E113&amp;"|"&amp;$F113,Cluster_Master!$I$3:$H$17,4,FALSE))</f>
        <v/>
      </c>
      <c r="J113" s="7">
        <f>IF($G113&lt;&gt;"Valid","",VLOOKUP($E113&amp;"|"&amp;$F113,Cluster_Master!$I$3:$H$17,5,FALSE))</f>
        <v/>
      </c>
      <c r="K113" s="7">
        <f>IF($G113&lt;&gt;"Valid","",VLOOKUP($E113&amp;"|"&amp;$F113,Cluster_Master!$I$3:$H$17,6,FALSE))</f>
        <v/>
      </c>
      <c r="L113" s="7">
        <f>IF($G113&lt;&gt;"Valid","",VLOOKUP($E113&amp;"|"&amp;$F113,Cluster_Master!$I$3:$H$17,7,FALSE))</f>
        <v/>
      </c>
      <c r="M113" s="7">
        <f>IF($G113&lt;&gt;"Valid","",VLOOKUP($E113&amp;"|"&amp;$F113,Cluster_Master!$I$3:$H$17,8,FALSE))</f>
        <v/>
      </c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7">
        <f>IF(COUNT(T113:AH113)=0,"",SUM(T113:AH113))</f>
        <v/>
      </c>
      <c r="AJ113" s="10">
        <f>IF(AI113="","",AI113/75)</f>
        <v/>
      </c>
      <c r="AK113" s="10">
        <f>IF(AI113="","",SUMPRODUCT(T113:AH113,KPI_Weights!$B$3:$B$17)/5)</f>
        <v/>
      </c>
      <c r="AL113" s="7">
        <f>IF(COUNT(T113:AH113)=0,"",IF(OR(T113&lt;=1,W113&lt;=1,X113&lt;=1,Y113&lt;=1,AB113&lt;=1),"YES","NO"))</f>
        <v/>
      </c>
      <c r="AM113" s="7">
        <f>IF(AK113="","",IF(AND(AK113="NO",AJ113&gt;=0.85),"YES","NO"))</f>
        <v/>
      </c>
      <c r="AN113" s="7">
        <f>IF(AJ113="","",IF(AJ113&gt;=0.90,"Excellent",IF(AJ113&gt;=0.80,"Good",IF(AJ113&gt;=0.70,"Fair","Poor"))))</f>
        <v/>
      </c>
      <c r="AO113" s="12" t="n"/>
      <c r="AP113" s="12" t="n"/>
      <c r="AQ113" s="12" t="n"/>
      <c r="AR113" s="12" t="n"/>
      <c r="AS113" s="12" t="n"/>
      <c r="AT113" s="12" t="n"/>
      <c r="AU113" s="12" t="n"/>
      <c r="AV113" s="11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</row>
    <row r="114">
      <c r="A114" s="13">
        <f>IF(B114="","","INS-"&amp;TEXT(ROW()-3,"000"))</f>
        <v/>
      </c>
      <c r="B114" s="11" t="n"/>
      <c r="C114" s="7">
        <f>IF(B114="","",ISOWEEKNUM(B114))</f>
        <v/>
      </c>
      <c r="D114" s="7">
        <f>IF(B114="","",TEXT(B114,"yyyy-mm"))</f>
        <v/>
      </c>
      <c r="E114" s="12" t="n"/>
      <c r="F114" s="12" t="n"/>
      <c r="G114" s="7">
        <f>IF(OR(E114="",F114=""),"",IF(COUNTIF(Cluster_Master!$I$3:$I$17,E114&amp;"|"&amp;F114)=1,"Valid","Review"))</f>
        <v/>
      </c>
      <c r="H114" s="7">
        <f>IF($G114&lt;&gt;"Valid","",VLOOKUP($E114&amp;"|"&amp;$F114,Cluster_Master!$I$3:$H$17,3,FALSE))</f>
        <v/>
      </c>
      <c r="I114" s="7">
        <f>IF($G114&lt;&gt;"Valid","",VLOOKUP($E114&amp;"|"&amp;$F114,Cluster_Master!$I$3:$H$17,4,FALSE))</f>
        <v/>
      </c>
      <c r="J114" s="7">
        <f>IF($G114&lt;&gt;"Valid","",VLOOKUP($E114&amp;"|"&amp;$F114,Cluster_Master!$I$3:$H$17,5,FALSE))</f>
        <v/>
      </c>
      <c r="K114" s="7">
        <f>IF($G114&lt;&gt;"Valid","",VLOOKUP($E114&amp;"|"&amp;$F114,Cluster_Master!$I$3:$H$17,6,FALSE))</f>
        <v/>
      </c>
      <c r="L114" s="7">
        <f>IF($G114&lt;&gt;"Valid","",VLOOKUP($E114&amp;"|"&amp;$F114,Cluster_Master!$I$3:$H$17,7,FALSE))</f>
        <v/>
      </c>
      <c r="M114" s="7">
        <f>IF($G114&lt;&gt;"Valid","",VLOOKUP($E114&amp;"|"&amp;$F114,Cluster_Master!$I$3:$H$17,8,FALSE))</f>
        <v/>
      </c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7">
        <f>IF(COUNT(T114:AH114)=0,"",SUM(T114:AH114))</f>
        <v/>
      </c>
      <c r="AJ114" s="10">
        <f>IF(AI114="","",AI114/75)</f>
        <v/>
      </c>
      <c r="AK114" s="10">
        <f>IF(AI114="","",SUMPRODUCT(T114:AH114,KPI_Weights!$B$3:$B$17)/5)</f>
        <v/>
      </c>
      <c r="AL114" s="7">
        <f>IF(COUNT(T114:AH114)=0,"",IF(OR(T114&lt;=1,W114&lt;=1,X114&lt;=1,Y114&lt;=1,AB114&lt;=1),"YES","NO"))</f>
        <v/>
      </c>
      <c r="AM114" s="7">
        <f>IF(AK114="","",IF(AND(AK114="NO",AJ114&gt;=0.85),"YES","NO"))</f>
        <v/>
      </c>
      <c r="AN114" s="7">
        <f>IF(AJ114="","",IF(AJ114&gt;=0.90,"Excellent",IF(AJ114&gt;=0.80,"Good",IF(AJ114&gt;=0.70,"Fair","Poor"))))</f>
        <v/>
      </c>
      <c r="AO114" s="12" t="n"/>
      <c r="AP114" s="12" t="n"/>
      <c r="AQ114" s="12" t="n"/>
      <c r="AR114" s="12" t="n"/>
      <c r="AS114" s="12" t="n"/>
      <c r="AT114" s="12" t="n"/>
      <c r="AU114" s="12" t="n"/>
      <c r="AV114" s="11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</row>
    <row r="115">
      <c r="A115" s="13">
        <f>IF(B115="","","INS-"&amp;TEXT(ROW()-3,"000"))</f>
        <v/>
      </c>
      <c r="B115" s="11" t="n"/>
      <c r="C115" s="7">
        <f>IF(B115="","",ISOWEEKNUM(B115))</f>
        <v/>
      </c>
      <c r="D115" s="7">
        <f>IF(B115="","",TEXT(B115,"yyyy-mm"))</f>
        <v/>
      </c>
      <c r="E115" s="12" t="n"/>
      <c r="F115" s="12" t="n"/>
      <c r="G115" s="7">
        <f>IF(OR(E115="",F115=""),"",IF(COUNTIF(Cluster_Master!$I$3:$I$17,E115&amp;"|"&amp;F115)=1,"Valid","Review"))</f>
        <v/>
      </c>
      <c r="H115" s="7">
        <f>IF($G115&lt;&gt;"Valid","",VLOOKUP($E115&amp;"|"&amp;$F115,Cluster_Master!$I$3:$H$17,3,FALSE))</f>
        <v/>
      </c>
      <c r="I115" s="7">
        <f>IF($G115&lt;&gt;"Valid","",VLOOKUP($E115&amp;"|"&amp;$F115,Cluster_Master!$I$3:$H$17,4,FALSE))</f>
        <v/>
      </c>
      <c r="J115" s="7">
        <f>IF($G115&lt;&gt;"Valid","",VLOOKUP($E115&amp;"|"&amp;$F115,Cluster_Master!$I$3:$H$17,5,FALSE))</f>
        <v/>
      </c>
      <c r="K115" s="7">
        <f>IF($G115&lt;&gt;"Valid","",VLOOKUP($E115&amp;"|"&amp;$F115,Cluster_Master!$I$3:$H$17,6,FALSE))</f>
        <v/>
      </c>
      <c r="L115" s="7">
        <f>IF($G115&lt;&gt;"Valid","",VLOOKUP($E115&amp;"|"&amp;$F115,Cluster_Master!$I$3:$H$17,7,FALSE))</f>
        <v/>
      </c>
      <c r="M115" s="7">
        <f>IF($G115&lt;&gt;"Valid","",VLOOKUP($E115&amp;"|"&amp;$F115,Cluster_Master!$I$3:$H$17,8,FALSE))</f>
        <v/>
      </c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7">
        <f>IF(COUNT(T115:AH115)=0,"",SUM(T115:AH115))</f>
        <v/>
      </c>
      <c r="AJ115" s="10">
        <f>IF(AI115="","",AI115/75)</f>
        <v/>
      </c>
      <c r="AK115" s="10">
        <f>IF(AI115="","",SUMPRODUCT(T115:AH115,KPI_Weights!$B$3:$B$17)/5)</f>
        <v/>
      </c>
      <c r="AL115" s="7">
        <f>IF(COUNT(T115:AH115)=0,"",IF(OR(T115&lt;=1,W115&lt;=1,X115&lt;=1,Y115&lt;=1,AB115&lt;=1),"YES","NO"))</f>
        <v/>
      </c>
      <c r="AM115" s="7">
        <f>IF(AK115="","",IF(AND(AK115="NO",AJ115&gt;=0.85),"YES","NO"))</f>
        <v/>
      </c>
      <c r="AN115" s="7">
        <f>IF(AJ115="","",IF(AJ115&gt;=0.90,"Excellent",IF(AJ115&gt;=0.80,"Good",IF(AJ115&gt;=0.70,"Fair","Poor"))))</f>
        <v/>
      </c>
      <c r="AO115" s="12" t="n"/>
      <c r="AP115" s="12" t="n"/>
      <c r="AQ115" s="12" t="n"/>
      <c r="AR115" s="12" t="n"/>
      <c r="AS115" s="12" t="n"/>
      <c r="AT115" s="12" t="n"/>
      <c r="AU115" s="12" t="n"/>
      <c r="AV115" s="11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</row>
    <row r="116">
      <c r="A116" s="13">
        <f>IF(B116="","","INS-"&amp;TEXT(ROW()-3,"000"))</f>
        <v/>
      </c>
      <c r="B116" s="11" t="n"/>
      <c r="C116" s="7">
        <f>IF(B116="","",ISOWEEKNUM(B116))</f>
        <v/>
      </c>
      <c r="D116" s="7">
        <f>IF(B116="","",TEXT(B116,"yyyy-mm"))</f>
        <v/>
      </c>
      <c r="E116" s="12" t="n"/>
      <c r="F116" s="12" t="n"/>
      <c r="G116" s="7">
        <f>IF(OR(E116="",F116=""),"",IF(COUNTIF(Cluster_Master!$I$3:$I$17,E116&amp;"|"&amp;F116)=1,"Valid","Review"))</f>
        <v/>
      </c>
      <c r="H116" s="7">
        <f>IF($G116&lt;&gt;"Valid","",VLOOKUP($E116&amp;"|"&amp;$F116,Cluster_Master!$I$3:$H$17,3,FALSE))</f>
        <v/>
      </c>
      <c r="I116" s="7">
        <f>IF($G116&lt;&gt;"Valid","",VLOOKUP($E116&amp;"|"&amp;$F116,Cluster_Master!$I$3:$H$17,4,FALSE))</f>
        <v/>
      </c>
      <c r="J116" s="7">
        <f>IF($G116&lt;&gt;"Valid","",VLOOKUP($E116&amp;"|"&amp;$F116,Cluster_Master!$I$3:$H$17,5,FALSE))</f>
        <v/>
      </c>
      <c r="K116" s="7">
        <f>IF($G116&lt;&gt;"Valid","",VLOOKUP($E116&amp;"|"&amp;$F116,Cluster_Master!$I$3:$H$17,6,FALSE))</f>
        <v/>
      </c>
      <c r="L116" s="7">
        <f>IF($G116&lt;&gt;"Valid","",VLOOKUP($E116&amp;"|"&amp;$F116,Cluster_Master!$I$3:$H$17,7,FALSE))</f>
        <v/>
      </c>
      <c r="M116" s="7">
        <f>IF($G116&lt;&gt;"Valid","",VLOOKUP($E116&amp;"|"&amp;$F116,Cluster_Master!$I$3:$H$17,8,FALSE))</f>
        <v/>
      </c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7">
        <f>IF(COUNT(T116:AH116)=0,"",SUM(T116:AH116))</f>
        <v/>
      </c>
      <c r="AJ116" s="10">
        <f>IF(AI116="","",AI116/75)</f>
        <v/>
      </c>
      <c r="AK116" s="10">
        <f>IF(AI116="","",SUMPRODUCT(T116:AH116,KPI_Weights!$B$3:$B$17)/5)</f>
        <v/>
      </c>
      <c r="AL116" s="7">
        <f>IF(COUNT(T116:AH116)=0,"",IF(OR(T116&lt;=1,W116&lt;=1,X116&lt;=1,Y116&lt;=1,AB116&lt;=1),"YES","NO"))</f>
        <v/>
      </c>
      <c r="AM116" s="7">
        <f>IF(AK116="","",IF(AND(AK116="NO",AJ116&gt;=0.85),"YES","NO"))</f>
        <v/>
      </c>
      <c r="AN116" s="7">
        <f>IF(AJ116="","",IF(AJ116&gt;=0.90,"Excellent",IF(AJ116&gt;=0.80,"Good",IF(AJ116&gt;=0.70,"Fair","Poor"))))</f>
        <v/>
      </c>
      <c r="AO116" s="12" t="n"/>
      <c r="AP116" s="12" t="n"/>
      <c r="AQ116" s="12" t="n"/>
      <c r="AR116" s="12" t="n"/>
      <c r="AS116" s="12" t="n"/>
      <c r="AT116" s="12" t="n"/>
      <c r="AU116" s="12" t="n"/>
      <c r="AV116" s="11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</row>
    <row r="117">
      <c r="A117" s="13">
        <f>IF(B117="","","INS-"&amp;TEXT(ROW()-3,"000"))</f>
        <v/>
      </c>
      <c r="B117" s="11" t="n"/>
      <c r="C117" s="7">
        <f>IF(B117="","",ISOWEEKNUM(B117))</f>
        <v/>
      </c>
      <c r="D117" s="7">
        <f>IF(B117="","",TEXT(B117,"yyyy-mm"))</f>
        <v/>
      </c>
      <c r="E117" s="12" t="n"/>
      <c r="F117" s="12" t="n"/>
      <c r="G117" s="7">
        <f>IF(OR(E117="",F117=""),"",IF(COUNTIF(Cluster_Master!$I$3:$I$17,E117&amp;"|"&amp;F117)=1,"Valid","Review"))</f>
        <v/>
      </c>
      <c r="H117" s="7">
        <f>IF($G117&lt;&gt;"Valid","",VLOOKUP($E117&amp;"|"&amp;$F117,Cluster_Master!$I$3:$H$17,3,FALSE))</f>
        <v/>
      </c>
      <c r="I117" s="7">
        <f>IF($G117&lt;&gt;"Valid","",VLOOKUP($E117&amp;"|"&amp;$F117,Cluster_Master!$I$3:$H$17,4,FALSE))</f>
        <v/>
      </c>
      <c r="J117" s="7">
        <f>IF($G117&lt;&gt;"Valid","",VLOOKUP($E117&amp;"|"&amp;$F117,Cluster_Master!$I$3:$H$17,5,FALSE))</f>
        <v/>
      </c>
      <c r="K117" s="7">
        <f>IF($G117&lt;&gt;"Valid","",VLOOKUP($E117&amp;"|"&amp;$F117,Cluster_Master!$I$3:$H$17,6,FALSE))</f>
        <v/>
      </c>
      <c r="L117" s="7">
        <f>IF($G117&lt;&gt;"Valid","",VLOOKUP($E117&amp;"|"&amp;$F117,Cluster_Master!$I$3:$H$17,7,FALSE))</f>
        <v/>
      </c>
      <c r="M117" s="7">
        <f>IF($G117&lt;&gt;"Valid","",VLOOKUP($E117&amp;"|"&amp;$F117,Cluster_Master!$I$3:$H$17,8,FALSE))</f>
        <v/>
      </c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7">
        <f>IF(COUNT(T117:AH117)=0,"",SUM(T117:AH117))</f>
        <v/>
      </c>
      <c r="AJ117" s="10">
        <f>IF(AI117="","",AI117/75)</f>
        <v/>
      </c>
      <c r="AK117" s="10">
        <f>IF(AI117="","",SUMPRODUCT(T117:AH117,KPI_Weights!$B$3:$B$17)/5)</f>
        <v/>
      </c>
      <c r="AL117" s="7">
        <f>IF(COUNT(T117:AH117)=0,"",IF(OR(T117&lt;=1,W117&lt;=1,X117&lt;=1,Y117&lt;=1,AB117&lt;=1),"YES","NO"))</f>
        <v/>
      </c>
      <c r="AM117" s="7">
        <f>IF(AK117="","",IF(AND(AK117="NO",AJ117&gt;=0.85),"YES","NO"))</f>
        <v/>
      </c>
      <c r="AN117" s="7">
        <f>IF(AJ117="","",IF(AJ117&gt;=0.90,"Excellent",IF(AJ117&gt;=0.80,"Good",IF(AJ117&gt;=0.70,"Fair","Poor"))))</f>
        <v/>
      </c>
      <c r="AO117" s="12" t="n"/>
      <c r="AP117" s="12" t="n"/>
      <c r="AQ117" s="12" t="n"/>
      <c r="AR117" s="12" t="n"/>
      <c r="AS117" s="12" t="n"/>
      <c r="AT117" s="12" t="n"/>
      <c r="AU117" s="12" t="n"/>
      <c r="AV117" s="11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</row>
    <row r="118">
      <c r="A118" s="13">
        <f>IF(B118="","","INS-"&amp;TEXT(ROW()-3,"000"))</f>
        <v/>
      </c>
      <c r="B118" s="11" t="n"/>
      <c r="C118" s="7">
        <f>IF(B118="","",ISOWEEKNUM(B118))</f>
        <v/>
      </c>
      <c r="D118" s="7">
        <f>IF(B118="","",TEXT(B118,"yyyy-mm"))</f>
        <v/>
      </c>
      <c r="E118" s="12" t="n"/>
      <c r="F118" s="12" t="n"/>
      <c r="G118" s="7">
        <f>IF(OR(E118="",F118=""),"",IF(COUNTIF(Cluster_Master!$I$3:$I$17,E118&amp;"|"&amp;F118)=1,"Valid","Review"))</f>
        <v/>
      </c>
      <c r="H118" s="7">
        <f>IF($G118&lt;&gt;"Valid","",VLOOKUP($E118&amp;"|"&amp;$F118,Cluster_Master!$I$3:$H$17,3,FALSE))</f>
        <v/>
      </c>
      <c r="I118" s="7">
        <f>IF($G118&lt;&gt;"Valid","",VLOOKUP($E118&amp;"|"&amp;$F118,Cluster_Master!$I$3:$H$17,4,FALSE))</f>
        <v/>
      </c>
      <c r="J118" s="7">
        <f>IF($G118&lt;&gt;"Valid","",VLOOKUP($E118&amp;"|"&amp;$F118,Cluster_Master!$I$3:$H$17,5,FALSE))</f>
        <v/>
      </c>
      <c r="K118" s="7">
        <f>IF($G118&lt;&gt;"Valid","",VLOOKUP($E118&amp;"|"&amp;$F118,Cluster_Master!$I$3:$H$17,6,FALSE))</f>
        <v/>
      </c>
      <c r="L118" s="7">
        <f>IF($G118&lt;&gt;"Valid","",VLOOKUP($E118&amp;"|"&amp;$F118,Cluster_Master!$I$3:$H$17,7,FALSE))</f>
        <v/>
      </c>
      <c r="M118" s="7">
        <f>IF($G118&lt;&gt;"Valid","",VLOOKUP($E118&amp;"|"&amp;$F118,Cluster_Master!$I$3:$H$17,8,FALSE))</f>
        <v/>
      </c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7">
        <f>IF(COUNT(T118:AH118)=0,"",SUM(T118:AH118))</f>
        <v/>
      </c>
      <c r="AJ118" s="10">
        <f>IF(AI118="","",AI118/75)</f>
        <v/>
      </c>
      <c r="AK118" s="10">
        <f>IF(AI118="","",SUMPRODUCT(T118:AH118,KPI_Weights!$B$3:$B$17)/5)</f>
        <v/>
      </c>
      <c r="AL118" s="7">
        <f>IF(COUNT(T118:AH118)=0,"",IF(OR(T118&lt;=1,W118&lt;=1,X118&lt;=1,Y118&lt;=1,AB118&lt;=1),"YES","NO"))</f>
        <v/>
      </c>
      <c r="AM118" s="7">
        <f>IF(AK118="","",IF(AND(AK118="NO",AJ118&gt;=0.85),"YES","NO"))</f>
        <v/>
      </c>
      <c r="AN118" s="7">
        <f>IF(AJ118="","",IF(AJ118&gt;=0.90,"Excellent",IF(AJ118&gt;=0.80,"Good",IF(AJ118&gt;=0.70,"Fair","Poor"))))</f>
        <v/>
      </c>
      <c r="AO118" s="12" t="n"/>
      <c r="AP118" s="12" t="n"/>
      <c r="AQ118" s="12" t="n"/>
      <c r="AR118" s="12" t="n"/>
      <c r="AS118" s="12" t="n"/>
      <c r="AT118" s="12" t="n"/>
      <c r="AU118" s="12" t="n"/>
      <c r="AV118" s="11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</row>
    <row r="119">
      <c r="A119" s="13">
        <f>IF(B119="","","INS-"&amp;TEXT(ROW()-3,"000"))</f>
        <v/>
      </c>
      <c r="B119" s="11" t="n"/>
      <c r="C119" s="7">
        <f>IF(B119="","",ISOWEEKNUM(B119))</f>
        <v/>
      </c>
      <c r="D119" s="7">
        <f>IF(B119="","",TEXT(B119,"yyyy-mm"))</f>
        <v/>
      </c>
      <c r="E119" s="12" t="n"/>
      <c r="F119" s="12" t="n"/>
      <c r="G119" s="7">
        <f>IF(OR(E119="",F119=""),"",IF(COUNTIF(Cluster_Master!$I$3:$I$17,E119&amp;"|"&amp;F119)=1,"Valid","Review"))</f>
        <v/>
      </c>
      <c r="H119" s="7">
        <f>IF($G119&lt;&gt;"Valid","",VLOOKUP($E119&amp;"|"&amp;$F119,Cluster_Master!$I$3:$H$17,3,FALSE))</f>
        <v/>
      </c>
      <c r="I119" s="7">
        <f>IF($G119&lt;&gt;"Valid","",VLOOKUP($E119&amp;"|"&amp;$F119,Cluster_Master!$I$3:$H$17,4,FALSE))</f>
        <v/>
      </c>
      <c r="J119" s="7">
        <f>IF($G119&lt;&gt;"Valid","",VLOOKUP($E119&amp;"|"&amp;$F119,Cluster_Master!$I$3:$H$17,5,FALSE))</f>
        <v/>
      </c>
      <c r="K119" s="7">
        <f>IF($G119&lt;&gt;"Valid","",VLOOKUP($E119&amp;"|"&amp;$F119,Cluster_Master!$I$3:$H$17,6,FALSE))</f>
        <v/>
      </c>
      <c r="L119" s="7">
        <f>IF($G119&lt;&gt;"Valid","",VLOOKUP($E119&amp;"|"&amp;$F119,Cluster_Master!$I$3:$H$17,7,FALSE))</f>
        <v/>
      </c>
      <c r="M119" s="7">
        <f>IF($G119&lt;&gt;"Valid","",VLOOKUP($E119&amp;"|"&amp;$F119,Cluster_Master!$I$3:$H$17,8,FALSE))</f>
        <v/>
      </c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7">
        <f>IF(COUNT(T119:AH119)=0,"",SUM(T119:AH119))</f>
        <v/>
      </c>
      <c r="AJ119" s="10">
        <f>IF(AI119="","",AI119/75)</f>
        <v/>
      </c>
      <c r="AK119" s="10">
        <f>IF(AI119="","",SUMPRODUCT(T119:AH119,KPI_Weights!$B$3:$B$17)/5)</f>
        <v/>
      </c>
      <c r="AL119" s="7">
        <f>IF(COUNT(T119:AH119)=0,"",IF(OR(T119&lt;=1,W119&lt;=1,X119&lt;=1,Y119&lt;=1,AB119&lt;=1),"YES","NO"))</f>
        <v/>
      </c>
      <c r="AM119" s="7">
        <f>IF(AK119="","",IF(AND(AK119="NO",AJ119&gt;=0.85),"YES","NO"))</f>
        <v/>
      </c>
      <c r="AN119" s="7">
        <f>IF(AJ119="","",IF(AJ119&gt;=0.90,"Excellent",IF(AJ119&gt;=0.80,"Good",IF(AJ119&gt;=0.70,"Fair","Poor"))))</f>
        <v/>
      </c>
      <c r="AO119" s="12" t="n"/>
      <c r="AP119" s="12" t="n"/>
      <c r="AQ119" s="12" t="n"/>
      <c r="AR119" s="12" t="n"/>
      <c r="AS119" s="12" t="n"/>
      <c r="AT119" s="12" t="n"/>
      <c r="AU119" s="12" t="n"/>
      <c r="AV119" s="11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</row>
    <row r="120">
      <c r="A120" s="13">
        <f>IF(B120="","","INS-"&amp;TEXT(ROW()-3,"000"))</f>
        <v/>
      </c>
      <c r="B120" s="11" t="n"/>
      <c r="C120" s="7">
        <f>IF(B120="","",ISOWEEKNUM(B120))</f>
        <v/>
      </c>
      <c r="D120" s="7">
        <f>IF(B120="","",TEXT(B120,"yyyy-mm"))</f>
        <v/>
      </c>
      <c r="E120" s="12" t="n"/>
      <c r="F120" s="12" t="n"/>
      <c r="G120" s="7">
        <f>IF(OR(E120="",F120=""),"",IF(COUNTIF(Cluster_Master!$I$3:$I$17,E120&amp;"|"&amp;F120)=1,"Valid","Review"))</f>
        <v/>
      </c>
      <c r="H120" s="7">
        <f>IF($G120&lt;&gt;"Valid","",VLOOKUP($E120&amp;"|"&amp;$F120,Cluster_Master!$I$3:$H$17,3,FALSE))</f>
        <v/>
      </c>
      <c r="I120" s="7">
        <f>IF($G120&lt;&gt;"Valid","",VLOOKUP($E120&amp;"|"&amp;$F120,Cluster_Master!$I$3:$H$17,4,FALSE))</f>
        <v/>
      </c>
      <c r="J120" s="7">
        <f>IF($G120&lt;&gt;"Valid","",VLOOKUP($E120&amp;"|"&amp;$F120,Cluster_Master!$I$3:$H$17,5,FALSE))</f>
        <v/>
      </c>
      <c r="K120" s="7">
        <f>IF($G120&lt;&gt;"Valid","",VLOOKUP($E120&amp;"|"&amp;$F120,Cluster_Master!$I$3:$H$17,6,FALSE))</f>
        <v/>
      </c>
      <c r="L120" s="7">
        <f>IF($G120&lt;&gt;"Valid","",VLOOKUP($E120&amp;"|"&amp;$F120,Cluster_Master!$I$3:$H$17,7,FALSE))</f>
        <v/>
      </c>
      <c r="M120" s="7">
        <f>IF($G120&lt;&gt;"Valid","",VLOOKUP($E120&amp;"|"&amp;$F120,Cluster_Master!$I$3:$H$17,8,FALSE))</f>
        <v/>
      </c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7">
        <f>IF(COUNT(T120:AH120)=0,"",SUM(T120:AH120))</f>
        <v/>
      </c>
      <c r="AJ120" s="10">
        <f>IF(AI120="","",AI120/75)</f>
        <v/>
      </c>
      <c r="AK120" s="10">
        <f>IF(AI120="","",SUMPRODUCT(T120:AH120,KPI_Weights!$B$3:$B$17)/5)</f>
        <v/>
      </c>
      <c r="AL120" s="7">
        <f>IF(COUNT(T120:AH120)=0,"",IF(OR(T120&lt;=1,W120&lt;=1,X120&lt;=1,Y120&lt;=1,AB120&lt;=1),"YES","NO"))</f>
        <v/>
      </c>
      <c r="AM120" s="7">
        <f>IF(AK120="","",IF(AND(AK120="NO",AJ120&gt;=0.85),"YES","NO"))</f>
        <v/>
      </c>
      <c r="AN120" s="7">
        <f>IF(AJ120="","",IF(AJ120&gt;=0.90,"Excellent",IF(AJ120&gt;=0.80,"Good",IF(AJ120&gt;=0.70,"Fair","Poor"))))</f>
        <v/>
      </c>
      <c r="AO120" s="12" t="n"/>
      <c r="AP120" s="12" t="n"/>
      <c r="AQ120" s="12" t="n"/>
      <c r="AR120" s="12" t="n"/>
      <c r="AS120" s="12" t="n"/>
      <c r="AT120" s="12" t="n"/>
      <c r="AU120" s="12" t="n"/>
      <c r="AV120" s="11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</row>
    <row r="121">
      <c r="A121" s="13">
        <f>IF(B121="","","INS-"&amp;TEXT(ROW()-3,"000"))</f>
        <v/>
      </c>
      <c r="B121" s="11" t="n"/>
      <c r="C121" s="7">
        <f>IF(B121="","",ISOWEEKNUM(B121))</f>
        <v/>
      </c>
      <c r="D121" s="7">
        <f>IF(B121="","",TEXT(B121,"yyyy-mm"))</f>
        <v/>
      </c>
      <c r="E121" s="12" t="n"/>
      <c r="F121" s="12" t="n"/>
      <c r="G121" s="7">
        <f>IF(OR(E121="",F121=""),"",IF(COUNTIF(Cluster_Master!$I$3:$I$17,E121&amp;"|"&amp;F121)=1,"Valid","Review"))</f>
        <v/>
      </c>
      <c r="H121" s="7">
        <f>IF($G121&lt;&gt;"Valid","",VLOOKUP($E121&amp;"|"&amp;$F121,Cluster_Master!$I$3:$H$17,3,FALSE))</f>
        <v/>
      </c>
      <c r="I121" s="7">
        <f>IF($G121&lt;&gt;"Valid","",VLOOKUP($E121&amp;"|"&amp;$F121,Cluster_Master!$I$3:$H$17,4,FALSE))</f>
        <v/>
      </c>
      <c r="J121" s="7">
        <f>IF($G121&lt;&gt;"Valid","",VLOOKUP($E121&amp;"|"&amp;$F121,Cluster_Master!$I$3:$H$17,5,FALSE))</f>
        <v/>
      </c>
      <c r="K121" s="7">
        <f>IF($G121&lt;&gt;"Valid","",VLOOKUP($E121&amp;"|"&amp;$F121,Cluster_Master!$I$3:$H$17,6,FALSE))</f>
        <v/>
      </c>
      <c r="L121" s="7">
        <f>IF($G121&lt;&gt;"Valid","",VLOOKUP($E121&amp;"|"&amp;$F121,Cluster_Master!$I$3:$H$17,7,FALSE))</f>
        <v/>
      </c>
      <c r="M121" s="7">
        <f>IF($G121&lt;&gt;"Valid","",VLOOKUP($E121&amp;"|"&amp;$F121,Cluster_Master!$I$3:$H$17,8,FALSE))</f>
        <v/>
      </c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7">
        <f>IF(COUNT(T121:AH121)=0,"",SUM(T121:AH121))</f>
        <v/>
      </c>
      <c r="AJ121" s="10">
        <f>IF(AI121="","",AI121/75)</f>
        <v/>
      </c>
      <c r="AK121" s="10">
        <f>IF(AI121="","",SUMPRODUCT(T121:AH121,KPI_Weights!$B$3:$B$17)/5)</f>
        <v/>
      </c>
      <c r="AL121" s="7">
        <f>IF(COUNT(T121:AH121)=0,"",IF(OR(T121&lt;=1,W121&lt;=1,X121&lt;=1,Y121&lt;=1,AB121&lt;=1),"YES","NO"))</f>
        <v/>
      </c>
      <c r="AM121" s="7">
        <f>IF(AK121="","",IF(AND(AK121="NO",AJ121&gt;=0.85),"YES","NO"))</f>
        <v/>
      </c>
      <c r="AN121" s="7">
        <f>IF(AJ121="","",IF(AJ121&gt;=0.90,"Excellent",IF(AJ121&gt;=0.80,"Good",IF(AJ121&gt;=0.70,"Fair","Poor"))))</f>
        <v/>
      </c>
      <c r="AO121" s="12" t="n"/>
      <c r="AP121" s="12" t="n"/>
      <c r="AQ121" s="12" t="n"/>
      <c r="AR121" s="12" t="n"/>
      <c r="AS121" s="12" t="n"/>
      <c r="AT121" s="12" t="n"/>
      <c r="AU121" s="12" t="n"/>
      <c r="AV121" s="11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</row>
    <row r="122">
      <c r="A122" s="13">
        <f>IF(B122="","","INS-"&amp;TEXT(ROW()-3,"000"))</f>
        <v/>
      </c>
      <c r="B122" s="11" t="n"/>
      <c r="C122" s="7">
        <f>IF(B122="","",ISOWEEKNUM(B122))</f>
        <v/>
      </c>
      <c r="D122" s="7">
        <f>IF(B122="","",TEXT(B122,"yyyy-mm"))</f>
        <v/>
      </c>
      <c r="E122" s="12" t="n"/>
      <c r="F122" s="12" t="n"/>
      <c r="G122" s="7">
        <f>IF(OR(E122="",F122=""),"",IF(COUNTIF(Cluster_Master!$I$3:$I$17,E122&amp;"|"&amp;F122)=1,"Valid","Review"))</f>
        <v/>
      </c>
      <c r="H122" s="7">
        <f>IF($G122&lt;&gt;"Valid","",VLOOKUP($E122&amp;"|"&amp;$F122,Cluster_Master!$I$3:$H$17,3,FALSE))</f>
        <v/>
      </c>
      <c r="I122" s="7">
        <f>IF($G122&lt;&gt;"Valid","",VLOOKUP($E122&amp;"|"&amp;$F122,Cluster_Master!$I$3:$H$17,4,FALSE))</f>
        <v/>
      </c>
      <c r="J122" s="7">
        <f>IF($G122&lt;&gt;"Valid","",VLOOKUP($E122&amp;"|"&amp;$F122,Cluster_Master!$I$3:$H$17,5,FALSE))</f>
        <v/>
      </c>
      <c r="K122" s="7">
        <f>IF($G122&lt;&gt;"Valid","",VLOOKUP($E122&amp;"|"&amp;$F122,Cluster_Master!$I$3:$H$17,6,FALSE))</f>
        <v/>
      </c>
      <c r="L122" s="7">
        <f>IF($G122&lt;&gt;"Valid","",VLOOKUP($E122&amp;"|"&amp;$F122,Cluster_Master!$I$3:$H$17,7,FALSE))</f>
        <v/>
      </c>
      <c r="M122" s="7">
        <f>IF($G122&lt;&gt;"Valid","",VLOOKUP($E122&amp;"|"&amp;$F122,Cluster_Master!$I$3:$H$17,8,FALSE))</f>
        <v/>
      </c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7">
        <f>IF(COUNT(T122:AH122)=0,"",SUM(T122:AH122))</f>
        <v/>
      </c>
      <c r="AJ122" s="10">
        <f>IF(AI122="","",AI122/75)</f>
        <v/>
      </c>
      <c r="AK122" s="10">
        <f>IF(AI122="","",SUMPRODUCT(T122:AH122,KPI_Weights!$B$3:$B$17)/5)</f>
        <v/>
      </c>
      <c r="AL122" s="7">
        <f>IF(COUNT(T122:AH122)=0,"",IF(OR(T122&lt;=1,W122&lt;=1,X122&lt;=1,Y122&lt;=1,AB122&lt;=1),"YES","NO"))</f>
        <v/>
      </c>
      <c r="AM122" s="7">
        <f>IF(AK122="","",IF(AND(AK122="NO",AJ122&gt;=0.85),"YES","NO"))</f>
        <v/>
      </c>
      <c r="AN122" s="7">
        <f>IF(AJ122="","",IF(AJ122&gt;=0.90,"Excellent",IF(AJ122&gt;=0.80,"Good",IF(AJ122&gt;=0.70,"Fair","Poor"))))</f>
        <v/>
      </c>
      <c r="AO122" s="12" t="n"/>
      <c r="AP122" s="12" t="n"/>
      <c r="AQ122" s="12" t="n"/>
      <c r="AR122" s="12" t="n"/>
      <c r="AS122" s="12" t="n"/>
      <c r="AT122" s="12" t="n"/>
      <c r="AU122" s="12" t="n"/>
      <c r="AV122" s="11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</row>
    <row r="123">
      <c r="A123" s="13">
        <f>IF(B123="","","INS-"&amp;TEXT(ROW()-3,"000"))</f>
        <v/>
      </c>
      <c r="B123" s="11" t="n"/>
      <c r="C123" s="7">
        <f>IF(B123="","",ISOWEEKNUM(B123))</f>
        <v/>
      </c>
      <c r="D123" s="7">
        <f>IF(B123="","",TEXT(B123,"yyyy-mm"))</f>
        <v/>
      </c>
      <c r="E123" s="12" t="n"/>
      <c r="F123" s="12" t="n"/>
      <c r="G123" s="7">
        <f>IF(OR(E123="",F123=""),"",IF(COUNTIF(Cluster_Master!$I$3:$I$17,E123&amp;"|"&amp;F123)=1,"Valid","Review"))</f>
        <v/>
      </c>
      <c r="H123" s="7">
        <f>IF($G123&lt;&gt;"Valid","",VLOOKUP($E123&amp;"|"&amp;$F123,Cluster_Master!$I$3:$H$17,3,FALSE))</f>
        <v/>
      </c>
      <c r="I123" s="7">
        <f>IF($G123&lt;&gt;"Valid","",VLOOKUP($E123&amp;"|"&amp;$F123,Cluster_Master!$I$3:$H$17,4,FALSE))</f>
        <v/>
      </c>
      <c r="J123" s="7">
        <f>IF($G123&lt;&gt;"Valid","",VLOOKUP($E123&amp;"|"&amp;$F123,Cluster_Master!$I$3:$H$17,5,FALSE))</f>
        <v/>
      </c>
      <c r="K123" s="7">
        <f>IF($G123&lt;&gt;"Valid","",VLOOKUP($E123&amp;"|"&amp;$F123,Cluster_Master!$I$3:$H$17,6,FALSE))</f>
        <v/>
      </c>
      <c r="L123" s="7">
        <f>IF($G123&lt;&gt;"Valid","",VLOOKUP($E123&amp;"|"&amp;$F123,Cluster_Master!$I$3:$H$17,7,FALSE))</f>
        <v/>
      </c>
      <c r="M123" s="7">
        <f>IF($G123&lt;&gt;"Valid","",VLOOKUP($E123&amp;"|"&amp;$F123,Cluster_Master!$I$3:$H$17,8,FALSE))</f>
        <v/>
      </c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7">
        <f>IF(COUNT(T123:AH123)=0,"",SUM(T123:AH123))</f>
        <v/>
      </c>
      <c r="AJ123" s="10">
        <f>IF(AI123="","",AI123/75)</f>
        <v/>
      </c>
      <c r="AK123" s="10">
        <f>IF(AI123="","",SUMPRODUCT(T123:AH123,KPI_Weights!$B$3:$B$17)/5)</f>
        <v/>
      </c>
      <c r="AL123" s="7">
        <f>IF(COUNT(T123:AH123)=0,"",IF(OR(T123&lt;=1,W123&lt;=1,X123&lt;=1,Y123&lt;=1,AB123&lt;=1),"YES","NO"))</f>
        <v/>
      </c>
      <c r="AM123" s="7">
        <f>IF(AK123="","",IF(AND(AK123="NO",AJ123&gt;=0.85),"YES","NO"))</f>
        <v/>
      </c>
      <c r="AN123" s="7">
        <f>IF(AJ123="","",IF(AJ123&gt;=0.90,"Excellent",IF(AJ123&gt;=0.80,"Good",IF(AJ123&gt;=0.70,"Fair","Poor"))))</f>
        <v/>
      </c>
      <c r="AO123" s="12" t="n"/>
      <c r="AP123" s="12" t="n"/>
      <c r="AQ123" s="12" t="n"/>
      <c r="AR123" s="12" t="n"/>
      <c r="AS123" s="12" t="n"/>
      <c r="AT123" s="12" t="n"/>
      <c r="AU123" s="12" t="n"/>
      <c r="AV123" s="11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</row>
    <row r="124">
      <c r="A124" s="13">
        <f>IF(B124="","","INS-"&amp;TEXT(ROW()-3,"000"))</f>
        <v/>
      </c>
      <c r="B124" s="11" t="n"/>
      <c r="C124" s="7">
        <f>IF(B124="","",ISOWEEKNUM(B124))</f>
        <v/>
      </c>
      <c r="D124" s="7">
        <f>IF(B124="","",TEXT(B124,"yyyy-mm"))</f>
        <v/>
      </c>
      <c r="E124" s="12" t="n"/>
      <c r="F124" s="12" t="n"/>
      <c r="G124" s="7">
        <f>IF(OR(E124="",F124=""),"",IF(COUNTIF(Cluster_Master!$I$3:$I$17,E124&amp;"|"&amp;F124)=1,"Valid","Review"))</f>
        <v/>
      </c>
      <c r="H124" s="7">
        <f>IF($G124&lt;&gt;"Valid","",VLOOKUP($E124&amp;"|"&amp;$F124,Cluster_Master!$I$3:$H$17,3,FALSE))</f>
        <v/>
      </c>
      <c r="I124" s="7">
        <f>IF($G124&lt;&gt;"Valid","",VLOOKUP($E124&amp;"|"&amp;$F124,Cluster_Master!$I$3:$H$17,4,FALSE))</f>
        <v/>
      </c>
      <c r="J124" s="7">
        <f>IF($G124&lt;&gt;"Valid","",VLOOKUP($E124&amp;"|"&amp;$F124,Cluster_Master!$I$3:$H$17,5,FALSE))</f>
        <v/>
      </c>
      <c r="K124" s="7">
        <f>IF($G124&lt;&gt;"Valid","",VLOOKUP($E124&amp;"|"&amp;$F124,Cluster_Master!$I$3:$H$17,6,FALSE))</f>
        <v/>
      </c>
      <c r="L124" s="7">
        <f>IF($G124&lt;&gt;"Valid","",VLOOKUP($E124&amp;"|"&amp;$F124,Cluster_Master!$I$3:$H$17,7,FALSE))</f>
        <v/>
      </c>
      <c r="M124" s="7">
        <f>IF($G124&lt;&gt;"Valid","",VLOOKUP($E124&amp;"|"&amp;$F124,Cluster_Master!$I$3:$H$17,8,FALSE))</f>
        <v/>
      </c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7">
        <f>IF(COUNT(T124:AH124)=0,"",SUM(T124:AH124))</f>
        <v/>
      </c>
      <c r="AJ124" s="10">
        <f>IF(AI124="","",AI124/75)</f>
        <v/>
      </c>
      <c r="AK124" s="10">
        <f>IF(AI124="","",SUMPRODUCT(T124:AH124,KPI_Weights!$B$3:$B$17)/5)</f>
        <v/>
      </c>
      <c r="AL124" s="7">
        <f>IF(COUNT(T124:AH124)=0,"",IF(OR(T124&lt;=1,W124&lt;=1,X124&lt;=1,Y124&lt;=1,AB124&lt;=1),"YES","NO"))</f>
        <v/>
      </c>
      <c r="AM124" s="7">
        <f>IF(AK124="","",IF(AND(AK124="NO",AJ124&gt;=0.85),"YES","NO"))</f>
        <v/>
      </c>
      <c r="AN124" s="7">
        <f>IF(AJ124="","",IF(AJ124&gt;=0.90,"Excellent",IF(AJ124&gt;=0.80,"Good",IF(AJ124&gt;=0.70,"Fair","Poor"))))</f>
        <v/>
      </c>
      <c r="AO124" s="12" t="n"/>
      <c r="AP124" s="12" t="n"/>
      <c r="AQ124" s="12" t="n"/>
      <c r="AR124" s="12" t="n"/>
      <c r="AS124" s="12" t="n"/>
      <c r="AT124" s="12" t="n"/>
      <c r="AU124" s="12" t="n"/>
      <c r="AV124" s="11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</row>
    <row r="125">
      <c r="A125" s="13">
        <f>IF(B125="","","INS-"&amp;TEXT(ROW()-3,"000"))</f>
        <v/>
      </c>
      <c r="B125" s="11" t="n"/>
      <c r="C125" s="7">
        <f>IF(B125="","",ISOWEEKNUM(B125))</f>
        <v/>
      </c>
      <c r="D125" s="7">
        <f>IF(B125="","",TEXT(B125,"yyyy-mm"))</f>
        <v/>
      </c>
      <c r="E125" s="12" t="n"/>
      <c r="F125" s="12" t="n"/>
      <c r="G125" s="7">
        <f>IF(OR(E125="",F125=""),"",IF(COUNTIF(Cluster_Master!$I$3:$I$17,E125&amp;"|"&amp;F125)=1,"Valid","Review"))</f>
        <v/>
      </c>
      <c r="H125" s="7">
        <f>IF($G125&lt;&gt;"Valid","",VLOOKUP($E125&amp;"|"&amp;$F125,Cluster_Master!$I$3:$H$17,3,FALSE))</f>
        <v/>
      </c>
      <c r="I125" s="7">
        <f>IF($G125&lt;&gt;"Valid","",VLOOKUP($E125&amp;"|"&amp;$F125,Cluster_Master!$I$3:$H$17,4,FALSE))</f>
        <v/>
      </c>
      <c r="J125" s="7">
        <f>IF($G125&lt;&gt;"Valid","",VLOOKUP($E125&amp;"|"&amp;$F125,Cluster_Master!$I$3:$H$17,5,FALSE))</f>
        <v/>
      </c>
      <c r="K125" s="7">
        <f>IF($G125&lt;&gt;"Valid","",VLOOKUP($E125&amp;"|"&amp;$F125,Cluster_Master!$I$3:$H$17,6,FALSE))</f>
        <v/>
      </c>
      <c r="L125" s="7">
        <f>IF($G125&lt;&gt;"Valid","",VLOOKUP($E125&amp;"|"&amp;$F125,Cluster_Master!$I$3:$H$17,7,FALSE))</f>
        <v/>
      </c>
      <c r="M125" s="7">
        <f>IF($G125&lt;&gt;"Valid","",VLOOKUP($E125&amp;"|"&amp;$F125,Cluster_Master!$I$3:$H$17,8,FALSE))</f>
        <v/>
      </c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7">
        <f>IF(COUNT(T125:AH125)=0,"",SUM(T125:AH125))</f>
        <v/>
      </c>
      <c r="AJ125" s="10">
        <f>IF(AI125="","",AI125/75)</f>
        <v/>
      </c>
      <c r="AK125" s="10">
        <f>IF(AI125="","",SUMPRODUCT(T125:AH125,KPI_Weights!$B$3:$B$17)/5)</f>
        <v/>
      </c>
      <c r="AL125" s="7">
        <f>IF(COUNT(T125:AH125)=0,"",IF(OR(T125&lt;=1,W125&lt;=1,X125&lt;=1,Y125&lt;=1,AB125&lt;=1),"YES","NO"))</f>
        <v/>
      </c>
      <c r="AM125" s="7">
        <f>IF(AK125="","",IF(AND(AK125="NO",AJ125&gt;=0.85),"YES","NO"))</f>
        <v/>
      </c>
      <c r="AN125" s="7">
        <f>IF(AJ125="","",IF(AJ125&gt;=0.90,"Excellent",IF(AJ125&gt;=0.80,"Good",IF(AJ125&gt;=0.70,"Fair","Poor"))))</f>
        <v/>
      </c>
      <c r="AO125" s="12" t="n"/>
      <c r="AP125" s="12" t="n"/>
      <c r="AQ125" s="12" t="n"/>
      <c r="AR125" s="12" t="n"/>
      <c r="AS125" s="12" t="n"/>
      <c r="AT125" s="12" t="n"/>
      <c r="AU125" s="12" t="n"/>
      <c r="AV125" s="11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</row>
    <row r="126">
      <c r="A126" s="13">
        <f>IF(B126="","","INS-"&amp;TEXT(ROW()-3,"000"))</f>
        <v/>
      </c>
      <c r="B126" s="11" t="n"/>
      <c r="C126" s="7">
        <f>IF(B126="","",ISOWEEKNUM(B126))</f>
        <v/>
      </c>
      <c r="D126" s="7">
        <f>IF(B126="","",TEXT(B126,"yyyy-mm"))</f>
        <v/>
      </c>
      <c r="E126" s="12" t="n"/>
      <c r="F126" s="12" t="n"/>
      <c r="G126" s="7">
        <f>IF(OR(E126="",F126=""),"",IF(COUNTIF(Cluster_Master!$I$3:$I$17,E126&amp;"|"&amp;F126)=1,"Valid","Review"))</f>
        <v/>
      </c>
      <c r="H126" s="7">
        <f>IF($G126&lt;&gt;"Valid","",VLOOKUP($E126&amp;"|"&amp;$F126,Cluster_Master!$I$3:$H$17,3,FALSE))</f>
        <v/>
      </c>
      <c r="I126" s="7">
        <f>IF($G126&lt;&gt;"Valid","",VLOOKUP($E126&amp;"|"&amp;$F126,Cluster_Master!$I$3:$H$17,4,FALSE))</f>
        <v/>
      </c>
      <c r="J126" s="7">
        <f>IF($G126&lt;&gt;"Valid","",VLOOKUP($E126&amp;"|"&amp;$F126,Cluster_Master!$I$3:$H$17,5,FALSE))</f>
        <v/>
      </c>
      <c r="K126" s="7">
        <f>IF($G126&lt;&gt;"Valid","",VLOOKUP($E126&amp;"|"&amp;$F126,Cluster_Master!$I$3:$H$17,6,FALSE))</f>
        <v/>
      </c>
      <c r="L126" s="7">
        <f>IF($G126&lt;&gt;"Valid","",VLOOKUP($E126&amp;"|"&amp;$F126,Cluster_Master!$I$3:$H$17,7,FALSE))</f>
        <v/>
      </c>
      <c r="M126" s="7">
        <f>IF($G126&lt;&gt;"Valid","",VLOOKUP($E126&amp;"|"&amp;$F126,Cluster_Master!$I$3:$H$17,8,FALSE))</f>
        <v/>
      </c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7">
        <f>IF(COUNT(T126:AH126)=0,"",SUM(T126:AH126))</f>
        <v/>
      </c>
      <c r="AJ126" s="10">
        <f>IF(AI126="","",AI126/75)</f>
        <v/>
      </c>
      <c r="AK126" s="10">
        <f>IF(AI126="","",SUMPRODUCT(T126:AH126,KPI_Weights!$B$3:$B$17)/5)</f>
        <v/>
      </c>
      <c r="AL126" s="7">
        <f>IF(COUNT(T126:AH126)=0,"",IF(OR(T126&lt;=1,W126&lt;=1,X126&lt;=1,Y126&lt;=1,AB126&lt;=1),"YES","NO"))</f>
        <v/>
      </c>
      <c r="AM126" s="7">
        <f>IF(AK126="","",IF(AND(AK126="NO",AJ126&gt;=0.85),"YES","NO"))</f>
        <v/>
      </c>
      <c r="AN126" s="7">
        <f>IF(AJ126="","",IF(AJ126&gt;=0.90,"Excellent",IF(AJ126&gt;=0.80,"Good",IF(AJ126&gt;=0.70,"Fair","Poor"))))</f>
        <v/>
      </c>
      <c r="AO126" s="12" t="n"/>
      <c r="AP126" s="12" t="n"/>
      <c r="AQ126" s="12" t="n"/>
      <c r="AR126" s="12" t="n"/>
      <c r="AS126" s="12" t="n"/>
      <c r="AT126" s="12" t="n"/>
      <c r="AU126" s="12" t="n"/>
      <c r="AV126" s="11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</row>
    <row r="127">
      <c r="A127" s="13">
        <f>IF(B127="","","INS-"&amp;TEXT(ROW()-3,"000"))</f>
        <v/>
      </c>
      <c r="B127" s="11" t="n"/>
      <c r="C127" s="7">
        <f>IF(B127="","",ISOWEEKNUM(B127))</f>
        <v/>
      </c>
      <c r="D127" s="7">
        <f>IF(B127="","",TEXT(B127,"yyyy-mm"))</f>
        <v/>
      </c>
      <c r="E127" s="12" t="n"/>
      <c r="F127" s="12" t="n"/>
      <c r="G127" s="7">
        <f>IF(OR(E127="",F127=""),"",IF(COUNTIF(Cluster_Master!$I$3:$I$17,E127&amp;"|"&amp;F127)=1,"Valid","Review"))</f>
        <v/>
      </c>
      <c r="H127" s="7">
        <f>IF($G127&lt;&gt;"Valid","",VLOOKUP($E127&amp;"|"&amp;$F127,Cluster_Master!$I$3:$H$17,3,FALSE))</f>
        <v/>
      </c>
      <c r="I127" s="7">
        <f>IF($G127&lt;&gt;"Valid","",VLOOKUP($E127&amp;"|"&amp;$F127,Cluster_Master!$I$3:$H$17,4,FALSE))</f>
        <v/>
      </c>
      <c r="J127" s="7">
        <f>IF($G127&lt;&gt;"Valid","",VLOOKUP($E127&amp;"|"&amp;$F127,Cluster_Master!$I$3:$H$17,5,FALSE))</f>
        <v/>
      </c>
      <c r="K127" s="7">
        <f>IF($G127&lt;&gt;"Valid","",VLOOKUP($E127&amp;"|"&amp;$F127,Cluster_Master!$I$3:$H$17,6,FALSE))</f>
        <v/>
      </c>
      <c r="L127" s="7">
        <f>IF($G127&lt;&gt;"Valid","",VLOOKUP($E127&amp;"|"&amp;$F127,Cluster_Master!$I$3:$H$17,7,FALSE))</f>
        <v/>
      </c>
      <c r="M127" s="7">
        <f>IF($G127&lt;&gt;"Valid","",VLOOKUP($E127&amp;"|"&amp;$F127,Cluster_Master!$I$3:$H$17,8,FALSE))</f>
        <v/>
      </c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7">
        <f>IF(COUNT(T127:AH127)=0,"",SUM(T127:AH127))</f>
        <v/>
      </c>
      <c r="AJ127" s="10">
        <f>IF(AI127="","",AI127/75)</f>
        <v/>
      </c>
      <c r="AK127" s="10">
        <f>IF(AI127="","",SUMPRODUCT(T127:AH127,KPI_Weights!$B$3:$B$17)/5)</f>
        <v/>
      </c>
      <c r="AL127" s="7">
        <f>IF(COUNT(T127:AH127)=0,"",IF(OR(T127&lt;=1,W127&lt;=1,X127&lt;=1,Y127&lt;=1,AB127&lt;=1),"YES","NO"))</f>
        <v/>
      </c>
      <c r="AM127" s="7">
        <f>IF(AK127="","",IF(AND(AK127="NO",AJ127&gt;=0.85),"YES","NO"))</f>
        <v/>
      </c>
      <c r="AN127" s="7">
        <f>IF(AJ127="","",IF(AJ127&gt;=0.90,"Excellent",IF(AJ127&gt;=0.80,"Good",IF(AJ127&gt;=0.70,"Fair","Poor"))))</f>
        <v/>
      </c>
      <c r="AO127" s="12" t="n"/>
      <c r="AP127" s="12" t="n"/>
      <c r="AQ127" s="12" t="n"/>
      <c r="AR127" s="12" t="n"/>
      <c r="AS127" s="12" t="n"/>
      <c r="AT127" s="12" t="n"/>
      <c r="AU127" s="12" t="n"/>
      <c r="AV127" s="11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</row>
    <row r="128">
      <c r="A128" s="13">
        <f>IF(B128="","","INS-"&amp;TEXT(ROW()-3,"000"))</f>
        <v/>
      </c>
      <c r="B128" s="11" t="n"/>
      <c r="C128" s="7">
        <f>IF(B128="","",ISOWEEKNUM(B128))</f>
        <v/>
      </c>
      <c r="D128" s="7">
        <f>IF(B128="","",TEXT(B128,"yyyy-mm"))</f>
        <v/>
      </c>
      <c r="E128" s="12" t="n"/>
      <c r="F128" s="12" t="n"/>
      <c r="G128" s="7">
        <f>IF(OR(E128="",F128=""),"",IF(COUNTIF(Cluster_Master!$I$3:$I$17,E128&amp;"|"&amp;F128)=1,"Valid","Review"))</f>
        <v/>
      </c>
      <c r="H128" s="7">
        <f>IF($G128&lt;&gt;"Valid","",VLOOKUP($E128&amp;"|"&amp;$F128,Cluster_Master!$I$3:$H$17,3,FALSE))</f>
        <v/>
      </c>
      <c r="I128" s="7">
        <f>IF($G128&lt;&gt;"Valid","",VLOOKUP($E128&amp;"|"&amp;$F128,Cluster_Master!$I$3:$H$17,4,FALSE))</f>
        <v/>
      </c>
      <c r="J128" s="7">
        <f>IF($G128&lt;&gt;"Valid","",VLOOKUP($E128&amp;"|"&amp;$F128,Cluster_Master!$I$3:$H$17,5,FALSE))</f>
        <v/>
      </c>
      <c r="K128" s="7">
        <f>IF($G128&lt;&gt;"Valid","",VLOOKUP($E128&amp;"|"&amp;$F128,Cluster_Master!$I$3:$H$17,6,FALSE))</f>
        <v/>
      </c>
      <c r="L128" s="7">
        <f>IF($G128&lt;&gt;"Valid","",VLOOKUP($E128&amp;"|"&amp;$F128,Cluster_Master!$I$3:$H$17,7,FALSE))</f>
        <v/>
      </c>
      <c r="M128" s="7">
        <f>IF($G128&lt;&gt;"Valid","",VLOOKUP($E128&amp;"|"&amp;$F128,Cluster_Master!$I$3:$H$17,8,FALSE))</f>
        <v/>
      </c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7">
        <f>IF(COUNT(T128:AH128)=0,"",SUM(T128:AH128))</f>
        <v/>
      </c>
      <c r="AJ128" s="10">
        <f>IF(AI128="","",AI128/75)</f>
        <v/>
      </c>
      <c r="AK128" s="10">
        <f>IF(AI128="","",SUMPRODUCT(T128:AH128,KPI_Weights!$B$3:$B$17)/5)</f>
        <v/>
      </c>
      <c r="AL128" s="7">
        <f>IF(COUNT(T128:AH128)=0,"",IF(OR(T128&lt;=1,W128&lt;=1,X128&lt;=1,Y128&lt;=1,AB128&lt;=1),"YES","NO"))</f>
        <v/>
      </c>
      <c r="AM128" s="7">
        <f>IF(AK128="","",IF(AND(AK128="NO",AJ128&gt;=0.85),"YES","NO"))</f>
        <v/>
      </c>
      <c r="AN128" s="7">
        <f>IF(AJ128="","",IF(AJ128&gt;=0.90,"Excellent",IF(AJ128&gt;=0.80,"Good",IF(AJ128&gt;=0.70,"Fair","Poor"))))</f>
        <v/>
      </c>
      <c r="AO128" s="12" t="n"/>
      <c r="AP128" s="12" t="n"/>
      <c r="AQ128" s="12" t="n"/>
      <c r="AR128" s="12" t="n"/>
      <c r="AS128" s="12" t="n"/>
      <c r="AT128" s="12" t="n"/>
      <c r="AU128" s="12" t="n"/>
      <c r="AV128" s="11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</row>
    <row r="129">
      <c r="A129" s="13">
        <f>IF(B129="","","INS-"&amp;TEXT(ROW()-3,"000"))</f>
        <v/>
      </c>
      <c r="B129" s="11" t="n"/>
      <c r="C129" s="7">
        <f>IF(B129="","",ISOWEEKNUM(B129))</f>
        <v/>
      </c>
      <c r="D129" s="7">
        <f>IF(B129="","",TEXT(B129,"yyyy-mm"))</f>
        <v/>
      </c>
      <c r="E129" s="12" t="n"/>
      <c r="F129" s="12" t="n"/>
      <c r="G129" s="7">
        <f>IF(OR(E129="",F129=""),"",IF(COUNTIF(Cluster_Master!$I$3:$I$17,E129&amp;"|"&amp;F129)=1,"Valid","Review"))</f>
        <v/>
      </c>
      <c r="H129" s="7">
        <f>IF($G129&lt;&gt;"Valid","",VLOOKUP($E129&amp;"|"&amp;$F129,Cluster_Master!$I$3:$H$17,3,FALSE))</f>
        <v/>
      </c>
      <c r="I129" s="7">
        <f>IF($G129&lt;&gt;"Valid","",VLOOKUP($E129&amp;"|"&amp;$F129,Cluster_Master!$I$3:$H$17,4,FALSE))</f>
        <v/>
      </c>
      <c r="J129" s="7">
        <f>IF($G129&lt;&gt;"Valid","",VLOOKUP($E129&amp;"|"&amp;$F129,Cluster_Master!$I$3:$H$17,5,FALSE))</f>
        <v/>
      </c>
      <c r="K129" s="7">
        <f>IF($G129&lt;&gt;"Valid","",VLOOKUP($E129&amp;"|"&amp;$F129,Cluster_Master!$I$3:$H$17,6,FALSE))</f>
        <v/>
      </c>
      <c r="L129" s="7">
        <f>IF($G129&lt;&gt;"Valid","",VLOOKUP($E129&amp;"|"&amp;$F129,Cluster_Master!$I$3:$H$17,7,FALSE))</f>
        <v/>
      </c>
      <c r="M129" s="7">
        <f>IF($G129&lt;&gt;"Valid","",VLOOKUP($E129&amp;"|"&amp;$F129,Cluster_Master!$I$3:$H$17,8,FALSE))</f>
        <v/>
      </c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7">
        <f>IF(COUNT(T129:AH129)=0,"",SUM(T129:AH129))</f>
        <v/>
      </c>
      <c r="AJ129" s="10">
        <f>IF(AI129="","",AI129/75)</f>
        <v/>
      </c>
      <c r="AK129" s="10">
        <f>IF(AI129="","",SUMPRODUCT(T129:AH129,KPI_Weights!$B$3:$B$17)/5)</f>
        <v/>
      </c>
      <c r="AL129" s="7">
        <f>IF(COUNT(T129:AH129)=0,"",IF(OR(T129&lt;=1,W129&lt;=1,X129&lt;=1,Y129&lt;=1,AB129&lt;=1),"YES","NO"))</f>
        <v/>
      </c>
      <c r="AM129" s="7">
        <f>IF(AK129="","",IF(AND(AK129="NO",AJ129&gt;=0.85),"YES","NO"))</f>
        <v/>
      </c>
      <c r="AN129" s="7">
        <f>IF(AJ129="","",IF(AJ129&gt;=0.90,"Excellent",IF(AJ129&gt;=0.80,"Good",IF(AJ129&gt;=0.70,"Fair","Poor"))))</f>
        <v/>
      </c>
      <c r="AO129" s="12" t="n"/>
      <c r="AP129" s="12" t="n"/>
      <c r="AQ129" s="12" t="n"/>
      <c r="AR129" s="12" t="n"/>
      <c r="AS129" s="12" t="n"/>
      <c r="AT129" s="12" t="n"/>
      <c r="AU129" s="12" t="n"/>
      <c r="AV129" s="11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</row>
    <row r="130">
      <c r="A130" s="13">
        <f>IF(B130="","","INS-"&amp;TEXT(ROW()-3,"000"))</f>
        <v/>
      </c>
      <c r="B130" s="11" t="n"/>
      <c r="C130" s="7">
        <f>IF(B130="","",ISOWEEKNUM(B130))</f>
        <v/>
      </c>
      <c r="D130" s="7">
        <f>IF(B130="","",TEXT(B130,"yyyy-mm"))</f>
        <v/>
      </c>
      <c r="E130" s="12" t="n"/>
      <c r="F130" s="12" t="n"/>
      <c r="G130" s="7">
        <f>IF(OR(E130="",F130=""),"",IF(COUNTIF(Cluster_Master!$I$3:$I$17,E130&amp;"|"&amp;F130)=1,"Valid","Review"))</f>
        <v/>
      </c>
      <c r="H130" s="7">
        <f>IF($G130&lt;&gt;"Valid","",VLOOKUP($E130&amp;"|"&amp;$F130,Cluster_Master!$I$3:$H$17,3,FALSE))</f>
        <v/>
      </c>
      <c r="I130" s="7">
        <f>IF($G130&lt;&gt;"Valid","",VLOOKUP($E130&amp;"|"&amp;$F130,Cluster_Master!$I$3:$H$17,4,FALSE))</f>
        <v/>
      </c>
      <c r="J130" s="7">
        <f>IF($G130&lt;&gt;"Valid","",VLOOKUP($E130&amp;"|"&amp;$F130,Cluster_Master!$I$3:$H$17,5,FALSE))</f>
        <v/>
      </c>
      <c r="K130" s="7">
        <f>IF($G130&lt;&gt;"Valid","",VLOOKUP($E130&amp;"|"&amp;$F130,Cluster_Master!$I$3:$H$17,6,FALSE))</f>
        <v/>
      </c>
      <c r="L130" s="7">
        <f>IF($G130&lt;&gt;"Valid","",VLOOKUP($E130&amp;"|"&amp;$F130,Cluster_Master!$I$3:$H$17,7,FALSE))</f>
        <v/>
      </c>
      <c r="M130" s="7">
        <f>IF($G130&lt;&gt;"Valid","",VLOOKUP($E130&amp;"|"&amp;$F130,Cluster_Master!$I$3:$H$17,8,FALSE))</f>
        <v/>
      </c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7">
        <f>IF(COUNT(T130:AH130)=0,"",SUM(T130:AH130))</f>
        <v/>
      </c>
      <c r="AJ130" s="10">
        <f>IF(AI130="","",AI130/75)</f>
        <v/>
      </c>
      <c r="AK130" s="10">
        <f>IF(AI130="","",SUMPRODUCT(T130:AH130,KPI_Weights!$B$3:$B$17)/5)</f>
        <v/>
      </c>
      <c r="AL130" s="7">
        <f>IF(COUNT(T130:AH130)=0,"",IF(OR(T130&lt;=1,W130&lt;=1,X130&lt;=1,Y130&lt;=1,AB130&lt;=1),"YES","NO"))</f>
        <v/>
      </c>
      <c r="AM130" s="7">
        <f>IF(AK130="","",IF(AND(AK130="NO",AJ130&gt;=0.85),"YES","NO"))</f>
        <v/>
      </c>
      <c r="AN130" s="7">
        <f>IF(AJ130="","",IF(AJ130&gt;=0.90,"Excellent",IF(AJ130&gt;=0.80,"Good",IF(AJ130&gt;=0.70,"Fair","Poor"))))</f>
        <v/>
      </c>
      <c r="AO130" s="12" t="n"/>
      <c r="AP130" s="12" t="n"/>
      <c r="AQ130" s="12" t="n"/>
      <c r="AR130" s="12" t="n"/>
      <c r="AS130" s="12" t="n"/>
      <c r="AT130" s="12" t="n"/>
      <c r="AU130" s="12" t="n"/>
      <c r="AV130" s="11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</row>
    <row r="131">
      <c r="A131" s="13">
        <f>IF(B131="","","INS-"&amp;TEXT(ROW()-3,"000"))</f>
        <v/>
      </c>
      <c r="B131" s="11" t="n"/>
      <c r="C131" s="7">
        <f>IF(B131="","",ISOWEEKNUM(B131))</f>
        <v/>
      </c>
      <c r="D131" s="7">
        <f>IF(B131="","",TEXT(B131,"yyyy-mm"))</f>
        <v/>
      </c>
      <c r="E131" s="12" t="n"/>
      <c r="F131" s="12" t="n"/>
      <c r="G131" s="7">
        <f>IF(OR(E131="",F131=""),"",IF(COUNTIF(Cluster_Master!$I$3:$I$17,E131&amp;"|"&amp;F131)=1,"Valid","Review"))</f>
        <v/>
      </c>
      <c r="H131" s="7">
        <f>IF($G131&lt;&gt;"Valid","",VLOOKUP($E131&amp;"|"&amp;$F131,Cluster_Master!$I$3:$H$17,3,FALSE))</f>
        <v/>
      </c>
      <c r="I131" s="7">
        <f>IF($G131&lt;&gt;"Valid","",VLOOKUP($E131&amp;"|"&amp;$F131,Cluster_Master!$I$3:$H$17,4,FALSE))</f>
        <v/>
      </c>
      <c r="J131" s="7">
        <f>IF($G131&lt;&gt;"Valid","",VLOOKUP($E131&amp;"|"&amp;$F131,Cluster_Master!$I$3:$H$17,5,FALSE))</f>
        <v/>
      </c>
      <c r="K131" s="7">
        <f>IF($G131&lt;&gt;"Valid","",VLOOKUP($E131&amp;"|"&amp;$F131,Cluster_Master!$I$3:$H$17,6,FALSE))</f>
        <v/>
      </c>
      <c r="L131" s="7">
        <f>IF($G131&lt;&gt;"Valid","",VLOOKUP($E131&amp;"|"&amp;$F131,Cluster_Master!$I$3:$H$17,7,FALSE))</f>
        <v/>
      </c>
      <c r="M131" s="7">
        <f>IF($G131&lt;&gt;"Valid","",VLOOKUP($E131&amp;"|"&amp;$F131,Cluster_Master!$I$3:$H$17,8,FALSE))</f>
        <v/>
      </c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7">
        <f>IF(COUNT(T131:AH131)=0,"",SUM(T131:AH131))</f>
        <v/>
      </c>
      <c r="AJ131" s="10">
        <f>IF(AI131="","",AI131/75)</f>
        <v/>
      </c>
      <c r="AK131" s="10">
        <f>IF(AI131="","",SUMPRODUCT(T131:AH131,KPI_Weights!$B$3:$B$17)/5)</f>
        <v/>
      </c>
      <c r="AL131" s="7">
        <f>IF(COUNT(T131:AH131)=0,"",IF(OR(T131&lt;=1,W131&lt;=1,X131&lt;=1,Y131&lt;=1,AB131&lt;=1),"YES","NO"))</f>
        <v/>
      </c>
      <c r="AM131" s="7">
        <f>IF(AK131="","",IF(AND(AK131="NO",AJ131&gt;=0.85),"YES","NO"))</f>
        <v/>
      </c>
      <c r="AN131" s="7">
        <f>IF(AJ131="","",IF(AJ131&gt;=0.90,"Excellent",IF(AJ131&gt;=0.80,"Good",IF(AJ131&gt;=0.70,"Fair","Poor"))))</f>
        <v/>
      </c>
      <c r="AO131" s="12" t="n"/>
      <c r="AP131" s="12" t="n"/>
      <c r="AQ131" s="12" t="n"/>
      <c r="AR131" s="12" t="n"/>
      <c r="AS131" s="12" t="n"/>
      <c r="AT131" s="12" t="n"/>
      <c r="AU131" s="12" t="n"/>
      <c r="AV131" s="11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</row>
    <row r="132">
      <c r="A132" s="13">
        <f>IF(B132="","","INS-"&amp;TEXT(ROW()-3,"000"))</f>
        <v/>
      </c>
      <c r="B132" s="11" t="n"/>
      <c r="C132" s="7">
        <f>IF(B132="","",ISOWEEKNUM(B132))</f>
        <v/>
      </c>
      <c r="D132" s="7">
        <f>IF(B132="","",TEXT(B132,"yyyy-mm"))</f>
        <v/>
      </c>
      <c r="E132" s="12" t="n"/>
      <c r="F132" s="12" t="n"/>
      <c r="G132" s="7">
        <f>IF(OR(E132="",F132=""),"",IF(COUNTIF(Cluster_Master!$I$3:$I$17,E132&amp;"|"&amp;F132)=1,"Valid","Review"))</f>
        <v/>
      </c>
      <c r="H132" s="7">
        <f>IF($G132&lt;&gt;"Valid","",VLOOKUP($E132&amp;"|"&amp;$F132,Cluster_Master!$I$3:$H$17,3,FALSE))</f>
        <v/>
      </c>
      <c r="I132" s="7">
        <f>IF($G132&lt;&gt;"Valid","",VLOOKUP($E132&amp;"|"&amp;$F132,Cluster_Master!$I$3:$H$17,4,FALSE))</f>
        <v/>
      </c>
      <c r="J132" s="7">
        <f>IF($G132&lt;&gt;"Valid","",VLOOKUP($E132&amp;"|"&amp;$F132,Cluster_Master!$I$3:$H$17,5,FALSE))</f>
        <v/>
      </c>
      <c r="K132" s="7">
        <f>IF($G132&lt;&gt;"Valid","",VLOOKUP($E132&amp;"|"&amp;$F132,Cluster_Master!$I$3:$H$17,6,FALSE))</f>
        <v/>
      </c>
      <c r="L132" s="7">
        <f>IF($G132&lt;&gt;"Valid","",VLOOKUP($E132&amp;"|"&amp;$F132,Cluster_Master!$I$3:$H$17,7,FALSE))</f>
        <v/>
      </c>
      <c r="M132" s="7">
        <f>IF($G132&lt;&gt;"Valid","",VLOOKUP($E132&amp;"|"&amp;$F132,Cluster_Master!$I$3:$H$17,8,FALSE))</f>
        <v/>
      </c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7">
        <f>IF(COUNT(T132:AH132)=0,"",SUM(T132:AH132))</f>
        <v/>
      </c>
      <c r="AJ132" s="10">
        <f>IF(AI132="","",AI132/75)</f>
        <v/>
      </c>
      <c r="AK132" s="10">
        <f>IF(AI132="","",SUMPRODUCT(T132:AH132,KPI_Weights!$B$3:$B$17)/5)</f>
        <v/>
      </c>
      <c r="AL132" s="7">
        <f>IF(COUNT(T132:AH132)=0,"",IF(OR(T132&lt;=1,W132&lt;=1,X132&lt;=1,Y132&lt;=1,AB132&lt;=1),"YES","NO"))</f>
        <v/>
      </c>
      <c r="AM132" s="7">
        <f>IF(AK132="","",IF(AND(AK132="NO",AJ132&gt;=0.85),"YES","NO"))</f>
        <v/>
      </c>
      <c r="AN132" s="7">
        <f>IF(AJ132="","",IF(AJ132&gt;=0.90,"Excellent",IF(AJ132&gt;=0.80,"Good",IF(AJ132&gt;=0.70,"Fair","Poor"))))</f>
        <v/>
      </c>
      <c r="AO132" s="12" t="n"/>
      <c r="AP132" s="12" t="n"/>
      <c r="AQ132" s="12" t="n"/>
      <c r="AR132" s="12" t="n"/>
      <c r="AS132" s="12" t="n"/>
      <c r="AT132" s="12" t="n"/>
      <c r="AU132" s="12" t="n"/>
      <c r="AV132" s="11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</row>
    <row r="133">
      <c r="A133" s="13">
        <f>IF(B133="","","INS-"&amp;TEXT(ROW()-3,"000"))</f>
        <v/>
      </c>
      <c r="B133" s="11" t="n"/>
      <c r="C133" s="7">
        <f>IF(B133="","",ISOWEEKNUM(B133))</f>
        <v/>
      </c>
      <c r="D133" s="7">
        <f>IF(B133="","",TEXT(B133,"yyyy-mm"))</f>
        <v/>
      </c>
      <c r="E133" s="12" t="n"/>
      <c r="F133" s="12" t="n"/>
      <c r="G133" s="7">
        <f>IF(OR(E133="",F133=""),"",IF(COUNTIF(Cluster_Master!$I$3:$I$17,E133&amp;"|"&amp;F133)=1,"Valid","Review"))</f>
        <v/>
      </c>
      <c r="H133" s="7">
        <f>IF($G133&lt;&gt;"Valid","",VLOOKUP($E133&amp;"|"&amp;$F133,Cluster_Master!$I$3:$H$17,3,FALSE))</f>
        <v/>
      </c>
      <c r="I133" s="7">
        <f>IF($G133&lt;&gt;"Valid","",VLOOKUP($E133&amp;"|"&amp;$F133,Cluster_Master!$I$3:$H$17,4,FALSE))</f>
        <v/>
      </c>
      <c r="J133" s="7">
        <f>IF($G133&lt;&gt;"Valid","",VLOOKUP($E133&amp;"|"&amp;$F133,Cluster_Master!$I$3:$H$17,5,FALSE))</f>
        <v/>
      </c>
      <c r="K133" s="7">
        <f>IF($G133&lt;&gt;"Valid","",VLOOKUP($E133&amp;"|"&amp;$F133,Cluster_Master!$I$3:$H$17,6,FALSE))</f>
        <v/>
      </c>
      <c r="L133" s="7">
        <f>IF($G133&lt;&gt;"Valid","",VLOOKUP($E133&amp;"|"&amp;$F133,Cluster_Master!$I$3:$H$17,7,FALSE))</f>
        <v/>
      </c>
      <c r="M133" s="7">
        <f>IF($G133&lt;&gt;"Valid","",VLOOKUP($E133&amp;"|"&amp;$F133,Cluster_Master!$I$3:$H$17,8,FALSE))</f>
        <v/>
      </c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7">
        <f>IF(COUNT(T133:AH133)=0,"",SUM(T133:AH133))</f>
        <v/>
      </c>
      <c r="AJ133" s="10">
        <f>IF(AI133="","",AI133/75)</f>
        <v/>
      </c>
      <c r="AK133" s="10">
        <f>IF(AI133="","",SUMPRODUCT(T133:AH133,KPI_Weights!$B$3:$B$17)/5)</f>
        <v/>
      </c>
      <c r="AL133" s="7">
        <f>IF(COUNT(T133:AH133)=0,"",IF(OR(T133&lt;=1,W133&lt;=1,X133&lt;=1,Y133&lt;=1,AB133&lt;=1),"YES","NO"))</f>
        <v/>
      </c>
      <c r="AM133" s="7">
        <f>IF(AK133="","",IF(AND(AK133="NO",AJ133&gt;=0.85),"YES","NO"))</f>
        <v/>
      </c>
      <c r="AN133" s="7">
        <f>IF(AJ133="","",IF(AJ133&gt;=0.90,"Excellent",IF(AJ133&gt;=0.80,"Good",IF(AJ133&gt;=0.70,"Fair","Poor"))))</f>
        <v/>
      </c>
      <c r="AO133" s="12" t="n"/>
      <c r="AP133" s="12" t="n"/>
      <c r="AQ133" s="12" t="n"/>
      <c r="AR133" s="12" t="n"/>
      <c r="AS133" s="12" t="n"/>
      <c r="AT133" s="12" t="n"/>
      <c r="AU133" s="12" t="n"/>
      <c r="AV133" s="11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</row>
    <row r="134">
      <c r="A134" s="13">
        <f>IF(B134="","","INS-"&amp;TEXT(ROW()-3,"000"))</f>
        <v/>
      </c>
      <c r="B134" s="11" t="n"/>
      <c r="C134" s="7">
        <f>IF(B134="","",ISOWEEKNUM(B134))</f>
        <v/>
      </c>
      <c r="D134" s="7">
        <f>IF(B134="","",TEXT(B134,"yyyy-mm"))</f>
        <v/>
      </c>
      <c r="E134" s="12" t="n"/>
      <c r="F134" s="12" t="n"/>
      <c r="G134" s="7">
        <f>IF(OR(E134="",F134=""),"",IF(COUNTIF(Cluster_Master!$I$3:$I$17,E134&amp;"|"&amp;F134)=1,"Valid","Review"))</f>
        <v/>
      </c>
      <c r="H134" s="7">
        <f>IF($G134&lt;&gt;"Valid","",VLOOKUP($E134&amp;"|"&amp;$F134,Cluster_Master!$I$3:$H$17,3,FALSE))</f>
        <v/>
      </c>
      <c r="I134" s="7">
        <f>IF($G134&lt;&gt;"Valid","",VLOOKUP($E134&amp;"|"&amp;$F134,Cluster_Master!$I$3:$H$17,4,FALSE))</f>
        <v/>
      </c>
      <c r="J134" s="7">
        <f>IF($G134&lt;&gt;"Valid","",VLOOKUP($E134&amp;"|"&amp;$F134,Cluster_Master!$I$3:$H$17,5,FALSE))</f>
        <v/>
      </c>
      <c r="K134" s="7">
        <f>IF($G134&lt;&gt;"Valid","",VLOOKUP($E134&amp;"|"&amp;$F134,Cluster_Master!$I$3:$H$17,6,FALSE))</f>
        <v/>
      </c>
      <c r="L134" s="7">
        <f>IF($G134&lt;&gt;"Valid","",VLOOKUP($E134&amp;"|"&amp;$F134,Cluster_Master!$I$3:$H$17,7,FALSE))</f>
        <v/>
      </c>
      <c r="M134" s="7">
        <f>IF($G134&lt;&gt;"Valid","",VLOOKUP($E134&amp;"|"&amp;$F134,Cluster_Master!$I$3:$H$17,8,FALSE))</f>
        <v/>
      </c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7">
        <f>IF(COUNT(T134:AH134)=0,"",SUM(T134:AH134))</f>
        <v/>
      </c>
      <c r="AJ134" s="10">
        <f>IF(AI134="","",AI134/75)</f>
        <v/>
      </c>
      <c r="AK134" s="10">
        <f>IF(AI134="","",SUMPRODUCT(T134:AH134,KPI_Weights!$B$3:$B$17)/5)</f>
        <v/>
      </c>
      <c r="AL134" s="7">
        <f>IF(COUNT(T134:AH134)=0,"",IF(OR(T134&lt;=1,W134&lt;=1,X134&lt;=1,Y134&lt;=1,AB134&lt;=1),"YES","NO"))</f>
        <v/>
      </c>
      <c r="AM134" s="7">
        <f>IF(AK134="","",IF(AND(AK134="NO",AJ134&gt;=0.85),"YES","NO"))</f>
        <v/>
      </c>
      <c r="AN134" s="7">
        <f>IF(AJ134="","",IF(AJ134&gt;=0.90,"Excellent",IF(AJ134&gt;=0.80,"Good",IF(AJ134&gt;=0.70,"Fair","Poor"))))</f>
        <v/>
      </c>
      <c r="AO134" s="12" t="n"/>
      <c r="AP134" s="12" t="n"/>
      <c r="AQ134" s="12" t="n"/>
      <c r="AR134" s="12" t="n"/>
      <c r="AS134" s="12" t="n"/>
      <c r="AT134" s="12" t="n"/>
      <c r="AU134" s="12" t="n"/>
      <c r="AV134" s="11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</row>
    <row r="135">
      <c r="A135" s="13">
        <f>IF(B135="","","INS-"&amp;TEXT(ROW()-3,"000"))</f>
        <v/>
      </c>
      <c r="B135" s="11" t="n"/>
      <c r="C135" s="7">
        <f>IF(B135="","",ISOWEEKNUM(B135))</f>
        <v/>
      </c>
      <c r="D135" s="7">
        <f>IF(B135="","",TEXT(B135,"yyyy-mm"))</f>
        <v/>
      </c>
      <c r="E135" s="12" t="n"/>
      <c r="F135" s="12" t="n"/>
      <c r="G135" s="7">
        <f>IF(OR(E135="",F135=""),"",IF(COUNTIF(Cluster_Master!$I$3:$I$17,E135&amp;"|"&amp;F135)=1,"Valid","Review"))</f>
        <v/>
      </c>
      <c r="H135" s="7">
        <f>IF($G135&lt;&gt;"Valid","",VLOOKUP($E135&amp;"|"&amp;$F135,Cluster_Master!$I$3:$H$17,3,FALSE))</f>
        <v/>
      </c>
      <c r="I135" s="7">
        <f>IF($G135&lt;&gt;"Valid","",VLOOKUP($E135&amp;"|"&amp;$F135,Cluster_Master!$I$3:$H$17,4,FALSE))</f>
        <v/>
      </c>
      <c r="J135" s="7">
        <f>IF($G135&lt;&gt;"Valid","",VLOOKUP($E135&amp;"|"&amp;$F135,Cluster_Master!$I$3:$H$17,5,FALSE))</f>
        <v/>
      </c>
      <c r="K135" s="7">
        <f>IF($G135&lt;&gt;"Valid","",VLOOKUP($E135&amp;"|"&amp;$F135,Cluster_Master!$I$3:$H$17,6,FALSE))</f>
        <v/>
      </c>
      <c r="L135" s="7">
        <f>IF($G135&lt;&gt;"Valid","",VLOOKUP($E135&amp;"|"&amp;$F135,Cluster_Master!$I$3:$H$17,7,FALSE))</f>
        <v/>
      </c>
      <c r="M135" s="7">
        <f>IF($G135&lt;&gt;"Valid","",VLOOKUP($E135&amp;"|"&amp;$F135,Cluster_Master!$I$3:$H$17,8,FALSE))</f>
        <v/>
      </c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7">
        <f>IF(COUNT(T135:AH135)=0,"",SUM(T135:AH135))</f>
        <v/>
      </c>
      <c r="AJ135" s="10">
        <f>IF(AI135="","",AI135/75)</f>
        <v/>
      </c>
      <c r="AK135" s="10">
        <f>IF(AI135="","",SUMPRODUCT(T135:AH135,KPI_Weights!$B$3:$B$17)/5)</f>
        <v/>
      </c>
      <c r="AL135" s="7">
        <f>IF(COUNT(T135:AH135)=0,"",IF(OR(T135&lt;=1,W135&lt;=1,X135&lt;=1,Y135&lt;=1,AB135&lt;=1),"YES","NO"))</f>
        <v/>
      </c>
      <c r="AM135" s="7">
        <f>IF(AK135="","",IF(AND(AK135="NO",AJ135&gt;=0.85),"YES","NO"))</f>
        <v/>
      </c>
      <c r="AN135" s="7">
        <f>IF(AJ135="","",IF(AJ135&gt;=0.90,"Excellent",IF(AJ135&gt;=0.80,"Good",IF(AJ135&gt;=0.70,"Fair","Poor"))))</f>
        <v/>
      </c>
      <c r="AO135" s="12" t="n"/>
      <c r="AP135" s="12" t="n"/>
      <c r="AQ135" s="12" t="n"/>
      <c r="AR135" s="12" t="n"/>
      <c r="AS135" s="12" t="n"/>
      <c r="AT135" s="12" t="n"/>
      <c r="AU135" s="12" t="n"/>
      <c r="AV135" s="11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</row>
    <row r="136">
      <c r="A136" s="13">
        <f>IF(B136="","","INS-"&amp;TEXT(ROW()-3,"000"))</f>
        <v/>
      </c>
      <c r="B136" s="11" t="n"/>
      <c r="C136" s="7">
        <f>IF(B136="","",ISOWEEKNUM(B136))</f>
        <v/>
      </c>
      <c r="D136" s="7">
        <f>IF(B136="","",TEXT(B136,"yyyy-mm"))</f>
        <v/>
      </c>
      <c r="E136" s="12" t="n"/>
      <c r="F136" s="12" t="n"/>
      <c r="G136" s="7">
        <f>IF(OR(E136="",F136=""),"",IF(COUNTIF(Cluster_Master!$I$3:$I$17,E136&amp;"|"&amp;F136)=1,"Valid","Review"))</f>
        <v/>
      </c>
      <c r="H136" s="7">
        <f>IF($G136&lt;&gt;"Valid","",VLOOKUP($E136&amp;"|"&amp;$F136,Cluster_Master!$I$3:$H$17,3,FALSE))</f>
        <v/>
      </c>
      <c r="I136" s="7">
        <f>IF($G136&lt;&gt;"Valid","",VLOOKUP($E136&amp;"|"&amp;$F136,Cluster_Master!$I$3:$H$17,4,FALSE))</f>
        <v/>
      </c>
      <c r="J136" s="7">
        <f>IF($G136&lt;&gt;"Valid","",VLOOKUP($E136&amp;"|"&amp;$F136,Cluster_Master!$I$3:$H$17,5,FALSE))</f>
        <v/>
      </c>
      <c r="K136" s="7">
        <f>IF($G136&lt;&gt;"Valid","",VLOOKUP($E136&amp;"|"&amp;$F136,Cluster_Master!$I$3:$H$17,6,FALSE))</f>
        <v/>
      </c>
      <c r="L136" s="7">
        <f>IF($G136&lt;&gt;"Valid","",VLOOKUP($E136&amp;"|"&amp;$F136,Cluster_Master!$I$3:$H$17,7,FALSE))</f>
        <v/>
      </c>
      <c r="M136" s="7">
        <f>IF($G136&lt;&gt;"Valid","",VLOOKUP($E136&amp;"|"&amp;$F136,Cluster_Master!$I$3:$H$17,8,FALSE))</f>
        <v/>
      </c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7">
        <f>IF(COUNT(T136:AH136)=0,"",SUM(T136:AH136))</f>
        <v/>
      </c>
      <c r="AJ136" s="10">
        <f>IF(AI136="","",AI136/75)</f>
        <v/>
      </c>
      <c r="AK136" s="10">
        <f>IF(AI136="","",SUMPRODUCT(T136:AH136,KPI_Weights!$B$3:$B$17)/5)</f>
        <v/>
      </c>
      <c r="AL136" s="7">
        <f>IF(COUNT(T136:AH136)=0,"",IF(OR(T136&lt;=1,W136&lt;=1,X136&lt;=1,Y136&lt;=1,AB136&lt;=1),"YES","NO"))</f>
        <v/>
      </c>
      <c r="AM136" s="7">
        <f>IF(AK136="","",IF(AND(AK136="NO",AJ136&gt;=0.85),"YES","NO"))</f>
        <v/>
      </c>
      <c r="AN136" s="7">
        <f>IF(AJ136="","",IF(AJ136&gt;=0.90,"Excellent",IF(AJ136&gt;=0.80,"Good",IF(AJ136&gt;=0.70,"Fair","Poor"))))</f>
        <v/>
      </c>
      <c r="AO136" s="12" t="n"/>
      <c r="AP136" s="12" t="n"/>
      <c r="AQ136" s="12" t="n"/>
      <c r="AR136" s="12" t="n"/>
      <c r="AS136" s="12" t="n"/>
      <c r="AT136" s="12" t="n"/>
      <c r="AU136" s="12" t="n"/>
      <c r="AV136" s="11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</row>
    <row r="137">
      <c r="A137" s="13">
        <f>IF(B137="","","INS-"&amp;TEXT(ROW()-3,"000"))</f>
        <v/>
      </c>
      <c r="B137" s="11" t="n"/>
      <c r="C137" s="7">
        <f>IF(B137="","",ISOWEEKNUM(B137))</f>
        <v/>
      </c>
      <c r="D137" s="7">
        <f>IF(B137="","",TEXT(B137,"yyyy-mm"))</f>
        <v/>
      </c>
      <c r="E137" s="12" t="n"/>
      <c r="F137" s="12" t="n"/>
      <c r="G137" s="7">
        <f>IF(OR(E137="",F137=""),"",IF(COUNTIF(Cluster_Master!$I$3:$I$17,E137&amp;"|"&amp;F137)=1,"Valid","Review"))</f>
        <v/>
      </c>
      <c r="H137" s="7">
        <f>IF($G137&lt;&gt;"Valid","",VLOOKUP($E137&amp;"|"&amp;$F137,Cluster_Master!$I$3:$H$17,3,FALSE))</f>
        <v/>
      </c>
      <c r="I137" s="7">
        <f>IF($G137&lt;&gt;"Valid","",VLOOKUP($E137&amp;"|"&amp;$F137,Cluster_Master!$I$3:$H$17,4,FALSE))</f>
        <v/>
      </c>
      <c r="J137" s="7">
        <f>IF($G137&lt;&gt;"Valid","",VLOOKUP($E137&amp;"|"&amp;$F137,Cluster_Master!$I$3:$H$17,5,FALSE))</f>
        <v/>
      </c>
      <c r="K137" s="7">
        <f>IF($G137&lt;&gt;"Valid","",VLOOKUP($E137&amp;"|"&amp;$F137,Cluster_Master!$I$3:$H$17,6,FALSE))</f>
        <v/>
      </c>
      <c r="L137" s="7">
        <f>IF($G137&lt;&gt;"Valid","",VLOOKUP($E137&amp;"|"&amp;$F137,Cluster_Master!$I$3:$H$17,7,FALSE))</f>
        <v/>
      </c>
      <c r="M137" s="7">
        <f>IF($G137&lt;&gt;"Valid","",VLOOKUP($E137&amp;"|"&amp;$F137,Cluster_Master!$I$3:$H$17,8,FALSE))</f>
        <v/>
      </c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7">
        <f>IF(COUNT(T137:AH137)=0,"",SUM(T137:AH137))</f>
        <v/>
      </c>
      <c r="AJ137" s="10">
        <f>IF(AI137="","",AI137/75)</f>
        <v/>
      </c>
      <c r="AK137" s="10">
        <f>IF(AI137="","",SUMPRODUCT(T137:AH137,KPI_Weights!$B$3:$B$17)/5)</f>
        <v/>
      </c>
      <c r="AL137" s="7">
        <f>IF(COUNT(T137:AH137)=0,"",IF(OR(T137&lt;=1,W137&lt;=1,X137&lt;=1,Y137&lt;=1,AB137&lt;=1),"YES","NO"))</f>
        <v/>
      </c>
      <c r="AM137" s="7">
        <f>IF(AK137="","",IF(AND(AK137="NO",AJ137&gt;=0.85),"YES","NO"))</f>
        <v/>
      </c>
      <c r="AN137" s="7">
        <f>IF(AJ137="","",IF(AJ137&gt;=0.90,"Excellent",IF(AJ137&gt;=0.80,"Good",IF(AJ137&gt;=0.70,"Fair","Poor"))))</f>
        <v/>
      </c>
      <c r="AO137" s="12" t="n"/>
      <c r="AP137" s="12" t="n"/>
      <c r="AQ137" s="12" t="n"/>
      <c r="AR137" s="12" t="n"/>
      <c r="AS137" s="12" t="n"/>
      <c r="AT137" s="12" t="n"/>
      <c r="AU137" s="12" t="n"/>
      <c r="AV137" s="11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</row>
    <row r="138">
      <c r="A138" s="13">
        <f>IF(B138="","","INS-"&amp;TEXT(ROW()-3,"000"))</f>
        <v/>
      </c>
      <c r="B138" s="11" t="n"/>
      <c r="C138" s="7">
        <f>IF(B138="","",ISOWEEKNUM(B138))</f>
        <v/>
      </c>
      <c r="D138" s="7">
        <f>IF(B138="","",TEXT(B138,"yyyy-mm"))</f>
        <v/>
      </c>
      <c r="E138" s="12" t="n"/>
      <c r="F138" s="12" t="n"/>
      <c r="G138" s="7">
        <f>IF(OR(E138="",F138=""),"",IF(COUNTIF(Cluster_Master!$I$3:$I$17,E138&amp;"|"&amp;F138)=1,"Valid","Review"))</f>
        <v/>
      </c>
      <c r="H138" s="7">
        <f>IF($G138&lt;&gt;"Valid","",VLOOKUP($E138&amp;"|"&amp;$F138,Cluster_Master!$I$3:$H$17,3,FALSE))</f>
        <v/>
      </c>
      <c r="I138" s="7">
        <f>IF($G138&lt;&gt;"Valid","",VLOOKUP($E138&amp;"|"&amp;$F138,Cluster_Master!$I$3:$H$17,4,FALSE))</f>
        <v/>
      </c>
      <c r="J138" s="7">
        <f>IF($G138&lt;&gt;"Valid","",VLOOKUP($E138&amp;"|"&amp;$F138,Cluster_Master!$I$3:$H$17,5,FALSE))</f>
        <v/>
      </c>
      <c r="K138" s="7">
        <f>IF($G138&lt;&gt;"Valid","",VLOOKUP($E138&amp;"|"&amp;$F138,Cluster_Master!$I$3:$H$17,6,FALSE))</f>
        <v/>
      </c>
      <c r="L138" s="7">
        <f>IF($G138&lt;&gt;"Valid","",VLOOKUP($E138&amp;"|"&amp;$F138,Cluster_Master!$I$3:$H$17,7,FALSE))</f>
        <v/>
      </c>
      <c r="M138" s="7">
        <f>IF($G138&lt;&gt;"Valid","",VLOOKUP($E138&amp;"|"&amp;$F138,Cluster_Master!$I$3:$H$17,8,FALSE))</f>
        <v/>
      </c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7">
        <f>IF(COUNT(T138:AH138)=0,"",SUM(T138:AH138))</f>
        <v/>
      </c>
      <c r="AJ138" s="10">
        <f>IF(AI138="","",AI138/75)</f>
        <v/>
      </c>
      <c r="AK138" s="10">
        <f>IF(AI138="","",SUMPRODUCT(T138:AH138,KPI_Weights!$B$3:$B$17)/5)</f>
        <v/>
      </c>
      <c r="AL138" s="7">
        <f>IF(COUNT(T138:AH138)=0,"",IF(OR(T138&lt;=1,W138&lt;=1,X138&lt;=1,Y138&lt;=1,AB138&lt;=1),"YES","NO"))</f>
        <v/>
      </c>
      <c r="AM138" s="7">
        <f>IF(AK138="","",IF(AND(AK138="NO",AJ138&gt;=0.85),"YES","NO"))</f>
        <v/>
      </c>
      <c r="AN138" s="7">
        <f>IF(AJ138="","",IF(AJ138&gt;=0.90,"Excellent",IF(AJ138&gt;=0.80,"Good",IF(AJ138&gt;=0.70,"Fair","Poor"))))</f>
        <v/>
      </c>
      <c r="AO138" s="12" t="n"/>
      <c r="AP138" s="12" t="n"/>
      <c r="AQ138" s="12" t="n"/>
      <c r="AR138" s="12" t="n"/>
      <c r="AS138" s="12" t="n"/>
      <c r="AT138" s="12" t="n"/>
      <c r="AU138" s="12" t="n"/>
      <c r="AV138" s="11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</row>
    <row r="139">
      <c r="A139" s="13">
        <f>IF(B139="","","INS-"&amp;TEXT(ROW()-3,"000"))</f>
        <v/>
      </c>
      <c r="B139" s="11" t="n"/>
      <c r="C139" s="7">
        <f>IF(B139="","",ISOWEEKNUM(B139))</f>
        <v/>
      </c>
      <c r="D139" s="7">
        <f>IF(B139="","",TEXT(B139,"yyyy-mm"))</f>
        <v/>
      </c>
      <c r="E139" s="12" t="n"/>
      <c r="F139" s="12" t="n"/>
      <c r="G139" s="7">
        <f>IF(OR(E139="",F139=""),"",IF(COUNTIF(Cluster_Master!$I$3:$I$17,E139&amp;"|"&amp;F139)=1,"Valid","Review"))</f>
        <v/>
      </c>
      <c r="H139" s="7">
        <f>IF($G139&lt;&gt;"Valid","",VLOOKUP($E139&amp;"|"&amp;$F139,Cluster_Master!$I$3:$H$17,3,FALSE))</f>
        <v/>
      </c>
      <c r="I139" s="7">
        <f>IF($G139&lt;&gt;"Valid","",VLOOKUP($E139&amp;"|"&amp;$F139,Cluster_Master!$I$3:$H$17,4,FALSE))</f>
        <v/>
      </c>
      <c r="J139" s="7">
        <f>IF($G139&lt;&gt;"Valid","",VLOOKUP($E139&amp;"|"&amp;$F139,Cluster_Master!$I$3:$H$17,5,FALSE))</f>
        <v/>
      </c>
      <c r="K139" s="7">
        <f>IF($G139&lt;&gt;"Valid","",VLOOKUP($E139&amp;"|"&amp;$F139,Cluster_Master!$I$3:$H$17,6,FALSE))</f>
        <v/>
      </c>
      <c r="L139" s="7">
        <f>IF($G139&lt;&gt;"Valid","",VLOOKUP($E139&amp;"|"&amp;$F139,Cluster_Master!$I$3:$H$17,7,FALSE))</f>
        <v/>
      </c>
      <c r="M139" s="7">
        <f>IF($G139&lt;&gt;"Valid","",VLOOKUP($E139&amp;"|"&amp;$F139,Cluster_Master!$I$3:$H$17,8,FALSE))</f>
        <v/>
      </c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7">
        <f>IF(COUNT(T139:AH139)=0,"",SUM(T139:AH139))</f>
        <v/>
      </c>
      <c r="AJ139" s="10">
        <f>IF(AI139="","",AI139/75)</f>
        <v/>
      </c>
      <c r="AK139" s="10">
        <f>IF(AI139="","",SUMPRODUCT(T139:AH139,KPI_Weights!$B$3:$B$17)/5)</f>
        <v/>
      </c>
      <c r="AL139" s="7">
        <f>IF(COUNT(T139:AH139)=0,"",IF(OR(T139&lt;=1,W139&lt;=1,X139&lt;=1,Y139&lt;=1,AB139&lt;=1),"YES","NO"))</f>
        <v/>
      </c>
      <c r="AM139" s="7">
        <f>IF(AK139="","",IF(AND(AK139="NO",AJ139&gt;=0.85),"YES","NO"))</f>
        <v/>
      </c>
      <c r="AN139" s="7">
        <f>IF(AJ139="","",IF(AJ139&gt;=0.90,"Excellent",IF(AJ139&gt;=0.80,"Good",IF(AJ139&gt;=0.70,"Fair","Poor"))))</f>
        <v/>
      </c>
      <c r="AO139" s="12" t="n"/>
      <c r="AP139" s="12" t="n"/>
      <c r="AQ139" s="12" t="n"/>
      <c r="AR139" s="12" t="n"/>
      <c r="AS139" s="12" t="n"/>
      <c r="AT139" s="12" t="n"/>
      <c r="AU139" s="12" t="n"/>
      <c r="AV139" s="11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</row>
    <row r="140">
      <c r="A140" s="13">
        <f>IF(B140="","","INS-"&amp;TEXT(ROW()-3,"000"))</f>
        <v/>
      </c>
      <c r="B140" s="11" t="n"/>
      <c r="C140" s="7">
        <f>IF(B140="","",ISOWEEKNUM(B140))</f>
        <v/>
      </c>
      <c r="D140" s="7">
        <f>IF(B140="","",TEXT(B140,"yyyy-mm"))</f>
        <v/>
      </c>
      <c r="E140" s="12" t="n"/>
      <c r="F140" s="12" t="n"/>
      <c r="G140" s="7">
        <f>IF(OR(E140="",F140=""),"",IF(COUNTIF(Cluster_Master!$I$3:$I$17,E140&amp;"|"&amp;F140)=1,"Valid","Review"))</f>
        <v/>
      </c>
      <c r="H140" s="7">
        <f>IF($G140&lt;&gt;"Valid","",VLOOKUP($E140&amp;"|"&amp;$F140,Cluster_Master!$I$3:$H$17,3,FALSE))</f>
        <v/>
      </c>
      <c r="I140" s="7">
        <f>IF($G140&lt;&gt;"Valid","",VLOOKUP($E140&amp;"|"&amp;$F140,Cluster_Master!$I$3:$H$17,4,FALSE))</f>
        <v/>
      </c>
      <c r="J140" s="7">
        <f>IF($G140&lt;&gt;"Valid","",VLOOKUP($E140&amp;"|"&amp;$F140,Cluster_Master!$I$3:$H$17,5,FALSE))</f>
        <v/>
      </c>
      <c r="K140" s="7">
        <f>IF($G140&lt;&gt;"Valid","",VLOOKUP($E140&amp;"|"&amp;$F140,Cluster_Master!$I$3:$H$17,6,FALSE))</f>
        <v/>
      </c>
      <c r="L140" s="7">
        <f>IF($G140&lt;&gt;"Valid","",VLOOKUP($E140&amp;"|"&amp;$F140,Cluster_Master!$I$3:$H$17,7,FALSE))</f>
        <v/>
      </c>
      <c r="M140" s="7">
        <f>IF($G140&lt;&gt;"Valid","",VLOOKUP($E140&amp;"|"&amp;$F140,Cluster_Master!$I$3:$H$17,8,FALSE))</f>
        <v/>
      </c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7">
        <f>IF(COUNT(T140:AH140)=0,"",SUM(T140:AH140))</f>
        <v/>
      </c>
      <c r="AJ140" s="10">
        <f>IF(AI140="","",AI140/75)</f>
        <v/>
      </c>
      <c r="AK140" s="10">
        <f>IF(AI140="","",SUMPRODUCT(T140:AH140,KPI_Weights!$B$3:$B$17)/5)</f>
        <v/>
      </c>
      <c r="AL140" s="7">
        <f>IF(COUNT(T140:AH140)=0,"",IF(OR(T140&lt;=1,W140&lt;=1,X140&lt;=1,Y140&lt;=1,AB140&lt;=1),"YES","NO"))</f>
        <v/>
      </c>
      <c r="AM140" s="7">
        <f>IF(AK140="","",IF(AND(AK140="NO",AJ140&gt;=0.85),"YES","NO"))</f>
        <v/>
      </c>
      <c r="AN140" s="7">
        <f>IF(AJ140="","",IF(AJ140&gt;=0.90,"Excellent",IF(AJ140&gt;=0.80,"Good",IF(AJ140&gt;=0.70,"Fair","Poor"))))</f>
        <v/>
      </c>
      <c r="AO140" s="12" t="n"/>
      <c r="AP140" s="12" t="n"/>
      <c r="AQ140" s="12" t="n"/>
      <c r="AR140" s="12" t="n"/>
      <c r="AS140" s="12" t="n"/>
      <c r="AT140" s="12" t="n"/>
      <c r="AU140" s="12" t="n"/>
      <c r="AV140" s="11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</row>
    <row r="141">
      <c r="A141" s="13">
        <f>IF(B141="","","INS-"&amp;TEXT(ROW()-3,"000"))</f>
        <v/>
      </c>
      <c r="B141" s="11" t="n"/>
      <c r="C141" s="7">
        <f>IF(B141="","",ISOWEEKNUM(B141))</f>
        <v/>
      </c>
      <c r="D141" s="7">
        <f>IF(B141="","",TEXT(B141,"yyyy-mm"))</f>
        <v/>
      </c>
      <c r="E141" s="12" t="n"/>
      <c r="F141" s="12" t="n"/>
      <c r="G141" s="7">
        <f>IF(OR(E141="",F141=""),"",IF(COUNTIF(Cluster_Master!$I$3:$I$17,E141&amp;"|"&amp;F141)=1,"Valid","Review"))</f>
        <v/>
      </c>
      <c r="H141" s="7">
        <f>IF($G141&lt;&gt;"Valid","",VLOOKUP($E141&amp;"|"&amp;$F141,Cluster_Master!$I$3:$H$17,3,FALSE))</f>
        <v/>
      </c>
      <c r="I141" s="7">
        <f>IF($G141&lt;&gt;"Valid","",VLOOKUP($E141&amp;"|"&amp;$F141,Cluster_Master!$I$3:$H$17,4,FALSE))</f>
        <v/>
      </c>
      <c r="J141" s="7">
        <f>IF($G141&lt;&gt;"Valid","",VLOOKUP($E141&amp;"|"&amp;$F141,Cluster_Master!$I$3:$H$17,5,FALSE))</f>
        <v/>
      </c>
      <c r="K141" s="7">
        <f>IF($G141&lt;&gt;"Valid","",VLOOKUP($E141&amp;"|"&amp;$F141,Cluster_Master!$I$3:$H$17,6,FALSE))</f>
        <v/>
      </c>
      <c r="L141" s="7">
        <f>IF($G141&lt;&gt;"Valid","",VLOOKUP($E141&amp;"|"&amp;$F141,Cluster_Master!$I$3:$H$17,7,FALSE))</f>
        <v/>
      </c>
      <c r="M141" s="7">
        <f>IF($G141&lt;&gt;"Valid","",VLOOKUP($E141&amp;"|"&amp;$F141,Cluster_Master!$I$3:$H$17,8,FALSE))</f>
        <v/>
      </c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7">
        <f>IF(COUNT(T141:AH141)=0,"",SUM(T141:AH141))</f>
        <v/>
      </c>
      <c r="AJ141" s="10">
        <f>IF(AI141="","",AI141/75)</f>
        <v/>
      </c>
      <c r="AK141" s="10">
        <f>IF(AI141="","",SUMPRODUCT(T141:AH141,KPI_Weights!$B$3:$B$17)/5)</f>
        <v/>
      </c>
      <c r="AL141" s="7">
        <f>IF(COUNT(T141:AH141)=0,"",IF(OR(T141&lt;=1,W141&lt;=1,X141&lt;=1,Y141&lt;=1,AB141&lt;=1),"YES","NO"))</f>
        <v/>
      </c>
      <c r="AM141" s="7">
        <f>IF(AK141="","",IF(AND(AK141="NO",AJ141&gt;=0.85),"YES","NO"))</f>
        <v/>
      </c>
      <c r="AN141" s="7">
        <f>IF(AJ141="","",IF(AJ141&gt;=0.90,"Excellent",IF(AJ141&gt;=0.80,"Good",IF(AJ141&gt;=0.70,"Fair","Poor"))))</f>
        <v/>
      </c>
      <c r="AO141" s="12" t="n"/>
      <c r="AP141" s="12" t="n"/>
      <c r="AQ141" s="12" t="n"/>
      <c r="AR141" s="12" t="n"/>
      <c r="AS141" s="12" t="n"/>
      <c r="AT141" s="12" t="n"/>
      <c r="AU141" s="12" t="n"/>
      <c r="AV141" s="11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</row>
    <row r="142">
      <c r="A142" s="13">
        <f>IF(B142="","","INS-"&amp;TEXT(ROW()-3,"000"))</f>
        <v/>
      </c>
      <c r="B142" s="11" t="n"/>
      <c r="C142" s="7">
        <f>IF(B142="","",ISOWEEKNUM(B142))</f>
        <v/>
      </c>
      <c r="D142" s="7">
        <f>IF(B142="","",TEXT(B142,"yyyy-mm"))</f>
        <v/>
      </c>
      <c r="E142" s="12" t="n"/>
      <c r="F142" s="12" t="n"/>
      <c r="G142" s="7">
        <f>IF(OR(E142="",F142=""),"",IF(COUNTIF(Cluster_Master!$I$3:$I$17,E142&amp;"|"&amp;F142)=1,"Valid","Review"))</f>
        <v/>
      </c>
      <c r="H142" s="7">
        <f>IF($G142&lt;&gt;"Valid","",VLOOKUP($E142&amp;"|"&amp;$F142,Cluster_Master!$I$3:$H$17,3,FALSE))</f>
        <v/>
      </c>
      <c r="I142" s="7">
        <f>IF($G142&lt;&gt;"Valid","",VLOOKUP($E142&amp;"|"&amp;$F142,Cluster_Master!$I$3:$H$17,4,FALSE))</f>
        <v/>
      </c>
      <c r="J142" s="7">
        <f>IF($G142&lt;&gt;"Valid","",VLOOKUP($E142&amp;"|"&amp;$F142,Cluster_Master!$I$3:$H$17,5,FALSE))</f>
        <v/>
      </c>
      <c r="K142" s="7">
        <f>IF($G142&lt;&gt;"Valid","",VLOOKUP($E142&amp;"|"&amp;$F142,Cluster_Master!$I$3:$H$17,6,FALSE))</f>
        <v/>
      </c>
      <c r="L142" s="7">
        <f>IF($G142&lt;&gt;"Valid","",VLOOKUP($E142&amp;"|"&amp;$F142,Cluster_Master!$I$3:$H$17,7,FALSE))</f>
        <v/>
      </c>
      <c r="M142" s="7">
        <f>IF($G142&lt;&gt;"Valid","",VLOOKUP($E142&amp;"|"&amp;$F142,Cluster_Master!$I$3:$H$17,8,FALSE))</f>
        <v/>
      </c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7">
        <f>IF(COUNT(T142:AH142)=0,"",SUM(T142:AH142))</f>
        <v/>
      </c>
      <c r="AJ142" s="10">
        <f>IF(AI142="","",AI142/75)</f>
        <v/>
      </c>
      <c r="AK142" s="10">
        <f>IF(AI142="","",SUMPRODUCT(T142:AH142,KPI_Weights!$B$3:$B$17)/5)</f>
        <v/>
      </c>
      <c r="AL142" s="7">
        <f>IF(COUNT(T142:AH142)=0,"",IF(OR(T142&lt;=1,W142&lt;=1,X142&lt;=1,Y142&lt;=1,AB142&lt;=1),"YES","NO"))</f>
        <v/>
      </c>
      <c r="AM142" s="7">
        <f>IF(AK142="","",IF(AND(AK142="NO",AJ142&gt;=0.85),"YES","NO"))</f>
        <v/>
      </c>
      <c r="AN142" s="7">
        <f>IF(AJ142="","",IF(AJ142&gt;=0.90,"Excellent",IF(AJ142&gt;=0.80,"Good",IF(AJ142&gt;=0.70,"Fair","Poor"))))</f>
        <v/>
      </c>
      <c r="AO142" s="12" t="n"/>
      <c r="AP142" s="12" t="n"/>
      <c r="AQ142" s="12" t="n"/>
      <c r="AR142" s="12" t="n"/>
      <c r="AS142" s="12" t="n"/>
      <c r="AT142" s="12" t="n"/>
      <c r="AU142" s="12" t="n"/>
      <c r="AV142" s="11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</row>
    <row r="143">
      <c r="A143" s="13">
        <f>IF(B143="","","INS-"&amp;TEXT(ROW()-3,"000"))</f>
        <v/>
      </c>
      <c r="B143" s="11" t="n"/>
      <c r="C143" s="7">
        <f>IF(B143="","",ISOWEEKNUM(B143))</f>
        <v/>
      </c>
      <c r="D143" s="7">
        <f>IF(B143="","",TEXT(B143,"yyyy-mm"))</f>
        <v/>
      </c>
      <c r="E143" s="12" t="n"/>
      <c r="F143" s="12" t="n"/>
      <c r="G143" s="7">
        <f>IF(OR(E143="",F143=""),"",IF(COUNTIF(Cluster_Master!$I$3:$I$17,E143&amp;"|"&amp;F143)=1,"Valid","Review"))</f>
        <v/>
      </c>
      <c r="H143" s="7">
        <f>IF($G143&lt;&gt;"Valid","",VLOOKUP($E143&amp;"|"&amp;$F143,Cluster_Master!$I$3:$H$17,3,FALSE))</f>
        <v/>
      </c>
      <c r="I143" s="7">
        <f>IF($G143&lt;&gt;"Valid","",VLOOKUP($E143&amp;"|"&amp;$F143,Cluster_Master!$I$3:$H$17,4,FALSE))</f>
        <v/>
      </c>
      <c r="J143" s="7">
        <f>IF($G143&lt;&gt;"Valid","",VLOOKUP($E143&amp;"|"&amp;$F143,Cluster_Master!$I$3:$H$17,5,FALSE))</f>
        <v/>
      </c>
      <c r="K143" s="7">
        <f>IF($G143&lt;&gt;"Valid","",VLOOKUP($E143&amp;"|"&amp;$F143,Cluster_Master!$I$3:$H$17,6,FALSE))</f>
        <v/>
      </c>
      <c r="L143" s="7">
        <f>IF($G143&lt;&gt;"Valid","",VLOOKUP($E143&amp;"|"&amp;$F143,Cluster_Master!$I$3:$H$17,7,FALSE))</f>
        <v/>
      </c>
      <c r="M143" s="7">
        <f>IF($G143&lt;&gt;"Valid","",VLOOKUP($E143&amp;"|"&amp;$F143,Cluster_Master!$I$3:$H$17,8,FALSE))</f>
        <v/>
      </c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7">
        <f>IF(COUNT(T143:AH143)=0,"",SUM(T143:AH143))</f>
        <v/>
      </c>
      <c r="AJ143" s="10">
        <f>IF(AI143="","",AI143/75)</f>
        <v/>
      </c>
      <c r="AK143" s="10">
        <f>IF(AI143="","",SUMPRODUCT(T143:AH143,KPI_Weights!$B$3:$B$17)/5)</f>
        <v/>
      </c>
      <c r="AL143" s="7">
        <f>IF(COUNT(T143:AH143)=0,"",IF(OR(T143&lt;=1,W143&lt;=1,X143&lt;=1,Y143&lt;=1,AB143&lt;=1),"YES","NO"))</f>
        <v/>
      </c>
      <c r="AM143" s="7">
        <f>IF(AK143="","",IF(AND(AK143="NO",AJ143&gt;=0.85),"YES","NO"))</f>
        <v/>
      </c>
      <c r="AN143" s="7">
        <f>IF(AJ143="","",IF(AJ143&gt;=0.90,"Excellent",IF(AJ143&gt;=0.80,"Good",IF(AJ143&gt;=0.70,"Fair","Poor"))))</f>
        <v/>
      </c>
      <c r="AO143" s="12" t="n"/>
      <c r="AP143" s="12" t="n"/>
      <c r="AQ143" s="12" t="n"/>
      <c r="AR143" s="12" t="n"/>
      <c r="AS143" s="12" t="n"/>
      <c r="AT143" s="12" t="n"/>
      <c r="AU143" s="12" t="n"/>
      <c r="AV143" s="11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</row>
    <row r="144">
      <c r="A144" s="13">
        <f>IF(B144="","","INS-"&amp;TEXT(ROW()-3,"000"))</f>
        <v/>
      </c>
      <c r="B144" s="11" t="n"/>
      <c r="C144" s="7">
        <f>IF(B144="","",ISOWEEKNUM(B144))</f>
        <v/>
      </c>
      <c r="D144" s="7">
        <f>IF(B144="","",TEXT(B144,"yyyy-mm"))</f>
        <v/>
      </c>
      <c r="E144" s="12" t="n"/>
      <c r="F144" s="12" t="n"/>
      <c r="G144" s="7">
        <f>IF(OR(E144="",F144=""),"",IF(COUNTIF(Cluster_Master!$I$3:$I$17,E144&amp;"|"&amp;F144)=1,"Valid","Review"))</f>
        <v/>
      </c>
      <c r="H144" s="7">
        <f>IF($G144&lt;&gt;"Valid","",VLOOKUP($E144&amp;"|"&amp;$F144,Cluster_Master!$I$3:$H$17,3,FALSE))</f>
        <v/>
      </c>
      <c r="I144" s="7">
        <f>IF($G144&lt;&gt;"Valid","",VLOOKUP($E144&amp;"|"&amp;$F144,Cluster_Master!$I$3:$H$17,4,FALSE))</f>
        <v/>
      </c>
      <c r="J144" s="7">
        <f>IF($G144&lt;&gt;"Valid","",VLOOKUP($E144&amp;"|"&amp;$F144,Cluster_Master!$I$3:$H$17,5,FALSE))</f>
        <v/>
      </c>
      <c r="K144" s="7">
        <f>IF($G144&lt;&gt;"Valid","",VLOOKUP($E144&amp;"|"&amp;$F144,Cluster_Master!$I$3:$H$17,6,FALSE))</f>
        <v/>
      </c>
      <c r="L144" s="7">
        <f>IF($G144&lt;&gt;"Valid","",VLOOKUP($E144&amp;"|"&amp;$F144,Cluster_Master!$I$3:$H$17,7,FALSE))</f>
        <v/>
      </c>
      <c r="M144" s="7">
        <f>IF($G144&lt;&gt;"Valid","",VLOOKUP($E144&amp;"|"&amp;$F144,Cluster_Master!$I$3:$H$17,8,FALSE))</f>
        <v/>
      </c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7">
        <f>IF(COUNT(T144:AH144)=0,"",SUM(T144:AH144))</f>
        <v/>
      </c>
      <c r="AJ144" s="10">
        <f>IF(AI144="","",AI144/75)</f>
        <v/>
      </c>
      <c r="AK144" s="10">
        <f>IF(AI144="","",SUMPRODUCT(T144:AH144,KPI_Weights!$B$3:$B$17)/5)</f>
        <v/>
      </c>
      <c r="AL144" s="7">
        <f>IF(COUNT(T144:AH144)=0,"",IF(OR(T144&lt;=1,W144&lt;=1,X144&lt;=1,Y144&lt;=1,AB144&lt;=1),"YES","NO"))</f>
        <v/>
      </c>
      <c r="AM144" s="7">
        <f>IF(AK144="","",IF(AND(AK144="NO",AJ144&gt;=0.85),"YES","NO"))</f>
        <v/>
      </c>
      <c r="AN144" s="7">
        <f>IF(AJ144="","",IF(AJ144&gt;=0.90,"Excellent",IF(AJ144&gt;=0.80,"Good",IF(AJ144&gt;=0.70,"Fair","Poor"))))</f>
        <v/>
      </c>
      <c r="AO144" s="12" t="n"/>
      <c r="AP144" s="12" t="n"/>
      <c r="AQ144" s="12" t="n"/>
      <c r="AR144" s="12" t="n"/>
      <c r="AS144" s="12" t="n"/>
      <c r="AT144" s="12" t="n"/>
      <c r="AU144" s="12" t="n"/>
      <c r="AV144" s="11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</row>
    <row r="145">
      <c r="A145" s="13">
        <f>IF(B145="","","INS-"&amp;TEXT(ROW()-3,"000"))</f>
        <v/>
      </c>
      <c r="B145" s="11" t="n"/>
      <c r="C145" s="7">
        <f>IF(B145="","",ISOWEEKNUM(B145))</f>
        <v/>
      </c>
      <c r="D145" s="7">
        <f>IF(B145="","",TEXT(B145,"yyyy-mm"))</f>
        <v/>
      </c>
      <c r="E145" s="12" t="n"/>
      <c r="F145" s="12" t="n"/>
      <c r="G145" s="7">
        <f>IF(OR(E145="",F145=""),"",IF(COUNTIF(Cluster_Master!$I$3:$I$17,E145&amp;"|"&amp;F145)=1,"Valid","Review"))</f>
        <v/>
      </c>
      <c r="H145" s="7">
        <f>IF($G145&lt;&gt;"Valid","",VLOOKUP($E145&amp;"|"&amp;$F145,Cluster_Master!$I$3:$H$17,3,FALSE))</f>
        <v/>
      </c>
      <c r="I145" s="7">
        <f>IF($G145&lt;&gt;"Valid","",VLOOKUP($E145&amp;"|"&amp;$F145,Cluster_Master!$I$3:$H$17,4,FALSE))</f>
        <v/>
      </c>
      <c r="J145" s="7">
        <f>IF($G145&lt;&gt;"Valid","",VLOOKUP($E145&amp;"|"&amp;$F145,Cluster_Master!$I$3:$H$17,5,FALSE))</f>
        <v/>
      </c>
      <c r="K145" s="7">
        <f>IF($G145&lt;&gt;"Valid","",VLOOKUP($E145&amp;"|"&amp;$F145,Cluster_Master!$I$3:$H$17,6,FALSE))</f>
        <v/>
      </c>
      <c r="L145" s="7">
        <f>IF($G145&lt;&gt;"Valid","",VLOOKUP($E145&amp;"|"&amp;$F145,Cluster_Master!$I$3:$H$17,7,FALSE))</f>
        <v/>
      </c>
      <c r="M145" s="7">
        <f>IF($G145&lt;&gt;"Valid","",VLOOKUP($E145&amp;"|"&amp;$F145,Cluster_Master!$I$3:$H$17,8,FALSE))</f>
        <v/>
      </c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7">
        <f>IF(COUNT(T145:AH145)=0,"",SUM(T145:AH145))</f>
        <v/>
      </c>
      <c r="AJ145" s="10">
        <f>IF(AI145="","",AI145/75)</f>
        <v/>
      </c>
      <c r="AK145" s="10">
        <f>IF(AI145="","",SUMPRODUCT(T145:AH145,KPI_Weights!$B$3:$B$17)/5)</f>
        <v/>
      </c>
      <c r="AL145" s="7">
        <f>IF(COUNT(T145:AH145)=0,"",IF(OR(T145&lt;=1,W145&lt;=1,X145&lt;=1,Y145&lt;=1,AB145&lt;=1),"YES","NO"))</f>
        <v/>
      </c>
      <c r="AM145" s="7">
        <f>IF(AK145="","",IF(AND(AK145="NO",AJ145&gt;=0.85),"YES","NO"))</f>
        <v/>
      </c>
      <c r="AN145" s="7">
        <f>IF(AJ145="","",IF(AJ145&gt;=0.90,"Excellent",IF(AJ145&gt;=0.80,"Good",IF(AJ145&gt;=0.70,"Fair","Poor"))))</f>
        <v/>
      </c>
      <c r="AO145" s="12" t="n"/>
      <c r="AP145" s="12" t="n"/>
      <c r="AQ145" s="12" t="n"/>
      <c r="AR145" s="12" t="n"/>
      <c r="AS145" s="12" t="n"/>
      <c r="AT145" s="12" t="n"/>
      <c r="AU145" s="12" t="n"/>
      <c r="AV145" s="11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</row>
    <row r="146">
      <c r="A146" s="13">
        <f>IF(B146="","","INS-"&amp;TEXT(ROW()-3,"000"))</f>
        <v/>
      </c>
      <c r="B146" s="11" t="n"/>
      <c r="C146" s="7">
        <f>IF(B146="","",ISOWEEKNUM(B146))</f>
        <v/>
      </c>
      <c r="D146" s="7">
        <f>IF(B146="","",TEXT(B146,"yyyy-mm"))</f>
        <v/>
      </c>
      <c r="E146" s="12" t="n"/>
      <c r="F146" s="12" t="n"/>
      <c r="G146" s="7">
        <f>IF(OR(E146="",F146=""),"",IF(COUNTIF(Cluster_Master!$I$3:$I$17,E146&amp;"|"&amp;F146)=1,"Valid","Review"))</f>
        <v/>
      </c>
      <c r="H146" s="7">
        <f>IF($G146&lt;&gt;"Valid","",VLOOKUP($E146&amp;"|"&amp;$F146,Cluster_Master!$I$3:$H$17,3,FALSE))</f>
        <v/>
      </c>
      <c r="I146" s="7">
        <f>IF($G146&lt;&gt;"Valid","",VLOOKUP($E146&amp;"|"&amp;$F146,Cluster_Master!$I$3:$H$17,4,FALSE))</f>
        <v/>
      </c>
      <c r="J146" s="7">
        <f>IF($G146&lt;&gt;"Valid","",VLOOKUP($E146&amp;"|"&amp;$F146,Cluster_Master!$I$3:$H$17,5,FALSE))</f>
        <v/>
      </c>
      <c r="K146" s="7">
        <f>IF($G146&lt;&gt;"Valid","",VLOOKUP($E146&amp;"|"&amp;$F146,Cluster_Master!$I$3:$H$17,6,FALSE))</f>
        <v/>
      </c>
      <c r="L146" s="7">
        <f>IF($G146&lt;&gt;"Valid","",VLOOKUP($E146&amp;"|"&amp;$F146,Cluster_Master!$I$3:$H$17,7,FALSE))</f>
        <v/>
      </c>
      <c r="M146" s="7">
        <f>IF($G146&lt;&gt;"Valid","",VLOOKUP($E146&amp;"|"&amp;$F146,Cluster_Master!$I$3:$H$17,8,FALSE))</f>
        <v/>
      </c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7">
        <f>IF(COUNT(T146:AH146)=0,"",SUM(T146:AH146))</f>
        <v/>
      </c>
      <c r="AJ146" s="10">
        <f>IF(AI146="","",AI146/75)</f>
        <v/>
      </c>
      <c r="AK146" s="10">
        <f>IF(AI146="","",SUMPRODUCT(T146:AH146,KPI_Weights!$B$3:$B$17)/5)</f>
        <v/>
      </c>
      <c r="AL146" s="7">
        <f>IF(COUNT(T146:AH146)=0,"",IF(OR(T146&lt;=1,W146&lt;=1,X146&lt;=1,Y146&lt;=1,AB146&lt;=1),"YES","NO"))</f>
        <v/>
      </c>
      <c r="AM146" s="7">
        <f>IF(AK146="","",IF(AND(AK146="NO",AJ146&gt;=0.85),"YES","NO"))</f>
        <v/>
      </c>
      <c r="AN146" s="7">
        <f>IF(AJ146="","",IF(AJ146&gt;=0.90,"Excellent",IF(AJ146&gt;=0.80,"Good",IF(AJ146&gt;=0.70,"Fair","Poor"))))</f>
        <v/>
      </c>
      <c r="AO146" s="12" t="n"/>
      <c r="AP146" s="12" t="n"/>
      <c r="AQ146" s="12" t="n"/>
      <c r="AR146" s="12" t="n"/>
      <c r="AS146" s="12" t="n"/>
      <c r="AT146" s="12" t="n"/>
      <c r="AU146" s="12" t="n"/>
      <c r="AV146" s="11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</row>
    <row r="147">
      <c r="A147" s="13">
        <f>IF(B147="","","INS-"&amp;TEXT(ROW()-3,"000"))</f>
        <v/>
      </c>
      <c r="B147" s="11" t="n"/>
      <c r="C147" s="7">
        <f>IF(B147="","",ISOWEEKNUM(B147))</f>
        <v/>
      </c>
      <c r="D147" s="7">
        <f>IF(B147="","",TEXT(B147,"yyyy-mm"))</f>
        <v/>
      </c>
      <c r="E147" s="12" t="n"/>
      <c r="F147" s="12" t="n"/>
      <c r="G147" s="7">
        <f>IF(OR(E147="",F147=""),"",IF(COUNTIF(Cluster_Master!$I$3:$I$17,E147&amp;"|"&amp;F147)=1,"Valid","Review"))</f>
        <v/>
      </c>
      <c r="H147" s="7">
        <f>IF($G147&lt;&gt;"Valid","",VLOOKUP($E147&amp;"|"&amp;$F147,Cluster_Master!$I$3:$H$17,3,FALSE))</f>
        <v/>
      </c>
      <c r="I147" s="7">
        <f>IF($G147&lt;&gt;"Valid","",VLOOKUP($E147&amp;"|"&amp;$F147,Cluster_Master!$I$3:$H$17,4,FALSE))</f>
        <v/>
      </c>
      <c r="J147" s="7">
        <f>IF($G147&lt;&gt;"Valid","",VLOOKUP($E147&amp;"|"&amp;$F147,Cluster_Master!$I$3:$H$17,5,FALSE))</f>
        <v/>
      </c>
      <c r="K147" s="7">
        <f>IF($G147&lt;&gt;"Valid","",VLOOKUP($E147&amp;"|"&amp;$F147,Cluster_Master!$I$3:$H$17,6,FALSE))</f>
        <v/>
      </c>
      <c r="L147" s="7">
        <f>IF($G147&lt;&gt;"Valid","",VLOOKUP($E147&amp;"|"&amp;$F147,Cluster_Master!$I$3:$H$17,7,FALSE))</f>
        <v/>
      </c>
      <c r="M147" s="7">
        <f>IF($G147&lt;&gt;"Valid","",VLOOKUP($E147&amp;"|"&amp;$F147,Cluster_Master!$I$3:$H$17,8,FALSE))</f>
        <v/>
      </c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7">
        <f>IF(COUNT(T147:AH147)=0,"",SUM(T147:AH147))</f>
        <v/>
      </c>
      <c r="AJ147" s="10">
        <f>IF(AI147="","",AI147/75)</f>
        <v/>
      </c>
      <c r="AK147" s="10">
        <f>IF(AI147="","",SUMPRODUCT(T147:AH147,KPI_Weights!$B$3:$B$17)/5)</f>
        <v/>
      </c>
      <c r="AL147" s="7">
        <f>IF(COUNT(T147:AH147)=0,"",IF(OR(T147&lt;=1,W147&lt;=1,X147&lt;=1,Y147&lt;=1,AB147&lt;=1),"YES","NO"))</f>
        <v/>
      </c>
      <c r="AM147" s="7">
        <f>IF(AK147="","",IF(AND(AK147="NO",AJ147&gt;=0.85),"YES","NO"))</f>
        <v/>
      </c>
      <c r="AN147" s="7">
        <f>IF(AJ147="","",IF(AJ147&gt;=0.90,"Excellent",IF(AJ147&gt;=0.80,"Good",IF(AJ147&gt;=0.70,"Fair","Poor"))))</f>
        <v/>
      </c>
      <c r="AO147" s="12" t="n"/>
      <c r="AP147" s="12" t="n"/>
      <c r="AQ147" s="12" t="n"/>
      <c r="AR147" s="12" t="n"/>
      <c r="AS147" s="12" t="n"/>
      <c r="AT147" s="12" t="n"/>
      <c r="AU147" s="12" t="n"/>
      <c r="AV147" s="11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</row>
    <row r="148">
      <c r="A148" s="13">
        <f>IF(B148="","","INS-"&amp;TEXT(ROW()-3,"000"))</f>
        <v/>
      </c>
      <c r="B148" s="11" t="n"/>
      <c r="C148" s="7">
        <f>IF(B148="","",ISOWEEKNUM(B148))</f>
        <v/>
      </c>
      <c r="D148" s="7">
        <f>IF(B148="","",TEXT(B148,"yyyy-mm"))</f>
        <v/>
      </c>
      <c r="E148" s="12" t="n"/>
      <c r="F148" s="12" t="n"/>
      <c r="G148" s="7">
        <f>IF(OR(E148="",F148=""),"",IF(COUNTIF(Cluster_Master!$I$3:$I$17,E148&amp;"|"&amp;F148)=1,"Valid","Review"))</f>
        <v/>
      </c>
      <c r="H148" s="7">
        <f>IF($G148&lt;&gt;"Valid","",VLOOKUP($E148&amp;"|"&amp;$F148,Cluster_Master!$I$3:$H$17,3,FALSE))</f>
        <v/>
      </c>
      <c r="I148" s="7">
        <f>IF($G148&lt;&gt;"Valid","",VLOOKUP($E148&amp;"|"&amp;$F148,Cluster_Master!$I$3:$H$17,4,FALSE))</f>
        <v/>
      </c>
      <c r="J148" s="7">
        <f>IF($G148&lt;&gt;"Valid","",VLOOKUP($E148&amp;"|"&amp;$F148,Cluster_Master!$I$3:$H$17,5,FALSE))</f>
        <v/>
      </c>
      <c r="K148" s="7">
        <f>IF($G148&lt;&gt;"Valid","",VLOOKUP($E148&amp;"|"&amp;$F148,Cluster_Master!$I$3:$H$17,6,FALSE))</f>
        <v/>
      </c>
      <c r="L148" s="7">
        <f>IF($G148&lt;&gt;"Valid","",VLOOKUP($E148&amp;"|"&amp;$F148,Cluster_Master!$I$3:$H$17,7,FALSE))</f>
        <v/>
      </c>
      <c r="M148" s="7">
        <f>IF($G148&lt;&gt;"Valid","",VLOOKUP($E148&amp;"|"&amp;$F148,Cluster_Master!$I$3:$H$17,8,FALSE))</f>
        <v/>
      </c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7">
        <f>IF(COUNT(T148:AH148)=0,"",SUM(T148:AH148))</f>
        <v/>
      </c>
      <c r="AJ148" s="10">
        <f>IF(AI148="","",AI148/75)</f>
        <v/>
      </c>
      <c r="AK148" s="10">
        <f>IF(AI148="","",SUMPRODUCT(T148:AH148,KPI_Weights!$B$3:$B$17)/5)</f>
        <v/>
      </c>
      <c r="AL148" s="7">
        <f>IF(COUNT(T148:AH148)=0,"",IF(OR(T148&lt;=1,W148&lt;=1,X148&lt;=1,Y148&lt;=1,AB148&lt;=1),"YES","NO"))</f>
        <v/>
      </c>
      <c r="AM148" s="7">
        <f>IF(AK148="","",IF(AND(AK148="NO",AJ148&gt;=0.85),"YES","NO"))</f>
        <v/>
      </c>
      <c r="AN148" s="7">
        <f>IF(AJ148="","",IF(AJ148&gt;=0.90,"Excellent",IF(AJ148&gt;=0.80,"Good",IF(AJ148&gt;=0.70,"Fair","Poor"))))</f>
        <v/>
      </c>
      <c r="AO148" s="12" t="n"/>
      <c r="AP148" s="12" t="n"/>
      <c r="AQ148" s="12" t="n"/>
      <c r="AR148" s="12" t="n"/>
      <c r="AS148" s="12" t="n"/>
      <c r="AT148" s="12" t="n"/>
      <c r="AU148" s="12" t="n"/>
      <c r="AV148" s="11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</row>
    <row r="149">
      <c r="A149" s="13">
        <f>IF(B149="","","INS-"&amp;TEXT(ROW()-3,"000"))</f>
        <v/>
      </c>
      <c r="B149" s="11" t="n"/>
      <c r="C149" s="7">
        <f>IF(B149="","",ISOWEEKNUM(B149))</f>
        <v/>
      </c>
      <c r="D149" s="7">
        <f>IF(B149="","",TEXT(B149,"yyyy-mm"))</f>
        <v/>
      </c>
      <c r="E149" s="12" t="n"/>
      <c r="F149" s="12" t="n"/>
      <c r="G149" s="7">
        <f>IF(OR(E149="",F149=""),"",IF(COUNTIF(Cluster_Master!$I$3:$I$17,E149&amp;"|"&amp;F149)=1,"Valid","Review"))</f>
        <v/>
      </c>
      <c r="H149" s="7">
        <f>IF($G149&lt;&gt;"Valid","",VLOOKUP($E149&amp;"|"&amp;$F149,Cluster_Master!$I$3:$H$17,3,FALSE))</f>
        <v/>
      </c>
      <c r="I149" s="7">
        <f>IF($G149&lt;&gt;"Valid","",VLOOKUP($E149&amp;"|"&amp;$F149,Cluster_Master!$I$3:$H$17,4,FALSE))</f>
        <v/>
      </c>
      <c r="J149" s="7">
        <f>IF($G149&lt;&gt;"Valid","",VLOOKUP($E149&amp;"|"&amp;$F149,Cluster_Master!$I$3:$H$17,5,FALSE))</f>
        <v/>
      </c>
      <c r="K149" s="7">
        <f>IF($G149&lt;&gt;"Valid","",VLOOKUP($E149&amp;"|"&amp;$F149,Cluster_Master!$I$3:$H$17,6,FALSE))</f>
        <v/>
      </c>
      <c r="L149" s="7">
        <f>IF($G149&lt;&gt;"Valid","",VLOOKUP($E149&amp;"|"&amp;$F149,Cluster_Master!$I$3:$H$17,7,FALSE))</f>
        <v/>
      </c>
      <c r="M149" s="7">
        <f>IF($G149&lt;&gt;"Valid","",VLOOKUP($E149&amp;"|"&amp;$F149,Cluster_Master!$I$3:$H$17,8,FALSE))</f>
        <v/>
      </c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7">
        <f>IF(COUNT(T149:AH149)=0,"",SUM(T149:AH149))</f>
        <v/>
      </c>
      <c r="AJ149" s="10">
        <f>IF(AI149="","",AI149/75)</f>
        <v/>
      </c>
      <c r="AK149" s="10">
        <f>IF(AI149="","",SUMPRODUCT(T149:AH149,KPI_Weights!$B$3:$B$17)/5)</f>
        <v/>
      </c>
      <c r="AL149" s="7">
        <f>IF(COUNT(T149:AH149)=0,"",IF(OR(T149&lt;=1,W149&lt;=1,X149&lt;=1,Y149&lt;=1,AB149&lt;=1),"YES","NO"))</f>
        <v/>
      </c>
      <c r="AM149" s="7">
        <f>IF(AK149="","",IF(AND(AK149="NO",AJ149&gt;=0.85),"YES","NO"))</f>
        <v/>
      </c>
      <c r="AN149" s="7">
        <f>IF(AJ149="","",IF(AJ149&gt;=0.90,"Excellent",IF(AJ149&gt;=0.80,"Good",IF(AJ149&gt;=0.70,"Fair","Poor"))))</f>
        <v/>
      </c>
      <c r="AO149" s="12" t="n"/>
      <c r="AP149" s="12" t="n"/>
      <c r="AQ149" s="12" t="n"/>
      <c r="AR149" s="12" t="n"/>
      <c r="AS149" s="12" t="n"/>
      <c r="AT149" s="12" t="n"/>
      <c r="AU149" s="12" t="n"/>
      <c r="AV149" s="11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</row>
    <row r="150">
      <c r="A150" s="13">
        <f>IF(B150="","","INS-"&amp;TEXT(ROW()-3,"000"))</f>
        <v/>
      </c>
      <c r="B150" s="11" t="n"/>
      <c r="C150" s="7">
        <f>IF(B150="","",ISOWEEKNUM(B150))</f>
        <v/>
      </c>
      <c r="D150" s="7">
        <f>IF(B150="","",TEXT(B150,"yyyy-mm"))</f>
        <v/>
      </c>
      <c r="E150" s="12" t="n"/>
      <c r="F150" s="12" t="n"/>
      <c r="G150" s="7">
        <f>IF(OR(E150="",F150=""),"",IF(COUNTIF(Cluster_Master!$I$3:$I$17,E150&amp;"|"&amp;F150)=1,"Valid","Review"))</f>
        <v/>
      </c>
      <c r="H150" s="7">
        <f>IF($G150&lt;&gt;"Valid","",VLOOKUP($E150&amp;"|"&amp;$F150,Cluster_Master!$I$3:$H$17,3,FALSE))</f>
        <v/>
      </c>
      <c r="I150" s="7">
        <f>IF($G150&lt;&gt;"Valid","",VLOOKUP($E150&amp;"|"&amp;$F150,Cluster_Master!$I$3:$H$17,4,FALSE))</f>
        <v/>
      </c>
      <c r="J150" s="7">
        <f>IF($G150&lt;&gt;"Valid","",VLOOKUP($E150&amp;"|"&amp;$F150,Cluster_Master!$I$3:$H$17,5,FALSE))</f>
        <v/>
      </c>
      <c r="K150" s="7">
        <f>IF($G150&lt;&gt;"Valid","",VLOOKUP($E150&amp;"|"&amp;$F150,Cluster_Master!$I$3:$H$17,6,FALSE))</f>
        <v/>
      </c>
      <c r="L150" s="7">
        <f>IF($G150&lt;&gt;"Valid","",VLOOKUP($E150&amp;"|"&amp;$F150,Cluster_Master!$I$3:$H$17,7,FALSE))</f>
        <v/>
      </c>
      <c r="M150" s="7">
        <f>IF($G150&lt;&gt;"Valid","",VLOOKUP($E150&amp;"|"&amp;$F150,Cluster_Master!$I$3:$H$17,8,FALSE))</f>
        <v/>
      </c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7">
        <f>IF(COUNT(T150:AH150)=0,"",SUM(T150:AH150))</f>
        <v/>
      </c>
      <c r="AJ150" s="10">
        <f>IF(AI150="","",AI150/75)</f>
        <v/>
      </c>
      <c r="AK150" s="10">
        <f>IF(AI150="","",SUMPRODUCT(T150:AH150,KPI_Weights!$B$3:$B$17)/5)</f>
        <v/>
      </c>
      <c r="AL150" s="7">
        <f>IF(COUNT(T150:AH150)=0,"",IF(OR(T150&lt;=1,W150&lt;=1,X150&lt;=1,Y150&lt;=1,AB150&lt;=1),"YES","NO"))</f>
        <v/>
      </c>
      <c r="AM150" s="7">
        <f>IF(AK150="","",IF(AND(AK150="NO",AJ150&gt;=0.85),"YES","NO"))</f>
        <v/>
      </c>
      <c r="AN150" s="7">
        <f>IF(AJ150="","",IF(AJ150&gt;=0.90,"Excellent",IF(AJ150&gt;=0.80,"Good",IF(AJ150&gt;=0.70,"Fair","Poor"))))</f>
        <v/>
      </c>
      <c r="AO150" s="12" t="n"/>
      <c r="AP150" s="12" t="n"/>
      <c r="AQ150" s="12" t="n"/>
      <c r="AR150" s="12" t="n"/>
      <c r="AS150" s="12" t="n"/>
      <c r="AT150" s="12" t="n"/>
      <c r="AU150" s="12" t="n"/>
      <c r="AV150" s="11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</row>
    <row r="151">
      <c r="A151" s="13">
        <f>IF(B151="","","INS-"&amp;TEXT(ROW()-3,"000"))</f>
        <v/>
      </c>
      <c r="B151" s="11" t="n"/>
      <c r="C151" s="7">
        <f>IF(B151="","",ISOWEEKNUM(B151))</f>
        <v/>
      </c>
      <c r="D151" s="7">
        <f>IF(B151="","",TEXT(B151,"yyyy-mm"))</f>
        <v/>
      </c>
      <c r="E151" s="12" t="n"/>
      <c r="F151" s="12" t="n"/>
      <c r="G151" s="7">
        <f>IF(OR(E151="",F151=""),"",IF(COUNTIF(Cluster_Master!$I$3:$I$17,E151&amp;"|"&amp;F151)=1,"Valid","Review"))</f>
        <v/>
      </c>
      <c r="H151" s="7">
        <f>IF($G151&lt;&gt;"Valid","",VLOOKUP($E151&amp;"|"&amp;$F151,Cluster_Master!$I$3:$H$17,3,FALSE))</f>
        <v/>
      </c>
      <c r="I151" s="7">
        <f>IF($G151&lt;&gt;"Valid","",VLOOKUP($E151&amp;"|"&amp;$F151,Cluster_Master!$I$3:$H$17,4,FALSE))</f>
        <v/>
      </c>
      <c r="J151" s="7">
        <f>IF($G151&lt;&gt;"Valid","",VLOOKUP($E151&amp;"|"&amp;$F151,Cluster_Master!$I$3:$H$17,5,FALSE))</f>
        <v/>
      </c>
      <c r="K151" s="7">
        <f>IF($G151&lt;&gt;"Valid","",VLOOKUP($E151&amp;"|"&amp;$F151,Cluster_Master!$I$3:$H$17,6,FALSE))</f>
        <v/>
      </c>
      <c r="L151" s="7">
        <f>IF($G151&lt;&gt;"Valid","",VLOOKUP($E151&amp;"|"&amp;$F151,Cluster_Master!$I$3:$H$17,7,FALSE))</f>
        <v/>
      </c>
      <c r="M151" s="7">
        <f>IF($G151&lt;&gt;"Valid","",VLOOKUP($E151&amp;"|"&amp;$F151,Cluster_Master!$I$3:$H$17,8,FALSE))</f>
        <v/>
      </c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7">
        <f>IF(COUNT(T151:AH151)=0,"",SUM(T151:AH151))</f>
        <v/>
      </c>
      <c r="AJ151" s="10">
        <f>IF(AI151="","",AI151/75)</f>
        <v/>
      </c>
      <c r="AK151" s="10">
        <f>IF(AI151="","",SUMPRODUCT(T151:AH151,KPI_Weights!$B$3:$B$17)/5)</f>
        <v/>
      </c>
      <c r="AL151" s="7">
        <f>IF(COUNT(T151:AH151)=0,"",IF(OR(T151&lt;=1,W151&lt;=1,X151&lt;=1,Y151&lt;=1,AB151&lt;=1),"YES","NO"))</f>
        <v/>
      </c>
      <c r="AM151" s="7">
        <f>IF(AK151="","",IF(AND(AK151="NO",AJ151&gt;=0.85),"YES","NO"))</f>
        <v/>
      </c>
      <c r="AN151" s="7">
        <f>IF(AJ151="","",IF(AJ151&gt;=0.90,"Excellent",IF(AJ151&gt;=0.80,"Good",IF(AJ151&gt;=0.70,"Fair","Poor"))))</f>
        <v/>
      </c>
      <c r="AO151" s="12" t="n"/>
      <c r="AP151" s="12" t="n"/>
      <c r="AQ151" s="12" t="n"/>
      <c r="AR151" s="12" t="n"/>
      <c r="AS151" s="12" t="n"/>
      <c r="AT151" s="12" t="n"/>
      <c r="AU151" s="12" t="n"/>
      <c r="AV151" s="11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</row>
    <row r="152">
      <c r="A152" s="13">
        <f>IF(B152="","","INS-"&amp;TEXT(ROW()-3,"000"))</f>
        <v/>
      </c>
      <c r="B152" s="11" t="n"/>
      <c r="C152" s="7">
        <f>IF(B152="","",ISOWEEKNUM(B152))</f>
        <v/>
      </c>
      <c r="D152" s="7">
        <f>IF(B152="","",TEXT(B152,"yyyy-mm"))</f>
        <v/>
      </c>
      <c r="E152" s="12" t="n"/>
      <c r="F152" s="12" t="n"/>
      <c r="G152" s="7">
        <f>IF(OR(E152="",F152=""),"",IF(COUNTIF(Cluster_Master!$I$3:$I$17,E152&amp;"|"&amp;F152)=1,"Valid","Review"))</f>
        <v/>
      </c>
      <c r="H152" s="7">
        <f>IF($G152&lt;&gt;"Valid","",VLOOKUP($E152&amp;"|"&amp;$F152,Cluster_Master!$I$3:$H$17,3,FALSE))</f>
        <v/>
      </c>
      <c r="I152" s="7">
        <f>IF($G152&lt;&gt;"Valid","",VLOOKUP($E152&amp;"|"&amp;$F152,Cluster_Master!$I$3:$H$17,4,FALSE))</f>
        <v/>
      </c>
      <c r="J152" s="7">
        <f>IF($G152&lt;&gt;"Valid","",VLOOKUP($E152&amp;"|"&amp;$F152,Cluster_Master!$I$3:$H$17,5,FALSE))</f>
        <v/>
      </c>
      <c r="K152" s="7">
        <f>IF($G152&lt;&gt;"Valid","",VLOOKUP($E152&amp;"|"&amp;$F152,Cluster_Master!$I$3:$H$17,6,FALSE))</f>
        <v/>
      </c>
      <c r="L152" s="7">
        <f>IF($G152&lt;&gt;"Valid","",VLOOKUP($E152&amp;"|"&amp;$F152,Cluster_Master!$I$3:$H$17,7,FALSE))</f>
        <v/>
      </c>
      <c r="M152" s="7">
        <f>IF($G152&lt;&gt;"Valid","",VLOOKUP($E152&amp;"|"&amp;$F152,Cluster_Master!$I$3:$H$17,8,FALSE))</f>
        <v/>
      </c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7">
        <f>IF(COUNT(T152:AH152)=0,"",SUM(T152:AH152))</f>
        <v/>
      </c>
      <c r="AJ152" s="10">
        <f>IF(AI152="","",AI152/75)</f>
        <v/>
      </c>
      <c r="AK152" s="10">
        <f>IF(AI152="","",SUMPRODUCT(T152:AH152,KPI_Weights!$B$3:$B$17)/5)</f>
        <v/>
      </c>
      <c r="AL152" s="7">
        <f>IF(COUNT(T152:AH152)=0,"",IF(OR(T152&lt;=1,W152&lt;=1,X152&lt;=1,Y152&lt;=1,AB152&lt;=1),"YES","NO"))</f>
        <v/>
      </c>
      <c r="AM152" s="7">
        <f>IF(AK152="","",IF(AND(AK152="NO",AJ152&gt;=0.85),"YES","NO"))</f>
        <v/>
      </c>
      <c r="AN152" s="7">
        <f>IF(AJ152="","",IF(AJ152&gt;=0.90,"Excellent",IF(AJ152&gt;=0.80,"Good",IF(AJ152&gt;=0.70,"Fair","Poor"))))</f>
        <v/>
      </c>
      <c r="AO152" s="12" t="n"/>
      <c r="AP152" s="12" t="n"/>
      <c r="AQ152" s="12" t="n"/>
      <c r="AR152" s="12" t="n"/>
      <c r="AS152" s="12" t="n"/>
      <c r="AT152" s="12" t="n"/>
      <c r="AU152" s="12" t="n"/>
      <c r="AV152" s="11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</row>
    <row r="153">
      <c r="A153" s="13">
        <f>IF(B153="","","INS-"&amp;TEXT(ROW()-3,"000"))</f>
        <v/>
      </c>
      <c r="B153" s="11" t="n"/>
      <c r="C153" s="7">
        <f>IF(B153="","",ISOWEEKNUM(B153))</f>
        <v/>
      </c>
      <c r="D153" s="7">
        <f>IF(B153="","",TEXT(B153,"yyyy-mm"))</f>
        <v/>
      </c>
      <c r="E153" s="12" t="n"/>
      <c r="F153" s="12" t="n"/>
      <c r="G153" s="7">
        <f>IF(OR(E153="",F153=""),"",IF(COUNTIF(Cluster_Master!$I$3:$I$17,E153&amp;"|"&amp;F153)=1,"Valid","Review"))</f>
        <v/>
      </c>
      <c r="H153" s="7">
        <f>IF($G153&lt;&gt;"Valid","",VLOOKUP($E153&amp;"|"&amp;$F153,Cluster_Master!$I$3:$H$17,3,FALSE))</f>
        <v/>
      </c>
      <c r="I153" s="7">
        <f>IF($G153&lt;&gt;"Valid","",VLOOKUP($E153&amp;"|"&amp;$F153,Cluster_Master!$I$3:$H$17,4,FALSE))</f>
        <v/>
      </c>
      <c r="J153" s="7">
        <f>IF($G153&lt;&gt;"Valid","",VLOOKUP($E153&amp;"|"&amp;$F153,Cluster_Master!$I$3:$H$17,5,FALSE))</f>
        <v/>
      </c>
      <c r="K153" s="7">
        <f>IF($G153&lt;&gt;"Valid","",VLOOKUP($E153&amp;"|"&amp;$F153,Cluster_Master!$I$3:$H$17,6,FALSE))</f>
        <v/>
      </c>
      <c r="L153" s="7">
        <f>IF($G153&lt;&gt;"Valid","",VLOOKUP($E153&amp;"|"&amp;$F153,Cluster_Master!$I$3:$H$17,7,FALSE))</f>
        <v/>
      </c>
      <c r="M153" s="7">
        <f>IF($G153&lt;&gt;"Valid","",VLOOKUP($E153&amp;"|"&amp;$F153,Cluster_Master!$I$3:$H$17,8,FALSE))</f>
        <v/>
      </c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7">
        <f>IF(COUNT(T153:AH153)=0,"",SUM(T153:AH153))</f>
        <v/>
      </c>
      <c r="AJ153" s="10">
        <f>IF(AI153="","",AI153/75)</f>
        <v/>
      </c>
      <c r="AK153" s="10">
        <f>IF(AI153="","",SUMPRODUCT(T153:AH153,KPI_Weights!$B$3:$B$17)/5)</f>
        <v/>
      </c>
      <c r="AL153" s="7">
        <f>IF(COUNT(T153:AH153)=0,"",IF(OR(T153&lt;=1,W153&lt;=1,X153&lt;=1,Y153&lt;=1,AB153&lt;=1),"YES","NO"))</f>
        <v/>
      </c>
      <c r="AM153" s="7">
        <f>IF(AK153="","",IF(AND(AK153="NO",AJ153&gt;=0.85),"YES","NO"))</f>
        <v/>
      </c>
      <c r="AN153" s="7">
        <f>IF(AJ153="","",IF(AJ153&gt;=0.90,"Excellent",IF(AJ153&gt;=0.80,"Good",IF(AJ153&gt;=0.70,"Fair","Poor"))))</f>
        <v/>
      </c>
      <c r="AO153" s="12" t="n"/>
      <c r="AP153" s="12" t="n"/>
      <c r="AQ153" s="12" t="n"/>
      <c r="AR153" s="12" t="n"/>
      <c r="AS153" s="12" t="n"/>
      <c r="AT153" s="12" t="n"/>
      <c r="AU153" s="12" t="n"/>
      <c r="AV153" s="11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</row>
    <row r="154">
      <c r="A154" s="13">
        <f>IF(B154="","","INS-"&amp;TEXT(ROW()-3,"000"))</f>
        <v/>
      </c>
      <c r="B154" s="11" t="n"/>
      <c r="C154" s="7">
        <f>IF(B154="","",ISOWEEKNUM(B154))</f>
        <v/>
      </c>
      <c r="D154" s="7">
        <f>IF(B154="","",TEXT(B154,"yyyy-mm"))</f>
        <v/>
      </c>
      <c r="E154" s="12" t="n"/>
      <c r="F154" s="12" t="n"/>
      <c r="G154" s="7">
        <f>IF(OR(E154="",F154=""),"",IF(COUNTIF(Cluster_Master!$I$3:$I$17,E154&amp;"|"&amp;F154)=1,"Valid","Review"))</f>
        <v/>
      </c>
      <c r="H154" s="7">
        <f>IF($G154&lt;&gt;"Valid","",VLOOKUP($E154&amp;"|"&amp;$F154,Cluster_Master!$I$3:$H$17,3,FALSE))</f>
        <v/>
      </c>
      <c r="I154" s="7">
        <f>IF($G154&lt;&gt;"Valid","",VLOOKUP($E154&amp;"|"&amp;$F154,Cluster_Master!$I$3:$H$17,4,FALSE))</f>
        <v/>
      </c>
      <c r="J154" s="7">
        <f>IF($G154&lt;&gt;"Valid","",VLOOKUP($E154&amp;"|"&amp;$F154,Cluster_Master!$I$3:$H$17,5,FALSE))</f>
        <v/>
      </c>
      <c r="K154" s="7">
        <f>IF($G154&lt;&gt;"Valid","",VLOOKUP($E154&amp;"|"&amp;$F154,Cluster_Master!$I$3:$H$17,6,FALSE))</f>
        <v/>
      </c>
      <c r="L154" s="7">
        <f>IF($G154&lt;&gt;"Valid","",VLOOKUP($E154&amp;"|"&amp;$F154,Cluster_Master!$I$3:$H$17,7,FALSE))</f>
        <v/>
      </c>
      <c r="M154" s="7">
        <f>IF($G154&lt;&gt;"Valid","",VLOOKUP($E154&amp;"|"&amp;$F154,Cluster_Master!$I$3:$H$17,8,FALSE))</f>
        <v/>
      </c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7">
        <f>IF(COUNT(T154:AH154)=0,"",SUM(T154:AH154))</f>
        <v/>
      </c>
      <c r="AJ154" s="10">
        <f>IF(AI154="","",AI154/75)</f>
        <v/>
      </c>
      <c r="AK154" s="10">
        <f>IF(AI154="","",SUMPRODUCT(T154:AH154,KPI_Weights!$B$3:$B$17)/5)</f>
        <v/>
      </c>
      <c r="AL154" s="7">
        <f>IF(COUNT(T154:AH154)=0,"",IF(OR(T154&lt;=1,W154&lt;=1,X154&lt;=1,Y154&lt;=1,AB154&lt;=1),"YES","NO"))</f>
        <v/>
      </c>
      <c r="AM154" s="7">
        <f>IF(AK154="","",IF(AND(AK154="NO",AJ154&gt;=0.85),"YES","NO"))</f>
        <v/>
      </c>
      <c r="AN154" s="7">
        <f>IF(AJ154="","",IF(AJ154&gt;=0.90,"Excellent",IF(AJ154&gt;=0.80,"Good",IF(AJ154&gt;=0.70,"Fair","Poor"))))</f>
        <v/>
      </c>
      <c r="AO154" s="12" t="n"/>
      <c r="AP154" s="12" t="n"/>
      <c r="AQ154" s="12" t="n"/>
      <c r="AR154" s="12" t="n"/>
      <c r="AS154" s="12" t="n"/>
      <c r="AT154" s="12" t="n"/>
      <c r="AU154" s="12" t="n"/>
      <c r="AV154" s="11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</row>
    <row r="155">
      <c r="A155" s="13">
        <f>IF(B155="","","INS-"&amp;TEXT(ROW()-3,"000"))</f>
        <v/>
      </c>
      <c r="B155" s="11" t="n"/>
      <c r="C155" s="7">
        <f>IF(B155="","",ISOWEEKNUM(B155))</f>
        <v/>
      </c>
      <c r="D155" s="7">
        <f>IF(B155="","",TEXT(B155,"yyyy-mm"))</f>
        <v/>
      </c>
      <c r="E155" s="12" t="n"/>
      <c r="F155" s="12" t="n"/>
      <c r="G155" s="7">
        <f>IF(OR(E155="",F155=""),"",IF(COUNTIF(Cluster_Master!$I$3:$I$17,E155&amp;"|"&amp;F155)=1,"Valid","Review"))</f>
        <v/>
      </c>
      <c r="H155" s="7">
        <f>IF($G155&lt;&gt;"Valid","",VLOOKUP($E155&amp;"|"&amp;$F155,Cluster_Master!$I$3:$H$17,3,FALSE))</f>
        <v/>
      </c>
      <c r="I155" s="7">
        <f>IF($G155&lt;&gt;"Valid","",VLOOKUP($E155&amp;"|"&amp;$F155,Cluster_Master!$I$3:$H$17,4,FALSE))</f>
        <v/>
      </c>
      <c r="J155" s="7">
        <f>IF($G155&lt;&gt;"Valid","",VLOOKUP($E155&amp;"|"&amp;$F155,Cluster_Master!$I$3:$H$17,5,FALSE))</f>
        <v/>
      </c>
      <c r="K155" s="7">
        <f>IF($G155&lt;&gt;"Valid","",VLOOKUP($E155&amp;"|"&amp;$F155,Cluster_Master!$I$3:$H$17,6,FALSE))</f>
        <v/>
      </c>
      <c r="L155" s="7">
        <f>IF($G155&lt;&gt;"Valid","",VLOOKUP($E155&amp;"|"&amp;$F155,Cluster_Master!$I$3:$H$17,7,FALSE))</f>
        <v/>
      </c>
      <c r="M155" s="7">
        <f>IF($G155&lt;&gt;"Valid","",VLOOKUP($E155&amp;"|"&amp;$F155,Cluster_Master!$I$3:$H$17,8,FALSE))</f>
        <v/>
      </c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7">
        <f>IF(COUNT(T155:AH155)=0,"",SUM(T155:AH155))</f>
        <v/>
      </c>
      <c r="AJ155" s="10">
        <f>IF(AI155="","",AI155/75)</f>
        <v/>
      </c>
      <c r="AK155" s="10">
        <f>IF(AI155="","",SUMPRODUCT(T155:AH155,KPI_Weights!$B$3:$B$17)/5)</f>
        <v/>
      </c>
      <c r="AL155" s="7">
        <f>IF(COUNT(T155:AH155)=0,"",IF(OR(T155&lt;=1,W155&lt;=1,X155&lt;=1,Y155&lt;=1,AB155&lt;=1),"YES","NO"))</f>
        <v/>
      </c>
      <c r="AM155" s="7">
        <f>IF(AK155="","",IF(AND(AK155="NO",AJ155&gt;=0.85),"YES","NO"))</f>
        <v/>
      </c>
      <c r="AN155" s="7">
        <f>IF(AJ155="","",IF(AJ155&gt;=0.90,"Excellent",IF(AJ155&gt;=0.80,"Good",IF(AJ155&gt;=0.70,"Fair","Poor"))))</f>
        <v/>
      </c>
      <c r="AO155" s="12" t="n"/>
      <c r="AP155" s="12" t="n"/>
      <c r="AQ155" s="12" t="n"/>
      <c r="AR155" s="12" t="n"/>
      <c r="AS155" s="12" t="n"/>
      <c r="AT155" s="12" t="n"/>
      <c r="AU155" s="12" t="n"/>
      <c r="AV155" s="11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</row>
    <row r="156">
      <c r="A156" s="13">
        <f>IF(B156="","","INS-"&amp;TEXT(ROW()-3,"000"))</f>
        <v/>
      </c>
      <c r="B156" s="11" t="n"/>
      <c r="C156" s="7">
        <f>IF(B156="","",ISOWEEKNUM(B156))</f>
        <v/>
      </c>
      <c r="D156" s="7">
        <f>IF(B156="","",TEXT(B156,"yyyy-mm"))</f>
        <v/>
      </c>
      <c r="E156" s="12" t="n"/>
      <c r="F156" s="12" t="n"/>
      <c r="G156" s="7">
        <f>IF(OR(E156="",F156=""),"",IF(COUNTIF(Cluster_Master!$I$3:$I$17,E156&amp;"|"&amp;F156)=1,"Valid","Review"))</f>
        <v/>
      </c>
      <c r="H156" s="7">
        <f>IF($G156&lt;&gt;"Valid","",VLOOKUP($E156&amp;"|"&amp;$F156,Cluster_Master!$I$3:$H$17,3,FALSE))</f>
        <v/>
      </c>
      <c r="I156" s="7">
        <f>IF($G156&lt;&gt;"Valid","",VLOOKUP($E156&amp;"|"&amp;$F156,Cluster_Master!$I$3:$H$17,4,FALSE))</f>
        <v/>
      </c>
      <c r="J156" s="7">
        <f>IF($G156&lt;&gt;"Valid","",VLOOKUP($E156&amp;"|"&amp;$F156,Cluster_Master!$I$3:$H$17,5,FALSE))</f>
        <v/>
      </c>
      <c r="K156" s="7">
        <f>IF($G156&lt;&gt;"Valid","",VLOOKUP($E156&amp;"|"&amp;$F156,Cluster_Master!$I$3:$H$17,6,FALSE))</f>
        <v/>
      </c>
      <c r="L156" s="7">
        <f>IF($G156&lt;&gt;"Valid","",VLOOKUP($E156&amp;"|"&amp;$F156,Cluster_Master!$I$3:$H$17,7,FALSE))</f>
        <v/>
      </c>
      <c r="M156" s="7">
        <f>IF($G156&lt;&gt;"Valid","",VLOOKUP($E156&amp;"|"&amp;$F156,Cluster_Master!$I$3:$H$17,8,FALSE))</f>
        <v/>
      </c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7">
        <f>IF(COUNT(T156:AH156)=0,"",SUM(T156:AH156))</f>
        <v/>
      </c>
      <c r="AJ156" s="10">
        <f>IF(AI156="","",AI156/75)</f>
        <v/>
      </c>
      <c r="AK156" s="10">
        <f>IF(AI156="","",SUMPRODUCT(T156:AH156,KPI_Weights!$B$3:$B$17)/5)</f>
        <v/>
      </c>
      <c r="AL156" s="7">
        <f>IF(COUNT(T156:AH156)=0,"",IF(OR(T156&lt;=1,W156&lt;=1,X156&lt;=1,Y156&lt;=1,AB156&lt;=1),"YES","NO"))</f>
        <v/>
      </c>
      <c r="AM156" s="7">
        <f>IF(AK156="","",IF(AND(AK156="NO",AJ156&gt;=0.85),"YES","NO"))</f>
        <v/>
      </c>
      <c r="AN156" s="7">
        <f>IF(AJ156="","",IF(AJ156&gt;=0.90,"Excellent",IF(AJ156&gt;=0.80,"Good",IF(AJ156&gt;=0.70,"Fair","Poor"))))</f>
        <v/>
      </c>
      <c r="AO156" s="12" t="n"/>
      <c r="AP156" s="12" t="n"/>
      <c r="AQ156" s="12" t="n"/>
      <c r="AR156" s="12" t="n"/>
      <c r="AS156" s="12" t="n"/>
      <c r="AT156" s="12" t="n"/>
      <c r="AU156" s="12" t="n"/>
      <c r="AV156" s="11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</row>
    <row r="157">
      <c r="A157" s="13">
        <f>IF(B157="","","INS-"&amp;TEXT(ROW()-3,"000"))</f>
        <v/>
      </c>
      <c r="B157" s="11" t="n"/>
      <c r="C157" s="7">
        <f>IF(B157="","",ISOWEEKNUM(B157))</f>
        <v/>
      </c>
      <c r="D157" s="7">
        <f>IF(B157="","",TEXT(B157,"yyyy-mm"))</f>
        <v/>
      </c>
      <c r="E157" s="12" t="n"/>
      <c r="F157" s="12" t="n"/>
      <c r="G157" s="7">
        <f>IF(OR(E157="",F157=""),"",IF(COUNTIF(Cluster_Master!$I$3:$I$17,E157&amp;"|"&amp;F157)=1,"Valid","Review"))</f>
        <v/>
      </c>
      <c r="H157" s="7">
        <f>IF($G157&lt;&gt;"Valid","",VLOOKUP($E157&amp;"|"&amp;$F157,Cluster_Master!$I$3:$H$17,3,FALSE))</f>
        <v/>
      </c>
      <c r="I157" s="7">
        <f>IF($G157&lt;&gt;"Valid","",VLOOKUP($E157&amp;"|"&amp;$F157,Cluster_Master!$I$3:$H$17,4,FALSE))</f>
        <v/>
      </c>
      <c r="J157" s="7">
        <f>IF($G157&lt;&gt;"Valid","",VLOOKUP($E157&amp;"|"&amp;$F157,Cluster_Master!$I$3:$H$17,5,FALSE))</f>
        <v/>
      </c>
      <c r="K157" s="7">
        <f>IF($G157&lt;&gt;"Valid","",VLOOKUP($E157&amp;"|"&amp;$F157,Cluster_Master!$I$3:$H$17,6,FALSE))</f>
        <v/>
      </c>
      <c r="L157" s="7">
        <f>IF($G157&lt;&gt;"Valid","",VLOOKUP($E157&amp;"|"&amp;$F157,Cluster_Master!$I$3:$H$17,7,FALSE))</f>
        <v/>
      </c>
      <c r="M157" s="7">
        <f>IF($G157&lt;&gt;"Valid","",VLOOKUP($E157&amp;"|"&amp;$F157,Cluster_Master!$I$3:$H$17,8,FALSE))</f>
        <v/>
      </c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7">
        <f>IF(COUNT(T157:AH157)=0,"",SUM(T157:AH157))</f>
        <v/>
      </c>
      <c r="AJ157" s="10">
        <f>IF(AI157="","",AI157/75)</f>
        <v/>
      </c>
      <c r="AK157" s="10">
        <f>IF(AI157="","",SUMPRODUCT(T157:AH157,KPI_Weights!$B$3:$B$17)/5)</f>
        <v/>
      </c>
      <c r="AL157" s="7">
        <f>IF(COUNT(T157:AH157)=0,"",IF(OR(T157&lt;=1,W157&lt;=1,X157&lt;=1,Y157&lt;=1,AB157&lt;=1),"YES","NO"))</f>
        <v/>
      </c>
      <c r="AM157" s="7">
        <f>IF(AK157="","",IF(AND(AK157="NO",AJ157&gt;=0.85),"YES","NO"))</f>
        <v/>
      </c>
      <c r="AN157" s="7">
        <f>IF(AJ157="","",IF(AJ157&gt;=0.90,"Excellent",IF(AJ157&gt;=0.80,"Good",IF(AJ157&gt;=0.70,"Fair","Poor"))))</f>
        <v/>
      </c>
      <c r="AO157" s="12" t="n"/>
      <c r="AP157" s="12" t="n"/>
      <c r="AQ157" s="12" t="n"/>
      <c r="AR157" s="12" t="n"/>
      <c r="AS157" s="12" t="n"/>
      <c r="AT157" s="12" t="n"/>
      <c r="AU157" s="12" t="n"/>
      <c r="AV157" s="11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</row>
    <row r="158">
      <c r="A158" s="13">
        <f>IF(B158="","","INS-"&amp;TEXT(ROW()-3,"000"))</f>
        <v/>
      </c>
      <c r="B158" s="11" t="n"/>
      <c r="C158" s="7">
        <f>IF(B158="","",ISOWEEKNUM(B158))</f>
        <v/>
      </c>
      <c r="D158" s="7">
        <f>IF(B158="","",TEXT(B158,"yyyy-mm"))</f>
        <v/>
      </c>
      <c r="E158" s="12" t="n"/>
      <c r="F158" s="12" t="n"/>
      <c r="G158" s="7">
        <f>IF(OR(E158="",F158=""),"",IF(COUNTIF(Cluster_Master!$I$3:$I$17,E158&amp;"|"&amp;F158)=1,"Valid","Review"))</f>
        <v/>
      </c>
      <c r="H158" s="7">
        <f>IF($G158&lt;&gt;"Valid","",VLOOKUP($E158&amp;"|"&amp;$F158,Cluster_Master!$I$3:$H$17,3,FALSE))</f>
        <v/>
      </c>
      <c r="I158" s="7">
        <f>IF($G158&lt;&gt;"Valid","",VLOOKUP($E158&amp;"|"&amp;$F158,Cluster_Master!$I$3:$H$17,4,FALSE))</f>
        <v/>
      </c>
      <c r="J158" s="7">
        <f>IF($G158&lt;&gt;"Valid","",VLOOKUP($E158&amp;"|"&amp;$F158,Cluster_Master!$I$3:$H$17,5,FALSE))</f>
        <v/>
      </c>
      <c r="K158" s="7">
        <f>IF($G158&lt;&gt;"Valid","",VLOOKUP($E158&amp;"|"&amp;$F158,Cluster_Master!$I$3:$H$17,6,FALSE))</f>
        <v/>
      </c>
      <c r="L158" s="7">
        <f>IF($G158&lt;&gt;"Valid","",VLOOKUP($E158&amp;"|"&amp;$F158,Cluster_Master!$I$3:$H$17,7,FALSE))</f>
        <v/>
      </c>
      <c r="M158" s="7">
        <f>IF($G158&lt;&gt;"Valid","",VLOOKUP($E158&amp;"|"&amp;$F158,Cluster_Master!$I$3:$H$17,8,FALSE))</f>
        <v/>
      </c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7">
        <f>IF(COUNT(T158:AH158)=0,"",SUM(T158:AH158))</f>
        <v/>
      </c>
      <c r="AJ158" s="10">
        <f>IF(AI158="","",AI158/75)</f>
        <v/>
      </c>
      <c r="AK158" s="10">
        <f>IF(AI158="","",SUMPRODUCT(T158:AH158,KPI_Weights!$B$3:$B$17)/5)</f>
        <v/>
      </c>
      <c r="AL158" s="7">
        <f>IF(COUNT(T158:AH158)=0,"",IF(OR(T158&lt;=1,W158&lt;=1,X158&lt;=1,Y158&lt;=1,AB158&lt;=1),"YES","NO"))</f>
        <v/>
      </c>
      <c r="AM158" s="7">
        <f>IF(AK158="","",IF(AND(AK158="NO",AJ158&gt;=0.85),"YES","NO"))</f>
        <v/>
      </c>
      <c r="AN158" s="7">
        <f>IF(AJ158="","",IF(AJ158&gt;=0.90,"Excellent",IF(AJ158&gt;=0.80,"Good",IF(AJ158&gt;=0.70,"Fair","Poor"))))</f>
        <v/>
      </c>
      <c r="AO158" s="12" t="n"/>
      <c r="AP158" s="12" t="n"/>
      <c r="AQ158" s="12" t="n"/>
      <c r="AR158" s="12" t="n"/>
      <c r="AS158" s="12" t="n"/>
      <c r="AT158" s="12" t="n"/>
      <c r="AU158" s="12" t="n"/>
      <c r="AV158" s="11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</row>
    <row r="159">
      <c r="A159" s="13">
        <f>IF(B159="","","INS-"&amp;TEXT(ROW()-3,"000"))</f>
        <v/>
      </c>
      <c r="B159" s="11" t="n"/>
      <c r="C159" s="7">
        <f>IF(B159="","",ISOWEEKNUM(B159))</f>
        <v/>
      </c>
      <c r="D159" s="7">
        <f>IF(B159="","",TEXT(B159,"yyyy-mm"))</f>
        <v/>
      </c>
      <c r="E159" s="12" t="n"/>
      <c r="F159" s="12" t="n"/>
      <c r="G159" s="7">
        <f>IF(OR(E159="",F159=""),"",IF(COUNTIF(Cluster_Master!$I$3:$I$17,E159&amp;"|"&amp;F159)=1,"Valid","Review"))</f>
        <v/>
      </c>
      <c r="H159" s="7">
        <f>IF($G159&lt;&gt;"Valid","",VLOOKUP($E159&amp;"|"&amp;$F159,Cluster_Master!$I$3:$H$17,3,FALSE))</f>
        <v/>
      </c>
      <c r="I159" s="7">
        <f>IF($G159&lt;&gt;"Valid","",VLOOKUP($E159&amp;"|"&amp;$F159,Cluster_Master!$I$3:$H$17,4,FALSE))</f>
        <v/>
      </c>
      <c r="J159" s="7">
        <f>IF($G159&lt;&gt;"Valid","",VLOOKUP($E159&amp;"|"&amp;$F159,Cluster_Master!$I$3:$H$17,5,FALSE))</f>
        <v/>
      </c>
      <c r="K159" s="7">
        <f>IF($G159&lt;&gt;"Valid","",VLOOKUP($E159&amp;"|"&amp;$F159,Cluster_Master!$I$3:$H$17,6,FALSE))</f>
        <v/>
      </c>
      <c r="L159" s="7">
        <f>IF($G159&lt;&gt;"Valid","",VLOOKUP($E159&amp;"|"&amp;$F159,Cluster_Master!$I$3:$H$17,7,FALSE))</f>
        <v/>
      </c>
      <c r="M159" s="7">
        <f>IF($G159&lt;&gt;"Valid","",VLOOKUP($E159&amp;"|"&amp;$F159,Cluster_Master!$I$3:$H$17,8,FALSE))</f>
        <v/>
      </c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7">
        <f>IF(COUNT(T159:AH159)=0,"",SUM(T159:AH159))</f>
        <v/>
      </c>
      <c r="AJ159" s="10">
        <f>IF(AI159="","",AI159/75)</f>
        <v/>
      </c>
      <c r="AK159" s="10">
        <f>IF(AI159="","",SUMPRODUCT(T159:AH159,KPI_Weights!$B$3:$B$17)/5)</f>
        <v/>
      </c>
      <c r="AL159" s="7">
        <f>IF(COUNT(T159:AH159)=0,"",IF(OR(T159&lt;=1,W159&lt;=1,X159&lt;=1,Y159&lt;=1,AB159&lt;=1),"YES","NO"))</f>
        <v/>
      </c>
      <c r="AM159" s="7">
        <f>IF(AK159="","",IF(AND(AK159="NO",AJ159&gt;=0.85),"YES","NO"))</f>
        <v/>
      </c>
      <c r="AN159" s="7">
        <f>IF(AJ159="","",IF(AJ159&gt;=0.90,"Excellent",IF(AJ159&gt;=0.80,"Good",IF(AJ159&gt;=0.70,"Fair","Poor"))))</f>
        <v/>
      </c>
      <c r="AO159" s="12" t="n"/>
      <c r="AP159" s="12" t="n"/>
      <c r="AQ159" s="12" t="n"/>
      <c r="AR159" s="12" t="n"/>
      <c r="AS159" s="12" t="n"/>
      <c r="AT159" s="12" t="n"/>
      <c r="AU159" s="12" t="n"/>
      <c r="AV159" s="11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</row>
    <row r="160">
      <c r="A160" s="13">
        <f>IF(B160="","","INS-"&amp;TEXT(ROW()-3,"000"))</f>
        <v/>
      </c>
      <c r="B160" s="11" t="n"/>
      <c r="C160" s="7">
        <f>IF(B160="","",ISOWEEKNUM(B160))</f>
        <v/>
      </c>
      <c r="D160" s="7">
        <f>IF(B160="","",TEXT(B160,"yyyy-mm"))</f>
        <v/>
      </c>
      <c r="E160" s="12" t="n"/>
      <c r="F160" s="12" t="n"/>
      <c r="G160" s="7">
        <f>IF(OR(E160="",F160=""),"",IF(COUNTIF(Cluster_Master!$I$3:$I$17,E160&amp;"|"&amp;F160)=1,"Valid","Review"))</f>
        <v/>
      </c>
      <c r="H160" s="7">
        <f>IF($G160&lt;&gt;"Valid","",VLOOKUP($E160&amp;"|"&amp;$F160,Cluster_Master!$I$3:$H$17,3,FALSE))</f>
        <v/>
      </c>
      <c r="I160" s="7">
        <f>IF($G160&lt;&gt;"Valid","",VLOOKUP($E160&amp;"|"&amp;$F160,Cluster_Master!$I$3:$H$17,4,FALSE))</f>
        <v/>
      </c>
      <c r="J160" s="7">
        <f>IF($G160&lt;&gt;"Valid","",VLOOKUP($E160&amp;"|"&amp;$F160,Cluster_Master!$I$3:$H$17,5,FALSE))</f>
        <v/>
      </c>
      <c r="K160" s="7">
        <f>IF($G160&lt;&gt;"Valid","",VLOOKUP($E160&amp;"|"&amp;$F160,Cluster_Master!$I$3:$H$17,6,FALSE))</f>
        <v/>
      </c>
      <c r="L160" s="7">
        <f>IF($G160&lt;&gt;"Valid","",VLOOKUP($E160&amp;"|"&amp;$F160,Cluster_Master!$I$3:$H$17,7,FALSE))</f>
        <v/>
      </c>
      <c r="M160" s="7">
        <f>IF($G160&lt;&gt;"Valid","",VLOOKUP($E160&amp;"|"&amp;$F160,Cluster_Master!$I$3:$H$17,8,FALSE))</f>
        <v/>
      </c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7">
        <f>IF(COUNT(T160:AH160)=0,"",SUM(T160:AH160))</f>
        <v/>
      </c>
      <c r="AJ160" s="10">
        <f>IF(AI160="","",AI160/75)</f>
        <v/>
      </c>
      <c r="AK160" s="10">
        <f>IF(AI160="","",SUMPRODUCT(T160:AH160,KPI_Weights!$B$3:$B$17)/5)</f>
        <v/>
      </c>
      <c r="AL160" s="7">
        <f>IF(COUNT(T160:AH160)=0,"",IF(OR(T160&lt;=1,W160&lt;=1,X160&lt;=1,Y160&lt;=1,AB160&lt;=1),"YES","NO"))</f>
        <v/>
      </c>
      <c r="AM160" s="7">
        <f>IF(AK160="","",IF(AND(AK160="NO",AJ160&gt;=0.85),"YES","NO"))</f>
        <v/>
      </c>
      <c r="AN160" s="7">
        <f>IF(AJ160="","",IF(AJ160&gt;=0.90,"Excellent",IF(AJ160&gt;=0.80,"Good",IF(AJ160&gt;=0.70,"Fair","Poor"))))</f>
        <v/>
      </c>
      <c r="AO160" s="12" t="n"/>
      <c r="AP160" s="12" t="n"/>
      <c r="AQ160" s="12" t="n"/>
      <c r="AR160" s="12" t="n"/>
      <c r="AS160" s="12" t="n"/>
      <c r="AT160" s="12" t="n"/>
      <c r="AU160" s="12" t="n"/>
      <c r="AV160" s="11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</row>
    <row r="161">
      <c r="A161" s="13">
        <f>IF(B161="","","INS-"&amp;TEXT(ROW()-3,"000"))</f>
        <v/>
      </c>
      <c r="B161" s="11" t="n"/>
      <c r="C161" s="7">
        <f>IF(B161="","",ISOWEEKNUM(B161))</f>
        <v/>
      </c>
      <c r="D161" s="7">
        <f>IF(B161="","",TEXT(B161,"yyyy-mm"))</f>
        <v/>
      </c>
      <c r="E161" s="12" t="n"/>
      <c r="F161" s="12" t="n"/>
      <c r="G161" s="7">
        <f>IF(OR(E161="",F161=""),"",IF(COUNTIF(Cluster_Master!$I$3:$I$17,E161&amp;"|"&amp;F161)=1,"Valid","Review"))</f>
        <v/>
      </c>
      <c r="H161" s="7">
        <f>IF($G161&lt;&gt;"Valid","",VLOOKUP($E161&amp;"|"&amp;$F161,Cluster_Master!$I$3:$H$17,3,FALSE))</f>
        <v/>
      </c>
      <c r="I161" s="7">
        <f>IF($G161&lt;&gt;"Valid","",VLOOKUP($E161&amp;"|"&amp;$F161,Cluster_Master!$I$3:$H$17,4,FALSE))</f>
        <v/>
      </c>
      <c r="J161" s="7">
        <f>IF($G161&lt;&gt;"Valid","",VLOOKUP($E161&amp;"|"&amp;$F161,Cluster_Master!$I$3:$H$17,5,FALSE))</f>
        <v/>
      </c>
      <c r="K161" s="7">
        <f>IF($G161&lt;&gt;"Valid","",VLOOKUP($E161&amp;"|"&amp;$F161,Cluster_Master!$I$3:$H$17,6,FALSE))</f>
        <v/>
      </c>
      <c r="L161" s="7">
        <f>IF($G161&lt;&gt;"Valid","",VLOOKUP($E161&amp;"|"&amp;$F161,Cluster_Master!$I$3:$H$17,7,FALSE))</f>
        <v/>
      </c>
      <c r="M161" s="7">
        <f>IF($G161&lt;&gt;"Valid","",VLOOKUP($E161&amp;"|"&amp;$F161,Cluster_Master!$I$3:$H$17,8,FALSE))</f>
        <v/>
      </c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7">
        <f>IF(COUNT(T161:AH161)=0,"",SUM(T161:AH161))</f>
        <v/>
      </c>
      <c r="AJ161" s="10">
        <f>IF(AI161="","",AI161/75)</f>
        <v/>
      </c>
      <c r="AK161" s="10">
        <f>IF(AI161="","",SUMPRODUCT(T161:AH161,KPI_Weights!$B$3:$B$17)/5)</f>
        <v/>
      </c>
      <c r="AL161" s="7">
        <f>IF(COUNT(T161:AH161)=0,"",IF(OR(T161&lt;=1,W161&lt;=1,X161&lt;=1,Y161&lt;=1,AB161&lt;=1),"YES","NO"))</f>
        <v/>
      </c>
      <c r="AM161" s="7">
        <f>IF(AK161="","",IF(AND(AK161="NO",AJ161&gt;=0.85),"YES","NO"))</f>
        <v/>
      </c>
      <c r="AN161" s="7">
        <f>IF(AJ161="","",IF(AJ161&gt;=0.90,"Excellent",IF(AJ161&gt;=0.80,"Good",IF(AJ161&gt;=0.70,"Fair","Poor"))))</f>
        <v/>
      </c>
      <c r="AO161" s="12" t="n"/>
      <c r="AP161" s="12" t="n"/>
      <c r="AQ161" s="12" t="n"/>
      <c r="AR161" s="12" t="n"/>
      <c r="AS161" s="12" t="n"/>
      <c r="AT161" s="12" t="n"/>
      <c r="AU161" s="12" t="n"/>
      <c r="AV161" s="11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</row>
    <row r="162">
      <c r="A162" s="13">
        <f>IF(B162="","","INS-"&amp;TEXT(ROW()-3,"000"))</f>
        <v/>
      </c>
      <c r="B162" s="11" t="n"/>
      <c r="C162" s="7">
        <f>IF(B162="","",ISOWEEKNUM(B162))</f>
        <v/>
      </c>
      <c r="D162" s="7">
        <f>IF(B162="","",TEXT(B162,"yyyy-mm"))</f>
        <v/>
      </c>
      <c r="E162" s="12" t="n"/>
      <c r="F162" s="12" t="n"/>
      <c r="G162" s="7">
        <f>IF(OR(E162="",F162=""),"",IF(COUNTIF(Cluster_Master!$I$3:$I$17,E162&amp;"|"&amp;F162)=1,"Valid","Review"))</f>
        <v/>
      </c>
      <c r="H162" s="7">
        <f>IF($G162&lt;&gt;"Valid","",VLOOKUP($E162&amp;"|"&amp;$F162,Cluster_Master!$I$3:$H$17,3,FALSE))</f>
        <v/>
      </c>
      <c r="I162" s="7">
        <f>IF($G162&lt;&gt;"Valid","",VLOOKUP($E162&amp;"|"&amp;$F162,Cluster_Master!$I$3:$H$17,4,FALSE))</f>
        <v/>
      </c>
      <c r="J162" s="7">
        <f>IF($G162&lt;&gt;"Valid","",VLOOKUP($E162&amp;"|"&amp;$F162,Cluster_Master!$I$3:$H$17,5,FALSE))</f>
        <v/>
      </c>
      <c r="K162" s="7">
        <f>IF($G162&lt;&gt;"Valid","",VLOOKUP($E162&amp;"|"&amp;$F162,Cluster_Master!$I$3:$H$17,6,FALSE))</f>
        <v/>
      </c>
      <c r="L162" s="7">
        <f>IF($G162&lt;&gt;"Valid","",VLOOKUP($E162&amp;"|"&amp;$F162,Cluster_Master!$I$3:$H$17,7,FALSE))</f>
        <v/>
      </c>
      <c r="M162" s="7">
        <f>IF($G162&lt;&gt;"Valid","",VLOOKUP($E162&amp;"|"&amp;$F162,Cluster_Master!$I$3:$H$17,8,FALSE))</f>
        <v/>
      </c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7">
        <f>IF(COUNT(T162:AH162)=0,"",SUM(T162:AH162))</f>
        <v/>
      </c>
      <c r="AJ162" s="10">
        <f>IF(AI162="","",AI162/75)</f>
        <v/>
      </c>
      <c r="AK162" s="10">
        <f>IF(AI162="","",SUMPRODUCT(T162:AH162,KPI_Weights!$B$3:$B$17)/5)</f>
        <v/>
      </c>
      <c r="AL162" s="7">
        <f>IF(COUNT(T162:AH162)=0,"",IF(OR(T162&lt;=1,W162&lt;=1,X162&lt;=1,Y162&lt;=1,AB162&lt;=1),"YES","NO"))</f>
        <v/>
      </c>
      <c r="AM162" s="7">
        <f>IF(AK162="","",IF(AND(AK162="NO",AJ162&gt;=0.85),"YES","NO"))</f>
        <v/>
      </c>
      <c r="AN162" s="7">
        <f>IF(AJ162="","",IF(AJ162&gt;=0.90,"Excellent",IF(AJ162&gt;=0.80,"Good",IF(AJ162&gt;=0.70,"Fair","Poor"))))</f>
        <v/>
      </c>
      <c r="AO162" s="12" t="n"/>
      <c r="AP162" s="12" t="n"/>
      <c r="AQ162" s="12" t="n"/>
      <c r="AR162" s="12" t="n"/>
      <c r="AS162" s="12" t="n"/>
      <c r="AT162" s="12" t="n"/>
      <c r="AU162" s="12" t="n"/>
      <c r="AV162" s="11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</row>
    <row r="163">
      <c r="A163" s="13">
        <f>IF(B163="","","INS-"&amp;TEXT(ROW()-3,"000"))</f>
        <v/>
      </c>
      <c r="B163" s="11" t="n"/>
      <c r="C163" s="7">
        <f>IF(B163="","",ISOWEEKNUM(B163))</f>
        <v/>
      </c>
      <c r="D163" s="7">
        <f>IF(B163="","",TEXT(B163,"yyyy-mm"))</f>
        <v/>
      </c>
      <c r="E163" s="12" t="n"/>
      <c r="F163" s="12" t="n"/>
      <c r="G163" s="7">
        <f>IF(OR(E163="",F163=""),"",IF(COUNTIF(Cluster_Master!$I$3:$I$17,E163&amp;"|"&amp;F163)=1,"Valid","Review"))</f>
        <v/>
      </c>
      <c r="H163" s="7">
        <f>IF($G163&lt;&gt;"Valid","",VLOOKUP($E163&amp;"|"&amp;$F163,Cluster_Master!$I$3:$H$17,3,FALSE))</f>
        <v/>
      </c>
      <c r="I163" s="7">
        <f>IF($G163&lt;&gt;"Valid","",VLOOKUP($E163&amp;"|"&amp;$F163,Cluster_Master!$I$3:$H$17,4,FALSE))</f>
        <v/>
      </c>
      <c r="J163" s="7">
        <f>IF($G163&lt;&gt;"Valid","",VLOOKUP($E163&amp;"|"&amp;$F163,Cluster_Master!$I$3:$H$17,5,FALSE))</f>
        <v/>
      </c>
      <c r="K163" s="7">
        <f>IF($G163&lt;&gt;"Valid","",VLOOKUP($E163&amp;"|"&amp;$F163,Cluster_Master!$I$3:$H$17,6,FALSE))</f>
        <v/>
      </c>
      <c r="L163" s="7">
        <f>IF($G163&lt;&gt;"Valid","",VLOOKUP($E163&amp;"|"&amp;$F163,Cluster_Master!$I$3:$H$17,7,FALSE))</f>
        <v/>
      </c>
      <c r="M163" s="7">
        <f>IF($G163&lt;&gt;"Valid","",VLOOKUP($E163&amp;"|"&amp;$F163,Cluster_Master!$I$3:$H$17,8,FALSE))</f>
        <v/>
      </c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7">
        <f>IF(COUNT(T163:AH163)=0,"",SUM(T163:AH163))</f>
        <v/>
      </c>
      <c r="AJ163" s="10">
        <f>IF(AI163="","",AI163/75)</f>
        <v/>
      </c>
      <c r="AK163" s="10">
        <f>IF(AI163="","",SUMPRODUCT(T163:AH163,KPI_Weights!$B$3:$B$17)/5)</f>
        <v/>
      </c>
      <c r="AL163" s="7">
        <f>IF(COUNT(T163:AH163)=0,"",IF(OR(T163&lt;=1,W163&lt;=1,X163&lt;=1,Y163&lt;=1,AB163&lt;=1),"YES","NO"))</f>
        <v/>
      </c>
      <c r="AM163" s="7">
        <f>IF(AK163="","",IF(AND(AK163="NO",AJ163&gt;=0.85),"YES","NO"))</f>
        <v/>
      </c>
      <c r="AN163" s="7">
        <f>IF(AJ163="","",IF(AJ163&gt;=0.90,"Excellent",IF(AJ163&gt;=0.80,"Good",IF(AJ163&gt;=0.70,"Fair","Poor"))))</f>
        <v/>
      </c>
      <c r="AO163" s="12" t="n"/>
      <c r="AP163" s="12" t="n"/>
      <c r="AQ163" s="12" t="n"/>
      <c r="AR163" s="12" t="n"/>
      <c r="AS163" s="12" t="n"/>
      <c r="AT163" s="12" t="n"/>
      <c r="AU163" s="12" t="n"/>
      <c r="AV163" s="11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</row>
    <row r="164">
      <c r="A164" s="13">
        <f>IF(B164="","","INS-"&amp;TEXT(ROW()-3,"000"))</f>
        <v/>
      </c>
      <c r="B164" s="11" t="n"/>
      <c r="C164" s="7">
        <f>IF(B164="","",ISOWEEKNUM(B164))</f>
        <v/>
      </c>
      <c r="D164" s="7">
        <f>IF(B164="","",TEXT(B164,"yyyy-mm"))</f>
        <v/>
      </c>
      <c r="E164" s="12" t="n"/>
      <c r="F164" s="12" t="n"/>
      <c r="G164" s="7">
        <f>IF(OR(E164="",F164=""),"",IF(COUNTIF(Cluster_Master!$I$3:$I$17,E164&amp;"|"&amp;F164)=1,"Valid","Review"))</f>
        <v/>
      </c>
      <c r="H164" s="7">
        <f>IF($G164&lt;&gt;"Valid","",VLOOKUP($E164&amp;"|"&amp;$F164,Cluster_Master!$I$3:$H$17,3,FALSE))</f>
        <v/>
      </c>
      <c r="I164" s="7">
        <f>IF($G164&lt;&gt;"Valid","",VLOOKUP($E164&amp;"|"&amp;$F164,Cluster_Master!$I$3:$H$17,4,FALSE))</f>
        <v/>
      </c>
      <c r="J164" s="7">
        <f>IF($G164&lt;&gt;"Valid","",VLOOKUP($E164&amp;"|"&amp;$F164,Cluster_Master!$I$3:$H$17,5,FALSE))</f>
        <v/>
      </c>
      <c r="K164" s="7">
        <f>IF($G164&lt;&gt;"Valid","",VLOOKUP($E164&amp;"|"&amp;$F164,Cluster_Master!$I$3:$H$17,6,FALSE))</f>
        <v/>
      </c>
      <c r="L164" s="7">
        <f>IF($G164&lt;&gt;"Valid","",VLOOKUP($E164&amp;"|"&amp;$F164,Cluster_Master!$I$3:$H$17,7,FALSE))</f>
        <v/>
      </c>
      <c r="M164" s="7">
        <f>IF($G164&lt;&gt;"Valid","",VLOOKUP($E164&amp;"|"&amp;$F164,Cluster_Master!$I$3:$H$17,8,FALSE))</f>
        <v/>
      </c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7">
        <f>IF(COUNT(T164:AH164)=0,"",SUM(T164:AH164))</f>
        <v/>
      </c>
      <c r="AJ164" s="10">
        <f>IF(AI164="","",AI164/75)</f>
        <v/>
      </c>
      <c r="AK164" s="10">
        <f>IF(AI164="","",SUMPRODUCT(T164:AH164,KPI_Weights!$B$3:$B$17)/5)</f>
        <v/>
      </c>
      <c r="AL164" s="7">
        <f>IF(COUNT(T164:AH164)=0,"",IF(OR(T164&lt;=1,W164&lt;=1,X164&lt;=1,Y164&lt;=1,AB164&lt;=1),"YES","NO"))</f>
        <v/>
      </c>
      <c r="AM164" s="7">
        <f>IF(AK164="","",IF(AND(AK164="NO",AJ164&gt;=0.85),"YES","NO"))</f>
        <v/>
      </c>
      <c r="AN164" s="7">
        <f>IF(AJ164="","",IF(AJ164&gt;=0.90,"Excellent",IF(AJ164&gt;=0.80,"Good",IF(AJ164&gt;=0.70,"Fair","Poor"))))</f>
        <v/>
      </c>
      <c r="AO164" s="12" t="n"/>
      <c r="AP164" s="12" t="n"/>
      <c r="AQ164" s="12" t="n"/>
      <c r="AR164" s="12" t="n"/>
      <c r="AS164" s="12" t="n"/>
      <c r="AT164" s="12" t="n"/>
      <c r="AU164" s="12" t="n"/>
      <c r="AV164" s="11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</row>
    <row r="165">
      <c r="A165" s="13">
        <f>IF(B165="","","INS-"&amp;TEXT(ROW()-3,"000"))</f>
        <v/>
      </c>
      <c r="B165" s="11" t="n"/>
      <c r="C165" s="7">
        <f>IF(B165="","",ISOWEEKNUM(B165))</f>
        <v/>
      </c>
      <c r="D165" s="7">
        <f>IF(B165="","",TEXT(B165,"yyyy-mm"))</f>
        <v/>
      </c>
      <c r="E165" s="12" t="n"/>
      <c r="F165" s="12" t="n"/>
      <c r="G165" s="7">
        <f>IF(OR(E165="",F165=""),"",IF(COUNTIF(Cluster_Master!$I$3:$I$17,E165&amp;"|"&amp;F165)=1,"Valid","Review"))</f>
        <v/>
      </c>
      <c r="H165" s="7">
        <f>IF($G165&lt;&gt;"Valid","",VLOOKUP($E165&amp;"|"&amp;$F165,Cluster_Master!$I$3:$H$17,3,FALSE))</f>
        <v/>
      </c>
      <c r="I165" s="7">
        <f>IF($G165&lt;&gt;"Valid","",VLOOKUP($E165&amp;"|"&amp;$F165,Cluster_Master!$I$3:$H$17,4,FALSE))</f>
        <v/>
      </c>
      <c r="J165" s="7">
        <f>IF($G165&lt;&gt;"Valid","",VLOOKUP($E165&amp;"|"&amp;$F165,Cluster_Master!$I$3:$H$17,5,FALSE))</f>
        <v/>
      </c>
      <c r="K165" s="7">
        <f>IF($G165&lt;&gt;"Valid","",VLOOKUP($E165&amp;"|"&amp;$F165,Cluster_Master!$I$3:$H$17,6,FALSE))</f>
        <v/>
      </c>
      <c r="L165" s="7">
        <f>IF($G165&lt;&gt;"Valid","",VLOOKUP($E165&amp;"|"&amp;$F165,Cluster_Master!$I$3:$H$17,7,FALSE))</f>
        <v/>
      </c>
      <c r="M165" s="7">
        <f>IF($G165&lt;&gt;"Valid","",VLOOKUP($E165&amp;"|"&amp;$F165,Cluster_Master!$I$3:$H$17,8,FALSE))</f>
        <v/>
      </c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7">
        <f>IF(COUNT(T165:AH165)=0,"",SUM(T165:AH165))</f>
        <v/>
      </c>
      <c r="AJ165" s="10">
        <f>IF(AI165="","",AI165/75)</f>
        <v/>
      </c>
      <c r="AK165" s="10">
        <f>IF(AI165="","",SUMPRODUCT(T165:AH165,KPI_Weights!$B$3:$B$17)/5)</f>
        <v/>
      </c>
      <c r="AL165" s="7">
        <f>IF(COUNT(T165:AH165)=0,"",IF(OR(T165&lt;=1,W165&lt;=1,X165&lt;=1,Y165&lt;=1,AB165&lt;=1),"YES","NO"))</f>
        <v/>
      </c>
      <c r="AM165" s="7">
        <f>IF(AK165="","",IF(AND(AK165="NO",AJ165&gt;=0.85),"YES","NO"))</f>
        <v/>
      </c>
      <c r="AN165" s="7">
        <f>IF(AJ165="","",IF(AJ165&gt;=0.90,"Excellent",IF(AJ165&gt;=0.80,"Good",IF(AJ165&gt;=0.70,"Fair","Poor"))))</f>
        <v/>
      </c>
      <c r="AO165" s="12" t="n"/>
      <c r="AP165" s="12" t="n"/>
      <c r="AQ165" s="12" t="n"/>
      <c r="AR165" s="12" t="n"/>
      <c r="AS165" s="12" t="n"/>
      <c r="AT165" s="12" t="n"/>
      <c r="AU165" s="12" t="n"/>
      <c r="AV165" s="11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</row>
    <row r="166">
      <c r="A166" s="13">
        <f>IF(B166="","","INS-"&amp;TEXT(ROW()-3,"000"))</f>
        <v/>
      </c>
      <c r="B166" s="11" t="n"/>
      <c r="C166" s="7">
        <f>IF(B166="","",ISOWEEKNUM(B166))</f>
        <v/>
      </c>
      <c r="D166" s="7">
        <f>IF(B166="","",TEXT(B166,"yyyy-mm"))</f>
        <v/>
      </c>
      <c r="E166" s="12" t="n"/>
      <c r="F166" s="12" t="n"/>
      <c r="G166" s="7">
        <f>IF(OR(E166="",F166=""),"",IF(COUNTIF(Cluster_Master!$I$3:$I$17,E166&amp;"|"&amp;F166)=1,"Valid","Review"))</f>
        <v/>
      </c>
      <c r="H166" s="7">
        <f>IF($G166&lt;&gt;"Valid","",VLOOKUP($E166&amp;"|"&amp;$F166,Cluster_Master!$I$3:$H$17,3,FALSE))</f>
        <v/>
      </c>
      <c r="I166" s="7">
        <f>IF($G166&lt;&gt;"Valid","",VLOOKUP($E166&amp;"|"&amp;$F166,Cluster_Master!$I$3:$H$17,4,FALSE))</f>
        <v/>
      </c>
      <c r="J166" s="7">
        <f>IF($G166&lt;&gt;"Valid","",VLOOKUP($E166&amp;"|"&amp;$F166,Cluster_Master!$I$3:$H$17,5,FALSE))</f>
        <v/>
      </c>
      <c r="K166" s="7">
        <f>IF($G166&lt;&gt;"Valid","",VLOOKUP($E166&amp;"|"&amp;$F166,Cluster_Master!$I$3:$H$17,6,FALSE))</f>
        <v/>
      </c>
      <c r="L166" s="7">
        <f>IF($G166&lt;&gt;"Valid","",VLOOKUP($E166&amp;"|"&amp;$F166,Cluster_Master!$I$3:$H$17,7,FALSE))</f>
        <v/>
      </c>
      <c r="M166" s="7">
        <f>IF($G166&lt;&gt;"Valid","",VLOOKUP($E166&amp;"|"&amp;$F166,Cluster_Master!$I$3:$H$17,8,FALSE))</f>
        <v/>
      </c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7">
        <f>IF(COUNT(T166:AH166)=0,"",SUM(T166:AH166))</f>
        <v/>
      </c>
      <c r="AJ166" s="10">
        <f>IF(AI166="","",AI166/75)</f>
        <v/>
      </c>
      <c r="AK166" s="10">
        <f>IF(AI166="","",SUMPRODUCT(T166:AH166,KPI_Weights!$B$3:$B$17)/5)</f>
        <v/>
      </c>
      <c r="AL166" s="7">
        <f>IF(COUNT(T166:AH166)=0,"",IF(OR(T166&lt;=1,W166&lt;=1,X166&lt;=1,Y166&lt;=1,AB166&lt;=1),"YES","NO"))</f>
        <v/>
      </c>
      <c r="AM166" s="7">
        <f>IF(AK166="","",IF(AND(AK166="NO",AJ166&gt;=0.85),"YES","NO"))</f>
        <v/>
      </c>
      <c r="AN166" s="7">
        <f>IF(AJ166="","",IF(AJ166&gt;=0.90,"Excellent",IF(AJ166&gt;=0.80,"Good",IF(AJ166&gt;=0.70,"Fair","Poor"))))</f>
        <v/>
      </c>
      <c r="AO166" s="12" t="n"/>
      <c r="AP166" s="12" t="n"/>
      <c r="AQ166" s="12" t="n"/>
      <c r="AR166" s="12" t="n"/>
      <c r="AS166" s="12" t="n"/>
      <c r="AT166" s="12" t="n"/>
      <c r="AU166" s="12" t="n"/>
      <c r="AV166" s="11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</row>
    <row r="167">
      <c r="A167" s="13">
        <f>IF(B167="","","INS-"&amp;TEXT(ROW()-3,"000"))</f>
        <v/>
      </c>
      <c r="B167" s="11" t="n"/>
      <c r="C167" s="7">
        <f>IF(B167="","",ISOWEEKNUM(B167))</f>
        <v/>
      </c>
      <c r="D167" s="7">
        <f>IF(B167="","",TEXT(B167,"yyyy-mm"))</f>
        <v/>
      </c>
      <c r="E167" s="12" t="n"/>
      <c r="F167" s="12" t="n"/>
      <c r="G167" s="7">
        <f>IF(OR(E167="",F167=""),"",IF(COUNTIF(Cluster_Master!$I$3:$I$17,E167&amp;"|"&amp;F167)=1,"Valid","Review"))</f>
        <v/>
      </c>
      <c r="H167" s="7">
        <f>IF($G167&lt;&gt;"Valid","",VLOOKUP($E167&amp;"|"&amp;$F167,Cluster_Master!$I$3:$H$17,3,FALSE))</f>
        <v/>
      </c>
      <c r="I167" s="7">
        <f>IF($G167&lt;&gt;"Valid","",VLOOKUP($E167&amp;"|"&amp;$F167,Cluster_Master!$I$3:$H$17,4,FALSE))</f>
        <v/>
      </c>
      <c r="J167" s="7">
        <f>IF($G167&lt;&gt;"Valid","",VLOOKUP($E167&amp;"|"&amp;$F167,Cluster_Master!$I$3:$H$17,5,FALSE))</f>
        <v/>
      </c>
      <c r="K167" s="7">
        <f>IF($G167&lt;&gt;"Valid","",VLOOKUP($E167&amp;"|"&amp;$F167,Cluster_Master!$I$3:$H$17,6,FALSE))</f>
        <v/>
      </c>
      <c r="L167" s="7">
        <f>IF($G167&lt;&gt;"Valid","",VLOOKUP($E167&amp;"|"&amp;$F167,Cluster_Master!$I$3:$H$17,7,FALSE))</f>
        <v/>
      </c>
      <c r="M167" s="7">
        <f>IF($G167&lt;&gt;"Valid","",VLOOKUP($E167&amp;"|"&amp;$F167,Cluster_Master!$I$3:$H$17,8,FALSE))</f>
        <v/>
      </c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7">
        <f>IF(COUNT(T167:AH167)=0,"",SUM(T167:AH167))</f>
        <v/>
      </c>
      <c r="AJ167" s="10">
        <f>IF(AI167="","",AI167/75)</f>
        <v/>
      </c>
      <c r="AK167" s="10">
        <f>IF(AI167="","",SUMPRODUCT(T167:AH167,KPI_Weights!$B$3:$B$17)/5)</f>
        <v/>
      </c>
      <c r="AL167" s="7">
        <f>IF(COUNT(T167:AH167)=0,"",IF(OR(T167&lt;=1,W167&lt;=1,X167&lt;=1,Y167&lt;=1,AB167&lt;=1),"YES","NO"))</f>
        <v/>
      </c>
      <c r="AM167" s="7">
        <f>IF(AK167="","",IF(AND(AK167="NO",AJ167&gt;=0.85),"YES","NO"))</f>
        <v/>
      </c>
      <c r="AN167" s="7">
        <f>IF(AJ167="","",IF(AJ167&gt;=0.90,"Excellent",IF(AJ167&gt;=0.80,"Good",IF(AJ167&gt;=0.70,"Fair","Poor"))))</f>
        <v/>
      </c>
      <c r="AO167" s="12" t="n"/>
      <c r="AP167" s="12" t="n"/>
      <c r="AQ167" s="12" t="n"/>
      <c r="AR167" s="12" t="n"/>
      <c r="AS167" s="12" t="n"/>
      <c r="AT167" s="12" t="n"/>
      <c r="AU167" s="12" t="n"/>
      <c r="AV167" s="11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</row>
    <row r="168">
      <c r="A168" s="13">
        <f>IF(B168="","","INS-"&amp;TEXT(ROW()-3,"000"))</f>
        <v/>
      </c>
      <c r="B168" s="11" t="n"/>
      <c r="C168" s="7">
        <f>IF(B168="","",ISOWEEKNUM(B168))</f>
        <v/>
      </c>
      <c r="D168" s="7">
        <f>IF(B168="","",TEXT(B168,"yyyy-mm"))</f>
        <v/>
      </c>
      <c r="E168" s="12" t="n"/>
      <c r="F168" s="12" t="n"/>
      <c r="G168" s="7">
        <f>IF(OR(E168="",F168=""),"",IF(COUNTIF(Cluster_Master!$I$3:$I$17,E168&amp;"|"&amp;F168)=1,"Valid","Review"))</f>
        <v/>
      </c>
      <c r="H168" s="7">
        <f>IF($G168&lt;&gt;"Valid","",VLOOKUP($E168&amp;"|"&amp;$F168,Cluster_Master!$I$3:$H$17,3,FALSE))</f>
        <v/>
      </c>
      <c r="I168" s="7">
        <f>IF($G168&lt;&gt;"Valid","",VLOOKUP($E168&amp;"|"&amp;$F168,Cluster_Master!$I$3:$H$17,4,FALSE))</f>
        <v/>
      </c>
      <c r="J168" s="7">
        <f>IF($G168&lt;&gt;"Valid","",VLOOKUP($E168&amp;"|"&amp;$F168,Cluster_Master!$I$3:$H$17,5,FALSE))</f>
        <v/>
      </c>
      <c r="K168" s="7">
        <f>IF($G168&lt;&gt;"Valid","",VLOOKUP($E168&amp;"|"&amp;$F168,Cluster_Master!$I$3:$H$17,6,FALSE))</f>
        <v/>
      </c>
      <c r="L168" s="7">
        <f>IF($G168&lt;&gt;"Valid","",VLOOKUP($E168&amp;"|"&amp;$F168,Cluster_Master!$I$3:$H$17,7,FALSE))</f>
        <v/>
      </c>
      <c r="M168" s="7">
        <f>IF($G168&lt;&gt;"Valid","",VLOOKUP($E168&amp;"|"&amp;$F168,Cluster_Master!$I$3:$H$17,8,FALSE))</f>
        <v/>
      </c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7">
        <f>IF(COUNT(T168:AH168)=0,"",SUM(T168:AH168))</f>
        <v/>
      </c>
      <c r="AJ168" s="10">
        <f>IF(AI168="","",AI168/75)</f>
        <v/>
      </c>
      <c r="AK168" s="10">
        <f>IF(AI168="","",SUMPRODUCT(T168:AH168,KPI_Weights!$B$3:$B$17)/5)</f>
        <v/>
      </c>
      <c r="AL168" s="7">
        <f>IF(COUNT(T168:AH168)=0,"",IF(OR(T168&lt;=1,W168&lt;=1,X168&lt;=1,Y168&lt;=1,AB168&lt;=1),"YES","NO"))</f>
        <v/>
      </c>
      <c r="AM168" s="7">
        <f>IF(AK168="","",IF(AND(AK168="NO",AJ168&gt;=0.85),"YES","NO"))</f>
        <v/>
      </c>
      <c r="AN168" s="7">
        <f>IF(AJ168="","",IF(AJ168&gt;=0.90,"Excellent",IF(AJ168&gt;=0.80,"Good",IF(AJ168&gt;=0.70,"Fair","Poor"))))</f>
        <v/>
      </c>
      <c r="AO168" s="12" t="n"/>
      <c r="AP168" s="12" t="n"/>
      <c r="AQ168" s="12" t="n"/>
      <c r="AR168" s="12" t="n"/>
      <c r="AS168" s="12" t="n"/>
      <c r="AT168" s="12" t="n"/>
      <c r="AU168" s="12" t="n"/>
      <c r="AV168" s="11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</row>
    <row r="169">
      <c r="A169" s="13">
        <f>IF(B169="","","INS-"&amp;TEXT(ROW()-3,"000"))</f>
        <v/>
      </c>
      <c r="B169" s="11" t="n"/>
      <c r="C169" s="7">
        <f>IF(B169="","",ISOWEEKNUM(B169))</f>
        <v/>
      </c>
      <c r="D169" s="7">
        <f>IF(B169="","",TEXT(B169,"yyyy-mm"))</f>
        <v/>
      </c>
      <c r="E169" s="12" t="n"/>
      <c r="F169" s="12" t="n"/>
      <c r="G169" s="7">
        <f>IF(OR(E169="",F169=""),"",IF(COUNTIF(Cluster_Master!$I$3:$I$17,E169&amp;"|"&amp;F169)=1,"Valid","Review"))</f>
        <v/>
      </c>
      <c r="H169" s="7">
        <f>IF($G169&lt;&gt;"Valid","",VLOOKUP($E169&amp;"|"&amp;$F169,Cluster_Master!$I$3:$H$17,3,FALSE))</f>
        <v/>
      </c>
      <c r="I169" s="7">
        <f>IF($G169&lt;&gt;"Valid","",VLOOKUP($E169&amp;"|"&amp;$F169,Cluster_Master!$I$3:$H$17,4,FALSE))</f>
        <v/>
      </c>
      <c r="J169" s="7">
        <f>IF($G169&lt;&gt;"Valid","",VLOOKUP($E169&amp;"|"&amp;$F169,Cluster_Master!$I$3:$H$17,5,FALSE))</f>
        <v/>
      </c>
      <c r="K169" s="7">
        <f>IF($G169&lt;&gt;"Valid","",VLOOKUP($E169&amp;"|"&amp;$F169,Cluster_Master!$I$3:$H$17,6,FALSE))</f>
        <v/>
      </c>
      <c r="L169" s="7">
        <f>IF($G169&lt;&gt;"Valid","",VLOOKUP($E169&amp;"|"&amp;$F169,Cluster_Master!$I$3:$H$17,7,FALSE))</f>
        <v/>
      </c>
      <c r="M169" s="7">
        <f>IF($G169&lt;&gt;"Valid","",VLOOKUP($E169&amp;"|"&amp;$F169,Cluster_Master!$I$3:$H$17,8,FALSE))</f>
        <v/>
      </c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7">
        <f>IF(COUNT(T169:AH169)=0,"",SUM(T169:AH169))</f>
        <v/>
      </c>
      <c r="AJ169" s="10">
        <f>IF(AI169="","",AI169/75)</f>
        <v/>
      </c>
      <c r="AK169" s="10">
        <f>IF(AI169="","",SUMPRODUCT(T169:AH169,KPI_Weights!$B$3:$B$17)/5)</f>
        <v/>
      </c>
      <c r="AL169" s="7">
        <f>IF(COUNT(T169:AH169)=0,"",IF(OR(T169&lt;=1,W169&lt;=1,X169&lt;=1,Y169&lt;=1,AB169&lt;=1),"YES","NO"))</f>
        <v/>
      </c>
      <c r="AM169" s="7">
        <f>IF(AK169="","",IF(AND(AK169="NO",AJ169&gt;=0.85),"YES","NO"))</f>
        <v/>
      </c>
      <c r="AN169" s="7">
        <f>IF(AJ169="","",IF(AJ169&gt;=0.90,"Excellent",IF(AJ169&gt;=0.80,"Good",IF(AJ169&gt;=0.70,"Fair","Poor"))))</f>
        <v/>
      </c>
      <c r="AO169" s="12" t="n"/>
      <c r="AP169" s="12" t="n"/>
      <c r="AQ169" s="12" t="n"/>
      <c r="AR169" s="12" t="n"/>
      <c r="AS169" s="12" t="n"/>
      <c r="AT169" s="12" t="n"/>
      <c r="AU169" s="12" t="n"/>
      <c r="AV169" s="11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</row>
    <row r="170">
      <c r="A170" s="13">
        <f>IF(B170="","","INS-"&amp;TEXT(ROW()-3,"000"))</f>
        <v/>
      </c>
      <c r="B170" s="11" t="n"/>
      <c r="C170" s="7">
        <f>IF(B170="","",ISOWEEKNUM(B170))</f>
        <v/>
      </c>
      <c r="D170" s="7">
        <f>IF(B170="","",TEXT(B170,"yyyy-mm"))</f>
        <v/>
      </c>
      <c r="E170" s="12" t="n"/>
      <c r="F170" s="12" t="n"/>
      <c r="G170" s="7">
        <f>IF(OR(E170="",F170=""),"",IF(COUNTIF(Cluster_Master!$I$3:$I$17,E170&amp;"|"&amp;F170)=1,"Valid","Review"))</f>
        <v/>
      </c>
      <c r="H170" s="7">
        <f>IF($G170&lt;&gt;"Valid","",VLOOKUP($E170&amp;"|"&amp;$F170,Cluster_Master!$I$3:$H$17,3,FALSE))</f>
        <v/>
      </c>
      <c r="I170" s="7">
        <f>IF($G170&lt;&gt;"Valid","",VLOOKUP($E170&amp;"|"&amp;$F170,Cluster_Master!$I$3:$H$17,4,FALSE))</f>
        <v/>
      </c>
      <c r="J170" s="7">
        <f>IF($G170&lt;&gt;"Valid","",VLOOKUP($E170&amp;"|"&amp;$F170,Cluster_Master!$I$3:$H$17,5,FALSE))</f>
        <v/>
      </c>
      <c r="K170" s="7">
        <f>IF($G170&lt;&gt;"Valid","",VLOOKUP($E170&amp;"|"&amp;$F170,Cluster_Master!$I$3:$H$17,6,FALSE))</f>
        <v/>
      </c>
      <c r="L170" s="7">
        <f>IF($G170&lt;&gt;"Valid","",VLOOKUP($E170&amp;"|"&amp;$F170,Cluster_Master!$I$3:$H$17,7,FALSE))</f>
        <v/>
      </c>
      <c r="M170" s="7">
        <f>IF($G170&lt;&gt;"Valid","",VLOOKUP($E170&amp;"|"&amp;$F170,Cluster_Master!$I$3:$H$17,8,FALSE))</f>
        <v/>
      </c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7">
        <f>IF(COUNT(T170:AH170)=0,"",SUM(T170:AH170))</f>
        <v/>
      </c>
      <c r="AJ170" s="10">
        <f>IF(AI170="","",AI170/75)</f>
        <v/>
      </c>
      <c r="AK170" s="10">
        <f>IF(AI170="","",SUMPRODUCT(T170:AH170,KPI_Weights!$B$3:$B$17)/5)</f>
        <v/>
      </c>
      <c r="AL170" s="7">
        <f>IF(COUNT(T170:AH170)=0,"",IF(OR(T170&lt;=1,W170&lt;=1,X170&lt;=1,Y170&lt;=1,AB170&lt;=1),"YES","NO"))</f>
        <v/>
      </c>
      <c r="AM170" s="7">
        <f>IF(AK170="","",IF(AND(AK170="NO",AJ170&gt;=0.85),"YES","NO"))</f>
        <v/>
      </c>
      <c r="AN170" s="7">
        <f>IF(AJ170="","",IF(AJ170&gt;=0.90,"Excellent",IF(AJ170&gt;=0.80,"Good",IF(AJ170&gt;=0.70,"Fair","Poor"))))</f>
        <v/>
      </c>
      <c r="AO170" s="12" t="n"/>
      <c r="AP170" s="12" t="n"/>
      <c r="AQ170" s="12" t="n"/>
      <c r="AR170" s="12" t="n"/>
      <c r="AS170" s="12" t="n"/>
      <c r="AT170" s="12" t="n"/>
      <c r="AU170" s="12" t="n"/>
      <c r="AV170" s="11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</row>
    <row r="171">
      <c r="A171" s="13">
        <f>IF(B171="","","INS-"&amp;TEXT(ROW()-3,"000"))</f>
        <v/>
      </c>
      <c r="B171" s="11" t="n"/>
      <c r="C171" s="7">
        <f>IF(B171="","",ISOWEEKNUM(B171))</f>
        <v/>
      </c>
      <c r="D171" s="7">
        <f>IF(B171="","",TEXT(B171,"yyyy-mm"))</f>
        <v/>
      </c>
      <c r="E171" s="12" t="n"/>
      <c r="F171" s="12" t="n"/>
      <c r="G171" s="7">
        <f>IF(OR(E171="",F171=""),"",IF(COUNTIF(Cluster_Master!$I$3:$I$17,E171&amp;"|"&amp;F171)=1,"Valid","Review"))</f>
        <v/>
      </c>
      <c r="H171" s="7">
        <f>IF($G171&lt;&gt;"Valid","",VLOOKUP($E171&amp;"|"&amp;$F171,Cluster_Master!$I$3:$H$17,3,FALSE))</f>
        <v/>
      </c>
      <c r="I171" s="7">
        <f>IF($G171&lt;&gt;"Valid","",VLOOKUP($E171&amp;"|"&amp;$F171,Cluster_Master!$I$3:$H$17,4,FALSE))</f>
        <v/>
      </c>
      <c r="J171" s="7">
        <f>IF($G171&lt;&gt;"Valid","",VLOOKUP($E171&amp;"|"&amp;$F171,Cluster_Master!$I$3:$H$17,5,FALSE))</f>
        <v/>
      </c>
      <c r="K171" s="7">
        <f>IF($G171&lt;&gt;"Valid","",VLOOKUP($E171&amp;"|"&amp;$F171,Cluster_Master!$I$3:$H$17,6,FALSE))</f>
        <v/>
      </c>
      <c r="L171" s="7">
        <f>IF($G171&lt;&gt;"Valid","",VLOOKUP($E171&amp;"|"&amp;$F171,Cluster_Master!$I$3:$H$17,7,FALSE))</f>
        <v/>
      </c>
      <c r="M171" s="7">
        <f>IF($G171&lt;&gt;"Valid","",VLOOKUP($E171&amp;"|"&amp;$F171,Cluster_Master!$I$3:$H$17,8,FALSE))</f>
        <v/>
      </c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7">
        <f>IF(COUNT(T171:AH171)=0,"",SUM(T171:AH171))</f>
        <v/>
      </c>
      <c r="AJ171" s="10">
        <f>IF(AI171="","",AI171/75)</f>
        <v/>
      </c>
      <c r="AK171" s="10">
        <f>IF(AI171="","",SUMPRODUCT(T171:AH171,KPI_Weights!$B$3:$B$17)/5)</f>
        <v/>
      </c>
      <c r="AL171" s="7">
        <f>IF(COUNT(T171:AH171)=0,"",IF(OR(T171&lt;=1,W171&lt;=1,X171&lt;=1,Y171&lt;=1,AB171&lt;=1),"YES","NO"))</f>
        <v/>
      </c>
      <c r="AM171" s="7">
        <f>IF(AK171="","",IF(AND(AK171="NO",AJ171&gt;=0.85),"YES","NO"))</f>
        <v/>
      </c>
      <c r="AN171" s="7">
        <f>IF(AJ171="","",IF(AJ171&gt;=0.90,"Excellent",IF(AJ171&gt;=0.80,"Good",IF(AJ171&gt;=0.70,"Fair","Poor"))))</f>
        <v/>
      </c>
      <c r="AO171" s="12" t="n"/>
      <c r="AP171" s="12" t="n"/>
      <c r="AQ171" s="12" t="n"/>
      <c r="AR171" s="12" t="n"/>
      <c r="AS171" s="12" t="n"/>
      <c r="AT171" s="12" t="n"/>
      <c r="AU171" s="12" t="n"/>
      <c r="AV171" s="11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</row>
    <row r="172">
      <c r="A172" s="13">
        <f>IF(B172="","","INS-"&amp;TEXT(ROW()-3,"000"))</f>
        <v/>
      </c>
      <c r="B172" s="11" t="n"/>
      <c r="C172" s="7">
        <f>IF(B172="","",ISOWEEKNUM(B172))</f>
        <v/>
      </c>
      <c r="D172" s="7">
        <f>IF(B172="","",TEXT(B172,"yyyy-mm"))</f>
        <v/>
      </c>
      <c r="E172" s="12" t="n"/>
      <c r="F172" s="12" t="n"/>
      <c r="G172" s="7">
        <f>IF(OR(E172="",F172=""),"",IF(COUNTIF(Cluster_Master!$I$3:$I$17,E172&amp;"|"&amp;F172)=1,"Valid","Review"))</f>
        <v/>
      </c>
      <c r="H172" s="7">
        <f>IF($G172&lt;&gt;"Valid","",VLOOKUP($E172&amp;"|"&amp;$F172,Cluster_Master!$I$3:$H$17,3,FALSE))</f>
        <v/>
      </c>
      <c r="I172" s="7">
        <f>IF($G172&lt;&gt;"Valid","",VLOOKUP($E172&amp;"|"&amp;$F172,Cluster_Master!$I$3:$H$17,4,FALSE))</f>
        <v/>
      </c>
      <c r="J172" s="7">
        <f>IF($G172&lt;&gt;"Valid","",VLOOKUP($E172&amp;"|"&amp;$F172,Cluster_Master!$I$3:$H$17,5,FALSE))</f>
        <v/>
      </c>
      <c r="K172" s="7">
        <f>IF($G172&lt;&gt;"Valid","",VLOOKUP($E172&amp;"|"&amp;$F172,Cluster_Master!$I$3:$H$17,6,FALSE))</f>
        <v/>
      </c>
      <c r="L172" s="7">
        <f>IF($G172&lt;&gt;"Valid","",VLOOKUP($E172&amp;"|"&amp;$F172,Cluster_Master!$I$3:$H$17,7,FALSE))</f>
        <v/>
      </c>
      <c r="M172" s="7">
        <f>IF($G172&lt;&gt;"Valid","",VLOOKUP($E172&amp;"|"&amp;$F172,Cluster_Master!$I$3:$H$17,8,FALSE))</f>
        <v/>
      </c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7">
        <f>IF(COUNT(T172:AH172)=0,"",SUM(T172:AH172))</f>
        <v/>
      </c>
      <c r="AJ172" s="10">
        <f>IF(AI172="","",AI172/75)</f>
        <v/>
      </c>
      <c r="AK172" s="10">
        <f>IF(AI172="","",SUMPRODUCT(T172:AH172,KPI_Weights!$B$3:$B$17)/5)</f>
        <v/>
      </c>
      <c r="AL172" s="7">
        <f>IF(COUNT(T172:AH172)=0,"",IF(OR(T172&lt;=1,W172&lt;=1,X172&lt;=1,Y172&lt;=1,AB172&lt;=1),"YES","NO"))</f>
        <v/>
      </c>
      <c r="AM172" s="7">
        <f>IF(AK172="","",IF(AND(AK172="NO",AJ172&gt;=0.85),"YES","NO"))</f>
        <v/>
      </c>
      <c r="AN172" s="7">
        <f>IF(AJ172="","",IF(AJ172&gt;=0.90,"Excellent",IF(AJ172&gt;=0.80,"Good",IF(AJ172&gt;=0.70,"Fair","Poor"))))</f>
        <v/>
      </c>
      <c r="AO172" s="12" t="n"/>
      <c r="AP172" s="12" t="n"/>
      <c r="AQ172" s="12" t="n"/>
      <c r="AR172" s="12" t="n"/>
      <c r="AS172" s="12" t="n"/>
      <c r="AT172" s="12" t="n"/>
      <c r="AU172" s="12" t="n"/>
      <c r="AV172" s="11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</row>
    <row r="173">
      <c r="A173" s="13">
        <f>IF(B173="","","INS-"&amp;TEXT(ROW()-3,"000"))</f>
        <v/>
      </c>
      <c r="B173" s="11" t="n"/>
      <c r="C173" s="7">
        <f>IF(B173="","",ISOWEEKNUM(B173))</f>
        <v/>
      </c>
      <c r="D173" s="7">
        <f>IF(B173="","",TEXT(B173,"yyyy-mm"))</f>
        <v/>
      </c>
      <c r="E173" s="12" t="n"/>
      <c r="F173" s="12" t="n"/>
      <c r="G173" s="7">
        <f>IF(OR(E173="",F173=""),"",IF(COUNTIF(Cluster_Master!$I$3:$I$17,E173&amp;"|"&amp;F173)=1,"Valid","Review"))</f>
        <v/>
      </c>
      <c r="H173" s="7">
        <f>IF($G173&lt;&gt;"Valid","",VLOOKUP($E173&amp;"|"&amp;$F173,Cluster_Master!$I$3:$H$17,3,FALSE))</f>
        <v/>
      </c>
      <c r="I173" s="7">
        <f>IF($G173&lt;&gt;"Valid","",VLOOKUP($E173&amp;"|"&amp;$F173,Cluster_Master!$I$3:$H$17,4,FALSE))</f>
        <v/>
      </c>
      <c r="J173" s="7">
        <f>IF($G173&lt;&gt;"Valid","",VLOOKUP($E173&amp;"|"&amp;$F173,Cluster_Master!$I$3:$H$17,5,FALSE))</f>
        <v/>
      </c>
      <c r="K173" s="7">
        <f>IF($G173&lt;&gt;"Valid","",VLOOKUP($E173&amp;"|"&amp;$F173,Cluster_Master!$I$3:$H$17,6,FALSE))</f>
        <v/>
      </c>
      <c r="L173" s="7">
        <f>IF($G173&lt;&gt;"Valid","",VLOOKUP($E173&amp;"|"&amp;$F173,Cluster_Master!$I$3:$H$17,7,FALSE))</f>
        <v/>
      </c>
      <c r="M173" s="7">
        <f>IF($G173&lt;&gt;"Valid","",VLOOKUP($E173&amp;"|"&amp;$F173,Cluster_Master!$I$3:$H$17,8,FALSE))</f>
        <v/>
      </c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7">
        <f>IF(COUNT(T173:AH173)=0,"",SUM(T173:AH173))</f>
        <v/>
      </c>
      <c r="AJ173" s="10">
        <f>IF(AI173="","",AI173/75)</f>
        <v/>
      </c>
      <c r="AK173" s="10">
        <f>IF(AI173="","",SUMPRODUCT(T173:AH173,KPI_Weights!$B$3:$B$17)/5)</f>
        <v/>
      </c>
      <c r="AL173" s="7">
        <f>IF(COUNT(T173:AH173)=0,"",IF(OR(T173&lt;=1,W173&lt;=1,X173&lt;=1,Y173&lt;=1,AB173&lt;=1),"YES","NO"))</f>
        <v/>
      </c>
      <c r="AM173" s="7">
        <f>IF(AK173="","",IF(AND(AK173="NO",AJ173&gt;=0.85),"YES","NO"))</f>
        <v/>
      </c>
      <c r="AN173" s="7">
        <f>IF(AJ173="","",IF(AJ173&gt;=0.90,"Excellent",IF(AJ173&gt;=0.80,"Good",IF(AJ173&gt;=0.70,"Fair","Poor"))))</f>
        <v/>
      </c>
      <c r="AO173" s="12" t="n"/>
      <c r="AP173" s="12" t="n"/>
      <c r="AQ173" s="12" t="n"/>
      <c r="AR173" s="12" t="n"/>
      <c r="AS173" s="12" t="n"/>
      <c r="AT173" s="12" t="n"/>
      <c r="AU173" s="12" t="n"/>
      <c r="AV173" s="11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</row>
    <row r="174">
      <c r="A174" s="13">
        <f>IF(B174="","","INS-"&amp;TEXT(ROW()-3,"000"))</f>
        <v/>
      </c>
      <c r="B174" s="11" t="n"/>
      <c r="C174" s="7">
        <f>IF(B174="","",ISOWEEKNUM(B174))</f>
        <v/>
      </c>
      <c r="D174" s="7">
        <f>IF(B174="","",TEXT(B174,"yyyy-mm"))</f>
        <v/>
      </c>
      <c r="E174" s="12" t="n"/>
      <c r="F174" s="12" t="n"/>
      <c r="G174" s="7">
        <f>IF(OR(E174="",F174=""),"",IF(COUNTIF(Cluster_Master!$I$3:$I$17,E174&amp;"|"&amp;F174)=1,"Valid","Review"))</f>
        <v/>
      </c>
      <c r="H174" s="7">
        <f>IF($G174&lt;&gt;"Valid","",VLOOKUP($E174&amp;"|"&amp;$F174,Cluster_Master!$I$3:$H$17,3,FALSE))</f>
        <v/>
      </c>
      <c r="I174" s="7">
        <f>IF($G174&lt;&gt;"Valid","",VLOOKUP($E174&amp;"|"&amp;$F174,Cluster_Master!$I$3:$H$17,4,FALSE))</f>
        <v/>
      </c>
      <c r="J174" s="7">
        <f>IF($G174&lt;&gt;"Valid","",VLOOKUP($E174&amp;"|"&amp;$F174,Cluster_Master!$I$3:$H$17,5,FALSE))</f>
        <v/>
      </c>
      <c r="K174" s="7">
        <f>IF($G174&lt;&gt;"Valid","",VLOOKUP($E174&amp;"|"&amp;$F174,Cluster_Master!$I$3:$H$17,6,FALSE))</f>
        <v/>
      </c>
      <c r="L174" s="7">
        <f>IF($G174&lt;&gt;"Valid","",VLOOKUP($E174&amp;"|"&amp;$F174,Cluster_Master!$I$3:$H$17,7,FALSE))</f>
        <v/>
      </c>
      <c r="M174" s="7">
        <f>IF($G174&lt;&gt;"Valid","",VLOOKUP($E174&amp;"|"&amp;$F174,Cluster_Master!$I$3:$H$17,8,FALSE))</f>
        <v/>
      </c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7">
        <f>IF(COUNT(T174:AH174)=0,"",SUM(T174:AH174))</f>
        <v/>
      </c>
      <c r="AJ174" s="10">
        <f>IF(AI174="","",AI174/75)</f>
        <v/>
      </c>
      <c r="AK174" s="10">
        <f>IF(AI174="","",SUMPRODUCT(T174:AH174,KPI_Weights!$B$3:$B$17)/5)</f>
        <v/>
      </c>
      <c r="AL174" s="7">
        <f>IF(COUNT(T174:AH174)=0,"",IF(OR(T174&lt;=1,W174&lt;=1,X174&lt;=1,Y174&lt;=1,AB174&lt;=1),"YES","NO"))</f>
        <v/>
      </c>
      <c r="AM174" s="7">
        <f>IF(AK174="","",IF(AND(AK174="NO",AJ174&gt;=0.85),"YES","NO"))</f>
        <v/>
      </c>
      <c r="AN174" s="7">
        <f>IF(AJ174="","",IF(AJ174&gt;=0.90,"Excellent",IF(AJ174&gt;=0.80,"Good",IF(AJ174&gt;=0.70,"Fair","Poor"))))</f>
        <v/>
      </c>
      <c r="AO174" s="12" t="n"/>
      <c r="AP174" s="12" t="n"/>
      <c r="AQ174" s="12" t="n"/>
      <c r="AR174" s="12" t="n"/>
      <c r="AS174" s="12" t="n"/>
      <c r="AT174" s="12" t="n"/>
      <c r="AU174" s="12" t="n"/>
      <c r="AV174" s="11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</row>
    <row r="175">
      <c r="A175" s="13">
        <f>IF(B175="","","INS-"&amp;TEXT(ROW()-3,"000"))</f>
        <v/>
      </c>
      <c r="B175" s="11" t="n"/>
      <c r="C175" s="7">
        <f>IF(B175="","",ISOWEEKNUM(B175))</f>
        <v/>
      </c>
      <c r="D175" s="7">
        <f>IF(B175="","",TEXT(B175,"yyyy-mm"))</f>
        <v/>
      </c>
      <c r="E175" s="12" t="n"/>
      <c r="F175" s="12" t="n"/>
      <c r="G175" s="7">
        <f>IF(OR(E175="",F175=""),"",IF(COUNTIF(Cluster_Master!$I$3:$I$17,E175&amp;"|"&amp;F175)=1,"Valid","Review"))</f>
        <v/>
      </c>
      <c r="H175" s="7">
        <f>IF($G175&lt;&gt;"Valid","",VLOOKUP($E175&amp;"|"&amp;$F175,Cluster_Master!$I$3:$H$17,3,FALSE))</f>
        <v/>
      </c>
      <c r="I175" s="7">
        <f>IF($G175&lt;&gt;"Valid","",VLOOKUP($E175&amp;"|"&amp;$F175,Cluster_Master!$I$3:$H$17,4,FALSE))</f>
        <v/>
      </c>
      <c r="J175" s="7">
        <f>IF($G175&lt;&gt;"Valid","",VLOOKUP($E175&amp;"|"&amp;$F175,Cluster_Master!$I$3:$H$17,5,FALSE))</f>
        <v/>
      </c>
      <c r="K175" s="7">
        <f>IF($G175&lt;&gt;"Valid","",VLOOKUP($E175&amp;"|"&amp;$F175,Cluster_Master!$I$3:$H$17,6,FALSE))</f>
        <v/>
      </c>
      <c r="L175" s="7">
        <f>IF($G175&lt;&gt;"Valid","",VLOOKUP($E175&amp;"|"&amp;$F175,Cluster_Master!$I$3:$H$17,7,FALSE))</f>
        <v/>
      </c>
      <c r="M175" s="7">
        <f>IF($G175&lt;&gt;"Valid","",VLOOKUP($E175&amp;"|"&amp;$F175,Cluster_Master!$I$3:$H$17,8,FALSE))</f>
        <v/>
      </c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7">
        <f>IF(COUNT(T175:AH175)=0,"",SUM(T175:AH175))</f>
        <v/>
      </c>
      <c r="AJ175" s="10">
        <f>IF(AI175="","",AI175/75)</f>
        <v/>
      </c>
      <c r="AK175" s="10">
        <f>IF(AI175="","",SUMPRODUCT(T175:AH175,KPI_Weights!$B$3:$B$17)/5)</f>
        <v/>
      </c>
      <c r="AL175" s="7">
        <f>IF(COUNT(T175:AH175)=0,"",IF(OR(T175&lt;=1,W175&lt;=1,X175&lt;=1,Y175&lt;=1,AB175&lt;=1),"YES","NO"))</f>
        <v/>
      </c>
      <c r="AM175" s="7">
        <f>IF(AK175="","",IF(AND(AK175="NO",AJ175&gt;=0.85),"YES","NO"))</f>
        <v/>
      </c>
      <c r="AN175" s="7">
        <f>IF(AJ175="","",IF(AJ175&gt;=0.90,"Excellent",IF(AJ175&gt;=0.80,"Good",IF(AJ175&gt;=0.70,"Fair","Poor"))))</f>
        <v/>
      </c>
      <c r="AO175" s="12" t="n"/>
      <c r="AP175" s="12" t="n"/>
      <c r="AQ175" s="12" t="n"/>
      <c r="AR175" s="12" t="n"/>
      <c r="AS175" s="12" t="n"/>
      <c r="AT175" s="12" t="n"/>
      <c r="AU175" s="12" t="n"/>
      <c r="AV175" s="11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</row>
    <row r="176">
      <c r="A176" s="13">
        <f>IF(B176="","","INS-"&amp;TEXT(ROW()-3,"000"))</f>
        <v/>
      </c>
      <c r="B176" s="11" t="n"/>
      <c r="C176" s="7">
        <f>IF(B176="","",ISOWEEKNUM(B176))</f>
        <v/>
      </c>
      <c r="D176" s="7">
        <f>IF(B176="","",TEXT(B176,"yyyy-mm"))</f>
        <v/>
      </c>
      <c r="E176" s="12" t="n"/>
      <c r="F176" s="12" t="n"/>
      <c r="G176" s="7">
        <f>IF(OR(E176="",F176=""),"",IF(COUNTIF(Cluster_Master!$I$3:$I$17,E176&amp;"|"&amp;F176)=1,"Valid","Review"))</f>
        <v/>
      </c>
      <c r="H176" s="7">
        <f>IF($G176&lt;&gt;"Valid","",VLOOKUP($E176&amp;"|"&amp;$F176,Cluster_Master!$I$3:$H$17,3,FALSE))</f>
        <v/>
      </c>
      <c r="I176" s="7">
        <f>IF($G176&lt;&gt;"Valid","",VLOOKUP($E176&amp;"|"&amp;$F176,Cluster_Master!$I$3:$H$17,4,FALSE))</f>
        <v/>
      </c>
      <c r="J176" s="7">
        <f>IF($G176&lt;&gt;"Valid","",VLOOKUP($E176&amp;"|"&amp;$F176,Cluster_Master!$I$3:$H$17,5,FALSE))</f>
        <v/>
      </c>
      <c r="K176" s="7">
        <f>IF($G176&lt;&gt;"Valid","",VLOOKUP($E176&amp;"|"&amp;$F176,Cluster_Master!$I$3:$H$17,6,FALSE))</f>
        <v/>
      </c>
      <c r="L176" s="7">
        <f>IF($G176&lt;&gt;"Valid","",VLOOKUP($E176&amp;"|"&amp;$F176,Cluster_Master!$I$3:$H$17,7,FALSE))</f>
        <v/>
      </c>
      <c r="M176" s="7">
        <f>IF($G176&lt;&gt;"Valid","",VLOOKUP($E176&amp;"|"&amp;$F176,Cluster_Master!$I$3:$H$17,8,FALSE))</f>
        <v/>
      </c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7">
        <f>IF(COUNT(T176:AH176)=0,"",SUM(T176:AH176))</f>
        <v/>
      </c>
      <c r="AJ176" s="10">
        <f>IF(AI176="","",AI176/75)</f>
        <v/>
      </c>
      <c r="AK176" s="10">
        <f>IF(AI176="","",SUMPRODUCT(T176:AH176,KPI_Weights!$B$3:$B$17)/5)</f>
        <v/>
      </c>
      <c r="AL176" s="7">
        <f>IF(COUNT(T176:AH176)=0,"",IF(OR(T176&lt;=1,W176&lt;=1,X176&lt;=1,Y176&lt;=1,AB176&lt;=1),"YES","NO"))</f>
        <v/>
      </c>
      <c r="AM176" s="7">
        <f>IF(AK176="","",IF(AND(AK176="NO",AJ176&gt;=0.85),"YES","NO"))</f>
        <v/>
      </c>
      <c r="AN176" s="7">
        <f>IF(AJ176="","",IF(AJ176&gt;=0.90,"Excellent",IF(AJ176&gt;=0.80,"Good",IF(AJ176&gt;=0.70,"Fair","Poor"))))</f>
        <v/>
      </c>
      <c r="AO176" s="12" t="n"/>
      <c r="AP176" s="12" t="n"/>
      <c r="AQ176" s="12" t="n"/>
      <c r="AR176" s="12" t="n"/>
      <c r="AS176" s="12" t="n"/>
      <c r="AT176" s="12" t="n"/>
      <c r="AU176" s="12" t="n"/>
      <c r="AV176" s="11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</row>
    <row r="177">
      <c r="A177" s="13">
        <f>IF(B177="","","INS-"&amp;TEXT(ROW()-3,"000"))</f>
        <v/>
      </c>
      <c r="B177" s="11" t="n"/>
      <c r="C177" s="7">
        <f>IF(B177="","",ISOWEEKNUM(B177))</f>
        <v/>
      </c>
      <c r="D177" s="7">
        <f>IF(B177="","",TEXT(B177,"yyyy-mm"))</f>
        <v/>
      </c>
      <c r="E177" s="12" t="n"/>
      <c r="F177" s="12" t="n"/>
      <c r="G177" s="7">
        <f>IF(OR(E177="",F177=""),"",IF(COUNTIF(Cluster_Master!$I$3:$I$17,E177&amp;"|"&amp;F177)=1,"Valid","Review"))</f>
        <v/>
      </c>
      <c r="H177" s="7">
        <f>IF($G177&lt;&gt;"Valid","",VLOOKUP($E177&amp;"|"&amp;$F177,Cluster_Master!$I$3:$H$17,3,FALSE))</f>
        <v/>
      </c>
      <c r="I177" s="7">
        <f>IF($G177&lt;&gt;"Valid","",VLOOKUP($E177&amp;"|"&amp;$F177,Cluster_Master!$I$3:$H$17,4,FALSE))</f>
        <v/>
      </c>
      <c r="J177" s="7">
        <f>IF($G177&lt;&gt;"Valid","",VLOOKUP($E177&amp;"|"&amp;$F177,Cluster_Master!$I$3:$H$17,5,FALSE))</f>
        <v/>
      </c>
      <c r="K177" s="7">
        <f>IF($G177&lt;&gt;"Valid","",VLOOKUP($E177&amp;"|"&amp;$F177,Cluster_Master!$I$3:$H$17,6,FALSE))</f>
        <v/>
      </c>
      <c r="L177" s="7">
        <f>IF($G177&lt;&gt;"Valid","",VLOOKUP($E177&amp;"|"&amp;$F177,Cluster_Master!$I$3:$H$17,7,FALSE))</f>
        <v/>
      </c>
      <c r="M177" s="7">
        <f>IF($G177&lt;&gt;"Valid","",VLOOKUP($E177&amp;"|"&amp;$F177,Cluster_Master!$I$3:$H$17,8,FALSE))</f>
        <v/>
      </c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7">
        <f>IF(COUNT(T177:AH177)=0,"",SUM(T177:AH177))</f>
        <v/>
      </c>
      <c r="AJ177" s="10">
        <f>IF(AI177="","",AI177/75)</f>
        <v/>
      </c>
      <c r="AK177" s="10">
        <f>IF(AI177="","",SUMPRODUCT(T177:AH177,KPI_Weights!$B$3:$B$17)/5)</f>
        <v/>
      </c>
      <c r="AL177" s="7">
        <f>IF(COUNT(T177:AH177)=0,"",IF(OR(T177&lt;=1,W177&lt;=1,X177&lt;=1,Y177&lt;=1,AB177&lt;=1),"YES","NO"))</f>
        <v/>
      </c>
      <c r="AM177" s="7">
        <f>IF(AK177="","",IF(AND(AK177="NO",AJ177&gt;=0.85),"YES","NO"))</f>
        <v/>
      </c>
      <c r="AN177" s="7">
        <f>IF(AJ177="","",IF(AJ177&gt;=0.90,"Excellent",IF(AJ177&gt;=0.80,"Good",IF(AJ177&gt;=0.70,"Fair","Poor"))))</f>
        <v/>
      </c>
      <c r="AO177" s="12" t="n"/>
      <c r="AP177" s="12" t="n"/>
      <c r="AQ177" s="12" t="n"/>
      <c r="AR177" s="12" t="n"/>
      <c r="AS177" s="12" t="n"/>
      <c r="AT177" s="12" t="n"/>
      <c r="AU177" s="12" t="n"/>
      <c r="AV177" s="11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</row>
    <row r="178">
      <c r="A178" s="13">
        <f>IF(B178="","","INS-"&amp;TEXT(ROW()-3,"000"))</f>
        <v/>
      </c>
      <c r="B178" s="11" t="n"/>
      <c r="C178" s="7">
        <f>IF(B178="","",ISOWEEKNUM(B178))</f>
        <v/>
      </c>
      <c r="D178" s="7">
        <f>IF(B178="","",TEXT(B178,"yyyy-mm"))</f>
        <v/>
      </c>
      <c r="E178" s="12" t="n"/>
      <c r="F178" s="12" t="n"/>
      <c r="G178" s="7">
        <f>IF(OR(E178="",F178=""),"",IF(COUNTIF(Cluster_Master!$I$3:$I$17,E178&amp;"|"&amp;F178)=1,"Valid","Review"))</f>
        <v/>
      </c>
      <c r="H178" s="7">
        <f>IF($G178&lt;&gt;"Valid","",VLOOKUP($E178&amp;"|"&amp;$F178,Cluster_Master!$I$3:$H$17,3,FALSE))</f>
        <v/>
      </c>
      <c r="I178" s="7">
        <f>IF($G178&lt;&gt;"Valid","",VLOOKUP($E178&amp;"|"&amp;$F178,Cluster_Master!$I$3:$H$17,4,FALSE))</f>
        <v/>
      </c>
      <c r="J178" s="7">
        <f>IF($G178&lt;&gt;"Valid","",VLOOKUP($E178&amp;"|"&amp;$F178,Cluster_Master!$I$3:$H$17,5,FALSE))</f>
        <v/>
      </c>
      <c r="K178" s="7">
        <f>IF($G178&lt;&gt;"Valid","",VLOOKUP($E178&amp;"|"&amp;$F178,Cluster_Master!$I$3:$H$17,6,FALSE))</f>
        <v/>
      </c>
      <c r="L178" s="7">
        <f>IF($G178&lt;&gt;"Valid","",VLOOKUP($E178&amp;"|"&amp;$F178,Cluster_Master!$I$3:$H$17,7,FALSE))</f>
        <v/>
      </c>
      <c r="M178" s="7">
        <f>IF($G178&lt;&gt;"Valid","",VLOOKUP($E178&amp;"|"&amp;$F178,Cluster_Master!$I$3:$H$17,8,FALSE))</f>
        <v/>
      </c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7">
        <f>IF(COUNT(T178:AH178)=0,"",SUM(T178:AH178))</f>
        <v/>
      </c>
      <c r="AJ178" s="10">
        <f>IF(AI178="","",AI178/75)</f>
        <v/>
      </c>
      <c r="AK178" s="10">
        <f>IF(AI178="","",SUMPRODUCT(T178:AH178,KPI_Weights!$B$3:$B$17)/5)</f>
        <v/>
      </c>
      <c r="AL178" s="7">
        <f>IF(COUNT(T178:AH178)=0,"",IF(OR(T178&lt;=1,W178&lt;=1,X178&lt;=1,Y178&lt;=1,AB178&lt;=1),"YES","NO"))</f>
        <v/>
      </c>
      <c r="AM178" s="7">
        <f>IF(AK178="","",IF(AND(AK178="NO",AJ178&gt;=0.85),"YES","NO"))</f>
        <v/>
      </c>
      <c r="AN178" s="7">
        <f>IF(AJ178="","",IF(AJ178&gt;=0.90,"Excellent",IF(AJ178&gt;=0.80,"Good",IF(AJ178&gt;=0.70,"Fair","Poor"))))</f>
        <v/>
      </c>
      <c r="AO178" s="12" t="n"/>
      <c r="AP178" s="12" t="n"/>
      <c r="AQ178" s="12" t="n"/>
      <c r="AR178" s="12" t="n"/>
      <c r="AS178" s="12" t="n"/>
      <c r="AT178" s="12" t="n"/>
      <c r="AU178" s="12" t="n"/>
      <c r="AV178" s="11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</row>
    <row r="179">
      <c r="A179" s="13">
        <f>IF(B179="","","INS-"&amp;TEXT(ROW()-3,"000"))</f>
        <v/>
      </c>
      <c r="B179" s="11" t="n"/>
      <c r="C179" s="7">
        <f>IF(B179="","",ISOWEEKNUM(B179))</f>
        <v/>
      </c>
      <c r="D179" s="7">
        <f>IF(B179="","",TEXT(B179,"yyyy-mm"))</f>
        <v/>
      </c>
      <c r="E179" s="12" t="n"/>
      <c r="F179" s="12" t="n"/>
      <c r="G179" s="7">
        <f>IF(OR(E179="",F179=""),"",IF(COUNTIF(Cluster_Master!$I$3:$I$17,E179&amp;"|"&amp;F179)=1,"Valid","Review"))</f>
        <v/>
      </c>
      <c r="H179" s="7">
        <f>IF($G179&lt;&gt;"Valid","",VLOOKUP($E179&amp;"|"&amp;$F179,Cluster_Master!$I$3:$H$17,3,FALSE))</f>
        <v/>
      </c>
      <c r="I179" s="7">
        <f>IF($G179&lt;&gt;"Valid","",VLOOKUP($E179&amp;"|"&amp;$F179,Cluster_Master!$I$3:$H$17,4,FALSE))</f>
        <v/>
      </c>
      <c r="J179" s="7">
        <f>IF($G179&lt;&gt;"Valid","",VLOOKUP($E179&amp;"|"&amp;$F179,Cluster_Master!$I$3:$H$17,5,FALSE))</f>
        <v/>
      </c>
      <c r="K179" s="7">
        <f>IF($G179&lt;&gt;"Valid","",VLOOKUP($E179&amp;"|"&amp;$F179,Cluster_Master!$I$3:$H$17,6,FALSE))</f>
        <v/>
      </c>
      <c r="L179" s="7">
        <f>IF($G179&lt;&gt;"Valid","",VLOOKUP($E179&amp;"|"&amp;$F179,Cluster_Master!$I$3:$H$17,7,FALSE))</f>
        <v/>
      </c>
      <c r="M179" s="7">
        <f>IF($G179&lt;&gt;"Valid","",VLOOKUP($E179&amp;"|"&amp;$F179,Cluster_Master!$I$3:$H$17,8,FALSE))</f>
        <v/>
      </c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7">
        <f>IF(COUNT(T179:AH179)=0,"",SUM(T179:AH179))</f>
        <v/>
      </c>
      <c r="AJ179" s="10">
        <f>IF(AI179="","",AI179/75)</f>
        <v/>
      </c>
      <c r="AK179" s="10">
        <f>IF(AI179="","",SUMPRODUCT(T179:AH179,KPI_Weights!$B$3:$B$17)/5)</f>
        <v/>
      </c>
      <c r="AL179" s="7">
        <f>IF(COUNT(T179:AH179)=0,"",IF(OR(T179&lt;=1,W179&lt;=1,X179&lt;=1,Y179&lt;=1,AB179&lt;=1),"YES","NO"))</f>
        <v/>
      </c>
      <c r="AM179" s="7">
        <f>IF(AK179="","",IF(AND(AK179="NO",AJ179&gt;=0.85),"YES","NO"))</f>
        <v/>
      </c>
      <c r="AN179" s="7">
        <f>IF(AJ179="","",IF(AJ179&gt;=0.90,"Excellent",IF(AJ179&gt;=0.80,"Good",IF(AJ179&gt;=0.70,"Fair","Poor"))))</f>
        <v/>
      </c>
      <c r="AO179" s="12" t="n"/>
      <c r="AP179" s="12" t="n"/>
      <c r="AQ179" s="12" t="n"/>
      <c r="AR179" s="12" t="n"/>
      <c r="AS179" s="12" t="n"/>
      <c r="AT179" s="12" t="n"/>
      <c r="AU179" s="12" t="n"/>
      <c r="AV179" s="11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</row>
    <row r="180">
      <c r="A180" s="13">
        <f>IF(B180="","","INS-"&amp;TEXT(ROW()-3,"000"))</f>
        <v/>
      </c>
      <c r="B180" s="11" t="n"/>
      <c r="C180" s="7">
        <f>IF(B180="","",ISOWEEKNUM(B180))</f>
        <v/>
      </c>
      <c r="D180" s="7">
        <f>IF(B180="","",TEXT(B180,"yyyy-mm"))</f>
        <v/>
      </c>
      <c r="E180" s="12" t="n"/>
      <c r="F180" s="12" t="n"/>
      <c r="G180" s="7">
        <f>IF(OR(E180="",F180=""),"",IF(COUNTIF(Cluster_Master!$I$3:$I$17,E180&amp;"|"&amp;F180)=1,"Valid","Review"))</f>
        <v/>
      </c>
      <c r="H180" s="7">
        <f>IF($G180&lt;&gt;"Valid","",VLOOKUP($E180&amp;"|"&amp;$F180,Cluster_Master!$I$3:$H$17,3,FALSE))</f>
        <v/>
      </c>
      <c r="I180" s="7">
        <f>IF($G180&lt;&gt;"Valid","",VLOOKUP($E180&amp;"|"&amp;$F180,Cluster_Master!$I$3:$H$17,4,FALSE))</f>
        <v/>
      </c>
      <c r="J180" s="7">
        <f>IF($G180&lt;&gt;"Valid","",VLOOKUP($E180&amp;"|"&amp;$F180,Cluster_Master!$I$3:$H$17,5,FALSE))</f>
        <v/>
      </c>
      <c r="K180" s="7">
        <f>IF($G180&lt;&gt;"Valid","",VLOOKUP($E180&amp;"|"&amp;$F180,Cluster_Master!$I$3:$H$17,6,FALSE))</f>
        <v/>
      </c>
      <c r="L180" s="7">
        <f>IF($G180&lt;&gt;"Valid","",VLOOKUP($E180&amp;"|"&amp;$F180,Cluster_Master!$I$3:$H$17,7,FALSE))</f>
        <v/>
      </c>
      <c r="M180" s="7">
        <f>IF($G180&lt;&gt;"Valid","",VLOOKUP($E180&amp;"|"&amp;$F180,Cluster_Master!$I$3:$H$17,8,FALSE))</f>
        <v/>
      </c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7">
        <f>IF(COUNT(T180:AH180)=0,"",SUM(T180:AH180))</f>
        <v/>
      </c>
      <c r="AJ180" s="10">
        <f>IF(AI180="","",AI180/75)</f>
        <v/>
      </c>
      <c r="AK180" s="10">
        <f>IF(AI180="","",SUMPRODUCT(T180:AH180,KPI_Weights!$B$3:$B$17)/5)</f>
        <v/>
      </c>
      <c r="AL180" s="7">
        <f>IF(COUNT(T180:AH180)=0,"",IF(OR(T180&lt;=1,W180&lt;=1,X180&lt;=1,Y180&lt;=1,AB180&lt;=1),"YES","NO"))</f>
        <v/>
      </c>
      <c r="AM180" s="7">
        <f>IF(AK180="","",IF(AND(AK180="NO",AJ180&gt;=0.85),"YES","NO"))</f>
        <v/>
      </c>
      <c r="AN180" s="7">
        <f>IF(AJ180="","",IF(AJ180&gt;=0.90,"Excellent",IF(AJ180&gt;=0.80,"Good",IF(AJ180&gt;=0.70,"Fair","Poor"))))</f>
        <v/>
      </c>
      <c r="AO180" s="12" t="n"/>
      <c r="AP180" s="12" t="n"/>
      <c r="AQ180" s="12" t="n"/>
      <c r="AR180" s="12" t="n"/>
      <c r="AS180" s="12" t="n"/>
      <c r="AT180" s="12" t="n"/>
      <c r="AU180" s="12" t="n"/>
      <c r="AV180" s="11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</row>
    <row r="181">
      <c r="A181" s="13">
        <f>IF(B181="","","INS-"&amp;TEXT(ROW()-3,"000"))</f>
        <v/>
      </c>
      <c r="B181" s="11" t="n"/>
      <c r="C181" s="7">
        <f>IF(B181="","",ISOWEEKNUM(B181))</f>
        <v/>
      </c>
      <c r="D181" s="7">
        <f>IF(B181="","",TEXT(B181,"yyyy-mm"))</f>
        <v/>
      </c>
      <c r="E181" s="12" t="n"/>
      <c r="F181" s="12" t="n"/>
      <c r="G181" s="7">
        <f>IF(OR(E181="",F181=""),"",IF(COUNTIF(Cluster_Master!$I$3:$I$17,E181&amp;"|"&amp;F181)=1,"Valid","Review"))</f>
        <v/>
      </c>
      <c r="H181" s="7">
        <f>IF($G181&lt;&gt;"Valid","",VLOOKUP($E181&amp;"|"&amp;$F181,Cluster_Master!$I$3:$H$17,3,FALSE))</f>
        <v/>
      </c>
      <c r="I181" s="7">
        <f>IF($G181&lt;&gt;"Valid","",VLOOKUP($E181&amp;"|"&amp;$F181,Cluster_Master!$I$3:$H$17,4,FALSE))</f>
        <v/>
      </c>
      <c r="J181" s="7">
        <f>IF($G181&lt;&gt;"Valid","",VLOOKUP($E181&amp;"|"&amp;$F181,Cluster_Master!$I$3:$H$17,5,FALSE))</f>
        <v/>
      </c>
      <c r="K181" s="7">
        <f>IF($G181&lt;&gt;"Valid","",VLOOKUP($E181&amp;"|"&amp;$F181,Cluster_Master!$I$3:$H$17,6,FALSE))</f>
        <v/>
      </c>
      <c r="L181" s="7">
        <f>IF($G181&lt;&gt;"Valid","",VLOOKUP($E181&amp;"|"&amp;$F181,Cluster_Master!$I$3:$H$17,7,FALSE))</f>
        <v/>
      </c>
      <c r="M181" s="7">
        <f>IF($G181&lt;&gt;"Valid","",VLOOKUP($E181&amp;"|"&amp;$F181,Cluster_Master!$I$3:$H$17,8,FALSE))</f>
        <v/>
      </c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7">
        <f>IF(COUNT(T181:AH181)=0,"",SUM(T181:AH181))</f>
        <v/>
      </c>
      <c r="AJ181" s="10">
        <f>IF(AI181="","",AI181/75)</f>
        <v/>
      </c>
      <c r="AK181" s="10">
        <f>IF(AI181="","",SUMPRODUCT(T181:AH181,KPI_Weights!$B$3:$B$17)/5)</f>
        <v/>
      </c>
      <c r="AL181" s="7">
        <f>IF(COUNT(T181:AH181)=0,"",IF(OR(T181&lt;=1,W181&lt;=1,X181&lt;=1,Y181&lt;=1,AB181&lt;=1),"YES","NO"))</f>
        <v/>
      </c>
      <c r="AM181" s="7">
        <f>IF(AK181="","",IF(AND(AK181="NO",AJ181&gt;=0.85),"YES","NO"))</f>
        <v/>
      </c>
      <c r="AN181" s="7">
        <f>IF(AJ181="","",IF(AJ181&gt;=0.90,"Excellent",IF(AJ181&gt;=0.80,"Good",IF(AJ181&gt;=0.70,"Fair","Poor"))))</f>
        <v/>
      </c>
      <c r="AO181" s="12" t="n"/>
      <c r="AP181" s="12" t="n"/>
      <c r="AQ181" s="12" t="n"/>
      <c r="AR181" s="12" t="n"/>
      <c r="AS181" s="12" t="n"/>
      <c r="AT181" s="12" t="n"/>
      <c r="AU181" s="12" t="n"/>
      <c r="AV181" s="11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</row>
    <row r="182">
      <c r="A182" s="13">
        <f>IF(B182="","","INS-"&amp;TEXT(ROW()-3,"000"))</f>
        <v/>
      </c>
      <c r="B182" s="11" t="n"/>
      <c r="C182" s="7">
        <f>IF(B182="","",ISOWEEKNUM(B182))</f>
        <v/>
      </c>
      <c r="D182" s="7">
        <f>IF(B182="","",TEXT(B182,"yyyy-mm"))</f>
        <v/>
      </c>
      <c r="E182" s="12" t="n"/>
      <c r="F182" s="12" t="n"/>
      <c r="G182" s="7">
        <f>IF(OR(E182="",F182=""),"",IF(COUNTIF(Cluster_Master!$I$3:$I$17,E182&amp;"|"&amp;F182)=1,"Valid","Review"))</f>
        <v/>
      </c>
      <c r="H182" s="7">
        <f>IF($G182&lt;&gt;"Valid","",VLOOKUP($E182&amp;"|"&amp;$F182,Cluster_Master!$I$3:$H$17,3,FALSE))</f>
        <v/>
      </c>
      <c r="I182" s="7">
        <f>IF($G182&lt;&gt;"Valid","",VLOOKUP($E182&amp;"|"&amp;$F182,Cluster_Master!$I$3:$H$17,4,FALSE))</f>
        <v/>
      </c>
      <c r="J182" s="7">
        <f>IF($G182&lt;&gt;"Valid","",VLOOKUP($E182&amp;"|"&amp;$F182,Cluster_Master!$I$3:$H$17,5,FALSE))</f>
        <v/>
      </c>
      <c r="K182" s="7">
        <f>IF($G182&lt;&gt;"Valid","",VLOOKUP($E182&amp;"|"&amp;$F182,Cluster_Master!$I$3:$H$17,6,FALSE))</f>
        <v/>
      </c>
      <c r="L182" s="7">
        <f>IF($G182&lt;&gt;"Valid","",VLOOKUP($E182&amp;"|"&amp;$F182,Cluster_Master!$I$3:$H$17,7,FALSE))</f>
        <v/>
      </c>
      <c r="M182" s="7">
        <f>IF($G182&lt;&gt;"Valid","",VLOOKUP($E182&amp;"|"&amp;$F182,Cluster_Master!$I$3:$H$17,8,FALSE))</f>
        <v/>
      </c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7">
        <f>IF(COUNT(T182:AH182)=0,"",SUM(T182:AH182))</f>
        <v/>
      </c>
      <c r="AJ182" s="10">
        <f>IF(AI182="","",AI182/75)</f>
        <v/>
      </c>
      <c r="AK182" s="10">
        <f>IF(AI182="","",SUMPRODUCT(T182:AH182,KPI_Weights!$B$3:$B$17)/5)</f>
        <v/>
      </c>
      <c r="AL182" s="7">
        <f>IF(COUNT(T182:AH182)=0,"",IF(OR(T182&lt;=1,W182&lt;=1,X182&lt;=1,Y182&lt;=1,AB182&lt;=1),"YES","NO"))</f>
        <v/>
      </c>
      <c r="AM182" s="7">
        <f>IF(AK182="","",IF(AND(AK182="NO",AJ182&gt;=0.85),"YES","NO"))</f>
        <v/>
      </c>
      <c r="AN182" s="7">
        <f>IF(AJ182="","",IF(AJ182&gt;=0.90,"Excellent",IF(AJ182&gt;=0.80,"Good",IF(AJ182&gt;=0.70,"Fair","Poor"))))</f>
        <v/>
      </c>
      <c r="AO182" s="12" t="n"/>
      <c r="AP182" s="12" t="n"/>
      <c r="AQ182" s="12" t="n"/>
      <c r="AR182" s="12" t="n"/>
      <c r="AS182" s="12" t="n"/>
      <c r="AT182" s="12" t="n"/>
      <c r="AU182" s="12" t="n"/>
      <c r="AV182" s="11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</row>
    <row r="183">
      <c r="A183" s="13">
        <f>IF(B183="","","INS-"&amp;TEXT(ROW()-3,"000"))</f>
        <v/>
      </c>
      <c r="B183" s="11" t="n"/>
      <c r="C183" s="7">
        <f>IF(B183="","",ISOWEEKNUM(B183))</f>
        <v/>
      </c>
      <c r="D183" s="7">
        <f>IF(B183="","",TEXT(B183,"yyyy-mm"))</f>
        <v/>
      </c>
      <c r="E183" s="12" t="n"/>
      <c r="F183" s="12" t="n"/>
      <c r="G183" s="7">
        <f>IF(OR(E183="",F183=""),"",IF(COUNTIF(Cluster_Master!$I$3:$I$17,E183&amp;"|"&amp;F183)=1,"Valid","Review"))</f>
        <v/>
      </c>
      <c r="H183" s="7">
        <f>IF($G183&lt;&gt;"Valid","",VLOOKUP($E183&amp;"|"&amp;$F183,Cluster_Master!$I$3:$H$17,3,FALSE))</f>
        <v/>
      </c>
      <c r="I183" s="7">
        <f>IF($G183&lt;&gt;"Valid","",VLOOKUP($E183&amp;"|"&amp;$F183,Cluster_Master!$I$3:$H$17,4,FALSE))</f>
        <v/>
      </c>
      <c r="J183" s="7">
        <f>IF($G183&lt;&gt;"Valid","",VLOOKUP($E183&amp;"|"&amp;$F183,Cluster_Master!$I$3:$H$17,5,FALSE))</f>
        <v/>
      </c>
      <c r="K183" s="7">
        <f>IF($G183&lt;&gt;"Valid","",VLOOKUP($E183&amp;"|"&amp;$F183,Cluster_Master!$I$3:$H$17,6,FALSE))</f>
        <v/>
      </c>
      <c r="L183" s="7">
        <f>IF($G183&lt;&gt;"Valid","",VLOOKUP($E183&amp;"|"&amp;$F183,Cluster_Master!$I$3:$H$17,7,FALSE))</f>
        <v/>
      </c>
      <c r="M183" s="7">
        <f>IF($G183&lt;&gt;"Valid","",VLOOKUP($E183&amp;"|"&amp;$F183,Cluster_Master!$I$3:$H$17,8,FALSE))</f>
        <v/>
      </c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7">
        <f>IF(COUNT(T183:AH183)=0,"",SUM(T183:AH183))</f>
        <v/>
      </c>
      <c r="AJ183" s="10">
        <f>IF(AI183="","",AI183/75)</f>
        <v/>
      </c>
      <c r="AK183" s="10">
        <f>IF(AI183="","",SUMPRODUCT(T183:AH183,KPI_Weights!$B$3:$B$17)/5)</f>
        <v/>
      </c>
      <c r="AL183" s="7">
        <f>IF(COUNT(T183:AH183)=0,"",IF(OR(T183&lt;=1,W183&lt;=1,X183&lt;=1,Y183&lt;=1,AB183&lt;=1),"YES","NO"))</f>
        <v/>
      </c>
      <c r="AM183" s="7">
        <f>IF(AK183="","",IF(AND(AK183="NO",AJ183&gt;=0.85),"YES","NO"))</f>
        <v/>
      </c>
      <c r="AN183" s="7">
        <f>IF(AJ183="","",IF(AJ183&gt;=0.90,"Excellent",IF(AJ183&gt;=0.80,"Good",IF(AJ183&gt;=0.70,"Fair","Poor"))))</f>
        <v/>
      </c>
      <c r="AO183" s="12" t="n"/>
      <c r="AP183" s="12" t="n"/>
      <c r="AQ183" s="12" t="n"/>
      <c r="AR183" s="12" t="n"/>
      <c r="AS183" s="12" t="n"/>
      <c r="AT183" s="12" t="n"/>
      <c r="AU183" s="12" t="n"/>
      <c r="AV183" s="11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</row>
    <row r="184">
      <c r="A184" s="13">
        <f>IF(B184="","","INS-"&amp;TEXT(ROW()-3,"000"))</f>
        <v/>
      </c>
      <c r="B184" s="11" t="n"/>
      <c r="C184" s="7">
        <f>IF(B184="","",ISOWEEKNUM(B184))</f>
        <v/>
      </c>
      <c r="D184" s="7">
        <f>IF(B184="","",TEXT(B184,"yyyy-mm"))</f>
        <v/>
      </c>
      <c r="E184" s="12" t="n"/>
      <c r="F184" s="12" t="n"/>
      <c r="G184" s="7">
        <f>IF(OR(E184="",F184=""),"",IF(COUNTIF(Cluster_Master!$I$3:$I$17,E184&amp;"|"&amp;F184)=1,"Valid","Review"))</f>
        <v/>
      </c>
      <c r="H184" s="7">
        <f>IF($G184&lt;&gt;"Valid","",VLOOKUP($E184&amp;"|"&amp;$F184,Cluster_Master!$I$3:$H$17,3,FALSE))</f>
        <v/>
      </c>
      <c r="I184" s="7">
        <f>IF($G184&lt;&gt;"Valid","",VLOOKUP($E184&amp;"|"&amp;$F184,Cluster_Master!$I$3:$H$17,4,FALSE))</f>
        <v/>
      </c>
      <c r="J184" s="7">
        <f>IF($G184&lt;&gt;"Valid","",VLOOKUP($E184&amp;"|"&amp;$F184,Cluster_Master!$I$3:$H$17,5,FALSE))</f>
        <v/>
      </c>
      <c r="K184" s="7">
        <f>IF($G184&lt;&gt;"Valid","",VLOOKUP($E184&amp;"|"&amp;$F184,Cluster_Master!$I$3:$H$17,6,FALSE))</f>
        <v/>
      </c>
      <c r="L184" s="7">
        <f>IF($G184&lt;&gt;"Valid","",VLOOKUP($E184&amp;"|"&amp;$F184,Cluster_Master!$I$3:$H$17,7,FALSE))</f>
        <v/>
      </c>
      <c r="M184" s="7">
        <f>IF($G184&lt;&gt;"Valid","",VLOOKUP($E184&amp;"|"&amp;$F184,Cluster_Master!$I$3:$H$17,8,FALSE))</f>
        <v/>
      </c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7">
        <f>IF(COUNT(T184:AH184)=0,"",SUM(T184:AH184))</f>
        <v/>
      </c>
      <c r="AJ184" s="10">
        <f>IF(AI184="","",AI184/75)</f>
        <v/>
      </c>
      <c r="AK184" s="10">
        <f>IF(AI184="","",SUMPRODUCT(T184:AH184,KPI_Weights!$B$3:$B$17)/5)</f>
        <v/>
      </c>
      <c r="AL184" s="7">
        <f>IF(COUNT(T184:AH184)=0,"",IF(OR(T184&lt;=1,W184&lt;=1,X184&lt;=1,Y184&lt;=1,AB184&lt;=1),"YES","NO"))</f>
        <v/>
      </c>
      <c r="AM184" s="7">
        <f>IF(AK184="","",IF(AND(AK184="NO",AJ184&gt;=0.85),"YES","NO"))</f>
        <v/>
      </c>
      <c r="AN184" s="7">
        <f>IF(AJ184="","",IF(AJ184&gt;=0.90,"Excellent",IF(AJ184&gt;=0.80,"Good",IF(AJ184&gt;=0.70,"Fair","Poor"))))</f>
        <v/>
      </c>
      <c r="AO184" s="12" t="n"/>
      <c r="AP184" s="12" t="n"/>
      <c r="AQ184" s="12" t="n"/>
      <c r="AR184" s="12" t="n"/>
      <c r="AS184" s="12" t="n"/>
      <c r="AT184" s="12" t="n"/>
      <c r="AU184" s="12" t="n"/>
      <c r="AV184" s="11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</row>
    <row r="185">
      <c r="A185" s="13">
        <f>IF(B185="","","INS-"&amp;TEXT(ROW()-3,"000"))</f>
        <v/>
      </c>
      <c r="B185" s="11" t="n"/>
      <c r="C185" s="7">
        <f>IF(B185="","",ISOWEEKNUM(B185))</f>
        <v/>
      </c>
      <c r="D185" s="7">
        <f>IF(B185="","",TEXT(B185,"yyyy-mm"))</f>
        <v/>
      </c>
      <c r="E185" s="12" t="n"/>
      <c r="F185" s="12" t="n"/>
      <c r="G185" s="7">
        <f>IF(OR(E185="",F185=""),"",IF(COUNTIF(Cluster_Master!$I$3:$I$17,E185&amp;"|"&amp;F185)=1,"Valid","Review"))</f>
        <v/>
      </c>
      <c r="H185" s="7">
        <f>IF($G185&lt;&gt;"Valid","",VLOOKUP($E185&amp;"|"&amp;$F185,Cluster_Master!$I$3:$H$17,3,FALSE))</f>
        <v/>
      </c>
      <c r="I185" s="7">
        <f>IF($G185&lt;&gt;"Valid","",VLOOKUP($E185&amp;"|"&amp;$F185,Cluster_Master!$I$3:$H$17,4,FALSE))</f>
        <v/>
      </c>
      <c r="J185" s="7">
        <f>IF($G185&lt;&gt;"Valid","",VLOOKUP($E185&amp;"|"&amp;$F185,Cluster_Master!$I$3:$H$17,5,FALSE))</f>
        <v/>
      </c>
      <c r="K185" s="7">
        <f>IF($G185&lt;&gt;"Valid","",VLOOKUP($E185&amp;"|"&amp;$F185,Cluster_Master!$I$3:$H$17,6,FALSE))</f>
        <v/>
      </c>
      <c r="L185" s="7">
        <f>IF($G185&lt;&gt;"Valid","",VLOOKUP($E185&amp;"|"&amp;$F185,Cluster_Master!$I$3:$H$17,7,FALSE))</f>
        <v/>
      </c>
      <c r="M185" s="7">
        <f>IF($G185&lt;&gt;"Valid","",VLOOKUP($E185&amp;"|"&amp;$F185,Cluster_Master!$I$3:$H$17,8,FALSE))</f>
        <v/>
      </c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7">
        <f>IF(COUNT(T185:AH185)=0,"",SUM(T185:AH185))</f>
        <v/>
      </c>
      <c r="AJ185" s="10">
        <f>IF(AI185="","",AI185/75)</f>
        <v/>
      </c>
      <c r="AK185" s="10">
        <f>IF(AI185="","",SUMPRODUCT(T185:AH185,KPI_Weights!$B$3:$B$17)/5)</f>
        <v/>
      </c>
      <c r="AL185" s="7">
        <f>IF(COUNT(T185:AH185)=0,"",IF(OR(T185&lt;=1,W185&lt;=1,X185&lt;=1,Y185&lt;=1,AB185&lt;=1),"YES","NO"))</f>
        <v/>
      </c>
      <c r="AM185" s="7">
        <f>IF(AK185="","",IF(AND(AK185="NO",AJ185&gt;=0.85),"YES","NO"))</f>
        <v/>
      </c>
      <c r="AN185" s="7">
        <f>IF(AJ185="","",IF(AJ185&gt;=0.90,"Excellent",IF(AJ185&gt;=0.80,"Good",IF(AJ185&gt;=0.70,"Fair","Poor"))))</f>
        <v/>
      </c>
      <c r="AO185" s="12" t="n"/>
      <c r="AP185" s="12" t="n"/>
      <c r="AQ185" s="12" t="n"/>
      <c r="AR185" s="12" t="n"/>
      <c r="AS185" s="12" t="n"/>
      <c r="AT185" s="12" t="n"/>
      <c r="AU185" s="12" t="n"/>
      <c r="AV185" s="11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</row>
    <row r="186">
      <c r="A186" s="13">
        <f>IF(B186="","","INS-"&amp;TEXT(ROW()-3,"000"))</f>
        <v/>
      </c>
      <c r="B186" s="11" t="n"/>
      <c r="C186" s="7">
        <f>IF(B186="","",ISOWEEKNUM(B186))</f>
        <v/>
      </c>
      <c r="D186" s="7">
        <f>IF(B186="","",TEXT(B186,"yyyy-mm"))</f>
        <v/>
      </c>
      <c r="E186" s="12" t="n"/>
      <c r="F186" s="12" t="n"/>
      <c r="G186" s="7">
        <f>IF(OR(E186="",F186=""),"",IF(COUNTIF(Cluster_Master!$I$3:$I$17,E186&amp;"|"&amp;F186)=1,"Valid","Review"))</f>
        <v/>
      </c>
      <c r="H186" s="7">
        <f>IF($G186&lt;&gt;"Valid","",VLOOKUP($E186&amp;"|"&amp;$F186,Cluster_Master!$I$3:$H$17,3,FALSE))</f>
        <v/>
      </c>
      <c r="I186" s="7">
        <f>IF($G186&lt;&gt;"Valid","",VLOOKUP($E186&amp;"|"&amp;$F186,Cluster_Master!$I$3:$H$17,4,FALSE))</f>
        <v/>
      </c>
      <c r="J186" s="7">
        <f>IF($G186&lt;&gt;"Valid","",VLOOKUP($E186&amp;"|"&amp;$F186,Cluster_Master!$I$3:$H$17,5,FALSE))</f>
        <v/>
      </c>
      <c r="K186" s="7">
        <f>IF($G186&lt;&gt;"Valid","",VLOOKUP($E186&amp;"|"&amp;$F186,Cluster_Master!$I$3:$H$17,6,FALSE))</f>
        <v/>
      </c>
      <c r="L186" s="7">
        <f>IF($G186&lt;&gt;"Valid","",VLOOKUP($E186&amp;"|"&amp;$F186,Cluster_Master!$I$3:$H$17,7,FALSE))</f>
        <v/>
      </c>
      <c r="M186" s="7">
        <f>IF($G186&lt;&gt;"Valid","",VLOOKUP($E186&amp;"|"&amp;$F186,Cluster_Master!$I$3:$H$17,8,FALSE))</f>
        <v/>
      </c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7">
        <f>IF(COUNT(T186:AH186)=0,"",SUM(T186:AH186))</f>
        <v/>
      </c>
      <c r="AJ186" s="10">
        <f>IF(AI186="","",AI186/75)</f>
        <v/>
      </c>
      <c r="AK186" s="10">
        <f>IF(AI186="","",SUMPRODUCT(T186:AH186,KPI_Weights!$B$3:$B$17)/5)</f>
        <v/>
      </c>
      <c r="AL186" s="7">
        <f>IF(COUNT(T186:AH186)=0,"",IF(OR(T186&lt;=1,W186&lt;=1,X186&lt;=1,Y186&lt;=1,AB186&lt;=1),"YES","NO"))</f>
        <v/>
      </c>
      <c r="AM186" s="7">
        <f>IF(AK186="","",IF(AND(AK186="NO",AJ186&gt;=0.85),"YES","NO"))</f>
        <v/>
      </c>
      <c r="AN186" s="7">
        <f>IF(AJ186="","",IF(AJ186&gt;=0.90,"Excellent",IF(AJ186&gt;=0.80,"Good",IF(AJ186&gt;=0.70,"Fair","Poor"))))</f>
        <v/>
      </c>
      <c r="AO186" s="12" t="n"/>
      <c r="AP186" s="12" t="n"/>
      <c r="AQ186" s="12" t="n"/>
      <c r="AR186" s="12" t="n"/>
      <c r="AS186" s="12" t="n"/>
      <c r="AT186" s="12" t="n"/>
      <c r="AU186" s="12" t="n"/>
      <c r="AV186" s="11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</row>
    <row r="187">
      <c r="A187" s="13">
        <f>IF(B187="","","INS-"&amp;TEXT(ROW()-3,"000"))</f>
        <v/>
      </c>
      <c r="B187" s="11" t="n"/>
      <c r="C187" s="7">
        <f>IF(B187="","",ISOWEEKNUM(B187))</f>
        <v/>
      </c>
      <c r="D187" s="7">
        <f>IF(B187="","",TEXT(B187,"yyyy-mm"))</f>
        <v/>
      </c>
      <c r="E187" s="12" t="n"/>
      <c r="F187" s="12" t="n"/>
      <c r="G187" s="7">
        <f>IF(OR(E187="",F187=""),"",IF(COUNTIF(Cluster_Master!$I$3:$I$17,E187&amp;"|"&amp;F187)=1,"Valid","Review"))</f>
        <v/>
      </c>
      <c r="H187" s="7">
        <f>IF($G187&lt;&gt;"Valid","",VLOOKUP($E187&amp;"|"&amp;$F187,Cluster_Master!$I$3:$H$17,3,FALSE))</f>
        <v/>
      </c>
      <c r="I187" s="7">
        <f>IF($G187&lt;&gt;"Valid","",VLOOKUP($E187&amp;"|"&amp;$F187,Cluster_Master!$I$3:$H$17,4,FALSE))</f>
        <v/>
      </c>
      <c r="J187" s="7">
        <f>IF($G187&lt;&gt;"Valid","",VLOOKUP($E187&amp;"|"&amp;$F187,Cluster_Master!$I$3:$H$17,5,FALSE))</f>
        <v/>
      </c>
      <c r="K187" s="7">
        <f>IF($G187&lt;&gt;"Valid","",VLOOKUP($E187&amp;"|"&amp;$F187,Cluster_Master!$I$3:$H$17,6,FALSE))</f>
        <v/>
      </c>
      <c r="L187" s="7">
        <f>IF($G187&lt;&gt;"Valid","",VLOOKUP($E187&amp;"|"&amp;$F187,Cluster_Master!$I$3:$H$17,7,FALSE))</f>
        <v/>
      </c>
      <c r="M187" s="7">
        <f>IF($G187&lt;&gt;"Valid","",VLOOKUP($E187&amp;"|"&amp;$F187,Cluster_Master!$I$3:$H$17,8,FALSE))</f>
        <v/>
      </c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7">
        <f>IF(COUNT(T187:AH187)=0,"",SUM(T187:AH187))</f>
        <v/>
      </c>
      <c r="AJ187" s="10">
        <f>IF(AI187="","",AI187/75)</f>
        <v/>
      </c>
      <c r="AK187" s="10">
        <f>IF(AI187="","",SUMPRODUCT(T187:AH187,KPI_Weights!$B$3:$B$17)/5)</f>
        <v/>
      </c>
      <c r="AL187" s="7">
        <f>IF(COUNT(T187:AH187)=0,"",IF(OR(T187&lt;=1,W187&lt;=1,X187&lt;=1,Y187&lt;=1,AB187&lt;=1),"YES","NO"))</f>
        <v/>
      </c>
      <c r="AM187" s="7">
        <f>IF(AK187="","",IF(AND(AK187="NO",AJ187&gt;=0.85),"YES","NO"))</f>
        <v/>
      </c>
      <c r="AN187" s="7">
        <f>IF(AJ187="","",IF(AJ187&gt;=0.90,"Excellent",IF(AJ187&gt;=0.80,"Good",IF(AJ187&gt;=0.70,"Fair","Poor"))))</f>
        <v/>
      </c>
      <c r="AO187" s="12" t="n"/>
      <c r="AP187" s="12" t="n"/>
      <c r="AQ187" s="12" t="n"/>
      <c r="AR187" s="12" t="n"/>
      <c r="AS187" s="12" t="n"/>
      <c r="AT187" s="12" t="n"/>
      <c r="AU187" s="12" t="n"/>
      <c r="AV187" s="11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</row>
    <row r="188">
      <c r="A188" s="13">
        <f>IF(B188="","","INS-"&amp;TEXT(ROW()-3,"000"))</f>
        <v/>
      </c>
      <c r="B188" s="11" t="n"/>
      <c r="C188" s="7">
        <f>IF(B188="","",ISOWEEKNUM(B188))</f>
        <v/>
      </c>
      <c r="D188" s="7">
        <f>IF(B188="","",TEXT(B188,"yyyy-mm"))</f>
        <v/>
      </c>
      <c r="E188" s="12" t="n"/>
      <c r="F188" s="12" t="n"/>
      <c r="G188" s="7">
        <f>IF(OR(E188="",F188=""),"",IF(COUNTIF(Cluster_Master!$I$3:$I$17,E188&amp;"|"&amp;F188)=1,"Valid","Review"))</f>
        <v/>
      </c>
      <c r="H188" s="7">
        <f>IF($G188&lt;&gt;"Valid","",VLOOKUP($E188&amp;"|"&amp;$F188,Cluster_Master!$I$3:$H$17,3,FALSE))</f>
        <v/>
      </c>
      <c r="I188" s="7">
        <f>IF($G188&lt;&gt;"Valid","",VLOOKUP($E188&amp;"|"&amp;$F188,Cluster_Master!$I$3:$H$17,4,FALSE))</f>
        <v/>
      </c>
      <c r="J188" s="7">
        <f>IF($G188&lt;&gt;"Valid","",VLOOKUP($E188&amp;"|"&amp;$F188,Cluster_Master!$I$3:$H$17,5,FALSE))</f>
        <v/>
      </c>
      <c r="K188" s="7">
        <f>IF($G188&lt;&gt;"Valid","",VLOOKUP($E188&amp;"|"&amp;$F188,Cluster_Master!$I$3:$H$17,6,FALSE))</f>
        <v/>
      </c>
      <c r="L188" s="7">
        <f>IF($G188&lt;&gt;"Valid","",VLOOKUP($E188&amp;"|"&amp;$F188,Cluster_Master!$I$3:$H$17,7,FALSE))</f>
        <v/>
      </c>
      <c r="M188" s="7">
        <f>IF($G188&lt;&gt;"Valid","",VLOOKUP($E188&amp;"|"&amp;$F188,Cluster_Master!$I$3:$H$17,8,FALSE))</f>
        <v/>
      </c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7">
        <f>IF(COUNT(T188:AH188)=0,"",SUM(T188:AH188))</f>
        <v/>
      </c>
      <c r="AJ188" s="10">
        <f>IF(AI188="","",AI188/75)</f>
        <v/>
      </c>
      <c r="AK188" s="10">
        <f>IF(AI188="","",SUMPRODUCT(T188:AH188,KPI_Weights!$B$3:$B$17)/5)</f>
        <v/>
      </c>
      <c r="AL188" s="7">
        <f>IF(COUNT(T188:AH188)=0,"",IF(OR(T188&lt;=1,W188&lt;=1,X188&lt;=1,Y188&lt;=1,AB188&lt;=1),"YES","NO"))</f>
        <v/>
      </c>
      <c r="AM188" s="7">
        <f>IF(AK188="","",IF(AND(AK188="NO",AJ188&gt;=0.85),"YES","NO"))</f>
        <v/>
      </c>
      <c r="AN188" s="7">
        <f>IF(AJ188="","",IF(AJ188&gt;=0.90,"Excellent",IF(AJ188&gt;=0.80,"Good",IF(AJ188&gt;=0.70,"Fair","Poor"))))</f>
        <v/>
      </c>
      <c r="AO188" s="12" t="n"/>
      <c r="AP188" s="12" t="n"/>
      <c r="AQ188" s="12" t="n"/>
      <c r="AR188" s="12" t="n"/>
      <c r="AS188" s="12" t="n"/>
      <c r="AT188" s="12" t="n"/>
      <c r="AU188" s="12" t="n"/>
      <c r="AV188" s="11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</row>
    <row r="189">
      <c r="A189" s="13">
        <f>IF(B189="","","INS-"&amp;TEXT(ROW()-3,"000"))</f>
        <v/>
      </c>
      <c r="B189" s="11" t="n"/>
      <c r="C189" s="7">
        <f>IF(B189="","",ISOWEEKNUM(B189))</f>
        <v/>
      </c>
      <c r="D189" s="7">
        <f>IF(B189="","",TEXT(B189,"yyyy-mm"))</f>
        <v/>
      </c>
      <c r="E189" s="12" t="n"/>
      <c r="F189" s="12" t="n"/>
      <c r="G189" s="7">
        <f>IF(OR(E189="",F189=""),"",IF(COUNTIF(Cluster_Master!$I$3:$I$17,E189&amp;"|"&amp;F189)=1,"Valid","Review"))</f>
        <v/>
      </c>
      <c r="H189" s="7">
        <f>IF($G189&lt;&gt;"Valid","",VLOOKUP($E189&amp;"|"&amp;$F189,Cluster_Master!$I$3:$H$17,3,FALSE))</f>
        <v/>
      </c>
      <c r="I189" s="7">
        <f>IF($G189&lt;&gt;"Valid","",VLOOKUP($E189&amp;"|"&amp;$F189,Cluster_Master!$I$3:$H$17,4,FALSE))</f>
        <v/>
      </c>
      <c r="J189" s="7">
        <f>IF($G189&lt;&gt;"Valid","",VLOOKUP($E189&amp;"|"&amp;$F189,Cluster_Master!$I$3:$H$17,5,FALSE))</f>
        <v/>
      </c>
      <c r="K189" s="7">
        <f>IF($G189&lt;&gt;"Valid","",VLOOKUP($E189&amp;"|"&amp;$F189,Cluster_Master!$I$3:$H$17,6,FALSE))</f>
        <v/>
      </c>
      <c r="L189" s="7">
        <f>IF($G189&lt;&gt;"Valid","",VLOOKUP($E189&amp;"|"&amp;$F189,Cluster_Master!$I$3:$H$17,7,FALSE))</f>
        <v/>
      </c>
      <c r="M189" s="7">
        <f>IF($G189&lt;&gt;"Valid","",VLOOKUP($E189&amp;"|"&amp;$F189,Cluster_Master!$I$3:$H$17,8,FALSE))</f>
        <v/>
      </c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7">
        <f>IF(COUNT(T189:AH189)=0,"",SUM(T189:AH189))</f>
        <v/>
      </c>
      <c r="AJ189" s="10">
        <f>IF(AI189="","",AI189/75)</f>
        <v/>
      </c>
      <c r="AK189" s="10">
        <f>IF(AI189="","",SUMPRODUCT(T189:AH189,KPI_Weights!$B$3:$B$17)/5)</f>
        <v/>
      </c>
      <c r="AL189" s="7">
        <f>IF(COUNT(T189:AH189)=0,"",IF(OR(T189&lt;=1,W189&lt;=1,X189&lt;=1,Y189&lt;=1,AB189&lt;=1),"YES","NO"))</f>
        <v/>
      </c>
      <c r="AM189" s="7">
        <f>IF(AK189="","",IF(AND(AK189="NO",AJ189&gt;=0.85),"YES","NO"))</f>
        <v/>
      </c>
      <c r="AN189" s="7">
        <f>IF(AJ189="","",IF(AJ189&gt;=0.90,"Excellent",IF(AJ189&gt;=0.80,"Good",IF(AJ189&gt;=0.70,"Fair","Poor"))))</f>
        <v/>
      </c>
      <c r="AO189" s="12" t="n"/>
      <c r="AP189" s="12" t="n"/>
      <c r="AQ189" s="12" t="n"/>
      <c r="AR189" s="12" t="n"/>
      <c r="AS189" s="12" t="n"/>
      <c r="AT189" s="12" t="n"/>
      <c r="AU189" s="12" t="n"/>
      <c r="AV189" s="11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</row>
    <row r="190">
      <c r="A190" s="13">
        <f>IF(B190="","","INS-"&amp;TEXT(ROW()-3,"000"))</f>
        <v/>
      </c>
      <c r="B190" s="11" t="n"/>
      <c r="C190" s="7">
        <f>IF(B190="","",ISOWEEKNUM(B190))</f>
        <v/>
      </c>
      <c r="D190" s="7">
        <f>IF(B190="","",TEXT(B190,"yyyy-mm"))</f>
        <v/>
      </c>
      <c r="E190" s="12" t="n"/>
      <c r="F190" s="12" t="n"/>
      <c r="G190" s="7">
        <f>IF(OR(E190="",F190=""),"",IF(COUNTIF(Cluster_Master!$I$3:$I$17,E190&amp;"|"&amp;F190)=1,"Valid","Review"))</f>
        <v/>
      </c>
      <c r="H190" s="7">
        <f>IF($G190&lt;&gt;"Valid","",VLOOKUP($E190&amp;"|"&amp;$F190,Cluster_Master!$I$3:$H$17,3,FALSE))</f>
        <v/>
      </c>
      <c r="I190" s="7">
        <f>IF($G190&lt;&gt;"Valid","",VLOOKUP($E190&amp;"|"&amp;$F190,Cluster_Master!$I$3:$H$17,4,FALSE))</f>
        <v/>
      </c>
      <c r="J190" s="7">
        <f>IF($G190&lt;&gt;"Valid","",VLOOKUP($E190&amp;"|"&amp;$F190,Cluster_Master!$I$3:$H$17,5,FALSE))</f>
        <v/>
      </c>
      <c r="K190" s="7">
        <f>IF($G190&lt;&gt;"Valid","",VLOOKUP($E190&amp;"|"&amp;$F190,Cluster_Master!$I$3:$H$17,6,FALSE))</f>
        <v/>
      </c>
      <c r="L190" s="7">
        <f>IF($G190&lt;&gt;"Valid","",VLOOKUP($E190&amp;"|"&amp;$F190,Cluster_Master!$I$3:$H$17,7,FALSE))</f>
        <v/>
      </c>
      <c r="M190" s="7">
        <f>IF($G190&lt;&gt;"Valid","",VLOOKUP($E190&amp;"|"&amp;$F190,Cluster_Master!$I$3:$H$17,8,FALSE))</f>
        <v/>
      </c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7">
        <f>IF(COUNT(T190:AH190)=0,"",SUM(T190:AH190))</f>
        <v/>
      </c>
      <c r="AJ190" s="10">
        <f>IF(AI190="","",AI190/75)</f>
        <v/>
      </c>
      <c r="AK190" s="10">
        <f>IF(AI190="","",SUMPRODUCT(T190:AH190,KPI_Weights!$B$3:$B$17)/5)</f>
        <v/>
      </c>
      <c r="AL190" s="7">
        <f>IF(COUNT(T190:AH190)=0,"",IF(OR(T190&lt;=1,W190&lt;=1,X190&lt;=1,Y190&lt;=1,AB190&lt;=1),"YES","NO"))</f>
        <v/>
      </c>
      <c r="AM190" s="7">
        <f>IF(AK190="","",IF(AND(AK190="NO",AJ190&gt;=0.85),"YES","NO"))</f>
        <v/>
      </c>
      <c r="AN190" s="7">
        <f>IF(AJ190="","",IF(AJ190&gt;=0.90,"Excellent",IF(AJ190&gt;=0.80,"Good",IF(AJ190&gt;=0.70,"Fair","Poor"))))</f>
        <v/>
      </c>
      <c r="AO190" s="12" t="n"/>
      <c r="AP190" s="12" t="n"/>
      <c r="AQ190" s="12" t="n"/>
      <c r="AR190" s="12" t="n"/>
      <c r="AS190" s="12" t="n"/>
      <c r="AT190" s="12" t="n"/>
      <c r="AU190" s="12" t="n"/>
      <c r="AV190" s="11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</row>
    <row r="191">
      <c r="A191" s="13">
        <f>IF(B191="","","INS-"&amp;TEXT(ROW()-3,"000"))</f>
        <v/>
      </c>
      <c r="B191" s="11" t="n"/>
      <c r="C191" s="7">
        <f>IF(B191="","",ISOWEEKNUM(B191))</f>
        <v/>
      </c>
      <c r="D191" s="7">
        <f>IF(B191="","",TEXT(B191,"yyyy-mm"))</f>
        <v/>
      </c>
      <c r="E191" s="12" t="n"/>
      <c r="F191" s="12" t="n"/>
      <c r="G191" s="7">
        <f>IF(OR(E191="",F191=""),"",IF(COUNTIF(Cluster_Master!$I$3:$I$17,E191&amp;"|"&amp;F191)=1,"Valid","Review"))</f>
        <v/>
      </c>
      <c r="H191" s="7">
        <f>IF($G191&lt;&gt;"Valid","",VLOOKUP($E191&amp;"|"&amp;$F191,Cluster_Master!$I$3:$H$17,3,FALSE))</f>
        <v/>
      </c>
      <c r="I191" s="7">
        <f>IF($G191&lt;&gt;"Valid","",VLOOKUP($E191&amp;"|"&amp;$F191,Cluster_Master!$I$3:$H$17,4,FALSE))</f>
        <v/>
      </c>
      <c r="J191" s="7">
        <f>IF($G191&lt;&gt;"Valid","",VLOOKUP($E191&amp;"|"&amp;$F191,Cluster_Master!$I$3:$H$17,5,FALSE))</f>
        <v/>
      </c>
      <c r="K191" s="7">
        <f>IF($G191&lt;&gt;"Valid","",VLOOKUP($E191&amp;"|"&amp;$F191,Cluster_Master!$I$3:$H$17,6,FALSE))</f>
        <v/>
      </c>
      <c r="L191" s="7">
        <f>IF($G191&lt;&gt;"Valid","",VLOOKUP($E191&amp;"|"&amp;$F191,Cluster_Master!$I$3:$H$17,7,FALSE))</f>
        <v/>
      </c>
      <c r="M191" s="7">
        <f>IF($G191&lt;&gt;"Valid","",VLOOKUP($E191&amp;"|"&amp;$F191,Cluster_Master!$I$3:$H$17,8,FALSE))</f>
        <v/>
      </c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7">
        <f>IF(COUNT(T191:AH191)=0,"",SUM(T191:AH191))</f>
        <v/>
      </c>
      <c r="AJ191" s="10">
        <f>IF(AI191="","",AI191/75)</f>
        <v/>
      </c>
      <c r="AK191" s="10">
        <f>IF(AI191="","",SUMPRODUCT(T191:AH191,KPI_Weights!$B$3:$B$17)/5)</f>
        <v/>
      </c>
      <c r="AL191" s="7">
        <f>IF(COUNT(T191:AH191)=0,"",IF(OR(T191&lt;=1,W191&lt;=1,X191&lt;=1,Y191&lt;=1,AB191&lt;=1),"YES","NO"))</f>
        <v/>
      </c>
      <c r="AM191" s="7">
        <f>IF(AK191="","",IF(AND(AK191="NO",AJ191&gt;=0.85),"YES","NO"))</f>
        <v/>
      </c>
      <c r="AN191" s="7">
        <f>IF(AJ191="","",IF(AJ191&gt;=0.90,"Excellent",IF(AJ191&gt;=0.80,"Good",IF(AJ191&gt;=0.70,"Fair","Poor"))))</f>
        <v/>
      </c>
      <c r="AO191" s="12" t="n"/>
      <c r="AP191" s="12" t="n"/>
      <c r="AQ191" s="12" t="n"/>
      <c r="AR191" s="12" t="n"/>
      <c r="AS191" s="12" t="n"/>
      <c r="AT191" s="12" t="n"/>
      <c r="AU191" s="12" t="n"/>
      <c r="AV191" s="11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</row>
    <row r="192">
      <c r="A192" s="13">
        <f>IF(B192="","","INS-"&amp;TEXT(ROW()-3,"000"))</f>
        <v/>
      </c>
      <c r="B192" s="11" t="n"/>
      <c r="C192" s="7">
        <f>IF(B192="","",ISOWEEKNUM(B192))</f>
        <v/>
      </c>
      <c r="D192" s="7">
        <f>IF(B192="","",TEXT(B192,"yyyy-mm"))</f>
        <v/>
      </c>
      <c r="E192" s="12" t="n"/>
      <c r="F192" s="12" t="n"/>
      <c r="G192" s="7">
        <f>IF(OR(E192="",F192=""),"",IF(COUNTIF(Cluster_Master!$I$3:$I$17,E192&amp;"|"&amp;F192)=1,"Valid","Review"))</f>
        <v/>
      </c>
      <c r="H192" s="7">
        <f>IF($G192&lt;&gt;"Valid","",VLOOKUP($E192&amp;"|"&amp;$F192,Cluster_Master!$I$3:$H$17,3,FALSE))</f>
        <v/>
      </c>
      <c r="I192" s="7">
        <f>IF($G192&lt;&gt;"Valid","",VLOOKUP($E192&amp;"|"&amp;$F192,Cluster_Master!$I$3:$H$17,4,FALSE))</f>
        <v/>
      </c>
      <c r="J192" s="7">
        <f>IF($G192&lt;&gt;"Valid","",VLOOKUP($E192&amp;"|"&amp;$F192,Cluster_Master!$I$3:$H$17,5,FALSE))</f>
        <v/>
      </c>
      <c r="K192" s="7">
        <f>IF($G192&lt;&gt;"Valid","",VLOOKUP($E192&amp;"|"&amp;$F192,Cluster_Master!$I$3:$H$17,6,FALSE))</f>
        <v/>
      </c>
      <c r="L192" s="7">
        <f>IF($G192&lt;&gt;"Valid","",VLOOKUP($E192&amp;"|"&amp;$F192,Cluster_Master!$I$3:$H$17,7,FALSE))</f>
        <v/>
      </c>
      <c r="M192" s="7">
        <f>IF($G192&lt;&gt;"Valid","",VLOOKUP($E192&amp;"|"&amp;$F192,Cluster_Master!$I$3:$H$17,8,FALSE))</f>
        <v/>
      </c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7">
        <f>IF(COUNT(T192:AH192)=0,"",SUM(T192:AH192))</f>
        <v/>
      </c>
      <c r="AJ192" s="10">
        <f>IF(AI192="","",AI192/75)</f>
        <v/>
      </c>
      <c r="AK192" s="10">
        <f>IF(AI192="","",SUMPRODUCT(T192:AH192,KPI_Weights!$B$3:$B$17)/5)</f>
        <v/>
      </c>
      <c r="AL192" s="7">
        <f>IF(COUNT(T192:AH192)=0,"",IF(OR(T192&lt;=1,W192&lt;=1,X192&lt;=1,Y192&lt;=1,AB192&lt;=1),"YES","NO"))</f>
        <v/>
      </c>
      <c r="AM192" s="7">
        <f>IF(AK192="","",IF(AND(AK192="NO",AJ192&gt;=0.85),"YES","NO"))</f>
        <v/>
      </c>
      <c r="AN192" s="7">
        <f>IF(AJ192="","",IF(AJ192&gt;=0.90,"Excellent",IF(AJ192&gt;=0.80,"Good",IF(AJ192&gt;=0.70,"Fair","Poor"))))</f>
        <v/>
      </c>
      <c r="AO192" s="12" t="n"/>
      <c r="AP192" s="12" t="n"/>
      <c r="AQ192" s="12" t="n"/>
      <c r="AR192" s="12" t="n"/>
      <c r="AS192" s="12" t="n"/>
      <c r="AT192" s="12" t="n"/>
      <c r="AU192" s="12" t="n"/>
      <c r="AV192" s="11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</row>
    <row r="193">
      <c r="A193" s="13">
        <f>IF(B193="","","INS-"&amp;TEXT(ROW()-3,"000"))</f>
        <v/>
      </c>
      <c r="B193" s="11" t="n"/>
      <c r="C193" s="7">
        <f>IF(B193="","",ISOWEEKNUM(B193))</f>
        <v/>
      </c>
      <c r="D193" s="7">
        <f>IF(B193="","",TEXT(B193,"yyyy-mm"))</f>
        <v/>
      </c>
      <c r="E193" s="12" t="n"/>
      <c r="F193" s="12" t="n"/>
      <c r="G193" s="7">
        <f>IF(OR(E193="",F193=""),"",IF(COUNTIF(Cluster_Master!$I$3:$I$17,E193&amp;"|"&amp;F193)=1,"Valid","Review"))</f>
        <v/>
      </c>
      <c r="H193" s="7">
        <f>IF($G193&lt;&gt;"Valid","",VLOOKUP($E193&amp;"|"&amp;$F193,Cluster_Master!$I$3:$H$17,3,FALSE))</f>
        <v/>
      </c>
      <c r="I193" s="7">
        <f>IF($G193&lt;&gt;"Valid","",VLOOKUP($E193&amp;"|"&amp;$F193,Cluster_Master!$I$3:$H$17,4,FALSE))</f>
        <v/>
      </c>
      <c r="J193" s="7">
        <f>IF($G193&lt;&gt;"Valid","",VLOOKUP($E193&amp;"|"&amp;$F193,Cluster_Master!$I$3:$H$17,5,FALSE))</f>
        <v/>
      </c>
      <c r="K193" s="7">
        <f>IF($G193&lt;&gt;"Valid","",VLOOKUP($E193&amp;"|"&amp;$F193,Cluster_Master!$I$3:$H$17,6,FALSE))</f>
        <v/>
      </c>
      <c r="L193" s="7">
        <f>IF($G193&lt;&gt;"Valid","",VLOOKUP($E193&amp;"|"&amp;$F193,Cluster_Master!$I$3:$H$17,7,FALSE))</f>
        <v/>
      </c>
      <c r="M193" s="7">
        <f>IF($G193&lt;&gt;"Valid","",VLOOKUP($E193&amp;"|"&amp;$F193,Cluster_Master!$I$3:$H$17,8,FALSE))</f>
        <v/>
      </c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7">
        <f>IF(COUNT(T193:AH193)=0,"",SUM(T193:AH193))</f>
        <v/>
      </c>
      <c r="AJ193" s="10">
        <f>IF(AI193="","",AI193/75)</f>
        <v/>
      </c>
      <c r="AK193" s="10">
        <f>IF(AI193="","",SUMPRODUCT(T193:AH193,KPI_Weights!$B$3:$B$17)/5)</f>
        <v/>
      </c>
      <c r="AL193" s="7">
        <f>IF(COUNT(T193:AH193)=0,"",IF(OR(T193&lt;=1,W193&lt;=1,X193&lt;=1,Y193&lt;=1,AB193&lt;=1),"YES","NO"))</f>
        <v/>
      </c>
      <c r="AM193" s="7">
        <f>IF(AK193="","",IF(AND(AK193="NO",AJ193&gt;=0.85),"YES","NO"))</f>
        <v/>
      </c>
      <c r="AN193" s="7">
        <f>IF(AJ193="","",IF(AJ193&gt;=0.90,"Excellent",IF(AJ193&gt;=0.80,"Good",IF(AJ193&gt;=0.70,"Fair","Poor"))))</f>
        <v/>
      </c>
      <c r="AO193" s="12" t="n"/>
      <c r="AP193" s="12" t="n"/>
      <c r="AQ193" s="12" t="n"/>
      <c r="AR193" s="12" t="n"/>
      <c r="AS193" s="12" t="n"/>
      <c r="AT193" s="12" t="n"/>
      <c r="AU193" s="12" t="n"/>
      <c r="AV193" s="11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</row>
    <row r="194">
      <c r="A194" s="13">
        <f>IF(B194="","","INS-"&amp;TEXT(ROW()-3,"000"))</f>
        <v/>
      </c>
      <c r="B194" s="11" t="n"/>
      <c r="C194" s="7">
        <f>IF(B194="","",ISOWEEKNUM(B194))</f>
        <v/>
      </c>
      <c r="D194" s="7">
        <f>IF(B194="","",TEXT(B194,"yyyy-mm"))</f>
        <v/>
      </c>
      <c r="E194" s="12" t="n"/>
      <c r="F194" s="12" t="n"/>
      <c r="G194" s="7">
        <f>IF(OR(E194="",F194=""),"",IF(COUNTIF(Cluster_Master!$I$3:$I$17,E194&amp;"|"&amp;F194)=1,"Valid","Review"))</f>
        <v/>
      </c>
      <c r="H194" s="7">
        <f>IF($G194&lt;&gt;"Valid","",VLOOKUP($E194&amp;"|"&amp;$F194,Cluster_Master!$I$3:$H$17,3,FALSE))</f>
        <v/>
      </c>
      <c r="I194" s="7">
        <f>IF($G194&lt;&gt;"Valid","",VLOOKUP($E194&amp;"|"&amp;$F194,Cluster_Master!$I$3:$H$17,4,FALSE))</f>
        <v/>
      </c>
      <c r="J194" s="7">
        <f>IF($G194&lt;&gt;"Valid","",VLOOKUP($E194&amp;"|"&amp;$F194,Cluster_Master!$I$3:$H$17,5,FALSE))</f>
        <v/>
      </c>
      <c r="K194" s="7">
        <f>IF($G194&lt;&gt;"Valid","",VLOOKUP($E194&amp;"|"&amp;$F194,Cluster_Master!$I$3:$H$17,6,FALSE))</f>
        <v/>
      </c>
      <c r="L194" s="7">
        <f>IF($G194&lt;&gt;"Valid","",VLOOKUP($E194&amp;"|"&amp;$F194,Cluster_Master!$I$3:$H$17,7,FALSE))</f>
        <v/>
      </c>
      <c r="M194" s="7">
        <f>IF($G194&lt;&gt;"Valid","",VLOOKUP($E194&amp;"|"&amp;$F194,Cluster_Master!$I$3:$H$17,8,FALSE))</f>
        <v/>
      </c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7">
        <f>IF(COUNT(T194:AH194)=0,"",SUM(T194:AH194))</f>
        <v/>
      </c>
      <c r="AJ194" s="10">
        <f>IF(AI194="","",AI194/75)</f>
        <v/>
      </c>
      <c r="AK194" s="10">
        <f>IF(AI194="","",SUMPRODUCT(T194:AH194,KPI_Weights!$B$3:$B$17)/5)</f>
        <v/>
      </c>
      <c r="AL194" s="7">
        <f>IF(COUNT(T194:AH194)=0,"",IF(OR(T194&lt;=1,W194&lt;=1,X194&lt;=1,Y194&lt;=1,AB194&lt;=1),"YES","NO"))</f>
        <v/>
      </c>
      <c r="AM194" s="7">
        <f>IF(AK194="","",IF(AND(AK194="NO",AJ194&gt;=0.85),"YES","NO"))</f>
        <v/>
      </c>
      <c r="AN194" s="7">
        <f>IF(AJ194="","",IF(AJ194&gt;=0.90,"Excellent",IF(AJ194&gt;=0.80,"Good",IF(AJ194&gt;=0.70,"Fair","Poor"))))</f>
        <v/>
      </c>
      <c r="AO194" s="12" t="n"/>
      <c r="AP194" s="12" t="n"/>
      <c r="AQ194" s="12" t="n"/>
      <c r="AR194" s="12" t="n"/>
      <c r="AS194" s="12" t="n"/>
      <c r="AT194" s="12" t="n"/>
      <c r="AU194" s="12" t="n"/>
      <c r="AV194" s="11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</row>
    <row r="195">
      <c r="A195" s="13">
        <f>IF(B195="","","INS-"&amp;TEXT(ROW()-3,"000"))</f>
        <v/>
      </c>
      <c r="B195" s="11" t="n"/>
      <c r="C195" s="7">
        <f>IF(B195="","",ISOWEEKNUM(B195))</f>
        <v/>
      </c>
      <c r="D195" s="7">
        <f>IF(B195="","",TEXT(B195,"yyyy-mm"))</f>
        <v/>
      </c>
      <c r="E195" s="12" t="n"/>
      <c r="F195" s="12" t="n"/>
      <c r="G195" s="7">
        <f>IF(OR(E195="",F195=""),"",IF(COUNTIF(Cluster_Master!$I$3:$I$17,E195&amp;"|"&amp;F195)=1,"Valid","Review"))</f>
        <v/>
      </c>
      <c r="H195" s="7">
        <f>IF($G195&lt;&gt;"Valid","",VLOOKUP($E195&amp;"|"&amp;$F195,Cluster_Master!$I$3:$H$17,3,FALSE))</f>
        <v/>
      </c>
      <c r="I195" s="7">
        <f>IF($G195&lt;&gt;"Valid","",VLOOKUP($E195&amp;"|"&amp;$F195,Cluster_Master!$I$3:$H$17,4,FALSE))</f>
        <v/>
      </c>
      <c r="J195" s="7">
        <f>IF($G195&lt;&gt;"Valid","",VLOOKUP($E195&amp;"|"&amp;$F195,Cluster_Master!$I$3:$H$17,5,FALSE))</f>
        <v/>
      </c>
      <c r="K195" s="7">
        <f>IF($G195&lt;&gt;"Valid","",VLOOKUP($E195&amp;"|"&amp;$F195,Cluster_Master!$I$3:$H$17,6,FALSE))</f>
        <v/>
      </c>
      <c r="L195" s="7">
        <f>IF($G195&lt;&gt;"Valid","",VLOOKUP($E195&amp;"|"&amp;$F195,Cluster_Master!$I$3:$H$17,7,FALSE))</f>
        <v/>
      </c>
      <c r="M195" s="7">
        <f>IF($G195&lt;&gt;"Valid","",VLOOKUP($E195&amp;"|"&amp;$F195,Cluster_Master!$I$3:$H$17,8,FALSE))</f>
        <v/>
      </c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7">
        <f>IF(COUNT(T195:AH195)=0,"",SUM(T195:AH195))</f>
        <v/>
      </c>
      <c r="AJ195" s="10">
        <f>IF(AI195="","",AI195/75)</f>
        <v/>
      </c>
      <c r="AK195" s="10">
        <f>IF(AI195="","",SUMPRODUCT(T195:AH195,KPI_Weights!$B$3:$B$17)/5)</f>
        <v/>
      </c>
      <c r="AL195" s="7">
        <f>IF(COUNT(T195:AH195)=0,"",IF(OR(T195&lt;=1,W195&lt;=1,X195&lt;=1,Y195&lt;=1,AB195&lt;=1),"YES","NO"))</f>
        <v/>
      </c>
      <c r="AM195" s="7">
        <f>IF(AK195="","",IF(AND(AK195="NO",AJ195&gt;=0.85),"YES","NO"))</f>
        <v/>
      </c>
      <c r="AN195" s="7">
        <f>IF(AJ195="","",IF(AJ195&gt;=0.90,"Excellent",IF(AJ195&gt;=0.80,"Good",IF(AJ195&gt;=0.70,"Fair","Poor"))))</f>
        <v/>
      </c>
      <c r="AO195" s="12" t="n"/>
      <c r="AP195" s="12" t="n"/>
      <c r="AQ195" s="12" t="n"/>
      <c r="AR195" s="12" t="n"/>
      <c r="AS195" s="12" t="n"/>
      <c r="AT195" s="12" t="n"/>
      <c r="AU195" s="12" t="n"/>
      <c r="AV195" s="11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</row>
    <row r="196">
      <c r="A196" s="13">
        <f>IF(B196="","","INS-"&amp;TEXT(ROW()-3,"000"))</f>
        <v/>
      </c>
      <c r="B196" s="11" t="n"/>
      <c r="C196" s="7">
        <f>IF(B196="","",ISOWEEKNUM(B196))</f>
        <v/>
      </c>
      <c r="D196" s="7">
        <f>IF(B196="","",TEXT(B196,"yyyy-mm"))</f>
        <v/>
      </c>
      <c r="E196" s="12" t="n"/>
      <c r="F196" s="12" t="n"/>
      <c r="G196" s="7">
        <f>IF(OR(E196="",F196=""),"",IF(COUNTIF(Cluster_Master!$I$3:$I$17,E196&amp;"|"&amp;F196)=1,"Valid","Review"))</f>
        <v/>
      </c>
      <c r="H196" s="7">
        <f>IF($G196&lt;&gt;"Valid","",VLOOKUP($E196&amp;"|"&amp;$F196,Cluster_Master!$I$3:$H$17,3,FALSE))</f>
        <v/>
      </c>
      <c r="I196" s="7">
        <f>IF($G196&lt;&gt;"Valid","",VLOOKUP($E196&amp;"|"&amp;$F196,Cluster_Master!$I$3:$H$17,4,FALSE))</f>
        <v/>
      </c>
      <c r="J196" s="7">
        <f>IF($G196&lt;&gt;"Valid","",VLOOKUP($E196&amp;"|"&amp;$F196,Cluster_Master!$I$3:$H$17,5,FALSE))</f>
        <v/>
      </c>
      <c r="K196" s="7">
        <f>IF($G196&lt;&gt;"Valid","",VLOOKUP($E196&amp;"|"&amp;$F196,Cluster_Master!$I$3:$H$17,6,FALSE))</f>
        <v/>
      </c>
      <c r="L196" s="7">
        <f>IF($G196&lt;&gt;"Valid","",VLOOKUP($E196&amp;"|"&amp;$F196,Cluster_Master!$I$3:$H$17,7,FALSE))</f>
        <v/>
      </c>
      <c r="M196" s="7">
        <f>IF($G196&lt;&gt;"Valid","",VLOOKUP($E196&amp;"|"&amp;$F196,Cluster_Master!$I$3:$H$17,8,FALSE))</f>
        <v/>
      </c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7">
        <f>IF(COUNT(T196:AH196)=0,"",SUM(T196:AH196))</f>
        <v/>
      </c>
      <c r="AJ196" s="10">
        <f>IF(AI196="","",AI196/75)</f>
        <v/>
      </c>
      <c r="AK196" s="10">
        <f>IF(AI196="","",SUMPRODUCT(T196:AH196,KPI_Weights!$B$3:$B$17)/5)</f>
        <v/>
      </c>
      <c r="AL196" s="7">
        <f>IF(COUNT(T196:AH196)=0,"",IF(OR(T196&lt;=1,W196&lt;=1,X196&lt;=1,Y196&lt;=1,AB196&lt;=1),"YES","NO"))</f>
        <v/>
      </c>
      <c r="AM196" s="7">
        <f>IF(AK196="","",IF(AND(AK196="NO",AJ196&gt;=0.85),"YES","NO"))</f>
        <v/>
      </c>
      <c r="AN196" s="7">
        <f>IF(AJ196="","",IF(AJ196&gt;=0.90,"Excellent",IF(AJ196&gt;=0.80,"Good",IF(AJ196&gt;=0.70,"Fair","Poor"))))</f>
        <v/>
      </c>
      <c r="AO196" s="12" t="n"/>
      <c r="AP196" s="12" t="n"/>
      <c r="AQ196" s="12" t="n"/>
      <c r="AR196" s="12" t="n"/>
      <c r="AS196" s="12" t="n"/>
      <c r="AT196" s="12" t="n"/>
      <c r="AU196" s="12" t="n"/>
      <c r="AV196" s="11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</row>
    <row r="197">
      <c r="A197" s="13">
        <f>IF(B197="","","INS-"&amp;TEXT(ROW()-3,"000"))</f>
        <v/>
      </c>
      <c r="B197" s="11" t="n"/>
      <c r="C197" s="7">
        <f>IF(B197="","",ISOWEEKNUM(B197))</f>
        <v/>
      </c>
      <c r="D197" s="7">
        <f>IF(B197="","",TEXT(B197,"yyyy-mm"))</f>
        <v/>
      </c>
      <c r="E197" s="12" t="n"/>
      <c r="F197" s="12" t="n"/>
      <c r="G197" s="7">
        <f>IF(OR(E197="",F197=""),"",IF(COUNTIF(Cluster_Master!$I$3:$I$17,E197&amp;"|"&amp;F197)=1,"Valid","Review"))</f>
        <v/>
      </c>
      <c r="H197" s="7">
        <f>IF($G197&lt;&gt;"Valid","",VLOOKUP($E197&amp;"|"&amp;$F197,Cluster_Master!$I$3:$H$17,3,FALSE))</f>
        <v/>
      </c>
      <c r="I197" s="7">
        <f>IF($G197&lt;&gt;"Valid","",VLOOKUP($E197&amp;"|"&amp;$F197,Cluster_Master!$I$3:$H$17,4,FALSE))</f>
        <v/>
      </c>
      <c r="J197" s="7">
        <f>IF($G197&lt;&gt;"Valid","",VLOOKUP($E197&amp;"|"&amp;$F197,Cluster_Master!$I$3:$H$17,5,FALSE))</f>
        <v/>
      </c>
      <c r="K197" s="7">
        <f>IF($G197&lt;&gt;"Valid","",VLOOKUP($E197&amp;"|"&amp;$F197,Cluster_Master!$I$3:$H$17,6,FALSE))</f>
        <v/>
      </c>
      <c r="L197" s="7">
        <f>IF($G197&lt;&gt;"Valid","",VLOOKUP($E197&amp;"|"&amp;$F197,Cluster_Master!$I$3:$H$17,7,FALSE))</f>
        <v/>
      </c>
      <c r="M197" s="7">
        <f>IF($G197&lt;&gt;"Valid","",VLOOKUP($E197&amp;"|"&amp;$F197,Cluster_Master!$I$3:$H$17,8,FALSE))</f>
        <v/>
      </c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7">
        <f>IF(COUNT(T197:AH197)=0,"",SUM(T197:AH197))</f>
        <v/>
      </c>
      <c r="AJ197" s="10">
        <f>IF(AI197="","",AI197/75)</f>
        <v/>
      </c>
      <c r="AK197" s="10">
        <f>IF(AI197="","",SUMPRODUCT(T197:AH197,KPI_Weights!$B$3:$B$17)/5)</f>
        <v/>
      </c>
      <c r="AL197" s="7">
        <f>IF(COUNT(T197:AH197)=0,"",IF(OR(T197&lt;=1,W197&lt;=1,X197&lt;=1,Y197&lt;=1,AB197&lt;=1),"YES","NO"))</f>
        <v/>
      </c>
      <c r="AM197" s="7">
        <f>IF(AK197="","",IF(AND(AK197="NO",AJ197&gt;=0.85),"YES","NO"))</f>
        <v/>
      </c>
      <c r="AN197" s="7">
        <f>IF(AJ197="","",IF(AJ197&gt;=0.90,"Excellent",IF(AJ197&gt;=0.80,"Good",IF(AJ197&gt;=0.70,"Fair","Poor"))))</f>
        <v/>
      </c>
      <c r="AO197" s="12" t="n"/>
      <c r="AP197" s="12" t="n"/>
      <c r="AQ197" s="12" t="n"/>
      <c r="AR197" s="12" t="n"/>
      <c r="AS197" s="12" t="n"/>
      <c r="AT197" s="12" t="n"/>
      <c r="AU197" s="12" t="n"/>
      <c r="AV197" s="11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</row>
    <row r="198">
      <c r="A198" s="13">
        <f>IF(B198="","","INS-"&amp;TEXT(ROW()-3,"000"))</f>
        <v/>
      </c>
      <c r="B198" s="11" t="n"/>
      <c r="C198" s="7">
        <f>IF(B198="","",ISOWEEKNUM(B198))</f>
        <v/>
      </c>
      <c r="D198" s="7">
        <f>IF(B198="","",TEXT(B198,"yyyy-mm"))</f>
        <v/>
      </c>
      <c r="E198" s="12" t="n"/>
      <c r="F198" s="12" t="n"/>
      <c r="G198" s="7">
        <f>IF(OR(E198="",F198=""),"",IF(COUNTIF(Cluster_Master!$I$3:$I$17,E198&amp;"|"&amp;F198)=1,"Valid","Review"))</f>
        <v/>
      </c>
      <c r="H198" s="7">
        <f>IF($G198&lt;&gt;"Valid","",VLOOKUP($E198&amp;"|"&amp;$F198,Cluster_Master!$I$3:$H$17,3,FALSE))</f>
        <v/>
      </c>
      <c r="I198" s="7">
        <f>IF($G198&lt;&gt;"Valid","",VLOOKUP($E198&amp;"|"&amp;$F198,Cluster_Master!$I$3:$H$17,4,FALSE))</f>
        <v/>
      </c>
      <c r="J198" s="7">
        <f>IF($G198&lt;&gt;"Valid","",VLOOKUP($E198&amp;"|"&amp;$F198,Cluster_Master!$I$3:$H$17,5,FALSE))</f>
        <v/>
      </c>
      <c r="K198" s="7">
        <f>IF($G198&lt;&gt;"Valid","",VLOOKUP($E198&amp;"|"&amp;$F198,Cluster_Master!$I$3:$H$17,6,FALSE))</f>
        <v/>
      </c>
      <c r="L198" s="7">
        <f>IF($G198&lt;&gt;"Valid","",VLOOKUP($E198&amp;"|"&amp;$F198,Cluster_Master!$I$3:$H$17,7,FALSE))</f>
        <v/>
      </c>
      <c r="M198" s="7">
        <f>IF($G198&lt;&gt;"Valid","",VLOOKUP($E198&amp;"|"&amp;$F198,Cluster_Master!$I$3:$H$17,8,FALSE))</f>
        <v/>
      </c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7">
        <f>IF(COUNT(T198:AH198)=0,"",SUM(T198:AH198))</f>
        <v/>
      </c>
      <c r="AJ198" s="10">
        <f>IF(AI198="","",AI198/75)</f>
        <v/>
      </c>
      <c r="AK198" s="10">
        <f>IF(AI198="","",SUMPRODUCT(T198:AH198,KPI_Weights!$B$3:$B$17)/5)</f>
        <v/>
      </c>
      <c r="AL198" s="7">
        <f>IF(COUNT(T198:AH198)=0,"",IF(OR(T198&lt;=1,W198&lt;=1,X198&lt;=1,Y198&lt;=1,AB198&lt;=1),"YES","NO"))</f>
        <v/>
      </c>
      <c r="AM198" s="7">
        <f>IF(AK198="","",IF(AND(AK198="NO",AJ198&gt;=0.85),"YES","NO"))</f>
        <v/>
      </c>
      <c r="AN198" s="7">
        <f>IF(AJ198="","",IF(AJ198&gt;=0.90,"Excellent",IF(AJ198&gt;=0.80,"Good",IF(AJ198&gt;=0.70,"Fair","Poor"))))</f>
        <v/>
      </c>
      <c r="AO198" s="12" t="n"/>
      <c r="AP198" s="12" t="n"/>
      <c r="AQ198" s="12" t="n"/>
      <c r="AR198" s="12" t="n"/>
      <c r="AS198" s="12" t="n"/>
      <c r="AT198" s="12" t="n"/>
      <c r="AU198" s="12" t="n"/>
      <c r="AV198" s="11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</row>
    <row r="199">
      <c r="A199" s="13">
        <f>IF(B199="","","INS-"&amp;TEXT(ROW()-3,"000"))</f>
        <v/>
      </c>
      <c r="B199" s="11" t="n"/>
      <c r="C199" s="7">
        <f>IF(B199="","",ISOWEEKNUM(B199))</f>
        <v/>
      </c>
      <c r="D199" s="7">
        <f>IF(B199="","",TEXT(B199,"yyyy-mm"))</f>
        <v/>
      </c>
      <c r="E199" s="12" t="n"/>
      <c r="F199" s="12" t="n"/>
      <c r="G199" s="7">
        <f>IF(OR(E199="",F199=""),"",IF(COUNTIF(Cluster_Master!$I$3:$I$17,E199&amp;"|"&amp;F199)=1,"Valid","Review"))</f>
        <v/>
      </c>
      <c r="H199" s="7">
        <f>IF($G199&lt;&gt;"Valid","",VLOOKUP($E199&amp;"|"&amp;$F199,Cluster_Master!$I$3:$H$17,3,FALSE))</f>
        <v/>
      </c>
      <c r="I199" s="7">
        <f>IF($G199&lt;&gt;"Valid","",VLOOKUP($E199&amp;"|"&amp;$F199,Cluster_Master!$I$3:$H$17,4,FALSE))</f>
        <v/>
      </c>
      <c r="J199" s="7">
        <f>IF($G199&lt;&gt;"Valid","",VLOOKUP($E199&amp;"|"&amp;$F199,Cluster_Master!$I$3:$H$17,5,FALSE))</f>
        <v/>
      </c>
      <c r="K199" s="7">
        <f>IF($G199&lt;&gt;"Valid","",VLOOKUP($E199&amp;"|"&amp;$F199,Cluster_Master!$I$3:$H$17,6,FALSE))</f>
        <v/>
      </c>
      <c r="L199" s="7">
        <f>IF($G199&lt;&gt;"Valid","",VLOOKUP($E199&amp;"|"&amp;$F199,Cluster_Master!$I$3:$H$17,7,FALSE))</f>
        <v/>
      </c>
      <c r="M199" s="7">
        <f>IF($G199&lt;&gt;"Valid","",VLOOKUP($E199&amp;"|"&amp;$F199,Cluster_Master!$I$3:$H$17,8,FALSE))</f>
        <v/>
      </c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7">
        <f>IF(COUNT(T199:AH199)=0,"",SUM(T199:AH199))</f>
        <v/>
      </c>
      <c r="AJ199" s="10">
        <f>IF(AI199="","",AI199/75)</f>
        <v/>
      </c>
      <c r="AK199" s="10">
        <f>IF(AI199="","",SUMPRODUCT(T199:AH199,KPI_Weights!$B$3:$B$17)/5)</f>
        <v/>
      </c>
      <c r="AL199" s="7">
        <f>IF(COUNT(T199:AH199)=0,"",IF(OR(T199&lt;=1,W199&lt;=1,X199&lt;=1,Y199&lt;=1,AB199&lt;=1),"YES","NO"))</f>
        <v/>
      </c>
      <c r="AM199" s="7">
        <f>IF(AK199="","",IF(AND(AK199="NO",AJ199&gt;=0.85),"YES","NO"))</f>
        <v/>
      </c>
      <c r="AN199" s="7">
        <f>IF(AJ199="","",IF(AJ199&gt;=0.90,"Excellent",IF(AJ199&gt;=0.80,"Good",IF(AJ199&gt;=0.70,"Fair","Poor"))))</f>
        <v/>
      </c>
      <c r="AO199" s="12" t="n"/>
      <c r="AP199" s="12" t="n"/>
      <c r="AQ199" s="12" t="n"/>
      <c r="AR199" s="12" t="n"/>
      <c r="AS199" s="12" t="n"/>
      <c r="AT199" s="12" t="n"/>
      <c r="AU199" s="12" t="n"/>
      <c r="AV199" s="11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</row>
    <row r="200">
      <c r="A200" s="7">
        <f>IF(B200="","","INS-"&amp;TEXT(ROW()-3,"000"))</f>
        <v/>
      </c>
      <c r="B200" s="11" t="n"/>
      <c r="C200" s="7">
        <f>IF(B200="","",ISOWEEKNUM(B200))</f>
        <v/>
      </c>
      <c r="D200" s="7">
        <f>IF(B200="","",TEXT(B200,"yyyy-mm"))</f>
        <v/>
      </c>
      <c r="E200" s="12" t="n"/>
      <c r="F200" s="12" t="n"/>
      <c r="G200" s="7">
        <f>IF(OR(E200="",F200=""),"",IF(COUNTIF(Cluster_Master!$I$3:$I$17,E200&amp;"|"&amp;F200)=1,"Valid","Review"))</f>
        <v/>
      </c>
      <c r="H200" s="7">
        <f>IF($G200&lt;&gt;"Valid","",VLOOKUP($E200&amp;"|"&amp;$F200,Cluster_Master!$I$3:$H$17,3,FALSE))</f>
        <v/>
      </c>
      <c r="I200" s="7">
        <f>IF($G200&lt;&gt;"Valid","",VLOOKUP($E200&amp;"|"&amp;$F200,Cluster_Master!$I$3:$H$17,4,FALSE))</f>
        <v/>
      </c>
      <c r="J200" s="7">
        <f>IF($G200&lt;&gt;"Valid","",VLOOKUP($E200&amp;"|"&amp;$F200,Cluster_Master!$I$3:$H$17,5,FALSE))</f>
        <v/>
      </c>
      <c r="K200" s="7">
        <f>IF($G200&lt;&gt;"Valid","",VLOOKUP($E200&amp;"|"&amp;$F200,Cluster_Master!$I$3:$H$17,6,FALSE))</f>
        <v/>
      </c>
      <c r="L200" s="7">
        <f>IF($G200&lt;&gt;"Valid","",VLOOKUP($E200&amp;"|"&amp;$F200,Cluster_Master!$I$3:$H$17,7,FALSE))</f>
        <v/>
      </c>
      <c r="M200" s="7">
        <f>IF($G200&lt;&gt;"Valid","",VLOOKUP($E200&amp;"|"&amp;$F200,Cluster_Master!$I$3:$H$17,8,FALSE))</f>
        <v/>
      </c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7">
        <f>IF(COUNT(T200:AH200)=0,"",SUM(T200:AH200))</f>
        <v/>
      </c>
      <c r="AJ200" s="10">
        <f>IF(AI200="","",AI200/75)</f>
        <v/>
      </c>
      <c r="AK200" s="10">
        <f>IF(AI200="","",SUMPRODUCT(T200:AH200,KPI_Weights!$B$3:$B$17)/5)</f>
        <v/>
      </c>
      <c r="AL200" s="7">
        <f>IF(COUNT(T200:AH200)=0,"",IF(OR(T200&lt;=1,W200&lt;=1,X200&lt;=1,Y200&lt;=1,AB200&lt;=1),"YES","NO"))</f>
        <v/>
      </c>
      <c r="AM200" s="7">
        <f>IF(AK200="","",IF(AND(AK200="NO",AJ200&gt;=0.85),"YES","NO"))</f>
        <v/>
      </c>
      <c r="AN200" s="7">
        <f>IF(AJ200="","",IF(AJ200&gt;=0.90,"Excellent",IF(AJ200&gt;=0.80,"Good",IF(AJ200&gt;=0.70,"Fair","Poor"))))</f>
        <v/>
      </c>
      <c r="AO200" s="12" t="n"/>
      <c r="AP200" s="12" t="n"/>
      <c r="AQ200" s="12" t="n"/>
      <c r="AR200" s="12" t="n"/>
      <c r="AS200" s="12" t="n"/>
      <c r="AT200" s="12" t="n"/>
      <c r="AU200" s="12" t="n"/>
      <c r="AV200" s="11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</row>
    <row r="201">
      <c r="A201" s="7">
        <f>IF(B201="","","INS-"&amp;TEXT(ROW()-3,"000"))</f>
        <v/>
      </c>
      <c r="B201" s="11" t="n"/>
      <c r="C201" s="7">
        <f>IF(B201="","",ISOWEEKNUM(B201))</f>
        <v/>
      </c>
      <c r="D201" s="7">
        <f>IF(B201="","",TEXT(B201,"yyyy-mm"))</f>
        <v/>
      </c>
      <c r="E201" s="12" t="n"/>
      <c r="F201" s="12" t="n"/>
      <c r="G201" s="7">
        <f>IF(OR(E201="",F201=""),"",IF(COUNTIF(Cluster_Master!$I$3:$I$17,E201&amp;"|"&amp;F201)=1,"Valid","Review"))</f>
        <v/>
      </c>
      <c r="H201" s="7">
        <f>IF($G201&lt;&gt;"Valid","",VLOOKUP($E201&amp;"|"&amp;$F201,Cluster_Master!$I$3:$H$17,3,FALSE))</f>
        <v/>
      </c>
      <c r="I201" s="7">
        <f>IF($G201&lt;&gt;"Valid","",VLOOKUP($E201&amp;"|"&amp;$F201,Cluster_Master!$I$3:$H$17,4,FALSE))</f>
        <v/>
      </c>
      <c r="J201" s="7">
        <f>IF($G201&lt;&gt;"Valid","",VLOOKUP($E201&amp;"|"&amp;$F201,Cluster_Master!$I$3:$H$17,5,FALSE))</f>
        <v/>
      </c>
      <c r="K201" s="7">
        <f>IF($G201&lt;&gt;"Valid","",VLOOKUP($E201&amp;"|"&amp;$F201,Cluster_Master!$I$3:$H$17,6,FALSE))</f>
        <v/>
      </c>
      <c r="L201" s="7">
        <f>IF($G201&lt;&gt;"Valid","",VLOOKUP($E201&amp;"|"&amp;$F201,Cluster_Master!$I$3:$H$17,7,FALSE))</f>
        <v/>
      </c>
      <c r="M201" s="7">
        <f>IF($G201&lt;&gt;"Valid","",VLOOKUP($E201&amp;"|"&amp;$F201,Cluster_Master!$I$3:$H$17,8,FALSE))</f>
        <v/>
      </c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7">
        <f>IF(COUNT(T201:AH201)=0,"",SUM(T201:AH201))</f>
        <v/>
      </c>
      <c r="AJ201" s="10">
        <f>IF(AI201="","",AI201/75)</f>
        <v/>
      </c>
      <c r="AK201" s="10">
        <f>IF(AI201="","",SUMPRODUCT(T201:AH201,KPI_Weights!$B$3:$B$17)/5)</f>
        <v/>
      </c>
      <c r="AL201" s="7">
        <f>IF(COUNT(T201:AH201)=0,"",IF(OR(T201&lt;=1,W201&lt;=1,X201&lt;=1,Y201&lt;=1,AB201&lt;=1),"YES","NO"))</f>
        <v/>
      </c>
      <c r="AM201" s="7">
        <f>IF(AK201="","",IF(AND(AK201="NO",AJ201&gt;=0.85),"YES","NO"))</f>
        <v/>
      </c>
      <c r="AN201" s="7">
        <f>IF(AJ201="","",IF(AJ201&gt;=0.90,"Excellent",IF(AJ201&gt;=0.80,"Good",IF(AJ201&gt;=0.70,"Fair","Poor"))))</f>
        <v/>
      </c>
      <c r="AO201" s="12" t="n"/>
      <c r="AP201" s="12" t="n"/>
      <c r="AQ201" s="12" t="n"/>
      <c r="AR201" s="12" t="n"/>
      <c r="AS201" s="12" t="n"/>
      <c r="AT201" s="12" t="n"/>
      <c r="AU201" s="12" t="n"/>
      <c r="AV201" s="11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</row>
    <row r="202">
      <c r="A202" s="7">
        <f>IF(B202="","","INS-"&amp;TEXT(ROW()-3,"000"))</f>
        <v/>
      </c>
      <c r="B202" s="11" t="n"/>
      <c r="C202" s="7">
        <f>IF(B202="","",ISOWEEKNUM(B202))</f>
        <v/>
      </c>
      <c r="D202" s="7">
        <f>IF(B202="","",TEXT(B202,"yyyy-mm"))</f>
        <v/>
      </c>
      <c r="E202" s="12" t="n"/>
      <c r="F202" s="12" t="n"/>
      <c r="G202" s="7">
        <f>IF(OR(E202="",F202=""),"",IF(COUNTIF(Cluster_Master!$I$3:$I$17,E202&amp;"|"&amp;F202)=1,"Valid","Review"))</f>
        <v/>
      </c>
      <c r="H202" s="7">
        <f>IF($G202&lt;&gt;"Valid","",VLOOKUP($E202&amp;"|"&amp;$F202,Cluster_Master!$I$3:$H$17,3,FALSE))</f>
        <v/>
      </c>
      <c r="I202" s="7">
        <f>IF($G202&lt;&gt;"Valid","",VLOOKUP($E202&amp;"|"&amp;$F202,Cluster_Master!$I$3:$H$17,4,FALSE))</f>
        <v/>
      </c>
      <c r="J202" s="7">
        <f>IF($G202&lt;&gt;"Valid","",VLOOKUP($E202&amp;"|"&amp;$F202,Cluster_Master!$I$3:$H$17,5,FALSE))</f>
        <v/>
      </c>
      <c r="K202" s="7">
        <f>IF($G202&lt;&gt;"Valid","",VLOOKUP($E202&amp;"|"&amp;$F202,Cluster_Master!$I$3:$H$17,6,FALSE))</f>
        <v/>
      </c>
      <c r="L202" s="7">
        <f>IF($G202&lt;&gt;"Valid","",VLOOKUP($E202&amp;"|"&amp;$F202,Cluster_Master!$I$3:$H$17,7,FALSE))</f>
        <v/>
      </c>
      <c r="M202" s="7">
        <f>IF($G202&lt;&gt;"Valid","",VLOOKUP($E202&amp;"|"&amp;$F202,Cluster_Master!$I$3:$H$17,8,FALSE))</f>
        <v/>
      </c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7">
        <f>IF(COUNT(T202:AH202)=0,"",SUM(T202:AH202))</f>
        <v/>
      </c>
      <c r="AJ202" s="10">
        <f>IF(AI202="","",AI202/75)</f>
        <v/>
      </c>
      <c r="AK202" s="10">
        <f>IF(AI202="","",SUMPRODUCT(T202:AH202,KPI_Weights!$B$3:$B$17)/5)</f>
        <v/>
      </c>
      <c r="AL202" s="7">
        <f>IF(COUNT(T202:AH202)=0,"",IF(OR(T202&lt;=1,W202&lt;=1,X202&lt;=1,Y202&lt;=1,AB202&lt;=1),"YES","NO"))</f>
        <v/>
      </c>
      <c r="AM202" s="7">
        <f>IF(AK202="","",IF(AND(AK202="NO",AJ202&gt;=0.85),"YES","NO"))</f>
        <v/>
      </c>
      <c r="AN202" s="7">
        <f>IF(AJ202="","",IF(AJ202&gt;=0.90,"Excellent",IF(AJ202&gt;=0.80,"Good",IF(AJ202&gt;=0.70,"Fair","Poor"))))</f>
        <v/>
      </c>
      <c r="AO202" s="12" t="n"/>
      <c r="AP202" s="12" t="n"/>
      <c r="AQ202" s="12" t="n"/>
      <c r="AR202" s="12" t="n"/>
      <c r="AS202" s="12" t="n"/>
      <c r="AT202" s="12" t="n"/>
      <c r="AU202" s="12" t="n"/>
      <c r="AV202" s="11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</row>
    <row r="203">
      <c r="A203" s="7">
        <f>IF(B203="","","INS-"&amp;TEXT(ROW()-3,"000"))</f>
        <v/>
      </c>
      <c r="B203" s="11" t="n"/>
      <c r="C203" s="7">
        <f>IF(B203="","",ISOWEEKNUM(B203))</f>
        <v/>
      </c>
      <c r="D203" s="7">
        <f>IF(B203="","",TEXT(B203,"yyyy-mm"))</f>
        <v/>
      </c>
      <c r="E203" s="12" t="n"/>
      <c r="F203" s="12" t="n"/>
      <c r="G203" s="7">
        <f>IF(OR(E203="",F203=""),"",IF(COUNTIF(Cluster_Master!$I$3:$I$17,E203&amp;"|"&amp;F203)=1,"Valid","Review"))</f>
        <v/>
      </c>
      <c r="H203" s="7">
        <f>IF($G203&lt;&gt;"Valid","",VLOOKUP($E203&amp;"|"&amp;$F203,Cluster_Master!$I$3:$H$17,3,FALSE))</f>
        <v/>
      </c>
      <c r="I203" s="7">
        <f>IF($G203&lt;&gt;"Valid","",VLOOKUP($E203&amp;"|"&amp;$F203,Cluster_Master!$I$3:$H$17,4,FALSE))</f>
        <v/>
      </c>
      <c r="J203" s="7">
        <f>IF($G203&lt;&gt;"Valid","",VLOOKUP($E203&amp;"|"&amp;$F203,Cluster_Master!$I$3:$H$17,5,FALSE))</f>
        <v/>
      </c>
      <c r="K203" s="7">
        <f>IF($G203&lt;&gt;"Valid","",VLOOKUP($E203&amp;"|"&amp;$F203,Cluster_Master!$I$3:$H$17,6,FALSE))</f>
        <v/>
      </c>
      <c r="L203" s="7">
        <f>IF($G203&lt;&gt;"Valid","",VLOOKUP($E203&amp;"|"&amp;$F203,Cluster_Master!$I$3:$H$17,7,FALSE))</f>
        <v/>
      </c>
      <c r="M203" s="7">
        <f>IF($G203&lt;&gt;"Valid","",VLOOKUP($E203&amp;"|"&amp;$F203,Cluster_Master!$I$3:$H$17,8,FALSE))</f>
        <v/>
      </c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7">
        <f>IF(COUNT(T203:AH203)=0,"",SUM(T203:AH203))</f>
        <v/>
      </c>
      <c r="AJ203" s="10">
        <f>IF(AI203="","",AI203/75)</f>
        <v/>
      </c>
      <c r="AK203" s="10">
        <f>IF(AI203="","",SUMPRODUCT(T203:AH203,KPI_Weights!$B$3:$B$17)/5)</f>
        <v/>
      </c>
      <c r="AL203" s="7">
        <f>IF(COUNT(T203:AH203)=0,"",IF(OR(T203&lt;=1,W203&lt;=1,X203&lt;=1,Y203&lt;=1,AB203&lt;=1),"YES","NO"))</f>
        <v/>
      </c>
      <c r="AM203" s="7">
        <f>IF(AK203="","",IF(AND(AK203="NO",AJ203&gt;=0.85),"YES","NO"))</f>
        <v/>
      </c>
      <c r="AN203" s="7">
        <f>IF(AJ203="","",IF(AJ203&gt;=0.90,"Excellent",IF(AJ203&gt;=0.80,"Good",IF(AJ203&gt;=0.70,"Fair","Poor"))))</f>
        <v/>
      </c>
      <c r="AO203" s="12" t="n"/>
      <c r="AP203" s="12" t="n"/>
      <c r="AQ203" s="12" t="n"/>
      <c r="AR203" s="12" t="n"/>
      <c r="AS203" s="12" t="n"/>
      <c r="AT203" s="12" t="n"/>
      <c r="AU203" s="12" t="n"/>
      <c r="AV203" s="11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</row>
    <row r="204">
      <c r="A204" s="7">
        <f>IF(B204="","","INS-"&amp;TEXT(ROW()-3,"000"))</f>
        <v/>
      </c>
      <c r="B204" s="11" t="n"/>
      <c r="C204" s="7">
        <f>IF(B204="","",ISOWEEKNUM(B204))</f>
        <v/>
      </c>
      <c r="D204" s="7">
        <f>IF(B204="","",TEXT(B204,"yyyy-mm"))</f>
        <v/>
      </c>
      <c r="E204" s="12" t="n"/>
      <c r="F204" s="12" t="n"/>
      <c r="G204" s="7">
        <f>IF(OR(E204="",F204=""),"",IF(COUNTIF(Cluster_Master!$I$3:$I$17,E204&amp;"|"&amp;F204)=1,"Valid","Review"))</f>
        <v/>
      </c>
      <c r="H204" s="7">
        <f>IF($G204&lt;&gt;"Valid","",VLOOKUP($E204&amp;"|"&amp;$F204,Cluster_Master!$I$3:$H$17,3,FALSE))</f>
        <v/>
      </c>
      <c r="I204" s="7">
        <f>IF($G204&lt;&gt;"Valid","",VLOOKUP($E204&amp;"|"&amp;$F204,Cluster_Master!$I$3:$H$17,4,FALSE))</f>
        <v/>
      </c>
      <c r="J204" s="7">
        <f>IF($G204&lt;&gt;"Valid","",VLOOKUP($E204&amp;"|"&amp;$F204,Cluster_Master!$I$3:$H$17,5,FALSE))</f>
        <v/>
      </c>
      <c r="K204" s="7">
        <f>IF($G204&lt;&gt;"Valid","",VLOOKUP($E204&amp;"|"&amp;$F204,Cluster_Master!$I$3:$H$17,6,FALSE))</f>
        <v/>
      </c>
      <c r="L204" s="7">
        <f>IF($G204&lt;&gt;"Valid","",VLOOKUP($E204&amp;"|"&amp;$F204,Cluster_Master!$I$3:$H$17,7,FALSE))</f>
        <v/>
      </c>
      <c r="M204" s="7">
        <f>IF($G204&lt;&gt;"Valid","",VLOOKUP($E204&amp;"|"&amp;$F204,Cluster_Master!$I$3:$H$17,8,FALSE))</f>
        <v/>
      </c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7">
        <f>IF(COUNT(T204:AH204)=0,"",SUM(T204:AH204))</f>
        <v/>
      </c>
      <c r="AJ204" s="10">
        <f>IF(AI204="","",AI204/75)</f>
        <v/>
      </c>
      <c r="AK204" s="10">
        <f>IF(AI204="","",SUMPRODUCT(T204:AH204,KPI_Weights!$B$3:$B$17)/5)</f>
        <v/>
      </c>
      <c r="AL204" s="7">
        <f>IF(COUNT(T204:AH204)=0,"",IF(OR(T204&lt;=1,W204&lt;=1,X204&lt;=1,Y204&lt;=1,AB204&lt;=1),"YES","NO"))</f>
        <v/>
      </c>
      <c r="AM204" s="7">
        <f>IF(AK204="","",IF(AND(AK204="NO",AJ204&gt;=0.85),"YES","NO"))</f>
        <v/>
      </c>
      <c r="AN204" s="7">
        <f>IF(AJ204="","",IF(AJ204&gt;=0.90,"Excellent",IF(AJ204&gt;=0.80,"Good",IF(AJ204&gt;=0.70,"Fair","Poor"))))</f>
        <v/>
      </c>
      <c r="AO204" s="12" t="n"/>
      <c r="AP204" s="12" t="n"/>
      <c r="AQ204" s="12" t="n"/>
      <c r="AR204" s="12" t="n"/>
      <c r="AS204" s="12" t="n"/>
      <c r="AT204" s="12" t="n"/>
      <c r="AU204" s="12" t="n"/>
      <c r="AV204" s="11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</row>
    <row r="205">
      <c r="A205" s="7">
        <f>IF(B205="","","INS-"&amp;TEXT(ROW()-3,"000"))</f>
        <v/>
      </c>
      <c r="B205" s="11" t="n"/>
      <c r="C205" s="7">
        <f>IF(B205="","",ISOWEEKNUM(B205))</f>
        <v/>
      </c>
      <c r="D205" s="7">
        <f>IF(B205="","",TEXT(B205,"yyyy-mm"))</f>
        <v/>
      </c>
      <c r="E205" s="12" t="n"/>
      <c r="F205" s="12" t="n"/>
      <c r="G205" s="7">
        <f>IF(OR(E205="",F205=""),"",IF(COUNTIF(Cluster_Master!$I$3:$I$17,E205&amp;"|"&amp;F205)=1,"Valid","Review"))</f>
        <v/>
      </c>
      <c r="H205" s="7">
        <f>IF($G205&lt;&gt;"Valid","",VLOOKUP($E205&amp;"|"&amp;$F205,Cluster_Master!$I$3:$H$17,3,FALSE))</f>
        <v/>
      </c>
      <c r="I205" s="7">
        <f>IF($G205&lt;&gt;"Valid","",VLOOKUP($E205&amp;"|"&amp;$F205,Cluster_Master!$I$3:$H$17,4,FALSE))</f>
        <v/>
      </c>
      <c r="J205" s="7">
        <f>IF($G205&lt;&gt;"Valid","",VLOOKUP($E205&amp;"|"&amp;$F205,Cluster_Master!$I$3:$H$17,5,FALSE))</f>
        <v/>
      </c>
      <c r="K205" s="7">
        <f>IF($G205&lt;&gt;"Valid","",VLOOKUP($E205&amp;"|"&amp;$F205,Cluster_Master!$I$3:$H$17,6,FALSE))</f>
        <v/>
      </c>
      <c r="L205" s="7">
        <f>IF($G205&lt;&gt;"Valid","",VLOOKUP($E205&amp;"|"&amp;$F205,Cluster_Master!$I$3:$H$17,7,FALSE))</f>
        <v/>
      </c>
      <c r="M205" s="7">
        <f>IF($G205&lt;&gt;"Valid","",VLOOKUP($E205&amp;"|"&amp;$F205,Cluster_Master!$I$3:$H$17,8,FALSE))</f>
        <v/>
      </c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7">
        <f>IF(COUNT(T205:AH205)=0,"",SUM(T205:AH205))</f>
        <v/>
      </c>
      <c r="AJ205" s="10">
        <f>IF(AI205="","",AI205/75)</f>
        <v/>
      </c>
      <c r="AK205" s="10">
        <f>IF(AI205="","",SUMPRODUCT(T205:AH205,KPI_Weights!$B$3:$B$17)/5)</f>
        <v/>
      </c>
      <c r="AL205" s="7">
        <f>IF(COUNT(T205:AH205)=0,"",IF(OR(T205&lt;=1,W205&lt;=1,X205&lt;=1,Y205&lt;=1,AB205&lt;=1),"YES","NO"))</f>
        <v/>
      </c>
      <c r="AM205" s="7">
        <f>IF(AK205="","",IF(AND(AK205="NO",AJ205&gt;=0.85),"YES","NO"))</f>
        <v/>
      </c>
      <c r="AN205" s="7">
        <f>IF(AJ205="","",IF(AJ205&gt;=0.90,"Excellent",IF(AJ205&gt;=0.80,"Good",IF(AJ205&gt;=0.70,"Fair","Poor"))))</f>
        <v/>
      </c>
      <c r="AO205" s="12" t="n"/>
      <c r="AP205" s="12" t="n"/>
      <c r="AQ205" s="12" t="n"/>
      <c r="AR205" s="12" t="n"/>
      <c r="AS205" s="12" t="n"/>
      <c r="AT205" s="12" t="n"/>
      <c r="AU205" s="12" t="n"/>
      <c r="AV205" s="11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</row>
    <row r="206">
      <c r="A206" s="7">
        <f>IF(B206="","","INS-"&amp;TEXT(ROW()-3,"000"))</f>
        <v/>
      </c>
      <c r="B206" s="11" t="n"/>
      <c r="C206" s="7">
        <f>IF(B206="","",ISOWEEKNUM(B206))</f>
        <v/>
      </c>
      <c r="D206" s="7">
        <f>IF(B206="","",TEXT(B206,"yyyy-mm"))</f>
        <v/>
      </c>
      <c r="E206" s="12" t="n"/>
      <c r="F206" s="12" t="n"/>
      <c r="G206" s="7">
        <f>IF(OR(E206="",F206=""),"",IF(COUNTIF(Cluster_Master!$I$3:$I$17,E206&amp;"|"&amp;F206)=1,"Valid","Review"))</f>
        <v/>
      </c>
      <c r="H206" s="7">
        <f>IF($G206&lt;&gt;"Valid","",VLOOKUP($E206&amp;"|"&amp;$F206,Cluster_Master!$I$3:$H$17,3,FALSE))</f>
        <v/>
      </c>
      <c r="I206" s="7">
        <f>IF($G206&lt;&gt;"Valid","",VLOOKUP($E206&amp;"|"&amp;$F206,Cluster_Master!$I$3:$H$17,4,FALSE))</f>
        <v/>
      </c>
      <c r="J206" s="7">
        <f>IF($G206&lt;&gt;"Valid","",VLOOKUP($E206&amp;"|"&amp;$F206,Cluster_Master!$I$3:$H$17,5,FALSE))</f>
        <v/>
      </c>
      <c r="K206" s="7">
        <f>IF($G206&lt;&gt;"Valid","",VLOOKUP($E206&amp;"|"&amp;$F206,Cluster_Master!$I$3:$H$17,6,FALSE))</f>
        <v/>
      </c>
      <c r="L206" s="7">
        <f>IF($G206&lt;&gt;"Valid","",VLOOKUP($E206&amp;"|"&amp;$F206,Cluster_Master!$I$3:$H$17,7,FALSE))</f>
        <v/>
      </c>
      <c r="M206" s="7">
        <f>IF($G206&lt;&gt;"Valid","",VLOOKUP($E206&amp;"|"&amp;$F206,Cluster_Master!$I$3:$H$17,8,FALSE))</f>
        <v/>
      </c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7">
        <f>IF(COUNT(T206:AH206)=0,"",SUM(T206:AH206))</f>
        <v/>
      </c>
      <c r="AJ206" s="10">
        <f>IF(AI206="","",AI206/75)</f>
        <v/>
      </c>
      <c r="AK206" s="10">
        <f>IF(AI206="","",SUMPRODUCT(T206:AH206,KPI_Weights!$B$3:$B$17)/5)</f>
        <v/>
      </c>
      <c r="AL206" s="7">
        <f>IF(COUNT(T206:AH206)=0,"",IF(OR(T206&lt;=1,W206&lt;=1,X206&lt;=1,Y206&lt;=1,AB206&lt;=1),"YES","NO"))</f>
        <v/>
      </c>
      <c r="AM206" s="7">
        <f>IF(AK206="","",IF(AND(AK206="NO",AJ206&gt;=0.85),"YES","NO"))</f>
        <v/>
      </c>
      <c r="AN206" s="7">
        <f>IF(AJ206="","",IF(AJ206&gt;=0.90,"Excellent",IF(AJ206&gt;=0.80,"Good",IF(AJ206&gt;=0.70,"Fair","Poor"))))</f>
        <v/>
      </c>
      <c r="AO206" s="12" t="n"/>
      <c r="AP206" s="12" t="n"/>
      <c r="AQ206" s="12" t="n"/>
      <c r="AR206" s="12" t="n"/>
      <c r="AS206" s="12" t="n"/>
      <c r="AT206" s="12" t="n"/>
      <c r="AU206" s="12" t="n"/>
      <c r="AV206" s="11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</row>
    <row r="207">
      <c r="A207" s="7">
        <f>IF(B207="","","INS-"&amp;TEXT(ROW()-3,"000"))</f>
        <v/>
      </c>
      <c r="B207" s="11" t="n"/>
      <c r="C207" s="7">
        <f>IF(B207="","",ISOWEEKNUM(B207))</f>
        <v/>
      </c>
      <c r="D207" s="7">
        <f>IF(B207="","",TEXT(B207,"yyyy-mm"))</f>
        <v/>
      </c>
      <c r="E207" s="12" t="n"/>
      <c r="F207" s="12" t="n"/>
      <c r="G207" s="7">
        <f>IF(OR(E207="",F207=""),"",IF(COUNTIF(Cluster_Master!$I$3:$I$17,E207&amp;"|"&amp;F207)=1,"Valid","Review"))</f>
        <v/>
      </c>
      <c r="H207" s="7">
        <f>IF($G207&lt;&gt;"Valid","",VLOOKUP($E207&amp;"|"&amp;$F207,Cluster_Master!$I$3:$H$17,3,FALSE))</f>
        <v/>
      </c>
      <c r="I207" s="7">
        <f>IF($G207&lt;&gt;"Valid","",VLOOKUP($E207&amp;"|"&amp;$F207,Cluster_Master!$I$3:$H$17,4,FALSE))</f>
        <v/>
      </c>
      <c r="J207" s="7">
        <f>IF($G207&lt;&gt;"Valid","",VLOOKUP($E207&amp;"|"&amp;$F207,Cluster_Master!$I$3:$H$17,5,FALSE))</f>
        <v/>
      </c>
      <c r="K207" s="7">
        <f>IF($G207&lt;&gt;"Valid","",VLOOKUP($E207&amp;"|"&amp;$F207,Cluster_Master!$I$3:$H$17,6,FALSE))</f>
        <v/>
      </c>
      <c r="L207" s="7">
        <f>IF($G207&lt;&gt;"Valid","",VLOOKUP($E207&amp;"|"&amp;$F207,Cluster_Master!$I$3:$H$17,7,FALSE))</f>
        <v/>
      </c>
      <c r="M207" s="7">
        <f>IF($G207&lt;&gt;"Valid","",VLOOKUP($E207&amp;"|"&amp;$F207,Cluster_Master!$I$3:$H$17,8,FALSE))</f>
        <v/>
      </c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7">
        <f>IF(COUNT(T207:AH207)=0,"",SUM(T207:AH207))</f>
        <v/>
      </c>
      <c r="AJ207" s="10">
        <f>IF(AI207="","",AI207/75)</f>
        <v/>
      </c>
      <c r="AK207" s="10">
        <f>IF(AI207="","",SUMPRODUCT(T207:AH207,KPI_Weights!$B$3:$B$17)/5)</f>
        <v/>
      </c>
      <c r="AL207" s="7">
        <f>IF(COUNT(T207:AH207)=0,"",IF(OR(T207&lt;=1,W207&lt;=1,X207&lt;=1,Y207&lt;=1,AB207&lt;=1),"YES","NO"))</f>
        <v/>
      </c>
      <c r="AM207" s="7">
        <f>IF(AK207="","",IF(AND(AK207="NO",AJ207&gt;=0.85),"YES","NO"))</f>
        <v/>
      </c>
      <c r="AN207" s="7">
        <f>IF(AJ207="","",IF(AJ207&gt;=0.90,"Excellent",IF(AJ207&gt;=0.80,"Good",IF(AJ207&gt;=0.70,"Fair","Poor"))))</f>
        <v/>
      </c>
      <c r="AO207" s="12" t="n"/>
      <c r="AP207" s="12" t="n"/>
      <c r="AQ207" s="12" t="n"/>
      <c r="AR207" s="12" t="n"/>
      <c r="AS207" s="12" t="n"/>
      <c r="AT207" s="12" t="n"/>
      <c r="AU207" s="12" t="n"/>
      <c r="AV207" s="11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</row>
    <row r="208">
      <c r="A208" s="7">
        <f>IF(B208="","","INS-"&amp;TEXT(ROW()-3,"000"))</f>
        <v/>
      </c>
      <c r="B208" s="11" t="n"/>
      <c r="C208" s="7">
        <f>IF(B208="","",ISOWEEKNUM(B208))</f>
        <v/>
      </c>
      <c r="D208" s="7">
        <f>IF(B208="","",TEXT(B208,"yyyy-mm"))</f>
        <v/>
      </c>
      <c r="E208" s="12" t="n"/>
      <c r="F208" s="12" t="n"/>
      <c r="G208" s="7">
        <f>IF(OR(E208="",F208=""),"",IF(COUNTIF(Cluster_Master!$I$3:$I$17,E208&amp;"|"&amp;F208)=1,"Valid","Review"))</f>
        <v/>
      </c>
      <c r="H208" s="7">
        <f>IF($G208&lt;&gt;"Valid","",VLOOKUP($E208&amp;"|"&amp;$F208,Cluster_Master!$I$3:$H$17,3,FALSE))</f>
        <v/>
      </c>
      <c r="I208" s="7">
        <f>IF($G208&lt;&gt;"Valid","",VLOOKUP($E208&amp;"|"&amp;$F208,Cluster_Master!$I$3:$H$17,4,FALSE))</f>
        <v/>
      </c>
      <c r="J208" s="7">
        <f>IF($G208&lt;&gt;"Valid","",VLOOKUP($E208&amp;"|"&amp;$F208,Cluster_Master!$I$3:$H$17,5,FALSE))</f>
        <v/>
      </c>
      <c r="K208" s="7">
        <f>IF($G208&lt;&gt;"Valid","",VLOOKUP($E208&amp;"|"&amp;$F208,Cluster_Master!$I$3:$H$17,6,FALSE))</f>
        <v/>
      </c>
      <c r="L208" s="7">
        <f>IF($G208&lt;&gt;"Valid","",VLOOKUP($E208&amp;"|"&amp;$F208,Cluster_Master!$I$3:$H$17,7,FALSE))</f>
        <v/>
      </c>
      <c r="M208" s="7">
        <f>IF($G208&lt;&gt;"Valid","",VLOOKUP($E208&amp;"|"&amp;$F208,Cluster_Master!$I$3:$H$17,8,FALSE))</f>
        <v/>
      </c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7">
        <f>IF(COUNT(T208:AH208)=0,"",SUM(T208:AH208))</f>
        <v/>
      </c>
      <c r="AJ208" s="10">
        <f>IF(AI208="","",AI208/75)</f>
        <v/>
      </c>
      <c r="AK208" s="10">
        <f>IF(AI208="","",SUMPRODUCT(T208:AH208,KPI_Weights!$B$3:$B$17)/5)</f>
        <v/>
      </c>
      <c r="AL208" s="7">
        <f>IF(COUNT(T208:AH208)=0,"",IF(OR(T208&lt;=1,W208&lt;=1,X208&lt;=1,Y208&lt;=1,AB208&lt;=1),"YES","NO"))</f>
        <v/>
      </c>
      <c r="AM208" s="7">
        <f>IF(AK208="","",IF(AND(AK208="NO",AJ208&gt;=0.85),"YES","NO"))</f>
        <v/>
      </c>
      <c r="AN208" s="7">
        <f>IF(AJ208="","",IF(AJ208&gt;=0.90,"Excellent",IF(AJ208&gt;=0.80,"Good",IF(AJ208&gt;=0.70,"Fair","Poor"))))</f>
        <v/>
      </c>
      <c r="AO208" s="12" t="n"/>
      <c r="AP208" s="12" t="n"/>
      <c r="AQ208" s="12" t="n"/>
      <c r="AR208" s="12" t="n"/>
      <c r="AS208" s="12" t="n"/>
      <c r="AT208" s="12" t="n"/>
      <c r="AU208" s="12" t="n"/>
      <c r="AV208" s="11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</row>
    <row r="209">
      <c r="A209" s="7">
        <f>IF(B209="","","INS-"&amp;TEXT(ROW()-3,"000"))</f>
        <v/>
      </c>
      <c r="B209" s="11" t="n"/>
      <c r="C209" s="7">
        <f>IF(B209="","",ISOWEEKNUM(B209))</f>
        <v/>
      </c>
      <c r="D209" s="7">
        <f>IF(B209="","",TEXT(B209,"yyyy-mm"))</f>
        <v/>
      </c>
      <c r="E209" s="12" t="n"/>
      <c r="F209" s="12" t="n"/>
      <c r="G209" s="7">
        <f>IF(OR(E209="",F209=""),"",IF(COUNTIF(Cluster_Master!$I$3:$I$17,E209&amp;"|"&amp;F209)=1,"Valid","Review"))</f>
        <v/>
      </c>
      <c r="H209" s="7">
        <f>IF($G209&lt;&gt;"Valid","",VLOOKUP($E209&amp;"|"&amp;$F209,Cluster_Master!$I$3:$H$17,3,FALSE))</f>
        <v/>
      </c>
      <c r="I209" s="7">
        <f>IF($G209&lt;&gt;"Valid","",VLOOKUP($E209&amp;"|"&amp;$F209,Cluster_Master!$I$3:$H$17,4,FALSE))</f>
        <v/>
      </c>
      <c r="J209" s="7">
        <f>IF($G209&lt;&gt;"Valid","",VLOOKUP($E209&amp;"|"&amp;$F209,Cluster_Master!$I$3:$H$17,5,FALSE))</f>
        <v/>
      </c>
      <c r="K209" s="7">
        <f>IF($G209&lt;&gt;"Valid","",VLOOKUP($E209&amp;"|"&amp;$F209,Cluster_Master!$I$3:$H$17,6,FALSE))</f>
        <v/>
      </c>
      <c r="L209" s="7">
        <f>IF($G209&lt;&gt;"Valid","",VLOOKUP($E209&amp;"|"&amp;$F209,Cluster_Master!$I$3:$H$17,7,FALSE))</f>
        <v/>
      </c>
      <c r="M209" s="7">
        <f>IF($G209&lt;&gt;"Valid","",VLOOKUP($E209&amp;"|"&amp;$F209,Cluster_Master!$I$3:$H$17,8,FALSE))</f>
        <v/>
      </c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7">
        <f>IF(COUNT(T209:AH209)=0,"",SUM(T209:AH209))</f>
        <v/>
      </c>
      <c r="AJ209" s="10">
        <f>IF(AI209="","",AI209/75)</f>
        <v/>
      </c>
      <c r="AK209" s="10">
        <f>IF(AI209="","",SUMPRODUCT(T209:AH209,KPI_Weights!$B$3:$B$17)/5)</f>
        <v/>
      </c>
      <c r="AL209" s="7">
        <f>IF(COUNT(T209:AH209)=0,"",IF(OR(T209&lt;=1,W209&lt;=1,X209&lt;=1,Y209&lt;=1,AB209&lt;=1),"YES","NO"))</f>
        <v/>
      </c>
      <c r="AM209" s="7">
        <f>IF(AK209="","",IF(AND(AK209="NO",AJ209&gt;=0.85),"YES","NO"))</f>
        <v/>
      </c>
      <c r="AN209" s="7">
        <f>IF(AJ209="","",IF(AJ209&gt;=0.90,"Excellent",IF(AJ209&gt;=0.80,"Good",IF(AJ209&gt;=0.70,"Fair","Poor"))))</f>
        <v/>
      </c>
      <c r="AO209" s="12" t="n"/>
      <c r="AP209" s="12" t="n"/>
      <c r="AQ209" s="12" t="n"/>
      <c r="AR209" s="12" t="n"/>
      <c r="AS209" s="12" t="n"/>
      <c r="AT209" s="12" t="n"/>
      <c r="AU209" s="12" t="n"/>
      <c r="AV209" s="11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</row>
    <row r="210">
      <c r="A210" s="7">
        <f>IF(B210="","","INS-"&amp;TEXT(ROW()-3,"000"))</f>
        <v/>
      </c>
      <c r="B210" s="11" t="n"/>
      <c r="C210" s="7">
        <f>IF(B210="","",ISOWEEKNUM(B210))</f>
        <v/>
      </c>
      <c r="D210" s="7">
        <f>IF(B210="","",TEXT(B210,"yyyy-mm"))</f>
        <v/>
      </c>
      <c r="E210" s="12" t="n"/>
      <c r="F210" s="12" t="n"/>
      <c r="G210" s="7">
        <f>IF(OR(E210="",F210=""),"",IF(COUNTIF(Cluster_Master!$I$3:$I$17,E210&amp;"|"&amp;F210)=1,"Valid","Review"))</f>
        <v/>
      </c>
      <c r="H210" s="7">
        <f>IF($G210&lt;&gt;"Valid","",VLOOKUP($E210&amp;"|"&amp;$F210,Cluster_Master!$I$3:$H$17,3,FALSE))</f>
        <v/>
      </c>
      <c r="I210" s="7">
        <f>IF($G210&lt;&gt;"Valid","",VLOOKUP($E210&amp;"|"&amp;$F210,Cluster_Master!$I$3:$H$17,4,FALSE))</f>
        <v/>
      </c>
      <c r="J210" s="7">
        <f>IF($G210&lt;&gt;"Valid","",VLOOKUP($E210&amp;"|"&amp;$F210,Cluster_Master!$I$3:$H$17,5,FALSE))</f>
        <v/>
      </c>
      <c r="K210" s="7">
        <f>IF($G210&lt;&gt;"Valid","",VLOOKUP($E210&amp;"|"&amp;$F210,Cluster_Master!$I$3:$H$17,6,FALSE))</f>
        <v/>
      </c>
      <c r="L210" s="7">
        <f>IF($G210&lt;&gt;"Valid","",VLOOKUP($E210&amp;"|"&amp;$F210,Cluster_Master!$I$3:$H$17,7,FALSE))</f>
        <v/>
      </c>
      <c r="M210" s="7">
        <f>IF($G210&lt;&gt;"Valid","",VLOOKUP($E210&amp;"|"&amp;$F210,Cluster_Master!$I$3:$H$17,8,FALSE))</f>
        <v/>
      </c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7">
        <f>IF(COUNT(T210:AH210)=0,"",SUM(T210:AH210))</f>
        <v/>
      </c>
      <c r="AJ210" s="10">
        <f>IF(AI210="","",AI210/75)</f>
        <v/>
      </c>
      <c r="AK210" s="10">
        <f>IF(AI210="","",SUMPRODUCT(T210:AH210,KPI_Weights!$B$3:$B$17)/5)</f>
        <v/>
      </c>
      <c r="AL210" s="7">
        <f>IF(COUNT(T210:AH210)=0,"",IF(OR(T210&lt;=1,W210&lt;=1,X210&lt;=1,Y210&lt;=1,AB210&lt;=1),"YES","NO"))</f>
        <v/>
      </c>
      <c r="AM210" s="7">
        <f>IF(AK210="","",IF(AND(AK210="NO",AJ210&gt;=0.85),"YES","NO"))</f>
        <v/>
      </c>
      <c r="AN210" s="7">
        <f>IF(AJ210="","",IF(AJ210&gt;=0.90,"Excellent",IF(AJ210&gt;=0.80,"Good",IF(AJ210&gt;=0.70,"Fair","Poor"))))</f>
        <v/>
      </c>
      <c r="AO210" s="12" t="n"/>
      <c r="AP210" s="12" t="n"/>
      <c r="AQ210" s="12" t="n"/>
      <c r="AR210" s="12" t="n"/>
      <c r="AS210" s="12" t="n"/>
      <c r="AT210" s="12" t="n"/>
      <c r="AU210" s="12" t="n"/>
      <c r="AV210" s="11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</row>
    <row r="211">
      <c r="A211" s="7">
        <f>IF(B211="","","INS-"&amp;TEXT(ROW()-3,"000"))</f>
        <v/>
      </c>
      <c r="B211" s="11" t="n"/>
      <c r="C211" s="7">
        <f>IF(B211="","",ISOWEEKNUM(B211))</f>
        <v/>
      </c>
      <c r="D211" s="7">
        <f>IF(B211="","",TEXT(B211,"yyyy-mm"))</f>
        <v/>
      </c>
      <c r="E211" s="12" t="n"/>
      <c r="F211" s="12" t="n"/>
      <c r="G211" s="7">
        <f>IF(OR(E211="",F211=""),"",IF(COUNTIF(Cluster_Master!$I$3:$I$17,E211&amp;"|"&amp;F211)=1,"Valid","Review"))</f>
        <v/>
      </c>
      <c r="H211" s="7">
        <f>IF($G211&lt;&gt;"Valid","",VLOOKUP($E211&amp;"|"&amp;$F211,Cluster_Master!$I$3:$H$17,3,FALSE))</f>
        <v/>
      </c>
      <c r="I211" s="7">
        <f>IF($G211&lt;&gt;"Valid","",VLOOKUP($E211&amp;"|"&amp;$F211,Cluster_Master!$I$3:$H$17,4,FALSE))</f>
        <v/>
      </c>
      <c r="J211" s="7">
        <f>IF($G211&lt;&gt;"Valid","",VLOOKUP($E211&amp;"|"&amp;$F211,Cluster_Master!$I$3:$H$17,5,FALSE))</f>
        <v/>
      </c>
      <c r="K211" s="7">
        <f>IF($G211&lt;&gt;"Valid","",VLOOKUP($E211&amp;"|"&amp;$F211,Cluster_Master!$I$3:$H$17,6,FALSE))</f>
        <v/>
      </c>
      <c r="L211" s="7">
        <f>IF($G211&lt;&gt;"Valid","",VLOOKUP($E211&amp;"|"&amp;$F211,Cluster_Master!$I$3:$H$17,7,FALSE))</f>
        <v/>
      </c>
      <c r="M211" s="7">
        <f>IF($G211&lt;&gt;"Valid","",VLOOKUP($E211&amp;"|"&amp;$F211,Cluster_Master!$I$3:$H$17,8,FALSE))</f>
        <v/>
      </c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7">
        <f>IF(COUNT(T211:AH211)=0,"",SUM(T211:AH211))</f>
        <v/>
      </c>
      <c r="AJ211" s="10">
        <f>IF(AI211="","",AI211/75)</f>
        <v/>
      </c>
      <c r="AK211" s="10">
        <f>IF(AI211="","",SUMPRODUCT(T211:AH211,KPI_Weights!$B$3:$B$17)/5)</f>
        <v/>
      </c>
      <c r="AL211" s="7">
        <f>IF(COUNT(T211:AH211)=0,"",IF(OR(T211&lt;=1,W211&lt;=1,X211&lt;=1,Y211&lt;=1,AB211&lt;=1),"YES","NO"))</f>
        <v/>
      </c>
      <c r="AM211" s="7">
        <f>IF(AK211="","",IF(AND(AK211="NO",AJ211&gt;=0.85),"YES","NO"))</f>
        <v/>
      </c>
      <c r="AN211" s="7">
        <f>IF(AJ211="","",IF(AJ211&gt;=0.90,"Excellent",IF(AJ211&gt;=0.80,"Good",IF(AJ211&gt;=0.70,"Fair","Poor"))))</f>
        <v/>
      </c>
      <c r="AO211" s="12" t="n"/>
      <c r="AP211" s="12" t="n"/>
      <c r="AQ211" s="12" t="n"/>
      <c r="AR211" s="12" t="n"/>
      <c r="AS211" s="12" t="n"/>
      <c r="AT211" s="12" t="n"/>
      <c r="AU211" s="12" t="n"/>
      <c r="AV211" s="11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</row>
    <row r="212">
      <c r="A212" s="7">
        <f>IF(B212="","","INS-"&amp;TEXT(ROW()-3,"000"))</f>
        <v/>
      </c>
      <c r="B212" s="11" t="n"/>
      <c r="C212" s="7">
        <f>IF(B212="","",ISOWEEKNUM(B212))</f>
        <v/>
      </c>
      <c r="D212" s="7">
        <f>IF(B212="","",TEXT(B212,"yyyy-mm"))</f>
        <v/>
      </c>
      <c r="E212" s="12" t="n"/>
      <c r="F212" s="12" t="n"/>
      <c r="G212" s="7">
        <f>IF(OR(E212="",F212=""),"",IF(COUNTIF(Cluster_Master!$I$3:$I$17,E212&amp;"|"&amp;F212)=1,"Valid","Review"))</f>
        <v/>
      </c>
      <c r="H212" s="7">
        <f>IF($G212&lt;&gt;"Valid","",VLOOKUP($E212&amp;"|"&amp;$F212,Cluster_Master!$I$3:$H$17,3,FALSE))</f>
        <v/>
      </c>
      <c r="I212" s="7">
        <f>IF($G212&lt;&gt;"Valid","",VLOOKUP($E212&amp;"|"&amp;$F212,Cluster_Master!$I$3:$H$17,4,FALSE))</f>
        <v/>
      </c>
      <c r="J212" s="7">
        <f>IF($G212&lt;&gt;"Valid","",VLOOKUP($E212&amp;"|"&amp;$F212,Cluster_Master!$I$3:$H$17,5,FALSE))</f>
        <v/>
      </c>
      <c r="K212" s="7">
        <f>IF($G212&lt;&gt;"Valid","",VLOOKUP($E212&amp;"|"&amp;$F212,Cluster_Master!$I$3:$H$17,6,FALSE))</f>
        <v/>
      </c>
      <c r="L212" s="7">
        <f>IF($G212&lt;&gt;"Valid","",VLOOKUP($E212&amp;"|"&amp;$F212,Cluster_Master!$I$3:$H$17,7,FALSE))</f>
        <v/>
      </c>
      <c r="M212" s="7">
        <f>IF($G212&lt;&gt;"Valid","",VLOOKUP($E212&amp;"|"&amp;$F212,Cluster_Master!$I$3:$H$17,8,FALSE))</f>
        <v/>
      </c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7">
        <f>IF(COUNT(T212:AH212)=0,"",SUM(T212:AH212))</f>
        <v/>
      </c>
      <c r="AJ212" s="10">
        <f>IF(AI212="","",AI212/75)</f>
        <v/>
      </c>
      <c r="AK212" s="10">
        <f>IF(AI212="","",SUMPRODUCT(T212:AH212,KPI_Weights!$B$3:$B$17)/5)</f>
        <v/>
      </c>
      <c r="AL212" s="7">
        <f>IF(COUNT(T212:AH212)=0,"",IF(OR(T212&lt;=1,W212&lt;=1,X212&lt;=1,Y212&lt;=1,AB212&lt;=1),"YES","NO"))</f>
        <v/>
      </c>
      <c r="AM212" s="7">
        <f>IF(AK212="","",IF(AND(AK212="NO",AJ212&gt;=0.85),"YES","NO"))</f>
        <v/>
      </c>
      <c r="AN212" s="7">
        <f>IF(AJ212="","",IF(AJ212&gt;=0.90,"Excellent",IF(AJ212&gt;=0.80,"Good",IF(AJ212&gt;=0.70,"Fair","Poor"))))</f>
        <v/>
      </c>
      <c r="AO212" s="12" t="n"/>
      <c r="AP212" s="12" t="n"/>
      <c r="AQ212" s="12" t="n"/>
      <c r="AR212" s="12" t="n"/>
      <c r="AS212" s="12" t="n"/>
      <c r="AT212" s="12" t="n"/>
      <c r="AU212" s="12" t="n"/>
      <c r="AV212" s="11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</row>
    <row r="213">
      <c r="A213" s="7">
        <f>IF(B213="","","INS-"&amp;TEXT(ROW()-3,"000"))</f>
        <v/>
      </c>
      <c r="B213" s="11" t="n"/>
      <c r="C213" s="7">
        <f>IF(B213="","",ISOWEEKNUM(B213))</f>
        <v/>
      </c>
      <c r="D213" s="7">
        <f>IF(B213="","",TEXT(B213,"yyyy-mm"))</f>
        <v/>
      </c>
      <c r="E213" s="12" t="n"/>
      <c r="F213" s="12" t="n"/>
      <c r="G213" s="7">
        <f>IF(OR(E213="",F213=""),"",IF(COUNTIF(Cluster_Master!$I$3:$I$17,E213&amp;"|"&amp;F213)=1,"Valid","Review"))</f>
        <v/>
      </c>
      <c r="H213" s="7">
        <f>IF($G213&lt;&gt;"Valid","",VLOOKUP($E213&amp;"|"&amp;$F213,Cluster_Master!$I$3:$H$17,3,FALSE))</f>
        <v/>
      </c>
      <c r="I213" s="7">
        <f>IF($G213&lt;&gt;"Valid","",VLOOKUP($E213&amp;"|"&amp;$F213,Cluster_Master!$I$3:$H$17,4,FALSE))</f>
        <v/>
      </c>
      <c r="J213" s="7">
        <f>IF($G213&lt;&gt;"Valid","",VLOOKUP($E213&amp;"|"&amp;$F213,Cluster_Master!$I$3:$H$17,5,FALSE))</f>
        <v/>
      </c>
      <c r="K213" s="7">
        <f>IF($G213&lt;&gt;"Valid","",VLOOKUP($E213&amp;"|"&amp;$F213,Cluster_Master!$I$3:$H$17,6,FALSE))</f>
        <v/>
      </c>
      <c r="L213" s="7">
        <f>IF($G213&lt;&gt;"Valid","",VLOOKUP($E213&amp;"|"&amp;$F213,Cluster_Master!$I$3:$H$17,7,FALSE))</f>
        <v/>
      </c>
      <c r="M213" s="7">
        <f>IF($G213&lt;&gt;"Valid","",VLOOKUP($E213&amp;"|"&amp;$F213,Cluster_Master!$I$3:$H$17,8,FALSE))</f>
        <v/>
      </c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7">
        <f>IF(COUNT(T213:AH213)=0,"",SUM(T213:AH213))</f>
        <v/>
      </c>
      <c r="AJ213" s="10">
        <f>IF(AI213="","",AI213/75)</f>
        <v/>
      </c>
      <c r="AK213" s="10">
        <f>IF(AI213="","",SUMPRODUCT(T213:AH213,KPI_Weights!$B$3:$B$17)/5)</f>
        <v/>
      </c>
      <c r="AL213" s="7">
        <f>IF(COUNT(T213:AH213)=0,"",IF(OR(T213&lt;=1,W213&lt;=1,X213&lt;=1,Y213&lt;=1,AB213&lt;=1),"YES","NO"))</f>
        <v/>
      </c>
      <c r="AM213" s="7">
        <f>IF(AK213="","",IF(AND(AK213="NO",AJ213&gt;=0.85),"YES","NO"))</f>
        <v/>
      </c>
      <c r="AN213" s="7">
        <f>IF(AJ213="","",IF(AJ213&gt;=0.90,"Excellent",IF(AJ213&gt;=0.80,"Good",IF(AJ213&gt;=0.70,"Fair","Poor"))))</f>
        <v/>
      </c>
      <c r="AO213" s="12" t="n"/>
      <c r="AP213" s="12" t="n"/>
      <c r="AQ213" s="12" t="n"/>
      <c r="AR213" s="12" t="n"/>
      <c r="AS213" s="12" t="n"/>
      <c r="AT213" s="12" t="n"/>
      <c r="AU213" s="12" t="n"/>
      <c r="AV213" s="11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</row>
    <row r="214">
      <c r="A214" s="7">
        <f>IF(B214="","","INS-"&amp;TEXT(ROW()-3,"000"))</f>
        <v/>
      </c>
      <c r="B214" s="11" t="n"/>
      <c r="C214" s="7">
        <f>IF(B214="","",ISOWEEKNUM(B214))</f>
        <v/>
      </c>
      <c r="D214" s="7">
        <f>IF(B214="","",TEXT(B214,"yyyy-mm"))</f>
        <v/>
      </c>
      <c r="E214" s="12" t="n"/>
      <c r="F214" s="12" t="n"/>
      <c r="G214" s="7">
        <f>IF(OR(E214="",F214=""),"",IF(COUNTIF(Cluster_Master!$I$3:$I$17,E214&amp;"|"&amp;F214)=1,"Valid","Review"))</f>
        <v/>
      </c>
      <c r="H214" s="7">
        <f>IF($G214&lt;&gt;"Valid","",VLOOKUP($E214&amp;"|"&amp;$F214,Cluster_Master!$I$3:$H$17,3,FALSE))</f>
        <v/>
      </c>
      <c r="I214" s="7">
        <f>IF($G214&lt;&gt;"Valid","",VLOOKUP($E214&amp;"|"&amp;$F214,Cluster_Master!$I$3:$H$17,4,FALSE))</f>
        <v/>
      </c>
      <c r="J214" s="7">
        <f>IF($G214&lt;&gt;"Valid","",VLOOKUP($E214&amp;"|"&amp;$F214,Cluster_Master!$I$3:$H$17,5,FALSE))</f>
        <v/>
      </c>
      <c r="K214" s="7">
        <f>IF($G214&lt;&gt;"Valid","",VLOOKUP($E214&amp;"|"&amp;$F214,Cluster_Master!$I$3:$H$17,6,FALSE))</f>
        <v/>
      </c>
      <c r="L214" s="7">
        <f>IF($G214&lt;&gt;"Valid","",VLOOKUP($E214&amp;"|"&amp;$F214,Cluster_Master!$I$3:$H$17,7,FALSE))</f>
        <v/>
      </c>
      <c r="M214" s="7">
        <f>IF($G214&lt;&gt;"Valid","",VLOOKUP($E214&amp;"|"&amp;$F214,Cluster_Master!$I$3:$H$17,8,FALSE))</f>
        <v/>
      </c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7">
        <f>IF(COUNT(T214:AH214)=0,"",SUM(T214:AH214))</f>
        <v/>
      </c>
      <c r="AJ214" s="10">
        <f>IF(AI214="","",AI214/75)</f>
        <v/>
      </c>
      <c r="AK214" s="10">
        <f>IF(AI214="","",SUMPRODUCT(T214:AH214,KPI_Weights!$B$3:$B$17)/5)</f>
        <v/>
      </c>
      <c r="AL214" s="7">
        <f>IF(COUNT(T214:AH214)=0,"",IF(OR(T214&lt;=1,W214&lt;=1,X214&lt;=1,Y214&lt;=1,AB214&lt;=1),"YES","NO"))</f>
        <v/>
      </c>
      <c r="AM214" s="7">
        <f>IF(AK214="","",IF(AND(AK214="NO",AJ214&gt;=0.85),"YES","NO"))</f>
        <v/>
      </c>
      <c r="AN214" s="7">
        <f>IF(AJ214="","",IF(AJ214&gt;=0.90,"Excellent",IF(AJ214&gt;=0.80,"Good",IF(AJ214&gt;=0.70,"Fair","Poor"))))</f>
        <v/>
      </c>
      <c r="AO214" s="12" t="n"/>
      <c r="AP214" s="12" t="n"/>
      <c r="AQ214" s="12" t="n"/>
      <c r="AR214" s="12" t="n"/>
      <c r="AS214" s="12" t="n"/>
      <c r="AT214" s="12" t="n"/>
      <c r="AU214" s="12" t="n"/>
      <c r="AV214" s="11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</row>
    <row r="215">
      <c r="A215" s="7">
        <f>IF(B215="","","INS-"&amp;TEXT(ROW()-3,"000"))</f>
        <v/>
      </c>
      <c r="B215" s="11" t="n"/>
      <c r="C215" s="7">
        <f>IF(B215="","",ISOWEEKNUM(B215))</f>
        <v/>
      </c>
      <c r="D215" s="7">
        <f>IF(B215="","",TEXT(B215,"yyyy-mm"))</f>
        <v/>
      </c>
      <c r="E215" s="12" t="n"/>
      <c r="F215" s="12" t="n"/>
      <c r="G215" s="7">
        <f>IF(OR(E215="",F215=""),"",IF(COUNTIF(Cluster_Master!$I$3:$I$17,E215&amp;"|"&amp;F215)=1,"Valid","Review"))</f>
        <v/>
      </c>
      <c r="H215" s="7">
        <f>IF($G215&lt;&gt;"Valid","",VLOOKUP($E215&amp;"|"&amp;$F215,Cluster_Master!$I$3:$H$17,3,FALSE))</f>
        <v/>
      </c>
      <c r="I215" s="7">
        <f>IF($G215&lt;&gt;"Valid","",VLOOKUP($E215&amp;"|"&amp;$F215,Cluster_Master!$I$3:$H$17,4,FALSE))</f>
        <v/>
      </c>
      <c r="J215" s="7">
        <f>IF($G215&lt;&gt;"Valid","",VLOOKUP($E215&amp;"|"&amp;$F215,Cluster_Master!$I$3:$H$17,5,FALSE))</f>
        <v/>
      </c>
      <c r="K215" s="7">
        <f>IF($G215&lt;&gt;"Valid","",VLOOKUP($E215&amp;"|"&amp;$F215,Cluster_Master!$I$3:$H$17,6,FALSE))</f>
        <v/>
      </c>
      <c r="L215" s="7">
        <f>IF($G215&lt;&gt;"Valid","",VLOOKUP($E215&amp;"|"&amp;$F215,Cluster_Master!$I$3:$H$17,7,FALSE))</f>
        <v/>
      </c>
      <c r="M215" s="7">
        <f>IF($G215&lt;&gt;"Valid","",VLOOKUP($E215&amp;"|"&amp;$F215,Cluster_Master!$I$3:$H$17,8,FALSE))</f>
        <v/>
      </c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7">
        <f>IF(COUNT(T215:AH215)=0,"",SUM(T215:AH215))</f>
        <v/>
      </c>
      <c r="AJ215" s="10">
        <f>IF(AI215="","",AI215/75)</f>
        <v/>
      </c>
      <c r="AK215" s="10">
        <f>IF(AI215="","",SUMPRODUCT(T215:AH215,KPI_Weights!$B$3:$B$17)/5)</f>
        <v/>
      </c>
      <c r="AL215" s="7">
        <f>IF(COUNT(T215:AH215)=0,"",IF(OR(T215&lt;=1,W215&lt;=1,X215&lt;=1,Y215&lt;=1,AB215&lt;=1),"YES","NO"))</f>
        <v/>
      </c>
      <c r="AM215" s="7">
        <f>IF(AK215="","",IF(AND(AK215="NO",AJ215&gt;=0.85),"YES","NO"))</f>
        <v/>
      </c>
      <c r="AN215" s="7">
        <f>IF(AJ215="","",IF(AJ215&gt;=0.90,"Excellent",IF(AJ215&gt;=0.80,"Good",IF(AJ215&gt;=0.70,"Fair","Poor"))))</f>
        <v/>
      </c>
      <c r="AO215" s="12" t="n"/>
      <c r="AP215" s="12" t="n"/>
      <c r="AQ215" s="12" t="n"/>
      <c r="AR215" s="12" t="n"/>
      <c r="AS215" s="12" t="n"/>
      <c r="AT215" s="12" t="n"/>
      <c r="AU215" s="12" t="n"/>
      <c r="AV215" s="11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</row>
    <row r="216">
      <c r="A216" s="7">
        <f>IF(B216="","","INS-"&amp;TEXT(ROW()-3,"000"))</f>
        <v/>
      </c>
      <c r="B216" s="11" t="n"/>
      <c r="C216" s="7">
        <f>IF(B216="","",ISOWEEKNUM(B216))</f>
        <v/>
      </c>
      <c r="D216" s="7">
        <f>IF(B216="","",TEXT(B216,"yyyy-mm"))</f>
        <v/>
      </c>
      <c r="E216" s="12" t="n"/>
      <c r="F216" s="12" t="n"/>
      <c r="G216" s="7">
        <f>IF(OR(E216="",F216=""),"",IF(COUNTIF(Cluster_Master!$I$3:$I$17,E216&amp;"|"&amp;F216)=1,"Valid","Review"))</f>
        <v/>
      </c>
      <c r="H216" s="7">
        <f>IF($G216&lt;&gt;"Valid","",VLOOKUP($E216&amp;"|"&amp;$F216,Cluster_Master!$I$3:$H$17,3,FALSE))</f>
        <v/>
      </c>
      <c r="I216" s="7">
        <f>IF($G216&lt;&gt;"Valid","",VLOOKUP($E216&amp;"|"&amp;$F216,Cluster_Master!$I$3:$H$17,4,FALSE))</f>
        <v/>
      </c>
      <c r="J216" s="7">
        <f>IF($G216&lt;&gt;"Valid","",VLOOKUP($E216&amp;"|"&amp;$F216,Cluster_Master!$I$3:$H$17,5,FALSE))</f>
        <v/>
      </c>
      <c r="K216" s="7">
        <f>IF($G216&lt;&gt;"Valid","",VLOOKUP($E216&amp;"|"&amp;$F216,Cluster_Master!$I$3:$H$17,6,FALSE))</f>
        <v/>
      </c>
      <c r="L216" s="7">
        <f>IF($G216&lt;&gt;"Valid","",VLOOKUP($E216&amp;"|"&amp;$F216,Cluster_Master!$I$3:$H$17,7,FALSE))</f>
        <v/>
      </c>
      <c r="M216" s="7">
        <f>IF($G216&lt;&gt;"Valid","",VLOOKUP($E216&amp;"|"&amp;$F216,Cluster_Master!$I$3:$H$17,8,FALSE))</f>
        <v/>
      </c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7">
        <f>IF(COUNT(T216:AH216)=0,"",SUM(T216:AH216))</f>
        <v/>
      </c>
      <c r="AJ216" s="10">
        <f>IF(AI216="","",AI216/75)</f>
        <v/>
      </c>
      <c r="AK216" s="10">
        <f>IF(AI216="","",SUMPRODUCT(T216:AH216,KPI_Weights!$B$3:$B$17)/5)</f>
        <v/>
      </c>
      <c r="AL216" s="7">
        <f>IF(COUNT(T216:AH216)=0,"",IF(OR(T216&lt;=1,W216&lt;=1,X216&lt;=1,Y216&lt;=1,AB216&lt;=1),"YES","NO"))</f>
        <v/>
      </c>
      <c r="AM216" s="7">
        <f>IF(AK216="","",IF(AND(AK216="NO",AJ216&gt;=0.85),"YES","NO"))</f>
        <v/>
      </c>
      <c r="AN216" s="7">
        <f>IF(AJ216="","",IF(AJ216&gt;=0.90,"Excellent",IF(AJ216&gt;=0.80,"Good",IF(AJ216&gt;=0.70,"Fair","Poor"))))</f>
        <v/>
      </c>
      <c r="AO216" s="12" t="n"/>
      <c r="AP216" s="12" t="n"/>
      <c r="AQ216" s="12" t="n"/>
      <c r="AR216" s="12" t="n"/>
      <c r="AS216" s="12" t="n"/>
      <c r="AT216" s="12" t="n"/>
      <c r="AU216" s="12" t="n"/>
      <c r="AV216" s="11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</row>
    <row r="217">
      <c r="A217" s="7">
        <f>IF(B217="","","INS-"&amp;TEXT(ROW()-3,"000"))</f>
        <v/>
      </c>
      <c r="B217" s="11" t="n"/>
      <c r="C217" s="7">
        <f>IF(B217="","",ISOWEEKNUM(B217))</f>
        <v/>
      </c>
      <c r="D217" s="7">
        <f>IF(B217="","",TEXT(B217,"yyyy-mm"))</f>
        <v/>
      </c>
      <c r="E217" s="12" t="n"/>
      <c r="F217" s="12" t="n"/>
      <c r="G217" s="7">
        <f>IF(OR(E217="",F217=""),"",IF(COUNTIF(Cluster_Master!$I$3:$I$17,E217&amp;"|"&amp;F217)=1,"Valid","Review"))</f>
        <v/>
      </c>
      <c r="H217" s="7">
        <f>IF($G217&lt;&gt;"Valid","",VLOOKUP($E217&amp;"|"&amp;$F217,Cluster_Master!$I$3:$H$17,3,FALSE))</f>
        <v/>
      </c>
      <c r="I217" s="7">
        <f>IF($G217&lt;&gt;"Valid","",VLOOKUP($E217&amp;"|"&amp;$F217,Cluster_Master!$I$3:$H$17,4,FALSE))</f>
        <v/>
      </c>
      <c r="J217" s="7">
        <f>IF($G217&lt;&gt;"Valid","",VLOOKUP($E217&amp;"|"&amp;$F217,Cluster_Master!$I$3:$H$17,5,FALSE))</f>
        <v/>
      </c>
      <c r="K217" s="7">
        <f>IF($G217&lt;&gt;"Valid","",VLOOKUP($E217&amp;"|"&amp;$F217,Cluster_Master!$I$3:$H$17,6,FALSE))</f>
        <v/>
      </c>
      <c r="L217" s="7">
        <f>IF($G217&lt;&gt;"Valid","",VLOOKUP($E217&amp;"|"&amp;$F217,Cluster_Master!$I$3:$H$17,7,FALSE))</f>
        <v/>
      </c>
      <c r="M217" s="7">
        <f>IF($G217&lt;&gt;"Valid","",VLOOKUP($E217&amp;"|"&amp;$F217,Cluster_Master!$I$3:$H$17,8,FALSE))</f>
        <v/>
      </c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7">
        <f>IF(COUNT(T217:AH217)=0,"",SUM(T217:AH217))</f>
        <v/>
      </c>
      <c r="AJ217" s="10">
        <f>IF(AI217="","",AI217/75)</f>
        <v/>
      </c>
      <c r="AK217" s="10">
        <f>IF(AI217="","",SUMPRODUCT(T217:AH217,KPI_Weights!$B$3:$B$17)/5)</f>
        <v/>
      </c>
      <c r="AL217" s="7">
        <f>IF(COUNT(T217:AH217)=0,"",IF(OR(T217&lt;=1,W217&lt;=1,X217&lt;=1,Y217&lt;=1,AB217&lt;=1),"YES","NO"))</f>
        <v/>
      </c>
      <c r="AM217" s="7">
        <f>IF(AK217="","",IF(AND(AK217="NO",AJ217&gt;=0.85),"YES","NO"))</f>
        <v/>
      </c>
      <c r="AN217" s="7">
        <f>IF(AJ217="","",IF(AJ217&gt;=0.90,"Excellent",IF(AJ217&gt;=0.80,"Good",IF(AJ217&gt;=0.70,"Fair","Poor"))))</f>
        <v/>
      </c>
      <c r="AO217" s="12" t="n"/>
      <c r="AP217" s="12" t="n"/>
      <c r="AQ217" s="12" t="n"/>
      <c r="AR217" s="12" t="n"/>
      <c r="AS217" s="12" t="n"/>
      <c r="AT217" s="12" t="n"/>
      <c r="AU217" s="12" t="n"/>
      <c r="AV217" s="11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</row>
    <row r="218">
      <c r="A218" s="7">
        <f>IF(B218="","","INS-"&amp;TEXT(ROW()-3,"000"))</f>
        <v/>
      </c>
      <c r="B218" s="11" t="n"/>
      <c r="C218" s="7">
        <f>IF(B218="","",ISOWEEKNUM(B218))</f>
        <v/>
      </c>
      <c r="D218" s="7">
        <f>IF(B218="","",TEXT(B218,"yyyy-mm"))</f>
        <v/>
      </c>
      <c r="E218" s="12" t="n"/>
      <c r="F218" s="12" t="n"/>
      <c r="G218" s="7">
        <f>IF(OR(E218="",F218=""),"",IF(COUNTIF(Cluster_Master!$I$3:$I$17,E218&amp;"|"&amp;F218)=1,"Valid","Review"))</f>
        <v/>
      </c>
      <c r="H218" s="7">
        <f>IF($G218&lt;&gt;"Valid","",VLOOKUP($E218&amp;"|"&amp;$F218,Cluster_Master!$I$3:$H$17,3,FALSE))</f>
        <v/>
      </c>
      <c r="I218" s="7">
        <f>IF($G218&lt;&gt;"Valid","",VLOOKUP($E218&amp;"|"&amp;$F218,Cluster_Master!$I$3:$H$17,4,FALSE))</f>
        <v/>
      </c>
      <c r="J218" s="7">
        <f>IF($G218&lt;&gt;"Valid","",VLOOKUP($E218&amp;"|"&amp;$F218,Cluster_Master!$I$3:$H$17,5,FALSE))</f>
        <v/>
      </c>
      <c r="K218" s="7">
        <f>IF($G218&lt;&gt;"Valid","",VLOOKUP($E218&amp;"|"&amp;$F218,Cluster_Master!$I$3:$H$17,6,FALSE))</f>
        <v/>
      </c>
      <c r="L218" s="7">
        <f>IF($G218&lt;&gt;"Valid","",VLOOKUP($E218&amp;"|"&amp;$F218,Cluster_Master!$I$3:$H$17,7,FALSE))</f>
        <v/>
      </c>
      <c r="M218" s="7">
        <f>IF($G218&lt;&gt;"Valid","",VLOOKUP($E218&amp;"|"&amp;$F218,Cluster_Master!$I$3:$H$17,8,FALSE))</f>
        <v/>
      </c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7">
        <f>IF(COUNT(T218:AH218)=0,"",SUM(T218:AH218))</f>
        <v/>
      </c>
      <c r="AJ218" s="10">
        <f>IF(AI218="","",AI218/75)</f>
        <v/>
      </c>
      <c r="AK218" s="10">
        <f>IF(AI218="","",SUMPRODUCT(T218:AH218,KPI_Weights!$B$3:$B$17)/5)</f>
        <v/>
      </c>
      <c r="AL218" s="7">
        <f>IF(COUNT(T218:AH218)=0,"",IF(OR(T218&lt;=1,W218&lt;=1,X218&lt;=1,Y218&lt;=1,AB218&lt;=1),"YES","NO"))</f>
        <v/>
      </c>
      <c r="AM218" s="7">
        <f>IF(AK218="","",IF(AND(AK218="NO",AJ218&gt;=0.85),"YES","NO"))</f>
        <v/>
      </c>
      <c r="AN218" s="7">
        <f>IF(AJ218="","",IF(AJ218&gt;=0.90,"Excellent",IF(AJ218&gt;=0.80,"Good",IF(AJ218&gt;=0.70,"Fair","Poor"))))</f>
        <v/>
      </c>
      <c r="AO218" s="12" t="n"/>
      <c r="AP218" s="12" t="n"/>
      <c r="AQ218" s="12" t="n"/>
      <c r="AR218" s="12" t="n"/>
      <c r="AS218" s="12" t="n"/>
      <c r="AT218" s="12" t="n"/>
      <c r="AU218" s="12" t="n"/>
      <c r="AV218" s="11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</row>
    <row r="219">
      <c r="A219" s="7">
        <f>IF(B219="","","INS-"&amp;TEXT(ROW()-3,"000"))</f>
        <v/>
      </c>
      <c r="B219" s="11" t="n"/>
      <c r="C219" s="7">
        <f>IF(B219="","",ISOWEEKNUM(B219))</f>
        <v/>
      </c>
      <c r="D219" s="7">
        <f>IF(B219="","",TEXT(B219,"yyyy-mm"))</f>
        <v/>
      </c>
      <c r="E219" s="12" t="n"/>
      <c r="F219" s="12" t="n"/>
      <c r="G219" s="7">
        <f>IF(OR(E219="",F219=""),"",IF(COUNTIF(Cluster_Master!$I$3:$I$17,E219&amp;"|"&amp;F219)=1,"Valid","Review"))</f>
        <v/>
      </c>
      <c r="H219" s="7">
        <f>IF($G219&lt;&gt;"Valid","",VLOOKUP($E219&amp;"|"&amp;$F219,Cluster_Master!$I$3:$H$17,3,FALSE))</f>
        <v/>
      </c>
      <c r="I219" s="7">
        <f>IF($G219&lt;&gt;"Valid","",VLOOKUP($E219&amp;"|"&amp;$F219,Cluster_Master!$I$3:$H$17,4,FALSE))</f>
        <v/>
      </c>
      <c r="J219" s="7">
        <f>IF($G219&lt;&gt;"Valid","",VLOOKUP($E219&amp;"|"&amp;$F219,Cluster_Master!$I$3:$H$17,5,FALSE))</f>
        <v/>
      </c>
      <c r="K219" s="7">
        <f>IF($G219&lt;&gt;"Valid","",VLOOKUP($E219&amp;"|"&amp;$F219,Cluster_Master!$I$3:$H$17,6,FALSE))</f>
        <v/>
      </c>
      <c r="L219" s="7">
        <f>IF($G219&lt;&gt;"Valid","",VLOOKUP($E219&amp;"|"&amp;$F219,Cluster_Master!$I$3:$H$17,7,FALSE))</f>
        <v/>
      </c>
      <c r="M219" s="7">
        <f>IF($G219&lt;&gt;"Valid","",VLOOKUP($E219&amp;"|"&amp;$F219,Cluster_Master!$I$3:$H$17,8,FALSE))</f>
        <v/>
      </c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7">
        <f>IF(COUNT(T219:AH219)=0,"",SUM(T219:AH219))</f>
        <v/>
      </c>
      <c r="AJ219" s="10">
        <f>IF(AI219="","",AI219/75)</f>
        <v/>
      </c>
      <c r="AK219" s="10">
        <f>IF(AI219="","",SUMPRODUCT(T219:AH219,KPI_Weights!$B$3:$B$17)/5)</f>
        <v/>
      </c>
      <c r="AL219" s="7">
        <f>IF(COUNT(T219:AH219)=0,"",IF(OR(T219&lt;=1,W219&lt;=1,X219&lt;=1,Y219&lt;=1,AB219&lt;=1),"YES","NO"))</f>
        <v/>
      </c>
      <c r="AM219" s="7">
        <f>IF(AK219="","",IF(AND(AK219="NO",AJ219&gt;=0.85),"YES","NO"))</f>
        <v/>
      </c>
      <c r="AN219" s="7">
        <f>IF(AJ219="","",IF(AJ219&gt;=0.90,"Excellent",IF(AJ219&gt;=0.80,"Good",IF(AJ219&gt;=0.70,"Fair","Poor"))))</f>
        <v/>
      </c>
      <c r="AO219" s="12" t="n"/>
      <c r="AP219" s="12" t="n"/>
      <c r="AQ219" s="12" t="n"/>
      <c r="AR219" s="12" t="n"/>
      <c r="AS219" s="12" t="n"/>
      <c r="AT219" s="12" t="n"/>
      <c r="AU219" s="12" t="n"/>
      <c r="AV219" s="11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</row>
    <row r="220">
      <c r="A220" s="7">
        <f>IF(B220="","","INS-"&amp;TEXT(ROW()-3,"000"))</f>
        <v/>
      </c>
      <c r="B220" s="11" t="n"/>
      <c r="C220" s="7">
        <f>IF(B220="","",ISOWEEKNUM(B220))</f>
        <v/>
      </c>
      <c r="D220" s="7">
        <f>IF(B220="","",TEXT(B220,"yyyy-mm"))</f>
        <v/>
      </c>
      <c r="E220" s="12" t="n"/>
      <c r="F220" s="12" t="n"/>
      <c r="G220" s="7">
        <f>IF(OR(E220="",F220=""),"",IF(COUNTIF(Cluster_Master!$I$3:$I$17,E220&amp;"|"&amp;F220)=1,"Valid","Review"))</f>
        <v/>
      </c>
      <c r="H220" s="7">
        <f>IF($G220&lt;&gt;"Valid","",VLOOKUP($E220&amp;"|"&amp;$F220,Cluster_Master!$I$3:$H$17,3,FALSE))</f>
        <v/>
      </c>
      <c r="I220" s="7">
        <f>IF($G220&lt;&gt;"Valid","",VLOOKUP($E220&amp;"|"&amp;$F220,Cluster_Master!$I$3:$H$17,4,FALSE))</f>
        <v/>
      </c>
      <c r="J220" s="7">
        <f>IF($G220&lt;&gt;"Valid","",VLOOKUP($E220&amp;"|"&amp;$F220,Cluster_Master!$I$3:$H$17,5,FALSE))</f>
        <v/>
      </c>
      <c r="K220" s="7">
        <f>IF($G220&lt;&gt;"Valid","",VLOOKUP($E220&amp;"|"&amp;$F220,Cluster_Master!$I$3:$H$17,6,FALSE))</f>
        <v/>
      </c>
      <c r="L220" s="7">
        <f>IF($G220&lt;&gt;"Valid","",VLOOKUP($E220&amp;"|"&amp;$F220,Cluster_Master!$I$3:$H$17,7,FALSE))</f>
        <v/>
      </c>
      <c r="M220" s="7">
        <f>IF($G220&lt;&gt;"Valid","",VLOOKUP($E220&amp;"|"&amp;$F220,Cluster_Master!$I$3:$H$17,8,FALSE))</f>
        <v/>
      </c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7">
        <f>IF(COUNT(T220:AH220)=0,"",SUM(T220:AH220))</f>
        <v/>
      </c>
      <c r="AJ220" s="10">
        <f>IF(AI220="","",AI220/75)</f>
        <v/>
      </c>
      <c r="AK220" s="10">
        <f>IF(AI220="","",SUMPRODUCT(T220:AH220,KPI_Weights!$B$3:$B$17)/5)</f>
        <v/>
      </c>
      <c r="AL220" s="7">
        <f>IF(COUNT(T220:AH220)=0,"",IF(OR(T220&lt;=1,W220&lt;=1,X220&lt;=1,Y220&lt;=1,AB220&lt;=1),"YES","NO"))</f>
        <v/>
      </c>
      <c r="AM220" s="7">
        <f>IF(AK220="","",IF(AND(AK220="NO",AJ220&gt;=0.85),"YES","NO"))</f>
        <v/>
      </c>
      <c r="AN220" s="7">
        <f>IF(AJ220="","",IF(AJ220&gt;=0.90,"Excellent",IF(AJ220&gt;=0.80,"Good",IF(AJ220&gt;=0.70,"Fair","Poor"))))</f>
        <v/>
      </c>
      <c r="AO220" s="12" t="n"/>
      <c r="AP220" s="12" t="n"/>
      <c r="AQ220" s="12" t="n"/>
      <c r="AR220" s="12" t="n"/>
      <c r="AS220" s="12" t="n"/>
      <c r="AT220" s="12" t="n"/>
      <c r="AU220" s="12" t="n"/>
      <c r="AV220" s="11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</row>
    <row r="221">
      <c r="A221" s="7">
        <f>IF(B221="","","INS-"&amp;TEXT(ROW()-3,"000"))</f>
        <v/>
      </c>
      <c r="B221" s="11" t="n"/>
      <c r="C221" s="7">
        <f>IF(B221="","",ISOWEEKNUM(B221))</f>
        <v/>
      </c>
      <c r="D221" s="7">
        <f>IF(B221="","",TEXT(B221,"yyyy-mm"))</f>
        <v/>
      </c>
      <c r="E221" s="12" t="n"/>
      <c r="F221" s="12" t="n"/>
      <c r="G221" s="7">
        <f>IF(OR(E221="",F221=""),"",IF(COUNTIF(Cluster_Master!$I$3:$I$17,E221&amp;"|"&amp;F221)=1,"Valid","Review"))</f>
        <v/>
      </c>
      <c r="H221" s="7">
        <f>IF($G221&lt;&gt;"Valid","",VLOOKUP($E221&amp;"|"&amp;$F221,Cluster_Master!$I$3:$H$17,3,FALSE))</f>
        <v/>
      </c>
      <c r="I221" s="7">
        <f>IF($G221&lt;&gt;"Valid","",VLOOKUP($E221&amp;"|"&amp;$F221,Cluster_Master!$I$3:$H$17,4,FALSE))</f>
        <v/>
      </c>
      <c r="J221" s="7">
        <f>IF($G221&lt;&gt;"Valid","",VLOOKUP($E221&amp;"|"&amp;$F221,Cluster_Master!$I$3:$H$17,5,FALSE))</f>
        <v/>
      </c>
      <c r="K221" s="7">
        <f>IF($G221&lt;&gt;"Valid","",VLOOKUP($E221&amp;"|"&amp;$F221,Cluster_Master!$I$3:$H$17,6,FALSE))</f>
        <v/>
      </c>
      <c r="L221" s="7">
        <f>IF($G221&lt;&gt;"Valid","",VLOOKUP($E221&amp;"|"&amp;$F221,Cluster_Master!$I$3:$H$17,7,FALSE))</f>
        <v/>
      </c>
      <c r="M221" s="7">
        <f>IF($G221&lt;&gt;"Valid","",VLOOKUP($E221&amp;"|"&amp;$F221,Cluster_Master!$I$3:$H$17,8,FALSE))</f>
        <v/>
      </c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7">
        <f>IF(COUNT(T221:AH221)=0,"",SUM(T221:AH221))</f>
        <v/>
      </c>
      <c r="AJ221" s="10">
        <f>IF(AI221="","",AI221/75)</f>
        <v/>
      </c>
      <c r="AK221" s="10">
        <f>IF(AI221="","",SUMPRODUCT(T221:AH221,KPI_Weights!$B$3:$B$17)/5)</f>
        <v/>
      </c>
      <c r="AL221" s="7">
        <f>IF(COUNT(T221:AH221)=0,"",IF(OR(T221&lt;=1,W221&lt;=1,X221&lt;=1,Y221&lt;=1,AB221&lt;=1),"YES","NO"))</f>
        <v/>
      </c>
      <c r="AM221" s="7">
        <f>IF(AK221="","",IF(AND(AK221="NO",AJ221&gt;=0.85),"YES","NO"))</f>
        <v/>
      </c>
      <c r="AN221" s="7">
        <f>IF(AJ221="","",IF(AJ221&gt;=0.90,"Excellent",IF(AJ221&gt;=0.80,"Good",IF(AJ221&gt;=0.70,"Fair","Poor"))))</f>
        <v/>
      </c>
      <c r="AO221" s="12" t="n"/>
      <c r="AP221" s="12" t="n"/>
      <c r="AQ221" s="12" t="n"/>
      <c r="AR221" s="12" t="n"/>
      <c r="AS221" s="12" t="n"/>
      <c r="AT221" s="12" t="n"/>
      <c r="AU221" s="12" t="n"/>
      <c r="AV221" s="11" t="n"/>
      <c r="AW221" s="12" t="n"/>
      <c r="AX221" s="12" t="n"/>
      <c r="AY221" s="12" t="n"/>
      <c r="AZ221" s="12" t="n"/>
      <c r="BA221" s="12" t="n"/>
      <c r="BB221" s="12" t="n"/>
      <c r="BC221" s="12" t="n"/>
      <c r="BD221" s="12" t="n"/>
      <c r="BE221" s="12" t="n"/>
      <c r="BF221" s="12" t="n"/>
    </row>
    <row r="222">
      <c r="A222" s="7">
        <f>IF(B222="","","INS-"&amp;TEXT(ROW()-3,"000"))</f>
        <v/>
      </c>
      <c r="B222" s="11" t="n"/>
      <c r="C222" s="7">
        <f>IF(B222="","",ISOWEEKNUM(B222))</f>
        <v/>
      </c>
      <c r="D222" s="7">
        <f>IF(B222="","",TEXT(B222,"yyyy-mm"))</f>
        <v/>
      </c>
      <c r="E222" s="12" t="n"/>
      <c r="F222" s="12" t="n"/>
      <c r="G222" s="7">
        <f>IF(OR(E222="",F222=""),"",IF(COUNTIF(Cluster_Master!$I$3:$I$17,E222&amp;"|"&amp;F222)=1,"Valid","Review"))</f>
        <v/>
      </c>
      <c r="H222" s="7">
        <f>IF($G222&lt;&gt;"Valid","",VLOOKUP($E222&amp;"|"&amp;$F222,Cluster_Master!$I$3:$H$17,3,FALSE))</f>
        <v/>
      </c>
      <c r="I222" s="7">
        <f>IF($G222&lt;&gt;"Valid","",VLOOKUP($E222&amp;"|"&amp;$F222,Cluster_Master!$I$3:$H$17,4,FALSE))</f>
        <v/>
      </c>
      <c r="J222" s="7">
        <f>IF($G222&lt;&gt;"Valid","",VLOOKUP($E222&amp;"|"&amp;$F222,Cluster_Master!$I$3:$H$17,5,FALSE))</f>
        <v/>
      </c>
      <c r="K222" s="7">
        <f>IF($G222&lt;&gt;"Valid","",VLOOKUP($E222&amp;"|"&amp;$F222,Cluster_Master!$I$3:$H$17,6,FALSE))</f>
        <v/>
      </c>
      <c r="L222" s="7">
        <f>IF($G222&lt;&gt;"Valid","",VLOOKUP($E222&amp;"|"&amp;$F222,Cluster_Master!$I$3:$H$17,7,FALSE))</f>
        <v/>
      </c>
      <c r="M222" s="7">
        <f>IF($G222&lt;&gt;"Valid","",VLOOKUP($E222&amp;"|"&amp;$F222,Cluster_Master!$I$3:$H$17,8,FALSE))</f>
        <v/>
      </c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7">
        <f>IF(COUNT(T222:AH222)=0,"",SUM(T222:AH222))</f>
        <v/>
      </c>
      <c r="AJ222" s="10">
        <f>IF(AI222="","",AI222/75)</f>
        <v/>
      </c>
      <c r="AK222" s="10">
        <f>IF(AI222="","",SUMPRODUCT(T222:AH222,KPI_Weights!$B$3:$B$17)/5)</f>
        <v/>
      </c>
      <c r="AL222" s="7">
        <f>IF(COUNT(T222:AH222)=0,"",IF(OR(T222&lt;=1,W222&lt;=1,X222&lt;=1,Y222&lt;=1,AB222&lt;=1),"YES","NO"))</f>
        <v/>
      </c>
      <c r="AM222" s="7">
        <f>IF(AK222="","",IF(AND(AK222="NO",AJ222&gt;=0.85),"YES","NO"))</f>
        <v/>
      </c>
      <c r="AN222" s="7">
        <f>IF(AJ222="","",IF(AJ222&gt;=0.90,"Excellent",IF(AJ222&gt;=0.80,"Good",IF(AJ222&gt;=0.70,"Fair","Poor"))))</f>
        <v/>
      </c>
      <c r="AO222" s="12" t="n"/>
      <c r="AP222" s="12" t="n"/>
      <c r="AQ222" s="12" t="n"/>
      <c r="AR222" s="12" t="n"/>
      <c r="AS222" s="12" t="n"/>
      <c r="AT222" s="12" t="n"/>
      <c r="AU222" s="12" t="n"/>
      <c r="AV222" s="11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</row>
    <row r="223">
      <c r="A223" s="7">
        <f>IF(B223="","","INS-"&amp;TEXT(ROW()-3,"000"))</f>
        <v/>
      </c>
      <c r="B223" s="11" t="n"/>
      <c r="C223" s="7">
        <f>IF(B223="","",ISOWEEKNUM(B223))</f>
        <v/>
      </c>
      <c r="D223" s="7">
        <f>IF(B223="","",TEXT(B223,"yyyy-mm"))</f>
        <v/>
      </c>
      <c r="E223" s="12" t="n"/>
      <c r="F223" s="12" t="n"/>
      <c r="G223" s="7">
        <f>IF(OR(E223="",F223=""),"",IF(COUNTIF(Cluster_Master!$I$3:$I$17,E223&amp;"|"&amp;F223)=1,"Valid","Review"))</f>
        <v/>
      </c>
      <c r="H223" s="7">
        <f>IF($G223&lt;&gt;"Valid","",VLOOKUP($E223&amp;"|"&amp;$F223,Cluster_Master!$I$3:$H$17,3,FALSE))</f>
        <v/>
      </c>
      <c r="I223" s="7">
        <f>IF($G223&lt;&gt;"Valid","",VLOOKUP($E223&amp;"|"&amp;$F223,Cluster_Master!$I$3:$H$17,4,FALSE))</f>
        <v/>
      </c>
      <c r="J223" s="7">
        <f>IF($G223&lt;&gt;"Valid","",VLOOKUP($E223&amp;"|"&amp;$F223,Cluster_Master!$I$3:$H$17,5,FALSE))</f>
        <v/>
      </c>
      <c r="K223" s="7">
        <f>IF($G223&lt;&gt;"Valid","",VLOOKUP($E223&amp;"|"&amp;$F223,Cluster_Master!$I$3:$H$17,6,FALSE))</f>
        <v/>
      </c>
      <c r="L223" s="7">
        <f>IF($G223&lt;&gt;"Valid","",VLOOKUP($E223&amp;"|"&amp;$F223,Cluster_Master!$I$3:$H$17,7,FALSE))</f>
        <v/>
      </c>
      <c r="M223" s="7">
        <f>IF($G223&lt;&gt;"Valid","",VLOOKUP($E223&amp;"|"&amp;$F223,Cluster_Master!$I$3:$H$17,8,FALSE))</f>
        <v/>
      </c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7">
        <f>IF(COUNT(T223:AH223)=0,"",SUM(T223:AH223))</f>
        <v/>
      </c>
      <c r="AJ223" s="10">
        <f>IF(AI223="","",AI223/75)</f>
        <v/>
      </c>
      <c r="AK223" s="10">
        <f>IF(AI223="","",SUMPRODUCT(T223:AH223,KPI_Weights!$B$3:$B$17)/5)</f>
        <v/>
      </c>
      <c r="AL223" s="7">
        <f>IF(COUNT(T223:AH223)=0,"",IF(OR(T223&lt;=1,W223&lt;=1,X223&lt;=1,Y223&lt;=1,AB223&lt;=1),"YES","NO"))</f>
        <v/>
      </c>
      <c r="AM223" s="7">
        <f>IF(AK223="","",IF(AND(AK223="NO",AJ223&gt;=0.85),"YES","NO"))</f>
        <v/>
      </c>
      <c r="AN223" s="7">
        <f>IF(AJ223="","",IF(AJ223&gt;=0.90,"Excellent",IF(AJ223&gt;=0.80,"Good",IF(AJ223&gt;=0.70,"Fair","Poor"))))</f>
        <v/>
      </c>
      <c r="AO223" s="12" t="n"/>
      <c r="AP223" s="12" t="n"/>
      <c r="AQ223" s="12" t="n"/>
      <c r="AR223" s="12" t="n"/>
      <c r="AS223" s="12" t="n"/>
      <c r="AT223" s="12" t="n"/>
      <c r="AU223" s="12" t="n"/>
      <c r="AV223" s="11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</row>
    <row r="224">
      <c r="A224" s="7">
        <f>IF(B224="","","INS-"&amp;TEXT(ROW()-3,"000"))</f>
        <v/>
      </c>
      <c r="B224" s="11" t="n"/>
      <c r="C224" s="7">
        <f>IF(B224="","",ISOWEEKNUM(B224))</f>
        <v/>
      </c>
      <c r="D224" s="7">
        <f>IF(B224="","",TEXT(B224,"yyyy-mm"))</f>
        <v/>
      </c>
      <c r="E224" s="12" t="n"/>
      <c r="F224" s="12" t="n"/>
      <c r="G224" s="7">
        <f>IF(OR(E224="",F224=""),"",IF(COUNTIF(Cluster_Master!$I$3:$I$17,E224&amp;"|"&amp;F224)=1,"Valid","Review"))</f>
        <v/>
      </c>
      <c r="H224" s="7">
        <f>IF($G224&lt;&gt;"Valid","",VLOOKUP($E224&amp;"|"&amp;$F224,Cluster_Master!$I$3:$H$17,3,FALSE))</f>
        <v/>
      </c>
      <c r="I224" s="7">
        <f>IF($G224&lt;&gt;"Valid","",VLOOKUP($E224&amp;"|"&amp;$F224,Cluster_Master!$I$3:$H$17,4,FALSE))</f>
        <v/>
      </c>
      <c r="J224" s="7">
        <f>IF($G224&lt;&gt;"Valid","",VLOOKUP($E224&amp;"|"&amp;$F224,Cluster_Master!$I$3:$H$17,5,FALSE))</f>
        <v/>
      </c>
      <c r="K224" s="7">
        <f>IF($G224&lt;&gt;"Valid","",VLOOKUP($E224&amp;"|"&amp;$F224,Cluster_Master!$I$3:$H$17,6,FALSE))</f>
        <v/>
      </c>
      <c r="L224" s="7">
        <f>IF($G224&lt;&gt;"Valid","",VLOOKUP($E224&amp;"|"&amp;$F224,Cluster_Master!$I$3:$H$17,7,FALSE))</f>
        <v/>
      </c>
      <c r="M224" s="7">
        <f>IF($G224&lt;&gt;"Valid","",VLOOKUP($E224&amp;"|"&amp;$F224,Cluster_Master!$I$3:$H$17,8,FALSE))</f>
        <v/>
      </c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7">
        <f>IF(COUNT(T224:AH224)=0,"",SUM(T224:AH224))</f>
        <v/>
      </c>
      <c r="AJ224" s="10">
        <f>IF(AI224="","",AI224/75)</f>
        <v/>
      </c>
      <c r="AK224" s="10">
        <f>IF(AI224="","",SUMPRODUCT(T224:AH224,KPI_Weights!$B$3:$B$17)/5)</f>
        <v/>
      </c>
      <c r="AL224" s="7">
        <f>IF(COUNT(T224:AH224)=0,"",IF(OR(T224&lt;=1,W224&lt;=1,X224&lt;=1,Y224&lt;=1,AB224&lt;=1),"YES","NO"))</f>
        <v/>
      </c>
      <c r="AM224" s="7">
        <f>IF(AK224="","",IF(AND(AK224="NO",AJ224&gt;=0.85),"YES","NO"))</f>
        <v/>
      </c>
      <c r="AN224" s="7">
        <f>IF(AJ224="","",IF(AJ224&gt;=0.90,"Excellent",IF(AJ224&gt;=0.80,"Good",IF(AJ224&gt;=0.70,"Fair","Poor"))))</f>
        <v/>
      </c>
      <c r="AO224" s="12" t="n"/>
      <c r="AP224" s="12" t="n"/>
      <c r="AQ224" s="12" t="n"/>
      <c r="AR224" s="12" t="n"/>
      <c r="AS224" s="12" t="n"/>
      <c r="AT224" s="12" t="n"/>
      <c r="AU224" s="12" t="n"/>
      <c r="AV224" s="11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</row>
    <row r="225">
      <c r="A225" s="7">
        <f>IF(B225="","","INS-"&amp;TEXT(ROW()-3,"000"))</f>
        <v/>
      </c>
      <c r="B225" s="11" t="n"/>
      <c r="C225" s="7">
        <f>IF(B225="","",ISOWEEKNUM(B225))</f>
        <v/>
      </c>
      <c r="D225" s="7">
        <f>IF(B225="","",TEXT(B225,"yyyy-mm"))</f>
        <v/>
      </c>
      <c r="E225" s="12" t="n"/>
      <c r="F225" s="12" t="n"/>
      <c r="G225" s="7">
        <f>IF(OR(E225="",F225=""),"",IF(COUNTIF(Cluster_Master!$I$3:$I$17,E225&amp;"|"&amp;F225)=1,"Valid","Review"))</f>
        <v/>
      </c>
      <c r="H225" s="7">
        <f>IF($G225&lt;&gt;"Valid","",VLOOKUP($E225&amp;"|"&amp;$F225,Cluster_Master!$I$3:$H$17,3,FALSE))</f>
        <v/>
      </c>
      <c r="I225" s="7">
        <f>IF($G225&lt;&gt;"Valid","",VLOOKUP($E225&amp;"|"&amp;$F225,Cluster_Master!$I$3:$H$17,4,FALSE))</f>
        <v/>
      </c>
      <c r="J225" s="7">
        <f>IF($G225&lt;&gt;"Valid","",VLOOKUP($E225&amp;"|"&amp;$F225,Cluster_Master!$I$3:$H$17,5,FALSE))</f>
        <v/>
      </c>
      <c r="K225" s="7">
        <f>IF($G225&lt;&gt;"Valid","",VLOOKUP($E225&amp;"|"&amp;$F225,Cluster_Master!$I$3:$H$17,6,FALSE))</f>
        <v/>
      </c>
      <c r="L225" s="7">
        <f>IF($G225&lt;&gt;"Valid","",VLOOKUP($E225&amp;"|"&amp;$F225,Cluster_Master!$I$3:$H$17,7,FALSE))</f>
        <v/>
      </c>
      <c r="M225" s="7">
        <f>IF($G225&lt;&gt;"Valid","",VLOOKUP($E225&amp;"|"&amp;$F225,Cluster_Master!$I$3:$H$17,8,FALSE))</f>
        <v/>
      </c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7">
        <f>IF(COUNT(T225:AH225)=0,"",SUM(T225:AH225))</f>
        <v/>
      </c>
      <c r="AJ225" s="10">
        <f>IF(AI225="","",AI225/75)</f>
        <v/>
      </c>
      <c r="AK225" s="10">
        <f>IF(AI225="","",SUMPRODUCT(T225:AH225,KPI_Weights!$B$3:$B$17)/5)</f>
        <v/>
      </c>
      <c r="AL225" s="7">
        <f>IF(COUNT(T225:AH225)=0,"",IF(OR(T225&lt;=1,W225&lt;=1,X225&lt;=1,Y225&lt;=1,AB225&lt;=1),"YES","NO"))</f>
        <v/>
      </c>
      <c r="AM225" s="7">
        <f>IF(AK225="","",IF(AND(AK225="NO",AJ225&gt;=0.85),"YES","NO"))</f>
        <v/>
      </c>
      <c r="AN225" s="7">
        <f>IF(AJ225="","",IF(AJ225&gt;=0.90,"Excellent",IF(AJ225&gt;=0.80,"Good",IF(AJ225&gt;=0.70,"Fair","Poor"))))</f>
        <v/>
      </c>
      <c r="AO225" s="12" t="n"/>
      <c r="AP225" s="12" t="n"/>
      <c r="AQ225" s="12" t="n"/>
      <c r="AR225" s="12" t="n"/>
      <c r="AS225" s="12" t="n"/>
      <c r="AT225" s="12" t="n"/>
      <c r="AU225" s="12" t="n"/>
      <c r="AV225" s="11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</row>
    <row r="226">
      <c r="A226" s="7">
        <f>IF(B226="","","INS-"&amp;TEXT(ROW()-3,"000"))</f>
        <v/>
      </c>
      <c r="B226" s="11" t="n"/>
      <c r="C226" s="7">
        <f>IF(B226="","",ISOWEEKNUM(B226))</f>
        <v/>
      </c>
      <c r="D226" s="7">
        <f>IF(B226="","",TEXT(B226,"yyyy-mm"))</f>
        <v/>
      </c>
      <c r="E226" s="12" t="n"/>
      <c r="F226" s="12" t="n"/>
      <c r="G226" s="7">
        <f>IF(OR(E226="",F226=""),"",IF(COUNTIF(Cluster_Master!$I$3:$I$17,E226&amp;"|"&amp;F226)=1,"Valid","Review"))</f>
        <v/>
      </c>
      <c r="H226" s="7">
        <f>IF($G226&lt;&gt;"Valid","",VLOOKUP($E226&amp;"|"&amp;$F226,Cluster_Master!$I$3:$H$17,3,FALSE))</f>
        <v/>
      </c>
      <c r="I226" s="7">
        <f>IF($G226&lt;&gt;"Valid","",VLOOKUP($E226&amp;"|"&amp;$F226,Cluster_Master!$I$3:$H$17,4,FALSE))</f>
        <v/>
      </c>
      <c r="J226" s="7">
        <f>IF($G226&lt;&gt;"Valid","",VLOOKUP($E226&amp;"|"&amp;$F226,Cluster_Master!$I$3:$H$17,5,FALSE))</f>
        <v/>
      </c>
      <c r="K226" s="7">
        <f>IF($G226&lt;&gt;"Valid","",VLOOKUP($E226&amp;"|"&amp;$F226,Cluster_Master!$I$3:$H$17,6,FALSE))</f>
        <v/>
      </c>
      <c r="L226" s="7">
        <f>IF($G226&lt;&gt;"Valid","",VLOOKUP($E226&amp;"|"&amp;$F226,Cluster_Master!$I$3:$H$17,7,FALSE))</f>
        <v/>
      </c>
      <c r="M226" s="7">
        <f>IF($G226&lt;&gt;"Valid","",VLOOKUP($E226&amp;"|"&amp;$F226,Cluster_Master!$I$3:$H$17,8,FALSE))</f>
        <v/>
      </c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7">
        <f>IF(COUNT(T226:AH226)=0,"",SUM(T226:AH226))</f>
        <v/>
      </c>
      <c r="AJ226" s="10">
        <f>IF(AI226="","",AI226/75)</f>
        <v/>
      </c>
      <c r="AK226" s="10">
        <f>IF(AI226="","",SUMPRODUCT(T226:AH226,KPI_Weights!$B$3:$B$17)/5)</f>
        <v/>
      </c>
      <c r="AL226" s="7">
        <f>IF(COUNT(T226:AH226)=0,"",IF(OR(T226&lt;=1,W226&lt;=1,X226&lt;=1,Y226&lt;=1,AB226&lt;=1),"YES","NO"))</f>
        <v/>
      </c>
      <c r="AM226" s="7">
        <f>IF(AK226="","",IF(AND(AK226="NO",AJ226&gt;=0.85),"YES","NO"))</f>
        <v/>
      </c>
      <c r="AN226" s="7">
        <f>IF(AJ226="","",IF(AJ226&gt;=0.90,"Excellent",IF(AJ226&gt;=0.80,"Good",IF(AJ226&gt;=0.70,"Fair","Poor"))))</f>
        <v/>
      </c>
      <c r="AO226" s="12" t="n"/>
      <c r="AP226" s="12" t="n"/>
      <c r="AQ226" s="12" t="n"/>
      <c r="AR226" s="12" t="n"/>
      <c r="AS226" s="12" t="n"/>
      <c r="AT226" s="12" t="n"/>
      <c r="AU226" s="12" t="n"/>
      <c r="AV226" s="11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</row>
    <row r="227">
      <c r="A227" s="7">
        <f>IF(B227="","","INS-"&amp;TEXT(ROW()-3,"000"))</f>
        <v/>
      </c>
      <c r="B227" s="11" t="n"/>
      <c r="C227" s="7">
        <f>IF(B227="","",ISOWEEKNUM(B227))</f>
        <v/>
      </c>
      <c r="D227" s="7">
        <f>IF(B227="","",TEXT(B227,"yyyy-mm"))</f>
        <v/>
      </c>
      <c r="E227" s="12" t="n"/>
      <c r="F227" s="12" t="n"/>
      <c r="G227" s="7">
        <f>IF(OR(E227="",F227=""),"",IF(COUNTIF(Cluster_Master!$I$3:$I$17,E227&amp;"|"&amp;F227)=1,"Valid","Review"))</f>
        <v/>
      </c>
      <c r="H227" s="7">
        <f>IF($G227&lt;&gt;"Valid","",VLOOKUP($E227&amp;"|"&amp;$F227,Cluster_Master!$I$3:$H$17,3,FALSE))</f>
        <v/>
      </c>
      <c r="I227" s="7">
        <f>IF($G227&lt;&gt;"Valid","",VLOOKUP($E227&amp;"|"&amp;$F227,Cluster_Master!$I$3:$H$17,4,FALSE))</f>
        <v/>
      </c>
      <c r="J227" s="7">
        <f>IF($G227&lt;&gt;"Valid","",VLOOKUP($E227&amp;"|"&amp;$F227,Cluster_Master!$I$3:$H$17,5,FALSE))</f>
        <v/>
      </c>
      <c r="K227" s="7">
        <f>IF($G227&lt;&gt;"Valid","",VLOOKUP($E227&amp;"|"&amp;$F227,Cluster_Master!$I$3:$H$17,6,FALSE))</f>
        <v/>
      </c>
      <c r="L227" s="7">
        <f>IF($G227&lt;&gt;"Valid","",VLOOKUP($E227&amp;"|"&amp;$F227,Cluster_Master!$I$3:$H$17,7,FALSE))</f>
        <v/>
      </c>
      <c r="M227" s="7">
        <f>IF($G227&lt;&gt;"Valid","",VLOOKUP($E227&amp;"|"&amp;$F227,Cluster_Master!$I$3:$H$17,8,FALSE))</f>
        <v/>
      </c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7">
        <f>IF(COUNT(T227:AH227)=0,"",SUM(T227:AH227))</f>
        <v/>
      </c>
      <c r="AJ227" s="10">
        <f>IF(AI227="","",AI227/75)</f>
        <v/>
      </c>
      <c r="AK227" s="10">
        <f>IF(AI227="","",SUMPRODUCT(T227:AH227,KPI_Weights!$B$3:$B$17)/5)</f>
        <v/>
      </c>
      <c r="AL227" s="7">
        <f>IF(COUNT(T227:AH227)=0,"",IF(OR(T227&lt;=1,W227&lt;=1,X227&lt;=1,Y227&lt;=1,AB227&lt;=1),"YES","NO"))</f>
        <v/>
      </c>
      <c r="AM227" s="7">
        <f>IF(AK227="","",IF(AND(AK227="NO",AJ227&gt;=0.85),"YES","NO"))</f>
        <v/>
      </c>
      <c r="AN227" s="7">
        <f>IF(AJ227="","",IF(AJ227&gt;=0.90,"Excellent",IF(AJ227&gt;=0.80,"Good",IF(AJ227&gt;=0.70,"Fair","Poor"))))</f>
        <v/>
      </c>
      <c r="AO227" s="12" t="n"/>
      <c r="AP227" s="12" t="n"/>
      <c r="AQ227" s="12" t="n"/>
      <c r="AR227" s="12" t="n"/>
      <c r="AS227" s="12" t="n"/>
      <c r="AT227" s="12" t="n"/>
      <c r="AU227" s="12" t="n"/>
      <c r="AV227" s="11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</row>
    <row r="228">
      <c r="A228" s="7">
        <f>IF(B228="","","INS-"&amp;TEXT(ROW()-3,"000"))</f>
        <v/>
      </c>
      <c r="B228" s="11" t="n"/>
      <c r="C228" s="7">
        <f>IF(B228="","",ISOWEEKNUM(B228))</f>
        <v/>
      </c>
      <c r="D228" s="7">
        <f>IF(B228="","",TEXT(B228,"yyyy-mm"))</f>
        <v/>
      </c>
      <c r="E228" s="12" t="n"/>
      <c r="F228" s="12" t="n"/>
      <c r="G228" s="7">
        <f>IF(OR(E228="",F228=""),"",IF(COUNTIF(Cluster_Master!$I$3:$I$17,E228&amp;"|"&amp;F228)=1,"Valid","Review"))</f>
        <v/>
      </c>
      <c r="H228" s="7">
        <f>IF($G228&lt;&gt;"Valid","",VLOOKUP($E228&amp;"|"&amp;$F228,Cluster_Master!$I$3:$H$17,3,FALSE))</f>
        <v/>
      </c>
      <c r="I228" s="7">
        <f>IF($G228&lt;&gt;"Valid","",VLOOKUP($E228&amp;"|"&amp;$F228,Cluster_Master!$I$3:$H$17,4,FALSE))</f>
        <v/>
      </c>
      <c r="J228" s="7">
        <f>IF($G228&lt;&gt;"Valid","",VLOOKUP($E228&amp;"|"&amp;$F228,Cluster_Master!$I$3:$H$17,5,FALSE))</f>
        <v/>
      </c>
      <c r="K228" s="7">
        <f>IF($G228&lt;&gt;"Valid","",VLOOKUP($E228&amp;"|"&amp;$F228,Cluster_Master!$I$3:$H$17,6,FALSE))</f>
        <v/>
      </c>
      <c r="L228" s="7">
        <f>IF($G228&lt;&gt;"Valid","",VLOOKUP($E228&amp;"|"&amp;$F228,Cluster_Master!$I$3:$H$17,7,FALSE))</f>
        <v/>
      </c>
      <c r="M228" s="7">
        <f>IF($G228&lt;&gt;"Valid","",VLOOKUP($E228&amp;"|"&amp;$F228,Cluster_Master!$I$3:$H$17,8,FALSE))</f>
        <v/>
      </c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7">
        <f>IF(COUNT(T228:AH228)=0,"",SUM(T228:AH228))</f>
        <v/>
      </c>
      <c r="AJ228" s="10">
        <f>IF(AI228="","",AI228/75)</f>
        <v/>
      </c>
      <c r="AK228" s="10">
        <f>IF(AI228="","",SUMPRODUCT(T228:AH228,KPI_Weights!$B$3:$B$17)/5)</f>
        <v/>
      </c>
      <c r="AL228" s="7">
        <f>IF(COUNT(T228:AH228)=0,"",IF(OR(T228&lt;=1,W228&lt;=1,X228&lt;=1,Y228&lt;=1,AB228&lt;=1),"YES","NO"))</f>
        <v/>
      </c>
      <c r="AM228" s="7">
        <f>IF(AK228="","",IF(AND(AK228="NO",AJ228&gt;=0.85),"YES","NO"))</f>
        <v/>
      </c>
      <c r="AN228" s="7">
        <f>IF(AJ228="","",IF(AJ228&gt;=0.90,"Excellent",IF(AJ228&gt;=0.80,"Good",IF(AJ228&gt;=0.70,"Fair","Poor"))))</f>
        <v/>
      </c>
      <c r="AO228" s="12" t="n"/>
      <c r="AP228" s="12" t="n"/>
      <c r="AQ228" s="12" t="n"/>
      <c r="AR228" s="12" t="n"/>
      <c r="AS228" s="12" t="n"/>
      <c r="AT228" s="12" t="n"/>
      <c r="AU228" s="12" t="n"/>
      <c r="AV228" s="11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</row>
    <row r="229">
      <c r="A229" s="7">
        <f>IF(B229="","","INS-"&amp;TEXT(ROW()-3,"000"))</f>
        <v/>
      </c>
      <c r="B229" s="11" t="n"/>
      <c r="C229" s="7">
        <f>IF(B229="","",ISOWEEKNUM(B229))</f>
        <v/>
      </c>
      <c r="D229" s="7">
        <f>IF(B229="","",TEXT(B229,"yyyy-mm"))</f>
        <v/>
      </c>
      <c r="E229" s="12" t="n"/>
      <c r="F229" s="12" t="n"/>
      <c r="G229" s="7">
        <f>IF(OR(E229="",F229=""),"",IF(COUNTIF(Cluster_Master!$I$3:$I$17,E229&amp;"|"&amp;F229)=1,"Valid","Review"))</f>
        <v/>
      </c>
      <c r="H229" s="7">
        <f>IF($G229&lt;&gt;"Valid","",VLOOKUP($E229&amp;"|"&amp;$F229,Cluster_Master!$I$3:$H$17,3,FALSE))</f>
        <v/>
      </c>
      <c r="I229" s="7">
        <f>IF($G229&lt;&gt;"Valid","",VLOOKUP($E229&amp;"|"&amp;$F229,Cluster_Master!$I$3:$H$17,4,FALSE))</f>
        <v/>
      </c>
      <c r="J229" s="7">
        <f>IF($G229&lt;&gt;"Valid","",VLOOKUP($E229&amp;"|"&amp;$F229,Cluster_Master!$I$3:$H$17,5,FALSE))</f>
        <v/>
      </c>
      <c r="K229" s="7">
        <f>IF($G229&lt;&gt;"Valid","",VLOOKUP($E229&amp;"|"&amp;$F229,Cluster_Master!$I$3:$H$17,6,FALSE))</f>
        <v/>
      </c>
      <c r="L229" s="7">
        <f>IF($G229&lt;&gt;"Valid","",VLOOKUP($E229&amp;"|"&amp;$F229,Cluster_Master!$I$3:$H$17,7,FALSE))</f>
        <v/>
      </c>
      <c r="M229" s="7">
        <f>IF($G229&lt;&gt;"Valid","",VLOOKUP($E229&amp;"|"&amp;$F229,Cluster_Master!$I$3:$H$17,8,FALSE))</f>
        <v/>
      </c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7">
        <f>IF(COUNT(T229:AH229)=0,"",SUM(T229:AH229))</f>
        <v/>
      </c>
      <c r="AJ229" s="10">
        <f>IF(AI229="","",AI229/75)</f>
        <v/>
      </c>
      <c r="AK229" s="10">
        <f>IF(AI229="","",SUMPRODUCT(T229:AH229,KPI_Weights!$B$3:$B$17)/5)</f>
        <v/>
      </c>
      <c r="AL229" s="7">
        <f>IF(COUNT(T229:AH229)=0,"",IF(OR(T229&lt;=1,W229&lt;=1,X229&lt;=1,Y229&lt;=1,AB229&lt;=1),"YES","NO"))</f>
        <v/>
      </c>
      <c r="AM229" s="7">
        <f>IF(AK229="","",IF(AND(AK229="NO",AJ229&gt;=0.85),"YES","NO"))</f>
        <v/>
      </c>
      <c r="AN229" s="7">
        <f>IF(AJ229="","",IF(AJ229&gt;=0.90,"Excellent",IF(AJ229&gt;=0.80,"Good",IF(AJ229&gt;=0.70,"Fair","Poor"))))</f>
        <v/>
      </c>
      <c r="AO229" s="12" t="n"/>
      <c r="AP229" s="12" t="n"/>
      <c r="AQ229" s="12" t="n"/>
      <c r="AR229" s="12" t="n"/>
      <c r="AS229" s="12" t="n"/>
      <c r="AT229" s="12" t="n"/>
      <c r="AU229" s="12" t="n"/>
      <c r="AV229" s="11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</row>
    <row r="230">
      <c r="A230" s="7">
        <f>IF(B230="","","INS-"&amp;TEXT(ROW()-3,"000"))</f>
        <v/>
      </c>
      <c r="B230" s="11" t="n"/>
      <c r="C230" s="7">
        <f>IF(B230="","",ISOWEEKNUM(B230))</f>
        <v/>
      </c>
      <c r="D230" s="7">
        <f>IF(B230="","",TEXT(B230,"yyyy-mm"))</f>
        <v/>
      </c>
      <c r="E230" s="12" t="n"/>
      <c r="F230" s="12" t="n"/>
      <c r="G230" s="7">
        <f>IF(OR(E230="",F230=""),"",IF(COUNTIF(Cluster_Master!$I$3:$I$17,E230&amp;"|"&amp;F230)=1,"Valid","Review"))</f>
        <v/>
      </c>
      <c r="H230" s="7">
        <f>IF($G230&lt;&gt;"Valid","",VLOOKUP($E230&amp;"|"&amp;$F230,Cluster_Master!$I$3:$H$17,3,FALSE))</f>
        <v/>
      </c>
      <c r="I230" s="7">
        <f>IF($G230&lt;&gt;"Valid","",VLOOKUP($E230&amp;"|"&amp;$F230,Cluster_Master!$I$3:$H$17,4,FALSE))</f>
        <v/>
      </c>
      <c r="J230" s="7">
        <f>IF($G230&lt;&gt;"Valid","",VLOOKUP($E230&amp;"|"&amp;$F230,Cluster_Master!$I$3:$H$17,5,FALSE))</f>
        <v/>
      </c>
      <c r="K230" s="7">
        <f>IF($G230&lt;&gt;"Valid","",VLOOKUP($E230&amp;"|"&amp;$F230,Cluster_Master!$I$3:$H$17,6,FALSE))</f>
        <v/>
      </c>
      <c r="L230" s="7">
        <f>IF($G230&lt;&gt;"Valid","",VLOOKUP($E230&amp;"|"&amp;$F230,Cluster_Master!$I$3:$H$17,7,FALSE))</f>
        <v/>
      </c>
      <c r="M230" s="7">
        <f>IF($G230&lt;&gt;"Valid","",VLOOKUP($E230&amp;"|"&amp;$F230,Cluster_Master!$I$3:$H$17,8,FALSE))</f>
        <v/>
      </c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7">
        <f>IF(COUNT(T230:AH230)=0,"",SUM(T230:AH230))</f>
        <v/>
      </c>
      <c r="AJ230" s="10">
        <f>IF(AI230="","",AI230/75)</f>
        <v/>
      </c>
      <c r="AK230" s="10">
        <f>IF(AI230="","",SUMPRODUCT(T230:AH230,KPI_Weights!$B$3:$B$17)/5)</f>
        <v/>
      </c>
      <c r="AL230" s="7">
        <f>IF(COUNT(T230:AH230)=0,"",IF(OR(T230&lt;=1,W230&lt;=1,X230&lt;=1,Y230&lt;=1,AB230&lt;=1),"YES","NO"))</f>
        <v/>
      </c>
      <c r="AM230" s="7">
        <f>IF(AK230="","",IF(AND(AK230="NO",AJ230&gt;=0.85),"YES","NO"))</f>
        <v/>
      </c>
      <c r="AN230" s="7">
        <f>IF(AJ230="","",IF(AJ230&gt;=0.90,"Excellent",IF(AJ230&gt;=0.80,"Good",IF(AJ230&gt;=0.70,"Fair","Poor"))))</f>
        <v/>
      </c>
      <c r="AO230" s="12" t="n"/>
      <c r="AP230" s="12" t="n"/>
      <c r="AQ230" s="12" t="n"/>
      <c r="AR230" s="12" t="n"/>
      <c r="AS230" s="12" t="n"/>
      <c r="AT230" s="12" t="n"/>
      <c r="AU230" s="12" t="n"/>
      <c r="AV230" s="11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</row>
    <row r="231">
      <c r="A231" s="7">
        <f>IF(B231="","","INS-"&amp;TEXT(ROW()-3,"000"))</f>
        <v/>
      </c>
      <c r="B231" s="11" t="n"/>
      <c r="C231" s="7">
        <f>IF(B231="","",ISOWEEKNUM(B231))</f>
        <v/>
      </c>
      <c r="D231" s="7">
        <f>IF(B231="","",TEXT(B231,"yyyy-mm"))</f>
        <v/>
      </c>
      <c r="E231" s="12" t="n"/>
      <c r="F231" s="12" t="n"/>
      <c r="G231" s="7">
        <f>IF(OR(E231="",F231=""),"",IF(COUNTIF(Cluster_Master!$I$3:$I$17,E231&amp;"|"&amp;F231)=1,"Valid","Review"))</f>
        <v/>
      </c>
      <c r="H231" s="7">
        <f>IF($G231&lt;&gt;"Valid","",VLOOKUP($E231&amp;"|"&amp;$F231,Cluster_Master!$I$3:$H$17,3,FALSE))</f>
        <v/>
      </c>
      <c r="I231" s="7">
        <f>IF($G231&lt;&gt;"Valid","",VLOOKUP($E231&amp;"|"&amp;$F231,Cluster_Master!$I$3:$H$17,4,FALSE))</f>
        <v/>
      </c>
      <c r="J231" s="7">
        <f>IF($G231&lt;&gt;"Valid","",VLOOKUP($E231&amp;"|"&amp;$F231,Cluster_Master!$I$3:$H$17,5,FALSE))</f>
        <v/>
      </c>
      <c r="K231" s="7">
        <f>IF($G231&lt;&gt;"Valid","",VLOOKUP($E231&amp;"|"&amp;$F231,Cluster_Master!$I$3:$H$17,6,FALSE))</f>
        <v/>
      </c>
      <c r="L231" s="7">
        <f>IF($G231&lt;&gt;"Valid","",VLOOKUP($E231&amp;"|"&amp;$F231,Cluster_Master!$I$3:$H$17,7,FALSE))</f>
        <v/>
      </c>
      <c r="M231" s="7">
        <f>IF($G231&lt;&gt;"Valid","",VLOOKUP($E231&amp;"|"&amp;$F231,Cluster_Master!$I$3:$H$17,8,FALSE))</f>
        <v/>
      </c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7">
        <f>IF(COUNT(T231:AH231)=0,"",SUM(T231:AH231))</f>
        <v/>
      </c>
      <c r="AJ231" s="10">
        <f>IF(AI231="","",AI231/75)</f>
        <v/>
      </c>
      <c r="AK231" s="10">
        <f>IF(AI231="","",SUMPRODUCT(T231:AH231,KPI_Weights!$B$3:$B$17)/5)</f>
        <v/>
      </c>
      <c r="AL231" s="7">
        <f>IF(COUNT(T231:AH231)=0,"",IF(OR(T231&lt;=1,W231&lt;=1,X231&lt;=1,Y231&lt;=1,AB231&lt;=1),"YES","NO"))</f>
        <v/>
      </c>
      <c r="AM231" s="7">
        <f>IF(AK231="","",IF(AND(AK231="NO",AJ231&gt;=0.85),"YES","NO"))</f>
        <v/>
      </c>
      <c r="AN231" s="7">
        <f>IF(AJ231="","",IF(AJ231&gt;=0.90,"Excellent",IF(AJ231&gt;=0.80,"Good",IF(AJ231&gt;=0.70,"Fair","Poor"))))</f>
        <v/>
      </c>
      <c r="AO231" s="12" t="n"/>
      <c r="AP231" s="12" t="n"/>
      <c r="AQ231" s="12" t="n"/>
      <c r="AR231" s="12" t="n"/>
      <c r="AS231" s="12" t="n"/>
      <c r="AT231" s="12" t="n"/>
      <c r="AU231" s="12" t="n"/>
      <c r="AV231" s="11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</row>
    <row r="232">
      <c r="A232" s="7">
        <f>IF(B232="","","INS-"&amp;TEXT(ROW()-3,"000"))</f>
        <v/>
      </c>
      <c r="B232" s="11" t="n"/>
      <c r="C232" s="7">
        <f>IF(B232="","",ISOWEEKNUM(B232))</f>
        <v/>
      </c>
      <c r="D232" s="7">
        <f>IF(B232="","",TEXT(B232,"yyyy-mm"))</f>
        <v/>
      </c>
      <c r="E232" s="12" t="n"/>
      <c r="F232" s="12" t="n"/>
      <c r="G232" s="7">
        <f>IF(OR(E232="",F232=""),"",IF(COUNTIF(Cluster_Master!$I$3:$I$17,E232&amp;"|"&amp;F232)=1,"Valid","Review"))</f>
        <v/>
      </c>
      <c r="H232" s="7">
        <f>IF($G232&lt;&gt;"Valid","",VLOOKUP($E232&amp;"|"&amp;$F232,Cluster_Master!$I$3:$H$17,3,FALSE))</f>
        <v/>
      </c>
      <c r="I232" s="7">
        <f>IF($G232&lt;&gt;"Valid","",VLOOKUP($E232&amp;"|"&amp;$F232,Cluster_Master!$I$3:$H$17,4,FALSE))</f>
        <v/>
      </c>
      <c r="J232" s="7">
        <f>IF($G232&lt;&gt;"Valid","",VLOOKUP($E232&amp;"|"&amp;$F232,Cluster_Master!$I$3:$H$17,5,FALSE))</f>
        <v/>
      </c>
      <c r="K232" s="7">
        <f>IF($G232&lt;&gt;"Valid","",VLOOKUP($E232&amp;"|"&amp;$F232,Cluster_Master!$I$3:$H$17,6,FALSE))</f>
        <v/>
      </c>
      <c r="L232" s="7">
        <f>IF($G232&lt;&gt;"Valid","",VLOOKUP($E232&amp;"|"&amp;$F232,Cluster_Master!$I$3:$H$17,7,FALSE))</f>
        <v/>
      </c>
      <c r="M232" s="7">
        <f>IF($G232&lt;&gt;"Valid","",VLOOKUP($E232&amp;"|"&amp;$F232,Cluster_Master!$I$3:$H$17,8,FALSE))</f>
        <v/>
      </c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7">
        <f>IF(COUNT(T232:AH232)=0,"",SUM(T232:AH232))</f>
        <v/>
      </c>
      <c r="AJ232" s="10">
        <f>IF(AI232="","",AI232/75)</f>
        <v/>
      </c>
      <c r="AK232" s="10">
        <f>IF(AI232="","",SUMPRODUCT(T232:AH232,KPI_Weights!$B$3:$B$17)/5)</f>
        <v/>
      </c>
      <c r="AL232" s="7">
        <f>IF(COUNT(T232:AH232)=0,"",IF(OR(T232&lt;=1,W232&lt;=1,X232&lt;=1,Y232&lt;=1,AB232&lt;=1),"YES","NO"))</f>
        <v/>
      </c>
      <c r="AM232" s="7">
        <f>IF(AK232="","",IF(AND(AK232="NO",AJ232&gt;=0.85),"YES","NO"))</f>
        <v/>
      </c>
      <c r="AN232" s="7">
        <f>IF(AJ232="","",IF(AJ232&gt;=0.90,"Excellent",IF(AJ232&gt;=0.80,"Good",IF(AJ232&gt;=0.70,"Fair","Poor"))))</f>
        <v/>
      </c>
      <c r="AO232" s="12" t="n"/>
      <c r="AP232" s="12" t="n"/>
      <c r="AQ232" s="12" t="n"/>
      <c r="AR232" s="12" t="n"/>
      <c r="AS232" s="12" t="n"/>
      <c r="AT232" s="12" t="n"/>
      <c r="AU232" s="12" t="n"/>
      <c r="AV232" s="11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</row>
    <row r="233">
      <c r="A233" s="7">
        <f>IF(B233="","","INS-"&amp;TEXT(ROW()-3,"000"))</f>
        <v/>
      </c>
      <c r="B233" s="11" t="n"/>
      <c r="C233" s="7">
        <f>IF(B233="","",ISOWEEKNUM(B233))</f>
        <v/>
      </c>
      <c r="D233" s="7">
        <f>IF(B233="","",TEXT(B233,"yyyy-mm"))</f>
        <v/>
      </c>
      <c r="E233" s="12" t="n"/>
      <c r="F233" s="12" t="n"/>
      <c r="G233" s="7">
        <f>IF(OR(E233="",F233=""),"",IF(COUNTIF(Cluster_Master!$I$3:$I$17,E233&amp;"|"&amp;F233)=1,"Valid","Review"))</f>
        <v/>
      </c>
      <c r="H233" s="7">
        <f>IF($G233&lt;&gt;"Valid","",VLOOKUP($E233&amp;"|"&amp;$F233,Cluster_Master!$I$3:$H$17,3,FALSE))</f>
        <v/>
      </c>
      <c r="I233" s="7">
        <f>IF($G233&lt;&gt;"Valid","",VLOOKUP($E233&amp;"|"&amp;$F233,Cluster_Master!$I$3:$H$17,4,FALSE))</f>
        <v/>
      </c>
      <c r="J233" s="7">
        <f>IF($G233&lt;&gt;"Valid","",VLOOKUP($E233&amp;"|"&amp;$F233,Cluster_Master!$I$3:$H$17,5,FALSE))</f>
        <v/>
      </c>
      <c r="K233" s="7">
        <f>IF($G233&lt;&gt;"Valid","",VLOOKUP($E233&amp;"|"&amp;$F233,Cluster_Master!$I$3:$H$17,6,FALSE))</f>
        <v/>
      </c>
      <c r="L233" s="7">
        <f>IF($G233&lt;&gt;"Valid","",VLOOKUP($E233&amp;"|"&amp;$F233,Cluster_Master!$I$3:$H$17,7,FALSE))</f>
        <v/>
      </c>
      <c r="M233" s="7">
        <f>IF($G233&lt;&gt;"Valid","",VLOOKUP($E233&amp;"|"&amp;$F233,Cluster_Master!$I$3:$H$17,8,FALSE))</f>
        <v/>
      </c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7">
        <f>IF(COUNT(T233:AH233)=0,"",SUM(T233:AH233))</f>
        <v/>
      </c>
      <c r="AJ233" s="10">
        <f>IF(AI233="","",AI233/75)</f>
        <v/>
      </c>
      <c r="AK233" s="10">
        <f>IF(AI233="","",SUMPRODUCT(T233:AH233,KPI_Weights!$B$3:$B$17)/5)</f>
        <v/>
      </c>
      <c r="AL233" s="7">
        <f>IF(COUNT(T233:AH233)=0,"",IF(OR(T233&lt;=1,W233&lt;=1,X233&lt;=1,Y233&lt;=1,AB233&lt;=1),"YES","NO"))</f>
        <v/>
      </c>
      <c r="AM233" s="7">
        <f>IF(AK233="","",IF(AND(AK233="NO",AJ233&gt;=0.85),"YES","NO"))</f>
        <v/>
      </c>
      <c r="AN233" s="7">
        <f>IF(AJ233="","",IF(AJ233&gt;=0.90,"Excellent",IF(AJ233&gt;=0.80,"Good",IF(AJ233&gt;=0.70,"Fair","Poor"))))</f>
        <v/>
      </c>
      <c r="AO233" s="12" t="n"/>
      <c r="AP233" s="12" t="n"/>
      <c r="AQ233" s="12" t="n"/>
      <c r="AR233" s="12" t="n"/>
      <c r="AS233" s="12" t="n"/>
      <c r="AT233" s="12" t="n"/>
      <c r="AU233" s="12" t="n"/>
      <c r="AV233" s="11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</row>
    <row r="234">
      <c r="A234" s="7">
        <f>IF(B234="","","INS-"&amp;TEXT(ROW()-3,"000"))</f>
        <v/>
      </c>
      <c r="B234" s="11" t="n"/>
      <c r="C234" s="7">
        <f>IF(B234="","",ISOWEEKNUM(B234))</f>
        <v/>
      </c>
      <c r="D234" s="7">
        <f>IF(B234="","",TEXT(B234,"yyyy-mm"))</f>
        <v/>
      </c>
      <c r="E234" s="12" t="n"/>
      <c r="F234" s="12" t="n"/>
      <c r="G234" s="7">
        <f>IF(OR(E234="",F234=""),"",IF(COUNTIF(Cluster_Master!$I$3:$I$17,E234&amp;"|"&amp;F234)=1,"Valid","Review"))</f>
        <v/>
      </c>
      <c r="H234" s="7">
        <f>IF($G234&lt;&gt;"Valid","",VLOOKUP($E234&amp;"|"&amp;$F234,Cluster_Master!$I$3:$H$17,3,FALSE))</f>
        <v/>
      </c>
      <c r="I234" s="7">
        <f>IF($G234&lt;&gt;"Valid","",VLOOKUP($E234&amp;"|"&amp;$F234,Cluster_Master!$I$3:$H$17,4,FALSE))</f>
        <v/>
      </c>
      <c r="J234" s="7">
        <f>IF($G234&lt;&gt;"Valid","",VLOOKUP($E234&amp;"|"&amp;$F234,Cluster_Master!$I$3:$H$17,5,FALSE))</f>
        <v/>
      </c>
      <c r="K234" s="7">
        <f>IF($G234&lt;&gt;"Valid","",VLOOKUP($E234&amp;"|"&amp;$F234,Cluster_Master!$I$3:$H$17,6,FALSE))</f>
        <v/>
      </c>
      <c r="L234" s="7">
        <f>IF($G234&lt;&gt;"Valid","",VLOOKUP($E234&amp;"|"&amp;$F234,Cluster_Master!$I$3:$H$17,7,FALSE))</f>
        <v/>
      </c>
      <c r="M234" s="7">
        <f>IF($G234&lt;&gt;"Valid","",VLOOKUP($E234&amp;"|"&amp;$F234,Cluster_Master!$I$3:$H$17,8,FALSE))</f>
        <v/>
      </c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7">
        <f>IF(COUNT(T234:AH234)=0,"",SUM(T234:AH234))</f>
        <v/>
      </c>
      <c r="AJ234" s="10">
        <f>IF(AI234="","",AI234/75)</f>
        <v/>
      </c>
      <c r="AK234" s="10">
        <f>IF(AI234="","",SUMPRODUCT(T234:AH234,KPI_Weights!$B$3:$B$17)/5)</f>
        <v/>
      </c>
      <c r="AL234" s="7">
        <f>IF(COUNT(T234:AH234)=0,"",IF(OR(T234&lt;=1,W234&lt;=1,X234&lt;=1,Y234&lt;=1,AB234&lt;=1),"YES","NO"))</f>
        <v/>
      </c>
      <c r="AM234" s="7">
        <f>IF(AK234="","",IF(AND(AK234="NO",AJ234&gt;=0.85),"YES","NO"))</f>
        <v/>
      </c>
      <c r="AN234" s="7">
        <f>IF(AJ234="","",IF(AJ234&gt;=0.90,"Excellent",IF(AJ234&gt;=0.80,"Good",IF(AJ234&gt;=0.70,"Fair","Poor"))))</f>
        <v/>
      </c>
      <c r="AO234" s="12" t="n"/>
      <c r="AP234" s="12" t="n"/>
      <c r="AQ234" s="12" t="n"/>
      <c r="AR234" s="12" t="n"/>
      <c r="AS234" s="12" t="n"/>
      <c r="AT234" s="12" t="n"/>
      <c r="AU234" s="12" t="n"/>
      <c r="AV234" s="11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</row>
    <row r="235">
      <c r="A235" s="7">
        <f>IF(B235="","","INS-"&amp;TEXT(ROW()-3,"000"))</f>
        <v/>
      </c>
      <c r="B235" s="11" t="n"/>
      <c r="C235" s="7">
        <f>IF(B235="","",ISOWEEKNUM(B235))</f>
        <v/>
      </c>
      <c r="D235" s="7">
        <f>IF(B235="","",TEXT(B235,"yyyy-mm"))</f>
        <v/>
      </c>
      <c r="E235" s="12" t="n"/>
      <c r="F235" s="12" t="n"/>
      <c r="G235" s="7">
        <f>IF(OR(E235="",F235=""),"",IF(COUNTIF(Cluster_Master!$I$3:$I$17,E235&amp;"|"&amp;F235)=1,"Valid","Review"))</f>
        <v/>
      </c>
      <c r="H235" s="7">
        <f>IF($G235&lt;&gt;"Valid","",VLOOKUP($E235&amp;"|"&amp;$F235,Cluster_Master!$I$3:$H$17,3,FALSE))</f>
        <v/>
      </c>
      <c r="I235" s="7">
        <f>IF($G235&lt;&gt;"Valid","",VLOOKUP($E235&amp;"|"&amp;$F235,Cluster_Master!$I$3:$H$17,4,FALSE))</f>
        <v/>
      </c>
      <c r="J235" s="7">
        <f>IF($G235&lt;&gt;"Valid","",VLOOKUP($E235&amp;"|"&amp;$F235,Cluster_Master!$I$3:$H$17,5,FALSE))</f>
        <v/>
      </c>
      <c r="K235" s="7">
        <f>IF($G235&lt;&gt;"Valid","",VLOOKUP($E235&amp;"|"&amp;$F235,Cluster_Master!$I$3:$H$17,6,FALSE))</f>
        <v/>
      </c>
      <c r="L235" s="7">
        <f>IF($G235&lt;&gt;"Valid","",VLOOKUP($E235&amp;"|"&amp;$F235,Cluster_Master!$I$3:$H$17,7,FALSE))</f>
        <v/>
      </c>
      <c r="M235" s="7">
        <f>IF($G235&lt;&gt;"Valid","",VLOOKUP($E235&amp;"|"&amp;$F235,Cluster_Master!$I$3:$H$17,8,FALSE))</f>
        <v/>
      </c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7">
        <f>IF(COUNT(T235:AH235)=0,"",SUM(T235:AH235))</f>
        <v/>
      </c>
      <c r="AJ235" s="10">
        <f>IF(AI235="","",AI235/75)</f>
        <v/>
      </c>
      <c r="AK235" s="10">
        <f>IF(AI235="","",SUMPRODUCT(T235:AH235,KPI_Weights!$B$3:$B$17)/5)</f>
        <v/>
      </c>
      <c r="AL235" s="7">
        <f>IF(COUNT(T235:AH235)=0,"",IF(OR(T235&lt;=1,W235&lt;=1,X235&lt;=1,Y235&lt;=1,AB235&lt;=1),"YES","NO"))</f>
        <v/>
      </c>
      <c r="AM235" s="7">
        <f>IF(AK235="","",IF(AND(AK235="NO",AJ235&gt;=0.85),"YES","NO"))</f>
        <v/>
      </c>
      <c r="AN235" s="7">
        <f>IF(AJ235="","",IF(AJ235&gt;=0.90,"Excellent",IF(AJ235&gt;=0.80,"Good",IF(AJ235&gt;=0.70,"Fair","Poor"))))</f>
        <v/>
      </c>
      <c r="AO235" s="12" t="n"/>
      <c r="AP235" s="12" t="n"/>
      <c r="AQ235" s="12" t="n"/>
      <c r="AR235" s="12" t="n"/>
      <c r="AS235" s="12" t="n"/>
      <c r="AT235" s="12" t="n"/>
      <c r="AU235" s="12" t="n"/>
      <c r="AV235" s="11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</row>
    <row r="236">
      <c r="A236" s="7">
        <f>IF(B236="","","INS-"&amp;TEXT(ROW()-3,"000"))</f>
        <v/>
      </c>
      <c r="B236" s="11" t="n"/>
      <c r="C236" s="7">
        <f>IF(B236="","",ISOWEEKNUM(B236))</f>
        <v/>
      </c>
      <c r="D236" s="7">
        <f>IF(B236="","",TEXT(B236,"yyyy-mm"))</f>
        <v/>
      </c>
      <c r="E236" s="12" t="n"/>
      <c r="F236" s="12" t="n"/>
      <c r="G236" s="7">
        <f>IF(OR(E236="",F236=""),"",IF(COUNTIF(Cluster_Master!$I$3:$I$17,E236&amp;"|"&amp;F236)=1,"Valid","Review"))</f>
        <v/>
      </c>
      <c r="H236" s="7">
        <f>IF($G236&lt;&gt;"Valid","",VLOOKUP($E236&amp;"|"&amp;$F236,Cluster_Master!$I$3:$H$17,3,FALSE))</f>
        <v/>
      </c>
      <c r="I236" s="7">
        <f>IF($G236&lt;&gt;"Valid","",VLOOKUP($E236&amp;"|"&amp;$F236,Cluster_Master!$I$3:$H$17,4,FALSE))</f>
        <v/>
      </c>
      <c r="J236" s="7">
        <f>IF($G236&lt;&gt;"Valid","",VLOOKUP($E236&amp;"|"&amp;$F236,Cluster_Master!$I$3:$H$17,5,FALSE))</f>
        <v/>
      </c>
      <c r="K236" s="7">
        <f>IF($G236&lt;&gt;"Valid","",VLOOKUP($E236&amp;"|"&amp;$F236,Cluster_Master!$I$3:$H$17,6,FALSE))</f>
        <v/>
      </c>
      <c r="L236" s="7">
        <f>IF($G236&lt;&gt;"Valid","",VLOOKUP($E236&amp;"|"&amp;$F236,Cluster_Master!$I$3:$H$17,7,FALSE))</f>
        <v/>
      </c>
      <c r="M236" s="7">
        <f>IF($G236&lt;&gt;"Valid","",VLOOKUP($E236&amp;"|"&amp;$F236,Cluster_Master!$I$3:$H$17,8,FALSE))</f>
        <v/>
      </c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7">
        <f>IF(COUNT(T236:AH236)=0,"",SUM(T236:AH236))</f>
        <v/>
      </c>
      <c r="AJ236" s="10">
        <f>IF(AI236="","",AI236/75)</f>
        <v/>
      </c>
      <c r="AK236" s="10">
        <f>IF(AI236="","",SUMPRODUCT(T236:AH236,KPI_Weights!$B$3:$B$17)/5)</f>
        <v/>
      </c>
      <c r="AL236" s="7">
        <f>IF(COUNT(T236:AH236)=0,"",IF(OR(T236&lt;=1,W236&lt;=1,X236&lt;=1,Y236&lt;=1,AB236&lt;=1),"YES","NO"))</f>
        <v/>
      </c>
      <c r="AM236" s="7">
        <f>IF(AK236="","",IF(AND(AK236="NO",AJ236&gt;=0.85),"YES","NO"))</f>
        <v/>
      </c>
      <c r="AN236" s="7">
        <f>IF(AJ236="","",IF(AJ236&gt;=0.90,"Excellent",IF(AJ236&gt;=0.80,"Good",IF(AJ236&gt;=0.70,"Fair","Poor"))))</f>
        <v/>
      </c>
      <c r="AO236" s="12" t="n"/>
      <c r="AP236" s="12" t="n"/>
      <c r="AQ236" s="12" t="n"/>
      <c r="AR236" s="12" t="n"/>
      <c r="AS236" s="12" t="n"/>
      <c r="AT236" s="12" t="n"/>
      <c r="AU236" s="12" t="n"/>
      <c r="AV236" s="11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</row>
    <row r="237">
      <c r="A237" s="7">
        <f>IF(B237="","","INS-"&amp;TEXT(ROW()-3,"000"))</f>
        <v/>
      </c>
      <c r="B237" s="11" t="n"/>
      <c r="C237" s="7">
        <f>IF(B237="","",ISOWEEKNUM(B237))</f>
        <v/>
      </c>
      <c r="D237" s="7">
        <f>IF(B237="","",TEXT(B237,"yyyy-mm"))</f>
        <v/>
      </c>
      <c r="E237" s="12" t="n"/>
      <c r="F237" s="12" t="n"/>
      <c r="G237" s="7">
        <f>IF(OR(E237="",F237=""),"",IF(COUNTIF(Cluster_Master!$I$3:$I$17,E237&amp;"|"&amp;F237)=1,"Valid","Review"))</f>
        <v/>
      </c>
      <c r="H237" s="7">
        <f>IF($G237&lt;&gt;"Valid","",VLOOKUP($E237&amp;"|"&amp;$F237,Cluster_Master!$I$3:$H$17,3,FALSE))</f>
        <v/>
      </c>
      <c r="I237" s="7">
        <f>IF($G237&lt;&gt;"Valid","",VLOOKUP($E237&amp;"|"&amp;$F237,Cluster_Master!$I$3:$H$17,4,FALSE))</f>
        <v/>
      </c>
      <c r="J237" s="7">
        <f>IF($G237&lt;&gt;"Valid","",VLOOKUP($E237&amp;"|"&amp;$F237,Cluster_Master!$I$3:$H$17,5,FALSE))</f>
        <v/>
      </c>
      <c r="K237" s="7">
        <f>IF($G237&lt;&gt;"Valid","",VLOOKUP($E237&amp;"|"&amp;$F237,Cluster_Master!$I$3:$H$17,6,FALSE))</f>
        <v/>
      </c>
      <c r="L237" s="7">
        <f>IF($G237&lt;&gt;"Valid","",VLOOKUP($E237&amp;"|"&amp;$F237,Cluster_Master!$I$3:$H$17,7,FALSE))</f>
        <v/>
      </c>
      <c r="M237" s="7">
        <f>IF($G237&lt;&gt;"Valid","",VLOOKUP($E237&amp;"|"&amp;$F237,Cluster_Master!$I$3:$H$17,8,FALSE))</f>
        <v/>
      </c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7">
        <f>IF(COUNT(T237:AH237)=0,"",SUM(T237:AH237))</f>
        <v/>
      </c>
      <c r="AJ237" s="10">
        <f>IF(AI237="","",AI237/75)</f>
        <v/>
      </c>
      <c r="AK237" s="10">
        <f>IF(AI237="","",SUMPRODUCT(T237:AH237,KPI_Weights!$B$3:$B$17)/5)</f>
        <v/>
      </c>
      <c r="AL237" s="7">
        <f>IF(COUNT(T237:AH237)=0,"",IF(OR(T237&lt;=1,W237&lt;=1,X237&lt;=1,Y237&lt;=1,AB237&lt;=1),"YES","NO"))</f>
        <v/>
      </c>
      <c r="AM237" s="7">
        <f>IF(AK237="","",IF(AND(AK237="NO",AJ237&gt;=0.85),"YES","NO"))</f>
        <v/>
      </c>
      <c r="AN237" s="7">
        <f>IF(AJ237="","",IF(AJ237&gt;=0.90,"Excellent",IF(AJ237&gt;=0.80,"Good",IF(AJ237&gt;=0.70,"Fair","Poor"))))</f>
        <v/>
      </c>
      <c r="AO237" s="12" t="n"/>
      <c r="AP237" s="12" t="n"/>
      <c r="AQ237" s="12" t="n"/>
      <c r="AR237" s="12" t="n"/>
      <c r="AS237" s="12" t="n"/>
      <c r="AT237" s="12" t="n"/>
      <c r="AU237" s="12" t="n"/>
      <c r="AV237" s="11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</row>
    <row r="238">
      <c r="A238" s="7">
        <f>IF(B238="","","INS-"&amp;TEXT(ROW()-3,"000"))</f>
        <v/>
      </c>
      <c r="B238" s="11" t="n"/>
      <c r="C238" s="7">
        <f>IF(B238="","",ISOWEEKNUM(B238))</f>
        <v/>
      </c>
      <c r="D238" s="7">
        <f>IF(B238="","",TEXT(B238,"yyyy-mm"))</f>
        <v/>
      </c>
      <c r="E238" s="12" t="n"/>
      <c r="F238" s="12" t="n"/>
      <c r="G238" s="7">
        <f>IF(OR(E238="",F238=""),"",IF(COUNTIF(Cluster_Master!$I$3:$I$17,E238&amp;"|"&amp;F238)=1,"Valid","Review"))</f>
        <v/>
      </c>
      <c r="H238" s="7">
        <f>IF($G238&lt;&gt;"Valid","",VLOOKUP($E238&amp;"|"&amp;$F238,Cluster_Master!$I$3:$H$17,3,FALSE))</f>
        <v/>
      </c>
      <c r="I238" s="7">
        <f>IF($G238&lt;&gt;"Valid","",VLOOKUP($E238&amp;"|"&amp;$F238,Cluster_Master!$I$3:$H$17,4,FALSE))</f>
        <v/>
      </c>
      <c r="J238" s="7">
        <f>IF($G238&lt;&gt;"Valid","",VLOOKUP($E238&amp;"|"&amp;$F238,Cluster_Master!$I$3:$H$17,5,FALSE))</f>
        <v/>
      </c>
      <c r="K238" s="7">
        <f>IF($G238&lt;&gt;"Valid","",VLOOKUP($E238&amp;"|"&amp;$F238,Cluster_Master!$I$3:$H$17,6,FALSE))</f>
        <v/>
      </c>
      <c r="L238" s="7">
        <f>IF($G238&lt;&gt;"Valid","",VLOOKUP($E238&amp;"|"&amp;$F238,Cluster_Master!$I$3:$H$17,7,FALSE))</f>
        <v/>
      </c>
      <c r="M238" s="7">
        <f>IF($G238&lt;&gt;"Valid","",VLOOKUP($E238&amp;"|"&amp;$F238,Cluster_Master!$I$3:$H$17,8,FALSE))</f>
        <v/>
      </c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7">
        <f>IF(COUNT(T238:AH238)=0,"",SUM(T238:AH238))</f>
        <v/>
      </c>
      <c r="AJ238" s="10">
        <f>IF(AI238="","",AI238/75)</f>
        <v/>
      </c>
      <c r="AK238" s="10">
        <f>IF(AI238="","",SUMPRODUCT(T238:AH238,KPI_Weights!$B$3:$B$17)/5)</f>
        <v/>
      </c>
      <c r="AL238" s="7">
        <f>IF(COUNT(T238:AH238)=0,"",IF(OR(T238&lt;=1,W238&lt;=1,X238&lt;=1,Y238&lt;=1,AB238&lt;=1),"YES","NO"))</f>
        <v/>
      </c>
      <c r="AM238" s="7">
        <f>IF(AK238="","",IF(AND(AK238="NO",AJ238&gt;=0.85),"YES","NO"))</f>
        <v/>
      </c>
      <c r="AN238" s="7">
        <f>IF(AJ238="","",IF(AJ238&gt;=0.90,"Excellent",IF(AJ238&gt;=0.80,"Good",IF(AJ238&gt;=0.70,"Fair","Poor"))))</f>
        <v/>
      </c>
      <c r="AO238" s="12" t="n"/>
      <c r="AP238" s="12" t="n"/>
      <c r="AQ238" s="12" t="n"/>
      <c r="AR238" s="12" t="n"/>
      <c r="AS238" s="12" t="n"/>
      <c r="AT238" s="12" t="n"/>
      <c r="AU238" s="12" t="n"/>
      <c r="AV238" s="11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</row>
    <row r="239">
      <c r="A239" s="7">
        <f>IF(B239="","","INS-"&amp;TEXT(ROW()-3,"000"))</f>
        <v/>
      </c>
      <c r="B239" s="11" t="n"/>
      <c r="C239" s="7">
        <f>IF(B239="","",ISOWEEKNUM(B239))</f>
        <v/>
      </c>
      <c r="D239" s="7">
        <f>IF(B239="","",TEXT(B239,"yyyy-mm"))</f>
        <v/>
      </c>
      <c r="E239" s="12" t="n"/>
      <c r="F239" s="12" t="n"/>
      <c r="G239" s="7">
        <f>IF(OR(E239="",F239=""),"",IF(COUNTIF(Cluster_Master!$I$3:$I$17,E239&amp;"|"&amp;F239)=1,"Valid","Review"))</f>
        <v/>
      </c>
      <c r="H239" s="7">
        <f>IF($G239&lt;&gt;"Valid","",VLOOKUP($E239&amp;"|"&amp;$F239,Cluster_Master!$I$3:$H$17,3,FALSE))</f>
        <v/>
      </c>
      <c r="I239" s="7">
        <f>IF($G239&lt;&gt;"Valid","",VLOOKUP($E239&amp;"|"&amp;$F239,Cluster_Master!$I$3:$H$17,4,FALSE))</f>
        <v/>
      </c>
      <c r="J239" s="7">
        <f>IF($G239&lt;&gt;"Valid","",VLOOKUP($E239&amp;"|"&amp;$F239,Cluster_Master!$I$3:$H$17,5,FALSE))</f>
        <v/>
      </c>
      <c r="K239" s="7">
        <f>IF($G239&lt;&gt;"Valid","",VLOOKUP($E239&amp;"|"&amp;$F239,Cluster_Master!$I$3:$H$17,6,FALSE))</f>
        <v/>
      </c>
      <c r="L239" s="7">
        <f>IF($G239&lt;&gt;"Valid","",VLOOKUP($E239&amp;"|"&amp;$F239,Cluster_Master!$I$3:$H$17,7,FALSE))</f>
        <v/>
      </c>
      <c r="M239" s="7">
        <f>IF($G239&lt;&gt;"Valid","",VLOOKUP($E239&amp;"|"&amp;$F239,Cluster_Master!$I$3:$H$17,8,FALSE))</f>
        <v/>
      </c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7">
        <f>IF(COUNT(T239:AH239)=0,"",SUM(T239:AH239))</f>
        <v/>
      </c>
      <c r="AJ239" s="10">
        <f>IF(AI239="","",AI239/75)</f>
        <v/>
      </c>
      <c r="AK239" s="10">
        <f>IF(AI239="","",SUMPRODUCT(T239:AH239,KPI_Weights!$B$3:$B$17)/5)</f>
        <v/>
      </c>
      <c r="AL239" s="7">
        <f>IF(COUNT(T239:AH239)=0,"",IF(OR(T239&lt;=1,W239&lt;=1,X239&lt;=1,Y239&lt;=1,AB239&lt;=1),"YES","NO"))</f>
        <v/>
      </c>
      <c r="AM239" s="7">
        <f>IF(AK239="","",IF(AND(AK239="NO",AJ239&gt;=0.85),"YES","NO"))</f>
        <v/>
      </c>
      <c r="AN239" s="7">
        <f>IF(AJ239="","",IF(AJ239&gt;=0.90,"Excellent",IF(AJ239&gt;=0.80,"Good",IF(AJ239&gt;=0.70,"Fair","Poor"))))</f>
        <v/>
      </c>
      <c r="AO239" s="12" t="n"/>
      <c r="AP239" s="12" t="n"/>
      <c r="AQ239" s="12" t="n"/>
      <c r="AR239" s="12" t="n"/>
      <c r="AS239" s="12" t="n"/>
      <c r="AT239" s="12" t="n"/>
      <c r="AU239" s="12" t="n"/>
      <c r="AV239" s="11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</row>
    <row r="240">
      <c r="A240" s="7">
        <f>IF(B240="","","INS-"&amp;TEXT(ROW()-3,"000"))</f>
        <v/>
      </c>
      <c r="B240" s="11" t="n"/>
      <c r="C240" s="7">
        <f>IF(B240="","",ISOWEEKNUM(B240))</f>
        <v/>
      </c>
      <c r="D240" s="7">
        <f>IF(B240="","",TEXT(B240,"yyyy-mm"))</f>
        <v/>
      </c>
      <c r="E240" s="12" t="n"/>
      <c r="F240" s="12" t="n"/>
      <c r="G240" s="7">
        <f>IF(OR(E240="",F240=""),"",IF(COUNTIF(Cluster_Master!$I$3:$I$17,E240&amp;"|"&amp;F240)=1,"Valid","Review"))</f>
        <v/>
      </c>
      <c r="H240" s="7">
        <f>IF($G240&lt;&gt;"Valid","",VLOOKUP($E240&amp;"|"&amp;$F240,Cluster_Master!$I$3:$H$17,3,FALSE))</f>
        <v/>
      </c>
      <c r="I240" s="7">
        <f>IF($G240&lt;&gt;"Valid","",VLOOKUP($E240&amp;"|"&amp;$F240,Cluster_Master!$I$3:$H$17,4,FALSE))</f>
        <v/>
      </c>
      <c r="J240" s="7">
        <f>IF($G240&lt;&gt;"Valid","",VLOOKUP($E240&amp;"|"&amp;$F240,Cluster_Master!$I$3:$H$17,5,FALSE))</f>
        <v/>
      </c>
      <c r="K240" s="7">
        <f>IF($G240&lt;&gt;"Valid","",VLOOKUP($E240&amp;"|"&amp;$F240,Cluster_Master!$I$3:$H$17,6,FALSE))</f>
        <v/>
      </c>
      <c r="L240" s="7">
        <f>IF($G240&lt;&gt;"Valid","",VLOOKUP($E240&amp;"|"&amp;$F240,Cluster_Master!$I$3:$H$17,7,FALSE))</f>
        <v/>
      </c>
      <c r="M240" s="7">
        <f>IF($G240&lt;&gt;"Valid","",VLOOKUP($E240&amp;"|"&amp;$F240,Cluster_Master!$I$3:$H$17,8,FALSE))</f>
        <v/>
      </c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7">
        <f>IF(COUNT(T240:AH240)=0,"",SUM(T240:AH240))</f>
        <v/>
      </c>
      <c r="AJ240" s="10">
        <f>IF(AI240="","",AI240/75)</f>
        <v/>
      </c>
      <c r="AK240" s="10">
        <f>IF(AI240="","",SUMPRODUCT(T240:AH240,KPI_Weights!$B$3:$B$17)/5)</f>
        <v/>
      </c>
      <c r="AL240" s="7">
        <f>IF(COUNT(T240:AH240)=0,"",IF(OR(T240&lt;=1,W240&lt;=1,X240&lt;=1,Y240&lt;=1,AB240&lt;=1),"YES","NO"))</f>
        <v/>
      </c>
      <c r="AM240" s="7">
        <f>IF(AK240="","",IF(AND(AK240="NO",AJ240&gt;=0.85),"YES","NO"))</f>
        <v/>
      </c>
      <c r="AN240" s="7">
        <f>IF(AJ240="","",IF(AJ240&gt;=0.90,"Excellent",IF(AJ240&gt;=0.80,"Good",IF(AJ240&gt;=0.70,"Fair","Poor"))))</f>
        <v/>
      </c>
      <c r="AO240" s="12" t="n"/>
      <c r="AP240" s="12" t="n"/>
      <c r="AQ240" s="12" t="n"/>
      <c r="AR240" s="12" t="n"/>
      <c r="AS240" s="12" t="n"/>
      <c r="AT240" s="12" t="n"/>
      <c r="AU240" s="12" t="n"/>
      <c r="AV240" s="11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</row>
    <row r="241">
      <c r="A241" s="7">
        <f>IF(B241="","","INS-"&amp;TEXT(ROW()-3,"000"))</f>
        <v/>
      </c>
      <c r="B241" s="11" t="n"/>
      <c r="C241" s="7">
        <f>IF(B241="","",ISOWEEKNUM(B241))</f>
        <v/>
      </c>
      <c r="D241" s="7">
        <f>IF(B241="","",TEXT(B241,"yyyy-mm"))</f>
        <v/>
      </c>
      <c r="E241" s="12" t="n"/>
      <c r="F241" s="12" t="n"/>
      <c r="G241" s="7">
        <f>IF(OR(E241="",F241=""),"",IF(COUNTIF(Cluster_Master!$I$3:$I$17,E241&amp;"|"&amp;F241)=1,"Valid","Review"))</f>
        <v/>
      </c>
      <c r="H241" s="7">
        <f>IF($G241&lt;&gt;"Valid","",VLOOKUP($E241&amp;"|"&amp;$F241,Cluster_Master!$I$3:$H$17,3,FALSE))</f>
        <v/>
      </c>
      <c r="I241" s="7">
        <f>IF($G241&lt;&gt;"Valid","",VLOOKUP($E241&amp;"|"&amp;$F241,Cluster_Master!$I$3:$H$17,4,FALSE))</f>
        <v/>
      </c>
      <c r="J241" s="7">
        <f>IF($G241&lt;&gt;"Valid","",VLOOKUP($E241&amp;"|"&amp;$F241,Cluster_Master!$I$3:$H$17,5,FALSE))</f>
        <v/>
      </c>
      <c r="K241" s="7">
        <f>IF($G241&lt;&gt;"Valid","",VLOOKUP($E241&amp;"|"&amp;$F241,Cluster_Master!$I$3:$H$17,6,FALSE))</f>
        <v/>
      </c>
      <c r="L241" s="7">
        <f>IF($G241&lt;&gt;"Valid","",VLOOKUP($E241&amp;"|"&amp;$F241,Cluster_Master!$I$3:$H$17,7,FALSE))</f>
        <v/>
      </c>
      <c r="M241" s="7">
        <f>IF($G241&lt;&gt;"Valid","",VLOOKUP($E241&amp;"|"&amp;$F241,Cluster_Master!$I$3:$H$17,8,FALSE))</f>
        <v/>
      </c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7">
        <f>IF(COUNT(T241:AH241)=0,"",SUM(T241:AH241))</f>
        <v/>
      </c>
      <c r="AJ241" s="10">
        <f>IF(AI241="","",AI241/75)</f>
        <v/>
      </c>
      <c r="AK241" s="10">
        <f>IF(AI241="","",SUMPRODUCT(T241:AH241,KPI_Weights!$B$3:$B$17)/5)</f>
        <v/>
      </c>
      <c r="AL241" s="7">
        <f>IF(COUNT(T241:AH241)=0,"",IF(OR(T241&lt;=1,W241&lt;=1,X241&lt;=1,Y241&lt;=1,AB241&lt;=1),"YES","NO"))</f>
        <v/>
      </c>
      <c r="AM241" s="7">
        <f>IF(AK241="","",IF(AND(AK241="NO",AJ241&gt;=0.85),"YES","NO"))</f>
        <v/>
      </c>
      <c r="AN241" s="7">
        <f>IF(AJ241="","",IF(AJ241&gt;=0.90,"Excellent",IF(AJ241&gt;=0.80,"Good",IF(AJ241&gt;=0.70,"Fair","Poor"))))</f>
        <v/>
      </c>
      <c r="AO241" s="12" t="n"/>
      <c r="AP241" s="12" t="n"/>
      <c r="AQ241" s="12" t="n"/>
      <c r="AR241" s="12" t="n"/>
      <c r="AS241" s="12" t="n"/>
      <c r="AT241" s="12" t="n"/>
      <c r="AU241" s="12" t="n"/>
      <c r="AV241" s="11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</row>
    <row r="242">
      <c r="A242" s="7">
        <f>IF(B242="","","INS-"&amp;TEXT(ROW()-3,"000"))</f>
        <v/>
      </c>
      <c r="B242" s="11" t="n"/>
      <c r="C242" s="7">
        <f>IF(B242="","",ISOWEEKNUM(B242))</f>
        <v/>
      </c>
      <c r="D242" s="7">
        <f>IF(B242="","",TEXT(B242,"yyyy-mm"))</f>
        <v/>
      </c>
      <c r="E242" s="12" t="n"/>
      <c r="F242" s="12" t="n"/>
      <c r="G242" s="7">
        <f>IF(OR(E242="",F242=""),"",IF(COUNTIF(Cluster_Master!$I$3:$I$17,E242&amp;"|"&amp;F242)=1,"Valid","Review"))</f>
        <v/>
      </c>
      <c r="H242" s="7">
        <f>IF($G242&lt;&gt;"Valid","",VLOOKUP($E242&amp;"|"&amp;$F242,Cluster_Master!$I$3:$H$17,3,FALSE))</f>
        <v/>
      </c>
      <c r="I242" s="7">
        <f>IF($G242&lt;&gt;"Valid","",VLOOKUP($E242&amp;"|"&amp;$F242,Cluster_Master!$I$3:$H$17,4,FALSE))</f>
        <v/>
      </c>
      <c r="J242" s="7">
        <f>IF($G242&lt;&gt;"Valid","",VLOOKUP($E242&amp;"|"&amp;$F242,Cluster_Master!$I$3:$H$17,5,FALSE))</f>
        <v/>
      </c>
      <c r="K242" s="7">
        <f>IF($G242&lt;&gt;"Valid","",VLOOKUP($E242&amp;"|"&amp;$F242,Cluster_Master!$I$3:$H$17,6,FALSE))</f>
        <v/>
      </c>
      <c r="L242" s="7">
        <f>IF($G242&lt;&gt;"Valid","",VLOOKUP($E242&amp;"|"&amp;$F242,Cluster_Master!$I$3:$H$17,7,FALSE))</f>
        <v/>
      </c>
      <c r="M242" s="7">
        <f>IF($G242&lt;&gt;"Valid","",VLOOKUP($E242&amp;"|"&amp;$F242,Cluster_Master!$I$3:$H$17,8,FALSE))</f>
        <v/>
      </c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7">
        <f>IF(COUNT(T242:AH242)=0,"",SUM(T242:AH242))</f>
        <v/>
      </c>
      <c r="AJ242" s="10">
        <f>IF(AI242="","",AI242/75)</f>
        <v/>
      </c>
      <c r="AK242" s="10">
        <f>IF(AI242="","",SUMPRODUCT(T242:AH242,KPI_Weights!$B$3:$B$17)/5)</f>
        <v/>
      </c>
      <c r="AL242" s="7">
        <f>IF(COUNT(T242:AH242)=0,"",IF(OR(T242&lt;=1,W242&lt;=1,X242&lt;=1,Y242&lt;=1,AB242&lt;=1),"YES","NO"))</f>
        <v/>
      </c>
      <c r="AM242" s="7">
        <f>IF(AK242="","",IF(AND(AK242="NO",AJ242&gt;=0.85),"YES","NO"))</f>
        <v/>
      </c>
      <c r="AN242" s="7">
        <f>IF(AJ242="","",IF(AJ242&gt;=0.90,"Excellent",IF(AJ242&gt;=0.80,"Good",IF(AJ242&gt;=0.70,"Fair","Poor"))))</f>
        <v/>
      </c>
      <c r="AO242" s="12" t="n"/>
      <c r="AP242" s="12" t="n"/>
      <c r="AQ242" s="12" t="n"/>
      <c r="AR242" s="12" t="n"/>
      <c r="AS242" s="12" t="n"/>
      <c r="AT242" s="12" t="n"/>
      <c r="AU242" s="12" t="n"/>
      <c r="AV242" s="11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</row>
    <row r="243">
      <c r="A243" s="7">
        <f>IF(B243="","","INS-"&amp;TEXT(ROW()-3,"000"))</f>
        <v/>
      </c>
      <c r="B243" s="11" t="n"/>
      <c r="C243" s="7">
        <f>IF(B243="","",ISOWEEKNUM(B243))</f>
        <v/>
      </c>
      <c r="D243" s="7">
        <f>IF(B243="","",TEXT(B243,"yyyy-mm"))</f>
        <v/>
      </c>
      <c r="E243" s="12" t="n"/>
      <c r="F243" s="12" t="n"/>
      <c r="G243" s="7">
        <f>IF(OR(E243="",F243=""),"",IF(COUNTIF(Cluster_Master!$I$3:$I$17,E243&amp;"|"&amp;F243)=1,"Valid","Review"))</f>
        <v/>
      </c>
      <c r="H243" s="7">
        <f>IF($G243&lt;&gt;"Valid","",VLOOKUP($E243&amp;"|"&amp;$F243,Cluster_Master!$I$3:$H$17,3,FALSE))</f>
        <v/>
      </c>
      <c r="I243" s="7">
        <f>IF($G243&lt;&gt;"Valid","",VLOOKUP($E243&amp;"|"&amp;$F243,Cluster_Master!$I$3:$H$17,4,FALSE))</f>
        <v/>
      </c>
      <c r="J243" s="7">
        <f>IF($G243&lt;&gt;"Valid","",VLOOKUP($E243&amp;"|"&amp;$F243,Cluster_Master!$I$3:$H$17,5,FALSE))</f>
        <v/>
      </c>
      <c r="K243" s="7">
        <f>IF($G243&lt;&gt;"Valid","",VLOOKUP($E243&amp;"|"&amp;$F243,Cluster_Master!$I$3:$H$17,6,FALSE))</f>
        <v/>
      </c>
      <c r="L243" s="7">
        <f>IF($G243&lt;&gt;"Valid","",VLOOKUP($E243&amp;"|"&amp;$F243,Cluster_Master!$I$3:$H$17,7,FALSE))</f>
        <v/>
      </c>
      <c r="M243" s="7">
        <f>IF($G243&lt;&gt;"Valid","",VLOOKUP($E243&amp;"|"&amp;$F243,Cluster_Master!$I$3:$H$17,8,FALSE))</f>
        <v/>
      </c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7">
        <f>IF(COUNT(T243:AH243)=0,"",SUM(T243:AH243))</f>
        <v/>
      </c>
      <c r="AJ243" s="10">
        <f>IF(AI243="","",AI243/75)</f>
        <v/>
      </c>
      <c r="AK243" s="10">
        <f>IF(AI243="","",SUMPRODUCT(T243:AH243,KPI_Weights!$B$3:$B$17)/5)</f>
        <v/>
      </c>
      <c r="AL243" s="7">
        <f>IF(COUNT(T243:AH243)=0,"",IF(OR(T243&lt;=1,W243&lt;=1,X243&lt;=1,Y243&lt;=1,AB243&lt;=1),"YES","NO"))</f>
        <v/>
      </c>
      <c r="AM243" s="7">
        <f>IF(AK243="","",IF(AND(AK243="NO",AJ243&gt;=0.85),"YES","NO"))</f>
        <v/>
      </c>
      <c r="AN243" s="7">
        <f>IF(AJ243="","",IF(AJ243&gt;=0.90,"Excellent",IF(AJ243&gt;=0.80,"Good",IF(AJ243&gt;=0.70,"Fair","Poor"))))</f>
        <v/>
      </c>
      <c r="AO243" s="12" t="n"/>
      <c r="AP243" s="12" t="n"/>
      <c r="AQ243" s="12" t="n"/>
      <c r="AR243" s="12" t="n"/>
      <c r="AS243" s="12" t="n"/>
      <c r="AT243" s="12" t="n"/>
      <c r="AU243" s="12" t="n"/>
      <c r="AV243" s="11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</row>
    <row r="244">
      <c r="A244" s="7">
        <f>IF(B244="","","INS-"&amp;TEXT(ROW()-3,"000"))</f>
        <v/>
      </c>
      <c r="B244" s="11" t="n"/>
      <c r="C244" s="7">
        <f>IF(B244="","",ISOWEEKNUM(B244))</f>
        <v/>
      </c>
      <c r="D244" s="7">
        <f>IF(B244="","",TEXT(B244,"yyyy-mm"))</f>
        <v/>
      </c>
      <c r="E244" s="12" t="n"/>
      <c r="F244" s="12" t="n"/>
      <c r="G244" s="7">
        <f>IF(OR(E244="",F244=""),"",IF(COUNTIF(Cluster_Master!$I$3:$I$17,E244&amp;"|"&amp;F244)=1,"Valid","Review"))</f>
        <v/>
      </c>
      <c r="H244" s="7">
        <f>IF($G244&lt;&gt;"Valid","",VLOOKUP($E244&amp;"|"&amp;$F244,Cluster_Master!$I$3:$H$17,3,FALSE))</f>
        <v/>
      </c>
      <c r="I244" s="7">
        <f>IF($G244&lt;&gt;"Valid","",VLOOKUP($E244&amp;"|"&amp;$F244,Cluster_Master!$I$3:$H$17,4,FALSE))</f>
        <v/>
      </c>
      <c r="J244" s="7">
        <f>IF($G244&lt;&gt;"Valid","",VLOOKUP($E244&amp;"|"&amp;$F244,Cluster_Master!$I$3:$H$17,5,FALSE))</f>
        <v/>
      </c>
      <c r="K244" s="7">
        <f>IF($G244&lt;&gt;"Valid","",VLOOKUP($E244&amp;"|"&amp;$F244,Cluster_Master!$I$3:$H$17,6,FALSE))</f>
        <v/>
      </c>
      <c r="L244" s="7">
        <f>IF($G244&lt;&gt;"Valid","",VLOOKUP($E244&amp;"|"&amp;$F244,Cluster_Master!$I$3:$H$17,7,FALSE))</f>
        <v/>
      </c>
      <c r="M244" s="7">
        <f>IF($G244&lt;&gt;"Valid","",VLOOKUP($E244&amp;"|"&amp;$F244,Cluster_Master!$I$3:$H$17,8,FALSE))</f>
        <v/>
      </c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7">
        <f>IF(COUNT(T244:AH244)=0,"",SUM(T244:AH244))</f>
        <v/>
      </c>
      <c r="AJ244" s="10">
        <f>IF(AI244="","",AI244/75)</f>
        <v/>
      </c>
      <c r="AK244" s="10">
        <f>IF(AI244="","",SUMPRODUCT(T244:AH244,KPI_Weights!$B$3:$B$17)/5)</f>
        <v/>
      </c>
      <c r="AL244" s="7">
        <f>IF(COUNT(T244:AH244)=0,"",IF(OR(T244&lt;=1,W244&lt;=1,X244&lt;=1,Y244&lt;=1,AB244&lt;=1),"YES","NO"))</f>
        <v/>
      </c>
      <c r="AM244" s="7">
        <f>IF(AK244="","",IF(AND(AK244="NO",AJ244&gt;=0.85),"YES","NO"))</f>
        <v/>
      </c>
      <c r="AN244" s="7">
        <f>IF(AJ244="","",IF(AJ244&gt;=0.90,"Excellent",IF(AJ244&gt;=0.80,"Good",IF(AJ244&gt;=0.70,"Fair","Poor"))))</f>
        <v/>
      </c>
      <c r="AO244" s="12" t="n"/>
      <c r="AP244" s="12" t="n"/>
      <c r="AQ244" s="12" t="n"/>
      <c r="AR244" s="12" t="n"/>
      <c r="AS244" s="12" t="n"/>
      <c r="AT244" s="12" t="n"/>
      <c r="AU244" s="12" t="n"/>
      <c r="AV244" s="11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</row>
    <row r="245">
      <c r="A245" s="7">
        <f>IF(B245="","","INS-"&amp;TEXT(ROW()-3,"000"))</f>
        <v/>
      </c>
      <c r="B245" s="11" t="n"/>
      <c r="C245" s="7">
        <f>IF(B245="","",ISOWEEKNUM(B245))</f>
        <v/>
      </c>
      <c r="D245" s="7">
        <f>IF(B245="","",TEXT(B245,"yyyy-mm"))</f>
        <v/>
      </c>
      <c r="E245" s="12" t="n"/>
      <c r="F245" s="12" t="n"/>
      <c r="G245" s="7">
        <f>IF(OR(E245="",F245=""),"",IF(COUNTIF(Cluster_Master!$I$3:$I$17,E245&amp;"|"&amp;F245)=1,"Valid","Review"))</f>
        <v/>
      </c>
      <c r="H245" s="7">
        <f>IF($G245&lt;&gt;"Valid","",VLOOKUP($E245&amp;"|"&amp;$F245,Cluster_Master!$I$3:$H$17,3,FALSE))</f>
        <v/>
      </c>
      <c r="I245" s="7">
        <f>IF($G245&lt;&gt;"Valid","",VLOOKUP($E245&amp;"|"&amp;$F245,Cluster_Master!$I$3:$H$17,4,FALSE))</f>
        <v/>
      </c>
      <c r="J245" s="7">
        <f>IF($G245&lt;&gt;"Valid","",VLOOKUP($E245&amp;"|"&amp;$F245,Cluster_Master!$I$3:$H$17,5,FALSE))</f>
        <v/>
      </c>
      <c r="K245" s="7">
        <f>IF($G245&lt;&gt;"Valid","",VLOOKUP($E245&amp;"|"&amp;$F245,Cluster_Master!$I$3:$H$17,6,FALSE))</f>
        <v/>
      </c>
      <c r="L245" s="7">
        <f>IF($G245&lt;&gt;"Valid","",VLOOKUP($E245&amp;"|"&amp;$F245,Cluster_Master!$I$3:$H$17,7,FALSE))</f>
        <v/>
      </c>
      <c r="M245" s="7">
        <f>IF($G245&lt;&gt;"Valid","",VLOOKUP($E245&amp;"|"&amp;$F245,Cluster_Master!$I$3:$H$17,8,FALSE))</f>
        <v/>
      </c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7">
        <f>IF(COUNT(T245:AH245)=0,"",SUM(T245:AH245))</f>
        <v/>
      </c>
      <c r="AJ245" s="10">
        <f>IF(AI245="","",AI245/75)</f>
        <v/>
      </c>
      <c r="AK245" s="10">
        <f>IF(AI245="","",SUMPRODUCT(T245:AH245,KPI_Weights!$B$3:$B$17)/5)</f>
        <v/>
      </c>
      <c r="AL245" s="7">
        <f>IF(COUNT(T245:AH245)=0,"",IF(OR(T245&lt;=1,W245&lt;=1,X245&lt;=1,Y245&lt;=1,AB245&lt;=1),"YES","NO"))</f>
        <v/>
      </c>
      <c r="AM245" s="7">
        <f>IF(AK245="","",IF(AND(AK245="NO",AJ245&gt;=0.85),"YES","NO"))</f>
        <v/>
      </c>
      <c r="AN245" s="7">
        <f>IF(AJ245="","",IF(AJ245&gt;=0.90,"Excellent",IF(AJ245&gt;=0.80,"Good",IF(AJ245&gt;=0.70,"Fair","Poor"))))</f>
        <v/>
      </c>
      <c r="AO245" s="12" t="n"/>
      <c r="AP245" s="12" t="n"/>
      <c r="AQ245" s="12" t="n"/>
      <c r="AR245" s="12" t="n"/>
      <c r="AS245" s="12" t="n"/>
      <c r="AT245" s="12" t="n"/>
      <c r="AU245" s="12" t="n"/>
      <c r="AV245" s="11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</row>
    <row r="246">
      <c r="A246" s="7">
        <f>IF(B246="","","INS-"&amp;TEXT(ROW()-3,"000"))</f>
        <v/>
      </c>
      <c r="B246" s="11" t="n"/>
      <c r="C246" s="7">
        <f>IF(B246="","",ISOWEEKNUM(B246))</f>
        <v/>
      </c>
      <c r="D246" s="7">
        <f>IF(B246="","",TEXT(B246,"yyyy-mm"))</f>
        <v/>
      </c>
      <c r="E246" s="12" t="n"/>
      <c r="F246" s="12" t="n"/>
      <c r="G246" s="7">
        <f>IF(OR(E246="",F246=""),"",IF(COUNTIF(Cluster_Master!$I$3:$I$17,E246&amp;"|"&amp;F246)=1,"Valid","Review"))</f>
        <v/>
      </c>
      <c r="H246" s="7">
        <f>IF($G246&lt;&gt;"Valid","",VLOOKUP($E246&amp;"|"&amp;$F246,Cluster_Master!$I$3:$H$17,3,FALSE))</f>
        <v/>
      </c>
      <c r="I246" s="7">
        <f>IF($G246&lt;&gt;"Valid","",VLOOKUP($E246&amp;"|"&amp;$F246,Cluster_Master!$I$3:$H$17,4,FALSE))</f>
        <v/>
      </c>
      <c r="J246" s="7">
        <f>IF($G246&lt;&gt;"Valid","",VLOOKUP($E246&amp;"|"&amp;$F246,Cluster_Master!$I$3:$H$17,5,FALSE))</f>
        <v/>
      </c>
      <c r="K246" s="7">
        <f>IF($G246&lt;&gt;"Valid","",VLOOKUP($E246&amp;"|"&amp;$F246,Cluster_Master!$I$3:$H$17,6,FALSE))</f>
        <v/>
      </c>
      <c r="L246" s="7">
        <f>IF($G246&lt;&gt;"Valid","",VLOOKUP($E246&amp;"|"&amp;$F246,Cluster_Master!$I$3:$H$17,7,FALSE))</f>
        <v/>
      </c>
      <c r="M246" s="7">
        <f>IF($G246&lt;&gt;"Valid","",VLOOKUP($E246&amp;"|"&amp;$F246,Cluster_Master!$I$3:$H$17,8,FALSE))</f>
        <v/>
      </c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7">
        <f>IF(COUNT(T246:AH246)=0,"",SUM(T246:AH246))</f>
        <v/>
      </c>
      <c r="AJ246" s="10">
        <f>IF(AI246="","",AI246/75)</f>
        <v/>
      </c>
      <c r="AK246" s="10">
        <f>IF(AI246="","",SUMPRODUCT(T246:AH246,KPI_Weights!$B$3:$B$17)/5)</f>
        <v/>
      </c>
      <c r="AL246" s="7">
        <f>IF(COUNT(T246:AH246)=0,"",IF(OR(T246&lt;=1,W246&lt;=1,X246&lt;=1,Y246&lt;=1,AB246&lt;=1),"YES","NO"))</f>
        <v/>
      </c>
      <c r="AM246" s="7">
        <f>IF(AK246="","",IF(AND(AK246="NO",AJ246&gt;=0.85),"YES","NO"))</f>
        <v/>
      </c>
      <c r="AN246" s="7">
        <f>IF(AJ246="","",IF(AJ246&gt;=0.90,"Excellent",IF(AJ246&gt;=0.80,"Good",IF(AJ246&gt;=0.70,"Fair","Poor"))))</f>
        <v/>
      </c>
      <c r="AO246" s="12" t="n"/>
      <c r="AP246" s="12" t="n"/>
      <c r="AQ246" s="12" t="n"/>
      <c r="AR246" s="12" t="n"/>
      <c r="AS246" s="12" t="n"/>
      <c r="AT246" s="12" t="n"/>
      <c r="AU246" s="12" t="n"/>
      <c r="AV246" s="11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</row>
    <row r="247">
      <c r="A247" s="7">
        <f>IF(B247="","","INS-"&amp;TEXT(ROW()-3,"000"))</f>
        <v/>
      </c>
      <c r="B247" s="11" t="n"/>
      <c r="C247" s="7">
        <f>IF(B247="","",ISOWEEKNUM(B247))</f>
        <v/>
      </c>
      <c r="D247" s="7">
        <f>IF(B247="","",TEXT(B247,"yyyy-mm"))</f>
        <v/>
      </c>
      <c r="E247" s="12" t="n"/>
      <c r="F247" s="12" t="n"/>
      <c r="G247" s="7">
        <f>IF(OR(E247="",F247=""),"",IF(COUNTIF(Cluster_Master!$I$3:$I$17,E247&amp;"|"&amp;F247)=1,"Valid","Review"))</f>
        <v/>
      </c>
      <c r="H247" s="7">
        <f>IF($G247&lt;&gt;"Valid","",VLOOKUP($E247&amp;"|"&amp;$F247,Cluster_Master!$I$3:$H$17,3,FALSE))</f>
        <v/>
      </c>
      <c r="I247" s="7">
        <f>IF($G247&lt;&gt;"Valid","",VLOOKUP($E247&amp;"|"&amp;$F247,Cluster_Master!$I$3:$H$17,4,FALSE))</f>
        <v/>
      </c>
      <c r="J247" s="7">
        <f>IF($G247&lt;&gt;"Valid","",VLOOKUP($E247&amp;"|"&amp;$F247,Cluster_Master!$I$3:$H$17,5,FALSE))</f>
        <v/>
      </c>
      <c r="K247" s="7">
        <f>IF($G247&lt;&gt;"Valid","",VLOOKUP($E247&amp;"|"&amp;$F247,Cluster_Master!$I$3:$H$17,6,FALSE))</f>
        <v/>
      </c>
      <c r="L247" s="7">
        <f>IF($G247&lt;&gt;"Valid","",VLOOKUP($E247&amp;"|"&amp;$F247,Cluster_Master!$I$3:$H$17,7,FALSE))</f>
        <v/>
      </c>
      <c r="M247" s="7">
        <f>IF($G247&lt;&gt;"Valid","",VLOOKUP($E247&amp;"|"&amp;$F247,Cluster_Master!$I$3:$H$17,8,FALSE))</f>
        <v/>
      </c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7">
        <f>IF(COUNT(T247:AH247)=0,"",SUM(T247:AH247))</f>
        <v/>
      </c>
      <c r="AJ247" s="10">
        <f>IF(AI247="","",AI247/75)</f>
        <v/>
      </c>
      <c r="AK247" s="10">
        <f>IF(AI247="","",SUMPRODUCT(T247:AH247,KPI_Weights!$B$3:$B$17)/5)</f>
        <v/>
      </c>
      <c r="AL247" s="7">
        <f>IF(COUNT(T247:AH247)=0,"",IF(OR(T247&lt;=1,W247&lt;=1,X247&lt;=1,Y247&lt;=1,AB247&lt;=1),"YES","NO"))</f>
        <v/>
      </c>
      <c r="AM247" s="7">
        <f>IF(AK247="","",IF(AND(AK247="NO",AJ247&gt;=0.85),"YES","NO"))</f>
        <v/>
      </c>
      <c r="AN247" s="7">
        <f>IF(AJ247="","",IF(AJ247&gt;=0.90,"Excellent",IF(AJ247&gt;=0.80,"Good",IF(AJ247&gt;=0.70,"Fair","Poor"))))</f>
        <v/>
      </c>
      <c r="AO247" s="12" t="n"/>
      <c r="AP247" s="12" t="n"/>
      <c r="AQ247" s="12" t="n"/>
      <c r="AR247" s="12" t="n"/>
      <c r="AS247" s="12" t="n"/>
      <c r="AT247" s="12" t="n"/>
      <c r="AU247" s="12" t="n"/>
      <c r="AV247" s="11" t="n"/>
      <c r="AW247" s="12" t="n"/>
      <c r="AX247" s="12" t="n"/>
      <c r="AY247" s="12" t="n"/>
      <c r="AZ247" s="12" t="n"/>
      <c r="BA247" s="12" t="n"/>
      <c r="BB247" s="12" t="n"/>
      <c r="BC247" s="12" t="n"/>
      <c r="BD247" s="12" t="n"/>
      <c r="BE247" s="12" t="n"/>
      <c r="BF247" s="12" t="n"/>
    </row>
    <row r="248">
      <c r="A248" s="7">
        <f>IF(B248="","","INS-"&amp;TEXT(ROW()-3,"000"))</f>
        <v/>
      </c>
      <c r="B248" s="11" t="n"/>
      <c r="C248" s="7">
        <f>IF(B248="","",ISOWEEKNUM(B248))</f>
        <v/>
      </c>
      <c r="D248" s="7">
        <f>IF(B248="","",TEXT(B248,"yyyy-mm"))</f>
        <v/>
      </c>
      <c r="E248" s="12" t="n"/>
      <c r="F248" s="12" t="n"/>
      <c r="G248" s="7">
        <f>IF(OR(E248="",F248=""),"",IF(COUNTIF(Cluster_Master!$I$3:$I$17,E248&amp;"|"&amp;F248)=1,"Valid","Review"))</f>
        <v/>
      </c>
      <c r="H248" s="7">
        <f>IF($G248&lt;&gt;"Valid","",VLOOKUP($E248&amp;"|"&amp;$F248,Cluster_Master!$I$3:$H$17,3,FALSE))</f>
        <v/>
      </c>
      <c r="I248" s="7">
        <f>IF($G248&lt;&gt;"Valid","",VLOOKUP($E248&amp;"|"&amp;$F248,Cluster_Master!$I$3:$H$17,4,FALSE))</f>
        <v/>
      </c>
      <c r="J248" s="7">
        <f>IF($G248&lt;&gt;"Valid","",VLOOKUP($E248&amp;"|"&amp;$F248,Cluster_Master!$I$3:$H$17,5,FALSE))</f>
        <v/>
      </c>
      <c r="K248" s="7">
        <f>IF($G248&lt;&gt;"Valid","",VLOOKUP($E248&amp;"|"&amp;$F248,Cluster_Master!$I$3:$H$17,6,FALSE))</f>
        <v/>
      </c>
      <c r="L248" s="7">
        <f>IF($G248&lt;&gt;"Valid","",VLOOKUP($E248&amp;"|"&amp;$F248,Cluster_Master!$I$3:$H$17,7,FALSE))</f>
        <v/>
      </c>
      <c r="M248" s="7">
        <f>IF($G248&lt;&gt;"Valid","",VLOOKUP($E248&amp;"|"&amp;$F248,Cluster_Master!$I$3:$H$17,8,FALSE))</f>
        <v/>
      </c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7">
        <f>IF(COUNT(T248:AH248)=0,"",SUM(T248:AH248))</f>
        <v/>
      </c>
      <c r="AJ248" s="10">
        <f>IF(AI248="","",AI248/75)</f>
        <v/>
      </c>
      <c r="AK248" s="10">
        <f>IF(AI248="","",SUMPRODUCT(T248:AH248,KPI_Weights!$B$3:$B$17)/5)</f>
        <v/>
      </c>
      <c r="AL248" s="7">
        <f>IF(COUNT(T248:AH248)=0,"",IF(OR(T248&lt;=1,W248&lt;=1,X248&lt;=1,Y248&lt;=1,AB248&lt;=1),"YES","NO"))</f>
        <v/>
      </c>
      <c r="AM248" s="7">
        <f>IF(AK248="","",IF(AND(AK248="NO",AJ248&gt;=0.85),"YES","NO"))</f>
        <v/>
      </c>
      <c r="AN248" s="7">
        <f>IF(AJ248="","",IF(AJ248&gt;=0.90,"Excellent",IF(AJ248&gt;=0.80,"Good",IF(AJ248&gt;=0.70,"Fair","Poor"))))</f>
        <v/>
      </c>
      <c r="AO248" s="12" t="n"/>
      <c r="AP248" s="12" t="n"/>
      <c r="AQ248" s="12" t="n"/>
      <c r="AR248" s="12" t="n"/>
      <c r="AS248" s="12" t="n"/>
      <c r="AT248" s="12" t="n"/>
      <c r="AU248" s="12" t="n"/>
      <c r="AV248" s="11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</row>
    <row r="249">
      <c r="A249" s="7">
        <f>IF(B249="","","INS-"&amp;TEXT(ROW()-3,"000"))</f>
        <v/>
      </c>
      <c r="B249" s="11" t="n"/>
      <c r="C249" s="7">
        <f>IF(B249="","",ISOWEEKNUM(B249))</f>
        <v/>
      </c>
      <c r="D249" s="7">
        <f>IF(B249="","",TEXT(B249,"yyyy-mm"))</f>
        <v/>
      </c>
      <c r="E249" s="12" t="n"/>
      <c r="F249" s="12" t="n"/>
      <c r="G249" s="7">
        <f>IF(OR(E249="",F249=""),"",IF(COUNTIF(Cluster_Master!$I$3:$I$17,E249&amp;"|"&amp;F249)=1,"Valid","Review"))</f>
        <v/>
      </c>
      <c r="H249" s="7">
        <f>IF($G249&lt;&gt;"Valid","",VLOOKUP($E249&amp;"|"&amp;$F249,Cluster_Master!$I$3:$H$17,3,FALSE))</f>
        <v/>
      </c>
      <c r="I249" s="7">
        <f>IF($G249&lt;&gt;"Valid","",VLOOKUP($E249&amp;"|"&amp;$F249,Cluster_Master!$I$3:$H$17,4,FALSE))</f>
        <v/>
      </c>
      <c r="J249" s="7">
        <f>IF($G249&lt;&gt;"Valid","",VLOOKUP($E249&amp;"|"&amp;$F249,Cluster_Master!$I$3:$H$17,5,FALSE))</f>
        <v/>
      </c>
      <c r="K249" s="7">
        <f>IF($G249&lt;&gt;"Valid","",VLOOKUP($E249&amp;"|"&amp;$F249,Cluster_Master!$I$3:$H$17,6,FALSE))</f>
        <v/>
      </c>
      <c r="L249" s="7">
        <f>IF($G249&lt;&gt;"Valid","",VLOOKUP($E249&amp;"|"&amp;$F249,Cluster_Master!$I$3:$H$17,7,FALSE))</f>
        <v/>
      </c>
      <c r="M249" s="7">
        <f>IF($G249&lt;&gt;"Valid","",VLOOKUP($E249&amp;"|"&amp;$F249,Cluster_Master!$I$3:$H$17,8,FALSE))</f>
        <v/>
      </c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7">
        <f>IF(COUNT(T249:AH249)=0,"",SUM(T249:AH249))</f>
        <v/>
      </c>
      <c r="AJ249" s="10">
        <f>IF(AI249="","",AI249/75)</f>
        <v/>
      </c>
      <c r="AK249" s="10">
        <f>IF(AI249="","",SUMPRODUCT(T249:AH249,KPI_Weights!$B$3:$B$17)/5)</f>
        <v/>
      </c>
      <c r="AL249" s="7">
        <f>IF(COUNT(T249:AH249)=0,"",IF(OR(T249&lt;=1,W249&lt;=1,X249&lt;=1,Y249&lt;=1,AB249&lt;=1),"YES","NO"))</f>
        <v/>
      </c>
      <c r="AM249" s="7">
        <f>IF(AK249="","",IF(AND(AK249="NO",AJ249&gt;=0.85),"YES","NO"))</f>
        <v/>
      </c>
      <c r="AN249" s="7">
        <f>IF(AJ249="","",IF(AJ249&gt;=0.90,"Excellent",IF(AJ249&gt;=0.80,"Good",IF(AJ249&gt;=0.70,"Fair","Poor"))))</f>
        <v/>
      </c>
      <c r="AO249" s="12" t="n"/>
      <c r="AP249" s="12" t="n"/>
      <c r="AQ249" s="12" t="n"/>
      <c r="AR249" s="12" t="n"/>
      <c r="AS249" s="12" t="n"/>
      <c r="AT249" s="12" t="n"/>
      <c r="AU249" s="12" t="n"/>
      <c r="AV249" s="11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</row>
    <row r="250">
      <c r="A250" s="7">
        <f>IF(B250="","","INS-"&amp;TEXT(ROW()-3,"000"))</f>
        <v/>
      </c>
      <c r="B250" s="11" t="n"/>
      <c r="C250" s="7">
        <f>IF(B250="","",ISOWEEKNUM(B250))</f>
        <v/>
      </c>
      <c r="D250" s="7">
        <f>IF(B250="","",TEXT(B250,"yyyy-mm"))</f>
        <v/>
      </c>
      <c r="E250" s="12" t="n"/>
      <c r="F250" s="12" t="n"/>
      <c r="G250" s="7">
        <f>IF(OR(E250="",F250=""),"",IF(COUNTIF(Cluster_Master!$I$3:$I$17,E250&amp;"|"&amp;F250)=1,"Valid","Review"))</f>
        <v/>
      </c>
      <c r="H250" s="7">
        <f>IF($G250&lt;&gt;"Valid","",VLOOKUP($E250&amp;"|"&amp;$F250,Cluster_Master!$I$3:$H$17,3,FALSE))</f>
        <v/>
      </c>
      <c r="I250" s="7">
        <f>IF($G250&lt;&gt;"Valid","",VLOOKUP($E250&amp;"|"&amp;$F250,Cluster_Master!$I$3:$H$17,4,FALSE))</f>
        <v/>
      </c>
      <c r="J250" s="7">
        <f>IF($G250&lt;&gt;"Valid","",VLOOKUP($E250&amp;"|"&amp;$F250,Cluster_Master!$I$3:$H$17,5,FALSE))</f>
        <v/>
      </c>
      <c r="K250" s="7">
        <f>IF($G250&lt;&gt;"Valid","",VLOOKUP($E250&amp;"|"&amp;$F250,Cluster_Master!$I$3:$H$17,6,FALSE))</f>
        <v/>
      </c>
      <c r="L250" s="7">
        <f>IF($G250&lt;&gt;"Valid","",VLOOKUP($E250&amp;"|"&amp;$F250,Cluster_Master!$I$3:$H$17,7,FALSE))</f>
        <v/>
      </c>
      <c r="M250" s="7">
        <f>IF($G250&lt;&gt;"Valid","",VLOOKUP($E250&amp;"|"&amp;$F250,Cluster_Master!$I$3:$H$17,8,FALSE))</f>
        <v/>
      </c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7">
        <f>IF(COUNT(T250:AH250)=0,"",SUM(T250:AH250))</f>
        <v/>
      </c>
      <c r="AJ250" s="10">
        <f>IF(AI250="","",AI250/75)</f>
        <v/>
      </c>
      <c r="AK250" s="10">
        <f>IF(AI250="","",SUMPRODUCT(T250:AH250,KPI_Weights!$B$3:$B$17)/5)</f>
        <v/>
      </c>
      <c r="AL250" s="7">
        <f>IF(COUNT(T250:AH250)=0,"",IF(OR(T250&lt;=1,W250&lt;=1,X250&lt;=1,Y250&lt;=1,AB250&lt;=1),"YES","NO"))</f>
        <v/>
      </c>
      <c r="AM250" s="7">
        <f>IF(AK250="","",IF(AND(AK250="NO",AJ250&gt;=0.85),"YES","NO"))</f>
        <v/>
      </c>
      <c r="AN250" s="7">
        <f>IF(AJ250="","",IF(AJ250&gt;=0.90,"Excellent",IF(AJ250&gt;=0.80,"Good",IF(AJ250&gt;=0.70,"Fair","Poor"))))</f>
        <v/>
      </c>
      <c r="AO250" s="12" t="n"/>
      <c r="AP250" s="12" t="n"/>
      <c r="AQ250" s="12" t="n"/>
      <c r="AR250" s="12" t="n"/>
      <c r="AS250" s="12" t="n"/>
      <c r="AT250" s="12" t="n"/>
      <c r="AU250" s="12" t="n"/>
      <c r="AV250" s="11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</row>
    <row r="251">
      <c r="A251" s="7">
        <f>IF(B251="","","INS-"&amp;TEXT(ROW()-3,"000"))</f>
        <v/>
      </c>
      <c r="B251" s="11" t="n"/>
      <c r="C251" s="7">
        <f>IF(B251="","",ISOWEEKNUM(B251))</f>
        <v/>
      </c>
      <c r="D251" s="7">
        <f>IF(B251="","",TEXT(B251,"yyyy-mm"))</f>
        <v/>
      </c>
      <c r="E251" s="12" t="n"/>
      <c r="F251" s="12" t="n"/>
      <c r="G251" s="7">
        <f>IF(OR(E251="",F251=""),"",IF(COUNTIF(Cluster_Master!$I$3:$I$17,E251&amp;"|"&amp;F251)=1,"Valid","Review"))</f>
        <v/>
      </c>
      <c r="H251" s="7">
        <f>IF($G251&lt;&gt;"Valid","",VLOOKUP($E251&amp;"|"&amp;$F251,Cluster_Master!$I$3:$H$17,3,FALSE))</f>
        <v/>
      </c>
      <c r="I251" s="7">
        <f>IF($G251&lt;&gt;"Valid","",VLOOKUP($E251&amp;"|"&amp;$F251,Cluster_Master!$I$3:$H$17,4,FALSE))</f>
        <v/>
      </c>
      <c r="J251" s="7">
        <f>IF($G251&lt;&gt;"Valid","",VLOOKUP($E251&amp;"|"&amp;$F251,Cluster_Master!$I$3:$H$17,5,FALSE))</f>
        <v/>
      </c>
      <c r="K251" s="7">
        <f>IF($G251&lt;&gt;"Valid","",VLOOKUP($E251&amp;"|"&amp;$F251,Cluster_Master!$I$3:$H$17,6,FALSE))</f>
        <v/>
      </c>
      <c r="L251" s="7">
        <f>IF($G251&lt;&gt;"Valid","",VLOOKUP($E251&amp;"|"&amp;$F251,Cluster_Master!$I$3:$H$17,7,FALSE))</f>
        <v/>
      </c>
      <c r="M251" s="7">
        <f>IF($G251&lt;&gt;"Valid","",VLOOKUP($E251&amp;"|"&amp;$F251,Cluster_Master!$I$3:$H$17,8,FALSE))</f>
        <v/>
      </c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7">
        <f>IF(COUNT(T251:AH251)=0,"",SUM(T251:AH251))</f>
        <v/>
      </c>
      <c r="AJ251" s="10">
        <f>IF(AI251="","",AI251/75)</f>
        <v/>
      </c>
      <c r="AK251" s="10">
        <f>IF(AI251="","",SUMPRODUCT(T251:AH251,KPI_Weights!$B$3:$B$17)/5)</f>
        <v/>
      </c>
      <c r="AL251" s="7">
        <f>IF(COUNT(T251:AH251)=0,"",IF(OR(T251&lt;=1,W251&lt;=1,X251&lt;=1,Y251&lt;=1,AB251&lt;=1),"YES","NO"))</f>
        <v/>
      </c>
      <c r="AM251" s="7">
        <f>IF(AK251="","",IF(AND(AK251="NO",AJ251&gt;=0.85),"YES","NO"))</f>
        <v/>
      </c>
      <c r="AN251" s="7">
        <f>IF(AJ251="","",IF(AJ251&gt;=0.90,"Excellent",IF(AJ251&gt;=0.80,"Good",IF(AJ251&gt;=0.70,"Fair","Poor"))))</f>
        <v/>
      </c>
      <c r="AO251" s="12" t="n"/>
      <c r="AP251" s="12" t="n"/>
      <c r="AQ251" s="12" t="n"/>
      <c r="AR251" s="12" t="n"/>
      <c r="AS251" s="12" t="n"/>
      <c r="AT251" s="12" t="n"/>
      <c r="AU251" s="12" t="n"/>
      <c r="AV251" s="11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</row>
    <row r="252">
      <c r="A252" s="7">
        <f>IF(B252="","","INS-"&amp;TEXT(ROW()-3,"000"))</f>
        <v/>
      </c>
      <c r="B252" s="11" t="n"/>
      <c r="C252" s="7">
        <f>IF(B252="","",ISOWEEKNUM(B252))</f>
        <v/>
      </c>
      <c r="D252" s="7">
        <f>IF(B252="","",TEXT(B252,"yyyy-mm"))</f>
        <v/>
      </c>
      <c r="E252" s="12" t="n"/>
      <c r="F252" s="12" t="n"/>
      <c r="G252" s="7">
        <f>IF(OR(E252="",F252=""),"",IF(COUNTIF(Cluster_Master!$I$3:$I$17,E252&amp;"|"&amp;F252)=1,"Valid","Review"))</f>
        <v/>
      </c>
      <c r="H252" s="7">
        <f>IF($G252&lt;&gt;"Valid","",VLOOKUP($E252&amp;"|"&amp;$F252,Cluster_Master!$I$3:$H$17,3,FALSE))</f>
        <v/>
      </c>
      <c r="I252" s="7">
        <f>IF($G252&lt;&gt;"Valid","",VLOOKUP($E252&amp;"|"&amp;$F252,Cluster_Master!$I$3:$H$17,4,FALSE))</f>
        <v/>
      </c>
      <c r="J252" s="7">
        <f>IF($G252&lt;&gt;"Valid","",VLOOKUP($E252&amp;"|"&amp;$F252,Cluster_Master!$I$3:$H$17,5,FALSE))</f>
        <v/>
      </c>
      <c r="K252" s="7">
        <f>IF($G252&lt;&gt;"Valid","",VLOOKUP($E252&amp;"|"&amp;$F252,Cluster_Master!$I$3:$H$17,6,FALSE))</f>
        <v/>
      </c>
      <c r="L252" s="7">
        <f>IF($G252&lt;&gt;"Valid","",VLOOKUP($E252&amp;"|"&amp;$F252,Cluster_Master!$I$3:$H$17,7,FALSE))</f>
        <v/>
      </c>
      <c r="M252" s="7">
        <f>IF($G252&lt;&gt;"Valid","",VLOOKUP($E252&amp;"|"&amp;$F252,Cluster_Master!$I$3:$H$17,8,FALSE))</f>
        <v/>
      </c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7">
        <f>IF(COUNT(T252:AH252)=0,"",SUM(T252:AH252))</f>
        <v/>
      </c>
      <c r="AJ252" s="10">
        <f>IF(AI252="","",AI252/75)</f>
        <v/>
      </c>
      <c r="AK252" s="10">
        <f>IF(AI252="","",SUMPRODUCT(T252:AH252,KPI_Weights!$B$3:$B$17)/5)</f>
        <v/>
      </c>
      <c r="AL252" s="7">
        <f>IF(COUNT(T252:AH252)=0,"",IF(OR(T252&lt;=1,W252&lt;=1,X252&lt;=1,Y252&lt;=1,AB252&lt;=1),"YES","NO"))</f>
        <v/>
      </c>
      <c r="AM252" s="7">
        <f>IF(AK252="","",IF(AND(AK252="NO",AJ252&gt;=0.85),"YES","NO"))</f>
        <v/>
      </c>
      <c r="AN252" s="7">
        <f>IF(AJ252="","",IF(AJ252&gt;=0.90,"Excellent",IF(AJ252&gt;=0.80,"Good",IF(AJ252&gt;=0.70,"Fair","Poor"))))</f>
        <v/>
      </c>
      <c r="AO252" s="12" t="n"/>
      <c r="AP252" s="12" t="n"/>
      <c r="AQ252" s="12" t="n"/>
      <c r="AR252" s="12" t="n"/>
      <c r="AS252" s="12" t="n"/>
      <c r="AT252" s="12" t="n"/>
      <c r="AU252" s="12" t="n"/>
      <c r="AV252" s="11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</row>
    <row r="253">
      <c r="A253" s="7">
        <f>IF(B253="","","INS-"&amp;TEXT(ROW()-3,"000"))</f>
        <v/>
      </c>
      <c r="B253" s="11" t="n"/>
      <c r="C253" s="7">
        <f>IF(B253="","",ISOWEEKNUM(B253))</f>
        <v/>
      </c>
      <c r="D253" s="7">
        <f>IF(B253="","",TEXT(B253,"yyyy-mm"))</f>
        <v/>
      </c>
      <c r="E253" s="12" t="n"/>
      <c r="F253" s="12" t="n"/>
      <c r="G253" s="7">
        <f>IF(OR(E253="",F253=""),"",IF(COUNTIF(Cluster_Master!$I$3:$I$17,E253&amp;"|"&amp;F253)=1,"Valid","Review"))</f>
        <v/>
      </c>
      <c r="H253" s="7">
        <f>IF($G253&lt;&gt;"Valid","",VLOOKUP($E253&amp;"|"&amp;$F253,Cluster_Master!$I$3:$H$17,3,FALSE))</f>
        <v/>
      </c>
      <c r="I253" s="7">
        <f>IF($G253&lt;&gt;"Valid","",VLOOKUP($E253&amp;"|"&amp;$F253,Cluster_Master!$I$3:$H$17,4,FALSE))</f>
        <v/>
      </c>
      <c r="J253" s="7">
        <f>IF($G253&lt;&gt;"Valid","",VLOOKUP($E253&amp;"|"&amp;$F253,Cluster_Master!$I$3:$H$17,5,FALSE))</f>
        <v/>
      </c>
      <c r="K253" s="7">
        <f>IF($G253&lt;&gt;"Valid","",VLOOKUP($E253&amp;"|"&amp;$F253,Cluster_Master!$I$3:$H$17,6,FALSE))</f>
        <v/>
      </c>
      <c r="L253" s="7">
        <f>IF($G253&lt;&gt;"Valid","",VLOOKUP($E253&amp;"|"&amp;$F253,Cluster_Master!$I$3:$H$17,7,FALSE))</f>
        <v/>
      </c>
      <c r="M253" s="7">
        <f>IF($G253&lt;&gt;"Valid","",VLOOKUP($E253&amp;"|"&amp;$F253,Cluster_Master!$I$3:$H$17,8,FALSE))</f>
        <v/>
      </c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7">
        <f>IF(COUNT(T253:AH253)=0,"",SUM(T253:AH253))</f>
        <v/>
      </c>
      <c r="AJ253" s="10">
        <f>IF(AI253="","",AI253/75)</f>
        <v/>
      </c>
      <c r="AK253" s="10">
        <f>IF(AI253="","",SUMPRODUCT(T253:AH253,KPI_Weights!$B$3:$B$17)/5)</f>
        <v/>
      </c>
      <c r="AL253" s="7">
        <f>IF(COUNT(T253:AH253)=0,"",IF(OR(T253&lt;=1,W253&lt;=1,X253&lt;=1,Y253&lt;=1,AB253&lt;=1),"YES","NO"))</f>
        <v/>
      </c>
      <c r="AM253" s="7">
        <f>IF(AK253="","",IF(AND(AK253="NO",AJ253&gt;=0.85),"YES","NO"))</f>
        <v/>
      </c>
      <c r="AN253" s="7">
        <f>IF(AJ253="","",IF(AJ253&gt;=0.90,"Excellent",IF(AJ253&gt;=0.80,"Good",IF(AJ253&gt;=0.70,"Fair","Poor"))))</f>
        <v/>
      </c>
      <c r="AO253" s="12" t="n"/>
      <c r="AP253" s="12" t="n"/>
      <c r="AQ253" s="12" t="n"/>
      <c r="AR253" s="12" t="n"/>
      <c r="AS253" s="12" t="n"/>
      <c r="AT253" s="12" t="n"/>
      <c r="AU253" s="12" t="n"/>
      <c r="AV253" s="11" t="n"/>
      <c r="AW253" s="12" t="n"/>
      <c r="AX253" s="12" t="n"/>
      <c r="AY253" s="12" t="n"/>
      <c r="AZ253" s="12" t="n"/>
      <c r="BA253" s="12" t="n"/>
      <c r="BB253" s="12" t="n"/>
      <c r="BC253" s="12" t="n"/>
      <c r="BD253" s="12" t="n"/>
      <c r="BE253" s="12" t="n"/>
      <c r="BF253" s="12" t="n"/>
    </row>
    <row r="254">
      <c r="A254" s="7">
        <f>IF(B254="","","INS-"&amp;TEXT(ROW()-3,"000"))</f>
        <v/>
      </c>
      <c r="B254" s="11" t="n"/>
      <c r="C254" s="7">
        <f>IF(B254="","",ISOWEEKNUM(B254))</f>
        <v/>
      </c>
      <c r="D254" s="7">
        <f>IF(B254="","",TEXT(B254,"yyyy-mm"))</f>
        <v/>
      </c>
      <c r="E254" s="12" t="n"/>
      <c r="F254" s="12" t="n"/>
      <c r="G254" s="7">
        <f>IF(OR(E254="",F254=""),"",IF(COUNTIF(Cluster_Master!$I$3:$I$17,E254&amp;"|"&amp;F254)=1,"Valid","Review"))</f>
        <v/>
      </c>
      <c r="H254" s="7">
        <f>IF($G254&lt;&gt;"Valid","",VLOOKUP($E254&amp;"|"&amp;$F254,Cluster_Master!$I$3:$H$17,3,FALSE))</f>
        <v/>
      </c>
      <c r="I254" s="7">
        <f>IF($G254&lt;&gt;"Valid","",VLOOKUP($E254&amp;"|"&amp;$F254,Cluster_Master!$I$3:$H$17,4,FALSE))</f>
        <v/>
      </c>
      <c r="J254" s="7">
        <f>IF($G254&lt;&gt;"Valid","",VLOOKUP($E254&amp;"|"&amp;$F254,Cluster_Master!$I$3:$H$17,5,FALSE))</f>
        <v/>
      </c>
      <c r="K254" s="7">
        <f>IF($G254&lt;&gt;"Valid","",VLOOKUP($E254&amp;"|"&amp;$F254,Cluster_Master!$I$3:$H$17,6,FALSE))</f>
        <v/>
      </c>
      <c r="L254" s="7">
        <f>IF($G254&lt;&gt;"Valid","",VLOOKUP($E254&amp;"|"&amp;$F254,Cluster_Master!$I$3:$H$17,7,FALSE))</f>
        <v/>
      </c>
      <c r="M254" s="7">
        <f>IF($G254&lt;&gt;"Valid","",VLOOKUP($E254&amp;"|"&amp;$F254,Cluster_Master!$I$3:$H$17,8,FALSE))</f>
        <v/>
      </c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7">
        <f>IF(COUNT(T254:AH254)=0,"",SUM(T254:AH254))</f>
        <v/>
      </c>
      <c r="AJ254" s="10">
        <f>IF(AI254="","",AI254/75)</f>
        <v/>
      </c>
      <c r="AK254" s="10">
        <f>IF(AI254="","",SUMPRODUCT(T254:AH254,KPI_Weights!$B$3:$B$17)/5)</f>
        <v/>
      </c>
      <c r="AL254" s="7">
        <f>IF(COUNT(T254:AH254)=0,"",IF(OR(T254&lt;=1,W254&lt;=1,X254&lt;=1,Y254&lt;=1,AB254&lt;=1),"YES","NO"))</f>
        <v/>
      </c>
      <c r="AM254" s="7">
        <f>IF(AK254="","",IF(AND(AK254="NO",AJ254&gt;=0.85),"YES","NO"))</f>
        <v/>
      </c>
      <c r="AN254" s="7">
        <f>IF(AJ254="","",IF(AJ254&gt;=0.90,"Excellent",IF(AJ254&gt;=0.80,"Good",IF(AJ254&gt;=0.70,"Fair","Poor"))))</f>
        <v/>
      </c>
      <c r="AO254" s="12" t="n"/>
      <c r="AP254" s="12" t="n"/>
      <c r="AQ254" s="12" t="n"/>
      <c r="AR254" s="12" t="n"/>
      <c r="AS254" s="12" t="n"/>
      <c r="AT254" s="12" t="n"/>
      <c r="AU254" s="12" t="n"/>
      <c r="AV254" s="11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</row>
    <row r="255">
      <c r="A255" s="7">
        <f>IF(B255="","","INS-"&amp;TEXT(ROW()-3,"000"))</f>
        <v/>
      </c>
      <c r="B255" s="11" t="n"/>
      <c r="C255" s="7">
        <f>IF(B255="","",ISOWEEKNUM(B255))</f>
        <v/>
      </c>
      <c r="D255" s="7">
        <f>IF(B255="","",TEXT(B255,"yyyy-mm"))</f>
        <v/>
      </c>
      <c r="E255" s="12" t="n"/>
      <c r="F255" s="12" t="n"/>
      <c r="G255" s="7">
        <f>IF(OR(E255="",F255=""),"",IF(COUNTIF(Cluster_Master!$I$3:$I$17,E255&amp;"|"&amp;F255)=1,"Valid","Review"))</f>
        <v/>
      </c>
      <c r="H255" s="7">
        <f>IF($G255&lt;&gt;"Valid","",VLOOKUP($E255&amp;"|"&amp;$F255,Cluster_Master!$I$3:$H$17,3,FALSE))</f>
        <v/>
      </c>
      <c r="I255" s="7">
        <f>IF($G255&lt;&gt;"Valid","",VLOOKUP($E255&amp;"|"&amp;$F255,Cluster_Master!$I$3:$H$17,4,FALSE))</f>
        <v/>
      </c>
      <c r="J255" s="7">
        <f>IF($G255&lt;&gt;"Valid","",VLOOKUP($E255&amp;"|"&amp;$F255,Cluster_Master!$I$3:$H$17,5,FALSE))</f>
        <v/>
      </c>
      <c r="K255" s="7">
        <f>IF($G255&lt;&gt;"Valid","",VLOOKUP($E255&amp;"|"&amp;$F255,Cluster_Master!$I$3:$H$17,6,FALSE))</f>
        <v/>
      </c>
      <c r="L255" s="7">
        <f>IF($G255&lt;&gt;"Valid","",VLOOKUP($E255&amp;"|"&amp;$F255,Cluster_Master!$I$3:$H$17,7,FALSE))</f>
        <v/>
      </c>
      <c r="M255" s="7">
        <f>IF($G255&lt;&gt;"Valid","",VLOOKUP($E255&amp;"|"&amp;$F255,Cluster_Master!$I$3:$H$17,8,FALSE))</f>
        <v/>
      </c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7">
        <f>IF(COUNT(T255:AH255)=0,"",SUM(T255:AH255))</f>
        <v/>
      </c>
      <c r="AJ255" s="10">
        <f>IF(AI255="","",AI255/75)</f>
        <v/>
      </c>
      <c r="AK255" s="10">
        <f>IF(AI255="","",SUMPRODUCT(T255:AH255,KPI_Weights!$B$3:$B$17)/5)</f>
        <v/>
      </c>
      <c r="AL255" s="7">
        <f>IF(COUNT(T255:AH255)=0,"",IF(OR(T255&lt;=1,W255&lt;=1,X255&lt;=1,Y255&lt;=1,AB255&lt;=1),"YES","NO"))</f>
        <v/>
      </c>
      <c r="AM255" s="7">
        <f>IF(AK255="","",IF(AND(AK255="NO",AJ255&gt;=0.85),"YES","NO"))</f>
        <v/>
      </c>
      <c r="AN255" s="7">
        <f>IF(AJ255="","",IF(AJ255&gt;=0.90,"Excellent",IF(AJ255&gt;=0.80,"Good",IF(AJ255&gt;=0.70,"Fair","Poor"))))</f>
        <v/>
      </c>
      <c r="AO255" s="12" t="n"/>
      <c r="AP255" s="12" t="n"/>
      <c r="AQ255" s="12" t="n"/>
      <c r="AR255" s="12" t="n"/>
      <c r="AS255" s="12" t="n"/>
      <c r="AT255" s="12" t="n"/>
      <c r="AU255" s="12" t="n"/>
      <c r="AV255" s="11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</row>
    <row r="256">
      <c r="A256" s="7">
        <f>IF(B256="","","INS-"&amp;TEXT(ROW()-3,"000"))</f>
        <v/>
      </c>
      <c r="B256" s="11" t="n"/>
      <c r="C256" s="7">
        <f>IF(B256="","",ISOWEEKNUM(B256))</f>
        <v/>
      </c>
      <c r="D256" s="7">
        <f>IF(B256="","",TEXT(B256,"yyyy-mm"))</f>
        <v/>
      </c>
      <c r="E256" s="12" t="n"/>
      <c r="F256" s="12" t="n"/>
      <c r="G256" s="7">
        <f>IF(OR(E256="",F256=""),"",IF(COUNTIF(Cluster_Master!$I$3:$I$17,E256&amp;"|"&amp;F256)=1,"Valid","Review"))</f>
        <v/>
      </c>
      <c r="H256" s="7">
        <f>IF($G256&lt;&gt;"Valid","",VLOOKUP($E256&amp;"|"&amp;$F256,Cluster_Master!$I$3:$H$17,3,FALSE))</f>
        <v/>
      </c>
      <c r="I256" s="7">
        <f>IF($G256&lt;&gt;"Valid","",VLOOKUP($E256&amp;"|"&amp;$F256,Cluster_Master!$I$3:$H$17,4,FALSE))</f>
        <v/>
      </c>
      <c r="J256" s="7">
        <f>IF($G256&lt;&gt;"Valid","",VLOOKUP($E256&amp;"|"&amp;$F256,Cluster_Master!$I$3:$H$17,5,FALSE))</f>
        <v/>
      </c>
      <c r="K256" s="7">
        <f>IF($G256&lt;&gt;"Valid","",VLOOKUP($E256&amp;"|"&amp;$F256,Cluster_Master!$I$3:$H$17,6,FALSE))</f>
        <v/>
      </c>
      <c r="L256" s="7">
        <f>IF($G256&lt;&gt;"Valid","",VLOOKUP($E256&amp;"|"&amp;$F256,Cluster_Master!$I$3:$H$17,7,FALSE))</f>
        <v/>
      </c>
      <c r="M256" s="7">
        <f>IF($G256&lt;&gt;"Valid","",VLOOKUP($E256&amp;"|"&amp;$F256,Cluster_Master!$I$3:$H$17,8,FALSE))</f>
        <v/>
      </c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7">
        <f>IF(COUNT(T256:AH256)=0,"",SUM(T256:AH256))</f>
        <v/>
      </c>
      <c r="AJ256" s="10">
        <f>IF(AI256="","",AI256/75)</f>
        <v/>
      </c>
      <c r="AK256" s="10">
        <f>IF(AI256="","",SUMPRODUCT(T256:AH256,KPI_Weights!$B$3:$B$17)/5)</f>
        <v/>
      </c>
      <c r="AL256" s="7">
        <f>IF(COUNT(T256:AH256)=0,"",IF(OR(T256&lt;=1,W256&lt;=1,X256&lt;=1,Y256&lt;=1,AB256&lt;=1),"YES","NO"))</f>
        <v/>
      </c>
      <c r="AM256" s="7">
        <f>IF(AK256="","",IF(AND(AK256="NO",AJ256&gt;=0.85),"YES","NO"))</f>
        <v/>
      </c>
      <c r="AN256" s="7">
        <f>IF(AJ256="","",IF(AJ256&gt;=0.90,"Excellent",IF(AJ256&gt;=0.80,"Good",IF(AJ256&gt;=0.70,"Fair","Poor"))))</f>
        <v/>
      </c>
      <c r="AO256" s="12" t="n"/>
      <c r="AP256" s="12" t="n"/>
      <c r="AQ256" s="12" t="n"/>
      <c r="AR256" s="12" t="n"/>
      <c r="AS256" s="12" t="n"/>
      <c r="AT256" s="12" t="n"/>
      <c r="AU256" s="12" t="n"/>
      <c r="AV256" s="11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</row>
    <row r="257">
      <c r="A257" s="7">
        <f>IF(B257="","","INS-"&amp;TEXT(ROW()-3,"000"))</f>
        <v/>
      </c>
      <c r="B257" s="11" t="n"/>
      <c r="C257" s="7">
        <f>IF(B257="","",ISOWEEKNUM(B257))</f>
        <v/>
      </c>
      <c r="D257" s="7">
        <f>IF(B257="","",TEXT(B257,"yyyy-mm"))</f>
        <v/>
      </c>
      <c r="E257" s="12" t="n"/>
      <c r="F257" s="12" t="n"/>
      <c r="G257" s="7">
        <f>IF(OR(E257="",F257=""),"",IF(COUNTIF(Cluster_Master!$I$3:$I$17,E257&amp;"|"&amp;F257)=1,"Valid","Review"))</f>
        <v/>
      </c>
      <c r="H257" s="7">
        <f>IF($G257&lt;&gt;"Valid","",VLOOKUP($E257&amp;"|"&amp;$F257,Cluster_Master!$I$3:$H$17,3,FALSE))</f>
        <v/>
      </c>
      <c r="I257" s="7">
        <f>IF($G257&lt;&gt;"Valid","",VLOOKUP($E257&amp;"|"&amp;$F257,Cluster_Master!$I$3:$H$17,4,FALSE))</f>
        <v/>
      </c>
      <c r="J257" s="7">
        <f>IF($G257&lt;&gt;"Valid","",VLOOKUP($E257&amp;"|"&amp;$F257,Cluster_Master!$I$3:$H$17,5,FALSE))</f>
        <v/>
      </c>
      <c r="K257" s="7">
        <f>IF($G257&lt;&gt;"Valid","",VLOOKUP($E257&amp;"|"&amp;$F257,Cluster_Master!$I$3:$H$17,6,FALSE))</f>
        <v/>
      </c>
      <c r="L257" s="7">
        <f>IF($G257&lt;&gt;"Valid","",VLOOKUP($E257&amp;"|"&amp;$F257,Cluster_Master!$I$3:$H$17,7,FALSE))</f>
        <v/>
      </c>
      <c r="M257" s="7">
        <f>IF($G257&lt;&gt;"Valid","",VLOOKUP($E257&amp;"|"&amp;$F257,Cluster_Master!$I$3:$H$17,8,FALSE))</f>
        <v/>
      </c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7">
        <f>IF(COUNT(T257:AH257)=0,"",SUM(T257:AH257))</f>
        <v/>
      </c>
      <c r="AJ257" s="10">
        <f>IF(AI257="","",AI257/75)</f>
        <v/>
      </c>
      <c r="AK257" s="10">
        <f>IF(AI257="","",SUMPRODUCT(T257:AH257,KPI_Weights!$B$3:$B$17)/5)</f>
        <v/>
      </c>
      <c r="AL257" s="7">
        <f>IF(COUNT(T257:AH257)=0,"",IF(OR(T257&lt;=1,W257&lt;=1,X257&lt;=1,Y257&lt;=1,AB257&lt;=1),"YES","NO"))</f>
        <v/>
      </c>
      <c r="AM257" s="7">
        <f>IF(AK257="","",IF(AND(AK257="NO",AJ257&gt;=0.85),"YES","NO"))</f>
        <v/>
      </c>
      <c r="AN257" s="7">
        <f>IF(AJ257="","",IF(AJ257&gt;=0.90,"Excellent",IF(AJ257&gt;=0.80,"Good",IF(AJ257&gt;=0.70,"Fair","Poor"))))</f>
        <v/>
      </c>
      <c r="AO257" s="12" t="n"/>
      <c r="AP257" s="12" t="n"/>
      <c r="AQ257" s="12" t="n"/>
      <c r="AR257" s="12" t="n"/>
      <c r="AS257" s="12" t="n"/>
      <c r="AT257" s="12" t="n"/>
      <c r="AU257" s="12" t="n"/>
      <c r="AV257" s="11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</row>
    <row r="258">
      <c r="A258" s="7">
        <f>IF(B258="","","INS-"&amp;TEXT(ROW()-3,"000"))</f>
        <v/>
      </c>
      <c r="B258" s="11" t="n"/>
      <c r="C258" s="7">
        <f>IF(B258="","",ISOWEEKNUM(B258))</f>
        <v/>
      </c>
      <c r="D258" s="7">
        <f>IF(B258="","",TEXT(B258,"yyyy-mm"))</f>
        <v/>
      </c>
      <c r="E258" s="12" t="n"/>
      <c r="F258" s="12" t="n"/>
      <c r="G258" s="7">
        <f>IF(OR(E258="",F258=""),"",IF(COUNTIF(Cluster_Master!$I$3:$I$17,E258&amp;"|"&amp;F258)=1,"Valid","Review"))</f>
        <v/>
      </c>
      <c r="H258" s="7">
        <f>IF($G258&lt;&gt;"Valid","",VLOOKUP($E258&amp;"|"&amp;$F258,Cluster_Master!$I$3:$H$17,3,FALSE))</f>
        <v/>
      </c>
      <c r="I258" s="7">
        <f>IF($G258&lt;&gt;"Valid","",VLOOKUP($E258&amp;"|"&amp;$F258,Cluster_Master!$I$3:$H$17,4,FALSE))</f>
        <v/>
      </c>
      <c r="J258" s="7">
        <f>IF($G258&lt;&gt;"Valid","",VLOOKUP($E258&amp;"|"&amp;$F258,Cluster_Master!$I$3:$H$17,5,FALSE))</f>
        <v/>
      </c>
      <c r="K258" s="7">
        <f>IF($G258&lt;&gt;"Valid","",VLOOKUP($E258&amp;"|"&amp;$F258,Cluster_Master!$I$3:$H$17,6,FALSE))</f>
        <v/>
      </c>
      <c r="L258" s="7">
        <f>IF($G258&lt;&gt;"Valid","",VLOOKUP($E258&amp;"|"&amp;$F258,Cluster_Master!$I$3:$H$17,7,FALSE))</f>
        <v/>
      </c>
      <c r="M258" s="7">
        <f>IF($G258&lt;&gt;"Valid","",VLOOKUP($E258&amp;"|"&amp;$F258,Cluster_Master!$I$3:$H$17,8,FALSE))</f>
        <v/>
      </c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7">
        <f>IF(COUNT(T258:AH258)=0,"",SUM(T258:AH258))</f>
        <v/>
      </c>
      <c r="AJ258" s="10">
        <f>IF(AI258="","",AI258/75)</f>
        <v/>
      </c>
      <c r="AK258" s="10">
        <f>IF(AI258="","",SUMPRODUCT(T258:AH258,KPI_Weights!$B$3:$B$17)/5)</f>
        <v/>
      </c>
      <c r="AL258" s="7">
        <f>IF(COUNT(T258:AH258)=0,"",IF(OR(T258&lt;=1,W258&lt;=1,X258&lt;=1,Y258&lt;=1,AB258&lt;=1),"YES","NO"))</f>
        <v/>
      </c>
      <c r="AM258" s="7">
        <f>IF(AK258="","",IF(AND(AK258="NO",AJ258&gt;=0.85),"YES","NO"))</f>
        <v/>
      </c>
      <c r="AN258" s="7">
        <f>IF(AJ258="","",IF(AJ258&gt;=0.90,"Excellent",IF(AJ258&gt;=0.80,"Good",IF(AJ258&gt;=0.70,"Fair","Poor"))))</f>
        <v/>
      </c>
      <c r="AO258" s="12" t="n"/>
      <c r="AP258" s="12" t="n"/>
      <c r="AQ258" s="12" t="n"/>
      <c r="AR258" s="12" t="n"/>
      <c r="AS258" s="12" t="n"/>
      <c r="AT258" s="12" t="n"/>
      <c r="AU258" s="12" t="n"/>
      <c r="AV258" s="11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</row>
    <row r="259">
      <c r="A259" s="7">
        <f>IF(B259="","","INS-"&amp;TEXT(ROW()-3,"000"))</f>
        <v/>
      </c>
      <c r="B259" s="11" t="n"/>
      <c r="C259" s="7">
        <f>IF(B259="","",ISOWEEKNUM(B259))</f>
        <v/>
      </c>
      <c r="D259" s="7">
        <f>IF(B259="","",TEXT(B259,"yyyy-mm"))</f>
        <v/>
      </c>
      <c r="E259" s="12" t="n"/>
      <c r="F259" s="12" t="n"/>
      <c r="G259" s="7">
        <f>IF(OR(E259="",F259=""),"",IF(COUNTIF(Cluster_Master!$I$3:$I$17,E259&amp;"|"&amp;F259)=1,"Valid","Review"))</f>
        <v/>
      </c>
      <c r="H259" s="7">
        <f>IF($G259&lt;&gt;"Valid","",VLOOKUP($E259&amp;"|"&amp;$F259,Cluster_Master!$I$3:$H$17,3,FALSE))</f>
        <v/>
      </c>
      <c r="I259" s="7">
        <f>IF($G259&lt;&gt;"Valid","",VLOOKUP($E259&amp;"|"&amp;$F259,Cluster_Master!$I$3:$H$17,4,FALSE))</f>
        <v/>
      </c>
      <c r="J259" s="7">
        <f>IF($G259&lt;&gt;"Valid","",VLOOKUP($E259&amp;"|"&amp;$F259,Cluster_Master!$I$3:$H$17,5,FALSE))</f>
        <v/>
      </c>
      <c r="K259" s="7">
        <f>IF($G259&lt;&gt;"Valid","",VLOOKUP($E259&amp;"|"&amp;$F259,Cluster_Master!$I$3:$H$17,6,FALSE))</f>
        <v/>
      </c>
      <c r="L259" s="7">
        <f>IF($G259&lt;&gt;"Valid","",VLOOKUP($E259&amp;"|"&amp;$F259,Cluster_Master!$I$3:$H$17,7,FALSE))</f>
        <v/>
      </c>
      <c r="M259" s="7">
        <f>IF($G259&lt;&gt;"Valid","",VLOOKUP($E259&amp;"|"&amp;$F259,Cluster_Master!$I$3:$H$17,8,FALSE))</f>
        <v/>
      </c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7">
        <f>IF(COUNT(T259:AH259)=0,"",SUM(T259:AH259))</f>
        <v/>
      </c>
      <c r="AJ259" s="10">
        <f>IF(AI259="","",AI259/75)</f>
        <v/>
      </c>
      <c r="AK259" s="10">
        <f>IF(AI259="","",SUMPRODUCT(T259:AH259,KPI_Weights!$B$3:$B$17)/5)</f>
        <v/>
      </c>
      <c r="AL259" s="7">
        <f>IF(COUNT(T259:AH259)=0,"",IF(OR(T259&lt;=1,W259&lt;=1,X259&lt;=1,Y259&lt;=1,AB259&lt;=1),"YES","NO"))</f>
        <v/>
      </c>
      <c r="AM259" s="7">
        <f>IF(AK259="","",IF(AND(AK259="NO",AJ259&gt;=0.85),"YES","NO"))</f>
        <v/>
      </c>
      <c r="AN259" s="7">
        <f>IF(AJ259="","",IF(AJ259&gt;=0.90,"Excellent",IF(AJ259&gt;=0.80,"Good",IF(AJ259&gt;=0.70,"Fair","Poor"))))</f>
        <v/>
      </c>
      <c r="AO259" s="12" t="n"/>
      <c r="AP259" s="12" t="n"/>
      <c r="AQ259" s="12" t="n"/>
      <c r="AR259" s="12" t="n"/>
      <c r="AS259" s="12" t="n"/>
      <c r="AT259" s="12" t="n"/>
      <c r="AU259" s="12" t="n"/>
      <c r="AV259" s="11" t="n"/>
      <c r="AW259" s="12" t="n"/>
      <c r="AX259" s="12" t="n"/>
      <c r="AY259" s="12" t="n"/>
      <c r="AZ259" s="12" t="n"/>
      <c r="BA259" s="12" t="n"/>
      <c r="BB259" s="12" t="n"/>
      <c r="BC259" s="12" t="n"/>
      <c r="BD259" s="12" t="n"/>
      <c r="BE259" s="12" t="n"/>
      <c r="BF259" s="12" t="n"/>
    </row>
    <row r="260">
      <c r="A260" s="7">
        <f>IF(B260="","","INS-"&amp;TEXT(ROW()-3,"000"))</f>
        <v/>
      </c>
      <c r="B260" s="11" t="n"/>
      <c r="C260" s="7">
        <f>IF(B260="","",ISOWEEKNUM(B260))</f>
        <v/>
      </c>
      <c r="D260" s="7">
        <f>IF(B260="","",TEXT(B260,"yyyy-mm"))</f>
        <v/>
      </c>
      <c r="E260" s="12" t="n"/>
      <c r="F260" s="12" t="n"/>
      <c r="G260" s="7">
        <f>IF(OR(E260="",F260=""),"",IF(COUNTIF(Cluster_Master!$I$3:$I$17,E260&amp;"|"&amp;F260)=1,"Valid","Review"))</f>
        <v/>
      </c>
      <c r="H260" s="7">
        <f>IF($G260&lt;&gt;"Valid","",VLOOKUP($E260&amp;"|"&amp;$F260,Cluster_Master!$I$3:$H$17,3,FALSE))</f>
        <v/>
      </c>
      <c r="I260" s="7">
        <f>IF($G260&lt;&gt;"Valid","",VLOOKUP($E260&amp;"|"&amp;$F260,Cluster_Master!$I$3:$H$17,4,FALSE))</f>
        <v/>
      </c>
      <c r="J260" s="7">
        <f>IF($G260&lt;&gt;"Valid","",VLOOKUP($E260&amp;"|"&amp;$F260,Cluster_Master!$I$3:$H$17,5,FALSE))</f>
        <v/>
      </c>
      <c r="K260" s="7">
        <f>IF($G260&lt;&gt;"Valid","",VLOOKUP($E260&amp;"|"&amp;$F260,Cluster_Master!$I$3:$H$17,6,FALSE))</f>
        <v/>
      </c>
      <c r="L260" s="7">
        <f>IF($G260&lt;&gt;"Valid","",VLOOKUP($E260&amp;"|"&amp;$F260,Cluster_Master!$I$3:$H$17,7,FALSE))</f>
        <v/>
      </c>
      <c r="M260" s="7">
        <f>IF($G260&lt;&gt;"Valid","",VLOOKUP($E260&amp;"|"&amp;$F260,Cluster_Master!$I$3:$H$17,8,FALSE))</f>
        <v/>
      </c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7">
        <f>IF(COUNT(T260:AH260)=0,"",SUM(T260:AH260))</f>
        <v/>
      </c>
      <c r="AJ260" s="10">
        <f>IF(AI260="","",AI260/75)</f>
        <v/>
      </c>
      <c r="AK260" s="10">
        <f>IF(AI260="","",SUMPRODUCT(T260:AH260,KPI_Weights!$B$3:$B$17)/5)</f>
        <v/>
      </c>
      <c r="AL260" s="7">
        <f>IF(COUNT(T260:AH260)=0,"",IF(OR(T260&lt;=1,W260&lt;=1,X260&lt;=1,Y260&lt;=1,AB260&lt;=1),"YES","NO"))</f>
        <v/>
      </c>
      <c r="AM260" s="7">
        <f>IF(AK260="","",IF(AND(AK260="NO",AJ260&gt;=0.85),"YES","NO"))</f>
        <v/>
      </c>
      <c r="AN260" s="7">
        <f>IF(AJ260="","",IF(AJ260&gt;=0.90,"Excellent",IF(AJ260&gt;=0.80,"Good",IF(AJ260&gt;=0.70,"Fair","Poor"))))</f>
        <v/>
      </c>
      <c r="AO260" s="12" t="n"/>
      <c r="AP260" s="12" t="n"/>
      <c r="AQ260" s="12" t="n"/>
      <c r="AR260" s="12" t="n"/>
      <c r="AS260" s="12" t="n"/>
      <c r="AT260" s="12" t="n"/>
      <c r="AU260" s="12" t="n"/>
      <c r="AV260" s="11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</row>
    <row r="261">
      <c r="A261" s="7">
        <f>IF(B261="","","INS-"&amp;TEXT(ROW()-3,"000"))</f>
        <v/>
      </c>
      <c r="B261" s="11" t="n"/>
      <c r="C261" s="7">
        <f>IF(B261="","",ISOWEEKNUM(B261))</f>
        <v/>
      </c>
      <c r="D261" s="7">
        <f>IF(B261="","",TEXT(B261,"yyyy-mm"))</f>
        <v/>
      </c>
      <c r="E261" s="12" t="n"/>
      <c r="F261" s="12" t="n"/>
      <c r="G261" s="7">
        <f>IF(OR(E261="",F261=""),"",IF(COUNTIF(Cluster_Master!$I$3:$I$17,E261&amp;"|"&amp;F261)=1,"Valid","Review"))</f>
        <v/>
      </c>
      <c r="H261" s="7">
        <f>IF($G261&lt;&gt;"Valid","",VLOOKUP($E261&amp;"|"&amp;$F261,Cluster_Master!$I$3:$H$17,3,FALSE))</f>
        <v/>
      </c>
      <c r="I261" s="7">
        <f>IF($G261&lt;&gt;"Valid","",VLOOKUP($E261&amp;"|"&amp;$F261,Cluster_Master!$I$3:$H$17,4,FALSE))</f>
        <v/>
      </c>
      <c r="J261" s="7">
        <f>IF($G261&lt;&gt;"Valid","",VLOOKUP($E261&amp;"|"&amp;$F261,Cluster_Master!$I$3:$H$17,5,FALSE))</f>
        <v/>
      </c>
      <c r="K261" s="7">
        <f>IF($G261&lt;&gt;"Valid","",VLOOKUP($E261&amp;"|"&amp;$F261,Cluster_Master!$I$3:$H$17,6,FALSE))</f>
        <v/>
      </c>
      <c r="L261" s="7">
        <f>IF($G261&lt;&gt;"Valid","",VLOOKUP($E261&amp;"|"&amp;$F261,Cluster_Master!$I$3:$H$17,7,FALSE))</f>
        <v/>
      </c>
      <c r="M261" s="7">
        <f>IF($G261&lt;&gt;"Valid","",VLOOKUP($E261&amp;"|"&amp;$F261,Cluster_Master!$I$3:$H$17,8,FALSE))</f>
        <v/>
      </c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7">
        <f>IF(COUNT(T261:AH261)=0,"",SUM(T261:AH261))</f>
        <v/>
      </c>
      <c r="AJ261" s="10">
        <f>IF(AI261="","",AI261/75)</f>
        <v/>
      </c>
      <c r="AK261" s="10">
        <f>IF(AI261="","",SUMPRODUCT(T261:AH261,KPI_Weights!$B$3:$B$17)/5)</f>
        <v/>
      </c>
      <c r="AL261" s="7">
        <f>IF(COUNT(T261:AH261)=0,"",IF(OR(T261&lt;=1,W261&lt;=1,X261&lt;=1,Y261&lt;=1,AB261&lt;=1),"YES","NO"))</f>
        <v/>
      </c>
      <c r="AM261" s="7">
        <f>IF(AK261="","",IF(AND(AK261="NO",AJ261&gt;=0.85),"YES","NO"))</f>
        <v/>
      </c>
      <c r="AN261" s="7">
        <f>IF(AJ261="","",IF(AJ261&gt;=0.90,"Excellent",IF(AJ261&gt;=0.80,"Good",IF(AJ261&gt;=0.70,"Fair","Poor"))))</f>
        <v/>
      </c>
      <c r="AO261" s="12" t="n"/>
      <c r="AP261" s="12" t="n"/>
      <c r="AQ261" s="12" t="n"/>
      <c r="AR261" s="12" t="n"/>
      <c r="AS261" s="12" t="n"/>
      <c r="AT261" s="12" t="n"/>
      <c r="AU261" s="12" t="n"/>
      <c r="AV261" s="11" t="n"/>
      <c r="AW261" s="12" t="n"/>
      <c r="AX261" s="12" t="n"/>
      <c r="AY261" s="12" t="n"/>
      <c r="AZ261" s="12" t="n"/>
      <c r="BA261" s="12" t="n"/>
      <c r="BB261" s="12" t="n"/>
      <c r="BC261" s="12" t="n"/>
      <c r="BD261" s="12" t="n"/>
      <c r="BE261" s="12" t="n"/>
      <c r="BF261" s="12" t="n"/>
    </row>
    <row r="262">
      <c r="A262" s="7">
        <f>IF(B262="","","INS-"&amp;TEXT(ROW()-3,"000"))</f>
        <v/>
      </c>
      <c r="B262" s="11" t="n"/>
      <c r="C262" s="7">
        <f>IF(B262="","",ISOWEEKNUM(B262))</f>
        <v/>
      </c>
      <c r="D262" s="7">
        <f>IF(B262="","",TEXT(B262,"yyyy-mm"))</f>
        <v/>
      </c>
      <c r="E262" s="12" t="n"/>
      <c r="F262" s="12" t="n"/>
      <c r="G262" s="7">
        <f>IF(OR(E262="",F262=""),"",IF(COUNTIF(Cluster_Master!$I$3:$I$17,E262&amp;"|"&amp;F262)=1,"Valid","Review"))</f>
        <v/>
      </c>
      <c r="H262" s="7">
        <f>IF($G262&lt;&gt;"Valid","",VLOOKUP($E262&amp;"|"&amp;$F262,Cluster_Master!$I$3:$H$17,3,FALSE))</f>
        <v/>
      </c>
      <c r="I262" s="7">
        <f>IF($G262&lt;&gt;"Valid","",VLOOKUP($E262&amp;"|"&amp;$F262,Cluster_Master!$I$3:$H$17,4,FALSE))</f>
        <v/>
      </c>
      <c r="J262" s="7">
        <f>IF($G262&lt;&gt;"Valid","",VLOOKUP($E262&amp;"|"&amp;$F262,Cluster_Master!$I$3:$H$17,5,FALSE))</f>
        <v/>
      </c>
      <c r="K262" s="7">
        <f>IF($G262&lt;&gt;"Valid","",VLOOKUP($E262&amp;"|"&amp;$F262,Cluster_Master!$I$3:$H$17,6,FALSE))</f>
        <v/>
      </c>
      <c r="L262" s="7">
        <f>IF($G262&lt;&gt;"Valid","",VLOOKUP($E262&amp;"|"&amp;$F262,Cluster_Master!$I$3:$H$17,7,FALSE))</f>
        <v/>
      </c>
      <c r="M262" s="7">
        <f>IF($G262&lt;&gt;"Valid","",VLOOKUP($E262&amp;"|"&amp;$F262,Cluster_Master!$I$3:$H$17,8,FALSE))</f>
        <v/>
      </c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7">
        <f>IF(COUNT(T262:AH262)=0,"",SUM(T262:AH262))</f>
        <v/>
      </c>
      <c r="AJ262" s="10">
        <f>IF(AI262="","",AI262/75)</f>
        <v/>
      </c>
      <c r="AK262" s="10">
        <f>IF(AI262="","",SUMPRODUCT(T262:AH262,KPI_Weights!$B$3:$B$17)/5)</f>
        <v/>
      </c>
      <c r="AL262" s="7">
        <f>IF(COUNT(T262:AH262)=0,"",IF(OR(T262&lt;=1,W262&lt;=1,X262&lt;=1,Y262&lt;=1,AB262&lt;=1),"YES","NO"))</f>
        <v/>
      </c>
      <c r="AM262" s="7">
        <f>IF(AK262="","",IF(AND(AK262="NO",AJ262&gt;=0.85),"YES","NO"))</f>
        <v/>
      </c>
      <c r="AN262" s="7">
        <f>IF(AJ262="","",IF(AJ262&gt;=0.90,"Excellent",IF(AJ262&gt;=0.80,"Good",IF(AJ262&gt;=0.70,"Fair","Poor"))))</f>
        <v/>
      </c>
      <c r="AO262" s="12" t="n"/>
      <c r="AP262" s="12" t="n"/>
      <c r="AQ262" s="12" t="n"/>
      <c r="AR262" s="12" t="n"/>
      <c r="AS262" s="12" t="n"/>
      <c r="AT262" s="12" t="n"/>
      <c r="AU262" s="12" t="n"/>
      <c r="AV262" s="11" t="n"/>
      <c r="AW262" s="12" t="n"/>
      <c r="AX262" s="12" t="n"/>
      <c r="AY262" s="12" t="n"/>
      <c r="AZ262" s="12" t="n"/>
      <c r="BA262" s="12" t="n"/>
      <c r="BB262" s="12" t="n"/>
      <c r="BC262" s="12" t="n"/>
      <c r="BD262" s="12" t="n"/>
      <c r="BE262" s="12" t="n"/>
      <c r="BF262" s="12" t="n"/>
    </row>
    <row r="263">
      <c r="A263" s="7">
        <f>IF(B263="","","INS-"&amp;TEXT(ROW()-3,"000"))</f>
        <v/>
      </c>
      <c r="B263" s="11" t="n"/>
      <c r="C263" s="7">
        <f>IF(B263="","",ISOWEEKNUM(B263))</f>
        <v/>
      </c>
      <c r="D263" s="7">
        <f>IF(B263="","",TEXT(B263,"yyyy-mm"))</f>
        <v/>
      </c>
      <c r="E263" s="12" t="n"/>
      <c r="F263" s="12" t="n"/>
      <c r="G263" s="7">
        <f>IF(OR(E263="",F263=""),"",IF(COUNTIF(Cluster_Master!$I$3:$I$17,E263&amp;"|"&amp;F263)=1,"Valid","Review"))</f>
        <v/>
      </c>
      <c r="H263" s="7">
        <f>IF($G263&lt;&gt;"Valid","",VLOOKUP($E263&amp;"|"&amp;$F263,Cluster_Master!$I$3:$H$17,3,FALSE))</f>
        <v/>
      </c>
      <c r="I263" s="7">
        <f>IF($G263&lt;&gt;"Valid","",VLOOKUP($E263&amp;"|"&amp;$F263,Cluster_Master!$I$3:$H$17,4,FALSE))</f>
        <v/>
      </c>
      <c r="J263" s="7">
        <f>IF($G263&lt;&gt;"Valid","",VLOOKUP($E263&amp;"|"&amp;$F263,Cluster_Master!$I$3:$H$17,5,FALSE))</f>
        <v/>
      </c>
      <c r="K263" s="7">
        <f>IF($G263&lt;&gt;"Valid","",VLOOKUP($E263&amp;"|"&amp;$F263,Cluster_Master!$I$3:$H$17,6,FALSE))</f>
        <v/>
      </c>
      <c r="L263" s="7">
        <f>IF($G263&lt;&gt;"Valid","",VLOOKUP($E263&amp;"|"&amp;$F263,Cluster_Master!$I$3:$H$17,7,FALSE))</f>
        <v/>
      </c>
      <c r="M263" s="7">
        <f>IF($G263&lt;&gt;"Valid","",VLOOKUP($E263&amp;"|"&amp;$F263,Cluster_Master!$I$3:$H$17,8,FALSE))</f>
        <v/>
      </c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7">
        <f>IF(COUNT(T263:AH263)=0,"",SUM(T263:AH263))</f>
        <v/>
      </c>
      <c r="AJ263" s="10">
        <f>IF(AI263="","",AI263/75)</f>
        <v/>
      </c>
      <c r="AK263" s="10">
        <f>IF(AI263="","",SUMPRODUCT(T263:AH263,KPI_Weights!$B$3:$B$17)/5)</f>
        <v/>
      </c>
      <c r="AL263" s="7">
        <f>IF(COUNT(T263:AH263)=0,"",IF(OR(T263&lt;=1,W263&lt;=1,X263&lt;=1,Y263&lt;=1,AB263&lt;=1),"YES","NO"))</f>
        <v/>
      </c>
      <c r="AM263" s="7">
        <f>IF(AK263="","",IF(AND(AK263="NO",AJ263&gt;=0.85),"YES","NO"))</f>
        <v/>
      </c>
      <c r="AN263" s="7">
        <f>IF(AJ263="","",IF(AJ263&gt;=0.90,"Excellent",IF(AJ263&gt;=0.80,"Good",IF(AJ263&gt;=0.70,"Fair","Poor"))))</f>
        <v/>
      </c>
      <c r="AO263" s="12" t="n"/>
      <c r="AP263" s="12" t="n"/>
      <c r="AQ263" s="12" t="n"/>
      <c r="AR263" s="12" t="n"/>
      <c r="AS263" s="12" t="n"/>
      <c r="AT263" s="12" t="n"/>
      <c r="AU263" s="12" t="n"/>
      <c r="AV263" s="11" t="n"/>
      <c r="AW263" s="12" t="n"/>
      <c r="AX263" s="12" t="n"/>
      <c r="AY263" s="12" t="n"/>
      <c r="AZ263" s="12" t="n"/>
      <c r="BA263" s="12" t="n"/>
      <c r="BB263" s="12" t="n"/>
      <c r="BC263" s="12" t="n"/>
      <c r="BD263" s="12" t="n"/>
      <c r="BE263" s="12" t="n"/>
      <c r="BF263" s="12" t="n"/>
    </row>
    <row r="264">
      <c r="A264" s="7">
        <f>IF(B264="","","INS-"&amp;TEXT(ROW()-3,"000"))</f>
        <v/>
      </c>
      <c r="B264" s="11" t="n"/>
      <c r="C264" s="7">
        <f>IF(B264="","",ISOWEEKNUM(B264))</f>
        <v/>
      </c>
      <c r="D264" s="7">
        <f>IF(B264="","",TEXT(B264,"yyyy-mm"))</f>
        <v/>
      </c>
      <c r="E264" s="12" t="n"/>
      <c r="F264" s="12" t="n"/>
      <c r="G264" s="7">
        <f>IF(OR(E264="",F264=""),"",IF(COUNTIF(Cluster_Master!$I$3:$I$17,E264&amp;"|"&amp;F264)=1,"Valid","Review"))</f>
        <v/>
      </c>
      <c r="H264" s="7">
        <f>IF($G264&lt;&gt;"Valid","",VLOOKUP($E264&amp;"|"&amp;$F264,Cluster_Master!$I$3:$H$17,3,FALSE))</f>
        <v/>
      </c>
      <c r="I264" s="7">
        <f>IF($G264&lt;&gt;"Valid","",VLOOKUP($E264&amp;"|"&amp;$F264,Cluster_Master!$I$3:$H$17,4,FALSE))</f>
        <v/>
      </c>
      <c r="J264" s="7">
        <f>IF($G264&lt;&gt;"Valid","",VLOOKUP($E264&amp;"|"&amp;$F264,Cluster_Master!$I$3:$H$17,5,FALSE))</f>
        <v/>
      </c>
      <c r="K264" s="7">
        <f>IF($G264&lt;&gt;"Valid","",VLOOKUP($E264&amp;"|"&amp;$F264,Cluster_Master!$I$3:$H$17,6,FALSE))</f>
        <v/>
      </c>
      <c r="L264" s="7">
        <f>IF($G264&lt;&gt;"Valid","",VLOOKUP($E264&amp;"|"&amp;$F264,Cluster_Master!$I$3:$H$17,7,FALSE))</f>
        <v/>
      </c>
      <c r="M264" s="7">
        <f>IF($G264&lt;&gt;"Valid","",VLOOKUP($E264&amp;"|"&amp;$F264,Cluster_Master!$I$3:$H$17,8,FALSE))</f>
        <v/>
      </c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7">
        <f>IF(COUNT(T264:AH264)=0,"",SUM(T264:AH264))</f>
        <v/>
      </c>
      <c r="AJ264" s="10">
        <f>IF(AI264="","",AI264/75)</f>
        <v/>
      </c>
      <c r="AK264" s="10">
        <f>IF(AI264="","",SUMPRODUCT(T264:AH264,KPI_Weights!$B$3:$B$17)/5)</f>
        <v/>
      </c>
      <c r="AL264" s="7">
        <f>IF(COUNT(T264:AH264)=0,"",IF(OR(T264&lt;=1,W264&lt;=1,X264&lt;=1,Y264&lt;=1,AB264&lt;=1),"YES","NO"))</f>
        <v/>
      </c>
      <c r="AM264" s="7">
        <f>IF(AK264="","",IF(AND(AK264="NO",AJ264&gt;=0.85),"YES","NO"))</f>
        <v/>
      </c>
      <c r="AN264" s="7">
        <f>IF(AJ264="","",IF(AJ264&gt;=0.90,"Excellent",IF(AJ264&gt;=0.80,"Good",IF(AJ264&gt;=0.70,"Fair","Poor"))))</f>
        <v/>
      </c>
      <c r="AO264" s="12" t="n"/>
      <c r="AP264" s="12" t="n"/>
      <c r="AQ264" s="12" t="n"/>
      <c r="AR264" s="12" t="n"/>
      <c r="AS264" s="12" t="n"/>
      <c r="AT264" s="12" t="n"/>
      <c r="AU264" s="12" t="n"/>
      <c r="AV264" s="11" t="n"/>
      <c r="AW264" s="12" t="n"/>
      <c r="AX264" s="12" t="n"/>
      <c r="AY264" s="12" t="n"/>
      <c r="AZ264" s="12" t="n"/>
      <c r="BA264" s="12" t="n"/>
      <c r="BB264" s="12" t="n"/>
      <c r="BC264" s="12" t="n"/>
      <c r="BD264" s="12" t="n"/>
      <c r="BE264" s="12" t="n"/>
      <c r="BF264" s="12" t="n"/>
    </row>
    <row r="265">
      <c r="A265" s="7">
        <f>IF(B265="","","INS-"&amp;TEXT(ROW()-3,"000"))</f>
        <v/>
      </c>
      <c r="B265" s="11" t="n"/>
      <c r="C265" s="7">
        <f>IF(B265="","",ISOWEEKNUM(B265))</f>
        <v/>
      </c>
      <c r="D265" s="7">
        <f>IF(B265="","",TEXT(B265,"yyyy-mm"))</f>
        <v/>
      </c>
      <c r="E265" s="12" t="n"/>
      <c r="F265" s="12" t="n"/>
      <c r="G265" s="7">
        <f>IF(OR(E265="",F265=""),"",IF(COUNTIF(Cluster_Master!$I$3:$I$17,E265&amp;"|"&amp;F265)=1,"Valid","Review"))</f>
        <v/>
      </c>
      <c r="H265" s="7">
        <f>IF($G265&lt;&gt;"Valid","",VLOOKUP($E265&amp;"|"&amp;$F265,Cluster_Master!$I$3:$H$17,3,FALSE))</f>
        <v/>
      </c>
      <c r="I265" s="7">
        <f>IF($G265&lt;&gt;"Valid","",VLOOKUP($E265&amp;"|"&amp;$F265,Cluster_Master!$I$3:$H$17,4,FALSE))</f>
        <v/>
      </c>
      <c r="J265" s="7">
        <f>IF($G265&lt;&gt;"Valid","",VLOOKUP($E265&amp;"|"&amp;$F265,Cluster_Master!$I$3:$H$17,5,FALSE))</f>
        <v/>
      </c>
      <c r="K265" s="7">
        <f>IF($G265&lt;&gt;"Valid","",VLOOKUP($E265&amp;"|"&amp;$F265,Cluster_Master!$I$3:$H$17,6,FALSE))</f>
        <v/>
      </c>
      <c r="L265" s="7">
        <f>IF($G265&lt;&gt;"Valid","",VLOOKUP($E265&amp;"|"&amp;$F265,Cluster_Master!$I$3:$H$17,7,FALSE))</f>
        <v/>
      </c>
      <c r="M265" s="7">
        <f>IF($G265&lt;&gt;"Valid","",VLOOKUP($E265&amp;"|"&amp;$F265,Cluster_Master!$I$3:$H$17,8,FALSE))</f>
        <v/>
      </c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7">
        <f>IF(COUNT(T265:AH265)=0,"",SUM(T265:AH265))</f>
        <v/>
      </c>
      <c r="AJ265" s="10">
        <f>IF(AI265="","",AI265/75)</f>
        <v/>
      </c>
      <c r="AK265" s="10">
        <f>IF(AI265="","",SUMPRODUCT(T265:AH265,KPI_Weights!$B$3:$B$17)/5)</f>
        <v/>
      </c>
      <c r="AL265" s="7">
        <f>IF(COUNT(T265:AH265)=0,"",IF(OR(T265&lt;=1,W265&lt;=1,X265&lt;=1,Y265&lt;=1,AB265&lt;=1),"YES","NO"))</f>
        <v/>
      </c>
      <c r="AM265" s="7">
        <f>IF(AK265="","",IF(AND(AK265="NO",AJ265&gt;=0.85),"YES","NO"))</f>
        <v/>
      </c>
      <c r="AN265" s="7">
        <f>IF(AJ265="","",IF(AJ265&gt;=0.90,"Excellent",IF(AJ265&gt;=0.80,"Good",IF(AJ265&gt;=0.70,"Fair","Poor"))))</f>
        <v/>
      </c>
      <c r="AO265" s="12" t="n"/>
      <c r="AP265" s="12" t="n"/>
      <c r="AQ265" s="12" t="n"/>
      <c r="AR265" s="12" t="n"/>
      <c r="AS265" s="12" t="n"/>
      <c r="AT265" s="12" t="n"/>
      <c r="AU265" s="12" t="n"/>
      <c r="AV265" s="11" t="n"/>
      <c r="AW265" s="12" t="n"/>
      <c r="AX265" s="12" t="n"/>
      <c r="AY265" s="12" t="n"/>
      <c r="AZ265" s="12" t="n"/>
      <c r="BA265" s="12" t="n"/>
      <c r="BB265" s="12" t="n"/>
      <c r="BC265" s="12" t="n"/>
      <c r="BD265" s="12" t="n"/>
      <c r="BE265" s="12" t="n"/>
      <c r="BF265" s="12" t="n"/>
    </row>
    <row r="266">
      <c r="A266" s="7">
        <f>IF(B266="","","INS-"&amp;TEXT(ROW()-3,"000"))</f>
        <v/>
      </c>
      <c r="B266" s="11" t="n"/>
      <c r="C266" s="7">
        <f>IF(B266="","",ISOWEEKNUM(B266))</f>
        <v/>
      </c>
      <c r="D266" s="7">
        <f>IF(B266="","",TEXT(B266,"yyyy-mm"))</f>
        <v/>
      </c>
      <c r="E266" s="12" t="n"/>
      <c r="F266" s="12" t="n"/>
      <c r="G266" s="7">
        <f>IF(OR(E266="",F266=""),"",IF(COUNTIF(Cluster_Master!$I$3:$I$17,E266&amp;"|"&amp;F266)=1,"Valid","Review"))</f>
        <v/>
      </c>
      <c r="H266" s="7">
        <f>IF($G266&lt;&gt;"Valid","",VLOOKUP($E266&amp;"|"&amp;$F266,Cluster_Master!$I$3:$H$17,3,FALSE))</f>
        <v/>
      </c>
      <c r="I266" s="7">
        <f>IF($G266&lt;&gt;"Valid","",VLOOKUP($E266&amp;"|"&amp;$F266,Cluster_Master!$I$3:$H$17,4,FALSE))</f>
        <v/>
      </c>
      <c r="J266" s="7">
        <f>IF($G266&lt;&gt;"Valid","",VLOOKUP($E266&amp;"|"&amp;$F266,Cluster_Master!$I$3:$H$17,5,FALSE))</f>
        <v/>
      </c>
      <c r="K266" s="7">
        <f>IF($G266&lt;&gt;"Valid","",VLOOKUP($E266&amp;"|"&amp;$F266,Cluster_Master!$I$3:$H$17,6,FALSE))</f>
        <v/>
      </c>
      <c r="L266" s="7">
        <f>IF($G266&lt;&gt;"Valid","",VLOOKUP($E266&amp;"|"&amp;$F266,Cluster_Master!$I$3:$H$17,7,FALSE))</f>
        <v/>
      </c>
      <c r="M266" s="7">
        <f>IF($G266&lt;&gt;"Valid","",VLOOKUP($E266&amp;"|"&amp;$F266,Cluster_Master!$I$3:$H$17,8,FALSE))</f>
        <v/>
      </c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7">
        <f>IF(COUNT(T266:AH266)=0,"",SUM(T266:AH266))</f>
        <v/>
      </c>
      <c r="AJ266" s="10">
        <f>IF(AI266="","",AI266/75)</f>
        <v/>
      </c>
      <c r="AK266" s="10">
        <f>IF(AI266="","",SUMPRODUCT(T266:AH266,KPI_Weights!$B$3:$B$17)/5)</f>
        <v/>
      </c>
      <c r="AL266" s="7">
        <f>IF(COUNT(T266:AH266)=0,"",IF(OR(T266&lt;=1,W266&lt;=1,X266&lt;=1,Y266&lt;=1,AB266&lt;=1),"YES","NO"))</f>
        <v/>
      </c>
      <c r="AM266" s="7">
        <f>IF(AK266="","",IF(AND(AK266="NO",AJ266&gt;=0.85),"YES","NO"))</f>
        <v/>
      </c>
      <c r="AN266" s="7">
        <f>IF(AJ266="","",IF(AJ266&gt;=0.90,"Excellent",IF(AJ266&gt;=0.80,"Good",IF(AJ266&gt;=0.70,"Fair","Poor"))))</f>
        <v/>
      </c>
      <c r="AO266" s="12" t="n"/>
      <c r="AP266" s="12" t="n"/>
      <c r="AQ266" s="12" t="n"/>
      <c r="AR266" s="12" t="n"/>
      <c r="AS266" s="12" t="n"/>
      <c r="AT266" s="12" t="n"/>
      <c r="AU266" s="12" t="n"/>
      <c r="AV266" s="11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</row>
    <row r="267">
      <c r="A267" s="7">
        <f>IF(B267="","","INS-"&amp;TEXT(ROW()-3,"000"))</f>
        <v/>
      </c>
      <c r="B267" s="11" t="n"/>
      <c r="C267" s="7">
        <f>IF(B267="","",ISOWEEKNUM(B267))</f>
        <v/>
      </c>
      <c r="D267" s="7">
        <f>IF(B267="","",TEXT(B267,"yyyy-mm"))</f>
        <v/>
      </c>
      <c r="E267" s="12" t="n"/>
      <c r="F267" s="12" t="n"/>
      <c r="G267" s="7">
        <f>IF(OR(E267="",F267=""),"",IF(COUNTIF(Cluster_Master!$I$3:$I$17,E267&amp;"|"&amp;F267)=1,"Valid","Review"))</f>
        <v/>
      </c>
      <c r="H267" s="7">
        <f>IF($G267&lt;&gt;"Valid","",VLOOKUP($E267&amp;"|"&amp;$F267,Cluster_Master!$I$3:$H$17,3,FALSE))</f>
        <v/>
      </c>
      <c r="I267" s="7">
        <f>IF($G267&lt;&gt;"Valid","",VLOOKUP($E267&amp;"|"&amp;$F267,Cluster_Master!$I$3:$H$17,4,FALSE))</f>
        <v/>
      </c>
      <c r="J267" s="7">
        <f>IF($G267&lt;&gt;"Valid","",VLOOKUP($E267&amp;"|"&amp;$F267,Cluster_Master!$I$3:$H$17,5,FALSE))</f>
        <v/>
      </c>
      <c r="K267" s="7">
        <f>IF($G267&lt;&gt;"Valid","",VLOOKUP($E267&amp;"|"&amp;$F267,Cluster_Master!$I$3:$H$17,6,FALSE))</f>
        <v/>
      </c>
      <c r="L267" s="7">
        <f>IF($G267&lt;&gt;"Valid","",VLOOKUP($E267&amp;"|"&amp;$F267,Cluster_Master!$I$3:$H$17,7,FALSE))</f>
        <v/>
      </c>
      <c r="M267" s="7">
        <f>IF($G267&lt;&gt;"Valid","",VLOOKUP($E267&amp;"|"&amp;$F267,Cluster_Master!$I$3:$H$17,8,FALSE))</f>
        <v/>
      </c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7">
        <f>IF(COUNT(T267:AH267)=0,"",SUM(T267:AH267))</f>
        <v/>
      </c>
      <c r="AJ267" s="10">
        <f>IF(AI267="","",AI267/75)</f>
        <v/>
      </c>
      <c r="AK267" s="10">
        <f>IF(AI267="","",SUMPRODUCT(T267:AH267,KPI_Weights!$B$3:$B$17)/5)</f>
        <v/>
      </c>
      <c r="AL267" s="7">
        <f>IF(COUNT(T267:AH267)=0,"",IF(OR(T267&lt;=1,W267&lt;=1,X267&lt;=1,Y267&lt;=1,AB267&lt;=1),"YES","NO"))</f>
        <v/>
      </c>
      <c r="AM267" s="7">
        <f>IF(AK267="","",IF(AND(AK267="NO",AJ267&gt;=0.85),"YES","NO"))</f>
        <v/>
      </c>
      <c r="AN267" s="7">
        <f>IF(AJ267="","",IF(AJ267&gt;=0.90,"Excellent",IF(AJ267&gt;=0.80,"Good",IF(AJ267&gt;=0.70,"Fair","Poor"))))</f>
        <v/>
      </c>
      <c r="AO267" s="12" t="n"/>
      <c r="AP267" s="12" t="n"/>
      <c r="AQ267" s="12" t="n"/>
      <c r="AR267" s="12" t="n"/>
      <c r="AS267" s="12" t="n"/>
      <c r="AT267" s="12" t="n"/>
      <c r="AU267" s="12" t="n"/>
      <c r="AV267" s="11" t="n"/>
      <c r="AW267" s="12" t="n"/>
      <c r="AX267" s="12" t="n"/>
      <c r="AY267" s="12" t="n"/>
      <c r="AZ267" s="12" t="n"/>
      <c r="BA267" s="12" t="n"/>
      <c r="BB267" s="12" t="n"/>
      <c r="BC267" s="12" t="n"/>
      <c r="BD267" s="12" t="n"/>
      <c r="BE267" s="12" t="n"/>
      <c r="BF267" s="12" t="n"/>
    </row>
    <row r="268">
      <c r="A268" s="7">
        <f>IF(B268="","","INS-"&amp;TEXT(ROW()-3,"000"))</f>
        <v/>
      </c>
      <c r="B268" s="11" t="n"/>
      <c r="C268" s="7">
        <f>IF(B268="","",ISOWEEKNUM(B268))</f>
        <v/>
      </c>
      <c r="D268" s="7">
        <f>IF(B268="","",TEXT(B268,"yyyy-mm"))</f>
        <v/>
      </c>
      <c r="E268" s="12" t="n"/>
      <c r="F268" s="12" t="n"/>
      <c r="G268" s="7">
        <f>IF(OR(E268="",F268=""),"",IF(COUNTIF(Cluster_Master!$I$3:$I$17,E268&amp;"|"&amp;F268)=1,"Valid","Review"))</f>
        <v/>
      </c>
      <c r="H268" s="7">
        <f>IF($G268&lt;&gt;"Valid","",VLOOKUP($E268&amp;"|"&amp;$F268,Cluster_Master!$I$3:$H$17,3,FALSE))</f>
        <v/>
      </c>
      <c r="I268" s="7">
        <f>IF($G268&lt;&gt;"Valid","",VLOOKUP($E268&amp;"|"&amp;$F268,Cluster_Master!$I$3:$H$17,4,FALSE))</f>
        <v/>
      </c>
      <c r="J268" s="7">
        <f>IF($G268&lt;&gt;"Valid","",VLOOKUP($E268&amp;"|"&amp;$F268,Cluster_Master!$I$3:$H$17,5,FALSE))</f>
        <v/>
      </c>
      <c r="K268" s="7">
        <f>IF($G268&lt;&gt;"Valid","",VLOOKUP($E268&amp;"|"&amp;$F268,Cluster_Master!$I$3:$H$17,6,FALSE))</f>
        <v/>
      </c>
      <c r="L268" s="7">
        <f>IF($G268&lt;&gt;"Valid","",VLOOKUP($E268&amp;"|"&amp;$F268,Cluster_Master!$I$3:$H$17,7,FALSE))</f>
        <v/>
      </c>
      <c r="M268" s="7">
        <f>IF($G268&lt;&gt;"Valid","",VLOOKUP($E268&amp;"|"&amp;$F268,Cluster_Master!$I$3:$H$17,8,FALSE))</f>
        <v/>
      </c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7">
        <f>IF(COUNT(T268:AH268)=0,"",SUM(T268:AH268))</f>
        <v/>
      </c>
      <c r="AJ268" s="10">
        <f>IF(AI268="","",AI268/75)</f>
        <v/>
      </c>
      <c r="AK268" s="10">
        <f>IF(AI268="","",SUMPRODUCT(T268:AH268,KPI_Weights!$B$3:$B$17)/5)</f>
        <v/>
      </c>
      <c r="AL268" s="7">
        <f>IF(COUNT(T268:AH268)=0,"",IF(OR(T268&lt;=1,W268&lt;=1,X268&lt;=1,Y268&lt;=1,AB268&lt;=1),"YES","NO"))</f>
        <v/>
      </c>
      <c r="AM268" s="7">
        <f>IF(AK268="","",IF(AND(AK268="NO",AJ268&gt;=0.85),"YES","NO"))</f>
        <v/>
      </c>
      <c r="AN268" s="7">
        <f>IF(AJ268="","",IF(AJ268&gt;=0.90,"Excellent",IF(AJ268&gt;=0.80,"Good",IF(AJ268&gt;=0.70,"Fair","Poor"))))</f>
        <v/>
      </c>
      <c r="AO268" s="12" t="n"/>
      <c r="AP268" s="12" t="n"/>
      <c r="AQ268" s="12" t="n"/>
      <c r="AR268" s="12" t="n"/>
      <c r="AS268" s="12" t="n"/>
      <c r="AT268" s="12" t="n"/>
      <c r="AU268" s="12" t="n"/>
      <c r="AV268" s="11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</row>
    <row r="269">
      <c r="A269" s="7">
        <f>IF(B269="","","INS-"&amp;TEXT(ROW()-3,"000"))</f>
        <v/>
      </c>
      <c r="B269" s="11" t="n"/>
      <c r="C269" s="7">
        <f>IF(B269="","",ISOWEEKNUM(B269))</f>
        <v/>
      </c>
      <c r="D269" s="7">
        <f>IF(B269="","",TEXT(B269,"yyyy-mm"))</f>
        <v/>
      </c>
      <c r="E269" s="12" t="n"/>
      <c r="F269" s="12" t="n"/>
      <c r="G269" s="7">
        <f>IF(OR(E269="",F269=""),"",IF(COUNTIF(Cluster_Master!$I$3:$I$17,E269&amp;"|"&amp;F269)=1,"Valid","Review"))</f>
        <v/>
      </c>
      <c r="H269" s="7">
        <f>IF($G269&lt;&gt;"Valid","",VLOOKUP($E269&amp;"|"&amp;$F269,Cluster_Master!$I$3:$H$17,3,FALSE))</f>
        <v/>
      </c>
      <c r="I269" s="7">
        <f>IF($G269&lt;&gt;"Valid","",VLOOKUP($E269&amp;"|"&amp;$F269,Cluster_Master!$I$3:$H$17,4,FALSE))</f>
        <v/>
      </c>
      <c r="J269" s="7">
        <f>IF($G269&lt;&gt;"Valid","",VLOOKUP($E269&amp;"|"&amp;$F269,Cluster_Master!$I$3:$H$17,5,FALSE))</f>
        <v/>
      </c>
      <c r="K269" s="7">
        <f>IF($G269&lt;&gt;"Valid","",VLOOKUP($E269&amp;"|"&amp;$F269,Cluster_Master!$I$3:$H$17,6,FALSE))</f>
        <v/>
      </c>
      <c r="L269" s="7">
        <f>IF($G269&lt;&gt;"Valid","",VLOOKUP($E269&amp;"|"&amp;$F269,Cluster_Master!$I$3:$H$17,7,FALSE))</f>
        <v/>
      </c>
      <c r="M269" s="7">
        <f>IF($G269&lt;&gt;"Valid","",VLOOKUP($E269&amp;"|"&amp;$F269,Cluster_Master!$I$3:$H$17,8,FALSE))</f>
        <v/>
      </c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7">
        <f>IF(COUNT(T269:AH269)=0,"",SUM(T269:AH269))</f>
        <v/>
      </c>
      <c r="AJ269" s="10">
        <f>IF(AI269="","",AI269/75)</f>
        <v/>
      </c>
      <c r="AK269" s="10">
        <f>IF(AI269="","",SUMPRODUCT(T269:AH269,KPI_Weights!$B$3:$B$17)/5)</f>
        <v/>
      </c>
      <c r="AL269" s="7">
        <f>IF(COUNT(T269:AH269)=0,"",IF(OR(T269&lt;=1,W269&lt;=1,X269&lt;=1,Y269&lt;=1,AB269&lt;=1),"YES","NO"))</f>
        <v/>
      </c>
      <c r="AM269" s="7">
        <f>IF(AK269="","",IF(AND(AK269="NO",AJ269&gt;=0.85),"YES","NO"))</f>
        <v/>
      </c>
      <c r="AN269" s="7">
        <f>IF(AJ269="","",IF(AJ269&gt;=0.90,"Excellent",IF(AJ269&gt;=0.80,"Good",IF(AJ269&gt;=0.70,"Fair","Poor"))))</f>
        <v/>
      </c>
      <c r="AO269" s="12" t="n"/>
      <c r="AP269" s="12" t="n"/>
      <c r="AQ269" s="12" t="n"/>
      <c r="AR269" s="12" t="n"/>
      <c r="AS269" s="12" t="n"/>
      <c r="AT269" s="12" t="n"/>
      <c r="AU269" s="12" t="n"/>
      <c r="AV269" s="11" t="n"/>
      <c r="AW269" s="12" t="n"/>
      <c r="AX269" s="12" t="n"/>
      <c r="AY269" s="12" t="n"/>
      <c r="AZ269" s="12" t="n"/>
      <c r="BA269" s="12" t="n"/>
      <c r="BB269" s="12" t="n"/>
      <c r="BC269" s="12" t="n"/>
      <c r="BD269" s="12" t="n"/>
      <c r="BE269" s="12" t="n"/>
      <c r="BF269" s="12" t="n"/>
    </row>
    <row r="270">
      <c r="A270" s="7">
        <f>IF(B270="","","INS-"&amp;TEXT(ROW()-3,"000"))</f>
        <v/>
      </c>
      <c r="B270" s="11" t="n"/>
      <c r="C270" s="7">
        <f>IF(B270="","",ISOWEEKNUM(B270))</f>
        <v/>
      </c>
      <c r="D270" s="7">
        <f>IF(B270="","",TEXT(B270,"yyyy-mm"))</f>
        <v/>
      </c>
      <c r="E270" s="12" t="n"/>
      <c r="F270" s="12" t="n"/>
      <c r="G270" s="7">
        <f>IF(OR(E270="",F270=""),"",IF(COUNTIF(Cluster_Master!$I$3:$I$17,E270&amp;"|"&amp;F270)=1,"Valid","Review"))</f>
        <v/>
      </c>
      <c r="H270" s="7">
        <f>IF($G270&lt;&gt;"Valid","",VLOOKUP($E270&amp;"|"&amp;$F270,Cluster_Master!$I$3:$H$17,3,FALSE))</f>
        <v/>
      </c>
      <c r="I270" s="7">
        <f>IF($G270&lt;&gt;"Valid","",VLOOKUP($E270&amp;"|"&amp;$F270,Cluster_Master!$I$3:$H$17,4,FALSE))</f>
        <v/>
      </c>
      <c r="J270" s="7">
        <f>IF($G270&lt;&gt;"Valid","",VLOOKUP($E270&amp;"|"&amp;$F270,Cluster_Master!$I$3:$H$17,5,FALSE))</f>
        <v/>
      </c>
      <c r="K270" s="7">
        <f>IF($G270&lt;&gt;"Valid","",VLOOKUP($E270&amp;"|"&amp;$F270,Cluster_Master!$I$3:$H$17,6,FALSE))</f>
        <v/>
      </c>
      <c r="L270" s="7">
        <f>IF($G270&lt;&gt;"Valid","",VLOOKUP($E270&amp;"|"&amp;$F270,Cluster_Master!$I$3:$H$17,7,FALSE))</f>
        <v/>
      </c>
      <c r="M270" s="7">
        <f>IF($G270&lt;&gt;"Valid","",VLOOKUP($E270&amp;"|"&amp;$F270,Cluster_Master!$I$3:$H$17,8,FALSE))</f>
        <v/>
      </c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7">
        <f>IF(COUNT(T270:AH270)=0,"",SUM(T270:AH270))</f>
        <v/>
      </c>
      <c r="AJ270" s="10">
        <f>IF(AI270="","",AI270/75)</f>
        <v/>
      </c>
      <c r="AK270" s="10">
        <f>IF(AI270="","",SUMPRODUCT(T270:AH270,KPI_Weights!$B$3:$B$17)/5)</f>
        <v/>
      </c>
      <c r="AL270" s="7">
        <f>IF(COUNT(T270:AH270)=0,"",IF(OR(T270&lt;=1,W270&lt;=1,X270&lt;=1,Y270&lt;=1,AB270&lt;=1),"YES","NO"))</f>
        <v/>
      </c>
      <c r="AM270" s="7">
        <f>IF(AK270="","",IF(AND(AK270="NO",AJ270&gt;=0.85),"YES","NO"))</f>
        <v/>
      </c>
      <c r="AN270" s="7">
        <f>IF(AJ270="","",IF(AJ270&gt;=0.90,"Excellent",IF(AJ270&gt;=0.80,"Good",IF(AJ270&gt;=0.70,"Fair","Poor"))))</f>
        <v/>
      </c>
      <c r="AO270" s="12" t="n"/>
      <c r="AP270" s="12" t="n"/>
      <c r="AQ270" s="12" t="n"/>
      <c r="AR270" s="12" t="n"/>
      <c r="AS270" s="12" t="n"/>
      <c r="AT270" s="12" t="n"/>
      <c r="AU270" s="12" t="n"/>
      <c r="AV270" s="11" t="n"/>
      <c r="AW270" s="12" t="n"/>
      <c r="AX270" s="12" t="n"/>
      <c r="AY270" s="12" t="n"/>
      <c r="AZ270" s="12" t="n"/>
      <c r="BA270" s="12" t="n"/>
      <c r="BB270" s="12" t="n"/>
      <c r="BC270" s="12" t="n"/>
      <c r="BD270" s="12" t="n"/>
      <c r="BE270" s="12" t="n"/>
      <c r="BF270" s="12" t="n"/>
    </row>
    <row r="271">
      <c r="A271" s="7">
        <f>IF(B271="","","INS-"&amp;TEXT(ROW()-3,"000"))</f>
        <v/>
      </c>
      <c r="B271" s="11" t="n"/>
      <c r="C271" s="7">
        <f>IF(B271="","",ISOWEEKNUM(B271))</f>
        <v/>
      </c>
      <c r="D271" s="7">
        <f>IF(B271="","",TEXT(B271,"yyyy-mm"))</f>
        <v/>
      </c>
      <c r="E271" s="12" t="n"/>
      <c r="F271" s="12" t="n"/>
      <c r="G271" s="7">
        <f>IF(OR(E271="",F271=""),"",IF(COUNTIF(Cluster_Master!$I$3:$I$17,E271&amp;"|"&amp;F271)=1,"Valid","Review"))</f>
        <v/>
      </c>
      <c r="H271" s="7">
        <f>IF($G271&lt;&gt;"Valid","",VLOOKUP($E271&amp;"|"&amp;$F271,Cluster_Master!$I$3:$H$17,3,FALSE))</f>
        <v/>
      </c>
      <c r="I271" s="7">
        <f>IF($G271&lt;&gt;"Valid","",VLOOKUP($E271&amp;"|"&amp;$F271,Cluster_Master!$I$3:$H$17,4,FALSE))</f>
        <v/>
      </c>
      <c r="J271" s="7">
        <f>IF($G271&lt;&gt;"Valid","",VLOOKUP($E271&amp;"|"&amp;$F271,Cluster_Master!$I$3:$H$17,5,FALSE))</f>
        <v/>
      </c>
      <c r="K271" s="7">
        <f>IF($G271&lt;&gt;"Valid","",VLOOKUP($E271&amp;"|"&amp;$F271,Cluster_Master!$I$3:$H$17,6,FALSE))</f>
        <v/>
      </c>
      <c r="L271" s="7">
        <f>IF($G271&lt;&gt;"Valid","",VLOOKUP($E271&amp;"|"&amp;$F271,Cluster_Master!$I$3:$H$17,7,FALSE))</f>
        <v/>
      </c>
      <c r="M271" s="7">
        <f>IF($G271&lt;&gt;"Valid","",VLOOKUP($E271&amp;"|"&amp;$F271,Cluster_Master!$I$3:$H$17,8,FALSE))</f>
        <v/>
      </c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7">
        <f>IF(COUNT(T271:AH271)=0,"",SUM(T271:AH271))</f>
        <v/>
      </c>
      <c r="AJ271" s="10">
        <f>IF(AI271="","",AI271/75)</f>
        <v/>
      </c>
      <c r="AK271" s="10">
        <f>IF(AI271="","",SUMPRODUCT(T271:AH271,KPI_Weights!$B$3:$B$17)/5)</f>
        <v/>
      </c>
      <c r="AL271" s="7">
        <f>IF(COUNT(T271:AH271)=0,"",IF(OR(T271&lt;=1,W271&lt;=1,X271&lt;=1,Y271&lt;=1,AB271&lt;=1),"YES","NO"))</f>
        <v/>
      </c>
      <c r="AM271" s="7">
        <f>IF(AK271="","",IF(AND(AK271="NO",AJ271&gt;=0.85),"YES","NO"))</f>
        <v/>
      </c>
      <c r="AN271" s="7">
        <f>IF(AJ271="","",IF(AJ271&gt;=0.90,"Excellent",IF(AJ271&gt;=0.80,"Good",IF(AJ271&gt;=0.70,"Fair","Poor"))))</f>
        <v/>
      </c>
      <c r="AO271" s="12" t="n"/>
      <c r="AP271" s="12" t="n"/>
      <c r="AQ271" s="12" t="n"/>
      <c r="AR271" s="12" t="n"/>
      <c r="AS271" s="12" t="n"/>
      <c r="AT271" s="12" t="n"/>
      <c r="AU271" s="12" t="n"/>
      <c r="AV271" s="11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</row>
    <row r="272">
      <c r="A272" s="7">
        <f>IF(B272="","","INS-"&amp;TEXT(ROW()-3,"000"))</f>
        <v/>
      </c>
      <c r="B272" s="11" t="n"/>
      <c r="C272" s="7">
        <f>IF(B272="","",ISOWEEKNUM(B272))</f>
        <v/>
      </c>
      <c r="D272" s="7">
        <f>IF(B272="","",TEXT(B272,"yyyy-mm"))</f>
        <v/>
      </c>
      <c r="E272" s="12" t="n"/>
      <c r="F272" s="12" t="n"/>
      <c r="G272" s="7">
        <f>IF(OR(E272="",F272=""),"",IF(COUNTIF(Cluster_Master!$I$3:$I$17,E272&amp;"|"&amp;F272)=1,"Valid","Review"))</f>
        <v/>
      </c>
      <c r="H272" s="7">
        <f>IF($G272&lt;&gt;"Valid","",VLOOKUP($E272&amp;"|"&amp;$F272,Cluster_Master!$I$3:$H$17,3,FALSE))</f>
        <v/>
      </c>
      <c r="I272" s="7">
        <f>IF($G272&lt;&gt;"Valid","",VLOOKUP($E272&amp;"|"&amp;$F272,Cluster_Master!$I$3:$H$17,4,FALSE))</f>
        <v/>
      </c>
      <c r="J272" s="7">
        <f>IF($G272&lt;&gt;"Valid","",VLOOKUP($E272&amp;"|"&amp;$F272,Cluster_Master!$I$3:$H$17,5,FALSE))</f>
        <v/>
      </c>
      <c r="K272" s="7">
        <f>IF($G272&lt;&gt;"Valid","",VLOOKUP($E272&amp;"|"&amp;$F272,Cluster_Master!$I$3:$H$17,6,FALSE))</f>
        <v/>
      </c>
      <c r="L272" s="7">
        <f>IF($G272&lt;&gt;"Valid","",VLOOKUP($E272&amp;"|"&amp;$F272,Cluster_Master!$I$3:$H$17,7,FALSE))</f>
        <v/>
      </c>
      <c r="M272" s="7">
        <f>IF($G272&lt;&gt;"Valid","",VLOOKUP($E272&amp;"|"&amp;$F272,Cluster_Master!$I$3:$H$17,8,FALSE))</f>
        <v/>
      </c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7">
        <f>IF(COUNT(T272:AH272)=0,"",SUM(T272:AH272))</f>
        <v/>
      </c>
      <c r="AJ272" s="10">
        <f>IF(AI272="","",AI272/75)</f>
        <v/>
      </c>
      <c r="AK272" s="10">
        <f>IF(AI272="","",SUMPRODUCT(T272:AH272,KPI_Weights!$B$3:$B$17)/5)</f>
        <v/>
      </c>
      <c r="AL272" s="7">
        <f>IF(COUNT(T272:AH272)=0,"",IF(OR(T272&lt;=1,W272&lt;=1,X272&lt;=1,Y272&lt;=1,AB272&lt;=1),"YES","NO"))</f>
        <v/>
      </c>
      <c r="AM272" s="7">
        <f>IF(AK272="","",IF(AND(AK272="NO",AJ272&gt;=0.85),"YES","NO"))</f>
        <v/>
      </c>
      <c r="AN272" s="7">
        <f>IF(AJ272="","",IF(AJ272&gt;=0.90,"Excellent",IF(AJ272&gt;=0.80,"Good",IF(AJ272&gt;=0.70,"Fair","Poor"))))</f>
        <v/>
      </c>
      <c r="AO272" s="12" t="n"/>
      <c r="AP272" s="12" t="n"/>
      <c r="AQ272" s="12" t="n"/>
      <c r="AR272" s="12" t="n"/>
      <c r="AS272" s="12" t="n"/>
      <c r="AT272" s="12" t="n"/>
      <c r="AU272" s="12" t="n"/>
      <c r="AV272" s="11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</row>
    <row r="273">
      <c r="A273" s="7">
        <f>IF(B273="","","INS-"&amp;TEXT(ROW()-3,"000"))</f>
        <v/>
      </c>
      <c r="B273" s="11" t="n"/>
      <c r="C273" s="7">
        <f>IF(B273="","",ISOWEEKNUM(B273))</f>
        <v/>
      </c>
      <c r="D273" s="7">
        <f>IF(B273="","",TEXT(B273,"yyyy-mm"))</f>
        <v/>
      </c>
      <c r="E273" s="12" t="n"/>
      <c r="F273" s="12" t="n"/>
      <c r="G273" s="7">
        <f>IF(OR(E273="",F273=""),"",IF(COUNTIF(Cluster_Master!$I$3:$I$17,E273&amp;"|"&amp;F273)=1,"Valid","Review"))</f>
        <v/>
      </c>
      <c r="H273" s="7">
        <f>IF($G273&lt;&gt;"Valid","",VLOOKUP($E273&amp;"|"&amp;$F273,Cluster_Master!$I$3:$H$17,3,FALSE))</f>
        <v/>
      </c>
      <c r="I273" s="7">
        <f>IF($G273&lt;&gt;"Valid","",VLOOKUP($E273&amp;"|"&amp;$F273,Cluster_Master!$I$3:$H$17,4,FALSE))</f>
        <v/>
      </c>
      <c r="J273" s="7">
        <f>IF($G273&lt;&gt;"Valid","",VLOOKUP($E273&amp;"|"&amp;$F273,Cluster_Master!$I$3:$H$17,5,FALSE))</f>
        <v/>
      </c>
      <c r="K273" s="7">
        <f>IF($G273&lt;&gt;"Valid","",VLOOKUP($E273&amp;"|"&amp;$F273,Cluster_Master!$I$3:$H$17,6,FALSE))</f>
        <v/>
      </c>
      <c r="L273" s="7">
        <f>IF($G273&lt;&gt;"Valid","",VLOOKUP($E273&amp;"|"&amp;$F273,Cluster_Master!$I$3:$H$17,7,FALSE))</f>
        <v/>
      </c>
      <c r="M273" s="7">
        <f>IF($G273&lt;&gt;"Valid","",VLOOKUP($E273&amp;"|"&amp;$F273,Cluster_Master!$I$3:$H$17,8,FALSE))</f>
        <v/>
      </c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7">
        <f>IF(COUNT(T273:AH273)=0,"",SUM(T273:AH273))</f>
        <v/>
      </c>
      <c r="AJ273" s="10">
        <f>IF(AI273="","",AI273/75)</f>
        <v/>
      </c>
      <c r="AK273" s="10">
        <f>IF(AI273="","",SUMPRODUCT(T273:AH273,KPI_Weights!$B$3:$B$17)/5)</f>
        <v/>
      </c>
      <c r="AL273" s="7">
        <f>IF(COUNT(T273:AH273)=0,"",IF(OR(T273&lt;=1,W273&lt;=1,X273&lt;=1,Y273&lt;=1,AB273&lt;=1),"YES","NO"))</f>
        <v/>
      </c>
      <c r="AM273" s="7">
        <f>IF(AK273="","",IF(AND(AK273="NO",AJ273&gt;=0.85),"YES","NO"))</f>
        <v/>
      </c>
      <c r="AN273" s="7">
        <f>IF(AJ273="","",IF(AJ273&gt;=0.90,"Excellent",IF(AJ273&gt;=0.80,"Good",IF(AJ273&gt;=0.70,"Fair","Poor"))))</f>
        <v/>
      </c>
      <c r="AO273" s="12" t="n"/>
      <c r="AP273" s="12" t="n"/>
      <c r="AQ273" s="12" t="n"/>
      <c r="AR273" s="12" t="n"/>
      <c r="AS273" s="12" t="n"/>
      <c r="AT273" s="12" t="n"/>
      <c r="AU273" s="12" t="n"/>
      <c r="AV273" s="11" t="n"/>
      <c r="AW273" s="12" t="n"/>
      <c r="AX273" s="12" t="n"/>
      <c r="AY273" s="12" t="n"/>
      <c r="AZ273" s="12" t="n"/>
      <c r="BA273" s="12" t="n"/>
      <c r="BB273" s="12" t="n"/>
      <c r="BC273" s="12" t="n"/>
      <c r="BD273" s="12" t="n"/>
      <c r="BE273" s="12" t="n"/>
      <c r="BF273" s="12" t="n"/>
    </row>
    <row r="274">
      <c r="A274" s="7">
        <f>IF(B274="","","INS-"&amp;TEXT(ROW()-3,"000"))</f>
        <v/>
      </c>
      <c r="B274" s="11" t="n"/>
      <c r="C274" s="7">
        <f>IF(B274="","",ISOWEEKNUM(B274))</f>
        <v/>
      </c>
      <c r="D274" s="7">
        <f>IF(B274="","",TEXT(B274,"yyyy-mm"))</f>
        <v/>
      </c>
      <c r="E274" s="12" t="n"/>
      <c r="F274" s="12" t="n"/>
      <c r="G274" s="7">
        <f>IF(OR(E274="",F274=""),"",IF(COUNTIF(Cluster_Master!$I$3:$I$17,E274&amp;"|"&amp;F274)=1,"Valid","Review"))</f>
        <v/>
      </c>
      <c r="H274" s="7">
        <f>IF($G274&lt;&gt;"Valid","",VLOOKUP($E274&amp;"|"&amp;$F274,Cluster_Master!$I$3:$H$17,3,FALSE))</f>
        <v/>
      </c>
      <c r="I274" s="7">
        <f>IF($G274&lt;&gt;"Valid","",VLOOKUP($E274&amp;"|"&amp;$F274,Cluster_Master!$I$3:$H$17,4,FALSE))</f>
        <v/>
      </c>
      <c r="J274" s="7">
        <f>IF($G274&lt;&gt;"Valid","",VLOOKUP($E274&amp;"|"&amp;$F274,Cluster_Master!$I$3:$H$17,5,FALSE))</f>
        <v/>
      </c>
      <c r="K274" s="7">
        <f>IF($G274&lt;&gt;"Valid","",VLOOKUP($E274&amp;"|"&amp;$F274,Cluster_Master!$I$3:$H$17,6,FALSE))</f>
        <v/>
      </c>
      <c r="L274" s="7">
        <f>IF($G274&lt;&gt;"Valid","",VLOOKUP($E274&amp;"|"&amp;$F274,Cluster_Master!$I$3:$H$17,7,FALSE))</f>
        <v/>
      </c>
      <c r="M274" s="7">
        <f>IF($G274&lt;&gt;"Valid","",VLOOKUP($E274&amp;"|"&amp;$F274,Cluster_Master!$I$3:$H$17,8,FALSE))</f>
        <v/>
      </c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7">
        <f>IF(COUNT(T274:AH274)=0,"",SUM(T274:AH274))</f>
        <v/>
      </c>
      <c r="AJ274" s="10">
        <f>IF(AI274="","",AI274/75)</f>
        <v/>
      </c>
      <c r="AK274" s="10">
        <f>IF(AI274="","",SUMPRODUCT(T274:AH274,KPI_Weights!$B$3:$B$17)/5)</f>
        <v/>
      </c>
      <c r="AL274" s="7">
        <f>IF(COUNT(T274:AH274)=0,"",IF(OR(T274&lt;=1,W274&lt;=1,X274&lt;=1,Y274&lt;=1,AB274&lt;=1),"YES","NO"))</f>
        <v/>
      </c>
      <c r="AM274" s="7">
        <f>IF(AK274="","",IF(AND(AK274="NO",AJ274&gt;=0.85),"YES","NO"))</f>
        <v/>
      </c>
      <c r="AN274" s="7">
        <f>IF(AJ274="","",IF(AJ274&gt;=0.90,"Excellent",IF(AJ274&gt;=0.80,"Good",IF(AJ274&gt;=0.70,"Fair","Poor"))))</f>
        <v/>
      </c>
      <c r="AO274" s="12" t="n"/>
      <c r="AP274" s="12" t="n"/>
      <c r="AQ274" s="12" t="n"/>
      <c r="AR274" s="12" t="n"/>
      <c r="AS274" s="12" t="n"/>
      <c r="AT274" s="12" t="n"/>
      <c r="AU274" s="12" t="n"/>
      <c r="AV274" s="11" t="n"/>
      <c r="AW274" s="12" t="n"/>
      <c r="AX274" s="12" t="n"/>
      <c r="AY274" s="12" t="n"/>
      <c r="AZ274" s="12" t="n"/>
      <c r="BA274" s="12" t="n"/>
      <c r="BB274" s="12" t="n"/>
      <c r="BC274" s="12" t="n"/>
      <c r="BD274" s="12" t="n"/>
      <c r="BE274" s="12" t="n"/>
      <c r="BF274" s="12" t="n"/>
    </row>
    <row r="275">
      <c r="A275" s="7">
        <f>IF(B275="","","INS-"&amp;TEXT(ROW()-3,"000"))</f>
        <v/>
      </c>
      <c r="B275" s="11" t="n"/>
      <c r="C275" s="7">
        <f>IF(B275="","",ISOWEEKNUM(B275))</f>
        <v/>
      </c>
      <c r="D275" s="7">
        <f>IF(B275="","",TEXT(B275,"yyyy-mm"))</f>
        <v/>
      </c>
      <c r="E275" s="12" t="n"/>
      <c r="F275" s="12" t="n"/>
      <c r="G275" s="7">
        <f>IF(OR(E275="",F275=""),"",IF(COUNTIF(Cluster_Master!$I$3:$I$17,E275&amp;"|"&amp;F275)=1,"Valid","Review"))</f>
        <v/>
      </c>
      <c r="H275" s="7">
        <f>IF($G275&lt;&gt;"Valid","",VLOOKUP($E275&amp;"|"&amp;$F275,Cluster_Master!$I$3:$H$17,3,FALSE))</f>
        <v/>
      </c>
      <c r="I275" s="7">
        <f>IF($G275&lt;&gt;"Valid","",VLOOKUP($E275&amp;"|"&amp;$F275,Cluster_Master!$I$3:$H$17,4,FALSE))</f>
        <v/>
      </c>
      <c r="J275" s="7">
        <f>IF($G275&lt;&gt;"Valid","",VLOOKUP($E275&amp;"|"&amp;$F275,Cluster_Master!$I$3:$H$17,5,FALSE))</f>
        <v/>
      </c>
      <c r="K275" s="7">
        <f>IF($G275&lt;&gt;"Valid","",VLOOKUP($E275&amp;"|"&amp;$F275,Cluster_Master!$I$3:$H$17,6,FALSE))</f>
        <v/>
      </c>
      <c r="L275" s="7">
        <f>IF($G275&lt;&gt;"Valid","",VLOOKUP($E275&amp;"|"&amp;$F275,Cluster_Master!$I$3:$H$17,7,FALSE))</f>
        <v/>
      </c>
      <c r="M275" s="7">
        <f>IF($G275&lt;&gt;"Valid","",VLOOKUP($E275&amp;"|"&amp;$F275,Cluster_Master!$I$3:$H$17,8,FALSE))</f>
        <v/>
      </c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7">
        <f>IF(COUNT(T275:AH275)=0,"",SUM(T275:AH275))</f>
        <v/>
      </c>
      <c r="AJ275" s="10">
        <f>IF(AI275="","",AI275/75)</f>
        <v/>
      </c>
      <c r="AK275" s="10">
        <f>IF(AI275="","",SUMPRODUCT(T275:AH275,KPI_Weights!$B$3:$B$17)/5)</f>
        <v/>
      </c>
      <c r="AL275" s="7">
        <f>IF(COUNT(T275:AH275)=0,"",IF(OR(T275&lt;=1,W275&lt;=1,X275&lt;=1,Y275&lt;=1,AB275&lt;=1),"YES","NO"))</f>
        <v/>
      </c>
      <c r="AM275" s="7">
        <f>IF(AK275="","",IF(AND(AK275="NO",AJ275&gt;=0.85),"YES","NO"))</f>
        <v/>
      </c>
      <c r="AN275" s="7">
        <f>IF(AJ275="","",IF(AJ275&gt;=0.90,"Excellent",IF(AJ275&gt;=0.80,"Good",IF(AJ275&gt;=0.70,"Fair","Poor"))))</f>
        <v/>
      </c>
      <c r="AO275" s="12" t="n"/>
      <c r="AP275" s="12" t="n"/>
      <c r="AQ275" s="12" t="n"/>
      <c r="AR275" s="12" t="n"/>
      <c r="AS275" s="12" t="n"/>
      <c r="AT275" s="12" t="n"/>
      <c r="AU275" s="12" t="n"/>
      <c r="AV275" s="11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</row>
    <row r="276">
      <c r="A276" s="7">
        <f>IF(B276="","","INS-"&amp;TEXT(ROW()-3,"000"))</f>
        <v/>
      </c>
      <c r="B276" s="11" t="n"/>
      <c r="C276" s="7">
        <f>IF(B276="","",ISOWEEKNUM(B276))</f>
        <v/>
      </c>
      <c r="D276" s="7">
        <f>IF(B276="","",TEXT(B276,"yyyy-mm"))</f>
        <v/>
      </c>
      <c r="E276" s="12" t="n"/>
      <c r="F276" s="12" t="n"/>
      <c r="G276" s="7">
        <f>IF(OR(E276="",F276=""),"",IF(COUNTIF(Cluster_Master!$I$3:$I$17,E276&amp;"|"&amp;F276)=1,"Valid","Review"))</f>
        <v/>
      </c>
      <c r="H276" s="7">
        <f>IF($G276&lt;&gt;"Valid","",VLOOKUP($E276&amp;"|"&amp;$F276,Cluster_Master!$I$3:$H$17,3,FALSE))</f>
        <v/>
      </c>
      <c r="I276" s="7">
        <f>IF($G276&lt;&gt;"Valid","",VLOOKUP($E276&amp;"|"&amp;$F276,Cluster_Master!$I$3:$H$17,4,FALSE))</f>
        <v/>
      </c>
      <c r="J276" s="7">
        <f>IF($G276&lt;&gt;"Valid","",VLOOKUP($E276&amp;"|"&amp;$F276,Cluster_Master!$I$3:$H$17,5,FALSE))</f>
        <v/>
      </c>
      <c r="K276" s="7">
        <f>IF($G276&lt;&gt;"Valid","",VLOOKUP($E276&amp;"|"&amp;$F276,Cluster_Master!$I$3:$H$17,6,FALSE))</f>
        <v/>
      </c>
      <c r="L276" s="7">
        <f>IF($G276&lt;&gt;"Valid","",VLOOKUP($E276&amp;"|"&amp;$F276,Cluster_Master!$I$3:$H$17,7,FALSE))</f>
        <v/>
      </c>
      <c r="M276" s="7">
        <f>IF($G276&lt;&gt;"Valid","",VLOOKUP($E276&amp;"|"&amp;$F276,Cluster_Master!$I$3:$H$17,8,FALSE))</f>
        <v/>
      </c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7">
        <f>IF(COUNT(T276:AH276)=0,"",SUM(T276:AH276))</f>
        <v/>
      </c>
      <c r="AJ276" s="10">
        <f>IF(AI276="","",AI276/75)</f>
        <v/>
      </c>
      <c r="AK276" s="10">
        <f>IF(AI276="","",SUMPRODUCT(T276:AH276,KPI_Weights!$B$3:$B$17)/5)</f>
        <v/>
      </c>
      <c r="AL276" s="7">
        <f>IF(COUNT(T276:AH276)=0,"",IF(OR(T276&lt;=1,W276&lt;=1,X276&lt;=1,Y276&lt;=1,AB276&lt;=1),"YES","NO"))</f>
        <v/>
      </c>
      <c r="AM276" s="7">
        <f>IF(AK276="","",IF(AND(AK276="NO",AJ276&gt;=0.85),"YES","NO"))</f>
        <v/>
      </c>
      <c r="AN276" s="7">
        <f>IF(AJ276="","",IF(AJ276&gt;=0.90,"Excellent",IF(AJ276&gt;=0.80,"Good",IF(AJ276&gt;=0.70,"Fair","Poor"))))</f>
        <v/>
      </c>
      <c r="AO276" s="12" t="n"/>
      <c r="AP276" s="12" t="n"/>
      <c r="AQ276" s="12" t="n"/>
      <c r="AR276" s="12" t="n"/>
      <c r="AS276" s="12" t="n"/>
      <c r="AT276" s="12" t="n"/>
      <c r="AU276" s="12" t="n"/>
      <c r="AV276" s="11" t="n"/>
      <c r="AW276" s="12" t="n"/>
      <c r="AX276" s="12" t="n"/>
      <c r="AY276" s="12" t="n"/>
      <c r="AZ276" s="12" t="n"/>
      <c r="BA276" s="12" t="n"/>
      <c r="BB276" s="12" t="n"/>
      <c r="BC276" s="12" t="n"/>
      <c r="BD276" s="12" t="n"/>
      <c r="BE276" s="12" t="n"/>
      <c r="BF276" s="12" t="n"/>
    </row>
    <row r="277">
      <c r="A277" s="7">
        <f>IF(B277="","","INS-"&amp;TEXT(ROW()-3,"000"))</f>
        <v/>
      </c>
      <c r="B277" s="11" t="n"/>
      <c r="C277" s="7">
        <f>IF(B277="","",ISOWEEKNUM(B277))</f>
        <v/>
      </c>
      <c r="D277" s="7">
        <f>IF(B277="","",TEXT(B277,"yyyy-mm"))</f>
        <v/>
      </c>
      <c r="E277" s="12" t="n"/>
      <c r="F277" s="12" t="n"/>
      <c r="G277" s="7">
        <f>IF(OR(E277="",F277=""),"",IF(COUNTIF(Cluster_Master!$I$3:$I$17,E277&amp;"|"&amp;F277)=1,"Valid","Review"))</f>
        <v/>
      </c>
      <c r="H277" s="7">
        <f>IF($G277&lt;&gt;"Valid","",VLOOKUP($E277&amp;"|"&amp;$F277,Cluster_Master!$I$3:$H$17,3,FALSE))</f>
        <v/>
      </c>
      <c r="I277" s="7">
        <f>IF($G277&lt;&gt;"Valid","",VLOOKUP($E277&amp;"|"&amp;$F277,Cluster_Master!$I$3:$H$17,4,FALSE))</f>
        <v/>
      </c>
      <c r="J277" s="7">
        <f>IF($G277&lt;&gt;"Valid","",VLOOKUP($E277&amp;"|"&amp;$F277,Cluster_Master!$I$3:$H$17,5,FALSE))</f>
        <v/>
      </c>
      <c r="K277" s="7">
        <f>IF($G277&lt;&gt;"Valid","",VLOOKUP($E277&amp;"|"&amp;$F277,Cluster_Master!$I$3:$H$17,6,FALSE))</f>
        <v/>
      </c>
      <c r="L277" s="7">
        <f>IF($G277&lt;&gt;"Valid","",VLOOKUP($E277&amp;"|"&amp;$F277,Cluster_Master!$I$3:$H$17,7,FALSE))</f>
        <v/>
      </c>
      <c r="M277" s="7">
        <f>IF($G277&lt;&gt;"Valid","",VLOOKUP($E277&amp;"|"&amp;$F277,Cluster_Master!$I$3:$H$17,8,FALSE))</f>
        <v/>
      </c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7">
        <f>IF(COUNT(T277:AH277)=0,"",SUM(T277:AH277))</f>
        <v/>
      </c>
      <c r="AJ277" s="10">
        <f>IF(AI277="","",AI277/75)</f>
        <v/>
      </c>
      <c r="AK277" s="10">
        <f>IF(AI277="","",SUMPRODUCT(T277:AH277,KPI_Weights!$B$3:$B$17)/5)</f>
        <v/>
      </c>
      <c r="AL277" s="7">
        <f>IF(COUNT(T277:AH277)=0,"",IF(OR(T277&lt;=1,W277&lt;=1,X277&lt;=1,Y277&lt;=1,AB277&lt;=1),"YES","NO"))</f>
        <v/>
      </c>
      <c r="AM277" s="7">
        <f>IF(AK277="","",IF(AND(AK277="NO",AJ277&gt;=0.85),"YES","NO"))</f>
        <v/>
      </c>
      <c r="AN277" s="7">
        <f>IF(AJ277="","",IF(AJ277&gt;=0.90,"Excellent",IF(AJ277&gt;=0.80,"Good",IF(AJ277&gt;=0.70,"Fair","Poor"))))</f>
        <v/>
      </c>
      <c r="AO277" s="12" t="n"/>
      <c r="AP277" s="12" t="n"/>
      <c r="AQ277" s="12" t="n"/>
      <c r="AR277" s="12" t="n"/>
      <c r="AS277" s="12" t="n"/>
      <c r="AT277" s="12" t="n"/>
      <c r="AU277" s="12" t="n"/>
      <c r="AV277" s="11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</row>
    <row r="278">
      <c r="A278" s="7">
        <f>IF(B278="","","INS-"&amp;TEXT(ROW()-3,"000"))</f>
        <v/>
      </c>
      <c r="B278" s="11" t="n"/>
      <c r="C278" s="7">
        <f>IF(B278="","",ISOWEEKNUM(B278))</f>
        <v/>
      </c>
      <c r="D278" s="7">
        <f>IF(B278="","",TEXT(B278,"yyyy-mm"))</f>
        <v/>
      </c>
      <c r="E278" s="12" t="n"/>
      <c r="F278" s="12" t="n"/>
      <c r="G278" s="7">
        <f>IF(OR(E278="",F278=""),"",IF(COUNTIF(Cluster_Master!$I$3:$I$17,E278&amp;"|"&amp;F278)=1,"Valid","Review"))</f>
        <v/>
      </c>
      <c r="H278" s="7">
        <f>IF($G278&lt;&gt;"Valid","",VLOOKUP($E278&amp;"|"&amp;$F278,Cluster_Master!$I$3:$H$17,3,FALSE))</f>
        <v/>
      </c>
      <c r="I278" s="7">
        <f>IF($G278&lt;&gt;"Valid","",VLOOKUP($E278&amp;"|"&amp;$F278,Cluster_Master!$I$3:$H$17,4,FALSE))</f>
        <v/>
      </c>
      <c r="J278" s="7">
        <f>IF($G278&lt;&gt;"Valid","",VLOOKUP($E278&amp;"|"&amp;$F278,Cluster_Master!$I$3:$H$17,5,FALSE))</f>
        <v/>
      </c>
      <c r="K278" s="7">
        <f>IF($G278&lt;&gt;"Valid","",VLOOKUP($E278&amp;"|"&amp;$F278,Cluster_Master!$I$3:$H$17,6,FALSE))</f>
        <v/>
      </c>
      <c r="L278" s="7">
        <f>IF($G278&lt;&gt;"Valid","",VLOOKUP($E278&amp;"|"&amp;$F278,Cluster_Master!$I$3:$H$17,7,FALSE))</f>
        <v/>
      </c>
      <c r="M278" s="7">
        <f>IF($G278&lt;&gt;"Valid","",VLOOKUP($E278&amp;"|"&amp;$F278,Cluster_Master!$I$3:$H$17,8,FALSE))</f>
        <v/>
      </c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7">
        <f>IF(COUNT(T278:AH278)=0,"",SUM(T278:AH278))</f>
        <v/>
      </c>
      <c r="AJ278" s="10">
        <f>IF(AI278="","",AI278/75)</f>
        <v/>
      </c>
      <c r="AK278" s="10">
        <f>IF(AI278="","",SUMPRODUCT(T278:AH278,KPI_Weights!$B$3:$B$17)/5)</f>
        <v/>
      </c>
      <c r="AL278" s="7">
        <f>IF(COUNT(T278:AH278)=0,"",IF(OR(T278&lt;=1,W278&lt;=1,X278&lt;=1,Y278&lt;=1,AB278&lt;=1),"YES","NO"))</f>
        <v/>
      </c>
      <c r="AM278" s="7">
        <f>IF(AK278="","",IF(AND(AK278="NO",AJ278&gt;=0.85),"YES","NO"))</f>
        <v/>
      </c>
      <c r="AN278" s="7">
        <f>IF(AJ278="","",IF(AJ278&gt;=0.90,"Excellent",IF(AJ278&gt;=0.80,"Good",IF(AJ278&gt;=0.70,"Fair","Poor"))))</f>
        <v/>
      </c>
      <c r="AO278" s="12" t="n"/>
      <c r="AP278" s="12" t="n"/>
      <c r="AQ278" s="12" t="n"/>
      <c r="AR278" s="12" t="n"/>
      <c r="AS278" s="12" t="n"/>
      <c r="AT278" s="12" t="n"/>
      <c r="AU278" s="12" t="n"/>
      <c r="AV278" s="11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</row>
    <row r="279">
      <c r="A279" s="7">
        <f>IF(B279="","","INS-"&amp;TEXT(ROW()-3,"000"))</f>
        <v/>
      </c>
      <c r="B279" s="11" t="n"/>
      <c r="C279" s="7">
        <f>IF(B279="","",ISOWEEKNUM(B279))</f>
        <v/>
      </c>
      <c r="D279" s="7">
        <f>IF(B279="","",TEXT(B279,"yyyy-mm"))</f>
        <v/>
      </c>
      <c r="E279" s="12" t="n"/>
      <c r="F279" s="12" t="n"/>
      <c r="G279" s="7">
        <f>IF(OR(E279="",F279=""),"",IF(COUNTIF(Cluster_Master!$I$3:$I$17,E279&amp;"|"&amp;F279)=1,"Valid","Review"))</f>
        <v/>
      </c>
      <c r="H279" s="7">
        <f>IF($G279&lt;&gt;"Valid","",VLOOKUP($E279&amp;"|"&amp;$F279,Cluster_Master!$I$3:$H$17,3,FALSE))</f>
        <v/>
      </c>
      <c r="I279" s="7">
        <f>IF($G279&lt;&gt;"Valid","",VLOOKUP($E279&amp;"|"&amp;$F279,Cluster_Master!$I$3:$H$17,4,FALSE))</f>
        <v/>
      </c>
      <c r="J279" s="7">
        <f>IF($G279&lt;&gt;"Valid","",VLOOKUP($E279&amp;"|"&amp;$F279,Cluster_Master!$I$3:$H$17,5,FALSE))</f>
        <v/>
      </c>
      <c r="K279" s="7">
        <f>IF($G279&lt;&gt;"Valid","",VLOOKUP($E279&amp;"|"&amp;$F279,Cluster_Master!$I$3:$H$17,6,FALSE))</f>
        <v/>
      </c>
      <c r="L279" s="7">
        <f>IF($G279&lt;&gt;"Valid","",VLOOKUP($E279&amp;"|"&amp;$F279,Cluster_Master!$I$3:$H$17,7,FALSE))</f>
        <v/>
      </c>
      <c r="M279" s="7">
        <f>IF($G279&lt;&gt;"Valid","",VLOOKUP($E279&amp;"|"&amp;$F279,Cluster_Master!$I$3:$H$17,8,FALSE))</f>
        <v/>
      </c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7">
        <f>IF(COUNT(T279:AH279)=0,"",SUM(T279:AH279))</f>
        <v/>
      </c>
      <c r="AJ279" s="10">
        <f>IF(AI279="","",AI279/75)</f>
        <v/>
      </c>
      <c r="AK279" s="10">
        <f>IF(AI279="","",SUMPRODUCT(T279:AH279,KPI_Weights!$B$3:$B$17)/5)</f>
        <v/>
      </c>
      <c r="AL279" s="7">
        <f>IF(COUNT(T279:AH279)=0,"",IF(OR(T279&lt;=1,W279&lt;=1,X279&lt;=1,Y279&lt;=1,AB279&lt;=1),"YES","NO"))</f>
        <v/>
      </c>
      <c r="AM279" s="7">
        <f>IF(AK279="","",IF(AND(AK279="NO",AJ279&gt;=0.85),"YES","NO"))</f>
        <v/>
      </c>
      <c r="AN279" s="7">
        <f>IF(AJ279="","",IF(AJ279&gt;=0.90,"Excellent",IF(AJ279&gt;=0.80,"Good",IF(AJ279&gt;=0.70,"Fair","Poor"))))</f>
        <v/>
      </c>
      <c r="AO279" s="12" t="n"/>
      <c r="AP279" s="12" t="n"/>
      <c r="AQ279" s="12" t="n"/>
      <c r="AR279" s="12" t="n"/>
      <c r="AS279" s="12" t="n"/>
      <c r="AT279" s="12" t="n"/>
      <c r="AU279" s="12" t="n"/>
      <c r="AV279" s="11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</row>
    <row r="280">
      <c r="A280" s="7">
        <f>IF(B280="","","INS-"&amp;TEXT(ROW()-3,"000"))</f>
        <v/>
      </c>
      <c r="B280" s="11" t="n"/>
      <c r="C280" s="7">
        <f>IF(B280="","",ISOWEEKNUM(B280))</f>
        <v/>
      </c>
      <c r="D280" s="7">
        <f>IF(B280="","",TEXT(B280,"yyyy-mm"))</f>
        <v/>
      </c>
      <c r="E280" s="12" t="n"/>
      <c r="F280" s="12" t="n"/>
      <c r="G280" s="7">
        <f>IF(OR(E280="",F280=""),"",IF(COUNTIF(Cluster_Master!$I$3:$I$17,E280&amp;"|"&amp;F280)=1,"Valid","Review"))</f>
        <v/>
      </c>
      <c r="H280" s="7">
        <f>IF($G280&lt;&gt;"Valid","",VLOOKUP($E280&amp;"|"&amp;$F280,Cluster_Master!$I$3:$H$17,3,FALSE))</f>
        <v/>
      </c>
      <c r="I280" s="7">
        <f>IF($G280&lt;&gt;"Valid","",VLOOKUP($E280&amp;"|"&amp;$F280,Cluster_Master!$I$3:$H$17,4,FALSE))</f>
        <v/>
      </c>
      <c r="J280" s="7">
        <f>IF($G280&lt;&gt;"Valid","",VLOOKUP($E280&amp;"|"&amp;$F280,Cluster_Master!$I$3:$H$17,5,FALSE))</f>
        <v/>
      </c>
      <c r="K280" s="7">
        <f>IF($G280&lt;&gt;"Valid","",VLOOKUP($E280&amp;"|"&amp;$F280,Cluster_Master!$I$3:$H$17,6,FALSE))</f>
        <v/>
      </c>
      <c r="L280" s="7">
        <f>IF($G280&lt;&gt;"Valid","",VLOOKUP($E280&amp;"|"&amp;$F280,Cluster_Master!$I$3:$H$17,7,FALSE))</f>
        <v/>
      </c>
      <c r="M280" s="7">
        <f>IF($G280&lt;&gt;"Valid","",VLOOKUP($E280&amp;"|"&amp;$F280,Cluster_Master!$I$3:$H$17,8,FALSE))</f>
        <v/>
      </c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7">
        <f>IF(COUNT(T280:AH280)=0,"",SUM(T280:AH280))</f>
        <v/>
      </c>
      <c r="AJ280" s="10">
        <f>IF(AI280="","",AI280/75)</f>
        <v/>
      </c>
      <c r="AK280" s="10">
        <f>IF(AI280="","",SUMPRODUCT(T280:AH280,KPI_Weights!$B$3:$B$17)/5)</f>
        <v/>
      </c>
      <c r="AL280" s="7">
        <f>IF(COUNT(T280:AH280)=0,"",IF(OR(T280&lt;=1,W280&lt;=1,X280&lt;=1,Y280&lt;=1,AB280&lt;=1),"YES","NO"))</f>
        <v/>
      </c>
      <c r="AM280" s="7">
        <f>IF(AK280="","",IF(AND(AK280="NO",AJ280&gt;=0.85),"YES","NO"))</f>
        <v/>
      </c>
      <c r="AN280" s="7">
        <f>IF(AJ280="","",IF(AJ280&gt;=0.90,"Excellent",IF(AJ280&gt;=0.80,"Good",IF(AJ280&gt;=0.70,"Fair","Poor"))))</f>
        <v/>
      </c>
      <c r="AO280" s="12" t="n"/>
      <c r="AP280" s="12" t="n"/>
      <c r="AQ280" s="12" t="n"/>
      <c r="AR280" s="12" t="n"/>
      <c r="AS280" s="12" t="n"/>
      <c r="AT280" s="12" t="n"/>
      <c r="AU280" s="12" t="n"/>
      <c r="AV280" s="11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</row>
    <row r="281">
      <c r="A281" s="7">
        <f>IF(B281="","","INS-"&amp;TEXT(ROW()-3,"000"))</f>
        <v/>
      </c>
      <c r="B281" s="11" t="n"/>
      <c r="C281" s="7">
        <f>IF(B281="","",ISOWEEKNUM(B281))</f>
        <v/>
      </c>
      <c r="D281" s="7">
        <f>IF(B281="","",TEXT(B281,"yyyy-mm"))</f>
        <v/>
      </c>
      <c r="E281" s="12" t="n"/>
      <c r="F281" s="12" t="n"/>
      <c r="G281" s="7">
        <f>IF(OR(E281="",F281=""),"",IF(COUNTIF(Cluster_Master!$I$3:$I$17,E281&amp;"|"&amp;F281)=1,"Valid","Review"))</f>
        <v/>
      </c>
      <c r="H281" s="7">
        <f>IF($G281&lt;&gt;"Valid","",VLOOKUP($E281&amp;"|"&amp;$F281,Cluster_Master!$I$3:$H$17,3,FALSE))</f>
        <v/>
      </c>
      <c r="I281" s="7">
        <f>IF($G281&lt;&gt;"Valid","",VLOOKUP($E281&amp;"|"&amp;$F281,Cluster_Master!$I$3:$H$17,4,FALSE))</f>
        <v/>
      </c>
      <c r="J281" s="7">
        <f>IF($G281&lt;&gt;"Valid","",VLOOKUP($E281&amp;"|"&amp;$F281,Cluster_Master!$I$3:$H$17,5,FALSE))</f>
        <v/>
      </c>
      <c r="K281" s="7">
        <f>IF($G281&lt;&gt;"Valid","",VLOOKUP($E281&amp;"|"&amp;$F281,Cluster_Master!$I$3:$H$17,6,FALSE))</f>
        <v/>
      </c>
      <c r="L281" s="7">
        <f>IF($G281&lt;&gt;"Valid","",VLOOKUP($E281&amp;"|"&amp;$F281,Cluster_Master!$I$3:$H$17,7,FALSE))</f>
        <v/>
      </c>
      <c r="M281" s="7">
        <f>IF($G281&lt;&gt;"Valid","",VLOOKUP($E281&amp;"|"&amp;$F281,Cluster_Master!$I$3:$H$17,8,FALSE))</f>
        <v/>
      </c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7">
        <f>IF(COUNT(T281:AH281)=0,"",SUM(T281:AH281))</f>
        <v/>
      </c>
      <c r="AJ281" s="10">
        <f>IF(AI281="","",AI281/75)</f>
        <v/>
      </c>
      <c r="AK281" s="10">
        <f>IF(AI281="","",SUMPRODUCT(T281:AH281,KPI_Weights!$B$3:$B$17)/5)</f>
        <v/>
      </c>
      <c r="AL281" s="7">
        <f>IF(COUNT(T281:AH281)=0,"",IF(OR(T281&lt;=1,W281&lt;=1,X281&lt;=1,Y281&lt;=1,AB281&lt;=1),"YES","NO"))</f>
        <v/>
      </c>
      <c r="AM281" s="7">
        <f>IF(AK281="","",IF(AND(AK281="NO",AJ281&gt;=0.85),"YES","NO"))</f>
        <v/>
      </c>
      <c r="AN281" s="7">
        <f>IF(AJ281="","",IF(AJ281&gt;=0.90,"Excellent",IF(AJ281&gt;=0.80,"Good",IF(AJ281&gt;=0.70,"Fair","Poor"))))</f>
        <v/>
      </c>
      <c r="AO281" s="12" t="n"/>
      <c r="AP281" s="12" t="n"/>
      <c r="AQ281" s="12" t="n"/>
      <c r="AR281" s="12" t="n"/>
      <c r="AS281" s="12" t="n"/>
      <c r="AT281" s="12" t="n"/>
      <c r="AU281" s="12" t="n"/>
      <c r="AV281" s="11" t="n"/>
      <c r="AW281" s="12" t="n"/>
      <c r="AX281" s="12" t="n"/>
      <c r="AY281" s="12" t="n"/>
      <c r="AZ281" s="12" t="n"/>
      <c r="BA281" s="12" t="n"/>
      <c r="BB281" s="12" t="n"/>
      <c r="BC281" s="12" t="n"/>
      <c r="BD281" s="12" t="n"/>
      <c r="BE281" s="12" t="n"/>
      <c r="BF281" s="12" t="n"/>
    </row>
    <row r="282">
      <c r="A282" s="7">
        <f>IF(B282="","","INS-"&amp;TEXT(ROW()-3,"000"))</f>
        <v/>
      </c>
      <c r="B282" s="11" t="n"/>
      <c r="C282" s="7">
        <f>IF(B282="","",ISOWEEKNUM(B282))</f>
        <v/>
      </c>
      <c r="D282" s="7">
        <f>IF(B282="","",TEXT(B282,"yyyy-mm"))</f>
        <v/>
      </c>
      <c r="E282" s="12" t="n"/>
      <c r="F282" s="12" t="n"/>
      <c r="G282" s="7">
        <f>IF(OR(E282="",F282=""),"",IF(COUNTIF(Cluster_Master!$I$3:$I$17,E282&amp;"|"&amp;F282)=1,"Valid","Review"))</f>
        <v/>
      </c>
      <c r="H282" s="7">
        <f>IF($G282&lt;&gt;"Valid","",VLOOKUP($E282&amp;"|"&amp;$F282,Cluster_Master!$I$3:$H$17,3,FALSE))</f>
        <v/>
      </c>
      <c r="I282" s="7">
        <f>IF($G282&lt;&gt;"Valid","",VLOOKUP($E282&amp;"|"&amp;$F282,Cluster_Master!$I$3:$H$17,4,FALSE))</f>
        <v/>
      </c>
      <c r="J282" s="7">
        <f>IF($G282&lt;&gt;"Valid","",VLOOKUP($E282&amp;"|"&amp;$F282,Cluster_Master!$I$3:$H$17,5,FALSE))</f>
        <v/>
      </c>
      <c r="K282" s="7">
        <f>IF($G282&lt;&gt;"Valid","",VLOOKUP($E282&amp;"|"&amp;$F282,Cluster_Master!$I$3:$H$17,6,FALSE))</f>
        <v/>
      </c>
      <c r="L282" s="7">
        <f>IF($G282&lt;&gt;"Valid","",VLOOKUP($E282&amp;"|"&amp;$F282,Cluster_Master!$I$3:$H$17,7,FALSE))</f>
        <v/>
      </c>
      <c r="M282" s="7">
        <f>IF($G282&lt;&gt;"Valid","",VLOOKUP($E282&amp;"|"&amp;$F282,Cluster_Master!$I$3:$H$17,8,FALSE))</f>
        <v/>
      </c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7">
        <f>IF(COUNT(T282:AH282)=0,"",SUM(T282:AH282))</f>
        <v/>
      </c>
      <c r="AJ282" s="10">
        <f>IF(AI282="","",AI282/75)</f>
        <v/>
      </c>
      <c r="AK282" s="10">
        <f>IF(AI282="","",SUMPRODUCT(T282:AH282,KPI_Weights!$B$3:$B$17)/5)</f>
        <v/>
      </c>
      <c r="AL282" s="7">
        <f>IF(COUNT(T282:AH282)=0,"",IF(OR(T282&lt;=1,W282&lt;=1,X282&lt;=1,Y282&lt;=1,AB282&lt;=1),"YES","NO"))</f>
        <v/>
      </c>
      <c r="AM282" s="7">
        <f>IF(AK282="","",IF(AND(AK282="NO",AJ282&gt;=0.85),"YES","NO"))</f>
        <v/>
      </c>
      <c r="AN282" s="7">
        <f>IF(AJ282="","",IF(AJ282&gt;=0.90,"Excellent",IF(AJ282&gt;=0.80,"Good",IF(AJ282&gt;=0.70,"Fair","Poor"))))</f>
        <v/>
      </c>
      <c r="AO282" s="12" t="n"/>
      <c r="AP282" s="12" t="n"/>
      <c r="AQ282" s="12" t="n"/>
      <c r="AR282" s="12" t="n"/>
      <c r="AS282" s="12" t="n"/>
      <c r="AT282" s="12" t="n"/>
      <c r="AU282" s="12" t="n"/>
      <c r="AV282" s="11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</row>
    <row r="283">
      <c r="A283" s="7">
        <f>IF(B283="","","INS-"&amp;TEXT(ROW()-3,"000"))</f>
        <v/>
      </c>
      <c r="B283" s="11" t="n"/>
      <c r="C283" s="7">
        <f>IF(B283="","",ISOWEEKNUM(B283))</f>
        <v/>
      </c>
      <c r="D283" s="7">
        <f>IF(B283="","",TEXT(B283,"yyyy-mm"))</f>
        <v/>
      </c>
      <c r="E283" s="12" t="n"/>
      <c r="F283" s="12" t="n"/>
      <c r="G283" s="7">
        <f>IF(OR(E283="",F283=""),"",IF(COUNTIF(Cluster_Master!$I$3:$I$17,E283&amp;"|"&amp;F283)=1,"Valid","Review"))</f>
        <v/>
      </c>
      <c r="H283" s="7">
        <f>IF($G283&lt;&gt;"Valid","",VLOOKUP($E283&amp;"|"&amp;$F283,Cluster_Master!$I$3:$H$17,3,FALSE))</f>
        <v/>
      </c>
      <c r="I283" s="7">
        <f>IF($G283&lt;&gt;"Valid","",VLOOKUP($E283&amp;"|"&amp;$F283,Cluster_Master!$I$3:$H$17,4,FALSE))</f>
        <v/>
      </c>
      <c r="J283" s="7">
        <f>IF($G283&lt;&gt;"Valid","",VLOOKUP($E283&amp;"|"&amp;$F283,Cluster_Master!$I$3:$H$17,5,FALSE))</f>
        <v/>
      </c>
      <c r="K283" s="7">
        <f>IF($G283&lt;&gt;"Valid","",VLOOKUP($E283&amp;"|"&amp;$F283,Cluster_Master!$I$3:$H$17,6,FALSE))</f>
        <v/>
      </c>
      <c r="L283" s="7">
        <f>IF($G283&lt;&gt;"Valid","",VLOOKUP($E283&amp;"|"&amp;$F283,Cluster_Master!$I$3:$H$17,7,FALSE))</f>
        <v/>
      </c>
      <c r="M283" s="7">
        <f>IF($G283&lt;&gt;"Valid","",VLOOKUP($E283&amp;"|"&amp;$F283,Cluster_Master!$I$3:$H$17,8,FALSE))</f>
        <v/>
      </c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7">
        <f>IF(COUNT(T283:AH283)=0,"",SUM(T283:AH283))</f>
        <v/>
      </c>
      <c r="AJ283" s="10">
        <f>IF(AI283="","",AI283/75)</f>
        <v/>
      </c>
      <c r="AK283" s="10">
        <f>IF(AI283="","",SUMPRODUCT(T283:AH283,KPI_Weights!$B$3:$B$17)/5)</f>
        <v/>
      </c>
      <c r="AL283" s="7">
        <f>IF(COUNT(T283:AH283)=0,"",IF(OR(T283&lt;=1,W283&lt;=1,X283&lt;=1,Y283&lt;=1,AB283&lt;=1),"YES","NO"))</f>
        <v/>
      </c>
      <c r="AM283" s="7">
        <f>IF(AK283="","",IF(AND(AK283="NO",AJ283&gt;=0.85),"YES","NO"))</f>
        <v/>
      </c>
      <c r="AN283" s="7">
        <f>IF(AJ283="","",IF(AJ283&gt;=0.90,"Excellent",IF(AJ283&gt;=0.80,"Good",IF(AJ283&gt;=0.70,"Fair","Poor"))))</f>
        <v/>
      </c>
      <c r="AO283" s="12" t="n"/>
      <c r="AP283" s="12" t="n"/>
      <c r="AQ283" s="12" t="n"/>
      <c r="AR283" s="12" t="n"/>
      <c r="AS283" s="12" t="n"/>
      <c r="AT283" s="12" t="n"/>
      <c r="AU283" s="12" t="n"/>
      <c r="AV283" s="11" t="n"/>
      <c r="AW283" s="12" t="n"/>
      <c r="AX283" s="12" t="n"/>
      <c r="AY283" s="12" t="n"/>
      <c r="AZ283" s="12" t="n"/>
      <c r="BA283" s="12" t="n"/>
      <c r="BB283" s="12" t="n"/>
      <c r="BC283" s="12" t="n"/>
      <c r="BD283" s="12" t="n"/>
      <c r="BE283" s="12" t="n"/>
      <c r="BF283" s="12" t="n"/>
    </row>
    <row r="284">
      <c r="A284" s="7">
        <f>IF(B284="","","INS-"&amp;TEXT(ROW()-3,"000"))</f>
        <v/>
      </c>
      <c r="B284" s="11" t="n"/>
      <c r="C284" s="7">
        <f>IF(B284="","",ISOWEEKNUM(B284))</f>
        <v/>
      </c>
      <c r="D284" s="7">
        <f>IF(B284="","",TEXT(B284,"yyyy-mm"))</f>
        <v/>
      </c>
      <c r="E284" s="12" t="n"/>
      <c r="F284" s="12" t="n"/>
      <c r="G284" s="7">
        <f>IF(OR(E284="",F284=""),"",IF(COUNTIF(Cluster_Master!$I$3:$I$17,E284&amp;"|"&amp;F284)=1,"Valid","Review"))</f>
        <v/>
      </c>
      <c r="H284" s="7">
        <f>IF($G284&lt;&gt;"Valid","",VLOOKUP($E284&amp;"|"&amp;$F284,Cluster_Master!$I$3:$H$17,3,FALSE))</f>
        <v/>
      </c>
      <c r="I284" s="7">
        <f>IF($G284&lt;&gt;"Valid","",VLOOKUP($E284&amp;"|"&amp;$F284,Cluster_Master!$I$3:$H$17,4,FALSE))</f>
        <v/>
      </c>
      <c r="J284" s="7">
        <f>IF($G284&lt;&gt;"Valid","",VLOOKUP($E284&amp;"|"&amp;$F284,Cluster_Master!$I$3:$H$17,5,FALSE))</f>
        <v/>
      </c>
      <c r="K284" s="7">
        <f>IF($G284&lt;&gt;"Valid","",VLOOKUP($E284&amp;"|"&amp;$F284,Cluster_Master!$I$3:$H$17,6,FALSE))</f>
        <v/>
      </c>
      <c r="L284" s="7">
        <f>IF($G284&lt;&gt;"Valid","",VLOOKUP($E284&amp;"|"&amp;$F284,Cluster_Master!$I$3:$H$17,7,FALSE))</f>
        <v/>
      </c>
      <c r="M284" s="7">
        <f>IF($G284&lt;&gt;"Valid","",VLOOKUP($E284&amp;"|"&amp;$F284,Cluster_Master!$I$3:$H$17,8,FALSE))</f>
        <v/>
      </c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7">
        <f>IF(COUNT(T284:AH284)=0,"",SUM(T284:AH284))</f>
        <v/>
      </c>
      <c r="AJ284" s="10">
        <f>IF(AI284="","",AI284/75)</f>
        <v/>
      </c>
      <c r="AK284" s="10">
        <f>IF(AI284="","",SUMPRODUCT(T284:AH284,KPI_Weights!$B$3:$B$17)/5)</f>
        <v/>
      </c>
      <c r="AL284" s="7">
        <f>IF(COUNT(T284:AH284)=0,"",IF(OR(T284&lt;=1,W284&lt;=1,X284&lt;=1,Y284&lt;=1,AB284&lt;=1),"YES","NO"))</f>
        <v/>
      </c>
      <c r="AM284" s="7">
        <f>IF(AK284="","",IF(AND(AK284="NO",AJ284&gt;=0.85),"YES","NO"))</f>
        <v/>
      </c>
      <c r="AN284" s="7">
        <f>IF(AJ284="","",IF(AJ284&gt;=0.90,"Excellent",IF(AJ284&gt;=0.80,"Good",IF(AJ284&gt;=0.70,"Fair","Poor"))))</f>
        <v/>
      </c>
      <c r="AO284" s="12" t="n"/>
      <c r="AP284" s="12" t="n"/>
      <c r="AQ284" s="12" t="n"/>
      <c r="AR284" s="12" t="n"/>
      <c r="AS284" s="12" t="n"/>
      <c r="AT284" s="12" t="n"/>
      <c r="AU284" s="12" t="n"/>
      <c r="AV284" s="11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</row>
    <row r="285">
      <c r="A285" s="7">
        <f>IF(B285="","","INS-"&amp;TEXT(ROW()-3,"000"))</f>
        <v/>
      </c>
      <c r="B285" s="11" t="n"/>
      <c r="C285" s="7">
        <f>IF(B285="","",ISOWEEKNUM(B285))</f>
        <v/>
      </c>
      <c r="D285" s="7">
        <f>IF(B285="","",TEXT(B285,"yyyy-mm"))</f>
        <v/>
      </c>
      <c r="E285" s="12" t="n"/>
      <c r="F285" s="12" t="n"/>
      <c r="G285" s="7">
        <f>IF(OR(E285="",F285=""),"",IF(COUNTIF(Cluster_Master!$I$3:$I$17,E285&amp;"|"&amp;F285)=1,"Valid","Review"))</f>
        <v/>
      </c>
      <c r="H285" s="7">
        <f>IF($G285&lt;&gt;"Valid","",VLOOKUP($E285&amp;"|"&amp;$F285,Cluster_Master!$I$3:$H$17,3,FALSE))</f>
        <v/>
      </c>
      <c r="I285" s="7">
        <f>IF($G285&lt;&gt;"Valid","",VLOOKUP($E285&amp;"|"&amp;$F285,Cluster_Master!$I$3:$H$17,4,FALSE))</f>
        <v/>
      </c>
      <c r="J285" s="7">
        <f>IF($G285&lt;&gt;"Valid","",VLOOKUP($E285&amp;"|"&amp;$F285,Cluster_Master!$I$3:$H$17,5,FALSE))</f>
        <v/>
      </c>
      <c r="K285" s="7">
        <f>IF($G285&lt;&gt;"Valid","",VLOOKUP($E285&amp;"|"&amp;$F285,Cluster_Master!$I$3:$H$17,6,FALSE))</f>
        <v/>
      </c>
      <c r="L285" s="7">
        <f>IF($G285&lt;&gt;"Valid","",VLOOKUP($E285&amp;"|"&amp;$F285,Cluster_Master!$I$3:$H$17,7,FALSE))</f>
        <v/>
      </c>
      <c r="M285" s="7">
        <f>IF($G285&lt;&gt;"Valid","",VLOOKUP($E285&amp;"|"&amp;$F285,Cluster_Master!$I$3:$H$17,8,FALSE))</f>
        <v/>
      </c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7">
        <f>IF(COUNT(T285:AH285)=0,"",SUM(T285:AH285))</f>
        <v/>
      </c>
      <c r="AJ285" s="10">
        <f>IF(AI285="","",AI285/75)</f>
        <v/>
      </c>
      <c r="AK285" s="10">
        <f>IF(AI285="","",SUMPRODUCT(T285:AH285,KPI_Weights!$B$3:$B$17)/5)</f>
        <v/>
      </c>
      <c r="AL285" s="7">
        <f>IF(COUNT(T285:AH285)=0,"",IF(OR(T285&lt;=1,W285&lt;=1,X285&lt;=1,Y285&lt;=1,AB285&lt;=1),"YES","NO"))</f>
        <v/>
      </c>
      <c r="AM285" s="7">
        <f>IF(AK285="","",IF(AND(AK285="NO",AJ285&gt;=0.85),"YES","NO"))</f>
        <v/>
      </c>
      <c r="AN285" s="7">
        <f>IF(AJ285="","",IF(AJ285&gt;=0.90,"Excellent",IF(AJ285&gt;=0.80,"Good",IF(AJ285&gt;=0.70,"Fair","Poor"))))</f>
        <v/>
      </c>
      <c r="AO285" s="12" t="n"/>
      <c r="AP285" s="12" t="n"/>
      <c r="AQ285" s="12" t="n"/>
      <c r="AR285" s="12" t="n"/>
      <c r="AS285" s="12" t="n"/>
      <c r="AT285" s="12" t="n"/>
      <c r="AU285" s="12" t="n"/>
      <c r="AV285" s="11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</row>
    <row r="286">
      <c r="A286" s="7">
        <f>IF(B286="","","INS-"&amp;TEXT(ROW()-3,"000"))</f>
        <v/>
      </c>
      <c r="B286" s="11" t="n"/>
      <c r="C286" s="7">
        <f>IF(B286="","",ISOWEEKNUM(B286))</f>
        <v/>
      </c>
      <c r="D286" s="7">
        <f>IF(B286="","",TEXT(B286,"yyyy-mm"))</f>
        <v/>
      </c>
      <c r="E286" s="12" t="n"/>
      <c r="F286" s="12" t="n"/>
      <c r="G286" s="7">
        <f>IF(OR(E286="",F286=""),"",IF(COUNTIF(Cluster_Master!$I$3:$I$17,E286&amp;"|"&amp;F286)=1,"Valid","Review"))</f>
        <v/>
      </c>
      <c r="H286" s="7">
        <f>IF($G286&lt;&gt;"Valid","",VLOOKUP($E286&amp;"|"&amp;$F286,Cluster_Master!$I$3:$H$17,3,FALSE))</f>
        <v/>
      </c>
      <c r="I286" s="7">
        <f>IF($G286&lt;&gt;"Valid","",VLOOKUP($E286&amp;"|"&amp;$F286,Cluster_Master!$I$3:$H$17,4,FALSE))</f>
        <v/>
      </c>
      <c r="J286" s="7">
        <f>IF($G286&lt;&gt;"Valid","",VLOOKUP($E286&amp;"|"&amp;$F286,Cluster_Master!$I$3:$H$17,5,FALSE))</f>
        <v/>
      </c>
      <c r="K286" s="7">
        <f>IF($G286&lt;&gt;"Valid","",VLOOKUP($E286&amp;"|"&amp;$F286,Cluster_Master!$I$3:$H$17,6,FALSE))</f>
        <v/>
      </c>
      <c r="L286" s="7">
        <f>IF($G286&lt;&gt;"Valid","",VLOOKUP($E286&amp;"|"&amp;$F286,Cluster_Master!$I$3:$H$17,7,FALSE))</f>
        <v/>
      </c>
      <c r="M286" s="7">
        <f>IF($G286&lt;&gt;"Valid","",VLOOKUP($E286&amp;"|"&amp;$F286,Cluster_Master!$I$3:$H$17,8,FALSE))</f>
        <v/>
      </c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7">
        <f>IF(COUNT(T286:AH286)=0,"",SUM(T286:AH286))</f>
        <v/>
      </c>
      <c r="AJ286" s="10">
        <f>IF(AI286="","",AI286/75)</f>
        <v/>
      </c>
      <c r="AK286" s="10">
        <f>IF(AI286="","",SUMPRODUCT(T286:AH286,KPI_Weights!$B$3:$B$17)/5)</f>
        <v/>
      </c>
      <c r="AL286" s="7">
        <f>IF(COUNT(T286:AH286)=0,"",IF(OR(T286&lt;=1,W286&lt;=1,X286&lt;=1,Y286&lt;=1,AB286&lt;=1),"YES","NO"))</f>
        <v/>
      </c>
      <c r="AM286" s="7">
        <f>IF(AK286="","",IF(AND(AK286="NO",AJ286&gt;=0.85),"YES","NO"))</f>
        <v/>
      </c>
      <c r="AN286" s="7">
        <f>IF(AJ286="","",IF(AJ286&gt;=0.90,"Excellent",IF(AJ286&gt;=0.80,"Good",IF(AJ286&gt;=0.70,"Fair","Poor"))))</f>
        <v/>
      </c>
      <c r="AO286" s="12" t="n"/>
      <c r="AP286" s="12" t="n"/>
      <c r="AQ286" s="12" t="n"/>
      <c r="AR286" s="12" t="n"/>
      <c r="AS286" s="12" t="n"/>
      <c r="AT286" s="12" t="n"/>
      <c r="AU286" s="12" t="n"/>
      <c r="AV286" s="11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</row>
    <row r="287">
      <c r="A287" s="7">
        <f>IF(B287="","","INS-"&amp;TEXT(ROW()-3,"000"))</f>
        <v/>
      </c>
      <c r="B287" s="11" t="n"/>
      <c r="C287" s="7">
        <f>IF(B287="","",ISOWEEKNUM(B287))</f>
        <v/>
      </c>
      <c r="D287" s="7">
        <f>IF(B287="","",TEXT(B287,"yyyy-mm"))</f>
        <v/>
      </c>
      <c r="E287" s="12" t="n"/>
      <c r="F287" s="12" t="n"/>
      <c r="G287" s="7">
        <f>IF(OR(E287="",F287=""),"",IF(COUNTIF(Cluster_Master!$I$3:$I$17,E287&amp;"|"&amp;F287)=1,"Valid","Review"))</f>
        <v/>
      </c>
      <c r="H287" s="7">
        <f>IF($G287&lt;&gt;"Valid","",VLOOKUP($E287&amp;"|"&amp;$F287,Cluster_Master!$I$3:$H$17,3,FALSE))</f>
        <v/>
      </c>
      <c r="I287" s="7">
        <f>IF($G287&lt;&gt;"Valid","",VLOOKUP($E287&amp;"|"&amp;$F287,Cluster_Master!$I$3:$H$17,4,FALSE))</f>
        <v/>
      </c>
      <c r="J287" s="7">
        <f>IF($G287&lt;&gt;"Valid","",VLOOKUP($E287&amp;"|"&amp;$F287,Cluster_Master!$I$3:$H$17,5,FALSE))</f>
        <v/>
      </c>
      <c r="K287" s="7">
        <f>IF($G287&lt;&gt;"Valid","",VLOOKUP($E287&amp;"|"&amp;$F287,Cluster_Master!$I$3:$H$17,6,FALSE))</f>
        <v/>
      </c>
      <c r="L287" s="7">
        <f>IF($G287&lt;&gt;"Valid","",VLOOKUP($E287&amp;"|"&amp;$F287,Cluster_Master!$I$3:$H$17,7,FALSE))</f>
        <v/>
      </c>
      <c r="M287" s="7">
        <f>IF($G287&lt;&gt;"Valid","",VLOOKUP($E287&amp;"|"&amp;$F287,Cluster_Master!$I$3:$H$17,8,FALSE))</f>
        <v/>
      </c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7">
        <f>IF(COUNT(T287:AH287)=0,"",SUM(T287:AH287))</f>
        <v/>
      </c>
      <c r="AJ287" s="10">
        <f>IF(AI287="","",AI287/75)</f>
        <v/>
      </c>
      <c r="AK287" s="10">
        <f>IF(AI287="","",SUMPRODUCT(T287:AH287,KPI_Weights!$B$3:$B$17)/5)</f>
        <v/>
      </c>
      <c r="AL287" s="7">
        <f>IF(COUNT(T287:AH287)=0,"",IF(OR(T287&lt;=1,W287&lt;=1,X287&lt;=1,Y287&lt;=1,AB287&lt;=1),"YES","NO"))</f>
        <v/>
      </c>
      <c r="AM287" s="7">
        <f>IF(AK287="","",IF(AND(AK287="NO",AJ287&gt;=0.85),"YES","NO"))</f>
        <v/>
      </c>
      <c r="AN287" s="7">
        <f>IF(AJ287="","",IF(AJ287&gt;=0.90,"Excellent",IF(AJ287&gt;=0.80,"Good",IF(AJ287&gt;=0.70,"Fair","Poor"))))</f>
        <v/>
      </c>
      <c r="AO287" s="12" t="n"/>
      <c r="AP287" s="12" t="n"/>
      <c r="AQ287" s="12" t="n"/>
      <c r="AR287" s="12" t="n"/>
      <c r="AS287" s="12" t="n"/>
      <c r="AT287" s="12" t="n"/>
      <c r="AU287" s="12" t="n"/>
      <c r="AV287" s="11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</row>
    <row r="288">
      <c r="A288" s="7">
        <f>IF(B288="","","INS-"&amp;TEXT(ROW()-3,"000"))</f>
        <v/>
      </c>
      <c r="B288" s="11" t="n"/>
      <c r="C288" s="7">
        <f>IF(B288="","",ISOWEEKNUM(B288))</f>
        <v/>
      </c>
      <c r="D288" s="7">
        <f>IF(B288="","",TEXT(B288,"yyyy-mm"))</f>
        <v/>
      </c>
      <c r="E288" s="12" t="n"/>
      <c r="F288" s="12" t="n"/>
      <c r="G288" s="7">
        <f>IF(OR(E288="",F288=""),"",IF(COUNTIF(Cluster_Master!$I$3:$I$17,E288&amp;"|"&amp;F288)=1,"Valid","Review"))</f>
        <v/>
      </c>
      <c r="H288" s="7">
        <f>IF($G288&lt;&gt;"Valid","",VLOOKUP($E288&amp;"|"&amp;$F288,Cluster_Master!$I$3:$H$17,3,FALSE))</f>
        <v/>
      </c>
      <c r="I288" s="7">
        <f>IF($G288&lt;&gt;"Valid","",VLOOKUP($E288&amp;"|"&amp;$F288,Cluster_Master!$I$3:$H$17,4,FALSE))</f>
        <v/>
      </c>
      <c r="J288" s="7">
        <f>IF($G288&lt;&gt;"Valid","",VLOOKUP($E288&amp;"|"&amp;$F288,Cluster_Master!$I$3:$H$17,5,FALSE))</f>
        <v/>
      </c>
      <c r="K288" s="7">
        <f>IF($G288&lt;&gt;"Valid","",VLOOKUP($E288&amp;"|"&amp;$F288,Cluster_Master!$I$3:$H$17,6,FALSE))</f>
        <v/>
      </c>
      <c r="L288" s="7">
        <f>IF($G288&lt;&gt;"Valid","",VLOOKUP($E288&amp;"|"&amp;$F288,Cluster_Master!$I$3:$H$17,7,FALSE))</f>
        <v/>
      </c>
      <c r="M288" s="7">
        <f>IF($G288&lt;&gt;"Valid","",VLOOKUP($E288&amp;"|"&amp;$F288,Cluster_Master!$I$3:$H$17,8,FALSE))</f>
        <v/>
      </c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7">
        <f>IF(COUNT(T288:AH288)=0,"",SUM(T288:AH288))</f>
        <v/>
      </c>
      <c r="AJ288" s="10">
        <f>IF(AI288="","",AI288/75)</f>
        <v/>
      </c>
      <c r="AK288" s="10">
        <f>IF(AI288="","",SUMPRODUCT(T288:AH288,KPI_Weights!$B$3:$B$17)/5)</f>
        <v/>
      </c>
      <c r="AL288" s="7">
        <f>IF(COUNT(T288:AH288)=0,"",IF(OR(T288&lt;=1,W288&lt;=1,X288&lt;=1,Y288&lt;=1,AB288&lt;=1),"YES","NO"))</f>
        <v/>
      </c>
      <c r="AM288" s="7">
        <f>IF(AK288="","",IF(AND(AK288="NO",AJ288&gt;=0.85),"YES","NO"))</f>
        <v/>
      </c>
      <c r="AN288" s="7">
        <f>IF(AJ288="","",IF(AJ288&gt;=0.90,"Excellent",IF(AJ288&gt;=0.80,"Good",IF(AJ288&gt;=0.70,"Fair","Poor"))))</f>
        <v/>
      </c>
      <c r="AO288" s="12" t="n"/>
      <c r="AP288" s="12" t="n"/>
      <c r="AQ288" s="12" t="n"/>
      <c r="AR288" s="12" t="n"/>
      <c r="AS288" s="12" t="n"/>
      <c r="AT288" s="12" t="n"/>
      <c r="AU288" s="12" t="n"/>
      <c r="AV288" s="11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</row>
    <row r="289">
      <c r="A289" s="7">
        <f>IF(B289="","","INS-"&amp;TEXT(ROW()-3,"000"))</f>
        <v/>
      </c>
      <c r="B289" s="11" t="n"/>
      <c r="C289" s="7">
        <f>IF(B289="","",ISOWEEKNUM(B289))</f>
        <v/>
      </c>
      <c r="D289" s="7">
        <f>IF(B289="","",TEXT(B289,"yyyy-mm"))</f>
        <v/>
      </c>
      <c r="E289" s="12" t="n"/>
      <c r="F289" s="12" t="n"/>
      <c r="G289" s="7">
        <f>IF(OR(E289="",F289=""),"",IF(COUNTIF(Cluster_Master!$I$3:$I$17,E289&amp;"|"&amp;F289)=1,"Valid","Review"))</f>
        <v/>
      </c>
      <c r="H289" s="7">
        <f>IF($G289&lt;&gt;"Valid","",VLOOKUP($E289&amp;"|"&amp;$F289,Cluster_Master!$I$3:$H$17,3,FALSE))</f>
        <v/>
      </c>
      <c r="I289" s="7">
        <f>IF($G289&lt;&gt;"Valid","",VLOOKUP($E289&amp;"|"&amp;$F289,Cluster_Master!$I$3:$H$17,4,FALSE))</f>
        <v/>
      </c>
      <c r="J289" s="7">
        <f>IF($G289&lt;&gt;"Valid","",VLOOKUP($E289&amp;"|"&amp;$F289,Cluster_Master!$I$3:$H$17,5,FALSE))</f>
        <v/>
      </c>
      <c r="K289" s="7">
        <f>IF($G289&lt;&gt;"Valid","",VLOOKUP($E289&amp;"|"&amp;$F289,Cluster_Master!$I$3:$H$17,6,FALSE))</f>
        <v/>
      </c>
      <c r="L289" s="7">
        <f>IF($G289&lt;&gt;"Valid","",VLOOKUP($E289&amp;"|"&amp;$F289,Cluster_Master!$I$3:$H$17,7,FALSE))</f>
        <v/>
      </c>
      <c r="M289" s="7">
        <f>IF($G289&lt;&gt;"Valid","",VLOOKUP($E289&amp;"|"&amp;$F289,Cluster_Master!$I$3:$H$17,8,FALSE))</f>
        <v/>
      </c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7">
        <f>IF(COUNT(T289:AH289)=0,"",SUM(T289:AH289))</f>
        <v/>
      </c>
      <c r="AJ289" s="10">
        <f>IF(AI289="","",AI289/75)</f>
        <v/>
      </c>
      <c r="AK289" s="10">
        <f>IF(AI289="","",SUMPRODUCT(T289:AH289,KPI_Weights!$B$3:$B$17)/5)</f>
        <v/>
      </c>
      <c r="AL289" s="7">
        <f>IF(COUNT(T289:AH289)=0,"",IF(OR(T289&lt;=1,W289&lt;=1,X289&lt;=1,Y289&lt;=1,AB289&lt;=1),"YES","NO"))</f>
        <v/>
      </c>
      <c r="AM289" s="7">
        <f>IF(AK289="","",IF(AND(AK289="NO",AJ289&gt;=0.85),"YES","NO"))</f>
        <v/>
      </c>
      <c r="AN289" s="7">
        <f>IF(AJ289="","",IF(AJ289&gt;=0.90,"Excellent",IF(AJ289&gt;=0.80,"Good",IF(AJ289&gt;=0.70,"Fair","Poor"))))</f>
        <v/>
      </c>
      <c r="AO289" s="12" t="n"/>
      <c r="AP289" s="12" t="n"/>
      <c r="AQ289" s="12" t="n"/>
      <c r="AR289" s="12" t="n"/>
      <c r="AS289" s="12" t="n"/>
      <c r="AT289" s="12" t="n"/>
      <c r="AU289" s="12" t="n"/>
      <c r="AV289" s="11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</row>
    <row r="290">
      <c r="A290" s="7">
        <f>IF(B290="","","INS-"&amp;TEXT(ROW()-3,"000"))</f>
        <v/>
      </c>
      <c r="B290" s="11" t="n"/>
      <c r="C290" s="7">
        <f>IF(B290="","",ISOWEEKNUM(B290))</f>
        <v/>
      </c>
      <c r="D290" s="7">
        <f>IF(B290="","",TEXT(B290,"yyyy-mm"))</f>
        <v/>
      </c>
      <c r="E290" s="12" t="n"/>
      <c r="F290" s="12" t="n"/>
      <c r="G290" s="7">
        <f>IF(OR(E290="",F290=""),"",IF(COUNTIF(Cluster_Master!$I$3:$I$17,E290&amp;"|"&amp;F290)=1,"Valid","Review"))</f>
        <v/>
      </c>
      <c r="H290" s="7">
        <f>IF($G290&lt;&gt;"Valid","",VLOOKUP($E290&amp;"|"&amp;$F290,Cluster_Master!$I$3:$H$17,3,FALSE))</f>
        <v/>
      </c>
      <c r="I290" s="7">
        <f>IF($G290&lt;&gt;"Valid","",VLOOKUP($E290&amp;"|"&amp;$F290,Cluster_Master!$I$3:$H$17,4,FALSE))</f>
        <v/>
      </c>
      <c r="J290" s="7">
        <f>IF($G290&lt;&gt;"Valid","",VLOOKUP($E290&amp;"|"&amp;$F290,Cluster_Master!$I$3:$H$17,5,FALSE))</f>
        <v/>
      </c>
      <c r="K290" s="7">
        <f>IF($G290&lt;&gt;"Valid","",VLOOKUP($E290&amp;"|"&amp;$F290,Cluster_Master!$I$3:$H$17,6,FALSE))</f>
        <v/>
      </c>
      <c r="L290" s="7">
        <f>IF($G290&lt;&gt;"Valid","",VLOOKUP($E290&amp;"|"&amp;$F290,Cluster_Master!$I$3:$H$17,7,FALSE))</f>
        <v/>
      </c>
      <c r="M290" s="7">
        <f>IF($G290&lt;&gt;"Valid","",VLOOKUP($E290&amp;"|"&amp;$F290,Cluster_Master!$I$3:$H$17,8,FALSE))</f>
        <v/>
      </c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7">
        <f>IF(COUNT(T290:AH290)=0,"",SUM(T290:AH290))</f>
        <v/>
      </c>
      <c r="AJ290" s="10">
        <f>IF(AI290="","",AI290/75)</f>
        <v/>
      </c>
      <c r="AK290" s="10">
        <f>IF(AI290="","",SUMPRODUCT(T290:AH290,KPI_Weights!$B$3:$B$17)/5)</f>
        <v/>
      </c>
      <c r="AL290" s="7">
        <f>IF(COUNT(T290:AH290)=0,"",IF(OR(T290&lt;=1,W290&lt;=1,X290&lt;=1,Y290&lt;=1,AB290&lt;=1),"YES","NO"))</f>
        <v/>
      </c>
      <c r="AM290" s="7">
        <f>IF(AK290="","",IF(AND(AK290="NO",AJ290&gt;=0.85),"YES","NO"))</f>
        <v/>
      </c>
      <c r="AN290" s="7">
        <f>IF(AJ290="","",IF(AJ290&gt;=0.90,"Excellent",IF(AJ290&gt;=0.80,"Good",IF(AJ290&gt;=0.70,"Fair","Poor"))))</f>
        <v/>
      </c>
      <c r="AO290" s="12" t="n"/>
      <c r="AP290" s="12" t="n"/>
      <c r="AQ290" s="12" t="n"/>
      <c r="AR290" s="12" t="n"/>
      <c r="AS290" s="12" t="n"/>
      <c r="AT290" s="12" t="n"/>
      <c r="AU290" s="12" t="n"/>
      <c r="AV290" s="11" t="n"/>
      <c r="AW290" s="12" t="n"/>
      <c r="AX290" s="12" t="n"/>
      <c r="AY290" s="12" t="n"/>
      <c r="AZ290" s="12" t="n"/>
      <c r="BA290" s="12" t="n"/>
      <c r="BB290" s="12" t="n"/>
      <c r="BC290" s="12" t="n"/>
      <c r="BD290" s="12" t="n"/>
      <c r="BE290" s="12" t="n"/>
      <c r="BF290" s="12" t="n"/>
    </row>
    <row r="291">
      <c r="A291" s="7">
        <f>IF(B291="","","INS-"&amp;TEXT(ROW()-3,"000"))</f>
        <v/>
      </c>
      <c r="B291" s="11" t="n"/>
      <c r="C291" s="7">
        <f>IF(B291="","",ISOWEEKNUM(B291))</f>
        <v/>
      </c>
      <c r="D291" s="7">
        <f>IF(B291="","",TEXT(B291,"yyyy-mm"))</f>
        <v/>
      </c>
      <c r="E291" s="12" t="n"/>
      <c r="F291" s="12" t="n"/>
      <c r="G291" s="7">
        <f>IF(OR(E291="",F291=""),"",IF(COUNTIF(Cluster_Master!$I$3:$I$17,E291&amp;"|"&amp;F291)=1,"Valid","Review"))</f>
        <v/>
      </c>
      <c r="H291" s="7">
        <f>IF($G291&lt;&gt;"Valid","",VLOOKUP($E291&amp;"|"&amp;$F291,Cluster_Master!$I$3:$H$17,3,FALSE))</f>
        <v/>
      </c>
      <c r="I291" s="7">
        <f>IF($G291&lt;&gt;"Valid","",VLOOKUP($E291&amp;"|"&amp;$F291,Cluster_Master!$I$3:$H$17,4,FALSE))</f>
        <v/>
      </c>
      <c r="J291" s="7">
        <f>IF($G291&lt;&gt;"Valid","",VLOOKUP($E291&amp;"|"&amp;$F291,Cluster_Master!$I$3:$H$17,5,FALSE))</f>
        <v/>
      </c>
      <c r="K291" s="7">
        <f>IF($G291&lt;&gt;"Valid","",VLOOKUP($E291&amp;"|"&amp;$F291,Cluster_Master!$I$3:$H$17,6,FALSE))</f>
        <v/>
      </c>
      <c r="L291" s="7">
        <f>IF($G291&lt;&gt;"Valid","",VLOOKUP($E291&amp;"|"&amp;$F291,Cluster_Master!$I$3:$H$17,7,FALSE))</f>
        <v/>
      </c>
      <c r="M291" s="7">
        <f>IF($G291&lt;&gt;"Valid","",VLOOKUP($E291&amp;"|"&amp;$F291,Cluster_Master!$I$3:$H$17,8,FALSE))</f>
        <v/>
      </c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7">
        <f>IF(COUNT(T291:AH291)=0,"",SUM(T291:AH291))</f>
        <v/>
      </c>
      <c r="AJ291" s="10">
        <f>IF(AI291="","",AI291/75)</f>
        <v/>
      </c>
      <c r="AK291" s="10">
        <f>IF(AI291="","",SUMPRODUCT(T291:AH291,KPI_Weights!$B$3:$B$17)/5)</f>
        <v/>
      </c>
      <c r="AL291" s="7">
        <f>IF(COUNT(T291:AH291)=0,"",IF(OR(T291&lt;=1,W291&lt;=1,X291&lt;=1,Y291&lt;=1,AB291&lt;=1),"YES","NO"))</f>
        <v/>
      </c>
      <c r="AM291" s="7">
        <f>IF(AK291="","",IF(AND(AK291="NO",AJ291&gt;=0.85),"YES","NO"))</f>
        <v/>
      </c>
      <c r="AN291" s="7">
        <f>IF(AJ291="","",IF(AJ291&gt;=0.90,"Excellent",IF(AJ291&gt;=0.80,"Good",IF(AJ291&gt;=0.70,"Fair","Poor"))))</f>
        <v/>
      </c>
      <c r="AO291" s="12" t="n"/>
      <c r="AP291" s="12" t="n"/>
      <c r="AQ291" s="12" t="n"/>
      <c r="AR291" s="12" t="n"/>
      <c r="AS291" s="12" t="n"/>
      <c r="AT291" s="12" t="n"/>
      <c r="AU291" s="12" t="n"/>
      <c r="AV291" s="11" t="n"/>
      <c r="AW291" s="12" t="n"/>
      <c r="AX291" s="12" t="n"/>
      <c r="AY291" s="12" t="n"/>
      <c r="AZ291" s="12" t="n"/>
      <c r="BA291" s="12" t="n"/>
      <c r="BB291" s="12" t="n"/>
      <c r="BC291" s="12" t="n"/>
      <c r="BD291" s="12" t="n"/>
      <c r="BE291" s="12" t="n"/>
      <c r="BF291" s="12" t="n"/>
    </row>
    <row r="292">
      <c r="A292" s="7">
        <f>IF(B292="","","INS-"&amp;TEXT(ROW()-3,"000"))</f>
        <v/>
      </c>
      <c r="B292" s="11" t="n"/>
      <c r="C292" s="7">
        <f>IF(B292="","",ISOWEEKNUM(B292))</f>
        <v/>
      </c>
      <c r="D292" s="7">
        <f>IF(B292="","",TEXT(B292,"yyyy-mm"))</f>
        <v/>
      </c>
      <c r="E292" s="12" t="n"/>
      <c r="F292" s="12" t="n"/>
      <c r="G292" s="7">
        <f>IF(OR(E292="",F292=""),"",IF(COUNTIF(Cluster_Master!$I$3:$I$17,E292&amp;"|"&amp;F292)=1,"Valid","Review"))</f>
        <v/>
      </c>
      <c r="H292" s="7">
        <f>IF($G292&lt;&gt;"Valid","",VLOOKUP($E292&amp;"|"&amp;$F292,Cluster_Master!$I$3:$H$17,3,FALSE))</f>
        <v/>
      </c>
      <c r="I292" s="7">
        <f>IF($G292&lt;&gt;"Valid","",VLOOKUP($E292&amp;"|"&amp;$F292,Cluster_Master!$I$3:$H$17,4,FALSE))</f>
        <v/>
      </c>
      <c r="J292" s="7">
        <f>IF($G292&lt;&gt;"Valid","",VLOOKUP($E292&amp;"|"&amp;$F292,Cluster_Master!$I$3:$H$17,5,FALSE))</f>
        <v/>
      </c>
      <c r="K292" s="7">
        <f>IF($G292&lt;&gt;"Valid","",VLOOKUP($E292&amp;"|"&amp;$F292,Cluster_Master!$I$3:$H$17,6,FALSE))</f>
        <v/>
      </c>
      <c r="L292" s="7">
        <f>IF($G292&lt;&gt;"Valid","",VLOOKUP($E292&amp;"|"&amp;$F292,Cluster_Master!$I$3:$H$17,7,FALSE))</f>
        <v/>
      </c>
      <c r="M292" s="7">
        <f>IF($G292&lt;&gt;"Valid","",VLOOKUP($E292&amp;"|"&amp;$F292,Cluster_Master!$I$3:$H$17,8,FALSE))</f>
        <v/>
      </c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7">
        <f>IF(COUNT(T292:AH292)=0,"",SUM(T292:AH292))</f>
        <v/>
      </c>
      <c r="AJ292" s="10">
        <f>IF(AI292="","",AI292/75)</f>
        <v/>
      </c>
      <c r="AK292" s="10">
        <f>IF(AI292="","",SUMPRODUCT(T292:AH292,KPI_Weights!$B$3:$B$17)/5)</f>
        <v/>
      </c>
      <c r="AL292" s="7">
        <f>IF(COUNT(T292:AH292)=0,"",IF(OR(T292&lt;=1,W292&lt;=1,X292&lt;=1,Y292&lt;=1,AB292&lt;=1),"YES","NO"))</f>
        <v/>
      </c>
      <c r="AM292" s="7">
        <f>IF(AK292="","",IF(AND(AK292="NO",AJ292&gt;=0.85),"YES","NO"))</f>
        <v/>
      </c>
      <c r="AN292" s="7">
        <f>IF(AJ292="","",IF(AJ292&gt;=0.90,"Excellent",IF(AJ292&gt;=0.80,"Good",IF(AJ292&gt;=0.70,"Fair","Poor"))))</f>
        <v/>
      </c>
      <c r="AO292" s="12" t="n"/>
      <c r="AP292" s="12" t="n"/>
      <c r="AQ292" s="12" t="n"/>
      <c r="AR292" s="12" t="n"/>
      <c r="AS292" s="12" t="n"/>
      <c r="AT292" s="12" t="n"/>
      <c r="AU292" s="12" t="n"/>
      <c r="AV292" s="11" t="n"/>
      <c r="AW292" s="12" t="n"/>
      <c r="AX292" s="12" t="n"/>
      <c r="AY292" s="12" t="n"/>
      <c r="AZ292" s="12" t="n"/>
      <c r="BA292" s="12" t="n"/>
      <c r="BB292" s="12" t="n"/>
      <c r="BC292" s="12" t="n"/>
      <c r="BD292" s="12" t="n"/>
      <c r="BE292" s="12" t="n"/>
      <c r="BF292" s="12" t="n"/>
    </row>
    <row r="293">
      <c r="A293" s="7">
        <f>IF(B293="","","INS-"&amp;TEXT(ROW()-3,"000"))</f>
        <v/>
      </c>
      <c r="B293" s="11" t="n"/>
      <c r="C293" s="7">
        <f>IF(B293="","",ISOWEEKNUM(B293))</f>
        <v/>
      </c>
      <c r="D293" s="7">
        <f>IF(B293="","",TEXT(B293,"yyyy-mm"))</f>
        <v/>
      </c>
      <c r="E293" s="12" t="n"/>
      <c r="F293" s="12" t="n"/>
      <c r="G293" s="7">
        <f>IF(OR(E293="",F293=""),"",IF(COUNTIF(Cluster_Master!$I$3:$I$17,E293&amp;"|"&amp;F293)=1,"Valid","Review"))</f>
        <v/>
      </c>
      <c r="H293" s="7">
        <f>IF($G293&lt;&gt;"Valid","",VLOOKUP($E293&amp;"|"&amp;$F293,Cluster_Master!$I$3:$H$17,3,FALSE))</f>
        <v/>
      </c>
      <c r="I293" s="7">
        <f>IF($G293&lt;&gt;"Valid","",VLOOKUP($E293&amp;"|"&amp;$F293,Cluster_Master!$I$3:$H$17,4,FALSE))</f>
        <v/>
      </c>
      <c r="J293" s="7">
        <f>IF($G293&lt;&gt;"Valid","",VLOOKUP($E293&amp;"|"&amp;$F293,Cluster_Master!$I$3:$H$17,5,FALSE))</f>
        <v/>
      </c>
      <c r="K293" s="7">
        <f>IF($G293&lt;&gt;"Valid","",VLOOKUP($E293&amp;"|"&amp;$F293,Cluster_Master!$I$3:$H$17,6,FALSE))</f>
        <v/>
      </c>
      <c r="L293" s="7">
        <f>IF($G293&lt;&gt;"Valid","",VLOOKUP($E293&amp;"|"&amp;$F293,Cluster_Master!$I$3:$H$17,7,FALSE))</f>
        <v/>
      </c>
      <c r="M293" s="7">
        <f>IF($G293&lt;&gt;"Valid","",VLOOKUP($E293&amp;"|"&amp;$F293,Cluster_Master!$I$3:$H$17,8,FALSE))</f>
        <v/>
      </c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7">
        <f>IF(COUNT(T293:AH293)=0,"",SUM(T293:AH293))</f>
        <v/>
      </c>
      <c r="AJ293" s="10">
        <f>IF(AI293="","",AI293/75)</f>
        <v/>
      </c>
      <c r="AK293" s="10">
        <f>IF(AI293="","",SUMPRODUCT(T293:AH293,KPI_Weights!$B$3:$B$17)/5)</f>
        <v/>
      </c>
      <c r="AL293" s="7">
        <f>IF(COUNT(T293:AH293)=0,"",IF(OR(T293&lt;=1,W293&lt;=1,X293&lt;=1,Y293&lt;=1,AB293&lt;=1),"YES","NO"))</f>
        <v/>
      </c>
      <c r="AM293" s="7">
        <f>IF(AK293="","",IF(AND(AK293="NO",AJ293&gt;=0.85),"YES","NO"))</f>
        <v/>
      </c>
      <c r="AN293" s="7">
        <f>IF(AJ293="","",IF(AJ293&gt;=0.90,"Excellent",IF(AJ293&gt;=0.80,"Good",IF(AJ293&gt;=0.70,"Fair","Poor"))))</f>
        <v/>
      </c>
      <c r="AO293" s="12" t="n"/>
      <c r="AP293" s="12" t="n"/>
      <c r="AQ293" s="12" t="n"/>
      <c r="AR293" s="12" t="n"/>
      <c r="AS293" s="12" t="n"/>
      <c r="AT293" s="12" t="n"/>
      <c r="AU293" s="12" t="n"/>
      <c r="AV293" s="11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</row>
    <row r="294">
      <c r="A294" s="7">
        <f>IF(B294="","","INS-"&amp;TEXT(ROW()-3,"000"))</f>
        <v/>
      </c>
      <c r="B294" s="11" t="n"/>
      <c r="C294" s="7">
        <f>IF(B294="","",ISOWEEKNUM(B294))</f>
        <v/>
      </c>
      <c r="D294" s="7">
        <f>IF(B294="","",TEXT(B294,"yyyy-mm"))</f>
        <v/>
      </c>
      <c r="E294" s="12" t="n"/>
      <c r="F294" s="12" t="n"/>
      <c r="G294" s="7">
        <f>IF(OR(E294="",F294=""),"",IF(COUNTIF(Cluster_Master!$I$3:$I$17,E294&amp;"|"&amp;F294)=1,"Valid","Review"))</f>
        <v/>
      </c>
      <c r="H294" s="7">
        <f>IF($G294&lt;&gt;"Valid","",VLOOKUP($E294&amp;"|"&amp;$F294,Cluster_Master!$I$3:$H$17,3,FALSE))</f>
        <v/>
      </c>
      <c r="I294" s="7">
        <f>IF($G294&lt;&gt;"Valid","",VLOOKUP($E294&amp;"|"&amp;$F294,Cluster_Master!$I$3:$H$17,4,FALSE))</f>
        <v/>
      </c>
      <c r="J294" s="7">
        <f>IF($G294&lt;&gt;"Valid","",VLOOKUP($E294&amp;"|"&amp;$F294,Cluster_Master!$I$3:$H$17,5,FALSE))</f>
        <v/>
      </c>
      <c r="K294" s="7">
        <f>IF($G294&lt;&gt;"Valid","",VLOOKUP($E294&amp;"|"&amp;$F294,Cluster_Master!$I$3:$H$17,6,FALSE))</f>
        <v/>
      </c>
      <c r="L294" s="7">
        <f>IF($G294&lt;&gt;"Valid","",VLOOKUP($E294&amp;"|"&amp;$F294,Cluster_Master!$I$3:$H$17,7,FALSE))</f>
        <v/>
      </c>
      <c r="M294" s="7">
        <f>IF($G294&lt;&gt;"Valid","",VLOOKUP($E294&amp;"|"&amp;$F294,Cluster_Master!$I$3:$H$17,8,FALSE))</f>
        <v/>
      </c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7">
        <f>IF(COUNT(T294:AH294)=0,"",SUM(T294:AH294))</f>
        <v/>
      </c>
      <c r="AJ294" s="10">
        <f>IF(AI294="","",AI294/75)</f>
        <v/>
      </c>
      <c r="AK294" s="10">
        <f>IF(AI294="","",SUMPRODUCT(T294:AH294,KPI_Weights!$B$3:$B$17)/5)</f>
        <v/>
      </c>
      <c r="AL294" s="7">
        <f>IF(COUNT(T294:AH294)=0,"",IF(OR(T294&lt;=1,W294&lt;=1,X294&lt;=1,Y294&lt;=1,AB294&lt;=1),"YES","NO"))</f>
        <v/>
      </c>
      <c r="AM294" s="7">
        <f>IF(AK294="","",IF(AND(AK294="NO",AJ294&gt;=0.85),"YES","NO"))</f>
        <v/>
      </c>
      <c r="AN294" s="7">
        <f>IF(AJ294="","",IF(AJ294&gt;=0.90,"Excellent",IF(AJ294&gt;=0.80,"Good",IF(AJ294&gt;=0.70,"Fair","Poor"))))</f>
        <v/>
      </c>
      <c r="AO294" s="12" t="n"/>
      <c r="AP294" s="12" t="n"/>
      <c r="AQ294" s="12" t="n"/>
      <c r="AR294" s="12" t="n"/>
      <c r="AS294" s="12" t="n"/>
      <c r="AT294" s="12" t="n"/>
      <c r="AU294" s="12" t="n"/>
      <c r="AV294" s="11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</row>
    <row r="295">
      <c r="A295" s="7">
        <f>IF(B295="","","INS-"&amp;TEXT(ROW()-3,"000"))</f>
        <v/>
      </c>
      <c r="B295" s="11" t="n"/>
      <c r="C295" s="7">
        <f>IF(B295="","",ISOWEEKNUM(B295))</f>
        <v/>
      </c>
      <c r="D295" s="7">
        <f>IF(B295="","",TEXT(B295,"yyyy-mm"))</f>
        <v/>
      </c>
      <c r="E295" s="12" t="n"/>
      <c r="F295" s="12" t="n"/>
      <c r="G295" s="7">
        <f>IF(OR(E295="",F295=""),"",IF(COUNTIF(Cluster_Master!$I$3:$I$17,E295&amp;"|"&amp;F295)=1,"Valid","Review"))</f>
        <v/>
      </c>
      <c r="H295" s="7">
        <f>IF($G295&lt;&gt;"Valid","",VLOOKUP($E295&amp;"|"&amp;$F295,Cluster_Master!$I$3:$H$17,3,FALSE))</f>
        <v/>
      </c>
      <c r="I295" s="7">
        <f>IF($G295&lt;&gt;"Valid","",VLOOKUP($E295&amp;"|"&amp;$F295,Cluster_Master!$I$3:$H$17,4,FALSE))</f>
        <v/>
      </c>
      <c r="J295" s="7">
        <f>IF($G295&lt;&gt;"Valid","",VLOOKUP($E295&amp;"|"&amp;$F295,Cluster_Master!$I$3:$H$17,5,FALSE))</f>
        <v/>
      </c>
      <c r="K295" s="7">
        <f>IF($G295&lt;&gt;"Valid","",VLOOKUP($E295&amp;"|"&amp;$F295,Cluster_Master!$I$3:$H$17,6,FALSE))</f>
        <v/>
      </c>
      <c r="L295" s="7">
        <f>IF($G295&lt;&gt;"Valid","",VLOOKUP($E295&amp;"|"&amp;$F295,Cluster_Master!$I$3:$H$17,7,FALSE))</f>
        <v/>
      </c>
      <c r="M295" s="7">
        <f>IF($G295&lt;&gt;"Valid","",VLOOKUP($E295&amp;"|"&amp;$F295,Cluster_Master!$I$3:$H$17,8,FALSE))</f>
        <v/>
      </c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7">
        <f>IF(COUNT(T295:AH295)=0,"",SUM(T295:AH295))</f>
        <v/>
      </c>
      <c r="AJ295" s="10">
        <f>IF(AI295="","",AI295/75)</f>
        <v/>
      </c>
      <c r="AK295" s="10">
        <f>IF(AI295="","",SUMPRODUCT(T295:AH295,KPI_Weights!$B$3:$B$17)/5)</f>
        <v/>
      </c>
      <c r="AL295" s="7">
        <f>IF(COUNT(T295:AH295)=0,"",IF(OR(T295&lt;=1,W295&lt;=1,X295&lt;=1,Y295&lt;=1,AB295&lt;=1),"YES","NO"))</f>
        <v/>
      </c>
      <c r="AM295" s="7">
        <f>IF(AK295="","",IF(AND(AK295="NO",AJ295&gt;=0.85),"YES","NO"))</f>
        <v/>
      </c>
      <c r="AN295" s="7">
        <f>IF(AJ295="","",IF(AJ295&gt;=0.90,"Excellent",IF(AJ295&gt;=0.80,"Good",IF(AJ295&gt;=0.70,"Fair","Poor"))))</f>
        <v/>
      </c>
      <c r="AO295" s="12" t="n"/>
      <c r="AP295" s="12" t="n"/>
      <c r="AQ295" s="12" t="n"/>
      <c r="AR295" s="12" t="n"/>
      <c r="AS295" s="12" t="n"/>
      <c r="AT295" s="12" t="n"/>
      <c r="AU295" s="12" t="n"/>
      <c r="AV295" s="11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</row>
    <row r="296">
      <c r="A296" s="7">
        <f>IF(B296="","","INS-"&amp;TEXT(ROW()-3,"000"))</f>
        <v/>
      </c>
      <c r="B296" s="11" t="n"/>
      <c r="C296" s="7">
        <f>IF(B296="","",ISOWEEKNUM(B296))</f>
        <v/>
      </c>
      <c r="D296" s="7">
        <f>IF(B296="","",TEXT(B296,"yyyy-mm"))</f>
        <v/>
      </c>
      <c r="E296" s="12" t="n"/>
      <c r="F296" s="12" t="n"/>
      <c r="G296" s="7">
        <f>IF(OR(E296="",F296=""),"",IF(COUNTIF(Cluster_Master!$I$3:$I$17,E296&amp;"|"&amp;F296)=1,"Valid","Review"))</f>
        <v/>
      </c>
      <c r="H296" s="7">
        <f>IF($G296&lt;&gt;"Valid","",VLOOKUP($E296&amp;"|"&amp;$F296,Cluster_Master!$I$3:$H$17,3,FALSE))</f>
        <v/>
      </c>
      <c r="I296" s="7">
        <f>IF($G296&lt;&gt;"Valid","",VLOOKUP($E296&amp;"|"&amp;$F296,Cluster_Master!$I$3:$H$17,4,FALSE))</f>
        <v/>
      </c>
      <c r="J296" s="7">
        <f>IF($G296&lt;&gt;"Valid","",VLOOKUP($E296&amp;"|"&amp;$F296,Cluster_Master!$I$3:$H$17,5,FALSE))</f>
        <v/>
      </c>
      <c r="K296" s="7">
        <f>IF($G296&lt;&gt;"Valid","",VLOOKUP($E296&amp;"|"&amp;$F296,Cluster_Master!$I$3:$H$17,6,FALSE))</f>
        <v/>
      </c>
      <c r="L296" s="7">
        <f>IF($G296&lt;&gt;"Valid","",VLOOKUP($E296&amp;"|"&amp;$F296,Cluster_Master!$I$3:$H$17,7,FALSE))</f>
        <v/>
      </c>
      <c r="M296" s="7">
        <f>IF($G296&lt;&gt;"Valid","",VLOOKUP($E296&amp;"|"&amp;$F296,Cluster_Master!$I$3:$H$17,8,FALSE))</f>
        <v/>
      </c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7">
        <f>IF(COUNT(T296:AH296)=0,"",SUM(T296:AH296))</f>
        <v/>
      </c>
      <c r="AJ296" s="10">
        <f>IF(AI296="","",AI296/75)</f>
        <v/>
      </c>
      <c r="AK296" s="10">
        <f>IF(AI296="","",SUMPRODUCT(T296:AH296,KPI_Weights!$B$3:$B$17)/5)</f>
        <v/>
      </c>
      <c r="AL296" s="7">
        <f>IF(COUNT(T296:AH296)=0,"",IF(OR(T296&lt;=1,W296&lt;=1,X296&lt;=1,Y296&lt;=1,AB296&lt;=1),"YES","NO"))</f>
        <v/>
      </c>
      <c r="AM296" s="7">
        <f>IF(AK296="","",IF(AND(AK296="NO",AJ296&gt;=0.85),"YES","NO"))</f>
        <v/>
      </c>
      <c r="AN296" s="7">
        <f>IF(AJ296="","",IF(AJ296&gt;=0.90,"Excellent",IF(AJ296&gt;=0.80,"Good",IF(AJ296&gt;=0.70,"Fair","Poor"))))</f>
        <v/>
      </c>
      <c r="AO296" s="12" t="n"/>
      <c r="AP296" s="12" t="n"/>
      <c r="AQ296" s="12" t="n"/>
      <c r="AR296" s="12" t="n"/>
      <c r="AS296" s="12" t="n"/>
      <c r="AT296" s="12" t="n"/>
      <c r="AU296" s="12" t="n"/>
      <c r="AV296" s="11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</row>
    <row r="297">
      <c r="A297" s="7">
        <f>IF(B297="","","INS-"&amp;TEXT(ROW()-3,"000"))</f>
        <v/>
      </c>
      <c r="B297" s="11" t="n"/>
      <c r="C297" s="7">
        <f>IF(B297="","",ISOWEEKNUM(B297))</f>
        <v/>
      </c>
      <c r="D297" s="7">
        <f>IF(B297="","",TEXT(B297,"yyyy-mm"))</f>
        <v/>
      </c>
      <c r="E297" s="12" t="n"/>
      <c r="F297" s="12" t="n"/>
      <c r="G297" s="7">
        <f>IF(OR(E297="",F297=""),"",IF(COUNTIF(Cluster_Master!$I$3:$I$17,E297&amp;"|"&amp;F297)=1,"Valid","Review"))</f>
        <v/>
      </c>
      <c r="H297" s="7">
        <f>IF($G297&lt;&gt;"Valid","",VLOOKUP($E297&amp;"|"&amp;$F297,Cluster_Master!$I$3:$H$17,3,FALSE))</f>
        <v/>
      </c>
      <c r="I297" s="7">
        <f>IF($G297&lt;&gt;"Valid","",VLOOKUP($E297&amp;"|"&amp;$F297,Cluster_Master!$I$3:$H$17,4,FALSE))</f>
        <v/>
      </c>
      <c r="J297" s="7">
        <f>IF($G297&lt;&gt;"Valid","",VLOOKUP($E297&amp;"|"&amp;$F297,Cluster_Master!$I$3:$H$17,5,FALSE))</f>
        <v/>
      </c>
      <c r="K297" s="7">
        <f>IF($G297&lt;&gt;"Valid","",VLOOKUP($E297&amp;"|"&amp;$F297,Cluster_Master!$I$3:$H$17,6,FALSE))</f>
        <v/>
      </c>
      <c r="L297" s="7">
        <f>IF($G297&lt;&gt;"Valid","",VLOOKUP($E297&amp;"|"&amp;$F297,Cluster_Master!$I$3:$H$17,7,FALSE))</f>
        <v/>
      </c>
      <c r="M297" s="7">
        <f>IF($G297&lt;&gt;"Valid","",VLOOKUP($E297&amp;"|"&amp;$F297,Cluster_Master!$I$3:$H$17,8,FALSE))</f>
        <v/>
      </c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7">
        <f>IF(COUNT(T297:AH297)=0,"",SUM(T297:AH297))</f>
        <v/>
      </c>
      <c r="AJ297" s="10">
        <f>IF(AI297="","",AI297/75)</f>
        <v/>
      </c>
      <c r="AK297" s="10">
        <f>IF(AI297="","",SUMPRODUCT(T297:AH297,KPI_Weights!$B$3:$B$17)/5)</f>
        <v/>
      </c>
      <c r="AL297" s="7">
        <f>IF(COUNT(T297:AH297)=0,"",IF(OR(T297&lt;=1,W297&lt;=1,X297&lt;=1,Y297&lt;=1,AB297&lt;=1),"YES","NO"))</f>
        <v/>
      </c>
      <c r="AM297" s="7">
        <f>IF(AK297="","",IF(AND(AK297="NO",AJ297&gt;=0.85),"YES","NO"))</f>
        <v/>
      </c>
      <c r="AN297" s="7">
        <f>IF(AJ297="","",IF(AJ297&gt;=0.90,"Excellent",IF(AJ297&gt;=0.80,"Good",IF(AJ297&gt;=0.70,"Fair","Poor"))))</f>
        <v/>
      </c>
      <c r="AO297" s="12" t="n"/>
      <c r="AP297" s="12" t="n"/>
      <c r="AQ297" s="12" t="n"/>
      <c r="AR297" s="12" t="n"/>
      <c r="AS297" s="12" t="n"/>
      <c r="AT297" s="12" t="n"/>
      <c r="AU297" s="12" t="n"/>
      <c r="AV297" s="11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</row>
    <row r="298">
      <c r="A298" s="7">
        <f>IF(B298="","","INS-"&amp;TEXT(ROW()-3,"000"))</f>
        <v/>
      </c>
      <c r="B298" s="11" t="n"/>
      <c r="C298" s="7">
        <f>IF(B298="","",ISOWEEKNUM(B298))</f>
        <v/>
      </c>
      <c r="D298" s="7">
        <f>IF(B298="","",TEXT(B298,"yyyy-mm"))</f>
        <v/>
      </c>
      <c r="E298" s="12" t="n"/>
      <c r="F298" s="12" t="n"/>
      <c r="G298" s="7">
        <f>IF(OR(E298="",F298=""),"",IF(COUNTIF(Cluster_Master!$I$3:$I$17,E298&amp;"|"&amp;F298)=1,"Valid","Review"))</f>
        <v/>
      </c>
      <c r="H298" s="7">
        <f>IF($G298&lt;&gt;"Valid","",VLOOKUP($E298&amp;"|"&amp;$F298,Cluster_Master!$I$3:$H$17,3,FALSE))</f>
        <v/>
      </c>
      <c r="I298" s="7">
        <f>IF($G298&lt;&gt;"Valid","",VLOOKUP($E298&amp;"|"&amp;$F298,Cluster_Master!$I$3:$H$17,4,FALSE))</f>
        <v/>
      </c>
      <c r="J298" s="7">
        <f>IF($G298&lt;&gt;"Valid","",VLOOKUP($E298&amp;"|"&amp;$F298,Cluster_Master!$I$3:$H$17,5,FALSE))</f>
        <v/>
      </c>
      <c r="K298" s="7">
        <f>IF($G298&lt;&gt;"Valid","",VLOOKUP($E298&amp;"|"&amp;$F298,Cluster_Master!$I$3:$H$17,6,FALSE))</f>
        <v/>
      </c>
      <c r="L298" s="7">
        <f>IF($G298&lt;&gt;"Valid","",VLOOKUP($E298&amp;"|"&amp;$F298,Cluster_Master!$I$3:$H$17,7,FALSE))</f>
        <v/>
      </c>
      <c r="M298" s="7">
        <f>IF($G298&lt;&gt;"Valid","",VLOOKUP($E298&amp;"|"&amp;$F298,Cluster_Master!$I$3:$H$17,8,FALSE))</f>
        <v/>
      </c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7">
        <f>IF(COUNT(T298:AH298)=0,"",SUM(T298:AH298))</f>
        <v/>
      </c>
      <c r="AJ298" s="10">
        <f>IF(AI298="","",AI298/75)</f>
        <v/>
      </c>
      <c r="AK298" s="10">
        <f>IF(AI298="","",SUMPRODUCT(T298:AH298,KPI_Weights!$B$3:$B$17)/5)</f>
        <v/>
      </c>
      <c r="AL298" s="7">
        <f>IF(COUNT(T298:AH298)=0,"",IF(OR(T298&lt;=1,W298&lt;=1,X298&lt;=1,Y298&lt;=1,AB298&lt;=1),"YES","NO"))</f>
        <v/>
      </c>
      <c r="AM298" s="7">
        <f>IF(AK298="","",IF(AND(AK298="NO",AJ298&gt;=0.85),"YES","NO"))</f>
        <v/>
      </c>
      <c r="AN298" s="7">
        <f>IF(AJ298="","",IF(AJ298&gt;=0.90,"Excellent",IF(AJ298&gt;=0.80,"Good",IF(AJ298&gt;=0.70,"Fair","Poor"))))</f>
        <v/>
      </c>
      <c r="AO298" s="12" t="n"/>
      <c r="AP298" s="12" t="n"/>
      <c r="AQ298" s="12" t="n"/>
      <c r="AR298" s="12" t="n"/>
      <c r="AS298" s="12" t="n"/>
      <c r="AT298" s="12" t="n"/>
      <c r="AU298" s="12" t="n"/>
      <c r="AV298" s="11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</row>
    <row r="299">
      <c r="A299" s="7">
        <f>IF(B299="","","INS-"&amp;TEXT(ROW()-3,"000"))</f>
        <v/>
      </c>
      <c r="B299" s="11" t="n"/>
      <c r="C299" s="7">
        <f>IF(B299="","",ISOWEEKNUM(B299))</f>
        <v/>
      </c>
      <c r="D299" s="7">
        <f>IF(B299="","",TEXT(B299,"yyyy-mm"))</f>
        <v/>
      </c>
      <c r="E299" s="12" t="n"/>
      <c r="F299" s="12" t="n"/>
      <c r="G299" s="7">
        <f>IF(OR(E299="",F299=""),"",IF(COUNTIF(Cluster_Master!$I$3:$I$17,E299&amp;"|"&amp;F299)=1,"Valid","Review"))</f>
        <v/>
      </c>
      <c r="H299" s="7">
        <f>IF($G299&lt;&gt;"Valid","",VLOOKUP($E299&amp;"|"&amp;$F299,Cluster_Master!$I$3:$H$17,3,FALSE))</f>
        <v/>
      </c>
      <c r="I299" s="7">
        <f>IF($G299&lt;&gt;"Valid","",VLOOKUP($E299&amp;"|"&amp;$F299,Cluster_Master!$I$3:$H$17,4,FALSE))</f>
        <v/>
      </c>
      <c r="J299" s="7">
        <f>IF($G299&lt;&gt;"Valid","",VLOOKUP($E299&amp;"|"&amp;$F299,Cluster_Master!$I$3:$H$17,5,FALSE))</f>
        <v/>
      </c>
      <c r="K299" s="7">
        <f>IF($G299&lt;&gt;"Valid","",VLOOKUP($E299&amp;"|"&amp;$F299,Cluster_Master!$I$3:$H$17,6,FALSE))</f>
        <v/>
      </c>
      <c r="L299" s="7">
        <f>IF($G299&lt;&gt;"Valid","",VLOOKUP($E299&amp;"|"&amp;$F299,Cluster_Master!$I$3:$H$17,7,FALSE))</f>
        <v/>
      </c>
      <c r="M299" s="7">
        <f>IF($G299&lt;&gt;"Valid","",VLOOKUP($E299&amp;"|"&amp;$F299,Cluster_Master!$I$3:$H$17,8,FALSE))</f>
        <v/>
      </c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7">
        <f>IF(COUNT(T299:AH299)=0,"",SUM(T299:AH299))</f>
        <v/>
      </c>
      <c r="AJ299" s="10">
        <f>IF(AI299="","",AI299/75)</f>
        <v/>
      </c>
      <c r="AK299" s="10">
        <f>IF(AI299="","",SUMPRODUCT(T299:AH299,KPI_Weights!$B$3:$B$17)/5)</f>
        <v/>
      </c>
      <c r="AL299" s="7">
        <f>IF(COUNT(T299:AH299)=0,"",IF(OR(T299&lt;=1,W299&lt;=1,X299&lt;=1,Y299&lt;=1,AB299&lt;=1),"YES","NO"))</f>
        <v/>
      </c>
      <c r="AM299" s="7">
        <f>IF(AK299="","",IF(AND(AK299="NO",AJ299&gt;=0.85),"YES","NO"))</f>
        <v/>
      </c>
      <c r="AN299" s="7">
        <f>IF(AJ299="","",IF(AJ299&gt;=0.90,"Excellent",IF(AJ299&gt;=0.80,"Good",IF(AJ299&gt;=0.70,"Fair","Poor"))))</f>
        <v/>
      </c>
      <c r="AO299" s="12" t="n"/>
      <c r="AP299" s="12" t="n"/>
      <c r="AQ299" s="12" t="n"/>
      <c r="AR299" s="12" t="n"/>
      <c r="AS299" s="12" t="n"/>
      <c r="AT299" s="12" t="n"/>
      <c r="AU299" s="12" t="n"/>
      <c r="AV299" s="11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</row>
    <row r="300">
      <c r="A300" s="7">
        <f>IF(B300="","","INS-"&amp;TEXT(ROW()-3,"000"))</f>
        <v/>
      </c>
      <c r="B300" s="11" t="n"/>
      <c r="C300" s="7">
        <f>IF(B300="","",ISOWEEKNUM(B300))</f>
        <v/>
      </c>
      <c r="D300" s="7">
        <f>IF(B300="","",TEXT(B300,"yyyy-mm"))</f>
        <v/>
      </c>
      <c r="E300" s="12" t="n"/>
      <c r="F300" s="12" t="n"/>
      <c r="G300" s="7">
        <f>IF(OR(E300="",F300=""),"",IF(COUNTIF(Cluster_Master!$I$3:$I$17,E300&amp;"|"&amp;F300)=1,"Valid","Review"))</f>
        <v/>
      </c>
      <c r="H300" s="7">
        <f>IF($G300&lt;&gt;"Valid","",VLOOKUP($E300&amp;"|"&amp;$F300,Cluster_Master!$I$3:$H$17,3,FALSE))</f>
        <v/>
      </c>
      <c r="I300" s="7">
        <f>IF($G300&lt;&gt;"Valid","",VLOOKUP($E300&amp;"|"&amp;$F300,Cluster_Master!$I$3:$H$17,4,FALSE))</f>
        <v/>
      </c>
      <c r="J300" s="7">
        <f>IF($G300&lt;&gt;"Valid","",VLOOKUP($E300&amp;"|"&amp;$F300,Cluster_Master!$I$3:$H$17,5,FALSE))</f>
        <v/>
      </c>
      <c r="K300" s="7">
        <f>IF($G300&lt;&gt;"Valid","",VLOOKUP($E300&amp;"|"&amp;$F300,Cluster_Master!$I$3:$H$17,6,FALSE))</f>
        <v/>
      </c>
      <c r="L300" s="7">
        <f>IF($G300&lt;&gt;"Valid","",VLOOKUP($E300&amp;"|"&amp;$F300,Cluster_Master!$I$3:$H$17,7,FALSE))</f>
        <v/>
      </c>
      <c r="M300" s="7">
        <f>IF($G300&lt;&gt;"Valid","",VLOOKUP($E300&amp;"|"&amp;$F300,Cluster_Master!$I$3:$H$17,8,FALSE))</f>
        <v/>
      </c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7">
        <f>IF(COUNT(T300:AH300)=0,"",SUM(T300:AH300))</f>
        <v/>
      </c>
      <c r="AJ300" s="10">
        <f>IF(AI300="","",AI300/75)</f>
        <v/>
      </c>
      <c r="AK300" s="10">
        <f>IF(AI300="","",SUMPRODUCT(T300:AH300,KPI_Weights!$B$3:$B$17)/5)</f>
        <v/>
      </c>
      <c r="AL300" s="7">
        <f>IF(COUNT(T300:AH300)=0,"",IF(OR(T300&lt;=1,W300&lt;=1,X300&lt;=1,Y300&lt;=1,AB300&lt;=1),"YES","NO"))</f>
        <v/>
      </c>
      <c r="AM300" s="7">
        <f>IF(AK300="","",IF(AND(AK300="NO",AJ300&gt;=0.85),"YES","NO"))</f>
        <v/>
      </c>
      <c r="AN300" s="7">
        <f>IF(AJ300="","",IF(AJ300&gt;=0.90,"Excellent",IF(AJ300&gt;=0.80,"Good",IF(AJ300&gt;=0.70,"Fair","Poor"))))</f>
        <v/>
      </c>
      <c r="AO300" s="12" t="n"/>
      <c r="AP300" s="12" t="n"/>
      <c r="AQ300" s="12" t="n"/>
      <c r="AR300" s="12" t="n"/>
      <c r="AS300" s="12" t="n"/>
      <c r="AT300" s="12" t="n"/>
      <c r="AU300" s="12" t="n"/>
      <c r="AV300" s="11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</row>
    <row r="301">
      <c r="A301" s="7">
        <f>IF(B301="","","INS-"&amp;TEXT(ROW()-3,"000"))</f>
        <v/>
      </c>
      <c r="B301" s="11" t="n"/>
      <c r="C301" s="7">
        <f>IF(B301="","",ISOWEEKNUM(B301))</f>
        <v/>
      </c>
      <c r="D301" s="7">
        <f>IF(B301="","",TEXT(B301,"yyyy-mm"))</f>
        <v/>
      </c>
      <c r="E301" s="12" t="n"/>
      <c r="F301" s="12" t="n"/>
      <c r="G301" s="7">
        <f>IF(OR(E301="",F301=""),"",IF(COUNTIF(Cluster_Master!$I$3:$I$17,E301&amp;"|"&amp;F301)=1,"Valid","Review"))</f>
        <v/>
      </c>
      <c r="H301" s="7">
        <f>IF($G301&lt;&gt;"Valid","",VLOOKUP($E301&amp;"|"&amp;$F301,Cluster_Master!$I$3:$H$17,3,FALSE))</f>
        <v/>
      </c>
      <c r="I301" s="7">
        <f>IF($G301&lt;&gt;"Valid","",VLOOKUP($E301&amp;"|"&amp;$F301,Cluster_Master!$I$3:$H$17,4,FALSE))</f>
        <v/>
      </c>
      <c r="J301" s="7">
        <f>IF($G301&lt;&gt;"Valid","",VLOOKUP($E301&amp;"|"&amp;$F301,Cluster_Master!$I$3:$H$17,5,FALSE))</f>
        <v/>
      </c>
      <c r="K301" s="7">
        <f>IF($G301&lt;&gt;"Valid","",VLOOKUP($E301&amp;"|"&amp;$F301,Cluster_Master!$I$3:$H$17,6,FALSE))</f>
        <v/>
      </c>
      <c r="L301" s="7">
        <f>IF($G301&lt;&gt;"Valid","",VLOOKUP($E301&amp;"|"&amp;$F301,Cluster_Master!$I$3:$H$17,7,FALSE))</f>
        <v/>
      </c>
      <c r="M301" s="7">
        <f>IF($G301&lt;&gt;"Valid","",VLOOKUP($E301&amp;"|"&amp;$F301,Cluster_Master!$I$3:$H$17,8,FALSE))</f>
        <v/>
      </c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7">
        <f>IF(COUNT(T301:AH301)=0,"",SUM(T301:AH301))</f>
        <v/>
      </c>
      <c r="AJ301" s="10">
        <f>IF(AI301="","",AI301/75)</f>
        <v/>
      </c>
      <c r="AK301" s="10">
        <f>IF(AI301="","",SUMPRODUCT(T301:AH301,KPI_Weights!$B$3:$B$17)/5)</f>
        <v/>
      </c>
      <c r="AL301" s="7">
        <f>IF(COUNT(T301:AH301)=0,"",IF(OR(T301&lt;=1,W301&lt;=1,X301&lt;=1,Y301&lt;=1,AB301&lt;=1),"YES","NO"))</f>
        <v/>
      </c>
      <c r="AM301" s="7">
        <f>IF(AK301="","",IF(AND(AK301="NO",AJ301&gt;=0.85),"YES","NO"))</f>
        <v/>
      </c>
      <c r="AN301" s="7">
        <f>IF(AJ301="","",IF(AJ301&gt;=0.90,"Excellent",IF(AJ301&gt;=0.80,"Good",IF(AJ301&gt;=0.70,"Fair","Poor"))))</f>
        <v/>
      </c>
      <c r="AO301" s="12" t="n"/>
      <c r="AP301" s="12" t="n"/>
      <c r="AQ301" s="12" t="n"/>
      <c r="AR301" s="12" t="n"/>
      <c r="AS301" s="12" t="n"/>
      <c r="AT301" s="12" t="n"/>
      <c r="AU301" s="12" t="n"/>
      <c r="AV301" s="11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</row>
    <row r="302">
      <c r="A302" s="7">
        <f>IF(B302="","","INS-"&amp;TEXT(ROW()-3,"000"))</f>
        <v/>
      </c>
      <c r="B302" s="11" t="n"/>
      <c r="C302" s="7">
        <f>IF(B302="","",ISOWEEKNUM(B302))</f>
        <v/>
      </c>
      <c r="D302" s="7">
        <f>IF(B302="","",TEXT(B302,"yyyy-mm"))</f>
        <v/>
      </c>
      <c r="E302" s="12" t="n"/>
      <c r="F302" s="12" t="n"/>
      <c r="G302" s="7">
        <f>IF(OR(E302="",F302=""),"",IF(COUNTIF(Cluster_Master!$I$3:$I$17,E302&amp;"|"&amp;F302)=1,"Valid","Review"))</f>
        <v/>
      </c>
      <c r="H302" s="7">
        <f>IF($G302&lt;&gt;"Valid","",VLOOKUP($E302&amp;"|"&amp;$F302,Cluster_Master!$I$3:$H$17,3,FALSE))</f>
        <v/>
      </c>
      <c r="I302" s="7">
        <f>IF($G302&lt;&gt;"Valid","",VLOOKUP($E302&amp;"|"&amp;$F302,Cluster_Master!$I$3:$H$17,4,FALSE))</f>
        <v/>
      </c>
      <c r="J302" s="7">
        <f>IF($G302&lt;&gt;"Valid","",VLOOKUP($E302&amp;"|"&amp;$F302,Cluster_Master!$I$3:$H$17,5,FALSE))</f>
        <v/>
      </c>
      <c r="K302" s="7">
        <f>IF($G302&lt;&gt;"Valid","",VLOOKUP($E302&amp;"|"&amp;$F302,Cluster_Master!$I$3:$H$17,6,FALSE))</f>
        <v/>
      </c>
      <c r="L302" s="7">
        <f>IF($G302&lt;&gt;"Valid","",VLOOKUP($E302&amp;"|"&amp;$F302,Cluster_Master!$I$3:$H$17,7,FALSE))</f>
        <v/>
      </c>
      <c r="M302" s="7">
        <f>IF($G302&lt;&gt;"Valid","",VLOOKUP($E302&amp;"|"&amp;$F302,Cluster_Master!$I$3:$H$17,8,FALSE))</f>
        <v/>
      </c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7">
        <f>IF(COUNT(T302:AH302)=0,"",SUM(T302:AH302))</f>
        <v/>
      </c>
      <c r="AJ302" s="10">
        <f>IF(AI302="","",AI302/75)</f>
        <v/>
      </c>
      <c r="AK302" s="10">
        <f>IF(AI302="","",SUMPRODUCT(T302:AH302,KPI_Weights!$B$3:$B$17)/5)</f>
        <v/>
      </c>
      <c r="AL302" s="7">
        <f>IF(COUNT(T302:AH302)=0,"",IF(OR(T302&lt;=1,W302&lt;=1,X302&lt;=1,Y302&lt;=1,AB302&lt;=1),"YES","NO"))</f>
        <v/>
      </c>
      <c r="AM302" s="7">
        <f>IF(AK302="","",IF(AND(AK302="NO",AJ302&gt;=0.85),"YES","NO"))</f>
        <v/>
      </c>
      <c r="AN302" s="7">
        <f>IF(AJ302="","",IF(AJ302&gt;=0.90,"Excellent",IF(AJ302&gt;=0.80,"Good",IF(AJ302&gt;=0.70,"Fair","Poor"))))</f>
        <v/>
      </c>
      <c r="AO302" s="12" t="n"/>
      <c r="AP302" s="12" t="n"/>
      <c r="AQ302" s="12" t="n"/>
      <c r="AR302" s="12" t="n"/>
      <c r="AS302" s="12" t="n"/>
      <c r="AT302" s="12" t="n"/>
      <c r="AU302" s="12" t="n"/>
      <c r="AV302" s="11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  <c r="BF302" s="12" t="n"/>
    </row>
    <row r="303">
      <c r="A303" s="7">
        <f>IF(B303="","","INS-"&amp;TEXT(ROW()-3,"000"))</f>
        <v/>
      </c>
      <c r="B303" s="11" t="n"/>
      <c r="C303" s="7">
        <f>IF(B303="","",ISOWEEKNUM(B303))</f>
        <v/>
      </c>
      <c r="D303" s="7">
        <f>IF(B303="","",TEXT(B303,"yyyy-mm"))</f>
        <v/>
      </c>
      <c r="E303" s="12" t="n"/>
      <c r="F303" s="12" t="n"/>
      <c r="G303" s="7">
        <f>IF(OR(E303="",F303=""),"",IF(COUNTIF(Cluster_Master!$I$3:$I$17,E303&amp;"|"&amp;F303)=1,"Valid","Review"))</f>
        <v/>
      </c>
      <c r="H303" s="7">
        <f>IF($G303&lt;&gt;"Valid","",VLOOKUP($E303&amp;"|"&amp;$F303,Cluster_Master!$I$3:$H$17,3,FALSE))</f>
        <v/>
      </c>
      <c r="I303" s="7">
        <f>IF($G303&lt;&gt;"Valid","",VLOOKUP($E303&amp;"|"&amp;$F303,Cluster_Master!$I$3:$H$17,4,FALSE))</f>
        <v/>
      </c>
      <c r="J303" s="7">
        <f>IF($G303&lt;&gt;"Valid","",VLOOKUP($E303&amp;"|"&amp;$F303,Cluster_Master!$I$3:$H$17,5,FALSE))</f>
        <v/>
      </c>
      <c r="K303" s="7">
        <f>IF($G303&lt;&gt;"Valid","",VLOOKUP($E303&amp;"|"&amp;$F303,Cluster_Master!$I$3:$H$17,6,FALSE))</f>
        <v/>
      </c>
      <c r="L303" s="7">
        <f>IF($G303&lt;&gt;"Valid","",VLOOKUP($E303&amp;"|"&amp;$F303,Cluster_Master!$I$3:$H$17,7,FALSE))</f>
        <v/>
      </c>
      <c r="M303" s="7">
        <f>IF($G303&lt;&gt;"Valid","",VLOOKUP($E303&amp;"|"&amp;$F303,Cluster_Master!$I$3:$H$17,8,FALSE))</f>
        <v/>
      </c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7">
        <f>IF(COUNT(T303:AH303)=0,"",SUM(T303:AH303))</f>
        <v/>
      </c>
      <c r="AJ303" s="10">
        <f>IF(AI303="","",AI303/75)</f>
        <v/>
      </c>
      <c r="AK303" s="10">
        <f>IF(AI303="","",SUMPRODUCT(T303:AH303,KPI_Weights!$B$3:$B$17)/5)</f>
        <v/>
      </c>
      <c r="AL303" s="7">
        <f>IF(COUNT(T303:AH303)=0,"",IF(OR(T303&lt;=1,W303&lt;=1,X303&lt;=1,Y303&lt;=1,AB303&lt;=1),"YES","NO"))</f>
        <v/>
      </c>
      <c r="AM303" s="7">
        <f>IF(AK303="","",IF(AND(AK303="NO",AJ303&gt;=0.85),"YES","NO"))</f>
        <v/>
      </c>
      <c r="AN303" s="7">
        <f>IF(AJ303="","",IF(AJ303&gt;=0.90,"Excellent",IF(AJ303&gt;=0.80,"Good",IF(AJ303&gt;=0.70,"Fair","Poor"))))</f>
        <v/>
      </c>
      <c r="AO303" s="12" t="n"/>
      <c r="AP303" s="12" t="n"/>
      <c r="AQ303" s="12" t="n"/>
      <c r="AR303" s="12" t="n"/>
      <c r="AS303" s="12" t="n"/>
      <c r="AT303" s="12" t="n"/>
      <c r="AU303" s="12" t="n"/>
      <c r="AV303" s="11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  <c r="BF303" s="12" t="n"/>
    </row>
    <row r="304">
      <c r="A304" s="7">
        <f>IF(B304="","","INS-"&amp;TEXT(ROW()-3,"000"))</f>
        <v/>
      </c>
      <c r="B304" s="11" t="n"/>
      <c r="C304" s="7">
        <f>IF(B304="","",ISOWEEKNUM(B304))</f>
        <v/>
      </c>
      <c r="D304" s="7">
        <f>IF(B304="","",TEXT(B304,"yyyy-mm"))</f>
        <v/>
      </c>
      <c r="E304" s="12" t="n"/>
      <c r="F304" s="12" t="n"/>
      <c r="G304" s="7">
        <f>IF(OR(E304="",F304=""),"",IF(COUNTIF(Cluster_Master!$I$3:$I$17,E304&amp;"|"&amp;F304)=1,"Valid","Review"))</f>
        <v/>
      </c>
      <c r="H304" s="7">
        <f>IF($G304&lt;&gt;"Valid","",VLOOKUP($E304&amp;"|"&amp;$F304,Cluster_Master!$I$3:$H$17,3,FALSE))</f>
        <v/>
      </c>
      <c r="I304" s="7">
        <f>IF($G304&lt;&gt;"Valid","",VLOOKUP($E304&amp;"|"&amp;$F304,Cluster_Master!$I$3:$H$17,4,FALSE))</f>
        <v/>
      </c>
      <c r="J304" s="7">
        <f>IF($G304&lt;&gt;"Valid","",VLOOKUP($E304&amp;"|"&amp;$F304,Cluster_Master!$I$3:$H$17,5,FALSE))</f>
        <v/>
      </c>
      <c r="K304" s="7">
        <f>IF($G304&lt;&gt;"Valid","",VLOOKUP($E304&amp;"|"&amp;$F304,Cluster_Master!$I$3:$H$17,6,FALSE))</f>
        <v/>
      </c>
      <c r="L304" s="7">
        <f>IF($G304&lt;&gt;"Valid","",VLOOKUP($E304&amp;"|"&amp;$F304,Cluster_Master!$I$3:$H$17,7,FALSE))</f>
        <v/>
      </c>
      <c r="M304" s="7">
        <f>IF($G304&lt;&gt;"Valid","",VLOOKUP($E304&amp;"|"&amp;$F304,Cluster_Master!$I$3:$H$17,8,FALSE))</f>
        <v/>
      </c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7">
        <f>IF(COUNT(T304:AH304)=0,"",SUM(T304:AH304))</f>
        <v/>
      </c>
      <c r="AJ304" s="10">
        <f>IF(AI304="","",AI304/75)</f>
        <v/>
      </c>
      <c r="AK304" s="10">
        <f>IF(AI304="","",SUMPRODUCT(T304:AH304,KPI_Weights!$B$3:$B$17)/5)</f>
        <v/>
      </c>
      <c r="AL304" s="7">
        <f>IF(COUNT(T304:AH304)=0,"",IF(OR(T304&lt;=1,W304&lt;=1,X304&lt;=1,Y304&lt;=1,AB304&lt;=1),"YES","NO"))</f>
        <v/>
      </c>
      <c r="AM304" s="7">
        <f>IF(AK304="","",IF(AND(AK304="NO",AJ304&gt;=0.85),"YES","NO"))</f>
        <v/>
      </c>
      <c r="AN304" s="7">
        <f>IF(AJ304="","",IF(AJ304&gt;=0.90,"Excellent",IF(AJ304&gt;=0.80,"Good",IF(AJ304&gt;=0.70,"Fair","Poor"))))</f>
        <v/>
      </c>
      <c r="AO304" s="12" t="n"/>
      <c r="AP304" s="12" t="n"/>
      <c r="AQ304" s="12" t="n"/>
      <c r="AR304" s="12" t="n"/>
      <c r="AS304" s="12" t="n"/>
      <c r="AT304" s="12" t="n"/>
      <c r="AU304" s="12" t="n"/>
      <c r="AV304" s="11" t="n"/>
      <c r="AW304" s="12" t="n"/>
      <c r="AX304" s="12" t="n"/>
      <c r="AY304" s="12" t="n"/>
      <c r="AZ304" s="12" t="n"/>
      <c r="BA304" s="12" t="n"/>
      <c r="BB304" s="12" t="n"/>
      <c r="BC304" s="12" t="n"/>
      <c r="BD304" s="12" t="n"/>
      <c r="BE304" s="12" t="n"/>
      <c r="BF304" s="12" t="n"/>
    </row>
    <row r="305">
      <c r="A305" s="7">
        <f>IF(B305="","","INS-"&amp;TEXT(ROW()-3,"000"))</f>
        <v/>
      </c>
      <c r="B305" s="11" t="n"/>
      <c r="C305" s="7">
        <f>IF(B305="","",ISOWEEKNUM(B305))</f>
        <v/>
      </c>
      <c r="D305" s="7">
        <f>IF(B305="","",TEXT(B305,"yyyy-mm"))</f>
        <v/>
      </c>
      <c r="E305" s="12" t="n"/>
      <c r="F305" s="12" t="n"/>
      <c r="G305" s="7">
        <f>IF(OR(E305="",F305=""),"",IF(COUNTIF(Cluster_Master!$I$3:$I$17,E305&amp;"|"&amp;F305)=1,"Valid","Review"))</f>
        <v/>
      </c>
      <c r="H305" s="7">
        <f>IF($G305&lt;&gt;"Valid","",VLOOKUP($E305&amp;"|"&amp;$F305,Cluster_Master!$I$3:$H$17,3,FALSE))</f>
        <v/>
      </c>
      <c r="I305" s="7">
        <f>IF($G305&lt;&gt;"Valid","",VLOOKUP($E305&amp;"|"&amp;$F305,Cluster_Master!$I$3:$H$17,4,FALSE))</f>
        <v/>
      </c>
      <c r="J305" s="7">
        <f>IF($G305&lt;&gt;"Valid","",VLOOKUP($E305&amp;"|"&amp;$F305,Cluster_Master!$I$3:$H$17,5,FALSE))</f>
        <v/>
      </c>
      <c r="K305" s="7">
        <f>IF($G305&lt;&gt;"Valid","",VLOOKUP($E305&amp;"|"&amp;$F305,Cluster_Master!$I$3:$H$17,6,FALSE))</f>
        <v/>
      </c>
      <c r="L305" s="7">
        <f>IF($G305&lt;&gt;"Valid","",VLOOKUP($E305&amp;"|"&amp;$F305,Cluster_Master!$I$3:$H$17,7,FALSE))</f>
        <v/>
      </c>
      <c r="M305" s="7">
        <f>IF($G305&lt;&gt;"Valid","",VLOOKUP($E305&amp;"|"&amp;$F305,Cluster_Master!$I$3:$H$17,8,FALSE))</f>
        <v/>
      </c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7">
        <f>IF(COUNT(T305:AH305)=0,"",SUM(T305:AH305))</f>
        <v/>
      </c>
      <c r="AJ305" s="10">
        <f>IF(AI305="","",AI305/75)</f>
        <v/>
      </c>
      <c r="AK305" s="10">
        <f>IF(AI305="","",SUMPRODUCT(T305:AH305,KPI_Weights!$B$3:$B$17)/5)</f>
        <v/>
      </c>
      <c r="AL305" s="7">
        <f>IF(COUNT(T305:AH305)=0,"",IF(OR(T305&lt;=1,W305&lt;=1,X305&lt;=1,Y305&lt;=1,AB305&lt;=1),"YES","NO"))</f>
        <v/>
      </c>
      <c r="AM305" s="7">
        <f>IF(AK305="","",IF(AND(AK305="NO",AJ305&gt;=0.85),"YES","NO"))</f>
        <v/>
      </c>
      <c r="AN305" s="7">
        <f>IF(AJ305="","",IF(AJ305&gt;=0.90,"Excellent",IF(AJ305&gt;=0.80,"Good",IF(AJ305&gt;=0.70,"Fair","Poor"))))</f>
        <v/>
      </c>
      <c r="AO305" s="12" t="n"/>
      <c r="AP305" s="12" t="n"/>
      <c r="AQ305" s="12" t="n"/>
      <c r="AR305" s="12" t="n"/>
      <c r="AS305" s="12" t="n"/>
      <c r="AT305" s="12" t="n"/>
      <c r="AU305" s="12" t="n"/>
      <c r="AV305" s="11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  <c r="BF305" s="12" t="n"/>
    </row>
    <row r="306">
      <c r="A306" s="7">
        <f>IF(B306="","","INS-"&amp;TEXT(ROW()-3,"000"))</f>
        <v/>
      </c>
      <c r="B306" s="11" t="n"/>
      <c r="C306" s="7">
        <f>IF(B306="","",ISOWEEKNUM(B306))</f>
        <v/>
      </c>
      <c r="D306" s="7">
        <f>IF(B306="","",TEXT(B306,"yyyy-mm"))</f>
        <v/>
      </c>
      <c r="E306" s="12" t="n"/>
      <c r="F306" s="12" t="n"/>
      <c r="G306" s="7">
        <f>IF(OR(E306="",F306=""),"",IF(COUNTIF(Cluster_Master!$I$3:$I$17,E306&amp;"|"&amp;F306)=1,"Valid","Review"))</f>
        <v/>
      </c>
      <c r="H306" s="7">
        <f>IF($G306&lt;&gt;"Valid","",VLOOKUP($E306&amp;"|"&amp;$F306,Cluster_Master!$I$3:$H$17,3,FALSE))</f>
        <v/>
      </c>
      <c r="I306" s="7">
        <f>IF($G306&lt;&gt;"Valid","",VLOOKUP($E306&amp;"|"&amp;$F306,Cluster_Master!$I$3:$H$17,4,FALSE))</f>
        <v/>
      </c>
      <c r="J306" s="7">
        <f>IF($G306&lt;&gt;"Valid","",VLOOKUP($E306&amp;"|"&amp;$F306,Cluster_Master!$I$3:$H$17,5,FALSE))</f>
        <v/>
      </c>
      <c r="K306" s="7">
        <f>IF($G306&lt;&gt;"Valid","",VLOOKUP($E306&amp;"|"&amp;$F306,Cluster_Master!$I$3:$H$17,6,FALSE))</f>
        <v/>
      </c>
      <c r="L306" s="7">
        <f>IF($G306&lt;&gt;"Valid","",VLOOKUP($E306&amp;"|"&amp;$F306,Cluster_Master!$I$3:$H$17,7,FALSE))</f>
        <v/>
      </c>
      <c r="M306" s="7">
        <f>IF($G306&lt;&gt;"Valid","",VLOOKUP($E306&amp;"|"&amp;$F306,Cluster_Master!$I$3:$H$17,8,FALSE))</f>
        <v/>
      </c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7">
        <f>IF(COUNT(T306:AH306)=0,"",SUM(T306:AH306))</f>
        <v/>
      </c>
      <c r="AJ306" s="10">
        <f>IF(AI306="","",AI306/75)</f>
        <v/>
      </c>
      <c r="AK306" s="10">
        <f>IF(AI306="","",SUMPRODUCT(T306:AH306,KPI_Weights!$B$3:$B$17)/5)</f>
        <v/>
      </c>
      <c r="AL306" s="7">
        <f>IF(COUNT(T306:AH306)=0,"",IF(OR(T306&lt;=1,W306&lt;=1,X306&lt;=1,Y306&lt;=1,AB306&lt;=1),"YES","NO"))</f>
        <v/>
      </c>
      <c r="AM306" s="7">
        <f>IF(AK306="","",IF(AND(AK306="NO",AJ306&gt;=0.85),"YES","NO"))</f>
        <v/>
      </c>
      <c r="AN306" s="7">
        <f>IF(AJ306="","",IF(AJ306&gt;=0.90,"Excellent",IF(AJ306&gt;=0.80,"Good",IF(AJ306&gt;=0.70,"Fair","Poor"))))</f>
        <v/>
      </c>
      <c r="AO306" s="12" t="n"/>
      <c r="AP306" s="12" t="n"/>
      <c r="AQ306" s="12" t="n"/>
      <c r="AR306" s="12" t="n"/>
      <c r="AS306" s="12" t="n"/>
      <c r="AT306" s="12" t="n"/>
      <c r="AU306" s="12" t="n"/>
      <c r="AV306" s="11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  <c r="BF306" s="12" t="n"/>
    </row>
    <row r="307">
      <c r="A307" s="7">
        <f>IF(B307="","","INS-"&amp;TEXT(ROW()-3,"000"))</f>
        <v/>
      </c>
      <c r="B307" s="11" t="n"/>
      <c r="C307" s="7">
        <f>IF(B307="","",ISOWEEKNUM(B307))</f>
        <v/>
      </c>
      <c r="D307" s="7">
        <f>IF(B307="","",TEXT(B307,"yyyy-mm"))</f>
        <v/>
      </c>
      <c r="E307" s="12" t="n"/>
      <c r="F307" s="12" t="n"/>
      <c r="G307" s="7">
        <f>IF(OR(E307="",F307=""),"",IF(COUNTIF(Cluster_Master!$I$3:$I$17,E307&amp;"|"&amp;F307)=1,"Valid","Review"))</f>
        <v/>
      </c>
      <c r="H307" s="7">
        <f>IF($G307&lt;&gt;"Valid","",VLOOKUP($E307&amp;"|"&amp;$F307,Cluster_Master!$I$3:$H$17,3,FALSE))</f>
        <v/>
      </c>
      <c r="I307" s="7">
        <f>IF($G307&lt;&gt;"Valid","",VLOOKUP($E307&amp;"|"&amp;$F307,Cluster_Master!$I$3:$H$17,4,FALSE))</f>
        <v/>
      </c>
      <c r="J307" s="7">
        <f>IF($G307&lt;&gt;"Valid","",VLOOKUP($E307&amp;"|"&amp;$F307,Cluster_Master!$I$3:$H$17,5,FALSE))</f>
        <v/>
      </c>
      <c r="K307" s="7">
        <f>IF($G307&lt;&gt;"Valid","",VLOOKUP($E307&amp;"|"&amp;$F307,Cluster_Master!$I$3:$H$17,6,FALSE))</f>
        <v/>
      </c>
      <c r="L307" s="7">
        <f>IF($G307&lt;&gt;"Valid","",VLOOKUP($E307&amp;"|"&amp;$F307,Cluster_Master!$I$3:$H$17,7,FALSE))</f>
        <v/>
      </c>
      <c r="M307" s="7">
        <f>IF($G307&lt;&gt;"Valid","",VLOOKUP($E307&amp;"|"&amp;$F307,Cluster_Master!$I$3:$H$17,8,FALSE))</f>
        <v/>
      </c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7">
        <f>IF(COUNT(T307:AH307)=0,"",SUM(T307:AH307))</f>
        <v/>
      </c>
      <c r="AJ307" s="10">
        <f>IF(AI307="","",AI307/75)</f>
        <v/>
      </c>
      <c r="AK307" s="10">
        <f>IF(AI307="","",SUMPRODUCT(T307:AH307,KPI_Weights!$B$3:$B$17)/5)</f>
        <v/>
      </c>
      <c r="AL307" s="7">
        <f>IF(COUNT(T307:AH307)=0,"",IF(OR(T307&lt;=1,W307&lt;=1,X307&lt;=1,Y307&lt;=1,AB307&lt;=1),"YES","NO"))</f>
        <v/>
      </c>
      <c r="AM307" s="7">
        <f>IF(AK307="","",IF(AND(AK307="NO",AJ307&gt;=0.85),"YES","NO"))</f>
        <v/>
      </c>
      <c r="AN307" s="7">
        <f>IF(AJ307="","",IF(AJ307&gt;=0.90,"Excellent",IF(AJ307&gt;=0.80,"Good",IF(AJ307&gt;=0.70,"Fair","Poor"))))</f>
        <v/>
      </c>
      <c r="AO307" s="12" t="n"/>
      <c r="AP307" s="12" t="n"/>
      <c r="AQ307" s="12" t="n"/>
      <c r="AR307" s="12" t="n"/>
      <c r="AS307" s="12" t="n"/>
      <c r="AT307" s="12" t="n"/>
      <c r="AU307" s="12" t="n"/>
      <c r="AV307" s="11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</row>
    <row r="308">
      <c r="A308" s="7">
        <f>IF(B308="","","INS-"&amp;TEXT(ROW()-3,"000"))</f>
        <v/>
      </c>
      <c r="B308" s="11" t="n"/>
      <c r="C308" s="7">
        <f>IF(B308="","",ISOWEEKNUM(B308))</f>
        <v/>
      </c>
      <c r="D308" s="7">
        <f>IF(B308="","",TEXT(B308,"yyyy-mm"))</f>
        <v/>
      </c>
      <c r="E308" s="12" t="n"/>
      <c r="F308" s="12" t="n"/>
      <c r="G308" s="7">
        <f>IF(OR(E308="",F308=""),"",IF(COUNTIF(Cluster_Master!$I$3:$I$17,E308&amp;"|"&amp;F308)=1,"Valid","Review"))</f>
        <v/>
      </c>
      <c r="H308" s="7">
        <f>IF($G308&lt;&gt;"Valid","",VLOOKUP($E308&amp;"|"&amp;$F308,Cluster_Master!$I$3:$H$17,3,FALSE))</f>
        <v/>
      </c>
      <c r="I308" s="7">
        <f>IF($G308&lt;&gt;"Valid","",VLOOKUP($E308&amp;"|"&amp;$F308,Cluster_Master!$I$3:$H$17,4,FALSE))</f>
        <v/>
      </c>
      <c r="J308" s="7">
        <f>IF($G308&lt;&gt;"Valid","",VLOOKUP($E308&amp;"|"&amp;$F308,Cluster_Master!$I$3:$H$17,5,FALSE))</f>
        <v/>
      </c>
      <c r="K308" s="7">
        <f>IF($G308&lt;&gt;"Valid","",VLOOKUP($E308&amp;"|"&amp;$F308,Cluster_Master!$I$3:$H$17,6,FALSE))</f>
        <v/>
      </c>
      <c r="L308" s="7">
        <f>IF($G308&lt;&gt;"Valid","",VLOOKUP($E308&amp;"|"&amp;$F308,Cluster_Master!$I$3:$H$17,7,FALSE))</f>
        <v/>
      </c>
      <c r="M308" s="7">
        <f>IF($G308&lt;&gt;"Valid","",VLOOKUP($E308&amp;"|"&amp;$F308,Cluster_Master!$I$3:$H$17,8,FALSE))</f>
        <v/>
      </c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7">
        <f>IF(COUNT(T308:AH308)=0,"",SUM(T308:AH308))</f>
        <v/>
      </c>
      <c r="AJ308" s="10">
        <f>IF(AI308="","",AI308/75)</f>
        <v/>
      </c>
      <c r="AK308" s="10">
        <f>IF(AI308="","",SUMPRODUCT(T308:AH308,KPI_Weights!$B$3:$B$17)/5)</f>
        <v/>
      </c>
      <c r="AL308" s="7">
        <f>IF(COUNT(T308:AH308)=0,"",IF(OR(T308&lt;=1,W308&lt;=1,X308&lt;=1,Y308&lt;=1,AB308&lt;=1),"YES","NO"))</f>
        <v/>
      </c>
      <c r="AM308" s="7">
        <f>IF(AK308="","",IF(AND(AK308="NO",AJ308&gt;=0.85),"YES","NO"))</f>
        <v/>
      </c>
      <c r="AN308" s="7">
        <f>IF(AJ308="","",IF(AJ308&gt;=0.90,"Excellent",IF(AJ308&gt;=0.80,"Good",IF(AJ308&gt;=0.70,"Fair","Poor"))))</f>
        <v/>
      </c>
      <c r="AO308" s="12" t="n"/>
      <c r="AP308" s="12" t="n"/>
      <c r="AQ308" s="12" t="n"/>
      <c r="AR308" s="12" t="n"/>
      <c r="AS308" s="12" t="n"/>
      <c r="AT308" s="12" t="n"/>
      <c r="AU308" s="12" t="n"/>
      <c r="AV308" s="11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  <c r="BF308" s="12" t="n"/>
    </row>
    <row r="309">
      <c r="A309" s="7">
        <f>IF(B309="","","INS-"&amp;TEXT(ROW()-3,"000"))</f>
        <v/>
      </c>
      <c r="B309" s="11" t="n"/>
      <c r="C309" s="7">
        <f>IF(B309="","",ISOWEEKNUM(B309))</f>
        <v/>
      </c>
      <c r="D309" s="7">
        <f>IF(B309="","",TEXT(B309,"yyyy-mm"))</f>
        <v/>
      </c>
      <c r="E309" s="12" t="n"/>
      <c r="F309" s="12" t="n"/>
      <c r="G309" s="7">
        <f>IF(OR(E309="",F309=""),"",IF(COUNTIF(Cluster_Master!$I$3:$I$17,E309&amp;"|"&amp;F309)=1,"Valid","Review"))</f>
        <v/>
      </c>
      <c r="H309" s="7">
        <f>IF($G309&lt;&gt;"Valid","",VLOOKUP($E309&amp;"|"&amp;$F309,Cluster_Master!$I$3:$H$17,3,FALSE))</f>
        <v/>
      </c>
      <c r="I309" s="7">
        <f>IF($G309&lt;&gt;"Valid","",VLOOKUP($E309&amp;"|"&amp;$F309,Cluster_Master!$I$3:$H$17,4,FALSE))</f>
        <v/>
      </c>
      <c r="J309" s="7">
        <f>IF($G309&lt;&gt;"Valid","",VLOOKUP($E309&amp;"|"&amp;$F309,Cluster_Master!$I$3:$H$17,5,FALSE))</f>
        <v/>
      </c>
      <c r="K309" s="7">
        <f>IF($G309&lt;&gt;"Valid","",VLOOKUP($E309&amp;"|"&amp;$F309,Cluster_Master!$I$3:$H$17,6,FALSE))</f>
        <v/>
      </c>
      <c r="L309" s="7">
        <f>IF($G309&lt;&gt;"Valid","",VLOOKUP($E309&amp;"|"&amp;$F309,Cluster_Master!$I$3:$H$17,7,FALSE))</f>
        <v/>
      </c>
      <c r="M309" s="7">
        <f>IF($G309&lt;&gt;"Valid","",VLOOKUP($E309&amp;"|"&amp;$F309,Cluster_Master!$I$3:$H$17,8,FALSE))</f>
        <v/>
      </c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7">
        <f>IF(COUNT(T309:AH309)=0,"",SUM(T309:AH309))</f>
        <v/>
      </c>
      <c r="AJ309" s="10">
        <f>IF(AI309="","",AI309/75)</f>
        <v/>
      </c>
      <c r="AK309" s="10">
        <f>IF(AI309="","",SUMPRODUCT(T309:AH309,KPI_Weights!$B$3:$B$17)/5)</f>
        <v/>
      </c>
      <c r="AL309" s="7">
        <f>IF(COUNT(T309:AH309)=0,"",IF(OR(T309&lt;=1,W309&lt;=1,X309&lt;=1,Y309&lt;=1,AB309&lt;=1),"YES","NO"))</f>
        <v/>
      </c>
      <c r="AM309" s="7">
        <f>IF(AK309="","",IF(AND(AK309="NO",AJ309&gt;=0.85),"YES","NO"))</f>
        <v/>
      </c>
      <c r="AN309" s="7">
        <f>IF(AJ309="","",IF(AJ309&gt;=0.90,"Excellent",IF(AJ309&gt;=0.80,"Good",IF(AJ309&gt;=0.70,"Fair","Poor"))))</f>
        <v/>
      </c>
      <c r="AO309" s="12" t="n"/>
      <c r="AP309" s="12" t="n"/>
      <c r="AQ309" s="12" t="n"/>
      <c r="AR309" s="12" t="n"/>
      <c r="AS309" s="12" t="n"/>
      <c r="AT309" s="12" t="n"/>
      <c r="AU309" s="12" t="n"/>
      <c r="AV309" s="11" t="n"/>
      <c r="AW309" s="12" t="n"/>
      <c r="AX309" s="12" t="n"/>
      <c r="AY309" s="12" t="n"/>
      <c r="AZ309" s="12" t="n"/>
      <c r="BA309" s="12" t="n"/>
      <c r="BB309" s="12" t="n"/>
      <c r="BC309" s="12" t="n"/>
      <c r="BD309" s="12" t="n"/>
      <c r="BE309" s="12" t="n"/>
      <c r="BF309" s="12" t="n"/>
    </row>
    <row r="310">
      <c r="A310" s="7">
        <f>IF(B310="","","INS-"&amp;TEXT(ROW()-3,"000"))</f>
        <v/>
      </c>
      <c r="B310" s="11" t="n"/>
      <c r="C310" s="7">
        <f>IF(B310="","",ISOWEEKNUM(B310))</f>
        <v/>
      </c>
      <c r="D310" s="7">
        <f>IF(B310="","",TEXT(B310,"yyyy-mm"))</f>
        <v/>
      </c>
      <c r="E310" s="12" t="n"/>
      <c r="F310" s="12" t="n"/>
      <c r="G310" s="7">
        <f>IF(OR(E310="",F310=""),"",IF(COUNTIF(Cluster_Master!$I$3:$I$17,E310&amp;"|"&amp;F310)=1,"Valid","Review"))</f>
        <v/>
      </c>
      <c r="H310" s="7">
        <f>IF($G310&lt;&gt;"Valid","",VLOOKUP($E310&amp;"|"&amp;$F310,Cluster_Master!$I$3:$H$17,3,FALSE))</f>
        <v/>
      </c>
      <c r="I310" s="7">
        <f>IF($G310&lt;&gt;"Valid","",VLOOKUP($E310&amp;"|"&amp;$F310,Cluster_Master!$I$3:$H$17,4,FALSE))</f>
        <v/>
      </c>
      <c r="J310" s="7">
        <f>IF($G310&lt;&gt;"Valid","",VLOOKUP($E310&amp;"|"&amp;$F310,Cluster_Master!$I$3:$H$17,5,FALSE))</f>
        <v/>
      </c>
      <c r="K310" s="7">
        <f>IF($G310&lt;&gt;"Valid","",VLOOKUP($E310&amp;"|"&amp;$F310,Cluster_Master!$I$3:$H$17,6,FALSE))</f>
        <v/>
      </c>
      <c r="L310" s="7">
        <f>IF($G310&lt;&gt;"Valid","",VLOOKUP($E310&amp;"|"&amp;$F310,Cluster_Master!$I$3:$H$17,7,FALSE))</f>
        <v/>
      </c>
      <c r="M310" s="7">
        <f>IF($G310&lt;&gt;"Valid","",VLOOKUP($E310&amp;"|"&amp;$F310,Cluster_Master!$I$3:$H$17,8,FALSE))</f>
        <v/>
      </c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7">
        <f>IF(COUNT(T310:AH310)=0,"",SUM(T310:AH310))</f>
        <v/>
      </c>
      <c r="AJ310" s="10">
        <f>IF(AI310="","",AI310/75)</f>
        <v/>
      </c>
      <c r="AK310" s="10">
        <f>IF(AI310="","",SUMPRODUCT(T310:AH310,KPI_Weights!$B$3:$B$17)/5)</f>
        <v/>
      </c>
      <c r="AL310" s="7">
        <f>IF(COUNT(T310:AH310)=0,"",IF(OR(T310&lt;=1,W310&lt;=1,X310&lt;=1,Y310&lt;=1,AB310&lt;=1),"YES","NO"))</f>
        <v/>
      </c>
      <c r="AM310" s="7">
        <f>IF(AK310="","",IF(AND(AK310="NO",AJ310&gt;=0.85),"YES","NO"))</f>
        <v/>
      </c>
      <c r="AN310" s="7">
        <f>IF(AJ310="","",IF(AJ310&gt;=0.90,"Excellent",IF(AJ310&gt;=0.80,"Good",IF(AJ310&gt;=0.70,"Fair","Poor"))))</f>
        <v/>
      </c>
      <c r="AO310" s="12" t="n"/>
      <c r="AP310" s="12" t="n"/>
      <c r="AQ310" s="12" t="n"/>
      <c r="AR310" s="12" t="n"/>
      <c r="AS310" s="12" t="n"/>
      <c r="AT310" s="12" t="n"/>
      <c r="AU310" s="12" t="n"/>
      <c r="AV310" s="11" t="n"/>
      <c r="AW310" s="12" t="n"/>
      <c r="AX310" s="12" t="n"/>
      <c r="AY310" s="12" t="n"/>
      <c r="AZ310" s="12" t="n"/>
      <c r="BA310" s="12" t="n"/>
      <c r="BB310" s="12" t="n"/>
      <c r="BC310" s="12" t="n"/>
      <c r="BD310" s="12" t="n"/>
      <c r="BE310" s="12" t="n"/>
      <c r="BF310" s="12" t="n"/>
    </row>
    <row r="311">
      <c r="A311" s="7">
        <f>IF(B311="","","INS-"&amp;TEXT(ROW()-3,"000"))</f>
        <v/>
      </c>
      <c r="B311" s="11" t="n"/>
      <c r="C311" s="7">
        <f>IF(B311="","",ISOWEEKNUM(B311))</f>
        <v/>
      </c>
      <c r="D311" s="7">
        <f>IF(B311="","",TEXT(B311,"yyyy-mm"))</f>
        <v/>
      </c>
      <c r="E311" s="12" t="n"/>
      <c r="F311" s="12" t="n"/>
      <c r="G311" s="7">
        <f>IF(OR(E311="",F311=""),"",IF(COUNTIF(Cluster_Master!$I$3:$I$17,E311&amp;"|"&amp;F311)=1,"Valid","Review"))</f>
        <v/>
      </c>
      <c r="H311" s="7">
        <f>IF($G311&lt;&gt;"Valid","",VLOOKUP($E311&amp;"|"&amp;$F311,Cluster_Master!$I$3:$H$17,3,FALSE))</f>
        <v/>
      </c>
      <c r="I311" s="7">
        <f>IF($G311&lt;&gt;"Valid","",VLOOKUP($E311&amp;"|"&amp;$F311,Cluster_Master!$I$3:$H$17,4,FALSE))</f>
        <v/>
      </c>
      <c r="J311" s="7">
        <f>IF($G311&lt;&gt;"Valid","",VLOOKUP($E311&amp;"|"&amp;$F311,Cluster_Master!$I$3:$H$17,5,FALSE))</f>
        <v/>
      </c>
      <c r="K311" s="7">
        <f>IF($G311&lt;&gt;"Valid","",VLOOKUP($E311&amp;"|"&amp;$F311,Cluster_Master!$I$3:$H$17,6,FALSE))</f>
        <v/>
      </c>
      <c r="L311" s="7">
        <f>IF($G311&lt;&gt;"Valid","",VLOOKUP($E311&amp;"|"&amp;$F311,Cluster_Master!$I$3:$H$17,7,FALSE))</f>
        <v/>
      </c>
      <c r="M311" s="7">
        <f>IF($G311&lt;&gt;"Valid","",VLOOKUP($E311&amp;"|"&amp;$F311,Cluster_Master!$I$3:$H$17,8,FALSE))</f>
        <v/>
      </c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7">
        <f>IF(COUNT(T311:AH311)=0,"",SUM(T311:AH311))</f>
        <v/>
      </c>
      <c r="AJ311" s="10">
        <f>IF(AI311="","",AI311/75)</f>
        <v/>
      </c>
      <c r="AK311" s="10">
        <f>IF(AI311="","",SUMPRODUCT(T311:AH311,KPI_Weights!$B$3:$B$17)/5)</f>
        <v/>
      </c>
      <c r="AL311" s="7">
        <f>IF(COUNT(T311:AH311)=0,"",IF(OR(T311&lt;=1,W311&lt;=1,X311&lt;=1,Y311&lt;=1,AB311&lt;=1),"YES","NO"))</f>
        <v/>
      </c>
      <c r="AM311" s="7">
        <f>IF(AK311="","",IF(AND(AK311="NO",AJ311&gt;=0.85),"YES","NO"))</f>
        <v/>
      </c>
      <c r="AN311" s="7">
        <f>IF(AJ311="","",IF(AJ311&gt;=0.90,"Excellent",IF(AJ311&gt;=0.80,"Good",IF(AJ311&gt;=0.70,"Fair","Poor"))))</f>
        <v/>
      </c>
      <c r="AO311" s="12" t="n"/>
      <c r="AP311" s="12" t="n"/>
      <c r="AQ311" s="12" t="n"/>
      <c r="AR311" s="12" t="n"/>
      <c r="AS311" s="12" t="n"/>
      <c r="AT311" s="12" t="n"/>
      <c r="AU311" s="12" t="n"/>
      <c r="AV311" s="11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</row>
    <row r="312">
      <c r="A312" s="7">
        <f>IF(B312="","","INS-"&amp;TEXT(ROW()-3,"000"))</f>
        <v/>
      </c>
      <c r="B312" s="11" t="n"/>
      <c r="C312" s="7">
        <f>IF(B312="","",ISOWEEKNUM(B312))</f>
        <v/>
      </c>
      <c r="D312" s="7">
        <f>IF(B312="","",TEXT(B312,"yyyy-mm"))</f>
        <v/>
      </c>
      <c r="E312" s="12" t="n"/>
      <c r="F312" s="12" t="n"/>
      <c r="G312" s="7">
        <f>IF(OR(E312="",F312=""),"",IF(COUNTIF(Cluster_Master!$I$3:$I$17,E312&amp;"|"&amp;F312)=1,"Valid","Review"))</f>
        <v/>
      </c>
      <c r="H312" s="7">
        <f>IF($G312&lt;&gt;"Valid","",VLOOKUP($E312&amp;"|"&amp;$F312,Cluster_Master!$I$3:$H$17,3,FALSE))</f>
        <v/>
      </c>
      <c r="I312" s="7">
        <f>IF($G312&lt;&gt;"Valid","",VLOOKUP($E312&amp;"|"&amp;$F312,Cluster_Master!$I$3:$H$17,4,FALSE))</f>
        <v/>
      </c>
      <c r="J312" s="7">
        <f>IF($G312&lt;&gt;"Valid","",VLOOKUP($E312&amp;"|"&amp;$F312,Cluster_Master!$I$3:$H$17,5,FALSE))</f>
        <v/>
      </c>
      <c r="K312" s="7">
        <f>IF($G312&lt;&gt;"Valid","",VLOOKUP($E312&amp;"|"&amp;$F312,Cluster_Master!$I$3:$H$17,6,FALSE))</f>
        <v/>
      </c>
      <c r="L312" s="7">
        <f>IF($G312&lt;&gt;"Valid","",VLOOKUP($E312&amp;"|"&amp;$F312,Cluster_Master!$I$3:$H$17,7,FALSE))</f>
        <v/>
      </c>
      <c r="M312" s="7">
        <f>IF($G312&lt;&gt;"Valid","",VLOOKUP($E312&amp;"|"&amp;$F312,Cluster_Master!$I$3:$H$17,8,FALSE))</f>
        <v/>
      </c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7">
        <f>IF(COUNT(T312:AH312)=0,"",SUM(T312:AH312))</f>
        <v/>
      </c>
      <c r="AJ312" s="10">
        <f>IF(AI312="","",AI312/75)</f>
        <v/>
      </c>
      <c r="AK312" s="10">
        <f>IF(AI312="","",SUMPRODUCT(T312:AH312,KPI_Weights!$B$3:$B$17)/5)</f>
        <v/>
      </c>
      <c r="AL312" s="7">
        <f>IF(COUNT(T312:AH312)=0,"",IF(OR(T312&lt;=1,W312&lt;=1,X312&lt;=1,Y312&lt;=1,AB312&lt;=1),"YES","NO"))</f>
        <v/>
      </c>
      <c r="AM312" s="7">
        <f>IF(AK312="","",IF(AND(AK312="NO",AJ312&gt;=0.85),"YES","NO"))</f>
        <v/>
      </c>
      <c r="AN312" s="7">
        <f>IF(AJ312="","",IF(AJ312&gt;=0.90,"Excellent",IF(AJ312&gt;=0.80,"Good",IF(AJ312&gt;=0.70,"Fair","Poor"))))</f>
        <v/>
      </c>
      <c r="AO312" s="12" t="n"/>
      <c r="AP312" s="12" t="n"/>
      <c r="AQ312" s="12" t="n"/>
      <c r="AR312" s="12" t="n"/>
      <c r="AS312" s="12" t="n"/>
      <c r="AT312" s="12" t="n"/>
      <c r="AU312" s="12" t="n"/>
      <c r="AV312" s="11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12" t="n"/>
    </row>
    <row r="313">
      <c r="A313" s="7">
        <f>IF(B313="","","INS-"&amp;TEXT(ROW()-3,"000"))</f>
        <v/>
      </c>
      <c r="B313" s="11" t="n"/>
      <c r="C313" s="7">
        <f>IF(B313="","",ISOWEEKNUM(B313))</f>
        <v/>
      </c>
      <c r="D313" s="7">
        <f>IF(B313="","",TEXT(B313,"yyyy-mm"))</f>
        <v/>
      </c>
      <c r="E313" s="12" t="n"/>
      <c r="F313" s="12" t="n"/>
      <c r="G313" s="7">
        <f>IF(OR(E313="",F313=""),"",IF(COUNTIF(Cluster_Master!$I$3:$I$17,E313&amp;"|"&amp;F313)=1,"Valid","Review"))</f>
        <v/>
      </c>
      <c r="H313" s="7">
        <f>IF($G313&lt;&gt;"Valid","",VLOOKUP($E313&amp;"|"&amp;$F313,Cluster_Master!$I$3:$H$17,3,FALSE))</f>
        <v/>
      </c>
      <c r="I313" s="7">
        <f>IF($G313&lt;&gt;"Valid","",VLOOKUP($E313&amp;"|"&amp;$F313,Cluster_Master!$I$3:$H$17,4,FALSE))</f>
        <v/>
      </c>
      <c r="J313" s="7">
        <f>IF($G313&lt;&gt;"Valid","",VLOOKUP($E313&amp;"|"&amp;$F313,Cluster_Master!$I$3:$H$17,5,FALSE))</f>
        <v/>
      </c>
      <c r="K313" s="7">
        <f>IF($G313&lt;&gt;"Valid","",VLOOKUP($E313&amp;"|"&amp;$F313,Cluster_Master!$I$3:$H$17,6,FALSE))</f>
        <v/>
      </c>
      <c r="L313" s="7">
        <f>IF($G313&lt;&gt;"Valid","",VLOOKUP($E313&amp;"|"&amp;$F313,Cluster_Master!$I$3:$H$17,7,FALSE))</f>
        <v/>
      </c>
      <c r="M313" s="7">
        <f>IF($G313&lt;&gt;"Valid","",VLOOKUP($E313&amp;"|"&amp;$F313,Cluster_Master!$I$3:$H$17,8,FALSE))</f>
        <v/>
      </c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7">
        <f>IF(COUNT(T313:AH313)=0,"",SUM(T313:AH313))</f>
        <v/>
      </c>
      <c r="AJ313" s="10">
        <f>IF(AI313="","",AI313/75)</f>
        <v/>
      </c>
      <c r="AK313" s="10">
        <f>IF(AI313="","",SUMPRODUCT(T313:AH313,KPI_Weights!$B$3:$B$17)/5)</f>
        <v/>
      </c>
      <c r="AL313" s="7">
        <f>IF(COUNT(T313:AH313)=0,"",IF(OR(T313&lt;=1,W313&lt;=1,X313&lt;=1,Y313&lt;=1,AB313&lt;=1),"YES","NO"))</f>
        <v/>
      </c>
      <c r="AM313" s="7">
        <f>IF(AK313="","",IF(AND(AK313="NO",AJ313&gt;=0.85),"YES","NO"))</f>
        <v/>
      </c>
      <c r="AN313" s="7">
        <f>IF(AJ313="","",IF(AJ313&gt;=0.90,"Excellent",IF(AJ313&gt;=0.80,"Good",IF(AJ313&gt;=0.70,"Fair","Poor"))))</f>
        <v/>
      </c>
      <c r="AO313" s="12" t="n"/>
      <c r="AP313" s="12" t="n"/>
      <c r="AQ313" s="12" t="n"/>
      <c r="AR313" s="12" t="n"/>
      <c r="AS313" s="12" t="n"/>
      <c r="AT313" s="12" t="n"/>
      <c r="AU313" s="12" t="n"/>
      <c r="AV313" s="11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</row>
    <row r="314">
      <c r="A314" s="7">
        <f>IF(B314="","","INS-"&amp;TEXT(ROW()-3,"000"))</f>
        <v/>
      </c>
      <c r="B314" s="11" t="n"/>
      <c r="C314" s="7">
        <f>IF(B314="","",ISOWEEKNUM(B314))</f>
        <v/>
      </c>
      <c r="D314" s="7">
        <f>IF(B314="","",TEXT(B314,"yyyy-mm"))</f>
        <v/>
      </c>
      <c r="E314" s="12" t="n"/>
      <c r="F314" s="12" t="n"/>
      <c r="G314" s="7">
        <f>IF(OR(E314="",F314=""),"",IF(COUNTIF(Cluster_Master!$I$3:$I$17,E314&amp;"|"&amp;F314)=1,"Valid","Review"))</f>
        <v/>
      </c>
      <c r="H314" s="7">
        <f>IF($G314&lt;&gt;"Valid","",VLOOKUP($E314&amp;"|"&amp;$F314,Cluster_Master!$I$3:$H$17,3,FALSE))</f>
        <v/>
      </c>
      <c r="I314" s="7">
        <f>IF($G314&lt;&gt;"Valid","",VLOOKUP($E314&amp;"|"&amp;$F314,Cluster_Master!$I$3:$H$17,4,FALSE))</f>
        <v/>
      </c>
      <c r="J314" s="7">
        <f>IF($G314&lt;&gt;"Valid","",VLOOKUP($E314&amp;"|"&amp;$F314,Cluster_Master!$I$3:$H$17,5,FALSE))</f>
        <v/>
      </c>
      <c r="K314" s="7">
        <f>IF($G314&lt;&gt;"Valid","",VLOOKUP($E314&amp;"|"&amp;$F314,Cluster_Master!$I$3:$H$17,6,FALSE))</f>
        <v/>
      </c>
      <c r="L314" s="7">
        <f>IF($G314&lt;&gt;"Valid","",VLOOKUP($E314&amp;"|"&amp;$F314,Cluster_Master!$I$3:$H$17,7,FALSE))</f>
        <v/>
      </c>
      <c r="M314" s="7">
        <f>IF($G314&lt;&gt;"Valid","",VLOOKUP($E314&amp;"|"&amp;$F314,Cluster_Master!$I$3:$H$17,8,FALSE))</f>
        <v/>
      </c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7">
        <f>IF(COUNT(T314:AH314)=0,"",SUM(T314:AH314))</f>
        <v/>
      </c>
      <c r="AJ314" s="10">
        <f>IF(AI314="","",AI314/75)</f>
        <v/>
      </c>
      <c r="AK314" s="10">
        <f>IF(AI314="","",SUMPRODUCT(T314:AH314,KPI_Weights!$B$3:$B$17)/5)</f>
        <v/>
      </c>
      <c r="AL314" s="7">
        <f>IF(COUNT(T314:AH314)=0,"",IF(OR(T314&lt;=1,W314&lt;=1,X314&lt;=1,Y314&lt;=1,AB314&lt;=1),"YES","NO"))</f>
        <v/>
      </c>
      <c r="AM314" s="7">
        <f>IF(AK314="","",IF(AND(AK314="NO",AJ314&gt;=0.85),"YES","NO"))</f>
        <v/>
      </c>
      <c r="AN314" s="7">
        <f>IF(AJ314="","",IF(AJ314&gt;=0.90,"Excellent",IF(AJ314&gt;=0.80,"Good",IF(AJ314&gt;=0.70,"Fair","Poor"))))</f>
        <v/>
      </c>
      <c r="AO314" s="12" t="n"/>
      <c r="AP314" s="12" t="n"/>
      <c r="AQ314" s="12" t="n"/>
      <c r="AR314" s="12" t="n"/>
      <c r="AS314" s="12" t="n"/>
      <c r="AT314" s="12" t="n"/>
      <c r="AU314" s="12" t="n"/>
      <c r="AV314" s="11" t="n"/>
      <c r="AW314" s="12" t="n"/>
      <c r="AX314" s="12" t="n"/>
      <c r="AY314" s="12" t="n"/>
      <c r="AZ314" s="12" t="n"/>
      <c r="BA314" s="12" t="n"/>
      <c r="BB314" s="12" t="n"/>
      <c r="BC314" s="12" t="n"/>
      <c r="BD314" s="12" t="n"/>
      <c r="BE314" s="12" t="n"/>
      <c r="BF314" s="12" t="n"/>
    </row>
    <row r="315">
      <c r="A315" s="7">
        <f>IF(B315="","","INS-"&amp;TEXT(ROW()-3,"000"))</f>
        <v/>
      </c>
      <c r="B315" s="11" t="n"/>
      <c r="C315" s="7">
        <f>IF(B315="","",ISOWEEKNUM(B315))</f>
        <v/>
      </c>
      <c r="D315" s="7">
        <f>IF(B315="","",TEXT(B315,"yyyy-mm"))</f>
        <v/>
      </c>
      <c r="E315" s="12" t="n"/>
      <c r="F315" s="12" t="n"/>
      <c r="G315" s="7">
        <f>IF(OR(E315="",F315=""),"",IF(COUNTIF(Cluster_Master!$I$3:$I$17,E315&amp;"|"&amp;F315)=1,"Valid","Review"))</f>
        <v/>
      </c>
      <c r="H315" s="7">
        <f>IF($G315&lt;&gt;"Valid","",VLOOKUP($E315&amp;"|"&amp;$F315,Cluster_Master!$I$3:$H$17,3,FALSE))</f>
        <v/>
      </c>
      <c r="I315" s="7">
        <f>IF($G315&lt;&gt;"Valid","",VLOOKUP($E315&amp;"|"&amp;$F315,Cluster_Master!$I$3:$H$17,4,FALSE))</f>
        <v/>
      </c>
      <c r="J315" s="7">
        <f>IF($G315&lt;&gt;"Valid","",VLOOKUP($E315&amp;"|"&amp;$F315,Cluster_Master!$I$3:$H$17,5,FALSE))</f>
        <v/>
      </c>
      <c r="K315" s="7">
        <f>IF($G315&lt;&gt;"Valid","",VLOOKUP($E315&amp;"|"&amp;$F315,Cluster_Master!$I$3:$H$17,6,FALSE))</f>
        <v/>
      </c>
      <c r="L315" s="7">
        <f>IF($G315&lt;&gt;"Valid","",VLOOKUP($E315&amp;"|"&amp;$F315,Cluster_Master!$I$3:$H$17,7,FALSE))</f>
        <v/>
      </c>
      <c r="M315" s="7">
        <f>IF($G315&lt;&gt;"Valid","",VLOOKUP($E315&amp;"|"&amp;$F315,Cluster_Master!$I$3:$H$17,8,FALSE))</f>
        <v/>
      </c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7">
        <f>IF(COUNT(T315:AH315)=0,"",SUM(T315:AH315))</f>
        <v/>
      </c>
      <c r="AJ315" s="10">
        <f>IF(AI315="","",AI315/75)</f>
        <v/>
      </c>
      <c r="AK315" s="10">
        <f>IF(AI315="","",SUMPRODUCT(T315:AH315,KPI_Weights!$B$3:$B$17)/5)</f>
        <v/>
      </c>
      <c r="AL315" s="7">
        <f>IF(COUNT(T315:AH315)=0,"",IF(OR(T315&lt;=1,W315&lt;=1,X315&lt;=1,Y315&lt;=1,AB315&lt;=1),"YES","NO"))</f>
        <v/>
      </c>
      <c r="AM315" s="7">
        <f>IF(AK315="","",IF(AND(AK315="NO",AJ315&gt;=0.85),"YES","NO"))</f>
        <v/>
      </c>
      <c r="AN315" s="7">
        <f>IF(AJ315="","",IF(AJ315&gt;=0.90,"Excellent",IF(AJ315&gt;=0.80,"Good",IF(AJ315&gt;=0.70,"Fair","Poor"))))</f>
        <v/>
      </c>
      <c r="AO315" s="12" t="n"/>
      <c r="AP315" s="12" t="n"/>
      <c r="AQ315" s="12" t="n"/>
      <c r="AR315" s="12" t="n"/>
      <c r="AS315" s="12" t="n"/>
      <c r="AT315" s="12" t="n"/>
      <c r="AU315" s="12" t="n"/>
      <c r="AV315" s="11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  <c r="BF315" s="12" t="n"/>
    </row>
    <row r="316">
      <c r="A316" s="7">
        <f>IF(B316="","","INS-"&amp;TEXT(ROW()-3,"000"))</f>
        <v/>
      </c>
      <c r="B316" s="11" t="n"/>
      <c r="C316" s="7">
        <f>IF(B316="","",ISOWEEKNUM(B316))</f>
        <v/>
      </c>
      <c r="D316" s="7">
        <f>IF(B316="","",TEXT(B316,"yyyy-mm"))</f>
        <v/>
      </c>
      <c r="E316" s="12" t="n"/>
      <c r="F316" s="12" t="n"/>
      <c r="G316" s="7">
        <f>IF(OR(E316="",F316=""),"",IF(COUNTIF(Cluster_Master!$I$3:$I$17,E316&amp;"|"&amp;F316)=1,"Valid","Review"))</f>
        <v/>
      </c>
      <c r="H316" s="7">
        <f>IF($G316&lt;&gt;"Valid","",VLOOKUP($E316&amp;"|"&amp;$F316,Cluster_Master!$I$3:$H$17,3,FALSE))</f>
        <v/>
      </c>
      <c r="I316" s="7">
        <f>IF($G316&lt;&gt;"Valid","",VLOOKUP($E316&amp;"|"&amp;$F316,Cluster_Master!$I$3:$H$17,4,FALSE))</f>
        <v/>
      </c>
      <c r="J316" s="7">
        <f>IF($G316&lt;&gt;"Valid","",VLOOKUP($E316&amp;"|"&amp;$F316,Cluster_Master!$I$3:$H$17,5,FALSE))</f>
        <v/>
      </c>
      <c r="K316" s="7">
        <f>IF($G316&lt;&gt;"Valid","",VLOOKUP($E316&amp;"|"&amp;$F316,Cluster_Master!$I$3:$H$17,6,FALSE))</f>
        <v/>
      </c>
      <c r="L316" s="7">
        <f>IF($G316&lt;&gt;"Valid","",VLOOKUP($E316&amp;"|"&amp;$F316,Cluster_Master!$I$3:$H$17,7,FALSE))</f>
        <v/>
      </c>
      <c r="M316" s="7">
        <f>IF($G316&lt;&gt;"Valid","",VLOOKUP($E316&amp;"|"&amp;$F316,Cluster_Master!$I$3:$H$17,8,FALSE))</f>
        <v/>
      </c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7">
        <f>IF(COUNT(T316:AH316)=0,"",SUM(T316:AH316))</f>
        <v/>
      </c>
      <c r="AJ316" s="10">
        <f>IF(AI316="","",AI316/75)</f>
        <v/>
      </c>
      <c r="AK316" s="10">
        <f>IF(AI316="","",SUMPRODUCT(T316:AH316,KPI_Weights!$B$3:$B$17)/5)</f>
        <v/>
      </c>
      <c r="AL316" s="7">
        <f>IF(COUNT(T316:AH316)=0,"",IF(OR(T316&lt;=1,W316&lt;=1,X316&lt;=1,Y316&lt;=1,AB316&lt;=1),"YES","NO"))</f>
        <v/>
      </c>
      <c r="AM316" s="7">
        <f>IF(AK316="","",IF(AND(AK316="NO",AJ316&gt;=0.85),"YES","NO"))</f>
        <v/>
      </c>
      <c r="AN316" s="7">
        <f>IF(AJ316="","",IF(AJ316&gt;=0.90,"Excellent",IF(AJ316&gt;=0.80,"Good",IF(AJ316&gt;=0.70,"Fair","Poor"))))</f>
        <v/>
      </c>
      <c r="AO316" s="12" t="n"/>
      <c r="AP316" s="12" t="n"/>
      <c r="AQ316" s="12" t="n"/>
      <c r="AR316" s="12" t="n"/>
      <c r="AS316" s="12" t="n"/>
      <c r="AT316" s="12" t="n"/>
      <c r="AU316" s="12" t="n"/>
      <c r="AV316" s="11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  <c r="BF316" s="12" t="n"/>
    </row>
    <row r="317">
      <c r="A317" s="7">
        <f>IF(B317="","","INS-"&amp;TEXT(ROW()-3,"000"))</f>
        <v/>
      </c>
      <c r="B317" s="11" t="n"/>
      <c r="C317" s="7">
        <f>IF(B317="","",ISOWEEKNUM(B317))</f>
        <v/>
      </c>
      <c r="D317" s="7">
        <f>IF(B317="","",TEXT(B317,"yyyy-mm"))</f>
        <v/>
      </c>
      <c r="E317" s="12" t="n"/>
      <c r="F317" s="12" t="n"/>
      <c r="G317" s="7">
        <f>IF(OR(E317="",F317=""),"",IF(COUNTIF(Cluster_Master!$I$3:$I$17,E317&amp;"|"&amp;F317)=1,"Valid","Review"))</f>
        <v/>
      </c>
      <c r="H317" s="7">
        <f>IF($G317&lt;&gt;"Valid","",VLOOKUP($E317&amp;"|"&amp;$F317,Cluster_Master!$I$3:$H$17,3,FALSE))</f>
        <v/>
      </c>
      <c r="I317" s="7">
        <f>IF($G317&lt;&gt;"Valid","",VLOOKUP($E317&amp;"|"&amp;$F317,Cluster_Master!$I$3:$H$17,4,FALSE))</f>
        <v/>
      </c>
      <c r="J317" s="7">
        <f>IF($G317&lt;&gt;"Valid","",VLOOKUP($E317&amp;"|"&amp;$F317,Cluster_Master!$I$3:$H$17,5,FALSE))</f>
        <v/>
      </c>
      <c r="K317" s="7">
        <f>IF($G317&lt;&gt;"Valid","",VLOOKUP($E317&amp;"|"&amp;$F317,Cluster_Master!$I$3:$H$17,6,FALSE))</f>
        <v/>
      </c>
      <c r="L317" s="7">
        <f>IF($G317&lt;&gt;"Valid","",VLOOKUP($E317&amp;"|"&amp;$F317,Cluster_Master!$I$3:$H$17,7,FALSE))</f>
        <v/>
      </c>
      <c r="M317" s="7">
        <f>IF($G317&lt;&gt;"Valid","",VLOOKUP($E317&amp;"|"&amp;$F317,Cluster_Master!$I$3:$H$17,8,FALSE))</f>
        <v/>
      </c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7">
        <f>IF(COUNT(T317:AH317)=0,"",SUM(T317:AH317))</f>
        <v/>
      </c>
      <c r="AJ317" s="10">
        <f>IF(AI317="","",AI317/75)</f>
        <v/>
      </c>
      <c r="AK317" s="10">
        <f>IF(AI317="","",SUMPRODUCT(T317:AH317,KPI_Weights!$B$3:$B$17)/5)</f>
        <v/>
      </c>
      <c r="AL317" s="7">
        <f>IF(COUNT(T317:AH317)=0,"",IF(OR(T317&lt;=1,W317&lt;=1,X317&lt;=1,Y317&lt;=1,AB317&lt;=1),"YES","NO"))</f>
        <v/>
      </c>
      <c r="AM317" s="7">
        <f>IF(AK317="","",IF(AND(AK317="NO",AJ317&gt;=0.85),"YES","NO"))</f>
        <v/>
      </c>
      <c r="AN317" s="7">
        <f>IF(AJ317="","",IF(AJ317&gt;=0.90,"Excellent",IF(AJ317&gt;=0.80,"Good",IF(AJ317&gt;=0.70,"Fair","Poor"))))</f>
        <v/>
      </c>
      <c r="AO317" s="12" t="n"/>
      <c r="AP317" s="12" t="n"/>
      <c r="AQ317" s="12" t="n"/>
      <c r="AR317" s="12" t="n"/>
      <c r="AS317" s="12" t="n"/>
      <c r="AT317" s="12" t="n"/>
      <c r="AU317" s="12" t="n"/>
      <c r="AV317" s="11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</row>
    <row r="318">
      <c r="A318" s="7">
        <f>IF(B318="","","INS-"&amp;TEXT(ROW()-3,"000"))</f>
        <v/>
      </c>
      <c r="B318" s="11" t="n"/>
      <c r="C318" s="7">
        <f>IF(B318="","",ISOWEEKNUM(B318))</f>
        <v/>
      </c>
      <c r="D318" s="7">
        <f>IF(B318="","",TEXT(B318,"yyyy-mm"))</f>
        <v/>
      </c>
      <c r="E318" s="12" t="n"/>
      <c r="F318" s="12" t="n"/>
      <c r="G318" s="7">
        <f>IF(OR(E318="",F318=""),"",IF(COUNTIF(Cluster_Master!$I$3:$I$17,E318&amp;"|"&amp;F318)=1,"Valid","Review"))</f>
        <v/>
      </c>
      <c r="H318" s="7">
        <f>IF($G318&lt;&gt;"Valid","",VLOOKUP($E318&amp;"|"&amp;$F318,Cluster_Master!$I$3:$H$17,3,FALSE))</f>
        <v/>
      </c>
      <c r="I318" s="7">
        <f>IF($G318&lt;&gt;"Valid","",VLOOKUP($E318&amp;"|"&amp;$F318,Cluster_Master!$I$3:$H$17,4,FALSE))</f>
        <v/>
      </c>
      <c r="J318" s="7">
        <f>IF($G318&lt;&gt;"Valid","",VLOOKUP($E318&amp;"|"&amp;$F318,Cluster_Master!$I$3:$H$17,5,FALSE))</f>
        <v/>
      </c>
      <c r="K318" s="7">
        <f>IF($G318&lt;&gt;"Valid","",VLOOKUP($E318&amp;"|"&amp;$F318,Cluster_Master!$I$3:$H$17,6,FALSE))</f>
        <v/>
      </c>
      <c r="L318" s="7">
        <f>IF($G318&lt;&gt;"Valid","",VLOOKUP($E318&amp;"|"&amp;$F318,Cluster_Master!$I$3:$H$17,7,FALSE))</f>
        <v/>
      </c>
      <c r="M318" s="7">
        <f>IF($G318&lt;&gt;"Valid","",VLOOKUP($E318&amp;"|"&amp;$F318,Cluster_Master!$I$3:$H$17,8,FALSE))</f>
        <v/>
      </c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7">
        <f>IF(COUNT(T318:AH318)=0,"",SUM(T318:AH318))</f>
        <v/>
      </c>
      <c r="AJ318" s="10">
        <f>IF(AI318="","",AI318/75)</f>
        <v/>
      </c>
      <c r="AK318" s="10">
        <f>IF(AI318="","",SUMPRODUCT(T318:AH318,KPI_Weights!$B$3:$B$17)/5)</f>
        <v/>
      </c>
      <c r="AL318" s="7">
        <f>IF(COUNT(T318:AH318)=0,"",IF(OR(T318&lt;=1,W318&lt;=1,X318&lt;=1,Y318&lt;=1,AB318&lt;=1),"YES","NO"))</f>
        <v/>
      </c>
      <c r="AM318" s="7">
        <f>IF(AK318="","",IF(AND(AK318="NO",AJ318&gt;=0.85),"YES","NO"))</f>
        <v/>
      </c>
      <c r="AN318" s="7">
        <f>IF(AJ318="","",IF(AJ318&gt;=0.90,"Excellent",IF(AJ318&gt;=0.80,"Good",IF(AJ318&gt;=0.70,"Fair","Poor"))))</f>
        <v/>
      </c>
      <c r="AO318" s="12" t="n"/>
      <c r="AP318" s="12" t="n"/>
      <c r="AQ318" s="12" t="n"/>
      <c r="AR318" s="12" t="n"/>
      <c r="AS318" s="12" t="n"/>
      <c r="AT318" s="12" t="n"/>
      <c r="AU318" s="12" t="n"/>
      <c r="AV318" s="11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  <c r="BF318" s="12" t="n"/>
    </row>
    <row r="319">
      <c r="A319" s="7">
        <f>IF(B319="","","INS-"&amp;TEXT(ROW()-3,"000"))</f>
        <v/>
      </c>
      <c r="B319" s="11" t="n"/>
      <c r="C319" s="7">
        <f>IF(B319="","",ISOWEEKNUM(B319))</f>
        <v/>
      </c>
      <c r="D319" s="7">
        <f>IF(B319="","",TEXT(B319,"yyyy-mm"))</f>
        <v/>
      </c>
      <c r="E319" s="12" t="n"/>
      <c r="F319" s="12" t="n"/>
      <c r="G319" s="7">
        <f>IF(OR(E319="",F319=""),"",IF(COUNTIF(Cluster_Master!$I$3:$I$17,E319&amp;"|"&amp;F319)=1,"Valid","Review"))</f>
        <v/>
      </c>
      <c r="H319" s="7">
        <f>IF($G319&lt;&gt;"Valid","",VLOOKUP($E319&amp;"|"&amp;$F319,Cluster_Master!$I$3:$H$17,3,FALSE))</f>
        <v/>
      </c>
      <c r="I319" s="7">
        <f>IF($G319&lt;&gt;"Valid","",VLOOKUP($E319&amp;"|"&amp;$F319,Cluster_Master!$I$3:$H$17,4,FALSE))</f>
        <v/>
      </c>
      <c r="J319" s="7">
        <f>IF($G319&lt;&gt;"Valid","",VLOOKUP($E319&amp;"|"&amp;$F319,Cluster_Master!$I$3:$H$17,5,FALSE))</f>
        <v/>
      </c>
      <c r="K319" s="7">
        <f>IF($G319&lt;&gt;"Valid","",VLOOKUP($E319&amp;"|"&amp;$F319,Cluster_Master!$I$3:$H$17,6,FALSE))</f>
        <v/>
      </c>
      <c r="L319" s="7">
        <f>IF($G319&lt;&gt;"Valid","",VLOOKUP($E319&amp;"|"&amp;$F319,Cluster_Master!$I$3:$H$17,7,FALSE))</f>
        <v/>
      </c>
      <c r="M319" s="7">
        <f>IF($G319&lt;&gt;"Valid","",VLOOKUP($E319&amp;"|"&amp;$F319,Cluster_Master!$I$3:$H$17,8,FALSE))</f>
        <v/>
      </c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7">
        <f>IF(COUNT(T319:AH319)=0,"",SUM(T319:AH319))</f>
        <v/>
      </c>
      <c r="AJ319" s="10">
        <f>IF(AI319="","",AI319/75)</f>
        <v/>
      </c>
      <c r="AK319" s="10">
        <f>IF(AI319="","",SUMPRODUCT(T319:AH319,KPI_Weights!$B$3:$B$17)/5)</f>
        <v/>
      </c>
      <c r="AL319" s="7">
        <f>IF(COUNT(T319:AH319)=0,"",IF(OR(T319&lt;=1,W319&lt;=1,X319&lt;=1,Y319&lt;=1,AB319&lt;=1),"YES","NO"))</f>
        <v/>
      </c>
      <c r="AM319" s="7">
        <f>IF(AK319="","",IF(AND(AK319="NO",AJ319&gt;=0.85),"YES","NO"))</f>
        <v/>
      </c>
      <c r="AN319" s="7">
        <f>IF(AJ319="","",IF(AJ319&gt;=0.90,"Excellent",IF(AJ319&gt;=0.80,"Good",IF(AJ319&gt;=0.70,"Fair","Poor"))))</f>
        <v/>
      </c>
      <c r="AO319" s="12" t="n"/>
      <c r="AP319" s="12" t="n"/>
      <c r="AQ319" s="12" t="n"/>
      <c r="AR319" s="12" t="n"/>
      <c r="AS319" s="12" t="n"/>
      <c r="AT319" s="12" t="n"/>
      <c r="AU319" s="12" t="n"/>
      <c r="AV319" s="11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</row>
    <row r="320">
      <c r="A320" s="7">
        <f>IF(B320="","","INS-"&amp;TEXT(ROW()-3,"000"))</f>
        <v/>
      </c>
      <c r="B320" s="11" t="n"/>
      <c r="C320" s="7">
        <f>IF(B320="","",ISOWEEKNUM(B320))</f>
        <v/>
      </c>
      <c r="D320" s="7">
        <f>IF(B320="","",TEXT(B320,"yyyy-mm"))</f>
        <v/>
      </c>
      <c r="E320" s="12" t="n"/>
      <c r="F320" s="12" t="n"/>
      <c r="G320" s="7">
        <f>IF(OR(E320="",F320=""),"",IF(COUNTIF(Cluster_Master!$I$3:$I$17,E320&amp;"|"&amp;F320)=1,"Valid","Review"))</f>
        <v/>
      </c>
      <c r="H320" s="7">
        <f>IF($G320&lt;&gt;"Valid","",VLOOKUP($E320&amp;"|"&amp;$F320,Cluster_Master!$I$3:$H$17,3,FALSE))</f>
        <v/>
      </c>
      <c r="I320" s="7">
        <f>IF($G320&lt;&gt;"Valid","",VLOOKUP($E320&amp;"|"&amp;$F320,Cluster_Master!$I$3:$H$17,4,FALSE))</f>
        <v/>
      </c>
      <c r="J320" s="7">
        <f>IF($G320&lt;&gt;"Valid","",VLOOKUP($E320&amp;"|"&amp;$F320,Cluster_Master!$I$3:$H$17,5,FALSE))</f>
        <v/>
      </c>
      <c r="K320" s="7">
        <f>IF($G320&lt;&gt;"Valid","",VLOOKUP($E320&amp;"|"&amp;$F320,Cluster_Master!$I$3:$H$17,6,FALSE))</f>
        <v/>
      </c>
      <c r="L320" s="7">
        <f>IF($G320&lt;&gt;"Valid","",VLOOKUP($E320&amp;"|"&amp;$F320,Cluster_Master!$I$3:$H$17,7,FALSE))</f>
        <v/>
      </c>
      <c r="M320" s="7">
        <f>IF($G320&lt;&gt;"Valid","",VLOOKUP($E320&amp;"|"&amp;$F320,Cluster_Master!$I$3:$H$17,8,FALSE))</f>
        <v/>
      </c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7">
        <f>IF(COUNT(T320:AH320)=0,"",SUM(T320:AH320))</f>
        <v/>
      </c>
      <c r="AJ320" s="10">
        <f>IF(AI320="","",AI320/75)</f>
        <v/>
      </c>
      <c r="AK320" s="10">
        <f>IF(AI320="","",SUMPRODUCT(T320:AH320,KPI_Weights!$B$3:$B$17)/5)</f>
        <v/>
      </c>
      <c r="AL320" s="7">
        <f>IF(COUNT(T320:AH320)=0,"",IF(OR(T320&lt;=1,W320&lt;=1,X320&lt;=1,Y320&lt;=1,AB320&lt;=1),"YES","NO"))</f>
        <v/>
      </c>
      <c r="AM320" s="7">
        <f>IF(AK320="","",IF(AND(AK320="NO",AJ320&gt;=0.85),"YES","NO"))</f>
        <v/>
      </c>
      <c r="AN320" s="7">
        <f>IF(AJ320="","",IF(AJ320&gt;=0.90,"Excellent",IF(AJ320&gt;=0.80,"Good",IF(AJ320&gt;=0.70,"Fair","Poor"))))</f>
        <v/>
      </c>
      <c r="AO320" s="12" t="n"/>
      <c r="AP320" s="12" t="n"/>
      <c r="AQ320" s="12" t="n"/>
      <c r="AR320" s="12" t="n"/>
      <c r="AS320" s="12" t="n"/>
      <c r="AT320" s="12" t="n"/>
      <c r="AU320" s="12" t="n"/>
      <c r="AV320" s="11" t="n"/>
      <c r="AW320" s="12" t="n"/>
      <c r="AX320" s="12" t="n"/>
      <c r="AY320" s="12" t="n"/>
      <c r="AZ320" s="12" t="n"/>
      <c r="BA320" s="12" t="n"/>
      <c r="BB320" s="12" t="n"/>
      <c r="BC320" s="12" t="n"/>
      <c r="BD320" s="12" t="n"/>
      <c r="BE320" s="12" t="n"/>
      <c r="BF320" s="12" t="n"/>
    </row>
    <row r="321">
      <c r="A321" s="7">
        <f>IF(B321="","","INS-"&amp;TEXT(ROW()-3,"000"))</f>
        <v/>
      </c>
      <c r="B321" s="11" t="n"/>
      <c r="C321" s="7">
        <f>IF(B321="","",ISOWEEKNUM(B321))</f>
        <v/>
      </c>
      <c r="D321" s="7">
        <f>IF(B321="","",TEXT(B321,"yyyy-mm"))</f>
        <v/>
      </c>
      <c r="E321" s="12" t="n"/>
      <c r="F321" s="12" t="n"/>
      <c r="G321" s="7">
        <f>IF(OR(E321="",F321=""),"",IF(COUNTIF(Cluster_Master!$I$3:$I$17,E321&amp;"|"&amp;F321)=1,"Valid","Review"))</f>
        <v/>
      </c>
      <c r="H321" s="7">
        <f>IF($G321&lt;&gt;"Valid","",VLOOKUP($E321&amp;"|"&amp;$F321,Cluster_Master!$I$3:$H$17,3,FALSE))</f>
        <v/>
      </c>
      <c r="I321" s="7">
        <f>IF($G321&lt;&gt;"Valid","",VLOOKUP($E321&amp;"|"&amp;$F321,Cluster_Master!$I$3:$H$17,4,FALSE))</f>
        <v/>
      </c>
      <c r="J321" s="7">
        <f>IF($G321&lt;&gt;"Valid","",VLOOKUP($E321&amp;"|"&amp;$F321,Cluster_Master!$I$3:$H$17,5,FALSE))</f>
        <v/>
      </c>
      <c r="K321" s="7">
        <f>IF($G321&lt;&gt;"Valid","",VLOOKUP($E321&amp;"|"&amp;$F321,Cluster_Master!$I$3:$H$17,6,FALSE))</f>
        <v/>
      </c>
      <c r="L321" s="7">
        <f>IF($G321&lt;&gt;"Valid","",VLOOKUP($E321&amp;"|"&amp;$F321,Cluster_Master!$I$3:$H$17,7,FALSE))</f>
        <v/>
      </c>
      <c r="M321" s="7">
        <f>IF($G321&lt;&gt;"Valid","",VLOOKUP($E321&amp;"|"&amp;$F321,Cluster_Master!$I$3:$H$17,8,FALSE))</f>
        <v/>
      </c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7">
        <f>IF(COUNT(T321:AH321)=0,"",SUM(T321:AH321))</f>
        <v/>
      </c>
      <c r="AJ321" s="10">
        <f>IF(AI321="","",AI321/75)</f>
        <v/>
      </c>
      <c r="AK321" s="10">
        <f>IF(AI321="","",SUMPRODUCT(T321:AH321,KPI_Weights!$B$3:$B$17)/5)</f>
        <v/>
      </c>
      <c r="AL321" s="7">
        <f>IF(COUNT(T321:AH321)=0,"",IF(OR(T321&lt;=1,W321&lt;=1,X321&lt;=1,Y321&lt;=1,AB321&lt;=1),"YES","NO"))</f>
        <v/>
      </c>
      <c r="AM321" s="7">
        <f>IF(AK321="","",IF(AND(AK321="NO",AJ321&gt;=0.85),"YES","NO"))</f>
        <v/>
      </c>
      <c r="AN321" s="7">
        <f>IF(AJ321="","",IF(AJ321&gt;=0.90,"Excellent",IF(AJ321&gt;=0.80,"Good",IF(AJ321&gt;=0.70,"Fair","Poor"))))</f>
        <v/>
      </c>
      <c r="AO321" s="12" t="n"/>
      <c r="AP321" s="12" t="n"/>
      <c r="AQ321" s="12" t="n"/>
      <c r="AR321" s="12" t="n"/>
      <c r="AS321" s="12" t="n"/>
      <c r="AT321" s="12" t="n"/>
      <c r="AU321" s="12" t="n"/>
      <c r="AV321" s="11" t="n"/>
      <c r="AW321" s="12" t="n"/>
      <c r="AX321" s="12" t="n"/>
      <c r="AY321" s="12" t="n"/>
      <c r="AZ321" s="12" t="n"/>
      <c r="BA321" s="12" t="n"/>
      <c r="BB321" s="12" t="n"/>
      <c r="BC321" s="12" t="n"/>
      <c r="BD321" s="12" t="n"/>
      <c r="BE321" s="12" t="n"/>
      <c r="BF321" s="12" t="n"/>
    </row>
    <row r="322">
      <c r="A322" s="7">
        <f>IF(B322="","","INS-"&amp;TEXT(ROW()-3,"000"))</f>
        <v/>
      </c>
      <c r="B322" s="11" t="n"/>
      <c r="C322" s="7">
        <f>IF(B322="","",ISOWEEKNUM(B322))</f>
        <v/>
      </c>
      <c r="D322" s="7">
        <f>IF(B322="","",TEXT(B322,"yyyy-mm"))</f>
        <v/>
      </c>
      <c r="E322" s="12" t="n"/>
      <c r="F322" s="12" t="n"/>
      <c r="G322" s="7">
        <f>IF(OR(E322="",F322=""),"",IF(COUNTIF(Cluster_Master!$I$3:$I$17,E322&amp;"|"&amp;F322)=1,"Valid","Review"))</f>
        <v/>
      </c>
      <c r="H322" s="7">
        <f>IF($G322&lt;&gt;"Valid","",VLOOKUP($E322&amp;"|"&amp;$F322,Cluster_Master!$I$3:$H$17,3,FALSE))</f>
        <v/>
      </c>
      <c r="I322" s="7">
        <f>IF($G322&lt;&gt;"Valid","",VLOOKUP($E322&amp;"|"&amp;$F322,Cluster_Master!$I$3:$H$17,4,FALSE))</f>
        <v/>
      </c>
      <c r="J322" s="7">
        <f>IF($G322&lt;&gt;"Valid","",VLOOKUP($E322&amp;"|"&amp;$F322,Cluster_Master!$I$3:$H$17,5,FALSE))</f>
        <v/>
      </c>
      <c r="K322" s="7">
        <f>IF($G322&lt;&gt;"Valid","",VLOOKUP($E322&amp;"|"&amp;$F322,Cluster_Master!$I$3:$H$17,6,FALSE))</f>
        <v/>
      </c>
      <c r="L322" s="7">
        <f>IF($G322&lt;&gt;"Valid","",VLOOKUP($E322&amp;"|"&amp;$F322,Cluster_Master!$I$3:$H$17,7,FALSE))</f>
        <v/>
      </c>
      <c r="M322" s="7">
        <f>IF($G322&lt;&gt;"Valid","",VLOOKUP($E322&amp;"|"&amp;$F322,Cluster_Master!$I$3:$H$17,8,FALSE))</f>
        <v/>
      </c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7">
        <f>IF(COUNT(T322:AH322)=0,"",SUM(T322:AH322))</f>
        <v/>
      </c>
      <c r="AJ322" s="10">
        <f>IF(AI322="","",AI322/75)</f>
        <v/>
      </c>
      <c r="AK322" s="10">
        <f>IF(AI322="","",SUMPRODUCT(T322:AH322,KPI_Weights!$B$3:$B$17)/5)</f>
        <v/>
      </c>
      <c r="AL322" s="7">
        <f>IF(COUNT(T322:AH322)=0,"",IF(OR(T322&lt;=1,W322&lt;=1,X322&lt;=1,Y322&lt;=1,AB322&lt;=1),"YES","NO"))</f>
        <v/>
      </c>
      <c r="AM322" s="7">
        <f>IF(AK322="","",IF(AND(AK322="NO",AJ322&gt;=0.85),"YES","NO"))</f>
        <v/>
      </c>
      <c r="AN322" s="7">
        <f>IF(AJ322="","",IF(AJ322&gt;=0.90,"Excellent",IF(AJ322&gt;=0.80,"Good",IF(AJ322&gt;=0.70,"Fair","Poor"))))</f>
        <v/>
      </c>
      <c r="AO322" s="12" t="n"/>
      <c r="AP322" s="12" t="n"/>
      <c r="AQ322" s="12" t="n"/>
      <c r="AR322" s="12" t="n"/>
      <c r="AS322" s="12" t="n"/>
      <c r="AT322" s="12" t="n"/>
      <c r="AU322" s="12" t="n"/>
      <c r="AV322" s="11" t="n"/>
      <c r="AW322" s="12" t="n"/>
      <c r="AX322" s="12" t="n"/>
      <c r="AY322" s="12" t="n"/>
      <c r="AZ322" s="12" t="n"/>
      <c r="BA322" s="12" t="n"/>
      <c r="BB322" s="12" t="n"/>
      <c r="BC322" s="12" t="n"/>
      <c r="BD322" s="12" t="n"/>
      <c r="BE322" s="12" t="n"/>
      <c r="BF322" s="12" t="n"/>
    </row>
    <row r="323">
      <c r="A323" s="7">
        <f>IF(B323="","","INS-"&amp;TEXT(ROW()-3,"000"))</f>
        <v/>
      </c>
      <c r="B323" s="11" t="n"/>
      <c r="C323" s="7">
        <f>IF(B323="","",ISOWEEKNUM(B323))</f>
        <v/>
      </c>
      <c r="D323" s="7">
        <f>IF(B323="","",TEXT(B323,"yyyy-mm"))</f>
        <v/>
      </c>
      <c r="E323" s="12" t="n"/>
      <c r="F323" s="12" t="n"/>
      <c r="G323" s="7">
        <f>IF(OR(E323="",F323=""),"",IF(COUNTIF(Cluster_Master!$I$3:$I$17,E323&amp;"|"&amp;F323)=1,"Valid","Review"))</f>
        <v/>
      </c>
      <c r="H323" s="7">
        <f>IF($G323&lt;&gt;"Valid","",VLOOKUP($E323&amp;"|"&amp;$F323,Cluster_Master!$I$3:$H$17,3,FALSE))</f>
        <v/>
      </c>
      <c r="I323" s="7">
        <f>IF($G323&lt;&gt;"Valid","",VLOOKUP($E323&amp;"|"&amp;$F323,Cluster_Master!$I$3:$H$17,4,FALSE))</f>
        <v/>
      </c>
      <c r="J323" s="7">
        <f>IF($G323&lt;&gt;"Valid","",VLOOKUP($E323&amp;"|"&amp;$F323,Cluster_Master!$I$3:$H$17,5,FALSE))</f>
        <v/>
      </c>
      <c r="K323" s="7">
        <f>IF($G323&lt;&gt;"Valid","",VLOOKUP($E323&amp;"|"&amp;$F323,Cluster_Master!$I$3:$H$17,6,FALSE))</f>
        <v/>
      </c>
      <c r="L323" s="7">
        <f>IF($G323&lt;&gt;"Valid","",VLOOKUP($E323&amp;"|"&amp;$F323,Cluster_Master!$I$3:$H$17,7,FALSE))</f>
        <v/>
      </c>
      <c r="M323" s="7">
        <f>IF($G323&lt;&gt;"Valid","",VLOOKUP($E323&amp;"|"&amp;$F323,Cluster_Master!$I$3:$H$17,8,FALSE))</f>
        <v/>
      </c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7">
        <f>IF(COUNT(T323:AH323)=0,"",SUM(T323:AH323))</f>
        <v/>
      </c>
      <c r="AJ323" s="10">
        <f>IF(AI323="","",AI323/75)</f>
        <v/>
      </c>
      <c r="AK323" s="10">
        <f>IF(AI323="","",SUMPRODUCT(T323:AH323,KPI_Weights!$B$3:$B$17)/5)</f>
        <v/>
      </c>
      <c r="AL323" s="7">
        <f>IF(COUNT(T323:AH323)=0,"",IF(OR(T323&lt;=1,W323&lt;=1,X323&lt;=1,Y323&lt;=1,AB323&lt;=1),"YES","NO"))</f>
        <v/>
      </c>
      <c r="AM323" s="7">
        <f>IF(AK323="","",IF(AND(AK323="NO",AJ323&gt;=0.85),"YES","NO"))</f>
        <v/>
      </c>
      <c r="AN323" s="7">
        <f>IF(AJ323="","",IF(AJ323&gt;=0.90,"Excellent",IF(AJ323&gt;=0.80,"Good",IF(AJ323&gt;=0.70,"Fair","Poor"))))</f>
        <v/>
      </c>
      <c r="AO323" s="12" t="n"/>
      <c r="AP323" s="12" t="n"/>
      <c r="AQ323" s="12" t="n"/>
      <c r="AR323" s="12" t="n"/>
      <c r="AS323" s="12" t="n"/>
      <c r="AT323" s="12" t="n"/>
      <c r="AU323" s="12" t="n"/>
      <c r="AV323" s="11" t="n"/>
      <c r="AW323" s="12" t="n"/>
      <c r="AX323" s="12" t="n"/>
      <c r="AY323" s="12" t="n"/>
      <c r="AZ323" s="12" t="n"/>
      <c r="BA323" s="12" t="n"/>
      <c r="BB323" s="12" t="n"/>
      <c r="BC323" s="12" t="n"/>
      <c r="BD323" s="12" t="n"/>
      <c r="BE323" s="12" t="n"/>
      <c r="BF323" s="12" t="n"/>
    </row>
    <row r="324">
      <c r="A324" s="7">
        <f>IF(B324="","","INS-"&amp;TEXT(ROW()-3,"000"))</f>
        <v/>
      </c>
      <c r="B324" s="11" t="n"/>
      <c r="C324" s="7">
        <f>IF(B324="","",ISOWEEKNUM(B324))</f>
        <v/>
      </c>
      <c r="D324" s="7">
        <f>IF(B324="","",TEXT(B324,"yyyy-mm"))</f>
        <v/>
      </c>
      <c r="E324" s="12" t="n"/>
      <c r="F324" s="12" t="n"/>
      <c r="G324" s="7">
        <f>IF(OR(E324="",F324=""),"",IF(COUNTIF(Cluster_Master!$I$3:$I$17,E324&amp;"|"&amp;F324)=1,"Valid","Review"))</f>
        <v/>
      </c>
      <c r="H324" s="7">
        <f>IF($G324&lt;&gt;"Valid","",VLOOKUP($E324&amp;"|"&amp;$F324,Cluster_Master!$I$3:$H$17,3,FALSE))</f>
        <v/>
      </c>
      <c r="I324" s="7">
        <f>IF($G324&lt;&gt;"Valid","",VLOOKUP($E324&amp;"|"&amp;$F324,Cluster_Master!$I$3:$H$17,4,FALSE))</f>
        <v/>
      </c>
      <c r="J324" s="7">
        <f>IF($G324&lt;&gt;"Valid","",VLOOKUP($E324&amp;"|"&amp;$F324,Cluster_Master!$I$3:$H$17,5,FALSE))</f>
        <v/>
      </c>
      <c r="K324" s="7">
        <f>IF($G324&lt;&gt;"Valid","",VLOOKUP($E324&amp;"|"&amp;$F324,Cluster_Master!$I$3:$H$17,6,FALSE))</f>
        <v/>
      </c>
      <c r="L324" s="7">
        <f>IF($G324&lt;&gt;"Valid","",VLOOKUP($E324&amp;"|"&amp;$F324,Cluster_Master!$I$3:$H$17,7,FALSE))</f>
        <v/>
      </c>
      <c r="M324" s="7">
        <f>IF($G324&lt;&gt;"Valid","",VLOOKUP($E324&amp;"|"&amp;$F324,Cluster_Master!$I$3:$H$17,8,FALSE))</f>
        <v/>
      </c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7">
        <f>IF(COUNT(T324:AH324)=0,"",SUM(T324:AH324))</f>
        <v/>
      </c>
      <c r="AJ324" s="10">
        <f>IF(AI324="","",AI324/75)</f>
        <v/>
      </c>
      <c r="AK324" s="10">
        <f>IF(AI324="","",SUMPRODUCT(T324:AH324,KPI_Weights!$B$3:$B$17)/5)</f>
        <v/>
      </c>
      <c r="AL324" s="7">
        <f>IF(COUNT(T324:AH324)=0,"",IF(OR(T324&lt;=1,W324&lt;=1,X324&lt;=1,Y324&lt;=1,AB324&lt;=1),"YES","NO"))</f>
        <v/>
      </c>
      <c r="AM324" s="7">
        <f>IF(AK324="","",IF(AND(AK324="NO",AJ324&gt;=0.85),"YES","NO"))</f>
        <v/>
      </c>
      <c r="AN324" s="7">
        <f>IF(AJ324="","",IF(AJ324&gt;=0.90,"Excellent",IF(AJ324&gt;=0.80,"Good",IF(AJ324&gt;=0.70,"Fair","Poor"))))</f>
        <v/>
      </c>
      <c r="AO324" s="12" t="n"/>
      <c r="AP324" s="12" t="n"/>
      <c r="AQ324" s="12" t="n"/>
      <c r="AR324" s="12" t="n"/>
      <c r="AS324" s="12" t="n"/>
      <c r="AT324" s="12" t="n"/>
      <c r="AU324" s="12" t="n"/>
      <c r="AV324" s="11" t="n"/>
      <c r="AW324" s="12" t="n"/>
      <c r="AX324" s="12" t="n"/>
      <c r="AY324" s="12" t="n"/>
      <c r="AZ324" s="12" t="n"/>
      <c r="BA324" s="12" t="n"/>
      <c r="BB324" s="12" t="n"/>
      <c r="BC324" s="12" t="n"/>
      <c r="BD324" s="12" t="n"/>
      <c r="BE324" s="12" t="n"/>
      <c r="BF324" s="12" t="n"/>
    </row>
    <row r="325">
      <c r="A325" s="7">
        <f>IF(B325="","","INS-"&amp;TEXT(ROW()-3,"000"))</f>
        <v/>
      </c>
      <c r="B325" s="11" t="n"/>
      <c r="C325" s="7">
        <f>IF(B325="","",ISOWEEKNUM(B325))</f>
        <v/>
      </c>
      <c r="D325" s="7">
        <f>IF(B325="","",TEXT(B325,"yyyy-mm"))</f>
        <v/>
      </c>
      <c r="E325" s="12" t="n"/>
      <c r="F325" s="12" t="n"/>
      <c r="G325" s="7">
        <f>IF(OR(E325="",F325=""),"",IF(COUNTIF(Cluster_Master!$I$3:$I$17,E325&amp;"|"&amp;F325)=1,"Valid","Review"))</f>
        <v/>
      </c>
      <c r="H325" s="7">
        <f>IF($G325&lt;&gt;"Valid","",VLOOKUP($E325&amp;"|"&amp;$F325,Cluster_Master!$I$3:$H$17,3,FALSE))</f>
        <v/>
      </c>
      <c r="I325" s="7">
        <f>IF($G325&lt;&gt;"Valid","",VLOOKUP($E325&amp;"|"&amp;$F325,Cluster_Master!$I$3:$H$17,4,FALSE))</f>
        <v/>
      </c>
      <c r="J325" s="7">
        <f>IF($G325&lt;&gt;"Valid","",VLOOKUP($E325&amp;"|"&amp;$F325,Cluster_Master!$I$3:$H$17,5,FALSE))</f>
        <v/>
      </c>
      <c r="K325" s="7">
        <f>IF($G325&lt;&gt;"Valid","",VLOOKUP($E325&amp;"|"&amp;$F325,Cluster_Master!$I$3:$H$17,6,FALSE))</f>
        <v/>
      </c>
      <c r="L325" s="7">
        <f>IF($G325&lt;&gt;"Valid","",VLOOKUP($E325&amp;"|"&amp;$F325,Cluster_Master!$I$3:$H$17,7,FALSE))</f>
        <v/>
      </c>
      <c r="M325" s="7">
        <f>IF($G325&lt;&gt;"Valid","",VLOOKUP($E325&amp;"|"&amp;$F325,Cluster_Master!$I$3:$H$17,8,FALSE))</f>
        <v/>
      </c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7">
        <f>IF(COUNT(T325:AH325)=0,"",SUM(T325:AH325))</f>
        <v/>
      </c>
      <c r="AJ325" s="10">
        <f>IF(AI325="","",AI325/75)</f>
        <v/>
      </c>
      <c r="AK325" s="10">
        <f>IF(AI325="","",SUMPRODUCT(T325:AH325,KPI_Weights!$B$3:$B$17)/5)</f>
        <v/>
      </c>
      <c r="AL325" s="7">
        <f>IF(COUNT(T325:AH325)=0,"",IF(OR(T325&lt;=1,W325&lt;=1,X325&lt;=1,Y325&lt;=1,AB325&lt;=1),"YES","NO"))</f>
        <v/>
      </c>
      <c r="AM325" s="7">
        <f>IF(AK325="","",IF(AND(AK325="NO",AJ325&gt;=0.85),"YES","NO"))</f>
        <v/>
      </c>
      <c r="AN325" s="7">
        <f>IF(AJ325="","",IF(AJ325&gt;=0.90,"Excellent",IF(AJ325&gt;=0.80,"Good",IF(AJ325&gt;=0.70,"Fair","Poor"))))</f>
        <v/>
      </c>
      <c r="AO325" s="12" t="n"/>
      <c r="AP325" s="12" t="n"/>
      <c r="AQ325" s="12" t="n"/>
      <c r="AR325" s="12" t="n"/>
      <c r="AS325" s="12" t="n"/>
      <c r="AT325" s="12" t="n"/>
      <c r="AU325" s="12" t="n"/>
      <c r="AV325" s="11" t="n"/>
      <c r="AW325" s="12" t="n"/>
      <c r="AX325" s="12" t="n"/>
      <c r="AY325" s="12" t="n"/>
      <c r="AZ325" s="12" t="n"/>
      <c r="BA325" s="12" t="n"/>
      <c r="BB325" s="12" t="n"/>
      <c r="BC325" s="12" t="n"/>
      <c r="BD325" s="12" t="n"/>
      <c r="BE325" s="12" t="n"/>
      <c r="BF325" s="12" t="n"/>
    </row>
    <row r="326">
      <c r="A326" s="7">
        <f>IF(B326="","","INS-"&amp;TEXT(ROW()-3,"000"))</f>
        <v/>
      </c>
      <c r="B326" s="11" t="n"/>
      <c r="C326" s="7">
        <f>IF(B326="","",ISOWEEKNUM(B326))</f>
        <v/>
      </c>
      <c r="D326" s="7">
        <f>IF(B326="","",TEXT(B326,"yyyy-mm"))</f>
        <v/>
      </c>
      <c r="E326" s="12" t="n"/>
      <c r="F326" s="12" t="n"/>
      <c r="G326" s="7">
        <f>IF(OR(E326="",F326=""),"",IF(COUNTIF(Cluster_Master!$I$3:$I$17,E326&amp;"|"&amp;F326)=1,"Valid","Review"))</f>
        <v/>
      </c>
      <c r="H326" s="7">
        <f>IF($G326&lt;&gt;"Valid","",VLOOKUP($E326&amp;"|"&amp;$F326,Cluster_Master!$I$3:$H$17,3,FALSE))</f>
        <v/>
      </c>
      <c r="I326" s="7">
        <f>IF($G326&lt;&gt;"Valid","",VLOOKUP($E326&amp;"|"&amp;$F326,Cluster_Master!$I$3:$H$17,4,FALSE))</f>
        <v/>
      </c>
      <c r="J326" s="7">
        <f>IF($G326&lt;&gt;"Valid","",VLOOKUP($E326&amp;"|"&amp;$F326,Cluster_Master!$I$3:$H$17,5,FALSE))</f>
        <v/>
      </c>
      <c r="K326" s="7">
        <f>IF($G326&lt;&gt;"Valid","",VLOOKUP($E326&amp;"|"&amp;$F326,Cluster_Master!$I$3:$H$17,6,FALSE))</f>
        <v/>
      </c>
      <c r="L326" s="7">
        <f>IF($G326&lt;&gt;"Valid","",VLOOKUP($E326&amp;"|"&amp;$F326,Cluster_Master!$I$3:$H$17,7,FALSE))</f>
        <v/>
      </c>
      <c r="M326" s="7">
        <f>IF($G326&lt;&gt;"Valid","",VLOOKUP($E326&amp;"|"&amp;$F326,Cluster_Master!$I$3:$H$17,8,FALSE))</f>
        <v/>
      </c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7">
        <f>IF(COUNT(T326:AH326)=0,"",SUM(T326:AH326))</f>
        <v/>
      </c>
      <c r="AJ326" s="10">
        <f>IF(AI326="","",AI326/75)</f>
        <v/>
      </c>
      <c r="AK326" s="10">
        <f>IF(AI326="","",SUMPRODUCT(T326:AH326,KPI_Weights!$B$3:$B$17)/5)</f>
        <v/>
      </c>
      <c r="AL326" s="7">
        <f>IF(COUNT(T326:AH326)=0,"",IF(OR(T326&lt;=1,W326&lt;=1,X326&lt;=1,Y326&lt;=1,AB326&lt;=1),"YES","NO"))</f>
        <v/>
      </c>
      <c r="AM326" s="7">
        <f>IF(AK326="","",IF(AND(AK326="NO",AJ326&gt;=0.85),"YES","NO"))</f>
        <v/>
      </c>
      <c r="AN326" s="7">
        <f>IF(AJ326="","",IF(AJ326&gt;=0.90,"Excellent",IF(AJ326&gt;=0.80,"Good",IF(AJ326&gt;=0.70,"Fair","Poor"))))</f>
        <v/>
      </c>
      <c r="AO326" s="12" t="n"/>
      <c r="AP326" s="12" t="n"/>
      <c r="AQ326" s="12" t="n"/>
      <c r="AR326" s="12" t="n"/>
      <c r="AS326" s="12" t="n"/>
      <c r="AT326" s="12" t="n"/>
      <c r="AU326" s="12" t="n"/>
      <c r="AV326" s="11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  <c r="BF326" s="12" t="n"/>
    </row>
    <row r="327">
      <c r="A327" s="7">
        <f>IF(B327="","","INS-"&amp;TEXT(ROW()-3,"000"))</f>
        <v/>
      </c>
      <c r="B327" s="11" t="n"/>
      <c r="C327" s="7">
        <f>IF(B327="","",ISOWEEKNUM(B327))</f>
        <v/>
      </c>
      <c r="D327" s="7">
        <f>IF(B327="","",TEXT(B327,"yyyy-mm"))</f>
        <v/>
      </c>
      <c r="E327" s="12" t="n"/>
      <c r="F327" s="12" t="n"/>
      <c r="G327" s="7">
        <f>IF(OR(E327="",F327=""),"",IF(COUNTIF(Cluster_Master!$I$3:$I$17,E327&amp;"|"&amp;F327)=1,"Valid","Review"))</f>
        <v/>
      </c>
      <c r="H327" s="7">
        <f>IF($G327&lt;&gt;"Valid","",VLOOKUP($E327&amp;"|"&amp;$F327,Cluster_Master!$I$3:$H$17,3,FALSE))</f>
        <v/>
      </c>
      <c r="I327" s="7">
        <f>IF($G327&lt;&gt;"Valid","",VLOOKUP($E327&amp;"|"&amp;$F327,Cluster_Master!$I$3:$H$17,4,FALSE))</f>
        <v/>
      </c>
      <c r="J327" s="7">
        <f>IF($G327&lt;&gt;"Valid","",VLOOKUP($E327&amp;"|"&amp;$F327,Cluster_Master!$I$3:$H$17,5,FALSE))</f>
        <v/>
      </c>
      <c r="K327" s="7">
        <f>IF($G327&lt;&gt;"Valid","",VLOOKUP($E327&amp;"|"&amp;$F327,Cluster_Master!$I$3:$H$17,6,FALSE))</f>
        <v/>
      </c>
      <c r="L327" s="7">
        <f>IF($G327&lt;&gt;"Valid","",VLOOKUP($E327&amp;"|"&amp;$F327,Cluster_Master!$I$3:$H$17,7,FALSE))</f>
        <v/>
      </c>
      <c r="M327" s="7">
        <f>IF($G327&lt;&gt;"Valid","",VLOOKUP($E327&amp;"|"&amp;$F327,Cluster_Master!$I$3:$H$17,8,FALSE))</f>
        <v/>
      </c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7">
        <f>IF(COUNT(T327:AH327)=0,"",SUM(T327:AH327))</f>
        <v/>
      </c>
      <c r="AJ327" s="10">
        <f>IF(AI327="","",AI327/75)</f>
        <v/>
      </c>
      <c r="AK327" s="10">
        <f>IF(AI327="","",SUMPRODUCT(T327:AH327,KPI_Weights!$B$3:$B$17)/5)</f>
        <v/>
      </c>
      <c r="AL327" s="7">
        <f>IF(COUNT(T327:AH327)=0,"",IF(OR(T327&lt;=1,W327&lt;=1,X327&lt;=1,Y327&lt;=1,AB327&lt;=1),"YES","NO"))</f>
        <v/>
      </c>
      <c r="AM327" s="7">
        <f>IF(AK327="","",IF(AND(AK327="NO",AJ327&gt;=0.85),"YES","NO"))</f>
        <v/>
      </c>
      <c r="AN327" s="7">
        <f>IF(AJ327="","",IF(AJ327&gt;=0.90,"Excellent",IF(AJ327&gt;=0.80,"Good",IF(AJ327&gt;=0.70,"Fair","Poor"))))</f>
        <v/>
      </c>
      <c r="AO327" s="12" t="n"/>
      <c r="AP327" s="12" t="n"/>
      <c r="AQ327" s="12" t="n"/>
      <c r="AR327" s="12" t="n"/>
      <c r="AS327" s="12" t="n"/>
      <c r="AT327" s="12" t="n"/>
      <c r="AU327" s="12" t="n"/>
      <c r="AV327" s="11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  <c r="BF327" s="12" t="n"/>
    </row>
    <row r="328">
      <c r="A328" s="7">
        <f>IF(B328="","","INS-"&amp;TEXT(ROW()-3,"000"))</f>
        <v/>
      </c>
      <c r="B328" s="11" t="n"/>
      <c r="C328" s="7">
        <f>IF(B328="","",ISOWEEKNUM(B328))</f>
        <v/>
      </c>
      <c r="D328" s="7">
        <f>IF(B328="","",TEXT(B328,"yyyy-mm"))</f>
        <v/>
      </c>
      <c r="E328" s="12" t="n"/>
      <c r="F328" s="12" t="n"/>
      <c r="G328" s="7">
        <f>IF(OR(E328="",F328=""),"",IF(COUNTIF(Cluster_Master!$I$3:$I$17,E328&amp;"|"&amp;F328)=1,"Valid","Review"))</f>
        <v/>
      </c>
      <c r="H328" s="7">
        <f>IF($G328&lt;&gt;"Valid","",VLOOKUP($E328&amp;"|"&amp;$F328,Cluster_Master!$I$3:$H$17,3,FALSE))</f>
        <v/>
      </c>
      <c r="I328" s="7">
        <f>IF($G328&lt;&gt;"Valid","",VLOOKUP($E328&amp;"|"&amp;$F328,Cluster_Master!$I$3:$H$17,4,FALSE))</f>
        <v/>
      </c>
      <c r="J328" s="7">
        <f>IF($G328&lt;&gt;"Valid","",VLOOKUP($E328&amp;"|"&amp;$F328,Cluster_Master!$I$3:$H$17,5,FALSE))</f>
        <v/>
      </c>
      <c r="K328" s="7">
        <f>IF($G328&lt;&gt;"Valid","",VLOOKUP($E328&amp;"|"&amp;$F328,Cluster_Master!$I$3:$H$17,6,FALSE))</f>
        <v/>
      </c>
      <c r="L328" s="7">
        <f>IF($G328&lt;&gt;"Valid","",VLOOKUP($E328&amp;"|"&amp;$F328,Cluster_Master!$I$3:$H$17,7,FALSE))</f>
        <v/>
      </c>
      <c r="M328" s="7">
        <f>IF($G328&lt;&gt;"Valid","",VLOOKUP($E328&amp;"|"&amp;$F328,Cluster_Master!$I$3:$H$17,8,FALSE))</f>
        <v/>
      </c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7">
        <f>IF(COUNT(T328:AH328)=0,"",SUM(T328:AH328))</f>
        <v/>
      </c>
      <c r="AJ328" s="10">
        <f>IF(AI328="","",AI328/75)</f>
        <v/>
      </c>
      <c r="AK328" s="10">
        <f>IF(AI328="","",SUMPRODUCT(T328:AH328,KPI_Weights!$B$3:$B$17)/5)</f>
        <v/>
      </c>
      <c r="AL328" s="7">
        <f>IF(COUNT(T328:AH328)=0,"",IF(OR(T328&lt;=1,W328&lt;=1,X328&lt;=1,Y328&lt;=1,AB328&lt;=1),"YES","NO"))</f>
        <v/>
      </c>
      <c r="AM328" s="7">
        <f>IF(AK328="","",IF(AND(AK328="NO",AJ328&gt;=0.85),"YES","NO"))</f>
        <v/>
      </c>
      <c r="AN328" s="7">
        <f>IF(AJ328="","",IF(AJ328&gt;=0.90,"Excellent",IF(AJ328&gt;=0.80,"Good",IF(AJ328&gt;=0.70,"Fair","Poor"))))</f>
        <v/>
      </c>
      <c r="AO328" s="12" t="n"/>
      <c r="AP328" s="12" t="n"/>
      <c r="AQ328" s="12" t="n"/>
      <c r="AR328" s="12" t="n"/>
      <c r="AS328" s="12" t="n"/>
      <c r="AT328" s="12" t="n"/>
      <c r="AU328" s="12" t="n"/>
      <c r="AV328" s="11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  <c r="BF328" s="12" t="n"/>
    </row>
    <row r="329">
      <c r="A329" s="7">
        <f>IF(B329="","","INS-"&amp;TEXT(ROW()-3,"000"))</f>
        <v/>
      </c>
      <c r="B329" s="11" t="n"/>
      <c r="C329" s="7">
        <f>IF(B329="","",ISOWEEKNUM(B329))</f>
        <v/>
      </c>
      <c r="D329" s="7">
        <f>IF(B329="","",TEXT(B329,"yyyy-mm"))</f>
        <v/>
      </c>
      <c r="E329" s="12" t="n"/>
      <c r="F329" s="12" t="n"/>
      <c r="G329" s="7">
        <f>IF(OR(E329="",F329=""),"",IF(COUNTIF(Cluster_Master!$I$3:$I$17,E329&amp;"|"&amp;F329)=1,"Valid","Review"))</f>
        <v/>
      </c>
      <c r="H329" s="7">
        <f>IF($G329&lt;&gt;"Valid","",VLOOKUP($E329&amp;"|"&amp;$F329,Cluster_Master!$I$3:$H$17,3,FALSE))</f>
        <v/>
      </c>
      <c r="I329" s="7">
        <f>IF($G329&lt;&gt;"Valid","",VLOOKUP($E329&amp;"|"&amp;$F329,Cluster_Master!$I$3:$H$17,4,FALSE))</f>
        <v/>
      </c>
      <c r="J329" s="7">
        <f>IF($G329&lt;&gt;"Valid","",VLOOKUP($E329&amp;"|"&amp;$F329,Cluster_Master!$I$3:$H$17,5,FALSE))</f>
        <v/>
      </c>
      <c r="K329" s="7">
        <f>IF($G329&lt;&gt;"Valid","",VLOOKUP($E329&amp;"|"&amp;$F329,Cluster_Master!$I$3:$H$17,6,FALSE))</f>
        <v/>
      </c>
      <c r="L329" s="7">
        <f>IF($G329&lt;&gt;"Valid","",VLOOKUP($E329&amp;"|"&amp;$F329,Cluster_Master!$I$3:$H$17,7,FALSE))</f>
        <v/>
      </c>
      <c r="M329" s="7">
        <f>IF($G329&lt;&gt;"Valid","",VLOOKUP($E329&amp;"|"&amp;$F329,Cluster_Master!$I$3:$H$17,8,FALSE))</f>
        <v/>
      </c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7">
        <f>IF(COUNT(T329:AH329)=0,"",SUM(T329:AH329))</f>
        <v/>
      </c>
      <c r="AJ329" s="10">
        <f>IF(AI329="","",AI329/75)</f>
        <v/>
      </c>
      <c r="AK329" s="10">
        <f>IF(AI329="","",SUMPRODUCT(T329:AH329,KPI_Weights!$B$3:$B$17)/5)</f>
        <v/>
      </c>
      <c r="AL329" s="7">
        <f>IF(COUNT(T329:AH329)=0,"",IF(OR(T329&lt;=1,W329&lt;=1,X329&lt;=1,Y329&lt;=1,AB329&lt;=1),"YES","NO"))</f>
        <v/>
      </c>
      <c r="AM329" s="7">
        <f>IF(AK329="","",IF(AND(AK329="NO",AJ329&gt;=0.85),"YES","NO"))</f>
        <v/>
      </c>
      <c r="AN329" s="7">
        <f>IF(AJ329="","",IF(AJ329&gt;=0.90,"Excellent",IF(AJ329&gt;=0.80,"Good",IF(AJ329&gt;=0.70,"Fair","Poor"))))</f>
        <v/>
      </c>
      <c r="AO329" s="12" t="n"/>
      <c r="AP329" s="12" t="n"/>
      <c r="AQ329" s="12" t="n"/>
      <c r="AR329" s="12" t="n"/>
      <c r="AS329" s="12" t="n"/>
      <c r="AT329" s="12" t="n"/>
      <c r="AU329" s="12" t="n"/>
      <c r="AV329" s="11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  <c r="BF329" s="12" t="n"/>
    </row>
    <row r="330">
      <c r="A330" s="7">
        <f>IF(B330="","","INS-"&amp;TEXT(ROW()-3,"000"))</f>
        <v/>
      </c>
      <c r="B330" s="11" t="n"/>
      <c r="C330" s="7">
        <f>IF(B330="","",ISOWEEKNUM(B330))</f>
        <v/>
      </c>
      <c r="D330" s="7">
        <f>IF(B330="","",TEXT(B330,"yyyy-mm"))</f>
        <v/>
      </c>
      <c r="E330" s="12" t="n"/>
      <c r="F330" s="12" t="n"/>
      <c r="G330" s="7">
        <f>IF(OR(E330="",F330=""),"",IF(COUNTIF(Cluster_Master!$I$3:$I$17,E330&amp;"|"&amp;F330)=1,"Valid","Review"))</f>
        <v/>
      </c>
      <c r="H330" s="7">
        <f>IF($G330&lt;&gt;"Valid","",VLOOKUP($E330&amp;"|"&amp;$F330,Cluster_Master!$I$3:$H$17,3,FALSE))</f>
        <v/>
      </c>
      <c r="I330" s="7">
        <f>IF($G330&lt;&gt;"Valid","",VLOOKUP($E330&amp;"|"&amp;$F330,Cluster_Master!$I$3:$H$17,4,FALSE))</f>
        <v/>
      </c>
      <c r="J330" s="7">
        <f>IF($G330&lt;&gt;"Valid","",VLOOKUP($E330&amp;"|"&amp;$F330,Cluster_Master!$I$3:$H$17,5,FALSE))</f>
        <v/>
      </c>
      <c r="K330" s="7">
        <f>IF($G330&lt;&gt;"Valid","",VLOOKUP($E330&amp;"|"&amp;$F330,Cluster_Master!$I$3:$H$17,6,FALSE))</f>
        <v/>
      </c>
      <c r="L330" s="7">
        <f>IF($G330&lt;&gt;"Valid","",VLOOKUP($E330&amp;"|"&amp;$F330,Cluster_Master!$I$3:$H$17,7,FALSE))</f>
        <v/>
      </c>
      <c r="M330" s="7">
        <f>IF($G330&lt;&gt;"Valid","",VLOOKUP($E330&amp;"|"&amp;$F330,Cluster_Master!$I$3:$H$17,8,FALSE))</f>
        <v/>
      </c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7">
        <f>IF(COUNT(T330:AH330)=0,"",SUM(T330:AH330))</f>
        <v/>
      </c>
      <c r="AJ330" s="10">
        <f>IF(AI330="","",AI330/75)</f>
        <v/>
      </c>
      <c r="AK330" s="10">
        <f>IF(AI330="","",SUMPRODUCT(T330:AH330,KPI_Weights!$B$3:$B$17)/5)</f>
        <v/>
      </c>
      <c r="AL330" s="7">
        <f>IF(COUNT(T330:AH330)=0,"",IF(OR(T330&lt;=1,W330&lt;=1,X330&lt;=1,Y330&lt;=1,AB330&lt;=1),"YES","NO"))</f>
        <v/>
      </c>
      <c r="AM330" s="7">
        <f>IF(AK330="","",IF(AND(AK330="NO",AJ330&gt;=0.85),"YES","NO"))</f>
        <v/>
      </c>
      <c r="AN330" s="7">
        <f>IF(AJ330="","",IF(AJ330&gt;=0.90,"Excellent",IF(AJ330&gt;=0.80,"Good",IF(AJ330&gt;=0.70,"Fair","Poor"))))</f>
        <v/>
      </c>
      <c r="AO330" s="12" t="n"/>
      <c r="AP330" s="12" t="n"/>
      <c r="AQ330" s="12" t="n"/>
      <c r="AR330" s="12" t="n"/>
      <c r="AS330" s="12" t="n"/>
      <c r="AT330" s="12" t="n"/>
      <c r="AU330" s="12" t="n"/>
      <c r="AV330" s="11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  <c r="BF330" s="12" t="n"/>
    </row>
    <row r="331">
      <c r="A331" s="7">
        <f>IF(B331="","","INS-"&amp;TEXT(ROW()-3,"000"))</f>
        <v/>
      </c>
      <c r="B331" s="11" t="n"/>
      <c r="C331" s="7">
        <f>IF(B331="","",ISOWEEKNUM(B331))</f>
        <v/>
      </c>
      <c r="D331" s="7">
        <f>IF(B331="","",TEXT(B331,"yyyy-mm"))</f>
        <v/>
      </c>
      <c r="E331" s="12" t="n"/>
      <c r="F331" s="12" t="n"/>
      <c r="G331" s="7">
        <f>IF(OR(E331="",F331=""),"",IF(COUNTIF(Cluster_Master!$I$3:$I$17,E331&amp;"|"&amp;F331)=1,"Valid","Review"))</f>
        <v/>
      </c>
      <c r="H331" s="7">
        <f>IF($G331&lt;&gt;"Valid","",VLOOKUP($E331&amp;"|"&amp;$F331,Cluster_Master!$I$3:$H$17,3,FALSE))</f>
        <v/>
      </c>
      <c r="I331" s="7">
        <f>IF($G331&lt;&gt;"Valid","",VLOOKUP($E331&amp;"|"&amp;$F331,Cluster_Master!$I$3:$H$17,4,FALSE))</f>
        <v/>
      </c>
      <c r="J331" s="7">
        <f>IF($G331&lt;&gt;"Valid","",VLOOKUP($E331&amp;"|"&amp;$F331,Cluster_Master!$I$3:$H$17,5,FALSE))</f>
        <v/>
      </c>
      <c r="K331" s="7">
        <f>IF($G331&lt;&gt;"Valid","",VLOOKUP($E331&amp;"|"&amp;$F331,Cluster_Master!$I$3:$H$17,6,FALSE))</f>
        <v/>
      </c>
      <c r="L331" s="7">
        <f>IF($G331&lt;&gt;"Valid","",VLOOKUP($E331&amp;"|"&amp;$F331,Cluster_Master!$I$3:$H$17,7,FALSE))</f>
        <v/>
      </c>
      <c r="M331" s="7">
        <f>IF($G331&lt;&gt;"Valid","",VLOOKUP($E331&amp;"|"&amp;$F331,Cluster_Master!$I$3:$H$17,8,FALSE))</f>
        <v/>
      </c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7">
        <f>IF(COUNT(T331:AH331)=0,"",SUM(T331:AH331))</f>
        <v/>
      </c>
      <c r="AJ331" s="10">
        <f>IF(AI331="","",AI331/75)</f>
        <v/>
      </c>
      <c r="AK331" s="10">
        <f>IF(AI331="","",SUMPRODUCT(T331:AH331,KPI_Weights!$B$3:$B$17)/5)</f>
        <v/>
      </c>
      <c r="AL331" s="7">
        <f>IF(COUNT(T331:AH331)=0,"",IF(OR(T331&lt;=1,W331&lt;=1,X331&lt;=1,Y331&lt;=1,AB331&lt;=1),"YES","NO"))</f>
        <v/>
      </c>
      <c r="AM331" s="7">
        <f>IF(AK331="","",IF(AND(AK331="NO",AJ331&gt;=0.85),"YES","NO"))</f>
        <v/>
      </c>
      <c r="AN331" s="7">
        <f>IF(AJ331="","",IF(AJ331&gt;=0.90,"Excellent",IF(AJ331&gt;=0.80,"Good",IF(AJ331&gt;=0.70,"Fair","Poor"))))</f>
        <v/>
      </c>
      <c r="AO331" s="12" t="n"/>
      <c r="AP331" s="12" t="n"/>
      <c r="AQ331" s="12" t="n"/>
      <c r="AR331" s="12" t="n"/>
      <c r="AS331" s="12" t="n"/>
      <c r="AT331" s="12" t="n"/>
      <c r="AU331" s="12" t="n"/>
      <c r="AV331" s="11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  <c r="BF331" s="12" t="n"/>
    </row>
    <row r="332">
      <c r="A332" s="7">
        <f>IF(B332="","","INS-"&amp;TEXT(ROW()-3,"000"))</f>
        <v/>
      </c>
      <c r="B332" s="11" t="n"/>
      <c r="C332" s="7">
        <f>IF(B332="","",ISOWEEKNUM(B332))</f>
        <v/>
      </c>
      <c r="D332" s="7">
        <f>IF(B332="","",TEXT(B332,"yyyy-mm"))</f>
        <v/>
      </c>
      <c r="E332" s="12" t="n"/>
      <c r="F332" s="12" t="n"/>
      <c r="G332" s="7">
        <f>IF(OR(E332="",F332=""),"",IF(COUNTIF(Cluster_Master!$I$3:$I$17,E332&amp;"|"&amp;F332)=1,"Valid","Review"))</f>
        <v/>
      </c>
      <c r="H332" s="7">
        <f>IF($G332&lt;&gt;"Valid","",VLOOKUP($E332&amp;"|"&amp;$F332,Cluster_Master!$I$3:$H$17,3,FALSE))</f>
        <v/>
      </c>
      <c r="I332" s="7">
        <f>IF($G332&lt;&gt;"Valid","",VLOOKUP($E332&amp;"|"&amp;$F332,Cluster_Master!$I$3:$H$17,4,FALSE))</f>
        <v/>
      </c>
      <c r="J332" s="7">
        <f>IF($G332&lt;&gt;"Valid","",VLOOKUP($E332&amp;"|"&amp;$F332,Cluster_Master!$I$3:$H$17,5,FALSE))</f>
        <v/>
      </c>
      <c r="K332" s="7">
        <f>IF($G332&lt;&gt;"Valid","",VLOOKUP($E332&amp;"|"&amp;$F332,Cluster_Master!$I$3:$H$17,6,FALSE))</f>
        <v/>
      </c>
      <c r="L332" s="7">
        <f>IF($G332&lt;&gt;"Valid","",VLOOKUP($E332&amp;"|"&amp;$F332,Cluster_Master!$I$3:$H$17,7,FALSE))</f>
        <v/>
      </c>
      <c r="M332" s="7">
        <f>IF($G332&lt;&gt;"Valid","",VLOOKUP($E332&amp;"|"&amp;$F332,Cluster_Master!$I$3:$H$17,8,FALSE))</f>
        <v/>
      </c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7">
        <f>IF(COUNT(T332:AH332)=0,"",SUM(T332:AH332))</f>
        <v/>
      </c>
      <c r="AJ332" s="10">
        <f>IF(AI332="","",AI332/75)</f>
        <v/>
      </c>
      <c r="AK332" s="10">
        <f>IF(AI332="","",SUMPRODUCT(T332:AH332,KPI_Weights!$B$3:$B$17)/5)</f>
        <v/>
      </c>
      <c r="AL332" s="7">
        <f>IF(COUNT(T332:AH332)=0,"",IF(OR(T332&lt;=1,W332&lt;=1,X332&lt;=1,Y332&lt;=1,AB332&lt;=1),"YES","NO"))</f>
        <v/>
      </c>
      <c r="AM332" s="7">
        <f>IF(AK332="","",IF(AND(AK332="NO",AJ332&gt;=0.85),"YES","NO"))</f>
        <v/>
      </c>
      <c r="AN332" s="7">
        <f>IF(AJ332="","",IF(AJ332&gt;=0.90,"Excellent",IF(AJ332&gt;=0.80,"Good",IF(AJ332&gt;=0.70,"Fair","Poor"))))</f>
        <v/>
      </c>
      <c r="AO332" s="12" t="n"/>
      <c r="AP332" s="12" t="n"/>
      <c r="AQ332" s="12" t="n"/>
      <c r="AR332" s="12" t="n"/>
      <c r="AS332" s="12" t="n"/>
      <c r="AT332" s="12" t="n"/>
      <c r="AU332" s="12" t="n"/>
      <c r="AV332" s="11" t="n"/>
      <c r="AW332" s="12" t="n"/>
      <c r="AX332" s="12" t="n"/>
      <c r="AY332" s="12" t="n"/>
      <c r="AZ332" s="12" t="n"/>
      <c r="BA332" s="12" t="n"/>
      <c r="BB332" s="12" t="n"/>
      <c r="BC332" s="12" t="n"/>
      <c r="BD332" s="12" t="n"/>
      <c r="BE332" s="12" t="n"/>
      <c r="BF332" s="12" t="n"/>
    </row>
    <row r="333">
      <c r="A333" s="7">
        <f>IF(B333="","","INS-"&amp;TEXT(ROW()-3,"000"))</f>
        <v/>
      </c>
      <c r="B333" s="11" t="n"/>
      <c r="C333" s="7">
        <f>IF(B333="","",ISOWEEKNUM(B333))</f>
        <v/>
      </c>
      <c r="D333" s="7">
        <f>IF(B333="","",TEXT(B333,"yyyy-mm"))</f>
        <v/>
      </c>
      <c r="E333" s="12" t="n"/>
      <c r="F333" s="12" t="n"/>
      <c r="G333" s="7">
        <f>IF(OR(E333="",F333=""),"",IF(COUNTIF(Cluster_Master!$I$3:$I$17,E333&amp;"|"&amp;F333)=1,"Valid","Review"))</f>
        <v/>
      </c>
      <c r="H333" s="7">
        <f>IF($G333&lt;&gt;"Valid","",VLOOKUP($E333&amp;"|"&amp;$F333,Cluster_Master!$I$3:$H$17,3,FALSE))</f>
        <v/>
      </c>
      <c r="I333" s="7">
        <f>IF($G333&lt;&gt;"Valid","",VLOOKUP($E333&amp;"|"&amp;$F333,Cluster_Master!$I$3:$H$17,4,FALSE))</f>
        <v/>
      </c>
      <c r="J333" s="7">
        <f>IF($G333&lt;&gt;"Valid","",VLOOKUP($E333&amp;"|"&amp;$F333,Cluster_Master!$I$3:$H$17,5,FALSE))</f>
        <v/>
      </c>
      <c r="K333" s="7">
        <f>IF($G333&lt;&gt;"Valid","",VLOOKUP($E333&amp;"|"&amp;$F333,Cluster_Master!$I$3:$H$17,6,FALSE))</f>
        <v/>
      </c>
      <c r="L333" s="7">
        <f>IF($G333&lt;&gt;"Valid","",VLOOKUP($E333&amp;"|"&amp;$F333,Cluster_Master!$I$3:$H$17,7,FALSE))</f>
        <v/>
      </c>
      <c r="M333" s="7">
        <f>IF($G333&lt;&gt;"Valid","",VLOOKUP($E333&amp;"|"&amp;$F333,Cluster_Master!$I$3:$H$17,8,FALSE))</f>
        <v/>
      </c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7">
        <f>IF(COUNT(T333:AH333)=0,"",SUM(T333:AH333))</f>
        <v/>
      </c>
      <c r="AJ333" s="10">
        <f>IF(AI333="","",AI333/75)</f>
        <v/>
      </c>
      <c r="AK333" s="10">
        <f>IF(AI333="","",SUMPRODUCT(T333:AH333,KPI_Weights!$B$3:$B$17)/5)</f>
        <v/>
      </c>
      <c r="AL333" s="7">
        <f>IF(COUNT(T333:AH333)=0,"",IF(OR(T333&lt;=1,W333&lt;=1,X333&lt;=1,Y333&lt;=1,AB333&lt;=1),"YES","NO"))</f>
        <v/>
      </c>
      <c r="AM333" s="7">
        <f>IF(AK333="","",IF(AND(AK333="NO",AJ333&gt;=0.85),"YES","NO"))</f>
        <v/>
      </c>
      <c r="AN333" s="7">
        <f>IF(AJ333="","",IF(AJ333&gt;=0.90,"Excellent",IF(AJ333&gt;=0.80,"Good",IF(AJ333&gt;=0.70,"Fair","Poor"))))</f>
        <v/>
      </c>
      <c r="AO333" s="12" t="n"/>
      <c r="AP333" s="12" t="n"/>
      <c r="AQ333" s="12" t="n"/>
      <c r="AR333" s="12" t="n"/>
      <c r="AS333" s="12" t="n"/>
      <c r="AT333" s="12" t="n"/>
      <c r="AU333" s="12" t="n"/>
      <c r="AV333" s="11" t="n"/>
      <c r="AW333" s="12" t="n"/>
      <c r="AX333" s="12" t="n"/>
      <c r="AY333" s="12" t="n"/>
      <c r="AZ333" s="12" t="n"/>
      <c r="BA333" s="12" t="n"/>
      <c r="BB333" s="12" t="n"/>
      <c r="BC333" s="12" t="n"/>
      <c r="BD333" s="12" t="n"/>
      <c r="BE333" s="12" t="n"/>
      <c r="BF333" s="12" t="n"/>
    </row>
    <row r="334">
      <c r="A334" s="7">
        <f>IF(B334="","","INS-"&amp;TEXT(ROW()-3,"000"))</f>
        <v/>
      </c>
      <c r="B334" s="11" t="n"/>
      <c r="C334" s="7">
        <f>IF(B334="","",ISOWEEKNUM(B334))</f>
        <v/>
      </c>
      <c r="D334" s="7">
        <f>IF(B334="","",TEXT(B334,"yyyy-mm"))</f>
        <v/>
      </c>
      <c r="E334" s="12" t="n"/>
      <c r="F334" s="12" t="n"/>
      <c r="G334" s="7">
        <f>IF(OR(E334="",F334=""),"",IF(COUNTIF(Cluster_Master!$I$3:$I$17,E334&amp;"|"&amp;F334)=1,"Valid","Review"))</f>
        <v/>
      </c>
      <c r="H334" s="7">
        <f>IF($G334&lt;&gt;"Valid","",VLOOKUP($E334&amp;"|"&amp;$F334,Cluster_Master!$I$3:$H$17,3,FALSE))</f>
        <v/>
      </c>
      <c r="I334" s="7">
        <f>IF($G334&lt;&gt;"Valid","",VLOOKUP($E334&amp;"|"&amp;$F334,Cluster_Master!$I$3:$H$17,4,FALSE))</f>
        <v/>
      </c>
      <c r="J334" s="7">
        <f>IF($G334&lt;&gt;"Valid","",VLOOKUP($E334&amp;"|"&amp;$F334,Cluster_Master!$I$3:$H$17,5,FALSE))</f>
        <v/>
      </c>
      <c r="K334" s="7">
        <f>IF($G334&lt;&gt;"Valid","",VLOOKUP($E334&amp;"|"&amp;$F334,Cluster_Master!$I$3:$H$17,6,FALSE))</f>
        <v/>
      </c>
      <c r="L334" s="7">
        <f>IF($G334&lt;&gt;"Valid","",VLOOKUP($E334&amp;"|"&amp;$F334,Cluster_Master!$I$3:$H$17,7,FALSE))</f>
        <v/>
      </c>
      <c r="M334" s="7">
        <f>IF($G334&lt;&gt;"Valid","",VLOOKUP($E334&amp;"|"&amp;$F334,Cluster_Master!$I$3:$H$17,8,FALSE))</f>
        <v/>
      </c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7">
        <f>IF(COUNT(T334:AH334)=0,"",SUM(T334:AH334))</f>
        <v/>
      </c>
      <c r="AJ334" s="10">
        <f>IF(AI334="","",AI334/75)</f>
        <v/>
      </c>
      <c r="AK334" s="10">
        <f>IF(AI334="","",SUMPRODUCT(T334:AH334,KPI_Weights!$B$3:$B$17)/5)</f>
        <v/>
      </c>
      <c r="AL334" s="7">
        <f>IF(COUNT(T334:AH334)=0,"",IF(OR(T334&lt;=1,W334&lt;=1,X334&lt;=1,Y334&lt;=1,AB334&lt;=1),"YES","NO"))</f>
        <v/>
      </c>
      <c r="AM334" s="7">
        <f>IF(AK334="","",IF(AND(AK334="NO",AJ334&gt;=0.85),"YES","NO"))</f>
        <v/>
      </c>
      <c r="AN334" s="7">
        <f>IF(AJ334="","",IF(AJ334&gt;=0.90,"Excellent",IF(AJ334&gt;=0.80,"Good",IF(AJ334&gt;=0.70,"Fair","Poor"))))</f>
        <v/>
      </c>
      <c r="AO334" s="12" t="n"/>
      <c r="AP334" s="12" t="n"/>
      <c r="AQ334" s="12" t="n"/>
      <c r="AR334" s="12" t="n"/>
      <c r="AS334" s="12" t="n"/>
      <c r="AT334" s="12" t="n"/>
      <c r="AU334" s="12" t="n"/>
      <c r="AV334" s="11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  <c r="BF334" s="12" t="n"/>
    </row>
    <row r="335">
      <c r="A335" s="7">
        <f>IF(B335="","","INS-"&amp;TEXT(ROW()-3,"000"))</f>
        <v/>
      </c>
      <c r="B335" s="11" t="n"/>
      <c r="C335" s="7">
        <f>IF(B335="","",ISOWEEKNUM(B335))</f>
        <v/>
      </c>
      <c r="D335" s="7">
        <f>IF(B335="","",TEXT(B335,"yyyy-mm"))</f>
        <v/>
      </c>
      <c r="E335" s="12" t="n"/>
      <c r="F335" s="12" t="n"/>
      <c r="G335" s="7">
        <f>IF(OR(E335="",F335=""),"",IF(COUNTIF(Cluster_Master!$I$3:$I$17,E335&amp;"|"&amp;F335)=1,"Valid","Review"))</f>
        <v/>
      </c>
      <c r="H335" s="7">
        <f>IF($G335&lt;&gt;"Valid","",VLOOKUP($E335&amp;"|"&amp;$F335,Cluster_Master!$I$3:$H$17,3,FALSE))</f>
        <v/>
      </c>
      <c r="I335" s="7">
        <f>IF($G335&lt;&gt;"Valid","",VLOOKUP($E335&amp;"|"&amp;$F335,Cluster_Master!$I$3:$H$17,4,FALSE))</f>
        <v/>
      </c>
      <c r="J335" s="7">
        <f>IF($G335&lt;&gt;"Valid","",VLOOKUP($E335&amp;"|"&amp;$F335,Cluster_Master!$I$3:$H$17,5,FALSE))</f>
        <v/>
      </c>
      <c r="K335" s="7">
        <f>IF($G335&lt;&gt;"Valid","",VLOOKUP($E335&amp;"|"&amp;$F335,Cluster_Master!$I$3:$H$17,6,FALSE))</f>
        <v/>
      </c>
      <c r="L335" s="7">
        <f>IF($G335&lt;&gt;"Valid","",VLOOKUP($E335&amp;"|"&amp;$F335,Cluster_Master!$I$3:$H$17,7,FALSE))</f>
        <v/>
      </c>
      <c r="M335" s="7">
        <f>IF($G335&lt;&gt;"Valid","",VLOOKUP($E335&amp;"|"&amp;$F335,Cluster_Master!$I$3:$H$17,8,FALSE))</f>
        <v/>
      </c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7">
        <f>IF(COUNT(T335:AH335)=0,"",SUM(T335:AH335))</f>
        <v/>
      </c>
      <c r="AJ335" s="10">
        <f>IF(AI335="","",AI335/75)</f>
        <v/>
      </c>
      <c r="AK335" s="10">
        <f>IF(AI335="","",SUMPRODUCT(T335:AH335,KPI_Weights!$B$3:$B$17)/5)</f>
        <v/>
      </c>
      <c r="AL335" s="7">
        <f>IF(COUNT(T335:AH335)=0,"",IF(OR(T335&lt;=1,W335&lt;=1,X335&lt;=1,Y335&lt;=1,AB335&lt;=1),"YES","NO"))</f>
        <v/>
      </c>
      <c r="AM335" s="7">
        <f>IF(AK335="","",IF(AND(AK335="NO",AJ335&gt;=0.85),"YES","NO"))</f>
        <v/>
      </c>
      <c r="AN335" s="7">
        <f>IF(AJ335="","",IF(AJ335&gt;=0.90,"Excellent",IF(AJ335&gt;=0.80,"Good",IF(AJ335&gt;=0.70,"Fair","Poor"))))</f>
        <v/>
      </c>
      <c r="AO335" s="12" t="n"/>
      <c r="AP335" s="12" t="n"/>
      <c r="AQ335" s="12" t="n"/>
      <c r="AR335" s="12" t="n"/>
      <c r="AS335" s="12" t="n"/>
      <c r="AT335" s="12" t="n"/>
      <c r="AU335" s="12" t="n"/>
      <c r="AV335" s="11" t="n"/>
      <c r="AW335" s="12" t="n"/>
      <c r="AX335" s="12" t="n"/>
      <c r="AY335" s="12" t="n"/>
      <c r="AZ335" s="12" t="n"/>
      <c r="BA335" s="12" t="n"/>
      <c r="BB335" s="12" t="n"/>
      <c r="BC335" s="12" t="n"/>
      <c r="BD335" s="12" t="n"/>
      <c r="BE335" s="12" t="n"/>
      <c r="BF335" s="12" t="n"/>
    </row>
    <row r="336">
      <c r="A336" s="7">
        <f>IF(B336="","","INS-"&amp;TEXT(ROW()-3,"000"))</f>
        <v/>
      </c>
      <c r="B336" s="11" t="n"/>
      <c r="C336" s="7">
        <f>IF(B336="","",ISOWEEKNUM(B336))</f>
        <v/>
      </c>
      <c r="D336" s="7">
        <f>IF(B336="","",TEXT(B336,"yyyy-mm"))</f>
        <v/>
      </c>
      <c r="E336" s="12" t="n"/>
      <c r="F336" s="12" t="n"/>
      <c r="G336" s="7">
        <f>IF(OR(E336="",F336=""),"",IF(COUNTIF(Cluster_Master!$I$3:$I$17,E336&amp;"|"&amp;F336)=1,"Valid","Review"))</f>
        <v/>
      </c>
      <c r="H336" s="7">
        <f>IF($G336&lt;&gt;"Valid","",VLOOKUP($E336&amp;"|"&amp;$F336,Cluster_Master!$I$3:$H$17,3,FALSE))</f>
        <v/>
      </c>
      <c r="I336" s="7">
        <f>IF($G336&lt;&gt;"Valid","",VLOOKUP($E336&amp;"|"&amp;$F336,Cluster_Master!$I$3:$H$17,4,FALSE))</f>
        <v/>
      </c>
      <c r="J336" s="7">
        <f>IF($G336&lt;&gt;"Valid","",VLOOKUP($E336&amp;"|"&amp;$F336,Cluster_Master!$I$3:$H$17,5,FALSE))</f>
        <v/>
      </c>
      <c r="K336" s="7">
        <f>IF($G336&lt;&gt;"Valid","",VLOOKUP($E336&amp;"|"&amp;$F336,Cluster_Master!$I$3:$H$17,6,FALSE))</f>
        <v/>
      </c>
      <c r="L336" s="7">
        <f>IF($G336&lt;&gt;"Valid","",VLOOKUP($E336&amp;"|"&amp;$F336,Cluster_Master!$I$3:$H$17,7,FALSE))</f>
        <v/>
      </c>
      <c r="M336" s="7">
        <f>IF($G336&lt;&gt;"Valid","",VLOOKUP($E336&amp;"|"&amp;$F336,Cluster_Master!$I$3:$H$17,8,FALSE))</f>
        <v/>
      </c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7">
        <f>IF(COUNT(T336:AH336)=0,"",SUM(T336:AH336))</f>
        <v/>
      </c>
      <c r="AJ336" s="10">
        <f>IF(AI336="","",AI336/75)</f>
        <v/>
      </c>
      <c r="AK336" s="10">
        <f>IF(AI336="","",SUMPRODUCT(T336:AH336,KPI_Weights!$B$3:$B$17)/5)</f>
        <v/>
      </c>
      <c r="AL336" s="7">
        <f>IF(COUNT(T336:AH336)=0,"",IF(OR(T336&lt;=1,W336&lt;=1,X336&lt;=1,Y336&lt;=1,AB336&lt;=1),"YES","NO"))</f>
        <v/>
      </c>
      <c r="AM336" s="7">
        <f>IF(AK336="","",IF(AND(AK336="NO",AJ336&gt;=0.85),"YES","NO"))</f>
        <v/>
      </c>
      <c r="AN336" s="7">
        <f>IF(AJ336="","",IF(AJ336&gt;=0.90,"Excellent",IF(AJ336&gt;=0.80,"Good",IF(AJ336&gt;=0.70,"Fair","Poor"))))</f>
        <v/>
      </c>
      <c r="AO336" s="12" t="n"/>
      <c r="AP336" s="12" t="n"/>
      <c r="AQ336" s="12" t="n"/>
      <c r="AR336" s="12" t="n"/>
      <c r="AS336" s="12" t="n"/>
      <c r="AT336" s="12" t="n"/>
      <c r="AU336" s="12" t="n"/>
      <c r="AV336" s="11" t="n"/>
      <c r="AW336" s="12" t="n"/>
      <c r="AX336" s="12" t="n"/>
      <c r="AY336" s="12" t="n"/>
      <c r="AZ336" s="12" t="n"/>
      <c r="BA336" s="12" t="n"/>
      <c r="BB336" s="12" t="n"/>
      <c r="BC336" s="12" t="n"/>
      <c r="BD336" s="12" t="n"/>
      <c r="BE336" s="12" t="n"/>
      <c r="BF336" s="12" t="n"/>
    </row>
    <row r="337">
      <c r="A337" s="7">
        <f>IF(B337="","","INS-"&amp;TEXT(ROW()-3,"000"))</f>
        <v/>
      </c>
      <c r="B337" s="11" t="n"/>
      <c r="C337" s="7">
        <f>IF(B337="","",ISOWEEKNUM(B337))</f>
        <v/>
      </c>
      <c r="D337" s="7">
        <f>IF(B337="","",TEXT(B337,"yyyy-mm"))</f>
        <v/>
      </c>
      <c r="E337" s="12" t="n"/>
      <c r="F337" s="12" t="n"/>
      <c r="G337" s="7">
        <f>IF(OR(E337="",F337=""),"",IF(COUNTIF(Cluster_Master!$I$3:$I$17,E337&amp;"|"&amp;F337)=1,"Valid","Review"))</f>
        <v/>
      </c>
      <c r="H337" s="7">
        <f>IF($G337&lt;&gt;"Valid","",VLOOKUP($E337&amp;"|"&amp;$F337,Cluster_Master!$I$3:$H$17,3,FALSE))</f>
        <v/>
      </c>
      <c r="I337" s="7">
        <f>IF($G337&lt;&gt;"Valid","",VLOOKUP($E337&amp;"|"&amp;$F337,Cluster_Master!$I$3:$H$17,4,FALSE))</f>
        <v/>
      </c>
      <c r="J337" s="7">
        <f>IF($G337&lt;&gt;"Valid","",VLOOKUP($E337&amp;"|"&amp;$F337,Cluster_Master!$I$3:$H$17,5,FALSE))</f>
        <v/>
      </c>
      <c r="K337" s="7">
        <f>IF($G337&lt;&gt;"Valid","",VLOOKUP($E337&amp;"|"&amp;$F337,Cluster_Master!$I$3:$H$17,6,FALSE))</f>
        <v/>
      </c>
      <c r="L337" s="7">
        <f>IF($G337&lt;&gt;"Valid","",VLOOKUP($E337&amp;"|"&amp;$F337,Cluster_Master!$I$3:$H$17,7,FALSE))</f>
        <v/>
      </c>
      <c r="M337" s="7">
        <f>IF($G337&lt;&gt;"Valid","",VLOOKUP($E337&amp;"|"&amp;$F337,Cluster_Master!$I$3:$H$17,8,FALSE))</f>
        <v/>
      </c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7">
        <f>IF(COUNT(T337:AH337)=0,"",SUM(T337:AH337))</f>
        <v/>
      </c>
      <c r="AJ337" s="10">
        <f>IF(AI337="","",AI337/75)</f>
        <v/>
      </c>
      <c r="AK337" s="10">
        <f>IF(AI337="","",SUMPRODUCT(T337:AH337,KPI_Weights!$B$3:$B$17)/5)</f>
        <v/>
      </c>
      <c r="AL337" s="7">
        <f>IF(COUNT(T337:AH337)=0,"",IF(OR(T337&lt;=1,W337&lt;=1,X337&lt;=1,Y337&lt;=1,AB337&lt;=1),"YES","NO"))</f>
        <v/>
      </c>
      <c r="AM337" s="7">
        <f>IF(AK337="","",IF(AND(AK337="NO",AJ337&gt;=0.85),"YES","NO"))</f>
        <v/>
      </c>
      <c r="AN337" s="7">
        <f>IF(AJ337="","",IF(AJ337&gt;=0.90,"Excellent",IF(AJ337&gt;=0.80,"Good",IF(AJ337&gt;=0.70,"Fair","Poor"))))</f>
        <v/>
      </c>
      <c r="AO337" s="12" t="n"/>
      <c r="AP337" s="12" t="n"/>
      <c r="AQ337" s="12" t="n"/>
      <c r="AR337" s="12" t="n"/>
      <c r="AS337" s="12" t="n"/>
      <c r="AT337" s="12" t="n"/>
      <c r="AU337" s="12" t="n"/>
      <c r="AV337" s="11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  <c r="BF337" s="12" t="n"/>
    </row>
    <row r="338">
      <c r="A338" s="7">
        <f>IF(B338="","","INS-"&amp;TEXT(ROW()-3,"000"))</f>
        <v/>
      </c>
      <c r="B338" s="11" t="n"/>
      <c r="C338" s="7">
        <f>IF(B338="","",ISOWEEKNUM(B338))</f>
        <v/>
      </c>
      <c r="D338" s="7">
        <f>IF(B338="","",TEXT(B338,"yyyy-mm"))</f>
        <v/>
      </c>
      <c r="E338" s="12" t="n"/>
      <c r="F338" s="12" t="n"/>
      <c r="G338" s="7">
        <f>IF(OR(E338="",F338=""),"",IF(COUNTIF(Cluster_Master!$I$3:$I$17,E338&amp;"|"&amp;F338)=1,"Valid","Review"))</f>
        <v/>
      </c>
      <c r="H338" s="7">
        <f>IF($G338&lt;&gt;"Valid","",VLOOKUP($E338&amp;"|"&amp;$F338,Cluster_Master!$I$3:$H$17,3,FALSE))</f>
        <v/>
      </c>
      <c r="I338" s="7">
        <f>IF($G338&lt;&gt;"Valid","",VLOOKUP($E338&amp;"|"&amp;$F338,Cluster_Master!$I$3:$H$17,4,FALSE))</f>
        <v/>
      </c>
      <c r="J338" s="7">
        <f>IF($G338&lt;&gt;"Valid","",VLOOKUP($E338&amp;"|"&amp;$F338,Cluster_Master!$I$3:$H$17,5,FALSE))</f>
        <v/>
      </c>
      <c r="K338" s="7">
        <f>IF($G338&lt;&gt;"Valid","",VLOOKUP($E338&amp;"|"&amp;$F338,Cluster_Master!$I$3:$H$17,6,FALSE))</f>
        <v/>
      </c>
      <c r="L338" s="7">
        <f>IF($G338&lt;&gt;"Valid","",VLOOKUP($E338&amp;"|"&amp;$F338,Cluster_Master!$I$3:$H$17,7,FALSE))</f>
        <v/>
      </c>
      <c r="M338" s="7">
        <f>IF($G338&lt;&gt;"Valid","",VLOOKUP($E338&amp;"|"&amp;$F338,Cluster_Master!$I$3:$H$17,8,FALSE))</f>
        <v/>
      </c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7">
        <f>IF(COUNT(T338:AH338)=0,"",SUM(T338:AH338))</f>
        <v/>
      </c>
      <c r="AJ338" s="10">
        <f>IF(AI338="","",AI338/75)</f>
        <v/>
      </c>
      <c r="AK338" s="10">
        <f>IF(AI338="","",SUMPRODUCT(T338:AH338,KPI_Weights!$B$3:$B$17)/5)</f>
        <v/>
      </c>
      <c r="AL338" s="7">
        <f>IF(COUNT(T338:AH338)=0,"",IF(OR(T338&lt;=1,W338&lt;=1,X338&lt;=1,Y338&lt;=1,AB338&lt;=1),"YES","NO"))</f>
        <v/>
      </c>
      <c r="AM338" s="7">
        <f>IF(AK338="","",IF(AND(AK338="NO",AJ338&gt;=0.85),"YES","NO"))</f>
        <v/>
      </c>
      <c r="AN338" s="7">
        <f>IF(AJ338="","",IF(AJ338&gt;=0.90,"Excellent",IF(AJ338&gt;=0.80,"Good",IF(AJ338&gt;=0.70,"Fair","Poor"))))</f>
        <v/>
      </c>
      <c r="AO338" s="12" t="n"/>
      <c r="AP338" s="12" t="n"/>
      <c r="AQ338" s="12" t="n"/>
      <c r="AR338" s="12" t="n"/>
      <c r="AS338" s="12" t="n"/>
      <c r="AT338" s="12" t="n"/>
      <c r="AU338" s="12" t="n"/>
      <c r="AV338" s="11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  <c r="BF338" s="12" t="n"/>
    </row>
    <row r="339">
      <c r="A339" s="7">
        <f>IF(B339="","","INS-"&amp;TEXT(ROW()-3,"000"))</f>
        <v/>
      </c>
      <c r="B339" s="11" t="n"/>
      <c r="C339" s="7">
        <f>IF(B339="","",ISOWEEKNUM(B339))</f>
        <v/>
      </c>
      <c r="D339" s="7">
        <f>IF(B339="","",TEXT(B339,"yyyy-mm"))</f>
        <v/>
      </c>
      <c r="E339" s="12" t="n"/>
      <c r="F339" s="12" t="n"/>
      <c r="G339" s="7">
        <f>IF(OR(E339="",F339=""),"",IF(COUNTIF(Cluster_Master!$I$3:$I$17,E339&amp;"|"&amp;F339)=1,"Valid","Review"))</f>
        <v/>
      </c>
      <c r="H339" s="7">
        <f>IF($G339&lt;&gt;"Valid","",VLOOKUP($E339&amp;"|"&amp;$F339,Cluster_Master!$I$3:$H$17,3,FALSE))</f>
        <v/>
      </c>
      <c r="I339" s="7">
        <f>IF($G339&lt;&gt;"Valid","",VLOOKUP($E339&amp;"|"&amp;$F339,Cluster_Master!$I$3:$H$17,4,FALSE))</f>
        <v/>
      </c>
      <c r="J339" s="7">
        <f>IF($G339&lt;&gt;"Valid","",VLOOKUP($E339&amp;"|"&amp;$F339,Cluster_Master!$I$3:$H$17,5,FALSE))</f>
        <v/>
      </c>
      <c r="K339" s="7">
        <f>IF($G339&lt;&gt;"Valid","",VLOOKUP($E339&amp;"|"&amp;$F339,Cluster_Master!$I$3:$H$17,6,FALSE))</f>
        <v/>
      </c>
      <c r="L339" s="7">
        <f>IF($G339&lt;&gt;"Valid","",VLOOKUP($E339&amp;"|"&amp;$F339,Cluster_Master!$I$3:$H$17,7,FALSE))</f>
        <v/>
      </c>
      <c r="M339" s="7">
        <f>IF($G339&lt;&gt;"Valid","",VLOOKUP($E339&amp;"|"&amp;$F339,Cluster_Master!$I$3:$H$17,8,FALSE))</f>
        <v/>
      </c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7">
        <f>IF(COUNT(T339:AH339)=0,"",SUM(T339:AH339))</f>
        <v/>
      </c>
      <c r="AJ339" s="10">
        <f>IF(AI339="","",AI339/75)</f>
        <v/>
      </c>
      <c r="AK339" s="10">
        <f>IF(AI339="","",SUMPRODUCT(T339:AH339,KPI_Weights!$B$3:$B$17)/5)</f>
        <v/>
      </c>
      <c r="AL339" s="7">
        <f>IF(COUNT(T339:AH339)=0,"",IF(OR(T339&lt;=1,W339&lt;=1,X339&lt;=1,Y339&lt;=1,AB339&lt;=1),"YES","NO"))</f>
        <v/>
      </c>
      <c r="AM339" s="7">
        <f>IF(AK339="","",IF(AND(AK339="NO",AJ339&gt;=0.85),"YES","NO"))</f>
        <v/>
      </c>
      <c r="AN339" s="7">
        <f>IF(AJ339="","",IF(AJ339&gt;=0.90,"Excellent",IF(AJ339&gt;=0.80,"Good",IF(AJ339&gt;=0.70,"Fair","Poor"))))</f>
        <v/>
      </c>
      <c r="AO339" s="12" t="n"/>
      <c r="AP339" s="12" t="n"/>
      <c r="AQ339" s="12" t="n"/>
      <c r="AR339" s="12" t="n"/>
      <c r="AS339" s="12" t="n"/>
      <c r="AT339" s="12" t="n"/>
      <c r="AU339" s="12" t="n"/>
      <c r="AV339" s="11" t="n"/>
      <c r="AW339" s="12" t="n"/>
      <c r="AX339" s="12" t="n"/>
      <c r="AY339" s="12" t="n"/>
      <c r="AZ339" s="12" t="n"/>
      <c r="BA339" s="12" t="n"/>
      <c r="BB339" s="12" t="n"/>
      <c r="BC339" s="12" t="n"/>
      <c r="BD339" s="12" t="n"/>
      <c r="BE339" s="12" t="n"/>
      <c r="BF339" s="12" t="n"/>
    </row>
    <row r="340">
      <c r="A340" s="7">
        <f>IF(B340="","","INS-"&amp;TEXT(ROW()-3,"000"))</f>
        <v/>
      </c>
      <c r="B340" s="11" t="n"/>
      <c r="C340" s="7">
        <f>IF(B340="","",ISOWEEKNUM(B340))</f>
        <v/>
      </c>
      <c r="D340" s="7">
        <f>IF(B340="","",TEXT(B340,"yyyy-mm"))</f>
        <v/>
      </c>
      <c r="E340" s="12" t="n"/>
      <c r="F340" s="12" t="n"/>
      <c r="G340" s="7">
        <f>IF(OR(E340="",F340=""),"",IF(COUNTIF(Cluster_Master!$I$3:$I$17,E340&amp;"|"&amp;F340)=1,"Valid","Review"))</f>
        <v/>
      </c>
      <c r="H340" s="7">
        <f>IF($G340&lt;&gt;"Valid","",VLOOKUP($E340&amp;"|"&amp;$F340,Cluster_Master!$I$3:$H$17,3,FALSE))</f>
        <v/>
      </c>
      <c r="I340" s="7">
        <f>IF($G340&lt;&gt;"Valid","",VLOOKUP($E340&amp;"|"&amp;$F340,Cluster_Master!$I$3:$H$17,4,FALSE))</f>
        <v/>
      </c>
      <c r="J340" s="7">
        <f>IF($G340&lt;&gt;"Valid","",VLOOKUP($E340&amp;"|"&amp;$F340,Cluster_Master!$I$3:$H$17,5,FALSE))</f>
        <v/>
      </c>
      <c r="K340" s="7">
        <f>IF($G340&lt;&gt;"Valid","",VLOOKUP($E340&amp;"|"&amp;$F340,Cluster_Master!$I$3:$H$17,6,FALSE))</f>
        <v/>
      </c>
      <c r="L340" s="7">
        <f>IF($G340&lt;&gt;"Valid","",VLOOKUP($E340&amp;"|"&amp;$F340,Cluster_Master!$I$3:$H$17,7,FALSE))</f>
        <v/>
      </c>
      <c r="M340" s="7">
        <f>IF($G340&lt;&gt;"Valid","",VLOOKUP($E340&amp;"|"&amp;$F340,Cluster_Master!$I$3:$H$17,8,FALSE))</f>
        <v/>
      </c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7">
        <f>IF(COUNT(T340:AH340)=0,"",SUM(T340:AH340))</f>
        <v/>
      </c>
      <c r="AJ340" s="10">
        <f>IF(AI340="","",AI340/75)</f>
        <v/>
      </c>
      <c r="AK340" s="10">
        <f>IF(AI340="","",SUMPRODUCT(T340:AH340,KPI_Weights!$B$3:$B$17)/5)</f>
        <v/>
      </c>
      <c r="AL340" s="7">
        <f>IF(COUNT(T340:AH340)=0,"",IF(OR(T340&lt;=1,W340&lt;=1,X340&lt;=1,Y340&lt;=1,AB340&lt;=1),"YES","NO"))</f>
        <v/>
      </c>
      <c r="AM340" s="7">
        <f>IF(AK340="","",IF(AND(AK340="NO",AJ340&gt;=0.85),"YES","NO"))</f>
        <v/>
      </c>
      <c r="AN340" s="7">
        <f>IF(AJ340="","",IF(AJ340&gt;=0.90,"Excellent",IF(AJ340&gt;=0.80,"Good",IF(AJ340&gt;=0.70,"Fair","Poor"))))</f>
        <v/>
      </c>
      <c r="AO340" s="12" t="n"/>
      <c r="AP340" s="12" t="n"/>
      <c r="AQ340" s="12" t="n"/>
      <c r="AR340" s="12" t="n"/>
      <c r="AS340" s="12" t="n"/>
      <c r="AT340" s="12" t="n"/>
      <c r="AU340" s="12" t="n"/>
      <c r="AV340" s="11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  <c r="BF340" s="12" t="n"/>
    </row>
    <row r="341">
      <c r="A341" s="7">
        <f>IF(B341="","","INS-"&amp;TEXT(ROW()-3,"000"))</f>
        <v/>
      </c>
      <c r="B341" s="11" t="n"/>
      <c r="C341" s="7">
        <f>IF(B341="","",ISOWEEKNUM(B341))</f>
        <v/>
      </c>
      <c r="D341" s="7">
        <f>IF(B341="","",TEXT(B341,"yyyy-mm"))</f>
        <v/>
      </c>
      <c r="E341" s="12" t="n"/>
      <c r="F341" s="12" t="n"/>
      <c r="G341" s="7">
        <f>IF(OR(E341="",F341=""),"",IF(COUNTIF(Cluster_Master!$I$3:$I$17,E341&amp;"|"&amp;F341)=1,"Valid","Review"))</f>
        <v/>
      </c>
      <c r="H341" s="7">
        <f>IF($G341&lt;&gt;"Valid","",VLOOKUP($E341&amp;"|"&amp;$F341,Cluster_Master!$I$3:$H$17,3,FALSE))</f>
        <v/>
      </c>
      <c r="I341" s="7">
        <f>IF($G341&lt;&gt;"Valid","",VLOOKUP($E341&amp;"|"&amp;$F341,Cluster_Master!$I$3:$H$17,4,FALSE))</f>
        <v/>
      </c>
      <c r="J341" s="7">
        <f>IF($G341&lt;&gt;"Valid","",VLOOKUP($E341&amp;"|"&amp;$F341,Cluster_Master!$I$3:$H$17,5,FALSE))</f>
        <v/>
      </c>
      <c r="K341" s="7">
        <f>IF($G341&lt;&gt;"Valid","",VLOOKUP($E341&amp;"|"&amp;$F341,Cluster_Master!$I$3:$H$17,6,FALSE))</f>
        <v/>
      </c>
      <c r="L341" s="7">
        <f>IF($G341&lt;&gt;"Valid","",VLOOKUP($E341&amp;"|"&amp;$F341,Cluster_Master!$I$3:$H$17,7,FALSE))</f>
        <v/>
      </c>
      <c r="M341" s="7">
        <f>IF($G341&lt;&gt;"Valid","",VLOOKUP($E341&amp;"|"&amp;$F341,Cluster_Master!$I$3:$H$17,8,FALSE))</f>
        <v/>
      </c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7">
        <f>IF(COUNT(T341:AH341)=0,"",SUM(T341:AH341))</f>
        <v/>
      </c>
      <c r="AJ341" s="10">
        <f>IF(AI341="","",AI341/75)</f>
        <v/>
      </c>
      <c r="AK341" s="10">
        <f>IF(AI341="","",SUMPRODUCT(T341:AH341,KPI_Weights!$B$3:$B$17)/5)</f>
        <v/>
      </c>
      <c r="AL341" s="7">
        <f>IF(COUNT(T341:AH341)=0,"",IF(OR(T341&lt;=1,W341&lt;=1,X341&lt;=1,Y341&lt;=1,AB341&lt;=1),"YES","NO"))</f>
        <v/>
      </c>
      <c r="AM341" s="7">
        <f>IF(AK341="","",IF(AND(AK341="NO",AJ341&gt;=0.85),"YES","NO"))</f>
        <v/>
      </c>
      <c r="AN341" s="7">
        <f>IF(AJ341="","",IF(AJ341&gt;=0.90,"Excellent",IF(AJ341&gt;=0.80,"Good",IF(AJ341&gt;=0.70,"Fair","Poor"))))</f>
        <v/>
      </c>
      <c r="AO341" s="12" t="n"/>
      <c r="AP341" s="12" t="n"/>
      <c r="AQ341" s="12" t="n"/>
      <c r="AR341" s="12" t="n"/>
      <c r="AS341" s="12" t="n"/>
      <c r="AT341" s="12" t="n"/>
      <c r="AU341" s="12" t="n"/>
      <c r="AV341" s="11" t="n"/>
      <c r="AW341" s="12" t="n"/>
      <c r="AX341" s="12" t="n"/>
      <c r="AY341" s="12" t="n"/>
      <c r="AZ341" s="12" t="n"/>
      <c r="BA341" s="12" t="n"/>
      <c r="BB341" s="12" t="n"/>
      <c r="BC341" s="12" t="n"/>
      <c r="BD341" s="12" t="n"/>
      <c r="BE341" s="12" t="n"/>
      <c r="BF341" s="12" t="n"/>
    </row>
    <row r="342">
      <c r="A342" s="7">
        <f>IF(B342="","","INS-"&amp;TEXT(ROW()-3,"000"))</f>
        <v/>
      </c>
      <c r="B342" s="11" t="n"/>
      <c r="C342" s="7">
        <f>IF(B342="","",ISOWEEKNUM(B342))</f>
        <v/>
      </c>
      <c r="D342" s="7">
        <f>IF(B342="","",TEXT(B342,"yyyy-mm"))</f>
        <v/>
      </c>
      <c r="E342" s="12" t="n"/>
      <c r="F342" s="12" t="n"/>
      <c r="G342" s="7">
        <f>IF(OR(E342="",F342=""),"",IF(COUNTIF(Cluster_Master!$I$3:$I$17,E342&amp;"|"&amp;F342)=1,"Valid","Review"))</f>
        <v/>
      </c>
      <c r="H342" s="7">
        <f>IF($G342&lt;&gt;"Valid","",VLOOKUP($E342&amp;"|"&amp;$F342,Cluster_Master!$I$3:$H$17,3,FALSE))</f>
        <v/>
      </c>
      <c r="I342" s="7">
        <f>IF($G342&lt;&gt;"Valid","",VLOOKUP($E342&amp;"|"&amp;$F342,Cluster_Master!$I$3:$H$17,4,FALSE))</f>
        <v/>
      </c>
      <c r="J342" s="7">
        <f>IF($G342&lt;&gt;"Valid","",VLOOKUP($E342&amp;"|"&amp;$F342,Cluster_Master!$I$3:$H$17,5,FALSE))</f>
        <v/>
      </c>
      <c r="K342" s="7">
        <f>IF($G342&lt;&gt;"Valid","",VLOOKUP($E342&amp;"|"&amp;$F342,Cluster_Master!$I$3:$H$17,6,FALSE))</f>
        <v/>
      </c>
      <c r="L342" s="7">
        <f>IF($G342&lt;&gt;"Valid","",VLOOKUP($E342&amp;"|"&amp;$F342,Cluster_Master!$I$3:$H$17,7,FALSE))</f>
        <v/>
      </c>
      <c r="M342" s="7">
        <f>IF($G342&lt;&gt;"Valid","",VLOOKUP($E342&amp;"|"&amp;$F342,Cluster_Master!$I$3:$H$17,8,FALSE))</f>
        <v/>
      </c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7">
        <f>IF(COUNT(T342:AH342)=0,"",SUM(T342:AH342))</f>
        <v/>
      </c>
      <c r="AJ342" s="10">
        <f>IF(AI342="","",AI342/75)</f>
        <v/>
      </c>
      <c r="AK342" s="10">
        <f>IF(AI342="","",SUMPRODUCT(T342:AH342,KPI_Weights!$B$3:$B$17)/5)</f>
        <v/>
      </c>
      <c r="AL342" s="7">
        <f>IF(COUNT(T342:AH342)=0,"",IF(OR(T342&lt;=1,W342&lt;=1,X342&lt;=1,Y342&lt;=1,AB342&lt;=1),"YES","NO"))</f>
        <v/>
      </c>
      <c r="AM342" s="7">
        <f>IF(AK342="","",IF(AND(AK342="NO",AJ342&gt;=0.85),"YES","NO"))</f>
        <v/>
      </c>
      <c r="AN342" s="7">
        <f>IF(AJ342="","",IF(AJ342&gt;=0.90,"Excellent",IF(AJ342&gt;=0.80,"Good",IF(AJ342&gt;=0.70,"Fair","Poor"))))</f>
        <v/>
      </c>
      <c r="AO342" s="12" t="n"/>
      <c r="AP342" s="12" t="n"/>
      <c r="AQ342" s="12" t="n"/>
      <c r="AR342" s="12" t="n"/>
      <c r="AS342" s="12" t="n"/>
      <c r="AT342" s="12" t="n"/>
      <c r="AU342" s="12" t="n"/>
      <c r="AV342" s="11" t="n"/>
      <c r="AW342" s="12" t="n"/>
      <c r="AX342" s="12" t="n"/>
      <c r="AY342" s="12" t="n"/>
      <c r="AZ342" s="12" t="n"/>
      <c r="BA342" s="12" t="n"/>
      <c r="BB342" s="12" t="n"/>
      <c r="BC342" s="12" t="n"/>
      <c r="BD342" s="12" t="n"/>
      <c r="BE342" s="12" t="n"/>
      <c r="BF342" s="12" t="n"/>
    </row>
    <row r="343">
      <c r="A343" s="7">
        <f>IF(B343="","","INS-"&amp;TEXT(ROW()-3,"000"))</f>
        <v/>
      </c>
      <c r="B343" s="11" t="n"/>
      <c r="C343" s="7">
        <f>IF(B343="","",ISOWEEKNUM(B343))</f>
        <v/>
      </c>
      <c r="D343" s="7">
        <f>IF(B343="","",TEXT(B343,"yyyy-mm"))</f>
        <v/>
      </c>
      <c r="E343" s="12" t="n"/>
      <c r="F343" s="12" t="n"/>
      <c r="G343" s="7">
        <f>IF(OR(E343="",F343=""),"",IF(COUNTIF(Cluster_Master!$I$3:$I$17,E343&amp;"|"&amp;F343)=1,"Valid","Review"))</f>
        <v/>
      </c>
      <c r="H343" s="7">
        <f>IF($G343&lt;&gt;"Valid","",VLOOKUP($E343&amp;"|"&amp;$F343,Cluster_Master!$I$3:$H$17,3,FALSE))</f>
        <v/>
      </c>
      <c r="I343" s="7">
        <f>IF($G343&lt;&gt;"Valid","",VLOOKUP($E343&amp;"|"&amp;$F343,Cluster_Master!$I$3:$H$17,4,FALSE))</f>
        <v/>
      </c>
      <c r="J343" s="7">
        <f>IF($G343&lt;&gt;"Valid","",VLOOKUP($E343&amp;"|"&amp;$F343,Cluster_Master!$I$3:$H$17,5,FALSE))</f>
        <v/>
      </c>
      <c r="K343" s="7">
        <f>IF($G343&lt;&gt;"Valid","",VLOOKUP($E343&amp;"|"&amp;$F343,Cluster_Master!$I$3:$H$17,6,FALSE))</f>
        <v/>
      </c>
      <c r="L343" s="7">
        <f>IF($G343&lt;&gt;"Valid","",VLOOKUP($E343&amp;"|"&amp;$F343,Cluster_Master!$I$3:$H$17,7,FALSE))</f>
        <v/>
      </c>
      <c r="M343" s="7">
        <f>IF($G343&lt;&gt;"Valid","",VLOOKUP($E343&amp;"|"&amp;$F343,Cluster_Master!$I$3:$H$17,8,FALSE))</f>
        <v/>
      </c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7">
        <f>IF(COUNT(T343:AH343)=0,"",SUM(T343:AH343))</f>
        <v/>
      </c>
      <c r="AJ343" s="10">
        <f>IF(AI343="","",AI343/75)</f>
        <v/>
      </c>
      <c r="AK343" s="10">
        <f>IF(AI343="","",SUMPRODUCT(T343:AH343,KPI_Weights!$B$3:$B$17)/5)</f>
        <v/>
      </c>
      <c r="AL343" s="7">
        <f>IF(COUNT(T343:AH343)=0,"",IF(OR(T343&lt;=1,W343&lt;=1,X343&lt;=1,Y343&lt;=1,AB343&lt;=1),"YES","NO"))</f>
        <v/>
      </c>
      <c r="AM343" s="7">
        <f>IF(AK343="","",IF(AND(AK343="NO",AJ343&gt;=0.85),"YES","NO"))</f>
        <v/>
      </c>
      <c r="AN343" s="7">
        <f>IF(AJ343="","",IF(AJ343&gt;=0.90,"Excellent",IF(AJ343&gt;=0.80,"Good",IF(AJ343&gt;=0.70,"Fair","Poor"))))</f>
        <v/>
      </c>
      <c r="AO343" s="12" t="n"/>
      <c r="AP343" s="12" t="n"/>
      <c r="AQ343" s="12" t="n"/>
      <c r="AR343" s="12" t="n"/>
      <c r="AS343" s="12" t="n"/>
      <c r="AT343" s="12" t="n"/>
      <c r="AU343" s="12" t="n"/>
      <c r="AV343" s="11" t="n"/>
      <c r="AW343" s="12" t="n"/>
      <c r="AX343" s="12" t="n"/>
      <c r="AY343" s="12" t="n"/>
      <c r="AZ343" s="12" t="n"/>
      <c r="BA343" s="12" t="n"/>
      <c r="BB343" s="12" t="n"/>
      <c r="BC343" s="12" t="n"/>
      <c r="BD343" s="12" t="n"/>
      <c r="BE343" s="12" t="n"/>
      <c r="BF343" s="12" t="n"/>
    </row>
    <row r="344">
      <c r="A344" s="7">
        <f>IF(B344="","","INS-"&amp;TEXT(ROW()-3,"000"))</f>
        <v/>
      </c>
      <c r="B344" s="11" t="n"/>
      <c r="C344" s="7">
        <f>IF(B344="","",ISOWEEKNUM(B344))</f>
        <v/>
      </c>
      <c r="D344" s="7">
        <f>IF(B344="","",TEXT(B344,"yyyy-mm"))</f>
        <v/>
      </c>
      <c r="E344" s="12" t="n"/>
      <c r="F344" s="12" t="n"/>
      <c r="G344" s="7">
        <f>IF(OR(E344="",F344=""),"",IF(COUNTIF(Cluster_Master!$I$3:$I$17,E344&amp;"|"&amp;F344)=1,"Valid","Review"))</f>
        <v/>
      </c>
      <c r="H344" s="7">
        <f>IF($G344&lt;&gt;"Valid","",VLOOKUP($E344&amp;"|"&amp;$F344,Cluster_Master!$I$3:$H$17,3,FALSE))</f>
        <v/>
      </c>
      <c r="I344" s="7">
        <f>IF($G344&lt;&gt;"Valid","",VLOOKUP($E344&amp;"|"&amp;$F344,Cluster_Master!$I$3:$H$17,4,FALSE))</f>
        <v/>
      </c>
      <c r="J344" s="7">
        <f>IF($G344&lt;&gt;"Valid","",VLOOKUP($E344&amp;"|"&amp;$F344,Cluster_Master!$I$3:$H$17,5,FALSE))</f>
        <v/>
      </c>
      <c r="K344" s="7">
        <f>IF($G344&lt;&gt;"Valid","",VLOOKUP($E344&amp;"|"&amp;$F344,Cluster_Master!$I$3:$H$17,6,FALSE))</f>
        <v/>
      </c>
      <c r="L344" s="7">
        <f>IF($G344&lt;&gt;"Valid","",VLOOKUP($E344&amp;"|"&amp;$F344,Cluster_Master!$I$3:$H$17,7,FALSE))</f>
        <v/>
      </c>
      <c r="M344" s="7">
        <f>IF($G344&lt;&gt;"Valid","",VLOOKUP($E344&amp;"|"&amp;$F344,Cluster_Master!$I$3:$H$17,8,FALSE))</f>
        <v/>
      </c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7">
        <f>IF(COUNT(T344:AH344)=0,"",SUM(T344:AH344))</f>
        <v/>
      </c>
      <c r="AJ344" s="10">
        <f>IF(AI344="","",AI344/75)</f>
        <v/>
      </c>
      <c r="AK344" s="10">
        <f>IF(AI344="","",SUMPRODUCT(T344:AH344,KPI_Weights!$B$3:$B$17)/5)</f>
        <v/>
      </c>
      <c r="AL344" s="7">
        <f>IF(COUNT(T344:AH344)=0,"",IF(OR(T344&lt;=1,W344&lt;=1,X344&lt;=1,Y344&lt;=1,AB344&lt;=1),"YES","NO"))</f>
        <v/>
      </c>
      <c r="AM344" s="7">
        <f>IF(AK344="","",IF(AND(AK344="NO",AJ344&gt;=0.85),"YES","NO"))</f>
        <v/>
      </c>
      <c r="AN344" s="7">
        <f>IF(AJ344="","",IF(AJ344&gt;=0.90,"Excellent",IF(AJ344&gt;=0.80,"Good",IF(AJ344&gt;=0.70,"Fair","Poor"))))</f>
        <v/>
      </c>
      <c r="AO344" s="12" t="n"/>
      <c r="AP344" s="12" t="n"/>
      <c r="AQ344" s="12" t="n"/>
      <c r="AR344" s="12" t="n"/>
      <c r="AS344" s="12" t="n"/>
      <c r="AT344" s="12" t="n"/>
      <c r="AU344" s="12" t="n"/>
      <c r="AV344" s="11" t="n"/>
      <c r="AW344" s="12" t="n"/>
      <c r="AX344" s="12" t="n"/>
      <c r="AY344" s="12" t="n"/>
      <c r="AZ344" s="12" t="n"/>
      <c r="BA344" s="12" t="n"/>
      <c r="BB344" s="12" t="n"/>
      <c r="BC344" s="12" t="n"/>
      <c r="BD344" s="12" t="n"/>
      <c r="BE344" s="12" t="n"/>
      <c r="BF344" s="12" t="n"/>
    </row>
    <row r="345">
      <c r="A345" s="7">
        <f>IF(B345="","","INS-"&amp;TEXT(ROW()-3,"000"))</f>
        <v/>
      </c>
      <c r="B345" s="11" t="n"/>
      <c r="C345" s="7">
        <f>IF(B345="","",ISOWEEKNUM(B345))</f>
        <v/>
      </c>
      <c r="D345" s="7">
        <f>IF(B345="","",TEXT(B345,"yyyy-mm"))</f>
        <v/>
      </c>
      <c r="E345" s="12" t="n"/>
      <c r="F345" s="12" t="n"/>
      <c r="G345" s="7">
        <f>IF(OR(E345="",F345=""),"",IF(COUNTIF(Cluster_Master!$I$3:$I$17,E345&amp;"|"&amp;F345)=1,"Valid","Review"))</f>
        <v/>
      </c>
      <c r="H345" s="7">
        <f>IF($G345&lt;&gt;"Valid","",VLOOKUP($E345&amp;"|"&amp;$F345,Cluster_Master!$I$3:$H$17,3,FALSE))</f>
        <v/>
      </c>
      <c r="I345" s="7">
        <f>IF($G345&lt;&gt;"Valid","",VLOOKUP($E345&amp;"|"&amp;$F345,Cluster_Master!$I$3:$H$17,4,FALSE))</f>
        <v/>
      </c>
      <c r="J345" s="7">
        <f>IF($G345&lt;&gt;"Valid","",VLOOKUP($E345&amp;"|"&amp;$F345,Cluster_Master!$I$3:$H$17,5,FALSE))</f>
        <v/>
      </c>
      <c r="K345" s="7">
        <f>IF($G345&lt;&gt;"Valid","",VLOOKUP($E345&amp;"|"&amp;$F345,Cluster_Master!$I$3:$H$17,6,FALSE))</f>
        <v/>
      </c>
      <c r="L345" s="7">
        <f>IF($G345&lt;&gt;"Valid","",VLOOKUP($E345&amp;"|"&amp;$F345,Cluster_Master!$I$3:$H$17,7,FALSE))</f>
        <v/>
      </c>
      <c r="M345" s="7">
        <f>IF($G345&lt;&gt;"Valid","",VLOOKUP($E345&amp;"|"&amp;$F345,Cluster_Master!$I$3:$H$17,8,FALSE))</f>
        <v/>
      </c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7">
        <f>IF(COUNT(T345:AH345)=0,"",SUM(T345:AH345))</f>
        <v/>
      </c>
      <c r="AJ345" s="10">
        <f>IF(AI345="","",AI345/75)</f>
        <v/>
      </c>
      <c r="AK345" s="10">
        <f>IF(AI345="","",SUMPRODUCT(T345:AH345,KPI_Weights!$B$3:$B$17)/5)</f>
        <v/>
      </c>
      <c r="AL345" s="7">
        <f>IF(COUNT(T345:AH345)=0,"",IF(OR(T345&lt;=1,W345&lt;=1,X345&lt;=1,Y345&lt;=1,AB345&lt;=1),"YES","NO"))</f>
        <v/>
      </c>
      <c r="AM345" s="7">
        <f>IF(AK345="","",IF(AND(AK345="NO",AJ345&gt;=0.85),"YES","NO"))</f>
        <v/>
      </c>
      <c r="AN345" s="7">
        <f>IF(AJ345="","",IF(AJ345&gt;=0.90,"Excellent",IF(AJ345&gt;=0.80,"Good",IF(AJ345&gt;=0.70,"Fair","Poor"))))</f>
        <v/>
      </c>
      <c r="AO345" s="12" t="n"/>
      <c r="AP345" s="12" t="n"/>
      <c r="AQ345" s="12" t="n"/>
      <c r="AR345" s="12" t="n"/>
      <c r="AS345" s="12" t="n"/>
      <c r="AT345" s="12" t="n"/>
      <c r="AU345" s="12" t="n"/>
      <c r="AV345" s="11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  <c r="BF345" s="12" t="n"/>
    </row>
    <row r="346">
      <c r="A346" s="7">
        <f>IF(B346="","","INS-"&amp;TEXT(ROW()-3,"000"))</f>
        <v/>
      </c>
      <c r="B346" s="11" t="n"/>
      <c r="C346" s="7">
        <f>IF(B346="","",ISOWEEKNUM(B346))</f>
        <v/>
      </c>
      <c r="D346" s="7">
        <f>IF(B346="","",TEXT(B346,"yyyy-mm"))</f>
        <v/>
      </c>
      <c r="E346" s="12" t="n"/>
      <c r="F346" s="12" t="n"/>
      <c r="G346" s="7">
        <f>IF(OR(E346="",F346=""),"",IF(COUNTIF(Cluster_Master!$I$3:$I$17,E346&amp;"|"&amp;F346)=1,"Valid","Review"))</f>
        <v/>
      </c>
      <c r="H346" s="7">
        <f>IF($G346&lt;&gt;"Valid","",VLOOKUP($E346&amp;"|"&amp;$F346,Cluster_Master!$I$3:$H$17,3,FALSE))</f>
        <v/>
      </c>
      <c r="I346" s="7">
        <f>IF($G346&lt;&gt;"Valid","",VLOOKUP($E346&amp;"|"&amp;$F346,Cluster_Master!$I$3:$H$17,4,FALSE))</f>
        <v/>
      </c>
      <c r="J346" s="7">
        <f>IF($G346&lt;&gt;"Valid","",VLOOKUP($E346&amp;"|"&amp;$F346,Cluster_Master!$I$3:$H$17,5,FALSE))</f>
        <v/>
      </c>
      <c r="K346" s="7">
        <f>IF($G346&lt;&gt;"Valid","",VLOOKUP($E346&amp;"|"&amp;$F346,Cluster_Master!$I$3:$H$17,6,FALSE))</f>
        <v/>
      </c>
      <c r="L346" s="7">
        <f>IF($G346&lt;&gt;"Valid","",VLOOKUP($E346&amp;"|"&amp;$F346,Cluster_Master!$I$3:$H$17,7,FALSE))</f>
        <v/>
      </c>
      <c r="M346" s="7">
        <f>IF($G346&lt;&gt;"Valid","",VLOOKUP($E346&amp;"|"&amp;$F346,Cluster_Master!$I$3:$H$17,8,FALSE))</f>
        <v/>
      </c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7">
        <f>IF(COUNT(T346:AH346)=0,"",SUM(T346:AH346))</f>
        <v/>
      </c>
      <c r="AJ346" s="10">
        <f>IF(AI346="","",AI346/75)</f>
        <v/>
      </c>
      <c r="AK346" s="10">
        <f>IF(AI346="","",SUMPRODUCT(T346:AH346,KPI_Weights!$B$3:$B$17)/5)</f>
        <v/>
      </c>
      <c r="AL346" s="7">
        <f>IF(COUNT(T346:AH346)=0,"",IF(OR(T346&lt;=1,W346&lt;=1,X346&lt;=1,Y346&lt;=1,AB346&lt;=1),"YES","NO"))</f>
        <v/>
      </c>
      <c r="AM346" s="7">
        <f>IF(AK346="","",IF(AND(AK346="NO",AJ346&gt;=0.85),"YES","NO"))</f>
        <v/>
      </c>
      <c r="AN346" s="7">
        <f>IF(AJ346="","",IF(AJ346&gt;=0.90,"Excellent",IF(AJ346&gt;=0.80,"Good",IF(AJ346&gt;=0.70,"Fair","Poor"))))</f>
        <v/>
      </c>
      <c r="AO346" s="12" t="n"/>
      <c r="AP346" s="12" t="n"/>
      <c r="AQ346" s="12" t="n"/>
      <c r="AR346" s="12" t="n"/>
      <c r="AS346" s="12" t="n"/>
      <c r="AT346" s="12" t="n"/>
      <c r="AU346" s="12" t="n"/>
      <c r="AV346" s="11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  <c r="BF346" s="12" t="n"/>
    </row>
    <row r="347">
      <c r="A347" s="7">
        <f>IF(B347="","","INS-"&amp;TEXT(ROW()-3,"000"))</f>
        <v/>
      </c>
      <c r="B347" s="11" t="n"/>
      <c r="C347" s="7">
        <f>IF(B347="","",ISOWEEKNUM(B347))</f>
        <v/>
      </c>
      <c r="D347" s="7">
        <f>IF(B347="","",TEXT(B347,"yyyy-mm"))</f>
        <v/>
      </c>
      <c r="E347" s="12" t="n"/>
      <c r="F347" s="12" t="n"/>
      <c r="G347" s="7">
        <f>IF(OR(E347="",F347=""),"",IF(COUNTIF(Cluster_Master!$I$3:$I$17,E347&amp;"|"&amp;F347)=1,"Valid","Review"))</f>
        <v/>
      </c>
      <c r="H347" s="7">
        <f>IF($G347&lt;&gt;"Valid","",VLOOKUP($E347&amp;"|"&amp;$F347,Cluster_Master!$I$3:$H$17,3,FALSE))</f>
        <v/>
      </c>
      <c r="I347" s="7">
        <f>IF($G347&lt;&gt;"Valid","",VLOOKUP($E347&amp;"|"&amp;$F347,Cluster_Master!$I$3:$H$17,4,FALSE))</f>
        <v/>
      </c>
      <c r="J347" s="7">
        <f>IF($G347&lt;&gt;"Valid","",VLOOKUP($E347&amp;"|"&amp;$F347,Cluster_Master!$I$3:$H$17,5,FALSE))</f>
        <v/>
      </c>
      <c r="K347" s="7">
        <f>IF($G347&lt;&gt;"Valid","",VLOOKUP($E347&amp;"|"&amp;$F347,Cluster_Master!$I$3:$H$17,6,FALSE))</f>
        <v/>
      </c>
      <c r="L347" s="7">
        <f>IF($G347&lt;&gt;"Valid","",VLOOKUP($E347&amp;"|"&amp;$F347,Cluster_Master!$I$3:$H$17,7,FALSE))</f>
        <v/>
      </c>
      <c r="M347" s="7">
        <f>IF($G347&lt;&gt;"Valid","",VLOOKUP($E347&amp;"|"&amp;$F347,Cluster_Master!$I$3:$H$17,8,FALSE))</f>
        <v/>
      </c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7">
        <f>IF(COUNT(T347:AH347)=0,"",SUM(T347:AH347))</f>
        <v/>
      </c>
      <c r="AJ347" s="10">
        <f>IF(AI347="","",AI347/75)</f>
        <v/>
      </c>
      <c r="AK347" s="10">
        <f>IF(AI347="","",SUMPRODUCT(T347:AH347,KPI_Weights!$B$3:$B$17)/5)</f>
        <v/>
      </c>
      <c r="AL347" s="7">
        <f>IF(COUNT(T347:AH347)=0,"",IF(OR(T347&lt;=1,W347&lt;=1,X347&lt;=1,Y347&lt;=1,AB347&lt;=1),"YES","NO"))</f>
        <v/>
      </c>
      <c r="AM347" s="7">
        <f>IF(AK347="","",IF(AND(AK347="NO",AJ347&gt;=0.85),"YES","NO"))</f>
        <v/>
      </c>
      <c r="AN347" s="7">
        <f>IF(AJ347="","",IF(AJ347&gt;=0.90,"Excellent",IF(AJ347&gt;=0.80,"Good",IF(AJ347&gt;=0.70,"Fair","Poor"))))</f>
        <v/>
      </c>
      <c r="AO347" s="12" t="n"/>
      <c r="AP347" s="12" t="n"/>
      <c r="AQ347" s="12" t="n"/>
      <c r="AR347" s="12" t="n"/>
      <c r="AS347" s="12" t="n"/>
      <c r="AT347" s="12" t="n"/>
      <c r="AU347" s="12" t="n"/>
      <c r="AV347" s="11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  <c r="BF347" s="12" t="n"/>
    </row>
    <row r="348">
      <c r="A348" s="7">
        <f>IF(B348="","","INS-"&amp;TEXT(ROW()-3,"000"))</f>
        <v/>
      </c>
      <c r="B348" s="11" t="n"/>
      <c r="C348" s="7">
        <f>IF(B348="","",ISOWEEKNUM(B348))</f>
        <v/>
      </c>
      <c r="D348" s="7">
        <f>IF(B348="","",TEXT(B348,"yyyy-mm"))</f>
        <v/>
      </c>
      <c r="E348" s="12" t="n"/>
      <c r="F348" s="12" t="n"/>
      <c r="G348" s="7">
        <f>IF(OR(E348="",F348=""),"",IF(COUNTIF(Cluster_Master!$I$3:$I$17,E348&amp;"|"&amp;F348)=1,"Valid","Review"))</f>
        <v/>
      </c>
      <c r="H348" s="7">
        <f>IF($G348&lt;&gt;"Valid","",VLOOKUP($E348&amp;"|"&amp;$F348,Cluster_Master!$I$3:$H$17,3,FALSE))</f>
        <v/>
      </c>
      <c r="I348" s="7">
        <f>IF($G348&lt;&gt;"Valid","",VLOOKUP($E348&amp;"|"&amp;$F348,Cluster_Master!$I$3:$H$17,4,FALSE))</f>
        <v/>
      </c>
      <c r="J348" s="7">
        <f>IF($G348&lt;&gt;"Valid","",VLOOKUP($E348&amp;"|"&amp;$F348,Cluster_Master!$I$3:$H$17,5,FALSE))</f>
        <v/>
      </c>
      <c r="K348" s="7">
        <f>IF($G348&lt;&gt;"Valid","",VLOOKUP($E348&amp;"|"&amp;$F348,Cluster_Master!$I$3:$H$17,6,FALSE))</f>
        <v/>
      </c>
      <c r="L348" s="7">
        <f>IF($G348&lt;&gt;"Valid","",VLOOKUP($E348&amp;"|"&amp;$F348,Cluster_Master!$I$3:$H$17,7,FALSE))</f>
        <v/>
      </c>
      <c r="M348" s="7">
        <f>IF($G348&lt;&gt;"Valid","",VLOOKUP($E348&amp;"|"&amp;$F348,Cluster_Master!$I$3:$H$17,8,FALSE))</f>
        <v/>
      </c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7">
        <f>IF(COUNT(T348:AH348)=0,"",SUM(T348:AH348))</f>
        <v/>
      </c>
      <c r="AJ348" s="10">
        <f>IF(AI348="","",AI348/75)</f>
        <v/>
      </c>
      <c r="AK348" s="10">
        <f>IF(AI348="","",SUMPRODUCT(T348:AH348,KPI_Weights!$B$3:$B$17)/5)</f>
        <v/>
      </c>
      <c r="AL348" s="7">
        <f>IF(COUNT(T348:AH348)=0,"",IF(OR(T348&lt;=1,W348&lt;=1,X348&lt;=1,Y348&lt;=1,AB348&lt;=1),"YES","NO"))</f>
        <v/>
      </c>
      <c r="AM348" s="7">
        <f>IF(AK348="","",IF(AND(AK348="NO",AJ348&gt;=0.85),"YES","NO"))</f>
        <v/>
      </c>
      <c r="AN348" s="7">
        <f>IF(AJ348="","",IF(AJ348&gt;=0.90,"Excellent",IF(AJ348&gt;=0.80,"Good",IF(AJ348&gt;=0.70,"Fair","Poor"))))</f>
        <v/>
      </c>
      <c r="AO348" s="12" t="n"/>
      <c r="AP348" s="12" t="n"/>
      <c r="AQ348" s="12" t="n"/>
      <c r="AR348" s="12" t="n"/>
      <c r="AS348" s="12" t="n"/>
      <c r="AT348" s="12" t="n"/>
      <c r="AU348" s="12" t="n"/>
      <c r="AV348" s="11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  <c r="BF348" s="12" t="n"/>
    </row>
    <row r="349">
      <c r="A349" s="7">
        <f>IF(B349="","","INS-"&amp;TEXT(ROW()-3,"000"))</f>
        <v/>
      </c>
      <c r="B349" s="11" t="n"/>
      <c r="C349" s="7">
        <f>IF(B349="","",ISOWEEKNUM(B349))</f>
        <v/>
      </c>
      <c r="D349" s="7">
        <f>IF(B349="","",TEXT(B349,"yyyy-mm"))</f>
        <v/>
      </c>
      <c r="E349" s="12" t="n"/>
      <c r="F349" s="12" t="n"/>
      <c r="G349" s="7">
        <f>IF(OR(E349="",F349=""),"",IF(COUNTIF(Cluster_Master!$I$3:$I$17,E349&amp;"|"&amp;F349)=1,"Valid","Review"))</f>
        <v/>
      </c>
      <c r="H349" s="7">
        <f>IF($G349&lt;&gt;"Valid","",VLOOKUP($E349&amp;"|"&amp;$F349,Cluster_Master!$I$3:$H$17,3,FALSE))</f>
        <v/>
      </c>
      <c r="I349" s="7">
        <f>IF($G349&lt;&gt;"Valid","",VLOOKUP($E349&amp;"|"&amp;$F349,Cluster_Master!$I$3:$H$17,4,FALSE))</f>
        <v/>
      </c>
      <c r="J349" s="7">
        <f>IF($G349&lt;&gt;"Valid","",VLOOKUP($E349&amp;"|"&amp;$F349,Cluster_Master!$I$3:$H$17,5,FALSE))</f>
        <v/>
      </c>
      <c r="K349" s="7">
        <f>IF($G349&lt;&gt;"Valid","",VLOOKUP($E349&amp;"|"&amp;$F349,Cluster_Master!$I$3:$H$17,6,FALSE))</f>
        <v/>
      </c>
      <c r="L349" s="7">
        <f>IF($G349&lt;&gt;"Valid","",VLOOKUP($E349&amp;"|"&amp;$F349,Cluster_Master!$I$3:$H$17,7,FALSE))</f>
        <v/>
      </c>
      <c r="M349" s="7">
        <f>IF($G349&lt;&gt;"Valid","",VLOOKUP($E349&amp;"|"&amp;$F349,Cluster_Master!$I$3:$H$17,8,FALSE))</f>
        <v/>
      </c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7">
        <f>IF(COUNT(T349:AH349)=0,"",SUM(T349:AH349))</f>
        <v/>
      </c>
      <c r="AJ349" s="10">
        <f>IF(AI349="","",AI349/75)</f>
        <v/>
      </c>
      <c r="AK349" s="10">
        <f>IF(AI349="","",SUMPRODUCT(T349:AH349,KPI_Weights!$B$3:$B$17)/5)</f>
        <v/>
      </c>
      <c r="AL349" s="7">
        <f>IF(COUNT(T349:AH349)=0,"",IF(OR(T349&lt;=1,W349&lt;=1,X349&lt;=1,Y349&lt;=1,AB349&lt;=1),"YES","NO"))</f>
        <v/>
      </c>
      <c r="AM349" s="7">
        <f>IF(AK349="","",IF(AND(AK349="NO",AJ349&gt;=0.85),"YES","NO"))</f>
        <v/>
      </c>
      <c r="AN349" s="7">
        <f>IF(AJ349="","",IF(AJ349&gt;=0.90,"Excellent",IF(AJ349&gt;=0.80,"Good",IF(AJ349&gt;=0.70,"Fair","Poor"))))</f>
        <v/>
      </c>
      <c r="AO349" s="12" t="n"/>
      <c r="AP349" s="12" t="n"/>
      <c r="AQ349" s="12" t="n"/>
      <c r="AR349" s="12" t="n"/>
      <c r="AS349" s="12" t="n"/>
      <c r="AT349" s="12" t="n"/>
      <c r="AU349" s="12" t="n"/>
      <c r="AV349" s="11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  <c r="BF349" s="12" t="n"/>
    </row>
    <row r="350">
      <c r="A350" s="7">
        <f>IF(B350="","","INS-"&amp;TEXT(ROW()-3,"000"))</f>
        <v/>
      </c>
      <c r="B350" s="11" t="n"/>
      <c r="C350" s="7">
        <f>IF(B350="","",ISOWEEKNUM(B350))</f>
        <v/>
      </c>
      <c r="D350" s="7">
        <f>IF(B350="","",TEXT(B350,"yyyy-mm"))</f>
        <v/>
      </c>
      <c r="E350" s="12" t="n"/>
      <c r="F350" s="12" t="n"/>
      <c r="G350" s="7">
        <f>IF(OR(E350="",F350=""),"",IF(COUNTIF(Cluster_Master!$I$3:$I$17,E350&amp;"|"&amp;F350)=1,"Valid","Review"))</f>
        <v/>
      </c>
      <c r="H350" s="7">
        <f>IF($G350&lt;&gt;"Valid","",VLOOKUP($E350&amp;"|"&amp;$F350,Cluster_Master!$I$3:$H$17,3,FALSE))</f>
        <v/>
      </c>
      <c r="I350" s="7">
        <f>IF($G350&lt;&gt;"Valid","",VLOOKUP($E350&amp;"|"&amp;$F350,Cluster_Master!$I$3:$H$17,4,FALSE))</f>
        <v/>
      </c>
      <c r="J350" s="7">
        <f>IF($G350&lt;&gt;"Valid","",VLOOKUP($E350&amp;"|"&amp;$F350,Cluster_Master!$I$3:$H$17,5,FALSE))</f>
        <v/>
      </c>
      <c r="K350" s="7">
        <f>IF($G350&lt;&gt;"Valid","",VLOOKUP($E350&amp;"|"&amp;$F350,Cluster_Master!$I$3:$H$17,6,FALSE))</f>
        <v/>
      </c>
      <c r="L350" s="7">
        <f>IF($G350&lt;&gt;"Valid","",VLOOKUP($E350&amp;"|"&amp;$F350,Cluster_Master!$I$3:$H$17,7,FALSE))</f>
        <v/>
      </c>
      <c r="M350" s="7">
        <f>IF($G350&lt;&gt;"Valid","",VLOOKUP($E350&amp;"|"&amp;$F350,Cluster_Master!$I$3:$H$17,8,FALSE))</f>
        <v/>
      </c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7">
        <f>IF(COUNT(T350:AH350)=0,"",SUM(T350:AH350))</f>
        <v/>
      </c>
      <c r="AJ350" s="10">
        <f>IF(AI350="","",AI350/75)</f>
        <v/>
      </c>
      <c r="AK350" s="10">
        <f>IF(AI350="","",SUMPRODUCT(T350:AH350,KPI_Weights!$B$3:$B$17)/5)</f>
        <v/>
      </c>
      <c r="AL350" s="7">
        <f>IF(COUNT(T350:AH350)=0,"",IF(OR(T350&lt;=1,W350&lt;=1,X350&lt;=1,Y350&lt;=1,AB350&lt;=1),"YES","NO"))</f>
        <v/>
      </c>
      <c r="AM350" s="7">
        <f>IF(AK350="","",IF(AND(AK350="NO",AJ350&gt;=0.85),"YES","NO"))</f>
        <v/>
      </c>
      <c r="AN350" s="7">
        <f>IF(AJ350="","",IF(AJ350&gt;=0.90,"Excellent",IF(AJ350&gt;=0.80,"Good",IF(AJ350&gt;=0.70,"Fair","Poor"))))</f>
        <v/>
      </c>
      <c r="AO350" s="12" t="n"/>
      <c r="AP350" s="12" t="n"/>
      <c r="AQ350" s="12" t="n"/>
      <c r="AR350" s="12" t="n"/>
      <c r="AS350" s="12" t="n"/>
      <c r="AT350" s="12" t="n"/>
      <c r="AU350" s="12" t="n"/>
      <c r="AV350" s="11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  <c r="BF350" s="12" t="n"/>
    </row>
    <row r="351">
      <c r="A351" s="7">
        <f>IF(B351="","","INS-"&amp;TEXT(ROW()-3,"000"))</f>
        <v/>
      </c>
      <c r="B351" s="11" t="n"/>
      <c r="C351" s="7">
        <f>IF(B351="","",ISOWEEKNUM(B351))</f>
        <v/>
      </c>
      <c r="D351" s="7">
        <f>IF(B351="","",TEXT(B351,"yyyy-mm"))</f>
        <v/>
      </c>
      <c r="E351" s="12" t="n"/>
      <c r="F351" s="12" t="n"/>
      <c r="G351" s="7">
        <f>IF(OR(E351="",F351=""),"",IF(COUNTIF(Cluster_Master!$I$3:$I$17,E351&amp;"|"&amp;F351)=1,"Valid","Review"))</f>
        <v/>
      </c>
      <c r="H351" s="7">
        <f>IF($G351&lt;&gt;"Valid","",VLOOKUP($E351&amp;"|"&amp;$F351,Cluster_Master!$I$3:$H$17,3,FALSE))</f>
        <v/>
      </c>
      <c r="I351" s="7">
        <f>IF($G351&lt;&gt;"Valid","",VLOOKUP($E351&amp;"|"&amp;$F351,Cluster_Master!$I$3:$H$17,4,FALSE))</f>
        <v/>
      </c>
      <c r="J351" s="7">
        <f>IF($G351&lt;&gt;"Valid","",VLOOKUP($E351&amp;"|"&amp;$F351,Cluster_Master!$I$3:$H$17,5,FALSE))</f>
        <v/>
      </c>
      <c r="K351" s="7">
        <f>IF($G351&lt;&gt;"Valid","",VLOOKUP($E351&amp;"|"&amp;$F351,Cluster_Master!$I$3:$H$17,6,FALSE))</f>
        <v/>
      </c>
      <c r="L351" s="7">
        <f>IF($G351&lt;&gt;"Valid","",VLOOKUP($E351&amp;"|"&amp;$F351,Cluster_Master!$I$3:$H$17,7,FALSE))</f>
        <v/>
      </c>
      <c r="M351" s="7">
        <f>IF($G351&lt;&gt;"Valid","",VLOOKUP($E351&amp;"|"&amp;$F351,Cluster_Master!$I$3:$H$17,8,FALSE))</f>
        <v/>
      </c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7">
        <f>IF(COUNT(T351:AH351)=0,"",SUM(T351:AH351))</f>
        <v/>
      </c>
      <c r="AJ351" s="10">
        <f>IF(AI351="","",AI351/75)</f>
        <v/>
      </c>
      <c r="AK351" s="10">
        <f>IF(AI351="","",SUMPRODUCT(T351:AH351,KPI_Weights!$B$3:$B$17)/5)</f>
        <v/>
      </c>
      <c r="AL351" s="7">
        <f>IF(COUNT(T351:AH351)=0,"",IF(OR(T351&lt;=1,W351&lt;=1,X351&lt;=1,Y351&lt;=1,AB351&lt;=1),"YES","NO"))</f>
        <v/>
      </c>
      <c r="AM351" s="7">
        <f>IF(AK351="","",IF(AND(AK351="NO",AJ351&gt;=0.85),"YES","NO"))</f>
        <v/>
      </c>
      <c r="AN351" s="7">
        <f>IF(AJ351="","",IF(AJ351&gt;=0.90,"Excellent",IF(AJ351&gt;=0.80,"Good",IF(AJ351&gt;=0.70,"Fair","Poor"))))</f>
        <v/>
      </c>
      <c r="AO351" s="12" t="n"/>
      <c r="AP351" s="12" t="n"/>
      <c r="AQ351" s="12" t="n"/>
      <c r="AR351" s="12" t="n"/>
      <c r="AS351" s="12" t="n"/>
      <c r="AT351" s="12" t="n"/>
      <c r="AU351" s="12" t="n"/>
      <c r="AV351" s="11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  <c r="BF351" s="12" t="n"/>
    </row>
    <row r="352">
      <c r="A352" s="7">
        <f>IF(B352="","","INS-"&amp;TEXT(ROW()-3,"000"))</f>
        <v/>
      </c>
      <c r="B352" s="11" t="n"/>
      <c r="C352" s="7">
        <f>IF(B352="","",ISOWEEKNUM(B352))</f>
        <v/>
      </c>
      <c r="D352" s="7">
        <f>IF(B352="","",TEXT(B352,"yyyy-mm"))</f>
        <v/>
      </c>
      <c r="E352" s="12" t="n"/>
      <c r="F352" s="12" t="n"/>
      <c r="G352" s="7">
        <f>IF(OR(E352="",F352=""),"",IF(COUNTIF(Cluster_Master!$I$3:$I$17,E352&amp;"|"&amp;F352)=1,"Valid","Review"))</f>
        <v/>
      </c>
      <c r="H352" s="7">
        <f>IF($G352&lt;&gt;"Valid","",VLOOKUP($E352&amp;"|"&amp;$F352,Cluster_Master!$I$3:$H$17,3,FALSE))</f>
        <v/>
      </c>
      <c r="I352" s="7">
        <f>IF($G352&lt;&gt;"Valid","",VLOOKUP($E352&amp;"|"&amp;$F352,Cluster_Master!$I$3:$H$17,4,FALSE))</f>
        <v/>
      </c>
      <c r="J352" s="7">
        <f>IF($G352&lt;&gt;"Valid","",VLOOKUP($E352&amp;"|"&amp;$F352,Cluster_Master!$I$3:$H$17,5,FALSE))</f>
        <v/>
      </c>
      <c r="K352" s="7">
        <f>IF($G352&lt;&gt;"Valid","",VLOOKUP($E352&amp;"|"&amp;$F352,Cluster_Master!$I$3:$H$17,6,FALSE))</f>
        <v/>
      </c>
      <c r="L352" s="7">
        <f>IF($G352&lt;&gt;"Valid","",VLOOKUP($E352&amp;"|"&amp;$F352,Cluster_Master!$I$3:$H$17,7,FALSE))</f>
        <v/>
      </c>
      <c r="M352" s="7">
        <f>IF($G352&lt;&gt;"Valid","",VLOOKUP($E352&amp;"|"&amp;$F352,Cluster_Master!$I$3:$H$17,8,FALSE))</f>
        <v/>
      </c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7">
        <f>IF(COUNT(T352:AH352)=0,"",SUM(T352:AH352))</f>
        <v/>
      </c>
      <c r="AJ352" s="10">
        <f>IF(AI352="","",AI352/75)</f>
        <v/>
      </c>
      <c r="AK352" s="10">
        <f>IF(AI352="","",SUMPRODUCT(T352:AH352,KPI_Weights!$B$3:$B$17)/5)</f>
        <v/>
      </c>
      <c r="AL352" s="7">
        <f>IF(COUNT(T352:AH352)=0,"",IF(OR(T352&lt;=1,W352&lt;=1,X352&lt;=1,Y352&lt;=1,AB352&lt;=1),"YES","NO"))</f>
        <v/>
      </c>
      <c r="AM352" s="7">
        <f>IF(AK352="","",IF(AND(AK352="NO",AJ352&gt;=0.85),"YES","NO"))</f>
        <v/>
      </c>
      <c r="AN352" s="7">
        <f>IF(AJ352="","",IF(AJ352&gt;=0.90,"Excellent",IF(AJ352&gt;=0.80,"Good",IF(AJ352&gt;=0.70,"Fair","Poor"))))</f>
        <v/>
      </c>
      <c r="AO352" s="12" t="n"/>
      <c r="AP352" s="12" t="n"/>
      <c r="AQ352" s="12" t="n"/>
      <c r="AR352" s="12" t="n"/>
      <c r="AS352" s="12" t="n"/>
      <c r="AT352" s="12" t="n"/>
      <c r="AU352" s="12" t="n"/>
      <c r="AV352" s="11" t="n"/>
      <c r="AW352" s="12" t="n"/>
      <c r="AX352" s="12" t="n"/>
      <c r="AY352" s="12" t="n"/>
      <c r="AZ352" s="12" t="n"/>
      <c r="BA352" s="12" t="n"/>
      <c r="BB352" s="12" t="n"/>
      <c r="BC352" s="12" t="n"/>
      <c r="BD352" s="12" t="n"/>
      <c r="BE352" s="12" t="n"/>
      <c r="BF352" s="12" t="n"/>
    </row>
    <row r="353">
      <c r="A353" s="7">
        <f>IF(B353="","","INS-"&amp;TEXT(ROW()-3,"000"))</f>
        <v/>
      </c>
      <c r="B353" s="11" t="n"/>
      <c r="C353" s="7">
        <f>IF(B353="","",ISOWEEKNUM(B353))</f>
        <v/>
      </c>
      <c r="D353" s="7">
        <f>IF(B353="","",TEXT(B353,"yyyy-mm"))</f>
        <v/>
      </c>
      <c r="E353" s="12" t="n"/>
      <c r="F353" s="12" t="n"/>
      <c r="G353" s="7">
        <f>IF(OR(E353="",F353=""),"",IF(COUNTIF(Cluster_Master!$I$3:$I$17,E353&amp;"|"&amp;F353)=1,"Valid","Review"))</f>
        <v/>
      </c>
      <c r="H353" s="7">
        <f>IF($G353&lt;&gt;"Valid","",VLOOKUP($E353&amp;"|"&amp;$F353,Cluster_Master!$I$3:$H$17,3,FALSE))</f>
        <v/>
      </c>
      <c r="I353" s="7">
        <f>IF($G353&lt;&gt;"Valid","",VLOOKUP($E353&amp;"|"&amp;$F353,Cluster_Master!$I$3:$H$17,4,FALSE))</f>
        <v/>
      </c>
      <c r="J353" s="7">
        <f>IF($G353&lt;&gt;"Valid","",VLOOKUP($E353&amp;"|"&amp;$F353,Cluster_Master!$I$3:$H$17,5,FALSE))</f>
        <v/>
      </c>
      <c r="K353" s="7">
        <f>IF($G353&lt;&gt;"Valid","",VLOOKUP($E353&amp;"|"&amp;$F353,Cluster_Master!$I$3:$H$17,6,FALSE))</f>
        <v/>
      </c>
      <c r="L353" s="7">
        <f>IF($G353&lt;&gt;"Valid","",VLOOKUP($E353&amp;"|"&amp;$F353,Cluster_Master!$I$3:$H$17,7,FALSE))</f>
        <v/>
      </c>
      <c r="M353" s="7">
        <f>IF($G353&lt;&gt;"Valid","",VLOOKUP($E353&amp;"|"&amp;$F353,Cluster_Master!$I$3:$H$17,8,FALSE))</f>
        <v/>
      </c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7">
        <f>IF(COUNT(T353:AH353)=0,"",SUM(T353:AH353))</f>
        <v/>
      </c>
      <c r="AJ353" s="10">
        <f>IF(AI353="","",AI353/75)</f>
        <v/>
      </c>
      <c r="AK353" s="10">
        <f>IF(AI353="","",SUMPRODUCT(T353:AH353,KPI_Weights!$B$3:$B$17)/5)</f>
        <v/>
      </c>
      <c r="AL353" s="7">
        <f>IF(COUNT(T353:AH353)=0,"",IF(OR(T353&lt;=1,W353&lt;=1,X353&lt;=1,Y353&lt;=1,AB353&lt;=1),"YES","NO"))</f>
        <v/>
      </c>
      <c r="AM353" s="7">
        <f>IF(AK353="","",IF(AND(AK353="NO",AJ353&gt;=0.85),"YES","NO"))</f>
        <v/>
      </c>
      <c r="AN353" s="7">
        <f>IF(AJ353="","",IF(AJ353&gt;=0.90,"Excellent",IF(AJ353&gt;=0.80,"Good",IF(AJ353&gt;=0.70,"Fair","Poor"))))</f>
        <v/>
      </c>
      <c r="AO353" s="12" t="n"/>
      <c r="AP353" s="12" t="n"/>
      <c r="AQ353" s="12" t="n"/>
      <c r="AR353" s="12" t="n"/>
      <c r="AS353" s="12" t="n"/>
      <c r="AT353" s="12" t="n"/>
      <c r="AU353" s="12" t="n"/>
      <c r="AV353" s="11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  <c r="BF353" s="12" t="n"/>
    </row>
    <row r="354">
      <c r="A354" s="7">
        <f>IF(B354="","","INS-"&amp;TEXT(ROW()-3,"000"))</f>
        <v/>
      </c>
      <c r="B354" s="11" t="n"/>
      <c r="C354" s="7">
        <f>IF(B354="","",ISOWEEKNUM(B354))</f>
        <v/>
      </c>
      <c r="D354" s="7">
        <f>IF(B354="","",TEXT(B354,"yyyy-mm"))</f>
        <v/>
      </c>
      <c r="E354" s="12" t="n"/>
      <c r="F354" s="12" t="n"/>
      <c r="G354" s="7">
        <f>IF(OR(E354="",F354=""),"",IF(COUNTIF(Cluster_Master!$I$3:$I$17,E354&amp;"|"&amp;F354)=1,"Valid","Review"))</f>
        <v/>
      </c>
      <c r="H354" s="7">
        <f>IF($G354&lt;&gt;"Valid","",VLOOKUP($E354&amp;"|"&amp;$F354,Cluster_Master!$I$3:$H$17,3,FALSE))</f>
        <v/>
      </c>
      <c r="I354" s="7">
        <f>IF($G354&lt;&gt;"Valid","",VLOOKUP($E354&amp;"|"&amp;$F354,Cluster_Master!$I$3:$H$17,4,FALSE))</f>
        <v/>
      </c>
      <c r="J354" s="7">
        <f>IF($G354&lt;&gt;"Valid","",VLOOKUP($E354&amp;"|"&amp;$F354,Cluster_Master!$I$3:$H$17,5,FALSE))</f>
        <v/>
      </c>
      <c r="K354" s="7">
        <f>IF($G354&lt;&gt;"Valid","",VLOOKUP($E354&amp;"|"&amp;$F354,Cluster_Master!$I$3:$H$17,6,FALSE))</f>
        <v/>
      </c>
      <c r="L354" s="7">
        <f>IF($G354&lt;&gt;"Valid","",VLOOKUP($E354&amp;"|"&amp;$F354,Cluster_Master!$I$3:$H$17,7,FALSE))</f>
        <v/>
      </c>
      <c r="M354" s="7">
        <f>IF($G354&lt;&gt;"Valid","",VLOOKUP($E354&amp;"|"&amp;$F354,Cluster_Master!$I$3:$H$17,8,FALSE))</f>
        <v/>
      </c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7">
        <f>IF(COUNT(T354:AH354)=0,"",SUM(T354:AH354))</f>
        <v/>
      </c>
      <c r="AJ354" s="10">
        <f>IF(AI354="","",AI354/75)</f>
        <v/>
      </c>
      <c r="AK354" s="10">
        <f>IF(AI354="","",SUMPRODUCT(T354:AH354,KPI_Weights!$B$3:$B$17)/5)</f>
        <v/>
      </c>
      <c r="AL354" s="7">
        <f>IF(COUNT(T354:AH354)=0,"",IF(OR(T354&lt;=1,W354&lt;=1,X354&lt;=1,Y354&lt;=1,AB354&lt;=1),"YES","NO"))</f>
        <v/>
      </c>
      <c r="AM354" s="7">
        <f>IF(AK354="","",IF(AND(AK354="NO",AJ354&gt;=0.85),"YES","NO"))</f>
        <v/>
      </c>
      <c r="AN354" s="7">
        <f>IF(AJ354="","",IF(AJ354&gt;=0.90,"Excellent",IF(AJ354&gt;=0.80,"Good",IF(AJ354&gt;=0.70,"Fair","Poor"))))</f>
        <v/>
      </c>
      <c r="AO354" s="12" t="n"/>
      <c r="AP354" s="12" t="n"/>
      <c r="AQ354" s="12" t="n"/>
      <c r="AR354" s="12" t="n"/>
      <c r="AS354" s="12" t="n"/>
      <c r="AT354" s="12" t="n"/>
      <c r="AU354" s="12" t="n"/>
      <c r="AV354" s="11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  <c r="BF354" s="12" t="n"/>
    </row>
    <row r="355">
      <c r="A355" s="7">
        <f>IF(B355="","","INS-"&amp;TEXT(ROW()-3,"000"))</f>
        <v/>
      </c>
      <c r="B355" s="11" t="n"/>
      <c r="C355" s="7">
        <f>IF(B355="","",ISOWEEKNUM(B355))</f>
        <v/>
      </c>
      <c r="D355" s="7">
        <f>IF(B355="","",TEXT(B355,"yyyy-mm"))</f>
        <v/>
      </c>
      <c r="E355" s="12" t="n"/>
      <c r="F355" s="12" t="n"/>
      <c r="G355" s="7">
        <f>IF(OR(E355="",F355=""),"",IF(COUNTIF(Cluster_Master!$I$3:$I$17,E355&amp;"|"&amp;F355)=1,"Valid","Review"))</f>
        <v/>
      </c>
      <c r="H355" s="7">
        <f>IF($G355&lt;&gt;"Valid","",VLOOKUP($E355&amp;"|"&amp;$F355,Cluster_Master!$I$3:$H$17,3,FALSE))</f>
        <v/>
      </c>
      <c r="I355" s="7">
        <f>IF($G355&lt;&gt;"Valid","",VLOOKUP($E355&amp;"|"&amp;$F355,Cluster_Master!$I$3:$H$17,4,FALSE))</f>
        <v/>
      </c>
      <c r="J355" s="7">
        <f>IF($G355&lt;&gt;"Valid","",VLOOKUP($E355&amp;"|"&amp;$F355,Cluster_Master!$I$3:$H$17,5,FALSE))</f>
        <v/>
      </c>
      <c r="K355" s="7">
        <f>IF($G355&lt;&gt;"Valid","",VLOOKUP($E355&amp;"|"&amp;$F355,Cluster_Master!$I$3:$H$17,6,FALSE))</f>
        <v/>
      </c>
      <c r="L355" s="7">
        <f>IF($G355&lt;&gt;"Valid","",VLOOKUP($E355&amp;"|"&amp;$F355,Cluster_Master!$I$3:$H$17,7,FALSE))</f>
        <v/>
      </c>
      <c r="M355" s="7">
        <f>IF($G355&lt;&gt;"Valid","",VLOOKUP($E355&amp;"|"&amp;$F355,Cluster_Master!$I$3:$H$17,8,FALSE))</f>
        <v/>
      </c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7">
        <f>IF(COUNT(T355:AH355)=0,"",SUM(T355:AH355))</f>
        <v/>
      </c>
      <c r="AJ355" s="10">
        <f>IF(AI355="","",AI355/75)</f>
        <v/>
      </c>
      <c r="AK355" s="10">
        <f>IF(AI355="","",SUMPRODUCT(T355:AH355,KPI_Weights!$B$3:$B$17)/5)</f>
        <v/>
      </c>
      <c r="AL355" s="7">
        <f>IF(COUNT(T355:AH355)=0,"",IF(OR(T355&lt;=1,W355&lt;=1,X355&lt;=1,Y355&lt;=1,AB355&lt;=1),"YES","NO"))</f>
        <v/>
      </c>
      <c r="AM355" s="7">
        <f>IF(AK355="","",IF(AND(AK355="NO",AJ355&gt;=0.85),"YES","NO"))</f>
        <v/>
      </c>
      <c r="AN355" s="7">
        <f>IF(AJ355="","",IF(AJ355&gt;=0.90,"Excellent",IF(AJ355&gt;=0.80,"Good",IF(AJ355&gt;=0.70,"Fair","Poor"))))</f>
        <v/>
      </c>
      <c r="AO355" s="12" t="n"/>
      <c r="AP355" s="12" t="n"/>
      <c r="AQ355" s="12" t="n"/>
      <c r="AR355" s="12" t="n"/>
      <c r="AS355" s="12" t="n"/>
      <c r="AT355" s="12" t="n"/>
      <c r="AU355" s="12" t="n"/>
      <c r="AV355" s="11" t="n"/>
      <c r="AW355" s="12" t="n"/>
      <c r="AX355" s="12" t="n"/>
      <c r="AY355" s="12" t="n"/>
      <c r="AZ355" s="12" t="n"/>
      <c r="BA355" s="12" t="n"/>
      <c r="BB355" s="12" t="n"/>
      <c r="BC355" s="12" t="n"/>
      <c r="BD355" s="12" t="n"/>
      <c r="BE355" s="12" t="n"/>
      <c r="BF355" s="12" t="n"/>
    </row>
    <row r="356">
      <c r="A356" s="7">
        <f>IF(B356="","","INS-"&amp;TEXT(ROW()-3,"000"))</f>
        <v/>
      </c>
      <c r="B356" s="11" t="n"/>
      <c r="C356" s="7">
        <f>IF(B356="","",ISOWEEKNUM(B356))</f>
        <v/>
      </c>
      <c r="D356" s="7">
        <f>IF(B356="","",TEXT(B356,"yyyy-mm"))</f>
        <v/>
      </c>
      <c r="E356" s="12" t="n"/>
      <c r="F356" s="12" t="n"/>
      <c r="G356" s="7">
        <f>IF(OR(E356="",F356=""),"",IF(COUNTIF(Cluster_Master!$I$3:$I$17,E356&amp;"|"&amp;F356)=1,"Valid","Review"))</f>
        <v/>
      </c>
      <c r="H356" s="7">
        <f>IF($G356&lt;&gt;"Valid","",VLOOKUP($E356&amp;"|"&amp;$F356,Cluster_Master!$I$3:$H$17,3,FALSE))</f>
        <v/>
      </c>
      <c r="I356" s="7">
        <f>IF($G356&lt;&gt;"Valid","",VLOOKUP($E356&amp;"|"&amp;$F356,Cluster_Master!$I$3:$H$17,4,FALSE))</f>
        <v/>
      </c>
      <c r="J356" s="7">
        <f>IF($G356&lt;&gt;"Valid","",VLOOKUP($E356&amp;"|"&amp;$F356,Cluster_Master!$I$3:$H$17,5,FALSE))</f>
        <v/>
      </c>
      <c r="K356" s="7">
        <f>IF($G356&lt;&gt;"Valid","",VLOOKUP($E356&amp;"|"&amp;$F356,Cluster_Master!$I$3:$H$17,6,FALSE))</f>
        <v/>
      </c>
      <c r="L356" s="7">
        <f>IF($G356&lt;&gt;"Valid","",VLOOKUP($E356&amp;"|"&amp;$F356,Cluster_Master!$I$3:$H$17,7,FALSE))</f>
        <v/>
      </c>
      <c r="M356" s="7">
        <f>IF($G356&lt;&gt;"Valid","",VLOOKUP($E356&amp;"|"&amp;$F356,Cluster_Master!$I$3:$H$17,8,FALSE))</f>
        <v/>
      </c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7">
        <f>IF(COUNT(T356:AH356)=0,"",SUM(T356:AH356))</f>
        <v/>
      </c>
      <c r="AJ356" s="10">
        <f>IF(AI356="","",AI356/75)</f>
        <v/>
      </c>
      <c r="AK356" s="10">
        <f>IF(AI356="","",SUMPRODUCT(T356:AH356,KPI_Weights!$B$3:$B$17)/5)</f>
        <v/>
      </c>
      <c r="AL356" s="7">
        <f>IF(COUNT(T356:AH356)=0,"",IF(OR(T356&lt;=1,W356&lt;=1,X356&lt;=1,Y356&lt;=1,AB356&lt;=1),"YES","NO"))</f>
        <v/>
      </c>
      <c r="AM356" s="7">
        <f>IF(AK356="","",IF(AND(AK356="NO",AJ356&gt;=0.85),"YES","NO"))</f>
        <v/>
      </c>
      <c r="AN356" s="7">
        <f>IF(AJ356="","",IF(AJ356&gt;=0.90,"Excellent",IF(AJ356&gt;=0.80,"Good",IF(AJ356&gt;=0.70,"Fair","Poor"))))</f>
        <v/>
      </c>
      <c r="AO356" s="12" t="n"/>
      <c r="AP356" s="12" t="n"/>
      <c r="AQ356" s="12" t="n"/>
      <c r="AR356" s="12" t="n"/>
      <c r="AS356" s="12" t="n"/>
      <c r="AT356" s="12" t="n"/>
      <c r="AU356" s="12" t="n"/>
      <c r="AV356" s="11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  <c r="BF356" s="12" t="n"/>
    </row>
    <row r="357">
      <c r="A357" s="7">
        <f>IF(B357="","","INS-"&amp;TEXT(ROW()-3,"000"))</f>
        <v/>
      </c>
      <c r="B357" s="11" t="n"/>
      <c r="C357" s="7">
        <f>IF(B357="","",ISOWEEKNUM(B357))</f>
        <v/>
      </c>
      <c r="D357" s="7">
        <f>IF(B357="","",TEXT(B357,"yyyy-mm"))</f>
        <v/>
      </c>
      <c r="E357" s="12" t="n"/>
      <c r="F357" s="12" t="n"/>
      <c r="G357" s="7">
        <f>IF(OR(E357="",F357=""),"",IF(COUNTIF(Cluster_Master!$I$3:$I$17,E357&amp;"|"&amp;F357)=1,"Valid","Review"))</f>
        <v/>
      </c>
      <c r="H357" s="7">
        <f>IF($G357&lt;&gt;"Valid","",VLOOKUP($E357&amp;"|"&amp;$F357,Cluster_Master!$I$3:$H$17,3,FALSE))</f>
        <v/>
      </c>
      <c r="I357" s="7">
        <f>IF($G357&lt;&gt;"Valid","",VLOOKUP($E357&amp;"|"&amp;$F357,Cluster_Master!$I$3:$H$17,4,FALSE))</f>
        <v/>
      </c>
      <c r="J357" s="7">
        <f>IF($G357&lt;&gt;"Valid","",VLOOKUP($E357&amp;"|"&amp;$F357,Cluster_Master!$I$3:$H$17,5,FALSE))</f>
        <v/>
      </c>
      <c r="K357" s="7">
        <f>IF($G357&lt;&gt;"Valid","",VLOOKUP($E357&amp;"|"&amp;$F357,Cluster_Master!$I$3:$H$17,6,FALSE))</f>
        <v/>
      </c>
      <c r="L357" s="7">
        <f>IF($G357&lt;&gt;"Valid","",VLOOKUP($E357&amp;"|"&amp;$F357,Cluster_Master!$I$3:$H$17,7,FALSE))</f>
        <v/>
      </c>
      <c r="M357" s="7">
        <f>IF($G357&lt;&gt;"Valid","",VLOOKUP($E357&amp;"|"&amp;$F357,Cluster_Master!$I$3:$H$17,8,FALSE))</f>
        <v/>
      </c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7">
        <f>IF(COUNT(T357:AH357)=0,"",SUM(T357:AH357))</f>
        <v/>
      </c>
      <c r="AJ357" s="10">
        <f>IF(AI357="","",AI357/75)</f>
        <v/>
      </c>
      <c r="AK357" s="10">
        <f>IF(AI357="","",SUMPRODUCT(T357:AH357,KPI_Weights!$B$3:$B$17)/5)</f>
        <v/>
      </c>
      <c r="AL357" s="7">
        <f>IF(COUNT(T357:AH357)=0,"",IF(OR(T357&lt;=1,W357&lt;=1,X357&lt;=1,Y357&lt;=1,AB357&lt;=1),"YES","NO"))</f>
        <v/>
      </c>
      <c r="AM357" s="7">
        <f>IF(AK357="","",IF(AND(AK357="NO",AJ357&gt;=0.85),"YES","NO"))</f>
        <v/>
      </c>
      <c r="AN357" s="7">
        <f>IF(AJ357="","",IF(AJ357&gt;=0.90,"Excellent",IF(AJ357&gt;=0.80,"Good",IF(AJ357&gt;=0.70,"Fair","Poor"))))</f>
        <v/>
      </c>
      <c r="AO357" s="12" t="n"/>
      <c r="AP357" s="12" t="n"/>
      <c r="AQ357" s="12" t="n"/>
      <c r="AR357" s="12" t="n"/>
      <c r="AS357" s="12" t="n"/>
      <c r="AT357" s="12" t="n"/>
      <c r="AU357" s="12" t="n"/>
      <c r="AV357" s="11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  <c r="BF357" s="12" t="n"/>
    </row>
    <row r="358">
      <c r="A358" s="7">
        <f>IF(B358="","","INS-"&amp;TEXT(ROW()-3,"000"))</f>
        <v/>
      </c>
      <c r="B358" s="11" t="n"/>
      <c r="C358" s="7">
        <f>IF(B358="","",ISOWEEKNUM(B358))</f>
        <v/>
      </c>
      <c r="D358" s="7">
        <f>IF(B358="","",TEXT(B358,"yyyy-mm"))</f>
        <v/>
      </c>
      <c r="E358" s="12" t="n"/>
      <c r="F358" s="12" t="n"/>
      <c r="G358" s="7">
        <f>IF(OR(E358="",F358=""),"",IF(COUNTIF(Cluster_Master!$I$3:$I$17,E358&amp;"|"&amp;F358)=1,"Valid","Review"))</f>
        <v/>
      </c>
      <c r="H358" s="7">
        <f>IF($G358&lt;&gt;"Valid","",VLOOKUP($E358&amp;"|"&amp;$F358,Cluster_Master!$I$3:$H$17,3,FALSE))</f>
        <v/>
      </c>
      <c r="I358" s="7">
        <f>IF($G358&lt;&gt;"Valid","",VLOOKUP($E358&amp;"|"&amp;$F358,Cluster_Master!$I$3:$H$17,4,FALSE))</f>
        <v/>
      </c>
      <c r="J358" s="7">
        <f>IF($G358&lt;&gt;"Valid","",VLOOKUP($E358&amp;"|"&amp;$F358,Cluster_Master!$I$3:$H$17,5,FALSE))</f>
        <v/>
      </c>
      <c r="K358" s="7">
        <f>IF($G358&lt;&gt;"Valid","",VLOOKUP($E358&amp;"|"&amp;$F358,Cluster_Master!$I$3:$H$17,6,FALSE))</f>
        <v/>
      </c>
      <c r="L358" s="7">
        <f>IF($G358&lt;&gt;"Valid","",VLOOKUP($E358&amp;"|"&amp;$F358,Cluster_Master!$I$3:$H$17,7,FALSE))</f>
        <v/>
      </c>
      <c r="M358" s="7">
        <f>IF($G358&lt;&gt;"Valid","",VLOOKUP($E358&amp;"|"&amp;$F358,Cluster_Master!$I$3:$H$17,8,FALSE))</f>
        <v/>
      </c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7">
        <f>IF(COUNT(T358:AH358)=0,"",SUM(T358:AH358))</f>
        <v/>
      </c>
      <c r="AJ358" s="10">
        <f>IF(AI358="","",AI358/75)</f>
        <v/>
      </c>
      <c r="AK358" s="10">
        <f>IF(AI358="","",SUMPRODUCT(T358:AH358,KPI_Weights!$B$3:$B$17)/5)</f>
        <v/>
      </c>
      <c r="AL358" s="7">
        <f>IF(COUNT(T358:AH358)=0,"",IF(OR(T358&lt;=1,W358&lt;=1,X358&lt;=1,Y358&lt;=1,AB358&lt;=1),"YES","NO"))</f>
        <v/>
      </c>
      <c r="AM358" s="7">
        <f>IF(AK358="","",IF(AND(AK358="NO",AJ358&gt;=0.85),"YES","NO"))</f>
        <v/>
      </c>
      <c r="AN358" s="7">
        <f>IF(AJ358="","",IF(AJ358&gt;=0.90,"Excellent",IF(AJ358&gt;=0.80,"Good",IF(AJ358&gt;=0.70,"Fair","Poor"))))</f>
        <v/>
      </c>
      <c r="AO358" s="12" t="n"/>
      <c r="AP358" s="12" t="n"/>
      <c r="AQ358" s="12" t="n"/>
      <c r="AR358" s="12" t="n"/>
      <c r="AS358" s="12" t="n"/>
      <c r="AT358" s="12" t="n"/>
      <c r="AU358" s="12" t="n"/>
      <c r="AV358" s="11" t="n"/>
      <c r="AW358" s="12" t="n"/>
      <c r="AX358" s="12" t="n"/>
      <c r="AY358" s="12" t="n"/>
      <c r="AZ358" s="12" t="n"/>
      <c r="BA358" s="12" t="n"/>
      <c r="BB358" s="12" t="n"/>
      <c r="BC358" s="12" t="n"/>
      <c r="BD358" s="12" t="n"/>
      <c r="BE358" s="12" t="n"/>
      <c r="BF358" s="12" t="n"/>
    </row>
    <row r="359">
      <c r="A359" s="7">
        <f>IF(B359="","","INS-"&amp;TEXT(ROW()-3,"000"))</f>
        <v/>
      </c>
      <c r="B359" s="11" t="n"/>
      <c r="C359" s="7">
        <f>IF(B359="","",ISOWEEKNUM(B359))</f>
        <v/>
      </c>
      <c r="D359" s="7">
        <f>IF(B359="","",TEXT(B359,"yyyy-mm"))</f>
        <v/>
      </c>
      <c r="E359" s="12" t="n"/>
      <c r="F359" s="12" t="n"/>
      <c r="G359" s="7">
        <f>IF(OR(E359="",F359=""),"",IF(COUNTIF(Cluster_Master!$I$3:$I$17,E359&amp;"|"&amp;F359)=1,"Valid","Review"))</f>
        <v/>
      </c>
      <c r="H359" s="7">
        <f>IF($G359&lt;&gt;"Valid","",VLOOKUP($E359&amp;"|"&amp;$F359,Cluster_Master!$I$3:$H$17,3,FALSE))</f>
        <v/>
      </c>
      <c r="I359" s="7">
        <f>IF($G359&lt;&gt;"Valid","",VLOOKUP($E359&amp;"|"&amp;$F359,Cluster_Master!$I$3:$H$17,4,FALSE))</f>
        <v/>
      </c>
      <c r="J359" s="7">
        <f>IF($G359&lt;&gt;"Valid","",VLOOKUP($E359&amp;"|"&amp;$F359,Cluster_Master!$I$3:$H$17,5,FALSE))</f>
        <v/>
      </c>
      <c r="K359" s="7">
        <f>IF($G359&lt;&gt;"Valid","",VLOOKUP($E359&amp;"|"&amp;$F359,Cluster_Master!$I$3:$H$17,6,FALSE))</f>
        <v/>
      </c>
      <c r="L359" s="7">
        <f>IF($G359&lt;&gt;"Valid","",VLOOKUP($E359&amp;"|"&amp;$F359,Cluster_Master!$I$3:$H$17,7,FALSE))</f>
        <v/>
      </c>
      <c r="M359" s="7">
        <f>IF($G359&lt;&gt;"Valid","",VLOOKUP($E359&amp;"|"&amp;$F359,Cluster_Master!$I$3:$H$17,8,FALSE))</f>
        <v/>
      </c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7">
        <f>IF(COUNT(T359:AH359)=0,"",SUM(T359:AH359))</f>
        <v/>
      </c>
      <c r="AJ359" s="10">
        <f>IF(AI359="","",AI359/75)</f>
        <v/>
      </c>
      <c r="AK359" s="10">
        <f>IF(AI359="","",SUMPRODUCT(T359:AH359,KPI_Weights!$B$3:$B$17)/5)</f>
        <v/>
      </c>
      <c r="AL359" s="7">
        <f>IF(COUNT(T359:AH359)=0,"",IF(OR(T359&lt;=1,W359&lt;=1,X359&lt;=1,Y359&lt;=1,AB359&lt;=1),"YES","NO"))</f>
        <v/>
      </c>
      <c r="AM359" s="7">
        <f>IF(AK359="","",IF(AND(AK359="NO",AJ359&gt;=0.85),"YES","NO"))</f>
        <v/>
      </c>
      <c r="AN359" s="7">
        <f>IF(AJ359="","",IF(AJ359&gt;=0.90,"Excellent",IF(AJ359&gt;=0.80,"Good",IF(AJ359&gt;=0.70,"Fair","Poor"))))</f>
        <v/>
      </c>
      <c r="AO359" s="12" t="n"/>
      <c r="AP359" s="12" t="n"/>
      <c r="AQ359" s="12" t="n"/>
      <c r="AR359" s="12" t="n"/>
      <c r="AS359" s="12" t="n"/>
      <c r="AT359" s="12" t="n"/>
      <c r="AU359" s="12" t="n"/>
      <c r="AV359" s="11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  <c r="BF359" s="12" t="n"/>
    </row>
    <row r="360">
      <c r="A360" s="7">
        <f>IF(B360="","","INS-"&amp;TEXT(ROW()-3,"000"))</f>
        <v/>
      </c>
      <c r="B360" s="11" t="n"/>
      <c r="C360" s="7">
        <f>IF(B360="","",ISOWEEKNUM(B360))</f>
        <v/>
      </c>
      <c r="D360" s="7">
        <f>IF(B360="","",TEXT(B360,"yyyy-mm"))</f>
        <v/>
      </c>
      <c r="E360" s="12" t="n"/>
      <c r="F360" s="12" t="n"/>
      <c r="G360" s="7">
        <f>IF(OR(E360="",F360=""),"",IF(COUNTIF(Cluster_Master!$I$3:$I$17,E360&amp;"|"&amp;F360)=1,"Valid","Review"))</f>
        <v/>
      </c>
      <c r="H360" s="7">
        <f>IF($G360&lt;&gt;"Valid","",VLOOKUP($E360&amp;"|"&amp;$F360,Cluster_Master!$I$3:$H$17,3,FALSE))</f>
        <v/>
      </c>
      <c r="I360" s="7">
        <f>IF($G360&lt;&gt;"Valid","",VLOOKUP($E360&amp;"|"&amp;$F360,Cluster_Master!$I$3:$H$17,4,FALSE))</f>
        <v/>
      </c>
      <c r="J360" s="7">
        <f>IF($G360&lt;&gt;"Valid","",VLOOKUP($E360&amp;"|"&amp;$F360,Cluster_Master!$I$3:$H$17,5,FALSE))</f>
        <v/>
      </c>
      <c r="K360" s="7">
        <f>IF($G360&lt;&gt;"Valid","",VLOOKUP($E360&amp;"|"&amp;$F360,Cluster_Master!$I$3:$H$17,6,FALSE))</f>
        <v/>
      </c>
      <c r="L360" s="7">
        <f>IF($G360&lt;&gt;"Valid","",VLOOKUP($E360&amp;"|"&amp;$F360,Cluster_Master!$I$3:$H$17,7,FALSE))</f>
        <v/>
      </c>
      <c r="M360" s="7">
        <f>IF($G360&lt;&gt;"Valid","",VLOOKUP($E360&amp;"|"&amp;$F360,Cluster_Master!$I$3:$H$17,8,FALSE))</f>
        <v/>
      </c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7">
        <f>IF(COUNT(T360:AH360)=0,"",SUM(T360:AH360))</f>
        <v/>
      </c>
      <c r="AJ360" s="10">
        <f>IF(AI360="","",AI360/75)</f>
        <v/>
      </c>
      <c r="AK360" s="10">
        <f>IF(AI360="","",SUMPRODUCT(T360:AH360,KPI_Weights!$B$3:$B$17)/5)</f>
        <v/>
      </c>
      <c r="AL360" s="7">
        <f>IF(COUNT(T360:AH360)=0,"",IF(OR(T360&lt;=1,W360&lt;=1,X360&lt;=1,Y360&lt;=1,AB360&lt;=1),"YES","NO"))</f>
        <v/>
      </c>
      <c r="AM360" s="7">
        <f>IF(AK360="","",IF(AND(AK360="NO",AJ360&gt;=0.85),"YES","NO"))</f>
        <v/>
      </c>
      <c r="AN360" s="7">
        <f>IF(AJ360="","",IF(AJ360&gt;=0.90,"Excellent",IF(AJ360&gt;=0.80,"Good",IF(AJ360&gt;=0.70,"Fair","Poor"))))</f>
        <v/>
      </c>
      <c r="AO360" s="12" t="n"/>
      <c r="AP360" s="12" t="n"/>
      <c r="AQ360" s="12" t="n"/>
      <c r="AR360" s="12" t="n"/>
      <c r="AS360" s="12" t="n"/>
      <c r="AT360" s="12" t="n"/>
      <c r="AU360" s="12" t="n"/>
      <c r="AV360" s="11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  <c r="BF360" s="12" t="n"/>
    </row>
    <row r="361">
      <c r="A361" s="7">
        <f>IF(B361="","","INS-"&amp;TEXT(ROW()-3,"000"))</f>
        <v/>
      </c>
      <c r="B361" s="11" t="n"/>
      <c r="C361" s="7">
        <f>IF(B361="","",ISOWEEKNUM(B361))</f>
        <v/>
      </c>
      <c r="D361" s="7">
        <f>IF(B361="","",TEXT(B361,"yyyy-mm"))</f>
        <v/>
      </c>
      <c r="E361" s="12" t="n"/>
      <c r="F361" s="12" t="n"/>
      <c r="G361" s="7">
        <f>IF(OR(E361="",F361=""),"",IF(COUNTIF(Cluster_Master!$I$3:$I$17,E361&amp;"|"&amp;F361)=1,"Valid","Review"))</f>
        <v/>
      </c>
      <c r="H361" s="7">
        <f>IF($G361&lt;&gt;"Valid","",VLOOKUP($E361&amp;"|"&amp;$F361,Cluster_Master!$I$3:$H$17,3,FALSE))</f>
        <v/>
      </c>
      <c r="I361" s="7">
        <f>IF($G361&lt;&gt;"Valid","",VLOOKUP($E361&amp;"|"&amp;$F361,Cluster_Master!$I$3:$H$17,4,FALSE))</f>
        <v/>
      </c>
      <c r="J361" s="7">
        <f>IF($G361&lt;&gt;"Valid","",VLOOKUP($E361&amp;"|"&amp;$F361,Cluster_Master!$I$3:$H$17,5,FALSE))</f>
        <v/>
      </c>
      <c r="K361" s="7">
        <f>IF($G361&lt;&gt;"Valid","",VLOOKUP($E361&amp;"|"&amp;$F361,Cluster_Master!$I$3:$H$17,6,FALSE))</f>
        <v/>
      </c>
      <c r="L361" s="7">
        <f>IF($G361&lt;&gt;"Valid","",VLOOKUP($E361&amp;"|"&amp;$F361,Cluster_Master!$I$3:$H$17,7,FALSE))</f>
        <v/>
      </c>
      <c r="M361" s="7">
        <f>IF($G361&lt;&gt;"Valid","",VLOOKUP($E361&amp;"|"&amp;$F361,Cluster_Master!$I$3:$H$17,8,FALSE))</f>
        <v/>
      </c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7">
        <f>IF(COUNT(T361:AH361)=0,"",SUM(T361:AH361))</f>
        <v/>
      </c>
      <c r="AJ361" s="10">
        <f>IF(AI361="","",AI361/75)</f>
        <v/>
      </c>
      <c r="AK361" s="10">
        <f>IF(AI361="","",SUMPRODUCT(T361:AH361,KPI_Weights!$B$3:$B$17)/5)</f>
        <v/>
      </c>
      <c r="AL361" s="7">
        <f>IF(COUNT(T361:AH361)=0,"",IF(OR(T361&lt;=1,W361&lt;=1,X361&lt;=1,Y361&lt;=1,AB361&lt;=1),"YES","NO"))</f>
        <v/>
      </c>
      <c r="AM361" s="7">
        <f>IF(AK361="","",IF(AND(AK361="NO",AJ361&gt;=0.85),"YES","NO"))</f>
        <v/>
      </c>
      <c r="AN361" s="7">
        <f>IF(AJ361="","",IF(AJ361&gt;=0.90,"Excellent",IF(AJ361&gt;=0.80,"Good",IF(AJ361&gt;=0.70,"Fair","Poor"))))</f>
        <v/>
      </c>
      <c r="AO361" s="12" t="n"/>
      <c r="AP361" s="12" t="n"/>
      <c r="AQ361" s="12" t="n"/>
      <c r="AR361" s="12" t="n"/>
      <c r="AS361" s="12" t="n"/>
      <c r="AT361" s="12" t="n"/>
      <c r="AU361" s="12" t="n"/>
      <c r="AV361" s="11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  <c r="BF361" s="12" t="n"/>
    </row>
    <row r="362">
      <c r="A362" s="7">
        <f>IF(B362="","","INS-"&amp;TEXT(ROW()-3,"000"))</f>
        <v/>
      </c>
      <c r="B362" s="11" t="n"/>
      <c r="C362" s="7">
        <f>IF(B362="","",ISOWEEKNUM(B362))</f>
        <v/>
      </c>
      <c r="D362" s="7">
        <f>IF(B362="","",TEXT(B362,"yyyy-mm"))</f>
        <v/>
      </c>
      <c r="E362" s="12" t="n"/>
      <c r="F362" s="12" t="n"/>
      <c r="G362" s="7">
        <f>IF(OR(E362="",F362=""),"",IF(COUNTIF(Cluster_Master!$I$3:$I$17,E362&amp;"|"&amp;F362)=1,"Valid","Review"))</f>
        <v/>
      </c>
      <c r="H362" s="7">
        <f>IF($G362&lt;&gt;"Valid","",VLOOKUP($E362&amp;"|"&amp;$F362,Cluster_Master!$I$3:$H$17,3,FALSE))</f>
        <v/>
      </c>
      <c r="I362" s="7">
        <f>IF($G362&lt;&gt;"Valid","",VLOOKUP($E362&amp;"|"&amp;$F362,Cluster_Master!$I$3:$H$17,4,FALSE))</f>
        <v/>
      </c>
      <c r="J362" s="7">
        <f>IF($G362&lt;&gt;"Valid","",VLOOKUP($E362&amp;"|"&amp;$F362,Cluster_Master!$I$3:$H$17,5,FALSE))</f>
        <v/>
      </c>
      <c r="K362" s="7">
        <f>IF($G362&lt;&gt;"Valid","",VLOOKUP($E362&amp;"|"&amp;$F362,Cluster_Master!$I$3:$H$17,6,FALSE))</f>
        <v/>
      </c>
      <c r="L362" s="7">
        <f>IF($G362&lt;&gt;"Valid","",VLOOKUP($E362&amp;"|"&amp;$F362,Cluster_Master!$I$3:$H$17,7,FALSE))</f>
        <v/>
      </c>
      <c r="M362" s="7">
        <f>IF($G362&lt;&gt;"Valid","",VLOOKUP($E362&amp;"|"&amp;$F362,Cluster_Master!$I$3:$H$17,8,FALSE))</f>
        <v/>
      </c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7">
        <f>IF(COUNT(T362:AH362)=0,"",SUM(T362:AH362))</f>
        <v/>
      </c>
      <c r="AJ362" s="10">
        <f>IF(AI362="","",AI362/75)</f>
        <v/>
      </c>
      <c r="AK362" s="10">
        <f>IF(AI362="","",SUMPRODUCT(T362:AH362,KPI_Weights!$B$3:$B$17)/5)</f>
        <v/>
      </c>
      <c r="AL362" s="7">
        <f>IF(COUNT(T362:AH362)=0,"",IF(OR(T362&lt;=1,W362&lt;=1,X362&lt;=1,Y362&lt;=1,AB362&lt;=1),"YES","NO"))</f>
        <v/>
      </c>
      <c r="AM362" s="7">
        <f>IF(AK362="","",IF(AND(AK362="NO",AJ362&gt;=0.85),"YES","NO"))</f>
        <v/>
      </c>
      <c r="AN362" s="7">
        <f>IF(AJ362="","",IF(AJ362&gt;=0.90,"Excellent",IF(AJ362&gt;=0.80,"Good",IF(AJ362&gt;=0.70,"Fair","Poor"))))</f>
        <v/>
      </c>
      <c r="AO362" s="12" t="n"/>
      <c r="AP362" s="12" t="n"/>
      <c r="AQ362" s="12" t="n"/>
      <c r="AR362" s="12" t="n"/>
      <c r="AS362" s="12" t="n"/>
      <c r="AT362" s="12" t="n"/>
      <c r="AU362" s="12" t="n"/>
      <c r="AV362" s="11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  <c r="BF362" s="12" t="n"/>
    </row>
    <row r="363">
      <c r="A363" s="7">
        <f>IF(B363="","","INS-"&amp;TEXT(ROW()-3,"000"))</f>
        <v/>
      </c>
      <c r="B363" s="11" t="n"/>
      <c r="C363" s="7">
        <f>IF(B363="","",ISOWEEKNUM(B363))</f>
        <v/>
      </c>
      <c r="D363" s="7">
        <f>IF(B363="","",TEXT(B363,"yyyy-mm"))</f>
        <v/>
      </c>
      <c r="E363" s="12" t="n"/>
      <c r="F363" s="12" t="n"/>
      <c r="G363" s="7">
        <f>IF(OR(E363="",F363=""),"",IF(COUNTIF(Cluster_Master!$I$3:$I$17,E363&amp;"|"&amp;F363)=1,"Valid","Review"))</f>
        <v/>
      </c>
      <c r="H363" s="7">
        <f>IF($G363&lt;&gt;"Valid","",VLOOKUP($E363&amp;"|"&amp;$F363,Cluster_Master!$I$3:$H$17,3,FALSE))</f>
        <v/>
      </c>
      <c r="I363" s="7">
        <f>IF($G363&lt;&gt;"Valid","",VLOOKUP($E363&amp;"|"&amp;$F363,Cluster_Master!$I$3:$H$17,4,FALSE))</f>
        <v/>
      </c>
      <c r="J363" s="7">
        <f>IF($G363&lt;&gt;"Valid","",VLOOKUP($E363&amp;"|"&amp;$F363,Cluster_Master!$I$3:$H$17,5,FALSE))</f>
        <v/>
      </c>
      <c r="K363" s="7">
        <f>IF($G363&lt;&gt;"Valid","",VLOOKUP($E363&amp;"|"&amp;$F363,Cluster_Master!$I$3:$H$17,6,FALSE))</f>
        <v/>
      </c>
      <c r="L363" s="7">
        <f>IF($G363&lt;&gt;"Valid","",VLOOKUP($E363&amp;"|"&amp;$F363,Cluster_Master!$I$3:$H$17,7,FALSE))</f>
        <v/>
      </c>
      <c r="M363" s="7">
        <f>IF($G363&lt;&gt;"Valid","",VLOOKUP($E363&amp;"|"&amp;$F363,Cluster_Master!$I$3:$H$17,8,FALSE))</f>
        <v/>
      </c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7">
        <f>IF(COUNT(T363:AH363)=0,"",SUM(T363:AH363))</f>
        <v/>
      </c>
      <c r="AJ363" s="10">
        <f>IF(AI363="","",AI363/75)</f>
        <v/>
      </c>
      <c r="AK363" s="10">
        <f>IF(AI363="","",SUMPRODUCT(T363:AH363,KPI_Weights!$B$3:$B$17)/5)</f>
        <v/>
      </c>
      <c r="AL363" s="7">
        <f>IF(COUNT(T363:AH363)=0,"",IF(OR(T363&lt;=1,W363&lt;=1,X363&lt;=1,Y363&lt;=1,AB363&lt;=1),"YES","NO"))</f>
        <v/>
      </c>
      <c r="AM363" s="7">
        <f>IF(AK363="","",IF(AND(AK363="NO",AJ363&gt;=0.85),"YES","NO"))</f>
        <v/>
      </c>
      <c r="AN363" s="7">
        <f>IF(AJ363="","",IF(AJ363&gt;=0.90,"Excellent",IF(AJ363&gt;=0.80,"Good",IF(AJ363&gt;=0.70,"Fair","Poor"))))</f>
        <v/>
      </c>
      <c r="AO363" s="12" t="n"/>
      <c r="AP363" s="12" t="n"/>
      <c r="AQ363" s="12" t="n"/>
      <c r="AR363" s="12" t="n"/>
      <c r="AS363" s="12" t="n"/>
      <c r="AT363" s="12" t="n"/>
      <c r="AU363" s="12" t="n"/>
      <c r="AV363" s="11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  <c r="BF363" s="12" t="n"/>
    </row>
    <row r="364">
      <c r="A364" s="7">
        <f>IF(B364="","","INS-"&amp;TEXT(ROW()-3,"000"))</f>
        <v/>
      </c>
      <c r="B364" s="11" t="n"/>
      <c r="C364" s="7">
        <f>IF(B364="","",ISOWEEKNUM(B364))</f>
        <v/>
      </c>
      <c r="D364" s="7">
        <f>IF(B364="","",TEXT(B364,"yyyy-mm"))</f>
        <v/>
      </c>
      <c r="E364" s="12" t="n"/>
      <c r="F364" s="12" t="n"/>
      <c r="G364" s="7">
        <f>IF(OR(E364="",F364=""),"",IF(COUNTIF(Cluster_Master!$I$3:$I$17,E364&amp;"|"&amp;F364)=1,"Valid","Review"))</f>
        <v/>
      </c>
      <c r="H364" s="7">
        <f>IF($G364&lt;&gt;"Valid","",VLOOKUP($E364&amp;"|"&amp;$F364,Cluster_Master!$I$3:$H$17,3,FALSE))</f>
        <v/>
      </c>
      <c r="I364" s="7">
        <f>IF($G364&lt;&gt;"Valid","",VLOOKUP($E364&amp;"|"&amp;$F364,Cluster_Master!$I$3:$H$17,4,FALSE))</f>
        <v/>
      </c>
      <c r="J364" s="7">
        <f>IF($G364&lt;&gt;"Valid","",VLOOKUP($E364&amp;"|"&amp;$F364,Cluster_Master!$I$3:$H$17,5,FALSE))</f>
        <v/>
      </c>
      <c r="K364" s="7">
        <f>IF($G364&lt;&gt;"Valid","",VLOOKUP($E364&amp;"|"&amp;$F364,Cluster_Master!$I$3:$H$17,6,FALSE))</f>
        <v/>
      </c>
      <c r="L364" s="7">
        <f>IF($G364&lt;&gt;"Valid","",VLOOKUP($E364&amp;"|"&amp;$F364,Cluster_Master!$I$3:$H$17,7,FALSE))</f>
        <v/>
      </c>
      <c r="M364" s="7">
        <f>IF($G364&lt;&gt;"Valid","",VLOOKUP($E364&amp;"|"&amp;$F364,Cluster_Master!$I$3:$H$17,8,FALSE))</f>
        <v/>
      </c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7">
        <f>IF(COUNT(T364:AH364)=0,"",SUM(T364:AH364))</f>
        <v/>
      </c>
      <c r="AJ364" s="10">
        <f>IF(AI364="","",AI364/75)</f>
        <v/>
      </c>
      <c r="AK364" s="10">
        <f>IF(AI364="","",SUMPRODUCT(T364:AH364,KPI_Weights!$B$3:$B$17)/5)</f>
        <v/>
      </c>
      <c r="AL364" s="7">
        <f>IF(COUNT(T364:AH364)=0,"",IF(OR(T364&lt;=1,W364&lt;=1,X364&lt;=1,Y364&lt;=1,AB364&lt;=1),"YES","NO"))</f>
        <v/>
      </c>
      <c r="AM364" s="7">
        <f>IF(AK364="","",IF(AND(AK364="NO",AJ364&gt;=0.85),"YES","NO"))</f>
        <v/>
      </c>
      <c r="AN364" s="7">
        <f>IF(AJ364="","",IF(AJ364&gt;=0.90,"Excellent",IF(AJ364&gt;=0.80,"Good",IF(AJ364&gt;=0.70,"Fair","Poor"))))</f>
        <v/>
      </c>
      <c r="AO364" s="12" t="n"/>
      <c r="AP364" s="12" t="n"/>
      <c r="AQ364" s="12" t="n"/>
      <c r="AR364" s="12" t="n"/>
      <c r="AS364" s="12" t="n"/>
      <c r="AT364" s="12" t="n"/>
      <c r="AU364" s="12" t="n"/>
      <c r="AV364" s="11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  <c r="BF364" s="12" t="n"/>
    </row>
    <row r="365">
      <c r="A365" s="7">
        <f>IF(B365="","","INS-"&amp;TEXT(ROW()-3,"000"))</f>
        <v/>
      </c>
      <c r="B365" s="11" t="n"/>
      <c r="C365" s="7">
        <f>IF(B365="","",ISOWEEKNUM(B365))</f>
        <v/>
      </c>
      <c r="D365" s="7">
        <f>IF(B365="","",TEXT(B365,"yyyy-mm"))</f>
        <v/>
      </c>
      <c r="E365" s="12" t="n"/>
      <c r="F365" s="12" t="n"/>
      <c r="G365" s="7">
        <f>IF(OR(E365="",F365=""),"",IF(COUNTIF(Cluster_Master!$I$3:$I$17,E365&amp;"|"&amp;F365)=1,"Valid","Review"))</f>
        <v/>
      </c>
      <c r="H365" s="7">
        <f>IF($G365&lt;&gt;"Valid","",VLOOKUP($E365&amp;"|"&amp;$F365,Cluster_Master!$I$3:$H$17,3,FALSE))</f>
        <v/>
      </c>
      <c r="I365" s="7">
        <f>IF($G365&lt;&gt;"Valid","",VLOOKUP($E365&amp;"|"&amp;$F365,Cluster_Master!$I$3:$H$17,4,FALSE))</f>
        <v/>
      </c>
      <c r="J365" s="7">
        <f>IF($G365&lt;&gt;"Valid","",VLOOKUP($E365&amp;"|"&amp;$F365,Cluster_Master!$I$3:$H$17,5,FALSE))</f>
        <v/>
      </c>
      <c r="K365" s="7">
        <f>IF($G365&lt;&gt;"Valid","",VLOOKUP($E365&amp;"|"&amp;$F365,Cluster_Master!$I$3:$H$17,6,FALSE))</f>
        <v/>
      </c>
      <c r="L365" s="7">
        <f>IF($G365&lt;&gt;"Valid","",VLOOKUP($E365&amp;"|"&amp;$F365,Cluster_Master!$I$3:$H$17,7,FALSE))</f>
        <v/>
      </c>
      <c r="M365" s="7">
        <f>IF($G365&lt;&gt;"Valid","",VLOOKUP($E365&amp;"|"&amp;$F365,Cluster_Master!$I$3:$H$17,8,FALSE))</f>
        <v/>
      </c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7">
        <f>IF(COUNT(T365:AH365)=0,"",SUM(T365:AH365))</f>
        <v/>
      </c>
      <c r="AJ365" s="10">
        <f>IF(AI365="","",AI365/75)</f>
        <v/>
      </c>
      <c r="AK365" s="10">
        <f>IF(AI365="","",SUMPRODUCT(T365:AH365,KPI_Weights!$B$3:$B$17)/5)</f>
        <v/>
      </c>
      <c r="AL365" s="7">
        <f>IF(COUNT(T365:AH365)=0,"",IF(OR(T365&lt;=1,W365&lt;=1,X365&lt;=1,Y365&lt;=1,AB365&lt;=1),"YES","NO"))</f>
        <v/>
      </c>
      <c r="AM365" s="7">
        <f>IF(AK365="","",IF(AND(AK365="NO",AJ365&gt;=0.85),"YES","NO"))</f>
        <v/>
      </c>
      <c r="AN365" s="7">
        <f>IF(AJ365="","",IF(AJ365&gt;=0.90,"Excellent",IF(AJ365&gt;=0.80,"Good",IF(AJ365&gt;=0.70,"Fair","Poor"))))</f>
        <v/>
      </c>
      <c r="AO365" s="12" t="n"/>
      <c r="AP365" s="12" t="n"/>
      <c r="AQ365" s="12" t="n"/>
      <c r="AR365" s="12" t="n"/>
      <c r="AS365" s="12" t="n"/>
      <c r="AT365" s="12" t="n"/>
      <c r="AU365" s="12" t="n"/>
      <c r="AV365" s="11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  <c r="BF365" s="12" t="n"/>
    </row>
    <row r="366">
      <c r="A366" s="7">
        <f>IF(B366="","","INS-"&amp;TEXT(ROW()-3,"000"))</f>
        <v/>
      </c>
      <c r="B366" s="11" t="n"/>
      <c r="C366" s="7">
        <f>IF(B366="","",ISOWEEKNUM(B366))</f>
        <v/>
      </c>
      <c r="D366" s="7">
        <f>IF(B366="","",TEXT(B366,"yyyy-mm"))</f>
        <v/>
      </c>
      <c r="E366" s="12" t="n"/>
      <c r="F366" s="12" t="n"/>
      <c r="G366" s="7">
        <f>IF(OR(E366="",F366=""),"",IF(COUNTIF(Cluster_Master!$I$3:$I$17,E366&amp;"|"&amp;F366)=1,"Valid","Review"))</f>
        <v/>
      </c>
      <c r="H366" s="7">
        <f>IF($G366&lt;&gt;"Valid","",VLOOKUP($E366&amp;"|"&amp;$F366,Cluster_Master!$I$3:$H$17,3,FALSE))</f>
        <v/>
      </c>
      <c r="I366" s="7">
        <f>IF($G366&lt;&gt;"Valid","",VLOOKUP($E366&amp;"|"&amp;$F366,Cluster_Master!$I$3:$H$17,4,FALSE))</f>
        <v/>
      </c>
      <c r="J366" s="7">
        <f>IF($G366&lt;&gt;"Valid","",VLOOKUP($E366&amp;"|"&amp;$F366,Cluster_Master!$I$3:$H$17,5,FALSE))</f>
        <v/>
      </c>
      <c r="K366" s="7">
        <f>IF($G366&lt;&gt;"Valid","",VLOOKUP($E366&amp;"|"&amp;$F366,Cluster_Master!$I$3:$H$17,6,FALSE))</f>
        <v/>
      </c>
      <c r="L366" s="7">
        <f>IF($G366&lt;&gt;"Valid","",VLOOKUP($E366&amp;"|"&amp;$F366,Cluster_Master!$I$3:$H$17,7,FALSE))</f>
        <v/>
      </c>
      <c r="M366" s="7">
        <f>IF($G366&lt;&gt;"Valid","",VLOOKUP($E366&amp;"|"&amp;$F366,Cluster_Master!$I$3:$H$17,8,FALSE))</f>
        <v/>
      </c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7">
        <f>IF(COUNT(T366:AH366)=0,"",SUM(T366:AH366))</f>
        <v/>
      </c>
      <c r="AJ366" s="10">
        <f>IF(AI366="","",AI366/75)</f>
        <v/>
      </c>
      <c r="AK366" s="10">
        <f>IF(AI366="","",SUMPRODUCT(T366:AH366,KPI_Weights!$B$3:$B$17)/5)</f>
        <v/>
      </c>
      <c r="AL366" s="7">
        <f>IF(COUNT(T366:AH366)=0,"",IF(OR(T366&lt;=1,W366&lt;=1,X366&lt;=1,Y366&lt;=1,AB366&lt;=1),"YES","NO"))</f>
        <v/>
      </c>
      <c r="AM366" s="7">
        <f>IF(AK366="","",IF(AND(AK366="NO",AJ366&gt;=0.85),"YES","NO"))</f>
        <v/>
      </c>
      <c r="AN366" s="7">
        <f>IF(AJ366="","",IF(AJ366&gt;=0.90,"Excellent",IF(AJ366&gt;=0.80,"Good",IF(AJ366&gt;=0.70,"Fair","Poor"))))</f>
        <v/>
      </c>
      <c r="AO366" s="12" t="n"/>
      <c r="AP366" s="12" t="n"/>
      <c r="AQ366" s="12" t="n"/>
      <c r="AR366" s="12" t="n"/>
      <c r="AS366" s="12" t="n"/>
      <c r="AT366" s="12" t="n"/>
      <c r="AU366" s="12" t="n"/>
      <c r="AV366" s="11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  <c r="BF366" s="12" t="n"/>
    </row>
    <row r="367">
      <c r="A367" s="7">
        <f>IF(B367="","","INS-"&amp;TEXT(ROW()-3,"000"))</f>
        <v/>
      </c>
      <c r="B367" s="11" t="n"/>
      <c r="C367" s="7">
        <f>IF(B367="","",ISOWEEKNUM(B367))</f>
        <v/>
      </c>
      <c r="D367" s="7">
        <f>IF(B367="","",TEXT(B367,"yyyy-mm"))</f>
        <v/>
      </c>
      <c r="E367" s="12" t="n"/>
      <c r="F367" s="12" t="n"/>
      <c r="G367" s="7">
        <f>IF(OR(E367="",F367=""),"",IF(COUNTIF(Cluster_Master!$I$3:$I$17,E367&amp;"|"&amp;F367)=1,"Valid","Review"))</f>
        <v/>
      </c>
      <c r="H367" s="7">
        <f>IF($G367&lt;&gt;"Valid","",VLOOKUP($E367&amp;"|"&amp;$F367,Cluster_Master!$I$3:$H$17,3,FALSE))</f>
        <v/>
      </c>
      <c r="I367" s="7">
        <f>IF($G367&lt;&gt;"Valid","",VLOOKUP($E367&amp;"|"&amp;$F367,Cluster_Master!$I$3:$H$17,4,FALSE))</f>
        <v/>
      </c>
      <c r="J367" s="7">
        <f>IF($G367&lt;&gt;"Valid","",VLOOKUP($E367&amp;"|"&amp;$F367,Cluster_Master!$I$3:$H$17,5,FALSE))</f>
        <v/>
      </c>
      <c r="K367" s="7">
        <f>IF($G367&lt;&gt;"Valid","",VLOOKUP($E367&amp;"|"&amp;$F367,Cluster_Master!$I$3:$H$17,6,FALSE))</f>
        <v/>
      </c>
      <c r="L367" s="7">
        <f>IF($G367&lt;&gt;"Valid","",VLOOKUP($E367&amp;"|"&amp;$F367,Cluster_Master!$I$3:$H$17,7,FALSE))</f>
        <v/>
      </c>
      <c r="M367" s="7">
        <f>IF($G367&lt;&gt;"Valid","",VLOOKUP($E367&amp;"|"&amp;$F367,Cluster_Master!$I$3:$H$17,8,FALSE))</f>
        <v/>
      </c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7">
        <f>IF(COUNT(T367:AH367)=0,"",SUM(T367:AH367))</f>
        <v/>
      </c>
      <c r="AJ367" s="10">
        <f>IF(AI367="","",AI367/75)</f>
        <v/>
      </c>
      <c r="AK367" s="10">
        <f>IF(AI367="","",SUMPRODUCT(T367:AH367,KPI_Weights!$B$3:$B$17)/5)</f>
        <v/>
      </c>
      <c r="AL367" s="7">
        <f>IF(COUNT(T367:AH367)=0,"",IF(OR(T367&lt;=1,W367&lt;=1,X367&lt;=1,Y367&lt;=1,AB367&lt;=1),"YES","NO"))</f>
        <v/>
      </c>
      <c r="AM367" s="7">
        <f>IF(AK367="","",IF(AND(AK367="NO",AJ367&gt;=0.85),"YES","NO"))</f>
        <v/>
      </c>
      <c r="AN367" s="7">
        <f>IF(AJ367="","",IF(AJ367&gt;=0.90,"Excellent",IF(AJ367&gt;=0.80,"Good",IF(AJ367&gt;=0.70,"Fair","Poor"))))</f>
        <v/>
      </c>
      <c r="AO367" s="12" t="n"/>
      <c r="AP367" s="12" t="n"/>
      <c r="AQ367" s="12" t="n"/>
      <c r="AR367" s="12" t="n"/>
      <c r="AS367" s="12" t="n"/>
      <c r="AT367" s="12" t="n"/>
      <c r="AU367" s="12" t="n"/>
      <c r="AV367" s="11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  <c r="BF367" s="12" t="n"/>
    </row>
    <row r="368">
      <c r="A368" s="7">
        <f>IF(B368="","","INS-"&amp;TEXT(ROW()-3,"000"))</f>
        <v/>
      </c>
      <c r="B368" s="11" t="n"/>
      <c r="C368" s="7">
        <f>IF(B368="","",ISOWEEKNUM(B368))</f>
        <v/>
      </c>
      <c r="D368" s="7">
        <f>IF(B368="","",TEXT(B368,"yyyy-mm"))</f>
        <v/>
      </c>
      <c r="E368" s="12" t="n"/>
      <c r="F368" s="12" t="n"/>
      <c r="G368" s="7">
        <f>IF(OR(E368="",F368=""),"",IF(COUNTIF(Cluster_Master!$I$3:$I$17,E368&amp;"|"&amp;F368)=1,"Valid","Review"))</f>
        <v/>
      </c>
      <c r="H368" s="7">
        <f>IF($G368&lt;&gt;"Valid","",VLOOKUP($E368&amp;"|"&amp;$F368,Cluster_Master!$I$3:$H$17,3,FALSE))</f>
        <v/>
      </c>
      <c r="I368" s="7">
        <f>IF($G368&lt;&gt;"Valid","",VLOOKUP($E368&amp;"|"&amp;$F368,Cluster_Master!$I$3:$H$17,4,FALSE))</f>
        <v/>
      </c>
      <c r="J368" s="7">
        <f>IF($G368&lt;&gt;"Valid","",VLOOKUP($E368&amp;"|"&amp;$F368,Cluster_Master!$I$3:$H$17,5,FALSE))</f>
        <v/>
      </c>
      <c r="K368" s="7">
        <f>IF($G368&lt;&gt;"Valid","",VLOOKUP($E368&amp;"|"&amp;$F368,Cluster_Master!$I$3:$H$17,6,FALSE))</f>
        <v/>
      </c>
      <c r="L368" s="7">
        <f>IF($G368&lt;&gt;"Valid","",VLOOKUP($E368&amp;"|"&amp;$F368,Cluster_Master!$I$3:$H$17,7,FALSE))</f>
        <v/>
      </c>
      <c r="M368" s="7">
        <f>IF($G368&lt;&gt;"Valid","",VLOOKUP($E368&amp;"|"&amp;$F368,Cluster_Master!$I$3:$H$17,8,FALSE))</f>
        <v/>
      </c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7">
        <f>IF(COUNT(T368:AH368)=0,"",SUM(T368:AH368))</f>
        <v/>
      </c>
      <c r="AJ368" s="10">
        <f>IF(AI368="","",AI368/75)</f>
        <v/>
      </c>
      <c r="AK368" s="10">
        <f>IF(AI368="","",SUMPRODUCT(T368:AH368,KPI_Weights!$B$3:$B$17)/5)</f>
        <v/>
      </c>
      <c r="AL368" s="7">
        <f>IF(COUNT(T368:AH368)=0,"",IF(OR(T368&lt;=1,W368&lt;=1,X368&lt;=1,Y368&lt;=1,AB368&lt;=1),"YES","NO"))</f>
        <v/>
      </c>
      <c r="AM368" s="7">
        <f>IF(AK368="","",IF(AND(AK368="NO",AJ368&gt;=0.85),"YES","NO"))</f>
        <v/>
      </c>
      <c r="AN368" s="7">
        <f>IF(AJ368="","",IF(AJ368&gt;=0.90,"Excellent",IF(AJ368&gt;=0.80,"Good",IF(AJ368&gt;=0.70,"Fair","Poor"))))</f>
        <v/>
      </c>
      <c r="AO368" s="12" t="n"/>
      <c r="AP368" s="12" t="n"/>
      <c r="AQ368" s="12" t="n"/>
      <c r="AR368" s="12" t="n"/>
      <c r="AS368" s="12" t="n"/>
      <c r="AT368" s="12" t="n"/>
      <c r="AU368" s="12" t="n"/>
      <c r="AV368" s="11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  <c r="BF368" s="12" t="n"/>
    </row>
    <row r="369">
      <c r="A369" s="7">
        <f>IF(B369="","","INS-"&amp;TEXT(ROW()-3,"000"))</f>
        <v/>
      </c>
      <c r="B369" s="11" t="n"/>
      <c r="C369" s="7">
        <f>IF(B369="","",ISOWEEKNUM(B369))</f>
        <v/>
      </c>
      <c r="D369" s="7">
        <f>IF(B369="","",TEXT(B369,"yyyy-mm"))</f>
        <v/>
      </c>
      <c r="E369" s="12" t="n"/>
      <c r="F369" s="12" t="n"/>
      <c r="G369" s="7">
        <f>IF(OR(E369="",F369=""),"",IF(COUNTIF(Cluster_Master!$I$3:$I$17,E369&amp;"|"&amp;F369)=1,"Valid","Review"))</f>
        <v/>
      </c>
      <c r="H369" s="7">
        <f>IF($G369&lt;&gt;"Valid","",VLOOKUP($E369&amp;"|"&amp;$F369,Cluster_Master!$I$3:$H$17,3,FALSE))</f>
        <v/>
      </c>
      <c r="I369" s="7">
        <f>IF($G369&lt;&gt;"Valid","",VLOOKUP($E369&amp;"|"&amp;$F369,Cluster_Master!$I$3:$H$17,4,FALSE))</f>
        <v/>
      </c>
      <c r="J369" s="7">
        <f>IF($G369&lt;&gt;"Valid","",VLOOKUP($E369&amp;"|"&amp;$F369,Cluster_Master!$I$3:$H$17,5,FALSE))</f>
        <v/>
      </c>
      <c r="K369" s="7">
        <f>IF($G369&lt;&gt;"Valid","",VLOOKUP($E369&amp;"|"&amp;$F369,Cluster_Master!$I$3:$H$17,6,FALSE))</f>
        <v/>
      </c>
      <c r="L369" s="7">
        <f>IF($G369&lt;&gt;"Valid","",VLOOKUP($E369&amp;"|"&amp;$F369,Cluster_Master!$I$3:$H$17,7,FALSE))</f>
        <v/>
      </c>
      <c r="M369" s="7">
        <f>IF($G369&lt;&gt;"Valid","",VLOOKUP($E369&amp;"|"&amp;$F369,Cluster_Master!$I$3:$H$17,8,FALSE))</f>
        <v/>
      </c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7">
        <f>IF(COUNT(T369:AH369)=0,"",SUM(T369:AH369))</f>
        <v/>
      </c>
      <c r="AJ369" s="10">
        <f>IF(AI369="","",AI369/75)</f>
        <v/>
      </c>
      <c r="AK369" s="10">
        <f>IF(AI369="","",SUMPRODUCT(T369:AH369,KPI_Weights!$B$3:$B$17)/5)</f>
        <v/>
      </c>
      <c r="AL369" s="7">
        <f>IF(COUNT(T369:AH369)=0,"",IF(OR(T369&lt;=1,W369&lt;=1,X369&lt;=1,Y369&lt;=1,AB369&lt;=1),"YES","NO"))</f>
        <v/>
      </c>
      <c r="AM369" s="7">
        <f>IF(AK369="","",IF(AND(AK369="NO",AJ369&gt;=0.85),"YES","NO"))</f>
        <v/>
      </c>
      <c r="AN369" s="7">
        <f>IF(AJ369="","",IF(AJ369&gt;=0.90,"Excellent",IF(AJ369&gt;=0.80,"Good",IF(AJ369&gt;=0.70,"Fair","Poor"))))</f>
        <v/>
      </c>
      <c r="AO369" s="12" t="n"/>
      <c r="AP369" s="12" t="n"/>
      <c r="AQ369" s="12" t="n"/>
      <c r="AR369" s="12" t="n"/>
      <c r="AS369" s="12" t="n"/>
      <c r="AT369" s="12" t="n"/>
      <c r="AU369" s="12" t="n"/>
      <c r="AV369" s="11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  <c r="BF369" s="12" t="n"/>
    </row>
    <row r="370">
      <c r="A370" s="7">
        <f>IF(B370="","","INS-"&amp;TEXT(ROW()-3,"000"))</f>
        <v/>
      </c>
      <c r="B370" s="11" t="n"/>
      <c r="C370" s="7">
        <f>IF(B370="","",ISOWEEKNUM(B370))</f>
        <v/>
      </c>
      <c r="D370" s="7">
        <f>IF(B370="","",TEXT(B370,"yyyy-mm"))</f>
        <v/>
      </c>
      <c r="E370" s="12" t="n"/>
      <c r="F370" s="12" t="n"/>
      <c r="G370" s="7">
        <f>IF(OR(E370="",F370=""),"",IF(COUNTIF(Cluster_Master!$I$3:$I$17,E370&amp;"|"&amp;F370)=1,"Valid","Review"))</f>
        <v/>
      </c>
      <c r="H370" s="7">
        <f>IF($G370&lt;&gt;"Valid","",VLOOKUP($E370&amp;"|"&amp;$F370,Cluster_Master!$I$3:$H$17,3,FALSE))</f>
        <v/>
      </c>
      <c r="I370" s="7">
        <f>IF($G370&lt;&gt;"Valid","",VLOOKUP($E370&amp;"|"&amp;$F370,Cluster_Master!$I$3:$H$17,4,FALSE))</f>
        <v/>
      </c>
      <c r="J370" s="7">
        <f>IF($G370&lt;&gt;"Valid","",VLOOKUP($E370&amp;"|"&amp;$F370,Cluster_Master!$I$3:$H$17,5,FALSE))</f>
        <v/>
      </c>
      <c r="K370" s="7">
        <f>IF($G370&lt;&gt;"Valid","",VLOOKUP($E370&amp;"|"&amp;$F370,Cluster_Master!$I$3:$H$17,6,FALSE))</f>
        <v/>
      </c>
      <c r="L370" s="7">
        <f>IF($G370&lt;&gt;"Valid","",VLOOKUP($E370&amp;"|"&amp;$F370,Cluster_Master!$I$3:$H$17,7,FALSE))</f>
        <v/>
      </c>
      <c r="M370" s="7">
        <f>IF($G370&lt;&gt;"Valid","",VLOOKUP($E370&amp;"|"&amp;$F370,Cluster_Master!$I$3:$H$17,8,FALSE))</f>
        <v/>
      </c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7">
        <f>IF(COUNT(T370:AH370)=0,"",SUM(T370:AH370))</f>
        <v/>
      </c>
      <c r="AJ370" s="10">
        <f>IF(AI370="","",AI370/75)</f>
        <v/>
      </c>
      <c r="AK370" s="10">
        <f>IF(AI370="","",SUMPRODUCT(T370:AH370,KPI_Weights!$B$3:$B$17)/5)</f>
        <v/>
      </c>
      <c r="AL370" s="7">
        <f>IF(COUNT(T370:AH370)=0,"",IF(OR(T370&lt;=1,W370&lt;=1,X370&lt;=1,Y370&lt;=1,AB370&lt;=1),"YES","NO"))</f>
        <v/>
      </c>
      <c r="AM370" s="7">
        <f>IF(AK370="","",IF(AND(AK370="NO",AJ370&gt;=0.85),"YES","NO"))</f>
        <v/>
      </c>
      <c r="AN370" s="7">
        <f>IF(AJ370="","",IF(AJ370&gt;=0.90,"Excellent",IF(AJ370&gt;=0.80,"Good",IF(AJ370&gt;=0.70,"Fair","Poor"))))</f>
        <v/>
      </c>
      <c r="AO370" s="12" t="n"/>
      <c r="AP370" s="12" t="n"/>
      <c r="AQ370" s="12" t="n"/>
      <c r="AR370" s="12" t="n"/>
      <c r="AS370" s="12" t="n"/>
      <c r="AT370" s="12" t="n"/>
      <c r="AU370" s="12" t="n"/>
      <c r="AV370" s="11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  <c r="BF370" s="12" t="n"/>
    </row>
    <row r="371">
      <c r="A371" s="7">
        <f>IF(B371="","","INS-"&amp;TEXT(ROW()-3,"000"))</f>
        <v/>
      </c>
      <c r="B371" s="11" t="n"/>
      <c r="C371" s="7">
        <f>IF(B371="","",ISOWEEKNUM(B371))</f>
        <v/>
      </c>
      <c r="D371" s="7">
        <f>IF(B371="","",TEXT(B371,"yyyy-mm"))</f>
        <v/>
      </c>
      <c r="E371" s="12" t="n"/>
      <c r="F371" s="12" t="n"/>
      <c r="G371" s="7">
        <f>IF(OR(E371="",F371=""),"",IF(COUNTIF(Cluster_Master!$I$3:$I$17,E371&amp;"|"&amp;F371)=1,"Valid","Review"))</f>
        <v/>
      </c>
      <c r="H371" s="7">
        <f>IF($G371&lt;&gt;"Valid","",VLOOKUP($E371&amp;"|"&amp;$F371,Cluster_Master!$I$3:$H$17,3,FALSE))</f>
        <v/>
      </c>
      <c r="I371" s="7">
        <f>IF($G371&lt;&gt;"Valid","",VLOOKUP($E371&amp;"|"&amp;$F371,Cluster_Master!$I$3:$H$17,4,FALSE))</f>
        <v/>
      </c>
      <c r="J371" s="7">
        <f>IF($G371&lt;&gt;"Valid","",VLOOKUP($E371&amp;"|"&amp;$F371,Cluster_Master!$I$3:$H$17,5,FALSE))</f>
        <v/>
      </c>
      <c r="K371" s="7">
        <f>IF($G371&lt;&gt;"Valid","",VLOOKUP($E371&amp;"|"&amp;$F371,Cluster_Master!$I$3:$H$17,6,FALSE))</f>
        <v/>
      </c>
      <c r="L371" s="7">
        <f>IF($G371&lt;&gt;"Valid","",VLOOKUP($E371&amp;"|"&amp;$F371,Cluster_Master!$I$3:$H$17,7,FALSE))</f>
        <v/>
      </c>
      <c r="M371" s="7">
        <f>IF($G371&lt;&gt;"Valid","",VLOOKUP($E371&amp;"|"&amp;$F371,Cluster_Master!$I$3:$H$17,8,FALSE))</f>
        <v/>
      </c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7">
        <f>IF(COUNT(T371:AH371)=0,"",SUM(T371:AH371))</f>
        <v/>
      </c>
      <c r="AJ371" s="10">
        <f>IF(AI371="","",AI371/75)</f>
        <v/>
      </c>
      <c r="AK371" s="10">
        <f>IF(AI371="","",SUMPRODUCT(T371:AH371,KPI_Weights!$B$3:$B$17)/5)</f>
        <v/>
      </c>
      <c r="AL371" s="7">
        <f>IF(COUNT(T371:AH371)=0,"",IF(OR(T371&lt;=1,W371&lt;=1,X371&lt;=1,Y371&lt;=1,AB371&lt;=1),"YES","NO"))</f>
        <v/>
      </c>
      <c r="AM371" s="7">
        <f>IF(AK371="","",IF(AND(AK371="NO",AJ371&gt;=0.85),"YES","NO"))</f>
        <v/>
      </c>
      <c r="AN371" s="7">
        <f>IF(AJ371="","",IF(AJ371&gt;=0.90,"Excellent",IF(AJ371&gt;=0.80,"Good",IF(AJ371&gt;=0.70,"Fair","Poor"))))</f>
        <v/>
      </c>
      <c r="AO371" s="12" t="n"/>
      <c r="AP371" s="12" t="n"/>
      <c r="AQ371" s="12" t="n"/>
      <c r="AR371" s="12" t="n"/>
      <c r="AS371" s="12" t="n"/>
      <c r="AT371" s="12" t="n"/>
      <c r="AU371" s="12" t="n"/>
      <c r="AV371" s="11" t="n"/>
      <c r="AW371" s="12" t="n"/>
      <c r="AX371" s="12" t="n"/>
      <c r="AY371" s="12" t="n"/>
      <c r="AZ371" s="12" t="n"/>
      <c r="BA371" s="12" t="n"/>
      <c r="BB371" s="12" t="n"/>
      <c r="BC371" s="12" t="n"/>
      <c r="BD371" s="12" t="n"/>
      <c r="BE371" s="12" t="n"/>
      <c r="BF371" s="12" t="n"/>
    </row>
    <row r="372">
      <c r="A372" s="7">
        <f>IF(B372="","","INS-"&amp;TEXT(ROW()-3,"000"))</f>
        <v/>
      </c>
      <c r="B372" s="11" t="n"/>
      <c r="C372" s="7">
        <f>IF(B372="","",ISOWEEKNUM(B372))</f>
        <v/>
      </c>
      <c r="D372" s="7">
        <f>IF(B372="","",TEXT(B372,"yyyy-mm"))</f>
        <v/>
      </c>
      <c r="E372" s="12" t="n"/>
      <c r="F372" s="12" t="n"/>
      <c r="G372" s="7">
        <f>IF(OR(E372="",F372=""),"",IF(COUNTIF(Cluster_Master!$I$3:$I$17,E372&amp;"|"&amp;F372)=1,"Valid","Review"))</f>
        <v/>
      </c>
      <c r="H372" s="7">
        <f>IF($G372&lt;&gt;"Valid","",VLOOKUP($E372&amp;"|"&amp;$F372,Cluster_Master!$I$3:$H$17,3,FALSE))</f>
        <v/>
      </c>
      <c r="I372" s="7">
        <f>IF($G372&lt;&gt;"Valid","",VLOOKUP($E372&amp;"|"&amp;$F372,Cluster_Master!$I$3:$H$17,4,FALSE))</f>
        <v/>
      </c>
      <c r="J372" s="7">
        <f>IF($G372&lt;&gt;"Valid","",VLOOKUP($E372&amp;"|"&amp;$F372,Cluster_Master!$I$3:$H$17,5,FALSE))</f>
        <v/>
      </c>
      <c r="K372" s="7">
        <f>IF($G372&lt;&gt;"Valid","",VLOOKUP($E372&amp;"|"&amp;$F372,Cluster_Master!$I$3:$H$17,6,FALSE))</f>
        <v/>
      </c>
      <c r="L372" s="7">
        <f>IF($G372&lt;&gt;"Valid","",VLOOKUP($E372&amp;"|"&amp;$F372,Cluster_Master!$I$3:$H$17,7,FALSE))</f>
        <v/>
      </c>
      <c r="M372" s="7">
        <f>IF($G372&lt;&gt;"Valid","",VLOOKUP($E372&amp;"|"&amp;$F372,Cluster_Master!$I$3:$H$17,8,FALSE))</f>
        <v/>
      </c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7">
        <f>IF(COUNT(T372:AH372)=0,"",SUM(T372:AH372))</f>
        <v/>
      </c>
      <c r="AJ372" s="10">
        <f>IF(AI372="","",AI372/75)</f>
        <v/>
      </c>
      <c r="AK372" s="10">
        <f>IF(AI372="","",SUMPRODUCT(T372:AH372,KPI_Weights!$B$3:$B$17)/5)</f>
        <v/>
      </c>
      <c r="AL372" s="7">
        <f>IF(COUNT(T372:AH372)=0,"",IF(OR(T372&lt;=1,W372&lt;=1,X372&lt;=1,Y372&lt;=1,AB372&lt;=1),"YES","NO"))</f>
        <v/>
      </c>
      <c r="AM372" s="7">
        <f>IF(AK372="","",IF(AND(AK372="NO",AJ372&gt;=0.85),"YES","NO"))</f>
        <v/>
      </c>
      <c r="AN372" s="7">
        <f>IF(AJ372="","",IF(AJ372&gt;=0.90,"Excellent",IF(AJ372&gt;=0.80,"Good",IF(AJ372&gt;=0.70,"Fair","Poor"))))</f>
        <v/>
      </c>
      <c r="AO372" s="12" t="n"/>
      <c r="AP372" s="12" t="n"/>
      <c r="AQ372" s="12" t="n"/>
      <c r="AR372" s="12" t="n"/>
      <c r="AS372" s="12" t="n"/>
      <c r="AT372" s="12" t="n"/>
      <c r="AU372" s="12" t="n"/>
      <c r="AV372" s="11" t="n"/>
      <c r="AW372" s="12" t="n"/>
      <c r="AX372" s="12" t="n"/>
      <c r="AY372" s="12" t="n"/>
      <c r="AZ372" s="12" t="n"/>
      <c r="BA372" s="12" t="n"/>
      <c r="BB372" s="12" t="n"/>
      <c r="BC372" s="12" t="n"/>
      <c r="BD372" s="12" t="n"/>
      <c r="BE372" s="12" t="n"/>
      <c r="BF372" s="12" t="n"/>
    </row>
    <row r="373">
      <c r="A373" s="7">
        <f>IF(B373="","","INS-"&amp;TEXT(ROW()-3,"000"))</f>
        <v/>
      </c>
      <c r="B373" s="11" t="n"/>
      <c r="C373" s="7">
        <f>IF(B373="","",ISOWEEKNUM(B373))</f>
        <v/>
      </c>
      <c r="D373" s="7">
        <f>IF(B373="","",TEXT(B373,"yyyy-mm"))</f>
        <v/>
      </c>
      <c r="E373" s="12" t="n"/>
      <c r="F373" s="12" t="n"/>
      <c r="G373" s="7">
        <f>IF(OR(E373="",F373=""),"",IF(COUNTIF(Cluster_Master!$I$3:$I$17,E373&amp;"|"&amp;F373)=1,"Valid","Review"))</f>
        <v/>
      </c>
      <c r="H373" s="7">
        <f>IF($G373&lt;&gt;"Valid","",VLOOKUP($E373&amp;"|"&amp;$F373,Cluster_Master!$I$3:$H$17,3,FALSE))</f>
        <v/>
      </c>
      <c r="I373" s="7">
        <f>IF($G373&lt;&gt;"Valid","",VLOOKUP($E373&amp;"|"&amp;$F373,Cluster_Master!$I$3:$H$17,4,FALSE))</f>
        <v/>
      </c>
      <c r="J373" s="7">
        <f>IF($G373&lt;&gt;"Valid","",VLOOKUP($E373&amp;"|"&amp;$F373,Cluster_Master!$I$3:$H$17,5,FALSE))</f>
        <v/>
      </c>
      <c r="K373" s="7">
        <f>IF($G373&lt;&gt;"Valid","",VLOOKUP($E373&amp;"|"&amp;$F373,Cluster_Master!$I$3:$H$17,6,FALSE))</f>
        <v/>
      </c>
      <c r="L373" s="7">
        <f>IF($G373&lt;&gt;"Valid","",VLOOKUP($E373&amp;"|"&amp;$F373,Cluster_Master!$I$3:$H$17,7,FALSE))</f>
        <v/>
      </c>
      <c r="M373" s="7">
        <f>IF($G373&lt;&gt;"Valid","",VLOOKUP($E373&amp;"|"&amp;$F373,Cluster_Master!$I$3:$H$17,8,FALSE))</f>
        <v/>
      </c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7">
        <f>IF(COUNT(T373:AH373)=0,"",SUM(T373:AH373))</f>
        <v/>
      </c>
      <c r="AJ373" s="10">
        <f>IF(AI373="","",AI373/75)</f>
        <v/>
      </c>
      <c r="AK373" s="10">
        <f>IF(AI373="","",SUMPRODUCT(T373:AH373,KPI_Weights!$B$3:$B$17)/5)</f>
        <v/>
      </c>
      <c r="AL373" s="7">
        <f>IF(COUNT(T373:AH373)=0,"",IF(OR(T373&lt;=1,W373&lt;=1,X373&lt;=1,Y373&lt;=1,AB373&lt;=1),"YES","NO"))</f>
        <v/>
      </c>
      <c r="AM373" s="7">
        <f>IF(AK373="","",IF(AND(AK373="NO",AJ373&gt;=0.85),"YES","NO"))</f>
        <v/>
      </c>
      <c r="AN373" s="7">
        <f>IF(AJ373="","",IF(AJ373&gt;=0.90,"Excellent",IF(AJ373&gt;=0.80,"Good",IF(AJ373&gt;=0.70,"Fair","Poor"))))</f>
        <v/>
      </c>
      <c r="AO373" s="12" t="n"/>
      <c r="AP373" s="12" t="n"/>
      <c r="AQ373" s="12" t="n"/>
      <c r="AR373" s="12" t="n"/>
      <c r="AS373" s="12" t="n"/>
      <c r="AT373" s="12" t="n"/>
      <c r="AU373" s="12" t="n"/>
      <c r="AV373" s="11" t="n"/>
      <c r="AW373" s="12" t="n"/>
      <c r="AX373" s="12" t="n"/>
      <c r="AY373" s="12" t="n"/>
      <c r="AZ373" s="12" t="n"/>
      <c r="BA373" s="12" t="n"/>
      <c r="BB373" s="12" t="n"/>
      <c r="BC373" s="12" t="n"/>
      <c r="BD373" s="12" t="n"/>
      <c r="BE373" s="12" t="n"/>
      <c r="BF373" s="12" t="n"/>
    </row>
    <row r="374">
      <c r="A374" s="7">
        <f>IF(B374="","","INS-"&amp;TEXT(ROW()-3,"000"))</f>
        <v/>
      </c>
      <c r="B374" s="11" t="n"/>
      <c r="C374" s="7">
        <f>IF(B374="","",ISOWEEKNUM(B374))</f>
        <v/>
      </c>
      <c r="D374" s="7">
        <f>IF(B374="","",TEXT(B374,"yyyy-mm"))</f>
        <v/>
      </c>
      <c r="E374" s="12" t="n"/>
      <c r="F374" s="12" t="n"/>
      <c r="G374" s="7">
        <f>IF(OR(E374="",F374=""),"",IF(COUNTIF(Cluster_Master!$I$3:$I$17,E374&amp;"|"&amp;F374)=1,"Valid","Review"))</f>
        <v/>
      </c>
      <c r="H374" s="7">
        <f>IF($G374&lt;&gt;"Valid","",VLOOKUP($E374&amp;"|"&amp;$F374,Cluster_Master!$I$3:$H$17,3,FALSE))</f>
        <v/>
      </c>
      <c r="I374" s="7">
        <f>IF($G374&lt;&gt;"Valid","",VLOOKUP($E374&amp;"|"&amp;$F374,Cluster_Master!$I$3:$H$17,4,FALSE))</f>
        <v/>
      </c>
      <c r="J374" s="7">
        <f>IF($G374&lt;&gt;"Valid","",VLOOKUP($E374&amp;"|"&amp;$F374,Cluster_Master!$I$3:$H$17,5,FALSE))</f>
        <v/>
      </c>
      <c r="K374" s="7">
        <f>IF($G374&lt;&gt;"Valid","",VLOOKUP($E374&amp;"|"&amp;$F374,Cluster_Master!$I$3:$H$17,6,FALSE))</f>
        <v/>
      </c>
      <c r="L374" s="7">
        <f>IF($G374&lt;&gt;"Valid","",VLOOKUP($E374&amp;"|"&amp;$F374,Cluster_Master!$I$3:$H$17,7,FALSE))</f>
        <v/>
      </c>
      <c r="M374" s="7">
        <f>IF($G374&lt;&gt;"Valid","",VLOOKUP($E374&amp;"|"&amp;$F374,Cluster_Master!$I$3:$H$17,8,FALSE))</f>
        <v/>
      </c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7">
        <f>IF(COUNT(T374:AH374)=0,"",SUM(T374:AH374))</f>
        <v/>
      </c>
      <c r="AJ374" s="10">
        <f>IF(AI374="","",AI374/75)</f>
        <v/>
      </c>
      <c r="AK374" s="10">
        <f>IF(AI374="","",SUMPRODUCT(T374:AH374,KPI_Weights!$B$3:$B$17)/5)</f>
        <v/>
      </c>
      <c r="AL374" s="7">
        <f>IF(COUNT(T374:AH374)=0,"",IF(OR(T374&lt;=1,W374&lt;=1,X374&lt;=1,Y374&lt;=1,AB374&lt;=1),"YES","NO"))</f>
        <v/>
      </c>
      <c r="AM374" s="7">
        <f>IF(AK374="","",IF(AND(AK374="NO",AJ374&gt;=0.85),"YES","NO"))</f>
        <v/>
      </c>
      <c r="AN374" s="7">
        <f>IF(AJ374="","",IF(AJ374&gt;=0.90,"Excellent",IF(AJ374&gt;=0.80,"Good",IF(AJ374&gt;=0.70,"Fair","Poor"))))</f>
        <v/>
      </c>
      <c r="AO374" s="12" t="n"/>
      <c r="AP374" s="12" t="n"/>
      <c r="AQ374" s="12" t="n"/>
      <c r="AR374" s="12" t="n"/>
      <c r="AS374" s="12" t="n"/>
      <c r="AT374" s="12" t="n"/>
      <c r="AU374" s="12" t="n"/>
      <c r="AV374" s="11" t="n"/>
      <c r="AW374" s="12" t="n"/>
      <c r="AX374" s="12" t="n"/>
      <c r="AY374" s="12" t="n"/>
      <c r="AZ374" s="12" t="n"/>
      <c r="BA374" s="12" t="n"/>
      <c r="BB374" s="12" t="n"/>
      <c r="BC374" s="12" t="n"/>
      <c r="BD374" s="12" t="n"/>
      <c r="BE374" s="12" t="n"/>
      <c r="BF374" s="12" t="n"/>
    </row>
    <row r="375">
      <c r="A375" s="7">
        <f>IF(B375="","","INS-"&amp;TEXT(ROW()-3,"000"))</f>
        <v/>
      </c>
      <c r="B375" s="11" t="n"/>
      <c r="C375" s="7">
        <f>IF(B375="","",ISOWEEKNUM(B375))</f>
        <v/>
      </c>
      <c r="D375" s="7">
        <f>IF(B375="","",TEXT(B375,"yyyy-mm"))</f>
        <v/>
      </c>
      <c r="E375" s="12" t="n"/>
      <c r="F375" s="12" t="n"/>
      <c r="G375" s="7">
        <f>IF(OR(E375="",F375=""),"",IF(COUNTIF(Cluster_Master!$I$3:$I$17,E375&amp;"|"&amp;F375)=1,"Valid","Review"))</f>
        <v/>
      </c>
      <c r="H375" s="7">
        <f>IF($G375&lt;&gt;"Valid","",VLOOKUP($E375&amp;"|"&amp;$F375,Cluster_Master!$I$3:$H$17,3,FALSE))</f>
        <v/>
      </c>
      <c r="I375" s="7">
        <f>IF($G375&lt;&gt;"Valid","",VLOOKUP($E375&amp;"|"&amp;$F375,Cluster_Master!$I$3:$H$17,4,FALSE))</f>
        <v/>
      </c>
      <c r="J375" s="7">
        <f>IF($G375&lt;&gt;"Valid","",VLOOKUP($E375&amp;"|"&amp;$F375,Cluster_Master!$I$3:$H$17,5,FALSE))</f>
        <v/>
      </c>
      <c r="K375" s="7">
        <f>IF($G375&lt;&gt;"Valid","",VLOOKUP($E375&amp;"|"&amp;$F375,Cluster_Master!$I$3:$H$17,6,FALSE))</f>
        <v/>
      </c>
      <c r="L375" s="7">
        <f>IF($G375&lt;&gt;"Valid","",VLOOKUP($E375&amp;"|"&amp;$F375,Cluster_Master!$I$3:$H$17,7,FALSE))</f>
        <v/>
      </c>
      <c r="M375" s="7">
        <f>IF($G375&lt;&gt;"Valid","",VLOOKUP($E375&amp;"|"&amp;$F375,Cluster_Master!$I$3:$H$17,8,FALSE))</f>
        <v/>
      </c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7">
        <f>IF(COUNT(T375:AH375)=0,"",SUM(T375:AH375))</f>
        <v/>
      </c>
      <c r="AJ375" s="10">
        <f>IF(AI375="","",AI375/75)</f>
        <v/>
      </c>
      <c r="AK375" s="10">
        <f>IF(AI375="","",SUMPRODUCT(T375:AH375,KPI_Weights!$B$3:$B$17)/5)</f>
        <v/>
      </c>
      <c r="AL375" s="7">
        <f>IF(COUNT(T375:AH375)=0,"",IF(OR(T375&lt;=1,W375&lt;=1,X375&lt;=1,Y375&lt;=1,AB375&lt;=1),"YES","NO"))</f>
        <v/>
      </c>
      <c r="AM375" s="7">
        <f>IF(AK375="","",IF(AND(AK375="NO",AJ375&gt;=0.85),"YES","NO"))</f>
        <v/>
      </c>
      <c r="AN375" s="7">
        <f>IF(AJ375="","",IF(AJ375&gt;=0.90,"Excellent",IF(AJ375&gt;=0.80,"Good",IF(AJ375&gt;=0.70,"Fair","Poor"))))</f>
        <v/>
      </c>
      <c r="AO375" s="12" t="n"/>
      <c r="AP375" s="12" t="n"/>
      <c r="AQ375" s="12" t="n"/>
      <c r="AR375" s="12" t="n"/>
      <c r="AS375" s="12" t="n"/>
      <c r="AT375" s="12" t="n"/>
      <c r="AU375" s="12" t="n"/>
      <c r="AV375" s="11" t="n"/>
      <c r="AW375" s="12" t="n"/>
      <c r="AX375" s="12" t="n"/>
      <c r="AY375" s="12" t="n"/>
      <c r="AZ375" s="12" t="n"/>
      <c r="BA375" s="12" t="n"/>
      <c r="BB375" s="12" t="n"/>
      <c r="BC375" s="12" t="n"/>
      <c r="BD375" s="12" t="n"/>
      <c r="BE375" s="12" t="n"/>
      <c r="BF375" s="12" t="n"/>
    </row>
    <row r="376">
      <c r="A376" s="7">
        <f>IF(B376="","","INS-"&amp;TEXT(ROW()-3,"000"))</f>
        <v/>
      </c>
      <c r="B376" s="11" t="n"/>
      <c r="C376" s="7">
        <f>IF(B376="","",ISOWEEKNUM(B376))</f>
        <v/>
      </c>
      <c r="D376" s="7">
        <f>IF(B376="","",TEXT(B376,"yyyy-mm"))</f>
        <v/>
      </c>
      <c r="E376" s="12" t="n"/>
      <c r="F376" s="12" t="n"/>
      <c r="G376" s="7">
        <f>IF(OR(E376="",F376=""),"",IF(COUNTIF(Cluster_Master!$I$3:$I$17,E376&amp;"|"&amp;F376)=1,"Valid","Review"))</f>
        <v/>
      </c>
      <c r="H376" s="7">
        <f>IF($G376&lt;&gt;"Valid","",VLOOKUP($E376&amp;"|"&amp;$F376,Cluster_Master!$I$3:$H$17,3,FALSE))</f>
        <v/>
      </c>
      <c r="I376" s="7">
        <f>IF($G376&lt;&gt;"Valid","",VLOOKUP($E376&amp;"|"&amp;$F376,Cluster_Master!$I$3:$H$17,4,FALSE))</f>
        <v/>
      </c>
      <c r="J376" s="7">
        <f>IF($G376&lt;&gt;"Valid","",VLOOKUP($E376&amp;"|"&amp;$F376,Cluster_Master!$I$3:$H$17,5,FALSE))</f>
        <v/>
      </c>
      <c r="K376" s="7">
        <f>IF($G376&lt;&gt;"Valid","",VLOOKUP($E376&amp;"|"&amp;$F376,Cluster_Master!$I$3:$H$17,6,FALSE))</f>
        <v/>
      </c>
      <c r="L376" s="7">
        <f>IF($G376&lt;&gt;"Valid","",VLOOKUP($E376&amp;"|"&amp;$F376,Cluster_Master!$I$3:$H$17,7,FALSE))</f>
        <v/>
      </c>
      <c r="M376" s="7">
        <f>IF($G376&lt;&gt;"Valid","",VLOOKUP($E376&amp;"|"&amp;$F376,Cluster_Master!$I$3:$H$17,8,FALSE))</f>
        <v/>
      </c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7">
        <f>IF(COUNT(T376:AH376)=0,"",SUM(T376:AH376))</f>
        <v/>
      </c>
      <c r="AJ376" s="10">
        <f>IF(AI376="","",AI376/75)</f>
        <v/>
      </c>
      <c r="AK376" s="10">
        <f>IF(AI376="","",SUMPRODUCT(T376:AH376,KPI_Weights!$B$3:$B$17)/5)</f>
        <v/>
      </c>
      <c r="AL376" s="7">
        <f>IF(COUNT(T376:AH376)=0,"",IF(OR(T376&lt;=1,W376&lt;=1,X376&lt;=1,Y376&lt;=1,AB376&lt;=1),"YES","NO"))</f>
        <v/>
      </c>
      <c r="AM376" s="7">
        <f>IF(AK376="","",IF(AND(AK376="NO",AJ376&gt;=0.85),"YES","NO"))</f>
        <v/>
      </c>
      <c r="AN376" s="7">
        <f>IF(AJ376="","",IF(AJ376&gt;=0.90,"Excellent",IF(AJ376&gt;=0.80,"Good",IF(AJ376&gt;=0.70,"Fair","Poor"))))</f>
        <v/>
      </c>
      <c r="AO376" s="12" t="n"/>
      <c r="AP376" s="12" t="n"/>
      <c r="AQ376" s="12" t="n"/>
      <c r="AR376" s="12" t="n"/>
      <c r="AS376" s="12" t="n"/>
      <c r="AT376" s="12" t="n"/>
      <c r="AU376" s="12" t="n"/>
      <c r="AV376" s="11" t="n"/>
      <c r="AW376" s="12" t="n"/>
      <c r="AX376" s="12" t="n"/>
      <c r="AY376" s="12" t="n"/>
      <c r="AZ376" s="12" t="n"/>
      <c r="BA376" s="12" t="n"/>
      <c r="BB376" s="12" t="n"/>
      <c r="BC376" s="12" t="n"/>
      <c r="BD376" s="12" t="n"/>
      <c r="BE376" s="12" t="n"/>
      <c r="BF376" s="12" t="n"/>
    </row>
    <row r="377">
      <c r="A377" s="7">
        <f>IF(B377="","","INS-"&amp;TEXT(ROW()-3,"000"))</f>
        <v/>
      </c>
      <c r="B377" s="11" t="n"/>
      <c r="C377" s="7">
        <f>IF(B377="","",ISOWEEKNUM(B377))</f>
        <v/>
      </c>
      <c r="D377" s="7">
        <f>IF(B377="","",TEXT(B377,"yyyy-mm"))</f>
        <v/>
      </c>
      <c r="E377" s="12" t="n"/>
      <c r="F377" s="12" t="n"/>
      <c r="G377" s="7">
        <f>IF(OR(E377="",F377=""),"",IF(COUNTIF(Cluster_Master!$I$3:$I$17,E377&amp;"|"&amp;F377)=1,"Valid","Review"))</f>
        <v/>
      </c>
      <c r="H377" s="7">
        <f>IF($G377&lt;&gt;"Valid","",VLOOKUP($E377&amp;"|"&amp;$F377,Cluster_Master!$I$3:$H$17,3,FALSE))</f>
        <v/>
      </c>
      <c r="I377" s="7">
        <f>IF($G377&lt;&gt;"Valid","",VLOOKUP($E377&amp;"|"&amp;$F377,Cluster_Master!$I$3:$H$17,4,FALSE))</f>
        <v/>
      </c>
      <c r="J377" s="7">
        <f>IF($G377&lt;&gt;"Valid","",VLOOKUP($E377&amp;"|"&amp;$F377,Cluster_Master!$I$3:$H$17,5,FALSE))</f>
        <v/>
      </c>
      <c r="K377" s="7">
        <f>IF($G377&lt;&gt;"Valid","",VLOOKUP($E377&amp;"|"&amp;$F377,Cluster_Master!$I$3:$H$17,6,FALSE))</f>
        <v/>
      </c>
      <c r="L377" s="7">
        <f>IF($G377&lt;&gt;"Valid","",VLOOKUP($E377&amp;"|"&amp;$F377,Cluster_Master!$I$3:$H$17,7,FALSE))</f>
        <v/>
      </c>
      <c r="M377" s="7">
        <f>IF($G377&lt;&gt;"Valid","",VLOOKUP($E377&amp;"|"&amp;$F377,Cluster_Master!$I$3:$H$17,8,FALSE))</f>
        <v/>
      </c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7">
        <f>IF(COUNT(T377:AH377)=0,"",SUM(T377:AH377))</f>
        <v/>
      </c>
      <c r="AJ377" s="10">
        <f>IF(AI377="","",AI377/75)</f>
        <v/>
      </c>
      <c r="AK377" s="10">
        <f>IF(AI377="","",SUMPRODUCT(T377:AH377,KPI_Weights!$B$3:$B$17)/5)</f>
        <v/>
      </c>
      <c r="AL377" s="7">
        <f>IF(COUNT(T377:AH377)=0,"",IF(OR(T377&lt;=1,W377&lt;=1,X377&lt;=1,Y377&lt;=1,AB377&lt;=1),"YES","NO"))</f>
        <v/>
      </c>
      <c r="AM377" s="7">
        <f>IF(AK377="","",IF(AND(AK377="NO",AJ377&gt;=0.85),"YES","NO"))</f>
        <v/>
      </c>
      <c r="AN377" s="7">
        <f>IF(AJ377="","",IF(AJ377&gt;=0.90,"Excellent",IF(AJ377&gt;=0.80,"Good",IF(AJ377&gt;=0.70,"Fair","Poor"))))</f>
        <v/>
      </c>
      <c r="AO377" s="12" t="n"/>
      <c r="AP377" s="12" t="n"/>
      <c r="AQ377" s="12" t="n"/>
      <c r="AR377" s="12" t="n"/>
      <c r="AS377" s="12" t="n"/>
      <c r="AT377" s="12" t="n"/>
      <c r="AU377" s="12" t="n"/>
      <c r="AV377" s="11" t="n"/>
      <c r="AW377" s="12" t="n"/>
      <c r="AX377" s="12" t="n"/>
      <c r="AY377" s="12" t="n"/>
      <c r="AZ377" s="12" t="n"/>
      <c r="BA377" s="12" t="n"/>
      <c r="BB377" s="12" t="n"/>
      <c r="BC377" s="12" t="n"/>
      <c r="BD377" s="12" t="n"/>
      <c r="BE377" s="12" t="n"/>
      <c r="BF377" s="12" t="n"/>
    </row>
    <row r="378">
      <c r="A378" s="7">
        <f>IF(B378="","","INS-"&amp;TEXT(ROW()-3,"000"))</f>
        <v/>
      </c>
      <c r="B378" s="11" t="n"/>
      <c r="C378" s="7">
        <f>IF(B378="","",ISOWEEKNUM(B378))</f>
        <v/>
      </c>
      <c r="D378" s="7">
        <f>IF(B378="","",TEXT(B378,"yyyy-mm"))</f>
        <v/>
      </c>
      <c r="E378" s="12" t="n"/>
      <c r="F378" s="12" t="n"/>
      <c r="G378" s="7">
        <f>IF(OR(E378="",F378=""),"",IF(COUNTIF(Cluster_Master!$I$3:$I$17,E378&amp;"|"&amp;F378)=1,"Valid","Review"))</f>
        <v/>
      </c>
      <c r="H378" s="7">
        <f>IF($G378&lt;&gt;"Valid","",VLOOKUP($E378&amp;"|"&amp;$F378,Cluster_Master!$I$3:$H$17,3,FALSE))</f>
        <v/>
      </c>
      <c r="I378" s="7">
        <f>IF($G378&lt;&gt;"Valid","",VLOOKUP($E378&amp;"|"&amp;$F378,Cluster_Master!$I$3:$H$17,4,FALSE))</f>
        <v/>
      </c>
      <c r="J378" s="7">
        <f>IF($G378&lt;&gt;"Valid","",VLOOKUP($E378&amp;"|"&amp;$F378,Cluster_Master!$I$3:$H$17,5,FALSE))</f>
        <v/>
      </c>
      <c r="K378" s="7">
        <f>IF($G378&lt;&gt;"Valid","",VLOOKUP($E378&amp;"|"&amp;$F378,Cluster_Master!$I$3:$H$17,6,FALSE))</f>
        <v/>
      </c>
      <c r="L378" s="7">
        <f>IF($G378&lt;&gt;"Valid","",VLOOKUP($E378&amp;"|"&amp;$F378,Cluster_Master!$I$3:$H$17,7,FALSE))</f>
        <v/>
      </c>
      <c r="M378" s="7">
        <f>IF($G378&lt;&gt;"Valid","",VLOOKUP($E378&amp;"|"&amp;$F378,Cluster_Master!$I$3:$H$17,8,FALSE))</f>
        <v/>
      </c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7">
        <f>IF(COUNT(T378:AH378)=0,"",SUM(T378:AH378))</f>
        <v/>
      </c>
      <c r="AJ378" s="10">
        <f>IF(AI378="","",AI378/75)</f>
        <v/>
      </c>
      <c r="AK378" s="10">
        <f>IF(AI378="","",SUMPRODUCT(T378:AH378,KPI_Weights!$B$3:$B$17)/5)</f>
        <v/>
      </c>
      <c r="AL378" s="7">
        <f>IF(COUNT(T378:AH378)=0,"",IF(OR(T378&lt;=1,W378&lt;=1,X378&lt;=1,Y378&lt;=1,AB378&lt;=1),"YES","NO"))</f>
        <v/>
      </c>
      <c r="AM378" s="7">
        <f>IF(AK378="","",IF(AND(AK378="NO",AJ378&gt;=0.85),"YES","NO"))</f>
        <v/>
      </c>
      <c r="AN378" s="7">
        <f>IF(AJ378="","",IF(AJ378&gt;=0.90,"Excellent",IF(AJ378&gt;=0.80,"Good",IF(AJ378&gt;=0.70,"Fair","Poor"))))</f>
        <v/>
      </c>
      <c r="AO378" s="12" t="n"/>
      <c r="AP378" s="12" t="n"/>
      <c r="AQ378" s="12" t="n"/>
      <c r="AR378" s="12" t="n"/>
      <c r="AS378" s="12" t="n"/>
      <c r="AT378" s="12" t="n"/>
      <c r="AU378" s="12" t="n"/>
      <c r="AV378" s="11" t="n"/>
      <c r="AW378" s="12" t="n"/>
      <c r="AX378" s="12" t="n"/>
      <c r="AY378" s="12" t="n"/>
      <c r="AZ378" s="12" t="n"/>
      <c r="BA378" s="12" t="n"/>
      <c r="BB378" s="12" t="n"/>
      <c r="BC378" s="12" t="n"/>
      <c r="BD378" s="12" t="n"/>
      <c r="BE378" s="12" t="n"/>
      <c r="BF378" s="12" t="n"/>
    </row>
    <row r="379">
      <c r="A379" s="7">
        <f>IF(B379="","","INS-"&amp;TEXT(ROW()-3,"000"))</f>
        <v/>
      </c>
      <c r="B379" s="11" t="n"/>
      <c r="C379" s="7">
        <f>IF(B379="","",ISOWEEKNUM(B379))</f>
        <v/>
      </c>
      <c r="D379" s="7">
        <f>IF(B379="","",TEXT(B379,"yyyy-mm"))</f>
        <v/>
      </c>
      <c r="E379" s="12" t="n"/>
      <c r="F379" s="12" t="n"/>
      <c r="G379" s="7">
        <f>IF(OR(E379="",F379=""),"",IF(COUNTIF(Cluster_Master!$I$3:$I$17,E379&amp;"|"&amp;F379)=1,"Valid","Review"))</f>
        <v/>
      </c>
      <c r="H379" s="7">
        <f>IF($G379&lt;&gt;"Valid","",VLOOKUP($E379&amp;"|"&amp;$F379,Cluster_Master!$I$3:$H$17,3,FALSE))</f>
        <v/>
      </c>
      <c r="I379" s="7">
        <f>IF($G379&lt;&gt;"Valid","",VLOOKUP($E379&amp;"|"&amp;$F379,Cluster_Master!$I$3:$H$17,4,FALSE))</f>
        <v/>
      </c>
      <c r="J379" s="7">
        <f>IF($G379&lt;&gt;"Valid","",VLOOKUP($E379&amp;"|"&amp;$F379,Cluster_Master!$I$3:$H$17,5,FALSE))</f>
        <v/>
      </c>
      <c r="K379" s="7">
        <f>IF($G379&lt;&gt;"Valid","",VLOOKUP($E379&amp;"|"&amp;$F379,Cluster_Master!$I$3:$H$17,6,FALSE))</f>
        <v/>
      </c>
      <c r="L379" s="7">
        <f>IF($G379&lt;&gt;"Valid","",VLOOKUP($E379&amp;"|"&amp;$F379,Cluster_Master!$I$3:$H$17,7,FALSE))</f>
        <v/>
      </c>
      <c r="M379" s="7">
        <f>IF($G379&lt;&gt;"Valid","",VLOOKUP($E379&amp;"|"&amp;$F379,Cluster_Master!$I$3:$H$17,8,FALSE))</f>
        <v/>
      </c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7">
        <f>IF(COUNT(T379:AH379)=0,"",SUM(T379:AH379))</f>
        <v/>
      </c>
      <c r="AJ379" s="10">
        <f>IF(AI379="","",AI379/75)</f>
        <v/>
      </c>
      <c r="AK379" s="10">
        <f>IF(AI379="","",SUMPRODUCT(T379:AH379,KPI_Weights!$B$3:$B$17)/5)</f>
        <v/>
      </c>
      <c r="AL379" s="7">
        <f>IF(COUNT(T379:AH379)=0,"",IF(OR(T379&lt;=1,W379&lt;=1,X379&lt;=1,Y379&lt;=1,AB379&lt;=1),"YES","NO"))</f>
        <v/>
      </c>
      <c r="AM379" s="7">
        <f>IF(AK379="","",IF(AND(AK379="NO",AJ379&gt;=0.85),"YES","NO"))</f>
        <v/>
      </c>
      <c r="AN379" s="7">
        <f>IF(AJ379="","",IF(AJ379&gt;=0.90,"Excellent",IF(AJ379&gt;=0.80,"Good",IF(AJ379&gt;=0.70,"Fair","Poor"))))</f>
        <v/>
      </c>
      <c r="AO379" s="12" t="n"/>
      <c r="AP379" s="12" t="n"/>
      <c r="AQ379" s="12" t="n"/>
      <c r="AR379" s="12" t="n"/>
      <c r="AS379" s="12" t="n"/>
      <c r="AT379" s="12" t="n"/>
      <c r="AU379" s="12" t="n"/>
      <c r="AV379" s="11" t="n"/>
      <c r="AW379" s="12" t="n"/>
      <c r="AX379" s="12" t="n"/>
      <c r="AY379" s="12" t="n"/>
      <c r="AZ379" s="12" t="n"/>
      <c r="BA379" s="12" t="n"/>
      <c r="BB379" s="12" t="n"/>
      <c r="BC379" s="12" t="n"/>
      <c r="BD379" s="12" t="n"/>
      <c r="BE379" s="12" t="n"/>
      <c r="BF379" s="12" t="n"/>
    </row>
    <row r="380">
      <c r="A380" s="7">
        <f>IF(B380="","","INS-"&amp;TEXT(ROW()-3,"000"))</f>
        <v/>
      </c>
      <c r="B380" s="11" t="n"/>
      <c r="C380" s="7">
        <f>IF(B380="","",ISOWEEKNUM(B380))</f>
        <v/>
      </c>
      <c r="D380" s="7">
        <f>IF(B380="","",TEXT(B380,"yyyy-mm"))</f>
        <v/>
      </c>
      <c r="E380" s="12" t="n"/>
      <c r="F380" s="12" t="n"/>
      <c r="G380" s="7">
        <f>IF(OR(E380="",F380=""),"",IF(COUNTIF(Cluster_Master!$I$3:$I$17,E380&amp;"|"&amp;F380)=1,"Valid","Review"))</f>
        <v/>
      </c>
      <c r="H380" s="7">
        <f>IF($G380&lt;&gt;"Valid","",VLOOKUP($E380&amp;"|"&amp;$F380,Cluster_Master!$I$3:$H$17,3,FALSE))</f>
        <v/>
      </c>
      <c r="I380" s="7">
        <f>IF($G380&lt;&gt;"Valid","",VLOOKUP($E380&amp;"|"&amp;$F380,Cluster_Master!$I$3:$H$17,4,FALSE))</f>
        <v/>
      </c>
      <c r="J380" s="7">
        <f>IF($G380&lt;&gt;"Valid","",VLOOKUP($E380&amp;"|"&amp;$F380,Cluster_Master!$I$3:$H$17,5,FALSE))</f>
        <v/>
      </c>
      <c r="K380" s="7">
        <f>IF($G380&lt;&gt;"Valid","",VLOOKUP($E380&amp;"|"&amp;$F380,Cluster_Master!$I$3:$H$17,6,FALSE))</f>
        <v/>
      </c>
      <c r="L380" s="7">
        <f>IF($G380&lt;&gt;"Valid","",VLOOKUP($E380&amp;"|"&amp;$F380,Cluster_Master!$I$3:$H$17,7,FALSE))</f>
        <v/>
      </c>
      <c r="M380" s="7">
        <f>IF($G380&lt;&gt;"Valid","",VLOOKUP($E380&amp;"|"&amp;$F380,Cluster_Master!$I$3:$H$17,8,FALSE))</f>
        <v/>
      </c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7">
        <f>IF(COUNT(T380:AH380)=0,"",SUM(T380:AH380))</f>
        <v/>
      </c>
      <c r="AJ380" s="10">
        <f>IF(AI380="","",AI380/75)</f>
        <v/>
      </c>
      <c r="AK380" s="10">
        <f>IF(AI380="","",SUMPRODUCT(T380:AH380,KPI_Weights!$B$3:$B$17)/5)</f>
        <v/>
      </c>
      <c r="AL380" s="7">
        <f>IF(COUNT(T380:AH380)=0,"",IF(OR(T380&lt;=1,W380&lt;=1,X380&lt;=1,Y380&lt;=1,AB380&lt;=1),"YES","NO"))</f>
        <v/>
      </c>
      <c r="AM380" s="7">
        <f>IF(AK380="","",IF(AND(AK380="NO",AJ380&gt;=0.85),"YES","NO"))</f>
        <v/>
      </c>
      <c r="AN380" s="7">
        <f>IF(AJ380="","",IF(AJ380&gt;=0.90,"Excellent",IF(AJ380&gt;=0.80,"Good",IF(AJ380&gt;=0.70,"Fair","Poor"))))</f>
        <v/>
      </c>
      <c r="AO380" s="12" t="n"/>
      <c r="AP380" s="12" t="n"/>
      <c r="AQ380" s="12" t="n"/>
      <c r="AR380" s="12" t="n"/>
      <c r="AS380" s="12" t="n"/>
      <c r="AT380" s="12" t="n"/>
      <c r="AU380" s="12" t="n"/>
      <c r="AV380" s="11" t="n"/>
      <c r="AW380" s="12" t="n"/>
      <c r="AX380" s="12" t="n"/>
      <c r="AY380" s="12" t="n"/>
      <c r="AZ380" s="12" t="n"/>
      <c r="BA380" s="12" t="n"/>
      <c r="BB380" s="12" t="n"/>
      <c r="BC380" s="12" t="n"/>
      <c r="BD380" s="12" t="n"/>
      <c r="BE380" s="12" t="n"/>
      <c r="BF380" s="12" t="n"/>
    </row>
    <row r="381">
      <c r="A381" s="7">
        <f>IF(B381="","","INS-"&amp;TEXT(ROW()-3,"000"))</f>
        <v/>
      </c>
      <c r="B381" s="11" t="n"/>
      <c r="C381" s="7">
        <f>IF(B381="","",ISOWEEKNUM(B381))</f>
        <v/>
      </c>
      <c r="D381" s="7">
        <f>IF(B381="","",TEXT(B381,"yyyy-mm"))</f>
        <v/>
      </c>
      <c r="E381" s="12" t="n"/>
      <c r="F381" s="12" t="n"/>
      <c r="G381" s="7">
        <f>IF(OR(E381="",F381=""),"",IF(COUNTIF(Cluster_Master!$I$3:$I$17,E381&amp;"|"&amp;F381)=1,"Valid","Review"))</f>
        <v/>
      </c>
      <c r="H381" s="7">
        <f>IF($G381&lt;&gt;"Valid","",VLOOKUP($E381&amp;"|"&amp;$F381,Cluster_Master!$I$3:$H$17,3,FALSE))</f>
        <v/>
      </c>
      <c r="I381" s="7">
        <f>IF($G381&lt;&gt;"Valid","",VLOOKUP($E381&amp;"|"&amp;$F381,Cluster_Master!$I$3:$H$17,4,FALSE))</f>
        <v/>
      </c>
      <c r="J381" s="7">
        <f>IF($G381&lt;&gt;"Valid","",VLOOKUP($E381&amp;"|"&amp;$F381,Cluster_Master!$I$3:$H$17,5,FALSE))</f>
        <v/>
      </c>
      <c r="K381" s="7">
        <f>IF($G381&lt;&gt;"Valid","",VLOOKUP($E381&amp;"|"&amp;$F381,Cluster_Master!$I$3:$H$17,6,FALSE))</f>
        <v/>
      </c>
      <c r="L381" s="7">
        <f>IF($G381&lt;&gt;"Valid","",VLOOKUP($E381&amp;"|"&amp;$F381,Cluster_Master!$I$3:$H$17,7,FALSE))</f>
        <v/>
      </c>
      <c r="M381" s="7">
        <f>IF($G381&lt;&gt;"Valid","",VLOOKUP($E381&amp;"|"&amp;$F381,Cluster_Master!$I$3:$H$17,8,FALSE))</f>
        <v/>
      </c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7">
        <f>IF(COUNT(T381:AH381)=0,"",SUM(T381:AH381))</f>
        <v/>
      </c>
      <c r="AJ381" s="10">
        <f>IF(AI381="","",AI381/75)</f>
        <v/>
      </c>
      <c r="AK381" s="10">
        <f>IF(AI381="","",SUMPRODUCT(T381:AH381,KPI_Weights!$B$3:$B$17)/5)</f>
        <v/>
      </c>
      <c r="AL381" s="7">
        <f>IF(COUNT(T381:AH381)=0,"",IF(OR(T381&lt;=1,W381&lt;=1,X381&lt;=1,Y381&lt;=1,AB381&lt;=1),"YES","NO"))</f>
        <v/>
      </c>
      <c r="AM381" s="7">
        <f>IF(AK381="","",IF(AND(AK381="NO",AJ381&gt;=0.85),"YES","NO"))</f>
        <v/>
      </c>
      <c r="AN381" s="7">
        <f>IF(AJ381="","",IF(AJ381&gt;=0.90,"Excellent",IF(AJ381&gt;=0.80,"Good",IF(AJ381&gt;=0.70,"Fair","Poor"))))</f>
        <v/>
      </c>
      <c r="AO381" s="12" t="n"/>
      <c r="AP381" s="12" t="n"/>
      <c r="AQ381" s="12" t="n"/>
      <c r="AR381" s="12" t="n"/>
      <c r="AS381" s="12" t="n"/>
      <c r="AT381" s="12" t="n"/>
      <c r="AU381" s="12" t="n"/>
      <c r="AV381" s="11" t="n"/>
      <c r="AW381" s="12" t="n"/>
      <c r="AX381" s="12" t="n"/>
      <c r="AY381" s="12" t="n"/>
      <c r="AZ381" s="12" t="n"/>
      <c r="BA381" s="12" t="n"/>
      <c r="BB381" s="12" t="n"/>
      <c r="BC381" s="12" t="n"/>
      <c r="BD381" s="12" t="n"/>
      <c r="BE381" s="12" t="n"/>
      <c r="BF381" s="12" t="n"/>
    </row>
    <row r="382">
      <c r="A382" s="7">
        <f>IF(B382="","","INS-"&amp;TEXT(ROW()-3,"000"))</f>
        <v/>
      </c>
      <c r="B382" s="11" t="n"/>
      <c r="C382" s="7">
        <f>IF(B382="","",ISOWEEKNUM(B382))</f>
        <v/>
      </c>
      <c r="D382" s="7">
        <f>IF(B382="","",TEXT(B382,"yyyy-mm"))</f>
        <v/>
      </c>
      <c r="E382" s="12" t="n"/>
      <c r="F382" s="12" t="n"/>
      <c r="G382" s="7">
        <f>IF(OR(E382="",F382=""),"",IF(COUNTIF(Cluster_Master!$I$3:$I$17,E382&amp;"|"&amp;F382)=1,"Valid","Review"))</f>
        <v/>
      </c>
      <c r="H382" s="7">
        <f>IF($G382&lt;&gt;"Valid","",VLOOKUP($E382&amp;"|"&amp;$F382,Cluster_Master!$I$3:$H$17,3,FALSE))</f>
        <v/>
      </c>
      <c r="I382" s="7">
        <f>IF($G382&lt;&gt;"Valid","",VLOOKUP($E382&amp;"|"&amp;$F382,Cluster_Master!$I$3:$H$17,4,FALSE))</f>
        <v/>
      </c>
      <c r="J382" s="7">
        <f>IF($G382&lt;&gt;"Valid","",VLOOKUP($E382&amp;"|"&amp;$F382,Cluster_Master!$I$3:$H$17,5,FALSE))</f>
        <v/>
      </c>
      <c r="K382" s="7">
        <f>IF($G382&lt;&gt;"Valid","",VLOOKUP($E382&amp;"|"&amp;$F382,Cluster_Master!$I$3:$H$17,6,FALSE))</f>
        <v/>
      </c>
      <c r="L382" s="7">
        <f>IF($G382&lt;&gt;"Valid","",VLOOKUP($E382&amp;"|"&amp;$F382,Cluster_Master!$I$3:$H$17,7,FALSE))</f>
        <v/>
      </c>
      <c r="M382" s="7">
        <f>IF($G382&lt;&gt;"Valid","",VLOOKUP($E382&amp;"|"&amp;$F382,Cluster_Master!$I$3:$H$17,8,FALSE))</f>
        <v/>
      </c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7">
        <f>IF(COUNT(T382:AH382)=0,"",SUM(T382:AH382))</f>
        <v/>
      </c>
      <c r="AJ382" s="10">
        <f>IF(AI382="","",AI382/75)</f>
        <v/>
      </c>
      <c r="AK382" s="10">
        <f>IF(AI382="","",SUMPRODUCT(T382:AH382,KPI_Weights!$B$3:$B$17)/5)</f>
        <v/>
      </c>
      <c r="AL382" s="7">
        <f>IF(COUNT(T382:AH382)=0,"",IF(OR(T382&lt;=1,W382&lt;=1,X382&lt;=1,Y382&lt;=1,AB382&lt;=1),"YES","NO"))</f>
        <v/>
      </c>
      <c r="AM382" s="7">
        <f>IF(AK382="","",IF(AND(AK382="NO",AJ382&gt;=0.85),"YES","NO"))</f>
        <v/>
      </c>
      <c r="AN382" s="7">
        <f>IF(AJ382="","",IF(AJ382&gt;=0.90,"Excellent",IF(AJ382&gt;=0.80,"Good",IF(AJ382&gt;=0.70,"Fair","Poor"))))</f>
        <v/>
      </c>
      <c r="AO382" s="12" t="n"/>
      <c r="AP382" s="12" t="n"/>
      <c r="AQ382" s="12" t="n"/>
      <c r="AR382" s="12" t="n"/>
      <c r="AS382" s="12" t="n"/>
      <c r="AT382" s="12" t="n"/>
      <c r="AU382" s="12" t="n"/>
      <c r="AV382" s="11" t="n"/>
      <c r="AW382" s="12" t="n"/>
      <c r="AX382" s="12" t="n"/>
      <c r="AY382" s="12" t="n"/>
      <c r="AZ382" s="12" t="n"/>
      <c r="BA382" s="12" t="n"/>
      <c r="BB382" s="12" t="n"/>
      <c r="BC382" s="12" t="n"/>
      <c r="BD382" s="12" t="n"/>
      <c r="BE382" s="12" t="n"/>
      <c r="BF382" s="12" t="n"/>
    </row>
    <row r="383">
      <c r="A383" s="7">
        <f>IF(B383="","","INS-"&amp;TEXT(ROW()-3,"000"))</f>
        <v/>
      </c>
      <c r="B383" s="11" t="n"/>
      <c r="C383" s="7">
        <f>IF(B383="","",ISOWEEKNUM(B383))</f>
        <v/>
      </c>
      <c r="D383" s="7">
        <f>IF(B383="","",TEXT(B383,"yyyy-mm"))</f>
        <v/>
      </c>
      <c r="E383" s="12" t="n"/>
      <c r="F383" s="12" t="n"/>
      <c r="G383" s="7">
        <f>IF(OR(E383="",F383=""),"",IF(COUNTIF(Cluster_Master!$I$3:$I$17,E383&amp;"|"&amp;F383)=1,"Valid","Review"))</f>
        <v/>
      </c>
      <c r="H383" s="7">
        <f>IF($G383&lt;&gt;"Valid","",VLOOKUP($E383&amp;"|"&amp;$F383,Cluster_Master!$I$3:$H$17,3,FALSE))</f>
        <v/>
      </c>
      <c r="I383" s="7">
        <f>IF($G383&lt;&gt;"Valid","",VLOOKUP($E383&amp;"|"&amp;$F383,Cluster_Master!$I$3:$H$17,4,FALSE))</f>
        <v/>
      </c>
      <c r="J383" s="7">
        <f>IF($G383&lt;&gt;"Valid","",VLOOKUP($E383&amp;"|"&amp;$F383,Cluster_Master!$I$3:$H$17,5,FALSE))</f>
        <v/>
      </c>
      <c r="K383" s="7">
        <f>IF($G383&lt;&gt;"Valid","",VLOOKUP($E383&amp;"|"&amp;$F383,Cluster_Master!$I$3:$H$17,6,FALSE))</f>
        <v/>
      </c>
      <c r="L383" s="7">
        <f>IF($G383&lt;&gt;"Valid","",VLOOKUP($E383&amp;"|"&amp;$F383,Cluster_Master!$I$3:$H$17,7,FALSE))</f>
        <v/>
      </c>
      <c r="M383" s="7">
        <f>IF($G383&lt;&gt;"Valid","",VLOOKUP($E383&amp;"|"&amp;$F383,Cluster_Master!$I$3:$H$17,8,FALSE))</f>
        <v/>
      </c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7">
        <f>IF(COUNT(T383:AH383)=0,"",SUM(T383:AH383))</f>
        <v/>
      </c>
      <c r="AJ383" s="10">
        <f>IF(AI383="","",AI383/75)</f>
        <v/>
      </c>
      <c r="AK383" s="10">
        <f>IF(AI383="","",SUMPRODUCT(T383:AH383,KPI_Weights!$B$3:$B$17)/5)</f>
        <v/>
      </c>
      <c r="AL383" s="7">
        <f>IF(COUNT(T383:AH383)=0,"",IF(OR(T383&lt;=1,W383&lt;=1,X383&lt;=1,Y383&lt;=1,AB383&lt;=1),"YES","NO"))</f>
        <v/>
      </c>
      <c r="AM383" s="7">
        <f>IF(AK383="","",IF(AND(AK383="NO",AJ383&gt;=0.85),"YES","NO"))</f>
        <v/>
      </c>
      <c r="AN383" s="7">
        <f>IF(AJ383="","",IF(AJ383&gt;=0.90,"Excellent",IF(AJ383&gt;=0.80,"Good",IF(AJ383&gt;=0.70,"Fair","Poor"))))</f>
        <v/>
      </c>
      <c r="AO383" s="12" t="n"/>
      <c r="AP383" s="12" t="n"/>
      <c r="AQ383" s="12" t="n"/>
      <c r="AR383" s="12" t="n"/>
      <c r="AS383" s="12" t="n"/>
      <c r="AT383" s="12" t="n"/>
      <c r="AU383" s="12" t="n"/>
      <c r="AV383" s="11" t="n"/>
      <c r="AW383" s="12" t="n"/>
      <c r="AX383" s="12" t="n"/>
      <c r="AY383" s="12" t="n"/>
      <c r="AZ383" s="12" t="n"/>
      <c r="BA383" s="12" t="n"/>
      <c r="BB383" s="12" t="n"/>
      <c r="BC383" s="12" t="n"/>
      <c r="BD383" s="12" t="n"/>
      <c r="BE383" s="12" t="n"/>
      <c r="BF383" s="12" t="n"/>
    </row>
    <row r="384">
      <c r="A384" s="7">
        <f>IF(B384="","","INS-"&amp;TEXT(ROW()-3,"000"))</f>
        <v/>
      </c>
      <c r="B384" s="11" t="n"/>
      <c r="C384" s="7">
        <f>IF(B384="","",ISOWEEKNUM(B384))</f>
        <v/>
      </c>
      <c r="D384" s="7">
        <f>IF(B384="","",TEXT(B384,"yyyy-mm"))</f>
        <v/>
      </c>
      <c r="E384" s="12" t="n"/>
      <c r="F384" s="12" t="n"/>
      <c r="G384" s="7">
        <f>IF(OR(E384="",F384=""),"",IF(COUNTIF(Cluster_Master!$I$3:$I$17,E384&amp;"|"&amp;F384)=1,"Valid","Review"))</f>
        <v/>
      </c>
      <c r="H384" s="7">
        <f>IF($G384&lt;&gt;"Valid","",VLOOKUP($E384&amp;"|"&amp;$F384,Cluster_Master!$I$3:$H$17,3,FALSE))</f>
        <v/>
      </c>
      <c r="I384" s="7">
        <f>IF($G384&lt;&gt;"Valid","",VLOOKUP($E384&amp;"|"&amp;$F384,Cluster_Master!$I$3:$H$17,4,FALSE))</f>
        <v/>
      </c>
      <c r="J384" s="7">
        <f>IF($G384&lt;&gt;"Valid","",VLOOKUP($E384&amp;"|"&amp;$F384,Cluster_Master!$I$3:$H$17,5,FALSE))</f>
        <v/>
      </c>
      <c r="K384" s="7">
        <f>IF($G384&lt;&gt;"Valid","",VLOOKUP($E384&amp;"|"&amp;$F384,Cluster_Master!$I$3:$H$17,6,FALSE))</f>
        <v/>
      </c>
      <c r="L384" s="7">
        <f>IF($G384&lt;&gt;"Valid","",VLOOKUP($E384&amp;"|"&amp;$F384,Cluster_Master!$I$3:$H$17,7,FALSE))</f>
        <v/>
      </c>
      <c r="M384" s="7">
        <f>IF($G384&lt;&gt;"Valid","",VLOOKUP($E384&amp;"|"&amp;$F384,Cluster_Master!$I$3:$H$17,8,FALSE))</f>
        <v/>
      </c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7">
        <f>IF(COUNT(T384:AH384)=0,"",SUM(T384:AH384))</f>
        <v/>
      </c>
      <c r="AJ384" s="10">
        <f>IF(AI384="","",AI384/75)</f>
        <v/>
      </c>
      <c r="AK384" s="10">
        <f>IF(AI384="","",SUMPRODUCT(T384:AH384,KPI_Weights!$B$3:$B$17)/5)</f>
        <v/>
      </c>
      <c r="AL384" s="7">
        <f>IF(COUNT(T384:AH384)=0,"",IF(OR(T384&lt;=1,W384&lt;=1,X384&lt;=1,Y384&lt;=1,AB384&lt;=1),"YES","NO"))</f>
        <v/>
      </c>
      <c r="AM384" s="7">
        <f>IF(AK384="","",IF(AND(AK384="NO",AJ384&gt;=0.85),"YES","NO"))</f>
        <v/>
      </c>
      <c r="AN384" s="7">
        <f>IF(AJ384="","",IF(AJ384&gt;=0.90,"Excellent",IF(AJ384&gt;=0.80,"Good",IF(AJ384&gt;=0.70,"Fair","Poor"))))</f>
        <v/>
      </c>
      <c r="AO384" s="12" t="n"/>
      <c r="AP384" s="12" t="n"/>
      <c r="AQ384" s="12" t="n"/>
      <c r="AR384" s="12" t="n"/>
      <c r="AS384" s="12" t="n"/>
      <c r="AT384" s="12" t="n"/>
      <c r="AU384" s="12" t="n"/>
      <c r="AV384" s="11" t="n"/>
      <c r="AW384" s="12" t="n"/>
      <c r="AX384" s="12" t="n"/>
      <c r="AY384" s="12" t="n"/>
      <c r="AZ384" s="12" t="n"/>
      <c r="BA384" s="12" t="n"/>
      <c r="BB384" s="12" t="n"/>
      <c r="BC384" s="12" t="n"/>
      <c r="BD384" s="12" t="n"/>
      <c r="BE384" s="12" t="n"/>
      <c r="BF384" s="12" t="n"/>
    </row>
    <row r="385">
      <c r="A385" s="7">
        <f>IF(B385="","","INS-"&amp;TEXT(ROW()-3,"000"))</f>
        <v/>
      </c>
      <c r="B385" s="11" t="n"/>
      <c r="C385" s="7">
        <f>IF(B385="","",ISOWEEKNUM(B385))</f>
        <v/>
      </c>
      <c r="D385" s="7">
        <f>IF(B385="","",TEXT(B385,"yyyy-mm"))</f>
        <v/>
      </c>
      <c r="E385" s="12" t="n"/>
      <c r="F385" s="12" t="n"/>
      <c r="G385" s="7">
        <f>IF(OR(E385="",F385=""),"",IF(COUNTIF(Cluster_Master!$I$3:$I$17,E385&amp;"|"&amp;F385)=1,"Valid","Review"))</f>
        <v/>
      </c>
      <c r="H385" s="7">
        <f>IF($G385&lt;&gt;"Valid","",VLOOKUP($E385&amp;"|"&amp;$F385,Cluster_Master!$I$3:$H$17,3,FALSE))</f>
        <v/>
      </c>
      <c r="I385" s="7">
        <f>IF($G385&lt;&gt;"Valid","",VLOOKUP($E385&amp;"|"&amp;$F385,Cluster_Master!$I$3:$H$17,4,FALSE))</f>
        <v/>
      </c>
      <c r="J385" s="7">
        <f>IF($G385&lt;&gt;"Valid","",VLOOKUP($E385&amp;"|"&amp;$F385,Cluster_Master!$I$3:$H$17,5,FALSE))</f>
        <v/>
      </c>
      <c r="K385" s="7">
        <f>IF($G385&lt;&gt;"Valid","",VLOOKUP($E385&amp;"|"&amp;$F385,Cluster_Master!$I$3:$H$17,6,FALSE))</f>
        <v/>
      </c>
      <c r="L385" s="7">
        <f>IF($G385&lt;&gt;"Valid","",VLOOKUP($E385&amp;"|"&amp;$F385,Cluster_Master!$I$3:$H$17,7,FALSE))</f>
        <v/>
      </c>
      <c r="M385" s="7">
        <f>IF($G385&lt;&gt;"Valid","",VLOOKUP($E385&amp;"|"&amp;$F385,Cluster_Master!$I$3:$H$17,8,FALSE))</f>
        <v/>
      </c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7">
        <f>IF(COUNT(T385:AH385)=0,"",SUM(T385:AH385))</f>
        <v/>
      </c>
      <c r="AJ385" s="10">
        <f>IF(AI385="","",AI385/75)</f>
        <v/>
      </c>
      <c r="AK385" s="10">
        <f>IF(AI385="","",SUMPRODUCT(T385:AH385,KPI_Weights!$B$3:$B$17)/5)</f>
        <v/>
      </c>
      <c r="AL385" s="7">
        <f>IF(COUNT(T385:AH385)=0,"",IF(OR(T385&lt;=1,W385&lt;=1,X385&lt;=1,Y385&lt;=1,AB385&lt;=1),"YES","NO"))</f>
        <v/>
      </c>
      <c r="AM385" s="7">
        <f>IF(AK385="","",IF(AND(AK385="NO",AJ385&gt;=0.85),"YES","NO"))</f>
        <v/>
      </c>
      <c r="AN385" s="7">
        <f>IF(AJ385="","",IF(AJ385&gt;=0.90,"Excellent",IF(AJ385&gt;=0.80,"Good",IF(AJ385&gt;=0.70,"Fair","Poor"))))</f>
        <v/>
      </c>
      <c r="AO385" s="12" t="n"/>
      <c r="AP385" s="12" t="n"/>
      <c r="AQ385" s="12" t="n"/>
      <c r="AR385" s="12" t="n"/>
      <c r="AS385" s="12" t="n"/>
      <c r="AT385" s="12" t="n"/>
      <c r="AU385" s="12" t="n"/>
      <c r="AV385" s="11" t="n"/>
      <c r="AW385" s="12" t="n"/>
      <c r="AX385" s="12" t="n"/>
      <c r="AY385" s="12" t="n"/>
      <c r="AZ385" s="12" t="n"/>
      <c r="BA385" s="12" t="n"/>
      <c r="BB385" s="12" t="n"/>
      <c r="BC385" s="12" t="n"/>
      <c r="BD385" s="12" t="n"/>
      <c r="BE385" s="12" t="n"/>
      <c r="BF385" s="12" t="n"/>
    </row>
    <row r="386">
      <c r="A386" s="7">
        <f>IF(B386="","","INS-"&amp;TEXT(ROW()-3,"000"))</f>
        <v/>
      </c>
      <c r="B386" s="11" t="n"/>
      <c r="C386" s="7">
        <f>IF(B386="","",ISOWEEKNUM(B386))</f>
        <v/>
      </c>
      <c r="D386" s="7">
        <f>IF(B386="","",TEXT(B386,"yyyy-mm"))</f>
        <v/>
      </c>
      <c r="E386" s="12" t="n"/>
      <c r="F386" s="12" t="n"/>
      <c r="G386" s="7">
        <f>IF(OR(E386="",F386=""),"",IF(COUNTIF(Cluster_Master!$I$3:$I$17,E386&amp;"|"&amp;F386)=1,"Valid","Review"))</f>
        <v/>
      </c>
      <c r="H386" s="7">
        <f>IF($G386&lt;&gt;"Valid","",VLOOKUP($E386&amp;"|"&amp;$F386,Cluster_Master!$I$3:$H$17,3,FALSE))</f>
        <v/>
      </c>
      <c r="I386" s="7">
        <f>IF($G386&lt;&gt;"Valid","",VLOOKUP($E386&amp;"|"&amp;$F386,Cluster_Master!$I$3:$H$17,4,FALSE))</f>
        <v/>
      </c>
      <c r="J386" s="7">
        <f>IF($G386&lt;&gt;"Valid","",VLOOKUP($E386&amp;"|"&amp;$F386,Cluster_Master!$I$3:$H$17,5,FALSE))</f>
        <v/>
      </c>
      <c r="K386" s="7">
        <f>IF($G386&lt;&gt;"Valid","",VLOOKUP($E386&amp;"|"&amp;$F386,Cluster_Master!$I$3:$H$17,6,FALSE))</f>
        <v/>
      </c>
      <c r="L386" s="7">
        <f>IF($G386&lt;&gt;"Valid","",VLOOKUP($E386&amp;"|"&amp;$F386,Cluster_Master!$I$3:$H$17,7,FALSE))</f>
        <v/>
      </c>
      <c r="M386" s="7">
        <f>IF($G386&lt;&gt;"Valid","",VLOOKUP($E386&amp;"|"&amp;$F386,Cluster_Master!$I$3:$H$17,8,FALSE))</f>
        <v/>
      </c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7">
        <f>IF(COUNT(T386:AH386)=0,"",SUM(T386:AH386))</f>
        <v/>
      </c>
      <c r="AJ386" s="10">
        <f>IF(AI386="","",AI386/75)</f>
        <v/>
      </c>
      <c r="AK386" s="10">
        <f>IF(AI386="","",SUMPRODUCT(T386:AH386,KPI_Weights!$B$3:$B$17)/5)</f>
        <v/>
      </c>
      <c r="AL386" s="7">
        <f>IF(COUNT(T386:AH386)=0,"",IF(OR(T386&lt;=1,W386&lt;=1,X386&lt;=1,Y386&lt;=1,AB386&lt;=1),"YES","NO"))</f>
        <v/>
      </c>
      <c r="AM386" s="7">
        <f>IF(AK386="","",IF(AND(AK386="NO",AJ386&gt;=0.85),"YES","NO"))</f>
        <v/>
      </c>
      <c r="AN386" s="7">
        <f>IF(AJ386="","",IF(AJ386&gt;=0.90,"Excellent",IF(AJ386&gt;=0.80,"Good",IF(AJ386&gt;=0.70,"Fair","Poor"))))</f>
        <v/>
      </c>
      <c r="AO386" s="12" t="n"/>
      <c r="AP386" s="12" t="n"/>
      <c r="AQ386" s="12" t="n"/>
      <c r="AR386" s="12" t="n"/>
      <c r="AS386" s="12" t="n"/>
      <c r="AT386" s="12" t="n"/>
      <c r="AU386" s="12" t="n"/>
      <c r="AV386" s="11" t="n"/>
      <c r="AW386" s="12" t="n"/>
      <c r="AX386" s="12" t="n"/>
      <c r="AY386" s="12" t="n"/>
      <c r="AZ386" s="12" t="n"/>
      <c r="BA386" s="12" t="n"/>
      <c r="BB386" s="12" t="n"/>
      <c r="BC386" s="12" t="n"/>
      <c r="BD386" s="12" t="n"/>
      <c r="BE386" s="12" t="n"/>
      <c r="BF386" s="12" t="n"/>
    </row>
    <row r="387">
      <c r="A387" s="7">
        <f>IF(B387="","","INS-"&amp;TEXT(ROW()-3,"000"))</f>
        <v/>
      </c>
      <c r="B387" s="11" t="n"/>
      <c r="C387" s="7">
        <f>IF(B387="","",ISOWEEKNUM(B387))</f>
        <v/>
      </c>
      <c r="D387" s="7">
        <f>IF(B387="","",TEXT(B387,"yyyy-mm"))</f>
        <v/>
      </c>
      <c r="E387" s="12" t="n"/>
      <c r="F387" s="12" t="n"/>
      <c r="G387" s="7">
        <f>IF(OR(E387="",F387=""),"",IF(COUNTIF(Cluster_Master!$I$3:$I$17,E387&amp;"|"&amp;F387)=1,"Valid","Review"))</f>
        <v/>
      </c>
      <c r="H387" s="7">
        <f>IF($G387&lt;&gt;"Valid","",VLOOKUP($E387&amp;"|"&amp;$F387,Cluster_Master!$I$3:$H$17,3,FALSE))</f>
        <v/>
      </c>
      <c r="I387" s="7">
        <f>IF($G387&lt;&gt;"Valid","",VLOOKUP($E387&amp;"|"&amp;$F387,Cluster_Master!$I$3:$H$17,4,FALSE))</f>
        <v/>
      </c>
      <c r="J387" s="7">
        <f>IF($G387&lt;&gt;"Valid","",VLOOKUP($E387&amp;"|"&amp;$F387,Cluster_Master!$I$3:$H$17,5,FALSE))</f>
        <v/>
      </c>
      <c r="K387" s="7">
        <f>IF($G387&lt;&gt;"Valid","",VLOOKUP($E387&amp;"|"&amp;$F387,Cluster_Master!$I$3:$H$17,6,FALSE))</f>
        <v/>
      </c>
      <c r="L387" s="7">
        <f>IF($G387&lt;&gt;"Valid","",VLOOKUP($E387&amp;"|"&amp;$F387,Cluster_Master!$I$3:$H$17,7,FALSE))</f>
        <v/>
      </c>
      <c r="M387" s="7">
        <f>IF($G387&lt;&gt;"Valid","",VLOOKUP($E387&amp;"|"&amp;$F387,Cluster_Master!$I$3:$H$17,8,FALSE))</f>
        <v/>
      </c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7">
        <f>IF(COUNT(T387:AH387)=0,"",SUM(T387:AH387))</f>
        <v/>
      </c>
      <c r="AJ387" s="10">
        <f>IF(AI387="","",AI387/75)</f>
        <v/>
      </c>
      <c r="AK387" s="10">
        <f>IF(AI387="","",SUMPRODUCT(T387:AH387,KPI_Weights!$B$3:$B$17)/5)</f>
        <v/>
      </c>
      <c r="AL387" s="7">
        <f>IF(COUNT(T387:AH387)=0,"",IF(OR(T387&lt;=1,W387&lt;=1,X387&lt;=1,Y387&lt;=1,AB387&lt;=1),"YES","NO"))</f>
        <v/>
      </c>
      <c r="AM387" s="7">
        <f>IF(AK387="","",IF(AND(AK387="NO",AJ387&gt;=0.85),"YES","NO"))</f>
        <v/>
      </c>
      <c r="AN387" s="7">
        <f>IF(AJ387="","",IF(AJ387&gt;=0.90,"Excellent",IF(AJ387&gt;=0.80,"Good",IF(AJ387&gt;=0.70,"Fair","Poor"))))</f>
        <v/>
      </c>
      <c r="AO387" s="12" t="n"/>
      <c r="AP387" s="12" t="n"/>
      <c r="AQ387" s="12" t="n"/>
      <c r="AR387" s="12" t="n"/>
      <c r="AS387" s="12" t="n"/>
      <c r="AT387" s="12" t="n"/>
      <c r="AU387" s="12" t="n"/>
      <c r="AV387" s="11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12" t="n"/>
    </row>
    <row r="388">
      <c r="A388" s="7">
        <f>IF(B388="","","INS-"&amp;TEXT(ROW()-3,"000"))</f>
        <v/>
      </c>
      <c r="B388" s="11" t="n"/>
      <c r="C388" s="7">
        <f>IF(B388="","",ISOWEEKNUM(B388))</f>
        <v/>
      </c>
      <c r="D388" s="7">
        <f>IF(B388="","",TEXT(B388,"yyyy-mm"))</f>
        <v/>
      </c>
      <c r="E388" s="12" t="n"/>
      <c r="F388" s="12" t="n"/>
      <c r="G388" s="7">
        <f>IF(OR(E388="",F388=""),"",IF(COUNTIF(Cluster_Master!$I$3:$I$17,E388&amp;"|"&amp;F388)=1,"Valid","Review"))</f>
        <v/>
      </c>
      <c r="H388" s="7">
        <f>IF($G388&lt;&gt;"Valid","",VLOOKUP($E388&amp;"|"&amp;$F388,Cluster_Master!$I$3:$H$17,3,FALSE))</f>
        <v/>
      </c>
      <c r="I388" s="7">
        <f>IF($G388&lt;&gt;"Valid","",VLOOKUP($E388&amp;"|"&amp;$F388,Cluster_Master!$I$3:$H$17,4,FALSE))</f>
        <v/>
      </c>
      <c r="J388" s="7">
        <f>IF($G388&lt;&gt;"Valid","",VLOOKUP($E388&amp;"|"&amp;$F388,Cluster_Master!$I$3:$H$17,5,FALSE))</f>
        <v/>
      </c>
      <c r="K388" s="7">
        <f>IF($G388&lt;&gt;"Valid","",VLOOKUP($E388&amp;"|"&amp;$F388,Cluster_Master!$I$3:$H$17,6,FALSE))</f>
        <v/>
      </c>
      <c r="L388" s="7">
        <f>IF($G388&lt;&gt;"Valid","",VLOOKUP($E388&amp;"|"&amp;$F388,Cluster_Master!$I$3:$H$17,7,FALSE))</f>
        <v/>
      </c>
      <c r="M388" s="7">
        <f>IF($G388&lt;&gt;"Valid","",VLOOKUP($E388&amp;"|"&amp;$F388,Cluster_Master!$I$3:$H$17,8,FALSE))</f>
        <v/>
      </c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7">
        <f>IF(COUNT(T388:AH388)=0,"",SUM(T388:AH388))</f>
        <v/>
      </c>
      <c r="AJ388" s="10">
        <f>IF(AI388="","",AI388/75)</f>
        <v/>
      </c>
      <c r="AK388" s="10">
        <f>IF(AI388="","",SUMPRODUCT(T388:AH388,KPI_Weights!$B$3:$B$17)/5)</f>
        <v/>
      </c>
      <c r="AL388" s="7">
        <f>IF(COUNT(T388:AH388)=0,"",IF(OR(T388&lt;=1,W388&lt;=1,X388&lt;=1,Y388&lt;=1,AB388&lt;=1),"YES","NO"))</f>
        <v/>
      </c>
      <c r="AM388" s="7">
        <f>IF(AK388="","",IF(AND(AK388="NO",AJ388&gt;=0.85),"YES","NO"))</f>
        <v/>
      </c>
      <c r="AN388" s="7">
        <f>IF(AJ388="","",IF(AJ388&gt;=0.90,"Excellent",IF(AJ388&gt;=0.80,"Good",IF(AJ388&gt;=0.70,"Fair","Poor"))))</f>
        <v/>
      </c>
      <c r="AO388" s="12" t="n"/>
      <c r="AP388" s="12" t="n"/>
      <c r="AQ388" s="12" t="n"/>
      <c r="AR388" s="12" t="n"/>
      <c r="AS388" s="12" t="n"/>
      <c r="AT388" s="12" t="n"/>
      <c r="AU388" s="12" t="n"/>
      <c r="AV388" s="11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  <c r="BF388" s="12" t="n"/>
    </row>
    <row r="389">
      <c r="A389" s="7">
        <f>IF(B389="","","INS-"&amp;TEXT(ROW()-3,"000"))</f>
        <v/>
      </c>
      <c r="B389" s="11" t="n"/>
      <c r="C389" s="7">
        <f>IF(B389="","",ISOWEEKNUM(B389))</f>
        <v/>
      </c>
      <c r="D389" s="7">
        <f>IF(B389="","",TEXT(B389,"yyyy-mm"))</f>
        <v/>
      </c>
      <c r="E389" s="12" t="n"/>
      <c r="F389" s="12" t="n"/>
      <c r="G389" s="7">
        <f>IF(OR(E389="",F389=""),"",IF(COUNTIF(Cluster_Master!$I$3:$I$17,E389&amp;"|"&amp;F389)=1,"Valid","Review"))</f>
        <v/>
      </c>
      <c r="H389" s="7">
        <f>IF($G389&lt;&gt;"Valid","",VLOOKUP($E389&amp;"|"&amp;$F389,Cluster_Master!$I$3:$H$17,3,FALSE))</f>
        <v/>
      </c>
      <c r="I389" s="7">
        <f>IF($G389&lt;&gt;"Valid","",VLOOKUP($E389&amp;"|"&amp;$F389,Cluster_Master!$I$3:$H$17,4,FALSE))</f>
        <v/>
      </c>
      <c r="J389" s="7">
        <f>IF($G389&lt;&gt;"Valid","",VLOOKUP($E389&amp;"|"&amp;$F389,Cluster_Master!$I$3:$H$17,5,FALSE))</f>
        <v/>
      </c>
      <c r="K389" s="7">
        <f>IF($G389&lt;&gt;"Valid","",VLOOKUP($E389&amp;"|"&amp;$F389,Cluster_Master!$I$3:$H$17,6,FALSE))</f>
        <v/>
      </c>
      <c r="L389" s="7">
        <f>IF($G389&lt;&gt;"Valid","",VLOOKUP($E389&amp;"|"&amp;$F389,Cluster_Master!$I$3:$H$17,7,FALSE))</f>
        <v/>
      </c>
      <c r="M389" s="7">
        <f>IF($G389&lt;&gt;"Valid","",VLOOKUP($E389&amp;"|"&amp;$F389,Cluster_Master!$I$3:$H$17,8,FALSE))</f>
        <v/>
      </c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7">
        <f>IF(COUNT(T389:AH389)=0,"",SUM(T389:AH389))</f>
        <v/>
      </c>
      <c r="AJ389" s="10">
        <f>IF(AI389="","",AI389/75)</f>
        <v/>
      </c>
      <c r="AK389" s="10">
        <f>IF(AI389="","",SUMPRODUCT(T389:AH389,KPI_Weights!$B$3:$B$17)/5)</f>
        <v/>
      </c>
      <c r="AL389" s="7">
        <f>IF(COUNT(T389:AH389)=0,"",IF(OR(T389&lt;=1,W389&lt;=1,X389&lt;=1,Y389&lt;=1,AB389&lt;=1),"YES","NO"))</f>
        <v/>
      </c>
      <c r="AM389" s="7">
        <f>IF(AK389="","",IF(AND(AK389="NO",AJ389&gt;=0.85),"YES","NO"))</f>
        <v/>
      </c>
      <c r="AN389" s="7">
        <f>IF(AJ389="","",IF(AJ389&gt;=0.90,"Excellent",IF(AJ389&gt;=0.80,"Good",IF(AJ389&gt;=0.70,"Fair","Poor"))))</f>
        <v/>
      </c>
      <c r="AO389" s="12" t="n"/>
      <c r="AP389" s="12" t="n"/>
      <c r="AQ389" s="12" t="n"/>
      <c r="AR389" s="12" t="n"/>
      <c r="AS389" s="12" t="n"/>
      <c r="AT389" s="12" t="n"/>
      <c r="AU389" s="12" t="n"/>
      <c r="AV389" s="11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  <c r="BF389" s="12" t="n"/>
    </row>
    <row r="390">
      <c r="A390" s="7">
        <f>IF(B390="","","INS-"&amp;TEXT(ROW()-3,"000"))</f>
        <v/>
      </c>
      <c r="B390" s="11" t="n"/>
      <c r="C390" s="7">
        <f>IF(B390="","",ISOWEEKNUM(B390))</f>
        <v/>
      </c>
      <c r="D390" s="7">
        <f>IF(B390="","",TEXT(B390,"yyyy-mm"))</f>
        <v/>
      </c>
      <c r="E390" s="12" t="n"/>
      <c r="F390" s="12" t="n"/>
      <c r="G390" s="7">
        <f>IF(OR(E390="",F390=""),"",IF(COUNTIF(Cluster_Master!$I$3:$I$17,E390&amp;"|"&amp;F390)=1,"Valid","Review"))</f>
        <v/>
      </c>
      <c r="H390" s="7">
        <f>IF($G390&lt;&gt;"Valid","",VLOOKUP($E390&amp;"|"&amp;$F390,Cluster_Master!$I$3:$H$17,3,FALSE))</f>
        <v/>
      </c>
      <c r="I390" s="7">
        <f>IF($G390&lt;&gt;"Valid","",VLOOKUP($E390&amp;"|"&amp;$F390,Cluster_Master!$I$3:$H$17,4,FALSE))</f>
        <v/>
      </c>
      <c r="J390" s="7">
        <f>IF($G390&lt;&gt;"Valid","",VLOOKUP($E390&amp;"|"&amp;$F390,Cluster_Master!$I$3:$H$17,5,FALSE))</f>
        <v/>
      </c>
      <c r="K390" s="7">
        <f>IF($G390&lt;&gt;"Valid","",VLOOKUP($E390&amp;"|"&amp;$F390,Cluster_Master!$I$3:$H$17,6,FALSE))</f>
        <v/>
      </c>
      <c r="L390" s="7">
        <f>IF($G390&lt;&gt;"Valid","",VLOOKUP($E390&amp;"|"&amp;$F390,Cluster_Master!$I$3:$H$17,7,FALSE))</f>
        <v/>
      </c>
      <c r="M390" s="7">
        <f>IF($G390&lt;&gt;"Valid","",VLOOKUP($E390&amp;"|"&amp;$F390,Cluster_Master!$I$3:$H$17,8,FALSE))</f>
        <v/>
      </c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7">
        <f>IF(COUNT(T390:AH390)=0,"",SUM(T390:AH390))</f>
        <v/>
      </c>
      <c r="AJ390" s="10">
        <f>IF(AI390="","",AI390/75)</f>
        <v/>
      </c>
      <c r="AK390" s="10">
        <f>IF(AI390="","",SUMPRODUCT(T390:AH390,KPI_Weights!$B$3:$B$17)/5)</f>
        <v/>
      </c>
      <c r="AL390" s="7">
        <f>IF(COUNT(T390:AH390)=0,"",IF(OR(T390&lt;=1,W390&lt;=1,X390&lt;=1,Y390&lt;=1,AB390&lt;=1),"YES","NO"))</f>
        <v/>
      </c>
      <c r="AM390" s="7">
        <f>IF(AK390="","",IF(AND(AK390="NO",AJ390&gt;=0.85),"YES","NO"))</f>
        <v/>
      </c>
      <c r="AN390" s="7">
        <f>IF(AJ390="","",IF(AJ390&gt;=0.90,"Excellent",IF(AJ390&gt;=0.80,"Good",IF(AJ390&gt;=0.70,"Fair","Poor"))))</f>
        <v/>
      </c>
      <c r="AO390" s="12" t="n"/>
      <c r="AP390" s="12" t="n"/>
      <c r="AQ390" s="12" t="n"/>
      <c r="AR390" s="12" t="n"/>
      <c r="AS390" s="12" t="n"/>
      <c r="AT390" s="12" t="n"/>
      <c r="AU390" s="12" t="n"/>
      <c r="AV390" s="11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  <c r="BF390" s="12" t="n"/>
    </row>
    <row r="391">
      <c r="A391" s="7">
        <f>IF(B391="","","INS-"&amp;TEXT(ROW()-3,"000"))</f>
        <v/>
      </c>
      <c r="B391" s="11" t="n"/>
      <c r="C391" s="7">
        <f>IF(B391="","",ISOWEEKNUM(B391))</f>
        <v/>
      </c>
      <c r="D391" s="7">
        <f>IF(B391="","",TEXT(B391,"yyyy-mm"))</f>
        <v/>
      </c>
      <c r="E391" s="12" t="n"/>
      <c r="F391" s="12" t="n"/>
      <c r="G391" s="7">
        <f>IF(OR(E391="",F391=""),"",IF(COUNTIF(Cluster_Master!$I$3:$I$17,E391&amp;"|"&amp;F391)=1,"Valid","Review"))</f>
        <v/>
      </c>
      <c r="H391" s="7">
        <f>IF($G391&lt;&gt;"Valid","",VLOOKUP($E391&amp;"|"&amp;$F391,Cluster_Master!$I$3:$H$17,3,FALSE))</f>
        <v/>
      </c>
      <c r="I391" s="7">
        <f>IF($G391&lt;&gt;"Valid","",VLOOKUP($E391&amp;"|"&amp;$F391,Cluster_Master!$I$3:$H$17,4,FALSE))</f>
        <v/>
      </c>
      <c r="J391" s="7">
        <f>IF($G391&lt;&gt;"Valid","",VLOOKUP($E391&amp;"|"&amp;$F391,Cluster_Master!$I$3:$H$17,5,FALSE))</f>
        <v/>
      </c>
      <c r="K391" s="7">
        <f>IF($G391&lt;&gt;"Valid","",VLOOKUP($E391&amp;"|"&amp;$F391,Cluster_Master!$I$3:$H$17,6,FALSE))</f>
        <v/>
      </c>
      <c r="L391" s="7">
        <f>IF($G391&lt;&gt;"Valid","",VLOOKUP($E391&amp;"|"&amp;$F391,Cluster_Master!$I$3:$H$17,7,FALSE))</f>
        <v/>
      </c>
      <c r="M391" s="7">
        <f>IF($G391&lt;&gt;"Valid","",VLOOKUP($E391&amp;"|"&amp;$F391,Cluster_Master!$I$3:$H$17,8,FALSE))</f>
        <v/>
      </c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7">
        <f>IF(COUNT(T391:AH391)=0,"",SUM(T391:AH391))</f>
        <v/>
      </c>
      <c r="AJ391" s="10">
        <f>IF(AI391="","",AI391/75)</f>
        <v/>
      </c>
      <c r="AK391" s="10">
        <f>IF(AI391="","",SUMPRODUCT(T391:AH391,KPI_Weights!$B$3:$B$17)/5)</f>
        <v/>
      </c>
      <c r="AL391" s="7">
        <f>IF(COUNT(T391:AH391)=0,"",IF(OR(T391&lt;=1,W391&lt;=1,X391&lt;=1,Y391&lt;=1,AB391&lt;=1),"YES","NO"))</f>
        <v/>
      </c>
      <c r="AM391" s="7">
        <f>IF(AK391="","",IF(AND(AK391="NO",AJ391&gt;=0.85),"YES","NO"))</f>
        <v/>
      </c>
      <c r="AN391" s="7">
        <f>IF(AJ391="","",IF(AJ391&gt;=0.90,"Excellent",IF(AJ391&gt;=0.80,"Good",IF(AJ391&gt;=0.70,"Fair","Poor"))))</f>
        <v/>
      </c>
      <c r="AO391" s="12" t="n"/>
      <c r="AP391" s="12" t="n"/>
      <c r="AQ391" s="12" t="n"/>
      <c r="AR391" s="12" t="n"/>
      <c r="AS391" s="12" t="n"/>
      <c r="AT391" s="12" t="n"/>
      <c r="AU391" s="12" t="n"/>
      <c r="AV391" s="11" t="n"/>
      <c r="AW391" s="12" t="n"/>
      <c r="AX391" s="12" t="n"/>
      <c r="AY391" s="12" t="n"/>
      <c r="AZ391" s="12" t="n"/>
      <c r="BA391" s="12" t="n"/>
      <c r="BB391" s="12" t="n"/>
      <c r="BC391" s="12" t="n"/>
      <c r="BD391" s="12" t="n"/>
      <c r="BE391" s="12" t="n"/>
      <c r="BF391" s="12" t="n"/>
    </row>
    <row r="392">
      <c r="A392" s="7">
        <f>IF(B392="","","INS-"&amp;TEXT(ROW()-3,"000"))</f>
        <v/>
      </c>
      <c r="B392" s="11" t="n"/>
      <c r="C392" s="7">
        <f>IF(B392="","",ISOWEEKNUM(B392))</f>
        <v/>
      </c>
      <c r="D392" s="7">
        <f>IF(B392="","",TEXT(B392,"yyyy-mm"))</f>
        <v/>
      </c>
      <c r="E392" s="12" t="n"/>
      <c r="F392" s="12" t="n"/>
      <c r="G392" s="7">
        <f>IF(OR(E392="",F392=""),"",IF(COUNTIF(Cluster_Master!$I$3:$I$17,E392&amp;"|"&amp;F392)=1,"Valid","Review"))</f>
        <v/>
      </c>
      <c r="H392" s="7">
        <f>IF($G392&lt;&gt;"Valid","",VLOOKUP($E392&amp;"|"&amp;$F392,Cluster_Master!$I$3:$H$17,3,FALSE))</f>
        <v/>
      </c>
      <c r="I392" s="7">
        <f>IF($G392&lt;&gt;"Valid","",VLOOKUP($E392&amp;"|"&amp;$F392,Cluster_Master!$I$3:$H$17,4,FALSE))</f>
        <v/>
      </c>
      <c r="J392" s="7">
        <f>IF($G392&lt;&gt;"Valid","",VLOOKUP($E392&amp;"|"&amp;$F392,Cluster_Master!$I$3:$H$17,5,FALSE))</f>
        <v/>
      </c>
      <c r="K392" s="7">
        <f>IF($G392&lt;&gt;"Valid","",VLOOKUP($E392&amp;"|"&amp;$F392,Cluster_Master!$I$3:$H$17,6,FALSE))</f>
        <v/>
      </c>
      <c r="L392" s="7">
        <f>IF($G392&lt;&gt;"Valid","",VLOOKUP($E392&amp;"|"&amp;$F392,Cluster_Master!$I$3:$H$17,7,FALSE))</f>
        <v/>
      </c>
      <c r="M392" s="7">
        <f>IF($G392&lt;&gt;"Valid","",VLOOKUP($E392&amp;"|"&amp;$F392,Cluster_Master!$I$3:$H$17,8,FALSE))</f>
        <v/>
      </c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7">
        <f>IF(COUNT(T392:AH392)=0,"",SUM(T392:AH392))</f>
        <v/>
      </c>
      <c r="AJ392" s="10">
        <f>IF(AI392="","",AI392/75)</f>
        <v/>
      </c>
      <c r="AK392" s="10">
        <f>IF(AI392="","",SUMPRODUCT(T392:AH392,KPI_Weights!$B$3:$B$17)/5)</f>
        <v/>
      </c>
      <c r="AL392" s="7">
        <f>IF(COUNT(T392:AH392)=0,"",IF(OR(T392&lt;=1,W392&lt;=1,X392&lt;=1,Y392&lt;=1,AB392&lt;=1),"YES","NO"))</f>
        <v/>
      </c>
      <c r="AM392" s="7">
        <f>IF(AK392="","",IF(AND(AK392="NO",AJ392&gt;=0.85),"YES","NO"))</f>
        <v/>
      </c>
      <c r="AN392" s="7">
        <f>IF(AJ392="","",IF(AJ392&gt;=0.90,"Excellent",IF(AJ392&gt;=0.80,"Good",IF(AJ392&gt;=0.70,"Fair","Poor"))))</f>
        <v/>
      </c>
      <c r="AO392" s="12" t="n"/>
      <c r="AP392" s="12" t="n"/>
      <c r="AQ392" s="12" t="n"/>
      <c r="AR392" s="12" t="n"/>
      <c r="AS392" s="12" t="n"/>
      <c r="AT392" s="12" t="n"/>
      <c r="AU392" s="12" t="n"/>
      <c r="AV392" s="11" t="n"/>
      <c r="AW392" s="12" t="n"/>
      <c r="AX392" s="12" t="n"/>
      <c r="AY392" s="12" t="n"/>
      <c r="AZ392" s="12" t="n"/>
      <c r="BA392" s="12" t="n"/>
      <c r="BB392" s="12" t="n"/>
      <c r="BC392" s="12" t="n"/>
      <c r="BD392" s="12" t="n"/>
      <c r="BE392" s="12" t="n"/>
      <c r="BF392" s="12" t="n"/>
    </row>
    <row r="393">
      <c r="A393" s="7">
        <f>IF(B393="","","INS-"&amp;TEXT(ROW()-3,"000"))</f>
        <v/>
      </c>
      <c r="B393" s="11" t="n"/>
      <c r="C393" s="7">
        <f>IF(B393="","",ISOWEEKNUM(B393))</f>
        <v/>
      </c>
      <c r="D393" s="7">
        <f>IF(B393="","",TEXT(B393,"yyyy-mm"))</f>
        <v/>
      </c>
      <c r="E393" s="12" t="n"/>
      <c r="F393" s="12" t="n"/>
      <c r="G393" s="7">
        <f>IF(OR(E393="",F393=""),"",IF(COUNTIF(Cluster_Master!$I$3:$I$17,E393&amp;"|"&amp;F393)=1,"Valid","Review"))</f>
        <v/>
      </c>
      <c r="H393" s="7">
        <f>IF($G393&lt;&gt;"Valid","",VLOOKUP($E393&amp;"|"&amp;$F393,Cluster_Master!$I$3:$H$17,3,FALSE))</f>
        <v/>
      </c>
      <c r="I393" s="7">
        <f>IF($G393&lt;&gt;"Valid","",VLOOKUP($E393&amp;"|"&amp;$F393,Cluster_Master!$I$3:$H$17,4,FALSE))</f>
        <v/>
      </c>
      <c r="J393" s="7">
        <f>IF($G393&lt;&gt;"Valid","",VLOOKUP($E393&amp;"|"&amp;$F393,Cluster_Master!$I$3:$H$17,5,FALSE))</f>
        <v/>
      </c>
      <c r="K393" s="7">
        <f>IF($G393&lt;&gt;"Valid","",VLOOKUP($E393&amp;"|"&amp;$F393,Cluster_Master!$I$3:$H$17,6,FALSE))</f>
        <v/>
      </c>
      <c r="L393" s="7">
        <f>IF($G393&lt;&gt;"Valid","",VLOOKUP($E393&amp;"|"&amp;$F393,Cluster_Master!$I$3:$H$17,7,FALSE))</f>
        <v/>
      </c>
      <c r="M393" s="7">
        <f>IF($G393&lt;&gt;"Valid","",VLOOKUP($E393&amp;"|"&amp;$F393,Cluster_Master!$I$3:$H$17,8,FALSE))</f>
        <v/>
      </c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7">
        <f>IF(COUNT(T393:AH393)=0,"",SUM(T393:AH393))</f>
        <v/>
      </c>
      <c r="AJ393" s="10">
        <f>IF(AI393="","",AI393/75)</f>
        <v/>
      </c>
      <c r="AK393" s="10">
        <f>IF(AI393="","",SUMPRODUCT(T393:AH393,KPI_Weights!$B$3:$B$17)/5)</f>
        <v/>
      </c>
      <c r="AL393" s="7">
        <f>IF(COUNT(T393:AH393)=0,"",IF(OR(T393&lt;=1,W393&lt;=1,X393&lt;=1,Y393&lt;=1,AB393&lt;=1),"YES","NO"))</f>
        <v/>
      </c>
      <c r="AM393" s="7">
        <f>IF(AK393="","",IF(AND(AK393="NO",AJ393&gt;=0.85),"YES","NO"))</f>
        <v/>
      </c>
      <c r="AN393" s="7">
        <f>IF(AJ393="","",IF(AJ393&gt;=0.90,"Excellent",IF(AJ393&gt;=0.80,"Good",IF(AJ393&gt;=0.70,"Fair","Poor"))))</f>
        <v/>
      </c>
      <c r="AO393" s="12" t="n"/>
      <c r="AP393" s="12" t="n"/>
      <c r="AQ393" s="12" t="n"/>
      <c r="AR393" s="12" t="n"/>
      <c r="AS393" s="12" t="n"/>
      <c r="AT393" s="12" t="n"/>
      <c r="AU393" s="12" t="n"/>
      <c r="AV393" s="11" t="n"/>
      <c r="AW393" s="12" t="n"/>
      <c r="AX393" s="12" t="n"/>
      <c r="AY393" s="12" t="n"/>
      <c r="AZ393" s="12" t="n"/>
      <c r="BA393" s="12" t="n"/>
      <c r="BB393" s="12" t="n"/>
      <c r="BC393" s="12" t="n"/>
      <c r="BD393" s="12" t="n"/>
      <c r="BE393" s="12" t="n"/>
      <c r="BF393" s="12" t="n"/>
    </row>
    <row r="394">
      <c r="A394" s="7">
        <f>IF(B394="","","INS-"&amp;TEXT(ROW()-3,"000"))</f>
        <v/>
      </c>
      <c r="B394" s="11" t="n"/>
      <c r="C394" s="7">
        <f>IF(B394="","",ISOWEEKNUM(B394))</f>
        <v/>
      </c>
      <c r="D394" s="7">
        <f>IF(B394="","",TEXT(B394,"yyyy-mm"))</f>
        <v/>
      </c>
      <c r="E394" s="12" t="n"/>
      <c r="F394" s="12" t="n"/>
      <c r="G394" s="7">
        <f>IF(OR(E394="",F394=""),"",IF(COUNTIF(Cluster_Master!$I$3:$I$17,E394&amp;"|"&amp;F394)=1,"Valid","Review"))</f>
        <v/>
      </c>
      <c r="H394" s="7">
        <f>IF($G394&lt;&gt;"Valid","",VLOOKUP($E394&amp;"|"&amp;$F394,Cluster_Master!$I$3:$H$17,3,FALSE))</f>
        <v/>
      </c>
      <c r="I394" s="7">
        <f>IF($G394&lt;&gt;"Valid","",VLOOKUP($E394&amp;"|"&amp;$F394,Cluster_Master!$I$3:$H$17,4,FALSE))</f>
        <v/>
      </c>
      <c r="J394" s="7">
        <f>IF($G394&lt;&gt;"Valid","",VLOOKUP($E394&amp;"|"&amp;$F394,Cluster_Master!$I$3:$H$17,5,FALSE))</f>
        <v/>
      </c>
      <c r="K394" s="7">
        <f>IF($G394&lt;&gt;"Valid","",VLOOKUP($E394&amp;"|"&amp;$F394,Cluster_Master!$I$3:$H$17,6,FALSE))</f>
        <v/>
      </c>
      <c r="L394" s="7">
        <f>IF($G394&lt;&gt;"Valid","",VLOOKUP($E394&amp;"|"&amp;$F394,Cluster_Master!$I$3:$H$17,7,FALSE))</f>
        <v/>
      </c>
      <c r="M394" s="7">
        <f>IF($G394&lt;&gt;"Valid","",VLOOKUP($E394&amp;"|"&amp;$F394,Cluster_Master!$I$3:$H$17,8,FALSE))</f>
        <v/>
      </c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7">
        <f>IF(COUNT(T394:AH394)=0,"",SUM(T394:AH394))</f>
        <v/>
      </c>
      <c r="AJ394" s="10">
        <f>IF(AI394="","",AI394/75)</f>
        <v/>
      </c>
      <c r="AK394" s="10">
        <f>IF(AI394="","",SUMPRODUCT(T394:AH394,KPI_Weights!$B$3:$B$17)/5)</f>
        <v/>
      </c>
      <c r="AL394" s="7">
        <f>IF(COUNT(T394:AH394)=0,"",IF(OR(T394&lt;=1,W394&lt;=1,X394&lt;=1,Y394&lt;=1,AB394&lt;=1),"YES","NO"))</f>
        <v/>
      </c>
      <c r="AM394" s="7">
        <f>IF(AK394="","",IF(AND(AK394="NO",AJ394&gt;=0.85),"YES","NO"))</f>
        <v/>
      </c>
      <c r="AN394" s="7">
        <f>IF(AJ394="","",IF(AJ394&gt;=0.90,"Excellent",IF(AJ394&gt;=0.80,"Good",IF(AJ394&gt;=0.70,"Fair","Poor"))))</f>
        <v/>
      </c>
      <c r="AO394" s="12" t="n"/>
      <c r="AP394" s="12" t="n"/>
      <c r="AQ394" s="12" t="n"/>
      <c r="AR394" s="12" t="n"/>
      <c r="AS394" s="12" t="n"/>
      <c r="AT394" s="12" t="n"/>
      <c r="AU394" s="12" t="n"/>
      <c r="AV394" s="11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  <c r="BF394" s="12" t="n"/>
    </row>
    <row r="395">
      <c r="A395" s="7">
        <f>IF(B395="","","INS-"&amp;TEXT(ROW()-3,"000"))</f>
        <v/>
      </c>
      <c r="B395" s="11" t="n"/>
      <c r="C395" s="7">
        <f>IF(B395="","",ISOWEEKNUM(B395))</f>
        <v/>
      </c>
      <c r="D395" s="7">
        <f>IF(B395="","",TEXT(B395,"yyyy-mm"))</f>
        <v/>
      </c>
      <c r="E395" s="12" t="n"/>
      <c r="F395" s="12" t="n"/>
      <c r="G395" s="7">
        <f>IF(OR(E395="",F395=""),"",IF(COUNTIF(Cluster_Master!$I$3:$I$17,E395&amp;"|"&amp;F395)=1,"Valid","Review"))</f>
        <v/>
      </c>
      <c r="H395" s="7">
        <f>IF($G395&lt;&gt;"Valid","",VLOOKUP($E395&amp;"|"&amp;$F395,Cluster_Master!$I$3:$H$17,3,FALSE))</f>
        <v/>
      </c>
      <c r="I395" s="7">
        <f>IF($G395&lt;&gt;"Valid","",VLOOKUP($E395&amp;"|"&amp;$F395,Cluster_Master!$I$3:$H$17,4,FALSE))</f>
        <v/>
      </c>
      <c r="J395" s="7">
        <f>IF($G395&lt;&gt;"Valid","",VLOOKUP($E395&amp;"|"&amp;$F395,Cluster_Master!$I$3:$H$17,5,FALSE))</f>
        <v/>
      </c>
      <c r="K395" s="7">
        <f>IF($G395&lt;&gt;"Valid","",VLOOKUP($E395&amp;"|"&amp;$F395,Cluster_Master!$I$3:$H$17,6,FALSE))</f>
        <v/>
      </c>
      <c r="L395" s="7">
        <f>IF($G395&lt;&gt;"Valid","",VLOOKUP($E395&amp;"|"&amp;$F395,Cluster_Master!$I$3:$H$17,7,FALSE))</f>
        <v/>
      </c>
      <c r="M395" s="7">
        <f>IF($G395&lt;&gt;"Valid","",VLOOKUP($E395&amp;"|"&amp;$F395,Cluster_Master!$I$3:$H$17,8,FALSE))</f>
        <v/>
      </c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7">
        <f>IF(COUNT(T395:AH395)=0,"",SUM(T395:AH395))</f>
        <v/>
      </c>
      <c r="AJ395" s="10">
        <f>IF(AI395="","",AI395/75)</f>
        <v/>
      </c>
      <c r="AK395" s="10">
        <f>IF(AI395="","",SUMPRODUCT(T395:AH395,KPI_Weights!$B$3:$B$17)/5)</f>
        <v/>
      </c>
      <c r="AL395" s="7">
        <f>IF(COUNT(T395:AH395)=0,"",IF(OR(T395&lt;=1,W395&lt;=1,X395&lt;=1,Y395&lt;=1,AB395&lt;=1),"YES","NO"))</f>
        <v/>
      </c>
      <c r="AM395" s="7">
        <f>IF(AK395="","",IF(AND(AK395="NO",AJ395&gt;=0.85),"YES","NO"))</f>
        <v/>
      </c>
      <c r="AN395" s="7">
        <f>IF(AJ395="","",IF(AJ395&gt;=0.90,"Excellent",IF(AJ395&gt;=0.80,"Good",IF(AJ395&gt;=0.70,"Fair","Poor"))))</f>
        <v/>
      </c>
      <c r="AO395" s="12" t="n"/>
      <c r="AP395" s="12" t="n"/>
      <c r="AQ395" s="12" t="n"/>
      <c r="AR395" s="12" t="n"/>
      <c r="AS395" s="12" t="n"/>
      <c r="AT395" s="12" t="n"/>
      <c r="AU395" s="12" t="n"/>
      <c r="AV395" s="11" t="n"/>
      <c r="AW395" s="12" t="n"/>
      <c r="AX395" s="12" t="n"/>
      <c r="AY395" s="12" t="n"/>
      <c r="AZ395" s="12" t="n"/>
      <c r="BA395" s="12" t="n"/>
      <c r="BB395" s="12" t="n"/>
      <c r="BC395" s="12" t="n"/>
      <c r="BD395" s="12" t="n"/>
      <c r="BE395" s="12" t="n"/>
      <c r="BF395" s="12" t="n"/>
    </row>
    <row r="396">
      <c r="A396" s="7">
        <f>IF(B396="","","INS-"&amp;TEXT(ROW()-3,"000"))</f>
        <v/>
      </c>
      <c r="B396" s="11" t="n"/>
      <c r="C396" s="7">
        <f>IF(B396="","",ISOWEEKNUM(B396))</f>
        <v/>
      </c>
      <c r="D396" s="7">
        <f>IF(B396="","",TEXT(B396,"yyyy-mm"))</f>
        <v/>
      </c>
      <c r="E396" s="12" t="n"/>
      <c r="F396" s="12" t="n"/>
      <c r="G396" s="7">
        <f>IF(OR(E396="",F396=""),"",IF(COUNTIF(Cluster_Master!$I$3:$I$17,E396&amp;"|"&amp;F396)=1,"Valid","Review"))</f>
        <v/>
      </c>
      <c r="H396" s="7">
        <f>IF($G396&lt;&gt;"Valid","",VLOOKUP($E396&amp;"|"&amp;$F396,Cluster_Master!$I$3:$H$17,3,FALSE))</f>
        <v/>
      </c>
      <c r="I396" s="7">
        <f>IF($G396&lt;&gt;"Valid","",VLOOKUP($E396&amp;"|"&amp;$F396,Cluster_Master!$I$3:$H$17,4,FALSE))</f>
        <v/>
      </c>
      <c r="J396" s="7">
        <f>IF($G396&lt;&gt;"Valid","",VLOOKUP($E396&amp;"|"&amp;$F396,Cluster_Master!$I$3:$H$17,5,FALSE))</f>
        <v/>
      </c>
      <c r="K396" s="7">
        <f>IF($G396&lt;&gt;"Valid","",VLOOKUP($E396&amp;"|"&amp;$F396,Cluster_Master!$I$3:$H$17,6,FALSE))</f>
        <v/>
      </c>
      <c r="L396" s="7">
        <f>IF($G396&lt;&gt;"Valid","",VLOOKUP($E396&amp;"|"&amp;$F396,Cluster_Master!$I$3:$H$17,7,FALSE))</f>
        <v/>
      </c>
      <c r="M396" s="7">
        <f>IF($G396&lt;&gt;"Valid","",VLOOKUP($E396&amp;"|"&amp;$F396,Cluster_Master!$I$3:$H$17,8,FALSE))</f>
        <v/>
      </c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7">
        <f>IF(COUNT(T396:AH396)=0,"",SUM(T396:AH396))</f>
        <v/>
      </c>
      <c r="AJ396" s="10">
        <f>IF(AI396="","",AI396/75)</f>
        <v/>
      </c>
      <c r="AK396" s="10">
        <f>IF(AI396="","",SUMPRODUCT(T396:AH396,KPI_Weights!$B$3:$B$17)/5)</f>
        <v/>
      </c>
      <c r="AL396" s="7">
        <f>IF(COUNT(T396:AH396)=0,"",IF(OR(T396&lt;=1,W396&lt;=1,X396&lt;=1,Y396&lt;=1,AB396&lt;=1),"YES","NO"))</f>
        <v/>
      </c>
      <c r="AM396" s="7">
        <f>IF(AK396="","",IF(AND(AK396="NO",AJ396&gt;=0.85),"YES","NO"))</f>
        <v/>
      </c>
      <c r="AN396" s="7">
        <f>IF(AJ396="","",IF(AJ396&gt;=0.90,"Excellent",IF(AJ396&gt;=0.80,"Good",IF(AJ396&gt;=0.70,"Fair","Poor"))))</f>
        <v/>
      </c>
      <c r="AO396" s="12" t="n"/>
      <c r="AP396" s="12" t="n"/>
      <c r="AQ396" s="12" t="n"/>
      <c r="AR396" s="12" t="n"/>
      <c r="AS396" s="12" t="n"/>
      <c r="AT396" s="12" t="n"/>
      <c r="AU396" s="12" t="n"/>
      <c r="AV396" s="11" t="n"/>
      <c r="AW396" s="12" t="n"/>
      <c r="AX396" s="12" t="n"/>
      <c r="AY396" s="12" t="n"/>
      <c r="AZ396" s="12" t="n"/>
      <c r="BA396" s="12" t="n"/>
      <c r="BB396" s="12" t="n"/>
      <c r="BC396" s="12" t="n"/>
      <c r="BD396" s="12" t="n"/>
      <c r="BE396" s="12" t="n"/>
      <c r="BF396" s="12" t="n"/>
    </row>
    <row r="397">
      <c r="A397" s="7">
        <f>IF(B397="","","INS-"&amp;TEXT(ROW()-3,"000"))</f>
        <v/>
      </c>
      <c r="B397" s="11" t="n"/>
      <c r="C397" s="7">
        <f>IF(B397="","",ISOWEEKNUM(B397))</f>
        <v/>
      </c>
      <c r="D397" s="7">
        <f>IF(B397="","",TEXT(B397,"yyyy-mm"))</f>
        <v/>
      </c>
      <c r="E397" s="12" t="n"/>
      <c r="F397" s="12" t="n"/>
      <c r="G397" s="7">
        <f>IF(OR(E397="",F397=""),"",IF(COUNTIF(Cluster_Master!$I$3:$I$17,E397&amp;"|"&amp;F397)=1,"Valid","Review"))</f>
        <v/>
      </c>
      <c r="H397" s="7">
        <f>IF($G397&lt;&gt;"Valid","",VLOOKUP($E397&amp;"|"&amp;$F397,Cluster_Master!$I$3:$H$17,3,FALSE))</f>
        <v/>
      </c>
      <c r="I397" s="7">
        <f>IF($G397&lt;&gt;"Valid","",VLOOKUP($E397&amp;"|"&amp;$F397,Cluster_Master!$I$3:$H$17,4,FALSE))</f>
        <v/>
      </c>
      <c r="J397" s="7">
        <f>IF($G397&lt;&gt;"Valid","",VLOOKUP($E397&amp;"|"&amp;$F397,Cluster_Master!$I$3:$H$17,5,FALSE))</f>
        <v/>
      </c>
      <c r="K397" s="7">
        <f>IF($G397&lt;&gt;"Valid","",VLOOKUP($E397&amp;"|"&amp;$F397,Cluster_Master!$I$3:$H$17,6,FALSE))</f>
        <v/>
      </c>
      <c r="L397" s="7">
        <f>IF($G397&lt;&gt;"Valid","",VLOOKUP($E397&amp;"|"&amp;$F397,Cluster_Master!$I$3:$H$17,7,FALSE))</f>
        <v/>
      </c>
      <c r="M397" s="7">
        <f>IF($G397&lt;&gt;"Valid","",VLOOKUP($E397&amp;"|"&amp;$F397,Cluster_Master!$I$3:$H$17,8,FALSE))</f>
        <v/>
      </c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7">
        <f>IF(COUNT(T397:AH397)=0,"",SUM(T397:AH397))</f>
        <v/>
      </c>
      <c r="AJ397" s="10">
        <f>IF(AI397="","",AI397/75)</f>
        <v/>
      </c>
      <c r="AK397" s="10">
        <f>IF(AI397="","",SUMPRODUCT(T397:AH397,KPI_Weights!$B$3:$B$17)/5)</f>
        <v/>
      </c>
      <c r="AL397" s="7">
        <f>IF(COUNT(T397:AH397)=0,"",IF(OR(T397&lt;=1,W397&lt;=1,X397&lt;=1,Y397&lt;=1,AB397&lt;=1),"YES","NO"))</f>
        <v/>
      </c>
      <c r="AM397" s="7">
        <f>IF(AK397="","",IF(AND(AK397="NO",AJ397&gt;=0.85),"YES","NO"))</f>
        <v/>
      </c>
      <c r="AN397" s="7">
        <f>IF(AJ397="","",IF(AJ397&gt;=0.90,"Excellent",IF(AJ397&gt;=0.80,"Good",IF(AJ397&gt;=0.70,"Fair","Poor"))))</f>
        <v/>
      </c>
      <c r="AO397" s="12" t="n"/>
      <c r="AP397" s="12" t="n"/>
      <c r="AQ397" s="12" t="n"/>
      <c r="AR397" s="12" t="n"/>
      <c r="AS397" s="12" t="n"/>
      <c r="AT397" s="12" t="n"/>
      <c r="AU397" s="12" t="n"/>
      <c r="AV397" s="11" t="n"/>
      <c r="AW397" s="12" t="n"/>
      <c r="AX397" s="12" t="n"/>
      <c r="AY397" s="12" t="n"/>
      <c r="AZ397" s="12" t="n"/>
      <c r="BA397" s="12" t="n"/>
      <c r="BB397" s="12" t="n"/>
      <c r="BC397" s="12" t="n"/>
      <c r="BD397" s="12" t="n"/>
      <c r="BE397" s="12" t="n"/>
      <c r="BF397" s="12" t="n"/>
    </row>
    <row r="398">
      <c r="A398" s="7">
        <f>IF(B398="","","INS-"&amp;TEXT(ROW()-3,"000"))</f>
        <v/>
      </c>
      <c r="B398" s="11" t="n"/>
      <c r="C398" s="7">
        <f>IF(B398="","",ISOWEEKNUM(B398))</f>
        <v/>
      </c>
      <c r="D398" s="7">
        <f>IF(B398="","",TEXT(B398,"yyyy-mm"))</f>
        <v/>
      </c>
      <c r="E398" s="12" t="n"/>
      <c r="F398" s="12" t="n"/>
      <c r="G398" s="7">
        <f>IF(OR(E398="",F398=""),"",IF(COUNTIF(Cluster_Master!$I$3:$I$17,E398&amp;"|"&amp;F398)=1,"Valid","Review"))</f>
        <v/>
      </c>
      <c r="H398" s="7">
        <f>IF($G398&lt;&gt;"Valid","",VLOOKUP($E398&amp;"|"&amp;$F398,Cluster_Master!$I$3:$H$17,3,FALSE))</f>
        <v/>
      </c>
      <c r="I398" s="7">
        <f>IF($G398&lt;&gt;"Valid","",VLOOKUP($E398&amp;"|"&amp;$F398,Cluster_Master!$I$3:$H$17,4,FALSE))</f>
        <v/>
      </c>
      <c r="J398" s="7">
        <f>IF($G398&lt;&gt;"Valid","",VLOOKUP($E398&amp;"|"&amp;$F398,Cluster_Master!$I$3:$H$17,5,FALSE))</f>
        <v/>
      </c>
      <c r="K398" s="7">
        <f>IF($G398&lt;&gt;"Valid","",VLOOKUP($E398&amp;"|"&amp;$F398,Cluster_Master!$I$3:$H$17,6,FALSE))</f>
        <v/>
      </c>
      <c r="L398" s="7">
        <f>IF($G398&lt;&gt;"Valid","",VLOOKUP($E398&amp;"|"&amp;$F398,Cluster_Master!$I$3:$H$17,7,FALSE))</f>
        <v/>
      </c>
      <c r="M398" s="7">
        <f>IF($G398&lt;&gt;"Valid","",VLOOKUP($E398&amp;"|"&amp;$F398,Cluster_Master!$I$3:$H$17,8,FALSE))</f>
        <v/>
      </c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7">
        <f>IF(COUNT(T398:AH398)=0,"",SUM(T398:AH398))</f>
        <v/>
      </c>
      <c r="AJ398" s="10">
        <f>IF(AI398="","",AI398/75)</f>
        <v/>
      </c>
      <c r="AK398" s="10">
        <f>IF(AI398="","",SUMPRODUCT(T398:AH398,KPI_Weights!$B$3:$B$17)/5)</f>
        <v/>
      </c>
      <c r="AL398" s="7">
        <f>IF(COUNT(T398:AH398)=0,"",IF(OR(T398&lt;=1,W398&lt;=1,X398&lt;=1,Y398&lt;=1,AB398&lt;=1),"YES","NO"))</f>
        <v/>
      </c>
      <c r="AM398" s="7">
        <f>IF(AK398="","",IF(AND(AK398="NO",AJ398&gt;=0.85),"YES","NO"))</f>
        <v/>
      </c>
      <c r="AN398" s="7">
        <f>IF(AJ398="","",IF(AJ398&gt;=0.90,"Excellent",IF(AJ398&gt;=0.80,"Good",IF(AJ398&gt;=0.70,"Fair","Poor"))))</f>
        <v/>
      </c>
      <c r="AO398" s="12" t="n"/>
      <c r="AP398" s="12" t="n"/>
      <c r="AQ398" s="12" t="n"/>
      <c r="AR398" s="12" t="n"/>
      <c r="AS398" s="12" t="n"/>
      <c r="AT398" s="12" t="n"/>
      <c r="AU398" s="12" t="n"/>
      <c r="AV398" s="11" t="n"/>
      <c r="AW398" s="12" t="n"/>
      <c r="AX398" s="12" t="n"/>
      <c r="AY398" s="12" t="n"/>
      <c r="AZ398" s="12" t="n"/>
      <c r="BA398" s="12" t="n"/>
      <c r="BB398" s="12" t="n"/>
      <c r="BC398" s="12" t="n"/>
      <c r="BD398" s="12" t="n"/>
      <c r="BE398" s="12" t="n"/>
      <c r="BF398" s="12" t="n"/>
    </row>
    <row r="399">
      <c r="A399" s="7">
        <f>IF(B399="","","INS-"&amp;TEXT(ROW()-3,"000"))</f>
        <v/>
      </c>
      <c r="B399" s="11" t="n"/>
      <c r="C399" s="7">
        <f>IF(B399="","",ISOWEEKNUM(B399))</f>
        <v/>
      </c>
      <c r="D399" s="7">
        <f>IF(B399="","",TEXT(B399,"yyyy-mm"))</f>
        <v/>
      </c>
      <c r="E399" s="12" t="n"/>
      <c r="F399" s="12" t="n"/>
      <c r="G399" s="7">
        <f>IF(OR(E399="",F399=""),"",IF(COUNTIF(Cluster_Master!$I$3:$I$17,E399&amp;"|"&amp;F399)=1,"Valid","Review"))</f>
        <v/>
      </c>
      <c r="H399" s="7">
        <f>IF($G399&lt;&gt;"Valid","",VLOOKUP($E399&amp;"|"&amp;$F399,Cluster_Master!$I$3:$H$17,3,FALSE))</f>
        <v/>
      </c>
      <c r="I399" s="7">
        <f>IF($G399&lt;&gt;"Valid","",VLOOKUP($E399&amp;"|"&amp;$F399,Cluster_Master!$I$3:$H$17,4,FALSE))</f>
        <v/>
      </c>
      <c r="J399" s="7">
        <f>IF($G399&lt;&gt;"Valid","",VLOOKUP($E399&amp;"|"&amp;$F399,Cluster_Master!$I$3:$H$17,5,FALSE))</f>
        <v/>
      </c>
      <c r="K399" s="7">
        <f>IF($G399&lt;&gt;"Valid","",VLOOKUP($E399&amp;"|"&amp;$F399,Cluster_Master!$I$3:$H$17,6,FALSE))</f>
        <v/>
      </c>
      <c r="L399" s="7">
        <f>IF($G399&lt;&gt;"Valid","",VLOOKUP($E399&amp;"|"&amp;$F399,Cluster_Master!$I$3:$H$17,7,FALSE))</f>
        <v/>
      </c>
      <c r="M399" s="7">
        <f>IF($G399&lt;&gt;"Valid","",VLOOKUP($E399&amp;"|"&amp;$F399,Cluster_Master!$I$3:$H$17,8,FALSE))</f>
        <v/>
      </c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7">
        <f>IF(COUNT(T399:AH399)=0,"",SUM(T399:AH399))</f>
        <v/>
      </c>
      <c r="AJ399" s="10">
        <f>IF(AI399="","",AI399/75)</f>
        <v/>
      </c>
      <c r="AK399" s="10">
        <f>IF(AI399="","",SUMPRODUCT(T399:AH399,KPI_Weights!$B$3:$B$17)/5)</f>
        <v/>
      </c>
      <c r="AL399" s="7">
        <f>IF(COUNT(T399:AH399)=0,"",IF(OR(T399&lt;=1,W399&lt;=1,X399&lt;=1,Y399&lt;=1,AB399&lt;=1),"YES","NO"))</f>
        <v/>
      </c>
      <c r="AM399" s="7">
        <f>IF(AK399="","",IF(AND(AK399="NO",AJ399&gt;=0.85),"YES","NO"))</f>
        <v/>
      </c>
      <c r="AN399" s="7">
        <f>IF(AJ399="","",IF(AJ399&gt;=0.90,"Excellent",IF(AJ399&gt;=0.80,"Good",IF(AJ399&gt;=0.70,"Fair","Poor"))))</f>
        <v/>
      </c>
      <c r="AO399" s="12" t="n"/>
      <c r="AP399" s="12" t="n"/>
      <c r="AQ399" s="12" t="n"/>
      <c r="AR399" s="12" t="n"/>
      <c r="AS399" s="12" t="n"/>
      <c r="AT399" s="12" t="n"/>
      <c r="AU399" s="12" t="n"/>
      <c r="AV399" s="11" t="n"/>
      <c r="AW399" s="12" t="n"/>
      <c r="AX399" s="12" t="n"/>
      <c r="AY399" s="12" t="n"/>
      <c r="AZ399" s="12" t="n"/>
      <c r="BA399" s="12" t="n"/>
      <c r="BB399" s="12" t="n"/>
      <c r="BC399" s="12" t="n"/>
      <c r="BD399" s="12" t="n"/>
      <c r="BE399" s="12" t="n"/>
      <c r="BF399" s="12" t="n"/>
    </row>
    <row r="400">
      <c r="A400" s="7">
        <f>IF(B400="","","INS-"&amp;TEXT(ROW()-3,"000"))</f>
        <v/>
      </c>
      <c r="B400" s="11" t="n"/>
      <c r="C400" s="7">
        <f>IF(B400="","",ISOWEEKNUM(B400))</f>
        <v/>
      </c>
      <c r="D400" s="7">
        <f>IF(B400="","",TEXT(B400,"yyyy-mm"))</f>
        <v/>
      </c>
      <c r="E400" s="12" t="n"/>
      <c r="F400" s="12" t="n"/>
      <c r="G400" s="7">
        <f>IF(OR(E400="",F400=""),"",IF(COUNTIF(Cluster_Master!$I$3:$I$17,E400&amp;"|"&amp;F400)=1,"Valid","Review"))</f>
        <v/>
      </c>
      <c r="H400" s="7">
        <f>IF($G400&lt;&gt;"Valid","",VLOOKUP($E400&amp;"|"&amp;$F400,Cluster_Master!$I$3:$H$17,3,FALSE))</f>
        <v/>
      </c>
      <c r="I400" s="7">
        <f>IF($G400&lt;&gt;"Valid","",VLOOKUP($E400&amp;"|"&amp;$F400,Cluster_Master!$I$3:$H$17,4,FALSE))</f>
        <v/>
      </c>
      <c r="J400" s="7">
        <f>IF($G400&lt;&gt;"Valid","",VLOOKUP($E400&amp;"|"&amp;$F400,Cluster_Master!$I$3:$H$17,5,FALSE))</f>
        <v/>
      </c>
      <c r="K400" s="7">
        <f>IF($G400&lt;&gt;"Valid","",VLOOKUP($E400&amp;"|"&amp;$F400,Cluster_Master!$I$3:$H$17,6,FALSE))</f>
        <v/>
      </c>
      <c r="L400" s="7">
        <f>IF($G400&lt;&gt;"Valid","",VLOOKUP($E400&amp;"|"&amp;$F400,Cluster_Master!$I$3:$H$17,7,FALSE))</f>
        <v/>
      </c>
      <c r="M400" s="7">
        <f>IF($G400&lt;&gt;"Valid","",VLOOKUP($E400&amp;"|"&amp;$F400,Cluster_Master!$I$3:$H$17,8,FALSE))</f>
        <v/>
      </c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7">
        <f>IF(COUNT(T400:AH400)=0,"",SUM(T400:AH400))</f>
        <v/>
      </c>
      <c r="AJ400" s="10">
        <f>IF(AI400="","",AI400/75)</f>
        <v/>
      </c>
      <c r="AK400" s="10">
        <f>IF(AI400="","",SUMPRODUCT(T400:AH400,KPI_Weights!$B$3:$B$17)/5)</f>
        <v/>
      </c>
      <c r="AL400" s="7">
        <f>IF(COUNT(T400:AH400)=0,"",IF(OR(T400&lt;=1,W400&lt;=1,X400&lt;=1,Y400&lt;=1,AB400&lt;=1),"YES","NO"))</f>
        <v/>
      </c>
      <c r="AM400" s="7">
        <f>IF(AK400="","",IF(AND(AK400="NO",AJ400&gt;=0.85),"YES","NO"))</f>
        <v/>
      </c>
      <c r="AN400" s="7">
        <f>IF(AJ400="","",IF(AJ400&gt;=0.90,"Excellent",IF(AJ400&gt;=0.80,"Good",IF(AJ400&gt;=0.70,"Fair","Poor"))))</f>
        <v/>
      </c>
      <c r="AO400" s="12" t="n"/>
      <c r="AP400" s="12" t="n"/>
      <c r="AQ400" s="12" t="n"/>
      <c r="AR400" s="12" t="n"/>
      <c r="AS400" s="12" t="n"/>
      <c r="AT400" s="12" t="n"/>
      <c r="AU400" s="12" t="n"/>
      <c r="AV400" s="11" t="n"/>
      <c r="AW400" s="12" t="n"/>
      <c r="AX400" s="12" t="n"/>
      <c r="AY400" s="12" t="n"/>
      <c r="AZ400" s="12" t="n"/>
      <c r="BA400" s="12" t="n"/>
      <c r="BB400" s="12" t="n"/>
      <c r="BC400" s="12" t="n"/>
      <c r="BD400" s="12" t="n"/>
      <c r="BE400" s="12" t="n"/>
      <c r="BF400" s="12" t="n"/>
    </row>
    <row r="401">
      <c r="A401" s="7">
        <f>IF(B401="","","INS-"&amp;TEXT(ROW()-3,"000"))</f>
        <v/>
      </c>
      <c r="B401" s="11" t="n"/>
      <c r="C401" s="7">
        <f>IF(B401="","",ISOWEEKNUM(B401))</f>
        <v/>
      </c>
      <c r="D401" s="7">
        <f>IF(B401="","",TEXT(B401,"yyyy-mm"))</f>
        <v/>
      </c>
      <c r="E401" s="12" t="n"/>
      <c r="F401" s="12" t="n"/>
      <c r="G401" s="7">
        <f>IF(OR(E401="",F401=""),"",IF(COUNTIF(Cluster_Master!$I$3:$I$17,E401&amp;"|"&amp;F401)=1,"Valid","Review"))</f>
        <v/>
      </c>
      <c r="H401" s="7">
        <f>IF($G401&lt;&gt;"Valid","",VLOOKUP($E401&amp;"|"&amp;$F401,Cluster_Master!$I$3:$H$17,3,FALSE))</f>
        <v/>
      </c>
      <c r="I401" s="7">
        <f>IF($G401&lt;&gt;"Valid","",VLOOKUP($E401&amp;"|"&amp;$F401,Cluster_Master!$I$3:$H$17,4,FALSE))</f>
        <v/>
      </c>
      <c r="J401" s="7">
        <f>IF($G401&lt;&gt;"Valid","",VLOOKUP($E401&amp;"|"&amp;$F401,Cluster_Master!$I$3:$H$17,5,FALSE))</f>
        <v/>
      </c>
      <c r="K401" s="7">
        <f>IF($G401&lt;&gt;"Valid","",VLOOKUP($E401&amp;"|"&amp;$F401,Cluster_Master!$I$3:$H$17,6,FALSE))</f>
        <v/>
      </c>
      <c r="L401" s="7">
        <f>IF($G401&lt;&gt;"Valid","",VLOOKUP($E401&amp;"|"&amp;$F401,Cluster_Master!$I$3:$H$17,7,FALSE))</f>
        <v/>
      </c>
      <c r="M401" s="7">
        <f>IF($G401&lt;&gt;"Valid","",VLOOKUP($E401&amp;"|"&amp;$F401,Cluster_Master!$I$3:$H$17,8,FALSE))</f>
        <v/>
      </c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7">
        <f>IF(COUNT(T401:AH401)=0,"",SUM(T401:AH401))</f>
        <v/>
      </c>
      <c r="AJ401" s="10">
        <f>IF(AI401="","",AI401/75)</f>
        <v/>
      </c>
      <c r="AK401" s="10">
        <f>IF(AI401="","",SUMPRODUCT(T401:AH401,KPI_Weights!$B$3:$B$17)/5)</f>
        <v/>
      </c>
      <c r="AL401" s="7">
        <f>IF(COUNT(T401:AH401)=0,"",IF(OR(T401&lt;=1,W401&lt;=1,X401&lt;=1,Y401&lt;=1,AB401&lt;=1),"YES","NO"))</f>
        <v/>
      </c>
      <c r="AM401" s="7">
        <f>IF(AK401="","",IF(AND(AK401="NO",AJ401&gt;=0.85),"YES","NO"))</f>
        <v/>
      </c>
      <c r="AN401" s="7">
        <f>IF(AJ401="","",IF(AJ401&gt;=0.90,"Excellent",IF(AJ401&gt;=0.80,"Good",IF(AJ401&gt;=0.70,"Fair","Poor"))))</f>
        <v/>
      </c>
      <c r="AO401" s="12" t="n"/>
      <c r="AP401" s="12" t="n"/>
      <c r="AQ401" s="12" t="n"/>
      <c r="AR401" s="12" t="n"/>
      <c r="AS401" s="12" t="n"/>
      <c r="AT401" s="12" t="n"/>
      <c r="AU401" s="12" t="n"/>
      <c r="AV401" s="11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  <c r="BF401" s="12" t="n"/>
    </row>
    <row r="402">
      <c r="A402" s="7">
        <f>IF(B402="","","INS-"&amp;TEXT(ROW()-3,"000"))</f>
        <v/>
      </c>
      <c r="B402" s="11" t="n"/>
      <c r="C402" s="7">
        <f>IF(B402="","",ISOWEEKNUM(B402))</f>
        <v/>
      </c>
      <c r="D402" s="7">
        <f>IF(B402="","",TEXT(B402,"yyyy-mm"))</f>
        <v/>
      </c>
      <c r="E402" s="12" t="n"/>
      <c r="F402" s="12" t="n"/>
      <c r="G402" s="7">
        <f>IF(OR(E402="",F402=""),"",IF(COUNTIF(Cluster_Master!$I$3:$I$17,E402&amp;"|"&amp;F402)=1,"Valid","Review"))</f>
        <v/>
      </c>
      <c r="H402" s="7">
        <f>IF($G402&lt;&gt;"Valid","",VLOOKUP($E402&amp;"|"&amp;$F402,Cluster_Master!$I$3:$H$17,3,FALSE))</f>
        <v/>
      </c>
      <c r="I402" s="7">
        <f>IF($G402&lt;&gt;"Valid","",VLOOKUP($E402&amp;"|"&amp;$F402,Cluster_Master!$I$3:$H$17,4,FALSE))</f>
        <v/>
      </c>
      <c r="J402" s="7">
        <f>IF($G402&lt;&gt;"Valid","",VLOOKUP($E402&amp;"|"&amp;$F402,Cluster_Master!$I$3:$H$17,5,FALSE))</f>
        <v/>
      </c>
      <c r="K402" s="7">
        <f>IF($G402&lt;&gt;"Valid","",VLOOKUP($E402&amp;"|"&amp;$F402,Cluster_Master!$I$3:$H$17,6,FALSE))</f>
        <v/>
      </c>
      <c r="L402" s="7">
        <f>IF($G402&lt;&gt;"Valid","",VLOOKUP($E402&amp;"|"&amp;$F402,Cluster_Master!$I$3:$H$17,7,FALSE))</f>
        <v/>
      </c>
      <c r="M402" s="7">
        <f>IF($G402&lt;&gt;"Valid","",VLOOKUP($E402&amp;"|"&amp;$F402,Cluster_Master!$I$3:$H$17,8,FALSE))</f>
        <v/>
      </c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7">
        <f>IF(COUNT(T402:AH402)=0,"",SUM(T402:AH402))</f>
        <v/>
      </c>
      <c r="AJ402" s="10">
        <f>IF(AI402="","",AI402/75)</f>
        <v/>
      </c>
      <c r="AK402" s="10">
        <f>IF(AI402="","",SUMPRODUCT(T402:AH402,KPI_Weights!$B$3:$B$17)/5)</f>
        <v/>
      </c>
      <c r="AL402" s="7">
        <f>IF(COUNT(T402:AH402)=0,"",IF(OR(T402&lt;=1,W402&lt;=1,X402&lt;=1,Y402&lt;=1,AB402&lt;=1),"YES","NO"))</f>
        <v/>
      </c>
      <c r="AM402" s="7">
        <f>IF(AK402="","",IF(AND(AK402="NO",AJ402&gt;=0.85),"YES","NO"))</f>
        <v/>
      </c>
      <c r="AN402" s="7">
        <f>IF(AJ402="","",IF(AJ402&gt;=0.90,"Excellent",IF(AJ402&gt;=0.80,"Good",IF(AJ402&gt;=0.70,"Fair","Poor"))))</f>
        <v/>
      </c>
      <c r="AO402" s="12" t="n"/>
      <c r="AP402" s="12" t="n"/>
      <c r="AQ402" s="12" t="n"/>
      <c r="AR402" s="12" t="n"/>
      <c r="AS402" s="12" t="n"/>
      <c r="AT402" s="12" t="n"/>
      <c r="AU402" s="12" t="n"/>
      <c r="AV402" s="11" t="n"/>
      <c r="AW402" s="12" t="n"/>
      <c r="AX402" s="12" t="n"/>
      <c r="AY402" s="12" t="n"/>
      <c r="AZ402" s="12" t="n"/>
      <c r="BA402" s="12" t="n"/>
      <c r="BB402" s="12" t="n"/>
      <c r="BC402" s="12" t="n"/>
      <c r="BD402" s="12" t="n"/>
      <c r="BE402" s="12" t="n"/>
      <c r="BF402" s="12" t="n"/>
    </row>
    <row r="403">
      <c r="A403" s="7">
        <f>IF(B403="","","INS-"&amp;TEXT(ROW()-3,"000"))</f>
        <v/>
      </c>
      <c r="B403" s="11" t="n"/>
      <c r="C403" s="7">
        <f>IF(B403="","",ISOWEEKNUM(B403))</f>
        <v/>
      </c>
      <c r="D403" s="7">
        <f>IF(B403="","",TEXT(B403,"yyyy-mm"))</f>
        <v/>
      </c>
      <c r="E403" s="12" t="n"/>
      <c r="F403" s="12" t="n"/>
      <c r="G403" s="7">
        <f>IF(OR(E403="",F403=""),"",IF(COUNTIF(Cluster_Master!$I$3:$I$17,E403&amp;"|"&amp;F403)=1,"Valid","Review"))</f>
        <v/>
      </c>
      <c r="H403" s="7">
        <f>IF($G403&lt;&gt;"Valid","",VLOOKUP($E403&amp;"|"&amp;$F403,Cluster_Master!$I$3:$H$17,3,FALSE))</f>
        <v/>
      </c>
      <c r="I403" s="7">
        <f>IF($G403&lt;&gt;"Valid","",VLOOKUP($E403&amp;"|"&amp;$F403,Cluster_Master!$I$3:$H$17,4,FALSE))</f>
        <v/>
      </c>
      <c r="J403" s="7">
        <f>IF($G403&lt;&gt;"Valid","",VLOOKUP($E403&amp;"|"&amp;$F403,Cluster_Master!$I$3:$H$17,5,FALSE))</f>
        <v/>
      </c>
      <c r="K403" s="7">
        <f>IF($G403&lt;&gt;"Valid","",VLOOKUP($E403&amp;"|"&amp;$F403,Cluster_Master!$I$3:$H$17,6,FALSE))</f>
        <v/>
      </c>
      <c r="L403" s="7">
        <f>IF($G403&lt;&gt;"Valid","",VLOOKUP($E403&amp;"|"&amp;$F403,Cluster_Master!$I$3:$H$17,7,FALSE))</f>
        <v/>
      </c>
      <c r="M403" s="7">
        <f>IF($G403&lt;&gt;"Valid","",VLOOKUP($E403&amp;"|"&amp;$F403,Cluster_Master!$I$3:$H$17,8,FALSE))</f>
        <v/>
      </c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7">
        <f>IF(COUNT(T403:AH403)=0,"",SUM(T403:AH403))</f>
        <v/>
      </c>
      <c r="AJ403" s="10">
        <f>IF(AI403="","",AI403/75)</f>
        <v/>
      </c>
      <c r="AK403" s="10">
        <f>IF(AI403="","",SUMPRODUCT(T403:AH403,KPI_Weights!$B$3:$B$17)/5)</f>
        <v/>
      </c>
      <c r="AL403" s="7">
        <f>IF(COUNT(T403:AH403)=0,"",IF(OR(T403&lt;=1,W403&lt;=1,X403&lt;=1,Y403&lt;=1,AB403&lt;=1),"YES","NO"))</f>
        <v/>
      </c>
      <c r="AM403" s="7">
        <f>IF(AK403="","",IF(AND(AK403="NO",AJ403&gt;=0.85),"YES","NO"))</f>
        <v/>
      </c>
      <c r="AN403" s="7">
        <f>IF(AJ403="","",IF(AJ403&gt;=0.90,"Excellent",IF(AJ403&gt;=0.80,"Good",IF(AJ403&gt;=0.70,"Fair","Poor"))))</f>
        <v/>
      </c>
      <c r="AO403" s="12" t="n"/>
      <c r="AP403" s="12" t="n"/>
      <c r="AQ403" s="12" t="n"/>
      <c r="AR403" s="12" t="n"/>
      <c r="AS403" s="12" t="n"/>
      <c r="AT403" s="12" t="n"/>
      <c r="AU403" s="12" t="n"/>
      <c r="AV403" s="11" t="n"/>
      <c r="AW403" s="12" t="n"/>
      <c r="AX403" s="12" t="n"/>
      <c r="AY403" s="12" t="n"/>
      <c r="AZ403" s="12" t="n"/>
      <c r="BA403" s="12" t="n"/>
      <c r="BB403" s="12" t="n"/>
      <c r="BC403" s="12" t="n"/>
      <c r="BD403" s="12" t="n"/>
      <c r="BE403" s="12" t="n"/>
      <c r="BF403" s="12" t="n"/>
    </row>
    <row r="404">
      <c r="A404" s="7">
        <f>IF(B404="","","INS-"&amp;TEXT(ROW()-3,"000"))</f>
        <v/>
      </c>
      <c r="B404" s="11" t="n"/>
      <c r="C404" s="7">
        <f>IF(B404="","",ISOWEEKNUM(B404))</f>
        <v/>
      </c>
      <c r="D404" s="7">
        <f>IF(B404="","",TEXT(B404,"yyyy-mm"))</f>
        <v/>
      </c>
      <c r="E404" s="12" t="n"/>
      <c r="F404" s="12" t="n"/>
      <c r="G404" s="7">
        <f>IF(OR(E404="",F404=""),"",IF(COUNTIF(Cluster_Master!$I$3:$I$17,E404&amp;"|"&amp;F404)=1,"Valid","Review"))</f>
        <v/>
      </c>
      <c r="H404" s="7">
        <f>IF($G404&lt;&gt;"Valid","",VLOOKUP($E404&amp;"|"&amp;$F404,Cluster_Master!$I$3:$H$17,3,FALSE))</f>
        <v/>
      </c>
      <c r="I404" s="7">
        <f>IF($G404&lt;&gt;"Valid","",VLOOKUP($E404&amp;"|"&amp;$F404,Cluster_Master!$I$3:$H$17,4,FALSE))</f>
        <v/>
      </c>
      <c r="J404" s="7">
        <f>IF($G404&lt;&gt;"Valid","",VLOOKUP($E404&amp;"|"&amp;$F404,Cluster_Master!$I$3:$H$17,5,FALSE))</f>
        <v/>
      </c>
      <c r="K404" s="7">
        <f>IF($G404&lt;&gt;"Valid","",VLOOKUP($E404&amp;"|"&amp;$F404,Cluster_Master!$I$3:$H$17,6,FALSE))</f>
        <v/>
      </c>
      <c r="L404" s="7">
        <f>IF($G404&lt;&gt;"Valid","",VLOOKUP($E404&amp;"|"&amp;$F404,Cluster_Master!$I$3:$H$17,7,FALSE))</f>
        <v/>
      </c>
      <c r="M404" s="7">
        <f>IF($G404&lt;&gt;"Valid","",VLOOKUP($E404&amp;"|"&amp;$F404,Cluster_Master!$I$3:$H$17,8,FALSE))</f>
        <v/>
      </c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7">
        <f>IF(COUNT(T404:AH404)=0,"",SUM(T404:AH404))</f>
        <v/>
      </c>
      <c r="AJ404" s="10">
        <f>IF(AI404="","",AI404/75)</f>
        <v/>
      </c>
      <c r="AK404" s="10">
        <f>IF(AI404="","",SUMPRODUCT(T404:AH404,KPI_Weights!$B$3:$B$17)/5)</f>
        <v/>
      </c>
      <c r="AL404" s="7">
        <f>IF(COUNT(T404:AH404)=0,"",IF(OR(T404&lt;=1,W404&lt;=1,X404&lt;=1,Y404&lt;=1,AB404&lt;=1),"YES","NO"))</f>
        <v/>
      </c>
      <c r="AM404" s="7">
        <f>IF(AK404="","",IF(AND(AK404="NO",AJ404&gt;=0.85),"YES","NO"))</f>
        <v/>
      </c>
      <c r="AN404" s="7">
        <f>IF(AJ404="","",IF(AJ404&gt;=0.90,"Excellent",IF(AJ404&gt;=0.80,"Good",IF(AJ404&gt;=0.70,"Fair","Poor"))))</f>
        <v/>
      </c>
      <c r="AO404" s="12" t="n"/>
      <c r="AP404" s="12" t="n"/>
      <c r="AQ404" s="12" t="n"/>
      <c r="AR404" s="12" t="n"/>
      <c r="AS404" s="12" t="n"/>
      <c r="AT404" s="12" t="n"/>
      <c r="AU404" s="12" t="n"/>
      <c r="AV404" s="11" t="n"/>
      <c r="AW404" s="12" t="n"/>
      <c r="AX404" s="12" t="n"/>
      <c r="AY404" s="12" t="n"/>
      <c r="AZ404" s="12" t="n"/>
      <c r="BA404" s="12" t="n"/>
      <c r="BB404" s="12" t="n"/>
      <c r="BC404" s="12" t="n"/>
      <c r="BD404" s="12" t="n"/>
      <c r="BE404" s="12" t="n"/>
      <c r="BF404" s="12" t="n"/>
    </row>
    <row r="405">
      <c r="A405" s="7">
        <f>IF(B405="","","INS-"&amp;TEXT(ROW()-3,"000"))</f>
        <v/>
      </c>
      <c r="B405" s="11" t="n"/>
      <c r="C405" s="7">
        <f>IF(B405="","",ISOWEEKNUM(B405))</f>
        <v/>
      </c>
      <c r="D405" s="7">
        <f>IF(B405="","",TEXT(B405,"yyyy-mm"))</f>
        <v/>
      </c>
      <c r="E405" s="12" t="n"/>
      <c r="F405" s="12" t="n"/>
      <c r="G405" s="7">
        <f>IF(OR(E405="",F405=""),"",IF(COUNTIF(Cluster_Master!$I$3:$I$17,E405&amp;"|"&amp;F405)=1,"Valid","Review"))</f>
        <v/>
      </c>
      <c r="H405" s="7">
        <f>IF($G405&lt;&gt;"Valid","",VLOOKUP($E405&amp;"|"&amp;$F405,Cluster_Master!$I$3:$H$17,3,FALSE))</f>
        <v/>
      </c>
      <c r="I405" s="7">
        <f>IF($G405&lt;&gt;"Valid","",VLOOKUP($E405&amp;"|"&amp;$F405,Cluster_Master!$I$3:$H$17,4,FALSE))</f>
        <v/>
      </c>
      <c r="J405" s="7">
        <f>IF($G405&lt;&gt;"Valid","",VLOOKUP($E405&amp;"|"&amp;$F405,Cluster_Master!$I$3:$H$17,5,FALSE))</f>
        <v/>
      </c>
      <c r="K405" s="7">
        <f>IF($G405&lt;&gt;"Valid","",VLOOKUP($E405&amp;"|"&amp;$F405,Cluster_Master!$I$3:$H$17,6,FALSE))</f>
        <v/>
      </c>
      <c r="L405" s="7">
        <f>IF($G405&lt;&gt;"Valid","",VLOOKUP($E405&amp;"|"&amp;$F405,Cluster_Master!$I$3:$H$17,7,FALSE))</f>
        <v/>
      </c>
      <c r="M405" s="7">
        <f>IF($G405&lt;&gt;"Valid","",VLOOKUP($E405&amp;"|"&amp;$F405,Cluster_Master!$I$3:$H$17,8,FALSE))</f>
        <v/>
      </c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7">
        <f>IF(COUNT(T405:AH405)=0,"",SUM(T405:AH405))</f>
        <v/>
      </c>
      <c r="AJ405" s="10">
        <f>IF(AI405="","",AI405/75)</f>
        <v/>
      </c>
      <c r="AK405" s="10">
        <f>IF(AI405="","",SUMPRODUCT(T405:AH405,KPI_Weights!$B$3:$B$17)/5)</f>
        <v/>
      </c>
      <c r="AL405" s="7">
        <f>IF(COUNT(T405:AH405)=0,"",IF(OR(T405&lt;=1,W405&lt;=1,X405&lt;=1,Y405&lt;=1,AB405&lt;=1),"YES","NO"))</f>
        <v/>
      </c>
      <c r="AM405" s="7">
        <f>IF(AK405="","",IF(AND(AK405="NO",AJ405&gt;=0.85),"YES","NO"))</f>
        <v/>
      </c>
      <c r="AN405" s="7">
        <f>IF(AJ405="","",IF(AJ405&gt;=0.90,"Excellent",IF(AJ405&gt;=0.80,"Good",IF(AJ405&gt;=0.70,"Fair","Poor"))))</f>
        <v/>
      </c>
      <c r="AO405" s="12" t="n"/>
      <c r="AP405" s="12" t="n"/>
      <c r="AQ405" s="12" t="n"/>
      <c r="AR405" s="12" t="n"/>
      <c r="AS405" s="12" t="n"/>
      <c r="AT405" s="12" t="n"/>
      <c r="AU405" s="12" t="n"/>
      <c r="AV405" s="11" t="n"/>
      <c r="AW405" s="12" t="n"/>
      <c r="AX405" s="12" t="n"/>
      <c r="AY405" s="12" t="n"/>
      <c r="AZ405" s="12" t="n"/>
      <c r="BA405" s="12" t="n"/>
      <c r="BB405" s="12" t="n"/>
      <c r="BC405" s="12" t="n"/>
      <c r="BD405" s="12" t="n"/>
      <c r="BE405" s="12" t="n"/>
      <c r="BF405" s="12" t="n"/>
    </row>
    <row r="406">
      <c r="A406" s="7">
        <f>IF(B406="","","INS-"&amp;TEXT(ROW()-3,"000"))</f>
        <v/>
      </c>
      <c r="B406" s="11" t="n"/>
      <c r="C406" s="7">
        <f>IF(B406="","",ISOWEEKNUM(B406))</f>
        <v/>
      </c>
      <c r="D406" s="7">
        <f>IF(B406="","",TEXT(B406,"yyyy-mm"))</f>
        <v/>
      </c>
      <c r="E406" s="12" t="n"/>
      <c r="F406" s="12" t="n"/>
      <c r="G406" s="7">
        <f>IF(OR(E406="",F406=""),"",IF(COUNTIF(Cluster_Master!$I$3:$I$17,E406&amp;"|"&amp;F406)=1,"Valid","Review"))</f>
        <v/>
      </c>
      <c r="H406" s="7">
        <f>IF($G406&lt;&gt;"Valid","",VLOOKUP($E406&amp;"|"&amp;$F406,Cluster_Master!$I$3:$H$17,3,FALSE))</f>
        <v/>
      </c>
      <c r="I406" s="7">
        <f>IF($G406&lt;&gt;"Valid","",VLOOKUP($E406&amp;"|"&amp;$F406,Cluster_Master!$I$3:$H$17,4,FALSE))</f>
        <v/>
      </c>
      <c r="J406" s="7">
        <f>IF($G406&lt;&gt;"Valid","",VLOOKUP($E406&amp;"|"&amp;$F406,Cluster_Master!$I$3:$H$17,5,FALSE))</f>
        <v/>
      </c>
      <c r="K406" s="7">
        <f>IF($G406&lt;&gt;"Valid","",VLOOKUP($E406&amp;"|"&amp;$F406,Cluster_Master!$I$3:$H$17,6,FALSE))</f>
        <v/>
      </c>
      <c r="L406" s="7">
        <f>IF($G406&lt;&gt;"Valid","",VLOOKUP($E406&amp;"|"&amp;$F406,Cluster_Master!$I$3:$H$17,7,FALSE))</f>
        <v/>
      </c>
      <c r="M406" s="7">
        <f>IF($G406&lt;&gt;"Valid","",VLOOKUP($E406&amp;"|"&amp;$F406,Cluster_Master!$I$3:$H$17,8,FALSE))</f>
        <v/>
      </c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7">
        <f>IF(COUNT(T406:AH406)=0,"",SUM(T406:AH406))</f>
        <v/>
      </c>
      <c r="AJ406" s="10">
        <f>IF(AI406="","",AI406/75)</f>
        <v/>
      </c>
      <c r="AK406" s="10">
        <f>IF(AI406="","",SUMPRODUCT(T406:AH406,KPI_Weights!$B$3:$B$17)/5)</f>
        <v/>
      </c>
      <c r="AL406" s="7">
        <f>IF(COUNT(T406:AH406)=0,"",IF(OR(T406&lt;=1,W406&lt;=1,X406&lt;=1,Y406&lt;=1,AB406&lt;=1),"YES","NO"))</f>
        <v/>
      </c>
      <c r="AM406" s="7">
        <f>IF(AK406="","",IF(AND(AK406="NO",AJ406&gt;=0.85),"YES","NO"))</f>
        <v/>
      </c>
      <c r="AN406" s="7">
        <f>IF(AJ406="","",IF(AJ406&gt;=0.90,"Excellent",IF(AJ406&gt;=0.80,"Good",IF(AJ406&gt;=0.70,"Fair","Poor"))))</f>
        <v/>
      </c>
      <c r="AO406" s="12" t="n"/>
      <c r="AP406" s="12" t="n"/>
      <c r="AQ406" s="12" t="n"/>
      <c r="AR406" s="12" t="n"/>
      <c r="AS406" s="12" t="n"/>
      <c r="AT406" s="12" t="n"/>
      <c r="AU406" s="12" t="n"/>
      <c r="AV406" s="11" t="n"/>
      <c r="AW406" s="12" t="n"/>
      <c r="AX406" s="12" t="n"/>
      <c r="AY406" s="12" t="n"/>
      <c r="AZ406" s="12" t="n"/>
      <c r="BA406" s="12" t="n"/>
      <c r="BB406" s="12" t="n"/>
      <c r="BC406" s="12" t="n"/>
      <c r="BD406" s="12" t="n"/>
      <c r="BE406" s="12" t="n"/>
      <c r="BF406" s="12" t="n"/>
    </row>
    <row r="407">
      <c r="A407" s="7">
        <f>IF(B407="","","INS-"&amp;TEXT(ROW()-3,"000"))</f>
        <v/>
      </c>
      <c r="B407" s="11" t="n"/>
      <c r="C407" s="7">
        <f>IF(B407="","",ISOWEEKNUM(B407))</f>
        <v/>
      </c>
      <c r="D407" s="7">
        <f>IF(B407="","",TEXT(B407,"yyyy-mm"))</f>
        <v/>
      </c>
      <c r="E407" s="12" t="n"/>
      <c r="F407" s="12" t="n"/>
      <c r="G407" s="7">
        <f>IF(OR(E407="",F407=""),"",IF(COUNTIF(Cluster_Master!$I$3:$I$17,E407&amp;"|"&amp;F407)=1,"Valid","Review"))</f>
        <v/>
      </c>
      <c r="H407" s="7">
        <f>IF($G407&lt;&gt;"Valid","",VLOOKUP($E407&amp;"|"&amp;$F407,Cluster_Master!$I$3:$H$17,3,FALSE))</f>
        <v/>
      </c>
      <c r="I407" s="7">
        <f>IF($G407&lt;&gt;"Valid","",VLOOKUP($E407&amp;"|"&amp;$F407,Cluster_Master!$I$3:$H$17,4,FALSE))</f>
        <v/>
      </c>
      <c r="J407" s="7">
        <f>IF($G407&lt;&gt;"Valid","",VLOOKUP($E407&amp;"|"&amp;$F407,Cluster_Master!$I$3:$H$17,5,FALSE))</f>
        <v/>
      </c>
      <c r="K407" s="7">
        <f>IF($G407&lt;&gt;"Valid","",VLOOKUP($E407&amp;"|"&amp;$F407,Cluster_Master!$I$3:$H$17,6,FALSE))</f>
        <v/>
      </c>
      <c r="L407" s="7">
        <f>IF($G407&lt;&gt;"Valid","",VLOOKUP($E407&amp;"|"&amp;$F407,Cluster_Master!$I$3:$H$17,7,FALSE))</f>
        <v/>
      </c>
      <c r="M407" s="7">
        <f>IF($G407&lt;&gt;"Valid","",VLOOKUP($E407&amp;"|"&amp;$F407,Cluster_Master!$I$3:$H$17,8,FALSE))</f>
        <v/>
      </c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7">
        <f>IF(COUNT(T407:AH407)=0,"",SUM(T407:AH407))</f>
        <v/>
      </c>
      <c r="AJ407" s="10">
        <f>IF(AI407="","",AI407/75)</f>
        <v/>
      </c>
      <c r="AK407" s="10">
        <f>IF(AI407="","",SUMPRODUCT(T407:AH407,KPI_Weights!$B$3:$B$17)/5)</f>
        <v/>
      </c>
      <c r="AL407" s="7">
        <f>IF(COUNT(T407:AH407)=0,"",IF(OR(T407&lt;=1,W407&lt;=1,X407&lt;=1,Y407&lt;=1,AB407&lt;=1),"YES","NO"))</f>
        <v/>
      </c>
      <c r="AM407" s="7">
        <f>IF(AK407="","",IF(AND(AK407="NO",AJ407&gt;=0.85),"YES","NO"))</f>
        <v/>
      </c>
      <c r="AN407" s="7">
        <f>IF(AJ407="","",IF(AJ407&gt;=0.90,"Excellent",IF(AJ407&gt;=0.80,"Good",IF(AJ407&gt;=0.70,"Fair","Poor"))))</f>
        <v/>
      </c>
      <c r="AO407" s="12" t="n"/>
      <c r="AP407" s="12" t="n"/>
      <c r="AQ407" s="12" t="n"/>
      <c r="AR407" s="12" t="n"/>
      <c r="AS407" s="12" t="n"/>
      <c r="AT407" s="12" t="n"/>
      <c r="AU407" s="12" t="n"/>
      <c r="AV407" s="11" t="n"/>
      <c r="AW407" s="12" t="n"/>
      <c r="AX407" s="12" t="n"/>
      <c r="AY407" s="12" t="n"/>
      <c r="AZ407" s="12" t="n"/>
      <c r="BA407" s="12" t="n"/>
      <c r="BB407" s="12" t="n"/>
      <c r="BC407" s="12" t="n"/>
      <c r="BD407" s="12" t="n"/>
      <c r="BE407" s="12" t="n"/>
      <c r="BF407" s="12" t="n"/>
    </row>
    <row r="408">
      <c r="A408" s="7">
        <f>IF(B408="","","INS-"&amp;TEXT(ROW()-3,"000"))</f>
        <v/>
      </c>
      <c r="B408" s="11" t="n"/>
      <c r="C408" s="7">
        <f>IF(B408="","",ISOWEEKNUM(B408))</f>
        <v/>
      </c>
      <c r="D408" s="7">
        <f>IF(B408="","",TEXT(B408,"yyyy-mm"))</f>
        <v/>
      </c>
      <c r="E408" s="12" t="n"/>
      <c r="F408" s="12" t="n"/>
      <c r="G408" s="7">
        <f>IF(OR(E408="",F408=""),"",IF(COUNTIF(Cluster_Master!$I$3:$I$17,E408&amp;"|"&amp;F408)=1,"Valid","Review"))</f>
        <v/>
      </c>
      <c r="H408" s="7">
        <f>IF($G408&lt;&gt;"Valid","",VLOOKUP($E408&amp;"|"&amp;$F408,Cluster_Master!$I$3:$H$17,3,FALSE))</f>
        <v/>
      </c>
      <c r="I408" s="7">
        <f>IF($G408&lt;&gt;"Valid","",VLOOKUP($E408&amp;"|"&amp;$F408,Cluster_Master!$I$3:$H$17,4,FALSE))</f>
        <v/>
      </c>
      <c r="J408" s="7">
        <f>IF($G408&lt;&gt;"Valid","",VLOOKUP($E408&amp;"|"&amp;$F408,Cluster_Master!$I$3:$H$17,5,FALSE))</f>
        <v/>
      </c>
      <c r="K408" s="7">
        <f>IF($G408&lt;&gt;"Valid","",VLOOKUP($E408&amp;"|"&amp;$F408,Cluster_Master!$I$3:$H$17,6,FALSE))</f>
        <v/>
      </c>
      <c r="L408" s="7">
        <f>IF($G408&lt;&gt;"Valid","",VLOOKUP($E408&amp;"|"&amp;$F408,Cluster_Master!$I$3:$H$17,7,FALSE))</f>
        <v/>
      </c>
      <c r="M408" s="7">
        <f>IF($G408&lt;&gt;"Valid","",VLOOKUP($E408&amp;"|"&amp;$F408,Cluster_Master!$I$3:$H$17,8,FALSE))</f>
        <v/>
      </c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7">
        <f>IF(COUNT(T408:AH408)=0,"",SUM(T408:AH408))</f>
        <v/>
      </c>
      <c r="AJ408" s="10">
        <f>IF(AI408="","",AI408/75)</f>
        <v/>
      </c>
      <c r="AK408" s="10">
        <f>IF(AI408="","",SUMPRODUCT(T408:AH408,KPI_Weights!$B$3:$B$17)/5)</f>
        <v/>
      </c>
      <c r="AL408" s="7">
        <f>IF(COUNT(T408:AH408)=0,"",IF(OR(T408&lt;=1,W408&lt;=1,X408&lt;=1,Y408&lt;=1,AB408&lt;=1),"YES","NO"))</f>
        <v/>
      </c>
      <c r="AM408" s="7">
        <f>IF(AK408="","",IF(AND(AK408="NO",AJ408&gt;=0.85),"YES","NO"))</f>
        <v/>
      </c>
      <c r="AN408" s="7">
        <f>IF(AJ408="","",IF(AJ408&gt;=0.90,"Excellent",IF(AJ408&gt;=0.80,"Good",IF(AJ408&gt;=0.70,"Fair","Poor"))))</f>
        <v/>
      </c>
      <c r="AO408" s="12" t="n"/>
      <c r="AP408" s="12" t="n"/>
      <c r="AQ408" s="12" t="n"/>
      <c r="AR408" s="12" t="n"/>
      <c r="AS408" s="12" t="n"/>
      <c r="AT408" s="12" t="n"/>
      <c r="AU408" s="12" t="n"/>
      <c r="AV408" s="11" t="n"/>
      <c r="AW408" s="12" t="n"/>
      <c r="AX408" s="12" t="n"/>
      <c r="AY408" s="12" t="n"/>
      <c r="AZ408" s="12" t="n"/>
      <c r="BA408" s="12" t="n"/>
      <c r="BB408" s="12" t="n"/>
      <c r="BC408" s="12" t="n"/>
      <c r="BD408" s="12" t="n"/>
      <c r="BE408" s="12" t="n"/>
      <c r="BF408" s="12" t="n"/>
    </row>
    <row r="409">
      <c r="A409" s="7">
        <f>IF(B409="","","INS-"&amp;TEXT(ROW()-3,"000"))</f>
        <v/>
      </c>
      <c r="B409" s="11" t="n"/>
      <c r="C409" s="7">
        <f>IF(B409="","",ISOWEEKNUM(B409))</f>
        <v/>
      </c>
      <c r="D409" s="7">
        <f>IF(B409="","",TEXT(B409,"yyyy-mm"))</f>
        <v/>
      </c>
      <c r="E409" s="12" t="n"/>
      <c r="F409" s="12" t="n"/>
      <c r="G409" s="7">
        <f>IF(OR(E409="",F409=""),"",IF(COUNTIF(Cluster_Master!$I$3:$I$17,E409&amp;"|"&amp;F409)=1,"Valid","Review"))</f>
        <v/>
      </c>
      <c r="H409" s="7">
        <f>IF($G409&lt;&gt;"Valid","",VLOOKUP($E409&amp;"|"&amp;$F409,Cluster_Master!$I$3:$H$17,3,FALSE))</f>
        <v/>
      </c>
      <c r="I409" s="7">
        <f>IF($G409&lt;&gt;"Valid","",VLOOKUP($E409&amp;"|"&amp;$F409,Cluster_Master!$I$3:$H$17,4,FALSE))</f>
        <v/>
      </c>
      <c r="J409" s="7">
        <f>IF($G409&lt;&gt;"Valid","",VLOOKUP($E409&amp;"|"&amp;$F409,Cluster_Master!$I$3:$H$17,5,FALSE))</f>
        <v/>
      </c>
      <c r="K409" s="7">
        <f>IF($G409&lt;&gt;"Valid","",VLOOKUP($E409&amp;"|"&amp;$F409,Cluster_Master!$I$3:$H$17,6,FALSE))</f>
        <v/>
      </c>
      <c r="L409" s="7">
        <f>IF($G409&lt;&gt;"Valid","",VLOOKUP($E409&amp;"|"&amp;$F409,Cluster_Master!$I$3:$H$17,7,FALSE))</f>
        <v/>
      </c>
      <c r="M409" s="7">
        <f>IF($G409&lt;&gt;"Valid","",VLOOKUP($E409&amp;"|"&amp;$F409,Cluster_Master!$I$3:$H$17,8,FALSE))</f>
        <v/>
      </c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7">
        <f>IF(COUNT(T409:AH409)=0,"",SUM(T409:AH409))</f>
        <v/>
      </c>
      <c r="AJ409" s="10">
        <f>IF(AI409="","",AI409/75)</f>
        <v/>
      </c>
      <c r="AK409" s="10">
        <f>IF(AI409="","",SUMPRODUCT(T409:AH409,KPI_Weights!$B$3:$B$17)/5)</f>
        <v/>
      </c>
      <c r="AL409" s="7">
        <f>IF(COUNT(T409:AH409)=0,"",IF(OR(T409&lt;=1,W409&lt;=1,X409&lt;=1,Y409&lt;=1,AB409&lt;=1),"YES","NO"))</f>
        <v/>
      </c>
      <c r="AM409" s="7">
        <f>IF(AK409="","",IF(AND(AK409="NO",AJ409&gt;=0.85),"YES","NO"))</f>
        <v/>
      </c>
      <c r="AN409" s="7">
        <f>IF(AJ409="","",IF(AJ409&gt;=0.90,"Excellent",IF(AJ409&gt;=0.80,"Good",IF(AJ409&gt;=0.70,"Fair","Poor"))))</f>
        <v/>
      </c>
      <c r="AO409" s="12" t="n"/>
      <c r="AP409" s="12" t="n"/>
      <c r="AQ409" s="12" t="n"/>
      <c r="AR409" s="12" t="n"/>
      <c r="AS409" s="12" t="n"/>
      <c r="AT409" s="12" t="n"/>
      <c r="AU409" s="12" t="n"/>
      <c r="AV409" s="11" t="n"/>
      <c r="AW409" s="12" t="n"/>
      <c r="AX409" s="12" t="n"/>
      <c r="AY409" s="12" t="n"/>
      <c r="AZ409" s="12" t="n"/>
      <c r="BA409" s="12" t="n"/>
      <c r="BB409" s="12" t="n"/>
      <c r="BC409" s="12" t="n"/>
      <c r="BD409" s="12" t="n"/>
      <c r="BE409" s="12" t="n"/>
      <c r="BF409" s="12" t="n"/>
    </row>
    <row r="410">
      <c r="A410" s="7">
        <f>IF(B410="","","INS-"&amp;TEXT(ROW()-3,"000"))</f>
        <v/>
      </c>
      <c r="B410" s="11" t="n"/>
      <c r="C410" s="7">
        <f>IF(B410="","",ISOWEEKNUM(B410))</f>
        <v/>
      </c>
      <c r="D410" s="7">
        <f>IF(B410="","",TEXT(B410,"yyyy-mm"))</f>
        <v/>
      </c>
      <c r="E410" s="12" t="n"/>
      <c r="F410" s="12" t="n"/>
      <c r="G410" s="7">
        <f>IF(OR(E410="",F410=""),"",IF(COUNTIF(Cluster_Master!$I$3:$I$17,E410&amp;"|"&amp;F410)=1,"Valid","Review"))</f>
        <v/>
      </c>
      <c r="H410" s="7">
        <f>IF($G410&lt;&gt;"Valid","",VLOOKUP($E410&amp;"|"&amp;$F410,Cluster_Master!$I$3:$H$17,3,FALSE))</f>
        <v/>
      </c>
      <c r="I410" s="7">
        <f>IF($G410&lt;&gt;"Valid","",VLOOKUP($E410&amp;"|"&amp;$F410,Cluster_Master!$I$3:$H$17,4,FALSE))</f>
        <v/>
      </c>
      <c r="J410" s="7">
        <f>IF($G410&lt;&gt;"Valid","",VLOOKUP($E410&amp;"|"&amp;$F410,Cluster_Master!$I$3:$H$17,5,FALSE))</f>
        <v/>
      </c>
      <c r="K410" s="7">
        <f>IF($G410&lt;&gt;"Valid","",VLOOKUP($E410&amp;"|"&amp;$F410,Cluster_Master!$I$3:$H$17,6,FALSE))</f>
        <v/>
      </c>
      <c r="L410" s="7">
        <f>IF($G410&lt;&gt;"Valid","",VLOOKUP($E410&amp;"|"&amp;$F410,Cluster_Master!$I$3:$H$17,7,FALSE))</f>
        <v/>
      </c>
      <c r="M410" s="7">
        <f>IF($G410&lt;&gt;"Valid","",VLOOKUP($E410&amp;"|"&amp;$F410,Cluster_Master!$I$3:$H$17,8,FALSE))</f>
        <v/>
      </c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7">
        <f>IF(COUNT(T410:AH410)=0,"",SUM(T410:AH410))</f>
        <v/>
      </c>
      <c r="AJ410" s="10">
        <f>IF(AI410="","",AI410/75)</f>
        <v/>
      </c>
      <c r="AK410" s="10">
        <f>IF(AI410="","",SUMPRODUCT(T410:AH410,KPI_Weights!$B$3:$B$17)/5)</f>
        <v/>
      </c>
      <c r="AL410" s="7">
        <f>IF(COUNT(T410:AH410)=0,"",IF(OR(T410&lt;=1,W410&lt;=1,X410&lt;=1,Y410&lt;=1,AB410&lt;=1),"YES","NO"))</f>
        <v/>
      </c>
      <c r="AM410" s="7">
        <f>IF(AK410="","",IF(AND(AK410="NO",AJ410&gt;=0.85),"YES","NO"))</f>
        <v/>
      </c>
      <c r="AN410" s="7">
        <f>IF(AJ410="","",IF(AJ410&gt;=0.90,"Excellent",IF(AJ410&gt;=0.80,"Good",IF(AJ410&gt;=0.70,"Fair","Poor"))))</f>
        <v/>
      </c>
      <c r="AO410" s="12" t="n"/>
      <c r="AP410" s="12" t="n"/>
      <c r="AQ410" s="12" t="n"/>
      <c r="AR410" s="12" t="n"/>
      <c r="AS410" s="12" t="n"/>
      <c r="AT410" s="12" t="n"/>
      <c r="AU410" s="12" t="n"/>
      <c r="AV410" s="11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  <c r="BF410" s="12" t="n"/>
    </row>
    <row r="411">
      <c r="A411" s="7">
        <f>IF(B411="","","INS-"&amp;TEXT(ROW()-3,"000"))</f>
        <v/>
      </c>
      <c r="B411" s="11" t="n"/>
      <c r="C411" s="7">
        <f>IF(B411="","",ISOWEEKNUM(B411))</f>
        <v/>
      </c>
      <c r="D411" s="7">
        <f>IF(B411="","",TEXT(B411,"yyyy-mm"))</f>
        <v/>
      </c>
      <c r="E411" s="12" t="n"/>
      <c r="F411" s="12" t="n"/>
      <c r="G411" s="7">
        <f>IF(OR(E411="",F411=""),"",IF(COUNTIF(Cluster_Master!$I$3:$I$17,E411&amp;"|"&amp;F411)=1,"Valid","Review"))</f>
        <v/>
      </c>
      <c r="H411" s="7">
        <f>IF($G411&lt;&gt;"Valid","",VLOOKUP($E411&amp;"|"&amp;$F411,Cluster_Master!$I$3:$H$17,3,FALSE))</f>
        <v/>
      </c>
      <c r="I411" s="7">
        <f>IF($G411&lt;&gt;"Valid","",VLOOKUP($E411&amp;"|"&amp;$F411,Cluster_Master!$I$3:$H$17,4,FALSE))</f>
        <v/>
      </c>
      <c r="J411" s="7">
        <f>IF($G411&lt;&gt;"Valid","",VLOOKUP($E411&amp;"|"&amp;$F411,Cluster_Master!$I$3:$H$17,5,FALSE))</f>
        <v/>
      </c>
      <c r="K411" s="7">
        <f>IF($G411&lt;&gt;"Valid","",VLOOKUP($E411&amp;"|"&amp;$F411,Cluster_Master!$I$3:$H$17,6,FALSE))</f>
        <v/>
      </c>
      <c r="L411" s="7">
        <f>IF($G411&lt;&gt;"Valid","",VLOOKUP($E411&amp;"|"&amp;$F411,Cluster_Master!$I$3:$H$17,7,FALSE))</f>
        <v/>
      </c>
      <c r="M411" s="7">
        <f>IF($G411&lt;&gt;"Valid","",VLOOKUP($E411&amp;"|"&amp;$F411,Cluster_Master!$I$3:$H$17,8,FALSE))</f>
        <v/>
      </c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7">
        <f>IF(COUNT(T411:AH411)=0,"",SUM(T411:AH411))</f>
        <v/>
      </c>
      <c r="AJ411" s="10">
        <f>IF(AI411="","",AI411/75)</f>
        <v/>
      </c>
      <c r="AK411" s="10">
        <f>IF(AI411="","",SUMPRODUCT(T411:AH411,KPI_Weights!$B$3:$B$17)/5)</f>
        <v/>
      </c>
      <c r="AL411" s="7">
        <f>IF(COUNT(T411:AH411)=0,"",IF(OR(T411&lt;=1,W411&lt;=1,X411&lt;=1,Y411&lt;=1,AB411&lt;=1),"YES","NO"))</f>
        <v/>
      </c>
      <c r="AM411" s="7">
        <f>IF(AK411="","",IF(AND(AK411="NO",AJ411&gt;=0.85),"YES","NO"))</f>
        <v/>
      </c>
      <c r="AN411" s="7">
        <f>IF(AJ411="","",IF(AJ411&gt;=0.90,"Excellent",IF(AJ411&gt;=0.80,"Good",IF(AJ411&gt;=0.70,"Fair","Poor"))))</f>
        <v/>
      </c>
      <c r="AO411" s="12" t="n"/>
      <c r="AP411" s="12" t="n"/>
      <c r="AQ411" s="12" t="n"/>
      <c r="AR411" s="12" t="n"/>
      <c r="AS411" s="12" t="n"/>
      <c r="AT411" s="12" t="n"/>
      <c r="AU411" s="12" t="n"/>
      <c r="AV411" s="11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  <c r="BF411" s="12" t="n"/>
    </row>
    <row r="412">
      <c r="A412" s="7">
        <f>IF(B412="","","INS-"&amp;TEXT(ROW()-3,"000"))</f>
        <v/>
      </c>
      <c r="B412" s="11" t="n"/>
      <c r="C412" s="7">
        <f>IF(B412="","",ISOWEEKNUM(B412))</f>
        <v/>
      </c>
      <c r="D412" s="7">
        <f>IF(B412="","",TEXT(B412,"yyyy-mm"))</f>
        <v/>
      </c>
      <c r="E412" s="12" t="n"/>
      <c r="F412" s="12" t="n"/>
      <c r="G412" s="7">
        <f>IF(OR(E412="",F412=""),"",IF(COUNTIF(Cluster_Master!$I$3:$I$17,E412&amp;"|"&amp;F412)=1,"Valid","Review"))</f>
        <v/>
      </c>
      <c r="H412" s="7">
        <f>IF($G412&lt;&gt;"Valid","",VLOOKUP($E412&amp;"|"&amp;$F412,Cluster_Master!$I$3:$H$17,3,FALSE))</f>
        <v/>
      </c>
      <c r="I412" s="7">
        <f>IF($G412&lt;&gt;"Valid","",VLOOKUP($E412&amp;"|"&amp;$F412,Cluster_Master!$I$3:$H$17,4,FALSE))</f>
        <v/>
      </c>
      <c r="J412" s="7">
        <f>IF($G412&lt;&gt;"Valid","",VLOOKUP($E412&amp;"|"&amp;$F412,Cluster_Master!$I$3:$H$17,5,FALSE))</f>
        <v/>
      </c>
      <c r="K412" s="7">
        <f>IF($G412&lt;&gt;"Valid","",VLOOKUP($E412&amp;"|"&amp;$F412,Cluster_Master!$I$3:$H$17,6,FALSE))</f>
        <v/>
      </c>
      <c r="L412" s="7">
        <f>IF($G412&lt;&gt;"Valid","",VLOOKUP($E412&amp;"|"&amp;$F412,Cluster_Master!$I$3:$H$17,7,FALSE))</f>
        <v/>
      </c>
      <c r="M412" s="7">
        <f>IF($G412&lt;&gt;"Valid","",VLOOKUP($E412&amp;"|"&amp;$F412,Cluster_Master!$I$3:$H$17,8,FALSE))</f>
        <v/>
      </c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7">
        <f>IF(COUNT(T412:AH412)=0,"",SUM(T412:AH412))</f>
        <v/>
      </c>
      <c r="AJ412" s="10">
        <f>IF(AI412="","",AI412/75)</f>
        <v/>
      </c>
      <c r="AK412" s="10">
        <f>IF(AI412="","",SUMPRODUCT(T412:AH412,KPI_Weights!$B$3:$B$17)/5)</f>
        <v/>
      </c>
      <c r="AL412" s="7">
        <f>IF(COUNT(T412:AH412)=0,"",IF(OR(T412&lt;=1,W412&lt;=1,X412&lt;=1,Y412&lt;=1,AB412&lt;=1),"YES","NO"))</f>
        <v/>
      </c>
      <c r="AM412" s="7">
        <f>IF(AK412="","",IF(AND(AK412="NO",AJ412&gt;=0.85),"YES","NO"))</f>
        <v/>
      </c>
      <c r="AN412" s="7">
        <f>IF(AJ412="","",IF(AJ412&gt;=0.90,"Excellent",IF(AJ412&gt;=0.80,"Good",IF(AJ412&gt;=0.70,"Fair","Poor"))))</f>
        <v/>
      </c>
      <c r="AO412" s="12" t="n"/>
      <c r="AP412" s="12" t="n"/>
      <c r="AQ412" s="12" t="n"/>
      <c r="AR412" s="12" t="n"/>
      <c r="AS412" s="12" t="n"/>
      <c r="AT412" s="12" t="n"/>
      <c r="AU412" s="12" t="n"/>
      <c r="AV412" s="11" t="n"/>
      <c r="AW412" s="12" t="n"/>
      <c r="AX412" s="12" t="n"/>
      <c r="AY412" s="12" t="n"/>
      <c r="AZ412" s="12" t="n"/>
      <c r="BA412" s="12" t="n"/>
      <c r="BB412" s="12" t="n"/>
      <c r="BC412" s="12" t="n"/>
      <c r="BD412" s="12" t="n"/>
      <c r="BE412" s="12" t="n"/>
      <c r="BF412" s="12" t="n"/>
    </row>
    <row r="413">
      <c r="A413" s="7">
        <f>IF(B413="","","INS-"&amp;TEXT(ROW()-3,"000"))</f>
        <v/>
      </c>
      <c r="B413" s="11" t="n"/>
      <c r="C413" s="7">
        <f>IF(B413="","",ISOWEEKNUM(B413))</f>
        <v/>
      </c>
      <c r="D413" s="7">
        <f>IF(B413="","",TEXT(B413,"yyyy-mm"))</f>
        <v/>
      </c>
      <c r="E413" s="12" t="n"/>
      <c r="F413" s="12" t="n"/>
      <c r="G413" s="7">
        <f>IF(OR(E413="",F413=""),"",IF(COUNTIF(Cluster_Master!$I$3:$I$17,E413&amp;"|"&amp;F413)=1,"Valid","Review"))</f>
        <v/>
      </c>
      <c r="H413" s="7">
        <f>IF($G413&lt;&gt;"Valid","",VLOOKUP($E413&amp;"|"&amp;$F413,Cluster_Master!$I$3:$H$17,3,FALSE))</f>
        <v/>
      </c>
      <c r="I413" s="7">
        <f>IF($G413&lt;&gt;"Valid","",VLOOKUP($E413&amp;"|"&amp;$F413,Cluster_Master!$I$3:$H$17,4,FALSE))</f>
        <v/>
      </c>
      <c r="J413" s="7">
        <f>IF($G413&lt;&gt;"Valid","",VLOOKUP($E413&amp;"|"&amp;$F413,Cluster_Master!$I$3:$H$17,5,FALSE))</f>
        <v/>
      </c>
      <c r="K413" s="7">
        <f>IF($G413&lt;&gt;"Valid","",VLOOKUP($E413&amp;"|"&amp;$F413,Cluster_Master!$I$3:$H$17,6,FALSE))</f>
        <v/>
      </c>
      <c r="L413" s="7">
        <f>IF($G413&lt;&gt;"Valid","",VLOOKUP($E413&amp;"|"&amp;$F413,Cluster_Master!$I$3:$H$17,7,FALSE))</f>
        <v/>
      </c>
      <c r="M413" s="7">
        <f>IF($G413&lt;&gt;"Valid","",VLOOKUP($E413&amp;"|"&amp;$F413,Cluster_Master!$I$3:$H$17,8,FALSE))</f>
        <v/>
      </c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7">
        <f>IF(COUNT(T413:AH413)=0,"",SUM(T413:AH413))</f>
        <v/>
      </c>
      <c r="AJ413" s="10">
        <f>IF(AI413="","",AI413/75)</f>
        <v/>
      </c>
      <c r="AK413" s="10">
        <f>IF(AI413="","",SUMPRODUCT(T413:AH413,KPI_Weights!$B$3:$B$17)/5)</f>
        <v/>
      </c>
      <c r="AL413" s="7">
        <f>IF(COUNT(T413:AH413)=0,"",IF(OR(T413&lt;=1,W413&lt;=1,X413&lt;=1,Y413&lt;=1,AB413&lt;=1),"YES","NO"))</f>
        <v/>
      </c>
      <c r="AM413" s="7">
        <f>IF(AK413="","",IF(AND(AK413="NO",AJ413&gt;=0.85),"YES","NO"))</f>
        <v/>
      </c>
      <c r="AN413" s="7">
        <f>IF(AJ413="","",IF(AJ413&gt;=0.90,"Excellent",IF(AJ413&gt;=0.80,"Good",IF(AJ413&gt;=0.70,"Fair","Poor"))))</f>
        <v/>
      </c>
      <c r="AO413" s="12" t="n"/>
      <c r="AP413" s="12" t="n"/>
      <c r="AQ413" s="12" t="n"/>
      <c r="AR413" s="12" t="n"/>
      <c r="AS413" s="12" t="n"/>
      <c r="AT413" s="12" t="n"/>
      <c r="AU413" s="12" t="n"/>
      <c r="AV413" s="11" t="n"/>
      <c r="AW413" s="12" t="n"/>
      <c r="AX413" s="12" t="n"/>
      <c r="AY413" s="12" t="n"/>
      <c r="AZ413" s="12" t="n"/>
      <c r="BA413" s="12" t="n"/>
      <c r="BB413" s="12" t="n"/>
      <c r="BC413" s="12" t="n"/>
      <c r="BD413" s="12" t="n"/>
      <c r="BE413" s="12" t="n"/>
      <c r="BF413" s="12" t="n"/>
    </row>
    <row r="414">
      <c r="A414" s="7">
        <f>IF(B414="","","INS-"&amp;TEXT(ROW()-3,"000"))</f>
        <v/>
      </c>
      <c r="B414" s="11" t="n"/>
      <c r="C414" s="7">
        <f>IF(B414="","",ISOWEEKNUM(B414))</f>
        <v/>
      </c>
      <c r="D414" s="7">
        <f>IF(B414="","",TEXT(B414,"yyyy-mm"))</f>
        <v/>
      </c>
      <c r="E414" s="12" t="n"/>
      <c r="F414" s="12" t="n"/>
      <c r="G414" s="7">
        <f>IF(OR(E414="",F414=""),"",IF(COUNTIF(Cluster_Master!$I$3:$I$17,E414&amp;"|"&amp;F414)=1,"Valid","Review"))</f>
        <v/>
      </c>
      <c r="H414" s="7">
        <f>IF($G414&lt;&gt;"Valid","",VLOOKUP($E414&amp;"|"&amp;$F414,Cluster_Master!$I$3:$H$17,3,FALSE))</f>
        <v/>
      </c>
      <c r="I414" s="7">
        <f>IF($G414&lt;&gt;"Valid","",VLOOKUP($E414&amp;"|"&amp;$F414,Cluster_Master!$I$3:$H$17,4,FALSE))</f>
        <v/>
      </c>
      <c r="J414" s="7">
        <f>IF($G414&lt;&gt;"Valid","",VLOOKUP($E414&amp;"|"&amp;$F414,Cluster_Master!$I$3:$H$17,5,FALSE))</f>
        <v/>
      </c>
      <c r="K414" s="7">
        <f>IF($G414&lt;&gt;"Valid","",VLOOKUP($E414&amp;"|"&amp;$F414,Cluster_Master!$I$3:$H$17,6,FALSE))</f>
        <v/>
      </c>
      <c r="L414" s="7">
        <f>IF($G414&lt;&gt;"Valid","",VLOOKUP($E414&amp;"|"&amp;$F414,Cluster_Master!$I$3:$H$17,7,FALSE))</f>
        <v/>
      </c>
      <c r="M414" s="7">
        <f>IF($G414&lt;&gt;"Valid","",VLOOKUP($E414&amp;"|"&amp;$F414,Cluster_Master!$I$3:$H$17,8,FALSE))</f>
        <v/>
      </c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7">
        <f>IF(COUNT(T414:AH414)=0,"",SUM(T414:AH414))</f>
        <v/>
      </c>
      <c r="AJ414" s="10">
        <f>IF(AI414="","",AI414/75)</f>
        <v/>
      </c>
      <c r="AK414" s="10">
        <f>IF(AI414="","",SUMPRODUCT(T414:AH414,KPI_Weights!$B$3:$B$17)/5)</f>
        <v/>
      </c>
      <c r="AL414" s="7">
        <f>IF(COUNT(T414:AH414)=0,"",IF(OR(T414&lt;=1,W414&lt;=1,X414&lt;=1,Y414&lt;=1,AB414&lt;=1),"YES","NO"))</f>
        <v/>
      </c>
      <c r="AM414" s="7">
        <f>IF(AK414="","",IF(AND(AK414="NO",AJ414&gt;=0.85),"YES","NO"))</f>
        <v/>
      </c>
      <c r="AN414" s="7">
        <f>IF(AJ414="","",IF(AJ414&gt;=0.90,"Excellent",IF(AJ414&gt;=0.80,"Good",IF(AJ414&gt;=0.70,"Fair","Poor"))))</f>
        <v/>
      </c>
      <c r="AO414" s="12" t="n"/>
      <c r="AP414" s="12" t="n"/>
      <c r="AQ414" s="12" t="n"/>
      <c r="AR414" s="12" t="n"/>
      <c r="AS414" s="12" t="n"/>
      <c r="AT414" s="12" t="n"/>
      <c r="AU414" s="12" t="n"/>
      <c r="AV414" s="11" t="n"/>
      <c r="AW414" s="12" t="n"/>
      <c r="AX414" s="12" t="n"/>
      <c r="AY414" s="12" t="n"/>
      <c r="AZ414" s="12" t="n"/>
      <c r="BA414" s="12" t="n"/>
      <c r="BB414" s="12" t="n"/>
      <c r="BC414" s="12" t="n"/>
      <c r="BD414" s="12" t="n"/>
      <c r="BE414" s="12" t="n"/>
      <c r="BF414" s="12" t="n"/>
    </row>
    <row r="415">
      <c r="A415" s="7">
        <f>IF(B415="","","INS-"&amp;TEXT(ROW()-3,"000"))</f>
        <v/>
      </c>
      <c r="B415" s="11" t="n"/>
      <c r="C415" s="7">
        <f>IF(B415="","",ISOWEEKNUM(B415))</f>
        <v/>
      </c>
      <c r="D415" s="7">
        <f>IF(B415="","",TEXT(B415,"yyyy-mm"))</f>
        <v/>
      </c>
      <c r="E415" s="12" t="n"/>
      <c r="F415" s="12" t="n"/>
      <c r="G415" s="7">
        <f>IF(OR(E415="",F415=""),"",IF(COUNTIF(Cluster_Master!$I$3:$I$17,E415&amp;"|"&amp;F415)=1,"Valid","Review"))</f>
        <v/>
      </c>
      <c r="H415" s="7">
        <f>IF($G415&lt;&gt;"Valid","",VLOOKUP($E415&amp;"|"&amp;$F415,Cluster_Master!$I$3:$H$17,3,FALSE))</f>
        <v/>
      </c>
      <c r="I415" s="7">
        <f>IF($G415&lt;&gt;"Valid","",VLOOKUP($E415&amp;"|"&amp;$F415,Cluster_Master!$I$3:$H$17,4,FALSE))</f>
        <v/>
      </c>
      <c r="J415" s="7">
        <f>IF($G415&lt;&gt;"Valid","",VLOOKUP($E415&amp;"|"&amp;$F415,Cluster_Master!$I$3:$H$17,5,FALSE))</f>
        <v/>
      </c>
      <c r="K415" s="7">
        <f>IF($G415&lt;&gt;"Valid","",VLOOKUP($E415&amp;"|"&amp;$F415,Cluster_Master!$I$3:$H$17,6,FALSE))</f>
        <v/>
      </c>
      <c r="L415" s="7">
        <f>IF($G415&lt;&gt;"Valid","",VLOOKUP($E415&amp;"|"&amp;$F415,Cluster_Master!$I$3:$H$17,7,FALSE))</f>
        <v/>
      </c>
      <c r="M415" s="7">
        <f>IF($G415&lt;&gt;"Valid","",VLOOKUP($E415&amp;"|"&amp;$F415,Cluster_Master!$I$3:$H$17,8,FALSE))</f>
        <v/>
      </c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7">
        <f>IF(COUNT(T415:AH415)=0,"",SUM(T415:AH415))</f>
        <v/>
      </c>
      <c r="AJ415" s="10">
        <f>IF(AI415="","",AI415/75)</f>
        <v/>
      </c>
      <c r="AK415" s="10">
        <f>IF(AI415="","",SUMPRODUCT(T415:AH415,KPI_Weights!$B$3:$B$17)/5)</f>
        <v/>
      </c>
      <c r="AL415" s="7">
        <f>IF(COUNT(T415:AH415)=0,"",IF(OR(T415&lt;=1,W415&lt;=1,X415&lt;=1,Y415&lt;=1,AB415&lt;=1),"YES","NO"))</f>
        <v/>
      </c>
      <c r="AM415" s="7">
        <f>IF(AK415="","",IF(AND(AK415="NO",AJ415&gt;=0.85),"YES","NO"))</f>
        <v/>
      </c>
      <c r="AN415" s="7">
        <f>IF(AJ415="","",IF(AJ415&gt;=0.90,"Excellent",IF(AJ415&gt;=0.80,"Good",IF(AJ415&gt;=0.70,"Fair","Poor"))))</f>
        <v/>
      </c>
      <c r="AO415" s="12" t="n"/>
      <c r="AP415" s="12" t="n"/>
      <c r="AQ415" s="12" t="n"/>
      <c r="AR415" s="12" t="n"/>
      <c r="AS415" s="12" t="n"/>
      <c r="AT415" s="12" t="n"/>
      <c r="AU415" s="12" t="n"/>
      <c r="AV415" s="11" t="n"/>
      <c r="AW415" s="12" t="n"/>
      <c r="AX415" s="12" t="n"/>
      <c r="AY415" s="12" t="n"/>
      <c r="AZ415" s="12" t="n"/>
      <c r="BA415" s="12" t="n"/>
      <c r="BB415" s="12" t="n"/>
      <c r="BC415" s="12" t="n"/>
      <c r="BD415" s="12" t="n"/>
      <c r="BE415" s="12" t="n"/>
      <c r="BF415" s="12" t="n"/>
    </row>
    <row r="416">
      <c r="A416" s="7">
        <f>IF(B416="","","INS-"&amp;TEXT(ROW()-3,"000"))</f>
        <v/>
      </c>
      <c r="B416" s="11" t="n"/>
      <c r="C416" s="7">
        <f>IF(B416="","",ISOWEEKNUM(B416))</f>
        <v/>
      </c>
      <c r="D416" s="7">
        <f>IF(B416="","",TEXT(B416,"yyyy-mm"))</f>
        <v/>
      </c>
      <c r="E416" s="12" t="n"/>
      <c r="F416" s="12" t="n"/>
      <c r="G416" s="7">
        <f>IF(OR(E416="",F416=""),"",IF(COUNTIF(Cluster_Master!$I$3:$I$17,E416&amp;"|"&amp;F416)=1,"Valid","Review"))</f>
        <v/>
      </c>
      <c r="H416" s="7">
        <f>IF($G416&lt;&gt;"Valid","",VLOOKUP($E416&amp;"|"&amp;$F416,Cluster_Master!$I$3:$H$17,3,FALSE))</f>
        <v/>
      </c>
      <c r="I416" s="7">
        <f>IF($G416&lt;&gt;"Valid","",VLOOKUP($E416&amp;"|"&amp;$F416,Cluster_Master!$I$3:$H$17,4,FALSE))</f>
        <v/>
      </c>
      <c r="J416" s="7">
        <f>IF($G416&lt;&gt;"Valid","",VLOOKUP($E416&amp;"|"&amp;$F416,Cluster_Master!$I$3:$H$17,5,FALSE))</f>
        <v/>
      </c>
      <c r="K416" s="7">
        <f>IF($G416&lt;&gt;"Valid","",VLOOKUP($E416&amp;"|"&amp;$F416,Cluster_Master!$I$3:$H$17,6,FALSE))</f>
        <v/>
      </c>
      <c r="L416" s="7">
        <f>IF($G416&lt;&gt;"Valid","",VLOOKUP($E416&amp;"|"&amp;$F416,Cluster_Master!$I$3:$H$17,7,FALSE))</f>
        <v/>
      </c>
      <c r="M416" s="7">
        <f>IF($G416&lt;&gt;"Valid","",VLOOKUP($E416&amp;"|"&amp;$F416,Cluster_Master!$I$3:$H$17,8,FALSE))</f>
        <v/>
      </c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7">
        <f>IF(COUNT(T416:AH416)=0,"",SUM(T416:AH416))</f>
        <v/>
      </c>
      <c r="AJ416" s="10">
        <f>IF(AI416="","",AI416/75)</f>
        <v/>
      </c>
      <c r="AK416" s="10">
        <f>IF(AI416="","",SUMPRODUCT(T416:AH416,KPI_Weights!$B$3:$B$17)/5)</f>
        <v/>
      </c>
      <c r="AL416" s="7">
        <f>IF(COUNT(T416:AH416)=0,"",IF(OR(T416&lt;=1,W416&lt;=1,X416&lt;=1,Y416&lt;=1,AB416&lt;=1),"YES","NO"))</f>
        <v/>
      </c>
      <c r="AM416" s="7">
        <f>IF(AK416="","",IF(AND(AK416="NO",AJ416&gt;=0.85),"YES","NO"))</f>
        <v/>
      </c>
      <c r="AN416" s="7">
        <f>IF(AJ416="","",IF(AJ416&gt;=0.90,"Excellent",IF(AJ416&gt;=0.80,"Good",IF(AJ416&gt;=0.70,"Fair","Poor"))))</f>
        <v/>
      </c>
      <c r="AO416" s="12" t="n"/>
      <c r="AP416" s="12" t="n"/>
      <c r="AQ416" s="12" t="n"/>
      <c r="AR416" s="12" t="n"/>
      <c r="AS416" s="12" t="n"/>
      <c r="AT416" s="12" t="n"/>
      <c r="AU416" s="12" t="n"/>
      <c r="AV416" s="11" t="n"/>
      <c r="AW416" s="12" t="n"/>
      <c r="AX416" s="12" t="n"/>
      <c r="AY416" s="12" t="n"/>
      <c r="AZ416" s="12" t="n"/>
      <c r="BA416" s="12" t="n"/>
      <c r="BB416" s="12" t="n"/>
      <c r="BC416" s="12" t="n"/>
      <c r="BD416" s="12" t="n"/>
      <c r="BE416" s="12" t="n"/>
      <c r="BF416" s="12" t="n"/>
    </row>
    <row r="417">
      <c r="A417" s="7">
        <f>IF(B417="","","INS-"&amp;TEXT(ROW()-3,"000"))</f>
        <v/>
      </c>
      <c r="B417" s="11" t="n"/>
      <c r="C417" s="7">
        <f>IF(B417="","",ISOWEEKNUM(B417))</f>
        <v/>
      </c>
      <c r="D417" s="7">
        <f>IF(B417="","",TEXT(B417,"yyyy-mm"))</f>
        <v/>
      </c>
      <c r="E417" s="12" t="n"/>
      <c r="F417" s="12" t="n"/>
      <c r="G417" s="7">
        <f>IF(OR(E417="",F417=""),"",IF(COUNTIF(Cluster_Master!$I$3:$I$17,E417&amp;"|"&amp;F417)=1,"Valid","Review"))</f>
        <v/>
      </c>
      <c r="H417" s="7">
        <f>IF($G417&lt;&gt;"Valid","",VLOOKUP($E417&amp;"|"&amp;$F417,Cluster_Master!$I$3:$H$17,3,FALSE))</f>
        <v/>
      </c>
      <c r="I417" s="7">
        <f>IF($G417&lt;&gt;"Valid","",VLOOKUP($E417&amp;"|"&amp;$F417,Cluster_Master!$I$3:$H$17,4,FALSE))</f>
        <v/>
      </c>
      <c r="J417" s="7">
        <f>IF($G417&lt;&gt;"Valid","",VLOOKUP($E417&amp;"|"&amp;$F417,Cluster_Master!$I$3:$H$17,5,FALSE))</f>
        <v/>
      </c>
      <c r="K417" s="7">
        <f>IF($G417&lt;&gt;"Valid","",VLOOKUP($E417&amp;"|"&amp;$F417,Cluster_Master!$I$3:$H$17,6,FALSE))</f>
        <v/>
      </c>
      <c r="L417" s="7">
        <f>IF($G417&lt;&gt;"Valid","",VLOOKUP($E417&amp;"|"&amp;$F417,Cluster_Master!$I$3:$H$17,7,FALSE))</f>
        <v/>
      </c>
      <c r="M417" s="7">
        <f>IF($G417&lt;&gt;"Valid","",VLOOKUP($E417&amp;"|"&amp;$F417,Cluster_Master!$I$3:$H$17,8,FALSE))</f>
        <v/>
      </c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7">
        <f>IF(COUNT(T417:AH417)=0,"",SUM(T417:AH417))</f>
        <v/>
      </c>
      <c r="AJ417" s="10">
        <f>IF(AI417="","",AI417/75)</f>
        <v/>
      </c>
      <c r="AK417" s="10">
        <f>IF(AI417="","",SUMPRODUCT(T417:AH417,KPI_Weights!$B$3:$B$17)/5)</f>
        <v/>
      </c>
      <c r="AL417" s="7">
        <f>IF(COUNT(T417:AH417)=0,"",IF(OR(T417&lt;=1,W417&lt;=1,X417&lt;=1,Y417&lt;=1,AB417&lt;=1),"YES","NO"))</f>
        <v/>
      </c>
      <c r="AM417" s="7">
        <f>IF(AK417="","",IF(AND(AK417="NO",AJ417&gt;=0.85),"YES","NO"))</f>
        <v/>
      </c>
      <c r="AN417" s="7">
        <f>IF(AJ417="","",IF(AJ417&gt;=0.90,"Excellent",IF(AJ417&gt;=0.80,"Good",IF(AJ417&gt;=0.70,"Fair","Poor"))))</f>
        <v/>
      </c>
      <c r="AO417" s="12" t="n"/>
      <c r="AP417" s="12" t="n"/>
      <c r="AQ417" s="12" t="n"/>
      <c r="AR417" s="12" t="n"/>
      <c r="AS417" s="12" t="n"/>
      <c r="AT417" s="12" t="n"/>
      <c r="AU417" s="12" t="n"/>
      <c r="AV417" s="11" t="n"/>
      <c r="AW417" s="12" t="n"/>
      <c r="AX417" s="12" t="n"/>
      <c r="AY417" s="12" t="n"/>
      <c r="AZ417" s="12" t="n"/>
      <c r="BA417" s="12" t="n"/>
      <c r="BB417" s="12" t="n"/>
      <c r="BC417" s="12" t="n"/>
      <c r="BD417" s="12" t="n"/>
      <c r="BE417" s="12" t="n"/>
      <c r="BF417" s="12" t="n"/>
    </row>
    <row r="418">
      <c r="A418" s="7">
        <f>IF(B418="","","INS-"&amp;TEXT(ROW()-3,"000"))</f>
        <v/>
      </c>
      <c r="B418" s="11" t="n"/>
      <c r="C418" s="7">
        <f>IF(B418="","",ISOWEEKNUM(B418))</f>
        <v/>
      </c>
      <c r="D418" s="7">
        <f>IF(B418="","",TEXT(B418,"yyyy-mm"))</f>
        <v/>
      </c>
      <c r="E418" s="12" t="n"/>
      <c r="F418" s="12" t="n"/>
      <c r="G418" s="7">
        <f>IF(OR(E418="",F418=""),"",IF(COUNTIF(Cluster_Master!$I$3:$I$17,E418&amp;"|"&amp;F418)=1,"Valid","Review"))</f>
        <v/>
      </c>
      <c r="H418" s="7">
        <f>IF($G418&lt;&gt;"Valid","",VLOOKUP($E418&amp;"|"&amp;$F418,Cluster_Master!$I$3:$H$17,3,FALSE))</f>
        <v/>
      </c>
      <c r="I418" s="7">
        <f>IF($G418&lt;&gt;"Valid","",VLOOKUP($E418&amp;"|"&amp;$F418,Cluster_Master!$I$3:$H$17,4,FALSE))</f>
        <v/>
      </c>
      <c r="J418" s="7">
        <f>IF($G418&lt;&gt;"Valid","",VLOOKUP($E418&amp;"|"&amp;$F418,Cluster_Master!$I$3:$H$17,5,FALSE))</f>
        <v/>
      </c>
      <c r="K418" s="7">
        <f>IF($G418&lt;&gt;"Valid","",VLOOKUP($E418&amp;"|"&amp;$F418,Cluster_Master!$I$3:$H$17,6,FALSE))</f>
        <v/>
      </c>
      <c r="L418" s="7">
        <f>IF($G418&lt;&gt;"Valid","",VLOOKUP($E418&amp;"|"&amp;$F418,Cluster_Master!$I$3:$H$17,7,FALSE))</f>
        <v/>
      </c>
      <c r="M418" s="7">
        <f>IF($G418&lt;&gt;"Valid","",VLOOKUP($E418&amp;"|"&amp;$F418,Cluster_Master!$I$3:$H$17,8,FALSE))</f>
        <v/>
      </c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7">
        <f>IF(COUNT(T418:AH418)=0,"",SUM(T418:AH418))</f>
        <v/>
      </c>
      <c r="AJ418" s="10">
        <f>IF(AI418="","",AI418/75)</f>
        <v/>
      </c>
      <c r="AK418" s="10">
        <f>IF(AI418="","",SUMPRODUCT(T418:AH418,KPI_Weights!$B$3:$B$17)/5)</f>
        <v/>
      </c>
      <c r="AL418" s="7">
        <f>IF(COUNT(T418:AH418)=0,"",IF(OR(T418&lt;=1,W418&lt;=1,X418&lt;=1,Y418&lt;=1,AB418&lt;=1),"YES","NO"))</f>
        <v/>
      </c>
      <c r="AM418" s="7">
        <f>IF(AK418="","",IF(AND(AK418="NO",AJ418&gt;=0.85),"YES","NO"))</f>
        <v/>
      </c>
      <c r="AN418" s="7">
        <f>IF(AJ418="","",IF(AJ418&gt;=0.90,"Excellent",IF(AJ418&gt;=0.80,"Good",IF(AJ418&gt;=0.70,"Fair","Poor"))))</f>
        <v/>
      </c>
      <c r="AO418" s="12" t="n"/>
      <c r="AP418" s="12" t="n"/>
      <c r="AQ418" s="12" t="n"/>
      <c r="AR418" s="12" t="n"/>
      <c r="AS418" s="12" t="n"/>
      <c r="AT418" s="12" t="n"/>
      <c r="AU418" s="12" t="n"/>
      <c r="AV418" s="11" t="n"/>
      <c r="AW418" s="12" t="n"/>
      <c r="AX418" s="12" t="n"/>
      <c r="AY418" s="12" t="n"/>
      <c r="AZ418" s="12" t="n"/>
      <c r="BA418" s="12" t="n"/>
      <c r="BB418" s="12" t="n"/>
      <c r="BC418" s="12" t="n"/>
      <c r="BD418" s="12" t="n"/>
      <c r="BE418" s="12" t="n"/>
      <c r="BF418" s="12" t="n"/>
    </row>
    <row r="419">
      <c r="A419" s="7">
        <f>IF(B419="","","INS-"&amp;TEXT(ROW()-3,"000"))</f>
        <v/>
      </c>
      <c r="B419" s="11" t="n"/>
      <c r="C419" s="7">
        <f>IF(B419="","",ISOWEEKNUM(B419))</f>
        <v/>
      </c>
      <c r="D419" s="7">
        <f>IF(B419="","",TEXT(B419,"yyyy-mm"))</f>
        <v/>
      </c>
      <c r="E419" s="12" t="n"/>
      <c r="F419" s="12" t="n"/>
      <c r="G419" s="7">
        <f>IF(OR(E419="",F419=""),"",IF(COUNTIF(Cluster_Master!$I$3:$I$17,E419&amp;"|"&amp;F419)=1,"Valid","Review"))</f>
        <v/>
      </c>
      <c r="H419" s="7">
        <f>IF($G419&lt;&gt;"Valid","",VLOOKUP($E419&amp;"|"&amp;$F419,Cluster_Master!$I$3:$H$17,3,FALSE))</f>
        <v/>
      </c>
      <c r="I419" s="7">
        <f>IF($G419&lt;&gt;"Valid","",VLOOKUP($E419&amp;"|"&amp;$F419,Cluster_Master!$I$3:$H$17,4,FALSE))</f>
        <v/>
      </c>
      <c r="J419" s="7">
        <f>IF($G419&lt;&gt;"Valid","",VLOOKUP($E419&amp;"|"&amp;$F419,Cluster_Master!$I$3:$H$17,5,FALSE))</f>
        <v/>
      </c>
      <c r="K419" s="7">
        <f>IF($G419&lt;&gt;"Valid","",VLOOKUP($E419&amp;"|"&amp;$F419,Cluster_Master!$I$3:$H$17,6,FALSE))</f>
        <v/>
      </c>
      <c r="L419" s="7">
        <f>IF($G419&lt;&gt;"Valid","",VLOOKUP($E419&amp;"|"&amp;$F419,Cluster_Master!$I$3:$H$17,7,FALSE))</f>
        <v/>
      </c>
      <c r="M419" s="7">
        <f>IF($G419&lt;&gt;"Valid","",VLOOKUP($E419&amp;"|"&amp;$F419,Cluster_Master!$I$3:$H$17,8,FALSE))</f>
        <v/>
      </c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7">
        <f>IF(COUNT(T419:AH419)=0,"",SUM(T419:AH419))</f>
        <v/>
      </c>
      <c r="AJ419" s="10">
        <f>IF(AI419="","",AI419/75)</f>
        <v/>
      </c>
      <c r="AK419" s="10">
        <f>IF(AI419="","",SUMPRODUCT(T419:AH419,KPI_Weights!$B$3:$B$17)/5)</f>
        <v/>
      </c>
      <c r="AL419" s="7">
        <f>IF(COUNT(T419:AH419)=0,"",IF(OR(T419&lt;=1,W419&lt;=1,X419&lt;=1,Y419&lt;=1,AB419&lt;=1),"YES","NO"))</f>
        <v/>
      </c>
      <c r="AM419" s="7">
        <f>IF(AK419="","",IF(AND(AK419="NO",AJ419&gt;=0.85),"YES","NO"))</f>
        <v/>
      </c>
      <c r="AN419" s="7">
        <f>IF(AJ419="","",IF(AJ419&gt;=0.90,"Excellent",IF(AJ419&gt;=0.80,"Good",IF(AJ419&gt;=0.70,"Fair","Poor"))))</f>
        <v/>
      </c>
      <c r="AO419" s="12" t="n"/>
      <c r="AP419" s="12" t="n"/>
      <c r="AQ419" s="12" t="n"/>
      <c r="AR419" s="12" t="n"/>
      <c r="AS419" s="12" t="n"/>
      <c r="AT419" s="12" t="n"/>
      <c r="AU419" s="12" t="n"/>
      <c r="AV419" s="11" t="n"/>
      <c r="AW419" s="12" t="n"/>
      <c r="AX419" s="12" t="n"/>
      <c r="AY419" s="12" t="n"/>
      <c r="AZ419" s="12" t="n"/>
      <c r="BA419" s="12" t="n"/>
      <c r="BB419" s="12" t="n"/>
      <c r="BC419" s="12" t="n"/>
      <c r="BD419" s="12" t="n"/>
      <c r="BE419" s="12" t="n"/>
      <c r="BF419" s="12" t="n"/>
    </row>
    <row r="420">
      <c r="A420" s="7">
        <f>IF(B420="","","INS-"&amp;TEXT(ROW()-3,"000"))</f>
        <v/>
      </c>
      <c r="B420" s="11" t="n"/>
      <c r="C420" s="7">
        <f>IF(B420="","",ISOWEEKNUM(B420))</f>
        <v/>
      </c>
      <c r="D420" s="7">
        <f>IF(B420="","",TEXT(B420,"yyyy-mm"))</f>
        <v/>
      </c>
      <c r="E420" s="12" t="n"/>
      <c r="F420" s="12" t="n"/>
      <c r="G420" s="7">
        <f>IF(OR(E420="",F420=""),"",IF(COUNTIF(Cluster_Master!$I$3:$I$17,E420&amp;"|"&amp;F420)=1,"Valid","Review"))</f>
        <v/>
      </c>
      <c r="H420" s="7">
        <f>IF($G420&lt;&gt;"Valid","",VLOOKUP($E420&amp;"|"&amp;$F420,Cluster_Master!$I$3:$H$17,3,FALSE))</f>
        <v/>
      </c>
      <c r="I420" s="7">
        <f>IF($G420&lt;&gt;"Valid","",VLOOKUP($E420&amp;"|"&amp;$F420,Cluster_Master!$I$3:$H$17,4,FALSE))</f>
        <v/>
      </c>
      <c r="J420" s="7">
        <f>IF($G420&lt;&gt;"Valid","",VLOOKUP($E420&amp;"|"&amp;$F420,Cluster_Master!$I$3:$H$17,5,FALSE))</f>
        <v/>
      </c>
      <c r="K420" s="7">
        <f>IF($G420&lt;&gt;"Valid","",VLOOKUP($E420&amp;"|"&amp;$F420,Cluster_Master!$I$3:$H$17,6,FALSE))</f>
        <v/>
      </c>
      <c r="L420" s="7">
        <f>IF($G420&lt;&gt;"Valid","",VLOOKUP($E420&amp;"|"&amp;$F420,Cluster_Master!$I$3:$H$17,7,FALSE))</f>
        <v/>
      </c>
      <c r="M420" s="7">
        <f>IF($G420&lt;&gt;"Valid","",VLOOKUP($E420&amp;"|"&amp;$F420,Cluster_Master!$I$3:$H$17,8,FALSE))</f>
        <v/>
      </c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7">
        <f>IF(COUNT(T420:AH420)=0,"",SUM(T420:AH420))</f>
        <v/>
      </c>
      <c r="AJ420" s="10">
        <f>IF(AI420="","",AI420/75)</f>
        <v/>
      </c>
      <c r="AK420" s="10">
        <f>IF(AI420="","",SUMPRODUCT(T420:AH420,KPI_Weights!$B$3:$B$17)/5)</f>
        <v/>
      </c>
      <c r="AL420" s="7">
        <f>IF(COUNT(T420:AH420)=0,"",IF(OR(T420&lt;=1,W420&lt;=1,X420&lt;=1,Y420&lt;=1,AB420&lt;=1),"YES","NO"))</f>
        <v/>
      </c>
      <c r="AM420" s="7">
        <f>IF(AK420="","",IF(AND(AK420="NO",AJ420&gt;=0.85),"YES","NO"))</f>
        <v/>
      </c>
      <c r="AN420" s="7">
        <f>IF(AJ420="","",IF(AJ420&gt;=0.90,"Excellent",IF(AJ420&gt;=0.80,"Good",IF(AJ420&gt;=0.70,"Fair","Poor"))))</f>
        <v/>
      </c>
      <c r="AO420" s="12" t="n"/>
      <c r="AP420" s="12" t="n"/>
      <c r="AQ420" s="12" t="n"/>
      <c r="AR420" s="12" t="n"/>
      <c r="AS420" s="12" t="n"/>
      <c r="AT420" s="12" t="n"/>
      <c r="AU420" s="12" t="n"/>
      <c r="AV420" s="11" t="n"/>
      <c r="AW420" s="12" t="n"/>
      <c r="AX420" s="12" t="n"/>
      <c r="AY420" s="12" t="n"/>
      <c r="AZ420" s="12" t="n"/>
      <c r="BA420" s="12" t="n"/>
      <c r="BB420" s="12" t="n"/>
      <c r="BC420" s="12" t="n"/>
      <c r="BD420" s="12" t="n"/>
      <c r="BE420" s="12" t="n"/>
      <c r="BF420" s="12" t="n"/>
    </row>
    <row r="421">
      <c r="A421" s="7">
        <f>IF(B421="","","INS-"&amp;TEXT(ROW()-3,"000"))</f>
        <v/>
      </c>
      <c r="B421" s="11" t="n"/>
      <c r="C421" s="7">
        <f>IF(B421="","",ISOWEEKNUM(B421))</f>
        <v/>
      </c>
      <c r="D421" s="7">
        <f>IF(B421="","",TEXT(B421,"yyyy-mm"))</f>
        <v/>
      </c>
      <c r="E421" s="12" t="n"/>
      <c r="F421" s="12" t="n"/>
      <c r="G421" s="7">
        <f>IF(OR(E421="",F421=""),"",IF(COUNTIF(Cluster_Master!$I$3:$I$17,E421&amp;"|"&amp;F421)=1,"Valid","Review"))</f>
        <v/>
      </c>
      <c r="H421" s="7">
        <f>IF($G421&lt;&gt;"Valid","",VLOOKUP($E421&amp;"|"&amp;$F421,Cluster_Master!$I$3:$H$17,3,FALSE))</f>
        <v/>
      </c>
      <c r="I421" s="7">
        <f>IF($G421&lt;&gt;"Valid","",VLOOKUP($E421&amp;"|"&amp;$F421,Cluster_Master!$I$3:$H$17,4,FALSE))</f>
        <v/>
      </c>
      <c r="J421" s="7">
        <f>IF($G421&lt;&gt;"Valid","",VLOOKUP($E421&amp;"|"&amp;$F421,Cluster_Master!$I$3:$H$17,5,FALSE))</f>
        <v/>
      </c>
      <c r="K421" s="7">
        <f>IF($G421&lt;&gt;"Valid","",VLOOKUP($E421&amp;"|"&amp;$F421,Cluster_Master!$I$3:$H$17,6,FALSE))</f>
        <v/>
      </c>
      <c r="L421" s="7">
        <f>IF($G421&lt;&gt;"Valid","",VLOOKUP($E421&amp;"|"&amp;$F421,Cluster_Master!$I$3:$H$17,7,FALSE))</f>
        <v/>
      </c>
      <c r="M421" s="7">
        <f>IF($G421&lt;&gt;"Valid","",VLOOKUP($E421&amp;"|"&amp;$F421,Cluster_Master!$I$3:$H$17,8,FALSE))</f>
        <v/>
      </c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7">
        <f>IF(COUNT(T421:AH421)=0,"",SUM(T421:AH421))</f>
        <v/>
      </c>
      <c r="AJ421" s="10">
        <f>IF(AI421="","",AI421/75)</f>
        <v/>
      </c>
      <c r="AK421" s="10">
        <f>IF(AI421="","",SUMPRODUCT(T421:AH421,KPI_Weights!$B$3:$B$17)/5)</f>
        <v/>
      </c>
      <c r="AL421" s="7">
        <f>IF(COUNT(T421:AH421)=0,"",IF(OR(T421&lt;=1,W421&lt;=1,X421&lt;=1,Y421&lt;=1,AB421&lt;=1),"YES","NO"))</f>
        <v/>
      </c>
      <c r="AM421" s="7">
        <f>IF(AK421="","",IF(AND(AK421="NO",AJ421&gt;=0.85),"YES","NO"))</f>
        <v/>
      </c>
      <c r="AN421" s="7">
        <f>IF(AJ421="","",IF(AJ421&gt;=0.90,"Excellent",IF(AJ421&gt;=0.80,"Good",IF(AJ421&gt;=0.70,"Fair","Poor"))))</f>
        <v/>
      </c>
      <c r="AO421" s="12" t="n"/>
      <c r="AP421" s="12" t="n"/>
      <c r="AQ421" s="12" t="n"/>
      <c r="AR421" s="12" t="n"/>
      <c r="AS421" s="12" t="n"/>
      <c r="AT421" s="12" t="n"/>
      <c r="AU421" s="12" t="n"/>
      <c r="AV421" s="11" t="n"/>
      <c r="AW421" s="12" t="n"/>
      <c r="AX421" s="12" t="n"/>
      <c r="AY421" s="12" t="n"/>
      <c r="AZ421" s="12" t="n"/>
      <c r="BA421" s="12" t="n"/>
      <c r="BB421" s="12" t="n"/>
      <c r="BC421" s="12" t="n"/>
      <c r="BD421" s="12" t="n"/>
      <c r="BE421" s="12" t="n"/>
      <c r="BF421" s="12" t="n"/>
    </row>
    <row r="422">
      <c r="A422" s="7">
        <f>IF(B422="","","INS-"&amp;TEXT(ROW()-3,"000"))</f>
        <v/>
      </c>
      <c r="B422" s="11" t="n"/>
      <c r="C422" s="7">
        <f>IF(B422="","",ISOWEEKNUM(B422))</f>
        <v/>
      </c>
      <c r="D422" s="7">
        <f>IF(B422="","",TEXT(B422,"yyyy-mm"))</f>
        <v/>
      </c>
      <c r="E422" s="12" t="n"/>
      <c r="F422" s="12" t="n"/>
      <c r="G422" s="7">
        <f>IF(OR(E422="",F422=""),"",IF(COUNTIF(Cluster_Master!$I$3:$I$17,E422&amp;"|"&amp;F422)=1,"Valid","Review"))</f>
        <v/>
      </c>
      <c r="H422" s="7">
        <f>IF($G422&lt;&gt;"Valid","",VLOOKUP($E422&amp;"|"&amp;$F422,Cluster_Master!$I$3:$H$17,3,FALSE))</f>
        <v/>
      </c>
      <c r="I422" s="7">
        <f>IF($G422&lt;&gt;"Valid","",VLOOKUP($E422&amp;"|"&amp;$F422,Cluster_Master!$I$3:$H$17,4,FALSE))</f>
        <v/>
      </c>
      <c r="J422" s="7">
        <f>IF($G422&lt;&gt;"Valid","",VLOOKUP($E422&amp;"|"&amp;$F422,Cluster_Master!$I$3:$H$17,5,FALSE))</f>
        <v/>
      </c>
      <c r="K422" s="7">
        <f>IF($G422&lt;&gt;"Valid","",VLOOKUP($E422&amp;"|"&amp;$F422,Cluster_Master!$I$3:$H$17,6,FALSE))</f>
        <v/>
      </c>
      <c r="L422" s="7">
        <f>IF($G422&lt;&gt;"Valid","",VLOOKUP($E422&amp;"|"&amp;$F422,Cluster_Master!$I$3:$H$17,7,FALSE))</f>
        <v/>
      </c>
      <c r="M422" s="7">
        <f>IF($G422&lt;&gt;"Valid","",VLOOKUP($E422&amp;"|"&amp;$F422,Cluster_Master!$I$3:$H$17,8,FALSE))</f>
        <v/>
      </c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7">
        <f>IF(COUNT(T422:AH422)=0,"",SUM(T422:AH422))</f>
        <v/>
      </c>
      <c r="AJ422" s="10">
        <f>IF(AI422="","",AI422/75)</f>
        <v/>
      </c>
      <c r="AK422" s="10">
        <f>IF(AI422="","",SUMPRODUCT(T422:AH422,KPI_Weights!$B$3:$B$17)/5)</f>
        <v/>
      </c>
      <c r="AL422" s="7">
        <f>IF(COUNT(T422:AH422)=0,"",IF(OR(T422&lt;=1,W422&lt;=1,X422&lt;=1,Y422&lt;=1,AB422&lt;=1),"YES","NO"))</f>
        <v/>
      </c>
      <c r="AM422" s="7">
        <f>IF(AK422="","",IF(AND(AK422="NO",AJ422&gt;=0.85),"YES","NO"))</f>
        <v/>
      </c>
      <c r="AN422" s="7">
        <f>IF(AJ422="","",IF(AJ422&gt;=0.90,"Excellent",IF(AJ422&gt;=0.80,"Good",IF(AJ422&gt;=0.70,"Fair","Poor"))))</f>
        <v/>
      </c>
      <c r="AO422" s="12" t="n"/>
      <c r="AP422" s="12" t="n"/>
      <c r="AQ422" s="12" t="n"/>
      <c r="AR422" s="12" t="n"/>
      <c r="AS422" s="12" t="n"/>
      <c r="AT422" s="12" t="n"/>
      <c r="AU422" s="12" t="n"/>
      <c r="AV422" s="11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  <c r="BF422" s="12" t="n"/>
    </row>
    <row r="423">
      <c r="A423" s="7">
        <f>IF(B423="","","INS-"&amp;TEXT(ROW()-3,"000"))</f>
        <v/>
      </c>
      <c r="B423" s="11" t="n"/>
      <c r="C423" s="7">
        <f>IF(B423="","",ISOWEEKNUM(B423))</f>
        <v/>
      </c>
      <c r="D423" s="7">
        <f>IF(B423="","",TEXT(B423,"yyyy-mm"))</f>
        <v/>
      </c>
      <c r="E423" s="12" t="n"/>
      <c r="F423" s="12" t="n"/>
      <c r="G423" s="7">
        <f>IF(OR(E423="",F423=""),"",IF(COUNTIF(Cluster_Master!$I$3:$I$17,E423&amp;"|"&amp;F423)=1,"Valid","Review"))</f>
        <v/>
      </c>
      <c r="H423" s="7">
        <f>IF($G423&lt;&gt;"Valid","",VLOOKUP($E423&amp;"|"&amp;$F423,Cluster_Master!$I$3:$H$17,3,FALSE))</f>
        <v/>
      </c>
      <c r="I423" s="7">
        <f>IF($G423&lt;&gt;"Valid","",VLOOKUP($E423&amp;"|"&amp;$F423,Cluster_Master!$I$3:$H$17,4,FALSE))</f>
        <v/>
      </c>
      <c r="J423" s="7">
        <f>IF($G423&lt;&gt;"Valid","",VLOOKUP($E423&amp;"|"&amp;$F423,Cluster_Master!$I$3:$H$17,5,FALSE))</f>
        <v/>
      </c>
      <c r="K423" s="7">
        <f>IF($G423&lt;&gt;"Valid","",VLOOKUP($E423&amp;"|"&amp;$F423,Cluster_Master!$I$3:$H$17,6,FALSE))</f>
        <v/>
      </c>
      <c r="L423" s="7">
        <f>IF($G423&lt;&gt;"Valid","",VLOOKUP($E423&amp;"|"&amp;$F423,Cluster_Master!$I$3:$H$17,7,FALSE))</f>
        <v/>
      </c>
      <c r="M423" s="7">
        <f>IF($G423&lt;&gt;"Valid","",VLOOKUP($E423&amp;"|"&amp;$F423,Cluster_Master!$I$3:$H$17,8,FALSE))</f>
        <v/>
      </c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7">
        <f>IF(COUNT(T423:AH423)=0,"",SUM(T423:AH423))</f>
        <v/>
      </c>
      <c r="AJ423" s="10">
        <f>IF(AI423="","",AI423/75)</f>
        <v/>
      </c>
      <c r="AK423" s="10">
        <f>IF(AI423="","",SUMPRODUCT(T423:AH423,KPI_Weights!$B$3:$B$17)/5)</f>
        <v/>
      </c>
      <c r="AL423" s="7">
        <f>IF(COUNT(T423:AH423)=0,"",IF(OR(T423&lt;=1,W423&lt;=1,X423&lt;=1,Y423&lt;=1,AB423&lt;=1),"YES","NO"))</f>
        <v/>
      </c>
      <c r="AM423" s="7">
        <f>IF(AK423="","",IF(AND(AK423="NO",AJ423&gt;=0.85),"YES","NO"))</f>
        <v/>
      </c>
      <c r="AN423" s="7">
        <f>IF(AJ423="","",IF(AJ423&gt;=0.90,"Excellent",IF(AJ423&gt;=0.80,"Good",IF(AJ423&gt;=0.70,"Fair","Poor"))))</f>
        <v/>
      </c>
      <c r="AO423" s="12" t="n"/>
      <c r="AP423" s="12" t="n"/>
      <c r="AQ423" s="12" t="n"/>
      <c r="AR423" s="12" t="n"/>
      <c r="AS423" s="12" t="n"/>
      <c r="AT423" s="12" t="n"/>
      <c r="AU423" s="12" t="n"/>
      <c r="AV423" s="11" t="n"/>
      <c r="AW423" s="12" t="n"/>
      <c r="AX423" s="12" t="n"/>
      <c r="AY423" s="12" t="n"/>
      <c r="AZ423" s="12" t="n"/>
      <c r="BA423" s="12" t="n"/>
      <c r="BB423" s="12" t="n"/>
      <c r="BC423" s="12" t="n"/>
      <c r="BD423" s="12" t="n"/>
      <c r="BE423" s="12" t="n"/>
      <c r="BF423" s="12" t="n"/>
    </row>
    <row r="424">
      <c r="A424" s="7">
        <f>IF(B424="","","INS-"&amp;TEXT(ROW()-3,"000"))</f>
        <v/>
      </c>
      <c r="B424" s="11" t="n"/>
      <c r="C424" s="7">
        <f>IF(B424="","",ISOWEEKNUM(B424))</f>
        <v/>
      </c>
      <c r="D424" s="7">
        <f>IF(B424="","",TEXT(B424,"yyyy-mm"))</f>
        <v/>
      </c>
      <c r="E424" s="12" t="n"/>
      <c r="F424" s="12" t="n"/>
      <c r="G424" s="7">
        <f>IF(OR(E424="",F424=""),"",IF(COUNTIF(Cluster_Master!$I$3:$I$17,E424&amp;"|"&amp;F424)=1,"Valid","Review"))</f>
        <v/>
      </c>
      <c r="H424" s="7">
        <f>IF($G424&lt;&gt;"Valid","",VLOOKUP($E424&amp;"|"&amp;$F424,Cluster_Master!$I$3:$H$17,3,FALSE))</f>
        <v/>
      </c>
      <c r="I424" s="7">
        <f>IF($G424&lt;&gt;"Valid","",VLOOKUP($E424&amp;"|"&amp;$F424,Cluster_Master!$I$3:$H$17,4,FALSE))</f>
        <v/>
      </c>
      <c r="J424" s="7">
        <f>IF($G424&lt;&gt;"Valid","",VLOOKUP($E424&amp;"|"&amp;$F424,Cluster_Master!$I$3:$H$17,5,FALSE))</f>
        <v/>
      </c>
      <c r="K424" s="7">
        <f>IF($G424&lt;&gt;"Valid","",VLOOKUP($E424&amp;"|"&amp;$F424,Cluster_Master!$I$3:$H$17,6,FALSE))</f>
        <v/>
      </c>
      <c r="L424" s="7">
        <f>IF($G424&lt;&gt;"Valid","",VLOOKUP($E424&amp;"|"&amp;$F424,Cluster_Master!$I$3:$H$17,7,FALSE))</f>
        <v/>
      </c>
      <c r="M424" s="7">
        <f>IF($G424&lt;&gt;"Valid","",VLOOKUP($E424&amp;"|"&amp;$F424,Cluster_Master!$I$3:$H$17,8,FALSE))</f>
        <v/>
      </c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7">
        <f>IF(COUNT(T424:AH424)=0,"",SUM(T424:AH424))</f>
        <v/>
      </c>
      <c r="AJ424" s="10">
        <f>IF(AI424="","",AI424/75)</f>
        <v/>
      </c>
      <c r="AK424" s="10">
        <f>IF(AI424="","",SUMPRODUCT(T424:AH424,KPI_Weights!$B$3:$B$17)/5)</f>
        <v/>
      </c>
      <c r="AL424" s="7">
        <f>IF(COUNT(T424:AH424)=0,"",IF(OR(T424&lt;=1,W424&lt;=1,X424&lt;=1,Y424&lt;=1,AB424&lt;=1),"YES","NO"))</f>
        <v/>
      </c>
      <c r="AM424" s="7">
        <f>IF(AK424="","",IF(AND(AK424="NO",AJ424&gt;=0.85),"YES","NO"))</f>
        <v/>
      </c>
      <c r="AN424" s="7">
        <f>IF(AJ424="","",IF(AJ424&gt;=0.90,"Excellent",IF(AJ424&gt;=0.80,"Good",IF(AJ424&gt;=0.70,"Fair","Poor"))))</f>
        <v/>
      </c>
      <c r="AO424" s="12" t="n"/>
      <c r="AP424" s="12" t="n"/>
      <c r="AQ424" s="12" t="n"/>
      <c r="AR424" s="12" t="n"/>
      <c r="AS424" s="12" t="n"/>
      <c r="AT424" s="12" t="n"/>
      <c r="AU424" s="12" t="n"/>
      <c r="AV424" s="11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  <c r="BF424" s="12" t="n"/>
    </row>
    <row r="425">
      <c r="A425" s="7">
        <f>IF(B425="","","INS-"&amp;TEXT(ROW()-3,"000"))</f>
        <v/>
      </c>
      <c r="B425" s="11" t="n"/>
      <c r="C425" s="7">
        <f>IF(B425="","",ISOWEEKNUM(B425))</f>
        <v/>
      </c>
      <c r="D425" s="7">
        <f>IF(B425="","",TEXT(B425,"yyyy-mm"))</f>
        <v/>
      </c>
      <c r="E425" s="12" t="n"/>
      <c r="F425" s="12" t="n"/>
      <c r="G425" s="7">
        <f>IF(OR(E425="",F425=""),"",IF(COUNTIF(Cluster_Master!$I$3:$I$17,E425&amp;"|"&amp;F425)=1,"Valid","Review"))</f>
        <v/>
      </c>
      <c r="H425" s="7">
        <f>IF($G425&lt;&gt;"Valid","",VLOOKUP($E425&amp;"|"&amp;$F425,Cluster_Master!$I$3:$H$17,3,FALSE))</f>
        <v/>
      </c>
      <c r="I425" s="7">
        <f>IF($G425&lt;&gt;"Valid","",VLOOKUP($E425&amp;"|"&amp;$F425,Cluster_Master!$I$3:$H$17,4,FALSE))</f>
        <v/>
      </c>
      <c r="J425" s="7">
        <f>IF($G425&lt;&gt;"Valid","",VLOOKUP($E425&amp;"|"&amp;$F425,Cluster_Master!$I$3:$H$17,5,FALSE))</f>
        <v/>
      </c>
      <c r="K425" s="7">
        <f>IF($G425&lt;&gt;"Valid","",VLOOKUP($E425&amp;"|"&amp;$F425,Cluster_Master!$I$3:$H$17,6,FALSE))</f>
        <v/>
      </c>
      <c r="L425" s="7">
        <f>IF($G425&lt;&gt;"Valid","",VLOOKUP($E425&amp;"|"&amp;$F425,Cluster_Master!$I$3:$H$17,7,FALSE))</f>
        <v/>
      </c>
      <c r="M425" s="7">
        <f>IF($G425&lt;&gt;"Valid","",VLOOKUP($E425&amp;"|"&amp;$F425,Cluster_Master!$I$3:$H$17,8,FALSE))</f>
        <v/>
      </c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7">
        <f>IF(COUNT(T425:AH425)=0,"",SUM(T425:AH425))</f>
        <v/>
      </c>
      <c r="AJ425" s="10">
        <f>IF(AI425="","",AI425/75)</f>
        <v/>
      </c>
      <c r="AK425" s="10">
        <f>IF(AI425="","",SUMPRODUCT(T425:AH425,KPI_Weights!$B$3:$B$17)/5)</f>
        <v/>
      </c>
      <c r="AL425" s="7">
        <f>IF(COUNT(T425:AH425)=0,"",IF(OR(T425&lt;=1,W425&lt;=1,X425&lt;=1,Y425&lt;=1,AB425&lt;=1),"YES","NO"))</f>
        <v/>
      </c>
      <c r="AM425" s="7">
        <f>IF(AK425="","",IF(AND(AK425="NO",AJ425&gt;=0.85),"YES","NO"))</f>
        <v/>
      </c>
      <c r="AN425" s="7">
        <f>IF(AJ425="","",IF(AJ425&gt;=0.90,"Excellent",IF(AJ425&gt;=0.80,"Good",IF(AJ425&gt;=0.70,"Fair","Poor"))))</f>
        <v/>
      </c>
      <c r="AO425" s="12" t="n"/>
      <c r="AP425" s="12" t="n"/>
      <c r="AQ425" s="12" t="n"/>
      <c r="AR425" s="12" t="n"/>
      <c r="AS425" s="12" t="n"/>
      <c r="AT425" s="12" t="n"/>
      <c r="AU425" s="12" t="n"/>
      <c r="AV425" s="11" t="n"/>
      <c r="AW425" s="12" t="n"/>
      <c r="AX425" s="12" t="n"/>
      <c r="AY425" s="12" t="n"/>
      <c r="AZ425" s="12" t="n"/>
      <c r="BA425" s="12" t="n"/>
      <c r="BB425" s="12" t="n"/>
      <c r="BC425" s="12" t="n"/>
      <c r="BD425" s="12" t="n"/>
      <c r="BE425" s="12" t="n"/>
      <c r="BF425" s="12" t="n"/>
    </row>
    <row r="426">
      <c r="A426" s="7">
        <f>IF(B426="","","INS-"&amp;TEXT(ROW()-3,"000"))</f>
        <v/>
      </c>
      <c r="B426" s="11" t="n"/>
      <c r="C426" s="7">
        <f>IF(B426="","",ISOWEEKNUM(B426))</f>
        <v/>
      </c>
      <c r="D426" s="7">
        <f>IF(B426="","",TEXT(B426,"yyyy-mm"))</f>
        <v/>
      </c>
      <c r="E426" s="12" t="n"/>
      <c r="F426" s="12" t="n"/>
      <c r="G426" s="7">
        <f>IF(OR(E426="",F426=""),"",IF(COUNTIF(Cluster_Master!$I$3:$I$17,E426&amp;"|"&amp;F426)=1,"Valid","Review"))</f>
        <v/>
      </c>
      <c r="H426" s="7">
        <f>IF($G426&lt;&gt;"Valid","",VLOOKUP($E426&amp;"|"&amp;$F426,Cluster_Master!$I$3:$H$17,3,FALSE))</f>
        <v/>
      </c>
      <c r="I426" s="7">
        <f>IF($G426&lt;&gt;"Valid","",VLOOKUP($E426&amp;"|"&amp;$F426,Cluster_Master!$I$3:$H$17,4,FALSE))</f>
        <v/>
      </c>
      <c r="J426" s="7">
        <f>IF($G426&lt;&gt;"Valid","",VLOOKUP($E426&amp;"|"&amp;$F426,Cluster_Master!$I$3:$H$17,5,FALSE))</f>
        <v/>
      </c>
      <c r="K426" s="7">
        <f>IF($G426&lt;&gt;"Valid","",VLOOKUP($E426&amp;"|"&amp;$F426,Cluster_Master!$I$3:$H$17,6,FALSE))</f>
        <v/>
      </c>
      <c r="L426" s="7">
        <f>IF($G426&lt;&gt;"Valid","",VLOOKUP($E426&amp;"|"&amp;$F426,Cluster_Master!$I$3:$H$17,7,FALSE))</f>
        <v/>
      </c>
      <c r="M426" s="7">
        <f>IF($G426&lt;&gt;"Valid","",VLOOKUP($E426&amp;"|"&amp;$F426,Cluster_Master!$I$3:$H$17,8,FALSE))</f>
        <v/>
      </c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7">
        <f>IF(COUNT(T426:AH426)=0,"",SUM(T426:AH426))</f>
        <v/>
      </c>
      <c r="AJ426" s="10">
        <f>IF(AI426="","",AI426/75)</f>
        <v/>
      </c>
      <c r="AK426" s="10">
        <f>IF(AI426="","",SUMPRODUCT(T426:AH426,KPI_Weights!$B$3:$B$17)/5)</f>
        <v/>
      </c>
      <c r="AL426" s="7">
        <f>IF(COUNT(T426:AH426)=0,"",IF(OR(T426&lt;=1,W426&lt;=1,X426&lt;=1,Y426&lt;=1,AB426&lt;=1),"YES","NO"))</f>
        <v/>
      </c>
      <c r="AM426" s="7">
        <f>IF(AK426="","",IF(AND(AK426="NO",AJ426&gt;=0.85),"YES","NO"))</f>
        <v/>
      </c>
      <c r="AN426" s="7">
        <f>IF(AJ426="","",IF(AJ426&gt;=0.90,"Excellent",IF(AJ426&gt;=0.80,"Good",IF(AJ426&gt;=0.70,"Fair","Poor"))))</f>
        <v/>
      </c>
      <c r="AO426" s="12" t="n"/>
      <c r="AP426" s="12" t="n"/>
      <c r="AQ426" s="12" t="n"/>
      <c r="AR426" s="12" t="n"/>
      <c r="AS426" s="12" t="n"/>
      <c r="AT426" s="12" t="n"/>
      <c r="AU426" s="12" t="n"/>
      <c r="AV426" s="11" t="n"/>
      <c r="AW426" s="12" t="n"/>
      <c r="AX426" s="12" t="n"/>
      <c r="AY426" s="12" t="n"/>
      <c r="AZ426" s="12" t="n"/>
      <c r="BA426" s="12" t="n"/>
      <c r="BB426" s="12" t="n"/>
      <c r="BC426" s="12" t="n"/>
      <c r="BD426" s="12" t="n"/>
      <c r="BE426" s="12" t="n"/>
      <c r="BF426" s="12" t="n"/>
    </row>
    <row r="427">
      <c r="A427" s="7">
        <f>IF(B427="","","INS-"&amp;TEXT(ROW()-3,"000"))</f>
        <v/>
      </c>
      <c r="B427" s="11" t="n"/>
      <c r="C427" s="7">
        <f>IF(B427="","",ISOWEEKNUM(B427))</f>
        <v/>
      </c>
      <c r="D427" s="7">
        <f>IF(B427="","",TEXT(B427,"yyyy-mm"))</f>
        <v/>
      </c>
      <c r="E427" s="12" t="n"/>
      <c r="F427" s="12" t="n"/>
      <c r="G427" s="7">
        <f>IF(OR(E427="",F427=""),"",IF(COUNTIF(Cluster_Master!$I$3:$I$17,E427&amp;"|"&amp;F427)=1,"Valid","Review"))</f>
        <v/>
      </c>
      <c r="H427" s="7">
        <f>IF($G427&lt;&gt;"Valid","",VLOOKUP($E427&amp;"|"&amp;$F427,Cluster_Master!$I$3:$H$17,3,FALSE))</f>
        <v/>
      </c>
      <c r="I427" s="7">
        <f>IF($G427&lt;&gt;"Valid","",VLOOKUP($E427&amp;"|"&amp;$F427,Cluster_Master!$I$3:$H$17,4,FALSE))</f>
        <v/>
      </c>
      <c r="J427" s="7">
        <f>IF($G427&lt;&gt;"Valid","",VLOOKUP($E427&amp;"|"&amp;$F427,Cluster_Master!$I$3:$H$17,5,FALSE))</f>
        <v/>
      </c>
      <c r="K427" s="7">
        <f>IF($G427&lt;&gt;"Valid","",VLOOKUP($E427&amp;"|"&amp;$F427,Cluster_Master!$I$3:$H$17,6,FALSE))</f>
        <v/>
      </c>
      <c r="L427" s="7">
        <f>IF($G427&lt;&gt;"Valid","",VLOOKUP($E427&amp;"|"&amp;$F427,Cluster_Master!$I$3:$H$17,7,FALSE))</f>
        <v/>
      </c>
      <c r="M427" s="7">
        <f>IF($G427&lt;&gt;"Valid","",VLOOKUP($E427&amp;"|"&amp;$F427,Cluster_Master!$I$3:$H$17,8,FALSE))</f>
        <v/>
      </c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7">
        <f>IF(COUNT(T427:AH427)=0,"",SUM(T427:AH427))</f>
        <v/>
      </c>
      <c r="AJ427" s="10">
        <f>IF(AI427="","",AI427/75)</f>
        <v/>
      </c>
      <c r="AK427" s="10">
        <f>IF(AI427="","",SUMPRODUCT(T427:AH427,KPI_Weights!$B$3:$B$17)/5)</f>
        <v/>
      </c>
      <c r="AL427" s="7">
        <f>IF(COUNT(T427:AH427)=0,"",IF(OR(T427&lt;=1,W427&lt;=1,X427&lt;=1,Y427&lt;=1,AB427&lt;=1),"YES","NO"))</f>
        <v/>
      </c>
      <c r="AM427" s="7">
        <f>IF(AK427="","",IF(AND(AK427="NO",AJ427&gt;=0.85),"YES","NO"))</f>
        <v/>
      </c>
      <c r="AN427" s="7">
        <f>IF(AJ427="","",IF(AJ427&gt;=0.90,"Excellent",IF(AJ427&gt;=0.80,"Good",IF(AJ427&gt;=0.70,"Fair","Poor"))))</f>
        <v/>
      </c>
      <c r="AO427" s="12" t="n"/>
      <c r="AP427" s="12" t="n"/>
      <c r="AQ427" s="12" t="n"/>
      <c r="AR427" s="12" t="n"/>
      <c r="AS427" s="12" t="n"/>
      <c r="AT427" s="12" t="n"/>
      <c r="AU427" s="12" t="n"/>
      <c r="AV427" s="11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  <c r="BF427" s="12" t="n"/>
    </row>
    <row r="428">
      <c r="A428" s="7">
        <f>IF(B428="","","INS-"&amp;TEXT(ROW()-3,"000"))</f>
        <v/>
      </c>
      <c r="B428" s="11" t="n"/>
      <c r="C428" s="7">
        <f>IF(B428="","",ISOWEEKNUM(B428))</f>
        <v/>
      </c>
      <c r="D428" s="7">
        <f>IF(B428="","",TEXT(B428,"yyyy-mm"))</f>
        <v/>
      </c>
      <c r="E428" s="12" t="n"/>
      <c r="F428" s="12" t="n"/>
      <c r="G428" s="7">
        <f>IF(OR(E428="",F428=""),"",IF(COUNTIF(Cluster_Master!$I$3:$I$17,E428&amp;"|"&amp;F428)=1,"Valid","Review"))</f>
        <v/>
      </c>
      <c r="H428" s="7">
        <f>IF($G428&lt;&gt;"Valid","",VLOOKUP($E428&amp;"|"&amp;$F428,Cluster_Master!$I$3:$H$17,3,FALSE))</f>
        <v/>
      </c>
      <c r="I428" s="7">
        <f>IF($G428&lt;&gt;"Valid","",VLOOKUP($E428&amp;"|"&amp;$F428,Cluster_Master!$I$3:$H$17,4,FALSE))</f>
        <v/>
      </c>
      <c r="J428" s="7">
        <f>IF($G428&lt;&gt;"Valid","",VLOOKUP($E428&amp;"|"&amp;$F428,Cluster_Master!$I$3:$H$17,5,FALSE))</f>
        <v/>
      </c>
      <c r="K428" s="7">
        <f>IF($G428&lt;&gt;"Valid","",VLOOKUP($E428&amp;"|"&amp;$F428,Cluster_Master!$I$3:$H$17,6,FALSE))</f>
        <v/>
      </c>
      <c r="L428" s="7">
        <f>IF($G428&lt;&gt;"Valid","",VLOOKUP($E428&amp;"|"&amp;$F428,Cluster_Master!$I$3:$H$17,7,FALSE))</f>
        <v/>
      </c>
      <c r="M428" s="7">
        <f>IF($G428&lt;&gt;"Valid","",VLOOKUP($E428&amp;"|"&amp;$F428,Cluster_Master!$I$3:$H$17,8,FALSE))</f>
        <v/>
      </c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7">
        <f>IF(COUNT(T428:AH428)=0,"",SUM(T428:AH428))</f>
        <v/>
      </c>
      <c r="AJ428" s="10">
        <f>IF(AI428="","",AI428/75)</f>
        <v/>
      </c>
      <c r="AK428" s="10">
        <f>IF(AI428="","",SUMPRODUCT(T428:AH428,KPI_Weights!$B$3:$B$17)/5)</f>
        <v/>
      </c>
      <c r="AL428" s="7">
        <f>IF(COUNT(T428:AH428)=0,"",IF(OR(T428&lt;=1,W428&lt;=1,X428&lt;=1,Y428&lt;=1,AB428&lt;=1),"YES","NO"))</f>
        <v/>
      </c>
      <c r="AM428" s="7">
        <f>IF(AK428="","",IF(AND(AK428="NO",AJ428&gt;=0.85),"YES","NO"))</f>
        <v/>
      </c>
      <c r="AN428" s="7">
        <f>IF(AJ428="","",IF(AJ428&gt;=0.90,"Excellent",IF(AJ428&gt;=0.80,"Good",IF(AJ428&gt;=0.70,"Fair","Poor"))))</f>
        <v/>
      </c>
      <c r="AO428" s="12" t="n"/>
      <c r="AP428" s="12" t="n"/>
      <c r="AQ428" s="12" t="n"/>
      <c r="AR428" s="12" t="n"/>
      <c r="AS428" s="12" t="n"/>
      <c r="AT428" s="12" t="n"/>
      <c r="AU428" s="12" t="n"/>
      <c r="AV428" s="11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  <c r="BF428" s="12" t="n"/>
    </row>
    <row r="429">
      <c r="A429" s="7">
        <f>IF(B429="","","INS-"&amp;TEXT(ROW()-3,"000"))</f>
        <v/>
      </c>
      <c r="B429" s="11" t="n"/>
      <c r="C429" s="7">
        <f>IF(B429="","",ISOWEEKNUM(B429))</f>
        <v/>
      </c>
      <c r="D429" s="7">
        <f>IF(B429="","",TEXT(B429,"yyyy-mm"))</f>
        <v/>
      </c>
      <c r="E429" s="12" t="n"/>
      <c r="F429" s="12" t="n"/>
      <c r="G429" s="7">
        <f>IF(OR(E429="",F429=""),"",IF(COUNTIF(Cluster_Master!$I$3:$I$17,E429&amp;"|"&amp;F429)=1,"Valid","Review"))</f>
        <v/>
      </c>
      <c r="H429" s="7">
        <f>IF($G429&lt;&gt;"Valid","",VLOOKUP($E429&amp;"|"&amp;$F429,Cluster_Master!$I$3:$H$17,3,FALSE))</f>
        <v/>
      </c>
      <c r="I429" s="7">
        <f>IF($G429&lt;&gt;"Valid","",VLOOKUP($E429&amp;"|"&amp;$F429,Cluster_Master!$I$3:$H$17,4,FALSE))</f>
        <v/>
      </c>
      <c r="J429" s="7">
        <f>IF($G429&lt;&gt;"Valid","",VLOOKUP($E429&amp;"|"&amp;$F429,Cluster_Master!$I$3:$H$17,5,FALSE))</f>
        <v/>
      </c>
      <c r="K429" s="7">
        <f>IF($G429&lt;&gt;"Valid","",VLOOKUP($E429&amp;"|"&amp;$F429,Cluster_Master!$I$3:$H$17,6,FALSE))</f>
        <v/>
      </c>
      <c r="L429" s="7">
        <f>IF($G429&lt;&gt;"Valid","",VLOOKUP($E429&amp;"|"&amp;$F429,Cluster_Master!$I$3:$H$17,7,FALSE))</f>
        <v/>
      </c>
      <c r="M429" s="7">
        <f>IF($G429&lt;&gt;"Valid","",VLOOKUP($E429&amp;"|"&amp;$F429,Cluster_Master!$I$3:$H$17,8,FALSE))</f>
        <v/>
      </c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7">
        <f>IF(COUNT(T429:AH429)=0,"",SUM(T429:AH429))</f>
        <v/>
      </c>
      <c r="AJ429" s="10">
        <f>IF(AI429="","",AI429/75)</f>
        <v/>
      </c>
      <c r="AK429" s="10">
        <f>IF(AI429="","",SUMPRODUCT(T429:AH429,KPI_Weights!$B$3:$B$17)/5)</f>
        <v/>
      </c>
      <c r="AL429" s="7">
        <f>IF(COUNT(T429:AH429)=0,"",IF(OR(T429&lt;=1,W429&lt;=1,X429&lt;=1,Y429&lt;=1,AB429&lt;=1),"YES","NO"))</f>
        <v/>
      </c>
      <c r="AM429" s="7">
        <f>IF(AK429="","",IF(AND(AK429="NO",AJ429&gt;=0.85),"YES","NO"))</f>
        <v/>
      </c>
      <c r="AN429" s="7">
        <f>IF(AJ429="","",IF(AJ429&gt;=0.90,"Excellent",IF(AJ429&gt;=0.80,"Good",IF(AJ429&gt;=0.70,"Fair","Poor"))))</f>
        <v/>
      </c>
      <c r="AO429" s="12" t="n"/>
      <c r="AP429" s="12" t="n"/>
      <c r="AQ429" s="12" t="n"/>
      <c r="AR429" s="12" t="n"/>
      <c r="AS429" s="12" t="n"/>
      <c r="AT429" s="12" t="n"/>
      <c r="AU429" s="12" t="n"/>
      <c r="AV429" s="11" t="n"/>
      <c r="AW429" s="12" t="n"/>
      <c r="AX429" s="12" t="n"/>
      <c r="AY429" s="12" t="n"/>
      <c r="AZ429" s="12" t="n"/>
      <c r="BA429" s="12" t="n"/>
      <c r="BB429" s="12" t="n"/>
      <c r="BC429" s="12" t="n"/>
      <c r="BD429" s="12" t="n"/>
      <c r="BE429" s="12" t="n"/>
      <c r="BF429" s="12" t="n"/>
    </row>
    <row r="430">
      <c r="A430" s="7">
        <f>IF(B430="","","INS-"&amp;TEXT(ROW()-3,"000"))</f>
        <v/>
      </c>
      <c r="B430" s="11" t="n"/>
      <c r="C430" s="7">
        <f>IF(B430="","",ISOWEEKNUM(B430))</f>
        <v/>
      </c>
      <c r="D430" s="7">
        <f>IF(B430="","",TEXT(B430,"yyyy-mm"))</f>
        <v/>
      </c>
      <c r="E430" s="12" t="n"/>
      <c r="F430" s="12" t="n"/>
      <c r="G430" s="7">
        <f>IF(OR(E430="",F430=""),"",IF(COUNTIF(Cluster_Master!$I$3:$I$17,E430&amp;"|"&amp;F430)=1,"Valid","Review"))</f>
        <v/>
      </c>
      <c r="H430" s="7">
        <f>IF($G430&lt;&gt;"Valid","",VLOOKUP($E430&amp;"|"&amp;$F430,Cluster_Master!$I$3:$H$17,3,FALSE))</f>
        <v/>
      </c>
      <c r="I430" s="7">
        <f>IF($G430&lt;&gt;"Valid","",VLOOKUP($E430&amp;"|"&amp;$F430,Cluster_Master!$I$3:$H$17,4,FALSE))</f>
        <v/>
      </c>
      <c r="J430" s="7">
        <f>IF($G430&lt;&gt;"Valid","",VLOOKUP($E430&amp;"|"&amp;$F430,Cluster_Master!$I$3:$H$17,5,FALSE))</f>
        <v/>
      </c>
      <c r="K430" s="7">
        <f>IF($G430&lt;&gt;"Valid","",VLOOKUP($E430&amp;"|"&amp;$F430,Cluster_Master!$I$3:$H$17,6,FALSE))</f>
        <v/>
      </c>
      <c r="L430" s="7">
        <f>IF($G430&lt;&gt;"Valid","",VLOOKUP($E430&amp;"|"&amp;$F430,Cluster_Master!$I$3:$H$17,7,FALSE))</f>
        <v/>
      </c>
      <c r="M430" s="7">
        <f>IF($G430&lt;&gt;"Valid","",VLOOKUP($E430&amp;"|"&amp;$F430,Cluster_Master!$I$3:$H$17,8,FALSE))</f>
        <v/>
      </c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7">
        <f>IF(COUNT(T430:AH430)=0,"",SUM(T430:AH430))</f>
        <v/>
      </c>
      <c r="AJ430" s="10">
        <f>IF(AI430="","",AI430/75)</f>
        <v/>
      </c>
      <c r="AK430" s="10">
        <f>IF(AI430="","",SUMPRODUCT(T430:AH430,KPI_Weights!$B$3:$B$17)/5)</f>
        <v/>
      </c>
      <c r="AL430" s="7">
        <f>IF(COUNT(T430:AH430)=0,"",IF(OR(T430&lt;=1,W430&lt;=1,X430&lt;=1,Y430&lt;=1,AB430&lt;=1),"YES","NO"))</f>
        <v/>
      </c>
      <c r="AM430" s="7">
        <f>IF(AK430="","",IF(AND(AK430="NO",AJ430&gt;=0.85),"YES","NO"))</f>
        <v/>
      </c>
      <c r="AN430" s="7">
        <f>IF(AJ430="","",IF(AJ430&gt;=0.90,"Excellent",IF(AJ430&gt;=0.80,"Good",IF(AJ430&gt;=0.70,"Fair","Poor"))))</f>
        <v/>
      </c>
      <c r="AO430" s="12" t="n"/>
      <c r="AP430" s="12" t="n"/>
      <c r="AQ430" s="12" t="n"/>
      <c r="AR430" s="12" t="n"/>
      <c r="AS430" s="12" t="n"/>
      <c r="AT430" s="12" t="n"/>
      <c r="AU430" s="12" t="n"/>
      <c r="AV430" s="11" t="n"/>
      <c r="AW430" s="12" t="n"/>
      <c r="AX430" s="12" t="n"/>
      <c r="AY430" s="12" t="n"/>
      <c r="AZ430" s="12" t="n"/>
      <c r="BA430" s="12" t="n"/>
      <c r="BB430" s="12" t="n"/>
      <c r="BC430" s="12" t="n"/>
      <c r="BD430" s="12" t="n"/>
      <c r="BE430" s="12" t="n"/>
      <c r="BF430" s="12" t="n"/>
    </row>
    <row r="431">
      <c r="A431" s="7">
        <f>IF(B431="","","INS-"&amp;TEXT(ROW()-3,"000"))</f>
        <v/>
      </c>
      <c r="B431" s="11" t="n"/>
      <c r="C431" s="7">
        <f>IF(B431="","",ISOWEEKNUM(B431))</f>
        <v/>
      </c>
      <c r="D431" s="7">
        <f>IF(B431="","",TEXT(B431,"yyyy-mm"))</f>
        <v/>
      </c>
      <c r="E431" s="12" t="n"/>
      <c r="F431" s="12" t="n"/>
      <c r="G431" s="7">
        <f>IF(OR(E431="",F431=""),"",IF(COUNTIF(Cluster_Master!$I$3:$I$17,E431&amp;"|"&amp;F431)=1,"Valid","Review"))</f>
        <v/>
      </c>
      <c r="H431" s="7">
        <f>IF($G431&lt;&gt;"Valid","",VLOOKUP($E431&amp;"|"&amp;$F431,Cluster_Master!$I$3:$H$17,3,FALSE))</f>
        <v/>
      </c>
      <c r="I431" s="7">
        <f>IF($G431&lt;&gt;"Valid","",VLOOKUP($E431&amp;"|"&amp;$F431,Cluster_Master!$I$3:$H$17,4,FALSE))</f>
        <v/>
      </c>
      <c r="J431" s="7">
        <f>IF($G431&lt;&gt;"Valid","",VLOOKUP($E431&amp;"|"&amp;$F431,Cluster_Master!$I$3:$H$17,5,FALSE))</f>
        <v/>
      </c>
      <c r="K431" s="7">
        <f>IF($G431&lt;&gt;"Valid","",VLOOKUP($E431&amp;"|"&amp;$F431,Cluster_Master!$I$3:$H$17,6,FALSE))</f>
        <v/>
      </c>
      <c r="L431" s="7">
        <f>IF($G431&lt;&gt;"Valid","",VLOOKUP($E431&amp;"|"&amp;$F431,Cluster_Master!$I$3:$H$17,7,FALSE))</f>
        <v/>
      </c>
      <c r="M431" s="7">
        <f>IF($G431&lt;&gt;"Valid","",VLOOKUP($E431&amp;"|"&amp;$F431,Cluster_Master!$I$3:$H$17,8,FALSE))</f>
        <v/>
      </c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7">
        <f>IF(COUNT(T431:AH431)=0,"",SUM(T431:AH431))</f>
        <v/>
      </c>
      <c r="AJ431" s="10">
        <f>IF(AI431="","",AI431/75)</f>
        <v/>
      </c>
      <c r="AK431" s="10">
        <f>IF(AI431="","",SUMPRODUCT(T431:AH431,KPI_Weights!$B$3:$B$17)/5)</f>
        <v/>
      </c>
      <c r="AL431" s="7">
        <f>IF(COUNT(T431:AH431)=0,"",IF(OR(T431&lt;=1,W431&lt;=1,X431&lt;=1,Y431&lt;=1,AB431&lt;=1),"YES","NO"))</f>
        <v/>
      </c>
      <c r="AM431" s="7">
        <f>IF(AK431="","",IF(AND(AK431="NO",AJ431&gt;=0.85),"YES","NO"))</f>
        <v/>
      </c>
      <c r="AN431" s="7">
        <f>IF(AJ431="","",IF(AJ431&gt;=0.90,"Excellent",IF(AJ431&gt;=0.80,"Good",IF(AJ431&gt;=0.70,"Fair","Poor"))))</f>
        <v/>
      </c>
      <c r="AO431" s="12" t="n"/>
      <c r="AP431" s="12" t="n"/>
      <c r="AQ431" s="12" t="n"/>
      <c r="AR431" s="12" t="n"/>
      <c r="AS431" s="12" t="n"/>
      <c r="AT431" s="12" t="n"/>
      <c r="AU431" s="12" t="n"/>
      <c r="AV431" s="11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  <c r="BF431" s="12" t="n"/>
    </row>
    <row r="432">
      <c r="A432" s="7">
        <f>IF(B432="","","INS-"&amp;TEXT(ROW()-3,"000"))</f>
        <v/>
      </c>
      <c r="B432" s="11" t="n"/>
      <c r="C432" s="7">
        <f>IF(B432="","",ISOWEEKNUM(B432))</f>
        <v/>
      </c>
      <c r="D432" s="7">
        <f>IF(B432="","",TEXT(B432,"yyyy-mm"))</f>
        <v/>
      </c>
      <c r="E432" s="12" t="n"/>
      <c r="F432" s="12" t="n"/>
      <c r="G432" s="7">
        <f>IF(OR(E432="",F432=""),"",IF(COUNTIF(Cluster_Master!$I$3:$I$17,E432&amp;"|"&amp;F432)=1,"Valid","Review"))</f>
        <v/>
      </c>
      <c r="H432" s="7">
        <f>IF($G432&lt;&gt;"Valid","",VLOOKUP($E432&amp;"|"&amp;$F432,Cluster_Master!$I$3:$H$17,3,FALSE))</f>
        <v/>
      </c>
      <c r="I432" s="7">
        <f>IF($G432&lt;&gt;"Valid","",VLOOKUP($E432&amp;"|"&amp;$F432,Cluster_Master!$I$3:$H$17,4,FALSE))</f>
        <v/>
      </c>
      <c r="J432" s="7">
        <f>IF($G432&lt;&gt;"Valid","",VLOOKUP($E432&amp;"|"&amp;$F432,Cluster_Master!$I$3:$H$17,5,FALSE))</f>
        <v/>
      </c>
      <c r="K432" s="7">
        <f>IF($G432&lt;&gt;"Valid","",VLOOKUP($E432&amp;"|"&amp;$F432,Cluster_Master!$I$3:$H$17,6,FALSE))</f>
        <v/>
      </c>
      <c r="L432" s="7">
        <f>IF($G432&lt;&gt;"Valid","",VLOOKUP($E432&amp;"|"&amp;$F432,Cluster_Master!$I$3:$H$17,7,FALSE))</f>
        <v/>
      </c>
      <c r="M432" s="7">
        <f>IF($G432&lt;&gt;"Valid","",VLOOKUP($E432&amp;"|"&amp;$F432,Cluster_Master!$I$3:$H$17,8,FALSE))</f>
        <v/>
      </c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7">
        <f>IF(COUNT(T432:AH432)=0,"",SUM(T432:AH432))</f>
        <v/>
      </c>
      <c r="AJ432" s="10">
        <f>IF(AI432="","",AI432/75)</f>
        <v/>
      </c>
      <c r="AK432" s="10">
        <f>IF(AI432="","",SUMPRODUCT(T432:AH432,KPI_Weights!$B$3:$B$17)/5)</f>
        <v/>
      </c>
      <c r="AL432" s="7">
        <f>IF(COUNT(T432:AH432)=0,"",IF(OR(T432&lt;=1,W432&lt;=1,X432&lt;=1,Y432&lt;=1,AB432&lt;=1),"YES","NO"))</f>
        <v/>
      </c>
      <c r="AM432" s="7">
        <f>IF(AK432="","",IF(AND(AK432="NO",AJ432&gt;=0.85),"YES","NO"))</f>
        <v/>
      </c>
      <c r="AN432" s="7">
        <f>IF(AJ432="","",IF(AJ432&gt;=0.90,"Excellent",IF(AJ432&gt;=0.80,"Good",IF(AJ432&gt;=0.70,"Fair","Poor"))))</f>
        <v/>
      </c>
      <c r="AO432" s="12" t="n"/>
      <c r="AP432" s="12" t="n"/>
      <c r="AQ432" s="12" t="n"/>
      <c r="AR432" s="12" t="n"/>
      <c r="AS432" s="12" t="n"/>
      <c r="AT432" s="12" t="n"/>
      <c r="AU432" s="12" t="n"/>
      <c r="AV432" s="11" t="n"/>
      <c r="AW432" s="12" t="n"/>
      <c r="AX432" s="12" t="n"/>
      <c r="AY432" s="12" t="n"/>
      <c r="AZ432" s="12" t="n"/>
      <c r="BA432" s="12" t="n"/>
      <c r="BB432" s="12" t="n"/>
      <c r="BC432" s="12" t="n"/>
      <c r="BD432" s="12" t="n"/>
      <c r="BE432" s="12" t="n"/>
      <c r="BF432" s="12" t="n"/>
    </row>
    <row r="433">
      <c r="A433" s="7">
        <f>IF(B433="","","INS-"&amp;TEXT(ROW()-3,"000"))</f>
        <v/>
      </c>
      <c r="B433" s="11" t="n"/>
      <c r="C433" s="7">
        <f>IF(B433="","",ISOWEEKNUM(B433))</f>
        <v/>
      </c>
      <c r="D433" s="7">
        <f>IF(B433="","",TEXT(B433,"yyyy-mm"))</f>
        <v/>
      </c>
      <c r="E433" s="12" t="n"/>
      <c r="F433" s="12" t="n"/>
      <c r="G433" s="7">
        <f>IF(OR(E433="",F433=""),"",IF(COUNTIF(Cluster_Master!$I$3:$I$17,E433&amp;"|"&amp;F433)=1,"Valid","Review"))</f>
        <v/>
      </c>
      <c r="H433" s="7">
        <f>IF($G433&lt;&gt;"Valid","",VLOOKUP($E433&amp;"|"&amp;$F433,Cluster_Master!$I$3:$H$17,3,FALSE))</f>
        <v/>
      </c>
      <c r="I433" s="7">
        <f>IF($G433&lt;&gt;"Valid","",VLOOKUP($E433&amp;"|"&amp;$F433,Cluster_Master!$I$3:$H$17,4,FALSE))</f>
        <v/>
      </c>
      <c r="J433" s="7">
        <f>IF($G433&lt;&gt;"Valid","",VLOOKUP($E433&amp;"|"&amp;$F433,Cluster_Master!$I$3:$H$17,5,FALSE))</f>
        <v/>
      </c>
      <c r="K433" s="7">
        <f>IF($G433&lt;&gt;"Valid","",VLOOKUP($E433&amp;"|"&amp;$F433,Cluster_Master!$I$3:$H$17,6,FALSE))</f>
        <v/>
      </c>
      <c r="L433" s="7">
        <f>IF($G433&lt;&gt;"Valid","",VLOOKUP($E433&amp;"|"&amp;$F433,Cluster_Master!$I$3:$H$17,7,FALSE))</f>
        <v/>
      </c>
      <c r="M433" s="7">
        <f>IF($G433&lt;&gt;"Valid","",VLOOKUP($E433&amp;"|"&amp;$F433,Cluster_Master!$I$3:$H$17,8,FALSE))</f>
        <v/>
      </c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7">
        <f>IF(COUNT(T433:AH433)=0,"",SUM(T433:AH433))</f>
        <v/>
      </c>
      <c r="AJ433" s="10">
        <f>IF(AI433="","",AI433/75)</f>
        <v/>
      </c>
      <c r="AK433" s="10">
        <f>IF(AI433="","",SUMPRODUCT(T433:AH433,KPI_Weights!$B$3:$B$17)/5)</f>
        <v/>
      </c>
      <c r="AL433" s="7">
        <f>IF(COUNT(T433:AH433)=0,"",IF(OR(T433&lt;=1,W433&lt;=1,X433&lt;=1,Y433&lt;=1,AB433&lt;=1),"YES","NO"))</f>
        <v/>
      </c>
      <c r="AM433" s="7">
        <f>IF(AK433="","",IF(AND(AK433="NO",AJ433&gt;=0.85),"YES","NO"))</f>
        <v/>
      </c>
      <c r="AN433" s="7">
        <f>IF(AJ433="","",IF(AJ433&gt;=0.90,"Excellent",IF(AJ433&gt;=0.80,"Good",IF(AJ433&gt;=0.70,"Fair","Poor"))))</f>
        <v/>
      </c>
      <c r="AO433" s="12" t="n"/>
      <c r="AP433" s="12" t="n"/>
      <c r="AQ433" s="12" t="n"/>
      <c r="AR433" s="12" t="n"/>
      <c r="AS433" s="12" t="n"/>
      <c r="AT433" s="12" t="n"/>
      <c r="AU433" s="12" t="n"/>
      <c r="AV433" s="11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  <c r="BF433" s="12" t="n"/>
    </row>
    <row r="434">
      <c r="A434" s="7">
        <f>IF(B434="","","INS-"&amp;TEXT(ROW()-3,"000"))</f>
        <v/>
      </c>
      <c r="B434" s="11" t="n"/>
      <c r="C434" s="7">
        <f>IF(B434="","",ISOWEEKNUM(B434))</f>
        <v/>
      </c>
      <c r="D434" s="7">
        <f>IF(B434="","",TEXT(B434,"yyyy-mm"))</f>
        <v/>
      </c>
      <c r="E434" s="12" t="n"/>
      <c r="F434" s="12" t="n"/>
      <c r="G434" s="7">
        <f>IF(OR(E434="",F434=""),"",IF(COUNTIF(Cluster_Master!$I$3:$I$17,E434&amp;"|"&amp;F434)=1,"Valid","Review"))</f>
        <v/>
      </c>
      <c r="H434" s="7">
        <f>IF($G434&lt;&gt;"Valid","",VLOOKUP($E434&amp;"|"&amp;$F434,Cluster_Master!$I$3:$H$17,3,FALSE))</f>
        <v/>
      </c>
      <c r="I434" s="7">
        <f>IF($G434&lt;&gt;"Valid","",VLOOKUP($E434&amp;"|"&amp;$F434,Cluster_Master!$I$3:$H$17,4,FALSE))</f>
        <v/>
      </c>
      <c r="J434" s="7">
        <f>IF($G434&lt;&gt;"Valid","",VLOOKUP($E434&amp;"|"&amp;$F434,Cluster_Master!$I$3:$H$17,5,FALSE))</f>
        <v/>
      </c>
      <c r="K434" s="7">
        <f>IF($G434&lt;&gt;"Valid","",VLOOKUP($E434&amp;"|"&amp;$F434,Cluster_Master!$I$3:$H$17,6,FALSE))</f>
        <v/>
      </c>
      <c r="L434" s="7">
        <f>IF($G434&lt;&gt;"Valid","",VLOOKUP($E434&amp;"|"&amp;$F434,Cluster_Master!$I$3:$H$17,7,FALSE))</f>
        <v/>
      </c>
      <c r="M434" s="7">
        <f>IF($G434&lt;&gt;"Valid","",VLOOKUP($E434&amp;"|"&amp;$F434,Cluster_Master!$I$3:$H$17,8,FALSE))</f>
        <v/>
      </c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7">
        <f>IF(COUNT(T434:AH434)=0,"",SUM(T434:AH434))</f>
        <v/>
      </c>
      <c r="AJ434" s="10">
        <f>IF(AI434="","",AI434/75)</f>
        <v/>
      </c>
      <c r="AK434" s="10">
        <f>IF(AI434="","",SUMPRODUCT(T434:AH434,KPI_Weights!$B$3:$B$17)/5)</f>
        <v/>
      </c>
      <c r="AL434" s="7">
        <f>IF(COUNT(T434:AH434)=0,"",IF(OR(T434&lt;=1,W434&lt;=1,X434&lt;=1,Y434&lt;=1,AB434&lt;=1),"YES","NO"))</f>
        <v/>
      </c>
      <c r="AM434" s="7">
        <f>IF(AK434="","",IF(AND(AK434="NO",AJ434&gt;=0.85),"YES","NO"))</f>
        <v/>
      </c>
      <c r="AN434" s="7">
        <f>IF(AJ434="","",IF(AJ434&gt;=0.90,"Excellent",IF(AJ434&gt;=0.80,"Good",IF(AJ434&gt;=0.70,"Fair","Poor"))))</f>
        <v/>
      </c>
      <c r="AO434" s="12" t="n"/>
      <c r="AP434" s="12" t="n"/>
      <c r="AQ434" s="12" t="n"/>
      <c r="AR434" s="12" t="n"/>
      <c r="AS434" s="12" t="n"/>
      <c r="AT434" s="12" t="n"/>
      <c r="AU434" s="12" t="n"/>
      <c r="AV434" s="11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  <c r="BF434" s="12" t="n"/>
    </row>
    <row r="435">
      <c r="A435" s="7">
        <f>IF(B435="","","INS-"&amp;TEXT(ROW()-3,"000"))</f>
        <v/>
      </c>
      <c r="B435" s="11" t="n"/>
      <c r="C435" s="7">
        <f>IF(B435="","",ISOWEEKNUM(B435))</f>
        <v/>
      </c>
      <c r="D435" s="7">
        <f>IF(B435="","",TEXT(B435,"yyyy-mm"))</f>
        <v/>
      </c>
      <c r="E435" s="12" t="n"/>
      <c r="F435" s="12" t="n"/>
      <c r="G435" s="7">
        <f>IF(OR(E435="",F435=""),"",IF(COUNTIF(Cluster_Master!$I$3:$I$17,E435&amp;"|"&amp;F435)=1,"Valid","Review"))</f>
        <v/>
      </c>
      <c r="H435" s="7">
        <f>IF($G435&lt;&gt;"Valid","",VLOOKUP($E435&amp;"|"&amp;$F435,Cluster_Master!$I$3:$H$17,3,FALSE))</f>
        <v/>
      </c>
      <c r="I435" s="7">
        <f>IF($G435&lt;&gt;"Valid","",VLOOKUP($E435&amp;"|"&amp;$F435,Cluster_Master!$I$3:$H$17,4,FALSE))</f>
        <v/>
      </c>
      <c r="J435" s="7">
        <f>IF($G435&lt;&gt;"Valid","",VLOOKUP($E435&amp;"|"&amp;$F435,Cluster_Master!$I$3:$H$17,5,FALSE))</f>
        <v/>
      </c>
      <c r="K435" s="7">
        <f>IF($G435&lt;&gt;"Valid","",VLOOKUP($E435&amp;"|"&amp;$F435,Cluster_Master!$I$3:$H$17,6,FALSE))</f>
        <v/>
      </c>
      <c r="L435" s="7">
        <f>IF($G435&lt;&gt;"Valid","",VLOOKUP($E435&amp;"|"&amp;$F435,Cluster_Master!$I$3:$H$17,7,FALSE))</f>
        <v/>
      </c>
      <c r="M435" s="7">
        <f>IF($G435&lt;&gt;"Valid","",VLOOKUP($E435&amp;"|"&amp;$F435,Cluster_Master!$I$3:$H$17,8,FALSE))</f>
        <v/>
      </c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7">
        <f>IF(COUNT(T435:AH435)=0,"",SUM(T435:AH435))</f>
        <v/>
      </c>
      <c r="AJ435" s="10">
        <f>IF(AI435="","",AI435/75)</f>
        <v/>
      </c>
      <c r="AK435" s="10">
        <f>IF(AI435="","",SUMPRODUCT(T435:AH435,KPI_Weights!$B$3:$B$17)/5)</f>
        <v/>
      </c>
      <c r="AL435" s="7">
        <f>IF(COUNT(T435:AH435)=0,"",IF(OR(T435&lt;=1,W435&lt;=1,X435&lt;=1,Y435&lt;=1,AB435&lt;=1),"YES","NO"))</f>
        <v/>
      </c>
      <c r="AM435" s="7">
        <f>IF(AK435="","",IF(AND(AK435="NO",AJ435&gt;=0.85),"YES","NO"))</f>
        <v/>
      </c>
      <c r="AN435" s="7">
        <f>IF(AJ435="","",IF(AJ435&gt;=0.90,"Excellent",IF(AJ435&gt;=0.80,"Good",IF(AJ435&gt;=0.70,"Fair","Poor"))))</f>
        <v/>
      </c>
      <c r="AO435" s="12" t="n"/>
      <c r="AP435" s="12" t="n"/>
      <c r="AQ435" s="12" t="n"/>
      <c r="AR435" s="12" t="n"/>
      <c r="AS435" s="12" t="n"/>
      <c r="AT435" s="12" t="n"/>
      <c r="AU435" s="12" t="n"/>
      <c r="AV435" s="11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  <c r="BF435" s="12" t="n"/>
    </row>
    <row r="436">
      <c r="A436" s="7">
        <f>IF(B436="","","INS-"&amp;TEXT(ROW()-3,"000"))</f>
        <v/>
      </c>
      <c r="B436" s="11" t="n"/>
      <c r="C436" s="7">
        <f>IF(B436="","",ISOWEEKNUM(B436))</f>
        <v/>
      </c>
      <c r="D436" s="7">
        <f>IF(B436="","",TEXT(B436,"yyyy-mm"))</f>
        <v/>
      </c>
      <c r="E436" s="12" t="n"/>
      <c r="F436" s="12" t="n"/>
      <c r="G436" s="7">
        <f>IF(OR(E436="",F436=""),"",IF(COUNTIF(Cluster_Master!$I$3:$I$17,E436&amp;"|"&amp;F436)=1,"Valid","Review"))</f>
        <v/>
      </c>
      <c r="H436" s="7">
        <f>IF($G436&lt;&gt;"Valid","",VLOOKUP($E436&amp;"|"&amp;$F436,Cluster_Master!$I$3:$H$17,3,FALSE))</f>
        <v/>
      </c>
      <c r="I436" s="7">
        <f>IF($G436&lt;&gt;"Valid","",VLOOKUP($E436&amp;"|"&amp;$F436,Cluster_Master!$I$3:$H$17,4,FALSE))</f>
        <v/>
      </c>
      <c r="J436" s="7">
        <f>IF($G436&lt;&gt;"Valid","",VLOOKUP($E436&amp;"|"&amp;$F436,Cluster_Master!$I$3:$H$17,5,FALSE))</f>
        <v/>
      </c>
      <c r="K436" s="7">
        <f>IF($G436&lt;&gt;"Valid","",VLOOKUP($E436&amp;"|"&amp;$F436,Cluster_Master!$I$3:$H$17,6,FALSE))</f>
        <v/>
      </c>
      <c r="L436" s="7">
        <f>IF($G436&lt;&gt;"Valid","",VLOOKUP($E436&amp;"|"&amp;$F436,Cluster_Master!$I$3:$H$17,7,FALSE))</f>
        <v/>
      </c>
      <c r="M436" s="7">
        <f>IF($G436&lt;&gt;"Valid","",VLOOKUP($E436&amp;"|"&amp;$F436,Cluster_Master!$I$3:$H$17,8,FALSE))</f>
        <v/>
      </c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7">
        <f>IF(COUNT(T436:AH436)=0,"",SUM(T436:AH436))</f>
        <v/>
      </c>
      <c r="AJ436" s="10">
        <f>IF(AI436="","",AI436/75)</f>
        <v/>
      </c>
      <c r="AK436" s="10">
        <f>IF(AI436="","",SUMPRODUCT(T436:AH436,KPI_Weights!$B$3:$B$17)/5)</f>
        <v/>
      </c>
      <c r="AL436" s="7">
        <f>IF(COUNT(T436:AH436)=0,"",IF(OR(T436&lt;=1,W436&lt;=1,X436&lt;=1,Y436&lt;=1,AB436&lt;=1),"YES","NO"))</f>
        <v/>
      </c>
      <c r="AM436" s="7">
        <f>IF(AK436="","",IF(AND(AK436="NO",AJ436&gt;=0.85),"YES","NO"))</f>
        <v/>
      </c>
      <c r="AN436" s="7">
        <f>IF(AJ436="","",IF(AJ436&gt;=0.90,"Excellent",IF(AJ436&gt;=0.80,"Good",IF(AJ436&gt;=0.70,"Fair","Poor"))))</f>
        <v/>
      </c>
      <c r="AO436" s="12" t="n"/>
      <c r="AP436" s="12" t="n"/>
      <c r="AQ436" s="12" t="n"/>
      <c r="AR436" s="12" t="n"/>
      <c r="AS436" s="12" t="n"/>
      <c r="AT436" s="12" t="n"/>
      <c r="AU436" s="12" t="n"/>
      <c r="AV436" s="11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  <c r="BF436" s="12" t="n"/>
    </row>
    <row r="437">
      <c r="A437" s="7">
        <f>IF(B437="","","INS-"&amp;TEXT(ROW()-3,"000"))</f>
        <v/>
      </c>
      <c r="B437" s="11" t="n"/>
      <c r="C437" s="7">
        <f>IF(B437="","",ISOWEEKNUM(B437))</f>
        <v/>
      </c>
      <c r="D437" s="7">
        <f>IF(B437="","",TEXT(B437,"yyyy-mm"))</f>
        <v/>
      </c>
      <c r="E437" s="12" t="n"/>
      <c r="F437" s="12" t="n"/>
      <c r="G437" s="7">
        <f>IF(OR(E437="",F437=""),"",IF(COUNTIF(Cluster_Master!$I$3:$I$17,E437&amp;"|"&amp;F437)=1,"Valid","Review"))</f>
        <v/>
      </c>
      <c r="H437" s="7">
        <f>IF($G437&lt;&gt;"Valid","",VLOOKUP($E437&amp;"|"&amp;$F437,Cluster_Master!$I$3:$H$17,3,FALSE))</f>
        <v/>
      </c>
      <c r="I437" s="7">
        <f>IF($G437&lt;&gt;"Valid","",VLOOKUP($E437&amp;"|"&amp;$F437,Cluster_Master!$I$3:$H$17,4,FALSE))</f>
        <v/>
      </c>
      <c r="J437" s="7">
        <f>IF($G437&lt;&gt;"Valid","",VLOOKUP($E437&amp;"|"&amp;$F437,Cluster_Master!$I$3:$H$17,5,FALSE))</f>
        <v/>
      </c>
      <c r="K437" s="7">
        <f>IF($G437&lt;&gt;"Valid","",VLOOKUP($E437&amp;"|"&amp;$F437,Cluster_Master!$I$3:$H$17,6,FALSE))</f>
        <v/>
      </c>
      <c r="L437" s="7">
        <f>IF($G437&lt;&gt;"Valid","",VLOOKUP($E437&amp;"|"&amp;$F437,Cluster_Master!$I$3:$H$17,7,FALSE))</f>
        <v/>
      </c>
      <c r="M437" s="7">
        <f>IF($G437&lt;&gt;"Valid","",VLOOKUP($E437&amp;"|"&amp;$F437,Cluster_Master!$I$3:$H$17,8,FALSE))</f>
        <v/>
      </c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7">
        <f>IF(COUNT(T437:AH437)=0,"",SUM(T437:AH437))</f>
        <v/>
      </c>
      <c r="AJ437" s="10">
        <f>IF(AI437="","",AI437/75)</f>
        <v/>
      </c>
      <c r="AK437" s="10">
        <f>IF(AI437="","",SUMPRODUCT(T437:AH437,KPI_Weights!$B$3:$B$17)/5)</f>
        <v/>
      </c>
      <c r="AL437" s="7">
        <f>IF(COUNT(T437:AH437)=0,"",IF(OR(T437&lt;=1,W437&lt;=1,X437&lt;=1,Y437&lt;=1,AB437&lt;=1),"YES","NO"))</f>
        <v/>
      </c>
      <c r="AM437" s="7">
        <f>IF(AK437="","",IF(AND(AK437="NO",AJ437&gt;=0.85),"YES","NO"))</f>
        <v/>
      </c>
      <c r="AN437" s="7">
        <f>IF(AJ437="","",IF(AJ437&gt;=0.90,"Excellent",IF(AJ437&gt;=0.80,"Good",IF(AJ437&gt;=0.70,"Fair","Poor"))))</f>
        <v/>
      </c>
      <c r="AO437" s="12" t="n"/>
      <c r="AP437" s="12" t="n"/>
      <c r="AQ437" s="12" t="n"/>
      <c r="AR437" s="12" t="n"/>
      <c r="AS437" s="12" t="n"/>
      <c r="AT437" s="12" t="n"/>
      <c r="AU437" s="12" t="n"/>
      <c r="AV437" s="11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  <c r="BF437" s="12" t="n"/>
    </row>
    <row r="438">
      <c r="A438" s="7">
        <f>IF(B438="","","INS-"&amp;TEXT(ROW()-3,"000"))</f>
        <v/>
      </c>
      <c r="B438" s="11" t="n"/>
      <c r="C438" s="7">
        <f>IF(B438="","",ISOWEEKNUM(B438))</f>
        <v/>
      </c>
      <c r="D438" s="7">
        <f>IF(B438="","",TEXT(B438,"yyyy-mm"))</f>
        <v/>
      </c>
      <c r="E438" s="12" t="n"/>
      <c r="F438" s="12" t="n"/>
      <c r="G438" s="7">
        <f>IF(OR(E438="",F438=""),"",IF(COUNTIF(Cluster_Master!$I$3:$I$17,E438&amp;"|"&amp;F438)=1,"Valid","Review"))</f>
        <v/>
      </c>
      <c r="H438" s="7">
        <f>IF($G438&lt;&gt;"Valid","",VLOOKUP($E438&amp;"|"&amp;$F438,Cluster_Master!$I$3:$H$17,3,FALSE))</f>
        <v/>
      </c>
      <c r="I438" s="7">
        <f>IF($G438&lt;&gt;"Valid","",VLOOKUP($E438&amp;"|"&amp;$F438,Cluster_Master!$I$3:$H$17,4,FALSE))</f>
        <v/>
      </c>
      <c r="J438" s="7">
        <f>IF($G438&lt;&gt;"Valid","",VLOOKUP($E438&amp;"|"&amp;$F438,Cluster_Master!$I$3:$H$17,5,FALSE))</f>
        <v/>
      </c>
      <c r="K438" s="7">
        <f>IF($G438&lt;&gt;"Valid","",VLOOKUP($E438&amp;"|"&amp;$F438,Cluster_Master!$I$3:$H$17,6,FALSE))</f>
        <v/>
      </c>
      <c r="L438" s="7">
        <f>IF($G438&lt;&gt;"Valid","",VLOOKUP($E438&amp;"|"&amp;$F438,Cluster_Master!$I$3:$H$17,7,FALSE))</f>
        <v/>
      </c>
      <c r="M438" s="7">
        <f>IF($G438&lt;&gt;"Valid","",VLOOKUP($E438&amp;"|"&amp;$F438,Cluster_Master!$I$3:$H$17,8,FALSE))</f>
        <v/>
      </c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7">
        <f>IF(COUNT(T438:AH438)=0,"",SUM(T438:AH438))</f>
        <v/>
      </c>
      <c r="AJ438" s="10">
        <f>IF(AI438="","",AI438/75)</f>
        <v/>
      </c>
      <c r="AK438" s="10">
        <f>IF(AI438="","",SUMPRODUCT(T438:AH438,KPI_Weights!$B$3:$B$17)/5)</f>
        <v/>
      </c>
      <c r="AL438" s="7">
        <f>IF(COUNT(T438:AH438)=0,"",IF(OR(T438&lt;=1,W438&lt;=1,X438&lt;=1,Y438&lt;=1,AB438&lt;=1),"YES","NO"))</f>
        <v/>
      </c>
      <c r="AM438" s="7">
        <f>IF(AK438="","",IF(AND(AK438="NO",AJ438&gt;=0.85),"YES","NO"))</f>
        <v/>
      </c>
      <c r="AN438" s="7">
        <f>IF(AJ438="","",IF(AJ438&gt;=0.90,"Excellent",IF(AJ438&gt;=0.80,"Good",IF(AJ438&gt;=0.70,"Fair","Poor"))))</f>
        <v/>
      </c>
      <c r="AO438" s="12" t="n"/>
      <c r="AP438" s="12" t="n"/>
      <c r="AQ438" s="12" t="n"/>
      <c r="AR438" s="12" t="n"/>
      <c r="AS438" s="12" t="n"/>
      <c r="AT438" s="12" t="n"/>
      <c r="AU438" s="12" t="n"/>
      <c r="AV438" s="11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  <c r="BF438" s="12" t="n"/>
    </row>
    <row r="439">
      <c r="A439" s="7">
        <f>IF(B439="","","INS-"&amp;TEXT(ROW()-3,"000"))</f>
        <v/>
      </c>
      <c r="B439" s="11" t="n"/>
      <c r="C439" s="7">
        <f>IF(B439="","",ISOWEEKNUM(B439))</f>
        <v/>
      </c>
      <c r="D439" s="7">
        <f>IF(B439="","",TEXT(B439,"yyyy-mm"))</f>
        <v/>
      </c>
      <c r="E439" s="12" t="n"/>
      <c r="F439" s="12" t="n"/>
      <c r="G439" s="7">
        <f>IF(OR(E439="",F439=""),"",IF(COUNTIF(Cluster_Master!$I$3:$I$17,E439&amp;"|"&amp;F439)=1,"Valid","Review"))</f>
        <v/>
      </c>
      <c r="H439" s="7">
        <f>IF($G439&lt;&gt;"Valid","",VLOOKUP($E439&amp;"|"&amp;$F439,Cluster_Master!$I$3:$H$17,3,FALSE))</f>
        <v/>
      </c>
      <c r="I439" s="7">
        <f>IF($G439&lt;&gt;"Valid","",VLOOKUP($E439&amp;"|"&amp;$F439,Cluster_Master!$I$3:$H$17,4,FALSE))</f>
        <v/>
      </c>
      <c r="J439" s="7">
        <f>IF($G439&lt;&gt;"Valid","",VLOOKUP($E439&amp;"|"&amp;$F439,Cluster_Master!$I$3:$H$17,5,FALSE))</f>
        <v/>
      </c>
      <c r="K439" s="7">
        <f>IF($G439&lt;&gt;"Valid","",VLOOKUP($E439&amp;"|"&amp;$F439,Cluster_Master!$I$3:$H$17,6,FALSE))</f>
        <v/>
      </c>
      <c r="L439" s="7">
        <f>IF($G439&lt;&gt;"Valid","",VLOOKUP($E439&amp;"|"&amp;$F439,Cluster_Master!$I$3:$H$17,7,FALSE))</f>
        <v/>
      </c>
      <c r="M439" s="7">
        <f>IF($G439&lt;&gt;"Valid","",VLOOKUP($E439&amp;"|"&amp;$F439,Cluster_Master!$I$3:$H$17,8,FALSE))</f>
        <v/>
      </c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7">
        <f>IF(COUNT(T439:AH439)=0,"",SUM(T439:AH439))</f>
        <v/>
      </c>
      <c r="AJ439" s="10">
        <f>IF(AI439="","",AI439/75)</f>
        <v/>
      </c>
      <c r="AK439" s="10">
        <f>IF(AI439="","",SUMPRODUCT(T439:AH439,KPI_Weights!$B$3:$B$17)/5)</f>
        <v/>
      </c>
      <c r="AL439" s="7">
        <f>IF(COUNT(T439:AH439)=0,"",IF(OR(T439&lt;=1,W439&lt;=1,X439&lt;=1,Y439&lt;=1,AB439&lt;=1),"YES","NO"))</f>
        <v/>
      </c>
      <c r="AM439" s="7">
        <f>IF(AK439="","",IF(AND(AK439="NO",AJ439&gt;=0.85),"YES","NO"))</f>
        <v/>
      </c>
      <c r="AN439" s="7">
        <f>IF(AJ439="","",IF(AJ439&gt;=0.90,"Excellent",IF(AJ439&gt;=0.80,"Good",IF(AJ439&gt;=0.70,"Fair","Poor"))))</f>
        <v/>
      </c>
      <c r="AO439" s="12" t="n"/>
      <c r="AP439" s="12" t="n"/>
      <c r="AQ439" s="12" t="n"/>
      <c r="AR439" s="12" t="n"/>
      <c r="AS439" s="12" t="n"/>
      <c r="AT439" s="12" t="n"/>
      <c r="AU439" s="12" t="n"/>
      <c r="AV439" s="11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  <c r="BF439" s="12" t="n"/>
    </row>
    <row r="440">
      <c r="A440" s="7">
        <f>IF(B440="","","INS-"&amp;TEXT(ROW()-3,"000"))</f>
        <v/>
      </c>
      <c r="B440" s="11" t="n"/>
      <c r="C440" s="7">
        <f>IF(B440="","",ISOWEEKNUM(B440))</f>
        <v/>
      </c>
      <c r="D440" s="7">
        <f>IF(B440="","",TEXT(B440,"yyyy-mm"))</f>
        <v/>
      </c>
      <c r="E440" s="12" t="n"/>
      <c r="F440" s="12" t="n"/>
      <c r="G440" s="7">
        <f>IF(OR(E440="",F440=""),"",IF(COUNTIF(Cluster_Master!$I$3:$I$17,E440&amp;"|"&amp;F440)=1,"Valid","Review"))</f>
        <v/>
      </c>
      <c r="H440" s="7">
        <f>IF($G440&lt;&gt;"Valid","",VLOOKUP($E440&amp;"|"&amp;$F440,Cluster_Master!$I$3:$H$17,3,FALSE))</f>
        <v/>
      </c>
      <c r="I440" s="7">
        <f>IF($G440&lt;&gt;"Valid","",VLOOKUP($E440&amp;"|"&amp;$F440,Cluster_Master!$I$3:$H$17,4,FALSE))</f>
        <v/>
      </c>
      <c r="J440" s="7">
        <f>IF($G440&lt;&gt;"Valid","",VLOOKUP($E440&amp;"|"&amp;$F440,Cluster_Master!$I$3:$H$17,5,FALSE))</f>
        <v/>
      </c>
      <c r="K440" s="7">
        <f>IF($G440&lt;&gt;"Valid","",VLOOKUP($E440&amp;"|"&amp;$F440,Cluster_Master!$I$3:$H$17,6,FALSE))</f>
        <v/>
      </c>
      <c r="L440" s="7">
        <f>IF($G440&lt;&gt;"Valid","",VLOOKUP($E440&amp;"|"&amp;$F440,Cluster_Master!$I$3:$H$17,7,FALSE))</f>
        <v/>
      </c>
      <c r="M440" s="7">
        <f>IF($G440&lt;&gt;"Valid","",VLOOKUP($E440&amp;"|"&amp;$F440,Cluster_Master!$I$3:$H$17,8,FALSE))</f>
        <v/>
      </c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7">
        <f>IF(COUNT(T440:AH440)=0,"",SUM(T440:AH440))</f>
        <v/>
      </c>
      <c r="AJ440" s="10">
        <f>IF(AI440="","",AI440/75)</f>
        <v/>
      </c>
      <c r="AK440" s="10">
        <f>IF(AI440="","",SUMPRODUCT(T440:AH440,KPI_Weights!$B$3:$B$17)/5)</f>
        <v/>
      </c>
      <c r="AL440" s="7">
        <f>IF(COUNT(T440:AH440)=0,"",IF(OR(T440&lt;=1,W440&lt;=1,X440&lt;=1,Y440&lt;=1,AB440&lt;=1),"YES","NO"))</f>
        <v/>
      </c>
      <c r="AM440" s="7">
        <f>IF(AK440="","",IF(AND(AK440="NO",AJ440&gt;=0.85),"YES","NO"))</f>
        <v/>
      </c>
      <c r="AN440" s="7">
        <f>IF(AJ440="","",IF(AJ440&gt;=0.90,"Excellent",IF(AJ440&gt;=0.80,"Good",IF(AJ440&gt;=0.70,"Fair","Poor"))))</f>
        <v/>
      </c>
      <c r="AO440" s="12" t="n"/>
      <c r="AP440" s="12" t="n"/>
      <c r="AQ440" s="12" t="n"/>
      <c r="AR440" s="12" t="n"/>
      <c r="AS440" s="12" t="n"/>
      <c r="AT440" s="12" t="n"/>
      <c r="AU440" s="12" t="n"/>
      <c r="AV440" s="11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  <c r="BF440" s="12" t="n"/>
    </row>
    <row r="441">
      <c r="A441" s="7">
        <f>IF(B441="","","INS-"&amp;TEXT(ROW()-3,"000"))</f>
        <v/>
      </c>
      <c r="B441" s="11" t="n"/>
      <c r="C441" s="7">
        <f>IF(B441="","",ISOWEEKNUM(B441))</f>
        <v/>
      </c>
      <c r="D441" s="7">
        <f>IF(B441="","",TEXT(B441,"yyyy-mm"))</f>
        <v/>
      </c>
      <c r="E441" s="12" t="n"/>
      <c r="F441" s="12" t="n"/>
      <c r="G441" s="7">
        <f>IF(OR(E441="",F441=""),"",IF(COUNTIF(Cluster_Master!$I$3:$I$17,E441&amp;"|"&amp;F441)=1,"Valid","Review"))</f>
        <v/>
      </c>
      <c r="H441" s="7">
        <f>IF($G441&lt;&gt;"Valid","",VLOOKUP($E441&amp;"|"&amp;$F441,Cluster_Master!$I$3:$H$17,3,FALSE))</f>
        <v/>
      </c>
      <c r="I441" s="7">
        <f>IF($G441&lt;&gt;"Valid","",VLOOKUP($E441&amp;"|"&amp;$F441,Cluster_Master!$I$3:$H$17,4,FALSE))</f>
        <v/>
      </c>
      <c r="J441" s="7">
        <f>IF($G441&lt;&gt;"Valid","",VLOOKUP($E441&amp;"|"&amp;$F441,Cluster_Master!$I$3:$H$17,5,FALSE))</f>
        <v/>
      </c>
      <c r="K441" s="7">
        <f>IF($G441&lt;&gt;"Valid","",VLOOKUP($E441&amp;"|"&amp;$F441,Cluster_Master!$I$3:$H$17,6,FALSE))</f>
        <v/>
      </c>
      <c r="L441" s="7">
        <f>IF($G441&lt;&gt;"Valid","",VLOOKUP($E441&amp;"|"&amp;$F441,Cluster_Master!$I$3:$H$17,7,FALSE))</f>
        <v/>
      </c>
      <c r="M441" s="7">
        <f>IF($G441&lt;&gt;"Valid","",VLOOKUP($E441&amp;"|"&amp;$F441,Cluster_Master!$I$3:$H$17,8,FALSE))</f>
        <v/>
      </c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7">
        <f>IF(COUNT(T441:AH441)=0,"",SUM(T441:AH441))</f>
        <v/>
      </c>
      <c r="AJ441" s="10">
        <f>IF(AI441="","",AI441/75)</f>
        <v/>
      </c>
      <c r="AK441" s="10">
        <f>IF(AI441="","",SUMPRODUCT(T441:AH441,KPI_Weights!$B$3:$B$17)/5)</f>
        <v/>
      </c>
      <c r="AL441" s="7">
        <f>IF(COUNT(T441:AH441)=0,"",IF(OR(T441&lt;=1,W441&lt;=1,X441&lt;=1,Y441&lt;=1,AB441&lt;=1),"YES","NO"))</f>
        <v/>
      </c>
      <c r="AM441" s="7">
        <f>IF(AK441="","",IF(AND(AK441="NO",AJ441&gt;=0.85),"YES","NO"))</f>
        <v/>
      </c>
      <c r="AN441" s="7">
        <f>IF(AJ441="","",IF(AJ441&gt;=0.90,"Excellent",IF(AJ441&gt;=0.80,"Good",IF(AJ441&gt;=0.70,"Fair","Poor"))))</f>
        <v/>
      </c>
      <c r="AO441" s="12" t="n"/>
      <c r="AP441" s="12" t="n"/>
      <c r="AQ441" s="12" t="n"/>
      <c r="AR441" s="12" t="n"/>
      <c r="AS441" s="12" t="n"/>
      <c r="AT441" s="12" t="n"/>
      <c r="AU441" s="12" t="n"/>
      <c r="AV441" s="11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  <c r="BF441" s="12" t="n"/>
    </row>
    <row r="442">
      <c r="A442" s="7">
        <f>IF(B442="","","INS-"&amp;TEXT(ROW()-3,"000"))</f>
        <v/>
      </c>
      <c r="B442" s="11" t="n"/>
      <c r="C442" s="7">
        <f>IF(B442="","",ISOWEEKNUM(B442))</f>
        <v/>
      </c>
      <c r="D442" s="7">
        <f>IF(B442="","",TEXT(B442,"yyyy-mm"))</f>
        <v/>
      </c>
      <c r="E442" s="12" t="n"/>
      <c r="F442" s="12" t="n"/>
      <c r="G442" s="7">
        <f>IF(OR(E442="",F442=""),"",IF(COUNTIF(Cluster_Master!$I$3:$I$17,E442&amp;"|"&amp;F442)=1,"Valid","Review"))</f>
        <v/>
      </c>
      <c r="H442" s="7">
        <f>IF($G442&lt;&gt;"Valid","",VLOOKUP($E442&amp;"|"&amp;$F442,Cluster_Master!$I$3:$H$17,3,FALSE))</f>
        <v/>
      </c>
      <c r="I442" s="7">
        <f>IF($G442&lt;&gt;"Valid","",VLOOKUP($E442&amp;"|"&amp;$F442,Cluster_Master!$I$3:$H$17,4,FALSE))</f>
        <v/>
      </c>
      <c r="J442" s="7">
        <f>IF($G442&lt;&gt;"Valid","",VLOOKUP($E442&amp;"|"&amp;$F442,Cluster_Master!$I$3:$H$17,5,FALSE))</f>
        <v/>
      </c>
      <c r="K442" s="7">
        <f>IF($G442&lt;&gt;"Valid","",VLOOKUP($E442&amp;"|"&amp;$F442,Cluster_Master!$I$3:$H$17,6,FALSE))</f>
        <v/>
      </c>
      <c r="L442" s="7">
        <f>IF($G442&lt;&gt;"Valid","",VLOOKUP($E442&amp;"|"&amp;$F442,Cluster_Master!$I$3:$H$17,7,FALSE))</f>
        <v/>
      </c>
      <c r="M442" s="7">
        <f>IF($G442&lt;&gt;"Valid","",VLOOKUP($E442&amp;"|"&amp;$F442,Cluster_Master!$I$3:$H$17,8,FALSE))</f>
        <v/>
      </c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7">
        <f>IF(COUNT(T442:AH442)=0,"",SUM(T442:AH442))</f>
        <v/>
      </c>
      <c r="AJ442" s="10">
        <f>IF(AI442="","",AI442/75)</f>
        <v/>
      </c>
      <c r="AK442" s="10">
        <f>IF(AI442="","",SUMPRODUCT(T442:AH442,KPI_Weights!$B$3:$B$17)/5)</f>
        <v/>
      </c>
      <c r="AL442" s="7">
        <f>IF(COUNT(T442:AH442)=0,"",IF(OR(T442&lt;=1,W442&lt;=1,X442&lt;=1,Y442&lt;=1,AB442&lt;=1),"YES","NO"))</f>
        <v/>
      </c>
      <c r="AM442" s="7">
        <f>IF(AK442="","",IF(AND(AK442="NO",AJ442&gt;=0.85),"YES","NO"))</f>
        <v/>
      </c>
      <c r="AN442" s="7">
        <f>IF(AJ442="","",IF(AJ442&gt;=0.90,"Excellent",IF(AJ442&gt;=0.80,"Good",IF(AJ442&gt;=0.70,"Fair","Poor"))))</f>
        <v/>
      </c>
      <c r="AO442" s="12" t="n"/>
      <c r="AP442" s="12" t="n"/>
      <c r="AQ442" s="12" t="n"/>
      <c r="AR442" s="12" t="n"/>
      <c r="AS442" s="12" t="n"/>
      <c r="AT442" s="12" t="n"/>
      <c r="AU442" s="12" t="n"/>
      <c r="AV442" s="11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  <c r="BF442" s="12" t="n"/>
    </row>
    <row r="443">
      <c r="A443" s="7">
        <f>IF(B443="","","INS-"&amp;TEXT(ROW()-3,"000"))</f>
        <v/>
      </c>
      <c r="B443" s="11" t="n"/>
      <c r="C443" s="7">
        <f>IF(B443="","",ISOWEEKNUM(B443))</f>
        <v/>
      </c>
      <c r="D443" s="7">
        <f>IF(B443="","",TEXT(B443,"yyyy-mm"))</f>
        <v/>
      </c>
      <c r="E443" s="12" t="n"/>
      <c r="F443" s="12" t="n"/>
      <c r="G443" s="7">
        <f>IF(OR(E443="",F443=""),"",IF(COUNTIF(Cluster_Master!$I$3:$I$17,E443&amp;"|"&amp;F443)=1,"Valid","Review"))</f>
        <v/>
      </c>
      <c r="H443" s="7">
        <f>IF($G443&lt;&gt;"Valid","",VLOOKUP($E443&amp;"|"&amp;$F443,Cluster_Master!$I$3:$H$17,3,FALSE))</f>
        <v/>
      </c>
      <c r="I443" s="7">
        <f>IF($G443&lt;&gt;"Valid","",VLOOKUP($E443&amp;"|"&amp;$F443,Cluster_Master!$I$3:$H$17,4,FALSE))</f>
        <v/>
      </c>
      <c r="J443" s="7">
        <f>IF($G443&lt;&gt;"Valid","",VLOOKUP($E443&amp;"|"&amp;$F443,Cluster_Master!$I$3:$H$17,5,FALSE))</f>
        <v/>
      </c>
      <c r="K443" s="7">
        <f>IF($G443&lt;&gt;"Valid","",VLOOKUP($E443&amp;"|"&amp;$F443,Cluster_Master!$I$3:$H$17,6,FALSE))</f>
        <v/>
      </c>
      <c r="L443" s="7">
        <f>IF($G443&lt;&gt;"Valid","",VLOOKUP($E443&amp;"|"&amp;$F443,Cluster_Master!$I$3:$H$17,7,FALSE))</f>
        <v/>
      </c>
      <c r="M443" s="7">
        <f>IF($G443&lt;&gt;"Valid","",VLOOKUP($E443&amp;"|"&amp;$F443,Cluster_Master!$I$3:$H$17,8,FALSE))</f>
        <v/>
      </c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7">
        <f>IF(COUNT(T443:AH443)=0,"",SUM(T443:AH443))</f>
        <v/>
      </c>
      <c r="AJ443" s="10">
        <f>IF(AI443="","",AI443/75)</f>
        <v/>
      </c>
      <c r="AK443" s="10">
        <f>IF(AI443="","",SUMPRODUCT(T443:AH443,KPI_Weights!$B$3:$B$17)/5)</f>
        <v/>
      </c>
      <c r="AL443" s="7">
        <f>IF(COUNT(T443:AH443)=0,"",IF(OR(T443&lt;=1,W443&lt;=1,X443&lt;=1,Y443&lt;=1,AB443&lt;=1),"YES","NO"))</f>
        <v/>
      </c>
      <c r="AM443" s="7">
        <f>IF(AK443="","",IF(AND(AK443="NO",AJ443&gt;=0.85),"YES","NO"))</f>
        <v/>
      </c>
      <c r="AN443" s="7">
        <f>IF(AJ443="","",IF(AJ443&gt;=0.90,"Excellent",IF(AJ443&gt;=0.80,"Good",IF(AJ443&gt;=0.70,"Fair","Poor"))))</f>
        <v/>
      </c>
      <c r="AO443" s="12" t="n"/>
      <c r="AP443" s="12" t="n"/>
      <c r="AQ443" s="12" t="n"/>
      <c r="AR443" s="12" t="n"/>
      <c r="AS443" s="12" t="n"/>
      <c r="AT443" s="12" t="n"/>
      <c r="AU443" s="12" t="n"/>
      <c r="AV443" s="11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  <c r="BF443" s="12" t="n"/>
    </row>
    <row r="444">
      <c r="A444" s="7">
        <f>IF(B444="","","INS-"&amp;TEXT(ROW()-3,"000"))</f>
        <v/>
      </c>
      <c r="B444" s="11" t="n"/>
      <c r="C444" s="7">
        <f>IF(B444="","",ISOWEEKNUM(B444))</f>
        <v/>
      </c>
      <c r="D444" s="7">
        <f>IF(B444="","",TEXT(B444,"yyyy-mm"))</f>
        <v/>
      </c>
      <c r="E444" s="12" t="n"/>
      <c r="F444" s="12" t="n"/>
      <c r="G444" s="7">
        <f>IF(OR(E444="",F444=""),"",IF(COUNTIF(Cluster_Master!$I$3:$I$17,E444&amp;"|"&amp;F444)=1,"Valid","Review"))</f>
        <v/>
      </c>
      <c r="H444" s="7">
        <f>IF($G444&lt;&gt;"Valid","",VLOOKUP($E444&amp;"|"&amp;$F444,Cluster_Master!$I$3:$H$17,3,FALSE))</f>
        <v/>
      </c>
      <c r="I444" s="7">
        <f>IF($G444&lt;&gt;"Valid","",VLOOKUP($E444&amp;"|"&amp;$F444,Cluster_Master!$I$3:$H$17,4,FALSE))</f>
        <v/>
      </c>
      <c r="J444" s="7">
        <f>IF($G444&lt;&gt;"Valid","",VLOOKUP($E444&amp;"|"&amp;$F444,Cluster_Master!$I$3:$H$17,5,FALSE))</f>
        <v/>
      </c>
      <c r="K444" s="7">
        <f>IF($G444&lt;&gt;"Valid","",VLOOKUP($E444&amp;"|"&amp;$F444,Cluster_Master!$I$3:$H$17,6,FALSE))</f>
        <v/>
      </c>
      <c r="L444" s="7">
        <f>IF($G444&lt;&gt;"Valid","",VLOOKUP($E444&amp;"|"&amp;$F444,Cluster_Master!$I$3:$H$17,7,FALSE))</f>
        <v/>
      </c>
      <c r="M444" s="7">
        <f>IF($G444&lt;&gt;"Valid","",VLOOKUP($E444&amp;"|"&amp;$F444,Cluster_Master!$I$3:$H$17,8,FALSE))</f>
        <v/>
      </c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7">
        <f>IF(COUNT(T444:AH444)=0,"",SUM(T444:AH444))</f>
        <v/>
      </c>
      <c r="AJ444" s="10">
        <f>IF(AI444="","",AI444/75)</f>
        <v/>
      </c>
      <c r="AK444" s="10">
        <f>IF(AI444="","",SUMPRODUCT(T444:AH444,KPI_Weights!$B$3:$B$17)/5)</f>
        <v/>
      </c>
      <c r="AL444" s="7">
        <f>IF(COUNT(T444:AH444)=0,"",IF(OR(T444&lt;=1,W444&lt;=1,X444&lt;=1,Y444&lt;=1,AB444&lt;=1),"YES","NO"))</f>
        <v/>
      </c>
      <c r="AM444" s="7">
        <f>IF(AK444="","",IF(AND(AK444="NO",AJ444&gt;=0.85),"YES","NO"))</f>
        <v/>
      </c>
      <c r="AN444" s="7">
        <f>IF(AJ444="","",IF(AJ444&gt;=0.90,"Excellent",IF(AJ444&gt;=0.80,"Good",IF(AJ444&gt;=0.70,"Fair","Poor"))))</f>
        <v/>
      </c>
      <c r="AO444" s="12" t="n"/>
      <c r="AP444" s="12" t="n"/>
      <c r="AQ444" s="12" t="n"/>
      <c r="AR444" s="12" t="n"/>
      <c r="AS444" s="12" t="n"/>
      <c r="AT444" s="12" t="n"/>
      <c r="AU444" s="12" t="n"/>
      <c r="AV444" s="11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</row>
    <row r="445">
      <c r="A445" s="7">
        <f>IF(B445="","","INS-"&amp;TEXT(ROW()-3,"000"))</f>
        <v/>
      </c>
      <c r="B445" s="11" t="n"/>
      <c r="C445" s="7">
        <f>IF(B445="","",ISOWEEKNUM(B445))</f>
        <v/>
      </c>
      <c r="D445" s="7">
        <f>IF(B445="","",TEXT(B445,"yyyy-mm"))</f>
        <v/>
      </c>
      <c r="E445" s="12" t="n"/>
      <c r="F445" s="12" t="n"/>
      <c r="G445" s="7">
        <f>IF(OR(E445="",F445=""),"",IF(COUNTIF(Cluster_Master!$I$3:$I$17,E445&amp;"|"&amp;F445)=1,"Valid","Review"))</f>
        <v/>
      </c>
      <c r="H445" s="7">
        <f>IF($G445&lt;&gt;"Valid","",VLOOKUP($E445&amp;"|"&amp;$F445,Cluster_Master!$I$3:$H$17,3,FALSE))</f>
        <v/>
      </c>
      <c r="I445" s="7">
        <f>IF($G445&lt;&gt;"Valid","",VLOOKUP($E445&amp;"|"&amp;$F445,Cluster_Master!$I$3:$H$17,4,FALSE))</f>
        <v/>
      </c>
      <c r="J445" s="7">
        <f>IF($G445&lt;&gt;"Valid","",VLOOKUP($E445&amp;"|"&amp;$F445,Cluster_Master!$I$3:$H$17,5,FALSE))</f>
        <v/>
      </c>
      <c r="K445" s="7">
        <f>IF($G445&lt;&gt;"Valid","",VLOOKUP($E445&amp;"|"&amp;$F445,Cluster_Master!$I$3:$H$17,6,FALSE))</f>
        <v/>
      </c>
      <c r="L445" s="7">
        <f>IF($G445&lt;&gt;"Valid","",VLOOKUP($E445&amp;"|"&amp;$F445,Cluster_Master!$I$3:$H$17,7,FALSE))</f>
        <v/>
      </c>
      <c r="M445" s="7">
        <f>IF($G445&lt;&gt;"Valid","",VLOOKUP($E445&amp;"|"&amp;$F445,Cluster_Master!$I$3:$H$17,8,FALSE))</f>
        <v/>
      </c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7">
        <f>IF(COUNT(T445:AH445)=0,"",SUM(T445:AH445))</f>
        <v/>
      </c>
      <c r="AJ445" s="10">
        <f>IF(AI445="","",AI445/75)</f>
        <v/>
      </c>
      <c r="AK445" s="10">
        <f>IF(AI445="","",SUMPRODUCT(T445:AH445,KPI_Weights!$B$3:$B$17)/5)</f>
        <v/>
      </c>
      <c r="AL445" s="7">
        <f>IF(COUNT(T445:AH445)=0,"",IF(OR(T445&lt;=1,W445&lt;=1,X445&lt;=1,Y445&lt;=1,AB445&lt;=1),"YES","NO"))</f>
        <v/>
      </c>
      <c r="AM445" s="7">
        <f>IF(AK445="","",IF(AND(AK445="NO",AJ445&gt;=0.85),"YES","NO"))</f>
        <v/>
      </c>
      <c r="AN445" s="7">
        <f>IF(AJ445="","",IF(AJ445&gt;=0.90,"Excellent",IF(AJ445&gt;=0.80,"Good",IF(AJ445&gt;=0.70,"Fair","Poor"))))</f>
        <v/>
      </c>
      <c r="AO445" s="12" t="n"/>
      <c r="AP445" s="12" t="n"/>
      <c r="AQ445" s="12" t="n"/>
      <c r="AR445" s="12" t="n"/>
      <c r="AS445" s="12" t="n"/>
      <c r="AT445" s="12" t="n"/>
      <c r="AU445" s="12" t="n"/>
      <c r="AV445" s="11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</row>
    <row r="446">
      <c r="A446" s="7">
        <f>IF(B446="","","INS-"&amp;TEXT(ROW()-3,"000"))</f>
        <v/>
      </c>
      <c r="B446" s="11" t="n"/>
      <c r="C446" s="7">
        <f>IF(B446="","",ISOWEEKNUM(B446))</f>
        <v/>
      </c>
      <c r="D446" s="7">
        <f>IF(B446="","",TEXT(B446,"yyyy-mm"))</f>
        <v/>
      </c>
      <c r="E446" s="12" t="n"/>
      <c r="F446" s="12" t="n"/>
      <c r="G446" s="7">
        <f>IF(OR(E446="",F446=""),"",IF(COUNTIF(Cluster_Master!$I$3:$I$17,E446&amp;"|"&amp;F446)=1,"Valid","Review"))</f>
        <v/>
      </c>
      <c r="H446" s="7">
        <f>IF($G446&lt;&gt;"Valid","",VLOOKUP($E446&amp;"|"&amp;$F446,Cluster_Master!$I$3:$H$17,3,FALSE))</f>
        <v/>
      </c>
      <c r="I446" s="7">
        <f>IF($G446&lt;&gt;"Valid","",VLOOKUP($E446&amp;"|"&amp;$F446,Cluster_Master!$I$3:$H$17,4,FALSE))</f>
        <v/>
      </c>
      <c r="J446" s="7">
        <f>IF($G446&lt;&gt;"Valid","",VLOOKUP($E446&amp;"|"&amp;$F446,Cluster_Master!$I$3:$H$17,5,FALSE))</f>
        <v/>
      </c>
      <c r="K446" s="7">
        <f>IF($G446&lt;&gt;"Valid","",VLOOKUP($E446&amp;"|"&amp;$F446,Cluster_Master!$I$3:$H$17,6,FALSE))</f>
        <v/>
      </c>
      <c r="L446" s="7">
        <f>IF($G446&lt;&gt;"Valid","",VLOOKUP($E446&amp;"|"&amp;$F446,Cluster_Master!$I$3:$H$17,7,FALSE))</f>
        <v/>
      </c>
      <c r="M446" s="7">
        <f>IF($G446&lt;&gt;"Valid","",VLOOKUP($E446&amp;"|"&amp;$F446,Cluster_Master!$I$3:$H$17,8,FALSE))</f>
        <v/>
      </c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7">
        <f>IF(COUNT(T446:AH446)=0,"",SUM(T446:AH446))</f>
        <v/>
      </c>
      <c r="AJ446" s="10">
        <f>IF(AI446="","",AI446/75)</f>
        <v/>
      </c>
      <c r="AK446" s="10">
        <f>IF(AI446="","",SUMPRODUCT(T446:AH446,KPI_Weights!$B$3:$B$17)/5)</f>
        <v/>
      </c>
      <c r="AL446" s="7">
        <f>IF(COUNT(T446:AH446)=0,"",IF(OR(T446&lt;=1,W446&lt;=1,X446&lt;=1,Y446&lt;=1,AB446&lt;=1),"YES","NO"))</f>
        <v/>
      </c>
      <c r="AM446" s="7">
        <f>IF(AK446="","",IF(AND(AK446="NO",AJ446&gt;=0.85),"YES","NO"))</f>
        <v/>
      </c>
      <c r="AN446" s="7">
        <f>IF(AJ446="","",IF(AJ446&gt;=0.90,"Excellent",IF(AJ446&gt;=0.80,"Good",IF(AJ446&gt;=0.70,"Fair","Poor"))))</f>
        <v/>
      </c>
      <c r="AO446" s="12" t="n"/>
      <c r="AP446" s="12" t="n"/>
      <c r="AQ446" s="12" t="n"/>
      <c r="AR446" s="12" t="n"/>
      <c r="AS446" s="12" t="n"/>
      <c r="AT446" s="12" t="n"/>
      <c r="AU446" s="12" t="n"/>
      <c r="AV446" s="11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  <c r="BF446" s="12" t="n"/>
    </row>
    <row r="447">
      <c r="A447" s="7">
        <f>IF(B447="","","INS-"&amp;TEXT(ROW()-3,"000"))</f>
        <v/>
      </c>
      <c r="B447" s="11" t="n"/>
      <c r="C447" s="7">
        <f>IF(B447="","",ISOWEEKNUM(B447))</f>
        <v/>
      </c>
      <c r="D447" s="7">
        <f>IF(B447="","",TEXT(B447,"yyyy-mm"))</f>
        <v/>
      </c>
      <c r="E447" s="12" t="n"/>
      <c r="F447" s="12" t="n"/>
      <c r="G447" s="7">
        <f>IF(OR(E447="",F447=""),"",IF(COUNTIF(Cluster_Master!$I$3:$I$17,E447&amp;"|"&amp;F447)=1,"Valid","Review"))</f>
        <v/>
      </c>
      <c r="H447" s="7">
        <f>IF($G447&lt;&gt;"Valid","",VLOOKUP($E447&amp;"|"&amp;$F447,Cluster_Master!$I$3:$H$17,3,FALSE))</f>
        <v/>
      </c>
      <c r="I447" s="7">
        <f>IF($G447&lt;&gt;"Valid","",VLOOKUP($E447&amp;"|"&amp;$F447,Cluster_Master!$I$3:$H$17,4,FALSE))</f>
        <v/>
      </c>
      <c r="J447" s="7">
        <f>IF($G447&lt;&gt;"Valid","",VLOOKUP($E447&amp;"|"&amp;$F447,Cluster_Master!$I$3:$H$17,5,FALSE))</f>
        <v/>
      </c>
      <c r="K447" s="7">
        <f>IF($G447&lt;&gt;"Valid","",VLOOKUP($E447&amp;"|"&amp;$F447,Cluster_Master!$I$3:$H$17,6,FALSE))</f>
        <v/>
      </c>
      <c r="L447" s="7">
        <f>IF($G447&lt;&gt;"Valid","",VLOOKUP($E447&amp;"|"&amp;$F447,Cluster_Master!$I$3:$H$17,7,FALSE))</f>
        <v/>
      </c>
      <c r="M447" s="7">
        <f>IF($G447&lt;&gt;"Valid","",VLOOKUP($E447&amp;"|"&amp;$F447,Cluster_Master!$I$3:$H$17,8,FALSE))</f>
        <v/>
      </c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7">
        <f>IF(COUNT(T447:AH447)=0,"",SUM(T447:AH447))</f>
        <v/>
      </c>
      <c r="AJ447" s="10">
        <f>IF(AI447="","",AI447/75)</f>
        <v/>
      </c>
      <c r="AK447" s="10">
        <f>IF(AI447="","",SUMPRODUCT(T447:AH447,KPI_Weights!$B$3:$B$17)/5)</f>
        <v/>
      </c>
      <c r="AL447" s="7">
        <f>IF(COUNT(T447:AH447)=0,"",IF(OR(T447&lt;=1,W447&lt;=1,X447&lt;=1,Y447&lt;=1,AB447&lt;=1),"YES","NO"))</f>
        <v/>
      </c>
      <c r="AM447" s="7">
        <f>IF(AK447="","",IF(AND(AK447="NO",AJ447&gt;=0.85),"YES","NO"))</f>
        <v/>
      </c>
      <c r="AN447" s="7">
        <f>IF(AJ447="","",IF(AJ447&gt;=0.90,"Excellent",IF(AJ447&gt;=0.80,"Good",IF(AJ447&gt;=0.70,"Fair","Poor"))))</f>
        <v/>
      </c>
      <c r="AO447" s="12" t="n"/>
      <c r="AP447" s="12" t="n"/>
      <c r="AQ447" s="12" t="n"/>
      <c r="AR447" s="12" t="n"/>
      <c r="AS447" s="12" t="n"/>
      <c r="AT447" s="12" t="n"/>
      <c r="AU447" s="12" t="n"/>
      <c r="AV447" s="11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  <c r="BF447" s="12" t="n"/>
    </row>
    <row r="448">
      <c r="A448" s="7">
        <f>IF(B448="","","INS-"&amp;TEXT(ROW()-3,"000"))</f>
        <v/>
      </c>
      <c r="B448" s="11" t="n"/>
      <c r="C448" s="7">
        <f>IF(B448="","",ISOWEEKNUM(B448))</f>
        <v/>
      </c>
      <c r="D448" s="7">
        <f>IF(B448="","",TEXT(B448,"yyyy-mm"))</f>
        <v/>
      </c>
      <c r="E448" s="12" t="n"/>
      <c r="F448" s="12" t="n"/>
      <c r="G448" s="7">
        <f>IF(OR(E448="",F448=""),"",IF(COUNTIF(Cluster_Master!$I$3:$I$17,E448&amp;"|"&amp;F448)=1,"Valid","Review"))</f>
        <v/>
      </c>
      <c r="H448" s="7">
        <f>IF($G448&lt;&gt;"Valid","",VLOOKUP($E448&amp;"|"&amp;$F448,Cluster_Master!$I$3:$H$17,3,FALSE))</f>
        <v/>
      </c>
      <c r="I448" s="7">
        <f>IF($G448&lt;&gt;"Valid","",VLOOKUP($E448&amp;"|"&amp;$F448,Cluster_Master!$I$3:$H$17,4,FALSE))</f>
        <v/>
      </c>
      <c r="J448" s="7">
        <f>IF($G448&lt;&gt;"Valid","",VLOOKUP($E448&amp;"|"&amp;$F448,Cluster_Master!$I$3:$H$17,5,FALSE))</f>
        <v/>
      </c>
      <c r="K448" s="7">
        <f>IF($G448&lt;&gt;"Valid","",VLOOKUP($E448&amp;"|"&amp;$F448,Cluster_Master!$I$3:$H$17,6,FALSE))</f>
        <v/>
      </c>
      <c r="L448" s="7">
        <f>IF($G448&lt;&gt;"Valid","",VLOOKUP($E448&amp;"|"&amp;$F448,Cluster_Master!$I$3:$H$17,7,FALSE))</f>
        <v/>
      </c>
      <c r="M448" s="7">
        <f>IF($G448&lt;&gt;"Valid","",VLOOKUP($E448&amp;"|"&amp;$F448,Cluster_Master!$I$3:$H$17,8,FALSE))</f>
        <v/>
      </c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7">
        <f>IF(COUNT(T448:AH448)=0,"",SUM(T448:AH448))</f>
        <v/>
      </c>
      <c r="AJ448" s="10">
        <f>IF(AI448="","",AI448/75)</f>
        <v/>
      </c>
      <c r="AK448" s="10">
        <f>IF(AI448="","",SUMPRODUCT(T448:AH448,KPI_Weights!$B$3:$B$17)/5)</f>
        <v/>
      </c>
      <c r="AL448" s="7">
        <f>IF(COUNT(T448:AH448)=0,"",IF(OR(T448&lt;=1,W448&lt;=1,X448&lt;=1,Y448&lt;=1,AB448&lt;=1),"YES","NO"))</f>
        <v/>
      </c>
      <c r="AM448" s="7">
        <f>IF(AK448="","",IF(AND(AK448="NO",AJ448&gt;=0.85),"YES","NO"))</f>
        <v/>
      </c>
      <c r="AN448" s="7">
        <f>IF(AJ448="","",IF(AJ448&gt;=0.90,"Excellent",IF(AJ448&gt;=0.80,"Good",IF(AJ448&gt;=0.70,"Fair","Poor"))))</f>
        <v/>
      </c>
      <c r="AO448" s="12" t="n"/>
      <c r="AP448" s="12" t="n"/>
      <c r="AQ448" s="12" t="n"/>
      <c r="AR448" s="12" t="n"/>
      <c r="AS448" s="12" t="n"/>
      <c r="AT448" s="12" t="n"/>
      <c r="AU448" s="12" t="n"/>
      <c r="AV448" s="11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  <c r="BF448" s="12" t="n"/>
    </row>
    <row r="449">
      <c r="A449" s="7">
        <f>IF(B449="","","INS-"&amp;TEXT(ROW()-3,"000"))</f>
        <v/>
      </c>
      <c r="B449" s="11" t="n"/>
      <c r="C449" s="7">
        <f>IF(B449="","",ISOWEEKNUM(B449))</f>
        <v/>
      </c>
      <c r="D449" s="7">
        <f>IF(B449="","",TEXT(B449,"yyyy-mm"))</f>
        <v/>
      </c>
      <c r="E449" s="12" t="n"/>
      <c r="F449" s="12" t="n"/>
      <c r="G449" s="7">
        <f>IF(OR(E449="",F449=""),"",IF(COUNTIF(Cluster_Master!$I$3:$I$17,E449&amp;"|"&amp;F449)=1,"Valid","Review"))</f>
        <v/>
      </c>
      <c r="H449" s="7">
        <f>IF($G449&lt;&gt;"Valid","",VLOOKUP($E449&amp;"|"&amp;$F449,Cluster_Master!$I$3:$H$17,3,FALSE))</f>
        <v/>
      </c>
      <c r="I449" s="7">
        <f>IF($G449&lt;&gt;"Valid","",VLOOKUP($E449&amp;"|"&amp;$F449,Cluster_Master!$I$3:$H$17,4,FALSE))</f>
        <v/>
      </c>
      <c r="J449" s="7">
        <f>IF($G449&lt;&gt;"Valid","",VLOOKUP($E449&amp;"|"&amp;$F449,Cluster_Master!$I$3:$H$17,5,FALSE))</f>
        <v/>
      </c>
      <c r="K449" s="7">
        <f>IF($G449&lt;&gt;"Valid","",VLOOKUP($E449&amp;"|"&amp;$F449,Cluster_Master!$I$3:$H$17,6,FALSE))</f>
        <v/>
      </c>
      <c r="L449" s="7">
        <f>IF($G449&lt;&gt;"Valid","",VLOOKUP($E449&amp;"|"&amp;$F449,Cluster_Master!$I$3:$H$17,7,FALSE))</f>
        <v/>
      </c>
      <c r="M449" s="7">
        <f>IF($G449&lt;&gt;"Valid","",VLOOKUP($E449&amp;"|"&amp;$F449,Cluster_Master!$I$3:$H$17,8,FALSE))</f>
        <v/>
      </c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7">
        <f>IF(COUNT(T449:AH449)=0,"",SUM(T449:AH449))</f>
        <v/>
      </c>
      <c r="AJ449" s="10">
        <f>IF(AI449="","",AI449/75)</f>
        <v/>
      </c>
      <c r="AK449" s="10">
        <f>IF(AI449="","",SUMPRODUCT(T449:AH449,KPI_Weights!$B$3:$B$17)/5)</f>
        <v/>
      </c>
      <c r="AL449" s="7">
        <f>IF(COUNT(T449:AH449)=0,"",IF(OR(T449&lt;=1,W449&lt;=1,X449&lt;=1,Y449&lt;=1,AB449&lt;=1),"YES","NO"))</f>
        <v/>
      </c>
      <c r="AM449" s="7">
        <f>IF(AK449="","",IF(AND(AK449="NO",AJ449&gt;=0.85),"YES","NO"))</f>
        <v/>
      </c>
      <c r="AN449" s="7">
        <f>IF(AJ449="","",IF(AJ449&gt;=0.90,"Excellent",IF(AJ449&gt;=0.80,"Good",IF(AJ449&gt;=0.70,"Fair","Poor"))))</f>
        <v/>
      </c>
      <c r="AO449" s="12" t="n"/>
      <c r="AP449" s="12" t="n"/>
      <c r="AQ449" s="12" t="n"/>
      <c r="AR449" s="12" t="n"/>
      <c r="AS449" s="12" t="n"/>
      <c r="AT449" s="12" t="n"/>
      <c r="AU449" s="12" t="n"/>
      <c r="AV449" s="11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  <c r="BF449" s="12" t="n"/>
    </row>
    <row r="450">
      <c r="A450" s="7">
        <f>IF(B450="","","INS-"&amp;TEXT(ROW()-3,"000"))</f>
        <v/>
      </c>
      <c r="B450" s="11" t="n"/>
      <c r="C450" s="7">
        <f>IF(B450="","",ISOWEEKNUM(B450))</f>
        <v/>
      </c>
      <c r="D450" s="7">
        <f>IF(B450="","",TEXT(B450,"yyyy-mm"))</f>
        <v/>
      </c>
      <c r="E450" s="12" t="n"/>
      <c r="F450" s="12" t="n"/>
      <c r="G450" s="7">
        <f>IF(OR(E450="",F450=""),"",IF(COUNTIF(Cluster_Master!$I$3:$I$17,E450&amp;"|"&amp;F450)=1,"Valid","Review"))</f>
        <v/>
      </c>
      <c r="H450" s="7">
        <f>IF($G450&lt;&gt;"Valid","",VLOOKUP($E450&amp;"|"&amp;$F450,Cluster_Master!$I$3:$H$17,3,FALSE))</f>
        <v/>
      </c>
      <c r="I450" s="7">
        <f>IF($G450&lt;&gt;"Valid","",VLOOKUP($E450&amp;"|"&amp;$F450,Cluster_Master!$I$3:$H$17,4,FALSE))</f>
        <v/>
      </c>
      <c r="J450" s="7">
        <f>IF($G450&lt;&gt;"Valid","",VLOOKUP($E450&amp;"|"&amp;$F450,Cluster_Master!$I$3:$H$17,5,FALSE))</f>
        <v/>
      </c>
      <c r="K450" s="7">
        <f>IF($G450&lt;&gt;"Valid","",VLOOKUP($E450&amp;"|"&amp;$F450,Cluster_Master!$I$3:$H$17,6,FALSE))</f>
        <v/>
      </c>
      <c r="L450" s="7">
        <f>IF($G450&lt;&gt;"Valid","",VLOOKUP($E450&amp;"|"&amp;$F450,Cluster_Master!$I$3:$H$17,7,FALSE))</f>
        <v/>
      </c>
      <c r="M450" s="7">
        <f>IF($G450&lt;&gt;"Valid","",VLOOKUP($E450&amp;"|"&amp;$F450,Cluster_Master!$I$3:$H$17,8,FALSE))</f>
        <v/>
      </c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7">
        <f>IF(COUNT(T450:AH450)=0,"",SUM(T450:AH450))</f>
        <v/>
      </c>
      <c r="AJ450" s="10">
        <f>IF(AI450="","",AI450/75)</f>
        <v/>
      </c>
      <c r="AK450" s="10">
        <f>IF(AI450="","",SUMPRODUCT(T450:AH450,KPI_Weights!$B$3:$B$17)/5)</f>
        <v/>
      </c>
      <c r="AL450" s="7">
        <f>IF(COUNT(T450:AH450)=0,"",IF(OR(T450&lt;=1,W450&lt;=1,X450&lt;=1,Y450&lt;=1,AB450&lt;=1),"YES","NO"))</f>
        <v/>
      </c>
      <c r="AM450" s="7">
        <f>IF(AK450="","",IF(AND(AK450="NO",AJ450&gt;=0.85),"YES","NO"))</f>
        <v/>
      </c>
      <c r="AN450" s="7">
        <f>IF(AJ450="","",IF(AJ450&gt;=0.90,"Excellent",IF(AJ450&gt;=0.80,"Good",IF(AJ450&gt;=0.70,"Fair","Poor"))))</f>
        <v/>
      </c>
      <c r="AO450" s="12" t="n"/>
      <c r="AP450" s="12" t="n"/>
      <c r="AQ450" s="12" t="n"/>
      <c r="AR450" s="12" t="n"/>
      <c r="AS450" s="12" t="n"/>
      <c r="AT450" s="12" t="n"/>
      <c r="AU450" s="12" t="n"/>
      <c r="AV450" s="11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  <c r="BF450" s="12" t="n"/>
    </row>
    <row r="451">
      <c r="A451" s="7">
        <f>IF(B451="","","INS-"&amp;TEXT(ROW()-3,"000"))</f>
        <v/>
      </c>
      <c r="B451" s="11" t="n"/>
      <c r="C451" s="7">
        <f>IF(B451="","",ISOWEEKNUM(B451))</f>
        <v/>
      </c>
      <c r="D451" s="7">
        <f>IF(B451="","",TEXT(B451,"yyyy-mm"))</f>
        <v/>
      </c>
      <c r="E451" s="12" t="n"/>
      <c r="F451" s="12" t="n"/>
      <c r="G451" s="7">
        <f>IF(OR(E451="",F451=""),"",IF(COUNTIF(Cluster_Master!$I$3:$I$17,E451&amp;"|"&amp;F451)=1,"Valid","Review"))</f>
        <v/>
      </c>
      <c r="H451" s="7">
        <f>IF($G451&lt;&gt;"Valid","",VLOOKUP($E451&amp;"|"&amp;$F451,Cluster_Master!$I$3:$H$17,3,FALSE))</f>
        <v/>
      </c>
      <c r="I451" s="7">
        <f>IF($G451&lt;&gt;"Valid","",VLOOKUP($E451&amp;"|"&amp;$F451,Cluster_Master!$I$3:$H$17,4,FALSE))</f>
        <v/>
      </c>
      <c r="J451" s="7">
        <f>IF($G451&lt;&gt;"Valid","",VLOOKUP($E451&amp;"|"&amp;$F451,Cluster_Master!$I$3:$H$17,5,FALSE))</f>
        <v/>
      </c>
      <c r="K451" s="7">
        <f>IF($G451&lt;&gt;"Valid","",VLOOKUP($E451&amp;"|"&amp;$F451,Cluster_Master!$I$3:$H$17,6,FALSE))</f>
        <v/>
      </c>
      <c r="L451" s="7">
        <f>IF($G451&lt;&gt;"Valid","",VLOOKUP($E451&amp;"|"&amp;$F451,Cluster_Master!$I$3:$H$17,7,FALSE))</f>
        <v/>
      </c>
      <c r="M451" s="7">
        <f>IF($G451&lt;&gt;"Valid","",VLOOKUP($E451&amp;"|"&amp;$F451,Cluster_Master!$I$3:$H$17,8,FALSE))</f>
        <v/>
      </c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7">
        <f>IF(COUNT(T451:AH451)=0,"",SUM(T451:AH451))</f>
        <v/>
      </c>
      <c r="AJ451" s="10">
        <f>IF(AI451="","",AI451/75)</f>
        <v/>
      </c>
      <c r="AK451" s="10">
        <f>IF(AI451="","",SUMPRODUCT(T451:AH451,KPI_Weights!$B$3:$B$17)/5)</f>
        <v/>
      </c>
      <c r="AL451" s="7">
        <f>IF(COUNT(T451:AH451)=0,"",IF(OR(T451&lt;=1,W451&lt;=1,X451&lt;=1,Y451&lt;=1,AB451&lt;=1),"YES","NO"))</f>
        <v/>
      </c>
      <c r="AM451" s="7">
        <f>IF(AK451="","",IF(AND(AK451="NO",AJ451&gt;=0.85),"YES","NO"))</f>
        <v/>
      </c>
      <c r="AN451" s="7">
        <f>IF(AJ451="","",IF(AJ451&gt;=0.90,"Excellent",IF(AJ451&gt;=0.80,"Good",IF(AJ451&gt;=0.70,"Fair","Poor"))))</f>
        <v/>
      </c>
      <c r="AO451" s="12" t="n"/>
      <c r="AP451" s="12" t="n"/>
      <c r="AQ451" s="12" t="n"/>
      <c r="AR451" s="12" t="n"/>
      <c r="AS451" s="12" t="n"/>
      <c r="AT451" s="12" t="n"/>
      <c r="AU451" s="12" t="n"/>
      <c r="AV451" s="11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  <c r="BF451" s="12" t="n"/>
    </row>
    <row r="452">
      <c r="A452" s="7">
        <f>IF(B452="","","INS-"&amp;TEXT(ROW()-3,"000"))</f>
        <v/>
      </c>
      <c r="B452" s="11" t="n"/>
      <c r="C452" s="7">
        <f>IF(B452="","",ISOWEEKNUM(B452))</f>
        <v/>
      </c>
      <c r="D452" s="7">
        <f>IF(B452="","",TEXT(B452,"yyyy-mm"))</f>
        <v/>
      </c>
      <c r="E452" s="12" t="n"/>
      <c r="F452" s="12" t="n"/>
      <c r="G452" s="7">
        <f>IF(OR(E452="",F452=""),"",IF(COUNTIF(Cluster_Master!$I$3:$I$17,E452&amp;"|"&amp;F452)=1,"Valid","Review"))</f>
        <v/>
      </c>
      <c r="H452" s="7">
        <f>IF($G452&lt;&gt;"Valid","",VLOOKUP($E452&amp;"|"&amp;$F452,Cluster_Master!$I$3:$H$17,3,FALSE))</f>
        <v/>
      </c>
      <c r="I452" s="7">
        <f>IF($G452&lt;&gt;"Valid","",VLOOKUP($E452&amp;"|"&amp;$F452,Cluster_Master!$I$3:$H$17,4,FALSE))</f>
        <v/>
      </c>
      <c r="J452" s="7">
        <f>IF($G452&lt;&gt;"Valid","",VLOOKUP($E452&amp;"|"&amp;$F452,Cluster_Master!$I$3:$H$17,5,FALSE))</f>
        <v/>
      </c>
      <c r="K452" s="7">
        <f>IF($G452&lt;&gt;"Valid","",VLOOKUP($E452&amp;"|"&amp;$F452,Cluster_Master!$I$3:$H$17,6,FALSE))</f>
        <v/>
      </c>
      <c r="L452" s="7">
        <f>IF($G452&lt;&gt;"Valid","",VLOOKUP($E452&amp;"|"&amp;$F452,Cluster_Master!$I$3:$H$17,7,FALSE))</f>
        <v/>
      </c>
      <c r="M452" s="7">
        <f>IF($G452&lt;&gt;"Valid","",VLOOKUP($E452&amp;"|"&amp;$F452,Cluster_Master!$I$3:$H$17,8,FALSE))</f>
        <v/>
      </c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7">
        <f>IF(COUNT(T452:AH452)=0,"",SUM(T452:AH452))</f>
        <v/>
      </c>
      <c r="AJ452" s="10">
        <f>IF(AI452="","",AI452/75)</f>
        <v/>
      </c>
      <c r="AK452" s="10">
        <f>IF(AI452="","",SUMPRODUCT(T452:AH452,KPI_Weights!$B$3:$B$17)/5)</f>
        <v/>
      </c>
      <c r="AL452" s="7">
        <f>IF(COUNT(T452:AH452)=0,"",IF(OR(T452&lt;=1,W452&lt;=1,X452&lt;=1,Y452&lt;=1,AB452&lt;=1),"YES","NO"))</f>
        <v/>
      </c>
      <c r="AM452" s="7">
        <f>IF(AK452="","",IF(AND(AK452="NO",AJ452&gt;=0.85),"YES","NO"))</f>
        <v/>
      </c>
      <c r="AN452" s="7">
        <f>IF(AJ452="","",IF(AJ452&gt;=0.90,"Excellent",IF(AJ452&gt;=0.80,"Good",IF(AJ452&gt;=0.70,"Fair","Poor"))))</f>
        <v/>
      </c>
      <c r="AO452" s="12" t="n"/>
      <c r="AP452" s="12" t="n"/>
      <c r="AQ452" s="12" t="n"/>
      <c r="AR452" s="12" t="n"/>
      <c r="AS452" s="12" t="n"/>
      <c r="AT452" s="12" t="n"/>
      <c r="AU452" s="12" t="n"/>
      <c r="AV452" s="11" t="n"/>
      <c r="AW452" s="12" t="n"/>
      <c r="AX452" s="12" t="n"/>
      <c r="AY452" s="12" t="n"/>
      <c r="AZ452" s="12" t="n"/>
      <c r="BA452" s="12" t="n"/>
      <c r="BB452" s="12" t="n"/>
      <c r="BC452" s="12" t="n"/>
      <c r="BD452" s="12" t="n"/>
      <c r="BE452" s="12" t="n"/>
      <c r="BF452" s="12" t="n"/>
    </row>
    <row r="453">
      <c r="A453" s="7">
        <f>IF(B453="","","INS-"&amp;TEXT(ROW()-3,"000"))</f>
        <v/>
      </c>
      <c r="B453" s="11" t="n"/>
      <c r="C453" s="7">
        <f>IF(B453="","",ISOWEEKNUM(B453))</f>
        <v/>
      </c>
      <c r="D453" s="7">
        <f>IF(B453="","",TEXT(B453,"yyyy-mm"))</f>
        <v/>
      </c>
      <c r="E453" s="12" t="n"/>
      <c r="F453" s="12" t="n"/>
      <c r="G453" s="7">
        <f>IF(OR(E453="",F453=""),"",IF(COUNTIF(Cluster_Master!$I$3:$I$17,E453&amp;"|"&amp;F453)=1,"Valid","Review"))</f>
        <v/>
      </c>
      <c r="H453" s="7">
        <f>IF($G453&lt;&gt;"Valid","",VLOOKUP($E453&amp;"|"&amp;$F453,Cluster_Master!$I$3:$H$17,3,FALSE))</f>
        <v/>
      </c>
      <c r="I453" s="7">
        <f>IF($G453&lt;&gt;"Valid","",VLOOKUP($E453&amp;"|"&amp;$F453,Cluster_Master!$I$3:$H$17,4,FALSE))</f>
        <v/>
      </c>
      <c r="J453" s="7">
        <f>IF($G453&lt;&gt;"Valid","",VLOOKUP($E453&amp;"|"&amp;$F453,Cluster_Master!$I$3:$H$17,5,FALSE))</f>
        <v/>
      </c>
      <c r="K453" s="7">
        <f>IF($G453&lt;&gt;"Valid","",VLOOKUP($E453&amp;"|"&amp;$F453,Cluster_Master!$I$3:$H$17,6,FALSE))</f>
        <v/>
      </c>
      <c r="L453" s="7">
        <f>IF($G453&lt;&gt;"Valid","",VLOOKUP($E453&amp;"|"&amp;$F453,Cluster_Master!$I$3:$H$17,7,FALSE))</f>
        <v/>
      </c>
      <c r="M453" s="7">
        <f>IF($G453&lt;&gt;"Valid","",VLOOKUP($E453&amp;"|"&amp;$F453,Cluster_Master!$I$3:$H$17,8,FALSE))</f>
        <v/>
      </c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7">
        <f>IF(COUNT(T453:AH453)=0,"",SUM(T453:AH453))</f>
        <v/>
      </c>
      <c r="AJ453" s="10">
        <f>IF(AI453="","",AI453/75)</f>
        <v/>
      </c>
      <c r="AK453" s="10">
        <f>IF(AI453="","",SUMPRODUCT(T453:AH453,KPI_Weights!$B$3:$B$17)/5)</f>
        <v/>
      </c>
      <c r="AL453" s="7">
        <f>IF(COUNT(T453:AH453)=0,"",IF(OR(T453&lt;=1,W453&lt;=1,X453&lt;=1,Y453&lt;=1,AB453&lt;=1),"YES","NO"))</f>
        <v/>
      </c>
      <c r="AM453" s="7">
        <f>IF(AK453="","",IF(AND(AK453="NO",AJ453&gt;=0.85),"YES","NO"))</f>
        <v/>
      </c>
      <c r="AN453" s="7">
        <f>IF(AJ453="","",IF(AJ453&gt;=0.90,"Excellent",IF(AJ453&gt;=0.80,"Good",IF(AJ453&gt;=0.70,"Fair","Poor"))))</f>
        <v/>
      </c>
      <c r="AO453" s="12" t="n"/>
      <c r="AP453" s="12" t="n"/>
      <c r="AQ453" s="12" t="n"/>
      <c r="AR453" s="12" t="n"/>
      <c r="AS453" s="12" t="n"/>
      <c r="AT453" s="12" t="n"/>
      <c r="AU453" s="12" t="n"/>
      <c r="AV453" s="11" t="n"/>
      <c r="AW453" s="12" t="n"/>
      <c r="AX453" s="12" t="n"/>
      <c r="AY453" s="12" t="n"/>
      <c r="AZ453" s="12" t="n"/>
      <c r="BA453" s="12" t="n"/>
      <c r="BB453" s="12" t="n"/>
      <c r="BC453" s="12" t="n"/>
      <c r="BD453" s="12" t="n"/>
      <c r="BE453" s="12" t="n"/>
      <c r="BF453" s="12" t="n"/>
    </row>
    <row r="454">
      <c r="A454" s="7">
        <f>IF(B454="","","INS-"&amp;TEXT(ROW()-3,"000"))</f>
        <v/>
      </c>
      <c r="B454" s="11" t="n"/>
      <c r="C454" s="7">
        <f>IF(B454="","",ISOWEEKNUM(B454))</f>
        <v/>
      </c>
      <c r="D454" s="7">
        <f>IF(B454="","",TEXT(B454,"yyyy-mm"))</f>
        <v/>
      </c>
      <c r="E454" s="12" t="n"/>
      <c r="F454" s="12" t="n"/>
      <c r="G454" s="7">
        <f>IF(OR(E454="",F454=""),"",IF(COUNTIF(Cluster_Master!$I$3:$I$17,E454&amp;"|"&amp;F454)=1,"Valid","Review"))</f>
        <v/>
      </c>
      <c r="H454" s="7">
        <f>IF($G454&lt;&gt;"Valid","",VLOOKUP($E454&amp;"|"&amp;$F454,Cluster_Master!$I$3:$H$17,3,FALSE))</f>
        <v/>
      </c>
      <c r="I454" s="7">
        <f>IF($G454&lt;&gt;"Valid","",VLOOKUP($E454&amp;"|"&amp;$F454,Cluster_Master!$I$3:$H$17,4,FALSE))</f>
        <v/>
      </c>
      <c r="J454" s="7">
        <f>IF($G454&lt;&gt;"Valid","",VLOOKUP($E454&amp;"|"&amp;$F454,Cluster_Master!$I$3:$H$17,5,FALSE))</f>
        <v/>
      </c>
      <c r="K454" s="7">
        <f>IF($G454&lt;&gt;"Valid","",VLOOKUP($E454&amp;"|"&amp;$F454,Cluster_Master!$I$3:$H$17,6,FALSE))</f>
        <v/>
      </c>
      <c r="L454" s="7">
        <f>IF($G454&lt;&gt;"Valid","",VLOOKUP($E454&amp;"|"&amp;$F454,Cluster_Master!$I$3:$H$17,7,FALSE))</f>
        <v/>
      </c>
      <c r="M454" s="7">
        <f>IF($G454&lt;&gt;"Valid","",VLOOKUP($E454&amp;"|"&amp;$F454,Cluster_Master!$I$3:$H$17,8,FALSE))</f>
        <v/>
      </c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7">
        <f>IF(COUNT(T454:AH454)=0,"",SUM(T454:AH454))</f>
        <v/>
      </c>
      <c r="AJ454" s="10">
        <f>IF(AI454="","",AI454/75)</f>
        <v/>
      </c>
      <c r="AK454" s="10">
        <f>IF(AI454="","",SUMPRODUCT(T454:AH454,KPI_Weights!$B$3:$B$17)/5)</f>
        <v/>
      </c>
      <c r="AL454" s="7">
        <f>IF(COUNT(T454:AH454)=0,"",IF(OR(T454&lt;=1,W454&lt;=1,X454&lt;=1,Y454&lt;=1,AB454&lt;=1),"YES","NO"))</f>
        <v/>
      </c>
      <c r="AM454" s="7">
        <f>IF(AK454="","",IF(AND(AK454="NO",AJ454&gt;=0.85),"YES","NO"))</f>
        <v/>
      </c>
      <c r="AN454" s="7">
        <f>IF(AJ454="","",IF(AJ454&gt;=0.90,"Excellent",IF(AJ454&gt;=0.80,"Good",IF(AJ454&gt;=0.70,"Fair","Poor"))))</f>
        <v/>
      </c>
      <c r="AO454" s="12" t="n"/>
      <c r="AP454" s="12" t="n"/>
      <c r="AQ454" s="12" t="n"/>
      <c r="AR454" s="12" t="n"/>
      <c r="AS454" s="12" t="n"/>
      <c r="AT454" s="12" t="n"/>
      <c r="AU454" s="12" t="n"/>
      <c r="AV454" s="11" t="n"/>
      <c r="AW454" s="12" t="n"/>
      <c r="AX454" s="12" t="n"/>
      <c r="AY454" s="12" t="n"/>
      <c r="AZ454" s="12" t="n"/>
      <c r="BA454" s="12" t="n"/>
      <c r="BB454" s="12" t="n"/>
      <c r="BC454" s="12" t="n"/>
      <c r="BD454" s="12" t="n"/>
      <c r="BE454" s="12" t="n"/>
      <c r="BF454" s="12" t="n"/>
    </row>
    <row r="455">
      <c r="A455" s="7">
        <f>IF(B455="","","INS-"&amp;TEXT(ROW()-3,"000"))</f>
        <v/>
      </c>
      <c r="B455" s="11" t="n"/>
      <c r="C455" s="7">
        <f>IF(B455="","",ISOWEEKNUM(B455))</f>
        <v/>
      </c>
      <c r="D455" s="7">
        <f>IF(B455="","",TEXT(B455,"yyyy-mm"))</f>
        <v/>
      </c>
      <c r="E455" s="12" t="n"/>
      <c r="F455" s="12" t="n"/>
      <c r="G455" s="7">
        <f>IF(OR(E455="",F455=""),"",IF(COUNTIF(Cluster_Master!$I$3:$I$17,E455&amp;"|"&amp;F455)=1,"Valid","Review"))</f>
        <v/>
      </c>
      <c r="H455" s="7">
        <f>IF($G455&lt;&gt;"Valid","",VLOOKUP($E455&amp;"|"&amp;$F455,Cluster_Master!$I$3:$H$17,3,FALSE))</f>
        <v/>
      </c>
      <c r="I455" s="7">
        <f>IF($G455&lt;&gt;"Valid","",VLOOKUP($E455&amp;"|"&amp;$F455,Cluster_Master!$I$3:$H$17,4,FALSE))</f>
        <v/>
      </c>
      <c r="J455" s="7">
        <f>IF($G455&lt;&gt;"Valid","",VLOOKUP($E455&amp;"|"&amp;$F455,Cluster_Master!$I$3:$H$17,5,FALSE))</f>
        <v/>
      </c>
      <c r="K455" s="7">
        <f>IF($G455&lt;&gt;"Valid","",VLOOKUP($E455&amp;"|"&amp;$F455,Cluster_Master!$I$3:$H$17,6,FALSE))</f>
        <v/>
      </c>
      <c r="L455" s="7">
        <f>IF($G455&lt;&gt;"Valid","",VLOOKUP($E455&amp;"|"&amp;$F455,Cluster_Master!$I$3:$H$17,7,FALSE))</f>
        <v/>
      </c>
      <c r="M455" s="7">
        <f>IF($G455&lt;&gt;"Valid","",VLOOKUP($E455&amp;"|"&amp;$F455,Cluster_Master!$I$3:$H$17,8,FALSE))</f>
        <v/>
      </c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7">
        <f>IF(COUNT(T455:AH455)=0,"",SUM(T455:AH455))</f>
        <v/>
      </c>
      <c r="AJ455" s="10">
        <f>IF(AI455="","",AI455/75)</f>
        <v/>
      </c>
      <c r="AK455" s="10">
        <f>IF(AI455="","",SUMPRODUCT(T455:AH455,KPI_Weights!$B$3:$B$17)/5)</f>
        <v/>
      </c>
      <c r="AL455" s="7">
        <f>IF(COUNT(T455:AH455)=0,"",IF(OR(T455&lt;=1,W455&lt;=1,X455&lt;=1,Y455&lt;=1,AB455&lt;=1),"YES","NO"))</f>
        <v/>
      </c>
      <c r="AM455" s="7">
        <f>IF(AK455="","",IF(AND(AK455="NO",AJ455&gt;=0.85),"YES","NO"))</f>
        <v/>
      </c>
      <c r="AN455" s="7">
        <f>IF(AJ455="","",IF(AJ455&gt;=0.90,"Excellent",IF(AJ455&gt;=0.80,"Good",IF(AJ455&gt;=0.70,"Fair","Poor"))))</f>
        <v/>
      </c>
      <c r="AO455" s="12" t="n"/>
      <c r="AP455" s="12" t="n"/>
      <c r="AQ455" s="12" t="n"/>
      <c r="AR455" s="12" t="n"/>
      <c r="AS455" s="12" t="n"/>
      <c r="AT455" s="12" t="n"/>
      <c r="AU455" s="12" t="n"/>
      <c r="AV455" s="11" t="n"/>
      <c r="AW455" s="12" t="n"/>
      <c r="AX455" s="12" t="n"/>
      <c r="AY455" s="12" t="n"/>
      <c r="AZ455" s="12" t="n"/>
      <c r="BA455" s="12" t="n"/>
      <c r="BB455" s="12" t="n"/>
      <c r="BC455" s="12" t="n"/>
      <c r="BD455" s="12" t="n"/>
      <c r="BE455" s="12" t="n"/>
      <c r="BF455" s="12" t="n"/>
    </row>
    <row r="456">
      <c r="A456" s="7">
        <f>IF(B456="","","INS-"&amp;TEXT(ROW()-3,"000"))</f>
        <v/>
      </c>
      <c r="B456" s="11" t="n"/>
      <c r="C456" s="7">
        <f>IF(B456="","",ISOWEEKNUM(B456))</f>
        <v/>
      </c>
      <c r="D456" s="7">
        <f>IF(B456="","",TEXT(B456,"yyyy-mm"))</f>
        <v/>
      </c>
      <c r="E456" s="12" t="n"/>
      <c r="F456" s="12" t="n"/>
      <c r="G456" s="7">
        <f>IF(OR(E456="",F456=""),"",IF(COUNTIF(Cluster_Master!$I$3:$I$17,E456&amp;"|"&amp;F456)=1,"Valid","Review"))</f>
        <v/>
      </c>
      <c r="H456" s="7">
        <f>IF($G456&lt;&gt;"Valid","",VLOOKUP($E456&amp;"|"&amp;$F456,Cluster_Master!$I$3:$H$17,3,FALSE))</f>
        <v/>
      </c>
      <c r="I456" s="7">
        <f>IF($G456&lt;&gt;"Valid","",VLOOKUP($E456&amp;"|"&amp;$F456,Cluster_Master!$I$3:$H$17,4,FALSE))</f>
        <v/>
      </c>
      <c r="J456" s="7">
        <f>IF($G456&lt;&gt;"Valid","",VLOOKUP($E456&amp;"|"&amp;$F456,Cluster_Master!$I$3:$H$17,5,FALSE))</f>
        <v/>
      </c>
      <c r="K456" s="7">
        <f>IF($G456&lt;&gt;"Valid","",VLOOKUP($E456&amp;"|"&amp;$F456,Cluster_Master!$I$3:$H$17,6,FALSE))</f>
        <v/>
      </c>
      <c r="L456" s="7">
        <f>IF($G456&lt;&gt;"Valid","",VLOOKUP($E456&amp;"|"&amp;$F456,Cluster_Master!$I$3:$H$17,7,FALSE))</f>
        <v/>
      </c>
      <c r="M456" s="7">
        <f>IF($G456&lt;&gt;"Valid","",VLOOKUP($E456&amp;"|"&amp;$F456,Cluster_Master!$I$3:$H$17,8,FALSE))</f>
        <v/>
      </c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7">
        <f>IF(COUNT(T456:AH456)=0,"",SUM(T456:AH456))</f>
        <v/>
      </c>
      <c r="AJ456" s="10">
        <f>IF(AI456="","",AI456/75)</f>
        <v/>
      </c>
      <c r="AK456" s="10">
        <f>IF(AI456="","",SUMPRODUCT(T456:AH456,KPI_Weights!$B$3:$B$17)/5)</f>
        <v/>
      </c>
      <c r="AL456" s="7">
        <f>IF(COUNT(T456:AH456)=0,"",IF(OR(T456&lt;=1,W456&lt;=1,X456&lt;=1,Y456&lt;=1,AB456&lt;=1),"YES","NO"))</f>
        <v/>
      </c>
      <c r="AM456" s="7">
        <f>IF(AK456="","",IF(AND(AK456="NO",AJ456&gt;=0.85),"YES","NO"))</f>
        <v/>
      </c>
      <c r="AN456" s="7">
        <f>IF(AJ456="","",IF(AJ456&gt;=0.90,"Excellent",IF(AJ456&gt;=0.80,"Good",IF(AJ456&gt;=0.70,"Fair","Poor"))))</f>
        <v/>
      </c>
      <c r="AO456" s="12" t="n"/>
      <c r="AP456" s="12" t="n"/>
      <c r="AQ456" s="12" t="n"/>
      <c r="AR456" s="12" t="n"/>
      <c r="AS456" s="12" t="n"/>
      <c r="AT456" s="12" t="n"/>
      <c r="AU456" s="12" t="n"/>
      <c r="AV456" s="11" t="n"/>
      <c r="AW456" s="12" t="n"/>
      <c r="AX456" s="12" t="n"/>
      <c r="AY456" s="12" t="n"/>
      <c r="AZ456" s="12" t="n"/>
      <c r="BA456" s="12" t="n"/>
      <c r="BB456" s="12" t="n"/>
      <c r="BC456" s="12" t="n"/>
      <c r="BD456" s="12" t="n"/>
      <c r="BE456" s="12" t="n"/>
      <c r="BF456" s="12" t="n"/>
    </row>
    <row r="457">
      <c r="A457" s="7">
        <f>IF(B457="","","INS-"&amp;TEXT(ROW()-3,"000"))</f>
        <v/>
      </c>
      <c r="B457" s="11" t="n"/>
      <c r="C457" s="7">
        <f>IF(B457="","",ISOWEEKNUM(B457))</f>
        <v/>
      </c>
      <c r="D457" s="7">
        <f>IF(B457="","",TEXT(B457,"yyyy-mm"))</f>
        <v/>
      </c>
      <c r="E457" s="12" t="n"/>
      <c r="F457" s="12" t="n"/>
      <c r="G457" s="7">
        <f>IF(OR(E457="",F457=""),"",IF(COUNTIF(Cluster_Master!$I$3:$I$17,E457&amp;"|"&amp;F457)=1,"Valid","Review"))</f>
        <v/>
      </c>
      <c r="H457" s="7">
        <f>IF($G457&lt;&gt;"Valid","",VLOOKUP($E457&amp;"|"&amp;$F457,Cluster_Master!$I$3:$H$17,3,FALSE))</f>
        <v/>
      </c>
      <c r="I457" s="7">
        <f>IF($G457&lt;&gt;"Valid","",VLOOKUP($E457&amp;"|"&amp;$F457,Cluster_Master!$I$3:$H$17,4,FALSE))</f>
        <v/>
      </c>
      <c r="J457" s="7">
        <f>IF($G457&lt;&gt;"Valid","",VLOOKUP($E457&amp;"|"&amp;$F457,Cluster_Master!$I$3:$H$17,5,FALSE))</f>
        <v/>
      </c>
      <c r="K457" s="7">
        <f>IF($G457&lt;&gt;"Valid","",VLOOKUP($E457&amp;"|"&amp;$F457,Cluster_Master!$I$3:$H$17,6,FALSE))</f>
        <v/>
      </c>
      <c r="L457" s="7">
        <f>IF($G457&lt;&gt;"Valid","",VLOOKUP($E457&amp;"|"&amp;$F457,Cluster_Master!$I$3:$H$17,7,FALSE))</f>
        <v/>
      </c>
      <c r="M457" s="7">
        <f>IF($G457&lt;&gt;"Valid","",VLOOKUP($E457&amp;"|"&amp;$F457,Cluster_Master!$I$3:$H$17,8,FALSE))</f>
        <v/>
      </c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7">
        <f>IF(COUNT(T457:AH457)=0,"",SUM(T457:AH457))</f>
        <v/>
      </c>
      <c r="AJ457" s="10">
        <f>IF(AI457="","",AI457/75)</f>
        <v/>
      </c>
      <c r="AK457" s="10">
        <f>IF(AI457="","",SUMPRODUCT(T457:AH457,KPI_Weights!$B$3:$B$17)/5)</f>
        <v/>
      </c>
      <c r="AL457" s="7">
        <f>IF(COUNT(T457:AH457)=0,"",IF(OR(T457&lt;=1,W457&lt;=1,X457&lt;=1,Y457&lt;=1,AB457&lt;=1),"YES","NO"))</f>
        <v/>
      </c>
      <c r="AM457" s="7">
        <f>IF(AK457="","",IF(AND(AK457="NO",AJ457&gt;=0.85),"YES","NO"))</f>
        <v/>
      </c>
      <c r="AN457" s="7">
        <f>IF(AJ457="","",IF(AJ457&gt;=0.90,"Excellent",IF(AJ457&gt;=0.80,"Good",IF(AJ457&gt;=0.70,"Fair","Poor"))))</f>
        <v/>
      </c>
      <c r="AO457" s="12" t="n"/>
      <c r="AP457" s="12" t="n"/>
      <c r="AQ457" s="12" t="n"/>
      <c r="AR457" s="12" t="n"/>
      <c r="AS457" s="12" t="n"/>
      <c r="AT457" s="12" t="n"/>
      <c r="AU457" s="12" t="n"/>
      <c r="AV457" s="11" t="n"/>
      <c r="AW457" s="12" t="n"/>
      <c r="AX457" s="12" t="n"/>
      <c r="AY457" s="12" t="n"/>
      <c r="AZ457" s="12" t="n"/>
      <c r="BA457" s="12" t="n"/>
      <c r="BB457" s="12" t="n"/>
      <c r="BC457" s="12" t="n"/>
      <c r="BD457" s="12" t="n"/>
      <c r="BE457" s="12" t="n"/>
      <c r="BF457" s="12" t="n"/>
    </row>
    <row r="458">
      <c r="A458" s="7">
        <f>IF(B458="","","INS-"&amp;TEXT(ROW()-3,"000"))</f>
        <v/>
      </c>
      <c r="B458" s="11" t="n"/>
      <c r="C458" s="7">
        <f>IF(B458="","",ISOWEEKNUM(B458))</f>
        <v/>
      </c>
      <c r="D458" s="7">
        <f>IF(B458="","",TEXT(B458,"yyyy-mm"))</f>
        <v/>
      </c>
      <c r="E458" s="12" t="n"/>
      <c r="F458" s="12" t="n"/>
      <c r="G458" s="7">
        <f>IF(OR(E458="",F458=""),"",IF(COUNTIF(Cluster_Master!$I$3:$I$17,E458&amp;"|"&amp;F458)=1,"Valid","Review"))</f>
        <v/>
      </c>
      <c r="H458" s="7">
        <f>IF($G458&lt;&gt;"Valid","",VLOOKUP($E458&amp;"|"&amp;$F458,Cluster_Master!$I$3:$H$17,3,FALSE))</f>
        <v/>
      </c>
      <c r="I458" s="7">
        <f>IF($G458&lt;&gt;"Valid","",VLOOKUP($E458&amp;"|"&amp;$F458,Cluster_Master!$I$3:$H$17,4,FALSE))</f>
        <v/>
      </c>
      <c r="J458" s="7">
        <f>IF($G458&lt;&gt;"Valid","",VLOOKUP($E458&amp;"|"&amp;$F458,Cluster_Master!$I$3:$H$17,5,FALSE))</f>
        <v/>
      </c>
      <c r="K458" s="7">
        <f>IF($G458&lt;&gt;"Valid","",VLOOKUP($E458&amp;"|"&amp;$F458,Cluster_Master!$I$3:$H$17,6,FALSE))</f>
        <v/>
      </c>
      <c r="L458" s="7">
        <f>IF($G458&lt;&gt;"Valid","",VLOOKUP($E458&amp;"|"&amp;$F458,Cluster_Master!$I$3:$H$17,7,FALSE))</f>
        <v/>
      </c>
      <c r="M458" s="7">
        <f>IF($G458&lt;&gt;"Valid","",VLOOKUP($E458&amp;"|"&amp;$F458,Cluster_Master!$I$3:$H$17,8,FALSE))</f>
        <v/>
      </c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7">
        <f>IF(COUNT(T458:AH458)=0,"",SUM(T458:AH458))</f>
        <v/>
      </c>
      <c r="AJ458" s="10">
        <f>IF(AI458="","",AI458/75)</f>
        <v/>
      </c>
      <c r="AK458" s="10">
        <f>IF(AI458="","",SUMPRODUCT(T458:AH458,KPI_Weights!$B$3:$B$17)/5)</f>
        <v/>
      </c>
      <c r="AL458" s="7">
        <f>IF(COUNT(T458:AH458)=0,"",IF(OR(T458&lt;=1,W458&lt;=1,X458&lt;=1,Y458&lt;=1,AB458&lt;=1),"YES","NO"))</f>
        <v/>
      </c>
      <c r="AM458" s="7">
        <f>IF(AK458="","",IF(AND(AK458="NO",AJ458&gt;=0.85),"YES","NO"))</f>
        <v/>
      </c>
      <c r="AN458" s="7">
        <f>IF(AJ458="","",IF(AJ458&gt;=0.90,"Excellent",IF(AJ458&gt;=0.80,"Good",IF(AJ458&gt;=0.70,"Fair","Poor"))))</f>
        <v/>
      </c>
      <c r="AO458" s="12" t="n"/>
      <c r="AP458" s="12" t="n"/>
      <c r="AQ458" s="12" t="n"/>
      <c r="AR458" s="12" t="n"/>
      <c r="AS458" s="12" t="n"/>
      <c r="AT458" s="12" t="n"/>
      <c r="AU458" s="12" t="n"/>
      <c r="AV458" s="11" t="n"/>
      <c r="AW458" s="12" t="n"/>
      <c r="AX458" s="12" t="n"/>
      <c r="AY458" s="12" t="n"/>
      <c r="AZ458" s="12" t="n"/>
      <c r="BA458" s="12" t="n"/>
      <c r="BB458" s="12" t="n"/>
      <c r="BC458" s="12" t="n"/>
      <c r="BD458" s="12" t="n"/>
      <c r="BE458" s="12" t="n"/>
      <c r="BF458" s="12" t="n"/>
    </row>
    <row r="459">
      <c r="A459" s="7">
        <f>IF(B459="","","INS-"&amp;TEXT(ROW()-3,"000"))</f>
        <v/>
      </c>
      <c r="B459" s="11" t="n"/>
      <c r="C459" s="7">
        <f>IF(B459="","",ISOWEEKNUM(B459))</f>
        <v/>
      </c>
      <c r="D459" s="7">
        <f>IF(B459="","",TEXT(B459,"yyyy-mm"))</f>
        <v/>
      </c>
      <c r="E459" s="12" t="n"/>
      <c r="F459" s="12" t="n"/>
      <c r="G459" s="7">
        <f>IF(OR(E459="",F459=""),"",IF(COUNTIF(Cluster_Master!$I$3:$I$17,E459&amp;"|"&amp;F459)=1,"Valid","Review"))</f>
        <v/>
      </c>
      <c r="H459" s="7">
        <f>IF($G459&lt;&gt;"Valid","",VLOOKUP($E459&amp;"|"&amp;$F459,Cluster_Master!$I$3:$H$17,3,FALSE))</f>
        <v/>
      </c>
      <c r="I459" s="7">
        <f>IF($G459&lt;&gt;"Valid","",VLOOKUP($E459&amp;"|"&amp;$F459,Cluster_Master!$I$3:$H$17,4,FALSE))</f>
        <v/>
      </c>
      <c r="J459" s="7">
        <f>IF($G459&lt;&gt;"Valid","",VLOOKUP($E459&amp;"|"&amp;$F459,Cluster_Master!$I$3:$H$17,5,FALSE))</f>
        <v/>
      </c>
      <c r="K459" s="7">
        <f>IF($G459&lt;&gt;"Valid","",VLOOKUP($E459&amp;"|"&amp;$F459,Cluster_Master!$I$3:$H$17,6,FALSE))</f>
        <v/>
      </c>
      <c r="L459" s="7">
        <f>IF($G459&lt;&gt;"Valid","",VLOOKUP($E459&amp;"|"&amp;$F459,Cluster_Master!$I$3:$H$17,7,FALSE))</f>
        <v/>
      </c>
      <c r="M459" s="7">
        <f>IF($G459&lt;&gt;"Valid","",VLOOKUP($E459&amp;"|"&amp;$F459,Cluster_Master!$I$3:$H$17,8,FALSE))</f>
        <v/>
      </c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7">
        <f>IF(COUNT(T459:AH459)=0,"",SUM(T459:AH459))</f>
        <v/>
      </c>
      <c r="AJ459" s="10">
        <f>IF(AI459="","",AI459/75)</f>
        <v/>
      </c>
      <c r="AK459" s="10">
        <f>IF(AI459="","",SUMPRODUCT(T459:AH459,KPI_Weights!$B$3:$B$17)/5)</f>
        <v/>
      </c>
      <c r="AL459" s="7">
        <f>IF(COUNT(T459:AH459)=0,"",IF(OR(T459&lt;=1,W459&lt;=1,X459&lt;=1,Y459&lt;=1,AB459&lt;=1),"YES","NO"))</f>
        <v/>
      </c>
      <c r="AM459" s="7">
        <f>IF(AK459="","",IF(AND(AK459="NO",AJ459&gt;=0.85),"YES","NO"))</f>
        <v/>
      </c>
      <c r="AN459" s="7">
        <f>IF(AJ459="","",IF(AJ459&gt;=0.90,"Excellent",IF(AJ459&gt;=0.80,"Good",IF(AJ459&gt;=0.70,"Fair","Poor"))))</f>
        <v/>
      </c>
      <c r="AO459" s="12" t="n"/>
      <c r="AP459" s="12" t="n"/>
      <c r="AQ459" s="12" t="n"/>
      <c r="AR459" s="12" t="n"/>
      <c r="AS459" s="12" t="n"/>
      <c r="AT459" s="12" t="n"/>
      <c r="AU459" s="12" t="n"/>
      <c r="AV459" s="11" t="n"/>
      <c r="AW459" s="12" t="n"/>
      <c r="AX459" s="12" t="n"/>
      <c r="AY459" s="12" t="n"/>
      <c r="AZ459" s="12" t="n"/>
      <c r="BA459" s="12" t="n"/>
      <c r="BB459" s="12" t="n"/>
      <c r="BC459" s="12" t="n"/>
      <c r="BD459" s="12" t="n"/>
      <c r="BE459" s="12" t="n"/>
      <c r="BF459" s="12" t="n"/>
    </row>
    <row r="460">
      <c r="A460" s="7">
        <f>IF(B460="","","INS-"&amp;TEXT(ROW()-3,"000"))</f>
        <v/>
      </c>
      <c r="B460" s="11" t="n"/>
      <c r="C460" s="7">
        <f>IF(B460="","",ISOWEEKNUM(B460))</f>
        <v/>
      </c>
      <c r="D460" s="7">
        <f>IF(B460="","",TEXT(B460,"yyyy-mm"))</f>
        <v/>
      </c>
      <c r="E460" s="12" t="n"/>
      <c r="F460" s="12" t="n"/>
      <c r="G460" s="7">
        <f>IF(OR(E460="",F460=""),"",IF(COUNTIF(Cluster_Master!$I$3:$I$17,E460&amp;"|"&amp;F460)=1,"Valid","Review"))</f>
        <v/>
      </c>
      <c r="H460" s="7">
        <f>IF($G460&lt;&gt;"Valid","",VLOOKUP($E460&amp;"|"&amp;$F460,Cluster_Master!$I$3:$H$17,3,FALSE))</f>
        <v/>
      </c>
      <c r="I460" s="7">
        <f>IF($G460&lt;&gt;"Valid","",VLOOKUP($E460&amp;"|"&amp;$F460,Cluster_Master!$I$3:$H$17,4,FALSE))</f>
        <v/>
      </c>
      <c r="J460" s="7">
        <f>IF($G460&lt;&gt;"Valid","",VLOOKUP($E460&amp;"|"&amp;$F460,Cluster_Master!$I$3:$H$17,5,FALSE))</f>
        <v/>
      </c>
      <c r="K460" s="7">
        <f>IF($G460&lt;&gt;"Valid","",VLOOKUP($E460&amp;"|"&amp;$F460,Cluster_Master!$I$3:$H$17,6,FALSE))</f>
        <v/>
      </c>
      <c r="L460" s="7">
        <f>IF($G460&lt;&gt;"Valid","",VLOOKUP($E460&amp;"|"&amp;$F460,Cluster_Master!$I$3:$H$17,7,FALSE))</f>
        <v/>
      </c>
      <c r="M460" s="7">
        <f>IF($G460&lt;&gt;"Valid","",VLOOKUP($E460&amp;"|"&amp;$F460,Cluster_Master!$I$3:$H$17,8,FALSE))</f>
        <v/>
      </c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7">
        <f>IF(COUNT(T460:AH460)=0,"",SUM(T460:AH460))</f>
        <v/>
      </c>
      <c r="AJ460" s="10">
        <f>IF(AI460="","",AI460/75)</f>
        <v/>
      </c>
      <c r="AK460" s="10">
        <f>IF(AI460="","",SUMPRODUCT(T460:AH460,KPI_Weights!$B$3:$B$17)/5)</f>
        <v/>
      </c>
      <c r="AL460" s="7">
        <f>IF(COUNT(T460:AH460)=0,"",IF(OR(T460&lt;=1,W460&lt;=1,X460&lt;=1,Y460&lt;=1,AB460&lt;=1),"YES","NO"))</f>
        <v/>
      </c>
      <c r="AM460" s="7">
        <f>IF(AK460="","",IF(AND(AK460="NO",AJ460&gt;=0.85),"YES","NO"))</f>
        <v/>
      </c>
      <c r="AN460" s="7">
        <f>IF(AJ460="","",IF(AJ460&gt;=0.90,"Excellent",IF(AJ460&gt;=0.80,"Good",IF(AJ460&gt;=0.70,"Fair","Poor"))))</f>
        <v/>
      </c>
      <c r="AO460" s="12" t="n"/>
      <c r="AP460" s="12" t="n"/>
      <c r="AQ460" s="12" t="n"/>
      <c r="AR460" s="12" t="n"/>
      <c r="AS460" s="12" t="n"/>
      <c r="AT460" s="12" t="n"/>
      <c r="AU460" s="12" t="n"/>
      <c r="AV460" s="11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  <c r="BF460" s="12" t="n"/>
    </row>
    <row r="461">
      <c r="A461" s="7">
        <f>IF(B461="","","INS-"&amp;TEXT(ROW()-3,"000"))</f>
        <v/>
      </c>
      <c r="B461" s="11" t="n"/>
      <c r="C461" s="7">
        <f>IF(B461="","",ISOWEEKNUM(B461))</f>
        <v/>
      </c>
      <c r="D461" s="7">
        <f>IF(B461="","",TEXT(B461,"yyyy-mm"))</f>
        <v/>
      </c>
      <c r="E461" s="12" t="n"/>
      <c r="F461" s="12" t="n"/>
      <c r="G461" s="7">
        <f>IF(OR(E461="",F461=""),"",IF(COUNTIF(Cluster_Master!$I$3:$I$17,E461&amp;"|"&amp;F461)=1,"Valid","Review"))</f>
        <v/>
      </c>
      <c r="H461" s="7">
        <f>IF($G461&lt;&gt;"Valid","",VLOOKUP($E461&amp;"|"&amp;$F461,Cluster_Master!$I$3:$H$17,3,FALSE))</f>
        <v/>
      </c>
      <c r="I461" s="7">
        <f>IF($G461&lt;&gt;"Valid","",VLOOKUP($E461&amp;"|"&amp;$F461,Cluster_Master!$I$3:$H$17,4,FALSE))</f>
        <v/>
      </c>
      <c r="J461" s="7">
        <f>IF($G461&lt;&gt;"Valid","",VLOOKUP($E461&amp;"|"&amp;$F461,Cluster_Master!$I$3:$H$17,5,FALSE))</f>
        <v/>
      </c>
      <c r="K461" s="7">
        <f>IF($G461&lt;&gt;"Valid","",VLOOKUP($E461&amp;"|"&amp;$F461,Cluster_Master!$I$3:$H$17,6,FALSE))</f>
        <v/>
      </c>
      <c r="L461" s="7">
        <f>IF($G461&lt;&gt;"Valid","",VLOOKUP($E461&amp;"|"&amp;$F461,Cluster_Master!$I$3:$H$17,7,FALSE))</f>
        <v/>
      </c>
      <c r="M461" s="7">
        <f>IF($G461&lt;&gt;"Valid","",VLOOKUP($E461&amp;"|"&amp;$F461,Cluster_Master!$I$3:$H$17,8,FALSE))</f>
        <v/>
      </c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7">
        <f>IF(COUNT(T461:AH461)=0,"",SUM(T461:AH461))</f>
        <v/>
      </c>
      <c r="AJ461" s="10">
        <f>IF(AI461="","",AI461/75)</f>
        <v/>
      </c>
      <c r="AK461" s="10">
        <f>IF(AI461="","",SUMPRODUCT(T461:AH461,KPI_Weights!$B$3:$B$17)/5)</f>
        <v/>
      </c>
      <c r="AL461" s="7">
        <f>IF(COUNT(T461:AH461)=0,"",IF(OR(T461&lt;=1,W461&lt;=1,X461&lt;=1,Y461&lt;=1,AB461&lt;=1),"YES","NO"))</f>
        <v/>
      </c>
      <c r="AM461" s="7">
        <f>IF(AK461="","",IF(AND(AK461="NO",AJ461&gt;=0.85),"YES","NO"))</f>
        <v/>
      </c>
      <c r="AN461" s="7">
        <f>IF(AJ461="","",IF(AJ461&gt;=0.90,"Excellent",IF(AJ461&gt;=0.80,"Good",IF(AJ461&gt;=0.70,"Fair","Poor"))))</f>
        <v/>
      </c>
      <c r="AO461" s="12" t="n"/>
      <c r="AP461" s="12" t="n"/>
      <c r="AQ461" s="12" t="n"/>
      <c r="AR461" s="12" t="n"/>
      <c r="AS461" s="12" t="n"/>
      <c r="AT461" s="12" t="n"/>
      <c r="AU461" s="12" t="n"/>
      <c r="AV461" s="11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  <c r="BF461" s="12" t="n"/>
    </row>
    <row r="462">
      <c r="A462" s="7">
        <f>IF(B462="","","INS-"&amp;TEXT(ROW()-3,"000"))</f>
        <v/>
      </c>
      <c r="B462" s="11" t="n"/>
      <c r="C462" s="7">
        <f>IF(B462="","",ISOWEEKNUM(B462))</f>
        <v/>
      </c>
      <c r="D462" s="7">
        <f>IF(B462="","",TEXT(B462,"yyyy-mm"))</f>
        <v/>
      </c>
      <c r="E462" s="12" t="n"/>
      <c r="F462" s="12" t="n"/>
      <c r="G462" s="7">
        <f>IF(OR(E462="",F462=""),"",IF(COUNTIF(Cluster_Master!$I$3:$I$17,E462&amp;"|"&amp;F462)=1,"Valid","Review"))</f>
        <v/>
      </c>
      <c r="H462" s="7">
        <f>IF($G462&lt;&gt;"Valid","",VLOOKUP($E462&amp;"|"&amp;$F462,Cluster_Master!$I$3:$H$17,3,FALSE))</f>
        <v/>
      </c>
      <c r="I462" s="7">
        <f>IF($G462&lt;&gt;"Valid","",VLOOKUP($E462&amp;"|"&amp;$F462,Cluster_Master!$I$3:$H$17,4,FALSE))</f>
        <v/>
      </c>
      <c r="J462" s="7">
        <f>IF($G462&lt;&gt;"Valid","",VLOOKUP($E462&amp;"|"&amp;$F462,Cluster_Master!$I$3:$H$17,5,FALSE))</f>
        <v/>
      </c>
      <c r="K462" s="7">
        <f>IF($G462&lt;&gt;"Valid","",VLOOKUP($E462&amp;"|"&amp;$F462,Cluster_Master!$I$3:$H$17,6,FALSE))</f>
        <v/>
      </c>
      <c r="L462" s="7">
        <f>IF($G462&lt;&gt;"Valid","",VLOOKUP($E462&amp;"|"&amp;$F462,Cluster_Master!$I$3:$H$17,7,FALSE))</f>
        <v/>
      </c>
      <c r="M462" s="7">
        <f>IF($G462&lt;&gt;"Valid","",VLOOKUP($E462&amp;"|"&amp;$F462,Cluster_Master!$I$3:$H$17,8,FALSE))</f>
        <v/>
      </c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7">
        <f>IF(COUNT(T462:AH462)=0,"",SUM(T462:AH462))</f>
        <v/>
      </c>
      <c r="AJ462" s="10">
        <f>IF(AI462="","",AI462/75)</f>
        <v/>
      </c>
      <c r="AK462" s="10">
        <f>IF(AI462="","",SUMPRODUCT(T462:AH462,KPI_Weights!$B$3:$B$17)/5)</f>
        <v/>
      </c>
      <c r="AL462" s="7">
        <f>IF(COUNT(T462:AH462)=0,"",IF(OR(T462&lt;=1,W462&lt;=1,X462&lt;=1,Y462&lt;=1,AB462&lt;=1),"YES","NO"))</f>
        <v/>
      </c>
      <c r="AM462" s="7">
        <f>IF(AK462="","",IF(AND(AK462="NO",AJ462&gt;=0.85),"YES","NO"))</f>
        <v/>
      </c>
      <c r="AN462" s="7">
        <f>IF(AJ462="","",IF(AJ462&gt;=0.90,"Excellent",IF(AJ462&gt;=0.80,"Good",IF(AJ462&gt;=0.70,"Fair","Poor"))))</f>
        <v/>
      </c>
      <c r="AO462" s="12" t="n"/>
      <c r="AP462" s="12" t="n"/>
      <c r="AQ462" s="12" t="n"/>
      <c r="AR462" s="12" t="n"/>
      <c r="AS462" s="12" t="n"/>
      <c r="AT462" s="12" t="n"/>
      <c r="AU462" s="12" t="n"/>
      <c r="AV462" s="11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  <c r="BF462" s="12" t="n"/>
    </row>
    <row r="463">
      <c r="A463" s="7">
        <f>IF(B463="","","INS-"&amp;TEXT(ROW()-3,"000"))</f>
        <v/>
      </c>
      <c r="B463" s="11" t="n"/>
      <c r="C463" s="7">
        <f>IF(B463="","",ISOWEEKNUM(B463))</f>
        <v/>
      </c>
      <c r="D463" s="7">
        <f>IF(B463="","",TEXT(B463,"yyyy-mm"))</f>
        <v/>
      </c>
      <c r="E463" s="12" t="n"/>
      <c r="F463" s="12" t="n"/>
      <c r="G463" s="7">
        <f>IF(OR(E463="",F463=""),"",IF(COUNTIF(Cluster_Master!$I$3:$I$17,E463&amp;"|"&amp;F463)=1,"Valid","Review"))</f>
        <v/>
      </c>
      <c r="H463" s="7">
        <f>IF($G463&lt;&gt;"Valid","",VLOOKUP($E463&amp;"|"&amp;$F463,Cluster_Master!$I$3:$H$17,3,FALSE))</f>
        <v/>
      </c>
      <c r="I463" s="7">
        <f>IF($G463&lt;&gt;"Valid","",VLOOKUP($E463&amp;"|"&amp;$F463,Cluster_Master!$I$3:$H$17,4,FALSE))</f>
        <v/>
      </c>
      <c r="J463" s="7">
        <f>IF($G463&lt;&gt;"Valid","",VLOOKUP($E463&amp;"|"&amp;$F463,Cluster_Master!$I$3:$H$17,5,FALSE))</f>
        <v/>
      </c>
      <c r="K463" s="7">
        <f>IF($G463&lt;&gt;"Valid","",VLOOKUP($E463&amp;"|"&amp;$F463,Cluster_Master!$I$3:$H$17,6,FALSE))</f>
        <v/>
      </c>
      <c r="L463" s="7">
        <f>IF($G463&lt;&gt;"Valid","",VLOOKUP($E463&amp;"|"&amp;$F463,Cluster_Master!$I$3:$H$17,7,FALSE))</f>
        <v/>
      </c>
      <c r="M463" s="7">
        <f>IF($G463&lt;&gt;"Valid","",VLOOKUP($E463&amp;"|"&amp;$F463,Cluster_Master!$I$3:$H$17,8,FALSE))</f>
        <v/>
      </c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7">
        <f>IF(COUNT(T463:AH463)=0,"",SUM(T463:AH463))</f>
        <v/>
      </c>
      <c r="AJ463" s="10">
        <f>IF(AI463="","",AI463/75)</f>
        <v/>
      </c>
      <c r="AK463" s="10">
        <f>IF(AI463="","",SUMPRODUCT(T463:AH463,KPI_Weights!$B$3:$B$17)/5)</f>
        <v/>
      </c>
      <c r="AL463" s="7">
        <f>IF(COUNT(T463:AH463)=0,"",IF(OR(T463&lt;=1,W463&lt;=1,X463&lt;=1,Y463&lt;=1,AB463&lt;=1),"YES","NO"))</f>
        <v/>
      </c>
      <c r="AM463" s="7">
        <f>IF(AK463="","",IF(AND(AK463="NO",AJ463&gt;=0.85),"YES","NO"))</f>
        <v/>
      </c>
      <c r="AN463" s="7">
        <f>IF(AJ463="","",IF(AJ463&gt;=0.90,"Excellent",IF(AJ463&gt;=0.80,"Good",IF(AJ463&gt;=0.70,"Fair","Poor"))))</f>
        <v/>
      </c>
      <c r="AO463" s="12" t="n"/>
      <c r="AP463" s="12" t="n"/>
      <c r="AQ463" s="12" t="n"/>
      <c r="AR463" s="12" t="n"/>
      <c r="AS463" s="12" t="n"/>
      <c r="AT463" s="12" t="n"/>
      <c r="AU463" s="12" t="n"/>
      <c r="AV463" s="11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  <c r="BF463" s="12" t="n"/>
    </row>
    <row r="464">
      <c r="A464" s="7">
        <f>IF(B464="","","INS-"&amp;TEXT(ROW()-3,"000"))</f>
        <v/>
      </c>
      <c r="B464" s="11" t="n"/>
      <c r="C464" s="7">
        <f>IF(B464="","",ISOWEEKNUM(B464))</f>
        <v/>
      </c>
      <c r="D464" s="7">
        <f>IF(B464="","",TEXT(B464,"yyyy-mm"))</f>
        <v/>
      </c>
      <c r="E464" s="12" t="n"/>
      <c r="F464" s="12" t="n"/>
      <c r="G464" s="7">
        <f>IF(OR(E464="",F464=""),"",IF(COUNTIF(Cluster_Master!$I$3:$I$17,E464&amp;"|"&amp;F464)=1,"Valid","Review"))</f>
        <v/>
      </c>
      <c r="H464" s="7">
        <f>IF($G464&lt;&gt;"Valid","",VLOOKUP($E464&amp;"|"&amp;$F464,Cluster_Master!$I$3:$H$17,3,FALSE))</f>
        <v/>
      </c>
      <c r="I464" s="7">
        <f>IF($G464&lt;&gt;"Valid","",VLOOKUP($E464&amp;"|"&amp;$F464,Cluster_Master!$I$3:$H$17,4,FALSE))</f>
        <v/>
      </c>
      <c r="J464" s="7">
        <f>IF($G464&lt;&gt;"Valid","",VLOOKUP($E464&amp;"|"&amp;$F464,Cluster_Master!$I$3:$H$17,5,FALSE))</f>
        <v/>
      </c>
      <c r="K464" s="7">
        <f>IF($G464&lt;&gt;"Valid","",VLOOKUP($E464&amp;"|"&amp;$F464,Cluster_Master!$I$3:$H$17,6,FALSE))</f>
        <v/>
      </c>
      <c r="L464" s="7">
        <f>IF($G464&lt;&gt;"Valid","",VLOOKUP($E464&amp;"|"&amp;$F464,Cluster_Master!$I$3:$H$17,7,FALSE))</f>
        <v/>
      </c>
      <c r="M464" s="7">
        <f>IF($G464&lt;&gt;"Valid","",VLOOKUP($E464&amp;"|"&amp;$F464,Cluster_Master!$I$3:$H$17,8,FALSE))</f>
        <v/>
      </c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7">
        <f>IF(COUNT(T464:AH464)=0,"",SUM(T464:AH464))</f>
        <v/>
      </c>
      <c r="AJ464" s="10">
        <f>IF(AI464="","",AI464/75)</f>
        <v/>
      </c>
      <c r="AK464" s="10">
        <f>IF(AI464="","",SUMPRODUCT(T464:AH464,KPI_Weights!$B$3:$B$17)/5)</f>
        <v/>
      </c>
      <c r="AL464" s="7">
        <f>IF(COUNT(T464:AH464)=0,"",IF(OR(T464&lt;=1,W464&lt;=1,X464&lt;=1,Y464&lt;=1,AB464&lt;=1),"YES","NO"))</f>
        <v/>
      </c>
      <c r="AM464" s="7">
        <f>IF(AK464="","",IF(AND(AK464="NO",AJ464&gt;=0.85),"YES","NO"))</f>
        <v/>
      </c>
      <c r="AN464" s="7">
        <f>IF(AJ464="","",IF(AJ464&gt;=0.90,"Excellent",IF(AJ464&gt;=0.80,"Good",IF(AJ464&gt;=0.70,"Fair","Poor"))))</f>
        <v/>
      </c>
      <c r="AO464" s="12" t="n"/>
      <c r="AP464" s="12" t="n"/>
      <c r="AQ464" s="12" t="n"/>
      <c r="AR464" s="12" t="n"/>
      <c r="AS464" s="12" t="n"/>
      <c r="AT464" s="12" t="n"/>
      <c r="AU464" s="12" t="n"/>
      <c r="AV464" s="11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  <c r="BF464" s="12" t="n"/>
    </row>
    <row r="465">
      <c r="A465" s="7">
        <f>IF(B465="","","INS-"&amp;TEXT(ROW()-3,"000"))</f>
        <v/>
      </c>
      <c r="B465" s="11" t="n"/>
      <c r="C465" s="7">
        <f>IF(B465="","",ISOWEEKNUM(B465))</f>
        <v/>
      </c>
      <c r="D465" s="7">
        <f>IF(B465="","",TEXT(B465,"yyyy-mm"))</f>
        <v/>
      </c>
      <c r="E465" s="12" t="n"/>
      <c r="F465" s="12" t="n"/>
      <c r="G465" s="7">
        <f>IF(OR(E465="",F465=""),"",IF(COUNTIF(Cluster_Master!$I$3:$I$17,E465&amp;"|"&amp;F465)=1,"Valid","Review"))</f>
        <v/>
      </c>
      <c r="H465" s="7">
        <f>IF($G465&lt;&gt;"Valid","",VLOOKUP($E465&amp;"|"&amp;$F465,Cluster_Master!$I$3:$H$17,3,FALSE))</f>
        <v/>
      </c>
      <c r="I465" s="7">
        <f>IF($G465&lt;&gt;"Valid","",VLOOKUP($E465&amp;"|"&amp;$F465,Cluster_Master!$I$3:$H$17,4,FALSE))</f>
        <v/>
      </c>
      <c r="J465" s="7">
        <f>IF($G465&lt;&gt;"Valid","",VLOOKUP($E465&amp;"|"&amp;$F465,Cluster_Master!$I$3:$H$17,5,FALSE))</f>
        <v/>
      </c>
      <c r="K465" s="7">
        <f>IF($G465&lt;&gt;"Valid","",VLOOKUP($E465&amp;"|"&amp;$F465,Cluster_Master!$I$3:$H$17,6,FALSE))</f>
        <v/>
      </c>
      <c r="L465" s="7">
        <f>IF($G465&lt;&gt;"Valid","",VLOOKUP($E465&amp;"|"&amp;$F465,Cluster_Master!$I$3:$H$17,7,FALSE))</f>
        <v/>
      </c>
      <c r="M465" s="7">
        <f>IF($G465&lt;&gt;"Valid","",VLOOKUP($E465&amp;"|"&amp;$F465,Cluster_Master!$I$3:$H$17,8,FALSE))</f>
        <v/>
      </c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7">
        <f>IF(COUNT(T465:AH465)=0,"",SUM(T465:AH465))</f>
        <v/>
      </c>
      <c r="AJ465" s="10">
        <f>IF(AI465="","",AI465/75)</f>
        <v/>
      </c>
      <c r="AK465" s="10">
        <f>IF(AI465="","",SUMPRODUCT(T465:AH465,KPI_Weights!$B$3:$B$17)/5)</f>
        <v/>
      </c>
      <c r="AL465" s="7">
        <f>IF(COUNT(T465:AH465)=0,"",IF(OR(T465&lt;=1,W465&lt;=1,X465&lt;=1,Y465&lt;=1,AB465&lt;=1),"YES","NO"))</f>
        <v/>
      </c>
      <c r="AM465" s="7">
        <f>IF(AK465="","",IF(AND(AK465="NO",AJ465&gt;=0.85),"YES","NO"))</f>
        <v/>
      </c>
      <c r="AN465" s="7">
        <f>IF(AJ465="","",IF(AJ465&gt;=0.90,"Excellent",IF(AJ465&gt;=0.80,"Good",IF(AJ465&gt;=0.70,"Fair","Poor"))))</f>
        <v/>
      </c>
      <c r="AO465" s="12" t="n"/>
      <c r="AP465" s="12" t="n"/>
      <c r="AQ465" s="12" t="n"/>
      <c r="AR465" s="12" t="n"/>
      <c r="AS465" s="12" t="n"/>
      <c r="AT465" s="12" t="n"/>
      <c r="AU465" s="12" t="n"/>
      <c r="AV465" s="11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  <c r="BF465" s="12" t="n"/>
    </row>
    <row r="466">
      <c r="A466" s="7">
        <f>IF(B466="","","INS-"&amp;TEXT(ROW()-3,"000"))</f>
        <v/>
      </c>
      <c r="B466" s="11" t="n"/>
      <c r="C466" s="7">
        <f>IF(B466="","",ISOWEEKNUM(B466))</f>
        <v/>
      </c>
      <c r="D466" s="7">
        <f>IF(B466="","",TEXT(B466,"yyyy-mm"))</f>
        <v/>
      </c>
      <c r="E466" s="12" t="n"/>
      <c r="F466" s="12" t="n"/>
      <c r="G466" s="7">
        <f>IF(OR(E466="",F466=""),"",IF(COUNTIF(Cluster_Master!$I$3:$I$17,E466&amp;"|"&amp;F466)=1,"Valid","Review"))</f>
        <v/>
      </c>
      <c r="H466" s="7">
        <f>IF($G466&lt;&gt;"Valid","",VLOOKUP($E466&amp;"|"&amp;$F466,Cluster_Master!$I$3:$H$17,3,FALSE))</f>
        <v/>
      </c>
      <c r="I466" s="7">
        <f>IF($G466&lt;&gt;"Valid","",VLOOKUP($E466&amp;"|"&amp;$F466,Cluster_Master!$I$3:$H$17,4,FALSE))</f>
        <v/>
      </c>
      <c r="J466" s="7">
        <f>IF($G466&lt;&gt;"Valid","",VLOOKUP($E466&amp;"|"&amp;$F466,Cluster_Master!$I$3:$H$17,5,FALSE))</f>
        <v/>
      </c>
      <c r="K466" s="7">
        <f>IF($G466&lt;&gt;"Valid","",VLOOKUP($E466&amp;"|"&amp;$F466,Cluster_Master!$I$3:$H$17,6,FALSE))</f>
        <v/>
      </c>
      <c r="L466" s="7">
        <f>IF($G466&lt;&gt;"Valid","",VLOOKUP($E466&amp;"|"&amp;$F466,Cluster_Master!$I$3:$H$17,7,FALSE))</f>
        <v/>
      </c>
      <c r="M466" s="7">
        <f>IF($G466&lt;&gt;"Valid","",VLOOKUP($E466&amp;"|"&amp;$F466,Cluster_Master!$I$3:$H$17,8,FALSE))</f>
        <v/>
      </c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7">
        <f>IF(COUNT(T466:AH466)=0,"",SUM(T466:AH466))</f>
        <v/>
      </c>
      <c r="AJ466" s="10">
        <f>IF(AI466="","",AI466/75)</f>
        <v/>
      </c>
      <c r="AK466" s="10">
        <f>IF(AI466="","",SUMPRODUCT(T466:AH466,KPI_Weights!$B$3:$B$17)/5)</f>
        <v/>
      </c>
      <c r="AL466" s="7">
        <f>IF(COUNT(T466:AH466)=0,"",IF(OR(T466&lt;=1,W466&lt;=1,X466&lt;=1,Y466&lt;=1,AB466&lt;=1),"YES","NO"))</f>
        <v/>
      </c>
      <c r="AM466" s="7">
        <f>IF(AK466="","",IF(AND(AK466="NO",AJ466&gt;=0.85),"YES","NO"))</f>
        <v/>
      </c>
      <c r="AN466" s="7">
        <f>IF(AJ466="","",IF(AJ466&gt;=0.90,"Excellent",IF(AJ466&gt;=0.80,"Good",IF(AJ466&gt;=0.70,"Fair","Poor"))))</f>
        <v/>
      </c>
      <c r="AO466" s="12" t="n"/>
      <c r="AP466" s="12" t="n"/>
      <c r="AQ466" s="12" t="n"/>
      <c r="AR466" s="12" t="n"/>
      <c r="AS466" s="12" t="n"/>
      <c r="AT466" s="12" t="n"/>
      <c r="AU466" s="12" t="n"/>
      <c r="AV466" s="11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  <c r="BF466" s="12" t="n"/>
    </row>
    <row r="467">
      <c r="A467" s="7">
        <f>IF(B467="","","INS-"&amp;TEXT(ROW()-3,"000"))</f>
        <v/>
      </c>
      <c r="B467" s="11" t="n"/>
      <c r="C467" s="7">
        <f>IF(B467="","",ISOWEEKNUM(B467))</f>
        <v/>
      </c>
      <c r="D467" s="7">
        <f>IF(B467="","",TEXT(B467,"yyyy-mm"))</f>
        <v/>
      </c>
      <c r="E467" s="12" t="n"/>
      <c r="F467" s="12" t="n"/>
      <c r="G467" s="7">
        <f>IF(OR(E467="",F467=""),"",IF(COUNTIF(Cluster_Master!$I$3:$I$17,E467&amp;"|"&amp;F467)=1,"Valid","Review"))</f>
        <v/>
      </c>
      <c r="H467" s="7">
        <f>IF($G467&lt;&gt;"Valid","",VLOOKUP($E467&amp;"|"&amp;$F467,Cluster_Master!$I$3:$H$17,3,FALSE))</f>
        <v/>
      </c>
      <c r="I467" s="7">
        <f>IF($G467&lt;&gt;"Valid","",VLOOKUP($E467&amp;"|"&amp;$F467,Cluster_Master!$I$3:$H$17,4,FALSE))</f>
        <v/>
      </c>
      <c r="J467" s="7">
        <f>IF($G467&lt;&gt;"Valid","",VLOOKUP($E467&amp;"|"&amp;$F467,Cluster_Master!$I$3:$H$17,5,FALSE))</f>
        <v/>
      </c>
      <c r="K467" s="7">
        <f>IF($G467&lt;&gt;"Valid","",VLOOKUP($E467&amp;"|"&amp;$F467,Cluster_Master!$I$3:$H$17,6,FALSE))</f>
        <v/>
      </c>
      <c r="L467" s="7">
        <f>IF($G467&lt;&gt;"Valid","",VLOOKUP($E467&amp;"|"&amp;$F467,Cluster_Master!$I$3:$H$17,7,FALSE))</f>
        <v/>
      </c>
      <c r="M467" s="7">
        <f>IF($G467&lt;&gt;"Valid","",VLOOKUP($E467&amp;"|"&amp;$F467,Cluster_Master!$I$3:$H$17,8,FALSE))</f>
        <v/>
      </c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7">
        <f>IF(COUNT(T467:AH467)=0,"",SUM(T467:AH467))</f>
        <v/>
      </c>
      <c r="AJ467" s="10">
        <f>IF(AI467="","",AI467/75)</f>
        <v/>
      </c>
      <c r="AK467" s="10">
        <f>IF(AI467="","",SUMPRODUCT(T467:AH467,KPI_Weights!$B$3:$B$17)/5)</f>
        <v/>
      </c>
      <c r="AL467" s="7">
        <f>IF(COUNT(T467:AH467)=0,"",IF(OR(T467&lt;=1,W467&lt;=1,X467&lt;=1,Y467&lt;=1,AB467&lt;=1),"YES","NO"))</f>
        <v/>
      </c>
      <c r="AM467" s="7">
        <f>IF(AK467="","",IF(AND(AK467="NO",AJ467&gt;=0.85),"YES","NO"))</f>
        <v/>
      </c>
      <c r="AN467" s="7">
        <f>IF(AJ467="","",IF(AJ467&gt;=0.90,"Excellent",IF(AJ467&gt;=0.80,"Good",IF(AJ467&gt;=0.70,"Fair","Poor"))))</f>
        <v/>
      </c>
      <c r="AO467" s="12" t="n"/>
      <c r="AP467" s="12" t="n"/>
      <c r="AQ467" s="12" t="n"/>
      <c r="AR467" s="12" t="n"/>
      <c r="AS467" s="12" t="n"/>
      <c r="AT467" s="12" t="n"/>
      <c r="AU467" s="12" t="n"/>
      <c r="AV467" s="11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  <c r="BF467" s="12" t="n"/>
    </row>
    <row r="468">
      <c r="A468" s="7">
        <f>IF(B468="","","INS-"&amp;TEXT(ROW()-3,"000"))</f>
        <v/>
      </c>
      <c r="B468" s="11" t="n"/>
      <c r="C468" s="7">
        <f>IF(B468="","",ISOWEEKNUM(B468))</f>
        <v/>
      </c>
      <c r="D468" s="7">
        <f>IF(B468="","",TEXT(B468,"yyyy-mm"))</f>
        <v/>
      </c>
      <c r="E468" s="12" t="n"/>
      <c r="F468" s="12" t="n"/>
      <c r="G468" s="7">
        <f>IF(OR(E468="",F468=""),"",IF(COUNTIF(Cluster_Master!$I$3:$I$17,E468&amp;"|"&amp;F468)=1,"Valid","Review"))</f>
        <v/>
      </c>
      <c r="H468" s="7">
        <f>IF($G468&lt;&gt;"Valid","",VLOOKUP($E468&amp;"|"&amp;$F468,Cluster_Master!$I$3:$H$17,3,FALSE))</f>
        <v/>
      </c>
      <c r="I468" s="7">
        <f>IF($G468&lt;&gt;"Valid","",VLOOKUP($E468&amp;"|"&amp;$F468,Cluster_Master!$I$3:$H$17,4,FALSE))</f>
        <v/>
      </c>
      <c r="J468" s="7">
        <f>IF($G468&lt;&gt;"Valid","",VLOOKUP($E468&amp;"|"&amp;$F468,Cluster_Master!$I$3:$H$17,5,FALSE))</f>
        <v/>
      </c>
      <c r="K468" s="7">
        <f>IF($G468&lt;&gt;"Valid","",VLOOKUP($E468&amp;"|"&amp;$F468,Cluster_Master!$I$3:$H$17,6,FALSE))</f>
        <v/>
      </c>
      <c r="L468" s="7">
        <f>IF($G468&lt;&gt;"Valid","",VLOOKUP($E468&amp;"|"&amp;$F468,Cluster_Master!$I$3:$H$17,7,FALSE))</f>
        <v/>
      </c>
      <c r="M468" s="7">
        <f>IF($G468&lt;&gt;"Valid","",VLOOKUP($E468&amp;"|"&amp;$F468,Cluster_Master!$I$3:$H$17,8,FALSE))</f>
        <v/>
      </c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7">
        <f>IF(COUNT(T468:AH468)=0,"",SUM(T468:AH468))</f>
        <v/>
      </c>
      <c r="AJ468" s="10">
        <f>IF(AI468="","",AI468/75)</f>
        <v/>
      </c>
      <c r="AK468" s="10">
        <f>IF(AI468="","",SUMPRODUCT(T468:AH468,KPI_Weights!$B$3:$B$17)/5)</f>
        <v/>
      </c>
      <c r="AL468" s="7">
        <f>IF(COUNT(T468:AH468)=0,"",IF(OR(T468&lt;=1,W468&lt;=1,X468&lt;=1,Y468&lt;=1,AB468&lt;=1),"YES","NO"))</f>
        <v/>
      </c>
      <c r="AM468" s="7">
        <f>IF(AK468="","",IF(AND(AK468="NO",AJ468&gt;=0.85),"YES","NO"))</f>
        <v/>
      </c>
      <c r="AN468" s="7">
        <f>IF(AJ468="","",IF(AJ468&gt;=0.90,"Excellent",IF(AJ468&gt;=0.80,"Good",IF(AJ468&gt;=0.70,"Fair","Poor"))))</f>
        <v/>
      </c>
      <c r="AO468" s="12" t="n"/>
      <c r="AP468" s="12" t="n"/>
      <c r="AQ468" s="12" t="n"/>
      <c r="AR468" s="12" t="n"/>
      <c r="AS468" s="12" t="n"/>
      <c r="AT468" s="12" t="n"/>
      <c r="AU468" s="12" t="n"/>
      <c r="AV468" s="11" t="n"/>
      <c r="AW468" s="12" t="n"/>
      <c r="AX468" s="12" t="n"/>
      <c r="AY468" s="12" t="n"/>
      <c r="AZ468" s="12" t="n"/>
      <c r="BA468" s="12" t="n"/>
      <c r="BB468" s="12" t="n"/>
      <c r="BC468" s="12" t="n"/>
      <c r="BD468" s="12" t="n"/>
      <c r="BE468" s="12" t="n"/>
      <c r="BF468" s="12" t="n"/>
    </row>
    <row r="469">
      <c r="A469" s="7">
        <f>IF(B469="","","INS-"&amp;TEXT(ROW()-3,"000"))</f>
        <v/>
      </c>
      <c r="B469" s="11" t="n"/>
      <c r="C469" s="7">
        <f>IF(B469="","",ISOWEEKNUM(B469))</f>
        <v/>
      </c>
      <c r="D469" s="7">
        <f>IF(B469="","",TEXT(B469,"yyyy-mm"))</f>
        <v/>
      </c>
      <c r="E469" s="12" t="n"/>
      <c r="F469" s="12" t="n"/>
      <c r="G469" s="7">
        <f>IF(OR(E469="",F469=""),"",IF(COUNTIF(Cluster_Master!$I$3:$I$17,E469&amp;"|"&amp;F469)=1,"Valid","Review"))</f>
        <v/>
      </c>
      <c r="H469" s="7">
        <f>IF($G469&lt;&gt;"Valid","",VLOOKUP($E469&amp;"|"&amp;$F469,Cluster_Master!$I$3:$H$17,3,FALSE))</f>
        <v/>
      </c>
      <c r="I469" s="7">
        <f>IF($G469&lt;&gt;"Valid","",VLOOKUP($E469&amp;"|"&amp;$F469,Cluster_Master!$I$3:$H$17,4,FALSE))</f>
        <v/>
      </c>
      <c r="J469" s="7">
        <f>IF($G469&lt;&gt;"Valid","",VLOOKUP($E469&amp;"|"&amp;$F469,Cluster_Master!$I$3:$H$17,5,FALSE))</f>
        <v/>
      </c>
      <c r="K469" s="7">
        <f>IF($G469&lt;&gt;"Valid","",VLOOKUP($E469&amp;"|"&amp;$F469,Cluster_Master!$I$3:$H$17,6,FALSE))</f>
        <v/>
      </c>
      <c r="L469" s="7">
        <f>IF($G469&lt;&gt;"Valid","",VLOOKUP($E469&amp;"|"&amp;$F469,Cluster_Master!$I$3:$H$17,7,FALSE))</f>
        <v/>
      </c>
      <c r="M469" s="7">
        <f>IF($G469&lt;&gt;"Valid","",VLOOKUP($E469&amp;"|"&amp;$F469,Cluster_Master!$I$3:$H$17,8,FALSE))</f>
        <v/>
      </c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7">
        <f>IF(COUNT(T469:AH469)=0,"",SUM(T469:AH469))</f>
        <v/>
      </c>
      <c r="AJ469" s="10">
        <f>IF(AI469="","",AI469/75)</f>
        <v/>
      </c>
      <c r="AK469" s="10">
        <f>IF(AI469="","",SUMPRODUCT(T469:AH469,KPI_Weights!$B$3:$B$17)/5)</f>
        <v/>
      </c>
      <c r="AL469" s="7">
        <f>IF(COUNT(T469:AH469)=0,"",IF(OR(T469&lt;=1,W469&lt;=1,X469&lt;=1,Y469&lt;=1,AB469&lt;=1),"YES","NO"))</f>
        <v/>
      </c>
      <c r="AM469" s="7">
        <f>IF(AK469="","",IF(AND(AK469="NO",AJ469&gt;=0.85),"YES","NO"))</f>
        <v/>
      </c>
      <c r="AN469" s="7">
        <f>IF(AJ469="","",IF(AJ469&gt;=0.90,"Excellent",IF(AJ469&gt;=0.80,"Good",IF(AJ469&gt;=0.70,"Fair","Poor"))))</f>
        <v/>
      </c>
      <c r="AO469" s="12" t="n"/>
      <c r="AP469" s="12" t="n"/>
      <c r="AQ469" s="12" t="n"/>
      <c r="AR469" s="12" t="n"/>
      <c r="AS469" s="12" t="n"/>
      <c r="AT469" s="12" t="n"/>
      <c r="AU469" s="12" t="n"/>
      <c r="AV469" s="11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  <c r="BF469" s="12" t="n"/>
    </row>
    <row r="470">
      <c r="A470" s="7">
        <f>IF(B470="","","INS-"&amp;TEXT(ROW()-3,"000"))</f>
        <v/>
      </c>
      <c r="B470" s="11" t="n"/>
      <c r="C470" s="7">
        <f>IF(B470="","",ISOWEEKNUM(B470))</f>
        <v/>
      </c>
      <c r="D470" s="7">
        <f>IF(B470="","",TEXT(B470,"yyyy-mm"))</f>
        <v/>
      </c>
      <c r="E470" s="12" t="n"/>
      <c r="F470" s="12" t="n"/>
      <c r="G470" s="7">
        <f>IF(OR(E470="",F470=""),"",IF(COUNTIF(Cluster_Master!$I$3:$I$17,E470&amp;"|"&amp;F470)=1,"Valid","Review"))</f>
        <v/>
      </c>
      <c r="H470" s="7">
        <f>IF($G470&lt;&gt;"Valid","",VLOOKUP($E470&amp;"|"&amp;$F470,Cluster_Master!$I$3:$H$17,3,FALSE))</f>
        <v/>
      </c>
      <c r="I470" s="7">
        <f>IF($G470&lt;&gt;"Valid","",VLOOKUP($E470&amp;"|"&amp;$F470,Cluster_Master!$I$3:$H$17,4,FALSE))</f>
        <v/>
      </c>
      <c r="J470" s="7">
        <f>IF($G470&lt;&gt;"Valid","",VLOOKUP($E470&amp;"|"&amp;$F470,Cluster_Master!$I$3:$H$17,5,FALSE))</f>
        <v/>
      </c>
      <c r="K470" s="7">
        <f>IF($G470&lt;&gt;"Valid","",VLOOKUP($E470&amp;"|"&amp;$F470,Cluster_Master!$I$3:$H$17,6,FALSE))</f>
        <v/>
      </c>
      <c r="L470" s="7">
        <f>IF($G470&lt;&gt;"Valid","",VLOOKUP($E470&amp;"|"&amp;$F470,Cluster_Master!$I$3:$H$17,7,FALSE))</f>
        <v/>
      </c>
      <c r="M470" s="7">
        <f>IF($G470&lt;&gt;"Valid","",VLOOKUP($E470&amp;"|"&amp;$F470,Cluster_Master!$I$3:$H$17,8,FALSE))</f>
        <v/>
      </c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7">
        <f>IF(COUNT(T470:AH470)=0,"",SUM(T470:AH470))</f>
        <v/>
      </c>
      <c r="AJ470" s="10">
        <f>IF(AI470="","",AI470/75)</f>
        <v/>
      </c>
      <c r="AK470" s="10">
        <f>IF(AI470="","",SUMPRODUCT(T470:AH470,KPI_Weights!$B$3:$B$17)/5)</f>
        <v/>
      </c>
      <c r="AL470" s="7">
        <f>IF(COUNT(T470:AH470)=0,"",IF(OR(T470&lt;=1,W470&lt;=1,X470&lt;=1,Y470&lt;=1,AB470&lt;=1),"YES","NO"))</f>
        <v/>
      </c>
      <c r="AM470" s="7">
        <f>IF(AK470="","",IF(AND(AK470="NO",AJ470&gt;=0.85),"YES","NO"))</f>
        <v/>
      </c>
      <c r="AN470" s="7">
        <f>IF(AJ470="","",IF(AJ470&gt;=0.90,"Excellent",IF(AJ470&gt;=0.80,"Good",IF(AJ470&gt;=0.70,"Fair","Poor"))))</f>
        <v/>
      </c>
      <c r="AO470" s="12" t="n"/>
      <c r="AP470" s="12" t="n"/>
      <c r="AQ470" s="12" t="n"/>
      <c r="AR470" s="12" t="n"/>
      <c r="AS470" s="12" t="n"/>
      <c r="AT470" s="12" t="n"/>
      <c r="AU470" s="12" t="n"/>
      <c r="AV470" s="11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  <c r="BF470" s="12" t="n"/>
    </row>
    <row r="471">
      <c r="A471" s="7">
        <f>IF(B471="","","INS-"&amp;TEXT(ROW()-3,"000"))</f>
        <v/>
      </c>
      <c r="B471" s="11" t="n"/>
      <c r="C471" s="7">
        <f>IF(B471="","",ISOWEEKNUM(B471))</f>
        <v/>
      </c>
      <c r="D471" s="7">
        <f>IF(B471="","",TEXT(B471,"yyyy-mm"))</f>
        <v/>
      </c>
      <c r="E471" s="12" t="n"/>
      <c r="F471" s="12" t="n"/>
      <c r="G471" s="7">
        <f>IF(OR(E471="",F471=""),"",IF(COUNTIF(Cluster_Master!$I$3:$I$17,E471&amp;"|"&amp;F471)=1,"Valid","Review"))</f>
        <v/>
      </c>
      <c r="H471" s="7">
        <f>IF($G471&lt;&gt;"Valid","",VLOOKUP($E471&amp;"|"&amp;$F471,Cluster_Master!$I$3:$H$17,3,FALSE))</f>
        <v/>
      </c>
      <c r="I471" s="7">
        <f>IF($G471&lt;&gt;"Valid","",VLOOKUP($E471&amp;"|"&amp;$F471,Cluster_Master!$I$3:$H$17,4,FALSE))</f>
        <v/>
      </c>
      <c r="J471" s="7">
        <f>IF($G471&lt;&gt;"Valid","",VLOOKUP($E471&amp;"|"&amp;$F471,Cluster_Master!$I$3:$H$17,5,FALSE))</f>
        <v/>
      </c>
      <c r="K471" s="7">
        <f>IF($G471&lt;&gt;"Valid","",VLOOKUP($E471&amp;"|"&amp;$F471,Cluster_Master!$I$3:$H$17,6,FALSE))</f>
        <v/>
      </c>
      <c r="L471" s="7">
        <f>IF($G471&lt;&gt;"Valid","",VLOOKUP($E471&amp;"|"&amp;$F471,Cluster_Master!$I$3:$H$17,7,FALSE))</f>
        <v/>
      </c>
      <c r="M471" s="7">
        <f>IF($G471&lt;&gt;"Valid","",VLOOKUP($E471&amp;"|"&amp;$F471,Cluster_Master!$I$3:$H$17,8,FALSE))</f>
        <v/>
      </c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7">
        <f>IF(COUNT(T471:AH471)=0,"",SUM(T471:AH471))</f>
        <v/>
      </c>
      <c r="AJ471" s="10">
        <f>IF(AI471="","",AI471/75)</f>
        <v/>
      </c>
      <c r="AK471" s="10">
        <f>IF(AI471="","",SUMPRODUCT(T471:AH471,KPI_Weights!$B$3:$B$17)/5)</f>
        <v/>
      </c>
      <c r="AL471" s="7">
        <f>IF(COUNT(T471:AH471)=0,"",IF(OR(T471&lt;=1,W471&lt;=1,X471&lt;=1,Y471&lt;=1,AB471&lt;=1),"YES","NO"))</f>
        <v/>
      </c>
      <c r="AM471" s="7">
        <f>IF(AK471="","",IF(AND(AK471="NO",AJ471&gt;=0.85),"YES","NO"))</f>
        <v/>
      </c>
      <c r="AN471" s="7">
        <f>IF(AJ471="","",IF(AJ471&gt;=0.90,"Excellent",IF(AJ471&gt;=0.80,"Good",IF(AJ471&gt;=0.70,"Fair","Poor"))))</f>
        <v/>
      </c>
      <c r="AO471" s="12" t="n"/>
      <c r="AP471" s="12" t="n"/>
      <c r="AQ471" s="12" t="n"/>
      <c r="AR471" s="12" t="n"/>
      <c r="AS471" s="12" t="n"/>
      <c r="AT471" s="12" t="n"/>
      <c r="AU471" s="12" t="n"/>
      <c r="AV471" s="11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  <c r="BF471" s="12" t="n"/>
    </row>
    <row r="472">
      <c r="A472" s="7">
        <f>IF(B472="","","INS-"&amp;TEXT(ROW()-3,"000"))</f>
        <v/>
      </c>
      <c r="B472" s="11" t="n"/>
      <c r="C472" s="7">
        <f>IF(B472="","",ISOWEEKNUM(B472))</f>
        <v/>
      </c>
      <c r="D472" s="7">
        <f>IF(B472="","",TEXT(B472,"yyyy-mm"))</f>
        <v/>
      </c>
      <c r="E472" s="12" t="n"/>
      <c r="F472" s="12" t="n"/>
      <c r="G472" s="7">
        <f>IF(OR(E472="",F472=""),"",IF(COUNTIF(Cluster_Master!$I$3:$I$17,E472&amp;"|"&amp;F472)=1,"Valid","Review"))</f>
        <v/>
      </c>
      <c r="H472" s="7">
        <f>IF($G472&lt;&gt;"Valid","",VLOOKUP($E472&amp;"|"&amp;$F472,Cluster_Master!$I$3:$H$17,3,FALSE))</f>
        <v/>
      </c>
      <c r="I472" s="7">
        <f>IF($G472&lt;&gt;"Valid","",VLOOKUP($E472&amp;"|"&amp;$F472,Cluster_Master!$I$3:$H$17,4,FALSE))</f>
        <v/>
      </c>
      <c r="J472" s="7">
        <f>IF($G472&lt;&gt;"Valid","",VLOOKUP($E472&amp;"|"&amp;$F472,Cluster_Master!$I$3:$H$17,5,FALSE))</f>
        <v/>
      </c>
      <c r="K472" s="7">
        <f>IF($G472&lt;&gt;"Valid","",VLOOKUP($E472&amp;"|"&amp;$F472,Cluster_Master!$I$3:$H$17,6,FALSE))</f>
        <v/>
      </c>
      <c r="L472" s="7">
        <f>IF($G472&lt;&gt;"Valid","",VLOOKUP($E472&amp;"|"&amp;$F472,Cluster_Master!$I$3:$H$17,7,FALSE))</f>
        <v/>
      </c>
      <c r="M472" s="7">
        <f>IF($G472&lt;&gt;"Valid","",VLOOKUP($E472&amp;"|"&amp;$F472,Cluster_Master!$I$3:$H$17,8,FALSE))</f>
        <v/>
      </c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7">
        <f>IF(COUNT(T472:AH472)=0,"",SUM(T472:AH472))</f>
        <v/>
      </c>
      <c r="AJ472" s="10">
        <f>IF(AI472="","",AI472/75)</f>
        <v/>
      </c>
      <c r="AK472" s="10">
        <f>IF(AI472="","",SUMPRODUCT(T472:AH472,KPI_Weights!$B$3:$B$17)/5)</f>
        <v/>
      </c>
      <c r="AL472" s="7">
        <f>IF(COUNT(T472:AH472)=0,"",IF(OR(T472&lt;=1,W472&lt;=1,X472&lt;=1,Y472&lt;=1,AB472&lt;=1),"YES","NO"))</f>
        <v/>
      </c>
      <c r="AM472" s="7">
        <f>IF(AK472="","",IF(AND(AK472="NO",AJ472&gt;=0.85),"YES","NO"))</f>
        <v/>
      </c>
      <c r="AN472" s="7">
        <f>IF(AJ472="","",IF(AJ472&gt;=0.90,"Excellent",IF(AJ472&gt;=0.80,"Good",IF(AJ472&gt;=0.70,"Fair","Poor"))))</f>
        <v/>
      </c>
      <c r="AO472" s="12" t="n"/>
      <c r="AP472" s="12" t="n"/>
      <c r="AQ472" s="12" t="n"/>
      <c r="AR472" s="12" t="n"/>
      <c r="AS472" s="12" t="n"/>
      <c r="AT472" s="12" t="n"/>
      <c r="AU472" s="12" t="n"/>
      <c r="AV472" s="11" t="n"/>
      <c r="AW472" s="12" t="n"/>
      <c r="AX472" s="12" t="n"/>
      <c r="AY472" s="12" t="n"/>
      <c r="AZ472" s="12" t="n"/>
      <c r="BA472" s="12" t="n"/>
      <c r="BB472" s="12" t="n"/>
      <c r="BC472" s="12" t="n"/>
      <c r="BD472" s="12" t="n"/>
      <c r="BE472" s="12" t="n"/>
      <c r="BF472" s="12" t="n"/>
    </row>
    <row r="473">
      <c r="A473" s="7">
        <f>IF(B473="","","INS-"&amp;TEXT(ROW()-3,"000"))</f>
        <v/>
      </c>
      <c r="B473" s="11" t="n"/>
      <c r="C473" s="7">
        <f>IF(B473="","",ISOWEEKNUM(B473))</f>
        <v/>
      </c>
      <c r="D473" s="7">
        <f>IF(B473="","",TEXT(B473,"yyyy-mm"))</f>
        <v/>
      </c>
      <c r="E473" s="12" t="n"/>
      <c r="F473" s="12" t="n"/>
      <c r="G473" s="7">
        <f>IF(OR(E473="",F473=""),"",IF(COUNTIF(Cluster_Master!$I$3:$I$17,E473&amp;"|"&amp;F473)=1,"Valid","Review"))</f>
        <v/>
      </c>
      <c r="H473" s="7">
        <f>IF($G473&lt;&gt;"Valid","",VLOOKUP($E473&amp;"|"&amp;$F473,Cluster_Master!$I$3:$H$17,3,FALSE))</f>
        <v/>
      </c>
      <c r="I473" s="7">
        <f>IF($G473&lt;&gt;"Valid","",VLOOKUP($E473&amp;"|"&amp;$F473,Cluster_Master!$I$3:$H$17,4,FALSE))</f>
        <v/>
      </c>
      <c r="J473" s="7">
        <f>IF($G473&lt;&gt;"Valid","",VLOOKUP($E473&amp;"|"&amp;$F473,Cluster_Master!$I$3:$H$17,5,FALSE))</f>
        <v/>
      </c>
      <c r="K473" s="7">
        <f>IF($G473&lt;&gt;"Valid","",VLOOKUP($E473&amp;"|"&amp;$F473,Cluster_Master!$I$3:$H$17,6,FALSE))</f>
        <v/>
      </c>
      <c r="L473" s="7">
        <f>IF($G473&lt;&gt;"Valid","",VLOOKUP($E473&amp;"|"&amp;$F473,Cluster_Master!$I$3:$H$17,7,FALSE))</f>
        <v/>
      </c>
      <c r="M473" s="7">
        <f>IF($G473&lt;&gt;"Valid","",VLOOKUP($E473&amp;"|"&amp;$F473,Cluster_Master!$I$3:$H$17,8,FALSE))</f>
        <v/>
      </c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7">
        <f>IF(COUNT(T473:AH473)=0,"",SUM(T473:AH473))</f>
        <v/>
      </c>
      <c r="AJ473" s="10">
        <f>IF(AI473="","",AI473/75)</f>
        <v/>
      </c>
      <c r="AK473" s="10">
        <f>IF(AI473="","",SUMPRODUCT(T473:AH473,KPI_Weights!$B$3:$B$17)/5)</f>
        <v/>
      </c>
      <c r="AL473" s="7">
        <f>IF(COUNT(T473:AH473)=0,"",IF(OR(T473&lt;=1,W473&lt;=1,X473&lt;=1,Y473&lt;=1,AB473&lt;=1),"YES","NO"))</f>
        <v/>
      </c>
      <c r="AM473" s="7">
        <f>IF(AK473="","",IF(AND(AK473="NO",AJ473&gt;=0.85),"YES","NO"))</f>
        <v/>
      </c>
      <c r="AN473" s="7">
        <f>IF(AJ473="","",IF(AJ473&gt;=0.90,"Excellent",IF(AJ473&gt;=0.80,"Good",IF(AJ473&gt;=0.70,"Fair","Poor"))))</f>
        <v/>
      </c>
      <c r="AO473" s="12" t="n"/>
      <c r="AP473" s="12" t="n"/>
      <c r="AQ473" s="12" t="n"/>
      <c r="AR473" s="12" t="n"/>
      <c r="AS473" s="12" t="n"/>
      <c r="AT473" s="12" t="n"/>
      <c r="AU473" s="12" t="n"/>
      <c r="AV473" s="11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  <c r="BF473" s="12" t="n"/>
    </row>
    <row r="474">
      <c r="A474" s="7">
        <f>IF(B474="","","INS-"&amp;TEXT(ROW()-3,"000"))</f>
        <v/>
      </c>
      <c r="B474" s="11" t="n"/>
      <c r="C474" s="7">
        <f>IF(B474="","",ISOWEEKNUM(B474))</f>
        <v/>
      </c>
      <c r="D474" s="7">
        <f>IF(B474="","",TEXT(B474,"yyyy-mm"))</f>
        <v/>
      </c>
      <c r="E474" s="12" t="n"/>
      <c r="F474" s="12" t="n"/>
      <c r="G474" s="7">
        <f>IF(OR(E474="",F474=""),"",IF(COUNTIF(Cluster_Master!$I$3:$I$17,E474&amp;"|"&amp;F474)=1,"Valid","Review"))</f>
        <v/>
      </c>
      <c r="H474" s="7">
        <f>IF($G474&lt;&gt;"Valid","",VLOOKUP($E474&amp;"|"&amp;$F474,Cluster_Master!$I$3:$H$17,3,FALSE))</f>
        <v/>
      </c>
      <c r="I474" s="7">
        <f>IF($G474&lt;&gt;"Valid","",VLOOKUP($E474&amp;"|"&amp;$F474,Cluster_Master!$I$3:$H$17,4,FALSE))</f>
        <v/>
      </c>
      <c r="J474" s="7">
        <f>IF($G474&lt;&gt;"Valid","",VLOOKUP($E474&amp;"|"&amp;$F474,Cluster_Master!$I$3:$H$17,5,FALSE))</f>
        <v/>
      </c>
      <c r="K474" s="7">
        <f>IF($G474&lt;&gt;"Valid","",VLOOKUP($E474&amp;"|"&amp;$F474,Cluster_Master!$I$3:$H$17,6,FALSE))</f>
        <v/>
      </c>
      <c r="L474" s="7">
        <f>IF($G474&lt;&gt;"Valid","",VLOOKUP($E474&amp;"|"&amp;$F474,Cluster_Master!$I$3:$H$17,7,FALSE))</f>
        <v/>
      </c>
      <c r="M474" s="7">
        <f>IF($G474&lt;&gt;"Valid","",VLOOKUP($E474&amp;"|"&amp;$F474,Cluster_Master!$I$3:$H$17,8,FALSE))</f>
        <v/>
      </c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7">
        <f>IF(COUNT(T474:AH474)=0,"",SUM(T474:AH474))</f>
        <v/>
      </c>
      <c r="AJ474" s="10">
        <f>IF(AI474="","",AI474/75)</f>
        <v/>
      </c>
      <c r="AK474" s="10">
        <f>IF(AI474="","",SUMPRODUCT(T474:AH474,KPI_Weights!$B$3:$B$17)/5)</f>
        <v/>
      </c>
      <c r="AL474" s="7">
        <f>IF(COUNT(T474:AH474)=0,"",IF(OR(T474&lt;=1,W474&lt;=1,X474&lt;=1,Y474&lt;=1,AB474&lt;=1),"YES","NO"))</f>
        <v/>
      </c>
      <c r="AM474" s="7">
        <f>IF(AK474="","",IF(AND(AK474="NO",AJ474&gt;=0.85),"YES","NO"))</f>
        <v/>
      </c>
      <c r="AN474" s="7">
        <f>IF(AJ474="","",IF(AJ474&gt;=0.90,"Excellent",IF(AJ474&gt;=0.80,"Good",IF(AJ474&gt;=0.70,"Fair","Poor"))))</f>
        <v/>
      </c>
      <c r="AO474" s="12" t="n"/>
      <c r="AP474" s="12" t="n"/>
      <c r="AQ474" s="12" t="n"/>
      <c r="AR474" s="12" t="n"/>
      <c r="AS474" s="12" t="n"/>
      <c r="AT474" s="12" t="n"/>
      <c r="AU474" s="12" t="n"/>
      <c r="AV474" s="11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  <c r="BF474" s="12" t="n"/>
    </row>
    <row r="475">
      <c r="A475" s="7">
        <f>IF(B475="","","INS-"&amp;TEXT(ROW()-3,"000"))</f>
        <v/>
      </c>
      <c r="B475" s="11" t="n"/>
      <c r="C475" s="7">
        <f>IF(B475="","",ISOWEEKNUM(B475))</f>
        <v/>
      </c>
      <c r="D475" s="7">
        <f>IF(B475="","",TEXT(B475,"yyyy-mm"))</f>
        <v/>
      </c>
      <c r="E475" s="12" t="n"/>
      <c r="F475" s="12" t="n"/>
      <c r="G475" s="7">
        <f>IF(OR(E475="",F475=""),"",IF(COUNTIF(Cluster_Master!$I$3:$I$17,E475&amp;"|"&amp;F475)=1,"Valid","Review"))</f>
        <v/>
      </c>
      <c r="H475" s="7">
        <f>IF($G475&lt;&gt;"Valid","",VLOOKUP($E475&amp;"|"&amp;$F475,Cluster_Master!$I$3:$H$17,3,FALSE))</f>
        <v/>
      </c>
      <c r="I475" s="7">
        <f>IF($G475&lt;&gt;"Valid","",VLOOKUP($E475&amp;"|"&amp;$F475,Cluster_Master!$I$3:$H$17,4,FALSE))</f>
        <v/>
      </c>
      <c r="J475" s="7">
        <f>IF($G475&lt;&gt;"Valid","",VLOOKUP($E475&amp;"|"&amp;$F475,Cluster_Master!$I$3:$H$17,5,FALSE))</f>
        <v/>
      </c>
      <c r="K475" s="7">
        <f>IF($G475&lt;&gt;"Valid","",VLOOKUP($E475&amp;"|"&amp;$F475,Cluster_Master!$I$3:$H$17,6,FALSE))</f>
        <v/>
      </c>
      <c r="L475" s="7">
        <f>IF($G475&lt;&gt;"Valid","",VLOOKUP($E475&amp;"|"&amp;$F475,Cluster_Master!$I$3:$H$17,7,FALSE))</f>
        <v/>
      </c>
      <c r="M475" s="7">
        <f>IF($G475&lt;&gt;"Valid","",VLOOKUP($E475&amp;"|"&amp;$F475,Cluster_Master!$I$3:$H$17,8,FALSE))</f>
        <v/>
      </c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7">
        <f>IF(COUNT(T475:AH475)=0,"",SUM(T475:AH475))</f>
        <v/>
      </c>
      <c r="AJ475" s="10">
        <f>IF(AI475="","",AI475/75)</f>
        <v/>
      </c>
      <c r="AK475" s="10">
        <f>IF(AI475="","",SUMPRODUCT(T475:AH475,KPI_Weights!$B$3:$B$17)/5)</f>
        <v/>
      </c>
      <c r="AL475" s="7">
        <f>IF(COUNT(T475:AH475)=0,"",IF(OR(T475&lt;=1,W475&lt;=1,X475&lt;=1,Y475&lt;=1,AB475&lt;=1),"YES","NO"))</f>
        <v/>
      </c>
      <c r="AM475" s="7">
        <f>IF(AK475="","",IF(AND(AK475="NO",AJ475&gt;=0.85),"YES","NO"))</f>
        <v/>
      </c>
      <c r="AN475" s="7">
        <f>IF(AJ475="","",IF(AJ475&gt;=0.90,"Excellent",IF(AJ475&gt;=0.80,"Good",IF(AJ475&gt;=0.70,"Fair","Poor"))))</f>
        <v/>
      </c>
      <c r="AO475" s="12" t="n"/>
      <c r="AP475" s="12" t="n"/>
      <c r="AQ475" s="12" t="n"/>
      <c r="AR475" s="12" t="n"/>
      <c r="AS475" s="12" t="n"/>
      <c r="AT475" s="12" t="n"/>
      <c r="AU475" s="12" t="n"/>
      <c r="AV475" s="11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  <c r="BF475" s="12" t="n"/>
    </row>
    <row r="476">
      <c r="A476" s="7">
        <f>IF(B476="","","INS-"&amp;TEXT(ROW()-3,"000"))</f>
        <v/>
      </c>
      <c r="B476" s="11" t="n"/>
      <c r="C476" s="7">
        <f>IF(B476="","",ISOWEEKNUM(B476))</f>
        <v/>
      </c>
      <c r="D476" s="7">
        <f>IF(B476="","",TEXT(B476,"yyyy-mm"))</f>
        <v/>
      </c>
      <c r="E476" s="12" t="n"/>
      <c r="F476" s="12" t="n"/>
      <c r="G476" s="7">
        <f>IF(OR(E476="",F476=""),"",IF(COUNTIF(Cluster_Master!$I$3:$I$17,E476&amp;"|"&amp;F476)=1,"Valid","Review"))</f>
        <v/>
      </c>
      <c r="H476" s="7">
        <f>IF($G476&lt;&gt;"Valid","",VLOOKUP($E476&amp;"|"&amp;$F476,Cluster_Master!$I$3:$H$17,3,FALSE))</f>
        <v/>
      </c>
      <c r="I476" s="7">
        <f>IF($G476&lt;&gt;"Valid","",VLOOKUP($E476&amp;"|"&amp;$F476,Cluster_Master!$I$3:$H$17,4,FALSE))</f>
        <v/>
      </c>
      <c r="J476" s="7">
        <f>IF($G476&lt;&gt;"Valid","",VLOOKUP($E476&amp;"|"&amp;$F476,Cluster_Master!$I$3:$H$17,5,FALSE))</f>
        <v/>
      </c>
      <c r="K476" s="7">
        <f>IF($G476&lt;&gt;"Valid","",VLOOKUP($E476&amp;"|"&amp;$F476,Cluster_Master!$I$3:$H$17,6,FALSE))</f>
        <v/>
      </c>
      <c r="L476" s="7">
        <f>IF($G476&lt;&gt;"Valid","",VLOOKUP($E476&amp;"|"&amp;$F476,Cluster_Master!$I$3:$H$17,7,FALSE))</f>
        <v/>
      </c>
      <c r="M476" s="7">
        <f>IF($G476&lt;&gt;"Valid","",VLOOKUP($E476&amp;"|"&amp;$F476,Cluster_Master!$I$3:$H$17,8,FALSE))</f>
        <v/>
      </c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7">
        <f>IF(COUNT(T476:AH476)=0,"",SUM(T476:AH476))</f>
        <v/>
      </c>
      <c r="AJ476" s="10">
        <f>IF(AI476="","",AI476/75)</f>
        <v/>
      </c>
      <c r="AK476" s="10">
        <f>IF(AI476="","",SUMPRODUCT(T476:AH476,KPI_Weights!$B$3:$B$17)/5)</f>
        <v/>
      </c>
      <c r="AL476" s="7">
        <f>IF(COUNT(T476:AH476)=0,"",IF(OR(T476&lt;=1,W476&lt;=1,X476&lt;=1,Y476&lt;=1,AB476&lt;=1),"YES","NO"))</f>
        <v/>
      </c>
      <c r="AM476" s="7">
        <f>IF(AK476="","",IF(AND(AK476="NO",AJ476&gt;=0.85),"YES","NO"))</f>
        <v/>
      </c>
      <c r="AN476" s="7">
        <f>IF(AJ476="","",IF(AJ476&gt;=0.90,"Excellent",IF(AJ476&gt;=0.80,"Good",IF(AJ476&gt;=0.70,"Fair","Poor"))))</f>
        <v/>
      </c>
      <c r="AO476" s="12" t="n"/>
      <c r="AP476" s="12" t="n"/>
      <c r="AQ476" s="12" t="n"/>
      <c r="AR476" s="12" t="n"/>
      <c r="AS476" s="12" t="n"/>
      <c r="AT476" s="12" t="n"/>
      <c r="AU476" s="12" t="n"/>
      <c r="AV476" s="11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  <c r="BF476" s="12" t="n"/>
    </row>
    <row r="477">
      <c r="A477" s="7">
        <f>IF(B477="","","INS-"&amp;TEXT(ROW()-3,"000"))</f>
        <v/>
      </c>
      <c r="B477" s="11" t="n"/>
      <c r="C477" s="7">
        <f>IF(B477="","",ISOWEEKNUM(B477))</f>
        <v/>
      </c>
      <c r="D477" s="7">
        <f>IF(B477="","",TEXT(B477,"yyyy-mm"))</f>
        <v/>
      </c>
      <c r="E477" s="12" t="n"/>
      <c r="F477" s="12" t="n"/>
      <c r="G477" s="7">
        <f>IF(OR(E477="",F477=""),"",IF(COUNTIF(Cluster_Master!$I$3:$I$17,E477&amp;"|"&amp;F477)=1,"Valid","Review"))</f>
        <v/>
      </c>
      <c r="H477" s="7">
        <f>IF($G477&lt;&gt;"Valid","",VLOOKUP($E477&amp;"|"&amp;$F477,Cluster_Master!$I$3:$H$17,3,FALSE))</f>
        <v/>
      </c>
      <c r="I477" s="7">
        <f>IF($G477&lt;&gt;"Valid","",VLOOKUP($E477&amp;"|"&amp;$F477,Cluster_Master!$I$3:$H$17,4,FALSE))</f>
        <v/>
      </c>
      <c r="J477" s="7">
        <f>IF($G477&lt;&gt;"Valid","",VLOOKUP($E477&amp;"|"&amp;$F477,Cluster_Master!$I$3:$H$17,5,FALSE))</f>
        <v/>
      </c>
      <c r="K477" s="7">
        <f>IF($G477&lt;&gt;"Valid","",VLOOKUP($E477&amp;"|"&amp;$F477,Cluster_Master!$I$3:$H$17,6,FALSE))</f>
        <v/>
      </c>
      <c r="L477" s="7">
        <f>IF($G477&lt;&gt;"Valid","",VLOOKUP($E477&amp;"|"&amp;$F477,Cluster_Master!$I$3:$H$17,7,FALSE))</f>
        <v/>
      </c>
      <c r="M477" s="7">
        <f>IF($G477&lt;&gt;"Valid","",VLOOKUP($E477&amp;"|"&amp;$F477,Cluster_Master!$I$3:$H$17,8,FALSE))</f>
        <v/>
      </c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7">
        <f>IF(COUNT(T477:AH477)=0,"",SUM(T477:AH477))</f>
        <v/>
      </c>
      <c r="AJ477" s="10">
        <f>IF(AI477="","",AI477/75)</f>
        <v/>
      </c>
      <c r="AK477" s="10">
        <f>IF(AI477="","",SUMPRODUCT(T477:AH477,KPI_Weights!$B$3:$B$17)/5)</f>
        <v/>
      </c>
      <c r="AL477" s="7">
        <f>IF(COUNT(T477:AH477)=0,"",IF(OR(T477&lt;=1,W477&lt;=1,X477&lt;=1,Y477&lt;=1,AB477&lt;=1),"YES","NO"))</f>
        <v/>
      </c>
      <c r="AM477" s="7">
        <f>IF(AK477="","",IF(AND(AK477="NO",AJ477&gt;=0.85),"YES","NO"))</f>
        <v/>
      </c>
      <c r="AN477" s="7">
        <f>IF(AJ477="","",IF(AJ477&gt;=0.90,"Excellent",IF(AJ477&gt;=0.80,"Good",IF(AJ477&gt;=0.70,"Fair","Poor"))))</f>
        <v/>
      </c>
      <c r="AO477" s="12" t="n"/>
      <c r="AP477" s="12" t="n"/>
      <c r="AQ477" s="12" t="n"/>
      <c r="AR477" s="12" t="n"/>
      <c r="AS477" s="12" t="n"/>
      <c r="AT477" s="12" t="n"/>
      <c r="AU477" s="12" t="n"/>
      <c r="AV477" s="11" t="n"/>
      <c r="AW477" s="12" t="n"/>
      <c r="AX477" s="12" t="n"/>
      <c r="AY477" s="12" t="n"/>
      <c r="AZ477" s="12" t="n"/>
      <c r="BA477" s="12" t="n"/>
      <c r="BB477" s="12" t="n"/>
      <c r="BC477" s="12" t="n"/>
      <c r="BD477" s="12" t="n"/>
      <c r="BE477" s="12" t="n"/>
      <c r="BF477" s="12" t="n"/>
    </row>
    <row r="478">
      <c r="A478" s="7">
        <f>IF(B478="","","INS-"&amp;TEXT(ROW()-3,"000"))</f>
        <v/>
      </c>
      <c r="B478" s="11" t="n"/>
      <c r="C478" s="7">
        <f>IF(B478="","",ISOWEEKNUM(B478))</f>
        <v/>
      </c>
      <c r="D478" s="7">
        <f>IF(B478="","",TEXT(B478,"yyyy-mm"))</f>
        <v/>
      </c>
      <c r="E478" s="12" t="n"/>
      <c r="F478" s="12" t="n"/>
      <c r="G478" s="7">
        <f>IF(OR(E478="",F478=""),"",IF(COUNTIF(Cluster_Master!$I$3:$I$17,E478&amp;"|"&amp;F478)=1,"Valid","Review"))</f>
        <v/>
      </c>
      <c r="H478" s="7">
        <f>IF($G478&lt;&gt;"Valid","",VLOOKUP($E478&amp;"|"&amp;$F478,Cluster_Master!$I$3:$H$17,3,FALSE))</f>
        <v/>
      </c>
      <c r="I478" s="7">
        <f>IF($G478&lt;&gt;"Valid","",VLOOKUP($E478&amp;"|"&amp;$F478,Cluster_Master!$I$3:$H$17,4,FALSE))</f>
        <v/>
      </c>
      <c r="J478" s="7">
        <f>IF($G478&lt;&gt;"Valid","",VLOOKUP($E478&amp;"|"&amp;$F478,Cluster_Master!$I$3:$H$17,5,FALSE))</f>
        <v/>
      </c>
      <c r="K478" s="7">
        <f>IF($G478&lt;&gt;"Valid","",VLOOKUP($E478&amp;"|"&amp;$F478,Cluster_Master!$I$3:$H$17,6,FALSE))</f>
        <v/>
      </c>
      <c r="L478" s="7">
        <f>IF($G478&lt;&gt;"Valid","",VLOOKUP($E478&amp;"|"&amp;$F478,Cluster_Master!$I$3:$H$17,7,FALSE))</f>
        <v/>
      </c>
      <c r="M478" s="7">
        <f>IF($G478&lt;&gt;"Valid","",VLOOKUP($E478&amp;"|"&amp;$F478,Cluster_Master!$I$3:$H$17,8,FALSE))</f>
        <v/>
      </c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7">
        <f>IF(COUNT(T478:AH478)=0,"",SUM(T478:AH478))</f>
        <v/>
      </c>
      <c r="AJ478" s="10">
        <f>IF(AI478="","",AI478/75)</f>
        <v/>
      </c>
      <c r="AK478" s="10">
        <f>IF(AI478="","",SUMPRODUCT(T478:AH478,KPI_Weights!$B$3:$B$17)/5)</f>
        <v/>
      </c>
      <c r="AL478" s="7">
        <f>IF(COUNT(T478:AH478)=0,"",IF(OR(T478&lt;=1,W478&lt;=1,X478&lt;=1,Y478&lt;=1,AB478&lt;=1),"YES","NO"))</f>
        <v/>
      </c>
      <c r="AM478" s="7">
        <f>IF(AK478="","",IF(AND(AK478="NO",AJ478&gt;=0.85),"YES","NO"))</f>
        <v/>
      </c>
      <c r="AN478" s="7">
        <f>IF(AJ478="","",IF(AJ478&gt;=0.90,"Excellent",IF(AJ478&gt;=0.80,"Good",IF(AJ478&gt;=0.70,"Fair","Poor"))))</f>
        <v/>
      </c>
      <c r="AO478" s="12" t="n"/>
      <c r="AP478" s="12" t="n"/>
      <c r="AQ478" s="12" t="n"/>
      <c r="AR478" s="12" t="n"/>
      <c r="AS478" s="12" t="n"/>
      <c r="AT478" s="12" t="n"/>
      <c r="AU478" s="12" t="n"/>
      <c r="AV478" s="11" t="n"/>
      <c r="AW478" s="12" t="n"/>
      <c r="AX478" s="12" t="n"/>
      <c r="AY478" s="12" t="n"/>
      <c r="AZ478" s="12" t="n"/>
      <c r="BA478" s="12" t="n"/>
      <c r="BB478" s="12" t="n"/>
      <c r="BC478" s="12" t="n"/>
      <c r="BD478" s="12" t="n"/>
      <c r="BE478" s="12" t="n"/>
      <c r="BF478" s="12" t="n"/>
    </row>
    <row r="479">
      <c r="A479" s="7">
        <f>IF(B479="","","INS-"&amp;TEXT(ROW()-3,"000"))</f>
        <v/>
      </c>
      <c r="B479" s="11" t="n"/>
      <c r="C479" s="7">
        <f>IF(B479="","",ISOWEEKNUM(B479))</f>
        <v/>
      </c>
      <c r="D479" s="7">
        <f>IF(B479="","",TEXT(B479,"yyyy-mm"))</f>
        <v/>
      </c>
      <c r="E479" s="12" t="n"/>
      <c r="F479" s="12" t="n"/>
      <c r="G479" s="7">
        <f>IF(OR(E479="",F479=""),"",IF(COUNTIF(Cluster_Master!$I$3:$I$17,E479&amp;"|"&amp;F479)=1,"Valid","Review"))</f>
        <v/>
      </c>
      <c r="H479" s="7">
        <f>IF($G479&lt;&gt;"Valid","",VLOOKUP($E479&amp;"|"&amp;$F479,Cluster_Master!$I$3:$H$17,3,FALSE))</f>
        <v/>
      </c>
      <c r="I479" s="7">
        <f>IF($G479&lt;&gt;"Valid","",VLOOKUP($E479&amp;"|"&amp;$F479,Cluster_Master!$I$3:$H$17,4,FALSE))</f>
        <v/>
      </c>
      <c r="J479" s="7">
        <f>IF($G479&lt;&gt;"Valid","",VLOOKUP($E479&amp;"|"&amp;$F479,Cluster_Master!$I$3:$H$17,5,FALSE))</f>
        <v/>
      </c>
      <c r="K479" s="7">
        <f>IF($G479&lt;&gt;"Valid","",VLOOKUP($E479&amp;"|"&amp;$F479,Cluster_Master!$I$3:$H$17,6,FALSE))</f>
        <v/>
      </c>
      <c r="L479" s="7">
        <f>IF($G479&lt;&gt;"Valid","",VLOOKUP($E479&amp;"|"&amp;$F479,Cluster_Master!$I$3:$H$17,7,FALSE))</f>
        <v/>
      </c>
      <c r="M479" s="7">
        <f>IF($G479&lt;&gt;"Valid","",VLOOKUP($E479&amp;"|"&amp;$F479,Cluster_Master!$I$3:$H$17,8,FALSE))</f>
        <v/>
      </c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7">
        <f>IF(COUNT(T479:AH479)=0,"",SUM(T479:AH479))</f>
        <v/>
      </c>
      <c r="AJ479" s="10">
        <f>IF(AI479="","",AI479/75)</f>
        <v/>
      </c>
      <c r="AK479" s="10">
        <f>IF(AI479="","",SUMPRODUCT(T479:AH479,KPI_Weights!$B$3:$B$17)/5)</f>
        <v/>
      </c>
      <c r="AL479" s="7">
        <f>IF(COUNT(T479:AH479)=0,"",IF(OR(T479&lt;=1,W479&lt;=1,X479&lt;=1,Y479&lt;=1,AB479&lt;=1),"YES","NO"))</f>
        <v/>
      </c>
      <c r="AM479" s="7">
        <f>IF(AK479="","",IF(AND(AK479="NO",AJ479&gt;=0.85),"YES","NO"))</f>
        <v/>
      </c>
      <c r="AN479" s="7">
        <f>IF(AJ479="","",IF(AJ479&gt;=0.90,"Excellent",IF(AJ479&gt;=0.80,"Good",IF(AJ479&gt;=0.70,"Fair","Poor"))))</f>
        <v/>
      </c>
      <c r="AO479" s="12" t="n"/>
      <c r="AP479" s="12" t="n"/>
      <c r="AQ479" s="12" t="n"/>
      <c r="AR479" s="12" t="n"/>
      <c r="AS479" s="12" t="n"/>
      <c r="AT479" s="12" t="n"/>
      <c r="AU479" s="12" t="n"/>
      <c r="AV479" s="11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12" t="n"/>
    </row>
    <row r="480">
      <c r="A480" s="7">
        <f>IF(B480="","","INS-"&amp;TEXT(ROW()-3,"000"))</f>
        <v/>
      </c>
      <c r="B480" s="11" t="n"/>
      <c r="C480" s="7">
        <f>IF(B480="","",ISOWEEKNUM(B480))</f>
        <v/>
      </c>
      <c r="D480" s="7">
        <f>IF(B480="","",TEXT(B480,"yyyy-mm"))</f>
        <v/>
      </c>
      <c r="E480" s="12" t="n"/>
      <c r="F480" s="12" t="n"/>
      <c r="G480" s="7">
        <f>IF(OR(E480="",F480=""),"",IF(COUNTIF(Cluster_Master!$I$3:$I$17,E480&amp;"|"&amp;F480)=1,"Valid","Review"))</f>
        <v/>
      </c>
      <c r="H480" s="7">
        <f>IF($G480&lt;&gt;"Valid","",VLOOKUP($E480&amp;"|"&amp;$F480,Cluster_Master!$I$3:$H$17,3,FALSE))</f>
        <v/>
      </c>
      <c r="I480" s="7">
        <f>IF($G480&lt;&gt;"Valid","",VLOOKUP($E480&amp;"|"&amp;$F480,Cluster_Master!$I$3:$H$17,4,FALSE))</f>
        <v/>
      </c>
      <c r="J480" s="7">
        <f>IF($G480&lt;&gt;"Valid","",VLOOKUP($E480&amp;"|"&amp;$F480,Cluster_Master!$I$3:$H$17,5,FALSE))</f>
        <v/>
      </c>
      <c r="K480" s="7">
        <f>IF($G480&lt;&gt;"Valid","",VLOOKUP($E480&amp;"|"&amp;$F480,Cluster_Master!$I$3:$H$17,6,FALSE))</f>
        <v/>
      </c>
      <c r="L480" s="7">
        <f>IF($G480&lt;&gt;"Valid","",VLOOKUP($E480&amp;"|"&amp;$F480,Cluster_Master!$I$3:$H$17,7,FALSE))</f>
        <v/>
      </c>
      <c r="M480" s="7">
        <f>IF($G480&lt;&gt;"Valid","",VLOOKUP($E480&amp;"|"&amp;$F480,Cluster_Master!$I$3:$H$17,8,FALSE))</f>
        <v/>
      </c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7">
        <f>IF(COUNT(T480:AH480)=0,"",SUM(T480:AH480))</f>
        <v/>
      </c>
      <c r="AJ480" s="10">
        <f>IF(AI480="","",AI480/75)</f>
        <v/>
      </c>
      <c r="AK480" s="10">
        <f>IF(AI480="","",SUMPRODUCT(T480:AH480,KPI_Weights!$B$3:$B$17)/5)</f>
        <v/>
      </c>
      <c r="AL480" s="7">
        <f>IF(COUNT(T480:AH480)=0,"",IF(OR(T480&lt;=1,W480&lt;=1,X480&lt;=1,Y480&lt;=1,AB480&lt;=1),"YES","NO"))</f>
        <v/>
      </c>
      <c r="AM480" s="7">
        <f>IF(AK480="","",IF(AND(AK480="NO",AJ480&gt;=0.85),"YES","NO"))</f>
        <v/>
      </c>
      <c r="AN480" s="7">
        <f>IF(AJ480="","",IF(AJ480&gt;=0.90,"Excellent",IF(AJ480&gt;=0.80,"Good",IF(AJ480&gt;=0.70,"Fair","Poor"))))</f>
        <v/>
      </c>
      <c r="AO480" s="12" t="n"/>
      <c r="AP480" s="12" t="n"/>
      <c r="AQ480" s="12" t="n"/>
      <c r="AR480" s="12" t="n"/>
      <c r="AS480" s="12" t="n"/>
      <c r="AT480" s="12" t="n"/>
      <c r="AU480" s="12" t="n"/>
      <c r="AV480" s="11" t="n"/>
      <c r="AW480" s="12" t="n"/>
      <c r="AX480" s="12" t="n"/>
      <c r="AY480" s="12" t="n"/>
      <c r="AZ480" s="12" t="n"/>
      <c r="BA480" s="12" t="n"/>
      <c r="BB480" s="12" t="n"/>
      <c r="BC480" s="12" t="n"/>
      <c r="BD480" s="12" t="n"/>
      <c r="BE480" s="12" t="n"/>
      <c r="BF480" s="12" t="n"/>
    </row>
    <row r="481">
      <c r="A481" s="7">
        <f>IF(B481="","","INS-"&amp;TEXT(ROW()-3,"000"))</f>
        <v/>
      </c>
      <c r="B481" s="11" t="n"/>
      <c r="C481" s="7">
        <f>IF(B481="","",ISOWEEKNUM(B481))</f>
        <v/>
      </c>
      <c r="D481" s="7">
        <f>IF(B481="","",TEXT(B481,"yyyy-mm"))</f>
        <v/>
      </c>
      <c r="E481" s="12" t="n"/>
      <c r="F481" s="12" t="n"/>
      <c r="G481" s="7">
        <f>IF(OR(E481="",F481=""),"",IF(COUNTIF(Cluster_Master!$I$3:$I$17,E481&amp;"|"&amp;F481)=1,"Valid","Review"))</f>
        <v/>
      </c>
      <c r="H481" s="7">
        <f>IF($G481&lt;&gt;"Valid","",VLOOKUP($E481&amp;"|"&amp;$F481,Cluster_Master!$I$3:$H$17,3,FALSE))</f>
        <v/>
      </c>
      <c r="I481" s="7">
        <f>IF($G481&lt;&gt;"Valid","",VLOOKUP($E481&amp;"|"&amp;$F481,Cluster_Master!$I$3:$H$17,4,FALSE))</f>
        <v/>
      </c>
      <c r="J481" s="7">
        <f>IF($G481&lt;&gt;"Valid","",VLOOKUP($E481&amp;"|"&amp;$F481,Cluster_Master!$I$3:$H$17,5,FALSE))</f>
        <v/>
      </c>
      <c r="K481" s="7">
        <f>IF($G481&lt;&gt;"Valid","",VLOOKUP($E481&amp;"|"&amp;$F481,Cluster_Master!$I$3:$H$17,6,FALSE))</f>
        <v/>
      </c>
      <c r="L481" s="7">
        <f>IF($G481&lt;&gt;"Valid","",VLOOKUP($E481&amp;"|"&amp;$F481,Cluster_Master!$I$3:$H$17,7,FALSE))</f>
        <v/>
      </c>
      <c r="M481" s="7">
        <f>IF($G481&lt;&gt;"Valid","",VLOOKUP($E481&amp;"|"&amp;$F481,Cluster_Master!$I$3:$H$17,8,FALSE))</f>
        <v/>
      </c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7">
        <f>IF(COUNT(T481:AH481)=0,"",SUM(T481:AH481))</f>
        <v/>
      </c>
      <c r="AJ481" s="10">
        <f>IF(AI481="","",AI481/75)</f>
        <v/>
      </c>
      <c r="AK481" s="10">
        <f>IF(AI481="","",SUMPRODUCT(T481:AH481,KPI_Weights!$B$3:$B$17)/5)</f>
        <v/>
      </c>
      <c r="AL481" s="7">
        <f>IF(COUNT(T481:AH481)=0,"",IF(OR(T481&lt;=1,W481&lt;=1,X481&lt;=1,Y481&lt;=1,AB481&lt;=1),"YES","NO"))</f>
        <v/>
      </c>
      <c r="AM481" s="7">
        <f>IF(AK481="","",IF(AND(AK481="NO",AJ481&gt;=0.85),"YES","NO"))</f>
        <v/>
      </c>
      <c r="AN481" s="7">
        <f>IF(AJ481="","",IF(AJ481&gt;=0.90,"Excellent",IF(AJ481&gt;=0.80,"Good",IF(AJ481&gt;=0.70,"Fair","Poor"))))</f>
        <v/>
      </c>
      <c r="AO481" s="12" t="n"/>
      <c r="AP481" s="12" t="n"/>
      <c r="AQ481" s="12" t="n"/>
      <c r="AR481" s="12" t="n"/>
      <c r="AS481" s="12" t="n"/>
      <c r="AT481" s="12" t="n"/>
      <c r="AU481" s="12" t="n"/>
      <c r="AV481" s="11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  <c r="BF481" s="12" t="n"/>
    </row>
    <row r="482">
      <c r="A482" s="7">
        <f>IF(B482="","","INS-"&amp;TEXT(ROW()-3,"000"))</f>
        <v/>
      </c>
      <c r="B482" s="11" t="n"/>
      <c r="C482" s="7">
        <f>IF(B482="","",ISOWEEKNUM(B482))</f>
        <v/>
      </c>
      <c r="D482" s="7">
        <f>IF(B482="","",TEXT(B482,"yyyy-mm"))</f>
        <v/>
      </c>
      <c r="E482" s="12" t="n"/>
      <c r="F482" s="12" t="n"/>
      <c r="G482" s="7">
        <f>IF(OR(E482="",F482=""),"",IF(COUNTIF(Cluster_Master!$I$3:$I$17,E482&amp;"|"&amp;F482)=1,"Valid","Review"))</f>
        <v/>
      </c>
      <c r="H482" s="7">
        <f>IF($G482&lt;&gt;"Valid","",VLOOKUP($E482&amp;"|"&amp;$F482,Cluster_Master!$I$3:$H$17,3,FALSE))</f>
        <v/>
      </c>
      <c r="I482" s="7">
        <f>IF($G482&lt;&gt;"Valid","",VLOOKUP($E482&amp;"|"&amp;$F482,Cluster_Master!$I$3:$H$17,4,FALSE))</f>
        <v/>
      </c>
      <c r="J482" s="7">
        <f>IF($G482&lt;&gt;"Valid","",VLOOKUP($E482&amp;"|"&amp;$F482,Cluster_Master!$I$3:$H$17,5,FALSE))</f>
        <v/>
      </c>
      <c r="K482" s="7">
        <f>IF($G482&lt;&gt;"Valid","",VLOOKUP($E482&amp;"|"&amp;$F482,Cluster_Master!$I$3:$H$17,6,FALSE))</f>
        <v/>
      </c>
      <c r="L482" s="7">
        <f>IF($G482&lt;&gt;"Valid","",VLOOKUP($E482&amp;"|"&amp;$F482,Cluster_Master!$I$3:$H$17,7,FALSE))</f>
        <v/>
      </c>
      <c r="M482" s="7">
        <f>IF($G482&lt;&gt;"Valid","",VLOOKUP($E482&amp;"|"&amp;$F482,Cluster_Master!$I$3:$H$17,8,FALSE))</f>
        <v/>
      </c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7">
        <f>IF(COUNT(T482:AH482)=0,"",SUM(T482:AH482))</f>
        <v/>
      </c>
      <c r="AJ482" s="10">
        <f>IF(AI482="","",AI482/75)</f>
        <v/>
      </c>
      <c r="AK482" s="10">
        <f>IF(AI482="","",SUMPRODUCT(T482:AH482,KPI_Weights!$B$3:$B$17)/5)</f>
        <v/>
      </c>
      <c r="AL482" s="7">
        <f>IF(COUNT(T482:AH482)=0,"",IF(OR(T482&lt;=1,W482&lt;=1,X482&lt;=1,Y482&lt;=1,AB482&lt;=1),"YES","NO"))</f>
        <v/>
      </c>
      <c r="AM482" s="7">
        <f>IF(AK482="","",IF(AND(AK482="NO",AJ482&gt;=0.85),"YES","NO"))</f>
        <v/>
      </c>
      <c r="AN482" s="7">
        <f>IF(AJ482="","",IF(AJ482&gt;=0.90,"Excellent",IF(AJ482&gt;=0.80,"Good",IF(AJ482&gt;=0.70,"Fair","Poor"))))</f>
        <v/>
      </c>
      <c r="AO482" s="12" t="n"/>
      <c r="AP482" s="12" t="n"/>
      <c r="AQ482" s="12" t="n"/>
      <c r="AR482" s="12" t="n"/>
      <c r="AS482" s="12" t="n"/>
      <c r="AT482" s="12" t="n"/>
      <c r="AU482" s="12" t="n"/>
      <c r="AV482" s="11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  <c r="BF482" s="12" t="n"/>
    </row>
    <row r="483">
      <c r="A483" s="7">
        <f>IF(B483="","","INS-"&amp;TEXT(ROW()-3,"000"))</f>
        <v/>
      </c>
      <c r="B483" s="11" t="n"/>
      <c r="C483" s="7">
        <f>IF(B483="","",ISOWEEKNUM(B483))</f>
        <v/>
      </c>
      <c r="D483" s="7">
        <f>IF(B483="","",TEXT(B483,"yyyy-mm"))</f>
        <v/>
      </c>
      <c r="E483" s="12" t="n"/>
      <c r="F483" s="12" t="n"/>
      <c r="G483" s="7">
        <f>IF(OR(E483="",F483=""),"",IF(COUNTIF(Cluster_Master!$I$3:$I$17,E483&amp;"|"&amp;F483)=1,"Valid","Review"))</f>
        <v/>
      </c>
      <c r="H483" s="7">
        <f>IF($G483&lt;&gt;"Valid","",VLOOKUP($E483&amp;"|"&amp;$F483,Cluster_Master!$I$3:$H$17,3,FALSE))</f>
        <v/>
      </c>
      <c r="I483" s="7">
        <f>IF($G483&lt;&gt;"Valid","",VLOOKUP($E483&amp;"|"&amp;$F483,Cluster_Master!$I$3:$H$17,4,FALSE))</f>
        <v/>
      </c>
      <c r="J483" s="7">
        <f>IF($G483&lt;&gt;"Valid","",VLOOKUP($E483&amp;"|"&amp;$F483,Cluster_Master!$I$3:$H$17,5,FALSE))</f>
        <v/>
      </c>
      <c r="K483" s="7">
        <f>IF($G483&lt;&gt;"Valid","",VLOOKUP($E483&amp;"|"&amp;$F483,Cluster_Master!$I$3:$H$17,6,FALSE))</f>
        <v/>
      </c>
      <c r="L483" s="7">
        <f>IF($G483&lt;&gt;"Valid","",VLOOKUP($E483&amp;"|"&amp;$F483,Cluster_Master!$I$3:$H$17,7,FALSE))</f>
        <v/>
      </c>
      <c r="M483" s="7">
        <f>IF($G483&lt;&gt;"Valid","",VLOOKUP($E483&amp;"|"&amp;$F483,Cluster_Master!$I$3:$H$17,8,FALSE))</f>
        <v/>
      </c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7">
        <f>IF(COUNT(T483:AH483)=0,"",SUM(T483:AH483))</f>
        <v/>
      </c>
      <c r="AJ483" s="10">
        <f>IF(AI483="","",AI483/75)</f>
        <v/>
      </c>
      <c r="AK483" s="10">
        <f>IF(AI483="","",SUMPRODUCT(T483:AH483,KPI_Weights!$B$3:$B$17)/5)</f>
        <v/>
      </c>
      <c r="AL483" s="7">
        <f>IF(COUNT(T483:AH483)=0,"",IF(OR(T483&lt;=1,W483&lt;=1,X483&lt;=1,Y483&lt;=1,AB483&lt;=1),"YES","NO"))</f>
        <v/>
      </c>
      <c r="AM483" s="7">
        <f>IF(AK483="","",IF(AND(AK483="NO",AJ483&gt;=0.85),"YES","NO"))</f>
        <v/>
      </c>
      <c r="AN483" s="7">
        <f>IF(AJ483="","",IF(AJ483&gt;=0.90,"Excellent",IF(AJ483&gt;=0.80,"Good",IF(AJ483&gt;=0.70,"Fair","Poor"))))</f>
        <v/>
      </c>
      <c r="AO483" s="12" t="n"/>
      <c r="AP483" s="12" t="n"/>
      <c r="AQ483" s="12" t="n"/>
      <c r="AR483" s="12" t="n"/>
      <c r="AS483" s="12" t="n"/>
      <c r="AT483" s="12" t="n"/>
      <c r="AU483" s="12" t="n"/>
      <c r="AV483" s="11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  <c r="BF483" s="12" t="n"/>
    </row>
    <row r="484">
      <c r="A484" s="7">
        <f>IF(B484="","","INS-"&amp;TEXT(ROW()-3,"000"))</f>
        <v/>
      </c>
      <c r="B484" s="11" t="n"/>
      <c r="C484" s="7">
        <f>IF(B484="","",ISOWEEKNUM(B484))</f>
        <v/>
      </c>
      <c r="D484" s="7">
        <f>IF(B484="","",TEXT(B484,"yyyy-mm"))</f>
        <v/>
      </c>
      <c r="E484" s="12" t="n"/>
      <c r="F484" s="12" t="n"/>
      <c r="G484" s="7">
        <f>IF(OR(E484="",F484=""),"",IF(COUNTIF(Cluster_Master!$I$3:$I$17,E484&amp;"|"&amp;F484)=1,"Valid","Review"))</f>
        <v/>
      </c>
      <c r="H484" s="7">
        <f>IF($G484&lt;&gt;"Valid","",VLOOKUP($E484&amp;"|"&amp;$F484,Cluster_Master!$I$3:$H$17,3,FALSE))</f>
        <v/>
      </c>
      <c r="I484" s="7">
        <f>IF($G484&lt;&gt;"Valid","",VLOOKUP($E484&amp;"|"&amp;$F484,Cluster_Master!$I$3:$H$17,4,FALSE))</f>
        <v/>
      </c>
      <c r="J484" s="7">
        <f>IF($G484&lt;&gt;"Valid","",VLOOKUP($E484&amp;"|"&amp;$F484,Cluster_Master!$I$3:$H$17,5,FALSE))</f>
        <v/>
      </c>
      <c r="K484" s="7">
        <f>IF($G484&lt;&gt;"Valid","",VLOOKUP($E484&amp;"|"&amp;$F484,Cluster_Master!$I$3:$H$17,6,FALSE))</f>
        <v/>
      </c>
      <c r="L484" s="7">
        <f>IF($G484&lt;&gt;"Valid","",VLOOKUP($E484&amp;"|"&amp;$F484,Cluster_Master!$I$3:$H$17,7,FALSE))</f>
        <v/>
      </c>
      <c r="M484" s="7">
        <f>IF($G484&lt;&gt;"Valid","",VLOOKUP($E484&amp;"|"&amp;$F484,Cluster_Master!$I$3:$H$17,8,FALSE))</f>
        <v/>
      </c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7">
        <f>IF(COUNT(T484:AH484)=0,"",SUM(T484:AH484))</f>
        <v/>
      </c>
      <c r="AJ484" s="10">
        <f>IF(AI484="","",AI484/75)</f>
        <v/>
      </c>
      <c r="AK484" s="10">
        <f>IF(AI484="","",SUMPRODUCT(T484:AH484,KPI_Weights!$B$3:$B$17)/5)</f>
        <v/>
      </c>
      <c r="AL484" s="7">
        <f>IF(COUNT(T484:AH484)=0,"",IF(OR(T484&lt;=1,W484&lt;=1,X484&lt;=1,Y484&lt;=1,AB484&lt;=1),"YES","NO"))</f>
        <v/>
      </c>
      <c r="AM484" s="7">
        <f>IF(AK484="","",IF(AND(AK484="NO",AJ484&gt;=0.85),"YES","NO"))</f>
        <v/>
      </c>
      <c r="AN484" s="7">
        <f>IF(AJ484="","",IF(AJ484&gt;=0.90,"Excellent",IF(AJ484&gt;=0.80,"Good",IF(AJ484&gt;=0.70,"Fair","Poor"))))</f>
        <v/>
      </c>
      <c r="AO484" s="12" t="n"/>
      <c r="AP484" s="12" t="n"/>
      <c r="AQ484" s="12" t="n"/>
      <c r="AR484" s="12" t="n"/>
      <c r="AS484" s="12" t="n"/>
      <c r="AT484" s="12" t="n"/>
      <c r="AU484" s="12" t="n"/>
      <c r="AV484" s="11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  <c r="BF484" s="12" t="n"/>
    </row>
    <row r="485">
      <c r="A485" s="7">
        <f>IF(B485="","","INS-"&amp;TEXT(ROW()-3,"000"))</f>
        <v/>
      </c>
      <c r="B485" s="11" t="n"/>
      <c r="C485" s="7">
        <f>IF(B485="","",ISOWEEKNUM(B485))</f>
        <v/>
      </c>
      <c r="D485" s="7">
        <f>IF(B485="","",TEXT(B485,"yyyy-mm"))</f>
        <v/>
      </c>
      <c r="E485" s="12" t="n"/>
      <c r="F485" s="12" t="n"/>
      <c r="G485" s="7">
        <f>IF(OR(E485="",F485=""),"",IF(COUNTIF(Cluster_Master!$I$3:$I$17,E485&amp;"|"&amp;F485)=1,"Valid","Review"))</f>
        <v/>
      </c>
      <c r="H485" s="7">
        <f>IF($G485&lt;&gt;"Valid","",VLOOKUP($E485&amp;"|"&amp;$F485,Cluster_Master!$I$3:$H$17,3,FALSE))</f>
        <v/>
      </c>
      <c r="I485" s="7">
        <f>IF($G485&lt;&gt;"Valid","",VLOOKUP($E485&amp;"|"&amp;$F485,Cluster_Master!$I$3:$H$17,4,FALSE))</f>
        <v/>
      </c>
      <c r="J485" s="7">
        <f>IF($G485&lt;&gt;"Valid","",VLOOKUP($E485&amp;"|"&amp;$F485,Cluster_Master!$I$3:$H$17,5,FALSE))</f>
        <v/>
      </c>
      <c r="K485" s="7">
        <f>IF($G485&lt;&gt;"Valid","",VLOOKUP($E485&amp;"|"&amp;$F485,Cluster_Master!$I$3:$H$17,6,FALSE))</f>
        <v/>
      </c>
      <c r="L485" s="7">
        <f>IF($G485&lt;&gt;"Valid","",VLOOKUP($E485&amp;"|"&amp;$F485,Cluster_Master!$I$3:$H$17,7,FALSE))</f>
        <v/>
      </c>
      <c r="M485" s="7">
        <f>IF($G485&lt;&gt;"Valid","",VLOOKUP($E485&amp;"|"&amp;$F485,Cluster_Master!$I$3:$H$17,8,FALSE))</f>
        <v/>
      </c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7">
        <f>IF(COUNT(T485:AH485)=0,"",SUM(T485:AH485))</f>
        <v/>
      </c>
      <c r="AJ485" s="10">
        <f>IF(AI485="","",AI485/75)</f>
        <v/>
      </c>
      <c r="AK485" s="10">
        <f>IF(AI485="","",SUMPRODUCT(T485:AH485,KPI_Weights!$B$3:$B$17)/5)</f>
        <v/>
      </c>
      <c r="AL485" s="7">
        <f>IF(COUNT(T485:AH485)=0,"",IF(OR(T485&lt;=1,W485&lt;=1,X485&lt;=1,Y485&lt;=1,AB485&lt;=1),"YES","NO"))</f>
        <v/>
      </c>
      <c r="AM485" s="7">
        <f>IF(AK485="","",IF(AND(AK485="NO",AJ485&gt;=0.85),"YES","NO"))</f>
        <v/>
      </c>
      <c r="AN485" s="7">
        <f>IF(AJ485="","",IF(AJ485&gt;=0.90,"Excellent",IF(AJ485&gt;=0.80,"Good",IF(AJ485&gt;=0.70,"Fair","Poor"))))</f>
        <v/>
      </c>
      <c r="AO485" s="12" t="n"/>
      <c r="AP485" s="12" t="n"/>
      <c r="AQ485" s="12" t="n"/>
      <c r="AR485" s="12" t="n"/>
      <c r="AS485" s="12" t="n"/>
      <c r="AT485" s="12" t="n"/>
      <c r="AU485" s="12" t="n"/>
      <c r="AV485" s="11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  <c r="BF485" s="12" t="n"/>
    </row>
    <row r="486">
      <c r="A486" s="7">
        <f>IF(B486="","","INS-"&amp;TEXT(ROW()-3,"000"))</f>
        <v/>
      </c>
      <c r="B486" s="11" t="n"/>
      <c r="C486" s="7">
        <f>IF(B486="","",ISOWEEKNUM(B486))</f>
        <v/>
      </c>
      <c r="D486" s="7">
        <f>IF(B486="","",TEXT(B486,"yyyy-mm"))</f>
        <v/>
      </c>
      <c r="E486" s="12" t="n"/>
      <c r="F486" s="12" t="n"/>
      <c r="G486" s="7">
        <f>IF(OR(E486="",F486=""),"",IF(COUNTIF(Cluster_Master!$I$3:$I$17,E486&amp;"|"&amp;F486)=1,"Valid","Review"))</f>
        <v/>
      </c>
      <c r="H486" s="7">
        <f>IF($G486&lt;&gt;"Valid","",VLOOKUP($E486&amp;"|"&amp;$F486,Cluster_Master!$I$3:$H$17,3,FALSE))</f>
        <v/>
      </c>
      <c r="I486" s="7">
        <f>IF($G486&lt;&gt;"Valid","",VLOOKUP($E486&amp;"|"&amp;$F486,Cluster_Master!$I$3:$H$17,4,FALSE))</f>
        <v/>
      </c>
      <c r="J486" s="7">
        <f>IF($G486&lt;&gt;"Valid","",VLOOKUP($E486&amp;"|"&amp;$F486,Cluster_Master!$I$3:$H$17,5,FALSE))</f>
        <v/>
      </c>
      <c r="K486" s="7">
        <f>IF($G486&lt;&gt;"Valid","",VLOOKUP($E486&amp;"|"&amp;$F486,Cluster_Master!$I$3:$H$17,6,FALSE))</f>
        <v/>
      </c>
      <c r="L486" s="7">
        <f>IF($G486&lt;&gt;"Valid","",VLOOKUP($E486&amp;"|"&amp;$F486,Cluster_Master!$I$3:$H$17,7,FALSE))</f>
        <v/>
      </c>
      <c r="M486" s="7">
        <f>IF($G486&lt;&gt;"Valid","",VLOOKUP($E486&amp;"|"&amp;$F486,Cluster_Master!$I$3:$H$17,8,FALSE))</f>
        <v/>
      </c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7">
        <f>IF(COUNT(T486:AH486)=0,"",SUM(T486:AH486))</f>
        <v/>
      </c>
      <c r="AJ486" s="10">
        <f>IF(AI486="","",AI486/75)</f>
        <v/>
      </c>
      <c r="AK486" s="10">
        <f>IF(AI486="","",SUMPRODUCT(T486:AH486,KPI_Weights!$B$3:$B$17)/5)</f>
        <v/>
      </c>
      <c r="AL486" s="7">
        <f>IF(COUNT(T486:AH486)=0,"",IF(OR(T486&lt;=1,W486&lt;=1,X486&lt;=1,Y486&lt;=1,AB486&lt;=1),"YES","NO"))</f>
        <v/>
      </c>
      <c r="AM486" s="7">
        <f>IF(AK486="","",IF(AND(AK486="NO",AJ486&gt;=0.85),"YES","NO"))</f>
        <v/>
      </c>
      <c r="AN486" s="7">
        <f>IF(AJ486="","",IF(AJ486&gt;=0.90,"Excellent",IF(AJ486&gt;=0.80,"Good",IF(AJ486&gt;=0.70,"Fair","Poor"))))</f>
        <v/>
      </c>
      <c r="AO486" s="12" t="n"/>
      <c r="AP486" s="12" t="n"/>
      <c r="AQ486" s="12" t="n"/>
      <c r="AR486" s="12" t="n"/>
      <c r="AS486" s="12" t="n"/>
      <c r="AT486" s="12" t="n"/>
      <c r="AU486" s="12" t="n"/>
      <c r="AV486" s="11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  <c r="BF486" s="12" t="n"/>
    </row>
    <row r="487">
      <c r="A487" s="7">
        <f>IF(B487="","","INS-"&amp;TEXT(ROW()-3,"000"))</f>
        <v/>
      </c>
      <c r="B487" s="11" t="n"/>
      <c r="C487" s="7">
        <f>IF(B487="","",ISOWEEKNUM(B487))</f>
        <v/>
      </c>
      <c r="D487" s="7">
        <f>IF(B487="","",TEXT(B487,"yyyy-mm"))</f>
        <v/>
      </c>
      <c r="E487" s="12" t="n"/>
      <c r="F487" s="12" t="n"/>
      <c r="G487" s="7">
        <f>IF(OR(E487="",F487=""),"",IF(COUNTIF(Cluster_Master!$I$3:$I$17,E487&amp;"|"&amp;F487)=1,"Valid","Review"))</f>
        <v/>
      </c>
      <c r="H487" s="7">
        <f>IF($G487&lt;&gt;"Valid","",VLOOKUP($E487&amp;"|"&amp;$F487,Cluster_Master!$I$3:$H$17,3,FALSE))</f>
        <v/>
      </c>
      <c r="I487" s="7">
        <f>IF($G487&lt;&gt;"Valid","",VLOOKUP($E487&amp;"|"&amp;$F487,Cluster_Master!$I$3:$H$17,4,FALSE))</f>
        <v/>
      </c>
      <c r="J487" s="7">
        <f>IF($G487&lt;&gt;"Valid","",VLOOKUP($E487&amp;"|"&amp;$F487,Cluster_Master!$I$3:$H$17,5,FALSE))</f>
        <v/>
      </c>
      <c r="K487" s="7">
        <f>IF($G487&lt;&gt;"Valid","",VLOOKUP($E487&amp;"|"&amp;$F487,Cluster_Master!$I$3:$H$17,6,FALSE))</f>
        <v/>
      </c>
      <c r="L487" s="7">
        <f>IF($G487&lt;&gt;"Valid","",VLOOKUP($E487&amp;"|"&amp;$F487,Cluster_Master!$I$3:$H$17,7,FALSE))</f>
        <v/>
      </c>
      <c r="M487" s="7">
        <f>IF($G487&lt;&gt;"Valid","",VLOOKUP($E487&amp;"|"&amp;$F487,Cluster_Master!$I$3:$H$17,8,FALSE))</f>
        <v/>
      </c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7">
        <f>IF(COUNT(T487:AH487)=0,"",SUM(T487:AH487))</f>
        <v/>
      </c>
      <c r="AJ487" s="10">
        <f>IF(AI487="","",AI487/75)</f>
        <v/>
      </c>
      <c r="AK487" s="10">
        <f>IF(AI487="","",SUMPRODUCT(T487:AH487,KPI_Weights!$B$3:$B$17)/5)</f>
        <v/>
      </c>
      <c r="AL487" s="7">
        <f>IF(COUNT(T487:AH487)=0,"",IF(OR(T487&lt;=1,W487&lt;=1,X487&lt;=1,Y487&lt;=1,AB487&lt;=1),"YES","NO"))</f>
        <v/>
      </c>
      <c r="AM487" s="7">
        <f>IF(AK487="","",IF(AND(AK487="NO",AJ487&gt;=0.85),"YES","NO"))</f>
        <v/>
      </c>
      <c r="AN487" s="7">
        <f>IF(AJ487="","",IF(AJ487&gt;=0.90,"Excellent",IF(AJ487&gt;=0.80,"Good",IF(AJ487&gt;=0.70,"Fair","Poor"))))</f>
        <v/>
      </c>
      <c r="AO487" s="12" t="n"/>
      <c r="AP487" s="12" t="n"/>
      <c r="AQ487" s="12" t="n"/>
      <c r="AR487" s="12" t="n"/>
      <c r="AS487" s="12" t="n"/>
      <c r="AT487" s="12" t="n"/>
      <c r="AU487" s="12" t="n"/>
      <c r="AV487" s="11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  <c r="BF487" s="12" t="n"/>
    </row>
    <row r="488">
      <c r="A488" s="7">
        <f>IF(B488="","","INS-"&amp;TEXT(ROW()-3,"000"))</f>
        <v/>
      </c>
      <c r="B488" s="11" t="n"/>
      <c r="C488" s="7">
        <f>IF(B488="","",ISOWEEKNUM(B488))</f>
        <v/>
      </c>
      <c r="D488" s="7">
        <f>IF(B488="","",TEXT(B488,"yyyy-mm"))</f>
        <v/>
      </c>
      <c r="E488" s="12" t="n"/>
      <c r="F488" s="12" t="n"/>
      <c r="G488" s="7">
        <f>IF(OR(E488="",F488=""),"",IF(COUNTIF(Cluster_Master!$I$3:$I$17,E488&amp;"|"&amp;F488)=1,"Valid","Review"))</f>
        <v/>
      </c>
      <c r="H488" s="7">
        <f>IF($G488&lt;&gt;"Valid","",VLOOKUP($E488&amp;"|"&amp;$F488,Cluster_Master!$I$3:$H$17,3,FALSE))</f>
        <v/>
      </c>
      <c r="I488" s="7">
        <f>IF($G488&lt;&gt;"Valid","",VLOOKUP($E488&amp;"|"&amp;$F488,Cluster_Master!$I$3:$H$17,4,FALSE))</f>
        <v/>
      </c>
      <c r="J488" s="7">
        <f>IF($G488&lt;&gt;"Valid","",VLOOKUP($E488&amp;"|"&amp;$F488,Cluster_Master!$I$3:$H$17,5,FALSE))</f>
        <v/>
      </c>
      <c r="K488" s="7">
        <f>IF($G488&lt;&gt;"Valid","",VLOOKUP($E488&amp;"|"&amp;$F488,Cluster_Master!$I$3:$H$17,6,FALSE))</f>
        <v/>
      </c>
      <c r="L488" s="7">
        <f>IF($G488&lt;&gt;"Valid","",VLOOKUP($E488&amp;"|"&amp;$F488,Cluster_Master!$I$3:$H$17,7,FALSE))</f>
        <v/>
      </c>
      <c r="M488" s="7">
        <f>IF($G488&lt;&gt;"Valid","",VLOOKUP($E488&amp;"|"&amp;$F488,Cluster_Master!$I$3:$H$17,8,FALSE))</f>
        <v/>
      </c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7">
        <f>IF(COUNT(T488:AH488)=0,"",SUM(T488:AH488))</f>
        <v/>
      </c>
      <c r="AJ488" s="10">
        <f>IF(AI488="","",AI488/75)</f>
        <v/>
      </c>
      <c r="AK488" s="10">
        <f>IF(AI488="","",SUMPRODUCT(T488:AH488,KPI_Weights!$B$3:$B$17)/5)</f>
        <v/>
      </c>
      <c r="AL488" s="7">
        <f>IF(COUNT(T488:AH488)=0,"",IF(OR(T488&lt;=1,W488&lt;=1,X488&lt;=1,Y488&lt;=1,AB488&lt;=1),"YES","NO"))</f>
        <v/>
      </c>
      <c r="AM488" s="7">
        <f>IF(AK488="","",IF(AND(AK488="NO",AJ488&gt;=0.85),"YES","NO"))</f>
        <v/>
      </c>
      <c r="AN488" s="7">
        <f>IF(AJ488="","",IF(AJ488&gt;=0.90,"Excellent",IF(AJ488&gt;=0.80,"Good",IF(AJ488&gt;=0.70,"Fair","Poor"))))</f>
        <v/>
      </c>
      <c r="AO488" s="12" t="n"/>
      <c r="AP488" s="12" t="n"/>
      <c r="AQ488" s="12" t="n"/>
      <c r="AR488" s="12" t="n"/>
      <c r="AS488" s="12" t="n"/>
      <c r="AT488" s="12" t="n"/>
      <c r="AU488" s="12" t="n"/>
      <c r="AV488" s="11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  <c r="BF488" s="12" t="n"/>
    </row>
    <row r="489">
      <c r="A489" s="7">
        <f>IF(B489="","","INS-"&amp;TEXT(ROW()-3,"000"))</f>
        <v/>
      </c>
      <c r="B489" s="11" t="n"/>
      <c r="C489" s="7">
        <f>IF(B489="","",ISOWEEKNUM(B489))</f>
        <v/>
      </c>
      <c r="D489" s="7">
        <f>IF(B489="","",TEXT(B489,"yyyy-mm"))</f>
        <v/>
      </c>
      <c r="E489" s="12" t="n"/>
      <c r="F489" s="12" t="n"/>
      <c r="G489" s="7">
        <f>IF(OR(E489="",F489=""),"",IF(COUNTIF(Cluster_Master!$I$3:$I$17,E489&amp;"|"&amp;F489)=1,"Valid","Review"))</f>
        <v/>
      </c>
      <c r="H489" s="7">
        <f>IF($G489&lt;&gt;"Valid","",VLOOKUP($E489&amp;"|"&amp;$F489,Cluster_Master!$I$3:$H$17,3,FALSE))</f>
        <v/>
      </c>
      <c r="I489" s="7">
        <f>IF($G489&lt;&gt;"Valid","",VLOOKUP($E489&amp;"|"&amp;$F489,Cluster_Master!$I$3:$H$17,4,FALSE))</f>
        <v/>
      </c>
      <c r="J489" s="7">
        <f>IF($G489&lt;&gt;"Valid","",VLOOKUP($E489&amp;"|"&amp;$F489,Cluster_Master!$I$3:$H$17,5,FALSE))</f>
        <v/>
      </c>
      <c r="K489" s="7">
        <f>IF($G489&lt;&gt;"Valid","",VLOOKUP($E489&amp;"|"&amp;$F489,Cluster_Master!$I$3:$H$17,6,FALSE))</f>
        <v/>
      </c>
      <c r="L489" s="7">
        <f>IF($G489&lt;&gt;"Valid","",VLOOKUP($E489&amp;"|"&amp;$F489,Cluster_Master!$I$3:$H$17,7,FALSE))</f>
        <v/>
      </c>
      <c r="M489" s="7">
        <f>IF($G489&lt;&gt;"Valid","",VLOOKUP($E489&amp;"|"&amp;$F489,Cluster_Master!$I$3:$H$17,8,FALSE))</f>
        <v/>
      </c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7">
        <f>IF(COUNT(T489:AH489)=0,"",SUM(T489:AH489))</f>
        <v/>
      </c>
      <c r="AJ489" s="10">
        <f>IF(AI489="","",AI489/75)</f>
        <v/>
      </c>
      <c r="AK489" s="10">
        <f>IF(AI489="","",SUMPRODUCT(T489:AH489,KPI_Weights!$B$3:$B$17)/5)</f>
        <v/>
      </c>
      <c r="AL489" s="7">
        <f>IF(COUNT(T489:AH489)=0,"",IF(OR(T489&lt;=1,W489&lt;=1,X489&lt;=1,Y489&lt;=1,AB489&lt;=1),"YES","NO"))</f>
        <v/>
      </c>
      <c r="AM489" s="7">
        <f>IF(AK489="","",IF(AND(AK489="NO",AJ489&gt;=0.85),"YES","NO"))</f>
        <v/>
      </c>
      <c r="AN489" s="7">
        <f>IF(AJ489="","",IF(AJ489&gt;=0.90,"Excellent",IF(AJ489&gt;=0.80,"Good",IF(AJ489&gt;=0.70,"Fair","Poor"))))</f>
        <v/>
      </c>
      <c r="AO489" s="12" t="n"/>
      <c r="AP489" s="12" t="n"/>
      <c r="AQ489" s="12" t="n"/>
      <c r="AR489" s="12" t="n"/>
      <c r="AS489" s="12" t="n"/>
      <c r="AT489" s="12" t="n"/>
      <c r="AU489" s="12" t="n"/>
      <c r="AV489" s="11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  <c r="BF489" s="12" t="n"/>
    </row>
    <row r="490">
      <c r="A490" s="7">
        <f>IF(B490="","","INS-"&amp;TEXT(ROW()-3,"000"))</f>
        <v/>
      </c>
      <c r="B490" s="11" t="n"/>
      <c r="C490" s="7">
        <f>IF(B490="","",ISOWEEKNUM(B490))</f>
        <v/>
      </c>
      <c r="D490" s="7">
        <f>IF(B490="","",TEXT(B490,"yyyy-mm"))</f>
        <v/>
      </c>
      <c r="E490" s="12" t="n"/>
      <c r="F490" s="12" t="n"/>
      <c r="G490" s="7">
        <f>IF(OR(E490="",F490=""),"",IF(COUNTIF(Cluster_Master!$I$3:$I$17,E490&amp;"|"&amp;F490)=1,"Valid","Review"))</f>
        <v/>
      </c>
      <c r="H490" s="7">
        <f>IF($G490&lt;&gt;"Valid","",VLOOKUP($E490&amp;"|"&amp;$F490,Cluster_Master!$I$3:$H$17,3,FALSE))</f>
        <v/>
      </c>
      <c r="I490" s="7">
        <f>IF($G490&lt;&gt;"Valid","",VLOOKUP($E490&amp;"|"&amp;$F490,Cluster_Master!$I$3:$H$17,4,FALSE))</f>
        <v/>
      </c>
      <c r="J490" s="7">
        <f>IF($G490&lt;&gt;"Valid","",VLOOKUP($E490&amp;"|"&amp;$F490,Cluster_Master!$I$3:$H$17,5,FALSE))</f>
        <v/>
      </c>
      <c r="K490" s="7">
        <f>IF($G490&lt;&gt;"Valid","",VLOOKUP($E490&amp;"|"&amp;$F490,Cluster_Master!$I$3:$H$17,6,FALSE))</f>
        <v/>
      </c>
      <c r="L490" s="7">
        <f>IF($G490&lt;&gt;"Valid","",VLOOKUP($E490&amp;"|"&amp;$F490,Cluster_Master!$I$3:$H$17,7,FALSE))</f>
        <v/>
      </c>
      <c r="M490" s="7">
        <f>IF($G490&lt;&gt;"Valid","",VLOOKUP($E490&amp;"|"&amp;$F490,Cluster_Master!$I$3:$H$17,8,FALSE))</f>
        <v/>
      </c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7">
        <f>IF(COUNT(T490:AH490)=0,"",SUM(T490:AH490))</f>
        <v/>
      </c>
      <c r="AJ490" s="10">
        <f>IF(AI490="","",AI490/75)</f>
        <v/>
      </c>
      <c r="AK490" s="10">
        <f>IF(AI490="","",SUMPRODUCT(T490:AH490,KPI_Weights!$B$3:$B$17)/5)</f>
        <v/>
      </c>
      <c r="AL490" s="7">
        <f>IF(COUNT(T490:AH490)=0,"",IF(OR(T490&lt;=1,W490&lt;=1,X490&lt;=1,Y490&lt;=1,AB490&lt;=1),"YES","NO"))</f>
        <v/>
      </c>
      <c r="AM490" s="7">
        <f>IF(AK490="","",IF(AND(AK490="NO",AJ490&gt;=0.85),"YES","NO"))</f>
        <v/>
      </c>
      <c r="AN490" s="7">
        <f>IF(AJ490="","",IF(AJ490&gt;=0.90,"Excellent",IF(AJ490&gt;=0.80,"Good",IF(AJ490&gt;=0.70,"Fair","Poor"))))</f>
        <v/>
      </c>
      <c r="AO490" s="12" t="n"/>
      <c r="AP490" s="12" t="n"/>
      <c r="AQ490" s="12" t="n"/>
      <c r="AR490" s="12" t="n"/>
      <c r="AS490" s="12" t="n"/>
      <c r="AT490" s="12" t="n"/>
      <c r="AU490" s="12" t="n"/>
      <c r="AV490" s="11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  <c r="BF490" s="12" t="n"/>
    </row>
    <row r="491">
      <c r="A491" s="7">
        <f>IF(B491="","","INS-"&amp;TEXT(ROW()-3,"000"))</f>
        <v/>
      </c>
      <c r="B491" s="11" t="n"/>
      <c r="C491" s="7">
        <f>IF(B491="","",ISOWEEKNUM(B491))</f>
        <v/>
      </c>
      <c r="D491" s="7">
        <f>IF(B491="","",TEXT(B491,"yyyy-mm"))</f>
        <v/>
      </c>
      <c r="E491" s="12" t="n"/>
      <c r="F491" s="12" t="n"/>
      <c r="G491" s="7">
        <f>IF(OR(E491="",F491=""),"",IF(COUNTIF(Cluster_Master!$I$3:$I$17,E491&amp;"|"&amp;F491)=1,"Valid","Review"))</f>
        <v/>
      </c>
      <c r="H491" s="7">
        <f>IF($G491&lt;&gt;"Valid","",VLOOKUP($E491&amp;"|"&amp;$F491,Cluster_Master!$I$3:$H$17,3,FALSE))</f>
        <v/>
      </c>
      <c r="I491" s="7">
        <f>IF($G491&lt;&gt;"Valid","",VLOOKUP($E491&amp;"|"&amp;$F491,Cluster_Master!$I$3:$H$17,4,FALSE))</f>
        <v/>
      </c>
      <c r="J491" s="7">
        <f>IF($G491&lt;&gt;"Valid","",VLOOKUP($E491&amp;"|"&amp;$F491,Cluster_Master!$I$3:$H$17,5,FALSE))</f>
        <v/>
      </c>
      <c r="K491" s="7">
        <f>IF($G491&lt;&gt;"Valid","",VLOOKUP($E491&amp;"|"&amp;$F491,Cluster_Master!$I$3:$H$17,6,FALSE))</f>
        <v/>
      </c>
      <c r="L491" s="7">
        <f>IF($G491&lt;&gt;"Valid","",VLOOKUP($E491&amp;"|"&amp;$F491,Cluster_Master!$I$3:$H$17,7,FALSE))</f>
        <v/>
      </c>
      <c r="M491" s="7">
        <f>IF($G491&lt;&gt;"Valid","",VLOOKUP($E491&amp;"|"&amp;$F491,Cluster_Master!$I$3:$H$17,8,FALSE))</f>
        <v/>
      </c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7">
        <f>IF(COUNT(T491:AH491)=0,"",SUM(T491:AH491))</f>
        <v/>
      </c>
      <c r="AJ491" s="10">
        <f>IF(AI491="","",AI491/75)</f>
        <v/>
      </c>
      <c r="AK491" s="10">
        <f>IF(AI491="","",SUMPRODUCT(T491:AH491,KPI_Weights!$B$3:$B$17)/5)</f>
        <v/>
      </c>
      <c r="AL491" s="7">
        <f>IF(COUNT(T491:AH491)=0,"",IF(OR(T491&lt;=1,W491&lt;=1,X491&lt;=1,Y491&lt;=1,AB491&lt;=1),"YES","NO"))</f>
        <v/>
      </c>
      <c r="AM491" s="7">
        <f>IF(AK491="","",IF(AND(AK491="NO",AJ491&gt;=0.85),"YES","NO"))</f>
        <v/>
      </c>
      <c r="AN491" s="7">
        <f>IF(AJ491="","",IF(AJ491&gt;=0.90,"Excellent",IF(AJ491&gt;=0.80,"Good",IF(AJ491&gt;=0.70,"Fair","Poor"))))</f>
        <v/>
      </c>
      <c r="AO491" s="12" t="n"/>
      <c r="AP491" s="12" t="n"/>
      <c r="AQ491" s="12" t="n"/>
      <c r="AR491" s="12" t="n"/>
      <c r="AS491" s="12" t="n"/>
      <c r="AT491" s="12" t="n"/>
      <c r="AU491" s="12" t="n"/>
      <c r="AV491" s="11" t="n"/>
      <c r="AW491" s="12" t="n"/>
      <c r="AX491" s="12" t="n"/>
      <c r="AY491" s="12" t="n"/>
      <c r="AZ491" s="12" t="n"/>
      <c r="BA491" s="12" t="n"/>
      <c r="BB491" s="12" t="n"/>
      <c r="BC491" s="12" t="n"/>
      <c r="BD491" s="12" t="n"/>
      <c r="BE491" s="12" t="n"/>
      <c r="BF491" s="12" t="n"/>
    </row>
    <row r="492">
      <c r="A492" s="7">
        <f>IF(B492="","","INS-"&amp;TEXT(ROW()-3,"000"))</f>
        <v/>
      </c>
      <c r="B492" s="11" t="n"/>
      <c r="C492" s="7">
        <f>IF(B492="","",ISOWEEKNUM(B492))</f>
        <v/>
      </c>
      <c r="D492" s="7">
        <f>IF(B492="","",TEXT(B492,"yyyy-mm"))</f>
        <v/>
      </c>
      <c r="E492" s="12" t="n"/>
      <c r="F492" s="12" t="n"/>
      <c r="G492" s="7">
        <f>IF(OR(E492="",F492=""),"",IF(COUNTIF(Cluster_Master!$I$3:$I$17,E492&amp;"|"&amp;F492)=1,"Valid","Review"))</f>
        <v/>
      </c>
      <c r="H492" s="7">
        <f>IF($G492&lt;&gt;"Valid","",VLOOKUP($E492&amp;"|"&amp;$F492,Cluster_Master!$I$3:$H$17,3,FALSE))</f>
        <v/>
      </c>
      <c r="I492" s="7">
        <f>IF($G492&lt;&gt;"Valid","",VLOOKUP($E492&amp;"|"&amp;$F492,Cluster_Master!$I$3:$H$17,4,FALSE))</f>
        <v/>
      </c>
      <c r="J492" s="7">
        <f>IF($G492&lt;&gt;"Valid","",VLOOKUP($E492&amp;"|"&amp;$F492,Cluster_Master!$I$3:$H$17,5,FALSE))</f>
        <v/>
      </c>
      <c r="K492" s="7">
        <f>IF($G492&lt;&gt;"Valid","",VLOOKUP($E492&amp;"|"&amp;$F492,Cluster_Master!$I$3:$H$17,6,FALSE))</f>
        <v/>
      </c>
      <c r="L492" s="7">
        <f>IF($G492&lt;&gt;"Valid","",VLOOKUP($E492&amp;"|"&amp;$F492,Cluster_Master!$I$3:$H$17,7,FALSE))</f>
        <v/>
      </c>
      <c r="M492" s="7">
        <f>IF($G492&lt;&gt;"Valid","",VLOOKUP($E492&amp;"|"&amp;$F492,Cluster_Master!$I$3:$H$17,8,FALSE))</f>
        <v/>
      </c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7">
        <f>IF(COUNT(T492:AH492)=0,"",SUM(T492:AH492))</f>
        <v/>
      </c>
      <c r="AJ492" s="10">
        <f>IF(AI492="","",AI492/75)</f>
        <v/>
      </c>
      <c r="AK492" s="10">
        <f>IF(AI492="","",SUMPRODUCT(T492:AH492,KPI_Weights!$B$3:$B$17)/5)</f>
        <v/>
      </c>
      <c r="AL492" s="7">
        <f>IF(COUNT(T492:AH492)=0,"",IF(OR(T492&lt;=1,W492&lt;=1,X492&lt;=1,Y492&lt;=1,AB492&lt;=1),"YES","NO"))</f>
        <v/>
      </c>
      <c r="AM492" s="7">
        <f>IF(AK492="","",IF(AND(AK492="NO",AJ492&gt;=0.85),"YES","NO"))</f>
        <v/>
      </c>
      <c r="AN492" s="7">
        <f>IF(AJ492="","",IF(AJ492&gt;=0.90,"Excellent",IF(AJ492&gt;=0.80,"Good",IF(AJ492&gt;=0.70,"Fair","Poor"))))</f>
        <v/>
      </c>
      <c r="AO492" s="12" t="n"/>
      <c r="AP492" s="12" t="n"/>
      <c r="AQ492" s="12" t="n"/>
      <c r="AR492" s="12" t="n"/>
      <c r="AS492" s="12" t="n"/>
      <c r="AT492" s="12" t="n"/>
      <c r="AU492" s="12" t="n"/>
      <c r="AV492" s="11" t="n"/>
      <c r="AW492" s="12" t="n"/>
      <c r="AX492" s="12" t="n"/>
      <c r="AY492" s="12" t="n"/>
      <c r="AZ492" s="12" t="n"/>
      <c r="BA492" s="12" t="n"/>
      <c r="BB492" s="12" t="n"/>
      <c r="BC492" s="12" t="n"/>
      <c r="BD492" s="12" t="n"/>
      <c r="BE492" s="12" t="n"/>
      <c r="BF492" s="12" t="n"/>
    </row>
    <row r="493">
      <c r="A493" s="7">
        <f>IF(B493="","","INS-"&amp;TEXT(ROW()-3,"000"))</f>
        <v/>
      </c>
      <c r="B493" s="11" t="n"/>
      <c r="C493" s="7">
        <f>IF(B493="","",ISOWEEKNUM(B493))</f>
        <v/>
      </c>
      <c r="D493" s="7">
        <f>IF(B493="","",TEXT(B493,"yyyy-mm"))</f>
        <v/>
      </c>
      <c r="E493" s="12" t="n"/>
      <c r="F493" s="12" t="n"/>
      <c r="G493" s="7">
        <f>IF(OR(E493="",F493=""),"",IF(COUNTIF(Cluster_Master!$I$3:$I$17,E493&amp;"|"&amp;F493)=1,"Valid","Review"))</f>
        <v/>
      </c>
      <c r="H493" s="7">
        <f>IF($G493&lt;&gt;"Valid","",VLOOKUP($E493&amp;"|"&amp;$F493,Cluster_Master!$I$3:$H$17,3,FALSE))</f>
        <v/>
      </c>
      <c r="I493" s="7">
        <f>IF($G493&lt;&gt;"Valid","",VLOOKUP($E493&amp;"|"&amp;$F493,Cluster_Master!$I$3:$H$17,4,FALSE))</f>
        <v/>
      </c>
      <c r="J493" s="7">
        <f>IF($G493&lt;&gt;"Valid","",VLOOKUP($E493&amp;"|"&amp;$F493,Cluster_Master!$I$3:$H$17,5,FALSE))</f>
        <v/>
      </c>
      <c r="K493" s="7">
        <f>IF($G493&lt;&gt;"Valid","",VLOOKUP($E493&amp;"|"&amp;$F493,Cluster_Master!$I$3:$H$17,6,FALSE))</f>
        <v/>
      </c>
      <c r="L493" s="7">
        <f>IF($G493&lt;&gt;"Valid","",VLOOKUP($E493&amp;"|"&amp;$F493,Cluster_Master!$I$3:$H$17,7,FALSE))</f>
        <v/>
      </c>
      <c r="M493" s="7">
        <f>IF($G493&lt;&gt;"Valid","",VLOOKUP($E493&amp;"|"&amp;$F493,Cluster_Master!$I$3:$H$17,8,FALSE))</f>
        <v/>
      </c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7">
        <f>IF(COUNT(T493:AH493)=0,"",SUM(T493:AH493))</f>
        <v/>
      </c>
      <c r="AJ493" s="10">
        <f>IF(AI493="","",AI493/75)</f>
        <v/>
      </c>
      <c r="AK493" s="10">
        <f>IF(AI493="","",SUMPRODUCT(T493:AH493,KPI_Weights!$B$3:$B$17)/5)</f>
        <v/>
      </c>
      <c r="AL493" s="7">
        <f>IF(COUNT(T493:AH493)=0,"",IF(OR(T493&lt;=1,W493&lt;=1,X493&lt;=1,Y493&lt;=1,AB493&lt;=1),"YES","NO"))</f>
        <v/>
      </c>
      <c r="AM493" s="7">
        <f>IF(AK493="","",IF(AND(AK493="NO",AJ493&gt;=0.85),"YES","NO"))</f>
        <v/>
      </c>
      <c r="AN493" s="7">
        <f>IF(AJ493="","",IF(AJ493&gt;=0.90,"Excellent",IF(AJ493&gt;=0.80,"Good",IF(AJ493&gt;=0.70,"Fair","Poor"))))</f>
        <v/>
      </c>
      <c r="AO493" s="12" t="n"/>
      <c r="AP493" s="12" t="n"/>
      <c r="AQ493" s="12" t="n"/>
      <c r="AR493" s="12" t="n"/>
      <c r="AS493" s="12" t="n"/>
      <c r="AT493" s="12" t="n"/>
      <c r="AU493" s="12" t="n"/>
      <c r="AV493" s="11" t="n"/>
      <c r="AW493" s="12" t="n"/>
      <c r="AX493" s="12" t="n"/>
      <c r="AY493" s="12" t="n"/>
      <c r="AZ493" s="12" t="n"/>
      <c r="BA493" s="12" t="n"/>
      <c r="BB493" s="12" t="n"/>
      <c r="BC493" s="12" t="n"/>
      <c r="BD493" s="12" t="n"/>
      <c r="BE493" s="12" t="n"/>
      <c r="BF493" s="12" t="n"/>
    </row>
    <row r="494">
      <c r="A494" s="7">
        <f>IF(B494="","","INS-"&amp;TEXT(ROW()-3,"000"))</f>
        <v/>
      </c>
      <c r="B494" s="11" t="n"/>
      <c r="C494" s="7">
        <f>IF(B494="","",ISOWEEKNUM(B494))</f>
        <v/>
      </c>
      <c r="D494" s="7">
        <f>IF(B494="","",TEXT(B494,"yyyy-mm"))</f>
        <v/>
      </c>
      <c r="E494" s="12" t="n"/>
      <c r="F494" s="12" t="n"/>
      <c r="G494" s="7">
        <f>IF(OR(E494="",F494=""),"",IF(COUNTIF(Cluster_Master!$I$3:$I$17,E494&amp;"|"&amp;F494)=1,"Valid","Review"))</f>
        <v/>
      </c>
      <c r="H494" s="7">
        <f>IF($G494&lt;&gt;"Valid","",VLOOKUP($E494&amp;"|"&amp;$F494,Cluster_Master!$I$3:$H$17,3,FALSE))</f>
        <v/>
      </c>
      <c r="I494" s="7">
        <f>IF($G494&lt;&gt;"Valid","",VLOOKUP($E494&amp;"|"&amp;$F494,Cluster_Master!$I$3:$H$17,4,FALSE))</f>
        <v/>
      </c>
      <c r="J494" s="7">
        <f>IF($G494&lt;&gt;"Valid","",VLOOKUP($E494&amp;"|"&amp;$F494,Cluster_Master!$I$3:$H$17,5,FALSE))</f>
        <v/>
      </c>
      <c r="K494" s="7">
        <f>IF($G494&lt;&gt;"Valid","",VLOOKUP($E494&amp;"|"&amp;$F494,Cluster_Master!$I$3:$H$17,6,FALSE))</f>
        <v/>
      </c>
      <c r="L494" s="7">
        <f>IF($G494&lt;&gt;"Valid","",VLOOKUP($E494&amp;"|"&amp;$F494,Cluster_Master!$I$3:$H$17,7,FALSE))</f>
        <v/>
      </c>
      <c r="M494" s="7">
        <f>IF($G494&lt;&gt;"Valid","",VLOOKUP($E494&amp;"|"&amp;$F494,Cluster_Master!$I$3:$H$17,8,FALSE))</f>
        <v/>
      </c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7">
        <f>IF(COUNT(T494:AH494)=0,"",SUM(T494:AH494))</f>
        <v/>
      </c>
      <c r="AJ494" s="10">
        <f>IF(AI494="","",AI494/75)</f>
        <v/>
      </c>
      <c r="AK494" s="10">
        <f>IF(AI494="","",SUMPRODUCT(T494:AH494,KPI_Weights!$B$3:$B$17)/5)</f>
        <v/>
      </c>
      <c r="AL494" s="7">
        <f>IF(COUNT(T494:AH494)=0,"",IF(OR(T494&lt;=1,W494&lt;=1,X494&lt;=1,Y494&lt;=1,AB494&lt;=1),"YES","NO"))</f>
        <v/>
      </c>
      <c r="AM494" s="7">
        <f>IF(AK494="","",IF(AND(AK494="NO",AJ494&gt;=0.85),"YES","NO"))</f>
        <v/>
      </c>
      <c r="AN494" s="7">
        <f>IF(AJ494="","",IF(AJ494&gt;=0.90,"Excellent",IF(AJ494&gt;=0.80,"Good",IF(AJ494&gt;=0.70,"Fair","Poor"))))</f>
        <v/>
      </c>
      <c r="AO494" s="12" t="n"/>
      <c r="AP494" s="12" t="n"/>
      <c r="AQ494" s="12" t="n"/>
      <c r="AR494" s="12" t="n"/>
      <c r="AS494" s="12" t="n"/>
      <c r="AT494" s="12" t="n"/>
      <c r="AU494" s="12" t="n"/>
      <c r="AV494" s="11" t="n"/>
      <c r="AW494" s="12" t="n"/>
      <c r="AX494" s="12" t="n"/>
      <c r="AY494" s="12" t="n"/>
      <c r="AZ494" s="12" t="n"/>
      <c r="BA494" s="12" t="n"/>
      <c r="BB494" s="12" t="n"/>
      <c r="BC494" s="12" t="n"/>
      <c r="BD494" s="12" t="n"/>
      <c r="BE494" s="12" t="n"/>
      <c r="BF494" s="12" t="n"/>
    </row>
    <row r="495">
      <c r="A495" s="7">
        <f>IF(B495="","","INS-"&amp;TEXT(ROW()-3,"000"))</f>
        <v/>
      </c>
      <c r="B495" s="11" t="n"/>
      <c r="C495" s="7">
        <f>IF(B495="","",ISOWEEKNUM(B495))</f>
        <v/>
      </c>
      <c r="D495" s="7">
        <f>IF(B495="","",TEXT(B495,"yyyy-mm"))</f>
        <v/>
      </c>
      <c r="E495" s="12" t="n"/>
      <c r="F495" s="12" t="n"/>
      <c r="G495" s="7">
        <f>IF(OR(E495="",F495=""),"",IF(COUNTIF(Cluster_Master!$I$3:$I$17,E495&amp;"|"&amp;F495)=1,"Valid","Review"))</f>
        <v/>
      </c>
      <c r="H495" s="7">
        <f>IF($G495&lt;&gt;"Valid","",VLOOKUP($E495&amp;"|"&amp;$F495,Cluster_Master!$I$3:$H$17,3,FALSE))</f>
        <v/>
      </c>
      <c r="I495" s="7">
        <f>IF($G495&lt;&gt;"Valid","",VLOOKUP($E495&amp;"|"&amp;$F495,Cluster_Master!$I$3:$H$17,4,FALSE))</f>
        <v/>
      </c>
      <c r="J495" s="7">
        <f>IF($G495&lt;&gt;"Valid","",VLOOKUP($E495&amp;"|"&amp;$F495,Cluster_Master!$I$3:$H$17,5,FALSE))</f>
        <v/>
      </c>
      <c r="K495" s="7">
        <f>IF($G495&lt;&gt;"Valid","",VLOOKUP($E495&amp;"|"&amp;$F495,Cluster_Master!$I$3:$H$17,6,FALSE))</f>
        <v/>
      </c>
      <c r="L495" s="7">
        <f>IF($G495&lt;&gt;"Valid","",VLOOKUP($E495&amp;"|"&amp;$F495,Cluster_Master!$I$3:$H$17,7,FALSE))</f>
        <v/>
      </c>
      <c r="M495" s="7">
        <f>IF($G495&lt;&gt;"Valid","",VLOOKUP($E495&amp;"|"&amp;$F495,Cluster_Master!$I$3:$H$17,8,FALSE))</f>
        <v/>
      </c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7">
        <f>IF(COUNT(T495:AH495)=0,"",SUM(T495:AH495))</f>
        <v/>
      </c>
      <c r="AJ495" s="10">
        <f>IF(AI495="","",AI495/75)</f>
        <v/>
      </c>
      <c r="AK495" s="10">
        <f>IF(AI495="","",SUMPRODUCT(T495:AH495,KPI_Weights!$B$3:$B$17)/5)</f>
        <v/>
      </c>
      <c r="AL495" s="7">
        <f>IF(COUNT(T495:AH495)=0,"",IF(OR(T495&lt;=1,W495&lt;=1,X495&lt;=1,Y495&lt;=1,AB495&lt;=1),"YES","NO"))</f>
        <v/>
      </c>
      <c r="AM495" s="7">
        <f>IF(AK495="","",IF(AND(AK495="NO",AJ495&gt;=0.85),"YES","NO"))</f>
        <v/>
      </c>
      <c r="AN495" s="7">
        <f>IF(AJ495="","",IF(AJ495&gt;=0.90,"Excellent",IF(AJ495&gt;=0.80,"Good",IF(AJ495&gt;=0.70,"Fair","Poor"))))</f>
        <v/>
      </c>
      <c r="AO495" s="12" t="n"/>
      <c r="AP495" s="12" t="n"/>
      <c r="AQ495" s="12" t="n"/>
      <c r="AR495" s="12" t="n"/>
      <c r="AS495" s="12" t="n"/>
      <c r="AT495" s="12" t="n"/>
      <c r="AU495" s="12" t="n"/>
      <c r="AV495" s="11" t="n"/>
      <c r="AW495" s="12" t="n"/>
      <c r="AX495" s="12" t="n"/>
      <c r="AY495" s="12" t="n"/>
      <c r="AZ495" s="12" t="n"/>
      <c r="BA495" s="12" t="n"/>
      <c r="BB495" s="12" t="n"/>
      <c r="BC495" s="12" t="n"/>
      <c r="BD495" s="12" t="n"/>
      <c r="BE495" s="12" t="n"/>
      <c r="BF495" s="12" t="n"/>
    </row>
    <row r="496">
      <c r="A496" s="7">
        <f>IF(B496="","","INS-"&amp;TEXT(ROW()-3,"000"))</f>
        <v/>
      </c>
      <c r="B496" s="11" t="n"/>
      <c r="C496" s="7">
        <f>IF(B496="","",ISOWEEKNUM(B496))</f>
        <v/>
      </c>
      <c r="D496" s="7">
        <f>IF(B496="","",TEXT(B496,"yyyy-mm"))</f>
        <v/>
      </c>
      <c r="E496" s="12" t="n"/>
      <c r="F496" s="12" t="n"/>
      <c r="G496" s="7">
        <f>IF(OR(E496="",F496=""),"",IF(COUNTIF(Cluster_Master!$I$3:$I$17,E496&amp;"|"&amp;F496)=1,"Valid","Review"))</f>
        <v/>
      </c>
      <c r="H496" s="7">
        <f>IF($G496&lt;&gt;"Valid","",VLOOKUP($E496&amp;"|"&amp;$F496,Cluster_Master!$I$3:$H$17,3,FALSE))</f>
        <v/>
      </c>
      <c r="I496" s="7">
        <f>IF($G496&lt;&gt;"Valid","",VLOOKUP($E496&amp;"|"&amp;$F496,Cluster_Master!$I$3:$H$17,4,FALSE))</f>
        <v/>
      </c>
      <c r="J496" s="7">
        <f>IF($G496&lt;&gt;"Valid","",VLOOKUP($E496&amp;"|"&amp;$F496,Cluster_Master!$I$3:$H$17,5,FALSE))</f>
        <v/>
      </c>
      <c r="K496" s="7">
        <f>IF($G496&lt;&gt;"Valid","",VLOOKUP($E496&amp;"|"&amp;$F496,Cluster_Master!$I$3:$H$17,6,FALSE))</f>
        <v/>
      </c>
      <c r="L496" s="7">
        <f>IF($G496&lt;&gt;"Valid","",VLOOKUP($E496&amp;"|"&amp;$F496,Cluster_Master!$I$3:$H$17,7,FALSE))</f>
        <v/>
      </c>
      <c r="M496" s="7">
        <f>IF($G496&lt;&gt;"Valid","",VLOOKUP($E496&amp;"|"&amp;$F496,Cluster_Master!$I$3:$H$17,8,FALSE))</f>
        <v/>
      </c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7">
        <f>IF(COUNT(T496:AH496)=0,"",SUM(T496:AH496))</f>
        <v/>
      </c>
      <c r="AJ496" s="10">
        <f>IF(AI496="","",AI496/75)</f>
        <v/>
      </c>
      <c r="AK496" s="10">
        <f>IF(AI496="","",SUMPRODUCT(T496:AH496,KPI_Weights!$B$3:$B$17)/5)</f>
        <v/>
      </c>
      <c r="AL496" s="7">
        <f>IF(COUNT(T496:AH496)=0,"",IF(OR(T496&lt;=1,W496&lt;=1,X496&lt;=1,Y496&lt;=1,AB496&lt;=1),"YES","NO"))</f>
        <v/>
      </c>
      <c r="AM496" s="7">
        <f>IF(AK496="","",IF(AND(AK496="NO",AJ496&gt;=0.85),"YES","NO"))</f>
        <v/>
      </c>
      <c r="AN496" s="7">
        <f>IF(AJ496="","",IF(AJ496&gt;=0.90,"Excellent",IF(AJ496&gt;=0.80,"Good",IF(AJ496&gt;=0.70,"Fair","Poor"))))</f>
        <v/>
      </c>
      <c r="AO496" s="12" t="n"/>
      <c r="AP496" s="12" t="n"/>
      <c r="AQ496" s="12" t="n"/>
      <c r="AR496" s="12" t="n"/>
      <c r="AS496" s="12" t="n"/>
      <c r="AT496" s="12" t="n"/>
      <c r="AU496" s="12" t="n"/>
      <c r="AV496" s="11" t="n"/>
      <c r="AW496" s="12" t="n"/>
      <c r="AX496" s="12" t="n"/>
      <c r="AY496" s="12" t="n"/>
      <c r="AZ496" s="12" t="n"/>
      <c r="BA496" s="12" t="n"/>
      <c r="BB496" s="12" t="n"/>
      <c r="BC496" s="12" t="n"/>
      <c r="BD496" s="12" t="n"/>
      <c r="BE496" s="12" t="n"/>
      <c r="BF496" s="12" t="n"/>
    </row>
    <row r="497">
      <c r="A497" s="7">
        <f>IF(B497="","","INS-"&amp;TEXT(ROW()-3,"000"))</f>
        <v/>
      </c>
      <c r="B497" s="11" t="n"/>
      <c r="C497" s="7">
        <f>IF(B497="","",ISOWEEKNUM(B497))</f>
        <v/>
      </c>
      <c r="D497" s="7">
        <f>IF(B497="","",TEXT(B497,"yyyy-mm"))</f>
        <v/>
      </c>
      <c r="E497" s="12" t="n"/>
      <c r="F497" s="12" t="n"/>
      <c r="G497" s="7">
        <f>IF(OR(E497="",F497=""),"",IF(COUNTIF(Cluster_Master!$I$3:$I$17,E497&amp;"|"&amp;F497)=1,"Valid","Review"))</f>
        <v/>
      </c>
      <c r="H497" s="7">
        <f>IF($G497&lt;&gt;"Valid","",VLOOKUP($E497&amp;"|"&amp;$F497,Cluster_Master!$I$3:$H$17,3,FALSE))</f>
        <v/>
      </c>
      <c r="I497" s="7">
        <f>IF($G497&lt;&gt;"Valid","",VLOOKUP($E497&amp;"|"&amp;$F497,Cluster_Master!$I$3:$H$17,4,FALSE))</f>
        <v/>
      </c>
      <c r="J497" s="7">
        <f>IF($G497&lt;&gt;"Valid","",VLOOKUP($E497&amp;"|"&amp;$F497,Cluster_Master!$I$3:$H$17,5,FALSE))</f>
        <v/>
      </c>
      <c r="K497" s="7">
        <f>IF($G497&lt;&gt;"Valid","",VLOOKUP($E497&amp;"|"&amp;$F497,Cluster_Master!$I$3:$H$17,6,FALSE))</f>
        <v/>
      </c>
      <c r="L497" s="7">
        <f>IF($G497&lt;&gt;"Valid","",VLOOKUP($E497&amp;"|"&amp;$F497,Cluster_Master!$I$3:$H$17,7,FALSE))</f>
        <v/>
      </c>
      <c r="M497" s="7">
        <f>IF($G497&lt;&gt;"Valid","",VLOOKUP($E497&amp;"|"&amp;$F497,Cluster_Master!$I$3:$H$17,8,FALSE))</f>
        <v/>
      </c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7">
        <f>IF(COUNT(T497:AH497)=0,"",SUM(T497:AH497))</f>
        <v/>
      </c>
      <c r="AJ497" s="10">
        <f>IF(AI497="","",AI497/75)</f>
        <v/>
      </c>
      <c r="AK497" s="10">
        <f>IF(AI497="","",SUMPRODUCT(T497:AH497,KPI_Weights!$B$3:$B$17)/5)</f>
        <v/>
      </c>
      <c r="AL497" s="7">
        <f>IF(COUNT(T497:AH497)=0,"",IF(OR(T497&lt;=1,W497&lt;=1,X497&lt;=1,Y497&lt;=1,AB497&lt;=1),"YES","NO"))</f>
        <v/>
      </c>
      <c r="AM497" s="7">
        <f>IF(AK497="","",IF(AND(AK497="NO",AJ497&gt;=0.85),"YES","NO"))</f>
        <v/>
      </c>
      <c r="AN497" s="7">
        <f>IF(AJ497="","",IF(AJ497&gt;=0.90,"Excellent",IF(AJ497&gt;=0.80,"Good",IF(AJ497&gt;=0.70,"Fair","Poor"))))</f>
        <v/>
      </c>
      <c r="AO497" s="12" t="n"/>
      <c r="AP497" s="12" t="n"/>
      <c r="AQ497" s="12" t="n"/>
      <c r="AR497" s="12" t="n"/>
      <c r="AS497" s="12" t="n"/>
      <c r="AT497" s="12" t="n"/>
      <c r="AU497" s="12" t="n"/>
      <c r="AV497" s="11" t="n"/>
      <c r="AW497" s="12" t="n"/>
      <c r="AX497" s="12" t="n"/>
      <c r="AY497" s="12" t="n"/>
      <c r="AZ497" s="12" t="n"/>
      <c r="BA497" s="12" t="n"/>
      <c r="BB497" s="12" t="n"/>
      <c r="BC497" s="12" t="n"/>
      <c r="BD497" s="12" t="n"/>
      <c r="BE497" s="12" t="n"/>
      <c r="BF497" s="12" t="n"/>
    </row>
    <row r="498">
      <c r="A498" s="7">
        <f>IF(B498="","","INS-"&amp;TEXT(ROW()-3,"000"))</f>
        <v/>
      </c>
      <c r="B498" s="11" t="n"/>
      <c r="C498" s="7">
        <f>IF(B498="","",ISOWEEKNUM(B498))</f>
        <v/>
      </c>
      <c r="D498" s="7">
        <f>IF(B498="","",TEXT(B498,"yyyy-mm"))</f>
        <v/>
      </c>
      <c r="E498" s="12" t="n"/>
      <c r="F498" s="12" t="n"/>
      <c r="G498" s="7">
        <f>IF(OR(E498="",F498=""),"",IF(COUNTIF(Cluster_Master!$I$3:$I$17,E498&amp;"|"&amp;F498)=1,"Valid","Review"))</f>
        <v/>
      </c>
      <c r="H498" s="7">
        <f>IF($G498&lt;&gt;"Valid","",VLOOKUP($E498&amp;"|"&amp;$F498,Cluster_Master!$I$3:$H$17,3,FALSE))</f>
        <v/>
      </c>
      <c r="I498" s="7">
        <f>IF($G498&lt;&gt;"Valid","",VLOOKUP($E498&amp;"|"&amp;$F498,Cluster_Master!$I$3:$H$17,4,FALSE))</f>
        <v/>
      </c>
      <c r="J498" s="7">
        <f>IF($G498&lt;&gt;"Valid","",VLOOKUP($E498&amp;"|"&amp;$F498,Cluster_Master!$I$3:$H$17,5,FALSE))</f>
        <v/>
      </c>
      <c r="K498" s="7">
        <f>IF($G498&lt;&gt;"Valid","",VLOOKUP($E498&amp;"|"&amp;$F498,Cluster_Master!$I$3:$H$17,6,FALSE))</f>
        <v/>
      </c>
      <c r="L498" s="7">
        <f>IF($G498&lt;&gt;"Valid","",VLOOKUP($E498&amp;"|"&amp;$F498,Cluster_Master!$I$3:$H$17,7,FALSE))</f>
        <v/>
      </c>
      <c r="M498" s="7">
        <f>IF($G498&lt;&gt;"Valid","",VLOOKUP($E498&amp;"|"&amp;$F498,Cluster_Master!$I$3:$H$17,8,FALSE))</f>
        <v/>
      </c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7">
        <f>IF(COUNT(T498:AH498)=0,"",SUM(T498:AH498))</f>
        <v/>
      </c>
      <c r="AJ498" s="10">
        <f>IF(AI498="","",AI498/75)</f>
        <v/>
      </c>
      <c r="AK498" s="10">
        <f>IF(AI498="","",SUMPRODUCT(T498:AH498,KPI_Weights!$B$3:$B$17)/5)</f>
        <v/>
      </c>
      <c r="AL498" s="7">
        <f>IF(COUNT(T498:AH498)=0,"",IF(OR(T498&lt;=1,W498&lt;=1,X498&lt;=1,Y498&lt;=1,AB498&lt;=1),"YES","NO"))</f>
        <v/>
      </c>
      <c r="AM498" s="7">
        <f>IF(AK498="","",IF(AND(AK498="NO",AJ498&gt;=0.85),"YES","NO"))</f>
        <v/>
      </c>
      <c r="AN498" s="7">
        <f>IF(AJ498="","",IF(AJ498&gt;=0.90,"Excellent",IF(AJ498&gt;=0.80,"Good",IF(AJ498&gt;=0.70,"Fair","Poor"))))</f>
        <v/>
      </c>
      <c r="AO498" s="12" t="n"/>
      <c r="AP498" s="12" t="n"/>
      <c r="AQ498" s="12" t="n"/>
      <c r="AR498" s="12" t="n"/>
      <c r="AS498" s="12" t="n"/>
      <c r="AT498" s="12" t="n"/>
      <c r="AU498" s="12" t="n"/>
      <c r="AV498" s="11" t="n"/>
      <c r="AW498" s="12" t="n"/>
      <c r="AX498" s="12" t="n"/>
      <c r="AY498" s="12" t="n"/>
      <c r="AZ498" s="12" t="n"/>
      <c r="BA498" s="12" t="n"/>
      <c r="BB498" s="12" t="n"/>
      <c r="BC498" s="12" t="n"/>
      <c r="BD498" s="12" t="n"/>
      <c r="BE498" s="12" t="n"/>
      <c r="BF498" s="12" t="n"/>
    </row>
    <row r="499">
      <c r="A499" s="7">
        <f>IF(B499="","","INS-"&amp;TEXT(ROW()-3,"000"))</f>
        <v/>
      </c>
      <c r="B499" s="11" t="n"/>
      <c r="C499" s="7">
        <f>IF(B499="","",ISOWEEKNUM(B499))</f>
        <v/>
      </c>
      <c r="D499" s="7">
        <f>IF(B499="","",TEXT(B499,"yyyy-mm"))</f>
        <v/>
      </c>
      <c r="E499" s="12" t="n"/>
      <c r="F499" s="12" t="n"/>
      <c r="G499" s="7">
        <f>IF(OR(E499="",F499=""),"",IF(COUNTIF(Cluster_Master!$I$3:$I$17,E499&amp;"|"&amp;F499)=1,"Valid","Review"))</f>
        <v/>
      </c>
      <c r="H499" s="7">
        <f>IF($G499&lt;&gt;"Valid","",VLOOKUP($E499&amp;"|"&amp;$F499,Cluster_Master!$I$3:$H$17,3,FALSE))</f>
        <v/>
      </c>
      <c r="I499" s="7">
        <f>IF($G499&lt;&gt;"Valid","",VLOOKUP($E499&amp;"|"&amp;$F499,Cluster_Master!$I$3:$H$17,4,FALSE))</f>
        <v/>
      </c>
      <c r="J499" s="7">
        <f>IF($G499&lt;&gt;"Valid","",VLOOKUP($E499&amp;"|"&amp;$F499,Cluster_Master!$I$3:$H$17,5,FALSE))</f>
        <v/>
      </c>
      <c r="K499" s="7">
        <f>IF($G499&lt;&gt;"Valid","",VLOOKUP($E499&amp;"|"&amp;$F499,Cluster_Master!$I$3:$H$17,6,FALSE))</f>
        <v/>
      </c>
      <c r="L499" s="7">
        <f>IF($G499&lt;&gt;"Valid","",VLOOKUP($E499&amp;"|"&amp;$F499,Cluster_Master!$I$3:$H$17,7,FALSE))</f>
        <v/>
      </c>
      <c r="M499" s="7">
        <f>IF($G499&lt;&gt;"Valid","",VLOOKUP($E499&amp;"|"&amp;$F499,Cluster_Master!$I$3:$H$17,8,FALSE))</f>
        <v/>
      </c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7">
        <f>IF(COUNT(T499:AH499)=0,"",SUM(T499:AH499))</f>
        <v/>
      </c>
      <c r="AJ499" s="10">
        <f>IF(AI499="","",AI499/75)</f>
        <v/>
      </c>
      <c r="AK499" s="10">
        <f>IF(AI499="","",SUMPRODUCT(T499:AH499,KPI_Weights!$B$3:$B$17)/5)</f>
        <v/>
      </c>
      <c r="AL499" s="7">
        <f>IF(COUNT(T499:AH499)=0,"",IF(OR(T499&lt;=1,W499&lt;=1,X499&lt;=1,Y499&lt;=1,AB499&lt;=1),"YES","NO"))</f>
        <v/>
      </c>
      <c r="AM499" s="7">
        <f>IF(AK499="","",IF(AND(AK499="NO",AJ499&gt;=0.85),"YES","NO"))</f>
        <v/>
      </c>
      <c r="AN499" s="7">
        <f>IF(AJ499="","",IF(AJ499&gt;=0.90,"Excellent",IF(AJ499&gt;=0.80,"Good",IF(AJ499&gt;=0.70,"Fair","Poor"))))</f>
        <v/>
      </c>
      <c r="AO499" s="12" t="n"/>
      <c r="AP499" s="12" t="n"/>
      <c r="AQ499" s="12" t="n"/>
      <c r="AR499" s="12" t="n"/>
      <c r="AS499" s="12" t="n"/>
      <c r="AT499" s="12" t="n"/>
      <c r="AU499" s="12" t="n"/>
      <c r="AV499" s="11" t="n"/>
      <c r="AW499" s="12" t="n"/>
      <c r="AX499" s="12" t="n"/>
      <c r="AY499" s="12" t="n"/>
      <c r="AZ499" s="12" t="n"/>
      <c r="BA499" s="12" t="n"/>
      <c r="BB499" s="12" t="n"/>
      <c r="BC499" s="12" t="n"/>
      <c r="BD499" s="12" t="n"/>
      <c r="BE499" s="12" t="n"/>
      <c r="BF499" s="12" t="n"/>
    </row>
    <row r="500">
      <c r="A500" s="7">
        <f>IF(B500="","","INS-"&amp;TEXT(ROW()-3,"000"))</f>
        <v/>
      </c>
      <c r="B500" s="11" t="n"/>
      <c r="C500" s="7">
        <f>IF(B500="","",ISOWEEKNUM(B500))</f>
        <v/>
      </c>
      <c r="D500" s="7">
        <f>IF(B500="","",TEXT(B500,"yyyy-mm"))</f>
        <v/>
      </c>
      <c r="E500" s="12" t="n"/>
      <c r="F500" s="12" t="n"/>
      <c r="G500" s="7">
        <f>IF(OR(E500="",F500=""),"",IF(COUNTIF(Cluster_Master!$I$3:$I$17,E500&amp;"|"&amp;F500)=1,"Valid","Review"))</f>
        <v/>
      </c>
      <c r="H500" s="7">
        <f>IF($G500&lt;&gt;"Valid","",VLOOKUP($E500&amp;"|"&amp;$F500,Cluster_Master!$I$3:$H$17,3,FALSE))</f>
        <v/>
      </c>
      <c r="I500" s="7">
        <f>IF($G500&lt;&gt;"Valid","",VLOOKUP($E500&amp;"|"&amp;$F500,Cluster_Master!$I$3:$H$17,4,FALSE))</f>
        <v/>
      </c>
      <c r="J500" s="7">
        <f>IF($G500&lt;&gt;"Valid","",VLOOKUP($E500&amp;"|"&amp;$F500,Cluster_Master!$I$3:$H$17,5,FALSE))</f>
        <v/>
      </c>
      <c r="K500" s="7">
        <f>IF($G500&lt;&gt;"Valid","",VLOOKUP($E500&amp;"|"&amp;$F500,Cluster_Master!$I$3:$H$17,6,FALSE))</f>
        <v/>
      </c>
      <c r="L500" s="7">
        <f>IF($G500&lt;&gt;"Valid","",VLOOKUP($E500&amp;"|"&amp;$F500,Cluster_Master!$I$3:$H$17,7,FALSE))</f>
        <v/>
      </c>
      <c r="M500" s="7">
        <f>IF($G500&lt;&gt;"Valid","",VLOOKUP($E500&amp;"|"&amp;$F500,Cluster_Master!$I$3:$H$17,8,FALSE))</f>
        <v/>
      </c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7">
        <f>IF(COUNT(T500:AH500)=0,"",SUM(T500:AH500))</f>
        <v/>
      </c>
      <c r="AJ500" s="10">
        <f>IF(AI500="","",AI500/75)</f>
        <v/>
      </c>
      <c r="AK500" s="10">
        <f>IF(AI500="","",SUMPRODUCT(T500:AH500,KPI_Weights!$B$3:$B$17)/5)</f>
        <v/>
      </c>
      <c r="AL500" s="7">
        <f>IF(COUNT(T500:AH500)=0,"",IF(OR(T500&lt;=1,W500&lt;=1,X500&lt;=1,Y500&lt;=1,AB500&lt;=1),"YES","NO"))</f>
        <v/>
      </c>
      <c r="AM500" s="7">
        <f>IF(AK500="","",IF(AND(AK500="NO",AJ500&gt;=0.85),"YES","NO"))</f>
        <v/>
      </c>
      <c r="AN500" s="7">
        <f>IF(AJ500="","",IF(AJ500&gt;=0.90,"Excellent",IF(AJ500&gt;=0.80,"Good",IF(AJ500&gt;=0.70,"Fair","Poor"))))</f>
        <v/>
      </c>
      <c r="AO500" s="12" t="n"/>
      <c r="AP500" s="12" t="n"/>
      <c r="AQ500" s="12" t="n"/>
      <c r="AR500" s="12" t="n"/>
      <c r="AS500" s="12" t="n"/>
      <c r="AT500" s="12" t="n"/>
      <c r="AU500" s="12" t="n"/>
      <c r="AV500" s="11" t="n"/>
      <c r="AW500" s="12" t="n"/>
      <c r="AX500" s="12" t="n"/>
      <c r="AY500" s="12" t="n"/>
      <c r="AZ500" s="12" t="n"/>
      <c r="BA500" s="12" t="n"/>
      <c r="BB500" s="12" t="n"/>
      <c r="BC500" s="12" t="n"/>
      <c r="BD500" s="12" t="n"/>
      <c r="BE500" s="12" t="n"/>
      <c r="BF500" s="12" t="n"/>
    </row>
    <row r="501">
      <c r="A501" s="7">
        <f>IF(B501="","","INS-"&amp;TEXT(ROW()-3,"000"))</f>
        <v/>
      </c>
      <c r="B501" s="11" t="n"/>
      <c r="C501" s="7">
        <f>IF(B501="","",ISOWEEKNUM(B501))</f>
        <v/>
      </c>
      <c r="D501" s="7">
        <f>IF(B501="","",TEXT(B501,"yyyy-mm"))</f>
        <v/>
      </c>
      <c r="E501" s="12" t="n"/>
      <c r="F501" s="12" t="n"/>
      <c r="G501" s="7">
        <f>IF(OR(E501="",F501=""),"",IF(COUNTIF(Cluster_Master!$I$3:$I$17,E501&amp;"|"&amp;F501)=1,"Valid","Review"))</f>
        <v/>
      </c>
      <c r="H501" s="7">
        <f>IF($G501&lt;&gt;"Valid","",VLOOKUP($E501&amp;"|"&amp;$F501,Cluster_Master!$I$3:$H$17,3,FALSE))</f>
        <v/>
      </c>
      <c r="I501" s="7">
        <f>IF($G501&lt;&gt;"Valid","",VLOOKUP($E501&amp;"|"&amp;$F501,Cluster_Master!$I$3:$H$17,4,FALSE))</f>
        <v/>
      </c>
      <c r="J501" s="7">
        <f>IF($G501&lt;&gt;"Valid","",VLOOKUP($E501&amp;"|"&amp;$F501,Cluster_Master!$I$3:$H$17,5,FALSE))</f>
        <v/>
      </c>
      <c r="K501" s="7">
        <f>IF($G501&lt;&gt;"Valid","",VLOOKUP($E501&amp;"|"&amp;$F501,Cluster_Master!$I$3:$H$17,6,FALSE))</f>
        <v/>
      </c>
      <c r="L501" s="7">
        <f>IF($G501&lt;&gt;"Valid","",VLOOKUP($E501&amp;"|"&amp;$F501,Cluster_Master!$I$3:$H$17,7,FALSE))</f>
        <v/>
      </c>
      <c r="M501" s="7">
        <f>IF($G501&lt;&gt;"Valid","",VLOOKUP($E501&amp;"|"&amp;$F501,Cluster_Master!$I$3:$H$17,8,FALSE))</f>
        <v/>
      </c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7">
        <f>IF(COUNT(T501:AH501)=0,"",SUM(T501:AH501))</f>
        <v/>
      </c>
      <c r="AJ501" s="10">
        <f>IF(AI501="","",AI501/75)</f>
        <v/>
      </c>
      <c r="AK501" s="10">
        <f>IF(AI501="","",SUMPRODUCT(T501:AH501,KPI_Weights!$B$3:$B$17)/5)</f>
        <v/>
      </c>
      <c r="AL501" s="7">
        <f>IF(COUNT(T501:AH501)=0,"",IF(OR(T501&lt;=1,W501&lt;=1,X501&lt;=1,Y501&lt;=1,AB501&lt;=1),"YES","NO"))</f>
        <v/>
      </c>
      <c r="AM501" s="7">
        <f>IF(AK501="","",IF(AND(AK501="NO",AJ501&gt;=0.85),"YES","NO"))</f>
        <v/>
      </c>
      <c r="AN501" s="7">
        <f>IF(AJ501="","",IF(AJ501&gt;=0.90,"Excellent",IF(AJ501&gt;=0.80,"Good",IF(AJ501&gt;=0.70,"Fair","Poor"))))</f>
        <v/>
      </c>
      <c r="AO501" s="12" t="n"/>
      <c r="AP501" s="12" t="n"/>
      <c r="AQ501" s="12" t="n"/>
      <c r="AR501" s="12" t="n"/>
      <c r="AS501" s="12" t="n"/>
      <c r="AT501" s="12" t="n"/>
      <c r="AU501" s="12" t="n"/>
      <c r="AV501" s="11" t="n"/>
      <c r="AW501" s="12" t="n"/>
      <c r="AX501" s="12" t="n"/>
      <c r="AY501" s="12" t="n"/>
      <c r="AZ501" s="12" t="n"/>
      <c r="BA501" s="12" t="n"/>
      <c r="BB501" s="12" t="n"/>
      <c r="BC501" s="12" t="n"/>
      <c r="BD501" s="12" t="n"/>
      <c r="BE501" s="12" t="n"/>
      <c r="BF501" s="12" t="n"/>
    </row>
    <row r="502">
      <c r="A502" s="7">
        <f>IF(B502="","","INS-"&amp;TEXT(ROW()-3,"000"))</f>
        <v/>
      </c>
      <c r="B502" s="11" t="n"/>
      <c r="C502" s="7">
        <f>IF(B502="","",ISOWEEKNUM(B502))</f>
        <v/>
      </c>
      <c r="D502" s="7">
        <f>IF(B502="","",TEXT(B502,"yyyy-mm"))</f>
        <v/>
      </c>
      <c r="E502" s="12" t="n"/>
      <c r="F502" s="12" t="n"/>
      <c r="G502" s="7">
        <f>IF(OR(E502="",F502=""),"",IF(COUNTIF(Cluster_Master!$I$3:$I$17,E502&amp;"|"&amp;F502)=1,"Valid","Review"))</f>
        <v/>
      </c>
      <c r="H502" s="7">
        <f>IF($G502&lt;&gt;"Valid","",VLOOKUP($E502&amp;"|"&amp;$F502,Cluster_Master!$I$3:$H$17,3,FALSE))</f>
        <v/>
      </c>
      <c r="I502" s="7">
        <f>IF($G502&lt;&gt;"Valid","",VLOOKUP($E502&amp;"|"&amp;$F502,Cluster_Master!$I$3:$H$17,4,FALSE))</f>
        <v/>
      </c>
      <c r="J502" s="7">
        <f>IF($G502&lt;&gt;"Valid","",VLOOKUP($E502&amp;"|"&amp;$F502,Cluster_Master!$I$3:$H$17,5,FALSE))</f>
        <v/>
      </c>
      <c r="K502" s="7">
        <f>IF($G502&lt;&gt;"Valid","",VLOOKUP($E502&amp;"|"&amp;$F502,Cluster_Master!$I$3:$H$17,6,FALSE))</f>
        <v/>
      </c>
      <c r="L502" s="7">
        <f>IF($G502&lt;&gt;"Valid","",VLOOKUP($E502&amp;"|"&amp;$F502,Cluster_Master!$I$3:$H$17,7,FALSE))</f>
        <v/>
      </c>
      <c r="M502" s="7">
        <f>IF($G502&lt;&gt;"Valid","",VLOOKUP($E502&amp;"|"&amp;$F502,Cluster_Master!$I$3:$H$17,8,FALSE))</f>
        <v/>
      </c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7">
        <f>IF(COUNT(T502:AH502)=0,"",SUM(T502:AH502))</f>
        <v/>
      </c>
      <c r="AJ502" s="10">
        <f>IF(AI502="","",AI502/75)</f>
        <v/>
      </c>
      <c r="AK502" s="10">
        <f>IF(AI502="","",SUMPRODUCT(T502:AH502,KPI_Weights!$B$3:$B$17)/5)</f>
        <v/>
      </c>
      <c r="AL502" s="7">
        <f>IF(COUNT(T502:AH502)=0,"",IF(OR(T502&lt;=1,W502&lt;=1,X502&lt;=1,Y502&lt;=1,AB502&lt;=1),"YES","NO"))</f>
        <v/>
      </c>
      <c r="AM502" s="7">
        <f>IF(AK502="","",IF(AND(AK502="NO",AJ502&gt;=0.85),"YES","NO"))</f>
        <v/>
      </c>
      <c r="AN502" s="7">
        <f>IF(AJ502="","",IF(AJ502&gt;=0.90,"Excellent",IF(AJ502&gt;=0.80,"Good",IF(AJ502&gt;=0.70,"Fair","Poor"))))</f>
        <v/>
      </c>
      <c r="AO502" s="12" t="n"/>
      <c r="AP502" s="12" t="n"/>
      <c r="AQ502" s="12" t="n"/>
      <c r="AR502" s="12" t="n"/>
      <c r="AS502" s="12" t="n"/>
      <c r="AT502" s="12" t="n"/>
      <c r="AU502" s="12" t="n"/>
      <c r="AV502" s="11" t="n"/>
      <c r="AW502" s="12" t="n"/>
      <c r="AX502" s="12" t="n"/>
      <c r="AY502" s="12" t="n"/>
      <c r="AZ502" s="12" t="n"/>
      <c r="BA502" s="12" t="n"/>
      <c r="BB502" s="12" t="n"/>
      <c r="BC502" s="12" t="n"/>
      <c r="BD502" s="12" t="n"/>
      <c r="BE502" s="12" t="n"/>
      <c r="BF502" s="12" t="n"/>
    </row>
    <row r="503">
      <c r="A503" s="7">
        <f>IF(B503="","","INS-"&amp;TEXT(ROW()-3,"000"))</f>
        <v/>
      </c>
      <c r="B503" s="11" t="n"/>
      <c r="C503" s="7">
        <f>IF(B503="","",ISOWEEKNUM(B503))</f>
        <v/>
      </c>
      <c r="D503" s="7">
        <f>IF(B503="","",TEXT(B503,"yyyy-mm"))</f>
        <v/>
      </c>
      <c r="E503" s="12" t="n"/>
      <c r="F503" s="12" t="n"/>
      <c r="G503" s="7">
        <f>IF(OR(E503="",F503=""),"",IF(COUNTIF(Cluster_Master!$I$3:$I$17,E503&amp;"|"&amp;F503)=1,"Valid","Review"))</f>
        <v/>
      </c>
      <c r="H503" s="7">
        <f>IF($G503&lt;&gt;"Valid","",VLOOKUP($E503&amp;"|"&amp;$F503,Cluster_Master!$I$3:$H$17,3,FALSE))</f>
        <v/>
      </c>
      <c r="I503" s="7">
        <f>IF($G503&lt;&gt;"Valid","",VLOOKUP($E503&amp;"|"&amp;$F503,Cluster_Master!$I$3:$H$17,4,FALSE))</f>
        <v/>
      </c>
      <c r="J503" s="7">
        <f>IF($G503&lt;&gt;"Valid","",VLOOKUP($E503&amp;"|"&amp;$F503,Cluster_Master!$I$3:$H$17,5,FALSE))</f>
        <v/>
      </c>
      <c r="K503" s="7">
        <f>IF($G503&lt;&gt;"Valid","",VLOOKUP($E503&amp;"|"&amp;$F503,Cluster_Master!$I$3:$H$17,6,FALSE))</f>
        <v/>
      </c>
      <c r="L503" s="7">
        <f>IF($G503&lt;&gt;"Valid","",VLOOKUP($E503&amp;"|"&amp;$F503,Cluster_Master!$I$3:$H$17,7,FALSE))</f>
        <v/>
      </c>
      <c r="M503" s="7">
        <f>IF($G503&lt;&gt;"Valid","",VLOOKUP($E503&amp;"|"&amp;$F503,Cluster_Master!$I$3:$H$17,8,FALSE))</f>
        <v/>
      </c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7">
        <f>IF(COUNT(T503:AH503)=0,"",SUM(T503:AH503))</f>
        <v/>
      </c>
      <c r="AJ503" s="10">
        <f>IF(AI503="","",AI503/75)</f>
        <v/>
      </c>
      <c r="AK503" s="10">
        <f>IF(AI503="","",SUMPRODUCT(T503:AH503,KPI_Weights!$B$3:$B$17)/5)</f>
        <v/>
      </c>
      <c r="AL503" s="7">
        <f>IF(COUNT(T503:AH503)=0,"",IF(OR(T503&lt;=1,W503&lt;=1,X503&lt;=1,Y503&lt;=1,AB503&lt;=1),"YES","NO"))</f>
        <v/>
      </c>
      <c r="AM503" s="7">
        <f>IF(AK503="","",IF(AND(AK503="NO",AJ503&gt;=0.85),"YES","NO"))</f>
        <v/>
      </c>
      <c r="AN503" s="7">
        <f>IF(AJ503="","",IF(AJ503&gt;=0.90,"Excellent",IF(AJ503&gt;=0.80,"Good",IF(AJ503&gt;=0.70,"Fair","Poor"))))</f>
        <v/>
      </c>
      <c r="AO503" s="12" t="n"/>
      <c r="AP503" s="12" t="n"/>
      <c r="AQ503" s="12" t="n"/>
      <c r="AR503" s="12" t="n"/>
      <c r="AS503" s="12" t="n"/>
      <c r="AT503" s="12" t="n"/>
      <c r="AU503" s="12" t="n"/>
      <c r="AV503" s="11" t="n"/>
      <c r="AW503" s="12" t="n"/>
      <c r="AX503" s="12" t="n"/>
      <c r="AY503" s="12" t="n"/>
      <c r="AZ503" s="12" t="n"/>
      <c r="BA503" s="12" t="n"/>
      <c r="BB503" s="12" t="n"/>
      <c r="BC503" s="12" t="n"/>
      <c r="BD503" s="12" t="n"/>
      <c r="BE503" s="12" t="n"/>
      <c r="BF503" s="12" t="n"/>
    </row>
    <row r="504">
      <c r="A504" s="7">
        <f>IF(B504="","","INS-"&amp;TEXT(ROW()-3,"000"))</f>
        <v/>
      </c>
      <c r="B504" s="11" t="n"/>
      <c r="C504" s="7">
        <f>IF(B504="","",ISOWEEKNUM(B504))</f>
        <v/>
      </c>
      <c r="D504" s="7">
        <f>IF(B504="","",TEXT(B504,"yyyy-mm"))</f>
        <v/>
      </c>
      <c r="E504" s="12" t="n"/>
      <c r="F504" s="12" t="n"/>
      <c r="G504" s="7">
        <f>IF(OR(E504="",F504=""),"",IF(COUNTIF(Cluster_Master!$I$3:$I$17,E504&amp;"|"&amp;F504)=1,"Valid","Review"))</f>
        <v/>
      </c>
      <c r="H504" s="7">
        <f>IF($G504&lt;&gt;"Valid","",VLOOKUP($E504&amp;"|"&amp;$F504,Cluster_Master!$I$3:$H$17,3,FALSE))</f>
        <v/>
      </c>
      <c r="I504" s="7">
        <f>IF($G504&lt;&gt;"Valid","",VLOOKUP($E504&amp;"|"&amp;$F504,Cluster_Master!$I$3:$H$17,4,FALSE))</f>
        <v/>
      </c>
      <c r="J504" s="7">
        <f>IF($G504&lt;&gt;"Valid","",VLOOKUP($E504&amp;"|"&amp;$F504,Cluster_Master!$I$3:$H$17,5,FALSE))</f>
        <v/>
      </c>
      <c r="K504" s="7">
        <f>IF($G504&lt;&gt;"Valid","",VLOOKUP($E504&amp;"|"&amp;$F504,Cluster_Master!$I$3:$H$17,6,FALSE))</f>
        <v/>
      </c>
      <c r="L504" s="7">
        <f>IF($G504&lt;&gt;"Valid","",VLOOKUP($E504&amp;"|"&amp;$F504,Cluster_Master!$I$3:$H$17,7,FALSE))</f>
        <v/>
      </c>
      <c r="M504" s="7">
        <f>IF($G504&lt;&gt;"Valid","",VLOOKUP($E504&amp;"|"&amp;$F504,Cluster_Master!$I$3:$H$17,8,FALSE))</f>
        <v/>
      </c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7">
        <f>IF(COUNT(T504:AH504)=0,"",SUM(T504:AH504))</f>
        <v/>
      </c>
      <c r="AJ504" s="10">
        <f>IF(AI504="","",AI504/75)</f>
        <v/>
      </c>
      <c r="AK504" s="10">
        <f>IF(AI504="","",SUMPRODUCT(T504:AH504,KPI_Weights!$B$3:$B$17)/5)</f>
        <v/>
      </c>
      <c r="AL504" s="7">
        <f>IF(COUNT(T504:AH504)=0,"",IF(OR(T504&lt;=1,W504&lt;=1,X504&lt;=1,Y504&lt;=1,AB504&lt;=1),"YES","NO"))</f>
        <v/>
      </c>
      <c r="AM504" s="7">
        <f>IF(AK504="","",IF(AND(AK504="NO",AJ504&gt;=0.85),"YES","NO"))</f>
        <v/>
      </c>
      <c r="AN504" s="7">
        <f>IF(AJ504="","",IF(AJ504&gt;=0.90,"Excellent",IF(AJ504&gt;=0.80,"Good",IF(AJ504&gt;=0.70,"Fair","Poor"))))</f>
        <v/>
      </c>
      <c r="AO504" s="12" t="n"/>
      <c r="AP504" s="12" t="n"/>
      <c r="AQ504" s="12" t="n"/>
      <c r="AR504" s="12" t="n"/>
      <c r="AS504" s="12" t="n"/>
      <c r="AT504" s="12" t="n"/>
      <c r="AU504" s="12" t="n"/>
      <c r="AV504" s="11" t="n"/>
      <c r="AW504" s="12" t="n"/>
      <c r="AX504" s="12" t="n"/>
      <c r="AY504" s="12" t="n"/>
      <c r="AZ504" s="12" t="n"/>
      <c r="BA504" s="12" t="n"/>
      <c r="BB504" s="12" t="n"/>
      <c r="BC504" s="12" t="n"/>
      <c r="BD504" s="12" t="n"/>
      <c r="BE504" s="12" t="n"/>
      <c r="BF504" s="12" t="n"/>
    </row>
    <row r="505">
      <c r="A505" s="7">
        <f>IF(B505="","","INS-"&amp;TEXT(ROW()-3,"000"))</f>
        <v/>
      </c>
      <c r="B505" s="11" t="n"/>
      <c r="C505" s="7">
        <f>IF(B505="","",ISOWEEKNUM(B505))</f>
        <v/>
      </c>
      <c r="D505" s="7">
        <f>IF(B505="","",TEXT(B505,"yyyy-mm"))</f>
        <v/>
      </c>
      <c r="E505" s="12" t="n"/>
      <c r="F505" s="12" t="n"/>
      <c r="G505" s="7">
        <f>IF(OR(E505="",F505=""),"",IF(COUNTIF(Cluster_Master!$I$3:$I$17,E505&amp;"|"&amp;F505)=1,"Valid","Review"))</f>
        <v/>
      </c>
      <c r="H505" s="7">
        <f>IF($G505&lt;&gt;"Valid","",VLOOKUP($E505&amp;"|"&amp;$F505,Cluster_Master!$I$3:$H$17,3,FALSE))</f>
        <v/>
      </c>
      <c r="I505" s="7">
        <f>IF($G505&lt;&gt;"Valid","",VLOOKUP($E505&amp;"|"&amp;$F505,Cluster_Master!$I$3:$H$17,4,FALSE))</f>
        <v/>
      </c>
      <c r="J505" s="7">
        <f>IF($G505&lt;&gt;"Valid","",VLOOKUP($E505&amp;"|"&amp;$F505,Cluster_Master!$I$3:$H$17,5,FALSE))</f>
        <v/>
      </c>
      <c r="K505" s="7">
        <f>IF($G505&lt;&gt;"Valid","",VLOOKUP($E505&amp;"|"&amp;$F505,Cluster_Master!$I$3:$H$17,6,FALSE))</f>
        <v/>
      </c>
      <c r="L505" s="7">
        <f>IF($G505&lt;&gt;"Valid","",VLOOKUP($E505&amp;"|"&amp;$F505,Cluster_Master!$I$3:$H$17,7,FALSE))</f>
        <v/>
      </c>
      <c r="M505" s="7">
        <f>IF($G505&lt;&gt;"Valid","",VLOOKUP($E505&amp;"|"&amp;$F505,Cluster_Master!$I$3:$H$17,8,FALSE))</f>
        <v/>
      </c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7">
        <f>IF(COUNT(T505:AH505)=0,"",SUM(T505:AH505))</f>
        <v/>
      </c>
      <c r="AJ505" s="10">
        <f>IF(AI505="","",AI505/75)</f>
        <v/>
      </c>
      <c r="AK505" s="10">
        <f>IF(AI505="","",SUMPRODUCT(T505:AH505,KPI_Weights!$B$3:$B$17)/5)</f>
        <v/>
      </c>
      <c r="AL505" s="7">
        <f>IF(COUNT(T505:AH505)=0,"",IF(OR(T505&lt;=1,W505&lt;=1,X505&lt;=1,Y505&lt;=1,AB505&lt;=1),"YES","NO"))</f>
        <v/>
      </c>
      <c r="AM505" s="7">
        <f>IF(AK505="","",IF(AND(AK505="NO",AJ505&gt;=0.85),"YES","NO"))</f>
        <v/>
      </c>
      <c r="AN505" s="7">
        <f>IF(AJ505="","",IF(AJ505&gt;=0.90,"Excellent",IF(AJ505&gt;=0.80,"Good",IF(AJ505&gt;=0.70,"Fair","Poor"))))</f>
        <v/>
      </c>
      <c r="AO505" s="12" t="n"/>
      <c r="AP505" s="12" t="n"/>
      <c r="AQ505" s="12" t="n"/>
      <c r="AR505" s="12" t="n"/>
      <c r="AS505" s="12" t="n"/>
      <c r="AT505" s="12" t="n"/>
      <c r="AU505" s="12" t="n"/>
      <c r="AV505" s="11" t="n"/>
      <c r="AW505" s="12" t="n"/>
      <c r="AX505" s="12" t="n"/>
      <c r="AY505" s="12" t="n"/>
      <c r="AZ505" s="12" t="n"/>
      <c r="BA505" s="12" t="n"/>
      <c r="BB505" s="12" t="n"/>
      <c r="BC505" s="12" t="n"/>
      <c r="BD505" s="12" t="n"/>
      <c r="BE505" s="12" t="n"/>
      <c r="BF505" s="12" t="n"/>
    </row>
    <row r="506">
      <c r="A506" s="7">
        <f>IF(B506="","","INS-"&amp;TEXT(ROW()-3,"000"))</f>
        <v/>
      </c>
      <c r="B506" s="11" t="n"/>
      <c r="C506" s="7">
        <f>IF(B506="","",ISOWEEKNUM(B506))</f>
        <v/>
      </c>
      <c r="D506" s="7">
        <f>IF(B506="","",TEXT(B506,"yyyy-mm"))</f>
        <v/>
      </c>
      <c r="E506" s="12" t="n"/>
      <c r="F506" s="12" t="n"/>
      <c r="G506" s="7">
        <f>IF(OR(E506="",F506=""),"",IF(COUNTIF(Cluster_Master!$I$3:$I$17,E506&amp;"|"&amp;F506)=1,"Valid","Review"))</f>
        <v/>
      </c>
      <c r="H506" s="7">
        <f>IF($G506&lt;&gt;"Valid","",VLOOKUP($E506&amp;"|"&amp;$F506,Cluster_Master!$I$3:$H$17,3,FALSE))</f>
        <v/>
      </c>
      <c r="I506" s="7">
        <f>IF($G506&lt;&gt;"Valid","",VLOOKUP($E506&amp;"|"&amp;$F506,Cluster_Master!$I$3:$H$17,4,FALSE))</f>
        <v/>
      </c>
      <c r="J506" s="7">
        <f>IF($G506&lt;&gt;"Valid","",VLOOKUP($E506&amp;"|"&amp;$F506,Cluster_Master!$I$3:$H$17,5,FALSE))</f>
        <v/>
      </c>
      <c r="K506" s="7">
        <f>IF($G506&lt;&gt;"Valid","",VLOOKUP($E506&amp;"|"&amp;$F506,Cluster_Master!$I$3:$H$17,6,FALSE))</f>
        <v/>
      </c>
      <c r="L506" s="7">
        <f>IF($G506&lt;&gt;"Valid","",VLOOKUP($E506&amp;"|"&amp;$F506,Cluster_Master!$I$3:$H$17,7,FALSE))</f>
        <v/>
      </c>
      <c r="M506" s="7">
        <f>IF($G506&lt;&gt;"Valid","",VLOOKUP($E506&amp;"|"&amp;$F506,Cluster_Master!$I$3:$H$17,8,FALSE))</f>
        <v/>
      </c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7">
        <f>IF(COUNT(T506:AH506)=0,"",SUM(T506:AH506))</f>
        <v/>
      </c>
      <c r="AJ506" s="10">
        <f>IF(AI506="","",AI506/75)</f>
        <v/>
      </c>
      <c r="AK506" s="10">
        <f>IF(AI506="","",SUMPRODUCT(T506:AH506,KPI_Weights!$B$3:$B$17)/5)</f>
        <v/>
      </c>
      <c r="AL506" s="7">
        <f>IF(COUNT(T506:AH506)=0,"",IF(OR(T506&lt;=1,W506&lt;=1,X506&lt;=1,Y506&lt;=1,AB506&lt;=1),"YES","NO"))</f>
        <v/>
      </c>
      <c r="AM506" s="7">
        <f>IF(AK506="","",IF(AND(AK506="NO",AJ506&gt;=0.85),"YES","NO"))</f>
        <v/>
      </c>
      <c r="AN506" s="7">
        <f>IF(AJ506="","",IF(AJ506&gt;=0.90,"Excellent",IF(AJ506&gt;=0.80,"Good",IF(AJ506&gt;=0.70,"Fair","Poor"))))</f>
        <v/>
      </c>
      <c r="AO506" s="12" t="n"/>
      <c r="AP506" s="12" t="n"/>
      <c r="AQ506" s="12" t="n"/>
      <c r="AR506" s="12" t="n"/>
      <c r="AS506" s="12" t="n"/>
      <c r="AT506" s="12" t="n"/>
      <c r="AU506" s="12" t="n"/>
      <c r="AV506" s="11" t="n"/>
      <c r="AW506" s="12" t="n"/>
      <c r="AX506" s="12" t="n"/>
      <c r="AY506" s="12" t="n"/>
      <c r="AZ506" s="12" t="n"/>
      <c r="BA506" s="12" t="n"/>
      <c r="BB506" s="12" t="n"/>
      <c r="BC506" s="12" t="n"/>
      <c r="BD506" s="12" t="n"/>
      <c r="BE506" s="12" t="n"/>
      <c r="BF506" s="12" t="n"/>
    </row>
    <row r="507">
      <c r="A507" s="7">
        <f>IF(B507="","","INS-"&amp;TEXT(ROW()-3,"000"))</f>
        <v/>
      </c>
      <c r="B507" s="11" t="n"/>
      <c r="C507" s="7">
        <f>IF(B507="","",ISOWEEKNUM(B507))</f>
        <v/>
      </c>
      <c r="D507" s="7">
        <f>IF(B507="","",TEXT(B507,"yyyy-mm"))</f>
        <v/>
      </c>
      <c r="E507" s="12" t="n"/>
      <c r="F507" s="12" t="n"/>
      <c r="G507" s="7">
        <f>IF(OR(E507="",F507=""),"",IF(COUNTIF(Cluster_Master!$I$3:$I$17,E507&amp;"|"&amp;F507)=1,"Valid","Review"))</f>
        <v/>
      </c>
      <c r="H507" s="7">
        <f>IF($G507&lt;&gt;"Valid","",VLOOKUP($E507&amp;"|"&amp;$F507,Cluster_Master!$I$3:$H$17,3,FALSE))</f>
        <v/>
      </c>
      <c r="I507" s="7">
        <f>IF($G507&lt;&gt;"Valid","",VLOOKUP($E507&amp;"|"&amp;$F507,Cluster_Master!$I$3:$H$17,4,FALSE))</f>
        <v/>
      </c>
      <c r="J507" s="7">
        <f>IF($G507&lt;&gt;"Valid","",VLOOKUP($E507&amp;"|"&amp;$F507,Cluster_Master!$I$3:$H$17,5,FALSE))</f>
        <v/>
      </c>
      <c r="K507" s="7">
        <f>IF($G507&lt;&gt;"Valid","",VLOOKUP($E507&amp;"|"&amp;$F507,Cluster_Master!$I$3:$H$17,6,FALSE))</f>
        <v/>
      </c>
      <c r="L507" s="7">
        <f>IF($G507&lt;&gt;"Valid","",VLOOKUP($E507&amp;"|"&amp;$F507,Cluster_Master!$I$3:$H$17,7,FALSE))</f>
        <v/>
      </c>
      <c r="M507" s="7">
        <f>IF($G507&lt;&gt;"Valid","",VLOOKUP($E507&amp;"|"&amp;$F507,Cluster_Master!$I$3:$H$17,8,FALSE))</f>
        <v/>
      </c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7">
        <f>IF(COUNT(T507:AH507)=0,"",SUM(T507:AH507))</f>
        <v/>
      </c>
      <c r="AJ507" s="10">
        <f>IF(AI507="","",AI507/75)</f>
        <v/>
      </c>
      <c r="AK507" s="10">
        <f>IF(AI507="","",SUMPRODUCT(T507:AH507,KPI_Weights!$B$3:$B$17)/5)</f>
        <v/>
      </c>
      <c r="AL507" s="7">
        <f>IF(COUNT(T507:AH507)=0,"",IF(OR(T507&lt;=1,W507&lt;=1,X507&lt;=1,Y507&lt;=1,AB507&lt;=1),"YES","NO"))</f>
        <v/>
      </c>
      <c r="AM507" s="7">
        <f>IF(AK507="","",IF(AND(AK507="NO",AJ507&gt;=0.85),"YES","NO"))</f>
        <v/>
      </c>
      <c r="AN507" s="7">
        <f>IF(AJ507="","",IF(AJ507&gt;=0.90,"Excellent",IF(AJ507&gt;=0.80,"Good",IF(AJ507&gt;=0.70,"Fair","Poor"))))</f>
        <v/>
      </c>
      <c r="AO507" s="12" t="n"/>
      <c r="AP507" s="12" t="n"/>
      <c r="AQ507" s="12" t="n"/>
      <c r="AR507" s="12" t="n"/>
      <c r="AS507" s="12" t="n"/>
      <c r="AT507" s="12" t="n"/>
      <c r="AU507" s="12" t="n"/>
      <c r="AV507" s="11" t="n"/>
      <c r="AW507" s="12" t="n"/>
      <c r="AX507" s="12" t="n"/>
      <c r="AY507" s="12" t="n"/>
      <c r="AZ507" s="12" t="n"/>
      <c r="BA507" s="12" t="n"/>
      <c r="BB507" s="12" t="n"/>
      <c r="BC507" s="12" t="n"/>
      <c r="BD507" s="12" t="n"/>
      <c r="BE507" s="12" t="n"/>
      <c r="BF507" s="12" t="n"/>
    </row>
    <row r="508">
      <c r="A508" s="7">
        <f>IF(B508="","","INS-"&amp;TEXT(ROW()-3,"000"))</f>
        <v/>
      </c>
      <c r="B508" s="11" t="n"/>
      <c r="C508" s="7">
        <f>IF(B508="","",ISOWEEKNUM(B508))</f>
        <v/>
      </c>
      <c r="D508" s="7">
        <f>IF(B508="","",TEXT(B508,"yyyy-mm"))</f>
        <v/>
      </c>
      <c r="E508" s="12" t="n"/>
      <c r="F508" s="12" t="n"/>
      <c r="G508" s="7">
        <f>IF(OR(E508="",F508=""),"",IF(COUNTIF(Cluster_Master!$I$3:$I$17,E508&amp;"|"&amp;F508)=1,"Valid","Review"))</f>
        <v/>
      </c>
      <c r="H508" s="7">
        <f>IF($G508&lt;&gt;"Valid","",VLOOKUP($E508&amp;"|"&amp;$F508,Cluster_Master!$I$3:$H$17,3,FALSE))</f>
        <v/>
      </c>
      <c r="I508" s="7">
        <f>IF($G508&lt;&gt;"Valid","",VLOOKUP($E508&amp;"|"&amp;$F508,Cluster_Master!$I$3:$H$17,4,FALSE))</f>
        <v/>
      </c>
      <c r="J508" s="7">
        <f>IF($G508&lt;&gt;"Valid","",VLOOKUP($E508&amp;"|"&amp;$F508,Cluster_Master!$I$3:$H$17,5,FALSE))</f>
        <v/>
      </c>
      <c r="K508" s="7">
        <f>IF($G508&lt;&gt;"Valid","",VLOOKUP($E508&amp;"|"&amp;$F508,Cluster_Master!$I$3:$H$17,6,FALSE))</f>
        <v/>
      </c>
      <c r="L508" s="7">
        <f>IF($G508&lt;&gt;"Valid","",VLOOKUP($E508&amp;"|"&amp;$F508,Cluster_Master!$I$3:$H$17,7,FALSE))</f>
        <v/>
      </c>
      <c r="M508" s="7">
        <f>IF($G508&lt;&gt;"Valid","",VLOOKUP($E508&amp;"|"&amp;$F508,Cluster_Master!$I$3:$H$17,8,FALSE))</f>
        <v/>
      </c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7">
        <f>IF(COUNT(T508:AH508)=0,"",SUM(T508:AH508))</f>
        <v/>
      </c>
      <c r="AJ508" s="10">
        <f>IF(AI508="","",AI508/75)</f>
        <v/>
      </c>
      <c r="AK508" s="10">
        <f>IF(AI508="","",SUMPRODUCT(T508:AH508,KPI_Weights!$B$3:$B$17)/5)</f>
        <v/>
      </c>
      <c r="AL508" s="7">
        <f>IF(COUNT(T508:AH508)=0,"",IF(OR(T508&lt;=1,W508&lt;=1,X508&lt;=1,Y508&lt;=1,AB508&lt;=1),"YES","NO"))</f>
        <v/>
      </c>
      <c r="AM508" s="7">
        <f>IF(AK508="","",IF(AND(AK508="NO",AJ508&gt;=0.85),"YES","NO"))</f>
        <v/>
      </c>
      <c r="AN508" s="7">
        <f>IF(AJ508="","",IF(AJ508&gt;=0.90,"Excellent",IF(AJ508&gt;=0.80,"Good",IF(AJ508&gt;=0.70,"Fair","Poor"))))</f>
        <v/>
      </c>
      <c r="AO508" s="12" t="n"/>
      <c r="AP508" s="12" t="n"/>
      <c r="AQ508" s="12" t="n"/>
      <c r="AR508" s="12" t="n"/>
      <c r="AS508" s="12" t="n"/>
      <c r="AT508" s="12" t="n"/>
      <c r="AU508" s="12" t="n"/>
      <c r="AV508" s="11" t="n"/>
      <c r="AW508" s="12" t="n"/>
      <c r="AX508" s="12" t="n"/>
      <c r="AY508" s="12" t="n"/>
      <c r="AZ508" s="12" t="n"/>
      <c r="BA508" s="12" t="n"/>
      <c r="BB508" s="12" t="n"/>
      <c r="BC508" s="12" t="n"/>
      <c r="BD508" s="12" t="n"/>
      <c r="BE508" s="12" t="n"/>
      <c r="BF508" s="12" t="n"/>
    </row>
    <row r="509">
      <c r="A509" s="7">
        <f>IF(B509="","","INS-"&amp;TEXT(ROW()-3,"000"))</f>
        <v/>
      </c>
      <c r="B509" s="11" t="n"/>
      <c r="C509" s="7">
        <f>IF(B509="","",ISOWEEKNUM(B509))</f>
        <v/>
      </c>
      <c r="D509" s="7">
        <f>IF(B509="","",TEXT(B509,"yyyy-mm"))</f>
        <v/>
      </c>
      <c r="E509" s="12" t="n"/>
      <c r="F509" s="12" t="n"/>
      <c r="G509" s="7">
        <f>IF(OR(E509="",F509=""),"",IF(COUNTIF(Cluster_Master!$I$3:$I$17,E509&amp;"|"&amp;F509)=1,"Valid","Review"))</f>
        <v/>
      </c>
      <c r="H509" s="7">
        <f>IF($G509&lt;&gt;"Valid","",VLOOKUP($E509&amp;"|"&amp;$F509,Cluster_Master!$I$3:$H$17,3,FALSE))</f>
        <v/>
      </c>
      <c r="I509" s="7">
        <f>IF($G509&lt;&gt;"Valid","",VLOOKUP($E509&amp;"|"&amp;$F509,Cluster_Master!$I$3:$H$17,4,FALSE))</f>
        <v/>
      </c>
      <c r="J509" s="7">
        <f>IF($G509&lt;&gt;"Valid","",VLOOKUP($E509&amp;"|"&amp;$F509,Cluster_Master!$I$3:$H$17,5,FALSE))</f>
        <v/>
      </c>
      <c r="K509" s="7">
        <f>IF($G509&lt;&gt;"Valid","",VLOOKUP($E509&amp;"|"&amp;$F509,Cluster_Master!$I$3:$H$17,6,FALSE))</f>
        <v/>
      </c>
      <c r="L509" s="7">
        <f>IF($G509&lt;&gt;"Valid","",VLOOKUP($E509&amp;"|"&amp;$F509,Cluster_Master!$I$3:$H$17,7,FALSE))</f>
        <v/>
      </c>
      <c r="M509" s="7">
        <f>IF($G509&lt;&gt;"Valid","",VLOOKUP($E509&amp;"|"&amp;$F509,Cluster_Master!$I$3:$H$17,8,FALSE))</f>
        <v/>
      </c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7">
        <f>IF(COUNT(T509:AH509)=0,"",SUM(T509:AH509))</f>
        <v/>
      </c>
      <c r="AJ509" s="10">
        <f>IF(AI509="","",AI509/75)</f>
        <v/>
      </c>
      <c r="AK509" s="10">
        <f>IF(AI509="","",SUMPRODUCT(T509:AH509,KPI_Weights!$B$3:$B$17)/5)</f>
        <v/>
      </c>
      <c r="AL509" s="7">
        <f>IF(COUNT(T509:AH509)=0,"",IF(OR(T509&lt;=1,W509&lt;=1,X509&lt;=1,Y509&lt;=1,AB509&lt;=1),"YES","NO"))</f>
        <v/>
      </c>
      <c r="AM509" s="7">
        <f>IF(AK509="","",IF(AND(AK509="NO",AJ509&gt;=0.85),"YES","NO"))</f>
        <v/>
      </c>
      <c r="AN509" s="7">
        <f>IF(AJ509="","",IF(AJ509&gt;=0.90,"Excellent",IF(AJ509&gt;=0.80,"Good",IF(AJ509&gt;=0.70,"Fair","Poor"))))</f>
        <v/>
      </c>
      <c r="AO509" s="12" t="n"/>
      <c r="AP509" s="12" t="n"/>
      <c r="AQ509" s="12" t="n"/>
      <c r="AR509" s="12" t="n"/>
      <c r="AS509" s="12" t="n"/>
      <c r="AT509" s="12" t="n"/>
      <c r="AU509" s="12" t="n"/>
      <c r="AV509" s="11" t="n"/>
      <c r="AW509" s="12" t="n"/>
      <c r="AX509" s="12" t="n"/>
      <c r="AY509" s="12" t="n"/>
      <c r="AZ509" s="12" t="n"/>
      <c r="BA509" s="12" t="n"/>
      <c r="BB509" s="12" t="n"/>
      <c r="BC509" s="12" t="n"/>
      <c r="BD509" s="12" t="n"/>
      <c r="BE509" s="12" t="n"/>
      <c r="BF509" s="12" t="n"/>
    </row>
    <row r="510">
      <c r="A510" s="7">
        <f>IF(B510="","","INS-"&amp;TEXT(ROW()-3,"000"))</f>
        <v/>
      </c>
      <c r="B510" s="11" t="n"/>
      <c r="C510" s="7">
        <f>IF(B510="","",ISOWEEKNUM(B510))</f>
        <v/>
      </c>
      <c r="D510" s="7">
        <f>IF(B510="","",TEXT(B510,"yyyy-mm"))</f>
        <v/>
      </c>
      <c r="E510" s="12" t="n"/>
      <c r="F510" s="12" t="n"/>
      <c r="G510" s="7">
        <f>IF(OR(E510="",F510=""),"",IF(COUNTIF(Cluster_Master!$I$3:$I$17,E510&amp;"|"&amp;F510)=1,"Valid","Review"))</f>
        <v/>
      </c>
      <c r="H510" s="7">
        <f>IF($G510&lt;&gt;"Valid","",VLOOKUP($E510&amp;"|"&amp;$F510,Cluster_Master!$I$3:$H$17,3,FALSE))</f>
        <v/>
      </c>
      <c r="I510" s="7">
        <f>IF($G510&lt;&gt;"Valid","",VLOOKUP($E510&amp;"|"&amp;$F510,Cluster_Master!$I$3:$H$17,4,FALSE))</f>
        <v/>
      </c>
      <c r="J510" s="7">
        <f>IF($G510&lt;&gt;"Valid","",VLOOKUP($E510&amp;"|"&amp;$F510,Cluster_Master!$I$3:$H$17,5,FALSE))</f>
        <v/>
      </c>
      <c r="K510" s="7">
        <f>IF($G510&lt;&gt;"Valid","",VLOOKUP($E510&amp;"|"&amp;$F510,Cluster_Master!$I$3:$H$17,6,FALSE))</f>
        <v/>
      </c>
      <c r="L510" s="7">
        <f>IF($G510&lt;&gt;"Valid","",VLOOKUP($E510&amp;"|"&amp;$F510,Cluster_Master!$I$3:$H$17,7,FALSE))</f>
        <v/>
      </c>
      <c r="M510" s="7">
        <f>IF($G510&lt;&gt;"Valid","",VLOOKUP($E510&amp;"|"&amp;$F510,Cluster_Master!$I$3:$H$17,8,FALSE))</f>
        <v/>
      </c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7">
        <f>IF(COUNT(T510:AH510)=0,"",SUM(T510:AH510))</f>
        <v/>
      </c>
      <c r="AJ510" s="10">
        <f>IF(AI510="","",AI510/75)</f>
        <v/>
      </c>
      <c r="AK510" s="10">
        <f>IF(AI510="","",SUMPRODUCT(T510:AH510,KPI_Weights!$B$3:$B$17)/5)</f>
        <v/>
      </c>
      <c r="AL510" s="7">
        <f>IF(COUNT(T510:AH510)=0,"",IF(OR(T510&lt;=1,W510&lt;=1,X510&lt;=1,Y510&lt;=1,AB510&lt;=1),"YES","NO"))</f>
        <v/>
      </c>
      <c r="AM510" s="7">
        <f>IF(AK510="","",IF(AND(AK510="NO",AJ510&gt;=0.85),"YES","NO"))</f>
        <v/>
      </c>
      <c r="AN510" s="7">
        <f>IF(AJ510="","",IF(AJ510&gt;=0.90,"Excellent",IF(AJ510&gt;=0.80,"Good",IF(AJ510&gt;=0.70,"Fair","Poor"))))</f>
        <v/>
      </c>
      <c r="AO510" s="12" t="n"/>
      <c r="AP510" s="12" t="n"/>
      <c r="AQ510" s="12" t="n"/>
      <c r="AR510" s="12" t="n"/>
      <c r="AS510" s="12" t="n"/>
      <c r="AT510" s="12" t="n"/>
      <c r="AU510" s="12" t="n"/>
      <c r="AV510" s="11" t="n"/>
      <c r="AW510" s="12" t="n"/>
      <c r="AX510" s="12" t="n"/>
      <c r="AY510" s="12" t="n"/>
      <c r="AZ510" s="12" t="n"/>
      <c r="BA510" s="12" t="n"/>
      <c r="BB510" s="12" t="n"/>
      <c r="BC510" s="12" t="n"/>
      <c r="BD510" s="12" t="n"/>
      <c r="BE510" s="12" t="n"/>
      <c r="BF510" s="12" t="n"/>
    </row>
    <row r="511">
      <c r="A511" s="7">
        <f>IF(B511="","","INS-"&amp;TEXT(ROW()-3,"000"))</f>
        <v/>
      </c>
      <c r="B511" s="11" t="n"/>
      <c r="C511" s="7">
        <f>IF(B511="","",ISOWEEKNUM(B511))</f>
        <v/>
      </c>
      <c r="D511" s="7">
        <f>IF(B511="","",TEXT(B511,"yyyy-mm"))</f>
        <v/>
      </c>
      <c r="E511" s="12" t="n"/>
      <c r="F511" s="12" t="n"/>
      <c r="G511" s="7">
        <f>IF(OR(E511="",F511=""),"",IF(COUNTIF(Cluster_Master!$I$3:$I$17,E511&amp;"|"&amp;F511)=1,"Valid","Review"))</f>
        <v/>
      </c>
      <c r="H511" s="7">
        <f>IF($G511&lt;&gt;"Valid","",VLOOKUP($E511&amp;"|"&amp;$F511,Cluster_Master!$I$3:$H$17,3,FALSE))</f>
        <v/>
      </c>
      <c r="I511" s="7">
        <f>IF($G511&lt;&gt;"Valid","",VLOOKUP($E511&amp;"|"&amp;$F511,Cluster_Master!$I$3:$H$17,4,FALSE))</f>
        <v/>
      </c>
      <c r="J511" s="7">
        <f>IF($G511&lt;&gt;"Valid","",VLOOKUP($E511&amp;"|"&amp;$F511,Cluster_Master!$I$3:$H$17,5,FALSE))</f>
        <v/>
      </c>
      <c r="K511" s="7">
        <f>IF($G511&lt;&gt;"Valid","",VLOOKUP($E511&amp;"|"&amp;$F511,Cluster_Master!$I$3:$H$17,6,FALSE))</f>
        <v/>
      </c>
      <c r="L511" s="7">
        <f>IF($G511&lt;&gt;"Valid","",VLOOKUP($E511&amp;"|"&amp;$F511,Cluster_Master!$I$3:$H$17,7,FALSE))</f>
        <v/>
      </c>
      <c r="M511" s="7">
        <f>IF($G511&lt;&gt;"Valid","",VLOOKUP($E511&amp;"|"&amp;$F511,Cluster_Master!$I$3:$H$17,8,FALSE))</f>
        <v/>
      </c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7">
        <f>IF(COUNT(T511:AH511)=0,"",SUM(T511:AH511))</f>
        <v/>
      </c>
      <c r="AJ511" s="10">
        <f>IF(AI511="","",AI511/75)</f>
        <v/>
      </c>
      <c r="AK511" s="10">
        <f>IF(AI511="","",SUMPRODUCT(T511:AH511,KPI_Weights!$B$3:$B$17)/5)</f>
        <v/>
      </c>
      <c r="AL511" s="7">
        <f>IF(COUNT(T511:AH511)=0,"",IF(OR(T511&lt;=1,W511&lt;=1,X511&lt;=1,Y511&lt;=1,AB511&lt;=1),"YES","NO"))</f>
        <v/>
      </c>
      <c r="AM511" s="7">
        <f>IF(AK511="","",IF(AND(AK511="NO",AJ511&gt;=0.85),"YES","NO"))</f>
        <v/>
      </c>
      <c r="AN511" s="7">
        <f>IF(AJ511="","",IF(AJ511&gt;=0.90,"Excellent",IF(AJ511&gt;=0.80,"Good",IF(AJ511&gt;=0.70,"Fair","Poor"))))</f>
        <v/>
      </c>
      <c r="AO511" s="12" t="n"/>
      <c r="AP511" s="12" t="n"/>
      <c r="AQ511" s="12" t="n"/>
      <c r="AR511" s="12" t="n"/>
      <c r="AS511" s="12" t="n"/>
      <c r="AT511" s="12" t="n"/>
      <c r="AU511" s="12" t="n"/>
      <c r="AV511" s="11" t="n"/>
      <c r="AW511" s="12" t="n"/>
      <c r="AX511" s="12" t="n"/>
      <c r="AY511" s="12" t="n"/>
      <c r="AZ511" s="12" t="n"/>
      <c r="BA511" s="12" t="n"/>
      <c r="BB511" s="12" t="n"/>
      <c r="BC511" s="12" t="n"/>
      <c r="BD511" s="12" t="n"/>
      <c r="BE511" s="12" t="n"/>
      <c r="BF511" s="12" t="n"/>
    </row>
    <row r="512">
      <c r="A512" s="7">
        <f>IF(B512="","","INS-"&amp;TEXT(ROW()-3,"000"))</f>
        <v/>
      </c>
      <c r="B512" s="11" t="n"/>
      <c r="C512" s="7">
        <f>IF(B512="","",ISOWEEKNUM(B512))</f>
        <v/>
      </c>
      <c r="D512" s="7">
        <f>IF(B512="","",TEXT(B512,"yyyy-mm"))</f>
        <v/>
      </c>
      <c r="E512" s="12" t="n"/>
      <c r="F512" s="12" t="n"/>
      <c r="G512" s="7">
        <f>IF(OR(E512="",F512=""),"",IF(COUNTIF(Cluster_Master!$I$3:$I$17,E512&amp;"|"&amp;F512)=1,"Valid","Review"))</f>
        <v/>
      </c>
      <c r="H512" s="7">
        <f>IF($G512&lt;&gt;"Valid","",VLOOKUP($E512&amp;"|"&amp;$F512,Cluster_Master!$I$3:$H$17,3,FALSE))</f>
        <v/>
      </c>
      <c r="I512" s="7">
        <f>IF($G512&lt;&gt;"Valid","",VLOOKUP($E512&amp;"|"&amp;$F512,Cluster_Master!$I$3:$H$17,4,FALSE))</f>
        <v/>
      </c>
      <c r="J512" s="7">
        <f>IF($G512&lt;&gt;"Valid","",VLOOKUP($E512&amp;"|"&amp;$F512,Cluster_Master!$I$3:$H$17,5,FALSE))</f>
        <v/>
      </c>
      <c r="K512" s="7">
        <f>IF($G512&lt;&gt;"Valid","",VLOOKUP($E512&amp;"|"&amp;$F512,Cluster_Master!$I$3:$H$17,6,FALSE))</f>
        <v/>
      </c>
      <c r="L512" s="7">
        <f>IF($G512&lt;&gt;"Valid","",VLOOKUP($E512&amp;"|"&amp;$F512,Cluster_Master!$I$3:$H$17,7,FALSE))</f>
        <v/>
      </c>
      <c r="M512" s="7">
        <f>IF($G512&lt;&gt;"Valid","",VLOOKUP($E512&amp;"|"&amp;$F512,Cluster_Master!$I$3:$H$17,8,FALSE))</f>
        <v/>
      </c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7">
        <f>IF(COUNT(T512:AH512)=0,"",SUM(T512:AH512))</f>
        <v/>
      </c>
      <c r="AJ512" s="10">
        <f>IF(AI512="","",AI512/75)</f>
        <v/>
      </c>
      <c r="AK512" s="10">
        <f>IF(AI512="","",SUMPRODUCT(T512:AH512,KPI_Weights!$B$3:$B$17)/5)</f>
        <v/>
      </c>
      <c r="AL512" s="7">
        <f>IF(COUNT(T512:AH512)=0,"",IF(OR(T512&lt;=1,W512&lt;=1,X512&lt;=1,Y512&lt;=1,AB512&lt;=1),"YES","NO"))</f>
        <v/>
      </c>
      <c r="AM512" s="7">
        <f>IF(AK512="","",IF(AND(AK512="NO",AJ512&gt;=0.85),"YES","NO"))</f>
        <v/>
      </c>
      <c r="AN512" s="7">
        <f>IF(AJ512="","",IF(AJ512&gt;=0.90,"Excellent",IF(AJ512&gt;=0.80,"Good",IF(AJ512&gt;=0.70,"Fair","Poor"))))</f>
        <v/>
      </c>
      <c r="AO512" s="12" t="n"/>
      <c r="AP512" s="12" t="n"/>
      <c r="AQ512" s="12" t="n"/>
      <c r="AR512" s="12" t="n"/>
      <c r="AS512" s="12" t="n"/>
      <c r="AT512" s="12" t="n"/>
      <c r="AU512" s="12" t="n"/>
      <c r="AV512" s="11" t="n"/>
      <c r="AW512" s="12" t="n"/>
      <c r="AX512" s="12" t="n"/>
      <c r="AY512" s="12" t="n"/>
      <c r="AZ512" s="12" t="n"/>
      <c r="BA512" s="12" t="n"/>
      <c r="BB512" s="12" t="n"/>
      <c r="BC512" s="12" t="n"/>
      <c r="BD512" s="12" t="n"/>
      <c r="BE512" s="12" t="n"/>
      <c r="BF512" s="12" t="n"/>
    </row>
    <row r="513">
      <c r="A513" s="7">
        <f>IF(B513="","","INS-"&amp;TEXT(ROW()-3,"000"))</f>
        <v/>
      </c>
      <c r="B513" s="11" t="n"/>
      <c r="C513" s="7">
        <f>IF(B513="","",ISOWEEKNUM(B513))</f>
        <v/>
      </c>
      <c r="D513" s="7">
        <f>IF(B513="","",TEXT(B513,"yyyy-mm"))</f>
        <v/>
      </c>
      <c r="E513" s="12" t="n"/>
      <c r="F513" s="12" t="n"/>
      <c r="G513" s="7">
        <f>IF(OR(E513="",F513=""),"",IF(COUNTIF(Cluster_Master!$I$3:$I$17,E513&amp;"|"&amp;F513)=1,"Valid","Review"))</f>
        <v/>
      </c>
      <c r="H513" s="7">
        <f>IF($G513&lt;&gt;"Valid","",VLOOKUP($E513&amp;"|"&amp;$F513,Cluster_Master!$I$3:$H$17,3,FALSE))</f>
        <v/>
      </c>
      <c r="I513" s="7">
        <f>IF($G513&lt;&gt;"Valid","",VLOOKUP($E513&amp;"|"&amp;$F513,Cluster_Master!$I$3:$H$17,4,FALSE))</f>
        <v/>
      </c>
      <c r="J513" s="7">
        <f>IF($G513&lt;&gt;"Valid","",VLOOKUP($E513&amp;"|"&amp;$F513,Cluster_Master!$I$3:$H$17,5,FALSE))</f>
        <v/>
      </c>
      <c r="K513" s="7">
        <f>IF($G513&lt;&gt;"Valid","",VLOOKUP($E513&amp;"|"&amp;$F513,Cluster_Master!$I$3:$H$17,6,FALSE))</f>
        <v/>
      </c>
      <c r="L513" s="7">
        <f>IF($G513&lt;&gt;"Valid","",VLOOKUP($E513&amp;"|"&amp;$F513,Cluster_Master!$I$3:$H$17,7,FALSE))</f>
        <v/>
      </c>
      <c r="M513" s="7">
        <f>IF($G513&lt;&gt;"Valid","",VLOOKUP($E513&amp;"|"&amp;$F513,Cluster_Master!$I$3:$H$17,8,FALSE))</f>
        <v/>
      </c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7">
        <f>IF(COUNT(T513:AH513)=0,"",SUM(T513:AH513))</f>
        <v/>
      </c>
      <c r="AJ513" s="10">
        <f>IF(AI513="","",AI513/75)</f>
        <v/>
      </c>
      <c r="AK513" s="10">
        <f>IF(AI513="","",SUMPRODUCT(T513:AH513,KPI_Weights!$B$3:$B$17)/5)</f>
        <v/>
      </c>
      <c r="AL513" s="7">
        <f>IF(COUNT(T513:AH513)=0,"",IF(OR(T513&lt;=1,W513&lt;=1,X513&lt;=1,Y513&lt;=1,AB513&lt;=1),"YES","NO"))</f>
        <v/>
      </c>
      <c r="AM513" s="7">
        <f>IF(AK513="","",IF(AND(AK513="NO",AJ513&gt;=0.85),"YES","NO"))</f>
        <v/>
      </c>
      <c r="AN513" s="7">
        <f>IF(AJ513="","",IF(AJ513&gt;=0.90,"Excellent",IF(AJ513&gt;=0.80,"Good",IF(AJ513&gt;=0.70,"Fair","Poor"))))</f>
        <v/>
      </c>
      <c r="AO513" s="12" t="n"/>
      <c r="AP513" s="12" t="n"/>
      <c r="AQ513" s="12" t="n"/>
      <c r="AR513" s="12" t="n"/>
      <c r="AS513" s="12" t="n"/>
      <c r="AT513" s="12" t="n"/>
      <c r="AU513" s="12" t="n"/>
      <c r="AV513" s="11" t="n"/>
      <c r="AW513" s="12" t="n"/>
      <c r="AX513" s="12" t="n"/>
      <c r="AY513" s="12" t="n"/>
      <c r="AZ513" s="12" t="n"/>
      <c r="BA513" s="12" t="n"/>
      <c r="BB513" s="12" t="n"/>
      <c r="BC513" s="12" t="n"/>
      <c r="BD513" s="12" t="n"/>
      <c r="BE513" s="12" t="n"/>
      <c r="BF513" s="12" t="n"/>
    </row>
    <row r="514">
      <c r="A514" s="7">
        <f>IF(B514="","","INS-"&amp;TEXT(ROW()-3,"000"))</f>
        <v/>
      </c>
      <c r="B514" s="11" t="n"/>
      <c r="C514" s="7">
        <f>IF(B514="","",ISOWEEKNUM(B514))</f>
        <v/>
      </c>
      <c r="D514" s="7">
        <f>IF(B514="","",TEXT(B514,"yyyy-mm"))</f>
        <v/>
      </c>
      <c r="E514" s="12" t="n"/>
      <c r="F514" s="12" t="n"/>
      <c r="G514" s="7">
        <f>IF(OR(E514="",F514=""),"",IF(COUNTIF(Cluster_Master!$I$3:$I$17,E514&amp;"|"&amp;F514)=1,"Valid","Review"))</f>
        <v/>
      </c>
      <c r="H514" s="7">
        <f>IF($G514&lt;&gt;"Valid","",VLOOKUP($E514&amp;"|"&amp;$F514,Cluster_Master!$I$3:$H$17,3,FALSE))</f>
        <v/>
      </c>
      <c r="I514" s="7">
        <f>IF($G514&lt;&gt;"Valid","",VLOOKUP($E514&amp;"|"&amp;$F514,Cluster_Master!$I$3:$H$17,4,FALSE))</f>
        <v/>
      </c>
      <c r="J514" s="7">
        <f>IF($G514&lt;&gt;"Valid","",VLOOKUP($E514&amp;"|"&amp;$F514,Cluster_Master!$I$3:$H$17,5,FALSE))</f>
        <v/>
      </c>
      <c r="K514" s="7">
        <f>IF($G514&lt;&gt;"Valid","",VLOOKUP($E514&amp;"|"&amp;$F514,Cluster_Master!$I$3:$H$17,6,FALSE))</f>
        <v/>
      </c>
      <c r="L514" s="7">
        <f>IF($G514&lt;&gt;"Valid","",VLOOKUP($E514&amp;"|"&amp;$F514,Cluster_Master!$I$3:$H$17,7,FALSE))</f>
        <v/>
      </c>
      <c r="M514" s="7">
        <f>IF($G514&lt;&gt;"Valid","",VLOOKUP($E514&amp;"|"&amp;$F514,Cluster_Master!$I$3:$H$17,8,FALSE))</f>
        <v/>
      </c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7">
        <f>IF(COUNT(T514:AH514)=0,"",SUM(T514:AH514))</f>
        <v/>
      </c>
      <c r="AJ514" s="10">
        <f>IF(AI514="","",AI514/75)</f>
        <v/>
      </c>
      <c r="AK514" s="10">
        <f>IF(AI514="","",SUMPRODUCT(T514:AH514,KPI_Weights!$B$3:$B$17)/5)</f>
        <v/>
      </c>
      <c r="AL514" s="7">
        <f>IF(COUNT(T514:AH514)=0,"",IF(OR(T514&lt;=1,W514&lt;=1,X514&lt;=1,Y514&lt;=1,AB514&lt;=1),"YES","NO"))</f>
        <v/>
      </c>
      <c r="AM514" s="7">
        <f>IF(AK514="","",IF(AND(AK514="NO",AJ514&gt;=0.85),"YES","NO"))</f>
        <v/>
      </c>
      <c r="AN514" s="7">
        <f>IF(AJ514="","",IF(AJ514&gt;=0.90,"Excellent",IF(AJ514&gt;=0.80,"Good",IF(AJ514&gt;=0.70,"Fair","Poor"))))</f>
        <v/>
      </c>
      <c r="AO514" s="12" t="n"/>
      <c r="AP514" s="12" t="n"/>
      <c r="AQ514" s="12" t="n"/>
      <c r="AR514" s="12" t="n"/>
      <c r="AS514" s="12" t="n"/>
      <c r="AT514" s="12" t="n"/>
      <c r="AU514" s="12" t="n"/>
      <c r="AV514" s="11" t="n"/>
      <c r="AW514" s="12" t="n"/>
      <c r="AX514" s="12" t="n"/>
      <c r="AY514" s="12" t="n"/>
      <c r="AZ514" s="12" t="n"/>
      <c r="BA514" s="12" t="n"/>
      <c r="BB514" s="12" t="n"/>
      <c r="BC514" s="12" t="n"/>
      <c r="BD514" s="12" t="n"/>
      <c r="BE514" s="12" t="n"/>
      <c r="BF514" s="12" t="n"/>
    </row>
    <row r="515">
      <c r="A515" s="7">
        <f>IF(B515="","","INS-"&amp;TEXT(ROW()-3,"000"))</f>
        <v/>
      </c>
      <c r="B515" s="11" t="n"/>
      <c r="C515" s="7">
        <f>IF(B515="","",ISOWEEKNUM(B515))</f>
        <v/>
      </c>
      <c r="D515" s="7">
        <f>IF(B515="","",TEXT(B515,"yyyy-mm"))</f>
        <v/>
      </c>
      <c r="E515" s="12" t="n"/>
      <c r="F515" s="12" t="n"/>
      <c r="G515" s="7">
        <f>IF(OR(E515="",F515=""),"",IF(COUNTIF(Cluster_Master!$I$3:$I$17,E515&amp;"|"&amp;F515)=1,"Valid","Review"))</f>
        <v/>
      </c>
      <c r="H515" s="7">
        <f>IF($G515&lt;&gt;"Valid","",VLOOKUP($E515&amp;"|"&amp;$F515,Cluster_Master!$I$3:$H$17,3,FALSE))</f>
        <v/>
      </c>
      <c r="I515" s="7">
        <f>IF($G515&lt;&gt;"Valid","",VLOOKUP($E515&amp;"|"&amp;$F515,Cluster_Master!$I$3:$H$17,4,FALSE))</f>
        <v/>
      </c>
      <c r="J515" s="7">
        <f>IF($G515&lt;&gt;"Valid","",VLOOKUP($E515&amp;"|"&amp;$F515,Cluster_Master!$I$3:$H$17,5,FALSE))</f>
        <v/>
      </c>
      <c r="K515" s="7">
        <f>IF($G515&lt;&gt;"Valid","",VLOOKUP($E515&amp;"|"&amp;$F515,Cluster_Master!$I$3:$H$17,6,FALSE))</f>
        <v/>
      </c>
      <c r="L515" s="7">
        <f>IF($G515&lt;&gt;"Valid","",VLOOKUP($E515&amp;"|"&amp;$F515,Cluster_Master!$I$3:$H$17,7,FALSE))</f>
        <v/>
      </c>
      <c r="M515" s="7">
        <f>IF($G515&lt;&gt;"Valid","",VLOOKUP($E515&amp;"|"&amp;$F515,Cluster_Master!$I$3:$H$17,8,FALSE))</f>
        <v/>
      </c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7">
        <f>IF(COUNT(T515:AH515)=0,"",SUM(T515:AH515))</f>
        <v/>
      </c>
      <c r="AJ515" s="10">
        <f>IF(AI515="","",AI515/75)</f>
        <v/>
      </c>
      <c r="AK515" s="10">
        <f>IF(AI515="","",SUMPRODUCT(T515:AH515,KPI_Weights!$B$3:$B$17)/5)</f>
        <v/>
      </c>
      <c r="AL515" s="7">
        <f>IF(COUNT(T515:AH515)=0,"",IF(OR(T515&lt;=1,W515&lt;=1,X515&lt;=1,Y515&lt;=1,AB515&lt;=1),"YES","NO"))</f>
        <v/>
      </c>
      <c r="AM515" s="7">
        <f>IF(AK515="","",IF(AND(AK515="NO",AJ515&gt;=0.85),"YES","NO"))</f>
        <v/>
      </c>
      <c r="AN515" s="7">
        <f>IF(AJ515="","",IF(AJ515&gt;=0.90,"Excellent",IF(AJ515&gt;=0.80,"Good",IF(AJ515&gt;=0.70,"Fair","Poor"))))</f>
        <v/>
      </c>
      <c r="AO515" s="12" t="n"/>
      <c r="AP515" s="12" t="n"/>
      <c r="AQ515" s="12" t="n"/>
      <c r="AR515" s="12" t="n"/>
      <c r="AS515" s="12" t="n"/>
      <c r="AT515" s="12" t="n"/>
      <c r="AU515" s="12" t="n"/>
      <c r="AV515" s="11" t="n"/>
      <c r="AW515" s="12" t="n"/>
      <c r="AX515" s="12" t="n"/>
      <c r="AY515" s="12" t="n"/>
      <c r="AZ515" s="12" t="n"/>
      <c r="BA515" s="12" t="n"/>
      <c r="BB515" s="12" t="n"/>
      <c r="BC515" s="12" t="n"/>
      <c r="BD515" s="12" t="n"/>
      <c r="BE515" s="12" t="n"/>
      <c r="BF515" s="12" t="n"/>
    </row>
    <row r="516">
      <c r="A516" s="7">
        <f>IF(B516="","","INS-"&amp;TEXT(ROW()-3,"000"))</f>
        <v/>
      </c>
      <c r="B516" s="11" t="n"/>
      <c r="C516" s="7">
        <f>IF(B516="","",ISOWEEKNUM(B516))</f>
        <v/>
      </c>
      <c r="D516" s="7">
        <f>IF(B516="","",TEXT(B516,"yyyy-mm"))</f>
        <v/>
      </c>
      <c r="E516" s="12" t="n"/>
      <c r="F516" s="12" t="n"/>
      <c r="G516" s="7">
        <f>IF(OR(E516="",F516=""),"",IF(COUNTIF(Cluster_Master!$I$3:$I$17,E516&amp;"|"&amp;F516)=1,"Valid","Review"))</f>
        <v/>
      </c>
      <c r="H516" s="7">
        <f>IF($G516&lt;&gt;"Valid","",VLOOKUP($E516&amp;"|"&amp;$F516,Cluster_Master!$I$3:$H$17,3,FALSE))</f>
        <v/>
      </c>
      <c r="I516" s="7">
        <f>IF($G516&lt;&gt;"Valid","",VLOOKUP($E516&amp;"|"&amp;$F516,Cluster_Master!$I$3:$H$17,4,FALSE))</f>
        <v/>
      </c>
      <c r="J516" s="7">
        <f>IF($G516&lt;&gt;"Valid","",VLOOKUP($E516&amp;"|"&amp;$F516,Cluster_Master!$I$3:$H$17,5,FALSE))</f>
        <v/>
      </c>
      <c r="K516" s="7">
        <f>IF($G516&lt;&gt;"Valid","",VLOOKUP($E516&amp;"|"&amp;$F516,Cluster_Master!$I$3:$H$17,6,FALSE))</f>
        <v/>
      </c>
      <c r="L516" s="7">
        <f>IF($G516&lt;&gt;"Valid","",VLOOKUP($E516&amp;"|"&amp;$F516,Cluster_Master!$I$3:$H$17,7,FALSE))</f>
        <v/>
      </c>
      <c r="M516" s="7">
        <f>IF($G516&lt;&gt;"Valid","",VLOOKUP($E516&amp;"|"&amp;$F516,Cluster_Master!$I$3:$H$17,8,FALSE))</f>
        <v/>
      </c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7">
        <f>IF(COUNT(T516:AH516)=0,"",SUM(T516:AH516))</f>
        <v/>
      </c>
      <c r="AJ516" s="10">
        <f>IF(AI516="","",AI516/75)</f>
        <v/>
      </c>
      <c r="AK516" s="10">
        <f>IF(AI516="","",SUMPRODUCT(T516:AH516,KPI_Weights!$B$3:$B$17)/5)</f>
        <v/>
      </c>
      <c r="AL516" s="7">
        <f>IF(COUNT(T516:AH516)=0,"",IF(OR(T516&lt;=1,W516&lt;=1,X516&lt;=1,Y516&lt;=1,AB516&lt;=1),"YES","NO"))</f>
        <v/>
      </c>
      <c r="AM516" s="7">
        <f>IF(AK516="","",IF(AND(AK516="NO",AJ516&gt;=0.85),"YES","NO"))</f>
        <v/>
      </c>
      <c r="AN516" s="7">
        <f>IF(AJ516="","",IF(AJ516&gt;=0.90,"Excellent",IF(AJ516&gt;=0.80,"Good",IF(AJ516&gt;=0.70,"Fair","Poor"))))</f>
        <v/>
      </c>
      <c r="AO516" s="12" t="n"/>
      <c r="AP516" s="12" t="n"/>
      <c r="AQ516" s="12" t="n"/>
      <c r="AR516" s="12" t="n"/>
      <c r="AS516" s="12" t="n"/>
      <c r="AT516" s="12" t="n"/>
      <c r="AU516" s="12" t="n"/>
      <c r="AV516" s="11" t="n"/>
      <c r="AW516" s="12" t="n"/>
      <c r="AX516" s="12" t="n"/>
      <c r="AY516" s="12" t="n"/>
      <c r="AZ516" s="12" t="n"/>
      <c r="BA516" s="12" t="n"/>
      <c r="BB516" s="12" t="n"/>
      <c r="BC516" s="12" t="n"/>
      <c r="BD516" s="12" t="n"/>
      <c r="BE516" s="12" t="n"/>
      <c r="BF516" s="12" t="n"/>
    </row>
    <row r="517">
      <c r="A517" s="7">
        <f>IF(B517="","","INS-"&amp;TEXT(ROW()-3,"000"))</f>
        <v/>
      </c>
      <c r="B517" s="11" t="n"/>
      <c r="C517" s="7">
        <f>IF(B517="","",ISOWEEKNUM(B517))</f>
        <v/>
      </c>
      <c r="D517" s="7">
        <f>IF(B517="","",TEXT(B517,"yyyy-mm"))</f>
        <v/>
      </c>
      <c r="E517" s="12" t="n"/>
      <c r="F517" s="12" t="n"/>
      <c r="G517" s="7">
        <f>IF(OR(E517="",F517=""),"",IF(COUNTIF(Cluster_Master!$I$3:$I$17,E517&amp;"|"&amp;F517)=1,"Valid","Review"))</f>
        <v/>
      </c>
      <c r="H517" s="7">
        <f>IF($G517&lt;&gt;"Valid","",VLOOKUP($E517&amp;"|"&amp;$F517,Cluster_Master!$I$3:$H$17,3,FALSE))</f>
        <v/>
      </c>
      <c r="I517" s="7">
        <f>IF($G517&lt;&gt;"Valid","",VLOOKUP($E517&amp;"|"&amp;$F517,Cluster_Master!$I$3:$H$17,4,FALSE))</f>
        <v/>
      </c>
      <c r="J517" s="7">
        <f>IF($G517&lt;&gt;"Valid","",VLOOKUP($E517&amp;"|"&amp;$F517,Cluster_Master!$I$3:$H$17,5,FALSE))</f>
        <v/>
      </c>
      <c r="K517" s="7">
        <f>IF($G517&lt;&gt;"Valid","",VLOOKUP($E517&amp;"|"&amp;$F517,Cluster_Master!$I$3:$H$17,6,FALSE))</f>
        <v/>
      </c>
      <c r="L517" s="7">
        <f>IF($G517&lt;&gt;"Valid","",VLOOKUP($E517&amp;"|"&amp;$F517,Cluster_Master!$I$3:$H$17,7,FALSE))</f>
        <v/>
      </c>
      <c r="M517" s="7">
        <f>IF($G517&lt;&gt;"Valid","",VLOOKUP($E517&amp;"|"&amp;$F517,Cluster_Master!$I$3:$H$17,8,FALSE))</f>
        <v/>
      </c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7">
        <f>IF(COUNT(T517:AH517)=0,"",SUM(T517:AH517))</f>
        <v/>
      </c>
      <c r="AJ517" s="10">
        <f>IF(AI517="","",AI517/75)</f>
        <v/>
      </c>
      <c r="AK517" s="10">
        <f>IF(AI517="","",SUMPRODUCT(T517:AH517,KPI_Weights!$B$3:$B$17)/5)</f>
        <v/>
      </c>
      <c r="AL517" s="7">
        <f>IF(COUNT(T517:AH517)=0,"",IF(OR(T517&lt;=1,W517&lt;=1,X517&lt;=1,Y517&lt;=1,AB517&lt;=1),"YES","NO"))</f>
        <v/>
      </c>
      <c r="AM517" s="7">
        <f>IF(AK517="","",IF(AND(AK517="NO",AJ517&gt;=0.85),"YES","NO"))</f>
        <v/>
      </c>
      <c r="AN517" s="7">
        <f>IF(AJ517="","",IF(AJ517&gt;=0.90,"Excellent",IF(AJ517&gt;=0.80,"Good",IF(AJ517&gt;=0.70,"Fair","Poor"))))</f>
        <v/>
      </c>
      <c r="AO517" s="12" t="n"/>
      <c r="AP517" s="12" t="n"/>
      <c r="AQ517" s="12" t="n"/>
      <c r="AR517" s="12" t="n"/>
      <c r="AS517" s="12" t="n"/>
      <c r="AT517" s="12" t="n"/>
      <c r="AU517" s="12" t="n"/>
      <c r="AV517" s="11" t="n"/>
      <c r="AW517" s="12" t="n"/>
      <c r="AX517" s="12" t="n"/>
      <c r="AY517" s="12" t="n"/>
      <c r="AZ517" s="12" t="n"/>
      <c r="BA517" s="12" t="n"/>
      <c r="BB517" s="12" t="n"/>
      <c r="BC517" s="12" t="n"/>
      <c r="BD517" s="12" t="n"/>
      <c r="BE517" s="12" t="n"/>
      <c r="BF517" s="12" t="n"/>
    </row>
    <row r="518">
      <c r="A518" s="7">
        <f>IF(B518="","","INS-"&amp;TEXT(ROW()-3,"000"))</f>
        <v/>
      </c>
      <c r="B518" s="11" t="n"/>
      <c r="C518" s="7">
        <f>IF(B518="","",ISOWEEKNUM(B518))</f>
        <v/>
      </c>
      <c r="D518" s="7">
        <f>IF(B518="","",TEXT(B518,"yyyy-mm"))</f>
        <v/>
      </c>
      <c r="E518" s="12" t="n"/>
      <c r="F518" s="12" t="n"/>
      <c r="G518" s="7">
        <f>IF(OR(E518="",F518=""),"",IF(COUNTIF(Cluster_Master!$I$3:$I$17,E518&amp;"|"&amp;F518)=1,"Valid","Review"))</f>
        <v/>
      </c>
      <c r="H518" s="7">
        <f>IF($G518&lt;&gt;"Valid","",VLOOKUP($E518&amp;"|"&amp;$F518,Cluster_Master!$I$3:$H$17,3,FALSE))</f>
        <v/>
      </c>
      <c r="I518" s="7">
        <f>IF($G518&lt;&gt;"Valid","",VLOOKUP($E518&amp;"|"&amp;$F518,Cluster_Master!$I$3:$H$17,4,FALSE))</f>
        <v/>
      </c>
      <c r="J518" s="7">
        <f>IF($G518&lt;&gt;"Valid","",VLOOKUP($E518&amp;"|"&amp;$F518,Cluster_Master!$I$3:$H$17,5,FALSE))</f>
        <v/>
      </c>
      <c r="K518" s="7">
        <f>IF($G518&lt;&gt;"Valid","",VLOOKUP($E518&amp;"|"&amp;$F518,Cluster_Master!$I$3:$H$17,6,FALSE))</f>
        <v/>
      </c>
      <c r="L518" s="7">
        <f>IF($G518&lt;&gt;"Valid","",VLOOKUP($E518&amp;"|"&amp;$F518,Cluster_Master!$I$3:$H$17,7,FALSE))</f>
        <v/>
      </c>
      <c r="M518" s="7">
        <f>IF($G518&lt;&gt;"Valid","",VLOOKUP($E518&amp;"|"&amp;$F518,Cluster_Master!$I$3:$H$17,8,FALSE))</f>
        <v/>
      </c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7">
        <f>IF(COUNT(T518:AH518)=0,"",SUM(T518:AH518))</f>
        <v/>
      </c>
      <c r="AJ518" s="10">
        <f>IF(AI518="","",AI518/75)</f>
        <v/>
      </c>
      <c r="AK518" s="10">
        <f>IF(AI518="","",SUMPRODUCT(T518:AH518,KPI_Weights!$B$3:$B$17)/5)</f>
        <v/>
      </c>
      <c r="AL518" s="7">
        <f>IF(COUNT(T518:AH518)=0,"",IF(OR(T518&lt;=1,W518&lt;=1,X518&lt;=1,Y518&lt;=1,AB518&lt;=1),"YES","NO"))</f>
        <v/>
      </c>
      <c r="AM518" s="7">
        <f>IF(AK518="","",IF(AND(AK518="NO",AJ518&gt;=0.85),"YES","NO"))</f>
        <v/>
      </c>
      <c r="AN518" s="7">
        <f>IF(AJ518="","",IF(AJ518&gt;=0.90,"Excellent",IF(AJ518&gt;=0.80,"Good",IF(AJ518&gt;=0.70,"Fair","Poor"))))</f>
        <v/>
      </c>
      <c r="AO518" s="12" t="n"/>
      <c r="AP518" s="12" t="n"/>
      <c r="AQ518" s="12" t="n"/>
      <c r="AR518" s="12" t="n"/>
      <c r="AS518" s="12" t="n"/>
      <c r="AT518" s="12" t="n"/>
      <c r="AU518" s="12" t="n"/>
      <c r="AV518" s="11" t="n"/>
      <c r="AW518" s="12" t="n"/>
      <c r="AX518" s="12" t="n"/>
      <c r="AY518" s="12" t="n"/>
      <c r="AZ518" s="12" t="n"/>
      <c r="BA518" s="12" t="n"/>
      <c r="BB518" s="12" t="n"/>
      <c r="BC518" s="12" t="n"/>
      <c r="BD518" s="12" t="n"/>
      <c r="BE518" s="12" t="n"/>
      <c r="BF518" s="12" t="n"/>
    </row>
    <row r="519">
      <c r="A519" s="7">
        <f>IF(B519="","","INS-"&amp;TEXT(ROW()-3,"000"))</f>
        <v/>
      </c>
      <c r="B519" s="11" t="n"/>
      <c r="C519" s="7">
        <f>IF(B519="","",ISOWEEKNUM(B519))</f>
        <v/>
      </c>
      <c r="D519" s="7">
        <f>IF(B519="","",TEXT(B519,"yyyy-mm"))</f>
        <v/>
      </c>
      <c r="E519" s="12" t="n"/>
      <c r="F519" s="12" t="n"/>
      <c r="G519" s="7">
        <f>IF(OR(E519="",F519=""),"",IF(COUNTIF(Cluster_Master!$I$3:$I$17,E519&amp;"|"&amp;F519)=1,"Valid","Review"))</f>
        <v/>
      </c>
      <c r="H519" s="7">
        <f>IF($G519&lt;&gt;"Valid","",VLOOKUP($E519&amp;"|"&amp;$F519,Cluster_Master!$I$3:$H$17,3,FALSE))</f>
        <v/>
      </c>
      <c r="I519" s="7">
        <f>IF($G519&lt;&gt;"Valid","",VLOOKUP($E519&amp;"|"&amp;$F519,Cluster_Master!$I$3:$H$17,4,FALSE))</f>
        <v/>
      </c>
      <c r="J519" s="7">
        <f>IF($G519&lt;&gt;"Valid","",VLOOKUP($E519&amp;"|"&amp;$F519,Cluster_Master!$I$3:$H$17,5,FALSE))</f>
        <v/>
      </c>
      <c r="K519" s="7">
        <f>IF($G519&lt;&gt;"Valid","",VLOOKUP($E519&amp;"|"&amp;$F519,Cluster_Master!$I$3:$H$17,6,FALSE))</f>
        <v/>
      </c>
      <c r="L519" s="7">
        <f>IF($G519&lt;&gt;"Valid","",VLOOKUP($E519&amp;"|"&amp;$F519,Cluster_Master!$I$3:$H$17,7,FALSE))</f>
        <v/>
      </c>
      <c r="M519" s="7">
        <f>IF($G519&lt;&gt;"Valid","",VLOOKUP($E519&amp;"|"&amp;$F519,Cluster_Master!$I$3:$H$17,8,FALSE))</f>
        <v/>
      </c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7">
        <f>IF(COUNT(T519:AH519)=0,"",SUM(T519:AH519))</f>
        <v/>
      </c>
      <c r="AJ519" s="10">
        <f>IF(AI519="","",AI519/75)</f>
        <v/>
      </c>
      <c r="AK519" s="10">
        <f>IF(AI519="","",SUMPRODUCT(T519:AH519,KPI_Weights!$B$3:$B$17)/5)</f>
        <v/>
      </c>
      <c r="AL519" s="7">
        <f>IF(COUNT(T519:AH519)=0,"",IF(OR(T519&lt;=1,W519&lt;=1,X519&lt;=1,Y519&lt;=1,AB519&lt;=1),"YES","NO"))</f>
        <v/>
      </c>
      <c r="AM519" s="7">
        <f>IF(AK519="","",IF(AND(AK519="NO",AJ519&gt;=0.85),"YES","NO"))</f>
        <v/>
      </c>
      <c r="AN519" s="7">
        <f>IF(AJ519="","",IF(AJ519&gt;=0.90,"Excellent",IF(AJ519&gt;=0.80,"Good",IF(AJ519&gt;=0.70,"Fair","Poor"))))</f>
        <v/>
      </c>
      <c r="AO519" s="12" t="n"/>
      <c r="AP519" s="12" t="n"/>
      <c r="AQ519" s="12" t="n"/>
      <c r="AR519" s="12" t="n"/>
      <c r="AS519" s="12" t="n"/>
      <c r="AT519" s="12" t="n"/>
      <c r="AU519" s="12" t="n"/>
      <c r="AV519" s="11" t="n"/>
      <c r="AW519" s="12" t="n"/>
      <c r="AX519" s="12" t="n"/>
      <c r="AY519" s="12" t="n"/>
      <c r="AZ519" s="12" t="n"/>
      <c r="BA519" s="12" t="n"/>
      <c r="BB519" s="12" t="n"/>
      <c r="BC519" s="12" t="n"/>
      <c r="BD519" s="12" t="n"/>
      <c r="BE519" s="12" t="n"/>
      <c r="BF519" s="12" t="n"/>
    </row>
    <row r="520">
      <c r="A520" s="7">
        <f>IF(B520="","","INS-"&amp;TEXT(ROW()-3,"000"))</f>
        <v/>
      </c>
      <c r="B520" s="11" t="n"/>
      <c r="C520" s="7">
        <f>IF(B520="","",ISOWEEKNUM(B520))</f>
        <v/>
      </c>
      <c r="D520" s="7">
        <f>IF(B520="","",TEXT(B520,"yyyy-mm"))</f>
        <v/>
      </c>
      <c r="E520" s="12" t="n"/>
      <c r="F520" s="12" t="n"/>
      <c r="G520" s="7">
        <f>IF(OR(E520="",F520=""),"",IF(COUNTIF(Cluster_Master!$I$3:$I$17,E520&amp;"|"&amp;F520)=1,"Valid","Review"))</f>
        <v/>
      </c>
      <c r="H520" s="7">
        <f>IF($G520&lt;&gt;"Valid","",VLOOKUP($E520&amp;"|"&amp;$F520,Cluster_Master!$I$3:$H$17,3,FALSE))</f>
        <v/>
      </c>
      <c r="I520" s="7">
        <f>IF($G520&lt;&gt;"Valid","",VLOOKUP($E520&amp;"|"&amp;$F520,Cluster_Master!$I$3:$H$17,4,FALSE))</f>
        <v/>
      </c>
      <c r="J520" s="7">
        <f>IF($G520&lt;&gt;"Valid","",VLOOKUP($E520&amp;"|"&amp;$F520,Cluster_Master!$I$3:$H$17,5,FALSE))</f>
        <v/>
      </c>
      <c r="K520" s="7">
        <f>IF($G520&lt;&gt;"Valid","",VLOOKUP($E520&amp;"|"&amp;$F520,Cluster_Master!$I$3:$H$17,6,FALSE))</f>
        <v/>
      </c>
      <c r="L520" s="7">
        <f>IF($G520&lt;&gt;"Valid","",VLOOKUP($E520&amp;"|"&amp;$F520,Cluster_Master!$I$3:$H$17,7,FALSE))</f>
        <v/>
      </c>
      <c r="M520" s="7">
        <f>IF($G520&lt;&gt;"Valid","",VLOOKUP($E520&amp;"|"&amp;$F520,Cluster_Master!$I$3:$H$17,8,FALSE))</f>
        <v/>
      </c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7">
        <f>IF(COUNT(T520:AH520)=0,"",SUM(T520:AH520))</f>
        <v/>
      </c>
      <c r="AJ520" s="10">
        <f>IF(AI520="","",AI520/75)</f>
        <v/>
      </c>
      <c r="AK520" s="10">
        <f>IF(AI520="","",SUMPRODUCT(T520:AH520,KPI_Weights!$B$3:$B$17)/5)</f>
        <v/>
      </c>
      <c r="AL520" s="7">
        <f>IF(COUNT(T520:AH520)=0,"",IF(OR(T520&lt;=1,W520&lt;=1,X520&lt;=1,Y520&lt;=1,AB520&lt;=1),"YES","NO"))</f>
        <v/>
      </c>
      <c r="AM520" s="7">
        <f>IF(AK520="","",IF(AND(AK520="NO",AJ520&gt;=0.85),"YES","NO"))</f>
        <v/>
      </c>
      <c r="AN520" s="7">
        <f>IF(AJ520="","",IF(AJ520&gt;=0.90,"Excellent",IF(AJ520&gt;=0.80,"Good",IF(AJ520&gt;=0.70,"Fair","Poor"))))</f>
        <v/>
      </c>
      <c r="AO520" s="12" t="n"/>
      <c r="AP520" s="12" t="n"/>
      <c r="AQ520" s="12" t="n"/>
      <c r="AR520" s="12" t="n"/>
      <c r="AS520" s="12" t="n"/>
      <c r="AT520" s="12" t="n"/>
      <c r="AU520" s="12" t="n"/>
      <c r="AV520" s="11" t="n"/>
      <c r="AW520" s="12" t="n"/>
      <c r="AX520" s="12" t="n"/>
      <c r="AY520" s="12" t="n"/>
      <c r="AZ520" s="12" t="n"/>
      <c r="BA520" s="12" t="n"/>
      <c r="BB520" s="12" t="n"/>
      <c r="BC520" s="12" t="n"/>
      <c r="BD520" s="12" t="n"/>
      <c r="BE520" s="12" t="n"/>
      <c r="BF520" s="12" t="n"/>
    </row>
    <row r="521">
      <c r="A521" s="7">
        <f>IF(B521="","","INS-"&amp;TEXT(ROW()-3,"000"))</f>
        <v/>
      </c>
      <c r="B521" s="11" t="n"/>
      <c r="C521" s="7">
        <f>IF(B521="","",ISOWEEKNUM(B521))</f>
        <v/>
      </c>
      <c r="D521" s="7">
        <f>IF(B521="","",TEXT(B521,"yyyy-mm"))</f>
        <v/>
      </c>
      <c r="E521" s="12" t="n"/>
      <c r="F521" s="12" t="n"/>
      <c r="G521" s="7">
        <f>IF(OR(E521="",F521=""),"",IF(COUNTIF(Cluster_Master!$I$3:$I$17,E521&amp;"|"&amp;F521)=1,"Valid","Review"))</f>
        <v/>
      </c>
      <c r="H521" s="7">
        <f>IF($G521&lt;&gt;"Valid","",VLOOKUP($E521&amp;"|"&amp;$F521,Cluster_Master!$I$3:$H$17,3,FALSE))</f>
        <v/>
      </c>
      <c r="I521" s="7">
        <f>IF($G521&lt;&gt;"Valid","",VLOOKUP($E521&amp;"|"&amp;$F521,Cluster_Master!$I$3:$H$17,4,FALSE))</f>
        <v/>
      </c>
      <c r="J521" s="7">
        <f>IF($G521&lt;&gt;"Valid","",VLOOKUP($E521&amp;"|"&amp;$F521,Cluster_Master!$I$3:$H$17,5,FALSE))</f>
        <v/>
      </c>
      <c r="K521" s="7">
        <f>IF($G521&lt;&gt;"Valid","",VLOOKUP($E521&amp;"|"&amp;$F521,Cluster_Master!$I$3:$H$17,6,FALSE))</f>
        <v/>
      </c>
      <c r="L521" s="7">
        <f>IF($G521&lt;&gt;"Valid","",VLOOKUP($E521&amp;"|"&amp;$F521,Cluster_Master!$I$3:$H$17,7,FALSE))</f>
        <v/>
      </c>
      <c r="M521" s="7">
        <f>IF($G521&lt;&gt;"Valid","",VLOOKUP($E521&amp;"|"&amp;$F521,Cluster_Master!$I$3:$H$17,8,FALSE))</f>
        <v/>
      </c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7">
        <f>IF(COUNT(T521:AH521)=0,"",SUM(T521:AH521))</f>
        <v/>
      </c>
      <c r="AJ521" s="10">
        <f>IF(AI521="","",AI521/75)</f>
        <v/>
      </c>
      <c r="AK521" s="10">
        <f>IF(AI521="","",SUMPRODUCT(T521:AH521,KPI_Weights!$B$3:$B$17)/5)</f>
        <v/>
      </c>
      <c r="AL521" s="7">
        <f>IF(COUNT(T521:AH521)=0,"",IF(OR(T521&lt;=1,W521&lt;=1,X521&lt;=1,Y521&lt;=1,AB521&lt;=1),"YES","NO"))</f>
        <v/>
      </c>
      <c r="AM521" s="7">
        <f>IF(AK521="","",IF(AND(AK521="NO",AJ521&gt;=0.85),"YES","NO"))</f>
        <v/>
      </c>
      <c r="AN521" s="7">
        <f>IF(AJ521="","",IF(AJ521&gt;=0.90,"Excellent",IF(AJ521&gt;=0.80,"Good",IF(AJ521&gt;=0.70,"Fair","Poor"))))</f>
        <v/>
      </c>
      <c r="AO521" s="12" t="n"/>
      <c r="AP521" s="12" t="n"/>
      <c r="AQ521" s="12" t="n"/>
      <c r="AR521" s="12" t="n"/>
      <c r="AS521" s="12" t="n"/>
      <c r="AT521" s="12" t="n"/>
      <c r="AU521" s="12" t="n"/>
      <c r="AV521" s="11" t="n"/>
      <c r="AW521" s="12" t="n"/>
      <c r="AX521" s="12" t="n"/>
      <c r="AY521" s="12" t="n"/>
      <c r="AZ521" s="12" t="n"/>
      <c r="BA521" s="12" t="n"/>
      <c r="BB521" s="12" t="n"/>
      <c r="BC521" s="12" t="n"/>
      <c r="BD521" s="12" t="n"/>
      <c r="BE521" s="12" t="n"/>
      <c r="BF521" s="12" t="n"/>
    </row>
    <row r="522">
      <c r="A522" s="7">
        <f>IF(B522="","","INS-"&amp;TEXT(ROW()-3,"000"))</f>
        <v/>
      </c>
      <c r="B522" s="11" t="n"/>
      <c r="C522" s="7">
        <f>IF(B522="","",ISOWEEKNUM(B522))</f>
        <v/>
      </c>
      <c r="D522" s="7">
        <f>IF(B522="","",TEXT(B522,"yyyy-mm"))</f>
        <v/>
      </c>
      <c r="E522" s="12" t="n"/>
      <c r="F522" s="12" t="n"/>
      <c r="G522" s="7">
        <f>IF(OR(E522="",F522=""),"",IF(COUNTIF(Cluster_Master!$I$3:$I$17,E522&amp;"|"&amp;F522)=1,"Valid","Review"))</f>
        <v/>
      </c>
      <c r="H522" s="7">
        <f>IF($G522&lt;&gt;"Valid","",VLOOKUP($E522&amp;"|"&amp;$F522,Cluster_Master!$I$3:$H$17,3,FALSE))</f>
        <v/>
      </c>
      <c r="I522" s="7">
        <f>IF($G522&lt;&gt;"Valid","",VLOOKUP($E522&amp;"|"&amp;$F522,Cluster_Master!$I$3:$H$17,4,FALSE))</f>
        <v/>
      </c>
      <c r="J522" s="7">
        <f>IF($G522&lt;&gt;"Valid","",VLOOKUP($E522&amp;"|"&amp;$F522,Cluster_Master!$I$3:$H$17,5,FALSE))</f>
        <v/>
      </c>
      <c r="K522" s="7">
        <f>IF($G522&lt;&gt;"Valid","",VLOOKUP($E522&amp;"|"&amp;$F522,Cluster_Master!$I$3:$H$17,6,FALSE))</f>
        <v/>
      </c>
      <c r="L522" s="7">
        <f>IF($G522&lt;&gt;"Valid","",VLOOKUP($E522&amp;"|"&amp;$F522,Cluster_Master!$I$3:$H$17,7,FALSE))</f>
        <v/>
      </c>
      <c r="M522" s="7">
        <f>IF($G522&lt;&gt;"Valid","",VLOOKUP($E522&amp;"|"&amp;$F522,Cluster_Master!$I$3:$H$17,8,FALSE))</f>
        <v/>
      </c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7">
        <f>IF(COUNT(T522:AH522)=0,"",SUM(T522:AH522))</f>
        <v/>
      </c>
      <c r="AJ522" s="10">
        <f>IF(AI522="","",AI522/75)</f>
        <v/>
      </c>
      <c r="AK522" s="10">
        <f>IF(AI522="","",SUMPRODUCT(T522:AH522,KPI_Weights!$B$3:$B$17)/5)</f>
        <v/>
      </c>
      <c r="AL522" s="7">
        <f>IF(COUNT(T522:AH522)=0,"",IF(OR(T522&lt;=1,W522&lt;=1,X522&lt;=1,Y522&lt;=1,AB522&lt;=1),"YES","NO"))</f>
        <v/>
      </c>
      <c r="AM522" s="7">
        <f>IF(AK522="","",IF(AND(AK522="NO",AJ522&gt;=0.85),"YES","NO"))</f>
        <v/>
      </c>
      <c r="AN522" s="7">
        <f>IF(AJ522="","",IF(AJ522&gt;=0.90,"Excellent",IF(AJ522&gt;=0.80,"Good",IF(AJ522&gt;=0.70,"Fair","Poor"))))</f>
        <v/>
      </c>
      <c r="AO522" s="12" t="n"/>
      <c r="AP522" s="12" t="n"/>
      <c r="AQ522" s="12" t="n"/>
      <c r="AR522" s="12" t="n"/>
      <c r="AS522" s="12" t="n"/>
      <c r="AT522" s="12" t="n"/>
      <c r="AU522" s="12" t="n"/>
      <c r="AV522" s="11" t="n"/>
      <c r="AW522" s="12" t="n"/>
      <c r="AX522" s="12" t="n"/>
      <c r="AY522" s="12" t="n"/>
      <c r="AZ522" s="12" t="n"/>
      <c r="BA522" s="12" t="n"/>
      <c r="BB522" s="12" t="n"/>
      <c r="BC522" s="12" t="n"/>
      <c r="BD522" s="12" t="n"/>
      <c r="BE522" s="12" t="n"/>
      <c r="BF522" s="12" t="n"/>
    </row>
    <row r="523">
      <c r="A523" s="7">
        <f>IF(B523="","","INS-"&amp;TEXT(ROW()-3,"000"))</f>
        <v/>
      </c>
      <c r="B523" s="11" t="n"/>
      <c r="C523" s="7">
        <f>IF(B523="","",ISOWEEKNUM(B523))</f>
        <v/>
      </c>
      <c r="D523" s="7">
        <f>IF(B523="","",TEXT(B523,"yyyy-mm"))</f>
        <v/>
      </c>
      <c r="E523" s="12" t="n"/>
      <c r="F523" s="12" t="n"/>
      <c r="G523" s="7">
        <f>IF(OR(E523="",F523=""),"",IF(COUNTIF(Cluster_Master!$I$3:$I$17,E523&amp;"|"&amp;F523)=1,"Valid","Review"))</f>
        <v/>
      </c>
      <c r="H523" s="7">
        <f>IF($G523&lt;&gt;"Valid","",VLOOKUP($E523&amp;"|"&amp;$F523,Cluster_Master!$I$3:$H$17,3,FALSE))</f>
        <v/>
      </c>
      <c r="I523" s="7">
        <f>IF($G523&lt;&gt;"Valid","",VLOOKUP($E523&amp;"|"&amp;$F523,Cluster_Master!$I$3:$H$17,4,FALSE))</f>
        <v/>
      </c>
      <c r="J523" s="7">
        <f>IF($G523&lt;&gt;"Valid","",VLOOKUP($E523&amp;"|"&amp;$F523,Cluster_Master!$I$3:$H$17,5,FALSE))</f>
        <v/>
      </c>
      <c r="K523" s="7">
        <f>IF($G523&lt;&gt;"Valid","",VLOOKUP($E523&amp;"|"&amp;$F523,Cluster_Master!$I$3:$H$17,6,FALSE))</f>
        <v/>
      </c>
      <c r="L523" s="7">
        <f>IF($G523&lt;&gt;"Valid","",VLOOKUP($E523&amp;"|"&amp;$F523,Cluster_Master!$I$3:$H$17,7,FALSE))</f>
        <v/>
      </c>
      <c r="M523" s="7">
        <f>IF($G523&lt;&gt;"Valid","",VLOOKUP($E523&amp;"|"&amp;$F523,Cluster_Master!$I$3:$H$17,8,FALSE))</f>
        <v/>
      </c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7">
        <f>IF(COUNT(T523:AH523)=0,"",SUM(T523:AH523))</f>
        <v/>
      </c>
      <c r="AJ523" s="10">
        <f>IF(AI523="","",AI523/75)</f>
        <v/>
      </c>
      <c r="AK523" s="10">
        <f>IF(AI523="","",SUMPRODUCT(T523:AH523,KPI_Weights!$B$3:$B$17)/5)</f>
        <v/>
      </c>
      <c r="AL523" s="7">
        <f>IF(COUNT(T523:AH523)=0,"",IF(OR(T523&lt;=1,W523&lt;=1,X523&lt;=1,Y523&lt;=1,AB523&lt;=1),"YES","NO"))</f>
        <v/>
      </c>
      <c r="AM523" s="7">
        <f>IF(AK523="","",IF(AND(AK523="NO",AJ523&gt;=0.85),"YES","NO"))</f>
        <v/>
      </c>
      <c r="AN523" s="7">
        <f>IF(AJ523="","",IF(AJ523&gt;=0.90,"Excellent",IF(AJ523&gt;=0.80,"Good",IF(AJ523&gt;=0.70,"Fair","Poor"))))</f>
        <v/>
      </c>
      <c r="AO523" s="12" t="n"/>
      <c r="AP523" s="12" t="n"/>
      <c r="AQ523" s="12" t="n"/>
      <c r="AR523" s="12" t="n"/>
      <c r="AS523" s="12" t="n"/>
      <c r="AT523" s="12" t="n"/>
      <c r="AU523" s="12" t="n"/>
      <c r="AV523" s="11" t="n"/>
      <c r="AW523" s="12" t="n"/>
      <c r="AX523" s="12" t="n"/>
      <c r="AY523" s="12" t="n"/>
      <c r="AZ523" s="12" t="n"/>
      <c r="BA523" s="12" t="n"/>
      <c r="BB523" s="12" t="n"/>
      <c r="BC523" s="12" t="n"/>
      <c r="BD523" s="12" t="n"/>
      <c r="BE523" s="12" t="n"/>
      <c r="BF523" s="12" t="n"/>
    </row>
    <row r="524">
      <c r="A524" s="7">
        <f>IF(B524="","","INS-"&amp;TEXT(ROW()-3,"000"))</f>
        <v/>
      </c>
      <c r="B524" s="11" t="n"/>
      <c r="C524" s="7">
        <f>IF(B524="","",ISOWEEKNUM(B524))</f>
        <v/>
      </c>
      <c r="D524" s="7">
        <f>IF(B524="","",TEXT(B524,"yyyy-mm"))</f>
        <v/>
      </c>
      <c r="E524" s="12" t="n"/>
      <c r="F524" s="12" t="n"/>
      <c r="G524" s="7">
        <f>IF(OR(E524="",F524=""),"",IF(COUNTIF(Cluster_Master!$I$3:$I$17,E524&amp;"|"&amp;F524)=1,"Valid","Review"))</f>
        <v/>
      </c>
      <c r="H524" s="7">
        <f>IF($G524&lt;&gt;"Valid","",VLOOKUP($E524&amp;"|"&amp;$F524,Cluster_Master!$I$3:$H$17,3,FALSE))</f>
        <v/>
      </c>
      <c r="I524" s="7">
        <f>IF($G524&lt;&gt;"Valid","",VLOOKUP($E524&amp;"|"&amp;$F524,Cluster_Master!$I$3:$H$17,4,FALSE))</f>
        <v/>
      </c>
      <c r="J524" s="7">
        <f>IF($G524&lt;&gt;"Valid","",VLOOKUP($E524&amp;"|"&amp;$F524,Cluster_Master!$I$3:$H$17,5,FALSE))</f>
        <v/>
      </c>
      <c r="K524" s="7">
        <f>IF($G524&lt;&gt;"Valid","",VLOOKUP($E524&amp;"|"&amp;$F524,Cluster_Master!$I$3:$H$17,6,FALSE))</f>
        <v/>
      </c>
      <c r="L524" s="7">
        <f>IF($G524&lt;&gt;"Valid","",VLOOKUP($E524&amp;"|"&amp;$F524,Cluster_Master!$I$3:$H$17,7,FALSE))</f>
        <v/>
      </c>
      <c r="M524" s="7">
        <f>IF($G524&lt;&gt;"Valid","",VLOOKUP($E524&amp;"|"&amp;$F524,Cluster_Master!$I$3:$H$17,8,FALSE))</f>
        <v/>
      </c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7">
        <f>IF(COUNT(T524:AH524)=0,"",SUM(T524:AH524))</f>
        <v/>
      </c>
      <c r="AJ524" s="10">
        <f>IF(AI524="","",AI524/75)</f>
        <v/>
      </c>
      <c r="AK524" s="10">
        <f>IF(AI524="","",SUMPRODUCT(T524:AH524,KPI_Weights!$B$3:$B$17)/5)</f>
        <v/>
      </c>
      <c r="AL524" s="7">
        <f>IF(COUNT(T524:AH524)=0,"",IF(OR(T524&lt;=1,W524&lt;=1,X524&lt;=1,Y524&lt;=1,AB524&lt;=1),"YES","NO"))</f>
        <v/>
      </c>
      <c r="AM524" s="7">
        <f>IF(AK524="","",IF(AND(AK524="NO",AJ524&gt;=0.85),"YES","NO"))</f>
        <v/>
      </c>
      <c r="AN524" s="7">
        <f>IF(AJ524="","",IF(AJ524&gt;=0.90,"Excellent",IF(AJ524&gt;=0.80,"Good",IF(AJ524&gt;=0.70,"Fair","Poor"))))</f>
        <v/>
      </c>
      <c r="AO524" s="12" t="n"/>
      <c r="AP524" s="12" t="n"/>
      <c r="AQ524" s="12" t="n"/>
      <c r="AR524" s="12" t="n"/>
      <c r="AS524" s="12" t="n"/>
      <c r="AT524" s="12" t="n"/>
      <c r="AU524" s="12" t="n"/>
      <c r="AV524" s="11" t="n"/>
      <c r="AW524" s="12" t="n"/>
      <c r="AX524" s="12" t="n"/>
      <c r="AY524" s="12" t="n"/>
      <c r="AZ524" s="12" t="n"/>
      <c r="BA524" s="12" t="n"/>
      <c r="BB524" s="12" t="n"/>
      <c r="BC524" s="12" t="n"/>
      <c r="BD524" s="12" t="n"/>
      <c r="BE524" s="12" t="n"/>
      <c r="BF524" s="12" t="n"/>
    </row>
    <row r="525">
      <c r="A525" s="7">
        <f>IF(B525="","","INS-"&amp;TEXT(ROW()-3,"000"))</f>
        <v/>
      </c>
      <c r="B525" s="11" t="n"/>
      <c r="C525" s="7">
        <f>IF(B525="","",ISOWEEKNUM(B525))</f>
        <v/>
      </c>
      <c r="D525" s="7">
        <f>IF(B525="","",TEXT(B525,"yyyy-mm"))</f>
        <v/>
      </c>
      <c r="E525" s="12" t="n"/>
      <c r="F525" s="12" t="n"/>
      <c r="G525" s="7">
        <f>IF(OR(E525="",F525=""),"",IF(COUNTIF(Cluster_Master!$I$3:$I$17,E525&amp;"|"&amp;F525)=1,"Valid","Review"))</f>
        <v/>
      </c>
      <c r="H525" s="7">
        <f>IF($G525&lt;&gt;"Valid","",VLOOKUP($E525&amp;"|"&amp;$F525,Cluster_Master!$I$3:$H$17,3,FALSE))</f>
        <v/>
      </c>
      <c r="I525" s="7">
        <f>IF($G525&lt;&gt;"Valid","",VLOOKUP($E525&amp;"|"&amp;$F525,Cluster_Master!$I$3:$H$17,4,FALSE))</f>
        <v/>
      </c>
      <c r="J525" s="7">
        <f>IF($G525&lt;&gt;"Valid","",VLOOKUP($E525&amp;"|"&amp;$F525,Cluster_Master!$I$3:$H$17,5,FALSE))</f>
        <v/>
      </c>
      <c r="K525" s="7">
        <f>IF($G525&lt;&gt;"Valid","",VLOOKUP($E525&amp;"|"&amp;$F525,Cluster_Master!$I$3:$H$17,6,FALSE))</f>
        <v/>
      </c>
      <c r="L525" s="7">
        <f>IF($G525&lt;&gt;"Valid","",VLOOKUP($E525&amp;"|"&amp;$F525,Cluster_Master!$I$3:$H$17,7,FALSE))</f>
        <v/>
      </c>
      <c r="M525" s="7">
        <f>IF($G525&lt;&gt;"Valid","",VLOOKUP($E525&amp;"|"&amp;$F525,Cluster_Master!$I$3:$H$17,8,FALSE))</f>
        <v/>
      </c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7">
        <f>IF(COUNT(T525:AH525)=0,"",SUM(T525:AH525))</f>
        <v/>
      </c>
      <c r="AJ525" s="10">
        <f>IF(AI525="","",AI525/75)</f>
        <v/>
      </c>
      <c r="AK525" s="10">
        <f>IF(AI525="","",SUMPRODUCT(T525:AH525,KPI_Weights!$B$3:$B$17)/5)</f>
        <v/>
      </c>
      <c r="AL525" s="7">
        <f>IF(COUNT(T525:AH525)=0,"",IF(OR(T525&lt;=1,W525&lt;=1,X525&lt;=1,Y525&lt;=1,AB525&lt;=1),"YES","NO"))</f>
        <v/>
      </c>
      <c r="AM525" s="7">
        <f>IF(AK525="","",IF(AND(AK525="NO",AJ525&gt;=0.85),"YES","NO"))</f>
        <v/>
      </c>
      <c r="AN525" s="7">
        <f>IF(AJ525="","",IF(AJ525&gt;=0.90,"Excellent",IF(AJ525&gt;=0.80,"Good",IF(AJ525&gt;=0.70,"Fair","Poor"))))</f>
        <v/>
      </c>
      <c r="AO525" s="12" t="n"/>
      <c r="AP525" s="12" t="n"/>
      <c r="AQ525" s="12" t="n"/>
      <c r="AR525" s="12" t="n"/>
      <c r="AS525" s="12" t="n"/>
      <c r="AT525" s="12" t="n"/>
      <c r="AU525" s="12" t="n"/>
      <c r="AV525" s="11" t="n"/>
      <c r="AW525" s="12" t="n"/>
      <c r="AX525" s="12" t="n"/>
      <c r="AY525" s="12" t="n"/>
      <c r="AZ525" s="12" t="n"/>
      <c r="BA525" s="12" t="n"/>
      <c r="BB525" s="12" t="n"/>
      <c r="BC525" s="12" t="n"/>
      <c r="BD525" s="12" t="n"/>
      <c r="BE525" s="12" t="n"/>
      <c r="BF525" s="12" t="n"/>
    </row>
    <row r="526">
      <c r="A526" s="7">
        <f>IF(B526="","","INS-"&amp;TEXT(ROW()-3,"000"))</f>
        <v/>
      </c>
      <c r="B526" s="11" t="n"/>
      <c r="C526" s="7">
        <f>IF(B526="","",ISOWEEKNUM(B526))</f>
        <v/>
      </c>
      <c r="D526" s="7">
        <f>IF(B526="","",TEXT(B526,"yyyy-mm"))</f>
        <v/>
      </c>
      <c r="E526" s="12" t="n"/>
      <c r="F526" s="12" t="n"/>
      <c r="G526" s="7">
        <f>IF(OR(E526="",F526=""),"",IF(COUNTIF(Cluster_Master!$I$3:$I$17,E526&amp;"|"&amp;F526)=1,"Valid","Review"))</f>
        <v/>
      </c>
      <c r="H526" s="7">
        <f>IF($G526&lt;&gt;"Valid","",VLOOKUP($E526&amp;"|"&amp;$F526,Cluster_Master!$I$3:$H$17,3,FALSE))</f>
        <v/>
      </c>
      <c r="I526" s="7">
        <f>IF($G526&lt;&gt;"Valid","",VLOOKUP($E526&amp;"|"&amp;$F526,Cluster_Master!$I$3:$H$17,4,FALSE))</f>
        <v/>
      </c>
      <c r="J526" s="7">
        <f>IF($G526&lt;&gt;"Valid","",VLOOKUP($E526&amp;"|"&amp;$F526,Cluster_Master!$I$3:$H$17,5,FALSE))</f>
        <v/>
      </c>
      <c r="K526" s="7">
        <f>IF($G526&lt;&gt;"Valid","",VLOOKUP($E526&amp;"|"&amp;$F526,Cluster_Master!$I$3:$H$17,6,FALSE))</f>
        <v/>
      </c>
      <c r="L526" s="7">
        <f>IF($G526&lt;&gt;"Valid","",VLOOKUP($E526&amp;"|"&amp;$F526,Cluster_Master!$I$3:$H$17,7,FALSE))</f>
        <v/>
      </c>
      <c r="M526" s="7">
        <f>IF($G526&lt;&gt;"Valid","",VLOOKUP($E526&amp;"|"&amp;$F526,Cluster_Master!$I$3:$H$17,8,FALSE))</f>
        <v/>
      </c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7">
        <f>IF(COUNT(T526:AH526)=0,"",SUM(T526:AH526))</f>
        <v/>
      </c>
      <c r="AJ526" s="10">
        <f>IF(AI526="","",AI526/75)</f>
        <v/>
      </c>
      <c r="AK526" s="10">
        <f>IF(AI526="","",SUMPRODUCT(T526:AH526,KPI_Weights!$B$3:$B$17)/5)</f>
        <v/>
      </c>
      <c r="AL526" s="7">
        <f>IF(COUNT(T526:AH526)=0,"",IF(OR(T526&lt;=1,W526&lt;=1,X526&lt;=1,Y526&lt;=1,AB526&lt;=1),"YES","NO"))</f>
        <v/>
      </c>
      <c r="AM526" s="7">
        <f>IF(AK526="","",IF(AND(AK526="NO",AJ526&gt;=0.85),"YES","NO"))</f>
        <v/>
      </c>
      <c r="AN526" s="7">
        <f>IF(AJ526="","",IF(AJ526&gt;=0.90,"Excellent",IF(AJ526&gt;=0.80,"Good",IF(AJ526&gt;=0.70,"Fair","Poor"))))</f>
        <v/>
      </c>
      <c r="AO526" s="12" t="n"/>
      <c r="AP526" s="12" t="n"/>
      <c r="AQ526" s="12" t="n"/>
      <c r="AR526" s="12" t="n"/>
      <c r="AS526" s="12" t="n"/>
      <c r="AT526" s="12" t="n"/>
      <c r="AU526" s="12" t="n"/>
      <c r="AV526" s="11" t="n"/>
      <c r="AW526" s="12" t="n"/>
      <c r="AX526" s="12" t="n"/>
      <c r="AY526" s="12" t="n"/>
      <c r="AZ526" s="12" t="n"/>
      <c r="BA526" s="12" t="n"/>
      <c r="BB526" s="12" t="n"/>
      <c r="BC526" s="12" t="n"/>
      <c r="BD526" s="12" t="n"/>
      <c r="BE526" s="12" t="n"/>
      <c r="BF526" s="12" t="n"/>
    </row>
    <row r="527">
      <c r="A527" s="7">
        <f>IF(B527="","","INS-"&amp;TEXT(ROW()-3,"000"))</f>
        <v/>
      </c>
      <c r="B527" s="11" t="n"/>
      <c r="C527" s="7">
        <f>IF(B527="","",ISOWEEKNUM(B527))</f>
        <v/>
      </c>
      <c r="D527" s="7">
        <f>IF(B527="","",TEXT(B527,"yyyy-mm"))</f>
        <v/>
      </c>
      <c r="E527" s="12" t="n"/>
      <c r="F527" s="12" t="n"/>
      <c r="G527" s="7">
        <f>IF(OR(E527="",F527=""),"",IF(COUNTIF(Cluster_Master!$I$3:$I$17,E527&amp;"|"&amp;F527)=1,"Valid","Review"))</f>
        <v/>
      </c>
      <c r="H527" s="7">
        <f>IF($G527&lt;&gt;"Valid","",VLOOKUP($E527&amp;"|"&amp;$F527,Cluster_Master!$I$3:$H$17,3,FALSE))</f>
        <v/>
      </c>
      <c r="I527" s="7">
        <f>IF($G527&lt;&gt;"Valid","",VLOOKUP($E527&amp;"|"&amp;$F527,Cluster_Master!$I$3:$H$17,4,FALSE))</f>
        <v/>
      </c>
      <c r="J527" s="7">
        <f>IF($G527&lt;&gt;"Valid","",VLOOKUP($E527&amp;"|"&amp;$F527,Cluster_Master!$I$3:$H$17,5,FALSE))</f>
        <v/>
      </c>
      <c r="K527" s="7">
        <f>IF($G527&lt;&gt;"Valid","",VLOOKUP($E527&amp;"|"&amp;$F527,Cluster_Master!$I$3:$H$17,6,FALSE))</f>
        <v/>
      </c>
      <c r="L527" s="7">
        <f>IF($G527&lt;&gt;"Valid","",VLOOKUP($E527&amp;"|"&amp;$F527,Cluster_Master!$I$3:$H$17,7,FALSE))</f>
        <v/>
      </c>
      <c r="M527" s="7">
        <f>IF($G527&lt;&gt;"Valid","",VLOOKUP($E527&amp;"|"&amp;$F527,Cluster_Master!$I$3:$H$17,8,FALSE))</f>
        <v/>
      </c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7">
        <f>IF(COUNT(T527:AH527)=0,"",SUM(T527:AH527))</f>
        <v/>
      </c>
      <c r="AJ527" s="10">
        <f>IF(AI527="","",AI527/75)</f>
        <v/>
      </c>
      <c r="AK527" s="10">
        <f>IF(AI527="","",SUMPRODUCT(T527:AH527,KPI_Weights!$B$3:$B$17)/5)</f>
        <v/>
      </c>
      <c r="AL527" s="7">
        <f>IF(COUNT(T527:AH527)=0,"",IF(OR(T527&lt;=1,W527&lt;=1,X527&lt;=1,Y527&lt;=1,AB527&lt;=1),"YES","NO"))</f>
        <v/>
      </c>
      <c r="AM527" s="7">
        <f>IF(AK527="","",IF(AND(AK527="NO",AJ527&gt;=0.85),"YES","NO"))</f>
        <v/>
      </c>
      <c r="AN527" s="7">
        <f>IF(AJ527="","",IF(AJ527&gt;=0.90,"Excellent",IF(AJ527&gt;=0.80,"Good",IF(AJ527&gt;=0.70,"Fair","Poor"))))</f>
        <v/>
      </c>
      <c r="AO527" s="12" t="n"/>
      <c r="AP527" s="12" t="n"/>
      <c r="AQ527" s="12" t="n"/>
      <c r="AR527" s="12" t="n"/>
      <c r="AS527" s="12" t="n"/>
      <c r="AT527" s="12" t="n"/>
      <c r="AU527" s="12" t="n"/>
      <c r="AV527" s="11" t="n"/>
      <c r="AW527" s="12" t="n"/>
      <c r="AX527" s="12" t="n"/>
      <c r="AY527" s="12" t="n"/>
      <c r="AZ527" s="12" t="n"/>
      <c r="BA527" s="12" t="n"/>
      <c r="BB527" s="12" t="n"/>
      <c r="BC527" s="12" t="n"/>
      <c r="BD527" s="12" t="n"/>
      <c r="BE527" s="12" t="n"/>
      <c r="BF527" s="12" t="n"/>
    </row>
    <row r="528">
      <c r="A528" s="7">
        <f>IF(B528="","","INS-"&amp;TEXT(ROW()-3,"000"))</f>
        <v/>
      </c>
      <c r="B528" s="11" t="n"/>
      <c r="C528" s="7">
        <f>IF(B528="","",ISOWEEKNUM(B528))</f>
        <v/>
      </c>
      <c r="D528" s="7">
        <f>IF(B528="","",TEXT(B528,"yyyy-mm"))</f>
        <v/>
      </c>
      <c r="E528" s="12" t="n"/>
      <c r="F528" s="12" t="n"/>
      <c r="G528" s="7">
        <f>IF(OR(E528="",F528=""),"",IF(COUNTIF(Cluster_Master!$I$3:$I$17,E528&amp;"|"&amp;F528)=1,"Valid","Review"))</f>
        <v/>
      </c>
      <c r="H528" s="7">
        <f>IF($G528&lt;&gt;"Valid","",VLOOKUP($E528&amp;"|"&amp;$F528,Cluster_Master!$I$3:$H$17,3,FALSE))</f>
        <v/>
      </c>
      <c r="I528" s="7">
        <f>IF($G528&lt;&gt;"Valid","",VLOOKUP($E528&amp;"|"&amp;$F528,Cluster_Master!$I$3:$H$17,4,FALSE))</f>
        <v/>
      </c>
      <c r="J528" s="7">
        <f>IF($G528&lt;&gt;"Valid","",VLOOKUP($E528&amp;"|"&amp;$F528,Cluster_Master!$I$3:$H$17,5,FALSE))</f>
        <v/>
      </c>
      <c r="K528" s="7">
        <f>IF($G528&lt;&gt;"Valid","",VLOOKUP($E528&amp;"|"&amp;$F528,Cluster_Master!$I$3:$H$17,6,FALSE))</f>
        <v/>
      </c>
      <c r="L528" s="7">
        <f>IF($G528&lt;&gt;"Valid","",VLOOKUP($E528&amp;"|"&amp;$F528,Cluster_Master!$I$3:$H$17,7,FALSE))</f>
        <v/>
      </c>
      <c r="M528" s="7">
        <f>IF($G528&lt;&gt;"Valid","",VLOOKUP($E528&amp;"|"&amp;$F528,Cluster_Master!$I$3:$H$17,8,FALSE))</f>
        <v/>
      </c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7">
        <f>IF(COUNT(T528:AH528)=0,"",SUM(T528:AH528))</f>
        <v/>
      </c>
      <c r="AJ528" s="10">
        <f>IF(AI528="","",AI528/75)</f>
        <v/>
      </c>
      <c r="AK528" s="10">
        <f>IF(AI528="","",SUMPRODUCT(T528:AH528,KPI_Weights!$B$3:$B$17)/5)</f>
        <v/>
      </c>
      <c r="AL528" s="7">
        <f>IF(COUNT(T528:AH528)=0,"",IF(OR(T528&lt;=1,W528&lt;=1,X528&lt;=1,Y528&lt;=1,AB528&lt;=1),"YES","NO"))</f>
        <v/>
      </c>
      <c r="AM528" s="7">
        <f>IF(AK528="","",IF(AND(AK528="NO",AJ528&gt;=0.85),"YES","NO"))</f>
        <v/>
      </c>
      <c r="AN528" s="7">
        <f>IF(AJ528="","",IF(AJ528&gt;=0.90,"Excellent",IF(AJ528&gt;=0.80,"Good",IF(AJ528&gt;=0.70,"Fair","Poor"))))</f>
        <v/>
      </c>
      <c r="AO528" s="12" t="n"/>
      <c r="AP528" s="12" t="n"/>
      <c r="AQ528" s="12" t="n"/>
      <c r="AR528" s="12" t="n"/>
      <c r="AS528" s="12" t="n"/>
      <c r="AT528" s="12" t="n"/>
      <c r="AU528" s="12" t="n"/>
      <c r="AV528" s="11" t="n"/>
      <c r="AW528" s="12" t="n"/>
      <c r="AX528" s="12" t="n"/>
      <c r="AY528" s="12" t="n"/>
      <c r="AZ528" s="12" t="n"/>
      <c r="BA528" s="12" t="n"/>
      <c r="BB528" s="12" t="n"/>
      <c r="BC528" s="12" t="n"/>
      <c r="BD528" s="12" t="n"/>
      <c r="BE528" s="12" t="n"/>
      <c r="BF528" s="12" t="n"/>
    </row>
    <row r="529">
      <c r="A529" s="7">
        <f>IF(B529="","","INS-"&amp;TEXT(ROW()-3,"000"))</f>
        <v/>
      </c>
      <c r="B529" s="11" t="n"/>
      <c r="C529" s="7">
        <f>IF(B529="","",ISOWEEKNUM(B529))</f>
        <v/>
      </c>
      <c r="D529" s="7">
        <f>IF(B529="","",TEXT(B529,"yyyy-mm"))</f>
        <v/>
      </c>
      <c r="E529" s="12" t="n"/>
      <c r="F529" s="12" t="n"/>
      <c r="G529" s="7">
        <f>IF(OR(E529="",F529=""),"",IF(COUNTIF(Cluster_Master!$I$3:$I$17,E529&amp;"|"&amp;F529)=1,"Valid","Review"))</f>
        <v/>
      </c>
      <c r="H529" s="7">
        <f>IF($G529&lt;&gt;"Valid","",VLOOKUP($E529&amp;"|"&amp;$F529,Cluster_Master!$I$3:$H$17,3,FALSE))</f>
        <v/>
      </c>
      <c r="I529" s="7">
        <f>IF($G529&lt;&gt;"Valid","",VLOOKUP($E529&amp;"|"&amp;$F529,Cluster_Master!$I$3:$H$17,4,FALSE))</f>
        <v/>
      </c>
      <c r="J529" s="7">
        <f>IF($G529&lt;&gt;"Valid","",VLOOKUP($E529&amp;"|"&amp;$F529,Cluster_Master!$I$3:$H$17,5,FALSE))</f>
        <v/>
      </c>
      <c r="K529" s="7">
        <f>IF($G529&lt;&gt;"Valid","",VLOOKUP($E529&amp;"|"&amp;$F529,Cluster_Master!$I$3:$H$17,6,FALSE))</f>
        <v/>
      </c>
      <c r="L529" s="7">
        <f>IF($G529&lt;&gt;"Valid","",VLOOKUP($E529&amp;"|"&amp;$F529,Cluster_Master!$I$3:$H$17,7,FALSE))</f>
        <v/>
      </c>
      <c r="M529" s="7">
        <f>IF($G529&lt;&gt;"Valid","",VLOOKUP($E529&amp;"|"&amp;$F529,Cluster_Master!$I$3:$H$17,8,FALSE))</f>
        <v/>
      </c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7">
        <f>IF(COUNT(T529:AH529)=0,"",SUM(T529:AH529))</f>
        <v/>
      </c>
      <c r="AJ529" s="10">
        <f>IF(AI529="","",AI529/75)</f>
        <v/>
      </c>
      <c r="AK529" s="10">
        <f>IF(AI529="","",SUMPRODUCT(T529:AH529,KPI_Weights!$B$3:$B$17)/5)</f>
        <v/>
      </c>
      <c r="AL529" s="7">
        <f>IF(COUNT(T529:AH529)=0,"",IF(OR(T529&lt;=1,W529&lt;=1,X529&lt;=1,Y529&lt;=1,AB529&lt;=1),"YES","NO"))</f>
        <v/>
      </c>
      <c r="AM529" s="7">
        <f>IF(AK529="","",IF(AND(AK529="NO",AJ529&gt;=0.85),"YES","NO"))</f>
        <v/>
      </c>
      <c r="AN529" s="7">
        <f>IF(AJ529="","",IF(AJ529&gt;=0.90,"Excellent",IF(AJ529&gt;=0.80,"Good",IF(AJ529&gt;=0.70,"Fair","Poor"))))</f>
        <v/>
      </c>
      <c r="AO529" s="12" t="n"/>
      <c r="AP529" s="12" t="n"/>
      <c r="AQ529" s="12" t="n"/>
      <c r="AR529" s="12" t="n"/>
      <c r="AS529" s="12" t="n"/>
      <c r="AT529" s="12" t="n"/>
      <c r="AU529" s="12" t="n"/>
      <c r="AV529" s="11" t="n"/>
      <c r="AW529" s="12" t="n"/>
      <c r="AX529" s="12" t="n"/>
      <c r="AY529" s="12" t="n"/>
      <c r="AZ529" s="12" t="n"/>
      <c r="BA529" s="12" t="n"/>
      <c r="BB529" s="12" t="n"/>
      <c r="BC529" s="12" t="n"/>
      <c r="BD529" s="12" t="n"/>
      <c r="BE529" s="12" t="n"/>
      <c r="BF529" s="12" t="n"/>
    </row>
    <row r="530">
      <c r="A530" s="7">
        <f>IF(B530="","","INS-"&amp;TEXT(ROW()-3,"000"))</f>
        <v/>
      </c>
      <c r="B530" s="11" t="n"/>
      <c r="C530" s="7">
        <f>IF(B530="","",ISOWEEKNUM(B530))</f>
        <v/>
      </c>
      <c r="D530" s="7">
        <f>IF(B530="","",TEXT(B530,"yyyy-mm"))</f>
        <v/>
      </c>
      <c r="E530" s="12" t="n"/>
      <c r="F530" s="12" t="n"/>
      <c r="G530" s="7">
        <f>IF(OR(E530="",F530=""),"",IF(COUNTIF(Cluster_Master!$I$3:$I$17,E530&amp;"|"&amp;F530)=1,"Valid","Review"))</f>
        <v/>
      </c>
      <c r="H530" s="7">
        <f>IF($G530&lt;&gt;"Valid","",VLOOKUP($E530&amp;"|"&amp;$F530,Cluster_Master!$I$3:$H$17,3,FALSE))</f>
        <v/>
      </c>
      <c r="I530" s="7">
        <f>IF($G530&lt;&gt;"Valid","",VLOOKUP($E530&amp;"|"&amp;$F530,Cluster_Master!$I$3:$H$17,4,FALSE))</f>
        <v/>
      </c>
      <c r="J530" s="7">
        <f>IF($G530&lt;&gt;"Valid","",VLOOKUP($E530&amp;"|"&amp;$F530,Cluster_Master!$I$3:$H$17,5,FALSE))</f>
        <v/>
      </c>
      <c r="K530" s="7">
        <f>IF($G530&lt;&gt;"Valid","",VLOOKUP($E530&amp;"|"&amp;$F530,Cluster_Master!$I$3:$H$17,6,FALSE))</f>
        <v/>
      </c>
      <c r="L530" s="7">
        <f>IF($G530&lt;&gt;"Valid","",VLOOKUP($E530&amp;"|"&amp;$F530,Cluster_Master!$I$3:$H$17,7,FALSE))</f>
        <v/>
      </c>
      <c r="M530" s="7">
        <f>IF($G530&lt;&gt;"Valid","",VLOOKUP($E530&amp;"|"&amp;$F530,Cluster_Master!$I$3:$H$17,8,FALSE))</f>
        <v/>
      </c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7">
        <f>IF(COUNT(T530:AH530)=0,"",SUM(T530:AH530))</f>
        <v/>
      </c>
      <c r="AJ530" s="10">
        <f>IF(AI530="","",AI530/75)</f>
        <v/>
      </c>
      <c r="AK530" s="10">
        <f>IF(AI530="","",SUMPRODUCT(T530:AH530,KPI_Weights!$B$3:$B$17)/5)</f>
        <v/>
      </c>
      <c r="AL530" s="7">
        <f>IF(COUNT(T530:AH530)=0,"",IF(OR(T530&lt;=1,W530&lt;=1,X530&lt;=1,Y530&lt;=1,AB530&lt;=1),"YES","NO"))</f>
        <v/>
      </c>
      <c r="AM530" s="7">
        <f>IF(AK530="","",IF(AND(AK530="NO",AJ530&gt;=0.85),"YES","NO"))</f>
        <v/>
      </c>
      <c r="AN530" s="7">
        <f>IF(AJ530="","",IF(AJ530&gt;=0.90,"Excellent",IF(AJ530&gt;=0.80,"Good",IF(AJ530&gt;=0.70,"Fair","Poor"))))</f>
        <v/>
      </c>
      <c r="AO530" s="12" t="n"/>
      <c r="AP530" s="12" t="n"/>
      <c r="AQ530" s="12" t="n"/>
      <c r="AR530" s="12" t="n"/>
      <c r="AS530" s="12" t="n"/>
      <c r="AT530" s="12" t="n"/>
      <c r="AU530" s="12" t="n"/>
      <c r="AV530" s="11" t="n"/>
      <c r="AW530" s="12" t="n"/>
      <c r="AX530" s="12" t="n"/>
      <c r="AY530" s="12" t="n"/>
      <c r="AZ530" s="12" t="n"/>
      <c r="BA530" s="12" t="n"/>
      <c r="BB530" s="12" t="n"/>
      <c r="BC530" s="12" t="n"/>
      <c r="BD530" s="12" t="n"/>
      <c r="BE530" s="12" t="n"/>
      <c r="BF530" s="12" t="n"/>
    </row>
    <row r="531">
      <c r="A531" s="7">
        <f>IF(B531="","","INS-"&amp;TEXT(ROW()-3,"000"))</f>
        <v/>
      </c>
      <c r="B531" s="11" t="n"/>
      <c r="C531" s="7">
        <f>IF(B531="","",ISOWEEKNUM(B531))</f>
        <v/>
      </c>
      <c r="D531" s="7">
        <f>IF(B531="","",TEXT(B531,"yyyy-mm"))</f>
        <v/>
      </c>
      <c r="E531" s="12" t="n"/>
      <c r="F531" s="12" t="n"/>
      <c r="G531" s="7">
        <f>IF(OR(E531="",F531=""),"",IF(COUNTIF(Cluster_Master!$I$3:$I$17,E531&amp;"|"&amp;F531)=1,"Valid","Review"))</f>
        <v/>
      </c>
      <c r="H531" s="7">
        <f>IF($G531&lt;&gt;"Valid","",VLOOKUP($E531&amp;"|"&amp;$F531,Cluster_Master!$I$3:$H$17,3,FALSE))</f>
        <v/>
      </c>
      <c r="I531" s="7">
        <f>IF($G531&lt;&gt;"Valid","",VLOOKUP($E531&amp;"|"&amp;$F531,Cluster_Master!$I$3:$H$17,4,FALSE))</f>
        <v/>
      </c>
      <c r="J531" s="7">
        <f>IF($G531&lt;&gt;"Valid","",VLOOKUP($E531&amp;"|"&amp;$F531,Cluster_Master!$I$3:$H$17,5,FALSE))</f>
        <v/>
      </c>
      <c r="K531" s="7">
        <f>IF($G531&lt;&gt;"Valid","",VLOOKUP($E531&amp;"|"&amp;$F531,Cluster_Master!$I$3:$H$17,6,FALSE))</f>
        <v/>
      </c>
      <c r="L531" s="7">
        <f>IF($G531&lt;&gt;"Valid","",VLOOKUP($E531&amp;"|"&amp;$F531,Cluster_Master!$I$3:$H$17,7,FALSE))</f>
        <v/>
      </c>
      <c r="M531" s="7">
        <f>IF($G531&lt;&gt;"Valid","",VLOOKUP($E531&amp;"|"&amp;$F531,Cluster_Master!$I$3:$H$17,8,FALSE))</f>
        <v/>
      </c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7">
        <f>IF(COUNT(T531:AH531)=0,"",SUM(T531:AH531))</f>
        <v/>
      </c>
      <c r="AJ531" s="10">
        <f>IF(AI531="","",AI531/75)</f>
        <v/>
      </c>
      <c r="AK531" s="10">
        <f>IF(AI531="","",SUMPRODUCT(T531:AH531,KPI_Weights!$B$3:$B$17)/5)</f>
        <v/>
      </c>
      <c r="AL531" s="7">
        <f>IF(COUNT(T531:AH531)=0,"",IF(OR(T531&lt;=1,W531&lt;=1,X531&lt;=1,Y531&lt;=1,AB531&lt;=1),"YES","NO"))</f>
        <v/>
      </c>
      <c r="AM531" s="7">
        <f>IF(AK531="","",IF(AND(AK531="NO",AJ531&gt;=0.85),"YES","NO"))</f>
        <v/>
      </c>
      <c r="AN531" s="7">
        <f>IF(AJ531="","",IF(AJ531&gt;=0.90,"Excellent",IF(AJ531&gt;=0.80,"Good",IF(AJ531&gt;=0.70,"Fair","Poor"))))</f>
        <v/>
      </c>
      <c r="AO531" s="12" t="n"/>
      <c r="AP531" s="12" t="n"/>
      <c r="AQ531" s="12" t="n"/>
      <c r="AR531" s="12" t="n"/>
      <c r="AS531" s="12" t="n"/>
      <c r="AT531" s="12" t="n"/>
      <c r="AU531" s="12" t="n"/>
      <c r="AV531" s="11" t="n"/>
      <c r="AW531" s="12" t="n"/>
      <c r="AX531" s="12" t="n"/>
      <c r="AY531" s="12" t="n"/>
      <c r="AZ531" s="12" t="n"/>
      <c r="BA531" s="12" t="n"/>
      <c r="BB531" s="12" t="n"/>
      <c r="BC531" s="12" t="n"/>
      <c r="BD531" s="12" t="n"/>
      <c r="BE531" s="12" t="n"/>
      <c r="BF531" s="12" t="n"/>
    </row>
    <row r="532">
      <c r="A532" s="7">
        <f>IF(B532="","","INS-"&amp;TEXT(ROW()-3,"000"))</f>
        <v/>
      </c>
      <c r="B532" s="11" t="n"/>
      <c r="C532" s="7">
        <f>IF(B532="","",ISOWEEKNUM(B532))</f>
        <v/>
      </c>
      <c r="D532" s="7">
        <f>IF(B532="","",TEXT(B532,"yyyy-mm"))</f>
        <v/>
      </c>
      <c r="E532" s="12" t="n"/>
      <c r="F532" s="12" t="n"/>
      <c r="G532" s="7">
        <f>IF(OR(E532="",F532=""),"",IF(COUNTIF(Cluster_Master!$I$3:$I$17,E532&amp;"|"&amp;F532)=1,"Valid","Review"))</f>
        <v/>
      </c>
      <c r="H532" s="7">
        <f>IF($G532&lt;&gt;"Valid","",VLOOKUP($E532&amp;"|"&amp;$F532,Cluster_Master!$I$3:$H$17,3,FALSE))</f>
        <v/>
      </c>
      <c r="I532" s="7">
        <f>IF($G532&lt;&gt;"Valid","",VLOOKUP($E532&amp;"|"&amp;$F532,Cluster_Master!$I$3:$H$17,4,FALSE))</f>
        <v/>
      </c>
      <c r="J532" s="7">
        <f>IF($G532&lt;&gt;"Valid","",VLOOKUP($E532&amp;"|"&amp;$F532,Cluster_Master!$I$3:$H$17,5,FALSE))</f>
        <v/>
      </c>
      <c r="K532" s="7">
        <f>IF($G532&lt;&gt;"Valid","",VLOOKUP($E532&amp;"|"&amp;$F532,Cluster_Master!$I$3:$H$17,6,FALSE))</f>
        <v/>
      </c>
      <c r="L532" s="7">
        <f>IF($G532&lt;&gt;"Valid","",VLOOKUP($E532&amp;"|"&amp;$F532,Cluster_Master!$I$3:$H$17,7,FALSE))</f>
        <v/>
      </c>
      <c r="M532" s="7">
        <f>IF($G532&lt;&gt;"Valid","",VLOOKUP($E532&amp;"|"&amp;$F532,Cluster_Master!$I$3:$H$17,8,FALSE))</f>
        <v/>
      </c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7">
        <f>IF(COUNT(T532:AH532)=0,"",SUM(T532:AH532))</f>
        <v/>
      </c>
      <c r="AJ532" s="10">
        <f>IF(AI532="","",AI532/75)</f>
        <v/>
      </c>
      <c r="AK532" s="10">
        <f>IF(AI532="","",SUMPRODUCT(T532:AH532,KPI_Weights!$B$3:$B$17)/5)</f>
        <v/>
      </c>
      <c r="AL532" s="7">
        <f>IF(COUNT(T532:AH532)=0,"",IF(OR(T532&lt;=1,W532&lt;=1,X532&lt;=1,Y532&lt;=1,AB532&lt;=1),"YES","NO"))</f>
        <v/>
      </c>
      <c r="AM532" s="7">
        <f>IF(AK532="","",IF(AND(AK532="NO",AJ532&gt;=0.85),"YES","NO"))</f>
        <v/>
      </c>
      <c r="AN532" s="7">
        <f>IF(AJ532="","",IF(AJ532&gt;=0.90,"Excellent",IF(AJ532&gt;=0.80,"Good",IF(AJ532&gt;=0.70,"Fair","Poor"))))</f>
        <v/>
      </c>
      <c r="AO532" s="12" t="n"/>
      <c r="AP532" s="12" t="n"/>
      <c r="AQ532" s="12" t="n"/>
      <c r="AR532" s="12" t="n"/>
      <c r="AS532" s="12" t="n"/>
      <c r="AT532" s="12" t="n"/>
      <c r="AU532" s="12" t="n"/>
      <c r="AV532" s="11" t="n"/>
      <c r="AW532" s="12" t="n"/>
      <c r="AX532" s="12" t="n"/>
      <c r="AY532" s="12" t="n"/>
      <c r="AZ532" s="12" t="n"/>
      <c r="BA532" s="12" t="n"/>
      <c r="BB532" s="12" t="n"/>
      <c r="BC532" s="12" t="n"/>
      <c r="BD532" s="12" t="n"/>
      <c r="BE532" s="12" t="n"/>
      <c r="BF532" s="12" t="n"/>
    </row>
    <row r="533">
      <c r="A533" s="7">
        <f>IF(B533="","","INS-"&amp;TEXT(ROW()-3,"000"))</f>
        <v/>
      </c>
      <c r="B533" s="11" t="n"/>
      <c r="C533" s="7">
        <f>IF(B533="","",ISOWEEKNUM(B533))</f>
        <v/>
      </c>
      <c r="D533" s="7">
        <f>IF(B533="","",TEXT(B533,"yyyy-mm"))</f>
        <v/>
      </c>
      <c r="E533" s="12" t="n"/>
      <c r="F533" s="12" t="n"/>
      <c r="G533" s="7">
        <f>IF(OR(E533="",F533=""),"",IF(COUNTIF(Cluster_Master!$I$3:$I$17,E533&amp;"|"&amp;F533)=1,"Valid","Review"))</f>
        <v/>
      </c>
      <c r="H533" s="7">
        <f>IF($G533&lt;&gt;"Valid","",VLOOKUP($E533&amp;"|"&amp;$F533,Cluster_Master!$I$3:$H$17,3,FALSE))</f>
        <v/>
      </c>
      <c r="I533" s="7">
        <f>IF($G533&lt;&gt;"Valid","",VLOOKUP($E533&amp;"|"&amp;$F533,Cluster_Master!$I$3:$H$17,4,FALSE))</f>
        <v/>
      </c>
      <c r="J533" s="7">
        <f>IF($G533&lt;&gt;"Valid","",VLOOKUP($E533&amp;"|"&amp;$F533,Cluster_Master!$I$3:$H$17,5,FALSE))</f>
        <v/>
      </c>
      <c r="K533" s="7">
        <f>IF($G533&lt;&gt;"Valid","",VLOOKUP($E533&amp;"|"&amp;$F533,Cluster_Master!$I$3:$H$17,6,FALSE))</f>
        <v/>
      </c>
      <c r="L533" s="7">
        <f>IF($G533&lt;&gt;"Valid","",VLOOKUP($E533&amp;"|"&amp;$F533,Cluster_Master!$I$3:$H$17,7,FALSE))</f>
        <v/>
      </c>
      <c r="M533" s="7">
        <f>IF($G533&lt;&gt;"Valid","",VLOOKUP($E533&amp;"|"&amp;$F533,Cluster_Master!$I$3:$H$17,8,FALSE))</f>
        <v/>
      </c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7">
        <f>IF(COUNT(T533:AH533)=0,"",SUM(T533:AH533))</f>
        <v/>
      </c>
      <c r="AJ533" s="10">
        <f>IF(AI533="","",AI533/75)</f>
        <v/>
      </c>
      <c r="AK533" s="10">
        <f>IF(AI533="","",SUMPRODUCT(T533:AH533,KPI_Weights!$B$3:$B$17)/5)</f>
        <v/>
      </c>
      <c r="AL533" s="7">
        <f>IF(COUNT(T533:AH533)=0,"",IF(OR(T533&lt;=1,W533&lt;=1,X533&lt;=1,Y533&lt;=1,AB533&lt;=1),"YES","NO"))</f>
        <v/>
      </c>
      <c r="AM533" s="7">
        <f>IF(AK533="","",IF(AND(AK533="NO",AJ533&gt;=0.85),"YES","NO"))</f>
        <v/>
      </c>
      <c r="AN533" s="7">
        <f>IF(AJ533="","",IF(AJ533&gt;=0.90,"Excellent",IF(AJ533&gt;=0.80,"Good",IF(AJ533&gt;=0.70,"Fair","Poor"))))</f>
        <v/>
      </c>
      <c r="AO533" s="12" t="n"/>
      <c r="AP533" s="12" t="n"/>
      <c r="AQ533" s="12" t="n"/>
      <c r="AR533" s="12" t="n"/>
      <c r="AS533" s="12" t="n"/>
      <c r="AT533" s="12" t="n"/>
      <c r="AU533" s="12" t="n"/>
      <c r="AV533" s="11" t="n"/>
      <c r="AW533" s="12" t="n"/>
      <c r="AX533" s="12" t="n"/>
      <c r="AY533" s="12" t="n"/>
      <c r="AZ533" s="12" t="n"/>
      <c r="BA533" s="12" t="n"/>
      <c r="BB533" s="12" t="n"/>
      <c r="BC533" s="12" t="n"/>
      <c r="BD533" s="12" t="n"/>
      <c r="BE533" s="12" t="n"/>
      <c r="BF533" s="12" t="n"/>
    </row>
    <row r="534">
      <c r="A534" s="7">
        <f>IF(B534="","","INS-"&amp;TEXT(ROW()-3,"000"))</f>
        <v/>
      </c>
      <c r="B534" s="11" t="n"/>
      <c r="C534" s="7">
        <f>IF(B534="","",ISOWEEKNUM(B534))</f>
        <v/>
      </c>
      <c r="D534" s="7">
        <f>IF(B534="","",TEXT(B534,"yyyy-mm"))</f>
        <v/>
      </c>
      <c r="E534" s="12" t="n"/>
      <c r="F534" s="12" t="n"/>
      <c r="G534" s="7">
        <f>IF(OR(E534="",F534=""),"",IF(COUNTIF(Cluster_Master!$I$3:$I$17,E534&amp;"|"&amp;F534)=1,"Valid","Review"))</f>
        <v/>
      </c>
      <c r="H534" s="7">
        <f>IF($G534&lt;&gt;"Valid","",VLOOKUP($E534&amp;"|"&amp;$F534,Cluster_Master!$I$3:$H$17,3,FALSE))</f>
        <v/>
      </c>
      <c r="I534" s="7">
        <f>IF($G534&lt;&gt;"Valid","",VLOOKUP($E534&amp;"|"&amp;$F534,Cluster_Master!$I$3:$H$17,4,FALSE))</f>
        <v/>
      </c>
      <c r="J534" s="7">
        <f>IF($G534&lt;&gt;"Valid","",VLOOKUP($E534&amp;"|"&amp;$F534,Cluster_Master!$I$3:$H$17,5,FALSE))</f>
        <v/>
      </c>
      <c r="K534" s="7">
        <f>IF($G534&lt;&gt;"Valid","",VLOOKUP($E534&amp;"|"&amp;$F534,Cluster_Master!$I$3:$H$17,6,FALSE))</f>
        <v/>
      </c>
      <c r="L534" s="7">
        <f>IF($G534&lt;&gt;"Valid","",VLOOKUP($E534&amp;"|"&amp;$F534,Cluster_Master!$I$3:$H$17,7,FALSE))</f>
        <v/>
      </c>
      <c r="M534" s="7">
        <f>IF($G534&lt;&gt;"Valid","",VLOOKUP($E534&amp;"|"&amp;$F534,Cluster_Master!$I$3:$H$17,8,FALSE))</f>
        <v/>
      </c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7">
        <f>IF(COUNT(T534:AH534)=0,"",SUM(T534:AH534))</f>
        <v/>
      </c>
      <c r="AJ534" s="10">
        <f>IF(AI534="","",AI534/75)</f>
        <v/>
      </c>
      <c r="AK534" s="10">
        <f>IF(AI534="","",SUMPRODUCT(T534:AH534,KPI_Weights!$B$3:$B$17)/5)</f>
        <v/>
      </c>
      <c r="AL534" s="7">
        <f>IF(COUNT(T534:AH534)=0,"",IF(OR(T534&lt;=1,W534&lt;=1,X534&lt;=1,Y534&lt;=1,AB534&lt;=1),"YES","NO"))</f>
        <v/>
      </c>
      <c r="AM534" s="7">
        <f>IF(AK534="","",IF(AND(AK534="NO",AJ534&gt;=0.85),"YES","NO"))</f>
        <v/>
      </c>
      <c r="AN534" s="7">
        <f>IF(AJ534="","",IF(AJ534&gt;=0.90,"Excellent",IF(AJ534&gt;=0.80,"Good",IF(AJ534&gt;=0.70,"Fair","Poor"))))</f>
        <v/>
      </c>
      <c r="AO534" s="12" t="n"/>
      <c r="AP534" s="12" t="n"/>
      <c r="AQ534" s="12" t="n"/>
      <c r="AR534" s="12" t="n"/>
      <c r="AS534" s="12" t="n"/>
      <c r="AT534" s="12" t="n"/>
      <c r="AU534" s="12" t="n"/>
      <c r="AV534" s="11" t="n"/>
      <c r="AW534" s="12" t="n"/>
      <c r="AX534" s="12" t="n"/>
      <c r="AY534" s="12" t="n"/>
      <c r="AZ534" s="12" t="n"/>
      <c r="BA534" s="12" t="n"/>
      <c r="BB534" s="12" t="n"/>
      <c r="BC534" s="12" t="n"/>
      <c r="BD534" s="12" t="n"/>
      <c r="BE534" s="12" t="n"/>
      <c r="BF534" s="12" t="n"/>
    </row>
    <row r="535">
      <c r="A535" s="7">
        <f>IF(B535="","","INS-"&amp;TEXT(ROW()-3,"000"))</f>
        <v/>
      </c>
      <c r="B535" s="11" t="n"/>
      <c r="C535" s="7">
        <f>IF(B535="","",ISOWEEKNUM(B535))</f>
        <v/>
      </c>
      <c r="D535" s="7">
        <f>IF(B535="","",TEXT(B535,"yyyy-mm"))</f>
        <v/>
      </c>
      <c r="E535" s="12" t="n"/>
      <c r="F535" s="12" t="n"/>
      <c r="G535" s="7">
        <f>IF(OR(E535="",F535=""),"",IF(COUNTIF(Cluster_Master!$I$3:$I$17,E535&amp;"|"&amp;F535)=1,"Valid","Review"))</f>
        <v/>
      </c>
      <c r="H535" s="7">
        <f>IF($G535&lt;&gt;"Valid","",VLOOKUP($E535&amp;"|"&amp;$F535,Cluster_Master!$I$3:$H$17,3,FALSE))</f>
        <v/>
      </c>
      <c r="I535" s="7">
        <f>IF($G535&lt;&gt;"Valid","",VLOOKUP($E535&amp;"|"&amp;$F535,Cluster_Master!$I$3:$H$17,4,FALSE))</f>
        <v/>
      </c>
      <c r="J535" s="7">
        <f>IF($G535&lt;&gt;"Valid","",VLOOKUP($E535&amp;"|"&amp;$F535,Cluster_Master!$I$3:$H$17,5,FALSE))</f>
        <v/>
      </c>
      <c r="K535" s="7">
        <f>IF($G535&lt;&gt;"Valid","",VLOOKUP($E535&amp;"|"&amp;$F535,Cluster_Master!$I$3:$H$17,6,FALSE))</f>
        <v/>
      </c>
      <c r="L535" s="7">
        <f>IF($G535&lt;&gt;"Valid","",VLOOKUP($E535&amp;"|"&amp;$F535,Cluster_Master!$I$3:$H$17,7,FALSE))</f>
        <v/>
      </c>
      <c r="M535" s="7">
        <f>IF($G535&lt;&gt;"Valid","",VLOOKUP($E535&amp;"|"&amp;$F535,Cluster_Master!$I$3:$H$17,8,FALSE))</f>
        <v/>
      </c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7">
        <f>IF(COUNT(T535:AH535)=0,"",SUM(T535:AH535))</f>
        <v/>
      </c>
      <c r="AJ535" s="10">
        <f>IF(AI535="","",AI535/75)</f>
        <v/>
      </c>
      <c r="AK535" s="10">
        <f>IF(AI535="","",SUMPRODUCT(T535:AH535,KPI_Weights!$B$3:$B$17)/5)</f>
        <v/>
      </c>
      <c r="AL535" s="7">
        <f>IF(COUNT(T535:AH535)=0,"",IF(OR(T535&lt;=1,W535&lt;=1,X535&lt;=1,Y535&lt;=1,AB535&lt;=1),"YES","NO"))</f>
        <v/>
      </c>
      <c r="AM535" s="7">
        <f>IF(AK535="","",IF(AND(AK535="NO",AJ535&gt;=0.85),"YES","NO"))</f>
        <v/>
      </c>
      <c r="AN535" s="7">
        <f>IF(AJ535="","",IF(AJ535&gt;=0.90,"Excellent",IF(AJ535&gt;=0.80,"Good",IF(AJ535&gt;=0.70,"Fair","Poor"))))</f>
        <v/>
      </c>
      <c r="AO535" s="12" t="n"/>
      <c r="AP535" s="12" t="n"/>
      <c r="AQ535" s="12" t="n"/>
      <c r="AR535" s="12" t="n"/>
      <c r="AS535" s="12" t="n"/>
      <c r="AT535" s="12" t="n"/>
      <c r="AU535" s="12" t="n"/>
      <c r="AV535" s="11" t="n"/>
      <c r="AW535" s="12" t="n"/>
      <c r="AX535" s="12" t="n"/>
      <c r="AY535" s="12" t="n"/>
      <c r="AZ535" s="12" t="n"/>
      <c r="BA535" s="12" t="n"/>
      <c r="BB535" s="12" t="n"/>
      <c r="BC535" s="12" t="n"/>
      <c r="BD535" s="12" t="n"/>
      <c r="BE535" s="12" t="n"/>
      <c r="BF535" s="12" t="n"/>
    </row>
    <row r="536">
      <c r="A536" s="7">
        <f>IF(B536="","","INS-"&amp;TEXT(ROW()-3,"000"))</f>
        <v/>
      </c>
      <c r="B536" s="11" t="n"/>
      <c r="C536" s="7">
        <f>IF(B536="","",ISOWEEKNUM(B536))</f>
        <v/>
      </c>
      <c r="D536" s="7">
        <f>IF(B536="","",TEXT(B536,"yyyy-mm"))</f>
        <v/>
      </c>
      <c r="E536" s="12" t="n"/>
      <c r="F536" s="12" t="n"/>
      <c r="G536" s="7">
        <f>IF(OR(E536="",F536=""),"",IF(COUNTIF(Cluster_Master!$I$3:$I$17,E536&amp;"|"&amp;F536)=1,"Valid","Review"))</f>
        <v/>
      </c>
      <c r="H536" s="7">
        <f>IF($G536&lt;&gt;"Valid","",VLOOKUP($E536&amp;"|"&amp;$F536,Cluster_Master!$I$3:$H$17,3,FALSE))</f>
        <v/>
      </c>
      <c r="I536" s="7">
        <f>IF($G536&lt;&gt;"Valid","",VLOOKUP($E536&amp;"|"&amp;$F536,Cluster_Master!$I$3:$H$17,4,FALSE))</f>
        <v/>
      </c>
      <c r="J536" s="7">
        <f>IF($G536&lt;&gt;"Valid","",VLOOKUP($E536&amp;"|"&amp;$F536,Cluster_Master!$I$3:$H$17,5,FALSE))</f>
        <v/>
      </c>
      <c r="K536" s="7">
        <f>IF($G536&lt;&gt;"Valid","",VLOOKUP($E536&amp;"|"&amp;$F536,Cluster_Master!$I$3:$H$17,6,FALSE))</f>
        <v/>
      </c>
      <c r="L536" s="7">
        <f>IF($G536&lt;&gt;"Valid","",VLOOKUP($E536&amp;"|"&amp;$F536,Cluster_Master!$I$3:$H$17,7,FALSE))</f>
        <v/>
      </c>
      <c r="M536" s="7">
        <f>IF($G536&lt;&gt;"Valid","",VLOOKUP($E536&amp;"|"&amp;$F536,Cluster_Master!$I$3:$H$17,8,FALSE))</f>
        <v/>
      </c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7">
        <f>IF(COUNT(T536:AH536)=0,"",SUM(T536:AH536))</f>
        <v/>
      </c>
      <c r="AJ536" s="10">
        <f>IF(AI536="","",AI536/75)</f>
        <v/>
      </c>
      <c r="AK536" s="10">
        <f>IF(AI536="","",SUMPRODUCT(T536:AH536,KPI_Weights!$B$3:$B$17)/5)</f>
        <v/>
      </c>
      <c r="AL536" s="7">
        <f>IF(COUNT(T536:AH536)=0,"",IF(OR(T536&lt;=1,W536&lt;=1,X536&lt;=1,Y536&lt;=1,AB536&lt;=1),"YES","NO"))</f>
        <v/>
      </c>
      <c r="AM536" s="7">
        <f>IF(AK536="","",IF(AND(AK536="NO",AJ536&gt;=0.85),"YES","NO"))</f>
        <v/>
      </c>
      <c r="AN536" s="7">
        <f>IF(AJ536="","",IF(AJ536&gt;=0.90,"Excellent",IF(AJ536&gt;=0.80,"Good",IF(AJ536&gt;=0.70,"Fair","Poor"))))</f>
        <v/>
      </c>
      <c r="AO536" s="12" t="n"/>
      <c r="AP536" s="12" t="n"/>
      <c r="AQ536" s="12" t="n"/>
      <c r="AR536" s="12" t="n"/>
      <c r="AS536" s="12" t="n"/>
      <c r="AT536" s="12" t="n"/>
      <c r="AU536" s="12" t="n"/>
      <c r="AV536" s="11" t="n"/>
      <c r="AW536" s="12" t="n"/>
      <c r="AX536" s="12" t="n"/>
      <c r="AY536" s="12" t="n"/>
      <c r="AZ536" s="12" t="n"/>
      <c r="BA536" s="12" t="n"/>
      <c r="BB536" s="12" t="n"/>
      <c r="BC536" s="12" t="n"/>
      <c r="BD536" s="12" t="n"/>
      <c r="BE536" s="12" t="n"/>
      <c r="BF536" s="12" t="n"/>
    </row>
    <row r="537">
      <c r="A537" s="7">
        <f>IF(B537="","","INS-"&amp;TEXT(ROW()-3,"000"))</f>
        <v/>
      </c>
      <c r="B537" s="11" t="n"/>
      <c r="C537" s="7">
        <f>IF(B537="","",ISOWEEKNUM(B537))</f>
        <v/>
      </c>
      <c r="D537" s="7">
        <f>IF(B537="","",TEXT(B537,"yyyy-mm"))</f>
        <v/>
      </c>
      <c r="E537" s="12" t="n"/>
      <c r="F537" s="12" t="n"/>
      <c r="G537" s="7">
        <f>IF(OR(E537="",F537=""),"",IF(COUNTIF(Cluster_Master!$I$3:$I$17,E537&amp;"|"&amp;F537)=1,"Valid","Review"))</f>
        <v/>
      </c>
      <c r="H537" s="7">
        <f>IF($G537&lt;&gt;"Valid","",VLOOKUP($E537&amp;"|"&amp;$F537,Cluster_Master!$I$3:$H$17,3,FALSE))</f>
        <v/>
      </c>
      <c r="I537" s="7">
        <f>IF($G537&lt;&gt;"Valid","",VLOOKUP($E537&amp;"|"&amp;$F537,Cluster_Master!$I$3:$H$17,4,FALSE))</f>
        <v/>
      </c>
      <c r="J537" s="7">
        <f>IF($G537&lt;&gt;"Valid","",VLOOKUP($E537&amp;"|"&amp;$F537,Cluster_Master!$I$3:$H$17,5,FALSE))</f>
        <v/>
      </c>
      <c r="K537" s="7">
        <f>IF($G537&lt;&gt;"Valid","",VLOOKUP($E537&amp;"|"&amp;$F537,Cluster_Master!$I$3:$H$17,6,FALSE))</f>
        <v/>
      </c>
      <c r="L537" s="7">
        <f>IF($G537&lt;&gt;"Valid","",VLOOKUP($E537&amp;"|"&amp;$F537,Cluster_Master!$I$3:$H$17,7,FALSE))</f>
        <v/>
      </c>
      <c r="M537" s="7">
        <f>IF($G537&lt;&gt;"Valid","",VLOOKUP($E537&amp;"|"&amp;$F537,Cluster_Master!$I$3:$H$17,8,FALSE))</f>
        <v/>
      </c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7">
        <f>IF(COUNT(T537:AH537)=0,"",SUM(T537:AH537))</f>
        <v/>
      </c>
      <c r="AJ537" s="10">
        <f>IF(AI537="","",AI537/75)</f>
        <v/>
      </c>
      <c r="AK537" s="10">
        <f>IF(AI537="","",SUMPRODUCT(T537:AH537,KPI_Weights!$B$3:$B$17)/5)</f>
        <v/>
      </c>
      <c r="AL537" s="7">
        <f>IF(COUNT(T537:AH537)=0,"",IF(OR(T537&lt;=1,W537&lt;=1,X537&lt;=1,Y537&lt;=1,AB537&lt;=1),"YES","NO"))</f>
        <v/>
      </c>
      <c r="AM537" s="7">
        <f>IF(AK537="","",IF(AND(AK537="NO",AJ537&gt;=0.85),"YES","NO"))</f>
        <v/>
      </c>
      <c r="AN537" s="7">
        <f>IF(AJ537="","",IF(AJ537&gt;=0.90,"Excellent",IF(AJ537&gt;=0.80,"Good",IF(AJ537&gt;=0.70,"Fair","Poor"))))</f>
        <v/>
      </c>
      <c r="AO537" s="12" t="n"/>
      <c r="AP537" s="12" t="n"/>
      <c r="AQ537" s="12" t="n"/>
      <c r="AR537" s="12" t="n"/>
      <c r="AS537" s="12" t="n"/>
      <c r="AT537" s="12" t="n"/>
      <c r="AU537" s="12" t="n"/>
      <c r="AV537" s="11" t="n"/>
      <c r="AW537" s="12" t="n"/>
      <c r="AX537" s="12" t="n"/>
      <c r="AY537" s="12" t="n"/>
      <c r="AZ537" s="12" t="n"/>
      <c r="BA537" s="12" t="n"/>
      <c r="BB537" s="12" t="n"/>
      <c r="BC537" s="12" t="n"/>
      <c r="BD537" s="12" t="n"/>
      <c r="BE537" s="12" t="n"/>
      <c r="BF537" s="12" t="n"/>
    </row>
    <row r="538">
      <c r="A538" s="7">
        <f>IF(B538="","","INS-"&amp;TEXT(ROW()-3,"000"))</f>
        <v/>
      </c>
      <c r="B538" s="11" t="n"/>
      <c r="C538" s="7">
        <f>IF(B538="","",ISOWEEKNUM(B538))</f>
        <v/>
      </c>
      <c r="D538" s="7">
        <f>IF(B538="","",TEXT(B538,"yyyy-mm"))</f>
        <v/>
      </c>
      <c r="E538" s="12" t="n"/>
      <c r="F538" s="12" t="n"/>
      <c r="G538" s="7">
        <f>IF(OR(E538="",F538=""),"",IF(COUNTIF(Cluster_Master!$I$3:$I$17,E538&amp;"|"&amp;F538)=1,"Valid","Review"))</f>
        <v/>
      </c>
      <c r="H538" s="7">
        <f>IF($G538&lt;&gt;"Valid","",VLOOKUP($E538&amp;"|"&amp;$F538,Cluster_Master!$I$3:$H$17,3,FALSE))</f>
        <v/>
      </c>
      <c r="I538" s="7">
        <f>IF($G538&lt;&gt;"Valid","",VLOOKUP($E538&amp;"|"&amp;$F538,Cluster_Master!$I$3:$H$17,4,FALSE))</f>
        <v/>
      </c>
      <c r="J538" s="7">
        <f>IF($G538&lt;&gt;"Valid","",VLOOKUP($E538&amp;"|"&amp;$F538,Cluster_Master!$I$3:$H$17,5,FALSE))</f>
        <v/>
      </c>
      <c r="K538" s="7">
        <f>IF($G538&lt;&gt;"Valid","",VLOOKUP($E538&amp;"|"&amp;$F538,Cluster_Master!$I$3:$H$17,6,FALSE))</f>
        <v/>
      </c>
      <c r="L538" s="7">
        <f>IF($G538&lt;&gt;"Valid","",VLOOKUP($E538&amp;"|"&amp;$F538,Cluster_Master!$I$3:$H$17,7,FALSE))</f>
        <v/>
      </c>
      <c r="M538" s="7">
        <f>IF($G538&lt;&gt;"Valid","",VLOOKUP($E538&amp;"|"&amp;$F538,Cluster_Master!$I$3:$H$17,8,FALSE))</f>
        <v/>
      </c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7">
        <f>IF(COUNT(T538:AH538)=0,"",SUM(T538:AH538))</f>
        <v/>
      </c>
      <c r="AJ538" s="10">
        <f>IF(AI538="","",AI538/75)</f>
        <v/>
      </c>
      <c r="AK538" s="10">
        <f>IF(AI538="","",SUMPRODUCT(T538:AH538,KPI_Weights!$B$3:$B$17)/5)</f>
        <v/>
      </c>
      <c r="AL538" s="7">
        <f>IF(COUNT(T538:AH538)=0,"",IF(OR(T538&lt;=1,W538&lt;=1,X538&lt;=1,Y538&lt;=1,AB538&lt;=1),"YES","NO"))</f>
        <v/>
      </c>
      <c r="AM538" s="7">
        <f>IF(AK538="","",IF(AND(AK538="NO",AJ538&gt;=0.85),"YES","NO"))</f>
        <v/>
      </c>
      <c r="AN538" s="7">
        <f>IF(AJ538="","",IF(AJ538&gt;=0.90,"Excellent",IF(AJ538&gt;=0.80,"Good",IF(AJ538&gt;=0.70,"Fair","Poor"))))</f>
        <v/>
      </c>
      <c r="AO538" s="12" t="n"/>
      <c r="AP538" s="12" t="n"/>
      <c r="AQ538" s="12" t="n"/>
      <c r="AR538" s="12" t="n"/>
      <c r="AS538" s="12" t="n"/>
      <c r="AT538" s="12" t="n"/>
      <c r="AU538" s="12" t="n"/>
      <c r="AV538" s="11" t="n"/>
      <c r="AW538" s="12" t="n"/>
      <c r="AX538" s="12" t="n"/>
      <c r="AY538" s="12" t="n"/>
      <c r="AZ538" s="12" t="n"/>
      <c r="BA538" s="12" t="n"/>
      <c r="BB538" s="12" t="n"/>
      <c r="BC538" s="12" t="n"/>
      <c r="BD538" s="12" t="n"/>
      <c r="BE538" s="12" t="n"/>
      <c r="BF538" s="12" t="n"/>
    </row>
    <row r="539">
      <c r="A539" s="7">
        <f>IF(B539="","","INS-"&amp;TEXT(ROW()-3,"000"))</f>
        <v/>
      </c>
      <c r="B539" s="11" t="n"/>
      <c r="C539" s="7">
        <f>IF(B539="","",ISOWEEKNUM(B539))</f>
        <v/>
      </c>
      <c r="D539" s="7">
        <f>IF(B539="","",TEXT(B539,"yyyy-mm"))</f>
        <v/>
      </c>
      <c r="E539" s="12" t="n"/>
      <c r="F539" s="12" t="n"/>
      <c r="G539" s="7">
        <f>IF(OR(E539="",F539=""),"",IF(COUNTIF(Cluster_Master!$I$3:$I$17,E539&amp;"|"&amp;F539)=1,"Valid","Review"))</f>
        <v/>
      </c>
      <c r="H539" s="7">
        <f>IF($G539&lt;&gt;"Valid","",VLOOKUP($E539&amp;"|"&amp;$F539,Cluster_Master!$I$3:$H$17,3,FALSE))</f>
        <v/>
      </c>
      <c r="I539" s="7">
        <f>IF($G539&lt;&gt;"Valid","",VLOOKUP($E539&amp;"|"&amp;$F539,Cluster_Master!$I$3:$H$17,4,FALSE))</f>
        <v/>
      </c>
      <c r="J539" s="7">
        <f>IF($G539&lt;&gt;"Valid","",VLOOKUP($E539&amp;"|"&amp;$F539,Cluster_Master!$I$3:$H$17,5,FALSE))</f>
        <v/>
      </c>
      <c r="K539" s="7">
        <f>IF($G539&lt;&gt;"Valid","",VLOOKUP($E539&amp;"|"&amp;$F539,Cluster_Master!$I$3:$H$17,6,FALSE))</f>
        <v/>
      </c>
      <c r="L539" s="7">
        <f>IF($G539&lt;&gt;"Valid","",VLOOKUP($E539&amp;"|"&amp;$F539,Cluster_Master!$I$3:$H$17,7,FALSE))</f>
        <v/>
      </c>
      <c r="M539" s="7">
        <f>IF($G539&lt;&gt;"Valid","",VLOOKUP($E539&amp;"|"&amp;$F539,Cluster_Master!$I$3:$H$17,8,FALSE))</f>
        <v/>
      </c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7">
        <f>IF(COUNT(T539:AH539)=0,"",SUM(T539:AH539))</f>
        <v/>
      </c>
      <c r="AJ539" s="10">
        <f>IF(AI539="","",AI539/75)</f>
        <v/>
      </c>
      <c r="AK539" s="10">
        <f>IF(AI539="","",SUMPRODUCT(T539:AH539,KPI_Weights!$B$3:$B$17)/5)</f>
        <v/>
      </c>
      <c r="AL539" s="7">
        <f>IF(COUNT(T539:AH539)=0,"",IF(OR(T539&lt;=1,W539&lt;=1,X539&lt;=1,Y539&lt;=1,AB539&lt;=1),"YES","NO"))</f>
        <v/>
      </c>
      <c r="AM539" s="7">
        <f>IF(AK539="","",IF(AND(AK539="NO",AJ539&gt;=0.85),"YES","NO"))</f>
        <v/>
      </c>
      <c r="AN539" s="7">
        <f>IF(AJ539="","",IF(AJ539&gt;=0.90,"Excellent",IF(AJ539&gt;=0.80,"Good",IF(AJ539&gt;=0.70,"Fair","Poor"))))</f>
        <v/>
      </c>
      <c r="AO539" s="12" t="n"/>
      <c r="AP539" s="12" t="n"/>
      <c r="AQ539" s="12" t="n"/>
      <c r="AR539" s="12" t="n"/>
      <c r="AS539" s="12" t="n"/>
      <c r="AT539" s="12" t="n"/>
      <c r="AU539" s="12" t="n"/>
      <c r="AV539" s="11" t="n"/>
      <c r="AW539" s="12" t="n"/>
      <c r="AX539" s="12" t="n"/>
      <c r="AY539" s="12" t="n"/>
      <c r="AZ539" s="12" t="n"/>
      <c r="BA539" s="12" t="n"/>
      <c r="BB539" s="12" t="n"/>
      <c r="BC539" s="12" t="n"/>
      <c r="BD539" s="12" t="n"/>
      <c r="BE539" s="12" t="n"/>
      <c r="BF539" s="12" t="n"/>
    </row>
    <row r="540">
      <c r="A540" s="7">
        <f>IF(B540="","","INS-"&amp;TEXT(ROW()-3,"000"))</f>
        <v/>
      </c>
      <c r="B540" s="11" t="n"/>
      <c r="C540" s="7">
        <f>IF(B540="","",ISOWEEKNUM(B540))</f>
        <v/>
      </c>
      <c r="D540" s="7">
        <f>IF(B540="","",TEXT(B540,"yyyy-mm"))</f>
        <v/>
      </c>
      <c r="E540" s="12" t="n"/>
      <c r="F540" s="12" t="n"/>
      <c r="G540" s="7">
        <f>IF(OR(E540="",F540=""),"",IF(COUNTIF(Cluster_Master!$I$3:$I$17,E540&amp;"|"&amp;F540)=1,"Valid","Review"))</f>
        <v/>
      </c>
      <c r="H540" s="7">
        <f>IF($G540&lt;&gt;"Valid","",VLOOKUP($E540&amp;"|"&amp;$F540,Cluster_Master!$I$3:$H$17,3,FALSE))</f>
        <v/>
      </c>
      <c r="I540" s="7">
        <f>IF($G540&lt;&gt;"Valid","",VLOOKUP($E540&amp;"|"&amp;$F540,Cluster_Master!$I$3:$H$17,4,FALSE))</f>
        <v/>
      </c>
      <c r="J540" s="7">
        <f>IF($G540&lt;&gt;"Valid","",VLOOKUP($E540&amp;"|"&amp;$F540,Cluster_Master!$I$3:$H$17,5,FALSE))</f>
        <v/>
      </c>
      <c r="K540" s="7">
        <f>IF($G540&lt;&gt;"Valid","",VLOOKUP($E540&amp;"|"&amp;$F540,Cluster_Master!$I$3:$H$17,6,FALSE))</f>
        <v/>
      </c>
      <c r="L540" s="7">
        <f>IF($G540&lt;&gt;"Valid","",VLOOKUP($E540&amp;"|"&amp;$F540,Cluster_Master!$I$3:$H$17,7,FALSE))</f>
        <v/>
      </c>
      <c r="M540" s="7">
        <f>IF($G540&lt;&gt;"Valid","",VLOOKUP($E540&amp;"|"&amp;$F540,Cluster_Master!$I$3:$H$17,8,FALSE))</f>
        <v/>
      </c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7">
        <f>IF(COUNT(T540:AH540)=0,"",SUM(T540:AH540))</f>
        <v/>
      </c>
      <c r="AJ540" s="10">
        <f>IF(AI540="","",AI540/75)</f>
        <v/>
      </c>
      <c r="AK540" s="10">
        <f>IF(AI540="","",SUMPRODUCT(T540:AH540,KPI_Weights!$B$3:$B$17)/5)</f>
        <v/>
      </c>
      <c r="AL540" s="7">
        <f>IF(COUNT(T540:AH540)=0,"",IF(OR(T540&lt;=1,W540&lt;=1,X540&lt;=1,Y540&lt;=1,AB540&lt;=1),"YES","NO"))</f>
        <v/>
      </c>
      <c r="AM540" s="7">
        <f>IF(AK540="","",IF(AND(AK540="NO",AJ540&gt;=0.85),"YES","NO"))</f>
        <v/>
      </c>
      <c r="AN540" s="7">
        <f>IF(AJ540="","",IF(AJ540&gt;=0.90,"Excellent",IF(AJ540&gt;=0.80,"Good",IF(AJ540&gt;=0.70,"Fair","Poor"))))</f>
        <v/>
      </c>
      <c r="AO540" s="12" t="n"/>
      <c r="AP540" s="12" t="n"/>
      <c r="AQ540" s="12" t="n"/>
      <c r="AR540" s="12" t="n"/>
      <c r="AS540" s="12" t="n"/>
      <c r="AT540" s="12" t="n"/>
      <c r="AU540" s="12" t="n"/>
      <c r="AV540" s="11" t="n"/>
      <c r="AW540" s="12" t="n"/>
      <c r="AX540" s="12" t="n"/>
      <c r="AY540" s="12" t="n"/>
      <c r="AZ540" s="12" t="n"/>
      <c r="BA540" s="12" t="n"/>
      <c r="BB540" s="12" t="n"/>
      <c r="BC540" s="12" t="n"/>
      <c r="BD540" s="12" t="n"/>
      <c r="BE540" s="12" t="n"/>
      <c r="BF540" s="12" t="n"/>
    </row>
    <row r="541">
      <c r="A541" s="7">
        <f>IF(B541="","","INS-"&amp;TEXT(ROW()-3,"000"))</f>
        <v/>
      </c>
      <c r="B541" s="11" t="n"/>
      <c r="C541" s="7">
        <f>IF(B541="","",ISOWEEKNUM(B541))</f>
        <v/>
      </c>
      <c r="D541" s="7">
        <f>IF(B541="","",TEXT(B541,"yyyy-mm"))</f>
        <v/>
      </c>
      <c r="E541" s="12" t="n"/>
      <c r="F541" s="12" t="n"/>
      <c r="G541" s="7">
        <f>IF(OR(E541="",F541=""),"",IF(COUNTIF(Cluster_Master!$I$3:$I$17,E541&amp;"|"&amp;F541)=1,"Valid","Review"))</f>
        <v/>
      </c>
      <c r="H541" s="7">
        <f>IF($G541&lt;&gt;"Valid","",VLOOKUP($E541&amp;"|"&amp;$F541,Cluster_Master!$I$3:$H$17,3,FALSE))</f>
        <v/>
      </c>
      <c r="I541" s="7">
        <f>IF($G541&lt;&gt;"Valid","",VLOOKUP($E541&amp;"|"&amp;$F541,Cluster_Master!$I$3:$H$17,4,FALSE))</f>
        <v/>
      </c>
      <c r="J541" s="7">
        <f>IF($G541&lt;&gt;"Valid","",VLOOKUP($E541&amp;"|"&amp;$F541,Cluster_Master!$I$3:$H$17,5,FALSE))</f>
        <v/>
      </c>
      <c r="K541" s="7">
        <f>IF($G541&lt;&gt;"Valid","",VLOOKUP($E541&amp;"|"&amp;$F541,Cluster_Master!$I$3:$H$17,6,FALSE))</f>
        <v/>
      </c>
      <c r="L541" s="7">
        <f>IF($G541&lt;&gt;"Valid","",VLOOKUP($E541&amp;"|"&amp;$F541,Cluster_Master!$I$3:$H$17,7,FALSE))</f>
        <v/>
      </c>
      <c r="M541" s="7">
        <f>IF($G541&lt;&gt;"Valid","",VLOOKUP($E541&amp;"|"&amp;$F541,Cluster_Master!$I$3:$H$17,8,FALSE))</f>
        <v/>
      </c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7">
        <f>IF(COUNT(T541:AH541)=0,"",SUM(T541:AH541))</f>
        <v/>
      </c>
      <c r="AJ541" s="10">
        <f>IF(AI541="","",AI541/75)</f>
        <v/>
      </c>
      <c r="AK541" s="10">
        <f>IF(AI541="","",SUMPRODUCT(T541:AH541,KPI_Weights!$B$3:$B$17)/5)</f>
        <v/>
      </c>
      <c r="AL541" s="7">
        <f>IF(COUNT(T541:AH541)=0,"",IF(OR(T541&lt;=1,W541&lt;=1,X541&lt;=1,Y541&lt;=1,AB541&lt;=1),"YES","NO"))</f>
        <v/>
      </c>
      <c r="AM541" s="7">
        <f>IF(AK541="","",IF(AND(AK541="NO",AJ541&gt;=0.85),"YES","NO"))</f>
        <v/>
      </c>
      <c r="AN541" s="7">
        <f>IF(AJ541="","",IF(AJ541&gt;=0.90,"Excellent",IF(AJ541&gt;=0.80,"Good",IF(AJ541&gt;=0.70,"Fair","Poor"))))</f>
        <v/>
      </c>
      <c r="AO541" s="12" t="n"/>
      <c r="AP541" s="12" t="n"/>
      <c r="AQ541" s="12" t="n"/>
      <c r="AR541" s="12" t="n"/>
      <c r="AS541" s="12" t="n"/>
      <c r="AT541" s="12" t="n"/>
      <c r="AU541" s="12" t="n"/>
      <c r="AV541" s="11" t="n"/>
      <c r="AW541" s="12" t="n"/>
      <c r="AX541" s="12" t="n"/>
      <c r="AY541" s="12" t="n"/>
      <c r="AZ541" s="12" t="n"/>
      <c r="BA541" s="12" t="n"/>
      <c r="BB541" s="12" t="n"/>
      <c r="BC541" s="12" t="n"/>
      <c r="BD541" s="12" t="n"/>
      <c r="BE541" s="12" t="n"/>
      <c r="BF541" s="12" t="n"/>
    </row>
    <row r="542">
      <c r="A542" s="7">
        <f>IF(B542="","","INS-"&amp;TEXT(ROW()-3,"000"))</f>
        <v/>
      </c>
      <c r="B542" s="11" t="n"/>
      <c r="C542" s="7">
        <f>IF(B542="","",ISOWEEKNUM(B542))</f>
        <v/>
      </c>
      <c r="D542" s="7">
        <f>IF(B542="","",TEXT(B542,"yyyy-mm"))</f>
        <v/>
      </c>
      <c r="E542" s="12" t="n"/>
      <c r="F542" s="12" t="n"/>
      <c r="G542" s="7">
        <f>IF(OR(E542="",F542=""),"",IF(COUNTIF(Cluster_Master!$I$3:$I$17,E542&amp;"|"&amp;F542)=1,"Valid","Review"))</f>
        <v/>
      </c>
      <c r="H542" s="7">
        <f>IF($G542&lt;&gt;"Valid","",VLOOKUP($E542&amp;"|"&amp;$F542,Cluster_Master!$I$3:$H$17,3,FALSE))</f>
        <v/>
      </c>
      <c r="I542" s="7">
        <f>IF($G542&lt;&gt;"Valid","",VLOOKUP($E542&amp;"|"&amp;$F542,Cluster_Master!$I$3:$H$17,4,FALSE))</f>
        <v/>
      </c>
      <c r="J542" s="7">
        <f>IF($G542&lt;&gt;"Valid","",VLOOKUP($E542&amp;"|"&amp;$F542,Cluster_Master!$I$3:$H$17,5,FALSE))</f>
        <v/>
      </c>
      <c r="K542" s="7">
        <f>IF($G542&lt;&gt;"Valid","",VLOOKUP($E542&amp;"|"&amp;$F542,Cluster_Master!$I$3:$H$17,6,FALSE))</f>
        <v/>
      </c>
      <c r="L542" s="7">
        <f>IF($G542&lt;&gt;"Valid","",VLOOKUP($E542&amp;"|"&amp;$F542,Cluster_Master!$I$3:$H$17,7,FALSE))</f>
        <v/>
      </c>
      <c r="M542" s="7">
        <f>IF($G542&lt;&gt;"Valid","",VLOOKUP($E542&amp;"|"&amp;$F542,Cluster_Master!$I$3:$H$17,8,FALSE))</f>
        <v/>
      </c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7">
        <f>IF(COUNT(T542:AH542)=0,"",SUM(T542:AH542))</f>
        <v/>
      </c>
      <c r="AJ542" s="10">
        <f>IF(AI542="","",AI542/75)</f>
        <v/>
      </c>
      <c r="AK542" s="10">
        <f>IF(AI542="","",SUMPRODUCT(T542:AH542,KPI_Weights!$B$3:$B$17)/5)</f>
        <v/>
      </c>
      <c r="AL542" s="7">
        <f>IF(COUNT(T542:AH542)=0,"",IF(OR(T542&lt;=1,W542&lt;=1,X542&lt;=1,Y542&lt;=1,AB542&lt;=1),"YES","NO"))</f>
        <v/>
      </c>
      <c r="AM542" s="7">
        <f>IF(AK542="","",IF(AND(AK542="NO",AJ542&gt;=0.85),"YES","NO"))</f>
        <v/>
      </c>
      <c r="AN542" s="7">
        <f>IF(AJ542="","",IF(AJ542&gt;=0.90,"Excellent",IF(AJ542&gt;=0.80,"Good",IF(AJ542&gt;=0.70,"Fair","Poor"))))</f>
        <v/>
      </c>
      <c r="AO542" s="12" t="n"/>
      <c r="AP542" s="12" t="n"/>
      <c r="AQ542" s="12" t="n"/>
      <c r="AR542" s="12" t="n"/>
      <c r="AS542" s="12" t="n"/>
      <c r="AT542" s="12" t="n"/>
      <c r="AU542" s="12" t="n"/>
      <c r="AV542" s="11" t="n"/>
      <c r="AW542" s="12" t="n"/>
      <c r="AX542" s="12" t="n"/>
      <c r="AY542" s="12" t="n"/>
      <c r="AZ542" s="12" t="n"/>
      <c r="BA542" s="12" t="n"/>
      <c r="BB542" s="12" t="n"/>
      <c r="BC542" s="12" t="n"/>
      <c r="BD542" s="12" t="n"/>
      <c r="BE542" s="12" t="n"/>
      <c r="BF542" s="12" t="n"/>
    </row>
    <row r="543">
      <c r="A543" s="7">
        <f>IF(B543="","","INS-"&amp;TEXT(ROW()-3,"000"))</f>
        <v/>
      </c>
      <c r="B543" s="11" t="n"/>
      <c r="C543" s="7">
        <f>IF(B543="","",ISOWEEKNUM(B543))</f>
        <v/>
      </c>
      <c r="D543" s="7">
        <f>IF(B543="","",TEXT(B543,"yyyy-mm"))</f>
        <v/>
      </c>
      <c r="E543" s="12" t="n"/>
      <c r="F543" s="12" t="n"/>
      <c r="G543" s="7">
        <f>IF(OR(E543="",F543=""),"",IF(COUNTIF(Cluster_Master!$I$3:$I$17,E543&amp;"|"&amp;F543)=1,"Valid","Review"))</f>
        <v/>
      </c>
      <c r="H543" s="7">
        <f>IF($G543&lt;&gt;"Valid","",VLOOKUP($E543&amp;"|"&amp;$F543,Cluster_Master!$I$3:$H$17,3,FALSE))</f>
        <v/>
      </c>
      <c r="I543" s="7">
        <f>IF($G543&lt;&gt;"Valid","",VLOOKUP($E543&amp;"|"&amp;$F543,Cluster_Master!$I$3:$H$17,4,FALSE))</f>
        <v/>
      </c>
      <c r="J543" s="7">
        <f>IF($G543&lt;&gt;"Valid","",VLOOKUP($E543&amp;"|"&amp;$F543,Cluster_Master!$I$3:$H$17,5,FALSE))</f>
        <v/>
      </c>
      <c r="K543" s="7">
        <f>IF($G543&lt;&gt;"Valid","",VLOOKUP($E543&amp;"|"&amp;$F543,Cluster_Master!$I$3:$H$17,6,FALSE))</f>
        <v/>
      </c>
      <c r="L543" s="7">
        <f>IF($G543&lt;&gt;"Valid","",VLOOKUP($E543&amp;"|"&amp;$F543,Cluster_Master!$I$3:$H$17,7,FALSE))</f>
        <v/>
      </c>
      <c r="M543" s="7">
        <f>IF($G543&lt;&gt;"Valid","",VLOOKUP($E543&amp;"|"&amp;$F543,Cluster_Master!$I$3:$H$17,8,FALSE))</f>
        <v/>
      </c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7">
        <f>IF(COUNT(T543:AH543)=0,"",SUM(T543:AH543))</f>
        <v/>
      </c>
      <c r="AJ543" s="10">
        <f>IF(AI543="","",AI543/75)</f>
        <v/>
      </c>
      <c r="AK543" s="10">
        <f>IF(AI543="","",SUMPRODUCT(T543:AH543,KPI_Weights!$B$3:$B$17)/5)</f>
        <v/>
      </c>
      <c r="AL543" s="7">
        <f>IF(COUNT(T543:AH543)=0,"",IF(OR(T543&lt;=1,W543&lt;=1,X543&lt;=1,Y543&lt;=1,AB543&lt;=1),"YES","NO"))</f>
        <v/>
      </c>
      <c r="AM543" s="7">
        <f>IF(AK543="","",IF(AND(AK543="NO",AJ543&gt;=0.85),"YES","NO"))</f>
        <v/>
      </c>
      <c r="AN543" s="7">
        <f>IF(AJ543="","",IF(AJ543&gt;=0.90,"Excellent",IF(AJ543&gt;=0.80,"Good",IF(AJ543&gt;=0.70,"Fair","Poor"))))</f>
        <v/>
      </c>
      <c r="AO543" s="12" t="n"/>
      <c r="AP543" s="12" t="n"/>
      <c r="AQ543" s="12" t="n"/>
      <c r="AR543" s="12" t="n"/>
      <c r="AS543" s="12" t="n"/>
      <c r="AT543" s="12" t="n"/>
      <c r="AU543" s="12" t="n"/>
      <c r="AV543" s="11" t="n"/>
      <c r="AW543" s="12" t="n"/>
      <c r="AX543" s="12" t="n"/>
      <c r="AY543" s="12" t="n"/>
      <c r="AZ543" s="12" t="n"/>
      <c r="BA543" s="12" t="n"/>
      <c r="BB543" s="12" t="n"/>
      <c r="BC543" s="12" t="n"/>
      <c r="BD543" s="12" t="n"/>
      <c r="BE543" s="12" t="n"/>
      <c r="BF543" s="12" t="n"/>
    </row>
    <row r="544">
      <c r="A544" s="7">
        <f>IF(B544="","","INS-"&amp;TEXT(ROW()-3,"000"))</f>
        <v/>
      </c>
      <c r="B544" s="11" t="n"/>
      <c r="C544" s="7">
        <f>IF(B544="","",ISOWEEKNUM(B544))</f>
        <v/>
      </c>
      <c r="D544" s="7">
        <f>IF(B544="","",TEXT(B544,"yyyy-mm"))</f>
        <v/>
      </c>
      <c r="E544" s="12" t="n"/>
      <c r="F544" s="12" t="n"/>
      <c r="G544" s="7">
        <f>IF(OR(E544="",F544=""),"",IF(COUNTIF(Cluster_Master!$I$3:$I$17,E544&amp;"|"&amp;F544)=1,"Valid","Review"))</f>
        <v/>
      </c>
      <c r="H544" s="7">
        <f>IF($G544&lt;&gt;"Valid","",VLOOKUP($E544&amp;"|"&amp;$F544,Cluster_Master!$I$3:$H$17,3,FALSE))</f>
        <v/>
      </c>
      <c r="I544" s="7">
        <f>IF($G544&lt;&gt;"Valid","",VLOOKUP($E544&amp;"|"&amp;$F544,Cluster_Master!$I$3:$H$17,4,FALSE))</f>
        <v/>
      </c>
      <c r="J544" s="7">
        <f>IF($G544&lt;&gt;"Valid","",VLOOKUP($E544&amp;"|"&amp;$F544,Cluster_Master!$I$3:$H$17,5,FALSE))</f>
        <v/>
      </c>
      <c r="K544" s="7">
        <f>IF($G544&lt;&gt;"Valid","",VLOOKUP($E544&amp;"|"&amp;$F544,Cluster_Master!$I$3:$H$17,6,FALSE))</f>
        <v/>
      </c>
      <c r="L544" s="7">
        <f>IF($G544&lt;&gt;"Valid","",VLOOKUP($E544&amp;"|"&amp;$F544,Cluster_Master!$I$3:$H$17,7,FALSE))</f>
        <v/>
      </c>
      <c r="M544" s="7">
        <f>IF($G544&lt;&gt;"Valid","",VLOOKUP($E544&amp;"|"&amp;$F544,Cluster_Master!$I$3:$H$17,8,FALSE))</f>
        <v/>
      </c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7">
        <f>IF(COUNT(T544:AH544)=0,"",SUM(T544:AH544))</f>
        <v/>
      </c>
      <c r="AJ544" s="10">
        <f>IF(AI544="","",AI544/75)</f>
        <v/>
      </c>
      <c r="AK544" s="10">
        <f>IF(AI544="","",SUMPRODUCT(T544:AH544,KPI_Weights!$B$3:$B$17)/5)</f>
        <v/>
      </c>
      <c r="AL544" s="7">
        <f>IF(COUNT(T544:AH544)=0,"",IF(OR(T544&lt;=1,W544&lt;=1,X544&lt;=1,Y544&lt;=1,AB544&lt;=1),"YES","NO"))</f>
        <v/>
      </c>
      <c r="AM544" s="7">
        <f>IF(AK544="","",IF(AND(AK544="NO",AJ544&gt;=0.85),"YES","NO"))</f>
        <v/>
      </c>
      <c r="AN544" s="7">
        <f>IF(AJ544="","",IF(AJ544&gt;=0.90,"Excellent",IF(AJ544&gt;=0.80,"Good",IF(AJ544&gt;=0.70,"Fair","Poor"))))</f>
        <v/>
      </c>
      <c r="AO544" s="12" t="n"/>
      <c r="AP544" s="12" t="n"/>
      <c r="AQ544" s="12" t="n"/>
      <c r="AR544" s="12" t="n"/>
      <c r="AS544" s="12" t="n"/>
      <c r="AT544" s="12" t="n"/>
      <c r="AU544" s="12" t="n"/>
      <c r="AV544" s="11" t="n"/>
      <c r="AW544" s="12" t="n"/>
      <c r="AX544" s="12" t="n"/>
      <c r="AY544" s="12" t="n"/>
      <c r="AZ544" s="12" t="n"/>
      <c r="BA544" s="12" t="n"/>
      <c r="BB544" s="12" t="n"/>
      <c r="BC544" s="12" t="n"/>
      <c r="BD544" s="12" t="n"/>
      <c r="BE544" s="12" t="n"/>
      <c r="BF544" s="12" t="n"/>
    </row>
    <row r="545">
      <c r="A545" s="7">
        <f>IF(B545="","","INS-"&amp;TEXT(ROW()-3,"000"))</f>
        <v/>
      </c>
      <c r="B545" s="11" t="n"/>
      <c r="C545" s="7">
        <f>IF(B545="","",ISOWEEKNUM(B545))</f>
        <v/>
      </c>
      <c r="D545" s="7">
        <f>IF(B545="","",TEXT(B545,"yyyy-mm"))</f>
        <v/>
      </c>
      <c r="E545" s="12" t="n"/>
      <c r="F545" s="12" t="n"/>
      <c r="G545" s="7">
        <f>IF(OR(E545="",F545=""),"",IF(COUNTIF(Cluster_Master!$I$3:$I$17,E545&amp;"|"&amp;F545)=1,"Valid","Review"))</f>
        <v/>
      </c>
      <c r="H545" s="7">
        <f>IF($G545&lt;&gt;"Valid","",VLOOKUP($E545&amp;"|"&amp;$F545,Cluster_Master!$I$3:$H$17,3,FALSE))</f>
        <v/>
      </c>
      <c r="I545" s="7">
        <f>IF($G545&lt;&gt;"Valid","",VLOOKUP($E545&amp;"|"&amp;$F545,Cluster_Master!$I$3:$H$17,4,FALSE))</f>
        <v/>
      </c>
      <c r="J545" s="7">
        <f>IF($G545&lt;&gt;"Valid","",VLOOKUP($E545&amp;"|"&amp;$F545,Cluster_Master!$I$3:$H$17,5,FALSE))</f>
        <v/>
      </c>
      <c r="K545" s="7">
        <f>IF($G545&lt;&gt;"Valid","",VLOOKUP($E545&amp;"|"&amp;$F545,Cluster_Master!$I$3:$H$17,6,FALSE))</f>
        <v/>
      </c>
      <c r="L545" s="7">
        <f>IF($G545&lt;&gt;"Valid","",VLOOKUP($E545&amp;"|"&amp;$F545,Cluster_Master!$I$3:$H$17,7,FALSE))</f>
        <v/>
      </c>
      <c r="M545" s="7">
        <f>IF($G545&lt;&gt;"Valid","",VLOOKUP($E545&amp;"|"&amp;$F545,Cluster_Master!$I$3:$H$17,8,FALSE))</f>
        <v/>
      </c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7">
        <f>IF(COUNT(T545:AH545)=0,"",SUM(T545:AH545))</f>
        <v/>
      </c>
      <c r="AJ545" s="10">
        <f>IF(AI545="","",AI545/75)</f>
        <v/>
      </c>
      <c r="AK545" s="10">
        <f>IF(AI545="","",SUMPRODUCT(T545:AH545,KPI_Weights!$B$3:$B$17)/5)</f>
        <v/>
      </c>
      <c r="AL545" s="7">
        <f>IF(COUNT(T545:AH545)=0,"",IF(OR(T545&lt;=1,W545&lt;=1,X545&lt;=1,Y545&lt;=1,AB545&lt;=1),"YES","NO"))</f>
        <v/>
      </c>
      <c r="AM545" s="7">
        <f>IF(AK545="","",IF(AND(AK545="NO",AJ545&gt;=0.85),"YES","NO"))</f>
        <v/>
      </c>
      <c r="AN545" s="7">
        <f>IF(AJ545="","",IF(AJ545&gt;=0.90,"Excellent",IF(AJ545&gt;=0.80,"Good",IF(AJ545&gt;=0.70,"Fair","Poor"))))</f>
        <v/>
      </c>
      <c r="AO545" s="12" t="n"/>
      <c r="AP545" s="12" t="n"/>
      <c r="AQ545" s="12" t="n"/>
      <c r="AR545" s="12" t="n"/>
      <c r="AS545" s="12" t="n"/>
      <c r="AT545" s="12" t="n"/>
      <c r="AU545" s="12" t="n"/>
      <c r="AV545" s="11" t="n"/>
      <c r="AW545" s="12" t="n"/>
      <c r="AX545" s="12" t="n"/>
      <c r="AY545" s="12" t="n"/>
      <c r="AZ545" s="12" t="n"/>
      <c r="BA545" s="12" t="n"/>
      <c r="BB545" s="12" t="n"/>
      <c r="BC545" s="12" t="n"/>
      <c r="BD545" s="12" t="n"/>
      <c r="BE545" s="12" t="n"/>
      <c r="BF545" s="12" t="n"/>
    </row>
    <row r="546">
      <c r="A546" s="7">
        <f>IF(B546="","","INS-"&amp;TEXT(ROW()-3,"000"))</f>
        <v/>
      </c>
      <c r="B546" s="11" t="n"/>
      <c r="C546" s="7">
        <f>IF(B546="","",ISOWEEKNUM(B546))</f>
        <v/>
      </c>
      <c r="D546" s="7">
        <f>IF(B546="","",TEXT(B546,"yyyy-mm"))</f>
        <v/>
      </c>
      <c r="E546" s="12" t="n"/>
      <c r="F546" s="12" t="n"/>
      <c r="G546" s="7">
        <f>IF(OR(E546="",F546=""),"",IF(COUNTIF(Cluster_Master!$I$3:$I$17,E546&amp;"|"&amp;F546)=1,"Valid","Review"))</f>
        <v/>
      </c>
      <c r="H546" s="7">
        <f>IF($G546&lt;&gt;"Valid","",VLOOKUP($E546&amp;"|"&amp;$F546,Cluster_Master!$I$3:$H$17,3,FALSE))</f>
        <v/>
      </c>
      <c r="I546" s="7">
        <f>IF($G546&lt;&gt;"Valid","",VLOOKUP($E546&amp;"|"&amp;$F546,Cluster_Master!$I$3:$H$17,4,FALSE))</f>
        <v/>
      </c>
      <c r="J546" s="7">
        <f>IF($G546&lt;&gt;"Valid","",VLOOKUP($E546&amp;"|"&amp;$F546,Cluster_Master!$I$3:$H$17,5,FALSE))</f>
        <v/>
      </c>
      <c r="K546" s="7">
        <f>IF($G546&lt;&gt;"Valid","",VLOOKUP($E546&amp;"|"&amp;$F546,Cluster_Master!$I$3:$H$17,6,FALSE))</f>
        <v/>
      </c>
      <c r="L546" s="7">
        <f>IF($G546&lt;&gt;"Valid","",VLOOKUP($E546&amp;"|"&amp;$F546,Cluster_Master!$I$3:$H$17,7,FALSE))</f>
        <v/>
      </c>
      <c r="M546" s="7">
        <f>IF($G546&lt;&gt;"Valid","",VLOOKUP($E546&amp;"|"&amp;$F546,Cluster_Master!$I$3:$H$17,8,FALSE))</f>
        <v/>
      </c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7">
        <f>IF(COUNT(T546:AH546)=0,"",SUM(T546:AH546))</f>
        <v/>
      </c>
      <c r="AJ546" s="10">
        <f>IF(AI546="","",AI546/75)</f>
        <v/>
      </c>
      <c r="AK546" s="10">
        <f>IF(AI546="","",SUMPRODUCT(T546:AH546,KPI_Weights!$B$3:$B$17)/5)</f>
        <v/>
      </c>
      <c r="AL546" s="7">
        <f>IF(COUNT(T546:AH546)=0,"",IF(OR(T546&lt;=1,W546&lt;=1,X546&lt;=1,Y546&lt;=1,AB546&lt;=1),"YES","NO"))</f>
        <v/>
      </c>
      <c r="AM546" s="7">
        <f>IF(AK546="","",IF(AND(AK546="NO",AJ546&gt;=0.85),"YES","NO"))</f>
        <v/>
      </c>
      <c r="AN546" s="7">
        <f>IF(AJ546="","",IF(AJ546&gt;=0.90,"Excellent",IF(AJ546&gt;=0.80,"Good",IF(AJ546&gt;=0.70,"Fair","Poor"))))</f>
        <v/>
      </c>
      <c r="AO546" s="12" t="n"/>
      <c r="AP546" s="12" t="n"/>
      <c r="AQ546" s="12" t="n"/>
      <c r="AR546" s="12" t="n"/>
      <c r="AS546" s="12" t="n"/>
      <c r="AT546" s="12" t="n"/>
      <c r="AU546" s="12" t="n"/>
      <c r="AV546" s="11" t="n"/>
      <c r="AW546" s="12" t="n"/>
      <c r="AX546" s="12" t="n"/>
      <c r="AY546" s="12" t="n"/>
      <c r="AZ546" s="12" t="n"/>
      <c r="BA546" s="12" t="n"/>
      <c r="BB546" s="12" t="n"/>
      <c r="BC546" s="12" t="n"/>
      <c r="BD546" s="12" t="n"/>
      <c r="BE546" s="12" t="n"/>
      <c r="BF546" s="12" t="n"/>
    </row>
    <row r="547">
      <c r="A547" s="7">
        <f>IF(B547="","","INS-"&amp;TEXT(ROW()-3,"000"))</f>
        <v/>
      </c>
      <c r="B547" s="11" t="n"/>
      <c r="C547" s="7">
        <f>IF(B547="","",ISOWEEKNUM(B547))</f>
        <v/>
      </c>
      <c r="D547" s="7">
        <f>IF(B547="","",TEXT(B547,"yyyy-mm"))</f>
        <v/>
      </c>
      <c r="E547" s="12" t="n"/>
      <c r="F547" s="12" t="n"/>
      <c r="G547" s="7">
        <f>IF(OR(E547="",F547=""),"",IF(COUNTIF(Cluster_Master!$I$3:$I$17,E547&amp;"|"&amp;F547)=1,"Valid","Review"))</f>
        <v/>
      </c>
      <c r="H547" s="7">
        <f>IF($G547&lt;&gt;"Valid","",VLOOKUP($E547&amp;"|"&amp;$F547,Cluster_Master!$I$3:$H$17,3,FALSE))</f>
        <v/>
      </c>
      <c r="I547" s="7">
        <f>IF($G547&lt;&gt;"Valid","",VLOOKUP($E547&amp;"|"&amp;$F547,Cluster_Master!$I$3:$H$17,4,FALSE))</f>
        <v/>
      </c>
      <c r="J547" s="7">
        <f>IF($G547&lt;&gt;"Valid","",VLOOKUP($E547&amp;"|"&amp;$F547,Cluster_Master!$I$3:$H$17,5,FALSE))</f>
        <v/>
      </c>
      <c r="K547" s="7">
        <f>IF($G547&lt;&gt;"Valid","",VLOOKUP($E547&amp;"|"&amp;$F547,Cluster_Master!$I$3:$H$17,6,FALSE))</f>
        <v/>
      </c>
      <c r="L547" s="7">
        <f>IF($G547&lt;&gt;"Valid","",VLOOKUP($E547&amp;"|"&amp;$F547,Cluster_Master!$I$3:$H$17,7,FALSE))</f>
        <v/>
      </c>
      <c r="M547" s="7">
        <f>IF($G547&lt;&gt;"Valid","",VLOOKUP($E547&amp;"|"&amp;$F547,Cluster_Master!$I$3:$H$17,8,FALSE))</f>
        <v/>
      </c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7">
        <f>IF(COUNT(T547:AH547)=0,"",SUM(T547:AH547))</f>
        <v/>
      </c>
      <c r="AJ547" s="10">
        <f>IF(AI547="","",AI547/75)</f>
        <v/>
      </c>
      <c r="AK547" s="10">
        <f>IF(AI547="","",SUMPRODUCT(T547:AH547,KPI_Weights!$B$3:$B$17)/5)</f>
        <v/>
      </c>
      <c r="AL547" s="7">
        <f>IF(COUNT(T547:AH547)=0,"",IF(OR(T547&lt;=1,W547&lt;=1,X547&lt;=1,Y547&lt;=1,AB547&lt;=1),"YES","NO"))</f>
        <v/>
      </c>
      <c r="AM547" s="7">
        <f>IF(AK547="","",IF(AND(AK547="NO",AJ547&gt;=0.85),"YES","NO"))</f>
        <v/>
      </c>
      <c r="AN547" s="7">
        <f>IF(AJ547="","",IF(AJ547&gt;=0.90,"Excellent",IF(AJ547&gt;=0.80,"Good",IF(AJ547&gt;=0.70,"Fair","Poor"))))</f>
        <v/>
      </c>
      <c r="AO547" s="12" t="n"/>
      <c r="AP547" s="12" t="n"/>
      <c r="AQ547" s="12" t="n"/>
      <c r="AR547" s="12" t="n"/>
      <c r="AS547" s="12" t="n"/>
      <c r="AT547" s="12" t="n"/>
      <c r="AU547" s="12" t="n"/>
      <c r="AV547" s="11" t="n"/>
      <c r="AW547" s="12" t="n"/>
      <c r="AX547" s="12" t="n"/>
      <c r="AY547" s="12" t="n"/>
      <c r="AZ547" s="12" t="n"/>
      <c r="BA547" s="12" t="n"/>
      <c r="BB547" s="12" t="n"/>
      <c r="BC547" s="12" t="n"/>
      <c r="BD547" s="12" t="n"/>
      <c r="BE547" s="12" t="n"/>
      <c r="BF547" s="12" t="n"/>
    </row>
    <row r="548">
      <c r="A548" s="7">
        <f>IF(B548="","","INS-"&amp;TEXT(ROW()-3,"000"))</f>
        <v/>
      </c>
      <c r="B548" s="11" t="n"/>
      <c r="C548" s="7">
        <f>IF(B548="","",ISOWEEKNUM(B548))</f>
        <v/>
      </c>
      <c r="D548" s="7">
        <f>IF(B548="","",TEXT(B548,"yyyy-mm"))</f>
        <v/>
      </c>
      <c r="E548" s="12" t="n"/>
      <c r="F548" s="12" t="n"/>
      <c r="G548" s="7">
        <f>IF(OR(E548="",F548=""),"",IF(COUNTIF(Cluster_Master!$I$3:$I$17,E548&amp;"|"&amp;F548)=1,"Valid","Review"))</f>
        <v/>
      </c>
      <c r="H548" s="7">
        <f>IF($G548&lt;&gt;"Valid","",VLOOKUP($E548&amp;"|"&amp;$F548,Cluster_Master!$I$3:$H$17,3,FALSE))</f>
        <v/>
      </c>
      <c r="I548" s="7">
        <f>IF($G548&lt;&gt;"Valid","",VLOOKUP($E548&amp;"|"&amp;$F548,Cluster_Master!$I$3:$H$17,4,FALSE))</f>
        <v/>
      </c>
      <c r="J548" s="7">
        <f>IF($G548&lt;&gt;"Valid","",VLOOKUP($E548&amp;"|"&amp;$F548,Cluster_Master!$I$3:$H$17,5,FALSE))</f>
        <v/>
      </c>
      <c r="K548" s="7">
        <f>IF($G548&lt;&gt;"Valid","",VLOOKUP($E548&amp;"|"&amp;$F548,Cluster_Master!$I$3:$H$17,6,FALSE))</f>
        <v/>
      </c>
      <c r="L548" s="7">
        <f>IF($G548&lt;&gt;"Valid","",VLOOKUP($E548&amp;"|"&amp;$F548,Cluster_Master!$I$3:$H$17,7,FALSE))</f>
        <v/>
      </c>
      <c r="M548" s="7">
        <f>IF($G548&lt;&gt;"Valid","",VLOOKUP($E548&amp;"|"&amp;$F548,Cluster_Master!$I$3:$H$17,8,FALSE))</f>
        <v/>
      </c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7">
        <f>IF(COUNT(T548:AH548)=0,"",SUM(T548:AH548))</f>
        <v/>
      </c>
      <c r="AJ548" s="10">
        <f>IF(AI548="","",AI548/75)</f>
        <v/>
      </c>
      <c r="AK548" s="10">
        <f>IF(AI548="","",SUMPRODUCT(T548:AH548,KPI_Weights!$B$3:$B$17)/5)</f>
        <v/>
      </c>
      <c r="AL548" s="7">
        <f>IF(COUNT(T548:AH548)=0,"",IF(OR(T548&lt;=1,W548&lt;=1,X548&lt;=1,Y548&lt;=1,AB548&lt;=1),"YES","NO"))</f>
        <v/>
      </c>
      <c r="AM548" s="7">
        <f>IF(AK548="","",IF(AND(AK548="NO",AJ548&gt;=0.85),"YES","NO"))</f>
        <v/>
      </c>
      <c r="AN548" s="7">
        <f>IF(AJ548="","",IF(AJ548&gt;=0.90,"Excellent",IF(AJ548&gt;=0.80,"Good",IF(AJ548&gt;=0.70,"Fair","Poor"))))</f>
        <v/>
      </c>
      <c r="AO548" s="12" t="n"/>
      <c r="AP548" s="12" t="n"/>
      <c r="AQ548" s="12" t="n"/>
      <c r="AR548" s="12" t="n"/>
      <c r="AS548" s="12" t="n"/>
      <c r="AT548" s="12" t="n"/>
      <c r="AU548" s="12" t="n"/>
      <c r="AV548" s="11" t="n"/>
      <c r="AW548" s="12" t="n"/>
      <c r="AX548" s="12" t="n"/>
      <c r="AY548" s="12" t="n"/>
      <c r="AZ548" s="12" t="n"/>
      <c r="BA548" s="12" t="n"/>
      <c r="BB548" s="12" t="n"/>
      <c r="BC548" s="12" t="n"/>
      <c r="BD548" s="12" t="n"/>
      <c r="BE548" s="12" t="n"/>
      <c r="BF548" s="12" t="n"/>
    </row>
    <row r="549">
      <c r="A549" s="7">
        <f>IF(B549="","","INS-"&amp;TEXT(ROW()-3,"000"))</f>
        <v/>
      </c>
      <c r="B549" s="11" t="n"/>
      <c r="C549" s="7">
        <f>IF(B549="","",ISOWEEKNUM(B549))</f>
        <v/>
      </c>
      <c r="D549" s="7">
        <f>IF(B549="","",TEXT(B549,"yyyy-mm"))</f>
        <v/>
      </c>
      <c r="E549" s="12" t="n"/>
      <c r="F549" s="12" t="n"/>
      <c r="G549" s="7">
        <f>IF(OR(E549="",F549=""),"",IF(COUNTIF(Cluster_Master!$I$3:$I$17,E549&amp;"|"&amp;F549)=1,"Valid","Review"))</f>
        <v/>
      </c>
      <c r="H549" s="7">
        <f>IF($G549&lt;&gt;"Valid","",VLOOKUP($E549&amp;"|"&amp;$F549,Cluster_Master!$I$3:$H$17,3,FALSE))</f>
        <v/>
      </c>
      <c r="I549" s="7">
        <f>IF($G549&lt;&gt;"Valid","",VLOOKUP($E549&amp;"|"&amp;$F549,Cluster_Master!$I$3:$H$17,4,FALSE))</f>
        <v/>
      </c>
      <c r="J549" s="7">
        <f>IF($G549&lt;&gt;"Valid","",VLOOKUP($E549&amp;"|"&amp;$F549,Cluster_Master!$I$3:$H$17,5,FALSE))</f>
        <v/>
      </c>
      <c r="K549" s="7">
        <f>IF($G549&lt;&gt;"Valid","",VLOOKUP($E549&amp;"|"&amp;$F549,Cluster_Master!$I$3:$H$17,6,FALSE))</f>
        <v/>
      </c>
      <c r="L549" s="7">
        <f>IF($G549&lt;&gt;"Valid","",VLOOKUP($E549&amp;"|"&amp;$F549,Cluster_Master!$I$3:$H$17,7,FALSE))</f>
        <v/>
      </c>
      <c r="M549" s="7">
        <f>IF($G549&lt;&gt;"Valid","",VLOOKUP($E549&amp;"|"&amp;$F549,Cluster_Master!$I$3:$H$17,8,FALSE))</f>
        <v/>
      </c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7">
        <f>IF(COUNT(T549:AH549)=0,"",SUM(T549:AH549))</f>
        <v/>
      </c>
      <c r="AJ549" s="10">
        <f>IF(AI549="","",AI549/75)</f>
        <v/>
      </c>
      <c r="AK549" s="10">
        <f>IF(AI549="","",SUMPRODUCT(T549:AH549,KPI_Weights!$B$3:$B$17)/5)</f>
        <v/>
      </c>
      <c r="AL549" s="7">
        <f>IF(COUNT(T549:AH549)=0,"",IF(OR(T549&lt;=1,W549&lt;=1,X549&lt;=1,Y549&lt;=1,AB549&lt;=1),"YES","NO"))</f>
        <v/>
      </c>
      <c r="AM549" s="7">
        <f>IF(AK549="","",IF(AND(AK549="NO",AJ549&gt;=0.85),"YES","NO"))</f>
        <v/>
      </c>
      <c r="AN549" s="7">
        <f>IF(AJ549="","",IF(AJ549&gt;=0.90,"Excellent",IF(AJ549&gt;=0.80,"Good",IF(AJ549&gt;=0.70,"Fair","Poor"))))</f>
        <v/>
      </c>
      <c r="AO549" s="12" t="n"/>
      <c r="AP549" s="12" t="n"/>
      <c r="AQ549" s="12" t="n"/>
      <c r="AR549" s="12" t="n"/>
      <c r="AS549" s="12" t="n"/>
      <c r="AT549" s="12" t="n"/>
      <c r="AU549" s="12" t="n"/>
      <c r="AV549" s="11" t="n"/>
      <c r="AW549" s="12" t="n"/>
      <c r="AX549" s="12" t="n"/>
      <c r="AY549" s="12" t="n"/>
      <c r="AZ549" s="12" t="n"/>
      <c r="BA549" s="12" t="n"/>
      <c r="BB549" s="12" t="n"/>
      <c r="BC549" s="12" t="n"/>
      <c r="BD549" s="12" t="n"/>
      <c r="BE549" s="12" t="n"/>
      <c r="BF549" s="12" t="n"/>
    </row>
    <row r="550">
      <c r="A550" s="7">
        <f>IF(B550="","","INS-"&amp;TEXT(ROW()-3,"000"))</f>
        <v/>
      </c>
      <c r="B550" s="11" t="n"/>
      <c r="C550" s="7">
        <f>IF(B550="","",ISOWEEKNUM(B550))</f>
        <v/>
      </c>
      <c r="D550" s="7">
        <f>IF(B550="","",TEXT(B550,"yyyy-mm"))</f>
        <v/>
      </c>
      <c r="E550" s="12" t="n"/>
      <c r="F550" s="12" t="n"/>
      <c r="G550" s="7">
        <f>IF(OR(E550="",F550=""),"",IF(COUNTIF(Cluster_Master!$I$3:$I$17,E550&amp;"|"&amp;F550)=1,"Valid","Review"))</f>
        <v/>
      </c>
      <c r="H550" s="7">
        <f>IF($G550&lt;&gt;"Valid","",VLOOKUP($E550&amp;"|"&amp;$F550,Cluster_Master!$I$3:$H$17,3,FALSE))</f>
        <v/>
      </c>
      <c r="I550" s="7">
        <f>IF($G550&lt;&gt;"Valid","",VLOOKUP($E550&amp;"|"&amp;$F550,Cluster_Master!$I$3:$H$17,4,FALSE))</f>
        <v/>
      </c>
      <c r="J550" s="7">
        <f>IF($G550&lt;&gt;"Valid","",VLOOKUP($E550&amp;"|"&amp;$F550,Cluster_Master!$I$3:$H$17,5,FALSE))</f>
        <v/>
      </c>
      <c r="K550" s="7">
        <f>IF($G550&lt;&gt;"Valid","",VLOOKUP($E550&amp;"|"&amp;$F550,Cluster_Master!$I$3:$H$17,6,FALSE))</f>
        <v/>
      </c>
      <c r="L550" s="7">
        <f>IF($G550&lt;&gt;"Valid","",VLOOKUP($E550&amp;"|"&amp;$F550,Cluster_Master!$I$3:$H$17,7,FALSE))</f>
        <v/>
      </c>
      <c r="M550" s="7">
        <f>IF($G550&lt;&gt;"Valid","",VLOOKUP($E550&amp;"|"&amp;$F550,Cluster_Master!$I$3:$H$17,8,FALSE))</f>
        <v/>
      </c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7">
        <f>IF(COUNT(T550:AH550)=0,"",SUM(T550:AH550))</f>
        <v/>
      </c>
      <c r="AJ550" s="10">
        <f>IF(AI550="","",AI550/75)</f>
        <v/>
      </c>
      <c r="AK550" s="10">
        <f>IF(AI550="","",SUMPRODUCT(T550:AH550,KPI_Weights!$B$3:$B$17)/5)</f>
        <v/>
      </c>
      <c r="AL550" s="7">
        <f>IF(COUNT(T550:AH550)=0,"",IF(OR(T550&lt;=1,W550&lt;=1,X550&lt;=1,Y550&lt;=1,AB550&lt;=1),"YES","NO"))</f>
        <v/>
      </c>
      <c r="AM550" s="7">
        <f>IF(AK550="","",IF(AND(AK550="NO",AJ550&gt;=0.85),"YES","NO"))</f>
        <v/>
      </c>
      <c r="AN550" s="7">
        <f>IF(AJ550="","",IF(AJ550&gt;=0.90,"Excellent",IF(AJ550&gt;=0.80,"Good",IF(AJ550&gt;=0.70,"Fair","Poor"))))</f>
        <v/>
      </c>
      <c r="AO550" s="12" t="n"/>
      <c r="AP550" s="12" t="n"/>
      <c r="AQ550" s="12" t="n"/>
      <c r="AR550" s="12" t="n"/>
      <c r="AS550" s="12" t="n"/>
      <c r="AT550" s="12" t="n"/>
      <c r="AU550" s="12" t="n"/>
      <c r="AV550" s="11" t="n"/>
      <c r="AW550" s="12" t="n"/>
      <c r="AX550" s="12" t="n"/>
      <c r="AY550" s="12" t="n"/>
      <c r="AZ550" s="12" t="n"/>
      <c r="BA550" s="12" t="n"/>
      <c r="BB550" s="12" t="n"/>
      <c r="BC550" s="12" t="n"/>
      <c r="BD550" s="12" t="n"/>
      <c r="BE550" s="12" t="n"/>
      <c r="BF550" s="12" t="n"/>
    </row>
    <row r="551">
      <c r="A551" s="7">
        <f>IF(B551="","","INS-"&amp;TEXT(ROW()-3,"000"))</f>
        <v/>
      </c>
      <c r="B551" s="11" t="n"/>
      <c r="C551" s="7">
        <f>IF(B551="","",ISOWEEKNUM(B551))</f>
        <v/>
      </c>
      <c r="D551" s="7">
        <f>IF(B551="","",TEXT(B551,"yyyy-mm"))</f>
        <v/>
      </c>
      <c r="E551" s="12" t="n"/>
      <c r="F551" s="12" t="n"/>
      <c r="G551" s="7">
        <f>IF(OR(E551="",F551=""),"",IF(COUNTIF(Cluster_Master!$I$3:$I$17,E551&amp;"|"&amp;F551)=1,"Valid","Review"))</f>
        <v/>
      </c>
      <c r="H551" s="7">
        <f>IF($G551&lt;&gt;"Valid","",VLOOKUP($E551&amp;"|"&amp;$F551,Cluster_Master!$I$3:$H$17,3,FALSE))</f>
        <v/>
      </c>
      <c r="I551" s="7">
        <f>IF($G551&lt;&gt;"Valid","",VLOOKUP($E551&amp;"|"&amp;$F551,Cluster_Master!$I$3:$H$17,4,FALSE))</f>
        <v/>
      </c>
      <c r="J551" s="7">
        <f>IF($G551&lt;&gt;"Valid","",VLOOKUP($E551&amp;"|"&amp;$F551,Cluster_Master!$I$3:$H$17,5,FALSE))</f>
        <v/>
      </c>
      <c r="K551" s="7">
        <f>IF($G551&lt;&gt;"Valid","",VLOOKUP($E551&amp;"|"&amp;$F551,Cluster_Master!$I$3:$H$17,6,FALSE))</f>
        <v/>
      </c>
      <c r="L551" s="7">
        <f>IF($G551&lt;&gt;"Valid","",VLOOKUP($E551&amp;"|"&amp;$F551,Cluster_Master!$I$3:$H$17,7,FALSE))</f>
        <v/>
      </c>
      <c r="M551" s="7">
        <f>IF($G551&lt;&gt;"Valid","",VLOOKUP($E551&amp;"|"&amp;$F551,Cluster_Master!$I$3:$H$17,8,FALSE))</f>
        <v/>
      </c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7">
        <f>IF(COUNT(T551:AH551)=0,"",SUM(T551:AH551))</f>
        <v/>
      </c>
      <c r="AJ551" s="10">
        <f>IF(AI551="","",AI551/75)</f>
        <v/>
      </c>
      <c r="AK551" s="10">
        <f>IF(AI551="","",SUMPRODUCT(T551:AH551,KPI_Weights!$B$3:$B$17)/5)</f>
        <v/>
      </c>
      <c r="AL551" s="7">
        <f>IF(COUNT(T551:AH551)=0,"",IF(OR(T551&lt;=1,W551&lt;=1,X551&lt;=1,Y551&lt;=1,AB551&lt;=1),"YES","NO"))</f>
        <v/>
      </c>
      <c r="AM551" s="7">
        <f>IF(AK551="","",IF(AND(AK551="NO",AJ551&gt;=0.85),"YES","NO"))</f>
        <v/>
      </c>
      <c r="AN551" s="7">
        <f>IF(AJ551="","",IF(AJ551&gt;=0.90,"Excellent",IF(AJ551&gt;=0.80,"Good",IF(AJ551&gt;=0.70,"Fair","Poor"))))</f>
        <v/>
      </c>
      <c r="AO551" s="12" t="n"/>
      <c r="AP551" s="12" t="n"/>
      <c r="AQ551" s="12" t="n"/>
      <c r="AR551" s="12" t="n"/>
      <c r="AS551" s="12" t="n"/>
      <c r="AT551" s="12" t="n"/>
      <c r="AU551" s="12" t="n"/>
      <c r="AV551" s="11" t="n"/>
      <c r="AW551" s="12" t="n"/>
      <c r="AX551" s="12" t="n"/>
      <c r="AY551" s="12" t="n"/>
      <c r="AZ551" s="12" t="n"/>
      <c r="BA551" s="12" t="n"/>
      <c r="BB551" s="12" t="n"/>
      <c r="BC551" s="12" t="n"/>
      <c r="BD551" s="12" t="n"/>
      <c r="BE551" s="12" t="n"/>
      <c r="BF551" s="12" t="n"/>
    </row>
    <row r="552">
      <c r="A552" s="7">
        <f>IF(B552="","","INS-"&amp;TEXT(ROW()-3,"000"))</f>
        <v/>
      </c>
      <c r="B552" s="11" t="n"/>
      <c r="C552" s="7">
        <f>IF(B552="","",ISOWEEKNUM(B552))</f>
        <v/>
      </c>
      <c r="D552" s="7">
        <f>IF(B552="","",TEXT(B552,"yyyy-mm"))</f>
        <v/>
      </c>
      <c r="E552" s="12" t="n"/>
      <c r="F552" s="12" t="n"/>
      <c r="G552" s="7">
        <f>IF(OR(E552="",F552=""),"",IF(COUNTIF(Cluster_Master!$I$3:$I$17,E552&amp;"|"&amp;F552)=1,"Valid","Review"))</f>
        <v/>
      </c>
      <c r="H552" s="7">
        <f>IF($G552&lt;&gt;"Valid","",VLOOKUP($E552&amp;"|"&amp;$F552,Cluster_Master!$I$3:$H$17,3,FALSE))</f>
        <v/>
      </c>
      <c r="I552" s="7">
        <f>IF($G552&lt;&gt;"Valid","",VLOOKUP($E552&amp;"|"&amp;$F552,Cluster_Master!$I$3:$H$17,4,FALSE))</f>
        <v/>
      </c>
      <c r="J552" s="7">
        <f>IF($G552&lt;&gt;"Valid","",VLOOKUP($E552&amp;"|"&amp;$F552,Cluster_Master!$I$3:$H$17,5,FALSE))</f>
        <v/>
      </c>
      <c r="K552" s="7">
        <f>IF($G552&lt;&gt;"Valid","",VLOOKUP($E552&amp;"|"&amp;$F552,Cluster_Master!$I$3:$H$17,6,FALSE))</f>
        <v/>
      </c>
      <c r="L552" s="7">
        <f>IF($G552&lt;&gt;"Valid","",VLOOKUP($E552&amp;"|"&amp;$F552,Cluster_Master!$I$3:$H$17,7,FALSE))</f>
        <v/>
      </c>
      <c r="M552" s="7">
        <f>IF($G552&lt;&gt;"Valid","",VLOOKUP($E552&amp;"|"&amp;$F552,Cluster_Master!$I$3:$H$17,8,FALSE))</f>
        <v/>
      </c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7">
        <f>IF(COUNT(T552:AH552)=0,"",SUM(T552:AH552))</f>
        <v/>
      </c>
      <c r="AJ552" s="10">
        <f>IF(AI552="","",AI552/75)</f>
        <v/>
      </c>
      <c r="AK552" s="10">
        <f>IF(AI552="","",SUMPRODUCT(T552:AH552,KPI_Weights!$B$3:$B$17)/5)</f>
        <v/>
      </c>
      <c r="AL552" s="7">
        <f>IF(COUNT(T552:AH552)=0,"",IF(OR(T552&lt;=1,W552&lt;=1,X552&lt;=1,Y552&lt;=1,AB552&lt;=1),"YES","NO"))</f>
        <v/>
      </c>
      <c r="AM552" s="7">
        <f>IF(AK552="","",IF(AND(AK552="NO",AJ552&gt;=0.85),"YES","NO"))</f>
        <v/>
      </c>
      <c r="AN552" s="7">
        <f>IF(AJ552="","",IF(AJ552&gt;=0.90,"Excellent",IF(AJ552&gt;=0.80,"Good",IF(AJ552&gt;=0.70,"Fair","Poor"))))</f>
        <v/>
      </c>
      <c r="AO552" s="12" t="n"/>
      <c r="AP552" s="12" t="n"/>
      <c r="AQ552" s="12" t="n"/>
      <c r="AR552" s="12" t="n"/>
      <c r="AS552" s="12" t="n"/>
      <c r="AT552" s="12" t="n"/>
      <c r="AU552" s="12" t="n"/>
      <c r="AV552" s="11" t="n"/>
      <c r="AW552" s="12" t="n"/>
      <c r="AX552" s="12" t="n"/>
      <c r="AY552" s="12" t="n"/>
      <c r="AZ552" s="12" t="n"/>
      <c r="BA552" s="12" t="n"/>
      <c r="BB552" s="12" t="n"/>
      <c r="BC552" s="12" t="n"/>
      <c r="BD552" s="12" t="n"/>
      <c r="BE552" s="12" t="n"/>
      <c r="BF552" s="12" t="n"/>
    </row>
    <row r="553">
      <c r="A553" s="7">
        <f>IF(B553="","","INS-"&amp;TEXT(ROW()-3,"000"))</f>
        <v/>
      </c>
      <c r="B553" s="11" t="n"/>
      <c r="C553" s="7">
        <f>IF(B553="","",ISOWEEKNUM(B553))</f>
        <v/>
      </c>
      <c r="D553" s="7">
        <f>IF(B553="","",TEXT(B553,"yyyy-mm"))</f>
        <v/>
      </c>
      <c r="E553" s="12" t="n"/>
      <c r="F553" s="12" t="n"/>
      <c r="G553" s="7">
        <f>IF(OR(E553="",F553=""),"",IF(COUNTIF(Cluster_Master!$I$3:$I$17,E553&amp;"|"&amp;F553)=1,"Valid","Review"))</f>
        <v/>
      </c>
      <c r="H553" s="7">
        <f>IF($G553&lt;&gt;"Valid","",VLOOKUP($E553&amp;"|"&amp;$F553,Cluster_Master!$I$3:$H$17,3,FALSE))</f>
        <v/>
      </c>
      <c r="I553" s="7">
        <f>IF($G553&lt;&gt;"Valid","",VLOOKUP($E553&amp;"|"&amp;$F553,Cluster_Master!$I$3:$H$17,4,FALSE))</f>
        <v/>
      </c>
      <c r="J553" s="7">
        <f>IF($G553&lt;&gt;"Valid","",VLOOKUP($E553&amp;"|"&amp;$F553,Cluster_Master!$I$3:$H$17,5,FALSE))</f>
        <v/>
      </c>
      <c r="K553" s="7">
        <f>IF($G553&lt;&gt;"Valid","",VLOOKUP($E553&amp;"|"&amp;$F553,Cluster_Master!$I$3:$H$17,6,FALSE))</f>
        <v/>
      </c>
      <c r="L553" s="7">
        <f>IF($G553&lt;&gt;"Valid","",VLOOKUP($E553&amp;"|"&amp;$F553,Cluster_Master!$I$3:$H$17,7,FALSE))</f>
        <v/>
      </c>
      <c r="M553" s="7">
        <f>IF($G553&lt;&gt;"Valid","",VLOOKUP($E553&amp;"|"&amp;$F553,Cluster_Master!$I$3:$H$17,8,FALSE))</f>
        <v/>
      </c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7">
        <f>IF(COUNT(T553:AH553)=0,"",SUM(T553:AH553))</f>
        <v/>
      </c>
      <c r="AJ553" s="10">
        <f>IF(AI553="","",AI553/75)</f>
        <v/>
      </c>
      <c r="AK553" s="10">
        <f>IF(AI553="","",SUMPRODUCT(T553:AH553,KPI_Weights!$B$3:$B$17)/5)</f>
        <v/>
      </c>
      <c r="AL553" s="7">
        <f>IF(COUNT(T553:AH553)=0,"",IF(OR(T553&lt;=1,W553&lt;=1,X553&lt;=1,Y553&lt;=1,AB553&lt;=1),"YES","NO"))</f>
        <v/>
      </c>
      <c r="AM553" s="7">
        <f>IF(AK553="","",IF(AND(AK553="NO",AJ553&gt;=0.85),"YES","NO"))</f>
        <v/>
      </c>
      <c r="AN553" s="7">
        <f>IF(AJ553="","",IF(AJ553&gt;=0.90,"Excellent",IF(AJ553&gt;=0.80,"Good",IF(AJ553&gt;=0.70,"Fair","Poor"))))</f>
        <v/>
      </c>
      <c r="AO553" s="12" t="n"/>
      <c r="AP553" s="12" t="n"/>
      <c r="AQ553" s="12" t="n"/>
      <c r="AR553" s="12" t="n"/>
      <c r="AS553" s="12" t="n"/>
      <c r="AT553" s="12" t="n"/>
      <c r="AU553" s="12" t="n"/>
      <c r="AV553" s="11" t="n"/>
      <c r="AW553" s="12" t="n"/>
      <c r="AX553" s="12" t="n"/>
      <c r="AY553" s="12" t="n"/>
      <c r="AZ553" s="12" t="n"/>
      <c r="BA553" s="12" t="n"/>
      <c r="BB553" s="12" t="n"/>
      <c r="BC553" s="12" t="n"/>
      <c r="BD553" s="12" t="n"/>
      <c r="BE553" s="12" t="n"/>
      <c r="BF553" s="12" t="n"/>
    </row>
    <row r="554">
      <c r="A554" s="7">
        <f>IF(B554="","","INS-"&amp;TEXT(ROW()-3,"000"))</f>
        <v/>
      </c>
      <c r="B554" s="11" t="n"/>
      <c r="C554" s="7">
        <f>IF(B554="","",ISOWEEKNUM(B554))</f>
        <v/>
      </c>
      <c r="D554" s="7">
        <f>IF(B554="","",TEXT(B554,"yyyy-mm"))</f>
        <v/>
      </c>
      <c r="E554" s="12" t="n"/>
      <c r="F554" s="12" t="n"/>
      <c r="G554" s="7">
        <f>IF(OR(E554="",F554=""),"",IF(COUNTIF(Cluster_Master!$I$3:$I$17,E554&amp;"|"&amp;F554)=1,"Valid","Review"))</f>
        <v/>
      </c>
      <c r="H554" s="7">
        <f>IF($G554&lt;&gt;"Valid","",VLOOKUP($E554&amp;"|"&amp;$F554,Cluster_Master!$I$3:$H$17,3,FALSE))</f>
        <v/>
      </c>
      <c r="I554" s="7">
        <f>IF($G554&lt;&gt;"Valid","",VLOOKUP($E554&amp;"|"&amp;$F554,Cluster_Master!$I$3:$H$17,4,FALSE))</f>
        <v/>
      </c>
      <c r="J554" s="7">
        <f>IF($G554&lt;&gt;"Valid","",VLOOKUP($E554&amp;"|"&amp;$F554,Cluster_Master!$I$3:$H$17,5,FALSE))</f>
        <v/>
      </c>
      <c r="K554" s="7">
        <f>IF($G554&lt;&gt;"Valid","",VLOOKUP($E554&amp;"|"&amp;$F554,Cluster_Master!$I$3:$H$17,6,FALSE))</f>
        <v/>
      </c>
      <c r="L554" s="7">
        <f>IF($G554&lt;&gt;"Valid","",VLOOKUP($E554&amp;"|"&amp;$F554,Cluster_Master!$I$3:$H$17,7,FALSE))</f>
        <v/>
      </c>
      <c r="M554" s="7">
        <f>IF($G554&lt;&gt;"Valid","",VLOOKUP($E554&amp;"|"&amp;$F554,Cluster_Master!$I$3:$H$17,8,FALSE))</f>
        <v/>
      </c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7">
        <f>IF(COUNT(T554:AH554)=0,"",SUM(T554:AH554))</f>
        <v/>
      </c>
      <c r="AJ554" s="10">
        <f>IF(AI554="","",AI554/75)</f>
        <v/>
      </c>
      <c r="AK554" s="10">
        <f>IF(AI554="","",SUMPRODUCT(T554:AH554,KPI_Weights!$B$3:$B$17)/5)</f>
        <v/>
      </c>
      <c r="AL554" s="7">
        <f>IF(COUNT(T554:AH554)=0,"",IF(OR(T554&lt;=1,W554&lt;=1,X554&lt;=1,Y554&lt;=1,AB554&lt;=1),"YES","NO"))</f>
        <v/>
      </c>
      <c r="AM554" s="7">
        <f>IF(AK554="","",IF(AND(AK554="NO",AJ554&gt;=0.85),"YES","NO"))</f>
        <v/>
      </c>
      <c r="AN554" s="7">
        <f>IF(AJ554="","",IF(AJ554&gt;=0.90,"Excellent",IF(AJ554&gt;=0.80,"Good",IF(AJ554&gt;=0.70,"Fair","Poor"))))</f>
        <v/>
      </c>
      <c r="AO554" s="12" t="n"/>
      <c r="AP554" s="12" t="n"/>
      <c r="AQ554" s="12" t="n"/>
      <c r="AR554" s="12" t="n"/>
      <c r="AS554" s="12" t="n"/>
      <c r="AT554" s="12" t="n"/>
      <c r="AU554" s="12" t="n"/>
      <c r="AV554" s="11" t="n"/>
      <c r="AW554" s="12" t="n"/>
      <c r="AX554" s="12" t="n"/>
      <c r="AY554" s="12" t="n"/>
      <c r="AZ554" s="12" t="n"/>
      <c r="BA554" s="12" t="n"/>
      <c r="BB554" s="12" t="n"/>
      <c r="BC554" s="12" t="n"/>
      <c r="BD554" s="12" t="n"/>
      <c r="BE554" s="12" t="n"/>
      <c r="BF554" s="12" t="n"/>
    </row>
    <row r="555">
      <c r="A555" s="7">
        <f>IF(B555="","","INS-"&amp;TEXT(ROW()-3,"000"))</f>
        <v/>
      </c>
      <c r="B555" s="11" t="n"/>
      <c r="C555" s="7">
        <f>IF(B555="","",ISOWEEKNUM(B555))</f>
        <v/>
      </c>
      <c r="D555" s="7">
        <f>IF(B555="","",TEXT(B555,"yyyy-mm"))</f>
        <v/>
      </c>
      <c r="E555" s="12" t="n"/>
      <c r="F555" s="12" t="n"/>
      <c r="G555" s="7">
        <f>IF(OR(E555="",F555=""),"",IF(COUNTIF(Cluster_Master!$I$3:$I$17,E555&amp;"|"&amp;F555)=1,"Valid","Review"))</f>
        <v/>
      </c>
      <c r="H555" s="7">
        <f>IF($G555&lt;&gt;"Valid","",VLOOKUP($E555&amp;"|"&amp;$F555,Cluster_Master!$I$3:$H$17,3,FALSE))</f>
        <v/>
      </c>
      <c r="I555" s="7">
        <f>IF($G555&lt;&gt;"Valid","",VLOOKUP($E555&amp;"|"&amp;$F555,Cluster_Master!$I$3:$H$17,4,FALSE))</f>
        <v/>
      </c>
      <c r="J555" s="7">
        <f>IF($G555&lt;&gt;"Valid","",VLOOKUP($E555&amp;"|"&amp;$F555,Cluster_Master!$I$3:$H$17,5,FALSE))</f>
        <v/>
      </c>
      <c r="K555" s="7">
        <f>IF($G555&lt;&gt;"Valid","",VLOOKUP($E555&amp;"|"&amp;$F555,Cluster_Master!$I$3:$H$17,6,FALSE))</f>
        <v/>
      </c>
      <c r="L555" s="7">
        <f>IF($G555&lt;&gt;"Valid","",VLOOKUP($E555&amp;"|"&amp;$F555,Cluster_Master!$I$3:$H$17,7,FALSE))</f>
        <v/>
      </c>
      <c r="M555" s="7">
        <f>IF($G555&lt;&gt;"Valid","",VLOOKUP($E555&amp;"|"&amp;$F555,Cluster_Master!$I$3:$H$17,8,FALSE))</f>
        <v/>
      </c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7">
        <f>IF(COUNT(T555:AH555)=0,"",SUM(T555:AH555))</f>
        <v/>
      </c>
      <c r="AJ555" s="10">
        <f>IF(AI555="","",AI555/75)</f>
        <v/>
      </c>
      <c r="AK555" s="10">
        <f>IF(AI555="","",SUMPRODUCT(T555:AH555,KPI_Weights!$B$3:$B$17)/5)</f>
        <v/>
      </c>
      <c r="AL555" s="7">
        <f>IF(COUNT(T555:AH555)=0,"",IF(OR(T555&lt;=1,W555&lt;=1,X555&lt;=1,Y555&lt;=1,AB555&lt;=1),"YES","NO"))</f>
        <v/>
      </c>
      <c r="AM555" s="7">
        <f>IF(AK555="","",IF(AND(AK555="NO",AJ555&gt;=0.85),"YES","NO"))</f>
        <v/>
      </c>
      <c r="AN555" s="7">
        <f>IF(AJ555="","",IF(AJ555&gt;=0.90,"Excellent",IF(AJ555&gt;=0.80,"Good",IF(AJ555&gt;=0.70,"Fair","Poor"))))</f>
        <v/>
      </c>
      <c r="AO555" s="12" t="n"/>
      <c r="AP555" s="12" t="n"/>
      <c r="AQ555" s="12" t="n"/>
      <c r="AR555" s="12" t="n"/>
      <c r="AS555" s="12" t="n"/>
      <c r="AT555" s="12" t="n"/>
      <c r="AU555" s="12" t="n"/>
      <c r="AV555" s="11" t="n"/>
      <c r="AW555" s="12" t="n"/>
      <c r="AX555" s="12" t="n"/>
      <c r="AY555" s="12" t="n"/>
      <c r="AZ555" s="12" t="n"/>
      <c r="BA555" s="12" t="n"/>
      <c r="BB555" s="12" t="n"/>
      <c r="BC555" s="12" t="n"/>
      <c r="BD555" s="12" t="n"/>
      <c r="BE555" s="12" t="n"/>
      <c r="BF555" s="12" t="n"/>
    </row>
    <row r="556">
      <c r="A556" s="7">
        <f>IF(B556="","","INS-"&amp;TEXT(ROW()-3,"000"))</f>
        <v/>
      </c>
      <c r="B556" s="11" t="n"/>
      <c r="C556" s="7">
        <f>IF(B556="","",ISOWEEKNUM(B556))</f>
        <v/>
      </c>
      <c r="D556" s="7">
        <f>IF(B556="","",TEXT(B556,"yyyy-mm"))</f>
        <v/>
      </c>
      <c r="E556" s="12" t="n"/>
      <c r="F556" s="12" t="n"/>
      <c r="G556" s="7">
        <f>IF(OR(E556="",F556=""),"",IF(COUNTIF(Cluster_Master!$I$3:$I$17,E556&amp;"|"&amp;F556)=1,"Valid","Review"))</f>
        <v/>
      </c>
      <c r="H556" s="7">
        <f>IF($G556&lt;&gt;"Valid","",VLOOKUP($E556&amp;"|"&amp;$F556,Cluster_Master!$I$3:$H$17,3,FALSE))</f>
        <v/>
      </c>
      <c r="I556" s="7">
        <f>IF($G556&lt;&gt;"Valid","",VLOOKUP($E556&amp;"|"&amp;$F556,Cluster_Master!$I$3:$H$17,4,FALSE))</f>
        <v/>
      </c>
      <c r="J556" s="7">
        <f>IF($G556&lt;&gt;"Valid","",VLOOKUP($E556&amp;"|"&amp;$F556,Cluster_Master!$I$3:$H$17,5,FALSE))</f>
        <v/>
      </c>
      <c r="K556" s="7">
        <f>IF($G556&lt;&gt;"Valid","",VLOOKUP($E556&amp;"|"&amp;$F556,Cluster_Master!$I$3:$H$17,6,FALSE))</f>
        <v/>
      </c>
      <c r="L556" s="7">
        <f>IF($G556&lt;&gt;"Valid","",VLOOKUP($E556&amp;"|"&amp;$F556,Cluster_Master!$I$3:$H$17,7,FALSE))</f>
        <v/>
      </c>
      <c r="M556" s="7">
        <f>IF($G556&lt;&gt;"Valid","",VLOOKUP($E556&amp;"|"&amp;$F556,Cluster_Master!$I$3:$H$17,8,FALSE))</f>
        <v/>
      </c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7">
        <f>IF(COUNT(T556:AH556)=0,"",SUM(T556:AH556))</f>
        <v/>
      </c>
      <c r="AJ556" s="10">
        <f>IF(AI556="","",AI556/75)</f>
        <v/>
      </c>
      <c r="AK556" s="10">
        <f>IF(AI556="","",SUMPRODUCT(T556:AH556,KPI_Weights!$B$3:$B$17)/5)</f>
        <v/>
      </c>
      <c r="AL556" s="7">
        <f>IF(COUNT(T556:AH556)=0,"",IF(OR(T556&lt;=1,W556&lt;=1,X556&lt;=1,Y556&lt;=1,AB556&lt;=1),"YES","NO"))</f>
        <v/>
      </c>
      <c r="AM556" s="7">
        <f>IF(AK556="","",IF(AND(AK556="NO",AJ556&gt;=0.85),"YES","NO"))</f>
        <v/>
      </c>
      <c r="AN556" s="7">
        <f>IF(AJ556="","",IF(AJ556&gt;=0.90,"Excellent",IF(AJ556&gt;=0.80,"Good",IF(AJ556&gt;=0.70,"Fair","Poor"))))</f>
        <v/>
      </c>
      <c r="AO556" s="12" t="n"/>
      <c r="AP556" s="12" t="n"/>
      <c r="AQ556" s="12" t="n"/>
      <c r="AR556" s="12" t="n"/>
      <c r="AS556" s="12" t="n"/>
      <c r="AT556" s="12" t="n"/>
      <c r="AU556" s="12" t="n"/>
      <c r="AV556" s="11" t="n"/>
      <c r="AW556" s="12" t="n"/>
      <c r="AX556" s="12" t="n"/>
      <c r="AY556" s="12" t="n"/>
      <c r="AZ556" s="12" t="n"/>
      <c r="BA556" s="12" t="n"/>
      <c r="BB556" s="12" t="n"/>
      <c r="BC556" s="12" t="n"/>
      <c r="BD556" s="12" t="n"/>
      <c r="BE556" s="12" t="n"/>
      <c r="BF556" s="12" t="n"/>
    </row>
    <row r="557">
      <c r="A557" s="7">
        <f>IF(B557="","","INS-"&amp;TEXT(ROW()-3,"000"))</f>
        <v/>
      </c>
      <c r="B557" s="11" t="n"/>
      <c r="C557" s="7">
        <f>IF(B557="","",ISOWEEKNUM(B557))</f>
        <v/>
      </c>
      <c r="D557" s="7">
        <f>IF(B557="","",TEXT(B557,"yyyy-mm"))</f>
        <v/>
      </c>
      <c r="E557" s="12" t="n"/>
      <c r="F557" s="12" t="n"/>
      <c r="G557" s="7">
        <f>IF(OR(E557="",F557=""),"",IF(COUNTIF(Cluster_Master!$I$3:$I$17,E557&amp;"|"&amp;F557)=1,"Valid","Review"))</f>
        <v/>
      </c>
      <c r="H557" s="7">
        <f>IF($G557&lt;&gt;"Valid","",VLOOKUP($E557&amp;"|"&amp;$F557,Cluster_Master!$I$3:$H$17,3,FALSE))</f>
        <v/>
      </c>
      <c r="I557" s="7">
        <f>IF($G557&lt;&gt;"Valid","",VLOOKUP($E557&amp;"|"&amp;$F557,Cluster_Master!$I$3:$H$17,4,FALSE))</f>
        <v/>
      </c>
      <c r="J557" s="7">
        <f>IF($G557&lt;&gt;"Valid","",VLOOKUP($E557&amp;"|"&amp;$F557,Cluster_Master!$I$3:$H$17,5,FALSE))</f>
        <v/>
      </c>
      <c r="K557" s="7">
        <f>IF($G557&lt;&gt;"Valid","",VLOOKUP($E557&amp;"|"&amp;$F557,Cluster_Master!$I$3:$H$17,6,FALSE))</f>
        <v/>
      </c>
      <c r="L557" s="7">
        <f>IF($G557&lt;&gt;"Valid","",VLOOKUP($E557&amp;"|"&amp;$F557,Cluster_Master!$I$3:$H$17,7,FALSE))</f>
        <v/>
      </c>
      <c r="M557" s="7">
        <f>IF($G557&lt;&gt;"Valid","",VLOOKUP($E557&amp;"|"&amp;$F557,Cluster_Master!$I$3:$H$17,8,FALSE))</f>
        <v/>
      </c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7">
        <f>IF(COUNT(T557:AH557)=0,"",SUM(T557:AH557))</f>
        <v/>
      </c>
      <c r="AJ557" s="10">
        <f>IF(AI557="","",AI557/75)</f>
        <v/>
      </c>
      <c r="AK557" s="10">
        <f>IF(AI557="","",SUMPRODUCT(T557:AH557,KPI_Weights!$B$3:$B$17)/5)</f>
        <v/>
      </c>
      <c r="AL557" s="7">
        <f>IF(COUNT(T557:AH557)=0,"",IF(OR(T557&lt;=1,W557&lt;=1,X557&lt;=1,Y557&lt;=1,AB557&lt;=1),"YES","NO"))</f>
        <v/>
      </c>
      <c r="AM557" s="7">
        <f>IF(AK557="","",IF(AND(AK557="NO",AJ557&gt;=0.85),"YES","NO"))</f>
        <v/>
      </c>
      <c r="AN557" s="7">
        <f>IF(AJ557="","",IF(AJ557&gt;=0.90,"Excellent",IF(AJ557&gt;=0.80,"Good",IF(AJ557&gt;=0.70,"Fair","Poor"))))</f>
        <v/>
      </c>
      <c r="AO557" s="12" t="n"/>
      <c r="AP557" s="12" t="n"/>
      <c r="AQ557" s="12" t="n"/>
      <c r="AR557" s="12" t="n"/>
      <c r="AS557" s="12" t="n"/>
      <c r="AT557" s="12" t="n"/>
      <c r="AU557" s="12" t="n"/>
      <c r="AV557" s="11" t="n"/>
      <c r="AW557" s="12" t="n"/>
      <c r="AX557" s="12" t="n"/>
      <c r="AY557" s="12" t="n"/>
      <c r="AZ557" s="12" t="n"/>
      <c r="BA557" s="12" t="n"/>
      <c r="BB557" s="12" t="n"/>
      <c r="BC557" s="12" t="n"/>
      <c r="BD557" s="12" t="n"/>
      <c r="BE557" s="12" t="n"/>
      <c r="BF557" s="12" t="n"/>
    </row>
    <row r="558">
      <c r="A558" s="7">
        <f>IF(B558="","","INS-"&amp;TEXT(ROW()-3,"000"))</f>
        <v/>
      </c>
      <c r="B558" s="11" t="n"/>
      <c r="C558" s="7">
        <f>IF(B558="","",ISOWEEKNUM(B558))</f>
        <v/>
      </c>
      <c r="D558" s="7">
        <f>IF(B558="","",TEXT(B558,"yyyy-mm"))</f>
        <v/>
      </c>
      <c r="E558" s="12" t="n"/>
      <c r="F558" s="12" t="n"/>
      <c r="G558" s="7">
        <f>IF(OR(E558="",F558=""),"",IF(COUNTIF(Cluster_Master!$I$3:$I$17,E558&amp;"|"&amp;F558)=1,"Valid","Review"))</f>
        <v/>
      </c>
      <c r="H558" s="7">
        <f>IF($G558&lt;&gt;"Valid","",VLOOKUP($E558&amp;"|"&amp;$F558,Cluster_Master!$I$3:$H$17,3,FALSE))</f>
        <v/>
      </c>
      <c r="I558" s="7">
        <f>IF($G558&lt;&gt;"Valid","",VLOOKUP($E558&amp;"|"&amp;$F558,Cluster_Master!$I$3:$H$17,4,FALSE))</f>
        <v/>
      </c>
      <c r="J558" s="7">
        <f>IF($G558&lt;&gt;"Valid","",VLOOKUP($E558&amp;"|"&amp;$F558,Cluster_Master!$I$3:$H$17,5,FALSE))</f>
        <v/>
      </c>
      <c r="K558" s="7">
        <f>IF($G558&lt;&gt;"Valid","",VLOOKUP($E558&amp;"|"&amp;$F558,Cluster_Master!$I$3:$H$17,6,FALSE))</f>
        <v/>
      </c>
      <c r="L558" s="7">
        <f>IF($G558&lt;&gt;"Valid","",VLOOKUP($E558&amp;"|"&amp;$F558,Cluster_Master!$I$3:$H$17,7,FALSE))</f>
        <v/>
      </c>
      <c r="M558" s="7">
        <f>IF($G558&lt;&gt;"Valid","",VLOOKUP($E558&amp;"|"&amp;$F558,Cluster_Master!$I$3:$H$17,8,FALSE))</f>
        <v/>
      </c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7">
        <f>IF(COUNT(T558:AH558)=0,"",SUM(T558:AH558))</f>
        <v/>
      </c>
      <c r="AJ558" s="10">
        <f>IF(AI558="","",AI558/75)</f>
        <v/>
      </c>
      <c r="AK558" s="10">
        <f>IF(AI558="","",SUMPRODUCT(T558:AH558,KPI_Weights!$B$3:$B$17)/5)</f>
        <v/>
      </c>
      <c r="AL558" s="7">
        <f>IF(COUNT(T558:AH558)=0,"",IF(OR(T558&lt;=1,W558&lt;=1,X558&lt;=1,Y558&lt;=1,AB558&lt;=1),"YES","NO"))</f>
        <v/>
      </c>
      <c r="AM558" s="7">
        <f>IF(AK558="","",IF(AND(AK558="NO",AJ558&gt;=0.85),"YES","NO"))</f>
        <v/>
      </c>
      <c r="AN558" s="7">
        <f>IF(AJ558="","",IF(AJ558&gt;=0.90,"Excellent",IF(AJ558&gt;=0.80,"Good",IF(AJ558&gt;=0.70,"Fair","Poor"))))</f>
        <v/>
      </c>
      <c r="AO558" s="12" t="n"/>
      <c r="AP558" s="12" t="n"/>
      <c r="AQ558" s="12" t="n"/>
      <c r="AR558" s="12" t="n"/>
      <c r="AS558" s="12" t="n"/>
      <c r="AT558" s="12" t="n"/>
      <c r="AU558" s="12" t="n"/>
      <c r="AV558" s="11" t="n"/>
      <c r="AW558" s="12" t="n"/>
      <c r="AX558" s="12" t="n"/>
      <c r="AY558" s="12" t="n"/>
      <c r="AZ558" s="12" t="n"/>
      <c r="BA558" s="12" t="n"/>
      <c r="BB558" s="12" t="n"/>
      <c r="BC558" s="12" t="n"/>
      <c r="BD558" s="12" t="n"/>
      <c r="BE558" s="12" t="n"/>
      <c r="BF558" s="12" t="n"/>
    </row>
    <row r="559">
      <c r="A559" s="7">
        <f>IF(B559="","","INS-"&amp;TEXT(ROW()-3,"000"))</f>
        <v/>
      </c>
      <c r="B559" s="11" t="n"/>
      <c r="C559" s="7">
        <f>IF(B559="","",ISOWEEKNUM(B559))</f>
        <v/>
      </c>
      <c r="D559" s="7">
        <f>IF(B559="","",TEXT(B559,"yyyy-mm"))</f>
        <v/>
      </c>
      <c r="E559" s="12" t="n"/>
      <c r="F559" s="12" t="n"/>
      <c r="G559" s="7">
        <f>IF(OR(E559="",F559=""),"",IF(COUNTIF(Cluster_Master!$I$3:$I$17,E559&amp;"|"&amp;F559)=1,"Valid","Review"))</f>
        <v/>
      </c>
      <c r="H559" s="7">
        <f>IF($G559&lt;&gt;"Valid","",VLOOKUP($E559&amp;"|"&amp;$F559,Cluster_Master!$I$3:$H$17,3,FALSE))</f>
        <v/>
      </c>
      <c r="I559" s="7">
        <f>IF($G559&lt;&gt;"Valid","",VLOOKUP($E559&amp;"|"&amp;$F559,Cluster_Master!$I$3:$H$17,4,FALSE))</f>
        <v/>
      </c>
      <c r="J559" s="7">
        <f>IF($G559&lt;&gt;"Valid","",VLOOKUP($E559&amp;"|"&amp;$F559,Cluster_Master!$I$3:$H$17,5,FALSE))</f>
        <v/>
      </c>
      <c r="K559" s="7">
        <f>IF($G559&lt;&gt;"Valid","",VLOOKUP($E559&amp;"|"&amp;$F559,Cluster_Master!$I$3:$H$17,6,FALSE))</f>
        <v/>
      </c>
      <c r="L559" s="7">
        <f>IF($G559&lt;&gt;"Valid","",VLOOKUP($E559&amp;"|"&amp;$F559,Cluster_Master!$I$3:$H$17,7,FALSE))</f>
        <v/>
      </c>
      <c r="M559" s="7">
        <f>IF($G559&lt;&gt;"Valid","",VLOOKUP($E559&amp;"|"&amp;$F559,Cluster_Master!$I$3:$H$17,8,FALSE))</f>
        <v/>
      </c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7">
        <f>IF(COUNT(T559:AH559)=0,"",SUM(T559:AH559))</f>
        <v/>
      </c>
      <c r="AJ559" s="10">
        <f>IF(AI559="","",AI559/75)</f>
        <v/>
      </c>
      <c r="AK559" s="10">
        <f>IF(AI559="","",SUMPRODUCT(T559:AH559,KPI_Weights!$B$3:$B$17)/5)</f>
        <v/>
      </c>
      <c r="AL559" s="7">
        <f>IF(COUNT(T559:AH559)=0,"",IF(OR(T559&lt;=1,W559&lt;=1,X559&lt;=1,Y559&lt;=1,AB559&lt;=1),"YES","NO"))</f>
        <v/>
      </c>
      <c r="AM559" s="7">
        <f>IF(AK559="","",IF(AND(AK559="NO",AJ559&gt;=0.85),"YES","NO"))</f>
        <v/>
      </c>
      <c r="AN559" s="7">
        <f>IF(AJ559="","",IF(AJ559&gt;=0.90,"Excellent",IF(AJ559&gt;=0.80,"Good",IF(AJ559&gt;=0.70,"Fair","Poor"))))</f>
        <v/>
      </c>
      <c r="AO559" s="12" t="n"/>
      <c r="AP559" s="12" t="n"/>
      <c r="AQ559" s="12" t="n"/>
      <c r="AR559" s="12" t="n"/>
      <c r="AS559" s="12" t="n"/>
      <c r="AT559" s="12" t="n"/>
      <c r="AU559" s="12" t="n"/>
      <c r="AV559" s="11" t="n"/>
      <c r="AW559" s="12" t="n"/>
      <c r="AX559" s="12" t="n"/>
      <c r="AY559" s="12" t="n"/>
      <c r="AZ559" s="12" t="n"/>
      <c r="BA559" s="12" t="n"/>
      <c r="BB559" s="12" t="n"/>
      <c r="BC559" s="12" t="n"/>
      <c r="BD559" s="12" t="n"/>
      <c r="BE559" s="12" t="n"/>
      <c r="BF559" s="12" t="n"/>
    </row>
    <row r="560">
      <c r="A560" s="7">
        <f>IF(B560="","","INS-"&amp;TEXT(ROW()-3,"000"))</f>
        <v/>
      </c>
      <c r="B560" s="11" t="n"/>
      <c r="C560" s="7">
        <f>IF(B560="","",ISOWEEKNUM(B560))</f>
        <v/>
      </c>
      <c r="D560" s="7">
        <f>IF(B560="","",TEXT(B560,"yyyy-mm"))</f>
        <v/>
      </c>
      <c r="E560" s="12" t="n"/>
      <c r="F560" s="12" t="n"/>
      <c r="G560" s="7">
        <f>IF(OR(E560="",F560=""),"",IF(COUNTIF(Cluster_Master!$I$3:$I$17,E560&amp;"|"&amp;F560)=1,"Valid","Review"))</f>
        <v/>
      </c>
      <c r="H560" s="7">
        <f>IF($G560&lt;&gt;"Valid","",VLOOKUP($E560&amp;"|"&amp;$F560,Cluster_Master!$I$3:$H$17,3,FALSE))</f>
        <v/>
      </c>
      <c r="I560" s="7">
        <f>IF($G560&lt;&gt;"Valid","",VLOOKUP($E560&amp;"|"&amp;$F560,Cluster_Master!$I$3:$H$17,4,FALSE))</f>
        <v/>
      </c>
      <c r="J560" s="7">
        <f>IF($G560&lt;&gt;"Valid","",VLOOKUP($E560&amp;"|"&amp;$F560,Cluster_Master!$I$3:$H$17,5,FALSE))</f>
        <v/>
      </c>
      <c r="K560" s="7">
        <f>IF($G560&lt;&gt;"Valid","",VLOOKUP($E560&amp;"|"&amp;$F560,Cluster_Master!$I$3:$H$17,6,FALSE))</f>
        <v/>
      </c>
      <c r="L560" s="7">
        <f>IF($G560&lt;&gt;"Valid","",VLOOKUP($E560&amp;"|"&amp;$F560,Cluster_Master!$I$3:$H$17,7,FALSE))</f>
        <v/>
      </c>
      <c r="M560" s="7">
        <f>IF($G560&lt;&gt;"Valid","",VLOOKUP($E560&amp;"|"&amp;$F560,Cluster_Master!$I$3:$H$17,8,FALSE))</f>
        <v/>
      </c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7">
        <f>IF(COUNT(T560:AH560)=0,"",SUM(T560:AH560))</f>
        <v/>
      </c>
      <c r="AJ560" s="10">
        <f>IF(AI560="","",AI560/75)</f>
        <v/>
      </c>
      <c r="AK560" s="10">
        <f>IF(AI560="","",SUMPRODUCT(T560:AH560,KPI_Weights!$B$3:$B$17)/5)</f>
        <v/>
      </c>
      <c r="AL560" s="7">
        <f>IF(COUNT(T560:AH560)=0,"",IF(OR(T560&lt;=1,W560&lt;=1,X560&lt;=1,Y560&lt;=1,AB560&lt;=1),"YES","NO"))</f>
        <v/>
      </c>
      <c r="AM560" s="7">
        <f>IF(AK560="","",IF(AND(AK560="NO",AJ560&gt;=0.85),"YES","NO"))</f>
        <v/>
      </c>
      <c r="AN560" s="7">
        <f>IF(AJ560="","",IF(AJ560&gt;=0.90,"Excellent",IF(AJ560&gt;=0.80,"Good",IF(AJ560&gt;=0.70,"Fair","Poor"))))</f>
        <v/>
      </c>
      <c r="AO560" s="12" t="n"/>
      <c r="AP560" s="12" t="n"/>
      <c r="AQ560" s="12" t="n"/>
      <c r="AR560" s="12" t="n"/>
      <c r="AS560" s="12" t="n"/>
      <c r="AT560" s="12" t="n"/>
      <c r="AU560" s="12" t="n"/>
      <c r="AV560" s="11" t="n"/>
      <c r="AW560" s="12" t="n"/>
      <c r="AX560" s="12" t="n"/>
      <c r="AY560" s="12" t="n"/>
      <c r="AZ560" s="12" t="n"/>
      <c r="BA560" s="12" t="n"/>
      <c r="BB560" s="12" t="n"/>
      <c r="BC560" s="12" t="n"/>
      <c r="BD560" s="12" t="n"/>
      <c r="BE560" s="12" t="n"/>
      <c r="BF560" s="12" t="n"/>
    </row>
    <row r="561">
      <c r="A561" s="7">
        <f>IF(B561="","","INS-"&amp;TEXT(ROW()-3,"000"))</f>
        <v/>
      </c>
      <c r="B561" s="11" t="n"/>
      <c r="C561" s="7">
        <f>IF(B561="","",ISOWEEKNUM(B561))</f>
        <v/>
      </c>
      <c r="D561" s="7">
        <f>IF(B561="","",TEXT(B561,"yyyy-mm"))</f>
        <v/>
      </c>
      <c r="E561" s="12" t="n"/>
      <c r="F561" s="12" t="n"/>
      <c r="G561" s="7">
        <f>IF(OR(E561="",F561=""),"",IF(COUNTIF(Cluster_Master!$I$3:$I$17,E561&amp;"|"&amp;F561)=1,"Valid","Review"))</f>
        <v/>
      </c>
      <c r="H561" s="7">
        <f>IF($G561&lt;&gt;"Valid","",VLOOKUP($E561&amp;"|"&amp;$F561,Cluster_Master!$I$3:$H$17,3,FALSE))</f>
        <v/>
      </c>
      <c r="I561" s="7">
        <f>IF($G561&lt;&gt;"Valid","",VLOOKUP($E561&amp;"|"&amp;$F561,Cluster_Master!$I$3:$H$17,4,FALSE))</f>
        <v/>
      </c>
      <c r="J561" s="7">
        <f>IF($G561&lt;&gt;"Valid","",VLOOKUP($E561&amp;"|"&amp;$F561,Cluster_Master!$I$3:$H$17,5,FALSE))</f>
        <v/>
      </c>
      <c r="K561" s="7">
        <f>IF($G561&lt;&gt;"Valid","",VLOOKUP($E561&amp;"|"&amp;$F561,Cluster_Master!$I$3:$H$17,6,FALSE))</f>
        <v/>
      </c>
      <c r="L561" s="7">
        <f>IF($G561&lt;&gt;"Valid","",VLOOKUP($E561&amp;"|"&amp;$F561,Cluster_Master!$I$3:$H$17,7,FALSE))</f>
        <v/>
      </c>
      <c r="M561" s="7">
        <f>IF($G561&lt;&gt;"Valid","",VLOOKUP($E561&amp;"|"&amp;$F561,Cluster_Master!$I$3:$H$17,8,FALSE))</f>
        <v/>
      </c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7">
        <f>IF(COUNT(T561:AH561)=0,"",SUM(T561:AH561))</f>
        <v/>
      </c>
      <c r="AJ561" s="10">
        <f>IF(AI561="","",AI561/75)</f>
        <v/>
      </c>
      <c r="AK561" s="10">
        <f>IF(AI561="","",SUMPRODUCT(T561:AH561,KPI_Weights!$B$3:$B$17)/5)</f>
        <v/>
      </c>
      <c r="AL561" s="7">
        <f>IF(COUNT(T561:AH561)=0,"",IF(OR(T561&lt;=1,W561&lt;=1,X561&lt;=1,Y561&lt;=1,AB561&lt;=1),"YES","NO"))</f>
        <v/>
      </c>
      <c r="AM561" s="7">
        <f>IF(AK561="","",IF(AND(AK561="NO",AJ561&gt;=0.85),"YES","NO"))</f>
        <v/>
      </c>
      <c r="AN561" s="7">
        <f>IF(AJ561="","",IF(AJ561&gt;=0.90,"Excellent",IF(AJ561&gt;=0.80,"Good",IF(AJ561&gt;=0.70,"Fair","Poor"))))</f>
        <v/>
      </c>
      <c r="AO561" s="12" t="n"/>
      <c r="AP561" s="12" t="n"/>
      <c r="AQ561" s="12" t="n"/>
      <c r="AR561" s="12" t="n"/>
      <c r="AS561" s="12" t="n"/>
      <c r="AT561" s="12" t="n"/>
      <c r="AU561" s="12" t="n"/>
      <c r="AV561" s="11" t="n"/>
      <c r="AW561" s="12" t="n"/>
      <c r="AX561" s="12" t="n"/>
      <c r="AY561" s="12" t="n"/>
      <c r="AZ561" s="12" t="n"/>
      <c r="BA561" s="12" t="n"/>
      <c r="BB561" s="12" t="n"/>
      <c r="BC561" s="12" t="n"/>
      <c r="BD561" s="12" t="n"/>
      <c r="BE561" s="12" t="n"/>
      <c r="BF561" s="12" t="n"/>
    </row>
    <row r="562">
      <c r="A562" s="7">
        <f>IF(B562="","","INS-"&amp;TEXT(ROW()-3,"000"))</f>
        <v/>
      </c>
      <c r="B562" s="11" t="n"/>
      <c r="C562" s="7">
        <f>IF(B562="","",ISOWEEKNUM(B562))</f>
        <v/>
      </c>
      <c r="D562" s="7">
        <f>IF(B562="","",TEXT(B562,"yyyy-mm"))</f>
        <v/>
      </c>
      <c r="E562" s="12" t="n"/>
      <c r="F562" s="12" t="n"/>
      <c r="G562" s="7">
        <f>IF(OR(E562="",F562=""),"",IF(COUNTIF(Cluster_Master!$I$3:$I$17,E562&amp;"|"&amp;F562)=1,"Valid","Review"))</f>
        <v/>
      </c>
      <c r="H562" s="7">
        <f>IF($G562&lt;&gt;"Valid","",VLOOKUP($E562&amp;"|"&amp;$F562,Cluster_Master!$I$3:$H$17,3,FALSE))</f>
        <v/>
      </c>
      <c r="I562" s="7">
        <f>IF($G562&lt;&gt;"Valid","",VLOOKUP($E562&amp;"|"&amp;$F562,Cluster_Master!$I$3:$H$17,4,FALSE))</f>
        <v/>
      </c>
      <c r="J562" s="7">
        <f>IF($G562&lt;&gt;"Valid","",VLOOKUP($E562&amp;"|"&amp;$F562,Cluster_Master!$I$3:$H$17,5,FALSE))</f>
        <v/>
      </c>
      <c r="K562" s="7">
        <f>IF($G562&lt;&gt;"Valid","",VLOOKUP($E562&amp;"|"&amp;$F562,Cluster_Master!$I$3:$H$17,6,FALSE))</f>
        <v/>
      </c>
      <c r="L562" s="7">
        <f>IF($G562&lt;&gt;"Valid","",VLOOKUP($E562&amp;"|"&amp;$F562,Cluster_Master!$I$3:$H$17,7,FALSE))</f>
        <v/>
      </c>
      <c r="M562" s="7">
        <f>IF($G562&lt;&gt;"Valid","",VLOOKUP($E562&amp;"|"&amp;$F562,Cluster_Master!$I$3:$H$17,8,FALSE))</f>
        <v/>
      </c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7">
        <f>IF(COUNT(T562:AH562)=0,"",SUM(T562:AH562))</f>
        <v/>
      </c>
      <c r="AJ562" s="10">
        <f>IF(AI562="","",AI562/75)</f>
        <v/>
      </c>
      <c r="AK562" s="10">
        <f>IF(AI562="","",SUMPRODUCT(T562:AH562,KPI_Weights!$B$3:$B$17)/5)</f>
        <v/>
      </c>
      <c r="AL562" s="7">
        <f>IF(COUNT(T562:AH562)=0,"",IF(OR(T562&lt;=1,W562&lt;=1,X562&lt;=1,Y562&lt;=1,AB562&lt;=1),"YES","NO"))</f>
        <v/>
      </c>
      <c r="AM562" s="7">
        <f>IF(AK562="","",IF(AND(AK562="NO",AJ562&gt;=0.85),"YES","NO"))</f>
        <v/>
      </c>
      <c r="AN562" s="7">
        <f>IF(AJ562="","",IF(AJ562&gt;=0.90,"Excellent",IF(AJ562&gt;=0.80,"Good",IF(AJ562&gt;=0.70,"Fair","Poor"))))</f>
        <v/>
      </c>
      <c r="AO562" s="12" t="n"/>
      <c r="AP562" s="12" t="n"/>
      <c r="AQ562" s="12" t="n"/>
      <c r="AR562" s="12" t="n"/>
      <c r="AS562" s="12" t="n"/>
      <c r="AT562" s="12" t="n"/>
      <c r="AU562" s="12" t="n"/>
      <c r="AV562" s="11" t="n"/>
      <c r="AW562" s="12" t="n"/>
      <c r="AX562" s="12" t="n"/>
      <c r="AY562" s="12" t="n"/>
      <c r="AZ562" s="12" t="n"/>
      <c r="BA562" s="12" t="n"/>
      <c r="BB562" s="12" t="n"/>
      <c r="BC562" s="12" t="n"/>
      <c r="BD562" s="12" t="n"/>
      <c r="BE562" s="12" t="n"/>
      <c r="BF562" s="12" t="n"/>
    </row>
    <row r="563">
      <c r="A563" s="7">
        <f>IF(B563="","","INS-"&amp;TEXT(ROW()-3,"000"))</f>
        <v/>
      </c>
      <c r="B563" s="11" t="n"/>
      <c r="C563" s="7">
        <f>IF(B563="","",ISOWEEKNUM(B563))</f>
        <v/>
      </c>
      <c r="D563" s="7">
        <f>IF(B563="","",TEXT(B563,"yyyy-mm"))</f>
        <v/>
      </c>
      <c r="E563" s="12" t="n"/>
      <c r="F563" s="12" t="n"/>
      <c r="G563" s="7">
        <f>IF(OR(E563="",F563=""),"",IF(COUNTIF(Cluster_Master!$I$3:$I$17,E563&amp;"|"&amp;F563)=1,"Valid","Review"))</f>
        <v/>
      </c>
      <c r="H563" s="7">
        <f>IF($G563&lt;&gt;"Valid","",VLOOKUP($E563&amp;"|"&amp;$F563,Cluster_Master!$I$3:$H$17,3,FALSE))</f>
        <v/>
      </c>
      <c r="I563" s="7">
        <f>IF($G563&lt;&gt;"Valid","",VLOOKUP($E563&amp;"|"&amp;$F563,Cluster_Master!$I$3:$H$17,4,FALSE))</f>
        <v/>
      </c>
      <c r="J563" s="7">
        <f>IF($G563&lt;&gt;"Valid","",VLOOKUP($E563&amp;"|"&amp;$F563,Cluster_Master!$I$3:$H$17,5,FALSE))</f>
        <v/>
      </c>
      <c r="K563" s="7">
        <f>IF($G563&lt;&gt;"Valid","",VLOOKUP($E563&amp;"|"&amp;$F563,Cluster_Master!$I$3:$H$17,6,FALSE))</f>
        <v/>
      </c>
      <c r="L563" s="7">
        <f>IF($G563&lt;&gt;"Valid","",VLOOKUP($E563&amp;"|"&amp;$F563,Cluster_Master!$I$3:$H$17,7,FALSE))</f>
        <v/>
      </c>
      <c r="M563" s="7">
        <f>IF($G563&lt;&gt;"Valid","",VLOOKUP($E563&amp;"|"&amp;$F563,Cluster_Master!$I$3:$H$17,8,FALSE))</f>
        <v/>
      </c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7">
        <f>IF(COUNT(T563:AH563)=0,"",SUM(T563:AH563))</f>
        <v/>
      </c>
      <c r="AJ563" s="10">
        <f>IF(AI563="","",AI563/75)</f>
        <v/>
      </c>
      <c r="AK563" s="10">
        <f>IF(AI563="","",SUMPRODUCT(T563:AH563,KPI_Weights!$B$3:$B$17)/5)</f>
        <v/>
      </c>
      <c r="AL563" s="7">
        <f>IF(COUNT(T563:AH563)=0,"",IF(OR(T563&lt;=1,W563&lt;=1,X563&lt;=1,Y563&lt;=1,AB563&lt;=1),"YES","NO"))</f>
        <v/>
      </c>
      <c r="AM563" s="7">
        <f>IF(AK563="","",IF(AND(AK563="NO",AJ563&gt;=0.85),"YES","NO"))</f>
        <v/>
      </c>
      <c r="AN563" s="7">
        <f>IF(AJ563="","",IF(AJ563&gt;=0.90,"Excellent",IF(AJ563&gt;=0.80,"Good",IF(AJ563&gt;=0.70,"Fair","Poor"))))</f>
        <v/>
      </c>
      <c r="AO563" s="12" t="n"/>
      <c r="AP563" s="12" t="n"/>
      <c r="AQ563" s="12" t="n"/>
      <c r="AR563" s="12" t="n"/>
      <c r="AS563" s="12" t="n"/>
      <c r="AT563" s="12" t="n"/>
      <c r="AU563" s="12" t="n"/>
      <c r="AV563" s="11" t="n"/>
      <c r="AW563" s="12" t="n"/>
      <c r="AX563" s="12" t="n"/>
      <c r="AY563" s="12" t="n"/>
      <c r="AZ563" s="12" t="n"/>
      <c r="BA563" s="12" t="n"/>
      <c r="BB563" s="12" t="n"/>
      <c r="BC563" s="12" t="n"/>
      <c r="BD563" s="12" t="n"/>
      <c r="BE563" s="12" t="n"/>
      <c r="BF563" s="12" t="n"/>
    </row>
    <row r="564">
      <c r="A564" s="7">
        <f>IF(B564="","","INS-"&amp;TEXT(ROW()-3,"000"))</f>
        <v/>
      </c>
      <c r="B564" s="11" t="n"/>
      <c r="C564" s="7">
        <f>IF(B564="","",ISOWEEKNUM(B564))</f>
        <v/>
      </c>
      <c r="D564" s="7">
        <f>IF(B564="","",TEXT(B564,"yyyy-mm"))</f>
        <v/>
      </c>
      <c r="E564" s="12" t="n"/>
      <c r="F564" s="12" t="n"/>
      <c r="G564" s="7">
        <f>IF(OR(E564="",F564=""),"",IF(COUNTIF(Cluster_Master!$I$3:$I$17,E564&amp;"|"&amp;F564)=1,"Valid","Review"))</f>
        <v/>
      </c>
      <c r="H564" s="7">
        <f>IF($G564&lt;&gt;"Valid","",VLOOKUP($E564&amp;"|"&amp;$F564,Cluster_Master!$I$3:$H$17,3,FALSE))</f>
        <v/>
      </c>
      <c r="I564" s="7">
        <f>IF($G564&lt;&gt;"Valid","",VLOOKUP($E564&amp;"|"&amp;$F564,Cluster_Master!$I$3:$H$17,4,FALSE))</f>
        <v/>
      </c>
      <c r="J564" s="7">
        <f>IF($G564&lt;&gt;"Valid","",VLOOKUP($E564&amp;"|"&amp;$F564,Cluster_Master!$I$3:$H$17,5,FALSE))</f>
        <v/>
      </c>
      <c r="K564" s="7">
        <f>IF($G564&lt;&gt;"Valid","",VLOOKUP($E564&amp;"|"&amp;$F564,Cluster_Master!$I$3:$H$17,6,FALSE))</f>
        <v/>
      </c>
      <c r="L564" s="7">
        <f>IF($G564&lt;&gt;"Valid","",VLOOKUP($E564&amp;"|"&amp;$F564,Cluster_Master!$I$3:$H$17,7,FALSE))</f>
        <v/>
      </c>
      <c r="M564" s="7">
        <f>IF($G564&lt;&gt;"Valid","",VLOOKUP($E564&amp;"|"&amp;$F564,Cluster_Master!$I$3:$H$17,8,FALSE))</f>
        <v/>
      </c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7">
        <f>IF(COUNT(T564:AH564)=0,"",SUM(T564:AH564))</f>
        <v/>
      </c>
      <c r="AJ564" s="10">
        <f>IF(AI564="","",AI564/75)</f>
        <v/>
      </c>
      <c r="AK564" s="10">
        <f>IF(AI564="","",SUMPRODUCT(T564:AH564,KPI_Weights!$B$3:$B$17)/5)</f>
        <v/>
      </c>
      <c r="AL564" s="7">
        <f>IF(COUNT(T564:AH564)=0,"",IF(OR(T564&lt;=1,W564&lt;=1,X564&lt;=1,Y564&lt;=1,AB564&lt;=1),"YES","NO"))</f>
        <v/>
      </c>
      <c r="AM564" s="7">
        <f>IF(AK564="","",IF(AND(AK564="NO",AJ564&gt;=0.85),"YES","NO"))</f>
        <v/>
      </c>
      <c r="AN564" s="7">
        <f>IF(AJ564="","",IF(AJ564&gt;=0.90,"Excellent",IF(AJ564&gt;=0.80,"Good",IF(AJ564&gt;=0.70,"Fair","Poor"))))</f>
        <v/>
      </c>
      <c r="AO564" s="12" t="n"/>
      <c r="AP564" s="12" t="n"/>
      <c r="AQ564" s="12" t="n"/>
      <c r="AR564" s="12" t="n"/>
      <c r="AS564" s="12" t="n"/>
      <c r="AT564" s="12" t="n"/>
      <c r="AU564" s="12" t="n"/>
      <c r="AV564" s="11" t="n"/>
      <c r="AW564" s="12" t="n"/>
      <c r="AX564" s="12" t="n"/>
      <c r="AY564" s="12" t="n"/>
      <c r="AZ564" s="12" t="n"/>
      <c r="BA564" s="12" t="n"/>
      <c r="BB564" s="12" t="n"/>
      <c r="BC564" s="12" t="n"/>
      <c r="BD564" s="12" t="n"/>
      <c r="BE564" s="12" t="n"/>
      <c r="BF564" s="12" t="n"/>
    </row>
    <row r="565">
      <c r="A565" s="7">
        <f>IF(B565="","","INS-"&amp;TEXT(ROW()-3,"000"))</f>
        <v/>
      </c>
      <c r="B565" s="11" t="n"/>
      <c r="C565" s="7">
        <f>IF(B565="","",ISOWEEKNUM(B565))</f>
        <v/>
      </c>
      <c r="D565" s="7">
        <f>IF(B565="","",TEXT(B565,"yyyy-mm"))</f>
        <v/>
      </c>
      <c r="E565" s="12" t="n"/>
      <c r="F565" s="12" t="n"/>
      <c r="G565" s="7">
        <f>IF(OR(E565="",F565=""),"",IF(COUNTIF(Cluster_Master!$I$3:$I$17,E565&amp;"|"&amp;F565)=1,"Valid","Review"))</f>
        <v/>
      </c>
      <c r="H565" s="7">
        <f>IF($G565&lt;&gt;"Valid","",VLOOKUP($E565&amp;"|"&amp;$F565,Cluster_Master!$I$3:$H$17,3,FALSE))</f>
        <v/>
      </c>
      <c r="I565" s="7">
        <f>IF($G565&lt;&gt;"Valid","",VLOOKUP($E565&amp;"|"&amp;$F565,Cluster_Master!$I$3:$H$17,4,FALSE))</f>
        <v/>
      </c>
      <c r="J565" s="7">
        <f>IF($G565&lt;&gt;"Valid","",VLOOKUP($E565&amp;"|"&amp;$F565,Cluster_Master!$I$3:$H$17,5,FALSE))</f>
        <v/>
      </c>
      <c r="K565" s="7">
        <f>IF($G565&lt;&gt;"Valid","",VLOOKUP($E565&amp;"|"&amp;$F565,Cluster_Master!$I$3:$H$17,6,FALSE))</f>
        <v/>
      </c>
      <c r="L565" s="7">
        <f>IF($G565&lt;&gt;"Valid","",VLOOKUP($E565&amp;"|"&amp;$F565,Cluster_Master!$I$3:$H$17,7,FALSE))</f>
        <v/>
      </c>
      <c r="M565" s="7">
        <f>IF($G565&lt;&gt;"Valid","",VLOOKUP($E565&amp;"|"&amp;$F565,Cluster_Master!$I$3:$H$17,8,FALSE))</f>
        <v/>
      </c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7">
        <f>IF(COUNT(T565:AH565)=0,"",SUM(T565:AH565))</f>
        <v/>
      </c>
      <c r="AJ565" s="10">
        <f>IF(AI565="","",AI565/75)</f>
        <v/>
      </c>
      <c r="AK565" s="10">
        <f>IF(AI565="","",SUMPRODUCT(T565:AH565,KPI_Weights!$B$3:$B$17)/5)</f>
        <v/>
      </c>
      <c r="AL565" s="7">
        <f>IF(COUNT(T565:AH565)=0,"",IF(OR(T565&lt;=1,W565&lt;=1,X565&lt;=1,Y565&lt;=1,AB565&lt;=1),"YES","NO"))</f>
        <v/>
      </c>
      <c r="AM565" s="7">
        <f>IF(AK565="","",IF(AND(AK565="NO",AJ565&gt;=0.85),"YES","NO"))</f>
        <v/>
      </c>
      <c r="AN565" s="7">
        <f>IF(AJ565="","",IF(AJ565&gt;=0.90,"Excellent",IF(AJ565&gt;=0.80,"Good",IF(AJ565&gt;=0.70,"Fair","Poor"))))</f>
        <v/>
      </c>
      <c r="AO565" s="12" t="n"/>
      <c r="AP565" s="12" t="n"/>
      <c r="AQ565" s="12" t="n"/>
      <c r="AR565" s="12" t="n"/>
      <c r="AS565" s="12" t="n"/>
      <c r="AT565" s="12" t="n"/>
      <c r="AU565" s="12" t="n"/>
      <c r="AV565" s="11" t="n"/>
      <c r="AW565" s="12" t="n"/>
      <c r="AX565" s="12" t="n"/>
      <c r="AY565" s="12" t="n"/>
      <c r="AZ565" s="12" t="n"/>
      <c r="BA565" s="12" t="n"/>
      <c r="BB565" s="12" t="n"/>
      <c r="BC565" s="12" t="n"/>
      <c r="BD565" s="12" t="n"/>
      <c r="BE565" s="12" t="n"/>
      <c r="BF565" s="12" t="n"/>
    </row>
    <row r="566">
      <c r="A566" s="7">
        <f>IF(B566="","","INS-"&amp;TEXT(ROW()-3,"000"))</f>
        <v/>
      </c>
      <c r="B566" s="11" t="n"/>
      <c r="C566" s="7">
        <f>IF(B566="","",ISOWEEKNUM(B566))</f>
        <v/>
      </c>
      <c r="D566" s="7">
        <f>IF(B566="","",TEXT(B566,"yyyy-mm"))</f>
        <v/>
      </c>
      <c r="E566" s="12" t="n"/>
      <c r="F566" s="12" t="n"/>
      <c r="G566" s="7">
        <f>IF(OR(E566="",F566=""),"",IF(COUNTIF(Cluster_Master!$I$3:$I$17,E566&amp;"|"&amp;F566)=1,"Valid","Review"))</f>
        <v/>
      </c>
      <c r="H566" s="7">
        <f>IF($G566&lt;&gt;"Valid","",VLOOKUP($E566&amp;"|"&amp;$F566,Cluster_Master!$I$3:$H$17,3,FALSE))</f>
        <v/>
      </c>
      <c r="I566" s="7">
        <f>IF($G566&lt;&gt;"Valid","",VLOOKUP($E566&amp;"|"&amp;$F566,Cluster_Master!$I$3:$H$17,4,FALSE))</f>
        <v/>
      </c>
      <c r="J566" s="7">
        <f>IF($G566&lt;&gt;"Valid","",VLOOKUP($E566&amp;"|"&amp;$F566,Cluster_Master!$I$3:$H$17,5,FALSE))</f>
        <v/>
      </c>
      <c r="K566" s="7">
        <f>IF($G566&lt;&gt;"Valid","",VLOOKUP($E566&amp;"|"&amp;$F566,Cluster_Master!$I$3:$H$17,6,FALSE))</f>
        <v/>
      </c>
      <c r="L566" s="7">
        <f>IF($G566&lt;&gt;"Valid","",VLOOKUP($E566&amp;"|"&amp;$F566,Cluster_Master!$I$3:$H$17,7,FALSE))</f>
        <v/>
      </c>
      <c r="M566" s="7">
        <f>IF($G566&lt;&gt;"Valid","",VLOOKUP($E566&amp;"|"&amp;$F566,Cluster_Master!$I$3:$H$17,8,FALSE))</f>
        <v/>
      </c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7">
        <f>IF(COUNT(T566:AH566)=0,"",SUM(T566:AH566))</f>
        <v/>
      </c>
      <c r="AJ566" s="10">
        <f>IF(AI566="","",AI566/75)</f>
        <v/>
      </c>
      <c r="AK566" s="10">
        <f>IF(AI566="","",SUMPRODUCT(T566:AH566,KPI_Weights!$B$3:$B$17)/5)</f>
        <v/>
      </c>
      <c r="AL566" s="7">
        <f>IF(COUNT(T566:AH566)=0,"",IF(OR(T566&lt;=1,W566&lt;=1,X566&lt;=1,Y566&lt;=1,AB566&lt;=1),"YES","NO"))</f>
        <v/>
      </c>
      <c r="AM566" s="7">
        <f>IF(AK566="","",IF(AND(AK566="NO",AJ566&gt;=0.85),"YES","NO"))</f>
        <v/>
      </c>
      <c r="AN566" s="7">
        <f>IF(AJ566="","",IF(AJ566&gt;=0.90,"Excellent",IF(AJ566&gt;=0.80,"Good",IF(AJ566&gt;=0.70,"Fair","Poor"))))</f>
        <v/>
      </c>
      <c r="AO566" s="12" t="n"/>
      <c r="AP566" s="12" t="n"/>
      <c r="AQ566" s="12" t="n"/>
      <c r="AR566" s="12" t="n"/>
      <c r="AS566" s="12" t="n"/>
      <c r="AT566" s="12" t="n"/>
      <c r="AU566" s="12" t="n"/>
      <c r="AV566" s="11" t="n"/>
      <c r="AW566" s="12" t="n"/>
      <c r="AX566" s="12" t="n"/>
      <c r="AY566" s="12" t="n"/>
      <c r="AZ566" s="12" t="n"/>
      <c r="BA566" s="12" t="n"/>
      <c r="BB566" s="12" t="n"/>
      <c r="BC566" s="12" t="n"/>
      <c r="BD566" s="12" t="n"/>
      <c r="BE566" s="12" t="n"/>
      <c r="BF566" s="12" t="n"/>
    </row>
    <row r="567">
      <c r="A567" s="7">
        <f>IF(B567="","","INS-"&amp;TEXT(ROW()-3,"000"))</f>
        <v/>
      </c>
      <c r="B567" s="11" t="n"/>
      <c r="C567" s="7">
        <f>IF(B567="","",ISOWEEKNUM(B567))</f>
        <v/>
      </c>
      <c r="D567" s="7">
        <f>IF(B567="","",TEXT(B567,"yyyy-mm"))</f>
        <v/>
      </c>
      <c r="E567" s="12" t="n"/>
      <c r="F567" s="12" t="n"/>
      <c r="G567" s="7">
        <f>IF(OR(E567="",F567=""),"",IF(COUNTIF(Cluster_Master!$I$3:$I$17,E567&amp;"|"&amp;F567)=1,"Valid","Review"))</f>
        <v/>
      </c>
      <c r="H567" s="7">
        <f>IF($G567&lt;&gt;"Valid","",VLOOKUP($E567&amp;"|"&amp;$F567,Cluster_Master!$I$3:$H$17,3,FALSE))</f>
        <v/>
      </c>
      <c r="I567" s="7">
        <f>IF($G567&lt;&gt;"Valid","",VLOOKUP($E567&amp;"|"&amp;$F567,Cluster_Master!$I$3:$H$17,4,FALSE))</f>
        <v/>
      </c>
      <c r="J567" s="7">
        <f>IF($G567&lt;&gt;"Valid","",VLOOKUP($E567&amp;"|"&amp;$F567,Cluster_Master!$I$3:$H$17,5,FALSE))</f>
        <v/>
      </c>
      <c r="K567" s="7">
        <f>IF($G567&lt;&gt;"Valid","",VLOOKUP($E567&amp;"|"&amp;$F567,Cluster_Master!$I$3:$H$17,6,FALSE))</f>
        <v/>
      </c>
      <c r="L567" s="7">
        <f>IF($G567&lt;&gt;"Valid","",VLOOKUP($E567&amp;"|"&amp;$F567,Cluster_Master!$I$3:$H$17,7,FALSE))</f>
        <v/>
      </c>
      <c r="M567" s="7">
        <f>IF($G567&lt;&gt;"Valid","",VLOOKUP($E567&amp;"|"&amp;$F567,Cluster_Master!$I$3:$H$17,8,FALSE))</f>
        <v/>
      </c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7">
        <f>IF(COUNT(T567:AH567)=0,"",SUM(T567:AH567))</f>
        <v/>
      </c>
      <c r="AJ567" s="10">
        <f>IF(AI567="","",AI567/75)</f>
        <v/>
      </c>
      <c r="AK567" s="10">
        <f>IF(AI567="","",SUMPRODUCT(T567:AH567,KPI_Weights!$B$3:$B$17)/5)</f>
        <v/>
      </c>
      <c r="AL567" s="7">
        <f>IF(COUNT(T567:AH567)=0,"",IF(OR(T567&lt;=1,W567&lt;=1,X567&lt;=1,Y567&lt;=1,AB567&lt;=1),"YES","NO"))</f>
        <v/>
      </c>
      <c r="AM567" s="7">
        <f>IF(AK567="","",IF(AND(AK567="NO",AJ567&gt;=0.85),"YES","NO"))</f>
        <v/>
      </c>
      <c r="AN567" s="7">
        <f>IF(AJ567="","",IF(AJ567&gt;=0.90,"Excellent",IF(AJ567&gt;=0.80,"Good",IF(AJ567&gt;=0.70,"Fair","Poor"))))</f>
        <v/>
      </c>
      <c r="AO567" s="12" t="n"/>
      <c r="AP567" s="12" t="n"/>
      <c r="AQ567" s="12" t="n"/>
      <c r="AR567" s="12" t="n"/>
      <c r="AS567" s="12" t="n"/>
      <c r="AT567" s="12" t="n"/>
      <c r="AU567" s="12" t="n"/>
      <c r="AV567" s="11" t="n"/>
      <c r="AW567" s="12" t="n"/>
      <c r="AX567" s="12" t="n"/>
      <c r="AY567" s="12" t="n"/>
      <c r="AZ567" s="12" t="n"/>
      <c r="BA567" s="12" t="n"/>
      <c r="BB567" s="12" t="n"/>
      <c r="BC567" s="12" t="n"/>
      <c r="BD567" s="12" t="n"/>
      <c r="BE567" s="12" t="n"/>
      <c r="BF567" s="12" t="n"/>
    </row>
    <row r="568">
      <c r="A568" s="7">
        <f>IF(B568="","","INS-"&amp;TEXT(ROW()-3,"000"))</f>
        <v/>
      </c>
      <c r="B568" s="11" t="n"/>
      <c r="C568" s="7">
        <f>IF(B568="","",ISOWEEKNUM(B568))</f>
        <v/>
      </c>
      <c r="D568" s="7">
        <f>IF(B568="","",TEXT(B568,"yyyy-mm"))</f>
        <v/>
      </c>
      <c r="E568" s="12" t="n"/>
      <c r="F568" s="12" t="n"/>
      <c r="G568" s="7">
        <f>IF(OR(E568="",F568=""),"",IF(COUNTIF(Cluster_Master!$I$3:$I$17,E568&amp;"|"&amp;F568)=1,"Valid","Review"))</f>
        <v/>
      </c>
      <c r="H568" s="7">
        <f>IF($G568&lt;&gt;"Valid","",VLOOKUP($E568&amp;"|"&amp;$F568,Cluster_Master!$I$3:$H$17,3,FALSE))</f>
        <v/>
      </c>
      <c r="I568" s="7">
        <f>IF($G568&lt;&gt;"Valid","",VLOOKUP($E568&amp;"|"&amp;$F568,Cluster_Master!$I$3:$H$17,4,FALSE))</f>
        <v/>
      </c>
      <c r="J568" s="7">
        <f>IF($G568&lt;&gt;"Valid","",VLOOKUP($E568&amp;"|"&amp;$F568,Cluster_Master!$I$3:$H$17,5,FALSE))</f>
        <v/>
      </c>
      <c r="K568" s="7">
        <f>IF($G568&lt;&gt;"Valid","",VLOOKUP($E568&amp;"|"&amp;$F568,Cluster_Master!$I$3:$H$17,6,FALSE))</f>
        <v/>
      </c>
      <c r="L568" s="7">
        <f>IF($G568&lt;&gt;"Valid","",VLOOKUP($E568&amp;"|"&amp;$F568,Cluster_Master!$I$3:$H$17,7,FALSE))</f>
        <v/>
      </c>
      <c r="M568" s="7">
        <f>IF($G568&lt;&gt;"Valid","",VLOOKUP($E568&amp;"|"&amp;$F568,Cluster_Master!$I$3:$H$17,8,FALSE))</f>
        <v/>
      </c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7">
        <f>IF(COUNT(T568:AH568)=0,"",SUM(T568:AH568))</f>
        <v/>
      </c>
      <c r="AJ568" s="10">
        <f>IF(AI568="","",AI568/75)</f>
        <v/>
      </c>
      <c r="AK568" s="10">
        <f>IF(AI568="","",SUMPRODUCT(T568:AH568,KPI_Weights!$B$3:$B$17)/5)</f>
        <v/>
      </c>
      <c r="AL568" s="7">
        <f>IF(COUNT(T568:AH568)=0,"",IF(OR(T568&lt;=1,W568&lt;=1,X568&lt;=1,Y568&lt;=1,AB568&lt;=1),"YES","NO"))</f>
        <v/>
      </c>
      <c r="AM568" s="7">
        <f>IF(AK568="","",IF(AND(AK568="NO",AJ568&gt;=0.85),"YES","NO"))</f>
        <v/>
      </c>
      <c r="AN568" s="7">
        <f>IF(AJ568="","",IF(AJ568&gt;=0.90,"Excellent",IF(AJ568&gt;=0.80,"Good",IF(AJ568&gt;=0.70,"Fair","Poor"))))</f>
        <v/>
      </c>
      <c r="AO568" s="12" t="n"/>
      <c r="AP568" s="12" t="n"/>
      <c r="AQ568" s="12" t="n"/>
      <c r="AR568" s="12" t="n"/>
      <c r="AS568" s="12" t="n"/>
      <c r="AT568" s="12" t="n"/>
      <c r="AU568" s="12" t="n"/>
      <c r="AV568" s="11" t="n"/>
      <c r="AW568" s="12" t="n"/>
      <c r="AX568" s="12" t="n"/>
      <c r="AY568" s="12" t="n"/>
      <c r="AZ568" s="12" t="n"/>
      <c r="BA568" s="12" t="n"/>
      <c r="BB568" s="12" t="n"/>
      <c r="BC568" s="12" t="n"/>
      <c r="BD568" s="12" t="n"/>
      <c r="BE568" s="12" t="n"/>
      <c r="BF568" s="12" t="n"/>
    </row>
    <row r="569">
      <c r="A569" s="7">
        <f>IF(B569="","","INS-"&amp;TEXT(ROW()-3,"000"))</f>
        <v/>
      </c>
      <c r="B569" s="11" t="n"/>
      <c r="C569" s="7">
        <f>IF(B569="","",ISOWEEKNUM(B569))</f>
        <v/>
      </c>
      <c r="D569" s="7">
        <f>IF(B569="","",TEXT(B569,"yyyy-mm"))</f>
        <v/>
      </c>
      <c r="E569" s="12" t="n"/>
      <c r="F569" s="12" t="n"/>
      <c r="G569" s="7">
        <f>IF(OR(E569="",F569=""),"",IF(COUNTIF(Cluster_Master!$I$3:$I$17,E569&amp;"|"&amp;F569)=1,"Valid","Review"))</f>
        <v/>
      </c>
      <c r="H569" s="7">
        <f>IF($G569&lt;&gt;"Valid","",VLOOKUP($E569&amp;"|"&amp;$F569,Cluster_Master!$I$3:$H$17,3,FALSE))</f>
        <v/>
      </c>
      <c r="I569" s="7">
        <f>IF($G569&lt;&gt;"Valid","",VLOOKUP($E569&amp;"|"&amp;$F569,Cluster_Master!$I$3:$H$17,4,FALSE))</f>
        <v/>
      </c>
      <c r="J569" s="7">
        <f>IF($G569&lt;&gt;"Valid","",VLOOKUP($E569&amp;"|"&amp;$F569,Cluster_Master!$I$3:$H$17,5,FALSE))</f>
        <v/>
      </c>
      <c r="K569" s="7">
        <f>IF($G569&lt;&gt;"Valid","",VLOOKUP($E569&amp;"|"&amp;$F569,Cluster_Master!$I$3:$H$17,6,FALSE))</f>
        <v/>
      </c>
      <c r="L569" s="7">
        <f>IF($G569&lt;&gt;"Valid","",VLOOKUP($E569&amp;"|"&amp;$F569,Cluster_Master!$I$3:$H$17,7,FALSE))</f>
        <v/>
      </c>
      <c r="M569" s="7">
        <f>IF($G569&lt;&gt;"Valid","",VLOOKUP($E569&amp;"|"&amp;$F569,Cluster_Master!$I$3:$H$17,8,FALSE))</f>
        <v/>
      </c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7">
        <f>IF(COUNT(T569:AH569)=0,"",SUM(T569:AH569))</f>
        <v/>
      </c>
      <c r="AJ569" s="10">
        <f>IF(AI569="","",AI569/75)</f>
        <v/>
      </c>
      <c r="AK569" s="10">
        <f>IF(AI569="","",SUMPRODUCT(T569:AH569,KPI_Weights!$B$3:$B$17)/5)</f>
        <v/>
      </c>
      <c r="AL569" s="7">
        <f>IF(COUNT(T569:AH569)=0,"",IF(OR(T569&lt;=1,W569&lt;=1,X569&lt;=1,Y569&lt;=1,AB569&lt;=1),"YES","NO"))</f>
        <v/>
      </c>
      <c r="AM569" s="7">
        <f>IF(AK569="","",IF(AND(AK569="NO",AJ569&gt;=0.85),"YES","NO"))</f>
        <v/>
      </c>
      <c r="AN569" s="7">
        <f>IF(AJ569="","",IF(AJ569&gt;=0.90,"Excellent",IF(AJ569&gt;=0.80,"Good",IF(AJ569&gt;=0.70,"Fair","Poor"))))</f>
        <v/>
      </c>
      <c r="AO569" s="12" t="n"/>
      <c r="AP569" s="12" t="n"/>
      <c r="AQ569" s="12" t="n"/>
      <c r="AR569" s="12" t="n"/>
      <c r="AS569" s="12" t="n"/>
      <c r="AT569" s="12" t="n"/>
      <c r="AU569" s="12" t="n"/>
      <c r="AV569" s="11" t="n"/>
      <c r="AW569" s="12" t="n"/>
      <c r="AX569" s="12" t="n"/>
      <c r="AY569" s="12" t="n"/>
      <c r="AZ569" s="12" t="n"/>
      <c r="BA569" s="12" t="n"/>
      <c r="BB569" s="12" t="n"/>
      <c r="BC569" s="12" t="n"/>
      <c r="BD569" s="12" t="n"/>
      <c r="BE569" s="12" t="n"/>
      <c r="BF569" s="12" t="n"/>
    </row>
    <row r="570">
      <c r="A570" s="7">
        <f>IF(B570="","","INS-"&amp;TEXT(ROW()-3,"000"))</f>
        <v/>
      </c>
      <c r="B570" s="11" t="n"/>
      <c r="C570" s="7">
        <f>IF(B570="","",ISOWEEKNUM(B570))</f>
        <v/>
      </c>
      <c r="D570" s="7">
        <f>IF(B570="","",TEXT(B570,"yyyy-mm"))</f>
        <v/>
      </c>
      <c r="E570" s="12" t="n"/>
      <c r="F570" s="12" t="n"/>
      <c r="G570" s="7">
        <f>IF(OR(E570="",F570=""),"",IF(COUNTIF(Cluster_Master!$I$3:$I$17,E570&amp;"|"&amp;F570)=1,"Valid","Review"))</f>
        <v/>
      </c>
      <c r="H570" s="7">
        <f>IF($G570&lt;&gt;"Valid","",VLOOKUP($E570&amp;"|"&amp;$F570,Cluster_Master!$I$3:$H$17,3,FALSE))</f>
        <v/>
      </c>
      <c r="I570" s="7">
        <f>IF($G570&lt;&gt;"Valid","",VLOOKUP($E570&amp;"|"&amp;$F570,Cluster_Master!$I$3:$H$17,4,FALSE))</f>
        <v/>
      </c>
      <c r="J570" s="7">
        <f>IF($G570&lt;&gt;"Valid","",VLOOKUP($E570&amp;"|"&amp;$F570,Cluster_Master!$I$3:$H$17,5,FALSE))</f>
        <v/>
      </c>
      <c r="K570" s="7">
        <f>IF($G570&lt;&gt;"Valid","",VLOOKUP($E570&amp;"|"&amp;$F570,Cluster_Master!$I$3:$H$17,6,FALSE))</f>
        <v/>
      </c>
      <c r="L570" s="7">
        <f>IF($G570&lt;&gt;"Valid","",VLOOKUP($E570&amp;"|"&amp;$F570,Cluster_Master!$I$3:$H$17,7,FALSE))</f>
        <v/>
      </c>
      <c r="M570" s="7">
        <f>IF($G570&lt;&gt;"Valid","",VLOOKUP($E570&amp;"|"&amp;$F570,Cluster_Master!$I$3:$H$17,8,FALSE))</f>
        <v/>
      </c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7">
        <f>IF(COUNT(T570:AH570)=0,"",SUM(T570:AH570))</f>
        <v/>
      </c>
      <c r="AJ570" s="10">
        <f>IF(AI570="","",AI570/75)</f>
        <v/>
      </c>
      <c r="AK570" s="10">
        <f>IF(AI570="","",SUMPRODUCT(T570:AH570,KPI_Weights!$B$3:$B$17)/5)</f>
        <v/>
      </c>
      <c r="AL570" s="7">
        <f>IF(COUNT(T570:AH570)=0,"",IF(OR(T570&lt;=1,W570&lt;=1,X570&lt;=1,Y570&lt;=1,AB570&lt;=1),"YES","NO"))</f>
        <v/>
      </c>
      <c r="AM570" s="7">
        <f>IF(AK570="","",IF(AND(AK570="NO",AJ570&gt;=0.85),"YES","NO"))</f>
        <v/>
      </c>
      <c r="AN570" s="7">
        <f>IF(AJ570="","",IF(AJ570&gt;=0.90,"Excellent",IF(AJ570&gt;=0.80,"Good",IF(AJ570&gt;=0.70,"Fair","Poor"))))</f>
        <v/>
      </c>
      <c r="AO570" s="12" t="n"/>
      <c r="AP570" s="12" t="n"/>
      <c r="AQ570" s="12" t="n"/>
      <c r="AR570" s="12" t="n"/>
      <c r="AS570" s="12" t="n"/>
      <c r="AT570" s="12" t="n"/>
      <c r="AU570" s="12" t="n"/>
      <c r="AV570" s="11" t="n"/>
      <c r="AW570" s="12" t="n"/>
      <c r="AX570" s="12" t="n"/>
      <c r="AY570" s="12" t="n"/>
      <c r="AZ570" s="12" t="n"/>
      <c r="BA570" s="12" t="n"/>
      <c r="BB570" s="12" t="n"/>
      <c r="BC570" s="12" t="n"/>
      <c r="BD570" s="12" t="n"/>
      <c r="BE570" s="12" t="n"/>
      <c r="BF570" s="12" t="n"/>
    </row>
    <row r="571">
      <c r="A571" s="7">
        <f>IF(B571="","","INS-"&amp;TEXT(ROW()-3,"000"))</f>
        <v/>
      </c>
      <c r="B571" s="11" t="n"/>
      <c r="C571" s="7">
        <f>IF(B571="","",ISOWEEKNUM(B571))</f>
        <v/>
      </c>
      <c r="D571" s="7">
        <f>IF(B571="","",TEXT(B571,"yyyy-mm"))</f>
        <v/>
      </c>
      <c r="E571" s="12" t="n"/>
      <c r="F571" s="12" t="n"/>
      <c r="G571" s="7">
        <f>IF(OR(E571="",F571=""),"",IF(COUNTIF(Cluster_Master!$I$3:$I$17,E571&amp;"|"&amp;F571)=1,"Valid","Review"))</f>
        <v/>
      </c>
      <c r="H571" s="7">
        <f>IF($G571&lt;&gt;"Valid","",VLOOKUP($E571&amp;"|"&amp;$F571,Cluster_Master!$I$3:$H$17,3,FALSE))</f>
        <v/>
      </c>
      <c r="I571" s="7">
        <f>IF($G571&lt;&gt;"Valid","",VLOOKUP($E571&amp;"|"&amp;$F571,Cluster_Master!$I$3:$H$17,4,FALSE))</f>
        <v/>
      </c>
      <c r="J571" s="7">
        <f>IF($G571&lt;&gt;"Valid","",VLOOKUP($E571&amp;"|"&amp;$F571,Cluster_Master!$I$3:$H$17,5,FALSE))</f>
        <v/>
      </c>
      <c r="K571" s="7">
        <f>IF($G571&lt;&gt;"Valid","",VLOOKUP($E571&amp;"|"&amp;$F571,Cluster_Master!$I$3:$H$17,6,FALSE))</f>
        <v/>
      </c>
      <c r="L571" s="7">
        <f>IF($G571&lt;&gt;"Valid","",VLOOKUP($E571&amp;"|"&amp;$F571,Cluster_Master!$I$3:$H$17,7,FALSE))</f>
        <v/>
      </c>
      <c r="M571" s="7">
        <f>IF($G571&lt;&gt;"Valid","",VLOOKUP($E571&amp;"|"&amp;$F571,Cluster_Master!$I$3:$H$17,8,FALSE))</f>
        <v/>
      </c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7">
        <f>IF(COUNT(T571:AH571)=0,"",SUM(T571:AH571))</f>
        <v/>
      </c>
      <c r="AJ571" s="10">
        <f>IF(AI571="","",AI571/75)</f>
        <v/>
      </c>
      <c r="AK571" s="10">
        <f>IF(AI571="","",SUMPRODUCT(T571:AH571,KPI_Weights!$B$3:$B$17)/5)</f>
        <v/>
      </c>
      <c r="AL571" s="7">
        <f>IF(COUNT(T571:AH571)=0,"",IF(OR(T571&lt;=1,W571&lt;=1,X571&lt;=1,Y571&lt;=1,AB571&lt;=1),"YES","NO"))</f>
        <v/>
      </c>
      <c r="AM571" s="7">
        <f>IF(AK571="","",IF(AND(AK571="NO",AJ571&gt;=0.85),"YES","NO"))</f>
        <v/>
      </c>
      <c r="AN571" s="7">
        <f>IF(AJ571="","",IF(AJ571&gt;=0.90,"Excellent",IF(AJ571&gt;=0.80,"Good",IF(AJ571&gt;=0.70,"Fair","Poor"))))</f>
        <v/>
      </c>
      <c r="AO571" s="12" t="n"/>
      <c r="AP571" s="12" t="n"/>
      <c r="AQ571" s="12" t="n"/>
      <c r="AR571" s="12" t="n"/>
      <c r="AS571" s="12" t="n"/>
      <c r="AT571" s="12" t="n"/>
      <c r="AU571" s="12" t="n"/>
      <c r="AV571" s="11" t="n"/>
      <c r="AW571" s="12" t="n"/>
      <c r="AX571" s="12" t="n"/>
      <c r="AY571" s="12" t="n"/>
      <c r="AZ571" s="12" t="n"/>
      <c r="BA571" s="12" t="n"/>
      <c r="BB571" s="12" t="n"/>
      <c r="BC571" s="12" t="n"/>
      <c r="BD571" s="12" t="n"/>
      <c r="BE571" s="12" t="n"/>
      <c r="BF571" s="12" t="n"/>
    </row>
    <row r="572">
      <c r="A572" s="7">
        <f>IF(B572="","","INS-"&amp;TEXT(ROW()-3,"000"))</f>
        <v/>
      </c>
      <c r="B572" s="11" t="n"/>
      <c r="C572" s="7">
        <f>IF(B572="","",ISOWEEKNUM(B572))</f>
        <v/>
      </c>
      <c r="D572" s="7">
        <f>IF(B572="","",TEXT(B572,"yyyy-mm"))</f>
        <v/>
      </c>
      <c r="E572" s="12" t="n"/>
      <c r="F572" s="12" t="n"/>
      <c r="G572" s="7">
        <f>IF(OR(E572="",F572=""),"",IF(COUNTIF(Cluster_Master!$I$3:$I$17,E572&amp;"|"&amp;F572)=1,"Valid","Review"))</f>
        <v/>
      </c>
      <c r="H572" s="7">
        <f>IF($G572&lt;&gt;"Valid","",VLOOKUP($E572&amp;"|"&amp;$F572,Cluster_Master!$I$3:$H$17,3,FALSE))</f>
        <v/>
      </c>
      <c r="I572" s="7">
        <f>IF($G572&lt;&gt;"Valid","",VLOOKUP($E572&amp;"|"&amp;$F572,Cluster_Master!$I$3:$H$17,4,FALSE))</f>
        <v/>
      </c>
      <c r="J572" s="7">
        <f>IF($G572&lt;&gt;"Valid","",VLOOKUP($E572&amp;"|"&amp;$F572,Cluster_Master!$I$3:$H$17,5,FALSE))</f>
        <v/>
      </c>
      <c r="K572" s="7">
        <f>IF($G572&lt;&gt;"Valid","",VLOOKUP($E572&amp;"|"&amp;$F572,Cluster_Master!$I$3:$H$17,6,FALSE))</f>
        <v/>
      </c>
      <c r="L572" s="7">
        <f>IF($G572&lt;&gt;"Valid","",VLOOKUP($E572&amp;"|"&amp;$F572,Cluster_Master!$I$3:$H$17,7,FALSE))</f>
        <v/>
      </c>
      <c r="M572" s="7">
        <f>IF($G572&lt;&gt;"Valid","",VLOOKUP($E572&amp;"|"&amp;$F572,Cluster_Master!$I$3:$H$17,8,FALSE))</f>
        <v/>
      </c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7">
        <f>IF(COUNT(T572:AH572)=0,"",SUM(T572:AH572))</f>
        <v/>
      </c>
      <c r="AJ572" s="10">
        <f>IF(AI572="","",AI572/75)</f>
        <v/>
      </c>
      <c r="AK572" s="10">
        <f>IF(AI572="","",SUMPRODUCT(T572:AH572,KPI_Weights!$B$3:$B$17)/5)</f>
        <v/>
      </c>
      <c r="AL572" s="7">
        <f>IF(COUNT(T572:AH572)=0,"",IF(OR(T572&lt;=1,W572&lt;=1,X572&lt;=1,Y572&lt;=1,AB572&lt;=1),"YES","NO"))</f>
        <v/>
      </c>
      <c r="AM572" s="7">
        <f>IF(AK572="","",IF(AND(AK572="NO",AJ572&gt;=0.85),"YES","NO"))</f>
        <v/>
      </c>
      <c r="AN572" s="7">
        <f>IF(AJ572="","",IF(AJ572&gt;=0.90,"Excellent",IF(AJ572&gt;=0.80,"Good",IF(AJ572&gt;=0.70,"Fair","Poor"))))</f>
        <v/>
      </c>
      <c r="AO572" s="12" t="n"/>
      <c r="AP572" s="12" t="n"/>
      <c r="AQ572" s="12" t="n"/>
      <c r="AR572" s="12" t="n"/>
      <c r="AS572" s="12" t="n"/>
      <c r="AT572" s="12" t="n"/>
      <c r="AU572" s="12" t="n"/>
      <c r="AV572" s="11" t="n"/>
      <c r="AW572" s="12" t="n"/>
      <c r="AX572" s="12" t="n"/>
      <c r="AY572" s="12" t="n"/>
      <c r="AZ572" s="12" t="n"/>
      <c r="BA572" s="12" t="n"/>
      <c r="BB572" s="12" t="n"/>
      <c r="BC572" s="12" t="n"/>
      <c r="BD572" s="12" t="n"/>
      <c r="BE572" s="12" t="n"/>
      <c r="BF572" s="12" t="n"/>
    </row>
    <row r="573">
      <c r="A573" s="7">
        <f>IF(B573="","","INS-"&amp;TEXT(ROW()-3,"000"))</f>
        <v/>
      </c>
      <c r="B573" s="11" t="n"/>
      <c r="C573" s="7">
        <f>IF(B573="","",ISOWEEKNUM(B573))</f>
        <v/>
      </c>
      <c r="D573" s="7">
        <f>IF(B573="","",TEXT(B573,"yyyy-mm"))</f>
        <v/>
      </c>
      <c r="E573" s="12" t="n"/>
      <c r="F573" s="12" t="n"/>
      <c r="G573" s="7">
        <f>IF(OR(E573="",F573=""),"",IF(COUNTIF(Cluster_Master!$I$3:$I$17,E573&amp;"|"&amp;F573)=1,"Valid","Review"))</f>
        <v/>
      </c>
      <c r="H573" s="7">
        <f>IF($G573&lt;&gt;"Valid","",VLOOKUP($E573&amp;"|"&amp;$F573,Cluster_Master!$I$3:$H$17,3,FALSE))</f>
        <v/>
      </c>
      <c r="I573" s="7">
        <f>IF($G573&lt;&gt;"Valid","",VLOOKUP($E573&amp;"|"&amp;$F573,Cluster_Master!$I$3:$H$17,4,FALSE))</f>
        <v/>
      </c>
      <c r="J573" s="7">
        <f>IF($G573&lt;&gt;"Valid","",VLOOKUP($E573&amp;"|"&amp;$F573,Cluster_Master!$I$3:$H$17,5,FALSE))</f>
        <v/>
      </c>
      <c r="K573" s="7">
        <f>IF($G573&lt;&gt;"Valid","",VLOOKUP($E573&amp;"|"&amp;$F573,Cluster_Master!$I$3:$H$17,6,FALSE))</f>
        <v/>
      </c>
      <c r="L573" s="7">
        <f>IF($G573&lt;&gt;"Valid","",VLOOKUP($E573&amp;"|"&amp;$F573,Cluster_Master!$I$3:$H$17,7,FALSE))</f>
        <v/>
      </c>
      <c r="M573" s="7">
        <f>IF($G573&lt;&gt;"Valid","",VLOOKUP($E573&amp;"|"&amp;$F573,Cluster_Master!$I$3:$H$17,8,FALSE))</f>
        <v/>
      </c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7">
        <f>IF(COUNT(T573:AH573)=0,"",SUM(T573:AH573))</f>
        <v/>
      </c>
      <c r="AJ573" s="10">
        <f>IF(AI573="","",AI573/75)</f>
        <v/>
      </c>
      <c r="AK573" s="10">
        <f>IF(AI573="","",SUMPRODUCT(T573:AH573,KPI_Weights!$B$3:$B$17)/5)</f>
        <v/>
      </c>
      <c r="AL573" s="7">
        <f>IF(COUNT(T573:AH573)=0,"",IF(OR(T573&lt;=1,W573&lt;=1,X573&lt;=1,Y573&lt;=1,AB573&lt;=1),"YES","NO"))</f>
        <v/>
      </c>
      <c r="AM573" s="7">
        <f>IF(AK573="","",IF(AND(AK573="NO",AJ573&gt;=0.85),"YES","NO"))</f>
        <v/>
      </c>
      <c r="AN573" s="7">
        <f>IF(AJ573="","",IF(AJ573&gt;=0.90,"Excellent",IF(AJ573&gt;=0.80,"Good",IF(AJ573&gt;=0.70,"Fair","Poor"))))</f>
        <v/>
      </c>
      <c r="AO573" s="12" t="n"/>
      <c r="AP573" s="12" t="n"/>
      <c r="AQ573" s="12" t="n"/>
      <c r="AR573" s="12" t="n"/>
      <c r="AS573" s="12" t="n"/>
      <c r="AT573" s="12" t="n"/>
      <c r="AU573" s="12" t="n"/>
      <c r="AV573" s="11" t="n"/>
      <c r="AW573" s="12" t="n"/>
      <c r="AX573" s="12" t="n"/>
      <c r="AY573" s="12" t="n"/>
      <c r="AZ573" s="12" t="n"/>
      <c r="BA573" s="12" t="n"/>
      <c r="BB573" s="12" t="n"/>
      <c r="BC573" s="12" t="n"/>
      <c r="BD573" s="12" t="n"/>
      <c r="BE573" s="12" t="n"/>
      <c r="BF573" s="12" t="n"/>
    </row>
    <row r="574">
      <c r="A574" s="7">
        <f>IF(B574="","","INS-"&amp;TEXT(ROW()-3,"000"))</f>
        <v/>
      </c>
      <c r="B574" s="11" t="n"/>
      <c r="C574" s="7">
        <f>IF(B574="","",ISOWEEKNUM(B574))</f>
        <v/>
      </c>
      <c r="D574" s="7">
        <f>IF(B574="","",TEXT(B574,"yyyy-mm"))</f>
        <v/>
      </c>
      <c r="E574" s="12" t="n"/>
      <c r="F574" s="12" t="n"/>
      <c r="G574" s="7">
        <f>IF(OR(E574="",F574=""),"",IF(COUNTIF(Cluster_Master!$I$3:$I$17,E574&amp;"|"&amp;F574)=1,"Valid","Review"))</f>
        <v/>
      </c>
      <c r="H574" s="7">
        <f>IF($G574&lt;&gt;"Valid","",VLOOKUP($E574&amp;"|"&amp;$F574,Cluster_Master!$I$3:$H$17,3,FALSE))</f>
        <v/>
      </c>
      <c r="I574" s="7">
        <f>IF($G574&lt;&gt;"Valid","",VLOOKUP($E574&amp;"|"&amp;$F574,Cluster_Master!$I$3:$H$17,4,FALSE))</f>
        <v/>
      </c>
      <c r="J574" s="7">
        <f>IF($G574&lt;&gt;"Valid","",VLOOKUP($E574&amp;"|"&amp;$F574,Cluster_Master!$I$3:$H$17,5,FALSE))</f>
        <v/>
      </c>
      <c r="K574" s="7">
        <f>IF($G574&lt;&gt;"Valid","",VLOOKUP($E574&amp;"|"&amp;$F574,Cluster_Master!$I$3:$H$17,6,FALSE))</f>
        <v/>
      </c>
      <c r="L574" s="7">
        <f>IF($G574&lt;&gt;"Valid","",VLOOKUP($E574&amp;"|"&amp;$F574,Cluster_Master!$I$3:$H$17,7,FALSE))</f>
        <v/>
      </c>
      <c r="M574" s="7">
        <f>IF($G574&lt;&gt;"Valid","",VLOOKUP($E574&amp;"|"&amp;$F574,Cluster_Master!$I$3:$H$17,8,FALSE))</f>
        <v/>
      </c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7">
        <f>IF(COUNT(T574:AH574)=0,"",SUM(T574:AH574))</f>
        <v/>
      </c>
      <c r="AJ574" s="10">
        <f>IF(AI574="","",AI574/75)</f>
        <v/>
      </c>
      <c r="AK574" s="10">
        <f>IF(AI574="","",SUMPRODUCT(T574:AH574,KPI_Weights!$B$3:$B$17)/5)</f>
        <v/>
      </c>
      <c r="AL574" s="7">
        <f>IF(COUNT(T574:AH574)=0,"",IF(OR(T574&lt;=1,W574&lt;=1,X574&lt;=1,Y574&lt;=1,AB574&lt;=1),"YES","NO"))</f>
        <v/>
      </c>
      <c r="AM574" s="7">
        <f>IF(AK574="","",IF(AND(AK574="NO",AJ574&gt;=0.85),"YES","NO"))</f>
        <v/>
      </c>
      <c r="AN574" s="7">
        <f>IF(AJ574="","",IF(AJ574&gt;=0.90,"Excellent",IF(AJ574&gt;=0.80,"Good",IF(AJ574&gt;=0.70,"Fair","Poor"))))</f>
        <v/>
      </c>
      <c r="AO574" s="12" t="n"/>
      <c r="AP574" s="12" t="n"/>
      <c r="AQ574" s="12" t="n"/>
      <c r="AR574" s="12" t="n"/>
      <c r="AS574" s="12" t="n"/>
      <c r="AT574" s="12" t="n"/>
      <c r="AU574" s="12" t="n"/>
      <c r="AV574" s="11" t="n"/>
      <c r="AW574" s="12" t="n"/>
      <c r="AX574" s="12" t="n"/>
      <c r="AY574" s="12" t="n"/>
      <c r="AZ574" s="12" t="n"/>
      <c r="BA574" s="12" t="n"/>
      <c r="BB574" s="12" t="n"/>
      <c r="BC574" s="12" t="n"/>
      <c r="BD574" s="12" t="n"/>
      <c r="BE574" s="12" t="n"/>
      <c r="BF574" s="12" t="n"/>
    </row>
    <row r="575">
      <c r="A575" s="7">
        <f>IF(B575="","","INS-"&amp;TEXT(ROW()-3,"000"))</f>
        <v/>
      </c>
      <c r="B575" s="11" t="n"/>
      <c r="C575" s="7">
        <f>IF(B575="","",ISOWEEKNUM(B575))</f>
        <v/>
      </c>
      <c r="D575" s="7">
        <f>IF(B575="","",TEXT(B575,"yyyy-mm"))</f>
        <v/>
      </c>
      <c r="E575" s="12" t="n"/>
      <c r="F575" s="12" t="n"/>
      <c r="G575" s="7">
        <f>IF(OR(E575="",F575=""),"",IF(COUNTIF(Cluster_Master!$I$3:$I$17,E575&amp;"|"&amp;F575)=1,"Valid","Review"))</f>
        <v/>
      </c>
      <c r="H575" s="7">
        <f>IF($G575&lt;&gt;"Valid","",VLOOKUP($E575&amp;"|"&amp;$F575,Cluster_Master!$I$3:$H$17,3,FALSE))</f>
        <v/>
      </c>
      <c r="I575" s="7">
        <f>IF($G575&lt;&gt;"Valid","",VLOOKUP($E575&amp;"|"&amp;$F575,Cluster_Master!$I$3:$H$17,4,FALSE))</f>
        <v/>
      </c>
      <c r="J575" s="7">
        <f>IF($G575&lt;&gt;"Valid","",VLOOKUP($E575&amp;"|"&amp;$F575,Cluster_Master!$I$3:$H$17,5,FALSE))</f>
        <v/>
      </c>
      <c r="K575" s="7">
        <f>IF($G575&lt;&gt;"Valid","",VLOOKUP($E575&amp;"|"&amp;$F575,Cluster_Master!$I$3:$H$17,6,FALSE))</f>
        <v/>
      </c>
      <c r="L575" s="7">
        <f>IF($G575&lt;&gt;"Valid","",VLOOKUP($E575&amp;"|"&amp;$F575,Cluster_Master!$I$3:$H$17,7,FALSE))</f>
        <v/>
      </c>
      <c r="M575" s="7">
        <f>IF($G575&lt;&gt;"Valid","",VLOOKUP($E575&amp;"|"&amp;$F575,Cluster_Master!$I$3:$H$17,8,FALSE))</f>
        <v/>
      </c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7">
        <f>IF(COUNT(T575:AH575)=0,"",SUM(T575:AH575))</f>
        <v/>
      </c>
      <c r="AJ575" s="10">
        <f>IF(AI575="","",AI575/75)</f>
        <v/>
      </c>
      <c r="AK575" s="10">
        <f>IF(AI575="","",SUMPRODUCT(T575:AH575,KPI_Weights!$B$3:$B$17)/5)</f>
        <v/>
      </c>
      <c r="AL575" s="7">
        <f>IF(COUNT(T575:AH575)=0,"",IF(OR(T575&lt;=1,W575&lt;=1,X575&lt;=1,Y575&lt;=1,AB575&lt;=1),"YES","NO"))</f>
        <v/>
      </c>
      <c r="AM575" s="7">
        <f>IF(AK575="","",IF(AND(AK575="NO",AJ575&gt;=0.85),"YES","NO"))</f>
        <v/>
      </c>
      <c r="AN575" s="7">
        <f>IF(AJ575="","",IF(AJ575&gt;=0.90,"Excellent",IF(AJ575&gt;=0.80,"Good",IF(AJ575&gt;=0.70,"Fair","Poor"))))</f>
        <v/>
      </c>
      <c r="AO575" s="12" t="n"/>
      <c r="AP575" s="12" t="n"/>
      <c r="AQ575" s="12" t="n"/>
      <c r="AR575" s="12" t="n"/>
      <c r="AS575" s="12" t="n"/>
      <c r="AT575" s="12" t="n"/>
      <c r="AU575" s="12" t="n"/>
      <c r="AV575" s="11" t="n"/>
      <c r="AW575" s="12" t="n"/>
      <c r="AX575" s="12" t="n"/>
      <c r="AY575" s="12" t="n"/>
      <c r="AZ575" s="12" t="n"/>
      <c r="BA575" s="12" t="n"/>
      <c r="BB575" s="12" t="n"/>
      <c r="BC575" s="12" t="n"/>
      <c r="BD575" s="12" t="n"/>
      <c r="BE575" s="12" t="n"/>
      <c r="BF575" s="12" t="n"/>
    </row>
    <row r="576">
      <c r="A576" s="7">
        <f>IF(B576="","","INS-"&amp;TEXT(ROW()-3,"000"))</f>
        <v/>
      </c>
      <c r="B576" s="11" t="n"/>
      <c r="C576" s="7">
        <f>IF(B576="","",ISOWEEKNUM(B576))</f>
        <v/>
      </c>
      <c r="D576" s="7">
        <f>IF(B576="","",TEXT(B576,"yyyy-mm"))</f>
        <v/>
      </c>
      <c r="E576" s="12" t="n"/>
      <c r="F576" s="12" t="n"/>
      <c r="G576" s="7">
        <f>IF(OR(E576="",F576=""),"",IF(COUNTIF(Cluster_Master!$I$3:$I$17,E576&amp;"|"&amp;F576)=1,"Valid","Review"))</f>
        <v/>
      </c>
      <c r="H576" s="7">
        <f>IF($G576&lt;&gt;"Valid","",VLOOKUP($E576&amp;"|"&amp;$F576,Cluster_Master!$I$3:$H$17,3,FALSE))</f>
        <v/>
      </c>
      <c r="I576" s="7">
        <f>IF($G576&lt;&gt;"Valid","",VLOOKUP($E576&amp;"|"&amp;$F576,Cluster_Master!$I$3:$H$17,4,FALSE))</f>
        <v/>
      </c>
      <c r="J576" s="7">
        <f>IF($G576&lt;&gt;"Valid","",VLOOKUP($E576&amp;"|"&amp;$F576,Cluster_Master!$I$3:$H$17,5,FALSE))</f>
        <v/>
      </c>
      <c r="K576" s="7">
        <f>IF($G576&lt;&gt;"Valid","",VLOOKUP($E576&amp;"|"&amp;$F576,Cluster_Master!$I$3:$H$17,6,FALSE))</f>
        <v/>
      </c>
      <c r="L576" s="7">
        <f>IF($G576&lt;&gt;"Valid","",VLOOKUP($E576&amp;"|"&amp;$F576,Cluster_Master!$I$3:$H$17,7,FALSE))</f>
        <v/>
      </c>
      <c r="M576" s="7">
        <f>IF($G576&lt;&gt;"Valid","",VLOOKUP($E576&amp;"|"&amp;$F576,Cluster_Master!$I$3:$H$17,8,FALSE))</f>
        <v/>
      </c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7">
        <f>IF(COUNT(T576:AH576)=0,"",SUM(T576:AH576))</f>
        <v/>
      </c>
      <c r="AJ576" s="10">
        <f>IF(AI576="","",AI576/75)</f>
        <v/>
      </c>
      <c r="AK576" s="10">
        <f>IF(AI576="","",SUMPRODUCT(T576:AH576,KPI_Weights!$B$3:$B$17)/5)</f>
        <v/>
      </c>
      <c r="AL576" s="7">
        <f>IF(COUNT(T576:AH576)=0,"",IF(OR(T576&lt;=1,W576&lt;=1,X576&lt;=1,Y576&lt;=1,AB576&lt;=1),"YES","NO"))</f>
        <v/>
      </c>
      <c r="AM576" s="7">
        <f>IF(AK576="","",IF(AND(AK576="NO",AJ576&gt;=0.85),"YES","NO"))</f>
        <v/>
      </c>
      <c r="AN576" s="7">
        <f>IF(AJ576="","",IF(AJ576&gt;=0.90,"Excellent",IF(AJ576&gt;=0.80,"Good",IF(AJ576&gt;=0.70,"Fair","Poor"))))</f>
        <v/>
      </c>
      <c r="AO576" s="12" t="n"/>
      <c r="AP576" s="12" t="n"/>
      <c r="AQ576" s="12" t="n"/>
      <c r="AR576" s="12" t="n"/>
      <c r="AS576" s="12" t="n"/>
      <c r="AT576" s="12" t="n"/>
      <c r="AU576" s="12" t="n"/>
      <c r="AV576" s="11" t="n"/>
      <c r="AW576" s="12" t="n"/>
      <c r="AX576" s="12" t="n"/>
      <c r="AY576" s="12" t="n"/>
      <c r="AZ576" s="12" t="n"/>
      <c r="BA576" s="12" t="n"/>
      <c r="BB576" s="12" t="n"/>
      <c r="BC576" s="12" t="n"/>
      <c r="BD576" s="12" t="n"/>
      <c r="BE576" s="12" t="n"/>
      <c r="BF576" s="12" t="n"/>
    </row>
    <row r="577">
      <c r="A577" s="7">
        <f>IF(B577="","","INS-"&amp;TEXT(ROW()-3,"000"))</f>
        <v/>
      </c>
      <c r="B577" s="11" t="n"/>
      <c r="C577" s="7">
        <f>IF(B577="","",ISOWEEKNUM(B577))</f>
        <v/>
      </c>
      <c r="D577" s="7">
        <f>IF(B577="","",TEXT(B577,"yyyy-mm"))</f>
        <v/>
      </c>
      <c r="E577" s="12" t="n"/>
      <c r="F577" s="12" t="n"/>
      <c r="G577" s="7">
        <f>IF(OR(E577="",F577=""),"",IF(COUNTIF(Cluster_Master!$I$3:$I$17,E577&amp;"|"&amp;F577)=1,"Valid","Review"))</f>
        <v/>
      </c>
      <c r="H577" s="7">
        <f>IF($G577&lt;&gt;"Valid","",VLOOKUP($E577&amp;"|"&amp;$F577,Cluster_Master!$I$3:$H$17,3,FALSE))</f>
        <v/>
      </c>
      <c r="I577" s="7">
        <f>IF($G577&lt;&gt;"Valid","",VLOOKUP($E577&amp;"|"&amp;$F577,Cluster_Master!$I$3:$H$17,4,FALSE))</f>
        <v/>
      </c>
      <c r="J577" s="7">
        <f>IF($G577&lt;&gt;"Valid","",VLOOKUP($E577&amp;"|"&amp;$F577,Cluster_Master!$I$3:$H$17,5,FALSE))</f>
        <v/>
      </c>
      <c r="K577" s="7">
        <f>IF($G577&lt;&gt;"Valid","",VLOOKUP($E577&amp;"|"&amp;$F577,Cluster_Master!$I$3:$H$17,6,FALSE))</f>
        <v/>
      </c>
      <c r="L577" s="7">
        <f>IF($G577&lt;&gt;"Valid","",VLOOKUP($E577&amp;"|"&amp;$F577,Cluster_Master!$I$3:$H$17,7,FALSE))</f>
        <v/>
      </c>
      <c r="M577" s="7">
        <f>IF($G577&lt;&gt;"Valid","",VLOOKUP($E577&amp;"|"&amp;$F577,Cluster_Master!$I$3:$H$17,8,FALSE))</f>
        <v/>
      </c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7">
        <f>IF(COUNT(T577:AH577)=0,"",SUM(T577:AH577))</f>
        <v/>
      </c>
      <c r="AJ577" s="10">
        <f>IF(AI577="","",AI577/75)</f>
        <v/>
      </c>
      <c r="AK577" s="10">
        <f>IF(AI577="","",SUMPRODUCT(T577:AH577,KPI_Weights!$B$3:$B$17)/5)</f>
        <v/>
      </c>
      <c r="AL577" s="7">
        <f>IF(COUNT(T577:AH577)=0,"",IF(OR(T577&lt;=1,W577&lt;=1,X577&lt;=1,Y577&lt;=1,AB577&lt;=1),"YES","NO"))</f>
        <v/>
      </c>
      <c r="AM577" s="7">
        <f>IF(AK577="","",IF(AND(AK577="NO",AJ577&gt;=0.85),"YES","NO"))</f>
        <v/>
      </c>
      <c r="AN577" s="7">
        <f>IF(AJ577="","",IF(AJ577&gt;=0.90,"Excellent",IF(AJ577&gt;=0.80,"Good",IF(AJ577&gt;=0.70,"Fair","Poor"))))</f>
        <v/>
      </c>
      <c r="AO577" s="12" t="n"/>
      <c r="AP577" s="12" t="n"/>
      <c r="AQ577" s="12" t="n"/>
      <c r="AR577" s="12" t="n"/>
      <c r="AS577" s="12" t="n"/>
      <c r="AT577" s="12" t="n"/>
      <c r="AU577" s="12" t="n"/>
      <c r="AV577" s="11" t="n"/>
      <c r="AW577" s="12" t="n"/>
      <c r="AX577" s="12" t="n"/>
      <c r="AY577" s="12" t="n"/>
      <c r="AZ577" s="12" t="n"/>
      <c r="BA577" s="12" t="n"/>
      <c r="BB577" s="12" t="n"/>
      <c r="BC577" s="12" t="n"/>
      <c r="BD577" s="12" t="n"/>
      <c r="BE577" s="12" t="n"/>
      <c r="BF577" s="12" t="n"/>
    </row>
    <row r="578">
      <c r="A578" s="7">
        <f>IF(B578="","","INS-"&amp;TEXT(ROW()-3,"000"))</f>
        <v/>
      </c>
      <c r="B578" s="11" t="n"/>
      <c r="C578" s="7">
        <f>IF(B578="","",ISOWEEKNUM(B578))</f>
        <v/>
      </c>
      <c r="D578" s="7">
        <f>IF(B578="","",TEXT(B578,"yyyy-mm"))</f>
        <v/>
      </c>
      <c r="E578" s="12" t="n"/>
      <c r="F578" s="12" t="n"/>
      <c r="G578" s="7">
        <f>IF(OR(E578="",F578=""),"",IF(COUNTIF(Cluster_Master!$I$3:$I$17,E578&amp;"|"&amp;F578)=1,"Valid","Review"))</f>
        <v/>
      </c>
      <c r="H578" s="7">
        <f>IF($G578&lt;&gt;"Valid","",VLOOKUP($E578&amp;"|"&amp;$F578,Cluster_Master!$I$3:$H$17,3,FALSE))</f>
        <v/>
      </c>
      <c r="I578" s="7">
        <f>IF($G578&lt;&gt;"Valid","",VLOOKUP($E578&amp;"|"&amp;$F578,Cluster_Master!$I$3:$H$17,4,FALSE))</f>
        <v/>
      </c>
      <c r="J578" s="7">
        <f>IF($G578&lt;&gt;"Valid","",VLOOKUP($E578&amp;"|"&amp;$F578,Cluster_Master!$I$3:$H$17,5,FALSE))</f>
        <v/>
      </c>
      <c r="K578" s="7">
        <f>IF($G578&lt;&gt;"Valid","",VLOOKUP($E578&amp;"|"&amp;$F578,Cluster_Master!$I$3:$H$17,6,FALSE))</f>
        <v/>
      </c>
      <c r="L578" s="7">
        <f>IF($G578&lt;&gt;"Valid","",VLOOKUP($E578&amp;"|"&amp;$F578,Cluster_Master!$I$3:$H$17,7,FALSE))</f>
        <v/>
      </c>
      <c r="M578" s="7">
        <f>IF($G578&lt;&gt;"Valid","",VLOOKUP($E578&amp;"|"&amp;$F578,Cluster_Master!$I$3:$H$17,8,FALSE))</f>
        <v/>
      </c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7">
        <f>IF(COUNT(T578:AH578)=0,"",SUM(T578:AH578))</f>
        <v/>
      </c>
      <c r="AJ578" s="10">
        <f>IF(AI578="","",AI578/75)</f>
        <v/>
      </c>
      <c r="AK578" s="10">
        <f>IF(AI578="","",SUMPRODUCT(T578:AH578,KPI_Weights!$B$3:$B$17)/5)</f>
        <v/>
      </c>
      <c r="AL578" s="7">
        <f>IF(COUNT(T578:AH578)=0,"",IF(OR(T578&lt;=1,W578&lt;=1,X578&lt;=1,Y578&lt;=1,AB578&lt;=1),"YES","NO"))</f>
        <v/>
      </c>
      <c r="AM578" s="7">
        <f>IF(AK578="","",IF(AND(AK578="NO",AJ578&gt;=0.85),"YES","NO"))</f>
        <v/>
      </c>
      <c r="AN578" s="7">
        <f>IF(AJ578="","",IF(AJ578&gt;=0.90,"Excellent",IF(AJ578&gt;=0.80,"Good",IF(AJ578&gt;=0.70,"Fair","Poor"))))</f>
        <v/>
      </c>
      <c r="AO578" s="12" t="n"/>
      <c r="AP578" s="12" t="n"/>
      <c r="AQ578" s="12" t="n"/>
      <c r="AR578" s="12" t="n"/>
      <c r="AS578" s="12" t="n"/>
      <c r="AT578" s="12" t="n"/>
      <c r="AU578" s="12" t="n"/>
      <c r="AV578" s="11" t="n"/>
      <c r="AW578" s="12" t="n"/>
      <c r="AX578" s="12" t="n"/>
      <c r="AY578" s="12" t="n"/>
      <c r="AZ578" s="12" t="n"/>
      <c r="BA578" s="12" t="n"/>
      <c r="BB578" s="12" t="n"/>
      <c r="BC578" s="12" t="n"/>
      <c r="BD578" s="12" t="n"/>
      <c r="BE578" s="12" t="n"/>
      <c r="BF578" s="12" t="n"/>
    </row>
    <row r="579">
      <c r="A579" s="7">
        <f>IF(B579="","","INS-"&amp;TEXT(ROW()-3,"000"))</f>
        <v/>
      </c>
      <c r="B579" s="11" t="n"/>
      <c r="C579" s="7">
        <f>IF(B579="","",ISOWEEKNUM(B579))</f>
        <v/>
      </c>
      <c r="D579" s="7">
        <f>IF(B579="","",TEXT(B579,"yyyy-mm"))</f>
        <v/>
      </c>
      <c r="E579" s="12" t="n"/>
      <c r="F579" s="12" t="n"/>
      <c r="G579" s="7">
        <f>IF(OR(E579="",F579=""),"",IF(COUNTIF(Cluster_Master!$I$3:$I$17,E579&amp;"|"&amp;F579)=1,"Valid","Review"))</f>
        <v/>
      </c>
      <c r="H579" s="7">
        <f>IF($G579&lt;&gt;"Valid","",VLOOKUP($E579&amp;"|"&amp;$F579,Cluster_Master!$I$3:$H$17,3,FALSE))</f>
        <v/>
      </c>
      <c r="I579" s="7">
        <f>IF($G579&lt;&gt;"Valid","",VLOOKUP($E579&amp;"|"&amp;$F579,Cluster_Master!$I$3:$H$17,4,FALSE))</f>
        <v/>
      </c>
      <c r="J579" s="7">
        <f>IF($G579&lt;&gt;"Valid","",VLOOKUP($E579&amp;"|"&amp;$F579,Cluster_Master!$I$3:$H$17,5,FALSE))</f>
        <v/>
      </c>
      <c r="K579" s="7">
        <f>IF($G579&lt;&gt;"Valid","",VLOOKUP($E579&amp;"|"&amp;$F579,Cluster_Master!$I$3:$H$17,6,FALSE))</f>
        <v/>
      </c>
      <c r="L579" s="7">
        <f>IF($G579&lt;&gt;"Valid","",VLOOKUP($E579&amp;"|"&amp;$F579,Cluster_Master!$I$3:$H$17,7,FALSE))</f>
        <v/>
      </c>
      <c r="M579" s="7">
        <f>IF($G579&lt;&gt;"Valid","",VLOOKUP($E579&amp;"|"&amp;$F579,Cluster_Master!$I$3:$H$17,8,FALSE))</f>
        <v/>
      </c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7">
        <f>IF(COUNT(T579:AH579)=0,"",SUM(T579:AH579))</f>
        <v/>
      </c>
      <c r="AJ579" s="10">
        <f>IF(AI579="","",AI579/75)</f>
        <v/>
      </c>
      <c r="AK579" s="10">
        <f>IF(AI579="","",SUMPRODUCT(T579:AH579,KPI_Weights!$B$3:$B$17)/5)</f>
        <v/>
      </c>
      <c r="AL579" s="7">
        <f>IF(COUNT(T579:AH579)=0,"",IF(OR(T579&lt;=1,W579&lt;=1,X579&lt;=1,Y579&lt;=1,AB579&lt;=1),"YES","NO"))</f>
        <v/>
      </c>
      <c r="AM579" s="7">
        <f>IF(AK579="","",IF(AND(AK579="NO",AJ579&gt;=0.85),"YES","NO"))</f>
        <v/>
      </c>
      <c r="AN579" s="7">
        <f>IF(AJ579="","",IF(AJ579&gt;=0.90,"Excellent",IF(AJ579&gt;=0.80,"Good",IF(AJ579&gt;=0.70,"Fair","Poor"))))</f>
        <v/>
      </c>
      <c r="AO579" s="12" t="n"/>
      <c r="AP579" s="12" t="n"/>
      <c r="AQ579" s="12" t="n"/>
      <c r="AR579" s="12" t="n"/>
      <c r="AS579" s="12" t="n"/>
      <c r="AT579" s="12" t="n"/>
      <c r="AU579" s="12" t="n"/>
      <c r="AV579" s="11" t="n"/>
      <c r="AW579" s="12" t="n"/>
      <c r="AX579" s="12" t="n"/>
      <c r="AY579" s="12" t="n"/>
      <c r="AZ579" s="12" t="n"/>
      <c r="BA579" s="12" t="n"/>
      <c r="BB579" s="12" t="n"/>
      <c r="BC579" s="12" t="n"/>
      <c r="BD579" s="12" t="n"/>
      <c r="BE579" s="12" t="n"/>
      <c r="BF579" s="12" t="n"/>
    </row>
    <row r="580">
      <c r="A580" s="7">
        <f>IF(B580="","","INS-"&amp;TEXT(ROW()-3,"000"))</f>
        <v/>
      </c>
      <c r="B580" s="11" t="n"/>
      <c r="C580" s="7">
        <f>IF(B580="","",ISOWEEKNUM(B580))</f>
        <v/>
      </c>
      <c r="D580" s="7">
        <f>IF(B580="","",TEXT(B580,"yyyy-mm"))</f>
        <v/>
      </c>
      <c r="E580" s="12" t="n"/>
      <c r="F580" s="12" t="n"/>
      <c r="G580" s="7">
        <f>IF(OR(E580="",F580=""),"",IF(COUNTIF(Cluster_Master!$I$3:$I$17,E580&amp;"|"&amp;F580)=1,"Valid","Review"))</f>
        <v/>
      </c>
      <c r="H580" s="7">
        <f>IF($G580&lt;&gt;"Valid","",VLOOKUP($E580&amp;"|"&amp;$F580,Cluster_Master!$I$3:$H$17,3,FALSE))</f>
        <v/>
      </c>
      <c r="I580" s="7">
        <f>IF($G580&lt;&gt;"Valid","",VLOOKUP($E580&amp;"|"&amp;$F580,Cluster_Master!$I$3:$H$17,4,FALSE))</f>
        <v/>
      </c>
      <c r="J580" s="7">
        <f>IF($G580&lt;&gt;"Valid","",VLOOKUP($E580&amp;"|"&amp;$F580,Cluster_Master!$I$3:$H$17,5,FALSE))</f>
        <v/>
      </c>
      <c r="K580" s="7">
        <f>IF($G580&lt;&gt;"Valid","",VLOOKUP($E580&amp;"|"&amp;$F580,Cluster_Master!$I$3:$H$17,6,FALSE))</f>
        <v/>
      </c>
      <c r="L580" s="7">
        <f>IF($G580&lt;&gt;"Valid","",VLOOKUP($E580&amp;"|"&amp;$F580,Cluster_Master!$I$3:$H$17,7,FALSE))</f>
        <v/>
      </c>
      <c r="M580" s="7">
        <f>IF($G580&lt;&gt;"Valid","",VLOOKUP($E580&amp;"|"&amp;$F580,Cluster_Master!$I$3:$H$17,8,FALSE))</f>
        <v/>
      </c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7">
        <f>IF(COUNT(T580:AH580)=0,"",SUM(T580:AH580))</f>
        <v/>
      </c>
      <c r="AJ580" s="10">
        <f>IF(AI580="","",AI580/75)</f>
        <v/>
      </c>
      <c r="AK580" s="10">
        <f>IF(AI580="","",SUMPRODUCT(T580:AH580,KPI_Weights!$B$3:$B$17)/5)</f>
        <v/>
      </c>
      <c r="AL580" s="7">
        <f>IF(COUNT(T580:AH580)=0,"",IF(OR(T580&lt;=1,W580&lt;=1,X580&lt;=1,Y580&lt;=1,AB580&lt;=1),"YES","NO"))</f>
        <v/>
      </c>
      <c r="AM580" s="7">
        <f>IF(AK580="","",IF(AND(AK580="NO",AJ580&gt;=0.85),"YES","NO"))</f>
        <v/>
      </c>
      <c r="AN580" s="7">
        <f>IF(AJ580="","",IF(AJ580&gt;=0.90,"Excellent",IF(AJ580&gt;=0.80,"Good",IF(AJ580&gt;=0.70,"Fair","Poor"))))</f>
        <v/>
      </c>
      <c r="AO580" s="12" t="n"/>
      <c r="AP580" s="12" t="n"/>
      <c r="AQ580" s="12" t="n"/>
      <c r="AR580" s="12" t="n"/>
      <c r="AS580" s="12" t="n"/>
      <c r="AT580" s="12" t="n"/>
      <c r="AU580" s="12" t="n"/>
      <c r="AV580" s="11" t="n"/>
      <c r="AW580" s="12" t="n"/>
      <c r="AX580" s="12" t="n"/>
      <c r="AY580" s="12" t="n"/>
      <c r="AZ580" s="12" t="n"/>
      <c r="BA580" s="12" t="n"/>
      <c r="BB580" s="12" t="n"/>
      <c r="BC580" s="12" t="n"/>
      <c r="BD580" s="12" t="n"/>
      <c r="BE580" s="12" t="n"/>
      <c r="BF580" s="12" t="n"/>
    </row>
    <row r="581">
      <c r="A581" s="7">
        <f>IF(B581="","","INS-"&amp;TEXT(ROW()-3,"000"))</f>
        <v/>
      </c>
      <c r="B581" s="11" t="n"/>
      <c r="C581" s="7">
        <f>IF(B581="","",ISOWEEKNUM(B581))</f>
        <v/>
      </c>
      <c r="D581" s="7">
        <f>IF(B581="","",TEXT(B581,"yyyy-mm"))</f>
        <v/>
      </c>
      <c r="E581" s="12" t="n"/>
      <c r="F581" s="12" t="n"/>
      <c r="G581" s="7">
        <f>IF(OR(E581="",F581=""),"",IF(COUNTIF(Cluster_Master!$I$3:$I$17,E581&amp;"|"&amp;F581)=1,"Valid","Review"))</f>
        <v/>
      </c>
      <c r="H581" s="7">
        <f>IF($G581&lt;&gt;"Valid","",VLOOKUP($E581&amp;"|"&amp;$F581,Cluster_Master!$I$3:$H$17,3,FALSE))</f>
        <v/>
      </c>
      <c r="I581" s="7">
        <f>IF($G581&lt;&gt;"Valid","",VLOOKUP($E581&amp;"|"&amp;$F581,Cluster_Master!$I$3:$H$17,4,FALSE))</f>
        <v/>
      </c>
      <c r="J581" s="7">
        <f>IF($G581&lt;&gt;"Valid","",VLOOKUP($E581&amp;"|"&amp;$F581,Cluster_Master!$I$3:$H$17,5,FALSE))</f>
        <v/>
      </c>
      <c r="K581" s="7">
        <f>IF($G581&lt;&gt;"Valid","",VLOOKUP($E581&amp;"|"&amp;$F581,Cluster_Master!$I$3:$H$17,6,FALSE))</f>
        <v/>
      </c>
      <c r="L581" s="7">
        <f>IF($G581&lt;&gt;"Valid","",VLOOKUP($E581&amp;"|"&amp;$F581,Cluster_Master!$I$3:$H$17,7,FALSE))</f>
        <v/>
      </c>
      <c r="M581" s="7">
        <f>IF($G581&lt;&gt;"Valid","",VLOOKUP($E581&amp;"|"&amp;$F581,Cluster_Master!$I$3:$H$17,8,FALSE))</f>
        <v/>
      </c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7">
        <f>IF(COUNT(T581:AH581)=0,"",SUM(T581:AH581))</f>
        <v/>
      </c>
      <c r="AJ581" s="10">
        <f>IF(AI581="","",AI581/75)</f>
        <v/>
      </c>
      <c r="AK581" s="10">
        <f>IF(AI581="","",SUMPRODUCT(T581:AH581,KPI_Weights!$B$3:$B$17)/5)</f>
        <v/>
      </c>
      <c r="AL581" s="7">
        <f>IF(COUNT(T581:AH581)=0,"",IF(OR(T581&lt;=1,W581&lt;=1,X581&lt;=1,Y581&lt;=1,AB581&lt;=1),"YES","NO"))</f>
        <v/>
      </c>
      <c r="AM581" s="7">
        <f>IF(AK581="","",IF(AND(AK581="NO",AJ581&gt;=0.85),"YES","NO"))</f>
        <v/>
      </c>
      <c r="AN581" s="7">
        <f>IF(AJ581="","",IF(AJ581&gt;=0.90,"Excellent",IF(AJ581&gt;=0.80,"Good",IF(AJ581&gt;=0.70,"Fair","Poor"))))</f>
        <v/>
      </c>
      <c r="AO581" s="12" t="n"/>
      <c r="AP581" s="12" t="n"/>
      <c r="AQ581" s="12" t="n"/>
      <c r="AR581" s="12" t="n"/>
      <c r="AS581" s="12" t="n"/>
      <c r="AT581" s="12" t="n"/>
      <c r="AU581" s="12" t="n"/>
      <c r="AV581" s="11" t="n"/>
      <c r="AW581" s="12" t="n"/>
      <c r="AX581" s="12" t="n"/>
      <c r="AY581" s="12" t="n"/>
      <c r="AZ581" s="12" t="n"/>
      <c r="BA581" s="12" t="n"/>
      <c r="BB581" s="12" t="n"/>
      <c r="BC581" s="12" t="n"/>
      <c r="BD581" s="12" t="n"/>
      <c r="BE581" s="12" t="n"/>
      <c r="BF581" s="12" t="n"/>
    </row>
    <row r="582">
      <c r="A582" s="7">
        <f>IF(B582="","","INS-"&amp;TEXT(ROW()-3,"000"))</f>
        <v/>
      </c>
      <c r="B582" s="11" t="n"/>
      <c r="C582" s="7">
        <f>IF(B582="","",ISOWEEKNUM(B582))</f>
        <v/>
      </c>
      <c r="D582" s="7">
        <f>IF(B582="","",TEXT(B582,"yyyy-mm"))</f>
        <v/>
      </c>
      <c r="E582" s="12" t="n"/>
      <c r="F582" s="12" t="n"/>
      <c r="G582" s="7">
        <f>IF(OR(E582="",F582=""),"",IF(COUNTIF(Cluster_Master!$I$3:$I$17,E582&amp;"|"&amp;F582)=1,"Valid","Review"))</f>
        <v/>
      </c>
      <c r="H582" s="7">
        <f>IF($G582&lt;&gt;"Valid","",VLOOKUP($E582&amp;"|"&amp;$F582,Cluster_Master!$I$3:$H$17,3,FALSE))</f>
        <v/>
      </c>
      <c r="I582" s="7">
        <f>IF($G582&lt;&gt;"Valid","",VLOOKUP($E582&amp;"|"&amp;$F582,Cluster_Master!$I$3:$H$17,4,FALSE))</f>
        <v/>
      </c>
      <c r="J582" s="7">
        <f>IF($G582&lt;&gt;"Valid","",VLOOKUP($E582&amp;"|"&amp;$F582,Cluster_Master!$I$3:$H$17,5,FALSE))</f>
        <v/>
      </c>
      <c r="K582" s="7">
        <f>IF($G582&lt;&gt;"Valid","",VLOOKUP($E582&amp;"|"&amp;$F582,Cluster_Master!$I$3:$H$17,6,FALSE))</f>
        <v/>
      </c>
      <c r="L582" s="7">
        <f>IF($G582&lt;&gt;"Valid","",VLOOKUP($E582&amp;"|"&amp;$F582,Cluster_Master!$I$3:$H$17,7,FALSE))</f>
        <v/>
      </c>
      <c r="M582" s="7">
        <f>IF($G582&lt;&gt;"Valid","",VLOOKUP($E582&amp;"|"&amp;$F582,Cluster_Master!$I$3:$H$17,8,FALSE))</f>
        <v/>
      </c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7">
        <f>IF(COUNT(T582:AH582)=0,"",SUM(T582:AH582))</f>
        <v/>
      </c>
      <c r="AJ582" s="10">
        <f>IF(AI582="","",AI582/75)</f>
        <v/>
      </c>
      <c r="AK582" s="10">
        <f>IF(AI582="","",SUMPRODUCT(T582:AH582,KPI_Weights!$B$3:$B$17)/5)</f>
        <v/>
      </c>
      <c r="AL582" s="7">
        <f>IF(COUNT(T582:AH582)=0,"",IF(OR(T582&lt;=1,W582&lt;=1,X582&lt;=1,Y582&lt;=1,AB582&lt;=1),"YES","NO"))</f>
        <v/>
      </c>
      <c r="AM582" s="7">
        <f>IF(AK582="","",IF(AND(AK582="NO",AJ582&gt;=0.85),"YES","NO"))</f>
        <v/>
      </c>
      <c r="AN582" s="7">
        <f>IF(AJ582="","",IF(AJ582&gt;=0.90,"Excellent",IF(AJ582&gt;=0.80,"Good",IF(AJ582&gt;=0.70,"Fair","Poor"))))</f>
        <v/>
      </c>
      <c r="AO582" s="12" t="n"/>
      <c r="AP582" s="12" t="n"/>
      <c r="AQ582" s="12" t="n"/>
      <c r="AR582" s="12" t="n"/>
      <c r="AS582" s="12" t="n"/>
      <c r="AT582" s="12" t="n"/>
      <c r="AU582" s="12" t="n"/>
      <c r="AV582" s="11" t="n"/>
      <c r="AW582" s="12" t="n"/>
      <c r="AX582" s="12" t="n"/>
      <c r="AY582" s="12" t="n"/>
      <c r="AZ582" s="12" t="n"/>
      <c r="BA582" s="12" t="n"/>
      <c r="BB582" s="12" t="n"/>
      <c r="BC582" s="12" t="n"/>
      <c r="BD582" s="12" t="n"/>
      <c r="BE582" s="12" t="n"/>
      <c r="BF582" s="12" t="n"/>
    </row>
    <row r="583">
      <c r="A583" s="7">
        <f>IF(B583="","","INS-"&amp;TEXT(ROW()-3,"000"))</f>
        <v/>
      </c>
      <c r="B583" s="11" t="n"/>
      <c r="C583" s="7">
        <f>IF(B583="","",ISOWEEKNUM(B583))</f>
        <v/>
      </c>
      <c r="D583" s="7">
        <f>IF(B583="","",TEXT(B583,"yyyy-mm"))</f>
        <v/>
      </c>
      <c r="E583" s="12" t="n"/>
      <c r="F583" s="12" t="n"/>
      <c r="G583" s="7">
        <f>IF(OR(E583="",F583=""),"",IF(COUNTIF(Cluster_Master!$I$3:$I$17,E583&amp;"|"&amp;F583)=1,"Valid","Review"))</f>
        <v/>
      </c>
      <c r="H583" s="7">
        <f>IF($G583&lt;&gt;"Valid","",VLOOKUP($E583&amp;"|"&amp;$F583,Cluster_Master!$I$3:$H$17,3,FALSE))</f>
        <v/>
      </c>
      <c r="I583" s="7">
        <f>IF($G583&lt;&gt;"Valid","",VLOOKUP($E583&amp;"|"&amp;$F583,Cluster_Master!$I$3:$H$17,4,FALSE))</f>
        <v/>
      </c>
      <c r="J583" s="7">
        <f>IF($G583&lt;&gt;"Valid","",VLOOKUP($E583&amp;"|"&amp;$F583,Cluster_Master!$I$3:$H$17,5,FALSE))</f>
        <v/>
      </c>
      <c r="K583" s="7">
        <f>IF($G583&lt;&gt;"Valid","",VLOOKUP($E583&amp;"|"&amp;$F583,Cluster_Master!$I$3:$H$17,6,FALSE))</f>
        <v/>
      </c>
      <c r="L583" s="7">
        <f>IF($G583&lt;&gt;"Valid","",VLOOKUP($E583&amp;"|"&amp;$F583,Cluster_Master!$I$3:$H$17,7,FALSE))</f>
        <v/>
      </c>
      <c r="M583" s="7">
        <f>IF($G583&lt;&gt;"Valid","",VLOOKUP($E583&amp;"|"&amp;$F583,Cluster_Master!$I$3:$H$17,8,FALSE))</f>
        <v/>
      </c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7">
        <f>IF(COUNT(T583:AH583)=0,"",SUM(T583:AH583))</f>
        <v/>
      </c>
      <c r="AJ583" s="10">
        <f>IF(AI583="","",AI583/75)</f>
        <v/>
      </c>
      <c r="AK583" s="10">
        <f>IF(AI583="","",SUMPRODUCT(T583:AH583,KPI_Weights!$B$3:$B$17)/5)</f>
        <v/>
      </c>
      <c r="AL583" s="7">
        <f>IF(COUNT(T583:AH583)=0,"",IF(OR(T583&lt;=1,W583&lt;=1,X583&lt;=1,Y583&lt;=1,AB583&lt;=1),"YES","NO"))</f>
        <v/>
      </c>
      <c r="AM583" s="7">
        <f>IF(AK583="","",IF(AND(AK583="NO",AJ583&gt;=0.85),"YES","NO"))</f>
        <v/>
      </c>
      <c r="AN583" s="7">
        <f>IF(AJ583="","",IF(AJ583&gt;=0.90,"Excellent",IF(AJ583&gt;=0.80,"Good",IF(AJ583&gt;=0.70,"Fair","Poor"))))</f>
        <v/>
      </c>
      <c r="AO583" s="12" t="n"/>
      <c r="AP583" s="12" t="n"/>
      <c r="AQ583" s="12" t="n"/>
      <c r="AR583" s="12" t="n"/>
      <c r="AS583" s="12" t="n"/>
      <c r="AT583" s="12" t="n"/>
      <c r="AU583" s="12" t="n"/>
      <c r="AV583" s="11" t="n"/>
      <c r="AW583" s="12" t="n"/>
      <c r="AX583" s="12" t="n"/>
      <c r="AY583" s="12" t="n"/>
      <c r="AZ583" s="12" t="n"/>
      <c r="BA583" s="12" t="n"/>
      <c r="BB583" s="12" t="n"/>
      <c r="BC583" s="12" t="n"/>
      <c r="BD583" s="12" t="n"/>
      <c r="BE583" s="12" t="n"/>
      <c r="BF583" s="12" t="n"/>
    </row>
    <row r="584">
      <c r="A584" s="7">
        <f>IF(B584="","","INS-"&amp;TEXT(ROW()-3,"000"))</f>
        <v/>
      </c>
      <c r="B584" s="11" t="n"/>
      <c r="C584" s="7">
        <f>IF(B584="","",ISOWEEKNUM(B584))</f>
        <v/>
      </c>
      <c r="D584" s="7">
        <f>IF(B584="","",TEXT(B584,"yyyy-mm"))</f>
        <v/>
      </c>
      <c r="E584" s="12" t="n"/>
      <c r="F584" s="12" t="n"/>
      <c r="G584" s="7">
        <f>IF(OR(E584="",F584=""),"",IF(COUNTIF(Cluster_Master!$I$3:$I$17,E584&amp;"|"&amp;F584)=1,"Valid","Review"))</f>
        <v/>
      </c>
      <c r="H584" s="7">
        <f>IF($G584&lt;&gt;"Valid","",VLOOKUP($E584&amp;"|"&amp;$F584,Cluster_Master!$I$3:$H$17,3,FALSE))</f>
        <v/>
      </c>
      <c r="I584" s="7">
        <f>IF($G584&lt;&gt;"Valid","",VLOOKUP($E584&amp;"|"&amp;$F584,Cluster_Master!$I$3:$H$17,4,FALSE))</f>
        <v/>
      </c>
      <c r="J584" s="7">
        <f>IF($G584&lt;&gt;"Valid","",VLOOKUP($E584&amp;"|"&amp;$F584,Cluster_Master!$I$3:$H$17,5,FALSE))</f>
        <v/>
      </c>
      <c r="K584" s="7">
        <f>IF($G584&lt;&gt;"Valid","",VLOOKUP($E584&amp;"|"&amp;$F584,Cluster_Master!$I$3:$H$17,6,FALSE))</f>
        <v/>
      </c>
      <c r="L584" s="7">
        <f>IF($G584&lt;&gt;"Valid","",VLOOKUP($E584&amp;"|"&amp;$F584,Cluster_Master!$I$3:$H$17,7,FALSE))</f>
        <v/>
      </c>
      <c r="M584" s="7">
        <f>IF($G584&lt;&gt;"Valid","",VLOOKUP($E584&amp;"|"&amp;$F584,Cluster_Master!$I$3:$H$17,8,FALSE))</f>
        <v/>
      </c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7">
        <f>IF(COUNT(T584:AH584)=0,"",SUM(T584:AH584))</f>
        <v/>
      </c>
      <c r="AJ584" s="10">
        <f>IF(AI584="","",AI584/75)</f>
        <v/>
      </c>
      <c r="AK584" s="10">
        <f>IF(AI584="","",SUMPRODUCT(T584:AH584,KPI_Weights!$B$3:$B$17)/5)</f>
        <v/>
      </c>
      <c r="AL584" s="7">
        <f>IF(COUNT(T584:AH584)=0,"",IF(OR(T584&lt;=1,W584&lt;=1,X584&lt;=1,Y584&lt;=1,AB584&lt;=1),"YES","NO"))</f>
        <v/>
      </c>
      <c r="AM584" s="7">
        <f>IF(AK584="","",IF(AND(AK584="NO",AJ584&gt;=0.85),"YES","NO"))</f>
        <v/>
      </c>
      <c r="AN584" s="7">
        <f>IF(AJ584="","",IF(AJ584&gt;=0.90,"Excellent",IF(AJ584&gt;=0.80,"Good",IF(AJ584&gt;=0.70,"Fair","Poor"))))</f>
        <v/>
      </c>
      <c r="AO584" s="12" t="n"/>
      <c r="AP584" s="12" t="n"/>
      <c r="AQ584" s="12" t="n"/>
      <c r="AR584" s="12" t="n"/>
      <c r="AS584" s="12" t="n"/>
      <c r="AT584" s="12" t="n"/>
      <c r="AU584" s="12" t="n"/>
      <c r="AV584" s="11" t="n"/>
      <c r="AW584" s="12" t="n"/>
      <c r="AX584" s="12" t="n"/>
      <c r="AY584" s="12" t="n"/>
      <c r="AZ584" s="12" t="n"/>
      <c r="BA584" s="12" t="n"/>
      <c r="BB584" s="12" t="n"/>
      <c r="BC584" s="12" t="n"/>
      <c r="BD584" s="12" t="n"/>
      <c r="BE584" s="12" t="n"/>
      <c r="BF584" s="12" t="n"/>
    </row>
    <row r="585">
      <c r="A585" s="7">
        <f>IF(B585="","","INS-"&amp;TEXT(ROW()-3,"000"))</f>
        <v/>
      </c>
      <c r="B585" s="11" t="n"/>
      <c r="C585" s="7">
        <f>IF(B585="","",ISOWEEKNUM(B585))</f>
        <v/>
      </c>
      <c r="D585" s="7">
        <f>IF(B585="","",TEXT(B585,"yyyy-mm"))</f>
        <v/>
      </c>
      <c r="E585" s="12" t="n"/>
      <c r="F585" s="12" t="n"/>
      <c r="G585" s="7">
        <f>IF(OR(E585="",F585=""),"",IF(COUNTIF(Cluster_Master!$I$3:$I$17,E585&amp;"|"&amp;F585)=1,"Valid","Review"))</f>
        <v/>
      </c>
      <c r="H585" s="7">
        <f>IF($G585&lt;&gt;"Valid","",VLOOKUP($E585&amp;"|"&amp;$F585,Cluster_Master!$I$3:$H$17,3,FALSE))</f>
        <v/>
      </c>
      <c r="I585" s="7">
        <f>IF($G585&lt;&gt;"Valid","",VLOOKUP($E585&amp;"|"&amp;$F585,Cluster_Master!$I$3:$H$17,4,FALSE))</f>
        <v/>
      </c>
      <c r="J585" s="7">
        <f>IF($G585&lt;&gt;"Valid","",VLOOKUP($E585&amp;"|"&amp;$F585,Cluster_Master!$I$3:$H$17,5,FALSE))</f>
        <v/>
      </c>
      <c r="K585" s="7">
        <f>IF($G585&lt;&gt;"Valid","",VLOOKUP($E585&amp;"|"&amp;$F585,Cluster_Master!$I$3:$H$17,6,FALSE))</f>
        <v/>
      </c>
      <c r="L585" s="7">
        <f>IF($G585&lt;&gt;"Valid","",VLOOKUP($E585&amp;"|"&amp;$F585,Cluster_Master!$I$3:$H$17,7,FALSE))</f>
        <v/>
      </c>
      <c r="M585" s="7">
        <f>IF($G585&lt;&gt;"Valid","",VLOOKUP($E585&amp;"|"&amp;$F585,Cluster_Master!$I$3:$H$17,8,FALSE))</f>
        <v/>
      </c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7">
        <f>IF(COUNT(T585:AH585)=0,"",SUM(T585:AH585))</f>
        <v/>
      </c>
      <c r="AJ585" s="10">
        <f>IF(AI585="","",AI585/75)</f>
        <v/>
      </c>
      <c r="AK585" s="10">
        <f>IF(AI585="","",SUMPRODUCT(T585:AH585,KPI_Weights!$B$3:$B$17)/5)</f>
        <v/>
      </c>
      <c r="AL585" s="7">
        <f>IF(COUNT(T585:AH585)=0,"",IF(OR(T585&lt;=1,W585&lt;=1,X585&lt;=1,Y585&lt;=1,AB585&lt;=1),"YES","NO"))</f>
        <v/>
      </c>
      <c r="AM585" s="7">
        <f>IF(AK585="","",IF(AND(AK585="NO",AJ585&gt;=0.85),"YES","NO"))</f>
        <v/>
      </c>
      <c r="AN585" s="7">
        <f>IF(AJ585="","",IF(AJ585&gt;=0.90,"Excellent",IF(AJ585&gt;=0.80,"Good",IF(AJ585&gt;=0.70,"Fair","Poor"))))</f>
        <v/>
      </c>
      <c r="AO585" s="12" t="n"/>
      <c r="AP585" s="12" t="n"/>
      <c r="AQ585" s="12" t="n"/>
      <c r="AR585" s="12" t="n"/>
      <c r="AS585" s="12" t="n"/>
      <c r="AT585" s="12" t="n"/>
      <c r="AU585" s="12" t="n"/>
      <c r="AV585" s="11" t="n"/>
      <c r="AW585" s="12" t="n"/>
      <c r="AX585" s="12" t="n"/>
      <c r="AY585" s="12" t="n"/>
      <c r="AZ585" s="12" t="n"/>
      <c r="BA585" s="12" t="n"/>
      <c r="BB585" s="12" t="n"/>
      <c r="BC585" s="12" t="n"/>
      <c r="BD585" s="12" t="n"/>
      <c r="BE585" s="12" t="n"/>
      <c r="BF585" s="12" t="n"/>
    </row>
    <row r="586">
      <c r="A586" s="7">
        <f>IF(B586="","","INS-"&amp;TEXT(ROW()-3,"000"))</f>
        <v/>
      </c>
      <c r="B586" s="11" t="n"/>
      <c r="C586" s="7">
        <f>IF(B586="","",ISOWEEKNUM(B586))</f>
        <v/>
      </c>
      <c r="D586" s="7">
        <f>IF(B586="","",TEXT(B586,"yyyy-mm"))</f>
        <v/>
      </c>
      <c r="E586" s="12" t="n"/>
      <c r="F586" s="12" t="n"/>
      <c r="G586" s="7">
        <f>IF(OR(E586="",F586=""),"",IF(COUNTIF(Cluster_Master!$I$3:$I$17,E586&amp;"|"&amp;F586)=1,"Valid","Review"))</f>
        <v/>
      </c>
      <c r="H586" s="7">
        <f>IF($G586&lt;&gt;"Valid","",VLOOKUP($E586&amp;"|"&amp;$F586,Cluster_Master!$I$3:$H$17,3,FALSE))</f>
        <v/>
      </c>
      <c r="I586" s="7">
        <f>IF($G586&lt;&gt;"Valid","",VLOOKUP($E586&amp;"|"&amp;$F586,Cluster_Master!$I$3:$H$17,4,FALSE))</f>
        <v/>
      </c>
      <c r="J586" s="7">
        <f>IF($G586&lt;&gt;"Valid","",VLOOKUP($E586&amp;"|"&amp;$F586,Cluster_Master!$I$3:$H$17,5,FALSE))</f>
        <v/>
      </c>
      <c r="K586" s="7">
        <f>IF($G586&lt;&gt;"Valid","",VLOOKUP($E586&amp;"|"&amp;$F586,Cluster_Master!$I$3:$H$17,6,FALSE))</f>
        <v/>
      </c>
      <c r="L586" s="7">
        <f>IF($G586&lt;&gt;"Valid","",VLOOKUP($E586&amp;"|"&amp;$F586,Cluster_Master!$I$3:$H$17,7,FALSE))</f>
        <v/>
      </c>
      <c r="M586" s="7">
        <f>IF($G586&lt;&gt;"Valid","",VLOOKUP($E586&amp;"|"&amp;$F586,Cluster_Master!$I$3:$H$17,8,FALSE))</f>
        <v/>
      </c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7">
        <f>IF(COUNT(T586:AH586)=0,"",SUM(T586:AH586))</f>
        <v/>
      </c>
      <c r="AJ586" s="10">
        <f>IF(AI586="","",AI586/75)</f>
        <v/>
      </c>
      <c r="AK586" s="10">
        <f>IF(AI586="","",SUMPRODUCT(T586:AH586,KPI_Weights!$B$3:$B$17)/5)</f>
        <v/>
      </c>
      <c r="AL586" s="7">
        <f>IF(COUNT(T586:AH586)=0,"",IF(OR(T586&lt;=1,W586&lt;=1,X586&lt;=1,Y586&lt;=1,AB586&lt;=1),"YES","NO"))</f>
        <v/>
      </c>
      <c r="AM586" s="7">
        <f>IF(AK586="","",IF(AND(AK586="NO",AJ586&gt;=0.85),"YES","NO"))</f>
        <v/>
      </c>
      <c r="AN586" s="7">
        <f>IF(AJ586="","",IF(AJ586&gt;=0.90,"Excellent",IF(AJ586&gt;=0.80,"Good",IF(AJ586&gt;=0.70,"Fair","Poor"))))</f>
        <v/>
      </c>
      <c r="AO586" s="12" t="n"/>
      <c r="AP586" s="12" t="n"/>
      <c r="AQ586" s="12" t="n"/>
      <c r="AR586" s="12" t="n"/>
      <c r="AS586" s="12" t="n"/>
      <c r="AT586" s="12" t="n"/>
      <c r="AU586" s="12" t="n"/>
      <c r="AV586" s="11" t="n"/>
      <c r="AW586" s="12" t="n"/>
      <c r="AX586" s="12" t="n"/>
      <c r="AY586" s="12" t="n"/>
      <c r="AZ586" s="12" t="n"/>
      <c r="BA586" s="12" t="n"/>
      <c r="BB586" s="12" t="n"/>
      <c r="BC586" s="12" t="n"/>
      <c r="BD586" s="12" t="n"/>
      <c r="BE586" s="12" t="n"/>
      <c r="BF586" s="12" t="n"/>
    </row>
    <row r="587">
      <c r="A587" s="7">
        <f>IF(B587="","","INS-"&amp;TEXT(ROW()-3,"000"))</f>
        <v/>
      </c>
      <c r="B587" s="11" t="n"/>
      <c r="C587" s="7">
        <f>IF(B587="","",ISOWEEKNUM(B587))</f>
        <v/>
      </c>
      <c r="D587" s="7">
        <f>IF(B587="","",TEXT(B587,"yyyy-mm"))</f>
        <v/>
      </c>
      <c r="E587" s="12" t="n"/>
      <c r="F587" s="12" t="n"/>
      <c r="G587" s="7">
        <f>IF(OR(E587="",F587=""),"",IF(COUNTIF(Cluster_Master!$I$3:$I$17,E587&amp;"|"&amp;F587)=1,"Valid","Review"))</f>
        <v/>
      </c>
      <c r="H587" s="7">
        <f>IF($G587&lt;&gt;"Valid","",VLOOKUP($E587&amp;"|"&amp;$F587,Cluster_Master!$I$3:$H$17,3,FALSE))</f>
        <v/>
      </c>
      <c r="I587" s="7">
        <f>IF($G587&lt;&gt;"Valid","",VLOOKUP($E587&amp;"|"&amp;$F587,Cluster_Master!$I$3:$H$17,4,FALSE))</f>
        <v/>
      </c>
      <c r="J587" s="7">
        <f>IF($G587&lt;&gt;"Valid","",VLOOKUP($E587&amp;"|"&amp;$F587,Cluster_Master!$I$3:$H$17,5,FALSE))</f>
        <v/>
      </c>
      <c r="K587" s="7">
        <f>IF($G587&lt;&gt;"Valid","",VLOOKUP($E587&amp;"|"&amp;$F587,Cluster_Master!$I$3:$H$17,6,FALSE))</f>
        <v/>
      </c>
      <c r="L587" s="7">
        <f>IF($G587&lt;&gt;"Valid","",VLOOKUP($E587&amp;"|"&amp;$F587,Cluster_Master!$I$3:$H$17,7,FALSE))</f>
        <v/>
      </c>
      <c r="M587" s="7">
        <f>IF($G587&lt;&gt;"Valid","",VLOOKUP($E587&amp;"|"&amp;$F587,Cluster_Master!$I$3:$H$17,8,FALSE))</f>
        <v/>
      </c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7">
        <f>IF(COUNT(T587:AH587)=0,"",SUM(T587:AH587))</f>
        <v/>
      </c>
      <c r="AJ587" s="10">
        <f>IF(AI587="","",AI587/75)</f>
        <v/>
      </c>
      <c r="AK587" s="10">
        <f>IF(AI587="","",SUMPRODUCT(T587:AH587,KPI_Weights!$B$3:$B$17)/5)</f>
        <v/>
      </c>
      <c r="AL587" s="7">
        <f>IF(COUNT(T587:AH587)=0,"",IF(OR(T587&lt;=1,W587&lt;=1,X587&lt;=1,Y587&lt;=1,AB587&lt;=1),"YES","NO"))</f>
        <v/>
      </c>
      <c r="AM587" s="7">
        <f>IF(AK587="","",IF(AND(AK587="NO",AJ587&gt;=0.85),"YES","NO"))</f>
        <v/>
      </c>
      <c r="AN587" s="7">
        <f>IF(AJ587="","",IF(AJ587&gt;=0.90,"Excellent",IF(AJ587&gt;=0.80,"Good",IF(AJ587&gt;=0.70,"Fair","Poor"))))</f>
        <v/>
      </c>
      <c r="AO587" s="12" t="n"/>
      <c r="AP587" s="12" t="n"/>
      <c r="AQ587" s="12" t="n"/>
      <c r="AR587" s="12" t="n"/>
      <c r="AS587" s="12" t="n"/>
      <c r="AT587" s="12" t="n"/>
      <c r="AU587" s="12" t="n"/>
      <c r="AV587" s="11" t="n"/>
      <c r="AW587" s="12" t="n"/>
      <c r="AX587" s="12" t="n"/>
      <c r="AY587" s="12" t="n"/>
      <c r="AZ587" s="12" t="n"/>
      <c r="BA587" s="12" t="n"/>
      <c r="BB587" s="12" t="n"/>
      <c r="BC587" s="12" t="n"/>
      <c r="BD587" s="12" t="n"/>
      <c r="BE587" s="12" t="n"/>
      <c r="BF587" s="12" t="n"/>
    </row>
    <row r="588">
      <c r="A588" s="7">
        <f>IF(B588="","","INS-"&amp;TEXT(ROW()-3,"000"))</f>
        <v/>
      </c>
      <c r="B588" s="11" t="n"/>
      <c r="C588" s="7">
        <f>IF(B588="","",ISOWEEKNUM(B588))</f>
        <v/>
      </c>
      <c r="D588" s="7">
        <f>IF(B588="","",TEXT(B588,"yyyy-mm"))</f>
        <v/>
      </c>
      <c r="E588" s="12" t="n"/>
      <c r="F588" s="12" t="n"/>
      <c r="G588" s="7">
        <f>IF(OR(E588="",F588=""),"",IF(COUNTIF(Cluster_Master!$I$3:$I$17,E588&amp;"|"&amp;F588)=1,"Valid","Review"))</f>
        <v/>
      </c>
      <c r="H588" s="7">
        <f>IF($G588&lt;&gt;"Valid","",VLOOKUP($E588&amp;"|"&amp;$F588,Cluster_Master!$I$3:$H$17,3,FALSE))</f>
        <v/>
      </c>
      <c r="I588" s="7">
        <f>IF($G588&lt;&gt;"Valid","",VLOOKUP($E588&amp;"|"&amp;$F588,Cluster_Master!$I$3:$H$17,4,FALSE))</f>
        <v/>
      </c>
      <c r="J588" s="7">
        <f>IF($G588&lt;&gt;"Valid","",VLOOKUP($E588&amp;"|"&amp;$F588,Cluster_Master!$I$3:$H$17,5,FALSE))</f>
        <v/>
      </c>
      <c r="K588" s="7">
        <f>IF($G588&lt;&gt;"Valid","",VLOOKUP($E588&amp;"|"&amp;$F588,Cluster_Master!$I$3:$H$17,6,FALSE))</f>
        <v/>
      </c>
      <c r="L588" s="7">
        <f>IF($G588&lt;&gt;"Valid","",VLOOKUP($E588&amp;"|"&amp;$F588,Cluster_Master!$I$3:$H$17,7,FALSE))</f>
        <v/>
      </c>
      <c r="M588" s="7">
        <f>IF($G588&lt;&gt;"Valid","",VLOOKUP($E588&amp;"|"&amp;$F588,Cluster_Master!$I$3:$H$17,8,FALSE))</f>
        <v/>
      </c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7">
        <f>IF(COUNT(T588:AH588)=0,"",SUM(T588:AH588))</f>
        <v/>
      </c>
      <c r="AJ588" s="10">
        <f>IF(AI588="","",AI588/75)</f>
        <v/>
      </c>
      <c r="AK588" s="10">
        <f>IF(AI588="","",SUMPRODUCT(T588:AH588,KPI_Weights!$B$3:$B$17)/5)</f>
        <v/>
      </c>
      <c r="AL588" s="7">
        <f>IF(COUNT(T588:AH588)=0,"",IF(OR(T588&lt;=1,W588&lt;=1,X588&lt;=1,Y588&lt;=1,AB588&lt;=1),"YES","NO"))</f>
        <v/>
      </c>
      <c r="AM588" s="7">
        <f>IF(AK588="","",IF(AND(AK588="NO",AJ588&gt;=0.85),"YES","NO"))</f>
        <v/>
      </c>
      <c r="AN588" s="7">
        <f>IF(AJ588="","",IF(AJ588&gt;=0.90,"Excellent",IF(AJ588&gt;=0.80,"Good",IF(AJ588&gt;=0.70,"Fair","Poor"))))</f>
        <v/>
      </c>
      <c r="AO588" s="12" t="n"/>
      <c r="AP588" s="12" t="n"/>
      <c r="AQ588" s="12" t="n"/>
      <c r="AR588" s="12" t="n"/>
      <c r="AS588" s="12" t="n"/>
      <c r="AT588" s="12" t="n"/>
      <c r="AU588" s="12" t="n"/>
      <c r="AV588" s="11" t="n"/>
      <c r="AW588" s="12" t="n"/>
      <c r="AX588" s="12" t="n"/>
      <c r="AY588" s="12" t="n"/>
      <c r="AZ588" s="12" t="n"/>
      <c r="BA588" s="12" t="n"/>
      <c r="BB588" s="12" t="n"/>
      <c r="BC588" s="12" t="n"/>
      <c r="BD588" s="12" t="n"/>
      <c r="BE588" s="12" t="n"/>
      <c r="BF588" s="12" t="n"/>
    </row>
    <row r="589">
      <c r="A589" s="7">
        <f>IF(B589="","","INS-"&amp;TEXT(ROW()-3,"000"))</f>
        <v/>
      </c>
      <c r="B589" s="11" t="n"/>
      <c r="C589" s="7">
        <f>IF(B589="","",ISOWEEKNUM(B589))</f>
        <v/>
      </c>
      <c r="D589" s="7">
        <f>IF(B589="","",TEXT(B589,"yyyy-mm"))</f>
        <v/>
      </c>
      <c r="E589" s="12" t="n"/>
      <c r="F589" s="12" t="n"/>
      <c r="G589" s="7">
        <f>IF(OR(E589="",F589=""),"",IF(COUNTIF(Cluster_Master!$I$3:$I$17,E589&amp;"|"&amp;F589)=1,"Valid","Review"))</f>
        <v/>
      </c>
      <c r="H589" s="7">
        <f>IF($G589&lt;&gt;"Valid","",VLOOKUP($E589&amp;"|"&amp;$F589,Cluster_Master!$I$3:$H$17,3,FALSE))</f>
        <v/>
      </c>
      <c r="I589" s="7">
        <f>IF($G589&lt;&gt;"Valid","",VLOOKUP($E589&amp;"|"&amp;$F589,Cluster_Master!$I$3:$H$17,4,FALSE))</f>
        <v/>
      </c>
      <c r="J589" s="7">
        <f>IF($G589&lt;&gt;"Valid","",VLOOKUP($E589&amp;"|"&amp;$F589,Cluster_Master!$I$3:$H$17,5,FALSE))</f>
        <v/>
      </c>
      <c r="K589" s="7">
        <f>IF($G589&lt;&gt;"Valid","",VLOOKUP($E589&amp;"|"&amp;$F589,Cluster_Master!$I$3:$H$17,6,FALSE))</f>
        <v/>
      </c>
      <c r="L589" s="7">
        <f>IF($G589&lt;&gt;"Valid","",VLOOKUP($E589&amp;"|"&amp;$F589,Cluster_Master!$I$3:$H$17,7,FALSE))</f>
        <v/>
      </c>
      <c r="M589" s="7">
        <f>IF($G589&lt;&gt;"Valid","",VLOOKUP($E589&amp;"|"&amp;$F589,Cluster_Master!$I$3:$H$17,8,FALSE))</f>
        <v/>
      </c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7">
        <f>IF(COUNT(T589:AH589)=0,"",SUM(T589:AH589))</f>
        <v/>
      </c>
      <c r="AJ589" s="10">
        <f>IF(AI589="","",AI589/75)</f>
        <v/>
      </c>
      <c r="AK589" s="10">
        <f>IF(AI589="","",SUMPRODUCT(T589:AH589,KPI_Weights!$B$3:$B$17)/5)</f>
        <v/>
      </c>
      <c r="AL589" s="7">
        <f>IF(COUNT(T589:AH589)=0,"",IF(OR(T589&lt;=1,W589&lt;=1,X589&lt;=1,Y589&lt;=1,AB589&lt;=1),"YES","NO"))</f>
        <v/>
      </c>
      <c r="AM589" s="7">
        <f>IF(AK589="","",IF(AND(AK589="NO",AJ589&gt;=0.85),"YES","NO"))</f>
        <v/>
      </c>
      <c r="AN589" s="7">
        <f>IF(AJ589="","",IF(AJ589&gt;=0.90,"Excellent",IF(AJ589&gt;=0.80,"Good",IF(AJ589&gt;=0.70,"Fair","Poor"))))</f>
        <v/>
      </c>
      <c r="AO589" s="12" t="n"/>
      <c r="AP589" s="12" t="n"/>
      <c r="AQ589" s="12" t="n"/>
      <c r="AR589" s="12" t="n"/>
      <c r="AS589" s="12" t="n"/>
      <c r="AT589" s="12" t="n"/>
      <c r="AU589" s="12" t="n"/>
      <c r="AV589" s="11" t="n"/>
      <c r="AW589" s="12" t="n"/>
      <c r="AX589" s="12" t="n"/>
      <c r="AY589" s="12" t="n"/>
      <c r="AZ589" s="12" t="n"/>
      <c r="BA589" s="12" t="n"/>
      <c r="BB589" s="12" t="n"/>
      <c r="BC589" s="12" t="n"/>
      <c r="BD589" s="12" t="n"/>
      <c r="BE589" s="12" t="n"/>
      <c r="BF589" s="12" t="n"/>
    </row>
    <row r="590">
      <c r="A590" s="7">
        <f>IF(B590="","","INS-"&amp;TEXT(ROW()-3,"000"))</f>
        <v/>
      </c>
      <c r="B590" s="11" t="n"/>
      <c r="C590" s="7">
        <f>IF(B590="","",ISOWEEKNUM(B590))</f>
        <v/>
      </c>
      <c r="D590" s="7">
        <f>IF(B590="","",TEXT(B590,"yyyy-mm"))</f>
        <v/>
      </c>
      <c r="E590" s="12" t="n"/>
      <c r="F590" s="12" t="n"/>
      <c r="G590" s="7">
        <f>IF(OR(E590="",F590=""),"",IF(COUNTIF(Cluster_Master!$I$3:$I$17,E590&amp;"|"&amp;F590)=1,"Valid","Review"))</f>
        <v/>
      </c>
      <c r="H590" s="7">
        <f>IF($G590&lt;&gt;"Valid","",VLOOKUP($E590&amp;"|"&amp;$F590,Cluster_Master!$I$3:$H$17,3,FALSE))</f>
        <v/>
      </c>
      <c r="I590" s="7">
        <f>IF($G590&lt;&gt;"Valid","",VLOOKUP($E590&amp;"|"&amp;$F590,Cluster_Master!$I$3:$H$17,4,FALSE))</f>
        <v/>
      </c>
      <c r="J590" s="7">
        <f>IF($G590&lt;&gt;"Valid","",VLOOKUP($E590&amp;"|"&amp;$F590,Cluster_Master!$I$3:$H$17,5,FALSE))</f>
        <v/>
      </c>
      <c r="K590" s="7">
        <f>IF($G590&lt;&gt;"Valid","",VLOOKUP($E590&amp;"|"&amp;$F590,Cluster_Master!$I$3:$H$17,6,FALSE))</f>
        <v/>
      </c>
      <c r="L590" s="7">
        <f>IF($G590&lt;&gt;"Valid","",VLOOKUP($E590&amp;"|"&amp;$F590,Cluster_Master!$I$3:$H$17,7,FALSE))</f>
        <v/>
      </c>
      <c r="M590" s="7">
        <f>IF($G590&lt;&gt;"Valid","",VLOOKUP($E590&amp;"|"&amp;$F590,Cluster_Master!$I$3:$H$17,8,FALSE))</f>
        <v/>
      </c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7">
        <f>IF(COUNT(T590:AH590)=0,"",SUM(T590:AH590))</f>
        <v/>
      </c>
      <c r="AJ590" s="10">
        <f>IF(AI590="","",AI590/75)</f>
        <v/>
      </c>
      <c r="AK590" s="10">
        <f>IF(AI590="","",SUMPRODUCT(T590:AH590,KPI_Weights!$B$3:$B$17)/5)</f>
        <v/>
      </c>
      <c r="AL590" s="7">
        <f>IF(COUNT(T590:AH590)=0,"",IF(OR(T590&lt;=1,W590&lt;=1,X590&lt;=1,Y590&lt;=1,AB590&lt;=1),"YES","NO"))</f>
        <v/>
      </c>
      <c r="AM590" s="7">
        <f>IF(AK590="","",IF(AND(AK590="NO",AJ590&gt;=0.85),"YES","NO"))</f>
        <v/>
      </c>
      <c r="AN590" s="7">
        <f>IF(AJ590="","",IF(AJ590&gt;=0.90,"Excellent",IF(AJ590&gt;=0.80,"Good",IF(AJ590&gt;=0.70,"Fair","Poor"))))</f>
        <v/>
      </c>
      <c r="AO590" s="12" t="n"/>
      <c r="AP590" s="12" t="n"/>
      <c r="AQ590" s="12" t="n"/>
      <c r="AR590" s="12" t="n"/>
      <c r="AS590" s="12" t="n"/>
      <c r="AT590" s="12" t="n"/>
      <c r="AU590" s="12" t="n"/>
      <c r="AV590" s="11" t="n"/>
      <c r="AW590" s="12" t="n"/>
      <c r="AX590" s="12" t="n"/>
      <c r="AY590" s="12" t="n"/>
      <c r="AZ590" s="12" t="n"/>
      <c r="BA590" s="12" t="n"/>
      <c r="BB590" s="12" t="n"/>
      <c r="BC590" s="12" t="n"/>
      <c r="BD590" s="12" t="n"/>
      <c r="BE590" s="12" t="n"/>
      <c r="BF590" s="12" t="n"/>
    </row>
    <row r="591">
      <c r="A591" s="7">
        <f>IF(B591="","","INS-"&amp;TEXT(ROW()-3,"000"))</f>
        <v/>
      </c>
      <c r="B591" s="11" t="n"/>
      <c r="C591" s="7">
        <f>IF(B591="","",ISOWEEKNUM(B591))</f>
        <v/>
      </c>
      <c r="D591" s="7">
        <f>IF(B591="","",TEXT(B591,"yyyy-mm"))</f>
        <v/>
      </c>
      <c r="E591" s="12" t="n"/>
      <c r="F591" s="12" t="n"/>
      <c r="G591" s="7">
        <f>IF(OR(E591="",F591=""),"",IF(COUNTIF(Cluster_Master!$I$3:$I$17,E591&amp;"|"&amp;F591)=1,"Valid","Review"))</f>
        <v/>
      </c>
      <c r="H591" s="7">
        <f>IF($G591&lt;&gt;"Valid","",VLOOKUP($E591&amp;"|"&amp;$F591,Cluster_Master!$I$3:$H$17,3,FALSE))</f>
        <v/>
      </c>
      <c r="I591" s="7">
        <f>IF($G591&lt;&gt;"Valid","",VLOOKUP($E591&amp;"|"&amp;$F591,Cluster_Master!$I$3:$H$17,4,FALSE))</f>
        <v/>
      </c>
      <c r="J591" s="7">
        <f>IF($G591&lt;&gt;"Valid","",VLOOKUP($E591&amp;"|"&amp;$F591,Cluster_Master!$I$3:$H$17,5,FALSE))</f>
        <v/>
      </c>
      <c r="K591" s="7">
        <f>IF($G591&lt;&gt;"Valid","",VLOOKUP($E591&amp;"|"&amp;$F591,Cluster_Master!$I$3:$H$17,6,FALSE))</f>
        <v/>
      </c>
      <c r="L591" s="7">
        <f>IF($G591&lt;&gt;"Valid","",VLOOKUP($E591&amp;"|"&amp;$F591,Cluster_Master!$I$3:$H$17,7,FALSE))</f>
        <v/>
      </c>
      <c r="M591" s="7">
        <f>IF($G591&lt;&gt;"Valid","",VLOOKUP($E591&amp;"|"&amp;$F591,Cluster_Master!$I$3:$H$17,8,FALSE))</f>
        <v/>
      </c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7">
        <f>IF(COUNT(T591:AH591)=0,"",SUM(T591:AH591))</f>
        <v/>
      </c>
      <c r="AJ591" s="10">
        <f>IF(AI591="","",AI591/75)</f>
        <v/>
      </c>
      <c r="AK591" s="10">
        <f>IF(AI591="","",SUMPRODUCT(T591:AH591,KPI_Weights!$B$3:$B$17)/5)</f>
        <v/>
      </c>
      <c r="AL591" s="7">
        <f>IF(COUNT(T591:AH591)=0,"",IF(OR(T591&lt;=1,W591&lt;=1,X591&lt;=1,Y591&lt;=1,AB591&lt;=1),"YES","NO"))</f>
        <v/>
      </c>
      <c r="AM591" s="7">
        <f>IF(AK591="","",IF(AND(AK591="NO",AJ591&gt;=0.85),"YES","NO"))</f>
        <v/>
      </c>
      <c r="AN591" s="7">
        <f>IF(AJ591="","",IF(AJ591&gt;=0.90,"Excellent",IF(AJ591&gt;=0.80,"Good",IF(AJ591&gt;=0.70,"Fair","Poor"))))</f>
        <v/>
      </c>
      <c r="AO591" s="12" t="n"/>
      <c r="AP591" s="12" t="n"/>
      <c r="AQ591" s="12" t="n"/>
      <c r="AR591" s="12" t="n"/>
      <c r="AS591" s="12" t="n"/>
      <c r="AT591" s="12" t="n"/>
      <c r="AU591" s="12" t="n"/>
      <c r="AV591" s="11" t="n"/>
      <c r="AW591" s="12" t="n"/>
      <c r="AX591" s="12" t="n"/>
      <c r="AY591" s="12" t="n"/>
      <c r="AZ591" s="12" t="n"/>
      <c r="BA591" s="12" t="n"/>
      <c r="BB591" s="12" t="n"/>
      <c r="BC591" s="12" t="n"/>
      <c r="BD591" s="12" t="n"/>
      <c r="BE591" s="12" t="n"/>
      <c r="BF591" s="12" t="n"/>
    </row>
    <row r="592">
      <c r="A592" s="7">
        <f>IF(B592="","","INS-"&amp;TEXT(ROW()-3,"000"))</f>
        <v/>
      </c>
      <c r="B592" s="11" t="n"/>
      <c r="C592" s="7">
        <f>IF(B592="","",ISOWEEKNUM(B592))</f>
        <v/>
      </c>
      <c r="D592" s="7">
        <f>IF(B592="","",TEXT(B592,"yyyy-mm"))</f>
        <v/>
      </c>
      <c r="E592" s="12" t="n"/>
      <c r="F592" s="12" t="n"/>
      <c r="G592" s="7">
        <f>IF(OR(E592="",F592=""),"",IF(COUNTIF(Cluster_Master!$I$3:$I$17,E592&amp;"|"&amp;F592)=1,"Valid","Review"))</f>
        <v/>
      </c>
      <c r="H592" s="7">
        <f>IF($G592&lt;&gt;"Valid","",VLOOKUP($E592&amp;"|"&amp;$F592,Cluster_Master!$I$3:$H$17,3,FALSE))</f>
        <v/>
      </c>
      <c r="I592" s="7">
        <f>IF($G592&lt;&gt;"Valid","",VLOOKUP($E592&amp;"|"&amp;$F592,Cluster_Master!$I$3:$H$17,4,FALSE))</f>
        <v/>
      </c>
      <c r="J592" s="7">
        <f>IF($G592&lt;&gt;"Valid","",VLOOKUP($E592&amp;"|"&amp;$F592,Cluster_Master!$I$3:$H$17,5,FALSE))</f>
        <v/>
      </c>
      <c r="K592" s="7">
        <f>IF($G592&lt;&gt;"Valid","",VLOOKUP($E592&amp;"|"&amp;$F592,Cluster_Master!$I$3:$H$17,6,FALSE))</f>
        <v/>
      </c>
      <c r="L592" s="7">
        <f>IF($G592&lt;&gt;"Valid","",VLOOKUP($E592&amp;"|"&amp;$F592,Cluster_Master!$I$3:$H$17,7,FALSE))</f>
        <v/>
      </c>
      <c r="M592" s="7">
        <f>IF($G592&lt;&gt;"Valid","",VLOOKUP($E592&amp;"|"&amp;$F592,Cluster_Master!$I$3:$H$17,8,FALSE))</f>
        <v/>
      </c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7">
        <f>IF(COUNT(T592:AH592)=0,"",SUM(T592:AH592))</f>
        <v/>
      </c>
      <c r="AJ592" s="10">
        <f>IF(AI592="","",AI592/75)</f>
        <v/>
      </c>
      <c r="AK592" s="10">
        <f>IF(AI592="","",SUMPRODUCT(T592:AH592,KPI_Weights!$B$3:$B$17)/5)</f>
        <v/>
      </c>
      <c r="AL592" s="7">
        <f>IF(COUNT(T592:AH592)=0,"",IF(OR(T592&lt;=1,W592&lt;=1,X592&lt;=1,Y592&lt;=1,AB592&lt;=1),"YES","NO"))</f>
        <v/>
      </c>
      <c r="AM592" s="7">
        <f>IF(AK592="","",IF(AND(AK592="NO",AJ592&gt;=0.85),"YES","NO"))</f>
        <v/>
      </c>
      <c r="AN592" s="7">
        <f>IF(AJ592="","",IF(AJ592&gt;=0.90,"Excellent",IF(AJ592&gt;=0.80,"Good",IF(AJ592&gt;=0.70,"Fair","Poor"))))</f>
        <v/>
      </c>
      <c r="AO592" s="12" t="n"/>
      <c r="AP592" s="12" t="n"/>
      <c r="AQ592" s="12" t="n"/>
      <c r="AR592" s="12" t="n"/>
      <c r="AS592" s="12" t="n"/>
      <c r="AT592" s="12" t="n"/>
      <c r="AU592" s="12" t="n"/>
      <c r="AV592" s="11" t="n"/>
      <c r="AW592" s="12" t="n"/>
      <c r="AX592" s="12" t="n"/>
      <c r="AY592" s="12" t="n"/>
      <c r="AZ592" s="12" t="n"/>
      <c r="BA592" s="12" t="n"/>
      <c r="BB592" s="12" t="n"/>
      <c r="BC592" s="12" t="n"/>
      <c r="BD592" s="12" t="n"/>
      <c r="BE592" s="12" t="n"/>
      <c r="BF592" s="12" t="n"/>
    </row>
    <row r="593">
      <c r="A593" s="7">
        <f>IF(B593="","","INS-"&amp;TEXT(ROW()-3,"000"))</f>
        <v/>
      </c>
      <c r="B593" s="11" t="n"/>
      <c r="C593" s="7">
        <f>IF(B593="","",ISOWEEKNUM(B593))</f>
        <v/>
      </c>
      <c r="D593" s="7">
        <f>IF(B593="","",TEXT(B593,"yyyy-mm"))</f>
        <v/>
      </c>
      <c r="E593" s="12" t="n"/>
      <c r="F593" s="12" t="n"/>
      <c r="G593" s="7">
        <f>IF(OR(E593="",F593=""),"",IF(COUNTIF(Cluster_Master!$I$3:$I$17,E593&amp;"|"&amp;F593)=1,"Valid","Review"))</f>
        <v/>
      </c>
      <c r="H593" s="7">
        <f>IF($G593&lt;&gt;"Valid","",VLOOKUP($E593&amp;"|"&amp;$F593,Cluster_Master!$I$3:$H$17,3,FALSE))</f>
        <v/>
      </c>
      <c r="I593" s="7">
        <f>IF($G593&lt;&gt;"Valid","",VLOOKUP($E593&amp;"|"&amp;$F593,Cluster_Master!$I$3:$H$17,4,FALSE))</f>
        <v/>
      </c>
      <c r="J593" s="7">
        <f>IF($G593&lt;&gt;"Valid","",VLOOKUP($E593&amp;"|"&amp;$F593,Cluster_Master!$I$3:$H$17,5,FALSE))</f>
        <v/>
      </c>
      <c r="K593" s="7">
        <f>IF($G593&lt;&gt;"Valid","",VLOOKUP($E593&amp;"|"&amp;$F593,Cluster_Master!$I$3:$H$17,6,FALSE))</f>
        <v/>
      </c>
      <c r="L593" s="7">
        <f>IF($G593&lt;&gt;"Valid","",VLOOKUP($E593&amp;"|"&amp;$F593,Cluster_Master!$I$3:$H$17,7,FALSE))</f>
        <v/>
      </c>
      <c r="M593" s="7">
        <f>IF($G593&lt;&gt;"Valid","",VLOOKUP($E593&amp;"|"&amp;$F593,Cluster_Master!$I$3:$H$17,8,FALSE))</f>
        <v/>
      </c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7">
        <f>IF(COUNT(T593:AH593)=0,"",SUM(T593:AH593))</f>
        <v/>
      </c>
      <c r="AJ593" s="10">
        <f>IF(AI593="","",AI593/75)</f>
        <v/>
      </c>
      <c r="AK593" s="10">
        <f>IF(AI593="","",SUMPRODUCT(T593:AH593,KPI_Weights!$B$3:$B$17)/5)</f>
        <v/>
      </c>
      <c r="AL593" s="7">
        <f>IF(COUNT(T593:AH593)=0,"",IF(OR(T593&lt;=1,W593&lt;=1,X593&lt;=1,Y593&lt;=1,AB593&lt;=1),"YES","NO"))</f>
        <v/>
      </c>
      <c r="AM593" s="7">
        <f>IF(AK593="","",IF(AND(AK593="NO",AJ593&gt;=0.85),"YES","NO"))</f>
        <v/>
      </c>
      <c r="AN593" s="7">
        <f>IF(AJ593="","",IF(AJ593&gt;=0.90,"Excellent",IF(AJ593&gt;=0.80,"Good",IF(AJ593&gt;=0.70,"Fair","Poor"))))</f>
        <v/>
      </c>
      <c r="AO593" s="12" t="n"/>
      <c r="AP593" s="12" t="n"/>
      <c r="AQ593" s="12" t="n"/>
      <c r="AR593" s="12" t="n"/>
      <c r="AS593" s="12" t="n"/>
      <c r="AT593" s="12" t="n"/>
      <c r="AU593" s="12" t="n"/>
      <c r="AV593" s="11" t="n"/>
      <c r="AW593" s="12" t="n"/>
      <c r="AX593" s="12" t="n"/>
      <c r="AY593" s="12" t="n"/>
      <c r="AZ593" s="12" t="n"/>
      <c r="BA593" s="12" t="n"/>
      <c r="BB593" s="12" t="n"/>
      <c r="BC593" s="12" t="n"/>
      <c r="BD593" s="12" t="n"/>
      <c r="BE593" s="12" t="n"/>
      <c r="BF593" s="12" t="n"/>
    </row>
    <row r="594">
      <c r="A594" s="7">
        <f>IF(B594="","","INS-"&amp;TEXT(ROW()-3,"000"))</f>
        <v/>
      </c>
      <c r="B594" s="11" t="n"/>
      <c r="C594" s="7">
        <f>IF(B594="","",ISOWEEKNUM(B594))</f>
        <v/>
      </c>
      <c r="D594" s="7">
        <f>IF(B594="","",TEXT(B594,"yyyy-mm"))</f>
        <v/>
      </c>
      <c r="E594" s="12" t="n"/>
      <c r="F594" s="12" t="n"/>
      <c r="G594" s="7">
        <f>IF(OR(E594="",F594=""),"",IF(COUNTIF(Cluster_Master!$I$3:$I$17,E594&amp;"|"&amp;F594)=1,"Valid","Review"))</f>
        <v/>
      </c>
      <c r="H594" s="7">
        <f>IF($G594&lt;&gt;"Valid","",VLOOKUP($E594&amp;"|"&amp;$F594,Cluster_Master!$I$3:$H$17,3,FALSE))</f>
        <v/>
      </c>
      <c r="I594" s="7">
        <f>IF($G594&lt;&gt;"Valid","",VLOOKUP($E594&amp;"|"&amp;$F594,Cluster_Master!$I$3:$H$17,4,FALSE))</f>
        <v/>
      </c>
      <c r="J594" s="7">
        <f>IF($G594&lt;&gt;"Valid","",VLOOKUP($E594&amp;"|"&amp;$F594,Cluster_Master!$I$3:$H$17,5,FALSE))</f>
        <v/>
      </c>
      <c r="K594" s="7">
        <f>IF($G594&lt;&gt;"Valid","",VLOOKUP($E594&amp;"|"&amp;$F594,Cluster_Master!$I$3:$H$17,6,FALSE))</f>
        <v/>
      </c>
      <c r="L594" s="7">
        <f>IF($G594&lt;&gt;"Valid","",VLOOKUP($E594&amp;"|"&amp;$F594,Cluster_Master!$I$3:$H$17,7,FALSE))</f>
        <v/>
      </c>
      <c r="M594" s="7">
        <f>IF($G594&lt;&gt;"Valid","",VLOOKUP($E594&amp;"|"&amp;$F594,Cluster_Master!$I$3:$H$17,8,FALSE))</f>
        <v/>
      </c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7">
        <f>IF(COUNT(T594:AH594)=0,"",SUM(T594:AH594))</f>
        <v/>
      </c>
      <c r="AJ594" s="10">
        <f>IF(AI594="","",AI594/75)</f>
        <v/>
      </c>
      <c r="AK594" s="10">
        <f>IF(AI594="","",SUMPRODUCT(T594:AH594,KPI_Weights!$B$3:$B$17)/5)</f>
        <v/>
      </c>
      <c r="AL594" s="7">
        <f>IF(COUNT(T594:AH594)=0,"",IF(OR(T594&lt;=1,W594&lt;=1,X594&lt;=1,Y594&lt;=1,AB594&lt;=1),"YES","NO"))</f>
        <v/>
      </c>
      <c r="AM594" s="7">
        <f>IF(AK594="","",IF(AND(AK594="NO",AJ594&gt;=0.85),"YES","NO"))</f>
        <v/>
      </c>
      <c r="AN594" s="7">
        <f>IF(AJ594="","",IF(AJ594&gt;=0.90,"Excellent",IF(AJ594&gt;=0.80,"Good",IF(AJ594&gt;=0.70,"Fair","Poor"))))</f>
        <v/>
      </c>
      <c r="AO594" s="12" t="n"/>
      <c r="AP594" s="12" t="n"/>
      <c r="AQ594" s="12" t="n"/>
      <c r="AR594" s="12" t="n"/>
      <c r="AS594" s="12" t="n"/>
      <c r="AT594" s="12" t="n"/>
      <c r="AU594" s="12" t="n"/>
      <c r="AV594" s="11" t="n"/>
      <c r="AW594" s="12" t="n"/>
      <c r="AX594" s="12" t="n"/>
      <c r="AY594" s="12" t="n"/>
      <c r="AZ594" s="12" t="n"/>
      <c r="BA594" s="12" t="n"/>
      <c r="BB594" s="12" t="n"/>
      <c r="BC594" s="12" t="n"/>
      <c r="BD594" s="12" t="n"/>
      <c r="BE594" s="12" t="n"/>
      <c r="BF594" s="12" t="n"/>
    </row>
    <row r="595">
      <c r="A595" s="7">
        <f>IF(B595="","","INS-"&amp;TEXT(ROW()-3,"000"))</f>
        <v/>
      </c>
      <c r="B595" s="11" t="n"/>
      <c r="C595" s="7">
        <f>IF(B595="","",ISOWEEKNUM(B595))</f>
        <v/>
      </c>
      <c r="D595" s="7">
        <f>IF(B595="","",TEXT(B595,"yyyy-mm"))</f>
        <v/>
      </c>
      <c r="E595" s="12" t="n"/>
      <c r="F595" s="12" t="n"/>
      <c r="G595" s="7">
        <f>IF(OR(E595="",F595=""),"",IF(COUNTIF(Cluster_Master!$I$3:$I$17,E595&amp;"|"&amp;F595)=1,"Valid","Review"))</f>
        <v/>
      </c>
      <c r="H595" s="7">
        <f>IF($G595&lt;&gt;"Valid","",VLOOKUP($E595&amp;"|"&amp;$F595,Cluster_Master!$I$3:$H$17,3,FALSE))</f>
        <v/>
      </c>
      <c r="I595" s="7">
        <f>IF($G595&lt;&gt;"Valid","",VLOOKUP($E595&amp;"|"&amp;$F595,Cluster_Master!$I$3:$H$17,4,FALSE))</f>
        <v/>
      </c>
      <c r="J595" s="7">
        <f>IF($G595&lt;&gt;"Valid","",VLOOKUP($E595&amp;"|"&amp;$F595,Cluster_Master!$I$3:$H$17,5,FALSE))</f>
        <v/>
      </c>
      <c r="K595" s="7">
        <f>IF($G595&lt;&gt;"Valid","",VLOOKUP($E595&amp;"|"&amp;$F595,Cluster_Master!$I$3:$H$17,6,FALSE))</f>
        <v/>
      </c>
      <c r="L595" s="7">
        <f>IF($G595&lt;&gt;"Valid","",VLOOKUP($E595&amp;"|"&amp;$F595,Cluster_Master!$I$3:$H$17,7,FALSE))</f>
        <v/>
      </c>
      <c r="M595" s="7">
        <f>IF($G595&lt;&gt;"Valid","",VLOOKUP($E595&amp;"|"&amp;$F595,Cluster_Master!$I$3:$H$17,8,FALSE))</f>
        <v/>
      </c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7">
        <f>IF(COUNT(T595:AH595)=0,"",SUM(T595:AH595))</f>
        <v/>
      </c>
      <c r="AJ595" s="10">
        <f>IF(AI595="","",AI595/75)</f>
        <v/>
      </c>
      <c r="AK595" s="10">
        <f>IF(AI595="","",SUMPRODUCT(T595:AH595,KPI_Weights!$B$3:$B$17)/5)</f>
        <v/>
      </c>
      <c r="AL595" s="7">
        <f>IF(COUNT(T595:AH595)=0,"",IF(OR(T595&lt;=1,W595&lt;=1,X595&lt;=1,Y595&lt;=1,AB595&lt;=1),"YES","NO"))</f>
        <v/>
      </c>
      <c r="AM595" s="7">
        <f>IF(AK595="","",IF(AND(AK595="NO",AJ595&gt;=0.85),"YES","NO"))</f>
        <v/>
      </c>
      <c r="AN595" s="7">
        <f>IF(AJ595="","",IF(AJ595&gt;=0.90,"Excellent",IF(AJ595&gt;=0.80,"Good",IF(AJ595&gt;=0.70,"Fair","Poor"))))</f>
        <v/>
      </c>
      <c r="AO595" s="12" t="n"/>
      <c r="AP595" s="12" t="n"/>
      <c r="AQ595" s="12" t="n"/>
      <c r="AR595" s="12" t="n"/>
      <c r="AS595" s="12" t="n"/>
      <c r="AT595" s="12" t="n"/>
      <c r="AU595" s="12" t="n"/>
      <c r="AV595" s="11" t="n"/>
      <c r="AW595" s="12" t="n"/>
      <c r="AX595" s="12" t="n"/>
      <c r="AY595" s="12" t="n"/>
      <c r="AZ595" s="12" t="n"/>
      <c r="BA595" s="12" t="n"/>
      <c r="BB595" s="12" t="n"/>
      <c r="BC595" s="12" t="n"/>
      <c r="BD595" s="12" t="n"/>
      <c r="BE595" s="12" t="n"/>
      <c r="BF595" s="12" t="n"/>
    </row>
    <row r="596">
      <c r="A596" s="7">
        <f>IF(B596="","","INS-"&amp;TEXT(ROW()-3,"000"))</f>
        <v/>
      </c>
      <c r="B596" s="11" t="n"/>
      <c r="C596" s="7">
        <f>IF(B596="","",ISOWEEKNUM(B596))</f>
        <v/>
      </c>
      <c r="D596" s="7">
        <f>IF(B596="","",TEXT(B596,"yyyy-mm"))</f>
        <v/>
      </c>
      <c r="E596" s="12" t="n"/>
      <c r="F596" s="12" t="n"/>
      <c r="G596" s="7">
        <f>IF(OR(E596="",F596=""),"",IF(COUNTIF(Cluster_Master!$I$3:$I$17,E596&amp;"|"&amp;F596)=1,"Valid","Review"))</f>
        <v/>
      </c>
      <c r="H596" s="7">
        <f>IF($G596&lt;&gt;"Valid","",VLOOKUP($E596&amp;"|"&amp;$F596,Cluster_Master!$I$3:$H$17,3,FALSE))</f>
        <v/>
      </c>
      <c r="I596" s="7">
        <f>IF($G596&lt;&gt;"Valid","",VLOOKUP($E596&amp;"|"&amp;$F596,Cluster_Master!$I$3:$H$17,4,FALSE))</f>
        <v/>
      </c>
      <c r="J596" s="7">
        <f>IF($G596&lt;&gt;"Valid","",VLOOKUP($E596&amp;"|"&amp;$F596,Cluster_Master!$I$3:$H$17,5,FALSE))</f>
        <v/>
      </c>
      <c r="K596" s="7">
        <f>IF($G596&lt;&gt;"Valid","",VLOOKUP($E596&amp;"|"&amp;$F596,Cluster_Master!$I$3:$H$17,6,FALSE))</f>
        <v/>
      </c>
      <c r="L596" s="7">
        <f>IF($G596&lt;&gt;"Valid","",VLOOKUP($E596&amp;"|"&amp;$F596,Cluster_Master!$I$3:$H$17,7,FALSE))</f>
        <v/>
      </c>
      <c r="M596" s="7">
        <f>IF($G596&lt;&gt;"Valid","",VLOOKUP($E596&amp;"|"&amp;$F596,Cluster_Master!$I$3:$H$17,8,FALSE))</f>
        <v/>
      </c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7">
        <f>IF(COUNT(T596:AH596)=0,"",SUM(T596:AH596))</f>
        <v/>
      </c>
      <c r="AJ596" s="10">
        <f>IF(AI596="","",AI596/75)</f>
        <v/>
      </c>
      <c r="AK596" s="10">
        <f>IF(AI596="","",SUMPRODUCT(T596:AH596,KPI_Weights!$B$3:$B$17)/5)</f>
        <v/>
      </c>
      <c r="AL596" s="7">
        <f>IF(COUNT(T596:AH596)=0,"",IF(OR(T596&lt;=1,W596&lt;=1,X596&lt;=1,Y596&lt;=1,AB596&lt;=1),"YES","NO"))</f>
        <v/>
      </c>
      <c r="AM596" s="7">
        <f>IF(AK596="","",IF(AND(AK596="NO",AJ596&gt;=0.85),"YES","NO"))</f>
        <v/>
      </c>
      <c r="AN596" s="7">
        <f>IF(AJ596="","",IF(AJ596&gt;=0.90,"Excellent",IF(AJ596&gt;=0.80,"Good",IF(AJ596&gt;=0.70,"Fair","Poor"))))</f>
        <v/>
      </c>
      <c r="AO596" s="12" t="n"/>
      <c r="AP596" s="12" t="n"/>
      <c r="AQ596" s="12" t="n"/>
      <c r="AR596" s="12" t="n"/>
      <c r="AS596" s="12" t="n"/>
      <c r="AT596" s="12" t="n"/>
      <c r="AU596" s="12" t="n"/>
      <c r="AV596" s="11" t="n"/>
      <c r="AW596" s="12" t="n"/>
      <c r="AX596" s="12" t="n"/>
      <c r="AY596" s="12" t="n"/>
      <c r="AZ596" s="12" t="n"/>
      <c r="BA596" s="12" t="n"/>
      <c r="BB596" s="12" t="n"/>
      <c r="BC596" s="12" t="n"/>
      <c r="BD596" s="12" t="n"/>
      <c r="BE596" s="12" t="n"/>
      <c r="BF596" s="12" t="n"/>
    </row>
    <row r="597">
      <c r="A597" s="7">
        <f>IF(B597="","","INS-"&amp;TEXT(ROW()-3,"000"))</f>
        <v/>
      </c>
      <c r="B597" s="11" t="n"/>
      <c r="C597" s="7">
        <f>IF(B597="","",ISOWEEKNUM(B597))</f>
        <v/>
      </c>
      <c r="D597" s="7">
        <f>IF(B597="","",TEXT(B597,"yyyy-mm"))</f>
        <v/>
      </c>
      <c r="E597" s="12" t="n"/>
      <c r="F597" s="12" t="n"/>
      <c r="G597" s="7">
        <f>IF(OR(E597="",F597=""),"",IF(COUNTIF(Cluster_Master!$I$3:$I$17,E597&amp;"|"&amp;F597)=1,"Valid","Review"))</f>
        <v/>
      </c>
      <c r="H597" s="7">
        <f>IF($G597&lt;&gt;"Valid","",VLOOKUP($E597&amp;"|"&amp;$F597,Cluster_Master!$I$3:$H$17,3,FALSE))</f>
        <v/>
      </c>
      <c r="I597" s="7">
        <f>IF($G597&lt;&gt;"Valid","",VLOOKUP($E597&amp;"|"&amp;$F597,Cluster_Master!$I$3:$H$17,4,FALSE))</f>
        <v/>
      </c>
      <c r="J597" s="7">
        <f>IF($G597&lt;&gt;"Valid","",VLOOKUP($E597&amp;"|"&amp;$F597,Cluster_Master!$I$3:$H$17,5,FALSE))</f>
        <v/>
      </c>
      <c r="K597" s="7">
        <f>IF($G597&lt;&gt;"Valid","",VLOOKUP($E597&amp;"|"&amp;$F597,Cluster_Master!$I$3:$H$17,6,FALSE))</f>
        <v/>
      </c>
      <c r="L597" s="7">
        <f>IF($G597&lt;&gt;"Valid","",VLOOKUP($E597&amp;"|"&amp;$F597,Cluster_Master!$I$3:$H$17,7,FALSE))</f>
        <v/>
      </c>
      <c r="M597" s="7">
        <f>IF($G597&lt;&gt;"Valid","",VLOOKUP($E597&amp;"|"&amp;$F597,Cluster_Master!$I$3:$H$17,8,FALSE))</f>
        <v/>
      </c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7">
        <f>IF(COUNT(T597:AH597)=0,"",SUM(T597:AH597))</f>
        <v/>
      </c>
      <c r="AJ597" s="10">
        <f>IF(AI597="","",AI597/75)</f>
        <v/>
      </c>
      <c r="AK597" s="10">
        <f>IF(AI597="","",SUMPRODUCT(T597:AH597,KPI_Weights!$B$3:$B$17)/5)</f>
        <v/>
      </c>
      <c r="AL597" s="7">
        <f>IF(COUNT(T597:AH597)=0,"",IF(OR(T597&lt;=1,W597&lt;=1,X597&lt;=1,Y597&lt;=1,AB597&lt;=1),"YES","NO"))</f>
        <v/>
      </c>
      <c r="AM597" s="7">
        <f>IF(AK597="","",IF(AND(AK597="NO",AJ597&gt;=0.85),"YES","NO"))</f>
        <v/>
      </c>
      <c r="AN597" s="7">
        <f>IF(AJ597="","",IF(AJ597&gt;=0.90,"Excellent",IF(AJ597&gt;=0.80,"Good",IF(AJ597&gt;=0.70,"Fair","Poor"))))</f>
        <v/>
      </c>
      <c r="AO597" s="12" t="n"/>
      <c r="AP597" s="12" t="n"/>
      <c r="AQ597" s="12" t="n"/>
      <c r="AR597" s="12" t="n"/>
      <c r="AS597" s="12" t="n"/>
      <c r="AT597" s="12" t="n"/>
      <c r="AU597" s="12" t="n"/>
      <c r="AV597" s="11" t="n"/>
      <c r="AW597" s="12" t="n"/>
      <c r="AX597" s="12" t="n"/>
      <c r="AY597" s="12" t="n"/>
      <c r="AZ597" s="12" t="n"/>
      <c r="BA597" s="12" t="n"/>
      <c r="BB597" s="12" t="n"/>
      <c r="BC597" s="12" t="n"/>
      <c r="BD597" s="12" t="n"/>
      <c r="BE597" s="12" t="n"/>
      <c r="BF597" s="12" t="n"/>
    </row>
    <row r="598">
      <c r="A598" s="7">
        <f>IF(B598="","","INS-"&amp;TEXT(ROW()-3,"000"))</f>
        <v/>
      </c>
      <c r="B598" s="11" t="n"/>
      <c r="C598" s="7">
        <f>IF(B598="","",ISOWEEKNUM(B598))</f>
        <v/>
      </c>
      <c r="D598" s="7">
        <f>IF(B598="","",TEXT(B598,"yyyy-mm"))</f>
        <v/>
      </c>
      <c r="E598" s="12" t="n"/>
      <c r="F598" s="12" t="n"/>
      <c r="G598" s="7">
        <f>IF(OR(E598="",F598=""),"",IF(COUNTIF(Cluster_Master!$I$3:$I$17,E598&amp;"|"&amp;F598)=1,"Valid","Review"))</f>
        <v/>
      </c>
      <c r="H598" s="7">
        <f>IF($G598&lt;&gt;"Valid","",VLOOKUP($E598&amp;"|"&amp;$F598,Cluster_Master!$I$3:$H$17,3,FALSE))</f>
        <v/>
      </c>
      <c r="I598" s="7">
        <f>IF($G598&lt;&gt;"Valid","",VLOOKUP($E598&amp;"|"&amp;$F598,Cluster_Master!$I$3:$H$17,4,FALSE))</f>
        <v/>
      </c>
      <c r="J598" s="7">
        <f>IF($G598&lt;&gt;"Valid","",VLOOKUP($E598&amp;"|"&amp;$F598,Cluster_Master!$I$3:$H$17,5,FALSE))</f>
        <v/>
      </c>
      <c r="K598" s="7">
        <f>IF($G598&lt;&gt;"Valid","",VLOOKUP($E598&amp;"|"&amp;$F598,Cluster_Master!$I$3:$H$17,6,FALSE))</f>
        <v/>
      </c>
      <c r="L598" s="7">
        <f>IF($G598&lt;&gt;"Valid","",VLOOKUP($E598&amp;"|"&amp;$F598,Cluster_Master!$I$3:$H$17,7,FALSE))</f>
        <v/>
      </c>
      <c r="M598" s="7">
        <f>IF($G598&lt;&gt;"Valid","",VLOOKUP($E598&amp;"|"&amp;$F598,Cluster_Master!$I$3:$H$17,8,FALSE))</f>
        <v/>
      </c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7">
        <f>IF(COUNT(T598:AH598)=0,"",SUM(T598:AH598))</f>
        <v/>
      </c>
      <c r="AJ598" s="10">
        <f>IF(AI598="","",AI598/75)</f>
        <v/>
      </c>
      <c r="AK598" s="10">
        <f>IF(AI598="","",SUMPRODUCT(T598:AH598,KPI_Weights!$B$3:$B$17)/5)</f>
        <v/>
      </c>
      <c r="AL598" s="7">
        <f>IF(COUNT(T598:AH598)=0,"",IF(OR(T598&lt;=1,W598&lt;=1,X598&lt;=1,Y598&lt;=1,AB598&lt;=1),"YES","NO"))</f>
        <v/>
      </c>
      <c r="AM598" s="7">
        <f>IF(AK598="","",IF(AND(AK598="NO",AJ598&gt;=0.85),"YES","NO"))</f>
        <v/>
      </c>
      <c r="AN598" s="7">
        <f>IF(AJ598="","",IF(AJ598&gt;=0.90,"Excellent",IF(AJ598&gt;=0.80,"Good",IF(AJ598&gt;=0.70,"Fair","Poor"))))</f>
        <v/>
      </c>
      <c r="AO598" s="12" t="n"/>
      <c r="AP598" s="12" t="n"/>
      <c r="AQ598" s="12" t="n"/>
      <c r="AR598" s="12" t="n"/>
      <c r="AS598" s="12" t="n"/>
      <c r="AT598" s="12" t="n"/>
      <c r="AU598" s="12" t="n"/>
      <c r="AV598" s="11" t="n"/>
      <c r="AW598" s="12" t="n"/>
      <c r="AX598" s="12" t="n"/>
      <c r="AY598" s="12" t="n"/>
      <c r="AZ598" s="12" t="n"/>
      <c r="BA598" s="12" t="n"/>
      <c r="BB598" s="12" t="n"/>
      <c r="BC598" s="12" t="n"/>
      <c r="BD598" s="12" t="n"/>
      <c r="BE598" s="12" t="n"/>
      <c r="BF598" s="12" t="n"/>
    </row>
    <row r="599">
      <c r="A599" s="7">
        <f>IF(B599="","","INS-"&amp;TEXT(ROW()-3,"000"))</f>
        <v/>
      </c>
      <c r="B599" s="11" t="n"/>
      <c r="C599" s="7">
        <f>IF(B599="","",ISOWEEKNUM(B599))</f>
        <v/>
      </c>
      <c r="D599" s="7">
        <f>IF(B599="","",TEXT(B599,"yyyy-mm"))</f>
        <v/>
      </c>
      <c r="E599" s="12" t="n"/>
      <c r="F599" s="12" t="n"/>
      <c r="G599" s="7">
        <f>IF(OR(E599="",F599=""),"",IF(COUNTIF(Cluster_Master!$I$3:$I$17,E599&amp;"|"&amp;F599)=1,"Valid","Review"))</f>
        <v/>
      </c>
      <c r="H599" s="7">
        <f>IF($G599&lt;&gt;"Valid","",VLOOKUP($E599&amp;"|"&amp;$F599,Cluster_Master!$I$3:$H$17,3,FALSE))</f>
        <v/>
      </c>
      <c r="I599" s="7">
        <f>IF($G599&lt;&gt;"Valid","",VLOOKUP($E599&amp;"|"&amp;$F599,Cluster_Master!$I$3:$H$17,4,FALSE))</f>
        <v/>
      </c>
      <c r="J599" s="7">
        <f>IF($G599&lt;&gt;"Valid","",VLOOKUP($E599&amp;"|"&amp;$F599,Cluster_Master!$I$3:$H$17,5,FALSE))</f>
        <v/>
      </c>
      <c r="K599" s="7">
        <f>IF($G599&lt;&gt;"Valid","",VLOOKUP($E599&amp;"|"&amp;$F599,Cluster_Master!$I$3:$H$17,6,FALSE))</f>
        <v/>
      </c>
      <c r="L599" s="7">
        <f>IF($G599&lt;&gt;"Valid","",VLOOKUP($E599&amp;"|"&amp;$F599,Cluster_Master!$I$3:$H$17,7,FALSE))</f>
        <v/>
      </c>
      <c r="M599" s="7">
        <f>IF($G599&lt;&gt;"Valid","",VLOOKUP($E599&amp;"|"&amp;$F599,Cluster_Master!$I$3:$H$17,8,FALSE))</f>
        <v/>
      </c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7">
        <f>IF(COUNT(T599:AH599)=0,"",SUM(T599:AH599))</f>
        <v/>
      </c>
      <c r="AJ599" s="10">
        <f>IF(AI599="","",AI599/75)</f>
        <v/>
      </c>
      <c r="AK599" s="10">
        <f>IF(AI599="","",SUMPRODUCT(T599:AH599,KPI_Weights!$B$3:$B$17)/5)</f>
        <v/>
      </c>
      <c r="AL599" s="7">
        <f>IF(COUNT(T599:AH599)=0,"",IF(OR(T599&lt;=1,W599&lt;=1,X599&lt;=1,Y599&lt;=1,AB599&lt;=1),"YES","NO"))</f>
        <v/>
      </c>
      <c r="AM599" s="7">
        <f>IF(AK599="","",IF(AND(AK599="NO",AJ599&gt;=0.85),"YES","NO"))</f>
        <v/>
      </c>
      <c r="AN599" s="7">
        <f>IF(AJ599="","",IF(AJ599&gt;=0.90,"Excellent",IF(AJ599&gt;=0.80,"Good",IF(AJ599&gt;=0.70,"Fair","Poor"))))</f>
        <v/>
      </c>
      <c r="AO599" s="12" t="n"/>
      <c r="AP599" s="12" t="n"/>
      <c r="AQ599" s="12" t="n"/>
      <c r="AR599" s="12" t="n"/>
      <c r="AS599" s="12" t="n"/>
      <c r="AT599" s="12" t="n"/>
      <c r="AU599" s="12" t="n"/>
      <c r="AV599" s="11" t="n"/>
      <c r="AW599" s="12" t="n"/>
      <c r="AX599" s="12" t="n"/>
      <c r="AY599" s="12" t="n"/>
      <c r="AZ599" s="12" t="n"/>
      <c r="BA599" s="12" t="n"/>
      <c r="BB599" s="12" t="n"/>
      <c r="BC599" s="12" t="n"/>
      <c r="BD599" s="12" t="n"/>
      <c r="BE599" s="12" t="n"/>
      <c r="BF599" s="12" t="n"/>
    </row>
    <row r="600">
      <c r="A600" s="7">
        <f>IF(B600="","","INS-"&amp;TEXT(ROW()-3,"000"))</f>
        <v/>
      </c>
      <c r="B600" s="11" t="n"/>
      <c r="C600" s="7">
        <f>IF(B600="","",ISOWEEKNUM(B600))</f>
        <v/>
      </c>
      <c r="D600" s="7">
        <f>IF(B600="","",TEXT(B600,"yyyy-mm"))</f>
        <v/>
      </c>
      <c r="E600" s="12" t="n"/>
      <c r="F600" s="12" t="n"/>
      <c r="G600" s="7">
        <f>IF(OR(E600="",F600=""),"",IF(COUNTIF(Cluster_Master!$I$3:$I$17,E600&amp;"|"&amp;F600)=1,"Valid","Review"))</f>
        <v/>
      </c>
      <c r="H600" s="7">
        <f>IF($G600&lt;&gt;"Valid","",VLOOKUP($E600&amp;"|"&amp;$F600,Cluster_Master!$I$3:$H$17,3,FALSE))</f>
        <v/>
      </c>
      <c r="I600" s="7">
        <f>IF($G600&lt;&gt;"Valid","",VLOOKUP($E600&amp;"|"&amp;$F600,Cluster_Master!$I$3:$H$17,4,FALSE))</f>
        <v/>
      </c>
      <c r="J600" s="7">
        <f>IF($G600&lt;&gt;"Valid","",VLOOKUP($E600&amp;"|"&amp;$F600,Cluster_Master!$I$3:$H$17,5,FALSE))</f>
        <v/>
      </c>
      <c r="K600" s="7">
        <f>IF($G600&lt;&gt;"Valid","",VLOOKUP($E600&amp;"|"&amp;$F600,Cluster_Master!$I$3:$H$17,6,FALSE))</f>
        <v/>
      </c>
      <c r="L600" s="7">
        <f>IF($G600&lt;&gt;"Valid","",VLOOKUP($E600&amp;"|"&amp;$F600,Cluster_Master!$I$3:$H$17,7,FALSE))</f>
        <v/>
      </c>
      <c r="M600" s="7">
        <f>IF($G600&lt;&gt;"Valid","",VLOOKUP($E600&amp;"|"&amp;$F600,Cluster_Master!$I$3:$H$17,8,FALSE))</f>
        <v/>
      </c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7">
        <f>IF(COUNT(T600:AH600)=0,"",SUM(T600:AH600))</f>
        <v/>
      </c>
      <c r="AJ600" s="10">
        <f>IF(AI600="","",AI600/75)</f>
        <v/>
      </c>
      <c r="AK600" s="10">
        <f>IF(AI600="","",SUMPRODUCT(T600:AH600,KPI_Weights!$B$3:$B$17)/5)</f>
        <v/>
      </c>
      <c r="AL600" s="7">
        <f>IF(COUNT(T600:AH600)=0,"",IF(OR(T600&lt;=1,W600&lt;=1,X600&lt;=1,Y600&lt;=1,AB600&lt;=1),"YES","NO"))</f>
        <v/>
      </c>
      <c r="AM600" s="7">
        <f>IF(AK600="","",IF(AND(AK600="NO",AJ600&gt;=0.85),"YES","NO"))</f>
        <v/>
      </c>
      <c r="AN600" s="7">
        <f>IF(AJ600="","",IF(AJ600&gt;=0.90,"Excellent",IF(AJ600&gt;=0.80,"Good",IF(AJ600&gt;=0.70,"Fair","Poor"))))</f>
        <v/>
      </c>
      <c r="AO600" s="12" t="n"/>
      <c r="AP600" s="12" t="n"/>
      <c r="AQ600" s="12" t="n"/>
      <c r="AR600" s="12" t="n"/>
      <c r="AS600" s="12" t="n"/>
      <c r="AT600" s="12" t="n"/>
      <c r="AU600" s="12" t="n"/>
      <c r="AV600" s="11" t="n"/>
      <c r="AW600" s="12" t="n"/>
      <c r="AX600" s="12" t="n"/>
      <c r="AY600" s="12" t="n"/>
      <c r="AZ600" s="12" t="n"/>
      <c r="BA600" s="12" t="n"/>
      <c r="BB600" s="12" t="n"/>
      <c r="BC600" s="12" t="n"/>
      <c r="BD600" s="12" t="n"/>
      <c r="BE600" s="12" t="n"/>
      <c r="BF600" s="12" t="n"/>
    </row>
    <row r="601">
      <c r="A601" s="7">
        <f>IF(B601="","","INS-"&amp;TEXT(ROW()-3,"000"))</f>
        <v/>
      </c>
      <c r="B601" s="11" t="n"/>
      <c r="C601" s="7">
        <f>IF(B601="","",ISOWEEKNUM(B601))</f>
        <v/>
      </c>
      <c r="D601" s="7">
        <f>IF(B601="","",TEXT(B601,"yyyy-mm"))</f>
        <v/>
      </c>
      <c r="E601" s="12" t="n"/>
      <c r="F601" s="12" t="n"/>
      <c r="G601" s="7">
        <f>IF(OR(E601="",F601=""),"",IF(COUNTIF(Cluster_Master!$I$3:$I$17,E601&amp;"|"&amp;F601)=1,"Valid","Review"))</f>
        <v/>
      </c>
      <c r="H601" s="7">
        <f>IF($G601&lt;&gt;"Valid","",VLOOKUP($E601&amp;"|"&amp;$F601,Cluster_Master!$I$3:$H$17,3,FALSE))</f>
        <v/>
      </c>
      <c r="I601" s="7">
        <f>IF($G601&lt;&gt;"Valid","",VLOOKUP($E601&amp;"|"&amp;$F601,Cluster_Master!$I$3:$H$17,4,FALSE))</f>
        <v/>
      </c>
      <c r="J601" s="7">
        <f>IF($G601&lt;&gt;"Valid","",VLOOKUP($E601&amp;"|"&amp;$F601,Cluster_Master!$I$3:$H$17,5,FALSE))</f>
        <v/>
      </c>
      <c r="K601" s="7">
        <f>IF($G601&lt;&gt;"Valid","",VLOOKUP($E601&amp;"|"&amp;$F601,Cluster_Master!$I$3:$H$17,6,FALSE))</f>
        <v/>
      </c>
      <c r="L601" s="7">
        <f>IF($G601&lt;&gt;"Valid","",VLOOKUP($E601&amp;"|"&amp;$F601,Cluster_Master!$I$3:$H$17,7,FALSE))</f>
        <v/>
      </c>
      <c r="M601" s="7">
        <f>IF($G601&lt;&gt;"Valid","",VLOOKUP($E601&amp;"|"&amp;$F601,Cluster_Master!$I$3:$H$17,8,FALSE))</f>
        <v/>
      </c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7">
        <f>IF(COUNT(T601:AH601)=0,"",SUM(T601:AH601))</f>
        <v/>
      </c>
      <c r="AJ601" s="10">
        <f>IF(AI601="","",AI601/75)</f>
        <v/>
      </c>
      <c r="AK601" s="10">
        <f>IF(AI601="","",SUMPRODUCT(T601:AH601,KPI_Weights!$B$3:$B$17)/5)</f>
        <v/>
      </c>
      <c r="AL601" s="7">
        <f>IF(COUNT(T601:AH601)=0,"",IF(OR(T601&lt;=1,W601&lt;=1,X601&lt;=1,Y601&lt;=1,AB601&lt;=1),"YES","NO"))</f>
        <v/>
      </c>
      <c r="AM601" s="7">
        <f>IF(AK601="","",IF(AND(AK601="NO",AJ601&gt;=0.85),"YES","NO"))</f>
        <v/>
      </c>
      <c r="AN601" s="7">
        <f>IF(AJ601="","",IF(AJ601&gt;=0.90,"Excellent",IF(AJ601&gt;=0.80,"Good",IF(AJ601&gt;=0.70,"Fair","Poor"))))</f>
        <v/>
      </c>
      <c r="AO601" s="12" t="n"/>
      <c r="AP601" s="12" t="n"/>
      <c r="AQ601" s="12" t="n"/>
      <c r="AR601" s="12" t="n"/>
      <c r="AS601" s="12" t="n"/>
      <c r="AT601" s="12" t="n"/>
      <c r="AU601" s="12" t="n"/>
      <c r="AV601" s="11" t="n"/>
      <c r="AW601" s="12" t="n"/>
      <c r="AX601" s="12" t="n"/>
      <c r="AY601" s="12" t="n"/>
      <c r="AZ601" s="12" t="n"/>
      <c r="BA601" s="12" t="n"/>
      <c r="BB601" s="12" t="n"/>
      <c r="BC601" s="12" t="n"/>
      <c r="BD601" s="12" t="n"/>
      <c r="BE601" s="12" t="n"/>
      <c r="BF601" s="12" t="n"/>
    </row>
    <row r="602">
      <c r="A602" s="7">
        <f>IF(B602="","","INS-"&amp;TEXT(ROW()-3,"000"))</f>
        <v/>
      </c>
      <c r="B602" s="11" t="n"/>
      <c r="C602" s="7">
        <f>IF(B602="","",ISOWEEKNUM(B602))</f>
        <v/>
      </c>
      <c r="D602" s="7">
        <f>IF(B602="","",TEXT(B602,"yyyy-mm"))</f>
        <v/>
      </c>
      <c r="E602" s="12" t="n"/>
      <c r="F602" s="12" t="n"/>
      <c r="G602" s="7">
        <f>IF(OR(E602="",F602=""),"",IF(COUNTIF(Cluster_Master!$I$3:$I$17,E602&amp;"|"&amp;F602)=1,"Valid","Review"))</f>
        <v/>
      </c>
      <c r="H602" s="7">
        <f>IF($G602&lt;&gt;"Valid","",VLOOKUP($E602&amp;"|"&amp;$F602,Cluster_Master!$I$3:$H$17,3,FALSE))</f>
        <v/>
      </c>
      <c r="I602" s="7">
        <f>IF($G602&lt;&gt;"Valid","",VLOOKUP($E602&amp;"|"&amp;$F602,Cluster_Master!$I$3:$H$17,4,FALSE))</f>
        <v/>
      </c>
      <c r="J602" s="7">
        <f>IF($G602&lt;&gt;"Valid","",VLOOKUP($E602&amp;"|"&amp;$F602,Cluster_Master!$I$3:$H$17,5,FALSE))</f>
        <v/>
      </c>
      <c r="K602" s="7">
        <f>IF($G602&lt;&gt;"Valid","",VLOOKUP($E602&amp;"|"&amp;$F602,Cluster_Master!$I$3:$H$17,6,FALSE))</f>
        <v/>
      </c>
      <c r="L602" s="7">
        <f>IF($G602&lt;&gt;"Valid","",VLOOKUP($E602&amp;"|"&amp;$F602,Cluster_Master!$I$3:$H$17,7,FALSE))</f>
        <v/>
      </c>
      <c r="M602" s="7">
        <f>IF($G602&lt;&gt;"Valid","",VLOOKUP($E602&amp;"|"&amp;$F602,Cluster_Master!$I$3:$H$17,8,FALSE))</f>
        <v/>
      </c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7">
        <f>IF(COUNT(T602:AH602)=0,"",SUM(T602:AH602))</f>
        <v/>
      </c>
      <c r="AJ602" s="10">
        <f>IF(AI602="","",AI602/75)</f>
        <v/>
      </c>
      <c r="AK602" s="10">
        <f>IF(AI602="","",SUMPRODUCT(T602:AH602,KPI_Weights!$B$3:$B$17)/5)</f>
        <v/>
      </c>
      <c r="AL602" s="7">
        <f>IF(COUNT(T602:AH602)=0,"",IF(OR(T602&lt;=1,W602&lt;=1,X602&lt;=1,Y602&lt;=1,AB602&lt;=1),"YES","NO"))</f>
        <v/>
      </c>
      <c r="AM602" s="7">
        <f>IF(AK602="","",IF(AND(AK602="NO",AJ602&gt;=0.85),"YES","NO"))</f>
        <v/>
      </c>
      <c r="AN602" s="7">
        <f>IF(AJ602="","",IF(AJ602&gt;=0.90,"Excellent",IF(AJ602&gt;=0.80,"Good",IF(AJ602&gt;=0.70,"Fair","Poor"))))</f>
        <v/>
      </c>
      <c r="AO602" s="12" t="n"/>
      <c r="AP602" s="12" t="n"/>
      <c r="AQ602" s="12" t="n"/>
      <c r="AR602" s="12" t="n"/>
      <c r="AS602" s="12" t="n"/>
      <c r="AT602" s="12" t="n"/>
      <c r="AU602" s="12" t="n"/>
      <c r="AV602" s="11" t="n"/>
      <c r="AW602" s="12" t="n"/>
      <c r="AX602" s="12" t="n"/>
      <c r="AY602" s="12" t="n"/>
      <c r="AZ602" s="12" t="n"/>
      <c r="BA602" s="12" t="n"/>
      <c r="BB602" s="12" t="n"/>
      <c r="BC602" s="12" t="n"/>
      <c r="BD602" s="12" t="n"/>
      <c r="BE602" s="12" t="n"/>
      <c r="BF602" s="12" t="n"/>
    </row>
    <row r="603">
      <c r="A603" s="7">
        <f>IF(B603="","","INS-"&amp;TEXT(ROW()-3,"000"))</f>
        <v/>
      </c>
      <c r="B603" s="11" t="n"/>
      <c r="C603" s="7">
        <f>IF(B603="","",ISOWEEKNUM(B603))</f>
        <v/>
      </c>
      <c r="D603" s="7">
        <f>IF(B603="","",TEXT(B603,"yyyy-mm"))</f>
        <v/>
      </c>
      <c r="E603" s="12" t="n"/>
      <c r="F603" s="12" t="n"/>
      <c r="G603" s="7">
        <f>IF(OR(E603="",F603=""),"",IF(COUNTIF(Cluster_Master!$I$3:$I$17,E603&amp;"|"&amp;F603)=1,"Valid","Review"))</f>
        <v/>
      </c>
      <c r="H603" s="7">
        <f>IF($G603&lt;&gt;"Valid","",VLOOKUP($E603&amp;"|"&amp;$F603,Cluster_Master!$I$3:$H$17,3,FALSE))</f>
        <v/>
      </c>
      <c r="I603" s="7">
        <f>IF($G603&lt;&gt;"Valid","",VLOOKUP($E603&amp;"|"&amp;$F603,Cluster_Master!$I$3:$H$17,4,FALSE))</f>
        <v/>
      </c>
      <c r="J603" s="7">
        <f>IF($G603&lt;&gt;"Valid","",VLOOKUP($E603&amp;"|"&amp;$F603,Cluster_Master!$I$3:$H$17,5,FALSE))</f>
        <v/>
      </c>
      <c r="K603" s="7">
        <f>IF($G603&lt;&gt;"Valid","",VLOOKUP($E603&amp;"|"&amp;$F603,Cluster_Master!$I$3:$H$17,6,FALSE))</f>
        <v/>
      </c>
      <c r="L603" s="7">
        <f>IF($G603&lt;&gt;"Valid","",VLOOKUP($E603&amp;"|"&amp;$F603,Cluster_Master!$I$3:$H$17,7,FALSE))</f>
        <v/>
      </c>
      <c r="M603" s="7">
        <f>IF($G603&lt;&gt;"Valid","",VLOOKUP($E603&amp;"|"&amp;$F603,Cluster_Master!$I$3:$H$17,8,FALSE))</f>
        <v/>
      </c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7">
        <f>IF(COUNT(T603:AH603)=0,"",SUM(T603:AH603))</f>
        <v/>
      </c>
      <c r="AJ603" s="10">
        <f>IF(AI603="","",AI603/75)</f>
        <v/>
      </c>
      <c r="AK603" s="10">
        <f>IF(AI603="","",SUMPRODUCT(T603:AH603,KPI_Weights!$B$3:$B$17)/5)</f>
        <v/>
      </c>
      <c r="AL603" s="7">
        <f>IF(COUNT(T603:AH603)=0,"",IF(OR(T603&lt;=1,W603&lt;=1,X603&lt;=1,Y603&lt;=1,AB603&lt;=1),"YES","NO"))</f>
        <v/>
      </c>
      <c r="AM603" s="7">
        <f>IF(AK603="","",IF(AND(AK603="NO",AJ603&gt;=0.85),"YES","NO"))</f>
        <v/>
      </c>
      <c r="AN603" s="7">
        <f>IF(AJ603="","",IF(AJ603&gt;=0.90,"Excellent",IF(AJ603&gt;=0.80,"Good",IF(AJ603&gt;=0.70,"Fair","Poor"))))</f>
        <v/>
      </c>
      <c r="AO603" s="12" t="n"/>
      <c r="AP603" s="12" t="n"/>
      <c r="AQ603" s="12" t="n"/>
      <c r="AR603" s="12" t="n"/>
      <c r="AS603" s="12" t="n"/>
      <c r="AT603" s="12" t="n"/>
      <c r="AU603" s="12" t="n"/>
      <c r="AV603" s="11" t="n"/>
      <c r="AW603" s="12" t="n"/>
      <c r="AX603" s="12" t="n"/>
      <c r="AY603" s="12" t="n"/>
      <c r="AZ603" s="12" t="n"/>
      <c r="BA603" s="12" t="n"/>
      <c r="BB603" s="12" t="n"/>
      <c r="BC603" s="12" t="n"/>
      <c r="BD603" s="12" t="n"/>
      <c r="BE603" s="12" t="n"/>
      <c r="BF603" s="12" t="n"/>
    </row>
    <row r="604">
      <c r="A604" s="7">
        <f>IF(B604="","","INS-"&amp;TEXT(ROW()-3,"000"))</f>
        <v/>
      </c>
      <c r="B604" s="11" t="n"/>
      <c r="C604" s="7">
        <f>IF(B604="","",ISOWEEKNUM(B604))</f>
        <v/>
      </c>
      <c r="D604" s="7">
        <f>IF(B604="","",TEXT(B604,"yyyy-mm"))</f>
        <v/>
      </c>
      <c r="E604" s="12" t="n"/>
      <c r="F604" s="12" t="n"/>
      <c r="G604" s="7">
        <f>IF(OR(E604="",F604=""),"",IF(COUNTIF(Cluster_Master!$I$3:$I$17,E604&amp;"|"&amp;F604)=1,"Valid","Review"))</f>
        <v/>
      </c>
      <c r="H604" s="7">
        <f>IF($G604&lt;&gt;"Valid","",VLOOKUP($E604&amp;"|"&amp;$F604,Cluster_Master!$I$3:$H$17,3,FALSE))</f>
        <v/>
      </c>
      <c r="I604" s="7">
        <f>IF($G604&lt;&gt;"Valid","",VLOOKUP($E604&amp;"|"&amp;$F604,Cluster_Master!$I$3:$H$17,4,FALSE))</f>
        <v/>
      </c>
      <c r="J604" s="7">
        <f>IF($G604&lt;&gt;"Valid","",VLOOKUP($E604&amp;"|"&amp;$F604,Cluster_Master!$I$3:$H$17,5,FALSE))</f>
        <v/>
      </c>
      <c r="K604" s="7">
        <f>IF($G604&lt;&gt;"Valid","",VLOOKUP($E604&amp;"|"&amp;$F604,Cluster_Master!$I$3:$H$17,6,FALSE))</f>
        <v/>
      </c>
      <c r="L604" s="7">
        <f>IF($G604&lt;&gt;"Valid","",VLOOKUP($E604&amp;"|"&amp;$F604,Cluster_Master!$I$3:$H$17,7,FALSE))</f>
        <v/>
      </c>
      <c r="M604" s="7">
        <f>IF($G604&lt;&gt;"Valid","",VLOOKUP($E604&amp;"|"&amp;$F604,Cluster_Master!$I$3:$H$17,8,FALSE))</f>
        <v/>
      </c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7">
        <f>IF(COUNT(T604:AH604)=0,"",SUM(T604:AH604))</f>
        <v/>
      </c>
      <c r="AJ604" s="10">
        <f>IF(AI604="","",AI604/75)</f>
        <v/>
      </c>
      <c r="AK604" s="10">
        <f>IF(AI604="","",SUMPRODUCT(T604:AH604,KPI_Weights!$B$3:$B$17)/5)</f>
        <v/>
      </c>
      <c r="AL604" s="7">
        <f>IF(COUNT(T604:AH604)=0,"",IF(OR(T604&lt;=1,W604&lt;=1,X604&lt;=1,Y604&lt;=1,AB604&lt;=1),"YES","NO"))</f>
        <v/>
      </c>
      <c r="AM604" s="7">
        <f>IF(AK604="","",IF(AND(AK604="NO",AJ604&gt;=0.85),"YES","NO"))</f>
        <v/>
      </c>
      <c r="AN604" s="7">
        <f>IF(AJ604="","",IF(AJ604&gt;=0.90,"Excellent",IF(AJ604&gt;=0.80,"Good",IF(AJ604&gt;=0.70,"Fair","Poor"))))</f>
        <v/>
      </c>
      <c r="AO604" s="12" t="n"/>
      <c r="AP604" s="12" t="n"/>
      <c r="AQ604" s="12" t="n"/>
      <c r="AR604" s="12" t="n"/>
      <c r="AS604" s="12" t="n"/>
      <c r="AT604" s="12" t="n"/>
      <c r="AU604" s="12" t="n"/>
      <c r="AV604" s="11" t="n"/>
      <c r="AW604" s="12" t="n"/>
      <c r="AX604" s="12" t="n"/>
      <c r="AY604" s="12" t="n"/>
      <c r="AZ604" s="12" t="n"/>
      <c r="BA604" s="12" t="n"/>
      <c r="BB604" s="12" t="n"/>
      <c r="BC604" s="12" t="n"/>
      <c r="BD604" s="12" t="n"/>
      <c r="BE604" s="12" t="n"/>
      <c r="BF604" s="12" t="n"/>
    </row>
    <row r="605">
      <c r="A605" s="7">
        <f>IF(B605="","","INS-"&amp;TEXT(ROW()-3,"000"))</f>
        <v/>
      </c>
      <c r="B605" s="11" t="n"/>
      <c r="C605" s="7">
        <f>IF(B605="","",ISOWEEKNUM(B605))</f>
        <v/>
      </c>
      <c r="D605" s="7">
        <f>IF(B605="","",TEXT(B605,"yyyy-mm"))</f>
        <v/>
      </c>
      <c r="E605" s="12" t="n"/>
      <c r="F605" s="12" t="n"/>
      <c r="G605" s="7">
        <f>IF(OR(E605="",F605=""),"",IF(COUNTIF(Cluster_Master!$I$3:$I$17,E605&amp;"|"&amp;F605)=1,"Valid","Review"))</f>
        <v/>
      </c>
      <c r="H605" s="7">
        <f>IF($G605&lt;&gt;"Valid","",VLOOKUP($E605&amp;"|"&amp;$F605,Cluster_Master!$I$3:$H$17,3,FALSE))</f>
        <v/>
      </c>
      <c r="I605" s="7">
        <f>IF($G605&lt;&gt;"Valid","",VLOOKUP($E605&amp;"|"&amp;$F605,Cluster_Master!$I$3:$H$17,4,FALSE))</f>
        <v/>
      </c>
      <c r="J605" s="7">
        <f>IF($G605&lt;&gt;"Valid","",VLOOKUP($E605&amp;"|"&amp;$F605,Cluster_Master!$I$3:$H$17,5,FALSE))</f>
        <v/>
      </c>
      <c r="K605" s="7">
        <f>IF($G605&lt;&gt;"Valid","",VLOOKUP($E605&amp;"|"&amp;$F605,Cluster_Master!$I$3:$H$17,6,FALSE))</f>
        <v/>
      </c>
      <c r="L605" s="7">
        <f>IF($G605&lt;&gt;"Valid","",VLOOKUP($E605&amp;"|"&amp;$F605,Cluster_Master!$I$3:$H$17,7,FALSE))</f>
        <v/>
      </c>
      <c r="M605" s="7">
        <f>IF($G605&lt;&gt;"Valid","",VLOOKUP($E605&amp;"|"&amp;$F605,Cluster_Master!$I$3:$H$17,8,FALSE))</f>
        <v/>
      </c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7">
        <f>IF(COUNT(T605:AH605)=0,"",SUM(T605:AH605))</f>
        <v/>
      </c>
      <c r="AJ605" s="10">
        <f>IF(AI605="","",AI605/75)</f>
        <v/>
      </c>
      <c r="AK605" s="10">
        <f>IF(AI605="","",SUMPRODUCT(T605:AH605,KPI_Weights!$B$3:$B$17)/5)</f>
        <v/>
      </c>
      <c r="AL605" s="7">
        <f>IF(COUNT(T605:AH605)=0,"",IF(OR(T605&lt;=1,W605&lt;=1,X605&lt;=1,Y605&lt;=1,AB605&lt;=1),"YES","NO"))</f>
        <v/>
      </c>
      <c r="AM605" s="7">
        <f>IF(AK605="","",IF(AND(AK605="NO",AJ605&gt;=0.85),"YES","NO"))</f>
        <v/>
      </c>
      <c r="AN605" s="7">
        <f>IF(AJ605="","",IF(AJ605&gt;=0.90,"Excellent",IF(AJ605&gt;=0.80,"Good",IF(AJ605&gt;=0.70,"Fair","Poor"))))</f>
        <v/>
      </c>
      <c r="AO605" s="12" t="n"/>
      <c r="AP605" s="12" t="n"/>
      <c r="AQ605" s="12" t="n"/>
      <c r="AR605" s="12" t="n"/>
      <c r="AS605" s="12" t="n"/>
      <c r="AT605" s="12" t="n"/>
      <c r="AU605" s="12" t="n"/>
      <c r="AV605" s="11" t="n"/>
      <c r="AW605" s="12" t="n"/>
      <c r="AX605" s="12" t="n"/>
      <c r="AY605" s="12" t="n"/>
      <c r="AZ605" s="12" t="n"/>
      <c r="BA605" s="12" t="n"/>
      <c r="BB605" s="12" t="n"/>
      <c r="BC605" s="12" t="n"/>
      <c r="BD605" s="12" t="n"/>
      <c r="BE605" s="12" t="n"/>
      <c r="BF605" s="12" t="n"/>
    </row>
    <row r="606">
      <c r="A606" s="7">
        <f>IF(B606="","","INS-"&amp;TEXT(ROW()-3,"000"))</f>
        <v/>
      </c>
      <c r="B606" s="11" t="n"/>
      <c r="C606" s="7">
        <f>IF(B606="","",ISOWEEKNUM(B606))</f>
        <v/>
      </c>
      <c r="D606" s="7">
        <f>IF(B606="","",TEXT(B606,"yyyy-mm"))</f>
        <v/>
      </c>
      <c r="E606" s="12" t="n"/>
      <c r="F606" s="12" t="n"/>
      <c r="G606" s="7">
        <f>IF(OR(E606="",F606=""),"",IF(COUNTIF(Cluster_Master!$I$3:$I$17,E606&amp;"|"&amp;F606)=1,"Valid","Review"))</f>
        <v/>
      </c>
      <c r="H606" s="7">
        <f>IF($G606&lt;&gt;"Valid","",VLOOKUP($E606&amp;"|"&amp;$F606,Cluster_Master!$I$3:$H$17,3,FALSE))</f>
        <v/>
      </c>
      <c r="I606" s="7">
        <f>IF($G606&lt;&gt;"Valid","",VLOOKUP($E606&amp;"|"&amp;$F606,Cluster_Master!$I$3:$H$17,4,FALSE))</f>
        <v/>
      </c>
      <c r="J606" s="7">
        <f>IF($G606&lt;&gt;"Valid","",VLOOKUP($E606&amp;"|"&amp;$F606,Cluster_Master!$I$3:$H$17,5,FALSE))</f>
        <v/>
      </c>
      <c r="K606" s="7">
        <f>IF($G606&lt;&gt;"Valid","",VLOOKUP($E606&amp;"|"&amp;$F606,Cluster_Master!$I$3:$H$17,6,FALSE))</f>
        <v/>
      </c>
      <c r="L606" s="7">
        <f>IF($G606&lt;&gt;"Valid","",VLOOKUP($E606&amp;"|"&amp;$F606,Cluster_Master!$I$3:$H$17,7,FALSE))</f>
        <v/>
      </c>
      <c r="M606" s="7">
        <f>IF($G606&lt;&gt;"Valid","",VLOOKUP($E606&amp;"|"&amp;$F606,Cluster_Master!$I$3:$H$17,8,FALSE))</f>
        <v/>
      </c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7">
        <f>IF(COUNT(T606:AH606)=0,"",SUM(T606:AH606))</f>
        <v/>
      </c>
      <c r="AJ606" s="10">
        <f>IF(AI606="","",AI606/75)</f>
        <v/>
      </c>
      <c r="AK606" s="10">
        <f>IF(AI606="","",SUMPRODUCT(T606:AH606,KPI_Weights!$B$3:$B$17)/5)</f>
        <v/>
      </c>
      <c r="AL606" s="7">
        <f>IF(COUNT(T606:AH606)=0,"",IF(OR(T606&lt;=1,W606&lt;=1,X606&lt;=1,Y606&lt;=1,AB606&lt;=1),"YES","NO"))</f>
        <v/>
      </c>
      <c r="AM606" s="7">
        <f>IF(AK606="","",IF(AND(AK606="NO",AJ606&gt;=0.85),"YES","NO"))</f>
        <v/>
      </c>
      <c r="AN606" s="7">
        <f>IF(AJ606="","",IF(AJ606&gt;=0.90,"Excellent",IF(AJ606&gt;=0.80,"Good",IF(AJ606&gt;=0.70,"Fair","Poor"))))</f>
        <v/>
      </c>
      <c r="AO606" s="12" t="n"/>
      <c r="AP606" s="12" t="n"/>
      <c r="AQ606" s="12" t="n"/>
      <c r="AR606" s="12" t="n"/>
      <c r="AS606" s="12" t="n"/>
      <c r="AT606" s="12" t="n"/>
      <c r="AU606" s="12" t="n"/>
      <c r="AV606" s="11" t="n"/>
      <c r="AW606" s="12" t="n"/>
      <c r="AX606" s="12" t="n"/>
      <c r="AY606" s="12" t="n"/>
      <c r="AZ606" s="12" t="n"/>
      <c r="BA606" s="12" t="n"/>
      <c r="BB606" s="12" t="n"/>
      <c r="BC606" s="12" t="n"/>
      <c r="BD606" s="12" t="n"/>
      <c r="BE606" s="12" t="n"/>
      <c r="BF606" s="12" t="n"/>
    </row>
    <row r="607">
      <c r="A607" s="7">
        <f>IF(B607="","","INS-"&amp;TEXT(ROW()-3,"000"))</f>
        <v/>
      </c>
      <c r="B607" s="11" t="n"/>
      <c r="C607" s="7">
        <f>IF(B607="","",ISOWEEKNUM(B607))</f>
        <v/>
      </c>
      <c r="D607" s="7">
        <f>IF(B607="","",TEXT(B607,"yyyy-mm"))</f>
        <v/>
      </c>
      <c r="E607" s="12" t="n"/>
      <c r="F607" s="12" t="n"/>
      <c r="G607" s="7">
        <f>IF(OR(E607="",F607=""),"",IF(COUNTIF(Cluster_Master!$I$3:$I$17,E607&amp;"|"&amp;F607)=1,"Valid","Review"))</f>
        <v/>
      </c>
      <c r="H607" s="7">
        <f>IF($G607&lt;&gt;"Valid","",VLOOKUP($E607&amp;"|"&amp;$F607,Cluster_Master!$I$3:$H$17,3,FALSE))</f>
        <v/>
      </c>
      <c r="I607" s="7">
        <f>IF($G607&lt;&gt;"Valid","",VLOOKUP($E607&amp;"|"&amp;$F607,Cluster_Master!$I$3:$H$17,4,FALSE))</f>
        <v/>
      </c>
      <c r="J607" s="7">
        <f>IF($G607&lt;&gt;"Valid","",VLOOKUP($E607&amp;"|"&amp;$F607,Cluster_Master!$I$3:$H$17,5,FALSE))</f>
        <v/>
      </c>
      <c r="K607" s="7">
        <f>IF($G607&lt;&gt;"Valid","",VLOOKUP($E607&amp;"|"&amp;$F607,Cluster_Master!$I$3:$H$17,6,FALSE))</f>
        <v/>
      </c>
      <c r="L607" s="7">
        <f>IF($G607&lt;&gt;"Valid","",VLOOKUP($E607&amp;"|"&amp;$F607,Cluster_Master!$I$3:$H$17,7,FALSE))</f>
        <v/>
      </c>
      <c r="M607" s="7">
        <f>IF($G607&lt;&gt;"Valid","",VLOOKUP($E607&amp;"|"&amp;$F607,Cluster_Master!$I$3:$H$17,8,FALSE))</f>
        <v/>
      </c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7">
        <f>IF(COUNT(T607:AH607)=0,"",SUM(T607:AH607))</f>
        <v/>
      </c>
      <c r="AJ607" s="10">
        <f>IF(AI607="","",AI607/75)</f>
        <v/>
      </c>
      <c r="AK607" s="10">
        <f>IF(AI607="","",SUMPRODUCT(T607:AH607,KPI_Weights!$B$3:$B$17)/5)</f>
        <v/>
      </c>
      <c r="AL607" s="7">
        <f>IF(COUNT(T607:AH607)=0,"",IF(OR(T607&lt;=1,W607&lt;=1,X607&lt;=1,Y607&lt;=1,AB607&lt;=1),"YES","NO"))</f>
        <v/>
      </c>
      <c r="AM607" s="7">
        <f>IF(AK607="","",IF(AND(AK607="NO",AJ607&gt;=0.85),"YES","NO"))</f>
        <v/>
      </c>
      <c r="AN607" s="7">
        <f>IF(AJ607="","",IF(AJ607&gt;=0.90,"Excellent",IF(AJ607&gt;=0.80,"Good",IF(AJ607&gt;=0.70,"Fair","Poor"))))</f>
        <v/>
      </c>
      <c r="AO607" s="12" t="n"/>
      <c r="AP607" s="12" t="n"/>
      <c r="AQ607" s="12" t="n"/>
      <c r="AR607" s="12" t="n"/>
      <c r="AS607" s="12" t="n"/>
      <c r="AT607" s="12" t="n"/>
      <c r="AU607" s="12" t="n"/>
      <c r="AV607" s="11" t="n"/>
      <c r="AW607" s="12" t="n"/>
      <c r="AX607" s="12" t="n"/>
      <c r="AY607" s="12" t="n"/>
      <c r="AZ607" s="12" t="n"/>
      <c r="BA607" s="12" t="n"/>
      <c r="BB607" s="12" t="n"/>
      <c r="BC607" s="12" t="n"/>
      <c r="BD607" s="12" t="n"/>
      <c r="BE607" s="12" t="n"/>
      <c r="BF607" s="12" t="n"/>
    </row>
    <row r="608">
      <c r="A608" s="7">
        <f>IF(B608="","","INS-"&amp;TEXT(ROW()-3,"000"))</f>
        <v/>
      </c>
      <c r="B608" s="11" t="n"/>
      <c r="C608" s="7">
        <f>IF(B608="","",ISOWEEKNUM(B608))</f>
        <v/>
      </c>
      <c r="D608" s="7">
        <f>IF(B608="","",TEXT(B608,"yyyy-mm"))</f>
        <v/>
      </c>
      <c r="E608" s="12" t="n"/>
      <c r="F608" s="12" t="n"/>
      <c r="G608" s="7">
        <f>IF(OR(E608="",F608=""),"",IF(COUNTIF(Cluster_Master!$I$3:$I$17,E608&amp;"|"&amp;F608)=1,"Valid","Review"))</f>
        <v/>
      </c>
      <c r="H608" s="7">
        <f>IF($G608&lt;&gt;"Valid","",VLOOKUP($E608&amp;"|"&amp;$F608,Cluster_Master!$I$3:$H$17,3,FALSE))</f>
        <v/>
      </c>
      <c r="I608" s="7">
        <f>IF($G608&lt;&gt;"Valid","",VLOOKUP($E608&amp;"|"&amp;$F608,Cluster_Master!$I$3:$H$17,4,FALSE))</f>
        <v/>
      </c>
      <c r="J608" s="7">
        <f>IF($G608&lt;&gt;"Valid","",VLOOKUP($E608&amp;"|"&amp;$F608,Cluster_Master!$I$3:$H$17,5,FALSE))</f>
        <v/>
      </c>
      <c r="K608" s="7">
        <f>IF($G608&lt;&gt;"Valid","",VLOOKUP($E608&amp;"|"&amp;$F608,Cluster_Master!$I$3:$H$17,6,FALSE))</f>
        <v/>
      </c>
      <c r="L608" s="7">
        <f>IF($G608&lt;&gt;"Valid","",VLOOKUP($E608&amp;"|"&amp;$F608,Cluster_Master!$I$3:$H$17,7,FALSE))</f>
        <v/>
      </c>
      <c r="M608" s="7">
        <f>IF($G608&lt;&gt;"Valid","",VLOOKUP($E608&amp;"|"&amp;$F608,Cluster_Master!$I$3:$H$17,8,FALSE))</f>
        <v/>
      </c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7">
        <f>IF(COUNT(T608:AH608)=0,"",SUM(T608:AH608))</f>
        <v/>
      </c>
      <c r="AJ608" s="10">
        <f>IF(AI608="","",AI608/75)</f>
        <v/>
      </c>
      <c r="AK608" s="10">
        <f>IF(AI608="","",SUMPRODUCT(T608:AH608,KPI_Weights!$B$3:$B$17)/5)</f>
        <v/>
      </c>
      <c r="AL608" s="7">
        <f>IF(COUNT(T608:AH608)=0,"",IF(OR(T608&lt;=1,W608&lt;=1,X608&lt;=1,Y608&lt;=1,AB608&lt;=1),"YES","NO"))</f>
        <v/>
      </c>
      <c r="AM608" s="7">
        <f>IF(AK608="","",IF(AND(AK608="NO",AJ608&gt;=0.85),"YES","NO"))</f>
        <v/>
      </c>
      <c r="AN608" s="7">
        <f>IF(AJ608="","",IF(AJ608&gt;=0.90,"Excellent",IF(AJ608&gt;=0.80,"Good",IF(AJ608&gt;=0.70,"Fair","Poor"))))</f>
        <v/>
      </c>
      <c r="AO608" s="12" t="n"/>
      <c r="AP608" s="12" t="n"/>
      <c r="AQ608" s="12" t="n"/>
      <c r="AR608" s="12" t="n"/>
      <c r="AS608" s="12" t="n"/>
      <c r="AT608" s="12" t="n"/>
      <c r="AU608" s="12" t="n"/>
      <c r="AV608" s="11" t="n"/>
      <c r="AW608" s="12" t="n"/>
      <c r="AX608" s="12" t="n"/>
      <c r="AY608" s="12" t="n"/>
      <c r="AZ608" s="12" t="n"/>
      <c r="BA608" s="12" t="n"/>
      <c r="BB608" s="12" t="n"/>
      <c r="BC608" s="12" t="n"/>
      <c r="BD608" s="12" t="n"/>
      <c r="BE608" s="12" t="n"/>
      <c r="BF608" s="12" t="n"/>
    </row>
    <row r="609">
      <c r="A609" s="7">
        <f>IF(B609="","","INS-"&amp;TEXT(ROW()-3,"000"))</f>
        <v/>
      </c>
      <c r="B609" s="11" t="n"/>
      <c r="C609" s="7">
        <f>IF(B609="","",ISOWEEKNUM(B609))</f>
        <v/>
      </c>
      <c r="D609" s="7">
        <f>IF(B609="","",TEXT(B609,"yyyy-mm"))</f>
        <v/>
      </c>
      <c r="E609" s="12" t="n"/>
      <c r="F609" s="12" t="n"/>
      <c r="G609" s="7">
        <f>IF(OR(E609="",F609=""),"",IF(COUNTIF(Cluster_Master!$I$3:$I$17,E609&amp;"|"&amp;F609)=1,"Valid","Review"))</f>
        <v/>
      </c>
      <c r="H609" s="7">
        <f>IF($G609&lt;&gt;"Valid","",VLOOKUP($E609&amp;"|"&amp;$F609,Cluster_Master!$I$3:$H$17,3,FALSE))</f>
        <v/>
      </c>
      <c r="I609" s="7">
        <f>IF($G609&lt;&gt;"Valid","",VLOOKUP($E609&amp;"|"&amp;$F609,Cluster_Master!$I$3:$H$17,4,FALSE))</f>
        <v/>
      </c>
      <c r="J609" s="7">
        <f>IF($G609&lt;&gt;"Valid","",VLOOKUP($E609&amp;"|"&amp;$F609,Cluster_Master!$I$3:$H$17,5,FALSE))</f>
        <v/>
      </c>
      <c r="K609" s="7">
        <f>IF($G609&lt;&gt;"Valid","",VLOOKUP($E609&amp;"|"&amp;$F609,Cluster_Master!$I$3:$H$17,6,FALSE))</f>
        <v/>
      </c>
      <c r="L609" s="7">
        <f>IF($G609&lt;&gt;"Valid","",VLOOKUP($E609&amp;"|"&amp;$F609,Cluster_Master!$I$3:$H$17,7,FALSE))</f>
        <v/>
      </c>
      <c r="M609" s="7">
        <f>IF($G609&lt;&gt;"Valid","",VLOOKUP($E609&amp;"|"&amp;$F609,Cluster_Master!$I$3:$H$17,8,FALSE))</f>
        <v/>
      </c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7">
        <f>IF(COUNT(T609:AH609)=0,"",SUM(T609:AH609))</f>
        <v/>
      </c>
      <c r="AJ609" s="10">
        <f>IF(AI609="","",AI609/75)</f>
        <v/>
      </c>
      <c r="AK609" s="10">
        <f>IF(AI609="","",SUMPRODUCT(T609:AH609,KPI_Weights!$B$3:$B$17)/5)</f>
        <v/>
      </c>
      <c r="AL609" s="7">
        <f>IF(COUNT(T609:AH609)=0,"",IF(OR(T609&lt;=1,W609&lt;=1,X609&lt;=1,Y609&lt;=1,AB609&lt;=1),"YES","NO"))</f>
        <v/>
      </c>
      <c r="AM609" s="7">
        <f>IF(AK609="","",IF(AND(AK609="NO",AJ609&gt;=0.85),"YES","NO"))</f>
        <v/>
      </c>
      <c r="AN609" s="7">
        <f>IF(AJ609="","",IF(AJ609&gt;=0.90,"Excellent",IF(AJ609&gt;=0.80,"Good",IF(AJ609&gt;=0.70,"Fair","Poor"))))</f>
        <v/>
      </c>
      <c r="AO609" s="12" t="n"/>
      <c r="AP609" s="12" t="n"/>
      <c r="AQ609" s="12" t="n"/>
      <c r="AR609" s="12" t="n"/>
      <c r="AS609" s="12" t="n"/>
      <c r="AT609" s="12" t="n"/>
      <c r="AU609" s="12" t="n"/>
      <c r="AV609" s="11" t="n"/>
      <c r="AW609" s="12" t="n"/>
      <c r="AX609" s="12" t="n"/>
      <c r="AY609" s="12" t="n"/>
      <c r="AZ609" s="12" t="n"/>
      <c r="BA609" s="12" t="n"/>
      <c r="BB609" s="12" t="n"/>
      <c r="BC609" s="12" t="n"/>
      <c r="BD609" s="12" t="n"/>
      <c r="BE609" s="12" t="n"/>
      <c r="BF609" s="12" t="n"/>
    </row>
    <row r="610">
      <c r="A610" s="7">
        <f>IF(B610="","","INS-"&amp;TEXT(ROW()-3,"000"))</f>
        <v/>
      </c>
      <c r="B610" s="11" t="n"/>
      <c r="C610" s="7">
        <f>IF(B610="","",ISOWEEKNUM(B610))</f>
        <v/>
      </c>
      <c r="D610" s="7">
        <f>IF(B610="","",TEXT(B610,"yyyy-mm"))</f>
        <v/>
      </c>
      <c r="E610" s="12" t="n"/>
      <c r="F610" s="12" t="n"/>
      <c r="G610" s="7">
        <f>IF(OR(E610="",F610=""),"",IF(COUNTIF(Cluster_Master!$I$3:$I$17,E610&amp;"|"&amp;F610)=1,"Valid","Review"))</f>
        <v/>
      </c>
      <c r="H610" s="7">
        <f>IF($G610&lt;&gt;"Valid","",VLOOKUP($E610&amp;"|"&amp;$F610,Cluster_Master!$I$3:$H$17,3,FALSE))</f>
        <v/>
      </c>
      <c r="I610" s="7">
        <f>IF($G610&lt;&gt;"Valid","",VLOOKUP($E610&amp;"|"&amp;$F610,Cluster_Master!$I$3:$H$17,4,FALSE))</f>
        <v/>
      </c>
      <c r="J610" s="7">
        <f>IF($G610&lt;&gt;"Valid","",VLOOKUP($E610&amp;"|"&amp;$F610,Cluster_Master!$I$3:$H$17,5,FALSE))</f>
        <v/>
      </c>
      <c r="K610" s="7">
        <f>IF($G610&lt;&gt;"Valid","",VLOOKUP($E610&amp;"|"&amp;$F610,Cluster_Master!$I$3:$H$17,6,FALSE))</f>
        <v/>
      </c>
      <c r="L610" s="7">
        <f>IF($G610&lt;&gt;"Valid","",VLOOKUP($E610&amp;"|"&amp;$F610,Cluster_Master!$I$3:$H$17,7,FALSE))</f>
        <v/>
      </c>
      <c r="M610" s="7">
        <f>IF($G610&lt;&gt;"Valid","",VLOOKUP($E610&amp;"|"&amp;$F610,Cluster_Master!$I$3:$H$17,8,FALSE))</f>
        <v/>
      </c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7">
        <f>IF(COUNT(T610:AH610)=0,"",SUM(T610:AH610))</f>
        <v/>
      </c>
      <c r="AJ610" s="10">
        <f>IF(AI610="","",AI610/75)</f>
        <v/>
      </c>
      <c r="AK610" s="10">
        <f>IF(AI610="","",SUMPRODUCT(T610:AH610,KPI_Weights!$B$3:$B$17)/5)</f>
        <v/>
      </c>
      <c r="AL610" s="7">
        <f>IF(COUNT(T610:AH610)=0,"",IF(OR(T610&lt;=1,W610&lt;=1,X610&lt;=1,Y610&lt;=1,AB610&lt;=1),"YES","NO"))</f>
        <v/>
      </c>
      <c r="AM610" s="7">
        <f>IF(AK610="","",IF(AND(AK610="NO",AJ610&gt;=0.85),"YES","NO"))</f>
        <v/>
      </c>
      <c r="AN610" s="7">
        <f>IF(AJ610="","",IF(AJ610&gt;=0.90,"Excellent",IF(AJ610&gt;=0.80,"Good",IF(AJ610&gt;=0.70,"Fair","Poor"))))</f>
        <v/>
      </c>
      <c r="AO610" s="12" t="n"/>
      <c r="AP610" s="12" t="n"/>
      <c r="AQ610" s="12" t="n"/>
      <c r="AR610" s="12" t="n"/>
      <c r="AS610" s="12" t="n"/>
      <c r="AT610" s="12" t="n"/>
      <c r="AU610" s="12" t="n"/>
      <c r="AV610" s="11" t="n"/>
      <c r="AW610" s="12" t="n"/>
      <c r="AX610" s="12" t="n"/>
      <c r="AY610" s="12" t="n"/>
      <c r="AZ610" s="12" t="n"/>
      <c r="BA610" s="12" t="n"/>
      <c r="BB610" s="12" t="n"/>
      <c r="BC610" s="12" t="n"/>
      <c r="BD610" s="12" t="n"/>
      <c r="BE610" s="12" t="n"/>
      <c r="BF610" s="12" t="n"/>
    </row>
    <row r="611">
      <c r="A611" s="7">
        <f>IF(B611="","","INS-"&amp;TEXT(ROW()-3,"000"))</f>
        <v/>
      </c>
      <c r="B611" s="11" t="n"/>
      <c r="C611" s="7">
        <f>IF(B611="","",ISOWEEKNUM(B611))</f>
        <v/>
      </c>
      <c r="D611" s="7">
        <f>IF(B611="","",TEXT(B611,"yyyy-mm"))</f>
        <v/>
      </c>
      <c r="E611" s="12" t="n"/>
      <c r="F611" s="12" t="n"/>
      <c r="G611" s="7">
        <f>IF(OR(E611="",F611=""),"",IF(COUNTIF(Cluster_Master!$I$3:$I$17,E611&amp;"|"&amp;F611)=1,"Valid","Review"))</f>
        <v/>
      </c>
      <c r="H611" s="7">
        <f>IF($G611&lt;&gt;"Valid","",VLOOKUP($E611&amp;"|"&amp;$F611,Cluster_Master!$I$3:$H$17,3,FALSE))</f>
        <v/>
      </c>
      <c r="I611" s="7">
        <f>IF($G611&lt;&gt;"Valid","",VLOOKUP($E611&amp;"|"&amp;$F611,Cluster_Master!$I$3:$H$17,4,FALSE))</f>
        <v/>
      </c>
      <c r="J611" s="7">
        <f>IF($G611&lt;&gt;"Valid","",VLOOKUP($E611&amp;"|"&amp;$F611,Cluster_Master!$I$3:$H$17,5,FALSE))</f>
        <v/>
      </c>
      <c r="K611" s="7">
        <f>IF($G611&lt;&gt;"Valid","",VLOOKUP($E611&amp;"|"&amp;$F611,Cluster_Master!$I$3:$H$17,6,FALSE))</f>
        <v/>
      </c>
      <c r="L611" s="7">
        <f>IF($G611&lt;&gt;"Valid","",VLOOKUP($E611&amp;"|"&amp;$F611,Cluster_Master!$I$3:$H$17,7,FALSE))</f>
        <v/>
      </c>
      <c r="M611" s="7">
        <f>IF($G611&lt;&gt;"Valid","",VLOOKUP($E611&amp;"|"&amp;$F611,Cluster_Master!$I$3:$H$17,8,FALSE))</f>
        <v/>
      </c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7">
        <f>IF(COUNT(T611:AH611)=0,"",SUM(T611:AH611))</f>
        <v/>
      </c>
      <c r="AJ611" s="10">
        <f>IF(AI611="","",AI611/75)</f>
        <v/>
      </c>
      <c r="AK611" s="10">
        <f>IF(AI611="","",SUMPRODUCT(T611:AH611,KPI_Weights!$B$3:$B$17)/5)</f>
        <v/>
      </c>
      <c r="AL611" s="7">
        <f>IF(COUNT(T611:AH611)=0,"",IF(OR(T611&lt;=1,W611&lt;=1,X611&lt;=1,Y611&lt;=1,AB611&lt;=1),"YES","NO"))</f>
        <v/>
      </c>
      <c r="AM611" s="7">
        <f>IF(AK611="","",IF(AND(AK611="NO",AJ611&gt;=0.85),"YES","NO"))</f>
        <v/>
      </c>
      <c r="AN611" s="7">
        <f>IF(AJ611="","",IF(AJ611&gt;=0.90,"Excellent",IF(AJ611&gt;=0.80,"Good",IF(AJ611&gt;=0.70,"Fair","Poor"))))</f>
        <v/>
      </c>
      <c r="AO611" s="12" t="n"/>
      <c r="AP611" s="12" t="n"/>
      <c r="AQ611" s="12" t="n"/>
      <c r="AR611" s="12" t="n"/>
      <c r="AS611" s="12" t="n"/>
      <c r="AT611" s="12" t="n"/>
      <c r="AU611" s="12" t="n"/>
      <c r="AV611" s="11" t="n"/>
      <c r="AW611" s="12" t="n"/>
      <c r="AX611" s="12" t="n"/>
      <c r="AY611" s="12" t="n"/>
      <c r="AZ611" s="12" t="n"/>
      <c r="BA611" s="12" t="n"/>
      <c r="BB611" s="12" t="n"/>
      <c r="BC611" s="12" t="n"/>
      <c r="BD611" s="12" t="n"/>
      <c r="BE611" s="12" t="n"/>
      <c r="BF611" s="12" t="n"/>
    </row>
    <row r="612">
      <c r="A612" s="7">
        <f>IF(B612="","","INS-"&amp;TEXT(ROW()-3,"000"))</f>
        <v/>
      </c>
      <c r="B612" s="11" t="n"/>
      <c r="C612" s="7">
        <f>IF(B612="","",ISOWEEKNUM(B612))</f>
        <v/>
      </c>
      <c r="D612" s="7">
        <f>IF(B612="","",TEXT(B612,"yyyy-mm"))</f>
        <v/>
      </c>
      <c r="E612" s="12" t="n"/>
      <c r="F612" s="12" t="n"/>
      <c r="G612" s="7">
        <f>IF(OR(E612="",F612=""),"",IF(COUNTIF(Cluster_Master!$I$3:$I$17,E612&amp;"|"&amp;F612)=1,"Valid","Review"))</f>
        <v/>
      </c>
      <c r="H612" s="7">
        <f>IF($G612&lt;&gt;"Valid","",VLOOKUP($E612&amp;"|"&amp;$F612,Cluster_Master!$I$3:$H$17,3,FALSE))</f>
        <v/>
      </c>
      <c r="I612" s="7">
        <f>IF($G612&lt;&gt;"Valid","",VLOOKUP($E612&amp;"|"&amp;$F612,Cluster_Master!$I$3:$H$17,4,FALSE))</f>
        <v/>
      </c>
      <c r="J612" s="7">
        <f>IF($G612&lt;&gt;"Valid","",VLOOKUP($E612&amp;"|"&amp;$F612,Cluster_Master!$I$3:$H$17,5,FALSE))</f>
        <v/>
      </c>
      <c r="K612" s="7">
        <f>IF($G612&lt;&gt;"Valid","",VLOOKUP($E612&amp;"|"&amp;$F612,Cluster_Master!$I$3:$H$17,6,FALSE))</f>
        <v/>
      </c>
      <c r="L612" s="7">
        <f>IF($G612&lt;&gt;"Valid","",VLOOKUP($E612&amp;"|"&amp;$F612,Cluster_Master!$I$3:$H$17,7,FALSE))</f>
        <v/>
      </c>
      <c r="M612" s="7">
        <f>IF($G612&lt;&gt;"Valid","",VLOOKUP($E612&amp;"|"&amp;$F612,Cluster_Master!$I$3:$H$17,8,FALSE))</f>
        <v/>
      </c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7">
        <f>IF(COUNT(T612:AH612)=0,"",SUM(T612:AH612))</f>
        <v/>
      </c>
      <c r="AJ612" s="10">
        <f>IF(AI612="","",AI612/75)</f>
        <v/>
      </c>
      <c r="AK612" s="10">
        <f>IF(AI612="","",SUMPRODUCT(T612:AH612,KPI_Weights!$B$3:$B$17)/5)</f>
        <v/>
      </c>
      <c r="AL612" s="7">
        <f>IF(COUNT(T612:AH612)=0,"",IF(OR(T612&lt;=1,W612&lt;=1,X612&lt;=1,Y612&lt;=1,AB612&lt;=1),"YES","NO"))</f>
        <v/>
      </c>
      <c r="AM612" s="7">
        <f>IF(AK612="","",IF(AND(AK612="NO",AJ612&gt;=0.85),"YES","NO"))</f>
        <v/>
      </c>
      <c r="AN612" s="7">
        <f>IF(AJ612="","",IF(AJ612&gt;=0.90,"Excellent",IF(AJ612&gt;=0.80,"Good",IF(AJ612&gt;=0.70,"Fair","Poor"))))</f>
        <v/>
      </c>
      <c r="AO612" s="12" t="n"/>
      <c r="AP612" s="12" t="n"/>
      <c r="AQ612" s="12" t="n"/>
      <c r="AR612" s="12" t="n"/>
      <c r="AS612" s="12" t="n"/>
      <c r="AT612" s="12" t="n"/>
      <c r="AU612" s="12" t="n"/>
      <c r="AV612" s="11" t="n"/>
      <c r="AW612" s="12" t="n"/>
      <c r="AX612" s="12" t="n"/>
      <c r="AY612" s="12" t="n"/>
      <c r="AZ612" s="12" t="n"/>
      <c r="BA612" s="12" t="n"/>
      <c r="BB612" s="12" t="n"/>
      <c r="BC612" s="12" t="n"/>
      <c r="BD612" s="12" t="n"/>
      <c r="BE612" s="12" t="n"/>
      <c r="BF612" s="12" t="n"/>
    </row>
    <row r="613">
      <c r="A613" s="7">
        <f>IF(B613="","","INS-"&amp;TEXT(ROW()-3,"000"))</f>
        <v/>
      </c>
      <c r="B613" s="11" t="n"/>
      <c r="C613" s="7">
        <f>IF(B613="","",ISOWEEKNUM(B613))</f>
        <v/>
      </c>
      <c r="D613" s="7">
        <f>IF(B613="","",TEXT(B613,"yyyy-mm"))</f>
        <v/>
      </c>
      <c r="E613" s="12" t="n"/>
      <c r="F613" s="12" t="n"/>
      <c r="G613" s="7">
        <f>IF(OR(E613="",F613=""),"",IF(COUNTIF(Cluster_Master!$I$3:$I$17,E613&amp;"|"&amp;F613)=1,"Valid","Review"))</f>
        <v/>
      </c>
      <c r="H613" s="7">
        <f>IF($G613&lt;&gt;"Valid","",VLOOKUP($E613&amp;"|"&amp;$F613,Cluster_Master!$I$3:$H$17,3,FALSE))</f>
        <v/>
      </c>
      <c r="I613" s="7">
        <f>IF($G613&lt;&gt;"Valid","",VLOOKUP($E613&amp;"|"&amp;$F613,Cluster_Master!$I$3:$H$17,4,FALSE))</f>
        <v/>
      </c>
      <c r="J613" s="7">
        <f>IF($G613&lt;&gt;"Valid","",VLOOKUP($E613&amp;"|"&amp;$F613,Cluster_Master!$I$3:$H$17,5,FALSE))</f>
        <v/>
      </c>
      <c r="K613" s="7">
        <f>IF($G613&lt;&gt;"Valid","",VLOOKUP($E613&amp;"|"&amp;$F613,Cluster_Master!$I$3:$H$17,6,FALSE))</f>
        <v/>
      </c>
      <c r="L613" s="7">
        <f>IF($G613&lt;&gt;"Valid","",VLOOKUP($E613&amp;"|"&amp;$F613,Cluster_Master!$I$3:$H$17,7,FALSE))</f>
        <v/>
      </c>
      <c r="M613" s="7">
        <f>IF($G613&lt;&gt;"Valid","",VLOOKUP($E613&amp;"|"&amp;$F613,Cluster_Master!$I$3:$H$17,8,FALSE))</f>
        <v/>
      </c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7">
        <f>IF(COUNT(T613:AH613)=0,"",SUM(T613:AH613))</f>
        <v/>
      </c>
      <c r="AJ613" s="10">
        <f>IF(AI613="","",AI613/75)</f>
        <v/>
      </c>
      <c r="AK613" s="10">
        <f>IF(AI613="","",SUMPRODUCT(T613:AH613,KPI_Weights!$B$3:$B$17)/5)</f>
        <v/>
      </c>
      <c r="AL613" s="7">
        <f>IF(COUNT(T613:AH613)=0,"",IF(OR(T613&lt;=1,W613&lt;=1,X613&lt;=1,Y613&lt;=1,AB613&lt;=1),"YES","NO"))</f>
        <v/>
      </c>
      <c r="AM613" s="7">
        <f>IF(AK613="","",IF(AND(AK613="NO",AJ613&gt;=0.85),"YES","NO"))</f>
        <v/>
      </c>
      <c r="AN613" s="7">
        <f>IF(AJ613="","",IF(AJ613&gt;=0.90,"Excellent",IF(AJ613&gt;=0.80,"Good",IF(AJ613&gt;=0.70,"Fair","Poor"))))</f>
        <v/>
      </c>
      <c r="AO613" s="12" t="n"/>
      <c r="AP613" s="12" t="n"/>
      <c r="AQ613" s="12" t="n"/>
      <c r="AR613" s="12" t="n"/>
      <c r="AS613" s="12" t="n"/>
      <c r="AT613" s="12" t="n"/>
      <c r="AU613" s="12" t="n"/>
      <c r="AV613" s="11" t="n"/>
      <c r="AW613" s="12" t="n"/>
      <c r="AX613" s="12" t="n"/>
      <c r="AY613" s="12" t="n"/>
      <c r="AZ613" s="12" t="n"/>
      <c r="BA613" s="12" t="n"/>
      <c r="BB613" s="12" t="n"/>
      <c r="BC613" s="12" t="n"/>
      <c r="BD613" s="12" t="n"/>
      <c r="BE613" s="12" t="n"/>
      <c r="BF613" s="12" t="n"/>
    </row>
    <row r="614">
      <c r="A614" s="7">
        <f>IF(B614="","","INS-"&amp;TEXT(ROW()-3,"000"))</f>
        <v/>
      </c>
      <c r="B614" s="11" t="n"/>
      <c r="C614" s="7">
        <f>IF(B614="","",ISOWEEKNUM(B614))</f>
        <v/>
      </c>
      <c r="D614" s="7">
        <f>IF(B614="","",TEXT(B614,"yyyy-mm"))</f>
        <v/>
      </c>
      <c r="E614" s="12" t="n"/>
      <c r="F614" s="12" t="n"/>
      <c r="G614" s="7">
        <f>IF(OR(E614="",F614=""),"",IF(COUNTIF(Cluster_Master!$I$3:$I$17,E614&amp;"|"&amp;F614)=1,"Valid","Review"))</f>
        <v/>
      </c>
      <c r="H614" s="7">
        <f>IF($G614&lt;&gt;"Valid","",VLOOKUP($E614&amp;"|"&amp;$F614,Cluster_Master!$I$3:$H$17,3,FALSE))</f>
        <v/>
      </c>
      <c r="I614" s="7">
        <f>IF($G614&lt;&gt;"Valid","",VLOOKUP($E614&amp;"|"&amp;$F614,Cluster_Master!$I$3:$H$17,4,FALSE))</f>
        <v/>
      </c>
      <c r="J614" s="7">
        <f>IF($G614&lt;&gt;"Valid","",VLOOKUP($E614&amp;"|"&amp;$F614,Cluster_Master!$I$3:$H$17,5,FALSE))</f>
        <v/>
      </c>
      <c r="K614" s="7">
        <f>IF($G614&lt;&gt;"Valid","",VLOOKUP($E614&amp;"|"&amp;$F614,Cluster_Master!$I$3:$H$17,6,FALSE))</f>
        <v/>
      </c>
      <c r="L614" s="7">
        <f>IF($G614&lt;&gt;"Valid","",VLOOKUP($E614&amp;"|"&amp;$F614,Cluster_Master!$I$3:$H$17,7,FALSE))</f>
        <v/>
      </c>
      <c r="M614" s="7">
        <f>IF($G614&lt;&gt;"Valid","",VLOOKUP($E614&amp;"|"&amp;$F614,Cluster_Master!$I$3:$H$17,8,FALSE))</f>
        <v/>
      </c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7">
        <f>IF(COUNT(T614:AH614)=0,"",SUM(T614:AH614))</f>
        <v/>
      </c>
      <c r="AJ614" s="10">
        <f>IF(AI614="","",AI614/75)</f>
        <v/>
      </c>
      <c r="AK614" s="10">
        <f>IF(AI614="","",SUMPRODUCT(T614:AH614,KPI_Weights!$B$3:$B$17)/5)</f>
        <v/>
      </c>
      <c r="AL614" s="7">
        <f>IF(COUNT(T614:AH614)=0,"",IF(OR(T614&lt;=1,W614&lt;=1,X614&lt;=1,Y614&lt;=1,AB614&lt;=1),"YES","NO"))</f>
        <v/>
      </c>
      <c r="AM614" s="7">
        <f>IF(AK614="","",IF(AND(AK614="NO",AJ614&gt;=0.85),"YES","NO"))</f>
        <v/>
      </c>
      <c r="AN614" s="7">
        <f>IF(AJ614="","",IF(AJ614&gt;=0.90,"Excellent",IF(AJ614&gt;=0.80,"Good",IF(AJ614&gt;=0.70,"Fair","Poor"))))</f>
        <v/>
      </c>
      <c r="AO614" s="12" t="n"/>
      <c r="AP614" s="12" t="n"/>
      <c r="AQ614" s="12" t="n"/>
      <c r="AR614" s="12" t="n"/>
      <c r="AS614" s="12" t="n"/>
      <c r="AT614" s="12" t="n"/>
      <c r="AU614" s="12" t="n"/>
      <c r="AV614" s="11" t="n"/>
      <c r="AW614" s="12" t="n"/>
      <c r="AX614" s="12" t="n"/>
      <c r="AY614" s="12" t="n"/>
      <c r="AZ614" s="12" t="n"/>
      <c r="BA614" s="12" t="n"/>
      <c r="BB614" s="12" t="n"/>
      <c r="BC614" s="12" t="n"/>
      <c r="BD614" s="12" t="n"/>
      <c r="BE614" s="12" t="n"/>
      <c r="BF614" s="12" t="n"/>
    </row>
    <row r="615">
      <c r="A615" s="7">
        <f>IF(B615="","","INS-"&amp;TEXT(ROW()-3,"000"))</f>
        <v/>
      </c>
      <c r="B615" s="11" t="n"/>
      <c r="C615" s="7">
        <f>IF(B615="","",ISOWEEKNUM(B615))</f>
        <v/>
      </c>
      <c r="D615" s="7">
        <f>IF(B615="","",TEXT(B615,"yyyy-mm"))</f>
        <v/>
      </c>
      <c r="E615" s="12" t="n"/>
      <c r="F615" s="12" t="n"/>
      <c r="G615" s="7">
        <f>IF(OR(E615="",F615=""),"",IF(COUNTIF(Cluster_Master!$I$3:$I$17,E615&amp;"|"&amp;F615)=1,"Valid","Review"))</f>
        <v/>
      </c>
      <c r="H615" s="7">
        <f>IF($G615&lt;&gt;"Valid","",VLOOKUP($E615&amp;"|"&amp;$F615,Cluster_Master!$I$3:$H$17,3,FALSE))</f>
        <v/>
      </c>
      <c r="I615" s="7">
        <f>IF($G615&lt;&gt;"Valid","",VLOOKUP($E615&amp;"|"&amp;$F615,Cluster_Master!$I$3:$H$17,4,FALSE))</f>
        <v/>
      </c>
      <c r="J615" s="7">
        <f>IF($G615&lt;&gt;"Valid","",VLOOKUP($E615&amp;"|"&amp;$F615,Cluster_Master!$I$3:$H$17,5,FALSE))</f>
        <v/>
      </c>
      <c r="K615" s="7">
        <f>IF($G615&lt;&gt;"Valid","",VLOOKUP($E615&amp;"|"&amp;$F615,Cluster_Master!$I$3:$H$17,6,FALSE))</f>
        <v/>
      </c>
      <c r="L615" s="7">
        <f>IF($G615&lt;&gt;"Valid","",VLOOKUP($E615&amp;"|"&amp;$F615,Cluster_Master!$I$3:$H$17,7,FALSE))</f>
        <v/>
      </c>
      <c r="M615" s="7">
        <f>IF($G615&lt;&gt;"Valid","",VLOOKUP($E615&amp;"|"&amp;$F615,Cluster_Master!$I$3:$H$17,8,FALSE))</f>
        <v/>
      </c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7">
        <f>IF(COUNT(T615:AH615)=0,"",SUM(T615:AH615))</f>
        <v/>
      </c>
      <c r="AJ615" s="10">
        <f>IF(AI615="","",AI615/75)</f>
        <v/>
      </c>
      <c r="AK615" s="10">
        <f>IF(AI615="","",SUMPRODUCT(T615:AH615,KPI_Weights!$B$3:$B$17)/5)</f>
        <v/>
      </c>
      <c r="AL615" s="7">
        <f>IF(COUNT(T615:AH615)=0,"",IF(OR(T615&lt;=1,W615&lt;=1,X615&lt;=1,Y615&lt;=1,AB615&lt;=1),"YES","NO"))</f>
        <v/>
      </c>
      <c r="AM615" s="7">
        <f>IF(AK615="","",IF(AND(AK615="NO",AJ615&gt;=0.85),"YES","NO"))</f>
        <v/>
      </c>
      <c r="AN615" s="7">
        <f>IF(AJ615="","",IF(AJ615&gt;=0.90,"Excellent",IF(AJ615&gt;=0.80,"Good",IF(AJ615&gt;=0.70,"Fair","Poor"))))</f>
        <v/>
      </c>
      <c r="AO615" s="12" t="n"/>
      <c r="AP615" s="12" t="n"/>
      <c r="AQ615" s="12" t="n"/>
      <c r="AR615" s="12" t="n"/>
      <c r="AS615" s="12" t="n"/>
      <c r="AT615" s="12" t="n"/>
      <c r="AU615" s="12" t="n"/>
      <c r="AV615" s="11" t="n"/>
      <c r="AW615" s="12" t="n"/>
      <c r="AX615" s="12" t="n"/>
      <c r="AY615" s="12" t="n"/>
      <c r="AZ615" s="12" t="n"/>
      <c r="BA615" s="12" t="n"/>
      <c r="BB615" s="12" t="n"/>
      <c r="BC615" s="12" t="n"/>
      <c r="BD615" s="12" t="n"/>
      <c r="BE615" s="12" t="n"/>
      <c r="BF615" s="12" t="n"/>
    </row>
    <row r="616">
      <c r="A616" s="7">
        <f>IF(B616="","","INS-"&amp;TEXT(ROW()-3,"000"))</f>
        <v/>
      </c>
      <c r="B616" s="11" t="n"/>
      <c r="C616" s="7">
        <f>IF(B616="","",ISOWEEKNUM(B616))</f>
        <v/>
      </c>
      <c r="D616" s="7">
        <f>IF(B616="","",TEXT(B616,"yyyy-mm"))</f>
        <v/>
      </c>
      <c r="E616" s="12" t="n"/>
      <c r="F616" s="12" t="n"/>
      <c r="G616" s="7">
        <f>IF(OR(E616="",F616=""),"",IF(COUNTIF(Cluster_Master!$I$3:$I$17,E616&amp;"|"&amp;F616)=1,"Valid","Review"))</f>
        <v/>
      </c>
      <c r="H616" s="7">
        <f>IF($G616&lt;&gt;"Valid","",VLOOKUP($E616&amp;"|"&amp;$F616,Cluster_Master!$I$3:$H$17,3,FALSE))</f>
        <v/>
      </c>
      <c r="I616" s="7">
        <f>IF($G616&lt;&gt;"Valid","",VLOOKUP($E616&amp;"|"&amp;$F616,Cluster_Master!$I$3:$H$17,4,FALSE))</f>
        <v/>
      </c>
      <c r="J616" s="7">
        <f>IF($G616&lt;&gt;"Valid","",VLOOKUP($E616&amp;"|"&amp;$F616,Cluster_Master!$I$3:$H$17,5,FALSE))</f>
        <v/>
      </c>
      <c r="K616" s="7">
        <f>IF($G616&lt;&gt;"Valid","",VLOOKUP($E616&amp;"|"&amp;$F616,Cluster_Master!$I$3:$H$17,6,FALSE))</f>
        <v/>
      </c>
      <c r="L616" s="7">
        <f>IF($G616&lt;&gt;"Valid","",VLOOKUP($E616&amp;"|"&amp;$F616,Cluster_Master!$I$3:$H$17,7,FALSE))</f>
        <v/>
      </c>
      <c r="M616" s="7">
        <f>IF($G616&lt;&gt;"Valid","",VLOOKUP($E616&amp;"|"&amp;$F616,Cluster_Master!$I$3:$H$17,8,FALSE))</f>
        <v/>
      </c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7">
        <f>IF(COUNT(T616:AH616)=0,"",SUM(T616:AH616))</f>
        <v/>
      </c>
      <c r="AJ616" s="10">
        <f>IF(AI616="","",AI616/75)</f>
        <v/>
      </c>
      <c r="AK616" s="10">
        <f>IF(AI616="","",SUMPRODUCT(T616:AH616,KPI_Weights!$B$3:$B$17)/5)</f>
        <v/>
      </c>
      <c r="AL616" s="7">
        <f>IF(COUNT(T616:AH616)=0,"",IF(OR(T616&lt;=1,W616&lt;=1,X616&lt;=1,Y616&lt;=1,AB616&lt;=1),"YES","NO"))</f>
        <v/>
      </c>
      <c r="AM616" s="7">
        <f>IF(AK616="","",IF(AND(AK616="NO",AJ616&gt;=0.85),"YES","NO"))</f>
        <v/>
      </c>
      <c r="AN616" s="7">
        <f>IF(AJ616="","",IF(AJ616&gt;=0.90,"Excellent",IF(AJ616&gt;=0.80,"Good",IF(AJ616&gt;=0.70,"Fair","Poor"))))</f>
        <v/>
      </c>
      <c r="AO616" s="12" t="n"/>
      <c r="AP616" s="12" t="n"/>
      <c r="AQ616" s="12" t="n"/>
      <c r="AR616" s="12" t="n"/>
      <c r="AS616" s="12" t="n"/>
      <c r="AT616" s="12" t="n"/>
      <c r="AU616" s="12" t="n"/>
      <c r="AV616" s="11" t="n"/>
      <c r="AW616" s="12" t="n"/>
      <c r="AX616" s="12" t="n"/>
      <c r="AY616" s="12" t="n"/>
      <c r="AZ616" s="12" t="n"/>
      <c r="BA616" s="12" t="n"/>
      <c r="BB616" s="12" t="n"/>
      <c r="BC616" s="12" t="n"/>
      <c r="BD616" s="12" t="n"/>
      <c r="BE616" s="12" t="n"/>
      <c r="BF616" s="12" t="n"/>
    </row>
    <row r="617">
      <c r="A617" s="7">
        <f>IF(B617="","","INS-"&amp;TEXT(ROW()-3,"000"))</f>
        <v/>
      </c>
      <c r="B617" s="11" t="n"/>
      <c r="C617" s="7">
        <f>IF(B617="","",ISOWEEKNUM(B617))</f>
        <v/>
      </c>
      <c r="D617" s="7">
        <f>IF(B617="","",TEXT(B617,"yyyy-mm"))</f>
        <v/>
      </c>
      <c r="E617" s="12" t="n"/>
      <c r="F617" s="12" t="n"/>
      <c r="G617" s="7">
        <f>IF(OR(E617="",F617=""),"",IF(COUNTIF(Cluster_Master!$I$3:$I$17,E617&amp;"|"&amp;F617)=1,"Valid","Review"))</f>
        <v/>
      </c>
      <c r="H617" s="7">
        <f>IF($G617&lt;&gt;"Valid","",VLOOKUP($E617&amp;"|"&amp;$F617,Cluster_Master!$I$3:$H$17,3,FALSE))</f>
        <v/>
      </c>
      <c r="I617" s="7">
        <f>IF($G617&lt;&gt;"Valid","",VLOOKUP($E617&amp;"|"&amp;$F617,Cluster_Master!$I$3:$H$17,4,FALSE))</f>
        <v/>
      </c>
      <c r="J617" s="7">
        <f>IF($G617&lt;&gt;"Valid","",VLOOKUP($E617&amp;"|"&amp;$F617,Cluster_Master!$I$3:$H$17,5,FALSE))</f>
        <v/>
      </c>
      <c r="K617" s="7">
        <f>IF($G617&lt;&gt;"Valid","",VLOOKUP($E617&amp;"|"&amp;$F617,Cluster_Master!$I$3:$H$17,6,FALSE))</f>
        <v/>
      </c>
      <c r="L617" s="7">
        <f>IF($G617&lt;&gt;"Valid","",VLOOKUP($E617&amp;"|"&amp;$F617,Cluster_Master!$I$3:$H$17,7,FALSE))</f>
        <v/>
      </c>
      <c r="M617" s="7">
        <f>IF($G617&lt;&gt;"Valid","",VLOOKUP($E617&amp;"|"&amp;$F617,Cluster_Master!$I$3:$H$17,8,FALSE))</f>
        <v/>
      </c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7">
        <f>IF(COUNT(T617:AH617)=0,"",SUM(T617:AH617))</f>
        <v/>
      </c>
      <c r="AJ617" s="10">
        <f>IF(AI617="","",AI617/75)</f>
        <v/>
      </c>
      <c r="AK617" s="10">
        <f>IF(AI617="","",SUMPRODUCT(T617:AH617,KPI_Weights!$B$3:$B$17)/5)</f>
        <v/>
      </c>
      <c r="AL617" s="7">
        <f>IF(COUNT(T617:AH617)=0,"",IF(OR(T617&lt;=1,W617&lt;=1,X617&lt;=1,Y617&lt;=1,AB617&lt;=1),"YES","NO"))</f>
        <v/>
      </c>
      <c r="AM617" s="7">
        <f>IF(AK617="","",IF(AND(AK617="NO",AJ617&gt;=0.85),"YES","NO"))</f>
        <v/>
      </c>
      <c r="AN617" s="7">
        <f>IF(AJ617="","",IF(AJ617&gt;=0.90,"Excellent",IF(AJ617&gt;=0.80,"Good",IF(AJ617&gt;=0.70,"Fair","Poor"))))</f>
        <v/>
      </c>
      <c r="AO617" s="12" t="n"/>
      <c r="AP617" s="12" t="n"/>
      <c r="AQ617" s="12" t="n"/>
      <c r="AR617" s="12" t="n"/>
      <c r="AS617" s="12" t="n"/>
      <c r="AT617" s="12" t="n"/>
      <c r="AU617" s="12" t="n"/>
      <c r="AV617" s="11" t="n"/>
      <c r="AW617" s="12" t="n"/>
      <c r="AX617" s="12" t="n"/>
      <c r="AY617" s="12" t="n"/>
      <c r="AZ617" s="12" t="n"/>
      <c r="BA617" s="12" t="n"/>
      <c r="BB617" s="12" t="n"/>
      <c r="BC617" s="12" t="n"/>
      <c r="BD617" s="12" t="n"/>
      <c r="BE617" s="12" t="n"/>
      <c r="BF617" s="12" t="n"/>
    </row>
    <row r="618">
      <c r="A618" s="7">
        <f>IF(B618="","","INS-"&amp;TEXT(ROW()-3,"000"))</f>
        <v/>
      </c>
      <c r="B618" s="11" t="n"/>
      <c r="C618" s="7">
        <f>IF(B618="","",ISOWEEKNUM(B618))</f>
        <v/>
      </c>
      <c r="D618" s="7">
        <f>IF(B618="","",TEXT(B618,"yyyy-mm"))</f>
        <v/>
      </c>
      <c r="E618" s="12" t="n"/>
      <c r="F618" s="12" t="n"/>
      <c r="G618" s="7">
        <f>IF(OR(E618="",F618=""),"",IF(COUNTIF(Cluster_Master!$I$3:$I$17,E618&amp;"|"&amp;F618)=1,"Valid","Review"))</f>
        <v/>
      </c>
      <c r="H618" s="7">
        <f>IF($G618&lt;&gt;"Valid","",VLOOKUP($E618&amp;"|"&amp;$F618,Cluster_Master!$I$3:$H$17,3,FALSE))</f>
        <v/>
      </c>
      <c r="I618" s="7">
        <f>IF($G618&lt;&gt;"Valid","",VLOOKUP($E618&amp;"|"&amp;$F618,Cluster_Master!$I$3:$H$17,4,FALSE))</f>
        <v/>
      </c>
      <c r="J618" s="7">
        <f>IF($G618&lt;&gt;"Valid","",VLOOKUP($E618&amp;"|"&amp;$F618,Cluster_Master!$I$3:$H$17,5,FALSE))</f>
        <v/>
      </c>
      <c r="K618" s="7">
        <f>IF($G618&lt;&gt;"Valid","",VLOOKUP($E618&amp;"|"&amp;$F618,Cluster_Master!$I$3:$H$17,6,FALSE))</f>
        <v/>
      </c>
      <c r="L618" s="7">
        <f>IF($G618&lt;&gt;"Valid","",VLOOKUP($E618&amp;"|"&amp;$F618,Cluster_Master!$I$3:$H$17,7,FALSE))</f>
        <v/>
      </c>
      <c r="M618" s="7">
        <f>IF($G618&lt;&gt;"Valid","",VLOOKUP($E618&amp;"|"&amp;$F618,Cluster_Master!$I$3:$H$17,8,FALSE))</f>
        <v/>
      </c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7">
        <f>IF(COUNT(T618:AH618)=0,"",SUM(T618:AH618))</f>
        <v/>
      </c>
      <c r="AJ618" s="10">
        <f>IF(AI618="","",AI618/75)</f>
        <v/>
      </c>
      <c r="AK618" s="10">
        <f>IF(AI618="","",SUMPRODUCT(T618:AH618,KPI_Weights!$B$3:$B$17)/5)</f>
        <v/>
      </c>
      <c r="AL618" s="7">
        <f>IF(COUNT(T618:AH618)=0,"",IF(OR(T618&lt;=1,W618&lt;=1,X618&lt;=1,Y618&lt;=1,AB618&lt;=1),"YES","NO"))</f>
        <v/>
      </c>
      <c r="AM618" s="7">
        <f>IF(AK618="","",IF(AND(AK618="NO",AJ618&gt;=0.85),"YES","NO"))</f>
        <v/>
      </c>
      <c r="AN618" s="7">
        <f>IF(AJ618="","",IF(AJ618&gt;=0.90,"Excellent",IF(AJ618&gt;=0.80,"Good",IF(AJ618&gt;=0.70,"Fair","Poor"))))</f>
        <v/>
      </c>
      <c r="AO618" s="12" t="n"/>
      <c r="AP618" s="12" t="n"/>
      <c r="AQ618" s="12" t="n"/>
      <c r="AR618" s="12" t="n"/>
      <c r="AS618" s="12" t="n"/>
      <c r="AT618" s="12" t="n"/>
      <c r="AU618" s="12" t="n"/>
      <c r="AV618" s="11" t="n"/>
      <c r="AW618" s="12" t="n"/>
      <c r="AX618" s="12" t="n"/>
      <c r="AY618" s="12" t="n"/>
      <c r="AZ618" s="12" t="n"/>
      <c r="BA618" s="12" t="n"/>
      <c r="BB618" s="12" t="n"/>
      <c r="BC618" s="12" t="n"/>
      <c r="BD618" s="12" t="n"/>
      <c r="BE618" s="12" t="n"/>
      <c r="BF618" s="12" t="n"/>
    </row>
    <row r="619">
      <c r="A619" s="7">
        <f>IF(B619="","","INS-"&amp;TEXT(ROW()-3,"000"))</f>
        <v/>
      </c>
      <c r="B619" s="11" t="n"/>
      <c r="C619" s="7">
        <f>IF(B619="","",ISOWEEKNUM(B619))</f>
        <v/>
      </c>
      <c r="D619" s="7">
        <f>IF(B619="","",TEXT(B619,"yyyy-mm"))</f>
        <v/>
      </c>
      <c r="E619" s="12" t="n"/>
      <c r="F619" s="12" t="n"/>
      <c r="G619" s="7">
        <f>IF(OR(E619="",F619=""),"",IF(COUNTIF(Cluster_Master!$I$3:$I$17,E619&amp;"|"&amp;F619)=1,"Valid","Review"))</f>
        <v/>
      </c>
      <c r="H619" s="7">
        <f>IF($G619&lt;&gt;"Valid","",VLOOKUP($E619&amp;"|"&amp;$F619,Cluster_Master!$I$3:$H$17,3,FALSE))</f>
        <v/>
      </c>
      <c r="I619" s="7">
        <f>IF($G619&lt;&gt;"Valid","",VLOOKUP($E619&amp;"|"&amp;$F619,Cluster_Master!$I$3:$H$17,4,FALSE))</f>
        <v/>
      </c>
      <c r="J619" s="7">
        <f>IF($G619&lt;&gt;"Valid","",VLOOKUP($E619&amp;"|"&amp;$F619,Cluster_Master!$I$3:$H$17,5,FALSE))</f>
        <v/>
      </c>
      <c r="K619" s="7">
        <f>IF($G619&lt;&gt;"Valid","",VLOOKUP($E619&amp;"|"&amp;$F619,Cluster_Master!$I$3:$H$17,6,FALSE))</f>
        <v/>
      </c>
      <c r="L619" s="7">
        <f>IF($G619&lt;&gt;"Valid","",VLOOKUP($E619&amp;"|"&amp;$F619,Cluster_Master!$I$3:$H$17,7,FALSE))</f>
        <v/>
      </c>
      <c r="M619" s="7">
        <f>IF($G619&lt;&gt;"Valid","",VLOOKUP($E619&amp;"|"&amp;$F619,Cluster_Master!$I$3:$H$17,8,FALSE))</f>
        <v/>
      </c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7">
        <f>IF(COUNT(T619:AH619)=0,"",SUM(T619:AH619))</f>
        <v/>
      </c>
      <c r="AJ619" s="10">
        <f>IF(AI619="","",AI619/75)</f>
        <v/>
      </c>
      <c r="AK619" s="10">
        <f>IF(AI619="","",SUMPRODUCT(T619:AH619,KPI_Weights!$B$3:$B$17)/5)</f>
        <v/>
      </c>
      <c r="AL619" s="7">
        <f>IF(COUNT(T619:AH619)=0,"",IF(OR(T619&lt;=1,W619&lt;=1,X619&lt;=1,Y619&lt;=1,AB619&lt;=1),"YES","NO"))</f>
        <v/>
      </c>
      <c r="AM619" s="7">
        <f>IF(AK619="","",IF(AND(AK619="NO",AJ619&gt;=0.85),"YES","NO"))</f>
        <v/>
      </c>
      <c r="AN619" s="7">
        <f>IF(AJ619="","",IF(AJ619&gt;=0.90,"Excellent",IF(AJ619&gt;=0.80,"Good",IF(AJ619&gt;=0.70,"Fair","Poor"))))</f>
        <v/>
      </c>
      <c r="AO619" s="12" t="n"/>
      <c r="AP619" s="12" t="n"/>
      <c r="AQ619" s="12" t="n"/>
      <c r="AR619" s="12" t="n"/>
      <c r="AS619" s="12" t="n"/>
      <c r="AT619" s="12" t="n"/>
      <c r="AU619" s="12" t="n"/>
      <c r="AV619" s="11" t="n"/>
      <c r="AW619" s="12" t="n"/>
      <c r="AX619" s="12" t="n"/>
      <c r="AY619" s="12" t="n"/>
      <c r="AZ619" s="12" t="n"/>
      <c r="BA619" s="12" t="n"/>
      <c r="BB619" s="12" t="n"/>
      <c r="BC619" s="12" t="n"/>
      <c r="BD619" s="12" t="n"/>
      <c r="BE619" s="12" t="n"/>
      <c r="BF619" s="12" t="n"/>
    </row>
    <row r="620">
      <c r="A620" s="7">
        <f>IF(B620="","","INS-"&amp;TEXT(ROW()-3,"000"))</f>
        <v/>
      </c>
      <c r="B620" s="11" t="n"/>
      <c r="C620" s="7">
        <f>IF(B620="","",ISOWEEKNUM(B620))</f>
        <v/>
      </c>
      <c r="D620" s="7">
        <f>IF(B620="","",TEXT(B620,"yyyy-mm"))</f>
        <v/>
      </c>
      <c r="E620" s="12" t="n"/>
      <c r="F620" s="12" t="n"/>
      <c r="G620" s="7">
        <f>IF(OR(E620="",F620=""),"",IF(COUNTIF(Cluster_Master!$I$3:$I$17,E620&amp;"|"&amp;F620)=1,"Valid","Review"))</f>
        <v/>
      </c>
      <c r="H620" s="7">
        <f>IF($G620&lt;&gt;"Valid","",VLOOKUP($E620&amp;"|"&amp;$F620,Cluster_Master!$I$3:$H$17,3,FALSE))</f>
        <v/>
      </c>
      <c r="I620" s="7">
        <f>IF($G620&lt;&gt;"Valid","",VLOOKUP($E620&amp;"|"&amp;$F620,Cluster_Master!$I$3:$H$17,4,FALSE))</f>
        <v/>
      </c>
      <c r="J620" s="7">
        <f>IF($G620&lt;&gt;"Valid","",VLOOKUP($E620&amp;"|"&amp;$F620,Cluster_Master!$I$3:$H$17,5,FALSE))</f>
        <v/>
      </c>
      <c r="K620" s="7">
        <f>IF($G620&lt;&gt;"Valid","",VLOOKUP($E620&amp;"|"&amp;$F620,Cluster_Master!$I$3:$H$17,6,FALSE))</f>
        <v/>
      </c>
      <c r="L620" s="7">
        <f>IF($G620&lt;&gt;"Valid","",VLOOKUP($E620&amp;"|"&amp;$F620,Cluster_Master!$I$3:$H$17,7,FALSE))</f>
        <v/>
      </c>
      <c r="M620" s="7">
        <f>IF($G620&lt;&gt;"Valid","",VLOOKUP($E620&amp;"|"&amp;$F620,Cluster_Master!$I$3:$H$17,8,FALSE))</f>
        <v/>
      </c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7">
        <f>IF(COUNT(T620:AH620)=0,"",SUM(T620:AH620))</f>
        <v/>
      </c>
      <c r="AJ620" s="10">
        <f>IF(AI620="","",AI620/75)</f>
        <v/>
      </c>
      <c r="AK620" s="10">
        <f>IF(AI620="","",SUMPRODUCT(T620:AH620,KPI_Weights!$B$3:$B$17)/5)</f>
        <v/>
      </c>
      <c r="AL620" s="7">
        <f>IF(COUNT(T620:AH620)=0,"",IF(OR(T620&lt;=1,W620&lt;=1,X620&lt;=1,Y620&lt;=1,AB620&lt;=1),"YES","NO"))</f>
        <v/>
      </c>
      <c r="AM620" s="7">
        <f>IF(AK620="","",IF(AND(AK620="NO",AJ620&gt;=0.85),"YES","NO"))</f>
        <v/>
      </c>
      <c r="AN620" s="7">
        <f>IF(AJ620="","",IF(AJ620&gt;=0.90,"Excellent",IF(AJ620&gt;=0.80,"Good",IF(AJ620&gt;=0.70,"Fair","Poor"))))</f>
        <v/>
      </c>
      <c r="AO620" s="12" t="n"/>
      <c r="AP620" s="12" t="n"/>
      <c r="AQ620" s="12" t="n"/>
      <c r="AR620" s="12" t="n"/>
      <c r="AS620" s="12" t="n"/>
      <c r="AT620" s="12" t="n"/>
      <c r="AU620" s="12" t="n"/>
      <c r="AV620" s="11" t="n"/>
      <c r="AW620" s="12" t="n"/>
      <c r="AX620" s="12" t="n"/>
      <c r="AY620" s="12" t="n"/>
      <c r="AZ620" s="12" t="n"/>
      <c r="BA620" s="12" t="n"/>
      <c r="BB620" s="12" t="n"/>
      <c r="BC620" s="12" t="n"/>
      <c r="BD620" s="12" t="n"/>
      <c r="BE620" s="12" t="n"/>
      <c r="BF620" s="12" t="n"/>
    </row>
    <row r="621">
      <c r="A621" s="7">
        <f>IF(B621="","","INS-"&amp;TEXT(ROW()-3,"000"))</f>
        <v/>
      </c>
      <c r="B621" s="11" t="n"/>
      <c r="C621" s="7">
        <f>IF(B621="","",ISOWEEKNUM(B621))</f>
        <v/>
      </c>
      <c r="D621" s="7">
        <f>IF(B621="","",TEXT(B621,"yyyy-mm"))</f>
        <v/>
      </c>
      <c r="E621" s="12" t="n"/>
      <c r="F621" s="12" t="n"/>
      <c r="G621" s="7">
        <f>IF(OR(E621="",F621=""),"",IF(COUNTIF(Cluster_Master!$I$3:$I$17,E621&amp;"|"&amp;F621)=1,"Valid","Review"))</f>
        <v/>
      </c>
      <c r="H621" s="7">
        <f>IF($G621&lt;&gt;"Valid","",VLOOKUP($E621&amp;"|"&amp;$F621,Cluster_Master!$I$3:$H$17,3,FALSE))</f>
        <v/>
      </c>
      <c r="I621" s="7">
        <f>IF($G621&lt;&gt;"Valid","",VLOOKUP($E621&amp;"|"&amp;$F621,Cluster_Master!$I$3:$H$17,4,FALSE))</f>
        <v/>
      </c>
      <c r="J621" s="7">
        <f>IF($G621&lt;&gt;"Valid","",VLOOKUP($E621&amp;"|"&amp;$F621,Cluster_Master!$I$3:$H$17,5,FALSE))</f>
        <v/>
      </c>
      <c r="K621" s="7">
        <f>IF($G621&lt;&gt;"Valid","",VLOOKUP($E621&amp;"|"&amp;$F621,Cluster_Master!$I$3:$H$17,6,FALSE))</f>
        <v/>
      </c>
      <c r="L621" s="7">
        <f>IF($G621&lt;&gt;"Valid","",VLOOKUP($E621&amp;"|"&amp;$F621,Cluster_Master!$I$3:$H$17,7,FALSE))</f>
        <v/>
      </c>
      <c r="M621" s="7">
        <f>IF($G621&lt;&gt;"Valid","",VLOOKUP($E621&amp;"|"&amp;$F621,Cluster_Master!$I$3:$H$17,8,FALSE))</f>
        <v/>
      </c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7">
        <f>IF(COUNT(T621:AH621)=0,"",SUM(T621:AH621))</f>
        <v/>
      </c>
      <c r="AJ621" s="10">
        <f>IF(AI621="","",AI621/75)</f>
        <v/>
      </c>
      <c r="AK621" s="10">
        <f>IF(AI621="","",SUMPRODUCT(T621:AH621,KPI_Weights!$B$3:$B$17)/5)</f>
        <v/>
      </c>
      <c r="AL621" s="7">
        <f>IF(COUNT(T621:AH621)=0,"",IF(OR(T621&lt;=1,W621&lt;=1,X621&lt;=1,Y621&lt;=1,AB621&lt;=1),"YES","NO"))</f>
        <v/>
      </c>
      <c r="AM621" s="7">
        <f>IF(AK621="","",IF(AND(AK621="NO",AJ621&gt;=0.85),"YES","NO"))</f>
        <v/>
      </c>
      <c r="AN621" s="7">
        <f>IF(AJ621="","",IF(AJ621&gt;=0.90,"Excellent",IF(AJ621&gt;=0.80,"Good",IF(AJ621&gt;=0.70,"Fair","Poor"))))</f>
        <v/>
      </c>
      <c r="AO621" s="12" t="n"/>
      <c r="AP621" s="12" t="n"/>
      <c r="AQ621" s="12" t="n"/>
      <c r="AR621" s="12" t="n"/>
      <c r="AS621" s="12" t="n"/>
      <c r="AT621" s="12" t="n"/>
      <c r="AU621" s="12" t="n"/>
      <c r="AV621" s="11" t="n"/>
      <c r="AW621" s="12" t="n"/>
      <c r="AX621" s="12" t="n"/>
      <c r="AY621" s="12" t="n"/>
      <c r="AZ621" s="12" t="n"/>
      <c r="BA621" s="12" t="n"/>
      <c r="BB621" s="12" t="n"/>
      <c r="BC621" s="12" t="n"/>
      <c r="BD621" s="12" t="n"/>
      <c r="BE621" s="12" t="n"/>
      <c r="BF621" s="12" t="n"/>
    </row>
    <row r="622">
      <c r="A622" s="7">
        <f>IF(B622="","","INS-"&amp;TEXT(ROW()-3,"000"))</f>
        <v/>
      </c>
      <c r="B622" s="11" t="n"/>
      <c r="C622" s="7">
        <f>IF(B622="","",ISOWEEKNUM(B622))</f>
        <v/>
      </c>
      <c r="D622" s="7">
        <f>IF(B622="","",TEXT(B622,"yyyy-mm"))</f>
        <v/>
      </c>
      <c r="E622" s="12" t="n"/>
      <c r="F622" s="12" t="n"/>
      <c r="G622" s="7">
        <f>IF(OR(E622="",F622=""),"",IF(COUNTIF(Cluster_Master!$I$3:$I$17,E622&amp;"|"&amp;F622)=1,"Valid","Review"))</f>
        <v/>
      </c>
      <c r="H622" s="7">
        <f>IF($G622&lt;&gt;"Valid","",VLOOKUP($E622&amp;"|"&amp;$F622,Cluster_Master!$I$3:$H$17,3,FALSE))</f>
        <v/>
      </c>
      <c r="I622" s="7">
        <f>IF($G622&lt;&gt;"Valid","",VLOOKUP($E622&amp;"|"&amp;$F622,Cluster_Master!$I$3:$H$17,4,FALSE))</f>
        <v/>
      </c>
      <c r="J622" s="7">
        <f>IF($G622&lt;&gt;"Valid","",VLOOKUP($E622&amp;"|"&amp;$F622,Cluster_Master!$I$3:$H$17,5,FALSE))</f>
        <v/>
      </c>
      <c r="K622" s="7">
        <f>IF($G622&lt;&gt;"Valid","",VLOOKUP($E622&amp;"|"&amp;$F622,Cluster_Master!$I$3:$H$17,6,FALSE))</f>
        <v/>
      </c>
      <c r="L622" s="7">
        <f>IF($G622&lt;&gt;"Valid","",VLOOKUP($E622&amp;"|"&amp;$F622,Cluster_Master!$I$3:$H$17,7,FALSE))</f>
        <v/>
      </c>
      <c r="M622" s="7">
        <f>IF($G622&lt;&gt;"Valid","",VLOOKUP($E622&amp;"|"&amp;$F622,Cluster_Master!$I$3:$H$17,8,FALSE))</f>
        <v/>
      </c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7">
        <f>IF(COUNT(T622:AH622)=0,"",SUM(T622:AH622))</f>
        <v/>
      </c>
      <c r="AJ622" s="10">
        <f>IF(AI622="","",AI622/75)</f>
        <v/>
      </c>
      <c r="AK622" s="10">
        <f>IF(AI622="","",SUMPRODUCT(T622:AH622,KPI_Weights!$B$3:$B$17)/5)</f>
        <v/>
      </c>
      <c r="AL622" s="7">
        <f>IF(COUNT(T622:AH622)=0,"",IF(OR(T622&lt;=1,W622&lt;=1,X622&lt;=1,Y622&lt;=1,AB622&lt;=1),"YES","NO"))</f>
        <v/>
      </c>
      <c r="AM622" s="7">
        <f>IF(AK622="","",IF(AND(AK622="NO",AJ622&gt;=0.85),"YES","NO"))</f>
        <v/>
      </c>
      <c r="AN622" s="7">
        <f>IF(AJ622="","",IF(AJ622&gt;=0.90,"Excellent",IF(AJ622&gt;=0.80,"Good",IF(AJ622&gt;=0.70,"Fair","Poor"))))</f>
        <v/>
      </c>
      <c r="AO622" s="12" t="n"/>
      <c r="AP622" s="12" t="n"/>
      <c r="AQ622" s="12" t="n"/>
      <c r="AR622" s="12" t="n"/>
      <c r="AS622" s="12" t="n"/>
      <c r="AT622" s="12" t="n"/>
      <c r="AU622" s="12" t="n"/>
      <c r="AV622" s="11" t="n"/>
      <c r="AW622" s="12" t="n"/>
      <c r="AX622" s="12" t="n"/>
      <c r="AY622" s="12" t="n"/>
      <c r="AZ622" s="12" t="n"/>
      <c r="BA622" s="12" t="n"/>
      <c r="BB622" s="12" t="n"/>
      <c r="BC622" s="12" t="n"/>
      <c r="BD622" s="12" t="n"/>
      <c r="BE622" s="12" t="n"/>
      <c r="BF622" s="12" t="n"/>
    </row>
    <row r="623">
      <c r="A623" s="7">
        <f>IF(B623="","","INS-"&amp;TEXT(ROW()-3,"000"))</f>
        <v/>
      </c>
      <c r="B623" s="11" t="n"/>
      <c r="C623" s="7">
        <f>IF(B623="","",ISOWEEKNUM(B623))</f>
        <v/>
      </c>
      <c r="D623" s="7">
        <f>IF(B623="","",TEXT(B623,"yyyy-mm"))</f>
        <v/>
      </c>
      <c r="E623" s="12" t="n"/>
      <c r="F623" s="12" t="n"/>
      <c r="G623" s="7">
        <f>IF(OR(E623="",F623=""),"",IF(COUNTIF(Cluster_Master!$I$3:$I$17,E623&amp;"|"&amp;F623)=1,"Valid","Review"))</f>
        <v/>
      </c>
      <c r="H623" s="7">
        <f>IF($G623&lt;&gt;"Valid","",VLOOKUP($E623&amp;"|"&amp;$F623,Cluster_Master!$I$3:$H$17,3,FALSE))</f>
        <v/>
      </c>
      <c r="I623" s="7">
        <f>IF($G623&lt;&gt;"Valid","",VLOOKUP($E623&amp;"|"&amp;$F623,Cluster_Master!$I$3:$H$17,4,FALSE))</f>
        <v/>
      </c>
      <c r="J623" s="7">
        <f>IF($G623&lt;&gt;"Valid","",VLOOKUP($E623&amp;"|"&amp;$F623,Cluster_Master!$I$3:$H$17,5,FALSE))</f>
        <v/>
      </c>
      <c r="K623" s="7">
        <f>IF($G623&lt;&gt;"Valid","",VLOOKUP($E623&amp;"|"&amp;$F623,Cluster_Master!$I$3:$H$17,6,FALSE))</f>
        <v/>
      </c>
      <c r="L623" s="7">
        <f>IF($G623&lt;&gt;"Valid","",VLOOKUP($E623&amp;"|"&amp;$F623,Cluster_Master!$I$3:$H$17,7,FALSE))</f>
        <v/>
      </c>
      <c r="M623" s="7">
        <f>IF($G623&lt;&gt;"Valid","",VLOOKUP($E623&amp;"|"&amp;$F623,Cluster_Master!$I$3:$H$17,8,FALSE))</f>
        <v/>
      </c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7">
        <f>IF(COUNT(T623:AH623)=0,"",SUM(T623:AH623))</f>
        <v/>
      </c>
      <c r="AJ623" s="10">
        <f>IF(AI623="","",AI623/75)</f>
        <v/>
      </c>
      <c r="AK623" s="10">
        <f>IF(AI623="","",SUMPRODUCT(T623:AH623,KPI_Weights!$B$3:$B$17)/5)</f>
        <v/>
      </c>
      <c r="AL623" s="7">
        <f>IF(COUNT(T623:AH623)=0,"",IF(OR(T623&lt;=1,W623&lt;=1,X623&lt;=1,Y623&lt;=1,AB623&lt;=1),"YES","NO"))</f>
        <v/>
      </c>
      <c r="AM623" s="7">
        <f>IF(AK623="","",IF(AND(AK623="NO",AJ623&gt;=0.85),"YES","NO"))</f>
        <v/>
      </c>
      <c r="AN623" s="7">
        <f>IF(AJ623="","",IF(AJ623&gt;=0.90,"Excellent",IF(AJ623&gt;=0.80,"Good",IF(AJ623&gt;=0.70,"Fair","Poor"))))</f>
        <v/>
      </c>
      <c r="AO623" s="12" t="n"/>
      <c r="AP623" s="12" t="n"/>
      <c r="AQ623" s="12" t="n"/>
      <c r="AR623" s="12" t="n"/>
      <c r="AS623" s="12" t="n"/>
      <c r="AT623" s="12" t="n"/>
      <c r="AU623" s="12" t="n"/>
      <c r="AV623" s="11" t="n"/>
      <c r="AW623" s="12" t="n"/>
      <c r="AX623" s="12" t="n"/>
      <c r="AY623" s="12" t="n"/>
      <c r="AZ623" s="12" t="n"/>
      <c r="BA623" s="12" t="n"/>
      <c r="BB623" s="12" t="n"/>
      <c r="BC623" s="12" t="n"/>
      <c r="BD623" s="12" t="n"/>
      <c r="BE623" s="12" t="n"/>
      <c r="BF623" s="12" t="n"/>
    </row>
    <row r="624">
      <c r="A624" s="7">
        <f>IF(B624="","","INS-"&amp;TEXT(ROW()-3,"000"))</f>
        <v/>
      </c>
      <c r="B624" s="11" t="n"/>
      <c r="C624" s="7">
        <f>IF(B624="","",ISOWEEKNUM(B624))</f>
        <v/>
      </c>
      <c r="D624" s="7">
        <f>IF(B624="","",TEXT(B624,"yyyy-mm"))</f>
        <v/>
      </c>
      <c r="E624" s="12" t="n"/>
      <c r="F624" s="12" t="n"/>
      <c r="G624" s="7">
        <f>IF(OR(E624="",F624=""),"",IF(COUNTIF(Cluster_Master!$I$3:$I$17,E624&amp;"|"&amp;F624)=1,"Valid","Review"))</f>
        <v/>
      </c>
      <c r="H624" s="7">
        <f>IF($G624&lt;&gt;"Valid","",VLOOKUP($E624&amp;"|"&amp;$F624,Cluster_Master!$I$3:$H$17,3,FALSE))</f>
        <v/>
      </c>
      <c r="I624" s="7">
        <f>IF($G624&lt;&gt;"Valid","",VLOOKUP($E624&amp;"|"&amp;$F624,Cluster_Master!$I$3:$H$17,4,FALSE))</f>
        <v/>
      </c>
      <c r="J624" s="7">
        <f>IF($G624&lt;&gt;"Valid","",VLOOKUP($E624&amp;"|"&amp;$F624,Cluster_Master!$I$3:$H$17,5,FALSE))</f>
        <v/>
      </c>
      <c r="K624" s="7">
        <f>IF($G624&lt;&gt;"Valid","",VLOOKUP($E624&amp;"|"&amp;$F624,Cluster_Master!$I$3:$H$17,6,FALSE))</f>
        <v/>
      </c>
      <c r="L624" s="7">
        <f>IF($G624&lt;&gt;"Valid","",VLOOKUP($E624&amp;"|"&amp;$F624,Cluster_Master!$I$3:$H$17,7,FALSE))</f>
        <v/>
      </c>
      <c r="M624" s="7">
        <f>IF($G624&lt;&gt;"Valid","",VLOOKUP($E624&amp;"|"&amp;$F624,Cluster_Master!$I$3:$H$17,8,FALSE))</f>
        <v/>
      </c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7">
        <f>IF(COUNT(T624:AH624)=0,"",SUM(T624:AH624))</f>
        <v/>
      </c>
      <c r="AJ624" s="10">
        <f>IF(AI624="","",AI624/75)</f>
        <v/>
      </c>
      <c r="AK624" s="10">
        <f>IF(AI624="","",SUMPRODUCT(T624:AH624,KPI_Weights!$B$3:$B$17)/5)</f>
        <v/>
      </c>
      <c r="AL624" s="7">
        <f>IF(COUNT(T624:AH624)=0,"",IF(OR(T624&lt;=1,W624&lt;=1,X624&lt;=1,Y624&lt;=1,AB624&lt;=1),"YES","NO"))</f>
        <v/>
      </c>
      <c r="AM624" s="7">
        <f>IF(AK624="","",IF(AND(AK624="NO",AJ624&gt;=0.85),"YES","NO"))</f>
        <v/>
      </c>
      <c r="AN624" s="7">
        <f>IF(AJ624="","",IF(AJ624&gt;=0.90,"Excellent",IF(AJ624&gt;=0.80,"Good",IF(AJ624&gt;=0.70,"Fair","Poor"))))</f>
        <v/>
      </c>
      <c r="AO624" s="12" t="n"/>
      <c r="AP624" s="12" t="n"/>
      <c r="AQ624" s="12" t="n"/>
      <c r="AR624" s="12" t="n"/>
      <c r="AS624" s="12" t="n"/>
      <c r="AT624" s="12" t="n"/>
      <c r="AU624" s="12" t="n"/>
      <c r="AV624" s="11" t="n"/>
      <c r="AW624" s="12" t="n"/>
      <c r="AX624" s="12" t="n"/>
      <c r="AY624" s="12" t="n"/>
      <c r="AZ624" s="12" t="n"/>
      <c r="BA624" s="12" t="n"/>
      <c r="BB624" s="12" t="n"/>
      <c r="BC624" s="12" t="n"/>
      <c r="BD624" s="12" t="n"/>
      <c r="BE624" s="12" t="n"/>
      <c r="BF624" s="12" t="n"/>
    </row>
    <row r="625">
      <c r="A625" s="7">
        <f>IF(B625="","","INS-"&amp;TEXT(ROW()-3,"000"))</f>
        <v/>
      </c>
      <c r="B625" s="11" t="n"/>
      <c r="C625" s="7">
        <f>IF(B625="","",ISOWEEKNUM(B625))</f>
        <v/>
      </c>
      <c r="D625" s="7">
        <f>IF(B625="","",TEXT(B625,"yyyy-mm"))</f>
        <v/>
      </c>
      <c r="E625" s="12" t="n"/>
      <c r="F625" s="12" t="n"/>
      <c r="G625" s="7">
        <f>IF(OR(E625="",F625=""),"",IF(COUNTIF(Cluster_Master!$I$3:$I$17,E625&amp;"|"&amp;F625)=1,"Valid","Review"))</f>
        <v/>
      </c>
      <c r="H625" s="7">
        <f>IF($G625&lt;&gt;"Valid","",VLOOKUP($E625&amp;"|"&amp;$F625,Cluster_Master!$I$3:$H$17,3,FALSE))</f>
        <v/>
      </c>
      <c r="I625" s="7">
        <f>IF($G625&lt;&gt;"Valid","",VLOOKUP($E625&amp;"|"&amp;$F625,Cluster_Master!$I$3:$H$17,4,FALSE))</f>
        <v/>
      </c>
      <c r="J625" s="7">
        <f>IF($G625&lt;&gt;"Valid","",VLOOKUP($E625&amp;"|"&amp;$F625,Cluster_Master!$I$3:$H$17,5,FALSE))</f>
        <v/>
      </c>
      <c r="K625" s="7">
        <f>IF($G625&lt;&gt;"Valid","",VLOOKUP($E625&amp;"|"&amp;$F625,Cluster_Master!$I$3:$H$17,6,FALSE))</f>
        <v/>
      </c>
      <c r="L625" s="7">
        <f>IF($G625&lt;&gt;"Valid","",VLOOKUP($E625&amp;"|"&amp;$F625,Cluster_Master!$I$3:$H$17,7,FALSE))</f>
        <v/>
      </c>
      <c r="M625" s="7">
        <f>IF($G625&lt;&gt;"Valid","",VLOOKUP($E625&amp;"|"&amp;$F625,Cluster_Master!$I$3:$H$17,8,FALSE))</f>
        <v/>
      </c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7">
        <f>IF(COUNT(T625:AH625)=0,"",SUM(T625:AH625))</f>
        <v/>
      </c>
      <c r="AJ625" s="10">
        <f>IF(AI625="","",AI625/75)</f>
        <v/>
      </c>
      <c r="AK625" s="10">
        <f>IF(AI625="","",SUMPRODUCT(T625:AH625,KPI_Weights!$B$3:$B$17)/5)</f>
        <v/>
      </c>
      <c r="AL625" s="7">
        <f>IF(COUNT(T625:AH625)=0,"",IF(OR(T625&lt;=1,W625&lt;=1,X625&lt;=1,Y625&lt;=1,AB625&lt;=1),"YES","NO"))</f>
        <v/>
      </c>
      <c r="AM625" s="7">
        <f>IF(AK625="","",IF(AND(AK625="NO",AJ625&gt;=0.85),"YES","NO"))</f>
        <v/>
      </c>
      <c r="AN625" s="7">
        <f>IF(AJ625="","",IF(AJ625&gt;=0.90,"Excellent",IF(AJ625&gt;=0.80,"Good",IF(AJ625&gt;=0.70,"Fair","Poor"))))</f>
        <v/>
      </c>
      <c r="AO625" s="12" t="n"/>
      <c r="AP625" s="12" t="n"/>
      <c r="AQ625" s="12" t="n"/>
      <c r="AR625" s="12" t="n"/>
      <c r="AS625" s="12" t="n"/>
      <c r="AT625" s="12" t="n"/>
      <c r="AU625" s="12" t="n"/>
      <c r="AV625" s="11" t="n"/>
      <c r="AW625" s="12" t="n"/>
      <c r="AX625" s="12" t="n"/>
      <c r="AY625" s="12" t="n"/>
      <c r="AZ625" s="12" t="n"/>
      <c r="BA625" s="12" t="n"/>
      <c r="BB625" s="12" t="n"/>
      <c r="BC625" s="12" t="n"/>
      <c r="BD625" s="12" t="n"/>
      <c r="BE625" s="12" t="n"/>
      <c r="BF625" s="12" t="n"/>
    </row>
    <row r="626">
      <c r="A626" s="7">
        <f>IF(B626="","","INS-"&amp;TEXT(ROW()-3,"000"))</f>
        <v/>
      </c>
      <c r="B626" s="11" t="n"/>
      <c r="C626" s="7">
        <f>IF(B626="","",ISOWEEKNUM(B626))</f>
        <v/>
      </c>
      <c r="D626" s="7">
        <f>IF(B626="","",TEXT(B626,"yyyy-mm"))</f>
        <v/>
      </c>
      <c r="E626" s="12" t="n"/>
      <c r="F626" s="12" t="n"/>
      <c r="G626" s="7">
        <f>IF(OR(E626="",F626=""),"",IF(COUNTIF(Cluster_Master!$I$3:$I$17,E626&amp;"|"&amp;F626)=1,"Valid","Review"))</f>
        <v/>
      </c>
      <c r="H626" s="7">
        <f>IF($G626&lt;&gt;"Valid","",VLOOKUP($E626&amp;"|"&amp;$F626,Cluster_Master!$I$3:$H$17,3,FALSE))</f>
        <v/>
      </c>
      <c r="I626" s="7">
        <f>IF($G626&lt;&gt;"Valid","",VLOOKUP($E626&amp;"|"&amp;$F626,Cluster_Master!$I$3:$H$17,4,FALSE))</f>
        <v/>
      </c>
      <c r="J626" s="7">
        <f>IF($G626&lt;&gt;"Valid","",VLOOKUP($E626&amp;"|"&amp;$F626,Cluster_Master!$I$3:$H$17,5,FALSE))</f>
        <v/>
      </c>
      <c r="K626" s="7">
        <f>IF($G626&lt;&gt;"Valid","",VLOOKUP($E626&amp;"|"&amp;$F626,Cluster_Master!$I$3:$H$17,6,FALSE))</f>
        <v/>
      </c>
      <c r="L626" s="7">
        <f>IF($G626&lt;&gt;"Valid","",VLOOKUP($E626&amp;"|"&amp;$F626,Cluster_Master!$I$3:$H$17,7,FALSE))</f>
        <v/>
      </c>
      <c r="M626" s="7">
        <f>IF($G626&lt;&gt;"Valid","",VLOOKUP($E626&amp;"|"&amp;$F626,Cluster_Master!$I$3:$H$17,8,FALSE))</f>
        <v/>
      </c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7">
        <f>IF(COUNT(T626:AH626)=0,"",SUM(T626:AH626))</f>
        <v/>
      </c>
      <c r="AJ626" s="10">
        <f>IF(AI626="","",AI626/75)</f>
        <v/>
      </c>
      <c r="AK626" s="10">
        <f>IF(AI626="","",SUMPRODUCT(T626:AH626,KPI_Weights!$B$3:$B$17)/5)</f>
        <v/>
      </c>
      <c r="AL626" s="7">
        <f>IF(COUNT(T626:AH626)=0,"",IF(OR(T626&lt;=1,W626&lt;=1,X626&lt;=1,Y626&lt;=1,AB626&lt;=1),"YES","NO"))</f>
        <v/>
      </c>
      <c r="AM626" s="7">
        <f>IF(AK626="","",IF(AND(AK626="NO",AJ626&gt;=0.85),"YES","NO"))</f>
        <v/>
      </c>
      <c r="AN626" s="7">
        <f>IF(AJ626="","",IF(AJ626&gt;=0.90,"Excellent",IF(AJ626&gt;=0.80,"Good",IF(AJ626&gt;=0.70,"Fair","Poor"))))</f>
        <v/>
      </c>
      <c r="AO626" s="12" t="n"/>
      <c r="AP626" s="12" t="n"/>
      <c r="AQ626" s="12" t="n"/>
      <c r="AR626" s="12" t="n"/>
      <c r="AS626" s="12" t="n"/>
      <c r="AT626" s="12" t="n"/>
      <c r="AU626" s="12" t="n"/>
      <c r="AV626" s="11" t="n"/>
      <c r="AW626" s="12" t="n"/>
      <c r="AX626" s="12" t="n"/>
      <c r="AY626" s="12" t="n"/>
      <c r="AZ626" s="12" t="n"/>
      <c r="BA626" s="12" t="n"/>
      <c r="BB626" s="12" t="n"/>
      <c r="BC626" s="12" t="n"/>
      <c r="BD626" s="12" t="n"/>
      <c r="BE626" s="12" t="n"/>
      <c r="BF626" s="12" t="n"/>
    </row>
    <row r="627">
      <c r="A627" s="7">
        <f>IF(B627="","","INS-"&amp;TEXT(ROW()-3,"000"))</f>
        <v/>
      </c>
      <c r="B627" s="11" t="n"/>
      <c r="C627" s="7">
        <f>IF(B627="","",ISOWEEKNUM(B627))</f>
        <v/>
      </c>
      <c r="D627" s="7">
        <f>IF(B627="","",TEXT(B627,"yyyy-mm"))</f>
        <v/>
      </c>
      <c r="E627" s="12" t="n"/>
      <c r="F627" s="12" t="n"/>
      <c r="G627" s="7">
        <f>IF(OR(E627="",F627=""),"",IF(COUNTIF(Cluster_Master!$I$3:$I$17,E627&amp;"|"&amp;F627)=1,"Valid","Review"))</f>
        <v/>
      </c>
      <c r="H627" s="7">
        <f>IF($G627&lt;&gt;"Valid","",VLOOKUP($E627&amp;"|"&amp;$F627,Cluster_Master!$I$3:$H$17,3,FALSE))</f>
        <v/>
      </c>
      <c r="I627" s="7">
        <f>IF($G627&lt;&gt;"Valid","",VLOOKUP($E627&amp;"|"&amp;$F627,Cluster_Master!$I$3:$H$17,4,FALSE))</f>
        <v/>
      </c>
      <c r="J627" s="7">
        <f>IF($G627&lt;&gt;"Valid","",VLOOKUP($E627&amp;"|"&amp;$F627,Cluster_Master!$I$3:$H$17,5,FALSE))</f>
        <v/>
      </c>
      <c r="K627" s="7">
        <f>IF($G627&lt;&gt;"Valid","",VLOOKUP($E627&amp;"|"&amp;$F627,Cluster_Master!$I$3:$H$17,6,FALSE))</f>
        <v/>
      </c>
      <c r="L627" s="7">
        <f>IF($G627&lt;&gt;"Valid","",VLOOKUP($E627&amp;"|"&amp;$F627,Cluster_Master!$I$3:$H$17,7,FALSE))</f>
        <v/>
      </c>
      <c r="M627" s="7">
        <f>IF($G627&lt;&gt;"Valid","",VLOOKUP($E627&amp;"|"&amp;$F627,Cluster_Master!$I$3:$H$17,8,FALSE))</f>
        <v/>
      </c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7">
        <f>IF(COUNT(T627:AH627)=0,"",SUM(T627:AH627))</f>
        <v/>
      </c>
      <c r="AJ627" s="10">
        <f>IF(AI627="","",AI627/75)</f>
        <v/>
      </c>
      <c r="AK627" s="10">
        <f>IF(AI627="","",SUMPRODUCT(T627:AH627,KPI_Weights!$B$3:$B$17)/5)</f>
        <v/>
      </c>
      <c r="AL627" s="7">
        <f>IF(COUNT(T627:AH627)=0,"",IF(OR(T627&lt;=1,W627&lt;=1,X627&lt;=1,Y627&lt;=1,AB627&lt;=1),"YES","NO"))</f>
        <v/>
      </c>
      <c r="AM627" s="7">
        <f>IF(AK627="","",IF(AND(AK627="NO",AJ627&gt;=0.85),"YES","NO"))</f>
        <v/>
      </c>
      <c r="AN627" s="7">
        <f>IF(AJ627="","",IF(AJ627&gt;=0.90,"Excellent",IF(AJ627&gt;=0.80,"Good",IF(AJ627&gt;=0.70,"Fair","Poor"))))</f>
        <v/>
      </c>
      <c r="AO627" s="12" t="n"/>
      <c r="AP627" s="12" t="n"/>
      <c r="AQ627" s="12" t="n"/>
      <c r="AR627" s="12" t="n"/>
      <c r="AS627" s="12" t="n"/>
      <c r="AT627" s="12" t="n"/>
      <c r="AU627" s="12" t="n"/>
      <c r="AV627" s="11" t="n"/>
      <c r="AW627" s="12" t="n"/>
      <c r="AX627" s="12" t="n"/>
      <c r="AY627" s="12" t="n"/>
      <c r="AZ627" s="12" t="n"/>
      <c r="BA627" s="12" t="n"/>
      <c r="BB627" s="12" t="n"/>
      <c r="BC627" s="12" t="n"/>
      <c r="BD627" s="12" t="n"/>
      <c r="BE627" s="12" t="n"/>
      <c r="BF627" s="12" t="n"/>
    </row>
    <row r="628">
      <c r="A628" s="7">
        <f>IF(B628="","","INS-"&amp;TEXT(ROW()-3,"000"))</f>
        <v/>
      </c>
      <c r="B628" s="11" t="n"/>
      <c r="C628" s="7">
        <f>IF(B628="","",ISOWEEKNUM(B628))</f>
        <v/>
      </c>
      <c r="D628" s="7">
        <f>IF(B628="","",TEXT(B628,"yyyy-mm"))</f>
        <v/>
      </c>
      <c r="E628" s="12" t="n"/>
      <c r="F628" s="12" t="n"/>
      <c r="G628" s="7">
        <f>IF(OR(E628="",F628=""),"",IF(COUNTIF(Cluster_Master!$I$3:$I$17,E628&amp;"|"&amp;F628)=1,"Valid","Review"))</f>
        <v/>
      </c>
      <c r="H628" s="7">
        <f>IF($G628&lt;&gt;"Valid","",VLOOKUP($E628&amp;"|"&amp;$F628,Cluster_Master!$I$3:$H$17,3,FALSE))</f>
        <v/>
      </c>
      <c r="I628" s="7">
        <f>IF($G628&lt;&gt;"Valid","",VLOOKUP($E628&amp;"|"&amp;$F628,Cluster_Master!$I$3:$H$17,4,FALSE))</f>
        <v/>
      </c>
      <c r="J628" s="7">
        <f>IF($G628&lt;&gt;"Valid","",VLOOKUP($E628&amp;"|"&amp;$F628,Cluster_Master!$I$3:$H$17,5,FALSE))</f>
        <v/>
      </c>
      <c r="K628" s="7">
        <f>IF($G628&lt;&gt;"Valid","",VLOOKUP($E628&amp;"|"&amp;$F628,Cluster_Master!$I$3:$H$17,6,FALSE))</f>
        <v/>
      </c>
      <c r="L628" s="7">
        <f>IF($G628&lt;&gt;"Valid","",VLOOKUP($E628&amp;"|"&amp;$F628,Cluster_Master!$I$3:$H$17,7,FALSE))</f>
        <v/>
      </c>
      <c r="M628" s="7">
        <f>IF($G628&lt;&gt;"Valid","",VLOOKUP($E628&amp;"|"&amp;$F628,Cluster_Master!$I$3:$H$17,8,FALSE))</f>
        <v/>
      </c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7">
        <f>IF(COUNT(T628:AH628)=0,"",SUM(T628:AH628))</f>
        <v/>
      </c>
      <c r="AJ628" s="10">
        <f>IF(AI628="","",AI628/75)</f>
        <v/>
      </c>
      <c r="AK628" s="10">
        <f>IF(AI628="","",SUMPRODUCT(T628:AH628,KPI_Weights!$B$3:$B$17)/5)</f>
        <v/>
      </c>
      <c r="AL628" s="7">
        <f>IF(COUNT(T628:AH628)=0,"",IF(OR(T628&lt;=1,W628&lt;=1,X628&lt;=1,Y628&lt;=1,AB628&lt;=1),"YES","NO"))</f>
        <v/>
      </c>
      <c r="AM628" s="7">
        <f>IF(AK628="","",IF(AND(AK628="NO",AJ628&gt;=0.85),"YES","NO"))</f>
        <v/>
      </c>
      <c r="AN628" s="7">
        <f>IF(AJ628="","",IF(AJ628&gt;=0.90,"Excellent",IF(AJ628&gt;=0.80,"Good",IF(AJ628&gt;=0.70,"Fair","Poor"))))</f>
        <v/>
      </c>
      <c r="AO628" s="12" t="n"/>
      <c r="AP628" s="12" t="n"/>
      <c r="AQ628" s="12" t="n"/>
      <c r="AR628" s="12" t="n"/>
      <c r="AS628" s="12" t="n"/>
      <c r="AT628" s="12" t="n"/>
      <c r="AU628" s="12" t="n"/>
      <c r="AV628" s="11" t="n"/>
      <c r="AW628" s="12" t="n"/>
      <c r="AX628" s="12" t="n"/>
      <c r="AY628" s="12" t="n"/>
      <c r="AZ628" s="12" t="n"/>
      <c r="BA628" s="12" t="n"/>
      <c r="BB628" s="12" t="n"/>
      <c r="BC628" s="12" t="n"/>
      <c r="BD628" s="12" t="n"/>
      <c r="BE628" s="12" t="n"/>
      <c r="BF628" s="12" t="n"/>
    </row>
    <row r="629">
      <c r="A629" s="7">
        <f>IF(B629="","","INS-"&amp;TEXT(ROW()-3,"000"))</f>
        <v/>
      </c>
      <c r="B629" s="11" t="n"/>
      <c r="C629" s="7">
        <f>IF(B629="","",ISOWEEKNUM(B629))</f>
        <v/>
      </c>
      <c r="D629" s="7">
        <f>IF(B629="","",TEXT(B629,"yyyy-mm"))</f>
        <v/>
      </c>
      <c r="E629" s="12" t="n"/>
      <c r="F629" s="12" t="n"/>
      <c r="G629" s="7">
        <f>IF(OR(E629="",F629=""),"",IF(COUNTIF(Cluster_Master!$I$3:$I$17,E629&amp;"|"&amp;F629)=1,"Valid","Review"))</f>
        <v/>
      </c>
      <c r="H629" s="7">
        <f>IF($G629&lt;&gt;"Valid","",VLOOKUP($E629&amp;"|"&amp;$F629,Cluster_Master!$I$3:$H$17,3,FALSE))</f>
        <v/>
      </c>
      <c r="I629" s="7">
        <f>IF($G629&lt;&gt;"Valid","",VLOOKUP($E629&amp;"|"&amp;$F629,Cluster_Master!$I$3:$H$17,4,FALSE))</f>
        <v/>
      </c>
      <c r="J629" s="7">
        <f>IF($G629&lt;&gt;"Valid","",VLOOKUP($E629&amp;"|"&amp;$F629,Cluster_Master!$I$3:$H$17,5,FALSE))</f>
        <v/>
      </c>
      <c r="K629" s="7">
        <f>IF($G629&lt;&gt;"Valid","",VLOOKUP($E629&amp;"|"&amp;$F629,Cluster_Master!$I$3:$H$17,6,FALSE))</f>
        <v/>
      </c>
      <c r="L629" s="7">
        <f>IF($G629&lt;&gt;"Valid","",VLOOKUP($E629&amp;"|"&amp;$F629,Cluster_Master!$I$3:$H$17,7,FALSE))</f>
        <v/>
      </c>
      <c r="M629" s="7">
        <f>IF($G629&lt;&gt;"Valid","",VLOOKUP($E629&amp;"|"&amp;$F629,Cluster_Master!$I$3:$H$17,8,FALSE))</f>
        <v/>
      </c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7">
        <f>IF(COUNT(T629:AH629)=0,"",SUM(T629:AH629))</f>
        <v/>
      </c>
      <c r="AJ629" s="10">
        <f>IF(AI629="","",AI629/75)</f>
        <v/>
      </c>
      <c r="AK629" s="10">
        <f>IF(AI629="","",SUMPRODUCT(T629:AH629,KPI_Weights!$B$3:$B$17)/5)</f>
        <v/>
      </c>
      <c r="AL629" s="7">
        <f>IF(COUNT(T629:AH629)=0,"",IF(OR(T629&lt;=1,W629&lt;=1,X629&lt;=1,Y629&lt;=1,AB629&lt;=1),"YES","NO"))</f>
        <v/>
      </c>
      <c r="AM629" s="7">
        <f>IF(AK629="","",IF(AND(AK629="NO",AJ629&gt;=0.85),"YES","NO"))</f>
        <v/>
      </c>
      <c r="AN629" s="7">
        <f>IF(AJ629="","",IF(AJ629&gt;=0.90,"Excellent",IF(AJ629&gt;=0.80,"Good",IF(AJ629&gt;=0.70,"Fair","Poor"))))</f>
        <v/>
      </c>
      <c r="AO629" s="12" t="n"/>
      <c r="AP629" s="12" t="n"/>
      <c r="AQ629" s="12" t="n"/>
      <c r="AR629" s="12" t="n"/>
      <c r="AS629" s="12" t="n"/>
      <c r="AT629" s="12" t="n"/>
      <c r="AU629" s="12" t="n"/>
      <c r="AV629" s="11" t="n"/>
      <c r="AW629" s="12" t="n"/>
      <c r="AX629" s="12" t="n"/>
      <c r="AY629" s="12" t="n"/>
      <c r="AZ629" s="12" t="n"/>
      <c r="BA629" s="12" t="n"/>
      <c r="BB629" s="12" t="n"/>
      <c r="BC629" s="12" t="n"/>
      <c r="BD629" s="12" t="n"/>
      <c r="BE629" s="12" t="n"/>
      <c r="BF629" s="12" t="n"/>
    </row>
    <row r="630">
      <c r="A630" s="7">
        <f>IF(B630="","","INS-"&amp;TEXT(ROW()-3,"000"))</f>
        <v/>
      </c>
      <c r="B630" s="11" t="n"/>
      <c r="C630" s="7">
        <f>IF(B630="","",ISOWEEKNUM(B630))</f>
        <v/>
      </c>
      <c r="D630" s="7">
        <f>IF(B630="","",TEXT(B630,"yyyy-mm"))</f>
        <v/>
      </c>
      <c r="E630" s="12" t="n"/>
      <c r="F630" s="12" t="n"/>
      <c r="G630" s="7">
        <f>IF(OR(E630="",F630=""),"",IF(COUNTIF(Cluster_Master!$I$3:$I$17,E630&amp;"|"&amp;F630)=1,"Valid","Review"))</f>
        <v/>
      </c>
      <c r="H630" s="7">
        <f>IF($G630&lt;&gt;"Valid","",VLOOKUP($E630&amp;"|"&amp;$F630,Cluster_Master!$I$3:$H$17,3,FALSE))</f>
        <v/>
      </c>
      <c r="I630" s="7">
        <f>IF($G630&lt;&gt;"Valid","",VLOOKUP($E630&amp;"|"&amp;$F630,Cluster_Master!$I$3:$H$17,4,FALSE))</f>
        <v/>
      </c>
      <c r="J630" s="7">
        <f>IF($G630&lt;&gt;"Valid","",VLOOKUP($E630&amp;"|"&amp;$F630,Cluster_Master!$I$3:$H$17,5,FALSE))</f>
        <v/>
      </c>
      <c r="K630" s="7">
        <f>IF($G630&lt;&gt;"Valid","",VLOOKUP($E630&amp;"|"&amp;$F630,Cluster_Master!$I$3:$H$17,6,FALSE))</f>
        <v/>
      </c>
      <c r="L630" s="7">
        <f>IF($G630&lt;&gt;"Valid","",VLOOKUP($E630&amp;"|"&amp;$F630,Cluster_Master!$I$3:$H$17,7,FALSE))</f>
        <v/>
      </c>
      <c r="M630" s="7">
        <f>IF($G630&lt;&gt;"Valid","",VLOOKUP($E630&amp;"|"&amp;$F630,Cluster_Master!$I$3:$H$17,8,FALSE))</f>
        <v/>
      </c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7">
        <f>IF(COUNT(T630:AH630)=0,"",SUM(T630:AH630))</f>
        <v/>
      </c>
      <c r="AJ630" s="10">
        <f>IF(AI630="","",AI630/75)</f>
        <v/>
      </c>
      <c r="AK630" s="10">
        <f>IF(AI630="","",SUMPRODUCT(T630:AH630,KPI_Weights!$B$3:$B$17)/5)</f>
        <v/>
      </c>
      <c r="AL630" s="7">
        <f>IF(COUNT(T630:AH630)=0,"",IF(OR(T630&lt;=1,W630&lt;=1,X630&lt;=1,Y630&lt;=1,AB630&lt;=1),"YES","NO"))</f>
        <v/>
      </c>
      <c r="AM630" s="7">
        <f>IF(AK630="","",IF(AND(AK630="NO",AJ630&gt;=0.85),"YES","NO"))</f>
        <v/>
      </c>
      <c r="AN630" s="7">
        <f>IF(AJ630="","",IF(AJ630&gt;=0.90,"Excellent",IF(AJ630&gt;=0.80,"Good",IF(AJ630&gt;=0.70,"Fair","Poor"))))</f>
        <v/>
      </c>
      <c r="AO630" s="12" t="n"/>
      <c r="AP630" s="12" t="n"/>
      <c r="AQ630" s="12" t="n"/>
      <c r="AR630" s="12" t="n"/>
      <c r="AS630" s="12" t="n"/>
      <c r="AT630" s="12" t="n"/>
      <c r="AU630" s="12" t="n"/>
      <c r="AV630" s="11" t="n"/>
      <c r="AW630" s="12" t="n"/>
      <c r="AX630" s="12" t="n"/>
      <c r="AY630" s="12" t="n"/>
      <c r="AZ630" s="12" t="n"/>
      <c r="BA630" s="12" t="n"/>
      <c r="BB630" s="12" t="n"/>
      <c r="BC630" s="12" t="n"/>
      <c r="BD630" s="12" t="n"/>
      <c r="BE630" s="12" t="n"/>
      <c r="BF630" s="12" t="n"/>
    </row>
    <row r="631">
      <c r="A631" s="7">
        <f>IF(B631="","","INS-"&amp;TEXT(ROW()-3,"000"))</f>
        <v/>
      </c>
      <c r="B631" s="11" t="n"/>
      <c r="C631" s="7">
        <f>IF(B631="","",ISOWEEKNUM(B631))</f>
        <v/>
      </c>
      <c r="D631" s="7">
        <f>IF(B631="","",TEXT(B631,"yyyy-mm"))</f>
        <v/>
      </c>
      <c r="E631" s="12" t="n"/>
      <c r="F631" s="12" t="n"/>
      <c r="G631" s="7">
        <f>IF(OR(E631="",F631=""),"",IF(COUNTIF(Cluster_Master!$I$3:$I$17,E631&amp;"|"&amp;F631)=1,"Valid","Review"))</f>
        <v/>
      </c>
      <c r="H631" s="7">
        <f>IF($G631&lt;&gt;"Valid","",VLOOKUP($E631&amp;"|"&amp;$F631,Cluster_Master!$I$3:$H$17,3,FALSE))</f>
        <v/>
      </c>
      <c r="I631" s="7">
        <f>IF($G631&lt;&gt;"Valid","",VLOOKUP($E631&amp;"|"&amp;$F631,Cluster_Master!$I$3:$H$17,4,FALSE))</f>
        <v/>
      </c>
      <c r="J631" s="7">
        <f>IF($G631&lt;&gt;"Valid","",VLOOKUP($E631&amp;"|"&amp;$F631,Cluster_Master!$I$3:$H$17,5,FALSE))</f>
        <v/>
      </c>
      <c r="K631" s="7">
        <f>IF($G631&lt;&gt;"Valid","",VLOOKUP($E631&amp;"|"&amp;$F631,Cluster_Master!$I$3:$H$17,6,FALSE))</f>
        <v/>
      </c>
      <c r="L631" s="7">
        <f>IF($G631&lt;&gt;"Valid","",VLOOKUP($E631&amp;"|"&amp;$F631,Cluster_Master!$I$3:$H$17,7,FALSE))</f>
        <v/>
      </c>
      <c r="M631" s="7">
        <f>IF($G631&lt;&gt;"Valid","",VLOOKUP($E631&amp;"|"&amp;$F631,Cluster_Master!$I$3:$H$17,8,FALSE))</f>
        <v/>
      </c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7">
        <f>IF(COUNT(T631:AH631)=0,"",SUM(T631:AH631))</f>
        <v/>
      </c>
      <c r="AJ631" s="10">
        <f>IF(AI631="","",AI631/75)</f>
        <v/>
      </c>
      <c r="AK631" s="10">
        <f>IF(AI631="","",SUMPRODUCT(T631:AH631,KPI_Weights!$B$3:$B$17)/5)</f>
        <v/>
      </c>
      <c r="AL631" s="7">
        <f>IF(COUNT(T631:AH631)=0,"",IF(OR(T631&lt;=1,W631&lt;=1,X631&lt;=1,Y631&lt;=1,AB631&lt;=1),"YES","NO"))</f>
        <v/>
      </c>
      <c r="AM631" s="7">
        <f>IF(AK631="","",IF(AND(AK631="NO",AJ631&gt;=0.85),"YES","NO"))</f>
        <v/>
      </c>
      <c r="AN631" s="7">
        <f>IF(AJ631="","",IF(AJ631&gt;=0.90,"Excellent",IF(AJ631&gt;=0.80,"Good",IF(AJ631&gt;=0.70,"Fair","Poor"))))</f>
        <v/>
      </c>
      <c r="AO631" s="12" t="n"/>
      <c r="AP631" s="12" t="n"/>
      <c r="AQ631" s="12" t="n"/>
      <c r="AR631" s="12" t="n"/>
      <c r="AS631" s="12" t="n"/>
      <c r="AT631" s="12" t="n"/>
      <c r="AU631" s="12" t="n"/>
      <c r="AV631" s="11" t="n"/>
      <c r="AW631" s="12" t="n"/>
      <c r="AX631" s="12" t="n"/>
      <c r="AY631" s="12" t="n"/>
      <c r="AZ631" s="12" t="n"/>
      <c r="BA631" s="12" t="n"/>
      <c r="BB631" s="12" t="n"/>
      <c r="BC631" s="12" t="n"/>
      <c r="BD631" s="12" t="n"/>
      <c r="BE631" s="12" t="n"/>
      <c r="BF631" s="12" t="n"/>
    </row>
    <row r="632">
      <c r="A632" s="7">
        <f>IF(B632="","","INS-"&amp;TEXT(ROW()-3,"000"))</f>
        <v/>
      </c>
      <c r="B632" s="11" t="n"/>
      <c r="C632" s="7">
        <f>IF(B632="","",ISOWEEKNUM(B632))</f>
        <v/>
      </c>
      <c r="D632" s="7">
        <f>IF(B632="","",TEXT(B632,"yyyy-mm"))</f>
        <v/>
      </c>
      <c r="E632" s="12" t="n"/>
      <c r="F632" s="12" t="n"/>
      <c r="G632" s="7">
        <f>IF(OR(E632="",F632=""),"",IF(COUNTIF(Cluster_Master!$I$3:$I$17,E632&amp;"|"&amp;F632)=1,"Valid","Review"))</f>
        <v/>
      </c>
      <c r="H632" s="7">
        <f>IF($G632&lt;&gt;"Valid","",VLOOKUP($E632&amp;"|"&amp;$F632,Cluster_Master!$I$3:$H$17,3,FALSE))</f>
        <v/>
      </c>
      <c r="I632" s="7">
        <f>IF($G632&lt;&gt;"Valid","",VLOOKUP($E632&amp;"|"&amp;$F632,Cluster_Master!$I$3:$H$17,4,FALSE))</f>
        <v/>
      </c>
      <c r="J632" s="7">
        <f>IF($G632&lt;&gt;"Valid","",VLOOKUP($E632&amp;"|"&amp;$F632,Cluster_Master!$I$3:$H$17,5,FALSE))</f>
        <v/>
      </c>
      <c r="K632" s="7">
        <f>IF($G632&lt;&gt;"Valid","",VLOOKUP($E632&amp;"|"&amp;$F632,Cluster_Master!$I$3:$H$17,6,FALSE))</f>
        <v/>
      </c>
      <c r="L632" s="7">
        <f>IF($G632&lt;&gt;"Valid","",VLOOKUP($E632&amp;"|"&amp;$F632,Cluster_Master!$I$3:$H$17,7,FALSE))</f>
        <v/>
      </c>
      <c r="M632" s="7">
        <f>IF($G632&lt;&gt;"Valid","",VLOOKUP($E632&amp;"|"&amp;$F632,Cluster_Master!$I$3:$H$17,8,FALSE))</f>
        <v/>
      </c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7">
        <f>IF(COUNT(T632:AH632)=0,"",SUM(T632:AH632))</f>
        <v/>
      </c>
      <c r="AJ632" s="10">
        <f>IF(AI632="","",AI632/75)</f>
        <v/>
      </c>
      <c r="AK632" s="10">
        <f>IF(AI632="","",SUMPRODUCT(T632:AH632,KPI_Weights!$B$3:$B$17)/5)</f>
        <v/>
      </c>
      <c r="AL632" s="7">
        <f>IF(COUNT(T632:AH632)=0,"",IF(OR(T632&lt;=1,W632&lt;=1,X632&lt;=1,Y632&lt;=1,AB632&lt;=1),"YES","NO"))</f>
        <v/>
      </c>
      <c r="AM632" s="7">
        <f>IF(AK632="","",IF(AND(AK632="NO",AJ632&gt;=0.85),"YES","NO"))</f>
        <v/>
      </c>
      <c r="AN632" s="7">
        <f>IF(AJ632="","",IF(AJ632&gt;=0.90,"Excellent",IF(AJ632&gt;=0.80,"Good",IF(AJ632&gt;=0.70,"Fair","Poor"))))</f>
        <v/>
      </c>
      <c r="AO632" s="12" t="n"/>
      <c r="AP632" s="12" t="n"/>
      <c r="AQ632" s="12" t="n"/>
      <c r="AR632" s="12" t="n"/>
      <c r="AS632" s="12" t="n"/>
      <c r="AT632" s="12" t="n"/>
      <c r="AU632" s="12" t="n"/>
      <c r="AV632" s="11" t="n"/>
      <c r="AW632" s="12" t="n"/>
      <c r="AX632" s="12" t="n"/>
      <c r="AY632" s="12" t="n"/>
      <c r="AZ632" s="12" t="n"/>
      <c r="BA632" s="12" t="n"/>
      <c r="BB632" s="12" t="n"/>
      <c r="BC632" s="12" t="n"/>
      <c r="BD632" s="12" t="n"/>
      <c r="BE632" s="12" t="n"/>
      <c r="BF632" s="12" t="n"/>
    </row>
    <row r="633">
      <c r="A633" s="7">
        <f>IF(B633="","","INS-"&amp;TEXT(ROW()-3,"000"))</f>
        <v/>
      </c>
      <c r="B633" s="11" t="n"/>
      <c r="C633" s="7">
        <f>IF(B633="","",ISOWEEKNUM(B633))</f>
        <v/>
      </c>
      <c r="D633" s="7">
        <f>IF(B633="","",TEXT(B633,"yyyy-mm"))</f>
        <v/>
      </c>
      <c r="E633" s="12" t="n"/>
      <c r="F633" s="12" t="n"/>
      <c r="G633" s="7">
        <f>IF(OR(E633="",F633=""),"",IF(COUNTIF(Cluster_Master!$I$3:$I$17,E633&amp;"|"&amp;F633)=1,"Valid","Review"))</f>
        <v/>
      </c>
      <c r="H633" s="7">
        <f>IF($G633&lt;&gt;"Valid","",VLOOKUP($E633&amp;"|"&amp;$F633,Cluster_Master!$I$3:$H$17,3,FALSE))</f>
        <v/>
      </c>
      <c r="I633" s="7">
        <f>IF($G633&lt;&gt;"Valid","",VLOOKUP($E633&amp;"|"&amp;$F633,Cluster_Master!$I$3:$H$17,4,FALSE))</f>
        <v/>
      </c>
      <c r="J633" s="7">
        <f>IF($G633&lt;&gt;"Valid","",VLOOKUP($E633&amp;"|"&amp;$F633,Cluster_Master!$I$3:$H$17,5,FALSE))</f>
        <v/>
      </c>
      <c r="K633" s="7">
        <f>IF($G633&lt;&gt;"Valid","",VLOOKUP($E633&amp;"|"&amp;$F633,Cluster_Master!$I$3:$H$17,6,FALSE))</f>
        <v/>
      </c>
      <c r="L633" s="7">
        <f>IF($G633&lt;&gt;"Valid","",VLOOKUP($E633&amp;"|"&amp;$F633,Cluster_Master!$I$3:$H$17,7,FALSE))</f>
        <v/>
      </c>
      <c r="M633" s="7">
        <f>IF($G633&lt;&gt;"Valid","",VLOOKUP($E633&amp;"|"&amp;$F633,Cluster_Master!$I$3:$H$17,8,FALSE))</f>
        <v/>
      </c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7">
        <f>IF(COUNT(T633:AH633)=0,"",SUM(T633:AH633))</f>
        <v/>
      </c>
      <c r="AJ633" s="10">
        <f>IF(AI633="","",AI633/75)</f>
        <v/>
      </c>
      <c r="AK633" s="10">
        <f>IF(AI633="","",SUMPRODUCT(T633:AH633,KPI_Weights!$B$3:$B$17)/5)</f>
        <v/>
      </c>
      <c r="AL633" s="7">
        <f>IF(COUNT(T633:AH633)=0,"",IF(OR(T633&lt;=1,W633&lt;=1,X633&lt;=1,Y633&lt;=1,AB633&lt;=1),"YES","NO"))</f>
        <v/>
      </c>
      <c r="AM633" s="7">
        <f>IF(AK633="","",IF(AND(AK633="NO",AJ633&gt;=0.85),"YES","NO"))</f>
        <v/>
      </c>
      <c r="AN633" s="7">
        <f>IF(AJ633="","",IF(AJ633&gt;=0.90,"Excellent",IF(AJ633&gt;=0.80,"Good",IF(AJ633&gt;=0.70,"Fair","Poor"))))</f>
        <v/>
      </c>
      <c r="AO633" s="12" t="n"/>
      <c r="AP633" s="12" t="n"/>
      <c r="AQ633" s="12" t="n"/>
      <c r="AR633" s="12" t="n"/>
      <c r="AS633" s="12" t="n"/>
      <c r="AT633" s="12" t="n"/>
      <c r="AU633" s="12" t="n"/>
      <c r="AV633" s="11" t="n"/>
      <c r="AW633" s="12" t="n"/>
      <c r="AX633" s="12" t="n"/>
      <c r="AY633" s="12" t="n"/>
      <c r="AZ633" s="12" t="n"/>
      <c r="BA633" s="12" t="n"/>
      <c r="BB633" s="12" t="n"/>
      <c r="BC633" s="12" t="n"/>
      <c r="BD633" s="12" t="n"/>
      <c r="BE633" s="12" t="n"/>
      <c r="BF633" s="12" t="n"/>
    </row>
    <row r="634">
      <c r="A634" s="7">
        <f>IF(B634="","","INS-"&amp;TEXT(ROW()-3,"000"))</f>
        <v/>
      </c>
      <c r="B634" s="11" t="n"/>
      <c r="C634" s="7">
        <f>IF(B634="","",ISOWEEKNUM(B634))</f>
        <v/>
      </c>
      <c r="D634" s="7">
        <f>IF(B634="","",TEXT(B634,"yyyy-mm"))</f>
        <v/>
      </c>
      <c r="E634" s="12" t="n"/>
      <c r="F634" s="12" t="n"/>
      <c r="G634" s="7">
        <f>IF(OR(E634="",F634=""),"",IF(COUNTIF(Cluster_Master!$I$3:$I$17,E634&amp;"|"&amp;F634)=1,"Valid","Review"))</f>
        <v/>
      </c>
      <c r="H634" s="7">
        <f>IF($G634&lt;&gt;"Valid","",VLOOKUP($E634&amp;"|"&amp;$F634,Cluster_Master!$I$3:$H$17,3,FALSE))</f>
        <v/>
      </c>
      <c r="I634" s="7">
        <f>IF($G634&lt;&gt;"Valid","",VLOOKUP($E634&amp;"|"&amp;$F634,Cluster_Master!$I$3:$H$17,4,FALSE))</f>
        <v/>
      </c>
      <c r="J634" s="7">
        <f>IF($G634&lt;&gt;"Valid","",VLOOKUP($E634&amp;"|"&amp;$F634,Cluster_Master!$I$3:$H$17,5,FALSE))</f>
        <v/>
      </c>
      <c r="K634" s="7">
        <f>IF($G634&lt;&gt;"Valid","",VLOOKUP($E634&amp;"|"&amp;$F634,Cluster_Master!$I$3:$H$17,6,FALSE))</f>
        <v/>
      </c>
      <c r="L634" s="7">
        <f>IF($G634&lt;&gt;"Valid","",VLOOKUP($E634&amp;"|"&amp;$F634,Cluster_Master!$I$3:$H$17,7,FALSE))</f>
        <v/>
      </c>
      <c r="M634" s="7">
        <f>IF($G634&lt;&gt;"Valid","",VLOOKUP($E634&amp;"|"&amp;$F634,Cluster_Master!$I$3:$H$17,8,FALSE))</f>
        <v/>
      </c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7">
        <f>IF(COUNT(T634:AH634)=0,"",SUM(T634:AH634))</f>
        <v/>
      </c>
      <c r="AJ634" s="10">
        <f>IF(AI634="","",AI634/75)</f>
        <v/>
      </c>
      <c r="AK634" s="10">
        <f>IF(AI634="","",SUMPRODUCT(T634:AH634,KPI_Weights!$B$3:$B$17)/5)</f>
        <v/>
      </c>
      <c r="AL634" s="7">
        <f>IF(COUNT(T634:AH634)=0,"",IF(OR(T634&lt;=1,W634&lt;=1,X634&lt;=1,Y634&lt;=1,AB634&lt;=1),"YES","NO"))</f>
        <v/>
      </c>
      <c r="AM634" s="7">
        <f>IF(AK634="","",IF(AND(AK634="NO",AJ634&gt;=0.85),"YES","NO"))</f>
        <v/>
      </c>
      <c r="AN634" s="7">
        <f>IF(AJ634="","",IF(AJ634&gt;=0.90,"Excellent",IF(AJ634&gt;=0.80,"Good",IF(AJ634&gt;=0.70,"Fair","Poor"))))</f>
        <v/>
      </c>
      <c r="AO634" s="12" t="n"/>
      <c r="AP634" s="12" t="n"/>
      <c r="AQ634" s="12" t="n"/>
      <c r="AR634" s="12" t="n"/>
      <c r="AS634" s="12" t="n"/>
      <c r="AT634" s="12" t="n"/>
      <c r="AU634" s="12" t="n"/>
      <c r="AV634" s="11" t="n"/>
      <c r="AW634" s="12" t="n"/>
      <c r="AX634" s="12" t="n"/>
      <c r="AY634" s="12" t="n"/>
      <c r="AZ634" s="12" t="n"/>
      <c r="BA634" s="12" t="n"/>
      <c r="BB634" s="12" t="n"/>
      <c r="BC634" s="12" t="n"/>
      <c r="BD634" s="12" t="n"/>
      <c r="BE634" s="12" t="n"/>
      <c r="BF634" s="12" t="n"/>
    </row>
    <row r="635">
      <c r="A635" s="7">
        <f>IF(B635="","","INS-"&amp;TEXT(ROW()-3,"000"))</f>
        <v/>
      </c>
      <c r="B635" s="11" t="n"/>
      <c r="C635" s="7">
        <f>IF(B635="","",ISOWEEKNUM(B635))</f>
        <v/>
      </c>
      <c r="D635" s="7">
        <f>IF(B635="","",TEXT(B635,"yyyy-mm"))</f>
        <v/>
      </c>
      <c r="E635" s="12" t="n"/>
      <c r="F635" s="12" t="n"/>
      <c r="G635" s="7">
        <f>IF(OR(E635="",F635=""),"",IF(COUNTIF(Cluster_Master!$I$3:$I$17,E635&amp;"|"&amp;F635)=1,"Valid","Review"))</f>
        <v/>
      </c>
      <c r="H635" s="7">
        <f>IF($G635&lt;&gt;"Valid","",VLOOKUP($E635&amp;"|"&amp;$F635,Cluster_Master!$I$3:$H$17,3,FALSE))</f>
        <v/>
      </c>
      <c r="I635" s="7">
        <f>IF($G635&lt;&gt;"Valid","",VLOOKUP($E635&amp;"|"&amp;$F635,Cluster_Master!$I$3:$H$17,4,FALSE))</f>
        <v/>
      </c>
      <c r="J635" s="7">
        <f>IF($G635&lt;&gt;"Valid","",VLOOKUP($E635&amp;"|"&amp;$F635,Cluster_Master!$I$3:$H$17,5,FALSE))</f>
        <v/>
      </c>
      <c r="K635" s="7">
        <f>IF($G635&lt;&gt;"Valid","",VLOOKUP($E635&amp;"|"&amp;$F635,Cluster_Master!$I$3:$H$17,6,FALSE))</f>
        <v/>
      </c>
      <c r="L635" s="7">
        <f>IF($G635&lt;&gt;"Valid","",VLOOKUP($E635&amp;"|"&amp;$F635,Cluster_Master!$I$3:$H$17,7,FALSE))</f>
        <v/>
      </c>
      <c r="M635" s="7">
        <f>IF($G635&lt;&gt;"Valid","",VLOOKUP($E635&amp;"|"&amp;$F635,Cluster_Master!$I$3:$H$17,8,FALSE))</f>
        <v/>
      </c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7">
        <f>IF(COUNT(T635:AH635)=0,"",SUM(T635:AH635))</f>
        <v/>
      </c>
      <c r="AJ635" s="10">
        <f>IF(AI635="","",AI635/75)</f>
        <v/>
      </c>
      <c r="AK635" s="10">
        <f>IF(AI635="","",SUMPRODUCT(T635:AH635,KPI_Weights!$B$3:$B$17)/5)</f>
        <v/>
      </c>
      <c r="AL635" s="7">
        <f>IF(COUNT(T635:AH635)=0,"",IF(OR(T635&lt;=1,W635&lt;=1,X635&lt;=1,Y635&lt;=1,AB635&lt;=1),"YES","NO"))</f>
        <v/>
      </c>
      <c r="AM635" s="7">
        <f>IF(AK635="","",IF(AND(AK635="NO",AJ635&gt;=0.85),"YES","NO"))</f>
        <v/>
      </c>
      <c r="AN635" s="7">
        <f>IF(AJ635="","",IF(AJ635&gt;=0.90,"Excellent",IF(AJ635&gt;=0.80,"Good",IF(AJ635&gt;=0.70,"Fair","Poor"))))</f>
        <v/>
      </c>
      <c r="AO635" s="12" t="n"/>
      <c r="AP635" s="12" t="n"/>
      <c r="AQ635" s="12" t="n"/>
      <c r="AR635" s="12" t="n"/>
      <c r="AS635" s="12" t="n"/>
      <c r="AT635" s="12" t="n"/>
      <c r="AU635" s="12" t="n"/>
      <c r="AV635" s="11" t="n"/>
      <c r="AW635" s="12" t="n"/>
      <c r="AX635" s="12" t="n"/>
      <c r="AY635" s="12" t="n"/>
      <c r="AZ635" s="12" t="n"/>
      <c r="BA635" s="12" t="n"/>
      <c r="BB635" s="12" t="n"/>
      <c r="BC635" s="12" t="n"/>
      <c r="BD635" s="12" t="n"/>
      <c r="BE635" s="12" t="n"/>
      <c r="BF635" s="12" t="n"/>
    </row>
    <row r="636">
      <c r="A636" s="7">
        <f>IF(B636="","","INS-"&amp;TEXT(ROW()-3,"000"))</f>
        <v/>
      </c>
      <c r="B636" s="11" t="n"/>
      <c r="C636" s="7">
        <f>IF(B636="","",ISOWEEKNUM(B636))</f>
        <v/>
      </c>
      <c r="D636" s="7">
        <f>IF(B636="","",TEXT(B636,"yyyy-mm"))</f>
        <v/>
      </c>
      <c r="E636" s="12" t="n"/>
      <c r="F636" s="12" t="n"/>
      <c r="G636" s="7">
        <f>IF(OR(E636="",F636=""),"",IF(COUNTIF(Cluster_Master!$I$3:$I$17,E636&amp;"|"&amp;F636)=1,"Valid","Review"))</f>
        <v/>
      </c>
      <c r="H636" s="7">
        <f>IF($G636&lt;&gt;"Valid","",VLOOKUP($E636&amp;"|"&amp;$F636,Cluster_Master!$I$3:$H$17,3,FALSE))</f>
        <v/>
      </c>
      <c r="I636" s="7">
        <f>IF($G636&lt;&gt;"Valid","",VLOOKUP($E636&amp;"|"&amp;$F636,Cluster_Master!$I$3:$H$17,4,FALSE))</f>
        <v/>
      </c>
      <c r="J636" s="7">
        <f>IF($G636&lt;&gt;"Valid","",VLOOKUP($E636&amp;"|"&amp;$F636,Cluster_Master!$I$3:$H$17,5,FALSE))</f>
        <v/>
      </c>
      <c r="K636" s="7">
        <f>IF($G636&lt;&gt;"Valid","",VLOOKUP($E636&amp;"|"&amp;$F636,Cluster_Master!$I$3:$H$17,6,FALSE))</f>
        <v/>
      </c>
      <c r="L636" s="7">
        <f>IF($G636&lt;&gt;"Valid","",VLOOKUP($E636&amp;"|"&amp;$F636,Cluster_Master!$I$3:$H$17,7,FALSE))</f>
        <v/>
      </c>
      <c r="M636" s="7">
        <f>IF($G636&lt;&gt;"Valid","",VLOOKUP($E636&amp;"|"&amp;$F636,Cluster_Master!$I$3:$H$17,8,FALSE))</f>
        <v/>
      </c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7">
        <f>IF(COUNT(T636:AH636)=0,"",SUM(T636:AH636))</f>
        <v/>
      </c>
      <c r="AJ636" s="10">
        <f>IF(AI636="","",AI636/75)</f>
        <v/>
      </c>
      <c r="AK636" s="10">
        <f>IF(AI636="","",SUMPRODUCT(T636:AH636,KPI_Weights!$B$3:$B$17)/5)</f>
        <v/>
      </c>
      <c r="AL636" s="7">
        <f>IF(COUNT(T636:AH636)=0,"",IF(OR(T636&lt;=1,W636&lt;=1,X636&lt;=1,Y636&lt;=1,AB636&lt;=1),"YES","NO"))</f>
        <v/>
      </c>
      <c r="AM636" s="7">
        <f>IF(AK636="","",IF(AND(AK636="NO",AJ636&gt;=0.85),"YES","NO"))</f>
        <v/>
      </c>
      <c r="AN636" s="7">
        <f>IF(AJ636="","",IF(AJ636&gt;=0.90,"Excellent",IF(AJ636&gt;=0.80,"Good",IF(AJ636&gt;=0.70,"Fair","Poor"))))</f>
        <v/>
      </c>
      <c r="AO636" s="12" t="n"/>
      <c r="AP636" s="12" t="n"/>
      <c r="AQ636" s="12" t="n"/>
      <c r="AR636" s="12" t="n"/>
      <c r="AS636" s="12" t="n"/>
      <c r="AT636" s="12" t="n"/>
      <c r="AU636" s="12" t="n"/>
      <c r="AV636" s="11" t="n"/>
      <c r="AW636" s="12" t="n"/>
      <c r="AX636" s="12" t="n"/>
      <c r="AY636" s="12" t="n"/>
      <c r="AZ636" s="12" t="n"/>
      <c r="BA636" s="12" t="n"/>
      <c r="BB636" s="12" t="n"/>
      <c r="BC636" s="12" t="n"/>
      <c r="BD636" s="12" t="n"/>
      <c r="BE636" s="12" t="n"/>
      <c r="BF636" s="12" t="n"/>
    </row>
    <row r="637">
      <c r="A637" s="7">
        <f>IF(B637="","","INS-"&amp;TEXT(ROW()-3,"000"))</f>
        <v/>
      </c>
      <c r="B637" s="11" t="n"/>
      <c r="C637" s="7">
        <f>IF(B637="","",ISOWEEKNUM(B637))</f>
        <v/>
      </c>
      <c r="D637" s="7">
        <f>IF(B637="","",TEXT(B637,"yyyy-mm"))</f>
        <v/>
      </c>
      <c r="E637" s="12" t="n"/>
      <c r="F637" s="12" t="n"/>
      <c r="G637" s="7">
        <f>IF(OR(E637="",F637=""),"",IF(COUNTIF(Cluster_Master!$I$3:$I$17,E637&amp;"|"&amp;F637)=1,"Valid","Review"))</f>
        <v/>
      </c>
      <c r="H637" s="7">
        <f>IF($G637&lt;&gt;"Valid","",VLOOKUP($E637&amp;"|"&amp;$F637,Cluster_Master!$I$3:$H$17,3,FALSE))</f>
        <v/>
      </c>
      <c r="I637" s="7">
        <f>IF($G637&lt;&gt;"Valid","",VLOOKUP($E637&amp;"|"&amp;$F637,Cluster_Master!$I$3:$H$17,4,FALSE))</f>
        <v/>
      </c>
      <c r="J637" s="7">
        <f>IF($G637&lt;&gt;"Valid","",VLOOKUP($E637&amp;"|"&amp;$F637,Cluster_Master!$I$3:$H$17,5,FALSE))</f>
        <v/>
      </c>
      <c r="K637" s="7">
        <f>IF($G637&lt;&gt;"Valid","",VLOOKUP($E637&amp;"|"&amp;$F637,Cluster_Master!$I$3:$H$17,6,FALSE))</f>
        <v/>
      </c>
      <c r="L637" s="7">
        <f>IF($G637&lt;&gt;"Valid","",VLOOKUP($E637&amp;"|"&amp;$F637,Cluster_Master!$I$3:$H$17,7,FALSE))</f>
        <v/>
      </c>
      <c r="M637" s="7">
        <f>IF($G637&lt;&gt;"Valid","",VLOOKUP($E637&amp;"|"&amp;$F637,Cluster_Master!$I$3:$H$17,8,FALSE))</f>
        <v/>
      </c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7">
        <f>IF(COUNT(T637:AH637)=0,"",SUM(T637:AH637))</f>
        <v/>
      </c>
      <c r="AJ637" s="10">
        <f>IF(AI637="","",AI637/75)</f>
        <v/>
      </c>
      <c r="AK637" s="10">
        <f>IF(AI637="","",SUMPRODUCT(T637:AH637,KPI_Weights!$B$3:$B$17)/5)</f>
        <v/>
      </c>
      <c r="AL637" s="7">
        <f>IF(COUNT(T637:AH637)=0,"",IF(OR(T637&lt;=1,W637&lt;=1,X637&lt;=1,Y637&lt;=1,AB637&lt;=1),"YES","NO"))</f>
        <v/>
      </c>
      <c r="AM637" s="7">
        <f>IF(AK637="","",IF(AND(AK637="NO",AJ637&gt;=0.85),"YES","NO"))</f>
        <v/>
      </c>
      <c r="AN637" s="7">
        <f>IF(AJ637="","",IF(AJ637&gt;=0.90,"Excellent",IF(AJ637&gt;=0.80,"Good",IF(AJ637&gt;=0.70,"Fair","Poor"))))</f>
        <v/>
      </c>
      <c r="AO637" s="12" t="n"/>
      <c r="AP637" s="12" t="n"/>
      <c r="AQ637" s="12" t="n"/>
      <c r="AR637" s="12" t="n"/>
      <c r="AS637" s="12" t="n"/>
      <c r="AT637" s="12" t="n"/>
      <c r="AU637" s="12" t="n"/>
      <c r="AV637" s="11" t="n"/>
      <c r="AW637" s="12" t="n"/>
      <c r="AX637" s="12" t="n"/>
      <c r="AY637" s="12" t="n"/>
      <c r="AZ637" s="12" t="n"/>
      <c r="BA637" s="12" t="n"/>
      <c r="BB637" s="12" t="n"/>
      <c r="BC637" s="12" t="n"/>
      <c r="BD637" s="12" t="n"/>
      <c r="BE637" s="12" t="n"/>
      <c r="BF637" s="12" t="n"/>
    </row>
    <row r="638">
      <c r="A638" s="7">
        <f>IF(B638="","","INS-"&amp;TEXT(ROW()-3,"000"))</f>
        <v/>
      </c>
      <c r="B638" s="11" t="n"/>
      <c r="C638" s="7">
        <f>IF(B638="","",ISOWEEKNUM(B638))</f>
        <v/>
      </c>
      <c r="D638" s="7">
        <f>IF(B638="","",TEXT(B638,"yyyy-mm"))</f>
        <v/>
      </c>
      <c r="E638" s="12" t="n"/>
      <c r="F638" s="12" t="n"/>
      <c r="G638" s="7">
        <f>IF(OR(E638="",F638=""),"",IF(COUNTIF(Cluster_Master!$I$3:$I$17,E638&amp;"|"&amp;F638)=1,"Valid","Review"))</f>
        <v/>
      </c>
      <c r="H638" s="7">
        <f>IF($G638&lt;&gt;"Valid","",VLOOKUP($E638&amp;"|"&amp;$F638,Cluster_Master!$I$3:$H$17,3,FALSE))</f>
        <v/>
      </c>
      <c r="I638" s="7">
        <f>IF($G638&lt;&gt;"Valid","",VLOOKUP($E638&amp;"|"&amp;$F638,Cluster_Master!$I$3:$H$17,4,FALSE))</f>
        <v/>
      </c>
      <c r="J638" s="7">
        <f>IF($G638&lt;&gt;"Valid","",VLOOKUP($E638&amp;"|"&amp;$F638,Cluster_Master!$I$3:$H$17,5,FALSE))</f>
        <v/>
      </c>
      <c r="K638" s="7">
        <f>IF($G638&lt;&gt;"Valid","",VLOOKUP($E638&amp;"|"&amp;$F638,Cluster_Master!$I$3:$H$17,6,FALSE))</f>
        <v/>
      </c>
      <c r="L638" s="7">
        <f>IF($G638&lt;&gt;"Valid","",VLOOKUP($E638&amp;"|"&amp;$F638,Cluster_Master!$I$3:$H$17,7,FALSE))</f>
        <v/>
      </c>
      <c r="M638" s="7">
        <f>IF($G638&lt;&gt;"Valid","",VLOOKUP($E638&amp;"|"&amp;$F638,Cluster_Master!$I$3:$H$17,8,FALSE))</f>
        <v/>
      </c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7">
        <f>IF(COUNT(T638:AH638)=0,"",SUM(T638:AH638))</f>
        <v/>
      </c>
      <c r="AJ638" s="10">
        <f>IF(AI638="","",AI638/75)</f>
        <v/>
      </c>
      <c r="AK638" s="10">
        <f>IF(AI638="","",SUMPRODUCT(T638:AH638,KPI_Weights!$B$3:$B$17)/5)</f>
        <v/>
      </c>
      <c r="AL638" s="7">
        <f>IF(COUNT(T638:AH638)=0,"",IF(OR(T638&lt;=1,W638&lt;=1,X638&lt;=1,Y638&lt;=1,AB638&lt;=1),"YES","NO"))</f>
        <v/>
      </c>
      <c r="AM638" s="7">
        <f>IF(AK638="","",IF(AND(AK638="NO",AJ638&gt;=0.85),"YES","NO"))</f>
        <v/>
      </c>
      <c r="AN638" s="7">
        <f>IF(AJ638="","",IF(AJ638&gt;=0.90,"Excellent",IF(AJ638&gt;=0.80,"Good",IF(AJ638&gt;=0.70,"Fair","Poor"))))</f>
        <v/>
      </c>
      <c r="AO638" s="12" t="n"/>
      <c r="AP638" s="12" t="n"/>
      <c r="AQ638" s="12" t="n"/>
      <c r="AR638" s="12" t="n"/>
      <c r="AS638" s="12" t="n"/>
      <c r="AT638" s="12" t="n"/>
      <c r="AU638" s="12" t="n"/>
      <c r="AV638" s="11" t="n"/>
      <c r="AW638" s="12" t="n"/>
      <c r="AX638" s="12" t="n"/>
      <c r="AY638" s="12" t="n"/>
      <c r="AZ638" s="12" t="n"/>
      <c r="BA638" s="12" t="n"/>
      <c r="BB638" s="12" t="n"/>
      <c r="BC638" s="12" t="n"/>
      <c r="BD638" s="12" t="n"/>
      <c r="BE638" s="12" t="n"/>
      <c r="BF638" s="12" t="n"/>
    </row>
    <row r="639">
      <c r="A639" s="7">
        <f>IF(B639="","","INS-"&amp;TEXT(ROW()-3,"000"))</f>
        <v/>
      </c>
      <c r="B639" s="11" t="n"/>
      <c r="C639" s="7">
        <f>IF(B639="","",ISOWEEKNUM(B639))</f>
        <v/>
      </c>
      <c r="D639" s="7">
        <f>IF(B639="","",TEXT(B639,"yyyy-mm"))</f>
        <v/>
      </c>
      <c r="E639" s="12" t="n"/>
      <c r="F639" s="12" t="n"/>
      <c r="G639" s="7">
        <f>IF(OR(E639="",F639=""),"",IF(COUNTIF(Cluster_Master!$I$3:$I$17,E639&amp;"|"&amp;F639)=1,"Valid","Review"))</f>
        <v/>
      </c>
      <c r="H639" s="7">
        <f>IF($G639&lt;&gt;"Valid","",VLOOKUP($E639&amp;"|"&amp;$F639,Cluster_Master!$I$3:$H$17,3,FALSE))</f>
        <v/>
      </c>
      <c r="I639" s="7">
        <f>IF($G639&lt;&gt;"Valid","",VLOOKUP($E639&amp;"|"&amp;$F639,Cluster_Master!$I$3:$H$17,4,FALSE))</f>
        <v/>
      </c>
      <c r="J639" s="7">
        <f>IF($G639&lt;&gt;"Valid","",VLOOKUP($E639&amp;"|"&amp;$F639,Cluster_Master!$I$3:$H$17,5,FALSE))</f>
        <v/>
      </c>
      <c r="K639" s="7">
        <f>IF($G639&lt;&gt;"Valid","",VLOOKUP($E639&amp;"|"&amp;$F639,Cluster_Master!$I$3:$H$17,6,FALSE))</f>
        <v/>
      </c>
      <c r="L639" s="7">
        <f>IF($G639&lt;&gt;"Valid","",VLOOKUP($E639&amp;"|"&amp;$F639,Cluster_Master!$I$3:$H$17,7,FALSE))</f>
        <v/>
      </c>
      <c r="M639" s="7">
        <f>IF($G639&lt;&gt;"Valid","",VLOOKUP($E639&amp;"|"&amp;$F639,Cluster_Master!$I$3:$H$17,8,FALSE))</f>
        <v/>
      </c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7">
        <f>IF(COUNT(T639:AH639)=0,"",SUM(T639:AH639))</f>
        <v/>
      </c>
      <c r="AJ639" s="10">
        <f>IF(AI639="","",AI639/75)</f>
        <v/>
      </c>
      <c r="AK639" s="10">
        <f>IF(AI639="","",SUMPRODUCT(T639:AH639,KPI_Weights!$B$3:$B$17)/5)</f>
        <v/>
      </c>
      <c r="AL639" s="7">
        <f>IF(COUNT(T639:AH639)=0,"",IF(OR(T639&lt;=1,W639&lt;=1,X639&lt;=1,Y639&lt;=1,AB639&lt;=1),"YES","NO"))</f>
        <v/>
      </c>
      <c r="AM639" s="7">
        <f>IF(AK639="","",IF(AND(AK639="NO",AJ639&gt;=0.85),"YES","NO"))</f>
        <v/>
      </c>
      <c r="AN639" s="7">
        <f>IF(AJ639="","",IF(AJ639&gt;=0.90,"Excellent",IF(AJ639&gt;=0.80,"Good",IF(AJ639&gt;=0.70,"Fair","Poor"))))</f>
        <v/>
      </c>
      <c r="AO639" s="12" t="n"/>
      <c r="AP639" s="12" t="n"/>
      <c r="AQ639" s="12" t="n"/>
      <c r="AR639" s="12" t="n"/>
      <c r="AS639" s="12" t="n"/>
      <c r="AT639" s="12" t="n"/>
      <c r="AU639" s="12" t="n"/>
      <c r="AV639" s="11" t="n"/>
      <c r="AW639" s="12" t="n"/>
      <c r="AX639" s="12" t="n"/>
      <c r="AY639" s="12" t="n"/>
      <c r="AZ639" s="12" t="n"/>
      <c r="BA639" s="12" t="n"/>
      <c r="BB639" s="12" t="n"/>
      <c r="BC639" s="12" t="n"/>
      <c r="BD639" s="12" t="n"/>
      <c r="BE639" s="12" t="n"/>
      <c r="BF639" s="12" t="n"/>
    </row>
    <row r="640">
      <c r="A640" s="7">
        <f>IF(B640="","","INS-"&amp;TEXT(ROW()-3,"000"))</f>
        <v/>
      </c>
      <c r="B640" s="11" t="n"/>
      <c r="C640" s="7">
        <f>IF(B640="","",ISOWEEKNUM(B640))</f>
        <v/>
      </c>
      <c r="D640" s="7">
        <f>IF(B640="","",TEXT(B640,"yyyy-mm"))</f>
        <v/>
      </c>
      <c r="E640" s="12" t="n"/>
      <c r="F640" s="12" t="n"/>
      <c r="G640" s="7">
        <f>IF(OR(E640="",F640=""),"",IF(COUNTIF(Cluster_Master!$I$3:$I$17,E640&amp;"|"&amp;F640)=1,"Valid","Review"))</f>
        <v/>
      </c>
      <c r="H640" s="7">
        <f>IF($G640&lt;&gt;"Valid","",VLOOKUP($E640&amp;"|"&amp;$F640,Cluster_Master!$I$3:$H$17,3,FALSE))</f>
        <v/>
      </c>
      <c r="I640" s="7">
        <f>IF($G640&lt;&gt;"Valid","",VLOOKUP($E640&amp;"|"&amp;$F640,Cluster_Master!$I$3:$H$17,4,FALSE))</f>
        <v/>
      </c>
      <c r="J640" s="7">
        <f>IF($G640&lt;&gt;"Valid","",VLOOKUP($E640&amp;"|"&amp;$F640,Cluster_Master!$I$3:$H$17,5,FALSE))</f>
        <v/>
      </c>
      <c r="K640" s="7">
        <f>IF($G640&lt;&gt;"Valid","",VLOOKUP($E640&amp;"|"&amp;$F640,Cluster_Master!$I$3:$H$17,6,FALSE))</f>
        <v/>
      </c>
      <c r="L640" s="7">
        <f>IF($G640&lt;&gt;"Valid","",VLOOKUP($E640&amp;"|"&amp;$F640,Cluster_Master!$I$3:$H$17,7,FALSE))</f>
        <v/>
      </c>
      <c r="M640" s="7">
        <f>IF($G640&lt;&gt;"Valid","",VLOOKUP($E640&amp;"|"&amp;$F640,Cluster_Master!$I$3:$H$17,8,FALSE))</f>
        <v/>
      </c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7">
        <f>IF(COUNT(T640:AH640)=0,"",SUM(T640:AH640))</f>
        <v/>
      </c>
      <c r="AJ640" s="10">
        <f>IF(AI640="","",AI640/75)</f>
        <v/>
      </c>
      <c r="AK640" s="10">
        <f>IF(AI640="","",SUMPRODUCT(T640:AH640,KPI_Weights!$B$3:$B$17)/5)</f>
        <v/>
      </c>
      <c r="AL640" s="7">
        <f>IF(COUNT(T640:AH640)=0,"",IF(OR(T640&lt;=1,W640&lt;=1,X640&lt;=1,Y640&lt;=1,AB640&lt;=1),"YES","NO"))</f>
        <v/>
      </c>
      <c r="AM640" s="7">
        <f>IF(AK640="","",IF(AND(AK640="NO",AJ640&gt;=0.85),"YES","NO"))</f>
        <v/>
      </c>
      <c r="AN640" s="7">
        <f>IF(AJ640="","",IF(AJ640&gt;=0.90,"Excellent",IF(AJ640&gt;=0.80,"Good",IF(AJ640&gt;=0.70,"Fair","Poor"))))</f>
        <v/>
      </c>
      <c r="AO640" s="12" t="n"/>
      <c r="AP640" s="12" t="n"/>
      <c r="AQ640" s="12" t="n"/>
      <c r="AR640" s="12" t="n"/>
      <c r="AS640" s="12" t="n"/>
      <c r="AT640" s="12" t="n"/>
      <c r="AU640" s="12" t="n"/>
      <c r="AV640" s="11" t="n"/>
      <c r="AW640" s="12" t="n"/>
      <c r="AX640" s="12" t="n"/>
      <c r="AY640" s="12" t="n"/>
      <c r="AZ640" s="12" t="n"/>
      <c r="BA640" s="12" t="n"/>
      <c r="BB640" s="12" t="n"/>
      <c r="BC640" s="12" t="n"/>
      <c r="BD640" s="12" t="n"/>
      <c r="BE640" s="12" t="n"/>
      <c r="BF640" s="12" t="n"/>
    </row>
    <row r="641">
      <c r="A641" s="7">
        <f>IF(B641="","","INS-"&amp;TEXT(ROW()-3,"000"))</f>
        <v/>
      </c>
      <c r="B641" s="11" t="n"/>
      <c r="C641" s="7">
        <f>IF(B641="","",ISOWEEKNUM(B641))</f>
        <v/>
      </c>
      <c r="D641" s="7">
        <f>IF(B641="","",TEXT(B641,"yyyy-mm"))</f>
        <v/>
      </c>
      <c r="E641" s="12" t="n"/>
      <c r="F641" s="12" t="n"/>
      <c r="G641" s="7">
        <f>IF(OR(E641="",F641=""),"",IF(COUNTIF(Cluster_Master!$I$3:$I$17,E641&amp;"|"&amp;F641)=1,"Valid","Review"))</f>
        <v/>
      </c>
      <c r="H641" s="7">
        <f>IF($G641&lt;&gt;"Valid","",VLOOKUP($E641&amp;"|"&amp;$F641,Cluster_Master!$I$3:$H$17,3,FALSE))</f>
        <v/>
      </c>
      <c r="I641" s="7">
        <f>IF($G641&lt;&gt;"Valid","",VLOOKUP($E641&amp;"|"&amp;$F641,Cluster_Master!$I$3:$H$17,4,FALSE))</f>
        <v/>
      </c>
      <c r="J641" s="7">
        <f>IF($G641&lt;&gt;"Valid","",VLOOKUP($E641&amp;"|"&amp;$F641,Cluster_Master!$I$3:$H$17,5,FALSE))</f>
        <v/>
      </c>
      <c r="K641" s="7">
        <f>IF($G641&lt;&gt;"Valid","",VLOOKUP($E641&amp;"|"&amp;$F641,Cluster_Master!$I$3:$H$17,6,FALSE))</f>
        <v/>
      </c>
      <c r="L641" s="7">
        <f>IF($G641&lt;&gt;"Valid","",VLOOKUP($E641&amp;"|"&amp;$F641,Cluster_Master!$I$3:$H$17,7,FALSE))</f>
        <v/>
      </c>
      <c r="M641" s="7">
        <f>IF($G641&lt;&gt;"Valid","",VLOOKUP($E641&amp;"|"&amp;$F641,Cluster_Master!$I$3:$H$17,8,FALSE))</f>
        <v/>
      </c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7">
        <f>IF(COUNT(T641:AH641)=0,"",SUM(T641:AH641))</f>
        <v/>
      </c>
      <c r="AJ641" s="10">
        <f>IF(AI641="","",AI641/75)</f>
        <v/>
      </c>
      <c r="AK641" s="10">
        <f>IF(AI641="","",SUMPRODUCT(T641:AH641,KPI_Weights!$B$3:$B$17)/5)</f>
        <v/>
      </c>
      <c r="AL641" s="7">
        <f>IF(COUNT(T641:AH641)=0,"",IF(OR(T641&lt;=1,W641&lt;=1,X641&lt;=1,Y641&lt;=1,AB641&lt;=1),"YES","NO"))</f>
        <v/>
      </c>
      <c r="AM641" s="7">
        <f>IF(AK641="","",IF(AND(AK641="NO",AJ641&gt;=0.85),"YES","NO"))</f>
        <v/>
      </c>
      <c r="AN641" s="7">
        <f>IF(AJ641="","",IF(AJ641&gt;=0.90,"Excellent",IF(AJ641&gt;=0.80,"Good",IF(AJ641&gt;=0.70,"Fair","Poor"))))</f>
        <v/>
      </c>
      <c r="AO641" s="12" t="n"/>
      <c r="AP641" s="12" t="n"/>
      <c r="AQ641" s="12" t="n"/>
      <c r="AR641" s="12" t="n"/>
      <c r="AS641" s="12" t="n"/>
      <c r="AT641" s="12" t="n"/>
      <c r="AU641" s="12" t="n"/>
      <c r="AV641" s="11" t="n"/>
      <c r="AW641" s="12" t="n"/>
      <c r="AX641" s="12" t="n"/>
      <c r="AY641" s="12" t="n"/>
      <c r="AZ641" s="12" t="n"/>
      <c r="BA641" s="12" t="n"/>
      <c r="BB641" s="12" t="n"/>
      <c r="BC641" s="12" t="n"/>
      <c r="BD641" s="12" t="n"/>
      <c r="BE641" s="12" t="n"/>
      <c r="BF641" s="12" t="n"/>
    </row>
    <row r="642">
      <c r="A642" s="7">
        <f>IF(B642="","","INS-"&amp;TEXT(ROW()-3,"000"))</f>
        <v/>
      </c>
      <c r="B642" s="11" t="n"/>
      <c r="C642" s="7">
        <f>IF(B642="","",ISOWEEKNUM(B642))</f>
        <v/>
      </c>
      <c r="D642" s="7">
        <f>IF(B642="","",TEXT(B642,"yyyy-mm"))</f>
        <v/>
      </c>
      <c r="E642" s="12" t="n"/>
      <c r="F642" s="12" t="n"/>
      <c r="G642" s="7">
        <f>IF(OR(E642="",F642=""),"",IF(COUNTIF(Cluster_Master!$I$3:$I$17,E642&amp;"|"&amp;F642)=1,"Valid","Review"))</f>
        <v/>
      </c>
      <c r="H642" s="7">
        <f>IF($G642&lt;&gt;"Valid","",VLOOKUP($E642&amp;"|"&amp;$F642,Cluster_Master!$I$3:$H$17,3,FALSE))</f>
        <v/>
      </c>
      <c r="I642" s="7">
        <f>IF($G642&lt;&gt;"Valid","",VLOOKUP($E642&amp;"|"&amp;$F642,Cluster_Master!$I$3:$H$17,4,FALSE))</f>
        <v/>
      </c>
      <c r="J642" s="7">
        <f>IF($G642&lt;&gt;"Valid","",VLOOKUP($E642&amp;"|"&amp;$F642,Cluster_Master!$I$3:$H$17,5,FALSE))</f>
        <v/>
      </c>
      <c r="K642" s="7">
        <f>IF($G642&lt;&gt;"Valid","",VLOOKUP($E642&amp;"|"&amp;$F642,Cluster_Master!$I$3:$H$17,6,FALSE))</f>
        <v/>
      </c>
      <c r="L642" s="7">
        <f>IF($G642&lt;&gt;"Valid","",VLOOKUP($E642&amp;"|"&amp;$F642,Cluster_Master!$I$3:$H$17,7,FALSE))</f>
        <v/>
      </c>
      <c r="M642" s="7">
        <f>IF($G642&lt;&gt;"Valid","",VLOOKUP($E642&amp;"|"&amp;$F642,Cluster_Master!$I$3:$H$17,8,FALSE))</f>
        <v/>
      </c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7">
        <f>IF(COUNT(T642:AH642)=0,"",SUM(T642:AH642))</f>
        <v/>
      </c>
      <c r="AJ642" s="10">
        <f>IF(AI642="","",AI642/75)</f>
        <v/>
      </c>
      <c r="AK642" s="10">
        <f>IF(AI642="","",SUMPRODUCT(T642:AH642,KPI_Weights!$B$3:$B$17)/5)</f>
        <v/>
      </c>
      <c r="AL642" s="7">
        <f>IF(COUNT(T642:AH642)=0,"",IF(OR(T642&lt;=1,W642&lt;=1,X642&lt;=1,Y642&lt;=1,AB642&lt;=1),"YES","NO"))</f>
        <v/>
      </c>
      <c r="AM642" s="7">
        <f>IF(AK642="","",IF(AND(AK642="NO",AJ642&gt;=0.85),"YES","NO"))</f>
        <v/>
      </c>
      <c r="AN642" s="7">
        <f>IF(AJ642="","",IF(AJ642&gt;=0.90,"Excellent",IF(AJ642&gt;=0.80,"Good",IF(AJ642&gt;=0.70,"Fair","Poor"))))</f>
        <v/>
      </c>
      <c r="AO642" s="12" t="n"/>
      <c r="AP642" s="12" t="n"/>
      <c r="AQ642" s="12" t="n"/>
      <c r="AR642" s="12" t="n"/>
      <c r="AS642" s="12" t="n"/>
      <c r="AT642" s="12" t="n"/>
      <c r="AU642" s="12" t="n"/>
      <c r="AV642" s="11" t="n"/>
      <c r="AW642" s="12" t="n"/>
      <c r="AX642" s="12" t="n"/>
      <c r="AY642" s="12" t="n"/>
      <c r="AZ642" s="12" t="n"/>
      <c r="BA642" s="12" t="n"/>
      <c r="BB642" s="12" t="n"/>
      <c r="BC642" s="12" t="n"/>
      <c r="BD642" s="12" t="n"/>
      <c r="BE642" s="12" t="n"/>
      <c r="BF642" s="12" t="n"/>
    </row>
    <row r="643">
      <c r="A643" s="7">
        <f>IF(B643="","","INS-"&amp;TEXT(ROW()-3,"000"))</f>
        <v/>
      </c>
      <c r="B643" s="11" t="n"/>
      <c r="C643" s="7">
        <f>IF(B643="","",ISOWEEKNUM(B643))</f>
        <v/>
      </c>
      <c r="D643" s="7">
        <f>IF(B643="","",TEXT(B643,"yyyy-mm"))</f>
        <v/>
      </c>
      <c r="E643" s="12" t="n"/>
      <c r="F643" s="12" t="n"/>
      <c r="G643" s="7">
        <f>IF(OR(E643="",F643=""),"",IF(COUNTIF(Cluster_Master!$I$3:$I$17,E643&amp;"|"&amp;F643)=1,"Valid","Review"))</f>
        <v/>
      </c>
      <c r="H643" s="7">
        <f>IF($G643&lt;&gt;"Valid","",VLOOKUP($E643&amp;"|"&amp;$F643,Cluster_Master!$I$3:$H$17,3,FALSE))</f>
        <v/>
      </c>
      <c r="I643" s="7">
        <f>IF($G643&lt;&gt;"Valid","",VLOOKUP($E643&amp;"|"&amp;$F643,Cluster_Master!$I$3:$H$17,4,FALSE))</f>
        <v/>
      </c>
      <c r="J643" s="7">
        <f>IF($G643&lt;&gt;"Valid","",VLOOKUP($E643&amp;"|"&amp;$F643,Cluster_Master!$I$3:$H$17,5,FALSE))</f>
        <v/>
      </c>
      <c r="K643" s="7">
        <f>IF($G643&lt;&gt;"Valid","",VLOOKUP($E643&amp;"|"&amp;$F643,Cluster_Master!$I$3:$H$17,6,FALSE))</f>
        <v/>
      </c>
      <c r="L643" s="7">
        <f>IF($G643&lt;&gt;"Valid","",VLOOKUP($E643&amp;"|"&amp;$F643,Cluster_Master!$I$3:$H$17,7,FALSE))</f>
        <v/>
      </c>
      <c r="M643" s="7">
        <f>IF($G643&lt;&gt;"Valid","",VLOOKUP($E643&amp;"|"&amp;$F643,Cluster_Master!$I$3:$H$17,8,FALSE))</f>
        <v/>
      </c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7">
        <f>IF(COUNT(T643:AH643)=0,"",SUM(T643:AH643))</f>
        <v/>
      </c>
      <c r="AJ643" s="10">
        <f>IF(AI643="","",AI643/75)</f>
        <v/>
      </c>
      <c r="AK643" s="10">
        <f>IF(AI643="","",SUMPRODUCT(T643:AH643,KPI_Weights!$B$3:$B$17)/5)</f>
        <v/>
      </c>
      <c r="AL643" s="7">
        <f>IF(COUNT(T643:AH643)=0,"",IF(OR(T643&lt;=1,W643&lt;=1,X643&lt;=1,Y643&lt;=1,AB643&lt;=1),"YES","NO"))</f>
        <v/>
      </c>
      <c r="AM643" s="7">
        <f>IF(AK643="","",IF(AND(AK643="NO",AJ643&gt;=0.85),"YES","NO"))</f>
        <v/>
      </c>
      <c r="AN643" s="7">
        <f>IF(AJ643="","",IF(AJ643&gt;=0.90,"Excellent",IF(AJ643&gt;=0.80,"Good",IF(AJ643&gt;=0.70,"Fair","Poor"))))</f>
        <v/>
      </c>
      <c r="AO643" s="12" t="n"/>
      <c r="AP643" s="12" t="n"/>
      <c r="AQ643" s="12" t="n"/>
      <c r="AR643" s="12" t="n"/>
      <c r="AS643" s="12" t="n"/>
      <c r="AT643" s="12" t="n"/>
      <c r="AU643" s="12" t="n"/>
      <c r="AV643" s="11" t="n"/>
      <c r="AW643" s="12" t="n"/>
      <c r="AX643" s="12" t="n"/>
      <c r="AY643" s="12" t="n"/>
      <c r="AZ643" s="12" t="n"/>
      <c r="BA643" s="12" t="n"/>
      <c r="BB643" s="12" t="n"/>
      <c r="BC643" s="12" t="n"/>
      <c r="BD643" s="12" t="n"/>
      <c r="BE643" s="12" t="n"/>
      <c r="BF643" s="12" t="n"/>
    </row>
    <row r="644">
      <c r="A644" s="7">
        <f>IF(B644="","","INS-"&amp;TEXT(ROW()-3,"000"))</f>
        <v/>
      </c>
      <c r="B644" s="11" t="n"/>
      <c r="C644" s="7">
        <f>IF(B644="","",ISOWEEKNUM(B644))</f>
        <v/>
      </c>
      <c r="D644" s="7">
        <f>IF(B644="","",TEXT(B644,"yyyy-mm"))</f>
        <v/>
      </c>
      <c r="E644" s="12" t="n"/>
      <c r="F644" s="12" t="n"/>
      <c r="G644" s="7">
        <f>IF(OR(E644="",F644=""),"",IF(COUNTIF(Cluster_Master!$I$3:$I$17,E644&amp;"|"&amp;F644)=1,"Valid","Review"))</f>
        <v/>
      </c>
      <c r="H644" s="7">
        <f>IF($G644&lt;&gt;"Valid","",VLOOKUP($E644&amp;"|"&amp;$F644,Cluster_Master!$I$3:$H$17,3,FALSE))</f>
        <v/>
      </c>
      <c r="I644" s="7">
        <f>IF($G644&lt;&gt;"Valid","",VLOOKUP($E644&amp;"|"&amp;$F644,Cluster_Master!$I$3:$H$17,4,FALSE))</f>
        <v/>
      </c>
      <c r="J644" s="7">
        <f>IF($G644&lt;&gt;"Valid","",VLOOKUP($E644&amp;"|"&amp;$F644,Cluster_Master!$I$3:$H$17,5,FALSE))</f>
        <v/>
      </c>
      <c r="K644" s="7">
        <f>IF($G644&lt;&gt;"Valid","",VLOOKUP($E644&amp;"|"&amp;$F644,Cluster_Master!$I$3:$H$17,6,FALSE))</f>
        <v/>
      </c>
      <c r="L644" s="7">
        <f>IF($G644&lt;&gt;"Valid","",VLOOKUP($E644&amp;"|"&amp;$F644,Cluster_Master!$I$3:$H$17,7,FALSE))</f>
        <v/>
      </c>
      <c r="M644" s="7">
        <f>IF($G644&lt;&gt;"Valid","",VLOOKUP($E644&amp;"|"&amp;$F644,Cluster_Master!$I$3:$H$17,8,FALSE))</f>
        <v/>
      </c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7">
        <f>IF(COUNT(T644:AH644)=0,"",SUM(T644:AH644))</f>
        <v/>
      </c>
      <c r="AJ644" s="10">
        <f>IF(AI644="","",AI644/75)</f>
        <v/>
      </c>
      <c r="AK644" s="10">
        <f>IF(AI644="","",SUMPRODUCT(T644:AH644,KPI_Weights!$B$3:$B$17)/5)</f>
        <v/>
      </c>
      <c r="AL644" s="7">
        <f>IF(COUNT(T644:AH644)=0,"",IF(OR(T644&lt;=1,W644&lt;=1,X644&lt;=1,Y644&lt;=1,AB644&lt;=1),"YES","NO"))</f>
        <v/>
      </c>
      <c r="AM644" s="7">
        <f>IF(AK644="","",IF(AND(AK644="NO",AJ644&gt;=0.85),"YES","NO"))</f>
        <v/>
      </c>
      <c r="AN644" s="7">
        <f>IF(AJ644="","",IF(AJ644&gt;=0.90,"Excellent",IF(AJ644&gt;=0.80,"Good",IF(AJ644&gt;=0.70,"Fair","Poor"))))</f>
        <v/>
      </c>
      <c r="AO644" s="12" t="n"/>
      <c r="AP644" s="12" t="n"/>
      <c r="AQ644" s="12" t="n"/>
      <c r="AR644" s="12" t="n"/>
      <c r="AS644" s="12" t="n"/>
      <c r="AT644" s="12" t="n"/>
      <c r="AU644" s="12" t="n"/>
      <c r="AV644" s="11" t="n"/>
      <c r="AW644" s="12" t="n"/>
      <c r="AX644" s="12" t="n"/>
      <c r="AY644" s="12" t="n"/>
      <c r="AZ644" s="12" t="n"/>
      <c r="BA644" s="12" t="n"/>
      <c r="BB644" s="12" t="n"/>
      <c r="BC644" s="12" t="n"/>
      <c r="BD644" s="12" t="n"/>
      <c r="BE644" s="12" t="n"/>
      <c r="BF644" s="12" t="n"/>
    </row>
    <row r="645">
      <c r="A645" s="7">
        <f>IF(B645="","","INS-"&amp;TEXT(ROW()-3,"000"))</f>
        <v/>
      </c>
      <c r="B645" s="11" t="n"/>
      <c r="C645" s="7">
        <f>IF(B645="","",ISOWEEKNUM(B645))</f>
        <v/>
      </c>
      <c r="D645" s="7">
        <f>IF(B645="","",TEXT(B645,"yyyy-mm"))</f>
        <v/>
      </c>
      <c r="E645" s="12" t="n"/>
      <c r="F645" s="12" t="n"/>
      <c r="G645" s="7">
        <f>IF(OR(E645="",F645=""),"",IF(COUNTIF(Cluster_Master!$I$3:$I$17,E645&amp;"|"&amp;F645)=1,"Valid","Review"))</f>
        <v/>
      </c>
      <c r="H645" s="7">
        <f>IF($G645&lt;&gt;"Valid","",VLOOKUP($E645&amp;"|"&amp;$F645,Cluster_Master!$I$3:$H$17,3,FALSE))</f>
        <v/>
      </c>
      <c r="I645" s="7">
        <f>IF($G645&lt;&gt;"Valid","",VLOOKUP($E645&amp;"|"&amp;$F645,Cluster_Master!$I$3:$H$17,4,FALSE))</f>
        <v/>
      </c>
      <c r="J645" s="7">
        <f>IF($G645&lt;&gt;"Valid","",VLOOKUP($E645&amp;"|"&amp;$F645,Cluster_Master!$I$3:$H$17,5,FALSE))</f>
        <v/>
      </c>
      <c r="K645" s="7">
        <f>IF($G645&lt;&gt;"Valid","",VLOOKUP($E645&amp;"|"&amp;$F645,Cluster_Master!$I$3:$H$17,6,FALSE))</f>
        <v/>
      </c>
      <c r="L645" s="7">
        <f>IF($G645&lt;&gt;"Valid","",VLOOKUP($E645&amp;"|"&amp;$F645,Cluster_Master!$I$3:$H$17,7,FALSE))</f>
        <v/>
      </c>
      <c r="M645" s="7">
        <f>IF($G645&lt;&gt;"Valid","",VLOOKUP($E645&amp;"|"&amp;$F645,Cluster_Master!$I$3:$H$17,8,FALSE))</f>
        <v/>
      </c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7">
        <f>IF(COUNT(T645:AH645)=0,"",SUM(T645:AH645))</f>
        <v/>
      </c>
      <c r="AJ645" s="10">
        <f>IF(AI645="","",AI645/75)</f>
        <v/>
      </c>
      <c r="AK645" s="10">
        <f>IF(AI645="","",SUMPRODUCT(T645:AH645,KPI_Weights!$B$3:$B$17)/5)</f>
        <v/>
      </c>
      <c r="AL645" s="7">
        <f>IF(COUNT(T645:AH645)=0,"",IF(OR(T645&lt;=1,W645&lt;=1,X645&lt;=1,Y645&lt;=1,AB645&lt;=1),"YES","NO"))</f>
        <v/>
      </c>
      <c r="AM645" s="7">
        <f>IF(AK645="","",IF(AND(AK645="NO",AJ645&gt;=0.85),"YES","NO"))</f>
        <v/>
      </c>
      <c r="AN645" s="7">
        <f>IF(AJ645="","",IF(AJ645&gt;=0.90,"Excellent",IF(AJ645&gt;=0.80,"Good",IF(AJ645&gt;=0.70,"Fair","Poor"))))</f>
        <v/>
      </c>
      <c r="AO645" s="12" t="n"/>
      <c r="AP645" s="12" t="n"/>
      <c r="AQ645" s="12" t="n"/>
      <c r="AR645" s="12" t="n"/>
      <c r="AS645" s="12" t="n"/>
      <c r="AT645" s="12" t="n"/>
      <c r="AU645" s="12" t="n"/>
      <c r="AV645" s="11" t="n"/>
      <c r="AW645" s="12" t="n"/>
      <c r="AX645" s="12" t="n"/>
      <c r="AY645" s="12" t="n"/>
      <c r="AZ645" s="12" t="n"/>
      <c r="BA645" s="12" t="n"/>
      <c r="BB645" s="12" t="n"/>
      <c r="BC645" s="12" t="n"/>
      <c r="BD645" s="12" t="n"/>
      <c r="BE645" s="12" t="n"/>
      <c r="BF645" s="12" t="n"/>
    </row>
    <row r="646">
      <c r="A646" s="7">
        <f>IF(B646="","","INS-"&amp;TEXT(ROW()-3,"000"))</f>
        <v/>
      </c>
      <c r="B646" s="11" t="n"/>
      <c r="C646" s="7">
        <f>IF(B646="","",ISOWEEKNUM(B646))</f>
        <v/>
      </c>
      <c r="D646" s="7">
        <f>IF(B646="","",TEXT(B646,"yyyy-mm"))</f>
        <v/>
      </c>
      <c r="E646" s="12" t="n"/>
      <c r="F646" s="12" t="n"/>
      <c r="G646" s="7">
        <f>IF(OR(E646="",F646=""),"",IF(COUNTIF(Cluster_Master!$I$3:$I$17,E646&amp;"|"&amp;F646)=1,"Valid","Review"))</f>
        <v/>
      </c>
      <c r="H646" s="7">
        <f>IF($G646&lt;&gt;"Valid","",VLOOKUP($E646&amp;"|"&amp;$F646,Cluster_Master!$I$3:$H$17,3,FALSE))</f>
        <v/>
      </c>
      <c r="I646" s="7">
        <f>IF($G646&lt;&gt;"Valid","",VLOOKUP($E646&amp;"|"&amp;$F646,Cluster_Master!$I$3:$H$17,4,FALSE))</f>
        <v/>
      </c>
      <c r="J646" s="7">
        <f>IF($G646&lt;&gt;"Valid","",VLOOKUP($E646&amp;"|"&amp;$F646,Cluster_Master!$I$3:$H$17,5,FALSE))</f>
        <v/>
      </c>
      <c r="K646" s="7">
        <f>IF($G646&lt;&gt;"Valid","",VLOOKUP($E646&amp;"|"&amp;$F646,Cluster_Master!$I$3:$H$17,6,FALSE))</f>
        <v/>
      </c>
      <c r="L646" s="7">
        <f>IF($G646&lt;&gt;"Valid","",VLOOKUP($E646&amp;"|"&amp;$F646,Cluster_Master!$I$3:$H$17,7,FALSE))</f>
        <v/>
      </c>
      <c r="M646" s="7">
        <f>IF($G646&lt;&gt;"Valid","",VLOOKUP($E646&amp;"|"&amp;$F646,Cluster_Master!$I$3:$H$17,8,FALSE))</f>
        <v/>
      </c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7">
        <f>IF(COUNT(T646:AH646)=0,"",SUM(T646:AH646))</f>
        <v/>
      </c>
      <c r="AJ646" s="10">
        <f>IF(AI646="","",AI646/75)</f>
        <v/>
      </c>
      <c r="AK646" s="10">
        <f>IF(AI646="","",SUMPRODUCT(T646:AH646,KPI_Weights!$B$3:$B$17)/5)</f>
        <v/>
      </c>
      <c r="AL646" s="7">
        <f>IF(COUNT(T646:AH646)=0,"",IF(OR(T646&lt;=1,W646&lt;=1,X646&lt;=1,Y646&lt;=1,AB646&lt;=1),"YES","NO"))</f>
        <v/>
      </c>
      <c r="AM646" s="7">
        <f>IF(AK646="","",IF(AND(AK646="NO",AJ646&gt;=0.85),"YES","NO"))</f>
        <v/>
      </c>
      <c r="AN646" s="7">
        <f>IF(AJ646="","",IF(AJ646&gt;=0.90,"Excellent",IF(AJ646&gt;=0.80,"Good",IF(AJ646&gt;=0.70,"Fair","Poor"))))</f>
        <v/>
      </c>
      <c r="AO646" s="12" t="n"/>
      <c r="AP646" s="12" t="n"/>
      <c r="AQ646" s="12" t="n"/>
      <c r="AR646" s="12" t="n"/>
      <c r="AS646" s="12" t="n"/>
      <c r="AT646" s="12" t="n"/>
      <c r="AU646" s="12" t="n"/>
      <c r="AV646" s="11" t="n"/>
      <c r="AW646" s="12" t="n"/>
      <c r="AX646" s="12" t="n"/>
      <c r="AY646" s="12" t="n"/>
      <c r="AZ646" s="12" t="n"/>
      <c r="BA646" s="12" t="n"/>
      <c r="BB646" s="12" t="n"/>
      <c r="BC646" s="12" t="n"/>
      <c r="BD646" s="12" t="n"/>
      <c r="BE646" s="12" t="n"/>
      <c r="BF646" s="12" t="n"/>
    </row>
    <row r="647">
      <c r="A647" s="7">
        <f>IF(B647="","","INS-"&amp;TEXT(ROW()-3,"000"))</f>
        <v/>
      </c>
      <c r="B647" s="11" t="n"/>
      <c r="C647" s="7">
        <f>IF(B647="","",ISOWEEKNUM(B647))</f>
        <v/>
      </c>
      <c r="D647" s="7">
        <f>IF(B647="","",TEXT(B647,"yyyy-mm"))</f>
        <v/>
      </c>
      <c r="E647" s="12" t="n"/>
      <c r="F647" s="12" t="n"/>
      <c r="G647" s="7">
        <f>IF(OR(E647="",F647=""),"",IF(COUNTIF(Cluster_Master!$I$3:$I$17,E647&amp;"|"&amp;F647)=1,"Valid","Review"))</f>
        <v/>
      </c>
      <c r="H647" s="7">
        <f>IF($G647&lt;&gt;"Valid","",VLOOKUP($E647&amp;"|"&amp;$F647,Cluster_Master!$I$3:$H$17,3,FALSE))</f>
        <v/>
      </c>
      <c r="I647" s="7">
        <f>IF($G647&lt;&gt;"Valid","",VLOOKUP($E647&amp;"|"&amp;$F647,Cluster_Master!$I$3:$H$17,4,FALSE))</f>
        <v/>
      </c>
      <c r="J647" s="7">
        <f>IF($G647&lt;&gt;"Valid","",VLOOKUP($E647&amp;"|"&amp;$F647,Cluster_Master!$I$3:$H$17,5,FALSE))</f>
        <v/>
      </c>
      <c r="K647" s="7">
        <f>IF($G647&lt;&gt;"Valid","",VLOOKUP($E647&amp;"|"&amp;$F647,Cluster_Master!$I$3:$H$17,6,FALSE))</f>
        <v/>
      </c>
      <c r="L647" s="7">
        <f>IF($G647&lt;&gt;"Valid","",VLOOKUP($E647&amp;"|"&amp;$F647,Cluster_Master!$I$3:$H$17,7,FALSE))</f>
        <v/>
      </c>
      <c r="M647" s="7">
        <f>IF($G647&lt;&gt;"Valid","",VLOOKUP($E647&amp;"|"&amp;$F647,Cluster_Master!$I$3:$H$17,8,FALSE))</f>
        <v/>
      </c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7">
        <f>IF(COUNT(T647:AH647)=0,"",SUM(T647:AH647))</f>
        <v/>
      </c>
      <c r="AJ647" s="10">
        <f>IF(AI647="","",AI647/75)</f>
        <v/>
      </c>
      <c r="AK647" s="10">
        <f>IF(AI647="","",SUMPRODUCT(T647:AH647,KPI_Weights!$B$3:$B$17)/5)</f>
        <v/>
      </c>
      <c r="AL647" s="7">
        <f>IF(COUNT(T647:AH647)=0,"",IF(OR(T647&lt;=1,W647&lt;=1,X647&lt;=1,Y647&lt;=1,AB647&lt;=1),"YES","NO"))</f>
        <v/>
      </c>
      <c r="AM647" s="7">
        <f>IF(AK647="","",IF(AND(AK647="NO",AJ647&gt;=0.85),"YES","NO"))</f>
        <v/>
      </c>
      <c r="AN647" s="7">
        <f>IF(AJ647="","",IF(AJ647&gt;=0.90,"Excellent",IF(AJ647&gt;=0.80,"Good",IF(AJ647&gt;=0.70,"Fair","Poor"))))</f>
        <v/>
      </c>
      <c r="AO647" s="12" t="n"/>
      <c r="AP647" s="12" t="n"/>
      <c r="AQ647" s="12" t="n"/>
      <c r="AR647" s="12" t="n"/>
      <c r="AS647" s="12" t="n"/>
      <c r="AT647" s="12" t="n"/>
      <c r="AU647" s="12" t="n"/>
      <c r="AV647" s="11" t="n"/>
      <c r="AW647" s="12" t="n"/>
      <c r="AX647" s="12" t="n"/>
      <c r="AY647" s="12" t="n"/>
      <c r="AZ647" s="12" t="n"/>
      <c r="BA647" s="12" t="n"/>
      <c r="BB647" s="12" t="n"/>
      <c r="BC647" s="12" t="n"/>
      <c r="BD647" s="12" t="n"/>
      <c r="BE647" s="12" t="n"/>
      <c r="BF647" s="12" t="n"/>
    </row>
    <row r="648">
      <c r="A648" s="7">
        <f>IF(B648="","","INS-"&amp;TEXT(ROW()-3,"000"))</f>
        <v/>
      </c>
      <c r="B648" s="11" t="n"/>
      <c r="C648" s="7">
        <f>IF(B648="","",ISOWEEKNUM(B648))</f>
        <v/>
      </c>
      <c r="D648" s="7">
        <f>IF(B648="","",TEXT(B648,"yyyy-mm"))</f>
        <v/>
      </c>
      <c r="E648" s="12" t="n"/>
      <c r="F648" s="12" t="n"/>
      <c r="G648" s="7">
        <f>IF(OR(E648="",F648=""),"",IF(COUNTIF(Cluster_Master!$I$3:$I$17,E648&amp;"|"&amp;F648)=1,"Valid","Review"))</f>
        <v/>
      </c>
      <c r="H648" s="7">
        <f>IF($G648&lt;&gt;"Valid","",VLOOKUP($E648&amp;"|"&amp;$F648,Cluster_Master!$I$3:$H$17,3,FALSE))</f>
        <v/>
      </c>
      <c r="I648" s="7">
        <f>IF($G648&lt;&gt;"Valid","",VLOOKUP($E648&amp;"|"&amp;$F648,Cluster_Master!$I$3:$H$17,4,FALSE))</f>
        <v/>
      </c>
      <c r="J648" s="7">
        <f>IF($G648&lt;&gt;"Valid","",VLOOKUP($E648&amp;"|"&amp;$F648,Cluster_Master!$I$3:$H$17,5,FALSE))</f>
        <v/>
      </c>
      <c r="K648" s="7">
        <f>IF($G648&lt;&gt;"Valid","",VLOOKUP($E648&amp;"|"&amp;$F648,Cluster_Master!$I$3:$H$17,6,FALSE))</f>
        <v/>
      </c>
      <c r="L648" s="7">
        <f>IF($G648&lt;&gt;"Valid","",VLOOKUP($E648&amp;"|"&amp;$F648,Cluster_Master!$I$3:$H$17,7,FALSE))</f>
        <v/>
      </c>
      <c r="M648" s="7">
        <f>IF($G648&lt;&gt;"Valid","",VLOOKUP($E648&amp;"|"&amp;$F648,Cluster_Master!$I$3:$H$17,8,FALSE))</f>
        <v/>
      </c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7">
        <f>IF(COUNT(T648:AH648)=0,"",SUM(T648:AH648))</f>
        <v/>
      </c>
      <c r="AJ648" s="10">
        <f>IF(AI648="","",AI648/75)</f>
        <v/>
      </c>
      <c r="AK648" s="10">
        <f>IF(AI648="","",SUMPRODUCT(T648:AH648,KPI_Weights!$B$3:$B$17)/5)</f>
        <v/>
      </c>
      <c r="AL648" s="7">
        <f>IF(COUNT(T648:AH648)=0,"",IF(OR(T648&lt;=1,W648&lt;=1,X648&lt;=1,Y648&lt;=1,AB648&lt;=1),"YES","NO"))</f>
        <v/>
      </c>
      <c r="AM648" s="7">
        <f>IF(AK648="","",IF(AND(AK648="NO",AJ648&gt;=0.85),"YES","NO"))</f>
        <v/>
      </c>
      <c r="AN648" s="7">
        <f>IF(AJ648="","",IF(AJ648&gt;=0.90,"Excellent",IF(AJ648&gt;=0.80,"Good",IF(AJ648&gt;=0.70,"Fair","Poor"))))</f>
        <v/>
      </c>
      <c r="AO648" s="12" t="n"/>
      <c r="AP648" s="12" t="n"/>
      <c r="AQ648" s="12" t="n"/>
      <c r="AR648" s="12" t="n"/>
      <c r="AS648" s="12" t="n"/>
      <c r="AT648" s="12" t="n"/>
      <c r="AU648" s="12" t="n"/>
      <c r="AV648" s="11" t="n"/>
      <c r="AW648" s="12" t="n"/>
      <c r="AX648" s="12" t="n"/>
      <c r="AY648" s="12" t="n"/>
      <c r="AZ648" s="12" t="n"/>
      <c r="BA648" s="12" t="n"/>
      <c r="BB648" s="12" t="n"/>
      <c r="BC648" s="12" t="n"/>
      <c r="BD648" s="12" t="n"/>
      <c r="BE648" s="12" t="n"/>
      <c r="BF648" s="12" t="n"/>
    </row>
    <row r="649">
      <c r="A649" s="7">
        <f>IF(B649="","","INS-"&amp;TEXT(ROW()-3,"000"))</f>
        <v/>
      </c>
      <c r="B649" s="11" t="n"/>
      <c r="C649" s="7">
        <f>IF(B649="","",ISOWEEKNUM(B649))</f>
        <v/>
      </c>
      <c r="D649" s="7">
        <f>IF(B649="","",TEXT(B649,"yyyy-mm"))</f>
        <v/>
      </c>
      <c r="E649" s="12" t="n"/>
      <c r="F649" s="12" t="n"/>
      <c r="G649" s="7">
        <f>IF(OR(E649="",F649=""),"",IF(COUNTIF(Cluster_Master!$I$3:$I$17,E649&amp;"|"&amp;F649)=1,"Valid","Review"))</f>
        <v/>
      </c>
      <c r="H649" s="7">
        <f>IF($G649&lt;&gt;"Valid","",VLOOKUP($E649&amp;"|"&amp;$F649,Cluster_Master!$I$3:$H$17,3,FALSE))</f>
        <v/>
      </c>
      <c r="I649" s="7">
        <f>IF($G649&lt;&gt;"Valid","",VLOOKUP($E649&amp;"|"&amp;$F649,Cluster_Master!$I$3:$H$17,4,FALSE))</f>
        <v/>
      </c>
      <c r="J649" s="7">
        <f>IF($G649&lt;&gt;"Valid","",VLOOKUP($E649&amp;"|"&amp;$F649,Cluster_Master!$I$3:$H$17,5,FALSE))</f>
        <v/>
      </c>
      <c r="K649" s="7">
        <f>IF($G649&lt;&gt;"Valid","",VLOOKUP($E649&amp;"|"&amp;$F649,Cluster_Master!$I$3:$H$17,6,FALSE))</f>
        <v/>
      </c>
      <c r="L649" s="7">
        <f>IF($G649&lt;&gt;"Valid","",VLOOKUP($E649&amp;"|"&amp;$F649,Cluster_Master!$I$3:$H$17,7,FALSE))</f>
        <v/>
      </c>
      <c r="M649" s="7">
        <f>IF($G649&lt;&gt;"Valid","",VLOOKUP($E649&amp;"|"&amp;$F649,Cluster_Master!$I$3:$H$17,8,FALSE))</f>
        <v/>
      </c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7">
        <f>IF(COUNT(T649:AH649)=0,"",SUM(T649:AH649))</f>
        <v/>
      </c>
      <c r="AJ649" s="10">
        <f>IF(AI649="","",AI649/75)</f>
        <v/>
      </c>
      <c r="AK649" s="10">
        <f>IF(AI649="","",SUMPRODUCT(T649:AH649,KPI_Weights!$B$3:$B$17)/5)</f>
        <v/>
      </c>
      <c r="AL649" s="7">
        <f>IF(COUNT(T649:AH649)=0,"",IF(OR(T649&lt;=1,W649&lt;=1,X649&lt;=1,Y649&lt;=1,AB649&lt;=1),"YES","NO"))</f>
        <v/>
      </c>
      <c r="AM649" s="7">
        <f>IF(AK649="","",IF(AND(AK649="NO",AJ649&gt;=0.85),"YES","NO"))</f>
        <v/>
      </c>
      <c r="AN649" s="7">
        <f>IF(AJ649="","",IF(AJ649&gt;=0.90,"Excellent",IF(AJ649&gt;=0.80,"Good",IF(AJ649&gt;=0.70,"Fair","Poor"))))</f>
        <v/>
      </c>
      <c r="AO649" s="12" t="n"/>
      <c r="AP649" s="12" t="n"/>
      <c r="AQ649" s="12" t="n"/>
      <c r="AR649" s="12" t="n"/>
      <c r="AS649" s="12" t="n"/>
      <c r="AT649" s="12" t="n"/>
      <c r="AU649" s="12" t="n"/>
      <c r="AV649" s="11" t="n"/>
      <c r="AW649" s="12" t="n"/>
      <c r="AX649" s="12" t="n"/>
      <c r="AY649" s="12" t="n"/>
      <c r="AZ649" s="12" t="n"/>
      <c r="BA649" s="12" t="n"/>
      <c r="BB649" s="12" t="n"/>
      <c r="BC649" s="12" t="n"/>
      <c r="BD649" s="12" t="n"/>
      <c r="BE649" s="12" t="n"/>
      <c r="BF649" s="12" t="n"/>
    </row>
    <row r="650">
      <c r="A650" s="7">
        <f>IF(B650="","","INS-"&amp;TEXT(ROW()-3,"000"))</f>
        <v/>
      </c>
      <c r="B650" s="11" t="n"/>
      <c r="C650" s="7">
        <f>IF(B650="","",ISOWEEKNUM(B650))</f>
        <v/>
      </c>
      <c r="D650" s="7">
        <f>IF(B650="","",TEXT(B650,"yyyy-mm"))</f>
        <v/>
      </c>
      <c r="E650" s="12" t="n"/>
      <c r="F650" s="12" t="n"/>
      <c r="G650" s="7">
        <f>IF(OR(E650="",F650=""),"",IF(COUNTIF(Cluster_Master!$I$3:$I$17,E650&amp;"|"&amp;F650)=1,"Valid","Review"))</f>
        <v/>
      </c>
      <c r="H650" s="7">
        <f>IF($G650&lt;&gt;"Valid","",VLOOKUP($E650&amp;"|"&amp;$F650,Cluster_Master!$I$3:$H$17,3,FALSE))</f>
        <v/>
      </c>
      <c r="I650" s="7">
        <f>IF($G650&lt;&gt;"Valid","",VLOOKUP($E650&amp;"|"&amp;$F650,Cluster_Master!$I$3:$H$17,4,FALSE))</f>
        <v/>
      </c>
      <c r="J650" s="7">
        <f>IF($G650&lt;&gt;"Valid","",VLOOKUP($E650&amp;"|"&amp;$F650,Cluster_Master!$I$3:$H$17,5,FALSE))</f>
        <v/>
      </c>
      <c r="K650" s="7">
        <f>IF($G650&lt;&gt;"Valid","",VLOOKUP($E650&amp;"|"&amp;$F650,Cluster_Master!$I$3:$H$17,6,FALSE))</f>
        <v/>
      </c>
      <c r="L650" s="7">
        <f>IF($G650&lt;&gt;"Valid","",VLOOKUP($E650&amp;"|"&amp;$F650,Cluster_Master!$I$3:$H$17,7,FALSE))</f>
        <v/>
      </c>
      <c r="M650" s="7">
        <f>IF($G650&lt;&gt;"Valid","",VLOOKUP($E650&amp;"|"&amp;$F650,Cluster_Master!$I$3:$H$17,8,FALSE))</f>
        <v/>
      </c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7">
        <f>IF(COUNT(T650:AH650)=0,"",SUM(T650:AH650))</f>
        <v/>
      </c>
      <c r="AJ650" s="10">
        <f>IF(AI650="","",AI650/75)</f>
        <v/>
      </c>
      <c r="AK650" s="10">
        <f>IF(AI650="","",SUMPRODUCT(T650:AH650,KPI_Weights!$B$3:$B$17)/5)</f>
        <v/>
      </c>
      <c r="AL650" s="7">
        <f>IF(COUNT(T650:AH650)=0,"",IF(OR(T650&lt;=1,W650&lt;=1,X650&lt;=1,Y650&lt;=1,AB650&lt;=1),"YES","NO"))</f>
        <v/>
      </c>
      <c r="AM650" s="7">
        <f>IF(AK650="","",IF(AND(AK650="NO",AJ650&gt;=0.85),"YES","NO"))</f>
        <v/>
      </c>
      <c r="AN650" s="7">
        <f>IF(AJ650="","",IF(AJ650&gt;=0.90,"Excellent",IF(AJ650&gt;=0.80,"Good",IF(AJ650&gt;=0.70,"Fair","Poor"))))</f>
        <v/>
      </c>
      <c r="AO650" s="12" t="n"/>
      <c r="AP650" s="12" t="n"/>
      <c r="AQ650" s="12" t="n"/>
      <c r="AR650" s="12" t="n"/>
      <c r="AS650" s="12" t="n"/>
      <c r="AT650" s="12" t="n"/>
      <c r="AU650" s="12" t="n"/>
      <c r="AV650" s="11" t="n"/>
      <c r="AW650" s="12" t="n"/>
      <c r="AX650" s="12" t="n"/>
      <c r="AY650" s="12" t="n"/>
      <c r="AZ650" s="12" t="n"/>
      <c r="BA650" s="12" t="n"/>
      <c r="BB650" s="12" t="n"/>
      <c r="BC650" s="12" t="n"/>
      <c r="BD650" s="12" t="n"/>
      <c r="BE650" s="12" t="n"/>
      <c r="BF650" s="12" t="n"/>
    </row>
    <row r="651">
      <c r="A651" s="7">
        <f>IF(B651="","","INS-"&amp;TEXT(ROW()-3,"000"))</f>
        <v/>
      </c>
      <c r="B651" s="11" t="n"/>
      <c r="C651" s="7">
        <f>IF(B651="","",ISOWEEKNUM(B651))</f>
        <v/>
      </c>
      <c r="D651" s="7">
        <f>IF(B651="","",TEXT(B651,"yyyy-mm"))</f>
        <v/>
      </c>
      <c r="E651" s="12" t="n"/>
      <c r="F651" s="12" t="n"/>
      <c r="G651" s="7">
        <f>IF(OR(E651="",F651=""),"",IF(COUNTIF(Cluster_Master!$I$3:$I$17,E651&amp;"|"&amp;F651)=1,"Valid","Review"))</f>
        <v/>
      </c>
      <c r="H651" s="7">
        <f>IF($G651&lt;&gt;"Valid","",VLOOKUP($E651&amp;"|"&amp;$F651,Cluster_Master!$I$3:$H$17,3,FALSE))</f>
        <v/>
      </c>
      <c r="I651" s="7">
        <f>IF($G651&lt;&gt;"Valid","",VLOOKUP($E651&amp;"|"&amp;$F651,Cluster_Master!$I$3:$H$17,4,FALSE))</f>
        <v/>
      </c>
      <c r="J651" s="7">
        <f>IF($G651&lt;&gt;"Valid","",VLOOKUP($E651&amp;"|"&amp;$F651,Cluster_Master!$I$3:$H$17,5,FALSE))</f>
        <v/>
      </c>
      <c r="K651" s="7">
        <f>IF($G651&lt;&gt;"Valid","",VLOOKUP($E651&amp;"|"&amp;$F651,Cluster_Master!$I$3:$H$17,6,FALSE))</f>
        <v/>
      </c>
      <c r="L651" s="7">
        <f>IF($G651&lt;&gt;"Valid","",VLOOKUP($E651&amp;"|"&amp;$F651,Cluster_Master!$I$3:$H$17,7,FALSE))</f>
        <v/>
      </c>
      <c r="M651" s="7">
        <f>IF($G651&lt;&gt;"Valid","",VLOOKUP($E651&amp;"|"&amp;$F651,Cluster_Master!$I$3:$H$17,8,FALSE))</f>
        <v/>
      </c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7">
        <f>IF(COUNT(T651:AH651)=0,"",SUM(T651:AH651))</f>
        <v/>
      </c>
      <c r="AJ651" s="10">
        <f>IF(AI651="","",AI651/75)</f>
        <v/>
      </c>
      <c r="AK651" s="10">
        <f>IF(AI651="","",SUMPRODUCT(T651:AH651,KPI_Weights!$B$3:$B$17)/5)</f>
        <v/>
      </c>
      <c r="AL651" s="7">
        <f>IF(COUNT(T651:AH651)=0,"",IF(OR(T651&lt;=1,W651&lt;=1,X651&lt;=1,Y651&lt;=1,AB651&lt;=1),"YES","NO"))</f>
        <v/>
      </c>
      <c r="AM651" s="7">
        <f>IF(AK651="","",IF(AND(AK651="NO",AJ651&gt;=0.85),"YES","NO"))</f>
        <v/>
      </c>
      <c r="AN651" s="7">
        <f>IF(AJ651="","",IF(AJ651&gt;=0.90,"Excellent",IF(AJ651&gt;=0.80,"Good",IF(AJ651&gt;=0.70,"Fair","Poor"))))</f>
        <v/>
      </c>
      <c r="AO651" s="12" t="n"/>
      <c r="AP651" s="12" t="n"/>
      <c r="AQ651" s="12" t="n"/>
      <c r="AR651" s="12" t="n"/>
      <c r="AS651" s="12" t="n"/>
      <c r="AT651" s="12" t="n"/>
      <c r="AU651" s="12" t="n"/>
      <c r="AV651" s="11" t="n"/>
      <c r="AW651" s="12" t="n"/>
      <c r="AX651" s="12" t="n"/>
      <c r="AY651" s="12" t="n"/>
      <c r="AZ651" s="12" t="n"/>
      <c r="BA651" s="12" t="n"/>
      <c r="BB651" s="12" t="n"/>
      <c r="BC651" s="12" t="n"/>
      <c r="BD651" s="12" t="n"/>
      <c r="BE651" s="12" t="n"/>
      <c r="BF651" s="12" t="n"/>
    </row>
    <row r="652">
      <c r="A652" s="7">
        <f>IF(B652="","","INS-"&amp;TEXT(ROW()-3,"000"))</f>
        <v/>
      </c>
      <c r="B652" s="11" t="n"/>
      <c r="C652" s="7">
        <f>IF(B652="","",ISOWEEKNUM(B652))</f>
        <v/>
      </c>
      <c r="D652" s="7">
        <f>IF(B652="","",TEXT(B652,"yyyy-mm"))</f>
        <v/>
      </c>
      <c r="E652" s="12" t="n"/>
      <c r="F652" s="12" t="n"/>
      <c r="G652" s="7">
        <f>IF(OR(E652="",F652=""),"",IF(COUNTIF(Cluster_Master!$I$3:$I$17,E652&amp;"|"&amp;F652)=1,"Valid","Review"))</f>
        <v/>
      </c>
      <c r="H652" s="7">
        <f>IF($G652&lt;&gt;"Valid","",VLOOKUP($E652&amp;"|"&amp;$F652,Cluster_Master!$I$3:$H$17,3,FALSE))</f>
        <v/>
      </c>
      <c r="I652" s="7">
        <f>IF($G652&lt;&gt;"Valid","",VLOOKUP($E652&amp;"|"&amp;$F652,Cluster_Master!$I$3:$H$17,4,FALSE))</f>
        <v/>
      </c>
      <c r="J652" s="7">
        <f>IF($G652&lt;&gt;"Valid","",VLOOKUP($E652&amp;"|"&amp;$F652,Cluster_Master!$I$3:$H$17,5,FALSE))</f>
        <v/>
      </c>
      <c r="K652" s="7">
        <f>IF($G652&lt;&gt;"Valid","",VLOOKUP($E652&amp;"|"&amp;$F652,Cluster_Master!$I$3:$H$17,6,FALSE))</f>
        <v/>
      </c>
      <c r="L652" s="7">
        <f>IF($G652&lt;&gt;"Valid","",VLOOKUP($E652&amp;"|"&amp;$F652,Cluster_Master!$I$3:$H$17,7,FALSE))</f>
        <v/>
      </c>
      <c r="M652" s="7">
        <f>IF($G652&lt;&gt;"Valid","",VLOOKUP($E652&amp;"|"&amp;$F652,Cluster_Master!$I$3:$H$17,8,FALSE))</f>
        <v/>
      </c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7">
        <f>IF(COUNT(T652:AH652)=0,"",SUM(T652:AH652))</f>
        <v/>
      </c>
      <c r="AJ652" s="10">
        <f>IF(AI652="","",AI652/75)</f>
        <v/>
      </c>
      <c r="AK652" s="10">
        <f>IF(AI652="","",SUMPRODUCT(T652:AH652,KPI_Weights!$B$3:$B$17)/5)</f>
        <v/>
      </c>
      <c r="AL652" s="7">
        <f>IF(COUNT(T652:AH652)=0,"",IF(OR(T652&lt;=1,W652&lt;=1,X652&lt;=1,Y652&lt;=1,AB652&lt;=1),"YES","NO"))</f>
        <v/>
      </c>
      <c r="AM652" s="7">
        <f>IF(AK652="","",IF(AND(AK652="NO",AJ652&gt;=0.85),"YES","NO"))</f>
        <v/>
      </c>
      <c r="AN652" s="7">
        <f>IF(AJ652="","",IF(AJ652&gt;=0.90,"Excellent",IF(AJ652&gt;=0.80,"Good",IF(AJ652&gt;=0.70,"Fair","Poor"))))</f>
        <v/>
      </c>
      <c r="AO652" s="12" t="n"/>
      <c r="AP652" s="12" t="n"/>
      <c r="AQ652" s="12" t="n"/>
      <c r="AR652" s="12" t="n"/>
      <c r="AS652" s="12" t="n"/>
      <c r="AT652" s="12" t="n"/>
      <c r="AU652" s="12" t="n"/>
      <c r="AV652" s="11" t="n"/>
      <c r="AW652" s="12" t="n"/>
      <c r="AX652" s="12" t="n"/>
      <c r="AY652" s="12" t="n"/>
      <c r="AZ652" s="12" t="n"/>
      <c r="BA652" s="12" t="n"/>
      <c r="BB652" s="12" t="n"/>
      <c r="BC652" s="12" t="n"/>
      <c r="BD652" s="12" t="n"/>
      <c r="BE652" s="12" t="n"/>
      <c r="BF652" s="12" t="n"/>
    </row>
    <row r="653">
      <c r="A653" s="7">
        <f>IF(B653="","","INS-"&amp;TEXT(ROW()-3,"000"))</f>
        <v/>
      </c>
      <c r="B653" s="11" t="n"/>
      <c r="C653" s="7">
        <f>IF(B653="","",ISOWEEKNUM(B653))</f>
        <v/>
      </c>
      <c r="D653" s="7">
        <f>IF(B653="","",TEXT(B653,"yyyy-mm"))</f>
        <v/>
      </c>
      <c r="E653" s="12" t="n"/>
      <c r="F653" s="12" t="n"/>
      <c r="G653" s="7">
        <f>IF(OR(E653="",F653=""),"",IF(COUNTIF(Cluster_Master!$I$3:$I$17,E653&amp;"|"&amp;F653)=1,"Valid","Review"))</f>
        <v/>
      </c>
      <c r="H653" s="7">
        <f>IF($G653&lt;&gt;"Valid","",VLOOKUP($E653&amp;"|"&amp;$F653,Cluster_Master!$I$3:$H$17,3,FALSE))</f>
        <v/>
      </c>
      <c r="I653" s="7">
        <f>IF($G653&lt;&gt;"Valid","",VLOOKUP($E653&amp;"|"&amp;$F653,Cluster_Master!$I$3:$H$17,4,FALSE))</f>
        <v/>
      </c>
      <c r="J653" s="7">
        <f>IF($G653&lt;&gt;"Valid","",VLOOKUP($E653&amp;"|"&amp;$F653,Cluster_Master!$I$3:$H$17,5,FALSE))</f>
        <v/>
      </c>
      <c r="K653" s="7">
        <f>IF($G653&lt;&gt;"Valid","",VLOOKUP($E653&amp;"|"&amp;$F653,Cluster_Master!$I$3:$H$17,6,FALSE))</f>
        <v/>
      </c>
      <c r="L653" s="7">
        <f>IF($G653&lt;&gt;"Valid","",VLOOKUP($E653&amp;"|"&amp;$F653,Cluster_Master!$I$3:$H$17,7,FALSE))</f>
        <v/>
      </c>
      <c r="M653" s="7">
        <f>IF($G653&lt;&gt;"Valid","",VLOOKUP($E653&amp;"|"&amp;$F653,Cluster_Master!$I$3:$H$17,8,FALSE))</f>
        <v/>
      </c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7">
        <f>IF(COUNT(T653:AH653)=0,"",SUM(T653:AH653))</f>
        <v/>
      </c>
      <c r="AJ653" s="10">
        <f>IF(AI653="","",AI653/75)</f>
        <v/>
      </c>
      <c r="AK653" s="10">
        <f>IF(AI653="","",SUMPRODUCT(T653:AH653,KPI_Weights!$B$3:$B$17)/5)</f>
        <v/>
      </c>
      <c r="AL653" s="7">
        <f>IF(COUNT(T653:AH653)=0,"",IF(OR(T653&lt;=1,W653&lt;=1,X653&lt;=1,Y653&lt;=1,AB653&lt;=1),"YES","NO"))</f>
        <v/>
      </c>
      <c r="AM653" s="7">
        <f>IF(AK653="","",IF(AND(AK653="NO",AJ653&gt;=0.85),"YES","NO"))</f>
        <v/>
      </c>
      <c r="AN653" s="7">
        <f>IF(AJ653="","",IF(AJ653&gt;=0.90,"Excellent",IF(AJ653&gt;=0.80,"Good",IF(AJ653&gt;=0.70,"Fair","Poor"))))</f>
        <v/>
      </c>
      <c r="AO653" s="12" t="n"/>
      <c r="AP653" s="12" t="n"/>
      <c r="AQ653" s="12" t="n"/>
      <c r="AR653" s="12" t="n"/>
      <c r="AS653" s="12" t="n"/>
      <c r="AT653" s="12" t="n"/>
      <c r="AU653" s="12" t="n"/>
      <c r="AV653" s="11" t="n"/>
      <c r="AW653" s="12" t="n"/>
      <c r="AX653" s="12" t="n"/>
      <c r="AY653" s="12" t="n"/>
      <c r="AZ653" s="12" t="n"/>
      <c r="BA653" s="12" t="n"/>
      <c r="BB653" s="12" t="n"/>
      <c r="BC653" s="12" t="n"/>
      <c r="BD653" s="12" t="n"/>
      <c r="BE653" s="12" t="n"/>
      <c r="BF653" s="12" t="n"/>
    </row>
    <row r="654">
      <c r="A654" s="7">
        <f>IF(B654="","","INS-"&amp;TEXT(ROW()-3,"000"))</f>
        <v/>
      </c>
      <c r="B654" s="11" t="n"/>
      <c r="C654" s="7">
        <f>IF(B654="","",ISOWEEKNUM(B654))</f>
        <v/>
      </c>
      <c r="D654" s="7">
        <f>IF(B654="","",TEXT(B654,"yyyy-mm"))</f>
        <v/>
      </c>
      <c r="E654" s="12" t="n"/>
      <c r="F654" s="12" t="n"/>
      <c r="G654" s="7">
        <f>IF(OR(E654="",F654=""),"",IF(COUNTIF(Cluster_Master!$I$3:$I$17,E654&amp;"|"&amp;F654)=1,"Valid","Review"))</f>
        <v/>
      </c>
      <c r="H654" s="7">
        <f>IF($G654&lt;&gt;"Valid","",VLOOKUP($E654&amp;"|"&amp;$F654,Cluster_Master!$I$3:$H$17,3,FALSE))</f>
        <v/>
      </c>
      <c r="I654" s="7">
        <f>IF($G654&lt;&gt;"Valid","",VLOOKUP($E654&amp;"|"&amp;$F654,Cluster_Master!$I$3:$H$17,4,FALSE))</f>
        <v/>
      </c>
      <c r="J654" s="7">
        <f>IF($G654&lt;&gt;"Valid","",VLOOKUP($E654&amp;"|"&amp;$F654,Cluster_Master!$I$3:$H$17,5,FALSE))</f>
        <v/>
      </c>
      <c r="K654" s="7">
        <f>IF($G654&lt;&gt;"Valid","",VLOOKUP($E654&amp;"|"&amp;$F654,Cluster_Master!$I$3:$H$17,6,FALSE))</f>
        <v/>
      </c>
      <c r="L654" s="7">
        <f>IF($G654&lt;&gt;"Valid","",VLOOKUP($E654&amp;"|"&amp;$F654,Cluster_Master!$I$3:$H$17,7,FALSE))</f>
        <v/>
      </c>
      <c r="M654" s="7">
        <f>IF($G654&lt;&gt;"Valid","",VLOOKUP($E654&amp;"|"&amp;$F654,Cluster_Master!$I$3:$H$17,8,FALSE))</f>
        <v/>
      </c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7">
        <f>IF(COUNT(T654:AH654)=0,"",SUM(T654:AH654))</f>
        <v/>
      </c>
      <c r="AJ654" s="10">
        <f>IF(AI654="","",AI654/75)</f>
        <v/>
      </c>
      <c r="AK654" s="10">
        <f>IF(AI654="","",SUMPRODUCT(T654:AH654,KPI_Weights!$B$3:$B$17)/5)</f>
        <v/>
      </c>
      <c r="AL654" s="7">
        <f>IF(COUNT(T654:AH654)=0,"",IF(OR(T654&lt;=1,W654&lt;=1,X654&lt;=1,Y654&lt;=1,AB654&lt;=1),"YES","NO"))</f>
        <v/>
      </c>
      <c r="AM654" s="7">
        <f>IF(AK654="","",IF(AND(AK654="NO",AJ654&gt;=0.85),"YES","NO"))</f>
        <v/>
      </c>
      <c r="AN654" s="7">
        <f>IF(AJ654="","",IF(AJ654&gt;=0.90,"Excellent",IF(AJ654&gt;=0.80,"Good",IF(AJ654&gt;=0.70,"Fair","Poor"))))</f>
        <v/>
      </c>
      <c r="AO654" s="12" t="n"/>
      <c r="AP654" s="12" t="n"/>
      <c r="AQ654" s="12" t="n"/>
      <c r="AR654" s="12" t="n"/>
      <c r="AS654" s="12" t="n"/>
      <c r="AT654" s="12" t="n"/>
      <c r="AU654" s="12" t="n"/>
      <c r="AV654" s="11" t="n"/>
      <c r="AW654" s="12" t="n"/>
      <c r="AX654" s="12" t="n"/>
      <c r="AY654" s="12" t="n"/>
      <c r="AZ654" s="12" t="n"/>
      <c r="BA654" s="12" t="n"/>
      <c r="BB654" s="12" t="n"/>
      <c r="BC654" s="12" t="n"/>
      <c r="BD654" s="12" t="n"/>
      <c r="BE654" s="12" t="n"/>
      <c r="BF654" s="12" t="n"/>
    </row>
    <row r="655">
      <c r="A655" s="7">
        <f>IF(B655="","","INS-"&amp;TEXT(ROW()-3,"000"))</f>
        <v/>
      </c>
      <c r="B655" s="11" t="n"/>
      <c r="C655" s="7">
        <f>IF(B655="","",ISOWEEKNUM(B655))</f>
        <v/>
      </c>
      <c r="D655" s="7">
        <f>IF(B655="","",TEXT(B655,"yyyy-mm"))</f>
        <v/>
      </c>
      <c r="E655" s="12" t="n"/>
      <c r="F655" s="12" t="n"/>
      <c r="G655" s="7">
        <f>IF(OR(E655="",F655=""),"",IF(COUNTIF(Cluster_Master!$I$3:$I$17,E655&amp;"|"&amp;F655)=1,"Valid","Review"))</f>
        <v/>
      </c>
      <c r="H655" s="7">
        <f>IF($G655&lt;&gt;"Valid","",VLOOKUP($E655&amp;"|"&amp;$F655,Cluster_Master!$I$3:$H$17,3,FALSE))</f>
        <v/>
      </c>
      <c r="I655" s="7">
        <f>IF($G655&lt;&gt;"Valid","",VLOOKUP($E655&amp;"|"&amp;$F655,Cluster_Master!$I$3:$H$17,4,FALSE))</f>
        <v/>
      </c>
      <c r="J655" s="7">
        <f>IF($G655&lt;&gt;"Valid","",VLOOKUP($E655&amp;"|"&amp;$F655,Cluster_Master!$I$3:$H$17,5,FALSE))</f>
        <v/>
      </c>
      <c r="K655" s="7">
        <f>IF($G655&lt;&gt;"Valid","",VLOOKUP($E655&amp;"|"&amp;$F655,Cluster_Master!$I$3:$H$17,6,FALSE))</f>
        <v/>
      </c>
      <c r="L655" s="7">
        <f>IF($G655&lt;&gt;"Valid","",VLOOKUP($E655&amp;"|"&amp;$F655,Cluster_Master!$I$3:$H$17,7,FALSE))</f>
        <v/>
      </c>
      <c r="M655" s="7">
        <f>IF($G655&lt;&gt;"Valid","",VLOOKUP($E655&amp;"|"&amp;$F655,Cluster_Master!$I$3:$H$17,8,FALSE))</f>
        <v/>
      </c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7">
        <f>IF(COUNT(T655:AH655)=0,"",SUM(T655:AH655))</f>
        <v/>
      </c>
      <c r="AJ655" s="10">
        <f>IF(AI655="","",AI655/75)</f>
        <v/>
      </c>
      <c r="AK655" s="10">
        <f>IF(AI655="","",SUMPRODUCT(T655:AH655,KPI_Weights!$B$3:$B$17)/5)</f>
        <v/>
      </c>
      <c r="AL655" s="7">
        <f>IF(COUNT(T655:AH655)=0,"",IF(OR(T655&lt;=1,W655&lt;=1,X655&lt;=1,Y655&lt;=1,AB655&lt;=1),"YES","NO"))</f>
        <v/>
      </c>
      <c r="AM655" s="7">
        <f>IF(AK655="","",IF(AND(AK655="NO",AJ655&gt;=0.85),"YES","NO"))</f>
        <v/>
      </c>
      <c r="AN655" s="7">
        <f>IF(AJ655="","",IF(AJ655&gt;=0.90,"Excellent",IF(AJ655&gt;=0.80,"Good",IF(AJ655&gt;=0.70,"Fair","Poor"))))</f>
        <v/>
      </c>
      <c r="AO655" s="12" t="n"/>
      <c r="AP655" s="12" t="n"/>
      <c r="AQ655" s="12" t="n"/>
      <c r="AR655" s="12" t="n"/>
      <c r="AS655" s="12" t="n"/>
      <c r="AT655" s="12" t="n"/>
      <c r="AU655" s="12" t="n"/>
      <c r="AV655" s="11" t="n"/>
      <c r="AW655" s="12" t="n"/>
      <c r="AX655" s="12" t="n"/>
      <c r="AY655" s="12" t="n"/>
      <c r="AZ655" s="12" t="n"/>
      <c r="BA655" s="12" t="n"/>
      <c r="BB655" s="12" t="n"/>
      <c r="BC655" s="12" t="n"/>
      <c r="BD655" s="12" t="n"/>
      <c r="BE655" s="12" t="n"/>
      <c r="BF655" s="12" t="n"/>
    </row>
    <row r="656">
      <c r="A656" s="7">
        <f>IF(B656="","","INS-"&amp;TEXT(ROW()-3,"000"))</f>
        <v/>
      </c>
      <c r="B656" s="11" t="n"/>
      <c r="C656" s="7">
        <f>IF(B656="","",ISOWEEKNUM(B656))</f>
        <v/>
      </c>
      <c r="D656" s="7">
        <f>IF(B656="","",TEXT(B656,"yyyy-mm"))</f>
        <v/>
      </c>
      <c r="E656" s="12" t="n"/>
      <c r="F656" s="12" t="n"/>
      <c r="G656" s="7">
        <f>IF(OR(E656="",F656=""),"",IF(COUNTIF(Cluster_Master!$I$3:$I$17,E656&amp;"|"&amp;F656)=1,"Valid","Review"))</f>
        <v/>
      </c>
      <c r="H656" s="7">
        <f>IF($G656&lt;&gt;"Valid","",VLOOKUP($E656&amp;"|"&amp;$F656,Cluster_Master!$I$3:$H$17,3,FALSE))</f>
        <v/>
      </c>
      <c r="I656" s="7">
        <f>IF($G656&lt;&gt;"Valid","",VLOOKUP($E656&amp;"|"&amp;$F656,Cluster_Master!$I$3:$H$17,4,FALSE))</f>
        <v/>
      </c>
      <c r="J656" s="7">
        <f>IF($G656&lt;&gt;"Valid","",VLOOKUP($E656&amp;"|"&amp;$F656,Cluster_Master!$I$3:$H$17,5,FALSE))</f>
        <v/>
      </c>
      <c r="K656" s="7">
        <f>IF($G656&lt;&gt;"Valid","",VLOOKUP($E656&amp;"|"&amp;$F656,Cluster_Master!$I$3:$H$17,6,FALSE))</f>
        <v/>
      </c>
      <c r="L656" s="7">
        <f>IF($G656&lt;&gt;"Valid","",VLOOKUP($E656&amp;"|"&amp;$F656,Cluster_Master!$I$3:$H$17,7,FALSE))</f>
        <v/>
      </c>
      <c r="M656" s="7">
        <f>IF($G656&lt;&gt;"Valid","",VLOOKUP($E656&amp;"|"&amp;$F656,Cluster_Master!$I$3:$H$17,8,FALSE))</f>
        <v/>
      </c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7">
        <f>IF(COUNT(T656:AH656)=0,"",SUM(T656:AH656))</f>
        <v/>
      </c>
      <c r="AJ656" s="10">
        <f>IF(AI656="","",AI656/75)</f>
        <v/>
      </c>
      <c r="AK656" s="10">
        <f>IF(AI656="","",SUMPRODUCT(T656:AH656,KPI_Weights!$B$3:$B$17)/5)</f>
        <v/>
      </c>
      <c r="AL656" s="7">
        <f>IF(COUNT(T656:AH656)=0,"",IF(OR(T656&lt;=1,W656&lt;=1,X656&lt;=1,Y656&lt;=1,AB656&lt;=1),"YES","NO"))</f>
        <v/>
      </c>
      <c r="AM656" s="7">
        <f>IF(AK656="","",IF(AND(AK656="NO",AJ656&gt;=0.85),"YES","NO"))</f>
        <v/>
      </c>
      <c r="AN656" s="7">
        <f>IF(AJ656="","",IF(AJ656&gt;=0.90,"Excellent",IF(AJ656&gt;=0.80,"Good",IF(AJ656&gt;=0.70,"Fair","Poor"))))</f>
        <v/>
      </c>
      <c r="AO656" s="12" t="n"/>
      <c r="AP656" s="12" t="n"/>
      <c r="AQ656" s="12" t="n"/>
      <c r="AR656" s="12" t="n"/>
      <c r="AS656" s="12" t="n"/>
      <c r="AT656" s="12" t="n"/>
      <c r="AU656" s="12" t="n"/>
      <c r="AV656" s="11" t="n"/>
      <c r="AW656" s="12" t="n"/>
      <c r="AX656" s="12" t="n"/>
      <c r="AY656" s="12" t="n"/>
      <c r="AZ656" s="12" t="n"/>
      <c r="BA656" s="12" t="n"/>
      <c r="BB656" s="12" t="n"/>
      <c r="BC656" s="12" t="n"/>
      <c r="BD656" s="12" t="n"/>
      <c r="BE656" s="12" t="n"/>
      <c r="BF656" s="12" t="n"/>
    </row>
    <row r="657">
      <c r="A657" s="7">
        <f>IF(B657="","","INS-"&amp;TEXT(ROW()-3,"000"))</f>
        <v/>
      </c>
      <c r="B657" s="11" t="n"/>
      <c r="C657" s="7">
        <f>IF(B657="","",ISOWEEKNUM(B657))</f>
        <v/>
      </c>
      <c r="D657" s="7">
        <f>IF(B657="","",TEXT(B657,"yyyy-mm"))</f>
        <v/>
      </c>
      <c r="E657" s="12" t="n"/>
      <c r="F657" s="12" t="n"/>
      <c r="G657" s="7">
        <f>IF(OR(E657="",F657=""),"",IF(COUNTIF(Cluster_Master!$I$3:$I$17,E657&amp;"|"&amp;F657)=1,"Valid","Review"))</f>
        <v/>
      </c>
      <c r="H657" s="7">
        <f>IF($G657&lt;&gt;"Valid","",VLOOKUP($E657&amp;"|"&amp;$F657,Cluster_Master!$I$3:$H$17,3,FALSE))</f>
        <v/>
      </c>
      <c r="I657" s="7">
        <f>IF($G657&lt;&gt;"Valid","",VLOOKUP($E657&amp;"|"&amp;$F657,Cluster_Master!$I$3:$H$17,4,FALSE))</f>
        <v/>
      </c>
      <c r="J657" s="7">
        <f>IF($G657&lt;&gt;"Valid","",VLOOKUP($E657&amp;"|"&amp;$F657,Cluster_Master!$I$3:$H$17,5,FALSE))</f>
        <v/>
      </c>
      <c r="K657" s="7">
        <f>IF($G657&lt;&gt;"Valid","",VLOOKUP($E657&amp;"|"&amp;$F657,Cluster_Master!$I$3:$H$17,6,FALSE))</f>
        <v/>
      </c>
      <c r="L657" s="7">
        <f>IF($G657&lt;&gt;"Valid","",VLOOKUP($E657&amp;"|"&amp;$F657,Cluster_Master!$I$3:$H$17,7,FALSE))</f>
        <v/>
      </c>
      <c r="M657" s="7">
        <f>IF($G657&lt;&gt;"Valid","",VLOOKUP($E657&amp;"|"&amp;$F657,Cluster_Master!$I$3:$H$17,8,FALSE))</f>
        <v/>
      </c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7">
        <f>IF(COUNT(T657:AH657)=0,"",SUM(T657:AH657))</f>
        <v/>
      </c>
      <c r="AJ657" s="10">
        <f>IF(AI657="","",AI657/75)</f>
        <v/>
      </c>
      <c r="AK657" s="10">
        <f>IF(AI657="","",SUMPRODUCT(T657:AH657,KPI_Weights!$B$3:$B$17)/5)</f>
        <v/>
      </c>
      <c r="AL657" s="7">
        <f>IF(COUNT(T657:AH657)=0,"",IF(OR(T657&lt;=1,W657&lt;=1,X657&lt;=1,Y657&lt;=1,AB657&lt;=1),"YES","NO"))</f>
        <v/>
      </c>
      <c r="AM657" s="7">
        <f>IF(AK657="","",IF(AND(AK657="NO",AJ657&gt;=0.85),"YES","NO"))</f>
        <v/>
      </c>
      <c r="AN657" s="7">
        <f>IF(AJ657="","",IF(AJ657&gt;=0.90,"Excellent",IF(AJ657&gt;=0.80,"Good",IF(AJ657&gt;=0.70,"Fair","Poor"))))</f>
        <v/>
      </c>
      <c r="AO657" s="12" t="n"/>
      <c r="AP657" s="12" t="n"/>
      <c r="AQ657" s="12" t="n"/>
      <c r="AR657" s="12" t="n"/>
      <c r="AS657" s="12" t="n"/>
      <c r="AT657" s="12" t="n"/>
      <c r="AU657" s="12" t="n"/>
      <c r="AV657" s="11" t="n"/>
      <c r="AW657" s="12" t="n"/>
      <c r="AX657" s="12" t="n"/>
      <c r="AY657" s="12" t="n"/>
      <c r="AZ657" s="12" t="n"/>
      <c r="BA657" s="12" t="n"/>
      <c r="BB657" s="12" t="n"/>
      <c r="BC657" s="12" t="n"/>
      <c r="BD657" s="12" t="n"/>
      <c r="BE657" s="12" t="n"/>
      <c r="BF657" s="12" t="n"/>
    </row>
    <row r="658">
      <c r="A658" s="7">
        <f>IF(B658="","","INS-"&amp;TEXT(ROW()-3,"000"))</f>
        <v/>
      </c>
      <c r="B658" s="11" t="n"/>
      <c r="C658" s="7">
        <f>IF(B658="","",ISOWEEKNUM(B658))</f>
        <v/>
      </c>
      <c r="D658" s="7">
        <f>IF(B658="","",TEXT(B658,"yyyy-mm"))</f>
        <v/>
      </c>
      <c r="E658" s="12" t="n"/>
      <c r="F658" s="12" t="n"/>
      <c r="G658" s="7">
        <f>IF(OR(E658="",F658=""),"",IF(COUNTIF(Cluster_Master!$I$3:$I$17,E658&amp;"|"&amp;F658)=1,"Valid","Review"))</f>
        <v/>
      </c>
      <c r="H658" s="7">
        <f>IF($G658&lt;&gt;"Valid","",VLOOKUP($E658&amp;"|"&amp;$F658,Cluster_Master!$I$3:$H$17,3,FALSE))</f>
        <v/>
      </c>
      <c r="I658" s="7">
        <f>IF($G658&lt;&gt;"Valid","",VLOOKUP($E658&amp;"|"&amp;$F658,Cluster_Master!$I$3:$H$17,4,FALSE))</f>
        <v/>
      </c>
      <c r="J658" s="7">
        <f>IF($G658&lt;&gt;"Valid","",VLOOKUP($E658&amp;"|"&amp;$F658,Cluster_Master!$I$3:$H$17,5,FALSE))</f>
        <v/>
      </c>
      <c r="K658" s="7">
        <f>IF($G658&lt;&gt;"Valid","",VLOOKUP($E658&amp;"|"&amp;$F658,Cluster_Master!$I$3:$H$17,6,FALSE))</f>
        <v/>
      </c>
      <c r="L658" s="7">
        <f>IF($G658&lt;&gt;"Valid","",VLOOKUP($E658&amp;"|"&amp;$F658,Cluster_Master!$I$3:$H$17,7,FALSE))</f>
        <v/>
      </c>
      <c r="M658" s="7">
        <f>IF($G658&lt;&gt;"Valid","",VLOOKUP($E658&amp;"|"&amp;$F658,Cluster_Master!$I$3:$H$17,8,FALSE))</f>
        <v/>
      </c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7">
        <f>IF(COUNT(T658:AH658)=0,"",SUM(T658:AH658))</f>
        <v/>
      </c>
      <c r="AJ658" s="10">
        <f>IF(AI658="","",AI658/75)</f>
        <v/>
      </c>
      <c r="AK658" s="10">
        <f>IF(AI658="","",SUMPRODUCT(T658:AH658,KPI_Weights!$B$3:$B$17)/5)</f>
        <v/>
      </c>
      <c r="AL658" s="7">
        <f>IF(COUNT(T658:AH658)=0,"",IF(OR(T658&lt;=1,W658&lt;=1,X658&lt;=1,Y658&lt;=1,AB658&lt;=1),"YES","NO"))</f>
        <v/>
      </c>
      <c r="AM658" s="7">
        <f>IF(AK658="","",IF(AND(AK658="NO",AJ658&gt;=0.85),"YES","NO"))</f>
        <v/>
      </c>
      <c r="AN658" s="7">
        <f>IF(AJ658="","",IF(AJ658&gt;=0.90,"Excellent",IF(AJ658&gt;=0.80,"Good",IF(AJ658&gt;=0.70,"Fair","Poor"))))</f>
        <v/>
      </c>
      <c r="AO658" s="12" t="n"/>
      <c r="AP658" s="12" t="n"/>
      <c r="AQ658" s="12" t="n"/>
      <c r="AR658" s="12" t="n"/>
      <c r="AS658" s="12" t="n"/>
      <c r="AT658" s="12" t="n"/>
      <c r="AU658" s="12" t="n"/>
      <c r="AV658" s="11" t="n"/>
      <c r="AW658" s="12" t="n"/>
      <c r="AX658" s="12" t="n"/>
      <c r="AY658" s="12" t="n"/>
      <c r="AZ658" s="12" t="n"/>
      <c r="BA658" s="12" t="n"/>
      <c r="BB658" s="12" t="n"/>
      <c r="BC658" s="12" t="n"/>
      <c r="BD658" s="12" t="n"/>
      <c r="BE658" s="12" t="n"/>
      <c r="BF658" s="12" t="n"/>
    </row>
    <row r="659">
      <c r="A659" s="7">
        <f>IF(B659="","","INS-"&amp;TEXT(ROW()-3,"000"))</f>
        <v/>
      </c>
      <c r="B659" s="11" t="n"/>
      <c r="C659" s="7">
        <f>IF(B659="","",ISOWEEKNUM(B659))</f>
        <v/>
      </c>
      <c r="D659" s="7">
        <f>IF(B659="","",TEXT(B659,"yyyy-mm"))</f>
        <v/>
      </c>
      <c r="E659" s="12" t="n"/>
      <c r="F659" s="12" t="n"/>
      <c r="G659" s="7">
        <f>IF(OR(E659="",F659=""),"",IF(COUNTIF(Cluster_Master!$I$3:$I$17,E659&amp;"|"&amp;F659)=1,"Valid","Review"))</f>
        <v/>
      </c>
      <c r="H659" s="7">
        <f>IF($G659&lt;&gt;"Valid","",VLOOKUP($E659&amp;"|"&amp;$F659,Cluster_Master!$I$3:$H$17,3,FALSE))</f>
        <v/>
      </c>
      <c r="I659" s="7">
        <f>IF($G659&lt;&gt;"Valid","",VLOOKUP($E659&amp;"|"&amp;$F659,Cluster_Master!$I$3:$H$17,4,FALSE))</f>
        <v/>
      </c>
      <c r="J659" s="7">
        <f>IF($G659&lt;&gt;"Valid","",VLOOKUP($E659&amp;"|"&amp;$F659,Cluster_Master!$I$3:$H$17,5,FALSE))</f>
        <v/>
      </c>
      <c r="K659" s="7">
        <f>IF($G659&lt;&gt;"Valid","",VLOOKUP($E659&amp;"|"&amp;$F659,Cluster_Master!$I$3:$H$17,6,FALSE))</f>
        <v/>
      </c>
      <c r="L659" s="7">
        <f>IF($G659&lt;&gt;"Valid","",VLOOKUP($E659&amp;"|"&amp;$F659,Cluster_Master!$I$3:$H$17,7,FALSE))</f>
        <v/>
      </c>
      <c r="M659" s="7">
        <f>IF($G659&lt;&gt;"Valid","",VLOOKUP($E659&amp;"|"&amp;$F659,Cluster_Master!$I$3:$H$17,8,FALSE))</f>
        <v/>
      </c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7">
        <f>IF(COUNT(T659:AH659)=0,"",SUM(T659:AH659))</f>
        <v/>
      </c>
      <c r="AJ659" s="10">
        <f>IF(AI659="","",AI659/75)</f>
        <v/>
      </c>
      <c r="AK659" s="10">
        <f>IF(AI659="","",SUMPRODUCT(T659:AH659,KPI_Weights!$B$3:$B$17)/5)</f>
        <v/>
      </c>
      <c r="AL659" s="7">
        <f>IF(COUNT(T659:AH659)=0,"",IF(OR(T659&lt;=1,W659&lt;=1,X659&lt;=1,Y659&lt;=1,AB659&lt;=1),"YES","NO"))</f>
        <v/>
      </c>
      <c r="AM659" s="7">
        <f>IF(AK659="","",IF(AND(AK659="NO",AJ659&gt;=0.85),"YES","NO"))</f>
        <v/>
      </c>
      <c r="AN659" s="7">
        <f>IF(AJ659="","",IF(AJ659&gt;=0.90,"Excellent",IF(AJ659&gt;=0.80,"Good",IF(AJ659&gt;=0.70,"Fair","Poor"))))</f>
        <v/>
      </c>
      <c r="AO659" s="12" t="n"/>
      <c r="AP659" s="12" t="n"/>
      <c r="AQ659" s="12" t="n"/>
      <c r="AR659" s="12" t="n"/>
      <c r="AS659" s="12" t="n"/>
      <c r="AT659" s="12" t="n"/>
      <c r="AU659" s="12" t="n"/>
      <c r="AV659" s="11" t="n"/>
      <c r="AW659" s="12" t="n"/>
      <c r="AX659" s="12" t="n"/>
      <c r="AY659" s="12" t="n"/>
      <c r="AZ659" s="12" t="n"/>
      <c r="BA659" s="12" t="n"/>
      <c r="BB659" s="12" t="n"/>
      <c r="BC659" s="12" t="n"/>
      <c r="BD659" s="12" t="n"/>
      <c r="BE659" s="12" t="n"/>
      <c r="BF659" s="12" t="n"/>
    </row>
    <row r="660">
      <c r="A660" s="7">
        <f>IF(B660="","","INS-"&amp;TEXT(ROW()-3,"000"))</f>
        <v/>
      </c>
      <c r="B660" s="11" t="n"/>
      <c r="C660" s="7">
        <f>IF(B660="","",ISOWEEKNUM(B660))</f>
        <v/>
      </c>
      <c r="D660" s="7">
        <f>IF(B660="","",TEXT(B660,"yyyy-mm"))</f>
        <v/>
      </c>
      <c r="E660" s="12" t="n"/>
      <c r="F660" s="12" t="n"/>
      <c r="G660" s="7">
        <f>IF(OR(E660="",F660=""),"",IF(COUNTIF(Cluster_Master!$I$3:$I$17,E660&amp;"|"&amp;F660)=1,"Valid","Review"))</f>
        <v/>
      </c>
      <c r="H660" s="7">
        <f>IF($G660&lt;&gt;"Valid","",VLOOKUP($E660&amp;"|"&amp;$F660,Cluster_Master!$I$3:$H$17,3,FALSE))</f>
        <v/>
      </c>
      <c r="I660" s="7">
        <f>IF($G660&lt;&gt;"Valid","",VLOOKUP($E660&amp;"|"&amp;$F660,Cluster_Master!$I$3:$H$17,4,FALSE))</f>
        <v/>
      </c>
      <c r="J660" s="7">
        <f>IF($G660&lt;&gt;"Valid","",VLOOKUP($E660&amp;"|"&amp;$F660,Cluster_Master!$I$3:$H$17,5,FALSE))</f>
        <v/>
      </c>
      <c r="K660" s="7">
        <f>IF($G660&lt;&gt;"Valid","",VLOOKUP($E660&amp;"|"&amp;$F660,Cluster_Master!$I$3:$H$17,6,FALSE))</f>
        <v/>
      </c>
      <c r="L660" s="7">
        <f>IF($G660&lt;&gt;"Valid","",VLOOKUP($E660&amp;"|"&amp;$F660,Cluster_Master!$I$3:$H$17,7,FALSE))</f>
        <v/>
      </c>
      <c r="M660" s="7">
        <f>IF($G660&lt;&gt;"Valid","",VLOOKUP($E660&amp;"|"&amp;$F660,Cluster_Master!$I$3:$H$17,8,FALSE))</f>
        <v/>
      </c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7">
        <f>IF(COUNT(T660:AH660)=0,"",SUM(T660:AH660))</f>
        <v/>
      </c>
      <c r="AJ660" s="10">
        <f>IF(AI660="","",AI660/75)</f>
        <v/>
      </c>
      <c r="AK660" s="10">
        <f>IF(AI660="","",SUMPRODUCT(T660:AH660,KPI_Weights!$B$3:$B$17)/5)</f>
        <v/>
      </c>
      <c r="AL660" s="7">
        <f>IF(COUNT(T660:AH660)=0,"",IF(OR(T660&lt;=1,W660&lt;=1,X660&lt;=1,Y660&lt;=1,AB660&lt;=1),"YES","NO"))</f>
        <v/>
      </c>
      <c r="AM660" s="7">
        <f>IF(AK660="","",IF(AND(AK660="NO",AJ660&gt;=0.85),"YES","NO"))</f>
        <v/>
      </c>
      <c r="AN660" s="7">
        <f>IF(AJ660="","",IF(AJ660&gt;=0.90,"Excellent",IF(AJ660&gt;=0.80,"Good",IF(AJ660&gt;=0.70,"Fair","Poor"))))</f>
        <v/>
      </c>
      <c r="AO660" s="12" t="n"/>
      <c r="AP660" s="12" t="n"/>
      <c r="AQ660" s="12" t="n"/>
      <c r="AR660" s="12" t="n"/>
      <c r="AS660" s="12" t="n"/>
      <c r="AT660" s="12" t="n"/>
      <c r="AU660" s="12" t="n"/>
      <c r="AV660" s="11" t="n"/>
      <c r="AW660" s="12" t="n"/>
      <c r="AX660" s="12" t="n"/>
      <c r="AY660" s="12" t="n"/>
      <c r="AZ660" s="12" t="n"/>
      <c r="BA660" s="12" t="n"/>
      <c r="BB660" s="12" t="n"/>
      <c r="BC660" s="12" t="n"/>
      <c r="BD660" s="12" t="n"/>
      <c r="BE660" s="12" t="n"/>
      <c r="BF660" s="12" t="n"/>
    </row>
    <row r="661">
      <c r="A661" s="7">
        <f>IF(B661="","","INS-"&amp;TEXT(ROW()-3,"000"))</f>
        <v/>
      </c>
      <c r="B661" s="11" t="n"/>
      <c r="C661" s="7">
        <f>IF(B661="","",ISOWEEKNUM(B661))</f>
        <v/>
      </c>
      <c r="D661" s="7">
        <f>IF(B661="","",TEXT(B661,"yyyy-mm"))</f>
        <v/>
      </c>
      <c r="E661" s="12" t="n"/>
      <c r="F661" s="12" t="n"/>
      <c r="G661" s="7">
        <f>IF(OR(E661="",F661=""),"",IF(COUNTIF(Cluster_Master!$I$3:$I$17,E661&amp;"|"&amp;F661)=1,"Valid","Review"))</f>
        <v/>
      </c>
      <c r="H661" s="7">
        <f>IF($G661&lt;&gt;"Valid","",VLOOKUP($E661&amp;"|"&amp;$F661,Cluster_Master!$I$3:$H$17,3,FALSE))</f>
        <v/>
      </c>
      <c r="I661" s="7">
        <f>IF($G661&lt;&gt;"Valid","",VLOOKUP($E661&amp;"|"&amp;$F661,Cluster_Master!$I$3:$H$17,4,FALSE))</f>
        <v/>
      </c>
      <c r="J661" s="7">
        <f>IF($G661&lt;&gt;"Valid","",VLOOKUP($E661&amp;"|"&amp;$F661,Cluster_Master!$I$3:$H$17,5,FALSE))</f>
        <v/>
      </c>
      <c r="K661" s="7">
        <f>IF($G661&lt;&gt;"Valid","",VLOOKUP($E661&amp;"|"&amp;$F661,Cluster_Master!$I$3:$H$17,6,FALSE))</f>
        <v/>
      </c>
      <c r="L661" s="7">
        <f>IF($G661&lt;&gt;"Valid","",VLOOKUP($E661&amp;"|"&amp;$F661,Cluster_Master!$I$3:$H$17,7,FALSE))</f>
        <v/>
      </c>
      <c r="M661" s="7">
        <f>IF($G661&lt;&gt;"Valid","",VLOOKUP($E661&amp;"|"&amp;$F661,Cluster_Master!$I$3:$H$17,8,FALSE))</f>
        <v/>
      </c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7">
        <f>IF(COUNT(T661:AH661)=0,"",SUM(T661:AH661))</f>
        <v/>
      </c>
      <c r="AJ661" s="10">
        <f>IF(AI661="","",AI661/75)</f>
        <v/>
      </c>
      <c r="AK661" s="10">
        <f>IF(AI661="","",SUMPRODUCT(T661:AH661,KPI_Weights!$B$3:$B$17)/5)</f>
        <v/>
      </c>
      <c r="AL661" s="7">
        <f>IF(COUNT(T661:AH661)=0,"",IF(OR(T661&lt;=1,W661&lt;=1,X661&lt;=1,Y661&lt;=1,AB661&lt;=1),"YES","NO"))</f>
        <v/>
      </c>
      <c r="AM661" s="7">
        <f>IF(AK661="","",IF(AND(AK661="NO",AJ661&gt;=0.85),"YES","NO"))</f>
        <v/>
      </c>
      <c r="AN661" s="7">
        <f>IF(AJ661="","",IF(AJ661&gt;=0.90,"Excellent",IF(AJ661&gt;=0.80,"Good",IF(AJ661&gt;=0.70,"Fair","Poor"))))</f>
        <v/>
      </c>
      <c r="AO661" s="12" t="n"/>
      <c r="AP661" s="12" t="n"/>
      <c r="AQ661" s="12" t="n"/>
      <c r="AR661" s="12" t="n"/>
      <c r="AS661" s="12" t="n"/>
      <c r="AT661" s="12" t="n"/>
      <c r="AU661" s="12" t="n"/>
      <c r="AV661" s="11" t="n"/>
      <c r="AW661" s="12" t="n"/>
      <c r="AX661" s="12" t="n"/>
      <c r="AY661" s="12" t="n"/>
      <c r="AZ661" s="12" t="n"/>
      <c r="BA661" s="12" t="n"/>
      <c r="BB661" s="12" t="n"/>
      <c r="BC661" s="12" t="n"/>
      <c r="BD661" s="12" t="n"/>
      <c r="BE661" s="12" t="n"/>
      <c r="BF661" s="12" t="n"/>
    </row>
    <row r="662">
      <c r="A662" s="7">
        <f>IF(B662="","","INS-"&amp;TEXT(ROW()-3,"000"))</f>
        <v/>
      </c>
      <c r="B662" s="11" t="n"/>
      <c r="C662" s="7">
        <f>IF(B662="","",ISOWEEKNUM(B662))</f>
        <v/>
      </c>
      <c r="D662" s="7">
        <f>IF(B662="","",TEXT(B662,"yyyy-mm"))</f>
        <v/>
      </c>
      <c r="E662" s="12" t="n"/>
      <c r="F662" s="12" t="n"/>
      <c r="G662" s="7">
        <f>IF(OR(E662="",F662=""),"",IF(COUNTIF(Cluster_Master!$I$3:$I$17,E662&amp;"|"&amp;F662)=1,"Valid","Review"))</f>
        <v/>
      </c>
      <c r="H662" s="7">
        <f>IF($G662&lt;&gt;"Valid","",VLOOKUP($E662&amp;"|"&amp;$F662,Cluster_Master!$I$3:$H$17,3,FALSE))</f>
        <v/>
      </c>
      <c r="I662" s="7">
        <f>IF($G662&lt;&gt;"Valid","",VLOOKUP($E662&amp;"|"&amp;$F662,Cluster_Master!$I$3:$H$17,4,FALSE))</f>
        <v/>
      </c>
      <c r="J662" s="7">
        <f>IF($G662&lt;&gt;"Valid","",VLOOKUP($E662&amp;"|"&amp;$F662,Cluster_Master!$I$3:$H$17,5,FALSE))</f>
        <v/>
      </c>
      <c r="K662" s="7">
        <f>IF($G662&lt;&gt;"Valid","",VLOOKUP($E662&amp;"|"&amp;$F662,Cluster_Master!$I$3:$H$17,6,FALSE))</f>
        <v/>
      </c>
      <c r="L662" s="7">
        <f>IF($G662&lt;&gt;"Valid","",VLOOKUP($E662&amp;"|"&amp;$F662,Cluster_Master!$I$3:$H$17,7,FALSE))</f>
        <v/>
      </c>
      <c r="M662" s="7">
        <f>IF($G662&lt;&gt;"Valid","",VLOOKUP($E662&amp;"|"&amp;$F662,Cluster_Master!$I$3:$H$17,8,FALSE))</f>
        <v/>
      </c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7">
        <f>IF(COUNT(T662:AH662)=0,"",SUM(T662:AH662))</f>
        <v/>
      </c>
      <c r="AJ662" s="10">
        <f>IF(AI662="","",AI662/75)</f>
        <v/>
      </c>
      <c r="AK662" s="10">
        <f>IF(AI662="","",SUMPRODUCT(T662:AH662,KPI_Weights!$B$3:$B$17)/5)</f>
        <v/>
      </c>
      <c r="AL662" s="7">
        <f>IF(COUNT(T662:AH662)=0,"",IF(OR(T662&lt;=1,W662&lt;=1,X662&lt;=1,Y662&lt;=1,AB662&lt;=1),"YES","NO"))</f>
        <v/>
      </c>
      <c r="AM662" s="7">
        <f>IF(AK662="","",IF(AND(AK662="NO",AJ662&gt;=0.85),"YES","NO"))</f>
        <v/>
      </c>
      <c r="AN662" s="7">
        <f>IF(AJ662="","",IF(AJ662&gt;=0.90,"Excellent",IF(AJ662&gt;=0.80,"Good",IF(AJ662&gt;=0.70,"Fair","Poor"))))</f>
        <v/>
      </c>
      <c r="AO662" s="12" t="n"/>
      <c r="AP662" s="12" t="n"/>
      <c r="AQ662" s="12" t="n"/>
      <c r="AR662" s="12" t="n"/>
      <c r="AS662" s="12" t="n"/>
      <c r="AT662" s="12" t="n"/>
      <c r="AU662" s="12" t="n"/>
      <c r="AV662" s="11" t="n"/>
      <c r="AW662" s="12" t="n"/>
      <c r="AX662" s="12" t="n"/>
      <c r="AY662" s="12" t="n"/>
      <c r="AZ662" s="12" t="n"/>
      <c r="BA662" s="12" t="n"/>
      <c r="BB662" s="12" t="n"/>
      <c r="BC662" s="12" t="n"/>
      <c r="BD662" s="12" t="n"/>
      <c r="BE662" s="12" t="n"/>
      <c r="BF662" s="12" t="n"/>
    </row>
    <row r="663">
      <c r="A663" s="7">
        <f>IF(B663="","","INS-"&amp;TEXT(ROW()-3,"000"))</f>
        <v/>
      </c>
      <c r="B663" s="11" t="n"/>
      <c r="C663" s="7">
        <f>IF(B663="","",ISOWEEKNUM(B663))</f>
        <v/>
      </c>
      <c r="D663" s="7">
        <f>IF(B663="","",TEXT(B663,"yyyy-mm"))</f>
        <v/>
      </c>
      <c r="E663" s="12" t="n"/>
      <c r="F663" s="12" t="n"/>
      <c r="G663" s="7">
        <f>IF(OR(E663="",F663=""),"",IF(COUNTIF(Cluster_Master!$I$3:$I$17,E663&amp;"|"&amp;F663)=1,"Valid","Review"))</f>
        <v/>
      </c>
      <c r="H663" s="7">
        <f>IF($G663&lt;&gt;"Valid","",VLOOKUP($E663&amp;"|"&amp;$F663,Cluster_Master!$I$3:$H$17,3,FALSE))</f>
        <v/>
      </c>
      <c r="I663" s="7">
        <f>IF($G663&lt;&gt;"Valid","",VLOOKUP($E663&amp;"|"&amp;$F663,Cluster_Master!$I$3:$H$17,4,FALSE))</f>
        <v/>
      </c>
      <c r="J663" s="7">
        <f>IF($G663&lt;&gt;"Valid","",VLOOKUP($E663&amp;"|"&amp;$F663,Cluster_Master!$I$3:$H$17,5,FALSE))</f>
        <v/>
      </c>
      <c r="K663" s="7">
        <f>IF($G663&lt;&gt;"Valid","",VLOOKUP($E663&amp;"|"&amp;$F663,Cluster_Master!$I$3:$H$17,6,FALSE))</f>
        <v/>
      </c>
      <c r="L663" s="7">
        <f>IF($G663&lt;&gt;"Valid","",VLOOKUP($E663&amp;"|"&amp;$F663,Cluster_Master!$I$3:$H$17,7,FALSE))</f>
        <v/>
      </c>
      <c r="M663" s="7">
        <f>IF($G663&lt;&gt;"Valid","",VLOOKUP($E663&amp;"|"&amp;$F663,Cluster_Master!$I$3:$H$17,8,FALSE))</f>
        <v/>
      </c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7">
        <f>IF(COUNT(T663:AH663)=0,"",SUM(T663:AH663))</f>
        <v/>
      </c>
      <c r="AJ663" s="10">
        <f>IF(AI663="","",AI663/75)</f>
        <v/>
      </c>
      <c r="AK663" s="10">
        <f>IF(AI663="","",SUMPRODUCT(T663:AH663,KPI_Weights!$B$3:$B$17)/5)</f>
        <v/>
      </c>
      <c r="AL663" s="7">
        <f>IF(COUNT(T663:AH663)=0,"",IF(OR(T663&lt;=1,W663&lt;=1,X663&lt;=1,Y663&lt;=1,AB663&lt;=1),"YES","NO"))</f>
        <v/>
      </c>
      <c r="AM663" s="7">
        <f>IF(AK663="","",IF(AND(AK663="NO",AJ663&gt;=0.85),"YES","NO"))</f>
        <v/>
      </c>
      <c r="AN663" s="7">
        <f>IF(AJ663="","",IF(AJ663&gt;=0.90,"Excellent",IF(AJ663&gt;=0.80,"Good",IF(AJ663&gt;=0.70,"Fair","Poor"))))</f>
        <v/>
      </c>
      <c r="AO663" s="12" t="n"/>
      <c r="AP663" s="12" t="n"/>
      <c r="AQ663" s="12" t="n"/>
      <c r="AR663" s="12" t="n"/>
      <c r="AS663" s="12" t="n"/>
      <c r="AT663" s="12" t="n"/>
      <c r="AU663" s="12" t="n"/>
      <c r="AV663" s="11" t="n"/>
      <c r="AW663" s="12" t="n"/>
      <c r="AX663" s="12" t="n"/>
      <c r="AY663" s="12" t="n"/>
      <c r="AZ663" s="12" t="n"/>
      <c r="BA663" s="12" t="n"/>
      <c r="BB663" s="12" t="n"/>
      <c r="BC663" s="12" t="n"/>
      <c r="BD663" s="12" t="n"/>
      <c r="BE663" s="12" t="n"/>
      <c r="BF663" s="12" t="n"/>
    </row>
    <row r="664">
      <c r="A664" s="7">
        <f>IF(B664="","","INS-"&amp;TEXT(ROW()-3,"000"))</f>
        <v/>
      </c>
      <c r="B664" s="11" t="n"/>
      <c r="C664" s="7">
        <f>IF(B664="","",ISOWEEKNUM(B664))</f>
        <v/>
      </c>
      <c r="D664" s="7">
        <f>IF(B664="","",TEXT(B664,"yyyy-mm"))</f>
        <v/>
      </c>
      <c r="E664" s="12" t="n"/>
      <c r="F664" s="12" t="n"/>
      <c r="G664" s="7">
        <f>IF(OR(E664="",F664=""),"",IF(COUNTIF(Cluster_Master!$I$3:$I$17,E664&amp;"|"&amp;F664)=1,"Valid","Review"))</f>
        <v/>
      </c>
      <c r="H664" s="7">
        <f>IF($G664&lt;&gt;"Valid","",VLOOKUP($E664&amp;"|"&amp;$F664,Cluster_Master!$I$3:$H$17,3,FALSE))</f>
        <v/>
      </c>
      <c r="I664" s="7">
        <f>IF($G664&lt;&gt;"Valid","",VLOOKUP($E664&amp;"|"&amp;$F664,Cluster_Master!$I$3:$H$17,4,FALSE))</f>
        <v/>
      </c>
      <c r="J664" s="7">
        <f>IF($G664&lt;&gt;"Valid","",VLOOKUP($E664&amp;"|"&amp;$F664,Cluster_Master!$I$3:$H$17,5,FALSE))</f>
        <v/>
      </c>
      <c r="K664" s="7">
        <f>IF($G664&lt;&gt;"Valid","",VLOOKUP($E664&amp;"|"&amp;$F664,Cluster_Master!$I$3:$H$17,6,FALSE))</f>
        <v/>
      </c>
      <c r="L664" s="7">
        <f>IF($G664&lt;&gt;"Valid","",VLOOKUP($E664&amp;"|"&amp;$F664,Cluster_Master!$I$3:$H$17,7,FALSE))</f>
        <v/>
      </c>
      <c r="M664" s="7">
        <f>IF($G664&lt;&gt;"Valid","",VLOOKUP($E664&amp;"|"&amp;$F664,Cluster_Master!$I$3:$H$17,8,FALSE))</f>
        <v/>
      </c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7">
        <f>IF(COUNT(T664:AH664)=0,"",SUM(T664:AH664))</f>
        <v/>
      </c>
      <c r="AJ664" s="10">
        <f>IF(AI664="","",AI664/75)</f>
        <v/>
      </c>
      <c r="AK664" s="10">
        <f>IF(AI664="","",SUMPRODUCT(T664:AH664,KPI_Weights!$B$3:$B$17)/5)</f>
        <v/>
      </c>
      <c r="AL664" s="7">
        <f>IF(COUNT(T664:AH664)=0,"",IF(OR(T664&lt;=1,W664&lt;=1,X664&lt;=1,Y664&lt;=1,AB664&lt;=1),"YES","NO"))</f>
        <v/>
      </c>
      <c r="AM664" s="7">
        <f>IF(AK664="","",IF(AND(AK664="NO",AJ664&gt;=0.85),"YES","NO"))</f>
        <v/>
      </c>
      <c r="AN664" s="7">
        <f>IF(AJ664="","",IF(AJ664&gt;=0.90,"Excellent",IF(AJ664&gt;=0.80,"Good",IF(AJ664&gt;=0.70,"Fair","Poor"))))</f>
        <v/>
      </c>
      <c r="AO664" s="12" t="n"/>
      <c r="AP664" s="12" t="n"/>
      <c r="AQ664" s="12" t="n"/>
      <c r="AR664" s="12" t="n"/>
      <c r="AS664" s="12" t="n"/>
      <c r="AT664" s="12" t="n"/>
      <c r="AU664" s="12" t="n"/>
      <c r="AV664" s="11" t="n"/>
      <c r="AW664" s="12" t="n"/>
      <c r="AX664" s="12" t="n"/>
      <c r="AY664" s="12" t="n"/>
      <c r="AZ664" s="12" t="n"/>
      <c r="BA664" s="12" t="n"/>
      <c r="BB664" s="12" t="n"/>
      <c r="BC664" s="12" t="n"/>
      <c r="BD664" s="12" t="n"/>
      <c r="BE664" s="12" t="n"/>
      <c r="BF664" s="12" t="n"/>
    </row>
    <row r="665">
      <c r="A665" s="7">
        <f>IF(B665="","","INS-"&amp;TEXT(ROW()-3,"000"))</f>
        <v/>
      </c>
      <c r="B665" s="11" t="n"/>
      <c r="C665" s="7">
        <f>IF(B665="","",ISOWEEKNUM(B665))</f>
        <v/>
      </c>
      <c r="D665" s="7">
        <f>IF(B665="","",TEXT(B665,"yyyy-mm"))</f>
        <v/>
      </c>
      <c r="E665" s="12" t="n"/>
      <c r="F665" s="12" t="n"/>
      <c r="G665" s="7">
        <f>IF(OR(E665="",F665=""),"",IF(COUNTIF(Cluster_Master!$I$3:$I$17,E665&amp;"|"&amp;F665)=1,"Valid","Review"))</f>
        <v/>
      </c>
      <c r="H665" s="7">
        <f>IF($G665&lt;&gt;"Valid","",VLOOKUP($E665&amp;"|"&amp;$F665,Cluster_Master!$I$3:$H$17,3,FALSE))</f>
        <v/>
      </c>
      <c r="I665" s="7">
        <f>IF($G665&lt;&gt;"Valid","",VLOOKUP($E665&amp;"|"&amp;$F665,Cluster_Master!$I$3:$H$17,4,FALSE))</f>
        <v/>
      </c>
      <c r="J665" s="7">
        <f>IF($G665&lt;&gt;"Valid","",VLOOKUP($E665&amp;"|"&amp;$F665,Cluster_Master!$I$3:$H$17,5,FALSE))</f>
        <v/>
      </c>
      <c r="K665" s="7">
        <f>IF($G665&lt;&gt;"Valid","",VLOOKUP($E665&amp;"|"&amp;$F665,Cluster_Master!$I$3:$H$17,6,FALSE))</f>
        <v/>
      </c>
      <c r="L665" s="7">
        <f>IF($G665&lt;&gt;"Valid","",VLOOKUP($E665&amp;"|"&amp;$F665,Cluster_Master!$I$3:$H$17,7,FALSE))</f>
        <v/>
      </c>
      <c r="M665" s="7">
        <f>IF($G665&lt;&gt;"Valid","",VLOOKUP($E665&amp;"|"&amp;$F665,Cluster_Master!$I$3:$H$17,8,FALSE))</f>
        <v/>
      </c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7">
        <f>IF(COUNT(T665:AH665)=0,"",SUM(T665:AH665))</f>
        <v/>
      </c>
      <c r="AJ665" s="10">
        <f>IF(AI665="","",AI665/75)</f>
        <v/>
      </c>
      <c r="AK665" s="10">
        <f>IF(AI665="","",SUMPRODUCT(T665:AH665,KPI_Weights!$B$3:$B$17)/5)</f>
        <v/>
      </c>
      <c r="AL665" s="7">
        <f>IF(COUNT(T665:AH665)=0,"",IF(OR(T665&lt;=1,W665&lt;=1,X665&lt;=1,Y665&lt;=1,AB665&lt;=1),"YES","NO"))</f>
        <v/>
      </c>
      <c r="AM665" s="7">
        <f>IF(AK665="","",IF(AND(AK665="NO",AJ665&gt;=0.85),"YES","NO"))</f>
        <v/>
      </c>
      <c r="AN665" s="7">
        <f>IF(AJ665="","",IF(AJ665&gt;=0.90,"Excellent",IF(AJ665&gt;=0.80,"Good",IF(AJ665&gt;=0.70,"Fair","Poor"))))</f>
        <v/>
      </c>
      <c r="AO665" s="12" t="n"/>
      <c r="AP665" s="12" t="n"/>
      <c r="AQ665" s="12" t="n"/>
      <c r="AR665" s="12" t="n"/>
      <c r="AS665" s="12" t="n"/>
      <c r="AT665" s="12" t="n"/>
      <c r="AU665" s="12" t="n"/>
      <c r="AV665" s="11" t="n"/>
      <c r="AW665" s="12" t="n"/>
      <c r="AX665" s="12" t="n"/>
      <c r="AY665" s="12" t="n"/>
      <c r="AZ665" s="12" t="n"/>
      <c r="BA665" s="12" t="n"/>
      <c r="BB665" s="12" t="n"/>
      <c r="BC665" s="12" t="n"/>
      <c r="BD665" s="12" t="n"/>
      <c r="BE665" s="12" t="n"/>
      <c r="BF665" s="12" t="n"/>
    </row>
    <row r="666">
      <c r="A666" s="7">
        <f>IF(B666="","","INS-"&amp;TEXT(ROW()-3,"000"))</f>
        <v/>
      </c>
      <c r="B666" s="11" t="n"/>
      <c r="C666" s="7">
        <f>IF(B666="","",ISOWEEKNUM(B666))</f>
        <v/>
      </c>
      <c r="D666" s="7">
        <f>IF(B666="","",TEXT(B666,"yyyy-mm"))</f>
        <v/>
      </c>
      <c r="E666" s="12" t="n"/>
      <c r="F666" s="12" t="n"/>
      <c r="G666" s="7">
        <f>IF(OR(E666="",F666=""),"",IF(COUNTIF(Cluster_Master!$I$3:$I$17,E666&amp;"|"&amp;F666)=1,"Valid","Review"))</f>
        <v/>
      </c>
      <c r="H666" s="7">
        <f>IF($G666&lt;&gt;"Valid","",VLOOKUP($E666&amp;"|"&amp;$F666,Cluster_Master!$I$3:$H$17,3,FALSE))</f>
        <v/>
      </c>
      <c r="I666" s="7">
        <f>IF($G666&lt;&gt;"Valid","",VLOOKUP($E666&amp;"|"&amp;$F666,Cluster_Master!$I$3:$H$17,4,FALSE))</f>
        <v/>
      </c>
      <c r="J666" s="7">
        <f>IF($G666&lt;&gt;"Valid","",VLOOKUP($E666&amp;"|"&amp;$F666,Cluster_Master!$I$3:$H$17,5,FALSE))</f>
        <v/>
      </c>
      <c r="K666" s="7">
        <f>IF($G666&lt;&gt;"Valid","",VLOOKUP($E666&amp;"|"&amp;$F666,Cluster_Master!$I$3:$H$17,6,FALSE))</f>
        <v/>
      </c>
      <c r="L666" s="7">
        <f>IF($G666&lt;&gt;"Valid","",VLOOKUP($E666&amp;"|"&amp;$F666,Cluster_Master!$I$3:$H$17,7,FALSE))</f>
        <v/>
      </c>
      <c r="M666" s="7">
        <f>IF($G666&lt;&gt;"Valid","",VLOOKUP($E666&amp;"|"&amp;$F666,Cluster_Master!$I$3:$H$17,8,FALSE))</f>
        <v/>
      </c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7">
        <f>IF(COUNT(T666:AH666)=0,"",SUM(T666:AH666))</f>
        <v/>
      </c>
      <c r="AJ666" s="10">
        <f>IF(AI666="","",AI666/75)</f>
        <v/>
      </c>
      <c r="AK666" s="10">
        <f>IF(AI666="","",SUMPRODUCT(T666:AH666,KPI_Weights!$B$3:$B$17)/5)</f>
        <v/>
      </c>
      <c r="AL666" s="7">
        <f>IF(COUNT(T666:AH666)=0,"",IF(OR(T666&lt;=1,W666&lt;=1,X666&lt;=1,Y666&lt;=1,AB666&lt;=1),"YES","NO"))</f>
        <v/>
      </c>
      <c r="AM666" s="7">
        <f>IF(AK666="","",IF(AND(AK666="NO",AJ666&gt;=0.85),"YES","NO"))</f>
        <v/>
      </c>
      <c r="AN666" s="7">
        <f>IF(AJ666="","",IF(AJ666&gt;=0.90,"Excellent",IF(AJ666&gt;=0.80,"Good",IF(AJ666&gt;=0.70,"Fair","Poor"))))</f>
        <v/>
      </c>
      <c r="AO666" s="12" t="n"/>
      <c r="AP666" s="12" t="n"/>
      <c r="AQ666" s="12" t="n"/>
      <c r="AR666" s="12" t="n"/>
      <c r="AS666" s="12" t="n"/>
      <c r="AT666" s="12" t="n"/>
      <c r="AU666" s="12" t="n"/>
      <c r="AV666" s="11" t="n"/>
      <c r="AW666" s="12" t="n"/>
      <c r="AX666" s="12" t="n"/>
      <c r="AY666" s="12" t="n"/>
      <c r="AZ666" s="12" t="n"/>
      <c r="BA666" s="12" t="n"/>
      <c r="BB666" s="12" t="n"/>
      <c r="BC666" s="12" t="n"/>
      <c r="BD666" s="12" t="n"/>
      <c r="BE666" s="12" t="n"/>
      <c r="BF666" s="12" t="n"/>
    </row>
    <row r="667">
      <c r="A667" s="7">
        <f>IF(B667="","","INS-"&amp;TEXT(ROW()-3,"000"))</f>
        <v/>
      </c>
      <c r="B667" s="11" t="n"/>
      <c r="C667" s="7">
        <f>IF(B667="","",ISOWEEKNUM(B667))</f>
        <v/>
      </c>
      <c r="D667" s="7">
        <f>IF(B667="","",TEXT(B667,"yyyy-mm"))</f>
        <v/>
      </c>
      <c r="E667" s="12" t="n"/>
      <c r="F667" s="12" t="n"/>
      <c r="G667" s="7">
        <f>IF(OR(E667="",F667=""),"",IF(COUNTIF(Cluster_Master!$I$3:$I$17,E667&amp;"|"&amp;F667)=1,"Valid","Review"))</f>
        <v/>
      </c>
      <c r="H667" s="7">
        <f>IF($G667&lt;&gt;"Valid","",VLOOKUP($E667&amp;"|"&amp;$F667,Cluster_Master!$I$3:$H$17,3,FALSE))</f>
        <v/>
      </c>
      <c r="I667" s="7">
        <f>IF($G667&lt;&gt;"Valid","",VLOOKUP($E667&amp;"|"&amp;$F667,Cluster_Master!$I$3:$H$17,4,FALSE))</f>
        <v/>
      </c>
      <c r="J667" s="7">
        <f>IF($G667&lt;&gt;"Valid","",VLOOKUP($E667&amp;"|"&amp;$F667,Cluster_Master!$I$3:$H$17,5,FALSE))</f>
        <v/>
      </c>
      <c r="K667" s="7">
        <f>IF($G667&lt;&gt;"Valid","",VLOOKUP($E667&amp;"|"&amp;$F667,Cluster_Master!$I$3:$H$17,6,FALSE))</f>
        <v/>
      </c>
      <c r="L667" s="7">
        <f>IF($G667&lt;&gt;"Valid","",VLOOKUP($E667&amp;"|"&amp;$F667,Cluster_Master!$I$3:$H$17,7,FALSE))</f>
        <v/>
      </c>
      <c r="M667" s="7">
        <f>IF($G667&lt;&gt;"Valid","",VLOOKUP($E667&amp;"|"&amp;$F667,Cluster_Master!$I$3:$H$17,8,FALSE))</f>
        <v/>
      </c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7">
        <f>IF(COUNT(T667:AH667)=0,"",SUM(T667:AH667))</f>
        <v/>
      </c>
      <c r="AJ667" s="10">
        <f>IF(AI667="","",AI667/75)</f>
        <v/>
      </c>
      <c r="AK667" s="10">
        <f>IF(AI667="","",SUMPRODUCT(T667:AH667,KPI_Weights!$B$3:$B$17)/5)</f>
        <v/>
      </c>
      <c r="AL667" s="7">
        <f>IF(COUNT(T667:AH667)=0,"",IF(OR(T667&lt;=1,W667&lt;=1,X667&lt;=1,Y667&lt;=1,AB667&lt;=1),"YES","NO"))</f>
        <v/>
      </c>
      <c r="AM667" s="7">
        <f>IF(AK667="","",IF(AND(AK667="NO",AJ667&gt;=0.85),"YES","NO"))</f>
        <v/>
      </c>
      <c r="AN667" s="7">
        <f>IF(AJ667="","",IF(AJ667&gt;=0.90,"Excellent",IF(AJ667&gt;=0.80,"Good",IF(AJ667&gt;=0.70,"Fair","Poor"))))</f>
        <v/>
      </c>
      <c r="AO667" s="12" t="n"/>
      <c r="AP667" s="12" t="n"/>
      <c r="AQ667" s="12" t="n"/>
      <c r="AR667" s="12" t="n"/>
      <c r="AS667" s="12" t="n"/>
      <c r="AT667" s="12" t="n"/>
      <c r="AU667" s="12" t="n"/>
      <c r="AV667" s="11" t="n"/>
      <c r="AW667" s="12" t="n"/>
      <c r="AX667" s="12" t="n"/>
      <c r="AY667" s="12" t="n"/>
      <c r="AZ667" s="12" t="n"/>
      <c r="BA667" s="12" t="n"/>
      <c r="BB667" s="12" t="n"/>
      <c r="BC667" s="12" t="n"/>
      <c r="BD667" s="12" t="n"/>
      <c r="BE667" s="12" t="n"/>
      <c r="BF667" s="12" t="n"/>
    </row>
    <row r="668">
      <c r="A668" s="7">
        <f>IF(B668="","","INS-"&amp;TEXT(ROW()-3,"000"))</f>
        <v/>
      </c>
      <c r="B668" s="11" t="n"/>
      <c r="C668" s="7">
        <f>IF(B668="","",ISOWEEKNUM(B668))</f>
        <v/>
      </c>
      <c r="D668" s="7">
        <f>IF(B668="","",TEXT(B668,"yyyy-mm"))</f>
        <v/>
      </c>
      <c r="E668" s="12" t="n"/>
      <c r="F668" s="12" t="n"/>
      <c r="G668" s="7">
        <f>IF(OR(E668="",F668=""),"",IF(COUNTIF(Cluster_Master!$I$3:$I$17,E668&amp;"|"&amp;F668)=1,"Valid","Review"))</f>
        <v/>
      </c>
      <c r="H668" s="7">
        <f>IF($G668&lt;&gt;"Valid","",VLOOKUP($E668&amp;"|"&amp;$F668,Cluster_Master!$I$3:$H$17,3,FALSE))</f>
        <v/>
      </c>
      <c r="I668" s="7">
        <f>IF($G668&lt;&gt;"Valid","",VLOOKUP($E668&amp;"|"&amp;$F668,Cluster_Master!$I$3:$H$17,4,FALSE))</f>
        <v/>
      </c>
      <c r="J668" s="7">
        <f>IF($G668&lt;&gt;"Valid","",VLOOKUP($E668&amp;"|"&amp;$F668,Cluster_Master!$I$3:$H$17,5,FALSE))</f>
        <v/>
      </c>
      <c r="K668" s="7">
        <f>IF($G668&lt;&gt;"Valid","",VLOOKUP($E668&amp;"|"&amp;$F668,Cluster_Master!$I$3:$H$17,6,FALSE))</f>
        <v/>
      </c>
      <c r="L668" s="7">
        <f>IF($G668&lt;&gt;"Valid","",VLOOKUP($E668&amp;"|"&amp;$F668,Cluster_Master!$I$3:$H$17,7,FALSE))</f>
        <v/>
      </c>
      <c r="M668" s="7">
        <f>IF($G668&lt;&gt;"Valid","",VLOOKUP($E668&amp;"|"&amp;$F668,Cluster_Master!$I$3:$H$17,8,FALSE))</f>
        <v/>
      </c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7">
        <f>IF(COUNT(T668:AH668)=0,"",SUM(T668:AH668))</f>
        <v/>
      </c>
      <c r="AJ668" s="10">
        <f>IF(AI668="","",AI668/75)</f>
        <v/>
      </c>
      <c r="AK668" s="10">
        <f>IF(AI668="","",SUMPRODUCT(T668:AH668,KPI_Weights!$B$3:$B$17)/5)</f>
        <v/>
      </c>
      <c r="AL668" s="7">
        <f>IF(COUNT(T668:AH668)=0,"",IF(OR(T668&lt;=1,W668&lt;=1,X668&lt;=1,Y668&lt;=1,AB668&lt;=1),"YES","NO"))</f>
        <v/>
      </c>
      <c r="AM668" s="7">
        <f>IF(AK668="","",IF(AND(AK668="NO",AJ668&gt;=0.85),"YES","NO"))</f>
        <v/>
      </c>
      <c r="AN668" s="7">
        <f>IF(AJ668="","",IF(AJ668&gt;=0.90,"Excellent",IF(AJ668&gt;=0.80,"Good",IF(AJ668&gt;=0.70,"Fair","Poor"))))</f>
        <v/>
      </c>
      <c r="AO668" s="12" t="n"/>
      <c r="AP668" s="12" t="n"/>
      <c r="AQ668" s="12" t="n"/>
      <c r="AR668" s="12" t="n"/>
      <c r="AS668" s="12" t="n"/>
      <c r="AT668" s="12" t="n"/>
      <c r="AU668" s="12" t="n"/>
      <c r="AV668" s="11" t="n"/>
      <c r="AW668" s="12" t="n"/>
      <c r="AX668" s="12" t="n"/>
      <c r="AY668" s="12" t="n"/>
      <c r="AZ668" s="12" t="n"/>
      <c r="BA668" s="12" t="n"/>
      <c r="BB668" s="12" t="n"/>
      <c r="BC668" s="12" t="n"/>
      <c r="BD668" s="12" t="n"/>
      <c r="BE668" s="12" t="n"/>
      <c r="BF668" s="12" t="n"/>
    </row>
    <row r="669">
      <c r="A669" s="7">
        <f>IF(B669="","","INS-"&amp;TEXT(ROW()-3,"000"))</f>
        <v/>
      </c>
      <c r="B669" s="11" t="n"/>
      <c r="C669" s="7">
        <f>IF(B669="","",ISOWEEKNUM(B669))</f>
        <v/>
      </c>
      <c r="D669" s="7">
        <f>IF(B669="","",TEXT(B669,"yyyy-mm"))</f>
        <v/>
      </c>
      <c r="E669" s="12" t="n"/>
      <c r="F669" s="12" t="n"/>
      <c r="G669" s="7">
        <f>IF(OR(E669="",F669=""),"",IF(COUNTIF(Cluster_Master!$I$3:$I$17,E669&amp;"|"&amp;F669)=1,"Valid","Review"))</f>
        <v/>
      </c>
      <c r="H669" s="7">
        <f>IF($G669&lt;&gt;"Valid","",VLOOKUP($E669&amp;"|"&amp;$F669,Cluster_Master!$I$3:$H$17,3,FALSE))</f>
        <v/>
      </c>
      <c r="I669" s="7">
        <f>IF($G669&lt;&gt;"Valid","",VLOOKUP($E669&amp;"|"&amp;$F669,Cluster_Master!$I$3:$H$17,4,FALSE))</f>
        <v/>
      </c>
      <c r="J669" s="7">
        <f>IF($G669&lt;&gt;"Valid","",VLOOKUP($E669&amp;"|"&amp;$F669,Cluster_Master!$I$3:$H$17,5,FALSE))</f>
        <v/>
      </c>
      <c r="K669" s="7">
        <f>IF($G669&lt;&gt;"Valid","",VLOOKUP($E669&amp;"|"&amp;$F669,Cluster_Master!$I$3:$H$17,6,FALSE))</f>
        <v/>
      </c>
      <c r="L669" s="7">
        <f>IF($G669&lt;&gt;"Valid","",VLOOKUP($E669&amp;"|"&amp;$F669,Cluster_Master!$I$3:$H$17,7,FALSE))</f>
        <v/>
      </c>
      <c r="M669" s="7">
        <f>IF($G669&lt;&gt;"Valid","",VLOOKUP($E669&amp;"|"&amp;$F669,Cluster_Master!$I$3:$H$17,8,FALSE))</f>
        <v/>
      </c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7">
        <f>IF(COUNT(T669:AH669)=0,"",SUM(T669:AH669))</f>
        <v/>
      </c>
      <c r="AJ669" s="10">
        <f>IF(AI669="","",AI669/75)</f>
        <v/>
      </c>
      <c r="AK669" s="10">
        <f>IF(AI669="","",SUMPRODUCT(T669:AH669,KPI_Weights!$B$3:$B$17)/5)</f>
        <v/>
      </c>
      <c r="AL669" s="7">
        <f>IF(COUNT(T669:AH669)=0,"",IF(OR(T669&lt;=1,W669&lt;=1,X669&lt;=1,Y669&lt;=1,AB669&lt;=1),"YES","NO"))</f>
        <v/>
      </c>
      <c r="AM669" s="7">
        <f>IF(AK669="","",IF(AND(AK669="NO",AJ669&gt;=0.85),"YES","NO"))</f>
        <v/>
      </c>
      <c r="AN669" s="7">
        <f>IF(AJ669="","",IF(AJ669&gt;=0.90,"Excellent",IF(AJ669&gt;=0.80,"Good",IF(AJ669&gt;=0.70,"Fair","Poor"))))</f>
        <v/>
      </c>
      <c r="AO669" s="12" t="n"/>
      <c r="AP669" s="12" t="n"/>
      <c r="AQ669" s="12" t="n"/>
      <c r="AR669" s="12" t="n"/>
      <c r="AS669" s="12" t="n"/>
      <c r="AT669" s="12" t="n"/>
      <c r="AU669" s="12" t="n"/>
      <c r="AV669" s="11" t="n"/>
      <c r="AW669" s="12" t="n"/>
      <c r="AX669" s="12" t="n"/>
      <c r="AY669" s="12" t="n"/>
      <c r="AZ669" s="12" t="n"/>
      <c r="BA669" s="12" t="n"/>
      <c r="BB669" s="12" t="n"/>
      <c r="BC669" s="12" t="n"/>
      <c r="BD669" s="12" t="n"/>
      <c r="BE669" s="12" t="n"/>
      <c r="BF669" s="12" t="n"/>
    </row>
    <row r="670">
      <c r="A670" s="7">
        <f>IF(B670="","","INS-"&amp;TEXT(ROW()-3,"000"))</f>
        <v/>
      </c>
      <c r="B670" s="11" t="n"/>
      <c r="C670" s="7">
        <f>IF(B670="","",ISOWEEKNUM(B670))</f>
        <v/>
      </c>
      <c r="D670" s="7">
        <f>IF(B670="","",TEXT(B670,"yyyy-mm"))</f>
        <v/>
      </c>
      <c r="E670" s="12" t="n"/>
      <c r="F670" s="12" t="n"/>
      <c r="G670" s="7">
        <f>IF(OR(E670="",F670=""),"",IF(COUNTIF(Cluster_Master!$I$3:$I$17,E670&amp;"|"&amp;F670)=1,"Valid","Review"))</f>
        <v/>
      </c>
      <c r="H670" s="7">
        <f>IF($G670&lt;&gt;"Valid","",VLOOKUP($E670&amp;"|"&amp;$F670,Cluster_Master!$I$3:$H$17,3,FALSE))</f>
        <v/>
      </c>
      <c r="I670" s="7">
        <f>IF($G670&lt;&gt;"Valid","",VLOOKUP($E670&amp;"|"&amp;$F670,Cluster_Master!$I$3:$H$17,4,FALSE))</f>
        <v/>
      </c>
      <c r="J670" s="7">
        <f>IF($G670&lt;&gt;"Valid","",VLOOKUP($E670&amp;"|"&amp;$F670,Cluster_Master!$I$3:$H$17,5,FALSE))</f>
        <v/>
      </c>
      <c r="K670" s="7">
        <f>IF($G670&lt;&gt;"Valid","",VLOOKUP($E670&amp;"|"&amp;$F670,Cluster_Master!$I$3:$H$17,6,FALSE))</f>
        <v/>
      </c>
      <c r="L670" s="7">
        <f>IF($G670&lt;&gt;"Valid","",VLOOKUP($E670&amp;"|"&amp;$F670,Cluster_Master!$I$3:$H$17,7,FALSE))</f>
        <v/>
      </c>
      <c r="M670" s="7">
        <f>IF($G670&lt;&gt;"Valid","",VLOOKUP($E670&amp;"|"&amp;$F670,Cluster_Master!$I$3:$H$17,8,FALSE))</f>
        <v/>
      </c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7">
        <f>IF(COUNT(T670:AH670)=0,"",SUM(T670:AH670))</f>
        <v/>
      </c>
      <c r="AJ670" s="10">
        <f>IF(AI670="","",AI670/75)</f>
        <v/>
      </c>
      <c r="AK670" s="10">
        <f>IF(AI670="","",SUMPRODUCT(T670:AH670,KPI_Weights!$B$3:$B$17)/5)</f>
        <v/>
      </c>
      <c r="AL670" s="7">
        <f>IF(COUNT(T670:AH670)=0,"",IF(OR(T670&lt;=1,W670&lt;=1,X670&lt;=1,Y670&lt;=1,AB670&lt;=1),"YES","NO"))</f>
        <v/>
      </c>
      <c r="AM670" s="7">
        <f>IF(AK670="","",IF(AND(AK670="NO",AJ670&gt;=0.85),"YES","NO"))</f>
        <v/>
      </c>
      <c r="AN670" s="7">
        <f>IF(AJ670="","",IF(AJ670&gt;=0.90,"Excellent",IF(AJ670&gt;=0.80,"Good",IF(AJ670&gt;=0.70,"Fair","Poor"))))</f>
        <v/>
      </c>
      <c r="AO670" s="12" t="n"/>
      <c r="AP670" s="12" t="n"/>
      <c r="AQ670" s="12" t="n"/>
      <c r="AR670" s="12" t="n"/>
      <c r="AS670" s="12" t="n"/>
      <c r="AT670" s="12" t="n"/>
      <c r="AU670" s="12" t="n"/>
      <c r="AV670" s="11" t="n"/>
      <c r="AW670" s="12" t="n"/>
      <c r="AX670" s="12" t="n"/>
      <c r="AY670" s="12" t="n"/>
      <c r="AZ670" s="12" t="n"/>
      <c r="BA670" s="12" t="n"/>
      <c r="BB670" s="12" t="n"/>
      <c r="BC670" s="12" t="n"/>
      <c r="BD670" s="12" t="n"/>
      <c r="BE670" s="12" t="n"/>
      <c r="BF670" s="12" t="n"/>
    </row>
    <row r="671">
      <c r="A671" s="7">
        <f>IF(B671="","","INS-"&amp;TEXT(ROW()-3,"000"))</f>
        <v/>
      </c>
      <c r="B671" s="11" t="n"/>
      <c r="C671" s="7">
        <f>IF(B671="","",ISOWEEKNUM(B671))</f>
        <v/>
      </c>
      <c r="D671" s="7">
        <f>IF(B671="","",TEXT(B671,"yyyy-mm"))</f>
        <v/>
      </c>
      <c r="E671" s="12" t="n"/>
      <c r="F671" s="12" t="n"/>
      <c r="G671" s="7">
        <f>IF(OR(E671="",F671=""),"",IF(COUNTIF(Cluster_Master!$I$3:$I$17,E671&amp;"|"&amp;F671)=1,"Valid","Review"))</f>
        <v/>
      </c>
      <c r="H671" s="7">
        <f>IF($G671&lt;&gt;"Valid","",VLOOKUP($E671&amp;"|"&amp;$F671,Cluster_Master!$I$3:$H$17,3,FALSE))</f>
        <v/>
      </c>
      <c r="I671" s="7">
        <f>IF($G671&lt;&gt;"Valid","",VLOOKUP($E671&amp;"|"&amp;$F671,Cluster_Master!$I$3:$H$17,4,FALSE))</f>
        <v/>
      </c>
      <c r="J671" s="7">
        <f>IF($G671&lt;&gt;"Valid","",VLOOKUP($E671&amp;"|"&amp;$F671,Cluster_Master!$I$3:$H$17,5,FALSE))</f>
        <v/>
      </c>
      <c r="K671" s="7">
        <f>IF($G671&lt;&gt;"Valid","",VLOOKUP($E671&amp;"|"&amp;$F671,Cluster_Master!$I$3:$H$17,6,FALSE))</f>
        <v/>
      </c>
      <c r="L671" s="7">
        <f>IF($G671&lt;&gt;"Valid","",VLOOKUP($E671&amp;"|"&amp;$F671,Cluster_Master!$I$3:$H$17,7,FALSE))</f>
        <v/>
      </c>
      <c r="M671" s="7">
        <f>IF($G671&lt;&gt;"Valid","",VLOOKUP($E671&amp;"|"&amp;$F671,Cluster_Master!$I$3:$H$17,8,FALSE))</f>
        <v/>
      </c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7">
        <f>IF(COUNT(T671:AH671)=0,"",SUM(T671:AH671))</f>
        <v/>
      </c>
      <c r="AJ671" s="10">
        <f>IF(AI671="","",AI671/75)</f>
        <v/>
      </c>
      <c r="AK671" s="10">
        <f>IF(AI671="","",SUMPRODUCT(T671:AH671,KPI_Weights!$B$3:$B$17)/5)</f>
        <v/>
      </c>
      <c r="AL671" s="7">
        <f>IF(COUNT(T671:AH671)=0,"",IF(OR(T671&lt;=1,W671&lt;=1,X671&lt;=1,Y671&lt;=1,AB671&lt;=1),"YES","NO"))</f>
        <v/>
      </c>
      <c r="AM671" s="7">
        <f>IF(AK671="","",IF(AND(AK671="NO",AJ671&gt;=0.85),"YES","NO"))</f>
        <v/>
      </c>
      <c r="AN671" s="7">
        <f>IF(AJ671="","",IF(AJ671&gt;=0.90,"Excellent",IF(AJ671&gt;=0.80,"Good",IF(AJ671&gt;=0.70,"Fair","Poor"))))</f>
        <v/>
      </c>
      <c r="AO671" s="12" t="n"/>
      <c r="AP671" s="12" t="n"/>
      <c r="AQ671" s="12" t="n"/>
      <c r="AR671" s="12" t="n"/>
      <c r="AS671" s="12" t="n"/>
      <c r="AT671" s="12" t="n"/>
      <c r="AU671" s="12" t="n"/>
      <c r="AV671" s="11" t="n"/>
      <c r="AW671" s="12" t="n"/>
      <c r="AX671" s="12" t="n"/>
      <c r="AY671" s="12" t="n"/>
      <c r="AZ671" s="12" t="n"/>
      <c r="BA671" s="12" t="n"/>
      <c r="BB671" s="12" t="n"/>
      <c r="BC671" s="12" t="n"/>
      <c r="BD671" s="12" t="n"/>
      <c r="BE671" s="12" t="n"/>
      <c r="BF671" s="12" t="n"/>
    </row>
    <row r="672">
      <c r="A672" s="7">
        <f>IF(B672="","","INS-"&amp;TEXT(ROW()-3,"000"))</f>
        <v/>
      </c>
      <c r="B672" s="11" t="n"/>
      <c r="C672" s="7">
        <f>IF(B672="","",ISOWEEKNUM(B672))</f>
        <v/>
      </c>
      <c r="D672" s="7">
        <f>IF(B672="","",TEXT(B672,"yyyy-mm"))</f>
        <v/>
      </c>
      <c r="E672" s="12" t="n"/>
      <c r="F672" s="12" t="n"/>
      <c r="G672" s="7">
        <f>IF(OR(E672="",F672=""),"",IF(COUNTIF(Cluster_Master!$I$3:$I$17,E672&amp;"|"&amp;F672)=1,"Valid","Review"))</f>
        <v/>
      </c>
      <c r="H672" s="7">
        <f>IF($G672&lt;&gt;"Valid","",VLOOKUP($E672&amp;"|"&amp;$F672,Cluster_Master!$I$3:$H$17,3,FALSE))</f>
        <v/>
      </c>
      <c r="I672" s="7">
        <f>IF($G672&lt;&gt;"Valid","",VLOOKUP($E672&amp;"|"&amp;$F672,Cluster_Master!$I$3:$H$17,4,FALSE))</f>
        <v/>
      </c>
      <c r="J672" s="7">
        <f>IF($G672&lt;&gt;"Valid","",VLOOKUP($E672&amp;"|"&amp;$F672,Cluster_Master!$I$3:$H$17,5,FALSE))</f>
        <v/>
      </c>
      <c r="K672" s="7">
        <f>IF($G672&lt;&gt;"Valid","",VLOOKUP($E672&amp;"|"&amp;$F672,Cluster_Master!$I$3:$H$17,6,FALSE))</f>
        <v/>
      </c>
      <c r="L672" s="7">
        <f>IF($G672&lt;&gt;"Valid","",VLOOKUP($E672&amp;"|"&amp;$F672,Cluster_Master!$I$3:$H$17,7,FALSE))</f>
        <v/>
      </c>
      <c r="M672" s="7">
        <f>IF($G672&lt;&gt;"Valid","",VLOOKUP($E672&amp;"|"&amp;$F672,Cluster_Master!$I$3:$H$17,8,FALSE))</f>
        <v/>
      </c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7">
        <f>IF(COUNT(T672:AH672)=0,"",SUM(T672:AH672))</f>
        <v/>
      </c>
      <c r="AJ672" s="10">
        <f>IF(AI672="","",AI672/75)</f>
        <v/>
      </c>
      <c r="AK672" s="10">
        <f>IF(AI672="","",SUMPRODUCT(T672:AH672,KPI_Weights!$B$3:$B$17)/5)</f>
        <v/>
      </c>
      <c r="AL672" s="7">
        <f>IF(COUNT(T672:AH672)=0,"",IF(OR(T672&lt;=1,W672&lt;=1,X672&lt;=1,Y672&lt;=1,AB672&lt;=1),"YES","NO"))</f>
        <v/>
      </c>
      <c r="AM672" s="7">
        <f>IF(AK672="","",IF(AND(AK672="NO",AJ672&gt;=0.85),"YES","NO"))</f>
        <v/>
      </c>
      <c r="AN672" s="7">
        <f>IF(AJ672="","",IF(AJ672&gt;=0.90,"Excellent",IF(AJ672&gt;=0.80,"Good",IF(AJ672&gt;=0.70,"Fair","Poor"))))</f>
        <v/>
      </c>
      <c r="AO672" s="12" t="n"/>
      <c r="AP672" s="12" t="n"/>
      <c r="AQ672" s="12" t="n"/>
      <c r="AR672" s="12" t="n"/>
      <c r="AS672" s="12" t="n"/>
      <c r="AT672" s="12" t="n"/>
      <c r="AU672" s="12" t="n"/>
      <c r="AV672" s="11" t="n"/>
      <c r="AW672" s="12" t="n"/>
      <c r="AX672" s="12" t="n"/>
      <c r="AY672" s="12" t="n"/>
      <c r="AZ672" s="12" t="n"/>
      <c r="BA672" s="12" t="n"/>
      <c r="BB672" s="12" t="n"/>
      <c r="BC672" s="12" t="n"/>
      <c r="BD672" s="12" t="n"/>
      <c r="BE672" s="12" t="n"/>
      <c r="BF672" s="12" t="n"/>
    </row>
    <row r="673">
      <c r="A673" s="7">
        <f>IF(B673="","","INS-"&amp;TEXT(ROW()-3,"000"))</f>
        <v/>
      </c>
      <c r="B673" s="11" t="n"/>
      <c r="C673" s="7">
        <f>IF(B673="","",ISOWEEKNUM(B673))</f>
        <v/>
      </c>
      <c r="D673" s="7">
        <f>IF(B673="","",TEXT(B673,"yyyy-mm"))</f>
        <v/>
      </c>
      <c r="E673" s="12" t="n"/>
      <c r="F673" s="12" t="n"/>
      <c r="G673" s="7">
        <f>IF(OR(E673="",F673=""),"",IF(COUNTIF(Cluster_Master!$I$3:$I$17,E673&amp;"|"&amp;F673)=1,"Valid","Review"))</f>
        <v/>
      </c>
      <c r="H673" s="7">
        <f>IF($G673&lt;&gt;"Valid","",VLOOKUP($E673&amp;"|"&amp;$F673,Cluster_Master!$I$3:$H$17,3,FALSE))</f>
        <v/>
      </c>
      <c r="I673" s="7">
        <f>IF($G673&lt;&gt;"Valid","",VLOOKUP($E673&amp;"|"&amp;$F673,Cluster_Master!$I$3:$H$17,4,FALSE))</f>
        <v/>
      </c>
      <c r="J673" s="7">
        <f>IF($G673&lt;&gt;"Valid","",VLOOKUP($E673&amp;"|"&amp;$F673,Cluster_Master!$I$3:$H$17,5,FALSE))</f>
        <v/>
      </c>
      <c r="K673" s="7">
        <f>IF($G673&lt;&gt;"Valid","",VLOOKUP($E673&amp;"|"&amp;$F673,Cluster_Master!$I$3:$H$17,6,FALSE))</f>
        <v/>
      </c>
      <c r="L673" s="7">
        <f>IF($G673&lt;&gt;"Valid","",VLOOKUP($E673&amp;"|"&amp;$F673,Cluster_Master!$I$3:$H$17,7,FALSE))</f>
        <v/>
      </c>
      <c r="M673" s="7">
        <f>IF($G673&lt;&gt;"Valid","",VLOOKUP($E673&amp;"|"&amp;$F673,Cluster_Master!$I$3:$H$17,8,FALSE))</f>
        <v/>
      </c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7">
        <f>IF(COUNT(T673:AH673)=0,"",SUM(T673:AH673))</f>
        <v/>
      </c>
      <c r="AJ673" s="10">
        <f>IF(AI673="","",AI673/75)</f>
        <v/>
      </c>
      <c r="AK673" s="10">
        <f>IF(AI673="","",SUMPRODUCT(T673:AH673,KPI_Weights!$B$3:$B$17)/5)</f>
        <v/>
      </c>
      <c r="AL673" s="7">
        <f>IF(COUNT(T673:AH673)=0,"",IF(OR(T673&lt;=1,W673&lt;=1,X673&lt;=1,Y673&lt;=1,AB673&lt;=1),"YES","NO"))</f>
        <v/>
      </c>
      <c r="AM673" s="7">
        <f>IF(AK673="","",IF(AND(AK673="NO",AJ673&gt;=0.85),"YES","NO"))</f>
        <v/>
      </c>
      <c r="AN673" s="7">
        <f>IF(AJ673="","",IF(AJ673&gt;=0.90,"Excellent",IF(AJ673&gt;=0.80,"Good",IF(AJ673&gt;=0.70,"Fair","Poor"))))</f>
        <v/>
      </c>
      <c r="AO673" s="12" t="n"/>
      <c r="AP673" s="12" t="n"/>
      <c r="AQ673" s="12" t="n"/>
      <c r="AR673" s="12" t="n"/>
      <c r="AS673" s="12" t="n"/>
      <c r="AT673" s="12" t="n"/>
      <c r="AU673" s="12" t="n"/>
      <c r="AV673" s="11" t="n"/>
      <c r="AW673" s="12" t="n"/>
      <c r="AX673" s="12" t="n"/>
      <c r="AY673" s="12" t="n"/>
      <c r="AZ673" s="12" t="n"/>
      <c r="BA673" s="12" t="n"/>
      <c r="BB673" s="12" t="n"/>
      <c r="BC673" s="12" t="n"/>
      <c r="BD673" s="12" t="n"/>
      <c r="BE673" s="12" t="n"/>
      <c r="BF673" s="12" t="n"/>
    </row>
    <row r="674">
      <c r="A674" s="7">
        <f>IF(B674="","","INS-"&amp;TEXT(ROW()-3,"000"))</f>
        <v/>
      </c>
      <c r="B674" s="11" t="n"/>
      <c r="C674" s="7">
        <f>IF(B674="","",ISOWEEKNUM(B674))</f>
        <v/>
      </c>
      <c r="D674" s="7">
        <f>IF(B674="","",TEXT(B674,"yyyy-mm"))</f>
        <v/>
      </c>
      <c r="E674" s="12" t="n"/>
      <c r="F674" s="12" t="n"/>
      <c r="G674" s="7">
        <f>IF(OR(E674="",F674=""),"",IF(COUNTIF(Cluster_Master!$I$3:$I$17,E674&amp;"|"&amp;F674)=1,"Valid","Review"))</f>
        <v/>
      </c>
      <c r="H674" s="7">
        <f>IF($G674&lt;&gt;"Valid","",VLOOKUP($E674&amp;"|"&amp;$F674,Cluster_Master!$I$3:$H$17,3,FALSE))</f>
        <v/>
      </c>
      <c r="I674" s="7">
        <f>IF($G674&lt;&gt;"Valid","",VLOOKUP($E674&amp;"|"&amp;$F674,Cluster_Master!$I$3:$H$17,4,FALSE))</f>
        <v/>
      </c>
      <c r="J674" s="7">
        <f>IF($G674&lt;&gt;"Valid","",VLOOKUP($E674&amp;"|"&amp;$F674,Cluster_Master!$I$3:$H$17,5,FALSE))</f>
        <v/>
      </c>
      <c r="K674" s="7">
        <f>IF($G674&lt;&gt;"Valid","",VLOOKUP($E674&amp;"|"&amp;$F674,Cluster_Master!$I$3:$H$17,6,FALSE))</f>
        <v/>
      </c>
      <c r="L674" s="7">
        <f>IF($G674&lt;&gt;"Valid","",VLOOKUP($E674&amp;"|"&amp;$F674,Cluster_Master!$I$3:$H$17,7,FALSE))</f>
        <v/>
      </c>
      <c r="M674" s="7">
        <f>IF($G674&lt;&gt;"Valid","",VLOOKUP($E674&amp;"|"&amp;$F674,Cluster_Master!$I$3:$H$17,8,FALSE))</f>
        <v/>
      </c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7">
        <f>IF(COUNT(T674:AH674)=0,"",SUM(T674:AH674))</f>
        <v/>
      </c>
      <c r="AJ674" s="10">
        <f>IF(AI674="","",AI674/75)</f>
        <v/>
      </c>
      <c r="AK674" s="10">
        <f>IF(AI674="","",SUMPRODUCT(T674:AH674,KPI_Weights!$B$3:$B$17)/5)</f>
        <v/>
      </c>
      <c r="AL674" s="7">
        <f>IF(COUNT(T674:AH674)=0,"",IF(OR(T674&lt;=1,W674&lt;=1,X674&lt;=1,Y674&lt;=1,AB674&lt;=1),"YES","NO"))</f>
        <v/>
      </c>
      <c r="AM674" s="7">
        <f>IF(AK674="","",IF(AND(AK674="NO",AJ674&gt;=0.85),"YES","NO"))</f>
        <v/>
      </c>
      <c r="AN674" s="7">
        <f>IF(AJ674="","",IF(AJ674&gt;=0.90,"Excellent",IF(AJ674&gt;=0.80,"Good",IF(AJ674&gt;=0.70,"Fair","Poor"))))</f>
        <v/>
      </c>
      <c r="AO674" s="12" t="n"/>
      <c r="AP674" s="12" t="n"/>
      <c r="AQ674" s="12" t="n"/>
      <c r="AR674" s="12" t="n"/>
      <c r="AS674" s="12" t="n"/>
      <c r="AT674" s="12" t="n"/>
      <c r="AU674" s="12" t="n"/>
      <c r="AV674" s="11" t="n"/>
      <c r="AW674" s="12" t="n"/>
      <c r="AX674" s="12" t="n"/>
      <c r="AY674" s="12" t="n"/>
      <c r="AZ674" s="12" t="n"/>
      <c r="BA674" s="12" t="n"/>
      <c r="BB674" s="12" t="n"/>
      <c r="BC674" s="12" t="n"/>
      <c r="BD674" s="12" t="n"/>
      <c r="BE674" s="12" t="n"/>
      <c r="BF674" s="12" t="n"/>
    </row>
    <row r="675">
      <c r="A675" s="7">
        <f>IF(B675="","","INS-"&amp;TEXT(ROW()-3,"000"))</f>
        <v/>
      </c>
      <c r="B675" s="11" t="n"/>
      <c r="C675" s="7">
        <f>IF(B675="","",ISOWEEKNUM(B675))</f>
        <v/>
      </c>
      <c r="D675" s="7">
        <f>IF(B675="","",TEXT(B675,"yyyy-mm"))</f>
        <v/>
      </c>
      <c r="E675" s="12" t="n"/>
      <c r="F675" s="12" t="n"/>
      <c r="G675" s="7">
        <f>IF(OR(E675="",F675=""),"",IF(COUNTIF(Cluster_Master!$I$3:$I$17,E675&amp;"|"&amp;F675)=1,"Valid","Review"))</f>
        <v/>
      </c>
      <c r="H675" s="7">
        <f>IF($G675&lt;&gt;"Valid","",VLOOKUP($E675&amp;"|"&amp;$F675,Cluster_Master!$I$3:$H$17,3,FALSE))</f>
        <v/>
      </c>
      <c r="I675" s="7">
        <f>IF($G675&lt;&gt;"Valid","",VLOOKUP($E675&amp;"|"&amp;$F675,Cluster_Master!$I$3:$H$17,4,FALSE))</f>
        <v/>
      </c>
      <c r="J675" s="7">
        <f>IF($G675&lt;&gt;"Valid","",VLOOKUP($E675&amp;"|"&amp;$F675,Cluster_Master!$I$3:$H$17,5,FALSE))</f>
        <v/>
      </c>
      <c r="K675" s="7">
        <f>IF($G675&lt;&gt;"Valid","",VLOOKUP($E675&amp;"|"&amp;$F675,Cluster_Master!$I$3:$H$17,6,FALSE))</f>
        <v/>
      </c>
      <c r="L675" s="7">
        <f>IF($G675&lt;&gt;"Valid","",VLOOKUP($E675&amp;"|"&amp;$F675,Cluster_Master!$I$3:$H$17,7,FALSE))</f>
        <v/>
      </c>
      <c r="M675" s="7">
        <f>IF($G675&lt;&gt;"Valid","",VLOOKUP($E675&amp;"|"&amp;$F675,Cluster_Master!$I$3:$H$17,8,FALSE))</f>
        <v/>
      </c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7">
        <f>IF(COUNT(T675:AH675)=0,"",SUM(T675:AH675))</f>
        <v/>
      </c>
      <c r="AJ675" s="10">
        <f>IF(AI675="","",AI675/75)</f>
        <v/>
      </c>
      <c r="AK675" s="10">
        <f>IF(AI675="","",SUMPRODUCT(T675:AH675,KPI_Weights!$B$3:$B$17)/5)</f>
        <v/>
      </c>
      <c r="AL675" s="7">
        <f>IF(COUNT(T675:AH675)=0,"",IF(OR(T675&lt;=1,W675&lt;=1,X675&lt;=1,Y675&lt;=1,AB675&lt;=1),"YES","NO"))</f>
        <v/>
      </c>
      <c r="AM675" s="7">
        <f>IF(AK675="","",IF(AND(AK675="NO",AJ675&gt;=0.85),"YES","NO"))</f>
        <v/>
      </c>
      <c r="AN675" s="7">
        <f>IF(AJ675="","",IF(AJ675&gt;=0.90,"Excellent",IF(AJ675&gt;=0.80,"Good",IF(AJ675&gt;=0.70,"Fair","Poor"))))</f>
        <v/>
      </c>
      <c r="AO675" s="12" t="n"/>
      <c r="AP675" s="12" t="n"/>
      <c r="AQ675" s="12" t="n"/>
      <c r="AR675" s="12" t="n"/>
      <c r="AS675" s="12" t="n"/>
      <c r="AT675" s="12" t="n"/>
      <c r="AU675" s="12" t="n"/>
      <c r="AV675" s="11" t="n"/>
      <c r="AW675" s="12" t="n"/>
      <c r="AX675" s="12" t="n"/>
      <c r="AY675" s="12" t="n"/>
      <c r="AZ675" s="12" t="n"/>
      <c r="BA675" s="12" t="n"/>
      <c r="BB675" s="12" t="n"/>
      <c r="BC675" s="12" t="n"/>
      <c r="BD675" s="12" t="n"/>
      <c r="BE675" s="12" t="n"/>
      <c r="BF675" s="12" t="n"/>
    </row>
    <row r="676">
      <c r="A676" s="7">
        <f>IF(B676="","","INS-"&amp;TEXT(ROW()-3,"000"))</f>
        <v/>
      </c>
      <c r="B676" s="11" t="n"/>
      <c r="C676" s="7">
        <f>IF(B676="","",ISOWEEKNUM(B676))</f>
        <v/>
      </c>
      <c r="D676" s="7">
        <f>IF(B676="","",TEXT(B676,"yyyy-mm"))</f>
        <v/>
      </c>
      <c r="E676" s="12" t="n"/>
      <c r="F676" s="12" t="n"/>
      <c r="G676" s="7">
        <f>IF(OR(E676="",F676=""),"",IF(COUNTIF(Cluster_Master!$I$3:$I$17,E676&amp;"|"&amp;F676)=1,"Valid","Review"))</f>
        <v/>
      </c>
      <c r="H676" s="7">
        <f>IF($G676&lt;&gt;"Valid","",VLOOKUP($E676&amp;"|"&amp;$F676,Cluster_Master!$I$3:$H$17,3,FALSE))</f>
        <v/>
      </c>
      <c r="I676" s="7">
        <f>IF($G676&lt;&gt;"Valid","",VLOOKUP($E676&amp;"|"&amp;$F676,Cluster_Master!$I$3:$H$17,4,FALSE))</f>
        <v/>
      </c>
      <c r="J676" s="7">
        <f>IF($G676&lt;&gt;"Valid","",VLOOKUP($E676&amp;"|"&amp;$F676,Cluster_Master!$I$3:$H$17,5,FALSE))</f>
        <v/>
      </c>
      <c r="K676" s="7">
        <f>IF($G676&lt;&gt;"Valid","",VLOOKUP($E676&amp;"|"&amp;$F676,Cluster_Master!$I$3:$H$17,6,FALSE))</f>
        <v/>
      </c>
      <c r="L676" s="7">
        <f>IF($G676&lt;&gt;"Valid","",VLOOKUP($E676&amp;"|"&amp;$F676,Cluster_Master!$I$3:$H$17,7,FALSE))</f>
        <v/>
      </c>
      <c r="M676" s="7">
        <f>IF($G676&lt;&gt;"Valid","",VLOOKUP($E676&amp;"|"&amp;$F676,Cluster_Master!$I$3:$H$17,8,FALSE))</f>
        <v/>
      </c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7">
        <f>IF(COUNT(T676:AH676)=0,"",SUM(T676:AH676))</f>
        <v/>
      </c>
      <c r="AJ676" s="10">
        <f>IF(AI676="","",AI676/75)</f>
        <v/>
      </c>
      <c r="AK676" s="10">
        <f>IF(AI676="","",SUMPRODUCT(T676:AH676,KPI_Weights!$B$3:$B$17)/5)</f>
        <v/>
      </c>
      <c r="AL676" s="7">
        <f>IF(COUNT(T676:AH676)=0,"",IF(OR(T676&lt;=1,W676&lt;=1,X676&lt;=1,Y676&lt;=1,AB676&lt;=1),"YES","NO"))</f>
        <v/>
      </c>
      <c r="AM676" s="7">
        <f>IF(AK676="","",IF(AND(AK676="NO",AJ676&gt;=0.85),"YES","NO"))</f>
        <v/>
      </c>
      <c r="AN676" s="7">
        <f>IF(AJ676="","",IF(AJ676&gt;=0.90,"Excellent",IF(AJ676&gt;=0.80,"Good",IF(AJ676&gt;=0.70,"Fair","Poor"))))</f>
        <v/>
      </c>
      <c r="AO676" s="12" t="n"/>
      <c r="AP676" s="12" t="n"/>
      <c r="AQ676" s="12" t="n"/>
      <c r="AR676" s="12" t="n"/>
      <c r="AS676" s="12" t="n"/>
      <c r="AT676" s="12" t="n"/>
      <c r="AU676" s="12" t="n"/>
      <c r="AV676" s="11" t="n"/>
      <c r="AW676" s="12" t="n"/>
      <c r="AX676" s="12" t="n"/>
      <c r="AY676" s="12" t="n"/>
      <c r="AZ676" s="12" t="n"/>
      <c r="BA676" s="12" t="n"/>
      <c r="BB676" s="12" t="n"/>
      <c r="BC676" s="12" t="n"/>
      <c r="BD676" s="12" t="n"/>
      <c r="BE676" s="12" t="n"/>
      <c r="BF676" s="12" t="n"/>
    </row>
    <row r="677">
      <c r="A677" s="7">
        <f>IF(B677="","","INS-"&amp;TEXT(ROW()-3,"000"))</f>
        <v/>
      </c>
      <c r="B677" s="11" t="n"/>
      <c r="C677" s="7">
        <f>IF(B677="","",ISOWEEKNUM(B677))</f>
        <v/>
      </c>
      <c r="D677" s="7">
        <f>IF(B677="","",TEXT(B677,"yyyy-mm"))</f>
        <v/>
      </c>
      <c r="E677" s="12" t="n"/>
      <c r="F677" s="12" t="n"/>
      <c r="G677" s="7">
        <f>IF(OR(E677="",F677=""),"",IF(COUNTIF(Cluster_Master!$I$3:$I$17,E677&amp;"|"&amp;F677)=1,"Valid","Review"))</f>
        <v/>
      </c>
      <c r="H677" s="7">
        <f>IF($G677&lt;&gt;"Valid","",VLOOKUP($E677&amp;"|"&amp;$F677,Cluster_Master!$I$3:$H$17,3,FALSE))</f>
        <v/>
      </c>
      <c r="I677" s="7">
        <f>IF($G677&lt;&gt;"Valid","",VLOOKUP($E677&amp;"|"&amp;$F677,Cluster_Master!$I$3:$H$17,4,FALSE))</f>
        <v/>
      </c>
      <c r="J677" s="7">
        <f>IF($G677&lt;&gt;"Valid","",VLOOKUP($E677&amp;"|"&amp;$F677,Cluster_Master!$I$3:$H$17,5,FALSE))</f>
        <v/>
      </c>
      <c r="K677" s="7">
        <f>IF($G677&lt;&gt;"Valid","",VLOOKUP($E677&amp;"|"&amp;$F677,Cluster_Master!$I$3:$H$17,6,FALSE))</f>
        <v/>
      </c>
      <c r="L677" s="7">
        <f>IF($G677&lt;&gt;"Valid","",VLOOKUP($E677&amp;"|"&amp;$F677,Cluster_Master!$I$3:$H$17,7,FALSE))</f>
        <v/>
      </c>
      <c r="M677" s="7">
        <f>IF($G677&lt;&gt;"Valid","",VLOOKUP($E677&amp;"|"&amp;$F677,Cluster_Master!$I$3:$H$17,8,FALSE))</f>
        <v/>
      </c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7">
        <f>IF(COUNT(T677:AH677)=0,"",SUM(T677:AH677))</f>
        <v/>
      </c>
      <c r="AJ677" s="10">
        <f>IF(AI677="","",AI677/75)</f>
        <v/>
      </c>
      <c r="AK677" s="10">
        <f>IF(AI677="","",SUMPRODUCT(T677:AH677,KPI_Weights!$B$3:$B$17)/5)</f>
        <v/>
      </c>
      <c r="AL677" s="7">
        <f>IF(COUNT(T677:AH677)=0,"",IF(OR(T677&lt;=1,W677&lt;=1,X677&lt;=1,Y677&lt;=1,AB677&lt;=1),"YES","NO"))</f>
        <v/>
      </c>
      <c r="AM677" s="7">
        <f>IF(AK677="","",IF(AND(AK677="NO",AJ677&gt;=0.85),"YES","NO"))</f>
        <v/>
      </c>
      <c r="AN677" s="7">
        <f>IF(AJ677="","",IF(AJ677&gt;=0.90,"Excellent",IF(AJ677&gt;=0.80,"Good",IF(AJ677&gt;=0.70,"Fair","Poor"))))</f>
        <v/>
      </c>
      <c r="AO677" s="12" t="n"/>
      <c r="AP677" s="12" t="n"/>
      <c r="AQ677" s="12" t="n"/>
      <c r="AR677" s="12" t="n"/>
      <c r="AS677" s="12" t="n"/>
      <c r="AT677" s="12" t="n"/>
      <c r="AU677" s="12" t="n"/>
      <c r="AV677" s="11" t="n"/>
      <c r="AW677" s="12" t="n"/>
      <c r="AX677" s="12" t="n"/>
      <c r="AY677" s="12" t="n"/>
      <c r="AZ677" s="12" t="n"/>
      <c r="BA677" s="12" t="n"/>
      <c r="BB677" s="12" t="n"/>
      <c r="BC677" s="12" t="n"/>
      <c r="BD677" s="12" t="n"/>
      <c r="BE677" s="12" t="n"/>
      <c r="BF677" s="12" t="n"/>
    </row>
    <row r="678">
      <c r="A678" s="7">
        <f>IF(B678="","","INS-"&amp;TEXT(ROW()-3,"000"))</f>
        <v/>
      </c>
      <c r="B678" s="11" t="n"/>
      <c r="C678" s="7">
        <f>IF(B678="","",ISOWEEKNUM(B678))</f>
        <v/>
      </c>
      <c r="D678" s="7">
        <f>IF(B678="","",TEXT(B678,"yyyy-mm"))</f>
        <v/>
      </c>
      <c r="E678" s="12" t="n"/>
      <c r="F678" s="12" t="n"/>
      <c r="G678" s="7">
        <f>IF(OR(E678="",F678=""),"",IF(COUNTIF(Cluster_Master!$I$3:$I$17,E678&amp;"|"&amp;F678)=1,"Valid","Review"))</f>
        <v/>
      </c>
      <c r="H678" s="7">
        <f>IF($G678&lt;&gt;"Valid","",VLOOKUP($E678&amp;"|"&amp;$F678,Cluster_Master!$I$3:$H$17,3,FALSE))</f>
        <v/>
      </c>
      <c r="I678" s="7">
        <f>IF($G678&lt;&gt;"Valid","",VLOOKUP($E678&amp;"|"&amp;$F678,Cluster_Master!$I$3:$H$17,4,FALSE))</f>
        <v/>
      </c>
      <c r="J678" s="7">
        <f>IF($G678&lt;&gt;"Valid","",VLOOKUP($E678&amp;"|"&amp;$F678,Cluster_Master!$I$3:$H$17,5,FALSE))</f>
        <v/>
      </c>
      <c r="K678" s="7">
        <f>IF($G678&lt;&gt;"Valid","",VLOOKUP($E678&amp;"|"&amp;$F678,Cluster_Master!$I$3:$H$17,6,FALSE))</f>
        <v/>
      </c>
      <c r="L678" s="7">
        <f>IF($G678&lt;&gt;"Valid","",VLOOKUP($E678&amp;"|"&amp;$F678,Cluster_Master!$I$3:$H$17,7,FALSE))</f>
        <v/>
      </c>
      <c r="M678" s="7">
        <f>IF($G678&lt;&gt;"Valid","",VLOOKUP($E678&amp;"|"&amp;$F678,Cluster_Master!$I$3:$H$17,8,FALSE))</f>
        <v/>
      </c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7">
        <f>IF(COUNT(T678:AH678)=0,"",SUM(T678:AH678))</f>
        <v/>
      </c>
      <c r="AJ678" s="10">
        <f>IF(AI678="","",AI678/75)</f>
        <v/>
      </c>
      <c r="AK678" s="10">
        <f>IF(AI678="","",SUMPRODUCT(T678:AH678,KPI_Weights!$B$3:$B$17)/5)</f>
        <v/>
      </c>
      <c r="AL678" s="7">
        <f>IF(COUNT(T678:AH678)=0,"",IF(OR(T678&lt;=1,W678&lt;=1,X678&lt;=1,Y678&lt;=1,AB678&lt;=1),"YES","NO"))</f>
        <v/>
      </c>
      <c r="AM678" s="7">
        <f>IF(AK678="","",IF(AND(AK678="NO",AJ678&gt;=0.85),"YES","NO"))</f>
        <v/>
      </c>
      <c r="AN678" s="7">
        <f>IF(AJ678="","",IF(AJ678&gt;=0.90,"Excellent",IF(AJ678&gt;=0.80,"Good",IF(AJ678&gt;=0.70,"Fair","Poor"))))</f>
        <v/>
      </c>
      <c r="AO678" s="12" t="n"/>
      <c r="AP678" s="12" t="n"/>
      <c r="AQ678" s="12" t="n"/>
      <c r="AR678" s="12" t="n"/>
      <c r="AS678" s="12" t="n"/>
      <c r="AT678" s="12" t="n"/>
      <c r="AU678" s="12" t="n"/>
      <c r="AV678" s="11" t="n"/>
      <c r="AW678" s="12" t="n"/>
      <c r="AX678" s="12" t="n"/>
      <c r="AY678" s="12" t="n"/>
      <c r="AZ678" s="12" t="n"/>
      <c r="BA678" s="12" t="n"/>
      <c r="BB678" s="12" t="n"/>
      <c r="BC678" s="12" t="n"/>
      <c r="BD678" s="12" t="n"/>
      <c r="BE678" s="12" t="n"/>
      <c r="BF678" s="12" t="n"/>
    </row>
    <row r="679">
      <c r="A679" s="7">
        <f>IF(B679="","","INS-"&amp;TEXT(ROW()-3,"000"))</f>
        <v/>
      </c>
      <c r="B679" s="11" t="n"/>
      <c r="C679" s="7">
        <f>IF(B679="","",ISOWEEKNUM(B679))</f>
        <v/>
      </c>
      <c r="D679" s="7">
        <f>IF(B679="","",TEXT(B679,"yyyy-mm"))</f>
        <v/>
      </c>
      <c r="E679" s="12" t="n"/>
      <c r="F679" s="12" t="n"/>
      <c r="G679" s="7">
        <f>IF(OR(E679="",F679=""),"",IF(COUNTIF(Cluster_Master!$I$3:$I$17,E679&amp;"|"&amp;F679)=1,"Valid","Review"))</f>
        <v/>
      </c>
      <c r="H679" s="7">
        <f>IF($G679&lt;&gt;"Valid","",VLOOKUP($E679&amp;"|"&amp;$F679,Cluster_Master!$I$3:$H$17,3,FALSE))</f>
        <v/>
      </c>
      <c r="I679" s="7">
        <f>IF($G679&lt;&gt;"Valid","",VLOOKUP($E679&amp;"|"&amp;$F679,Cluster_Master!$I$3:$H$17,4,FALSE))</f>
        <v/>
      </c>
      <c r="J679" s="7">
        <f>IF($G679&lt;&gt;"Valid","",VLOOKUP($E679&amp;"|"&amp;$F679,Cluster_Master!$I$3:$H$17,5,FALSE))</f>
        <v/>
      </c>
      <c r="K679" s="7">
        <f>IF($G679&lt;&gt;"Valid","",VLOOKUP($E679&amp;"|"&amp;$F679,Cluster_Master!$I$3:$H$17,6,FALSE))</f>
        <v/>
      </c>
      <c r="L679" s="7">
        <f>IF($G679&lt;&gt;"Valid","",VLOOKUP($E679&amp;"|"&amp;$F679,Cluster_Master!$I$3:$H$17,7,FALSE))</f>
        <v/>
      </c>
      <c r="M679" s="7">
        <f>IF($G679&lt;&gt;"Valid","",VLOOKUP($E679&amp;"|"&amp;$F679,Cluster_Master!$I$3:$H$17,8,FALSE))</f>
        <v/>
      </c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7">
        <f>IF(COUNT(T679:AH679)=0,"",SUM(T679:AH679))</f>
        <v/>
      </c>
      <c r="AJ679" s="10">
        <f>IF(AI679="","",AI679/75)</f>
        <v/>
      </c>
      <c r="AK679" s="10">
        <f>IF(AI679="","",SUMPRODUCT(T679:AH679,KPI_Weights!$B$3:$B$17)/5)</f>
        <v/>
      </c>
      <c r="AL679" s="7">
        <f>IF(COUNT(T679:AH679)=0,"",IF(OR(T679&lt;=1,W679&lt;=1,X679&lt;=1,Y679&lt;=1,AB679&lt;=1),"YES","NO"))</f>
        <v/>
      </c>
      <c r="AM679" s="7">
        <f>IF(AK679="","",IF(AND(AK679="NO",AJ679&gt;=0.85),"YES","NO"))</f>
        <v/>
      </c>
      <c r="AN679" s="7">
        <f>IF(AJ679="","",IF(AJ679&gt;=0.90,"Excellent",IF(AJ679&gt;=0.80,"Good",IF(AJ679&gt;=0.70,"Fair","Poor"))))</f>
        <v/>
      </c>
      <c r="AO679" s="12" t="n"/>
      <c r="AP679" s="12" t="n"/>
      <c r="AQ679" s="12" t="n"/>
      <c r="AR679" s="12" t="n"/>
      <c r="AS679" s="12" t="n"/>
      <c r="AT679" s="12" t="n"/>
      <c r="AU679" s="12" t="n"/>
      <c r="AV679" s="11" t="n"/>
      <c r="AW679" s="12" t="n"/>
      <c r="AX679" s="12" t="n"/>
      <c r="AY679" s="12" t="n"/>
      <c r="AZ679" s="12" t="n"/>
      <c r="BA679" s="12" t="n"/>
      <c r="BB679" s="12" t="n"/>
      <c r="BC679" s="12" t="n"/>
      <c r="BD679" s="12" t="n"/>
      <c r="BE679" s="12" t="n"/>
      <c r="BF679" s="12" t="n"/>
    </row>
    <row r="680">
      <c r="A680" s="7">
        <f>IF(B680="","","INS-"&amp;TEXT(ROW()-3,"000"))</f>
        <v/>
      </c>
      <c r="B680" s="11" t="n"/>
      <c r="C680" s="7">
        <f>IF(B680="","",ISOWEEKNUM(B680))</f>
        <v/>
      </c>
      <c r="D680" s="7">
        <f>IF(B680="","",TEXT(B680,"yyyy-mm"))</f>
        <v/>
      </c>
      <c r="E680" s="12" t="n"/>
      <c r="F680" s="12" t="n"/>
      <c r="G680" s="7">
        <f>IF(OR(E680="",F680=""),"",IF(COUNTIF(Cluster_Master!$I$3:$I$17,E680&amp;"|"&amp;F680)=1,"Valid","Review"))</f>
        <v/>
      </c>
      <c r="H680" s="7">
        <f>IF($G680&lt;&gt;"Valid","",VLOOKUP($E680&amp;"|"&amp;$F680,Cluster_Master!$I$3:$H$17,3,FALSE))</f>
        <v/>
      </c>
      <c r="I680" s="7">
        <f>IF($G680&lt;&gt;"Valid","",VLOOKUP($E680&amp;"|"&amp;$F680,Cluster_Master!$I$3:$H$17,4,FALSE))</f>
        <v/>
      </c>
      <c r="J680" s="7">
        <f>IF($G680&lt;&gt;"Valid","",VLOOKUP($E680&amp;"|"&amp;$F680,Cluster_Master!$I$3:$H$17,5,FALSE))</f>
        <v/>
      </c>
      <c r="K680" s="7">
        <f>IF($G680&lt;&gt;"Valid","",VLOOKUP($E680&amp;"|"&amp;$F680,Cluster_Master!$I$3:$H$17,6,FALSE))</f>
        <v/>
      </c>
      <c r="L680" s="7">
        <f>IF($G680&lt;&gt;"Valid","",VLOOKUP($E680&amp;"|"&amp;$F680,Cluster_Master!$I$3:$H$17,7,FALSE))</f>
        <v/>
      </c>
      <c r="M680" s="7">
        <f>IF($G680&lt;&gt;"Valid","",VLOOKUP($E680&amp;"|"&amp;$F680,Cluster_Master!$I$3:$H$17,8,FALSE))</f>
        <v/>
      </c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7">
        <f>IF(COUNT(T680:AH680)=0,"",SUM(T680:AH680))</f>
        <v/>
      </c>
      <c r="AJ680" s="10">
        <f>IF(AI680="","",AI680/75)</f>
        <v/>
      </c>
      <c r="AK680" s="10">
        <f>IF(AI680="","",SUMPRODUCT(T680:AH680,KPI_Weights!$B$3:$B$17)/5)</f>
        <v/>
      </c>
      <c r="AL680" s="7">
        <f>IF(COUNT(T680:AH680)=0,"",IF(OR(T680&lt;=1,W680&lt;=1,X680&lt;=1,Y680&lt;=1,AB680&lt;=1),"YES","NO"))</f>
        <v/>
      </c>
      <c r="AM680" s="7">
        <f>IF(AK680="","",IF(AND(AK680="NO",AJ680&gt;=0.85),"YES","NO"))</f>
        <v/>
      </c>
      <c r="AN680" s="7">
        <f>IF(AJ680="","",IF(AJ680&gt;=0.90,"Excellent",IF(AJ680&gt;=0.80,"Good",IF(AJ680&gt;=0.70,"Fair","Poor"))))</f>
        <v/>
      </c>
      <c r="AO680" s="12" t="n"/>
      <c r="AP680" s="12" t="n"/>
      <c r="AQ680" s="12" t="n"/>
      <c r="AR680" s="12" t="n"/>
      <c r="AS680" s="12" t="n"/>
      <c r="AT680" s="12" t="n"/>
      <c r="AU680" s="12" t="n"/>
      <c r="AV680" s="11" t="n"/>
      <c r="AW680" s="12" t="n"/>
      <c r="AX680" s="12" t="n"/>
      <c r="AY680" s="12" t="n"/>
      <c r="AZ680" s="12" t="n"/>
      <c r="BA680" s="12" t="n"/>
      <c r="BB680" s="12" t="n"/>
      <c r="BC680" s="12" t="n"/>
      <c r="BD680" s="12" t="n"/>
      <c r="BE680" s="12" t="n"/>
      <c r="BF680" s="12" t="n"/>
    </row>
    <row r="681">
      <c r="A681" s="7">
        <f>IF(B681="","","INS-"&amp;TEXT(ROW()-3,"000"))</f>
        <v/>
      </c>
      <c r="B681" s="11" t="n"/>
      <c r="C681" s="7">
        <f>IF(B681="","",ISOWEEKNUM(B681))</f>
        <v/>
      </c>
      <c r="D681" s="7">
        <f>IF(B681="","",TEXT(B681,"yyyy-mm"))</f>
        <v/>
      </c>
      <c r="E681" s="12" t="n"/>
      <c r="F681" s="12" t="n"/>
      <c r="G681" s="7">
        <f>IF(OR(E681="",F681=""),"",IF(COUNTIF(Cluster_Master!$I$3:$I$17,E681&amp;"|"&amp;F681)=1,"Valid","Review"))</f>
        <v/>
      </c>
      <c r="H681" s="7">
        <f>IF($G681&lt;&gt;"Valid","",VLOOKUP($E681&amp;"|"&amp;$F681,Cluster_Master!$I$3:$H$17,3,FALSE))</f>
        <v/>
      </c>
      <c r="I681" s="7">
        <f>IF($G681&lt;&gt;"Valid","",VLOOKUP($E681&amp;"|"&amp;$F681,Cluster_Master!$I$3:$H$17,4,FALSE))</f>
        <v/>
      </c>
      <c r="J681" s="7">
        <f>IF($G681&lt;&gt;"Valid","",VLOOKUP($E681&amp;"|"&amp;$F681,Cluster_Master!$I$3:$H$17,5,FALSE))</f>
        <v/>
      </c>
      <c r="K681" s="7">
        <f>IF($G681&lt;&gt;"Valid","",VLOOKUP($E681&amp;"|"&amp;$F681,Cluster_Master!$I$3:$H$17,6,FALSE))</f>
        <v/>
      </c>
      <c r="L681" s="7">
        <f>IF($G681&lt;&gt;"Valid","",VLOOKUP($E681&amp;"|"&amp;$F681,Cluster_Master!$I$3:$H$17,7,FALSE))</f>
        <v/>
      </c>
      <c r="M681" s="7">
        <f>IF($G681&lt;&gt;"Valid","",VLOOKUP($E681&amp;"|"&amp;$F681,Cluster_Master!$I$3:$H$17,8,FALSE))</f>
        <v/>
      </c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7">
        <f>IF(COUNT(T681:AH681)=0,"",SUM(T681:AH681))</f>
        <v/>
      </c>
      <c r="AJ681" s="10">
        <f>IF(AI681="","",AI681/75)</f>
        <v/>
      </c>
      <c r="AK681" s="10">
        <f>IF(AI681="","",SUMPRODUCT(T681:AH681,KPI_Weights!$B$3:$B$17)/5)</f>
        <v/>
      </c>
      <c r="AL681" s="7">
        <f>IF(COUNT(T681:AH681)=0,"",IF(OR(T681&lt;=1,W681&lt;=1,X681&lt;=1,Y681&lt;=1,AB681&lt;=1),"YES","NO"))</f>
        <v/>
      </c>
      <c r="AM681" s="7">
        <f>IF(AK681="","",IF(AND(AK681="NO",AJ681&gt;=0.85),"YES","NO"))</f>
        <v/>
      </c>
      <c r="AN681" s="7">
        <f>IF(AJ681="","",IF(AJ681&gt;=0.90,"Excellent",IF(AJ681&gt;=0.80,"Good",IF(AJ681&gt;=0.70,"Fair","Poor"))))</f>
        <v/>
      </c>
      <c r="AO681" s="12" t="n"/>
      <c r="AP681" s="12" t="n"/>
      <c r="AQ681" s="12" t="n"/>
      <c r="AR681" s="12" t="n"/>
      <c r="AS681" s="12" t="n"/>
      <c r="AT681" s="12" t="n"/>
      <c r="AU681" s="12" t="n"/>
      <c r="AV681" s="11" t="n"/>
      <c r="AW681" s="12" t="n"/>
      <c r="AX681" s="12" t="n"/>
      <c r="AY681" s="12" t="n"/>
      <c r="AZ681" s="12" t="n"/>
      <c r="BA681" s="12" t="n"/>
      <c r="BB681" s="12" t="n"/>
      <c r="BC681" s="12" t="n"/>
      <c r="BD681" s="12" t="n"/>
      <c r="BE681" s="12" t="n"/>
      <c r="BF681" s="12" t="n"/>
    </row>
    <row r="682">
      <c r="A682" s="7">
        <f>IF(B682="","","INS-"&amp;TEXT(ROW()-3,"000"))</f>
        <v/>
      </c>
      <c r="B682" s="11" t="n"/>
      <c r="C682" s="7">
        <f>IF(B682="","",ISOWEEKNUM(B682))</f>
        <v/>
      </c>
      <c r="D682" s="7">
        <f>IF(B682="","",TEXT(B682,"yyyy-mm"))</f>
        <v/>
      </c>
      <c r="E682" s="12" t="n"/>
      <c r="F682" s="12" t="n"/>
      <c r="G682" s="7">
        <f>IF(OR(E682="",F682=""),"",IF(COUNTIF(Cluster_Master!$I$3:$I$17,E682&amp;"|"&amp;F682)=1,"Valid","Review"))</f>
        <v/>
      </c>
      <c r="H682" s="7">
        <f>IF($G682&lt;&gt;"Valid","",VLOOKUP($E682&amp;"|"&amp;$F682,Cluster_Master!$I$3:$H$17,3,FALSE))</f>
        <v/>
      </c>
      <c r="I682" s="7">
        <f>IF($G682&lt;&gt;"Valid","",VLOOKUP($E682&amp;"|"&amp;$F682,Cluster_Master!$I$3:$H$17,4,FALSE))</f>
        <v/>
      </c>
      <c r="J682" s="7">
        <f>IF($G682&lt;&gt;"Valid","",VLOOKUP($E682&amp;"|"&amp;$F682,Cluster_Master!$I$3:$H$17,5,FALSE))</f>
        <v/>
      </c>
      <c r="K682" s="7">
        <f>IF($G682&lt;&gt;"Valid","",VLOOKUP($E682&amp;"|"&amp;$F682,Cluster_Master!$I$3:$H$17,6,FALSE))</f>
        <v/>
      </c>
      <c r="L682" s="7">
        <f>IF($G682&lt;&gt;"Valid","",VLOOKUP($E682&amp;"|"&amp;$F682,Cluster_Master!$I$3:$H$17,7,FALSE))</f>
        <v/>
      </c>
      <c r="M682" s="7">
        <f>IF($G682&lt;&gt;"Valid","",VLOOKUP($E682&amp;"|"&amp;$F682,Cluster_Master!$I$3:$H$17,8,FALSE))</f>
        <v/>
      </c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7">
        <f>IF(COUNT(T682:AH682)=0,"",SUM(T682:AH682))</f>
        <v/>
      </c>
      <c r="AJ682" s="10">
        <f>IF(AI682="","",AI682/75)</f>
        <v/>
      </c>
      <c r="AK682" s="10">
        <f>IF(AI682="","",SUMPRODUCT(T682:AH682,KPI_Weights!$B$3:$B$17)/5)</f>
        <v/>
      </c>
      <c r="AL682" s="7">
        <f>IF(COUNT(T682:AH682)=0,"",IF(OR(T682&lt;=1,W682&lt;=1,X682&lt;=1,Y682&lt;=1,AB682&lt;=1),"YES","NO"))</f>
        <v/>
      </c>
      <c r="AM682" s="7">
        <f>IF(AK682="","",IF(AND(AK682="NO",AJ682&gt;=0.85),"YES","NO"))</f>
        <v/>
      </c>
      <c r="AN682" s="7">
        <f>IF(AJ682="","",IF(AJ682&gt;=0.90,"Excellent",IF(AJ682&gt;=0.80,"Good",IF(AJ682&gt;=0.70,"Fair","Poor"))))</f>
        <v/>
      </c>
      <c r="AO682" s="12" t="n"/>
      <c r="AP682" s="12" t="n"/>
      <c r="AQ682" s="12" t="n"/>
      <c r="AR682" s="12" t="n"/>
      <c r="AS682" s="12" t="n"/>
      <c r="AT682" s="12" t="n"/>
      <c r="AU682" s="12" t="n"/>
      <c r="AV682" s="11" t="n"/>
      <c r="AW682" s="12" t="n"/>
      <c r="AX682" s="12" t="n"/>
      <c r="AY682" s="12" t="n"/>
      <c r="AZ682" s="12" t="n"/>
      <c r="BA682" s="12" t="n"/>
      <c r="BB682" s="12" t="n"/>
      <c r="BC682" s="12" t="n"/>
      <c r="BD682" s="12" t="n"/>
      <c r="BE682" s="12" t="n"/>
      <c r="BF682" s="12" t="n"/>
    </row>
    <row r="683">
      <c r="A683" s="7">
        <f>IF(B683="","","INS-"&amp;TEXT(ROW()-3,"000"))</f>
        <v/>
      </c>
      <c r="B683" s="11" t="n"/>
      <c r="C683" s="7">
        <f>IF(B683="","",ISOWEEKNUM(B683))</f>
        <v/>
      </c>
      <c r="D683" s="7">
        <f>IF(B683="","",TEXT(B683,"yyyy-mm"))</f>
        <v/>
      </c>
      <c r="E683" s="12" t="n"/>
      <c r="F683" s="12" t="n"/>
      <c r="G683" s="7">
        <f>IF(OR(E683="",F683=""),"",IF(COUNTIF(Cluster_Master!$I$3:$I$17,E683&amp;"|"&amp;F683)=1,"Valid","Review"))</f>
        <v/>
      </c>
      <c r="H683" s="7">
        <f>IF($G683&lt;&gt;"Valid","",VLOOKUP($E683&amp;"|"&amp;$F683,Cluster_Master!$I$3:$H$17,3,FALSE))</f>
        <v/>
      </c>
      <c r="I683" s="7">
        <f>IF($G683&lt;&gt;"Valid","",VLOOKUP($E683&amp;"|"&amp;$F683,Cluster_Master!$I$3:$H$17,4,FALSE))</f>
        <v/>
      </c>
      <c r="J683" s="7">
        <f>IF($G683&lt;&gt;"Valid","",VLOOKUP($E683&amp;"|"&amp;$F683,Cluster_Master!$I$3:$H$17,5,FALSE))</f>
        <v/>
      </c>
      <c r="K683" s="7">
        <f>IF($G683&lt;&gt;"Valid","",VLOOKUP($E683&amp;"|"&amp;$F683,Cluster_Master!$I$3:$H$17,6,FALSE))</f>
        <v/>
      </c>
      <c r="L683" s="7">
        <f>IF($G683&lt;&gt;"Valid","",VLOOKUP($E683&amp;"|"&amp;$F683,Cluster_Master!$I$3:$H$17,7,FALSE))</f>
        <v/>
      </c>
      <c r="M683" s="7">
        <f>IF($G683&lt;&gt;"Valid","",VLOOKUP($E683&amp;"|"&amp;$F683,Cluster_Master!$I$3:$H$17,8,FALSE))</f>
        <v/>
      </c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7">
        <f>IF(COUNT(T683:AH683)=0,"",SUM(T683:AH683))</f>
        <v/>
      </c>
      <c r="AJ683" s="10">
        <f>IF(AI683="","",AI683/75)</f>
        <v/>
      </c>
      <c r="AK683" s="10">
        <f>IF(AI683="","",SUMPRODUCT(T683:AH683,KPI_Weights!$B$3:$B$17)/5)</f>
        <v/>
      </c>
      <c r="AL683" s="7">
        <f>IF(COUNT(T683:AH683)=0,"",IF(OR(T683&lt;=1,W683&lt;=1,X683&lt;=1,Y683&lt;=1,AB683&lt;=1),"YES","NO"))</f>
        <v/>
      </c>
      <c r="AM683" s="7">
        <f>IF(AK683="","",IF(AND(AK683="NO",AJ683&gt;=0.85),"YES","NO"))</f>
        <v/>
      </c>
      <c r="AN683" s="7">
        <f>IF(AJ683="","",IF(AJ683&gt;=0.90,"Excellent",IF(AJ683&gt;=0.80,"Good",IF(AJ683&gt;=0.70,"Fair","Poor"))))</f>
        <v/>
      </c>
      <c r="AO683" s="12" t="n"/>
      <c r="AP683" s="12" t="n"/>
      <c r="AQ683" s="12" t="n"/>
      <c r="AR683" s="12" t="n"/>
      <c r="AS683" s="12" t="n"/>
      <c r="AT683" s="12" t="n"/>
      <c r="AU683" s="12" t="n"/>
      <c r="AV683" s="11" t="n"/>
      <c r="AW683" s="12" t="n"/>
      <c r="AX683" s="12" t="n"/>
      <c r="AY683" s="12" t="n"/>
      <c r="AZ683" s="12" t="n"/>
      <c r="BA683" s="12" t="n"/>
      <c r="BB683" s="12" t="n"/>
      <c r="BC683" s="12" t="n"/>
      <c r="BD683" s="12" t="n"/>
      <c r="BE683" s="12" t="n"/>
      <c r="BF683" s="12" t="n"/>
    </row>
    <row r="684">
      <c r="A684" s="7">
        <f>IF(B684="","","INS-"&amp;TEXT(ROW()-3,"000"))</f>
        <v/>
      </c>
      <c r="B684" s="11" t="n"/>
      <c r="C684" s="7">
        <f>IF(B684="","",ISOWEEKNUM(B684))</f>
        <v/>
      </c>
      <c r="D684" s="7">
        <f>IF(B684="","",TEXT(B684,"yyyy-mm"))</f>
        <v/>
      </c>
      <c r="E684" s="12" t="n"/>
      <c r="F684" s="12" t="n"/>
      <c r="G684" s="7">
        <f>IF(OR(E684="",F684=""),"",IF(COUNTIF(Cluster_Master!$I$3:$I$17,E684&amp;"|"&amp;F684)=1,"Valid","Review"))</f>
        <v/>
      </c>
      <c r="H684" s="7">
        <f>IF($G684&lt;&gt;"Valid","",VLOOKUP($E684&amp;"|"&amp;$F684,Cluster_Master!$I$3:$H$17,3,FALSE))</f>
        <v/>
      </c>
      <c r="I684" s="7">
        <f>IF($G684&lt;&gt;"Valid","",VLOOKUP($E684&amp;"|"&amp;$F684,Cluster_Master!$I$3:$H$17,4,FALSE))</f>
        <v/>
      </c>
      <c r="J684" s="7">
        <f>IF($G684&lt;&gt;"Valid","",VLOOKUP($E684&amp;"|"&amp;$F684,Cluster_Master!$I$3:$H$17,5,FALSE))</f>
        <v/>
      </c>
      <c r="K684" s="7">
        <f>IF($G684&lt;&gt;"Valid","",VLOOKUP($E684&amp;"|"&amp;$F684,Cluster_Master!$I$3:$H$17,6,FALSE))</f>
        <v/>
      </c>
      <c r="L684" s="7">
        <f>IF($G684&lt;&gt;"Valid","",VLOOKUP($E684&amp;"|"&amp;$F684,Cluster_Master!$I$3:$H$17,7,FALSE))</f>
        <v/>
      </c>
      <c r="M684" s="7">
        <f>IF($G684&lt;&gt;"Valid","",VLOOKUP($E684&amp;"|"&amp;$F684,Cluster_Master!$I$3:$H$17,8,FALSE))</f>
        <v/>
      </c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7">
        <f>IF(COUNT(T684:AH684)=0,"",SUM(T684:AH684))</f>
        <v/>
      </c>
      <c r="AJ684" s="10">
        <f>IF(AI684="","",AI684/75)</f>
        <v/>
      </c>
      <c r="AK684" s="10">
        <f>IF(AI684="","",SUMPRODUCT(T684:AH684,KPI_Weights!$B$3:$B$17)/5)</f>
        <v/>
      </c>
      <c r="AL684" s="7">
        <f>IF(COUNT(T684:AH684)=0,"",IF(OR(T684&lt;=1,W684&lt;=1,X684&lt;=1,Y684&lt;=1,AB684&lt;=1),"YES","NO"))</f>
        <v/>
      </c>
      <c r="AM684" s="7">
        <f>IF(AK684="","",IF(AND(AK684="NO",AJ684&gt;=0.85),"YES","NO"))</f>
        <v/>
      </c>
      <c r="AN684" s="7">
        <f>IF(AJ684="","",IF(AJ684&gt;=0.90,"Excellent",IF(AJ684&gt;=0.80,"Good",IF(AJ684&gt;=0.70,"Fair","Poor"))))</f>
        <v/>
      </c>
      <c r="AO684" s="12" t="n"/>
      <c r="AP684" s="12" t="n"/>
      <c r="AQ684" s="12" t="n"/>
      <c r="AR684" s="12" t="n"/>
      <c r="AS684" s="12" t="n"/>
      <c r="AT684" s="12" t="n"/>
      <c r="AU684" s="12" t="n"/>
      <c r="AV684" s="11" t="n"/>
      <c r="AW684" s="12" t="n"/>
      <c r="AX684" s="12" t="n"/>
      <c r="AY684" s="12" t="n"/>
      <c r="AZ684" s="12" t="n"/>
      <c r="BA684" s="12" t="n"/>
      <c r="BB684" s="12" t="n"/>
      <c r="BC684" s="12" t="n"/>
      <c r="BD684" s="12" t="n"/>
      <c r="BE684" s="12" t="n"/>
      <c r="BF684" s="12" t="n"/>
    </row>
    <row r="685">
      <c r="A685" s="7">
        <f>IF(B685="","","INS-"&amp;TEXT(ROW()-3,"000"))</f>
        <v/>
      </c>
      <c r="B685" s="11" t="n"/>
      <c r="C685" s="7">
        <f>IF(B685="","",ISOWEEKNUM(B685))</f>
        <v/>
      </c>
      <c r="D685" s="7">
        <f>IF(B685="","",TEXT(B685,"yyyy-mm"))</f>
        <v/>
      </c>
      <c r="E685" s="12" t="n"/>
      <c r="F685" s="12" t="n"/>
      <c r="G685" s="7">
        <f>IF(OR(E685="",F685=""),"",IF(COUNTIF(Cluster_Master!$I$3:$I$17,E685&amp;"|"&amp;F685)=1,"Valid","Review"))</f>
        <v/>
      </c>
      <c r="H685" s="7">
        <f>IF($G685&lt;&gt;"Valid","",VLOOKUP($E685&amp;"|"&amp;$F685,Cluster_Master!$I$3:$H$17,3,FALSE))</f>
        <v/>
      </c>
      <c r="I685" s="7">
        <f>IF($G685&lt;&gt;"Valid","",VLOOKUP($E685&amp;"|"&amp;$F685,Cluster_Master!$I$3:$H$17,4,FALSE))</f>
        <v/>
      </c>
      <c r="J685" s="7">
        <f>IF($G685&lt;&gt;"Valid","",VLOOKUP($E685&amp;"|"&amp;$F685,Cluster_Master!$I$3:$H$17,5,FALSE))</f>
        <v/>
      </c>
      <c r="K685" s="7">
        <f>IF($G685&lt;&gt;"Valid","",VLOOKUP($E685&amp;"|"&amp;$F685,Cluster_Master!$I$3:$H$17,6,FALSE))</f>
        <v/>
      </c>
      <c r="L685" s="7">
        <f>IF($G685&lt;&gt;"Valid","",VLOOKUP($E685&amp;"|"&amp;$F685,Cluster_Master!$I$3:$H$17,7,FALSE))</f>
        <v/>
      </c>
      <c r="M685" s="7">
        <f>IF($G685&lt;&gt;"Valid","",VLOOKUP($E685&amp;"|"&amp;$F685,Cluster_Master!$I$3:$H$17,8,FALSE))</f>
        <v/>
      </c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7">
        <f>IF(COUNT(T685:AH685)=0,"",SUM(T685:AH685))</f>
        <v/>
      </c>
      <c r="AJ685" s="10">
        <f>IF(AI685="","",AI685/75)</f>
        <v/>
      </c>
      <c r="AK685" s="10">
        <f>IF(AI685="","",SUMPRODUCT(T685:AH685,KPI_Weights!$B$3:$B$17)/5)</f>
        <v/>
      </c>
      <c r="AL685" s="7">
        <f>IF(COUNT(T685:AH685)=0,"",IF(OR(T685&lt;=1,W685&lt;=1,X685&lt;=1,Y685&lt;=1,AB685&lt;=1),"YES","NO"))</f>
        <v/>
      </c>
      <c r="AM685" s="7">
        <f>IF(AK685="","",IF(AND(AK685="NO",AJ685&gt;=0.85),"YES","NO"))</f>
        <v/>
      </c>
      <c r="AN685" s="7">
        <f>IF(AJ685="","",IF(AJ685&gt;=0.90,"Excellent",IF(AJ685&gt;=0.80,"Good",IF(AJ685&gt;=0.70,"Fair","Poor"))))</f>
        <v/>
      </c>
      <c r="AO685" s="12" t="n"/>
      <c r="AP685" s="12" t="n"/>
      <c r="AQ685" s="12" t="n"/>
      <c r="AR685" s="12" t="n"/>
      <c r="AS685" s="12" t="n"/>
      <c r="AT685" s="12" t="n"/>
      <c r="AU685" s="12" t="n"/>
      <c r="AV685" s="11" t="n"/>
      <c r="AW685" s="12" t="n"/>
      <c r="AX685" s="12" t="n"/>
      <c r="AY685" s="12" t="n"/>
      <c r="AZ685" s="12" t="n"/>
      <c r="BA685" s="12" t="n"/>
      <c r="BB685" s="12" t="n"/>
      <c r="BC685" s="12" t="n"/>
      <c r="BD685" s="12" t="n"/>
      <c r="BE685" s="12" t="n"/>
      <c r="BF685" s="12" t="n"/>
    </row>
    <row r="686">
      <c r="A686" s="7">
        <f>IF(B686="","","INS-"&amp;TEXT(ROW()-3,"000"))</f>
        <v/>
      </c>
      <c r="B686" s="11" t="n"/>
      <c r="C686" s="7">
        <f>IF(B686="","",ISOWEEKNUM(B686))</f>
        <v/>
      </c>
      <c r="D686" s="7">
        <f>IF(B686="","",TEXT(B686,"yyyy-mm"))</f>
        <v/>
      </c>
      <c r="E686" s="12" t="n"/>
      <c r="F686" s="12" t="n"/>
      <c r="G686" s="7">
        <f>IF(OR(E686="",F686=""),"",IF(COUNTIF(Cluster_Master!$I$3:$I$17,E686&amp;"|"&amp;F686)=1,"Valid","Review"))</f>
        <v/>
      </c>
      <c r="H686" s="7">
        <f>IF($G686&lt;&gt;"Valid","",VLOOKUP($E686&amp;"|"&amp;$F686,Cluster_Master!$I$3:$H$17,3,FALSE))</f>
        <v/>
      </c>
      <c r="I686" s="7">
        <f>IF($G686&lt;&gt;"Valid","",VLOOKUP($E686&amp;"|"&amp;$F686,Cluster_Master!$I$3:$H$17,4,FALSE))</f>
        <v/>
      </c>
      <c r="J686" s="7">
        <f>IF($G686&lt;&gt;"Valid","",VLOOKUP($E686&amp;"|"&amp;$F686,Cluster_Master!$I$3:$H$17,5,FALSE))</f>
        <v/>
      </c>
      <c r="K686" s="7">
        <f>IF($G686&lt;&gt;"Valid","",VLOOKUP($E686&amp;"|"&amp;$F686,Cluster_Master!$I$3:$H$17,6,FALSE))</f>
        <v/>
      </c>
      <c r="L686" s="7">
        <f>IF($G686&lt;&gt;"Valid","",VLOOKUP($E686&amp;"|"&amp;$F686,Cluster_Master!$I$3:$H$17,7,FALSE))</f>
        <v/>
      </c>
      <c r="M686" s="7">
        <f>IF($G686&lt;&gt;"Valid","",VLOOKUP($E686&amp;"|"&amp;$F686,Cluster_Master!$I$3:$H$17,8,FALSE))</f>
        <v/>
      </c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7">
        <f>IF(COUNT(T686:AH686)=0,"",SUM(T686:AH686))</f>
        <v/>
      </c>
      <c r="AJ686" s="10">
        <f>IF(AI686="","",AI686/75)</f>
        <v/>
      </c>
      <c r="AK686" s="10">
        <f>IF(AI686="","",SUMPRODUCT(T686:AH686,KPI_Weights!$B$3:$B$17)/5)</f>
        <v/>
      </c>
      <c r="AL686" s="7">
        <f>IF(COUNT(T686:AH686)=0,"",IF(OR(T686&lt;=1,W686&lt;=1,X686&lt;=1,Y686&lt;=1,AB686&lt;=1),"YES","NO"))</f>
        <v/>
      </c>
      <c r="AM686" s="7">
        <f>IF(AK686="","",IF(AND(AK686="NO",AJ686&gt;=0.85),"YES","NO"))</f>
        <v/>
      </c>
      <c r="AN686" s="7">
        <f>IF(AJ686="","",IF(AJ686&gt;=0.90,"Excellent",IF(AJ686&gt;=0.80,"Good",IF(AJ686&gt;=0.70,"Fair","Poor"))))</f>
        <v/>
      </c>
      <c r="AO686" s="12" t="n"/>
      <c r="AP686" s="12" t="n"/>
      <c r="AQ686" s="12" t="n"/>
      <c r="AR686" s="12" t="n"/>
      <c r="AS686" s="12" t="n"/>
      <c r="AT686" s="12" t="n"/>
      <c r="AU686" s="12" t="n"/>
      <c r="AV686" s="11" t="n"/>
      <c r="AW686" s="12" t="n"/>
      <c r="AX686" s="12" t="n"/>
      <c r="AY686" s="12" t="n"/>
      <c r="AZ686" s="12" t="n"/>
      <c r="BA686" s="12" t="n"/>
      <c r="BB686" s="12" t="n"/>
      <c r="BC686" s="12" t="n"/>
      <c r="BD686" s="12" t="n"/>
      <c r="BE686" s="12" t="n"/>
      <c r="BF686" s="12" t="n"/>
    </row>
    <row r="687">
      <c r="A687" s="7">
        <f>IF(B687="","","INS-"&amp;TEXT(ROW()-3,"000"))</f>
        <v/>
      </c>
      <c r="B687" s="11" t="n"/>
      <c r="C687" s="7">
        <f>IF(B687="","",ISOWEEKNUM(B687))</f>
        <v/>
      </c>
      <c r="D687" s="7">
        <f>IF(B687="","",TEXT(B687,"yyyy-mm"))</f>
        <v/>
      </c>
      <c r="E687" s="12" t="n"/>
      <c r="F687" s="12" t="n"/>
      <c r="G687" s="7">
        <f>IF(OR(E687="",F687=""),"",IF(COUNTIF(Cluster_Master!$I$3:$I$17,E687&amp;"|"&amp;F687)=1,"Valid","Review"))</f>
        <v/>
      </c>
      <c r="H687" s="7">
        <f>IF($G687&lt;&gt;"Valid","",VLOOKUP($E687&amp;"|"&amp;$F687,Cluster_Master!$I$3:$H$17,3,FALSE))</f>
        <v/>
      </c>
      <c r="I687" s="7">
        <f>IF($G687&lt;&gt;"Valid","",VLOOKUP($E687&amp;"|"&amp;$F687,Cluster_Master!$I$3:$H$17,4,FALSE))</f>
        <v/>
      </c>
      <c r="J687" s="7">
        <f>IF($G687&lt;&gt;"Valid","",VLOOKUP($E687&amp;"|"&amp;$F687,Cluster_Master!$I$3:$H$17,5,FALSE))</f>
        <v/>
      </c>
      <c r="K687" s="7">
        <f>IF($G687&lt;&gt;"Valid","",VLOOKUP($E687&amp;"|"&amp;$F687,Cluster_Master!$I$3:$H$17,6,FALSE))</f>
        <v/>
      </c>
      <c r="L687" s="7">
        <f>IF($G687&lt;&gt;"Valid","",VLOOKUP($E687&amp;"|"&amp;$F687,Cluster_Master!$I$3:$H$17,7,FALSE))</f>
        <v/>
      </c>
      <c r="M687" s="7">
        <f>IF($G687&lt;&gt;"Valid","",VLOOKUP($E687&amp;"|"&amp;$F687,Cluster_Master!$I$3:$H$17,8,FALSE))</f>
        <v/>
      </c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7">
        <f>IF(COUNT(T687:AH687)=0,"",SUM(T687:AH687))</f>
        <v/>
      </c>
      <c r="AJ687" s="10">
        <f>IF(AI687="","",AI687/75)</f>
        <v/>
      </c>
      <c r="AK687" s="10">
        <f>IF(AI687="","",SUMPRODUCT(T687:AH687,KPI_Weights!$B$3:$B$17)/5)</f>
        <v/>
      </c>
      <c r="AL687" s="7">
        <f>IF(COUNT(T687:AH687)=0,"",IF(OR(T687&lt;=1,W687&lt;=1,X687&lt;=1,Y687&lt;=1,AB687&lt;=1),"YES","NO"))</f>
        <v/>
      </c>
      <c r="AM687" s="7">
        <f>IF(AK687="","",IF(AND(AK687="NO",AJ687&gt;=0.85),"YES","NO"))</f>
        <v/>
      </c>
      <c r="AN687" s="7">
        <f>IF(AJ687="","",IF(AJ687&gt;=0.90,"Excellent",IF(AJ687&gt;=0.80,"Good",IF(AJ687&gt;=0.70,"Fair","Poor"))))</f>
        <v/>
      </c>
      <c r="AO687" s="12" t="n"/>
      <c r="AP687" s="12" t="n"/>
      <c r="AQ687" s="12" t="n"/>
      <c r="AR687" s="12" t="n"/>
      <c r="AS687" s="12" t="n"/>
      <c r="AT687" s="12" t="n"/>
      <c r="AU687" s="12" t="n"/>
      <c r="AV687" s="11" t="n"/>
      <c r="AW687" s="12" t="n"/>
      <c r="AX687" s="12" t="n"/>
      <c r="AY687" s="12" t="n"/>
      <c r="AZ687" s="12" t="n"/>
      <c r="BA687" s="12" t="n"/>
      <c r="BB687" s="12" t="n"/>
      <c r="BC687" s="12" t="n"/>
      <c r="BD687" s="12" t="n"/>
      <c r="BE687" s="12" t="n"/>
      <c r="BF687" s="12" t="n"/>
    </row>
    <row r="688">
      <c r="A688" s="7">
        <f>IF(B688="","","INS-"&amp;TEXT(ROW()-3,"000"))</f>
        <v/>
      </c>
      <c r="B688" s="11" t="n"/>
      <c r="C688" s="7">
        <f>IF(B688="","",ISOWEEKNUM(B688))</f>
        <v/>
      </c>
      <c r="D688" s="7">
        <f>IF(B688="","",TEXT(B688,"yyyy-mm"))</f>
        <v/>
      </c>
      <c r="E688" s="12" t="n"/>
      <c r="F688" s="12" t="n"/>
      <c r="G688" s="7">
        <f>IF(OR(E688="",F688=""),"",IF(COUNTIF(Cluster_Master!$I$3:$I$17,E688&amp;"|"&amp;F688)=1,"Valid","Review"))</f>
        <v/>
      </c>
      <c r="H688" s="7">
        <f>IF($G688&lt;&gt;"Valid","",VLOOKUP($E688&amp;"|"&amp;$F688,Cluster_Master!$I$3:$H$17,3,FALSE))</f>
        <v/>
      </c>
      <c r="I688" s="7">
        <f>IF($G688&lt;&gt;"Valid","",VLOOKUP($E688&amp;"|"&amp;$F688,Cluster_Master!$I$3:$H$17,4,FALSE))</f>
        <v/>
      </c>
      <c r="J688" s="7">
        <f>IF($G688&lt;&gt;"Valid","",VLOOKUP($E688&amp;"|"&amp;$F688,Cluster_Master!$I$3:$H$17,5,FALSE))</f>
        <v/>
      </c>
      <c r="K688" s="7">
        <f>IF($G688&lt;&gt;"Valid","",VLOOKUP($E688&amp;"|"&amp;$F688,Cluster_Master!$I$3:$H$17,6,FALSE))</f>
        <v/>
      </c>
      <c r="L688" s="7">
        <f>IF($G688&lt;&gt;"Valid","",VLOOKUP($E688&amp;"|"&amp;$F688,Cluster_Master!$I$3:$H$17,7,FALSE))</f>
        <v/>
      </c>
      <c r="M688" s="7">
        <f>IF($G688&lt;&gt;"Valid","",VLOOKUP($E688&amp;"|"&amp;$F688,Cluster_Master!$I$3:$H$17,8,FALSE))</f>
        <v/>
      </c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7">
        <f>IF(COUNT(T688:AH688)=0,"",SUM(T688:AH688))</f>
        <v/>
      </c>
      <c r="AJ688" s="10">
        <f>IF(AI688="","",AI688/75)</f>
        <v/>
      </c>
      <c r="AK688" s="10">
        <f>IF(AI688="","",SUMPRODUCT(T688:AH688,KPI_Weights!$B$3:$B$17)/5)</f>
        <v/>
      </c>
      <c r="AL688" s="7">
        <f>IF(COUNT(T688:AH688)=0,"",IF(OR(T688&lt;=1,W688&lt;=1,X688&lt;=1,Y688&lt;=1,AB688&lt;=1),"YES","NO"))</f>
        <v/>
      </c>
      <c r="AM688" s="7">
        <f>IF(AK688="","",IF(AND(AK688="NO",AJ688&gt;=0.85),"YES","NO"))</f>
        <v/>
      </c>
      <c r="AN688" s="7">
        <f>IF(AJ688="","",IF(AJ688&gt;=0.90,"Excellent",IF(AJ688&gt;=0.80,"Good",IF(AJ688&gt;=0.70,"Fair","Poor"))))</f>
        <v/>
      </c>
      <c r="AO688" s="12" t="n"/>
      <c r="AP688" s="12" t="n"/>
      <c r="AQ688" s="12" t="n"/>
      <c r="AR688" s="12" t="n"/>
      <c r="AS688" s="12" t="n"/>
      <c r="AT688" s="12" t="n"/>
      <c r="AU688" s="12" t="n"/>
      <c r="AV688" s="11" t="n"/>
      <c r="AW688" s="12" t="n"/>
      <c r="AX688" s="12" t="n"/>
      <c r="AY688" s="12" t="n"/>
      <c r="AZ688" s="12" t="n"/>
      <c r="BA688" s="12" t="n"/>
      <c r="BB688" s="12" t="n"/>
      <c r="BC688" s="12" t="n"/>
      <c r="BD688" s="12" t="n"/>
      <c r="BE688" s="12" t="n"/>
      <c r="BF688" s="12" t="n"/>
    </row>
    <row r="689">
      <c r="A689" s="7">
        <f>IF(B689="","","INS-"&amp;TEXT(ROW()-3,"000"))</f>
        <v/>
      </c>
      <c r="B689" s="11" t="n"/>
      <c r="C689" s="7">
        <f>IF(B689="","",ISOWEEKNUM(B689))</f>
        <v/>
      </c>
      <c r="D689" s="7">
        <f>IF(B689="","",TEXT(B689,"yyyy-mm"))</f>
        <v/>
      </c>
      <c r="E689" s="12" t="n"/>
      <c r="F689" s="12" t="n"/>
      <c r="G689" s="7">
        <f>IF(OR(E689="",F689=""),"",IF(COUNTIF(Cluster_Master!$I$3:$I$17,E689&amp;"|"&amp;F689)=1,"Valid","Review"))</f>
        <v/>
      </c>
      <c r="H689" s="7">
        <f>IF($G689&lt;&gt;"Valid","",VLOOKUP($E689&amp;"|"&amp;$F689,Cluster_Master!$I$3:$H$17,3,FALSE))</f>
        <v/>
      </c>
      <c r="I689" s="7">
        <f>IF($G689&lt;&gt;"Valid","",VLOOKUP($E689&amp;"|"&amp;$F689,Cluster_Master!$I$3:$H$17,4,FALSE))</f>
        <v/>
      </c>
      <c r="J689" s="7">
        <f>IF($G689&lt;&gt;"Valid","",VLOOKUP($E689&amp;"|"&amp;$F689,Cluster_Master!$I$3:$H$17,5,FALSE))</f>
        <v/>
      </c>
      <c r="K689" s="7">
        <f>IF($G689&lt;&gt;"Valid","",VLOOKUP($E689&amp;"|"&amp;$F689,Cluster_Master!$I$3:$H$17,6,FALSE))</f>
        <v/>
      </c>
      <c r="L689" s="7">
        <f>IF($G689&lt;&gt;"Valid","",VLOOKUP($E689&amp;"|"&amp;$F689,Cluster_Master!$I$3:$H$17,7,FALSE))</f>
        <v/>
      </c>
      <c r="M689" s="7">
        <f>IF($G689&lt;&gt;"Valid","",VLOOKUP($E689&amp;"|"&amp;$F689,Cluster_Master!$I$3:$H$17,8,FALSE))</f>
        <v/>
      </c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7">
        <f>IF(COUNT(T689:AH689)=0,"",SUM(T689:AH689))</f>
        <v/>
      </c>
      <c r="AJ689" s="10">
        <f>IF(AI689="","",AI689/75)</f>
        <v/>
      </c>
      <c r="AK689" s="10">
        <f>IF(AI689="","",SUMPRODUCT(T689:AH689,KPI_Weights!$B$3:$B$17)/5)</f>
        <v/>
      </c>
      <c r="AL689" s="7">
        <f>IF(COUNT(T689:AH689)=0,"",IF(OR(T689&lt;=1,W689&lt;=1,X689&lt;=1,Y689&lt;=1,AB689&lt;=1),"YES","NO"))</f>
        <v/>
      </c>
      <c r="AM689" s="7">
        <f>IF(AK689="","",IF(AND(AK689="NO",AJ689&gt;=0.85),"YES","NO"))</f>
        <v/>
      </c>
      <c r="AN689" s="7">
        <f>IF(AJ689="","",IF(AJ689&gt;=0.90,"Excellent",IF(AJ689&gt;=0.80,"Good",IF(AJ689&gt;=0.70,"Fair","Poor"))))</f>
        <v/>
      </c>
      <c r="AO689" s="12" t="n"/>
      <c r="AP689" s="12" t="n"/>
      <c r="AQ689" s="12" t="n"/>
      <c r="AR689" s="12" t="n"/>
      <c r="AS689" s="12" t="n"/>
      <c r="AT689" s="12" t="n"/>
      <c r="AU689" s="12" t="n"/>
      <c r="AV689" s="11" t="n"/>
      <c r="AW689" s="12" t="n"/>
      <c r="AX689" s="12" t="n"/>
      <c r="AY689" s="12" t="n"/>
      <c r="AZ689" s="12" t="n"/>
      <c r="BA689" s="12" t="n"/>
      <c r="BB689" s="12" t="n"/>
      <c r="BC689" s="12" t="n"/>
      <c r="BD689" s="12" t="n"/>
      <c r="BE689" s="12" t="n"/>
      <c r="BF689" s="12" t="n"/>
    </row>
    <row r="690">
      <c r="A690" s="7">
        <f>IF(B690="","","INS-"&amp;TEXT(ROW()-3,"000"))</f>
        <v/>
      </c>
      <c r="B690" s="11" t="n"/>
      <c r="C690" s="7">
        <f>IF(B690="","",ISOWEEKNUM(B690))</f>
        <v/>
      </c>
      <c r="D690" s="7">
        <f>IF(B690="","",TEXT(B690,"yyyy-mm"))</f>
        <v/>
      </c>
      <c r="E690" s="12" t="n"/>
      <c r="F690" s="12" t="n"/>
      <c r="G690" s="7">
        <f>IF(OR(E690="",F690=""),"",IF(COUNTIF(Cluster_Master!$I$3:$I$17,E690&amp;"|"&amp;F690)=1,"Valid","Review"))</f>
        <v/>
      </c>
      <c r="H690" s="7">
        <f>IF($G690&lt;&gt;"Valid","",VLOOKUP($E690&amp;"|"&amp;$F690,Cluster_Master!$I$3:$H$17,3,FALSE))</f>
        <v/>
      </c>
      <c r="I690" s="7">
        <f>IF($G690&lt;&gt;"Valid","",VLOOKUP($E690&amp;"|"&amp;$F690,Cluster_Master!$I$3:$H$17,4,FALSE))</f>
        <v/>
      </c>
      <c r="J690" s="7">
        <f>IF($G690&lt;&gt;"Valid","",VLOOKUP($E690&amp;"|"&amp;$F690,Cluster_Master!$I$3:$H$17,5,FALSE))</f>
        <v/>
      </c>
      <c r="K690" s="7">
        <f>IF($G690&lt;&gt;"Valid","",VLOOKUP($E690&amp;"|"&amp;$F690,Cluster_Master!$I$3:$H$17,6,FALSE))</f>
        <v/>
      </c>
      <c r="L690" s="7">
        <f>IF($G690&lt;&gt;"Valid","",VLOOKUP($E690&amp;"|"&amp;$F690,Cluster_Master!$I$3:$H$17,7,FALSE))</f>
        <v/>
      </c>
      <c r="M690" s="7">
        <f>IF($G690&lt;&gt;"Valid","",VLOOKUP($E690&amp;"|"&amp;$F690,Cluster_Master!$I$3:$H$17,8,FALSE))</f>
        <v/>
      </c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7">
        <f>IF(COUNT(T690:AH690)=0,"",SUM(T690:AH690))</f>
        <v/>
      </c>
      <c r="AJ690" s="10">
        <f>IF(AI690="","",AI690/75)</f>
        <v/>
      </c>
      <c r="AK690" s="10">
        <f>IF(AI690="","",SUMPRODUCT(T690:AH690,KPI_Weights!$B$3:$B$17)/5)</f>
        <v/>
      </c>
      <c r="AL690" s="7">
        <f>IF(COUNT(T690:AH690)=0,"",IF(OR(T690&lt;=1,W690&lt;=1,X690&lt;=1,Y690&lt;=1,AB690&lt;=1),"YES","NO"))</f>
        <v/>
      </c>
      <c r="AM690" s="7">
        <f>IF(AK690="","",IF(AND(AK690="NO",AJ690&gt;=0.85),"YES","NO"))</f>
        <v/>
      </c>
      <c r="AN690" s="7">
        <f>IF(AJ690="","",IF(AJ690&gt;=0.90,"Excellent",IF(AJ690&gt;=0.80,"Good",IF(AJ690&gt;=0.70,"Fair","Poor"))))</f>
        <v/>
      </c>
      <c r="AO690" s="12" t="n"/>
      <c r="AP690" s="12" t="n"/>
      <c r="AQ690" s="12" t="n"/>
      <c r="AR690" s="12" t="n"/>
      <c r="AS690" s="12" t="n"/>
      <c r="AT690" s="12" t="n"/>
      <c r="AU690" s="12" t="n"/>
      <c r="AV690" s="11" t="n"/>
      <c r="AW690" s="12" t="n"/>
      <c r="AX690" s="12" t="n"/>
      <c r="AY690" s="12" t="n"/>
      <c r="AZ690" s="12" t="n"/>
      <c r="BA690" s="12" t="n"/>
      <c r="BB690" s="12" t="n"/>
      <c r="BC690" s="12" t="n"/>
      <c r="BD690" s="12" t="n"/>
      <c r="BE690" s="12" t="n"/>
      <c r="BF690" s="12" t="n"/>
    </row>
    <row r="691">
      <c r="A691" s="7">
        <f>IF(B691="","","INS-"&amp;TEXT(ROW()-3,"000"))</f>
        <v/>
      </c>
      <c r="B691" s="11" t="n"/>
      <c r="C691" s="7">
        <f>IF(B691="","",ISOWEEKNUM(B691))</f>
        <v/>
      </c>
      <c r="D691" s="7">
        <f>IF(B691="","",TEXT(B691,"yyyy-mm"))</f>
        <v/>
      </c>
      <c r="E691" s="12" t="n"/>
      <c r="F691" s="12" t="n"/>
      <c r="G691" s="7">
        <f>IF(OR(E691="",F691=""),"",IF(COUNTIF(Cluster_Master!$I$3:$I$17,E691&amp;"|"&amp;F691)=1,"Valid","Review"))</f>
        <v/>
      </c>
      <c r="H691" s="7">
        <f>IF($G691&lt;&gt;"Valid","",VLOOKUP($E691&amp;"|"&amp;$F691,Cluster_Master!$I$3:$H$17,3,FALSE))</f>
        <v/>
      </c>
      <c r="I691" s="7">
        <f>IF($G691&lt;&gt;"Valid","",VLOOKUP($E691&amp;"|"&amp;$F691,Cluster_Master!$I$3:$H$17,4,FALSE))</f>
        <v/>
      </c>
      <c r="J691" s="7">
        <f>IF($G691&lt;&gt;"Valid","",VLOOKUP($E691&amp;"|"&amp;$F691,Cluster_Master!$I$3:$H$17,5,FALSE))</f>
        <v/>
      </c>
      <c r="K691" s="7">
        <f>IF($G691&lt;&gt;"Valid","",VLOOKUP($E691&amp;"|"&amp;$F691,Cluster_Master!$I$3:$H$17,6,FALSE))</f>
        <v/>
      </c>
      <c r="L691" s="7">
        <f>IF($G691&lt;&gt;"Valid","",VLOOKUP($E691&amp;"|"&amp;$F691,Cluster_Master!$I$3:$H$17,7,FALSE))</f>
        <v/>
      </c>
      <c r="M691" s="7">
        <f>IF($G691&lt;&gt;"Valid","",VLOOKUP($E691&amp;"|"&amp;$F691,Cluster_Master!$I$3:$H$17,8,FALSE))</f>
        <v/>
      </c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7">
        <f>IF(COUNT(T691:AH691)=0,"",SUM(T691:AH691))</f>
        <v/>
      </c>
      <c r="AJ691" s="10">
        <f>IF(AI691="","",AI691/75)</f>
        <v/>
      </c>
      <c r="AK691" s="10">
        <f>IF(AI691="","",SUMPRODUCT(T691:AH691,KPI_Weights!$B$3:$B$17)/5)</f>
        <v/>
      </c>
      <c r="AL691" s="7">
        <f>IF(COUNT(T691:AH691)=0,"",IF(OR(T691&lt;=1,W691&lt;=1,X691&lt;=1,Y691&lt;=1,AB691&lt;=1),"YES","NO"))</f>
        <v/>
      </c>
      <c r="AM691" s="7">
        <f>IF(AK691="","",IF(AND(AK691="NO",AJ691&gt;=0.85),"YES","NO"))</f>
        <v/>
      </c>
      <c r="AN691" s="7">
        <f>IF(AJ691="","",IF(AJ691&gt;=0.90,"Excellent",IF(AJ691&gt;=0.80,"Good",IF(AJ691&gt;=0.70,"Fair","Poor"))))</f>
        <v/>
      </c>
      <c r="AO691" s="12" t="n"/>
      <c r="AP691" s="12" t="n"/>
      <c r="AQ691" s="12" t="n"/>
      <c r="AR691" s="12" t="n"/>
      <c r="AS691" s="12" t="n"/>
      <c r="AT691" s="12" t="n"/>
      <c r="AU691" s="12" t="n"/>
      <c r="AV691" s="11" t="n"/>
      <c r="AW691" s="12" t="n"/>
      <c r="AX691" s="12" t="n"/>
      <c r="AY691" s="12" t="n"/>
      <c r="AZ691" s="12" t="n"/>
      <c r="BA691" s="12" t="n"/>
      <c r="BB691" s="12" t="n"/>
      <c r="BC691" s="12" t="n"/>
      <c r="BD691" s="12" t="n"/>
      <c r="BE691" s="12" t="n"/>
      <c r="BF691" s="12" t="n"/>
    </row>
    <row r="692">
      <c r="A692" s="7">
        <f>IF(B692="","","INS-"&amp;TEXT(ROW()-3,"000"))</f>
        <v/>
      </c>
      <c r="B692" s="11" t="n"/>
      <c r="C692" s="7">
        <f>IF(B692="","",ISOWEEKNUM(B692))</f>
        <v/>
      </c>
      <c r="D692" s="7">
        <f>IF(B692="","",TEXT(B692,"yyyy-mm"))</f>
        <v/>
      </c>
      <c r="E692" s="12" t="n"/>
      <c r="F692" s="12" t="n"/>
      <c r="G692" s="7">
        <f>IF(OR(E692="",F692=""),"",IF(COUNTIF(Cluster_Master!$I$3:$I$17,E692&amp;"|"&amp;F692)=1,"Valid","Review"))</f>
        <v/>
      </c>
      <c r="H692" s="7">
        <f>IF($G692&lt;&gt;"Valid","",VLOOKUP($E692&amp;"|"&amp;$F692,Cluster_Master!$I$3:$H$17,3,FALSE))</f>
        <v/>
      </c>
      <c r="I692" s="7">
        <f>IF($G692&lt;&gt;"Valid","",VLOOKUP($E692&amp;"|"&amp;$F692,Cluster_Master!$I$3:$H$17,4,FALSE))</f>
        <v/>
      </c>
      <c r="J692" s="7">
        <f>IF($G692&lt;&gt;"Valid","",VLOOKUP($E692&amp;"|"&amp;$F692,Cluster_Master!$I$3:$H$17,5,FALSE))</f>
        <v/>
      </c>
      <c r="K692" s="7">
        <f>IF($G692&lt;&gt;"Valid","",VLOOKUP($E692&amp;"|"&amp;$F692,Cluster_Master!$I$3:$H$17,6,FALSE))</f>
        <v/>
      </c>
      <c r="L692" s="7">
        <f>IF($G692&lt;&gt;"Valid","",VLOOKUP($E692&amp;"|"&amp;$F692,Cluster_Master!$I$3:$H$17,7,FALSE))</f>
        <v/>
      </c>
      <c r="M692" s="7">
        <f>IF($G692&lt;&gt;"Valid","",VLOOKUP($E692&amp;"|"&amp;$F692,Cluster_Master!$I$3:$H$17,8,FALSE))</f>
        <v/>
      </c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7">
        <f>IF(COUNT(T692:AH692)=0,"",SUM(T692:AH692))</f>
        <v/>
      </c>
      <c r="AJ692" s="10">
        <f>IF(AI692="","",AI692/75)</f>
        <v/>
      </c>
      <c r="AK692" s="10">
        <f>IF(AI692="","",SUMPRODUCT(T692:AH692,KPI_Weights!$B$3:$B$17)/5)</f>
        <v/>
      </c>
      <c r="AL692" s="7">
        <f>IF(COUNT(T692:AH692)=0,"",IF(OR(T692&lt;=1,W692&lt;=1,X692&lt;=1,Y692&lt;=1,AB692&lt;=1),"YES","NO"))</f>
        <v/>
      </c>
      <c r="AM692" s="7">
        <f>IF(AK692="","",IF(AND(AK692="NO",AJ692&gt;=0.85),"YES","NO"))</f>
        <v/>
      </c>
      <c r="AN692" s="7">
        <f>IF(AJ692="","",IF(AJ692&gt;=0.90,"Excellent",IF(AJ692&gt;=0.80,"Good",IF(AJ692&gt;=0.70,"Fair","Poor"))))</f>
        <v/>
      </c>
      <c r="AO692" s="12" t="n"/>
      <c r="AP692" s="12" t="n"/>
      <c r="AQ692" s="12" t="n"/>
      <c r="AR692" s="12" t="n"/>
      <c r="AS692" s="12" t="n"/>
      <c r="AT692" s="12" t="n"/>
      <c r="AU692" s="12" t="n"/>
      <c r="AV692" s="11" t="n"/>
      <c r="AW692" s="12" t="n"/>
      <c r="AX692" s="12" t="n"/>
      <c r="AY692" s="12" t="n"/>
      <c r="AZ692" s="12" t="n"/>
      <c r="BA692" s="12" t="n"/>
      <c r="BB692" s="12" t="n"/>
      <c r="BC692" s="12" t="n"/>
      <c r="BD692" s="12" t="n"/>
      <c r="BE692" s="12" t="n"/>
      <c r="BF692" s="12" t="n"/>
    </row>
    <row r="693">
      <c r="A693" s="7">
        <f>IF(B693="","","INS-"&amp;TEXT(ROW()-3,"000"))</f>
        <v/>
      </c>
      <c r="B693" s="11" t="n"/>
      <c r="C693" s="7">
        <f>IF(B693="","",ISOWEEKNUM(B693))</f>
        <v/>
      </c>
      <c r="D693" s="7">
        <f>IF(B693="","",TEXT(B693,"yyyy-mm"))</f>
        <v/>
      </c>
      <c r="E693" s="12" t="n"/>
      <c r="F693" s="12" t="n"/>
      <c r="G693" s="7">
        <f>IF(OR(E693="",F693=""),"",IF(COUNTIF(Cluster_Master!$I$3:$I$17,E693&amp;"|"&amp;F693)=1,"Valid","Review"))</f>
        <v/>
      </c>
      <c r="H693" s="7">
        <f>IF($G693&lt;&gt;"Valid","",VLOOKUP($E693&amp;"|"&amp;$F693,Cluster_Master!$I$3:$H$17,3,FALSE))</f>
        <v/>
      </c>
      <c r="I693" s="7">
        <f>IF($G693&lt;&gt;"Valid","",VLOOKUP($E693&amp;"|"&amp;$F693,Cluster_Master!$I$3:$H$17,4,FALSE))</f>
        <v/>
      </c>
      <c r="J693" s="7">
        <f>IF($G693&lt;&gt;"Valid","",VLOOKUP($E693&amp;"|"&amp;$F693,Cluster_Master!$I$3:$H$17,5,FALSE))</f>
        <v/>
      </c>
      <c r="K693" s="7">
        <f>IF($G693&lt;&gt;"Valid","",VLOOKUP($E693&amp;"|"&amp;$F693,Cluster_Master!$I$3:$H$17,6,FALSE))</f>
        <v/>
      </c>
      <c r="L693" s="7">
        <f>IF($G693&lt;&gt;"Valid","",VLOOKUP($E693&amp;"|"&amp;$F693,Cluster_Master!$I$3:$H$17,7,FALSE))</f>
        <v/>
      </c>
      <c r="M693" s="7">
        <f>IF($G693&lt;&gt;"Valid","",VLOOKUP($E693&amp;"|"&amp;$F693,Cluster_Master!$I$3:$H$17,8,FALSE))</f>
        <v/>
      </c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7">
        <f>IF(COUNT(T693:AH693)=0,"",SUM(T693:AH693))</f>
        <v/>
      </c>
      <c r="AJ693" s="10">
        <f>IF(AI693="","",AI693/75)</f>
        <v/>
      </c>
      <c r="AK693" s="10">
        <f>IF(AI693="","",SUMPRODUCT(T693:AH693,KPI_Weights!$B$3:$B$17)/5)</f>
        <v/>
      </c>
      <c r="AL693" s="7">
        <f>IF(COUNT(T693:AH693)=0,"",IF(OR(T693&lt;=1,W693&lt;=1,X693&lt;=1,Y693&lt;=1,AB693&lt;=1),"YES","NO"))</f>
        <v/>
      </c>
      <c r="AM693" s="7">
        <f>IF(AK693="","",IF(AND(AK693="NO",AJ693&gt;=0.85),"YES","NO"))</f>
        <v/>
      </c>
      <c r="AN693" s="7">
        <f>IF(AJ693="","",IF(AJ693&gt;=0.90,"Excellent",IF(AJ693&gt;=0.80,"Good",IF(AJ693&gt;=0.70,"Fair","Poor"))))</f>
        <v/>
      </c>
      <c r="AO693" s="12" t="n"/>
      <c r="AP693" s="12" t="n"/>
      <c r="AQ693" s="12" t="n"/>
      <c r="AR693" s="12" t="n"/>
      <c r="AS693" s="12" t="n"/>
      <c r="AT693" s="12" t="n"/>
      <c r="AU693" s="12" t="n"/>
      <c r="AV693" s="11" t="n"/>
      <c r="AW693" s="12" t="n"/>
      <c r="AX693" s="12" t="n"/>
      <c r="AY693" s="12" t="n"/>
      <c r="AZ693" s="12" t="n"/>
      <c r="BA693" s="12" t="n"/>
      <c r="BB693" s="12" t="n"/>
      <c r="BC693" s="12" t="n"/>
      <c r="BD693" s="12" t="n"/>
      <c r="BE693" s="12" t="n"/>
      <c r="BF693" s="12" t="n"/>
    </row>
    <row r="694">
      <c r="A694" s="7">
        <f>IF(B694="","","INS-"&amp;TEXT(ROW()-3,"000"))</f>
        <v/>
      </c>
      <c r="B694" s="11" t="n"/>
      <c r="C694" s="7">
        <f>IF(B694="","",ISOWEEKNUM(B694))</f>
        <v/>
      </c>
      <c r="D694" s="7">
        <f>IF(B694="","",TEXT(B694,"yyyy-mm"))</f>
        <v/>
      </c>
      <c r="E694" s="12" t="n"/>
      <c r="F694" s="12" t="n"/>
      <c r="G694" s="7">
        <f>IF(OR(E694="",F694=""),"",IF(COUNTIF(Cluster_Master!$I$3:$I$17,E694&amp;"|"&amp;F694)=1,"Valid","Review"))</f>
        <v/>
      </c>
      <c r="H694" s="7">
        <f>IF($G694&lt;&gt;"Valid","",VLOOKUP($E694&amp;"|"&amp;$F694,Cluster_Master!$I$3:$H$17,3,FALSE))</f>
        <v/>
      </c>
      <c r="I694" s="7">
        <f>IF($G694&lt;&gt;"Valid","",VLOOKUP($E694&amp;"|"&amp;$F694,Cluster_Master!$I$3:$H$17,4,FALSE))</f>
        <v/>
      </c>
      <c r="J694" s="7">
        <f>IF($G694&lt;&gt;"Valid","",VLOOKUP($E694&amp;"|"&amp;$F694,Cluster_Master!$I$3:$H$17,5,FALSE))</f>
        <v/>
      </c>
      <c r="K694" s="7">
        <f>IF($G694&lt;&gt;"Valid","",VLOOKUP($E694&amp;"|"&amp;$F694,Cluster_Master!$I$3:$H$17,6,FALSE))</f>
        <v/>
      </c>
      <c r="L694" s="7">
        <f>IF($G694&lt;&gt;"Valid","",VLOOKUP($E694&amp;"|"&amp;$F694,Cluster_Master!$I$3:$H$17,7,FALSE))</f>
        <v/>
      </c>
      <c r="M694" s="7">
        <f>IF($G694&lt;&gt;"Valid","",VLOOKUP($E694&amp;"|"&amp;$F694,Cluster_Master!$I$3:$H$17,8,FALSE))</f>
        <v/>
      </c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7">
        <f>IF(COUNT(T694:AH694)=0,"",SUM(T694:AH694))</f>
        <v/>
      </c>
      <c r="AJ694" s="10">
        <f>IF(AI694="","",AI694/75)</f>
        <v/>
      </c>
      <c r="AK694" s="10">
        <f>IF(AI694="","",SUMPRODUCT(T694:AH694,KPI_Weights!$B$3:$B$17)/5)</f>
        <v/>
      </c>
      <c r="AL694" s="7">
        <f>IF(COUNT(T694:AH694)=0,"",IF(OR(T694&lt;=1,W694&lt;=1,X694&lt;=1,Y694&lt;=1,AB694&lt;=1),"YES","NO"))</f>
        <v/>
      </c>
      <c r="AM694" s="7">
        <f>IF(AK694="","",IF(AND(AK694="NO",AJ694&gt;=0.85),"YES","NO"))</f>
        <v/>
      </c>
      <c r="AN694" s="7">
        <f>IF(AJ694="","",IF(AJ694&gt;=0.90,"Excellent",IF(AJ694&gt;=0.80,"Good",IF(AJ694&gt;=0.70,"Fair","Poor"))))</f>
        <v/>
      </c>
      <c r="AO694" s="12" t="n"/>
      <c r="AP694" s="12" t="n"/>
      <c r="AQ694" s="12" t="n"/>
      <c r="AR694" s="12" t="n"/>
      <c r="AS694" s="12" t="n"/>
      <c r="AT694" s="12" t="n"/>
      <c r="AU694" s="12" t="n"/>
      <c r="AV694" s="11" t="n"/>
      <c r="AW694" s="12" t="n"/>
      <c r="AX694" s="12" t="n"/>
      <c r="AY694" s="12" t="n"/>
      <c r="AZ694" s="12" t="n"/>
      <c r="BA694" s="12" t="n"/>
      <c r="BB694" s="12" t="n"/>
      <c r="BC694" s="12" t="n"/>
      <c r="BD694" s="12" t="n"/>
      <c r="BE694" s="12" t="n"/>
      <c r="BF694" s="12" t="n"/>
    </row>
    <row r="695">
      <c r="A695" s="7">
        <f>IF(B695="","","INS-"&amp;TEXT(ROW()-3,"000"))</f>
        <v/>
      </c>
      <c r="B695" s="11" t="n"/>
      <c r="C695" s="7">
        <f>IF(B695="","",ISOWEEKNUM(B695))</f>
        <v/>
      </c>
      <c r="D695" s="7">
        <f>IF(B695="","",TEXT(B695,"yyyy-mm"))</f>
        <v/>
      </c>
      <c r="E695" s="12" t="n"/>
      <c r="F695" s="12" t="n"/>
      <c r="G695" s="7">
        <f>IF(OR(E695="",F695=""),"",IF(COUNTIF(Cluster_Master!$I$3:$I$17,E695&amp;"|"&amp;F695)=1,"Valid","Review"))</f>
        <v/>
      </c>
      <c r="H695" s="7">
        <f>IF($G695&lt;&gt;"Valid","",VLOOKUP($E695&amp;"|"&amp;$F695,Cluster_Master!$I$3:$H$17,3,FALSE))</f>
        <v/>
      </c>
      <c r="I695" s="7">
        <f>IF($G695&lt;&gt;"Valid","",VLOOKUP($E695&amp;"|"&amp;$F695,Cluster_Master!$I$3:$H$17,4,FALSE))</f>
        <v/>
      </c>
      <c r="J695" s="7">
        <f>IF($G695&lt;&gt;"Valid","",VLOOKUP($E695&amp;"|"&amp;$F695,Cluster_Master!$I$3:$H$17,5,FALSE))</f>
        <v/>
      </c>
      <c r="K695" s="7">
        <f>IF($G695&lt;&gt;"Valid","",VLOOKUP($E695&amp;"|"&amp;$F695,Cluster_Master!$I$3:$H$17,6,FALSE))</f>
        <v/>
      </c>
      <c r="L695" s="7">
        <f>IF($G695&lt;&gt;"Valid","",VLOOKUP($E695&amp;"|"&amp;$F695,Cluster_Master!$I$3:$H$17,7,FALSE))</f>
        <v/>
      </c>
      <c r="M695" s="7">
        <f>IF($G695&lt;&gt;"Valid","",VLOOKUP($E695&amp;"|"&amp;$F695,Cluster_Master!$I$3:$H$17,8,FALSE))</f>
        <v/>
      </c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7">
        <f>IF(COUNT(T695:AH695)=0,"",SUM(T695:AH695))</f>
        <v/>
      </c>
      <c r="AJ695" s="10">
        <f>IF(AI695="","",AI695/75)</f>
        <v/>
      </c>
      <c r="AK695" s="10">
        <f>IF(AI695="","",SUMPRODUCT(T695:AH695,KPI_Weights!$B$3:$B$17)/5)</f>
        <v/>
      </c>
      <c r="AL695" s="7">
        <f>IF(COUNT(T695:AH695)=0,"",IF(OR(T695&lt;=1,W695&lt;=1,X695&lt;=1,Y695&lt;=1,AB695&lt;=1),"YES","NO"))</f>
        <v/>
      </c>
      <c r="AM695" s="7">
        <f>IF(AK695="","",IF(AND(AK695="NO",AJ695&gt;=0.85),"YES","NO"))</f>
        <v/>
      </c>
      <c r="AN695" s="7">
        <f>IF(AJ695="","",IF(AJ695&gt;=0.90,"Excellent",IF(AJ695&gt;=0.80,"Good",IF(AJ695&gt;=0.70,"Fair","Poor"))))</f>
        <v/>
      </c>
      <c r="AO695" s="12" t="n"/>
      <c r="AP695" s="12" t="n"/>
      <c r="AQ695" s="12" t="n"/>
      <c r="AR695" s="12" t="n"/>
      <c r="AS695" s="12" t="n"/>
      <c r="AT695" s="12" t="n"/>
      <c r="AU695" s="12" t="n"/>
      <c r="AV695" s="11" t="n"/>
      <c r="AW695" s="12" t="n"/>
      <c r="AX695" s="12" t="n"/>
      <c r="AY695" s="12" t="n"/>
      <c r="AZ695" s="12" t="n"/>
      <c r="BA695" s="12" t="n"/>
      <c r="BB695" s="12" t="n"/>
      <c r="BC695" s="12" t="n"/>
      <c r="BD695" s="12" t="n"/>
      <c r="BE695" s="12" t="n"/>
      <c r="BF695" s="12" t="n"/>
    </row>
    <row r="696">
      <c r="A696" s="7">
        <f>IF(B696="","","INS-"&amp;TEXT(ROW()-3,"000"))</f>
        <v/>
      </c>
      <c r="B696" s="11" t="n"/>
      <c r="C696" s="7">
        <f>IF(B696="","",ISOWEEKNUM(B696))</f>
        <v/>
      </c>
      <c r="D696" s="7">
        <f>IF(B696="","",TEXT(B696,"yyyy-mm"))</f>
        <v/>
      </c>
      <c r="E696" s="12" t="n"/>
      <c r="F696" s="12" t="n"/>
      <c r="G696" s="7">
        <f>IF(OR(E696="",F696=""),"",IF(COUNTIF(Cluster_Master!$I$3:$I$17,E696&amp;"|"&amp;F696)=1,"Valid","Review"))</f>
        <v/>
      </c>
      <c r="H696" s="7">
        <f>IF($G696&lt;&gt;"Valid","",VLOOKUP($E696&amp;"|"&amp;$F696,Cluster_Master!$I$3:$H$17,3,FALSE))</f>
        <v/>
      </c>
      <c r="I696" s="7">
        <f>IF($G696&lt;&gt;"Valid","",VLOOKUP($E696&amp;"|"&amp;$F696,Cluster_Master!$I$3:$H$17,4,FALSE))</f>
        <v/>
      </c>
      <c r="J696" s="7">
        <f>IF($G696&lt;&gt;"Valid","",VLOOKUP($E696&amp;"|"&amp;$F696,Cluster_Master!$I$3:$H$17,5,FALSE))</f>
        <v/>
      </c>
      <c r="K696" s="7">
        <f>IF($G696&lt;&gt;"Valid","",VLOOKUP($E696&amp;"|"&amp;$F696,Cluster_Master!$I$3:$H$17,6,FALSE))</f>
        <v/>
      </c>
      <c r="L696" s="7">
        <f>IF($G696&lt;&gt;"Valid","",VLOOKUP($E696&amp;"|"&amp;$F696,Cluster_Master!$I$3:$H$17,7,FALSE))</f>
        <v/>
      </c>
      <c r="M696" s="7">
        <f>IF($G696&lt;&gt;"Valid","",VLOOKUP($E696&amp;"|"&amp;$F696,Cluster_Master!$I$3:$H$17,8,FALSE))</f>
        <v/>
      </c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7">
        <f>IF(COUNT(T696:AH696)=0,"",SUM(T696:AH696))</f>
        <v/>
      </c>
      <c r="AJ696" s="10">
        <f>IF(AI696="","",AI696/75)</f>
        <v/>
      </c>
      <c r="AK696" s="10">
        <f>IF(AI696="","",SUMPRODUCT(T696:AH696,KPI_Weights!$B$3:$B$17)/5)</f>
        <v/>
      </c>
      <c r="AL696" s="7">
        <f>IF(COUNT(T696:AH696)=0,"",IF(OR(T696&lt;=1,W696&lt;=1,X696&lt;=1,Y696&lt;=1,AB696&lt;=1),"YES","NO"))</f>
        <v/>
      </c>
      <c r="AM696" s="7">
        <f>IF(AK696="","",IF(AND(AK696="NO",AJ696&gt;=0.85),"YES","NO"))</f>
        <v/>
      </c>
      <c r="AN696" s="7">
        <f>IF(AJ696="","",IF(AJ696&gt;=0.90,"Excellent",IF(AJ696&gt;=0.80,"Good",IF(AJ696&gt;=0.70,"Fair","Poor"))))</f>
        <v/>
      </c>
      <c r="AO696" s="12" t="n"/>
      <c r="AP696" s="12" t="n"/>
      <c r="AQ696" s="12" t="n"/>
      <c r="AR696" s="12" t="n"/>
      <c r="AS696" s="12" t="n"/>
      <c r="AT696" s="12" t="n"/>
      <c r="AU696" s="12" t="n"/>
      <c r="AV696" s="11" t="n"/>
      <c r="AW696" s="12" t="n"/>
      <c r="AX696" s="12" t="n"/>
      <c r="AY696" s="12" t="n"/>
      <c r="AZ696" s="12" t="n"/>
      <c r="BA696" s="12" t="n"/>
      <c r="BB696" s="12" t="n"/>
      <c r="BC696" s="12" t="n"/>
      <c r="BD696" s="12" t="n"/>
      <c r="BE696" s="12" t="n"/>
      <c r="BF696" s="12" t="n"/>
    </row>
    <row r="697">
      <c r="A697" s="7">
        <f>IF(B697="","","INS-"&amp;TEXT(ROW()-3,"000"))</f>
        <v/>
      </c>
      <c r="B697" s="11" t="n"/>
      <c r="C697" s="7">
        <f>IF(B697="","",ISOWEEKNUM(B697))</f>
        <v/>
      </c>
      <c r="D697" s="7">
        <f>IF(B697="","",TEXT(B697,"yyyy-mm"))</f>
        <v/>
      </c>
      <c r="E697" s="12" t="n"/>
      <c r="F697" s="12" t="n"/>
      <c r="G697" s="7">
        <f>IF(OR(E697="",F697=""),"",IF(COUNTIF(Cluster_Master!$I$3:$I$17,E697&amp;"|"&amp;F697)=1,"Valid","Review"))</f>
        <v/>
      </c>
      <c r="H697" s="7">
        <f>IF($G697&lt;&gt;"Valid","",VLOOKUP($E697&amp;"|"&amp;$F697,Cluster_Master!$I$3:$H$17,3,FALSE))</f>
        <v/>
      </c>
      <c r="I697" s="7">
        <f>IF($G697&lt;&gt;"Valid","",VLOOKUP($E697&amp;"|"&amp;$F697,Cluster_Master!$I$3:$H$17,4,FALSE))</f>
        <v/>
      </c>
      <c r="J697" s="7">
        <f>IF($G697&lt;&gt;"Valid","",VLOOKUP($E697&amp;"|"&amp;$F697,Cluster_Master!$I$3:$H$17,5,FALSE))</f>
        <v/>
      </c>
      <c r="K697" s="7">
        <f>IF($G697&lt;&gt;"Valid","",VLOOKUP($E697&amp;"|"&amp;$F697,Cluster_Master!$I$3:$H$17,6,FALSE))</f>
        <v/>
      </c>
      <c r="L697" s="7">
        <f>IF($G697&lt;&gt;"Valid","",VLOOKUP($E697&amp;"|"&amp;$F697,Cluster_Master!$I$3:$H$17,7,FALSE))</f>
        <v/>
      </c>
      <c r="M697" s="7">
        <f>IF($G697&lt;&gt;"Valid","",VLOOKUP($E697&amp;"|"&amp;$F697,Cluster_Master!$I$3:$H$17,8,FALSE))</f>
        <v/>
      </c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7">
        <f>IF(COUNT(T697:AH697)=0,"",SUM(T697:AH697))</f>
        <v/>
      </c>
      <c r="AJ697" s="10">
        <f>IF(AI697="","",AI697/75)</f>
        <v/>
      </c>
      <c r="AK697" s="10">
        <f>IF(AI697="","",SUMPRODUCT(T697:AH697,KPI_Weights!$B$3:$B$17)/5)</f>
        <v/>
      </c>
      <c r="AL697" s="7">
        <f>IF(COUNT(T697:AH697)=0,"",IF(OR(T697&lt;=1,W697&lt;=1,X697&lt;=1,Y697&lt;=1,AB697&lt;=1),"YES","NO"))</f>
        <v/>
      </c>
      <c r="AM697" s="7">
        <f>IF(AK697="","",IF(AND(AK697="NO",AJ697&gt;=0.85),"YES","NO"))</f>
        <v/>
      </c>
      <c r="AN697" s="7">
        <f>IF(AJ697="","",IF(AJ697&gt;=0.90,"Excellent",IF(AJ697&gt;=0.80,"Good",IF(AJ697&gt;=0.70,"Fair","Poor"))))</f>
        <v/>
      </c>
      <c r="AO697" s="12" t="n"/>
      <c r="AP697" s="12" t="n"/>
      <c r="AQ697" s="12" t="n"/>
      <c r="AR697" s="12" t="n"/>
      <c r="AS697" s="12" t="n"/>
      <c r="AT697" s="12" t="n"/>
      <c r="AU697" s="12" t="n"/>
      <c r="AV697" s="11" t="n"/>
      <c r="AW697" s="12" t="n"/>
      <c r="AX697" s="12" t="n"/>
      <c r="AY697" s="12" t="n"/>
      <c r="AZ697" s="12" t="n"/>
      <c r="BA697" s="12" t="n"/>
      <c r="BB697" s="12" t="n"/>
      <c r="BC697" s="12" t="n"/>
      <c r="BD697" s="12" t="n"/>
      <c r="BE697" s="12" t="n"/>
      <c r="BF697" s="12" t="n"/>
    </row>
    <row r="698">
      <c r="A698" s="7">
        <f>IF(B698="","","INS-"&amp;TEXT(ROW()-3,"000"))</f>
        <v/>
      </c>
      <c r="B698" s="11" t="n"/>
      <c r="C698" s="7">
        <f>IF(B698="","",ISOWEEKNUM(B698))</f>
        <v/>
      </c>
      <c r="D698" s="7">
        <f>IF(B698="","",TEXT(B698,"yyyy-mm"))</f>
        <v/>
      </c>
      <c r="E698" s="12" t="n"/>
      <c r="F698" s="12" t="n"/>
      <c r="G698" s="7">
        <f>IF(OR(E698="",F698=""),"",IF(COUNTIF(Cluster_Master!$I$3:$I$17,E698&amp;"|"&amp;F698)=1,"Valid","Review"))</f>
        <v/>
      </c>
      <c r="H698" s="7">
        <f>IF($G698&lt;&gt;"Valid","",VLOOKUP($E698&amp;"|"&amp;$F698,Cluster_Master!$I$3:$H$17,3,FALSE))</f>
        <v/>
      </c>
      <c r="I698" s="7">
        <f>IF($G698&lt;&gt;"Valid","",VLOOKUP($E698&amp;"|"&amp;$F698,Cluster_Master!$I$3:$H$17,4,FALSE))</f>
        <v/>
      </c>
      <c r="J698" s="7">
        <f>IF($G698&lt;&gt;"Valid","",VLOOKUP($E698&amp;"|"&amp;$F698,Cluster_Master!$I$3:$H$17,5,FALSE))</f>
        <v/>
      </c>
      <c r="K698" s="7">
        <f>IF($G698&lt;&gt;"Valid","",VLOOKUP($E698&amp;"|"&amp;$F698,Cluster_Master!$I$3:$H$17,6,FALSE))</f>
        <v/>
      </c>
      <c r="L698" s="7">
        <f>IF($G698&lt;&gt;"Valid","",VLOOKUP($E698&amp;"|"&amp;$F698,Cluster_Master!$I$3:$H$17,7,FALSE))</f>
        <v/>
      </c>
      <c r="M698" s="7">
        <f>IF($G698&lt;&gt;"Valid","",VLOOKUP($E698&amp;"|"&amp;$F698,Cluster_Master!$I$3:$H$17,8,FALSE))</f>
        <v/>
      </c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7">
        <f>IF(COUNT(T698:AH698)=0,"",SUM(T698:AH698))</f>
        <v/>
      </c>
      <c r="AJ698" s="10">
        <f>IF(AI698="","",AI698/75)</f>
        <v/>
      </c>
      <c r="AK698" s="10">
        <f>IF(AI698="","",SUMPRODUCT(T698:AH698,KPI_Weights!$B$3:$B$17)/5)</f>
        <v/>
      </c>
      <c r="AL698" s="7">
        <f>IF(COUNT(T698:AH698)=0,"",IF(OR(T698&lt;=1,W698&lt;=1,X698&lt;=1,Y698&lt;=1,AB698&lt;=1),"YES","NO"))</f>
        <v/>
      </c>
      <c r="AM698" s="7">
        <f>IF(AK698="","",IF(AND(AK698="NO",AJ698&gt;=0.85),"YES","NO"))</f>
        <v/>
      </c>
      <c r="AN698" s="7">
        <f>IF(AJ698="","",IF(AJ698&gt;=0.90,"Excellent",IF(AJ698&gt;=0.80,"Good",IF(AJ698&gt;=0.70,"Fair","Poor"))))</f>
        <v/>
      </c>
      <c r="AO698" s="12" t="n"/>
      <c r="AP698" s="12" t="n"/>
      <c r="AQ698" s="12" t="n"/>
      <c r="AR698" s="12" t="n"/>
      <c r="AS698" s="12" t="n"/>
      <c r="AT698" s="12" t="n"/>
      <c r="AU698" s="12" t="n"/>
      <c r="AV698" s="11" t="n"/>
      <c r="AW698" s="12" t="n"/>
      <c r="AX698" s="12" t="n"/>
      <c r="AY698" s="12" t="n"/>
      <c r="AZ698" s="12" t="n"/>
      <c r="BA698" s="12" t="n"/>
      <c r="BB698" s="12" t="n"/>
      <c r="BC698" s="12" t="n"/>
      <c r="BD698" s="12" t="n"/>
      <c r="BE698" s="12" t="n"/>
      <c r="BF698" s="12" t="n"/>
    </row>
    <row r="699">
      <c r="A699" s="7">
        <f>IF(B699="","","INS-"&amp;TEXT(ROW()-3,"000"))</f>
        <v/>
      </c>
      <c r="B699" s="11" t="n"/>
      <c r="C699" s="7">
        <f>IF(B699="","",ISOWEEKNUM(B699))</f>
        <v/>
      </c>
      <c r="D699" s="7">
        <f>IF(B699="","",TEXT(B699,"yyyy-mm"))</f>
        <v/>
      </c>
      <c r="E699" s="12" t="n"/>
      <c r="F699" s="12" t="n"/>
      <c r="G699" s="7">
        <f>IF(OR(E699="",F699=""),"",IF(COUNTIF(Cluster_Master!$I$3:$I$17,E699&amp;"|"&amp;F699)=1,"Valid","Review"))</f>
        <v/>
      </c>
      <c r="H699" s="7">
        <f>IF($G699&lt;&gt;"Valid","",VLOOKUP($E699&amp;"|"&amp;$F699,Cluster_Master!$I$3:$H$17,3,FALSE))</f>
        <v/>
      </c>
      <c r="I699" s="7">
        <f>IF($G699&lt;&gt;"Valid","",VLOOKUP($E699&amp;"|"&amp;$F699,Cluster_Master!$I$3:$H$17,4,FALSE))</f>
        <v/>
      </c>
      <c r="J699" s="7">
        <f>IF($G699&lt;&gt;"Valid","",VLOOKUP($E699&amp;"|"&amp;$F699,Cluster_Master!$I$3:$H$17,5,FALSE))</f>
        <v/>
      </c>
      <c r="K699" s="7">
        <f>IF($G699&lt;&gt;"Valid","",VLOOKUP($E699&amp;"|"&amp;$F699,Cluster_Master!$I$3:$H$17,6,FALSE))</f>
        <v/>
      </c>
      <c r="L699" s="7">
        <f>IF($G699&lt;&gt;"Valid","",VLOOKUP($E699&amp;"|"&amp;$F699,Cluster_Master!$I$3:$H$17,7,FALSE))</f>
        <v/>
      </c>
      <c r="M699" s="7">
        <f>IF($G699&lt;&gt;"Valid","",VLOOKUP($E699&amp;"|"&amp;$F699,Cluster_Master!$I$3:$H$17,8,FALSE))</f>
        <v/>
      </c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7">
        <f>IF(COUNT(T699:AH699)=0,"",SUM(T699:AH699))</f>
        <v/>
      </c>
      <c r="AJ699" s="10">
        <f>IF(AI699="","",AI699/75)</f>
        <v/>
      </c>
      <c r="AK699" s="10">
        <f>IF(AI699="","",SUMPRODUCT(T699:AH699,KPI_Weights!$B$3:$B$17)/5)</f>
        <v/>
      </c>
      <c r="AL699" s="7">
        <f>IF(COUNT(T699:AH699)=0,"",IF(OR(T699&lt;=1,W699&lt;=1,X699&lt;=1,Y699&lt;=1,AB699&lt;=1),"YES","NO"))</f>
        <v/>
      </c>
      <c r="AM699" s="7">
        <f>IF(AK699="","",IF(AND(AK699="NO",AJ699&gt;=0.85),"YES","NO"))</f>
        <v/>
      </c>
      <c r="AN699" s="7">
        <f>IF(AJ699="","",IF(AJ699&gt;=0.90,"Excellent",IF(AJ699&gt;=0.80,"Good",IF(AJ699&gt;=0.70,"Fair","Poor"))))</f>
        <v/>
      </c>
      <c r="AO699" s="12" t="n"/>
      <c r="AP699" s="12" t="n"/>
      <c r="AQ699" s="12" t="n"/>
      <c r="AR699" s="12" t="n"/>
      <c r="AS699" s="12" t="n"/>
      <c r="AT699" s="12" t="n"/>
      <c r="AU699" s="12" t="n"/>
      <c r="AV699" s="11" t="n"/>
      <c r="AW699" s="12" t="n"/>
      <c r="AX699" s="12" t="n"/>
      <c r="AY699" s="12" t="n"/>
      <c r="AZ699" s="12" t="n"/>
      <c r="BA699" s="12" t="n"/>
      <c r="BB699" s="12" t="n"/>
      <c r="BC699" s="12" t="n"/>
      <c r="BD699" s="12" t="n"/>
      <c r="BE699" s="12" t="n"/>
      <c r="BF699" s="12" t="n"/>
    </row>
    <row r="700">
      <c r="A700" s="7">
        <f>IF(B700="","","INS-"&amp;TEXT(ROW()-3,"000"))</f>
        <v/>
      </c>
      <c r="B700" s="11" t="n"/>
      <c r="C700" s="7">
        <f>IF(B700="","",ISOWEEKNUM(B700))</f>
        <v/>
      </c>
      <c r="D700" s="7">
        <f>IF(B700="","",TEXT(B700,"yyyy-mm"))</f>
        <v/>
      </c>
      <c r="E700" s="12" t="n"/>
      <c r="F700" s="12" t="n"/>
      <c r="G700" s="7">
        <f>IF(OR(E700="",F700=""),"",IF(COUNTIF(Cluster_Master!$I$3:$I$17,E700&amp;"|"&amp;F700)=1,"Valid","Review"))</f>
        <v/>
      </c>
      <c r="H700" s="7">
        <f>IF($G700&lt;&gt;"Valid","",VLOOKUP($E700&amp;"|"&amp;$F700,Cluster_Master!$I$3:$H$17,3,FALSE))</f>
        <v/>
      </c>
      <c r="I700" s="7">
        <f>IF($G700&lt;&gt;"Valid","",VLOOKUP($E700&amp;"|"&amp;$F700,Cluster_Master!$I$3:$H$17,4,FALSE))</f>
        <v/>
      </c>
      <c r="J700" s="7">
        <f>IF($G700&lt;&gt;"Valid","",VLOOKUP($E700&amp;"|"&amp;$F700,Cluster_Master!$I$3:$H$17,5,FALSE))</f>
        <v/>
      </c>
      <c r="K700" s="7">
        <f>IF($G700&lt;&gt;"Valid","",VLOOKUP($E700&amp;"|"&amp;$F700,Cluster_Master!$I$3:$H$17,6,FALSE))</f>
        <v/>
      </c>
      <c r="L700" s="7">
        <f>IF($G700&lt;&gt;"Valid","",VLOOKUP($E700&amp;"|"&amp;$F700,Cluster_Master!$I$3:$H$17,7,FALSE))</f>
        <v/>
      </c>
      <c r="M700" s="7">
        <f>IF($G700&lt;&gt;"Valid","",VLOOKUP($E700&amp;"|"&amp;$F700,Cluster_Master!$I$3:$H$17,8,FALSE))</f>
        <v/>
      </c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7">
        <f>IF(COUNT(T700:AH700)=0,"",SUM(T700:AH700))</f>
        <v/>
      </c>
      <c r="AJ700" s="10">
        <f>IF(AI700="","",AI700/75)</f>
        <v/>
      </c>
      <c r="AK700" s="10">
        <f>IF(AI700="","",SUMPRODUCT(T700:AH700,KPI_Weights!$B$3:$B$17)/5)</f>
        <v/>
      </c>
      <c r="AL700" s="7">
        <f>IF(COUNT(T700:AH700)=0,"",IF(OR(T700&lt;=1,W700&lt;=1,X700&lt;=1,Y700&lt;=1,AB700&lt;=1),"YES","NO"))</f>
        <v/>
      </c>
      <c r="AM700" s="7">
        <f>IF(AK700="","",IF(AND(AK700="NO",AJ700&gt;=0.85),"YES","NO"))</f>
        <v/>
      </c>
      <c r="AN700" s="7">
        <f>IF(AJ700="","",IF(AJ700&gt;=0.90,"Excellent",IF(AJ700&gt;=0.80,"Good",IF(AJ700&gt;=0.70,"Fair","Poor"))))</f>
        <v/>
      </c>
      <c r="AO700" s="12" t="n"/>
      <c r="AP700" s="12" t="n"/>
      <c r="AQ700" s="12" t="n"/>
      <c r="AR700" s="12" t="n"/>
      <c r="AS700" s="12" t="n"/>
      <c r="AT700" s="12" t="n"/>
      <c r="AU700" s="12" t="n"/>
      <c r="AV700" s="11" t="n"/>
      <c r="AW700" s="12" t="n"/>
      <c r="AX700" s="12" t="n"/>
      <c r="AY700" s="12" t="n"/>
      <c r="AZ700" s="12" t="n"/>
      <c r="BA700" s="12" t="n"/>
      <c r="BB700" s="12" t="n"/>
      <c r="BC700" s="12" t="n"/>
      <c r="BD700" s="12" t="n"/>
      <c r="BE700" s="12" t="n"/>
      <c r="BF700" s="12" t="n"/>
    </row>
    <row r="701">
      <c r="A701" s="7">
        <f>IF(B701="","","INS-"&amp;TEXT(ROW()-3,"000"))</f>
        <v/>
      </c>
      <c r="B701" s="11" t="n"/>
      <c r="C701" s="7">
        <f>IF(B701="","",ISOWEEKNUM(B701))</f>
        <v/>
      </c>
      <c r="D701" s="7">
        <f>IF(B701="","",TEXT(B701,"yyyy-mm"))</f>
        <v/>
      </c>
      <c r="E701" s="12" t="n"/>
      <c r="F701" s="12" t="n"/>
      <c r="G701" s="7">
        <f>IF(OR(E701="",F701=""),"",IF(COUNTIF(Cluster_Master!$I$3:$I$17,E701&amp;"|"&amp;F701)=1,"Valid","Review"))</f>
        <v/>
      </c>
      <c r="H701" s="7">
        <f>IF($G701&lt;&gt;"Valid","",VLOOKUP($E701&amp;"|"&amp;$F701,Cluster_Master!$I$3:$H$17,3,FALSE))</f>
        <v/>
      </c>
      <c r="I701" s="7">
        <f>IF($G701&lt;&gt;"Valid","",VLOOKUP($E701&amp;"|"&amp;$F701,Cluster_Master!$I$3:$H$17,4,FALSE))</f>
        <v/>
      </c>
      <c r="J701" s="7">
        <f>IF($G701&lt;&gt;"Valid","",VLOOKUP($E701&amp;"|"&amp;$F701,Cluster_Master!$I$3:$H$17,5,FALSE))</f>
        <v/>
      </c>
      <c r="K701" s="7">
        <f>IF($G701&lt;&gt;"Valid","",VLOOKUP($E701&amp;"|"&amp;$F701,Cluster_Master!$I$3:$H$17,6,FALSE))</f>
        <v/>
      </c>
      <c r="L701" s="7">
        <f>IF($G701&lt;&gt;"Valid","",VLOOKUP($E701&amp;"|"&amp;$F701,Cluster_Master!$I$3:$H$17,7,FALSE))</f>
        <v/>
      </c>
      <c r="M701" s="7">
        <f>IF($G701&lt;&gt;"Valid","",VLOOKUP($E701&amp;"|"&amp;$F701,Cluster_Master!$I$3:$H$17,8,FALSE))</f>
        <v/>
      </c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7">
        <f>IF(COUNT(T701:AH701)=0,"",SUM(T701:AH701))</f>
        <v/>
      </c>
      <c r="AJ701" s="10">
        <f>IF(AI701="","",AI701/75)</f>
        <v/>
      </c>
      <c r="AK701" s="10">
        <f>IF(AI701="","",SUMPRODUCT(T701:AH701,KPI_Weights!$B$3:$B$17)/5)</f>
        <v/>
      </c>
      <c r="AL701" s="7">
        <f>IF(COUNT(T701:AH701)=0,"",IF(OR(T701&lt;=1,W701&lt;=1,X701&lt;=1,Y701&lt;=1,AB701&lt;=1),"YES","NO"))</f>
        <v/>
      </c>
      <c r="AM701" s="7">
        <f>IF(AK701="","",IF(AND(AK701="NO",AJ701&gt;=0.85),"YES","NO"))</f>
        <v/>
      </c>
      <c r="AN701" s="7">
        <f>IF(AJ701="","",IF(AJ701&gt;=0.90,"Excellent",IF(AJ701&gt;=0.80,"Good",IF(AJ701&gt;=0.70,"Fair","Poor"))))</f>
        <v/>
      </c>
      <c r="AO701" s="12" t="n"/>
      <c r="AP701" s="12" t="n"/>
      <c r="AQ701" s="12" t="n"/>
      <c r="AR701" s="12" t="n"/>
      <c r="AS701" s="12" t="n"/>
      <c r="AT701" s="12" t="n"/>
      <c r="AU701" s="12" t="n"/>
      <c r="AV701" s="11" t="n"/>
      <c r="AW701" s="12" t="n"/>
      <c r="AX701" s="12" t="n"/>
      <c r="AY701" s="12" t="n"/>
      <c r="AZ701" s="12" t="n"/>
      <c r="BA701" s="12" t="n"/>
      <c r="BB701" s="12" t="n"/>
      <c r="BC701" s="12" t="n"/>
      <c r="BD701" s="12" t="n"/>
      <c r="BE701" s="12" t="n"/>
      <c r="BF701" s="12" t="n"/>
    </row>
    <row r="702">
      <c r="A702" s="7">
        <f>IF(B702="","","INS-"&amp;TEXT(ROW()-3,"000"))</f>
        <v/>
      </c>
      <c r="B702" s="11" t="n"/>
      <c r="C702" s="7">
        <f>IF(B702="","",ISOWEEKNUM(B702))</f>
        <v/>
      </c>
      <c r="D702" s="7">
        <f>IF(B702="","",TEXT(B702,"yyyy-mm"))</f>
        <v/>
      </c>
      <c r="E702" s="12" t="n"/>
      <c r="F702" s="12" t="n"/>
      <c r="G702" s="7">
        <f>IF(OR(E702="",F702=""),"",IF(COUNTIF(Cluster_Master!$I$3:$I$17,E702&amp;"|"&amp;F702)=1,"Valid","Review"))</f>
        <v/>
      </c>
      <c r="H702" s="7">
        <f>IF($G702&lt;&gt;"Valid","",VLOOKUP($E702&amp;"|"&amp;$F702,Cluster_Master!$I$3:$H$17,3,FALSE))</f>
        <v/>
      </c>
      <c r="I702" s="7">
        <f>IF($G702&lt;&gt;"Valid","",VLOOKUP($E702&amp;"|"&amp;$F702,Cluster_Master!$I$3:$H$17,4,FALSE))</f>
        <v/>
      </c>
      <c r="J702" s="7">
        <f>IF($G702&lt;&gt;"Valid","",VLOOKUP($E702&amp;"|"&amp;$F702,Cluster_Master!$I$3:$H$17,5,FALSE))</f>
        <v/>
      </c>
      <c r="K702" s="7">
        <f>IF($G702&lt;&gt;"Valid","",VLOOKUP($E702&amp;"|"&amp;$F702,Cluster_Master!$I$3:$H$17,6,FALSE))</f>
        <v/>
      </c>
      <c r="L702" s="7">
        <f>IF($G702&lt;&gt;"Valid","",VLOOKUP($E702&amp;"|"&amp;$F702,Cluster_Master!$I$3:$H$17,7,FALSE))</f>
        <v/>
      </c>
      <c r="M702" s="7">
        <f>IF($G702&lt;&gt;"Valid","",VLOOKUP($E702&amp;"|"&amp;$F702,Cluster_Master!$I$3:$H$17,8,FALSE))</f>
        <v/>
      </c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7">
        <f>IF(COUNT(T702:AH702)=0,"",SUM(T702:AH702))</f>
        <v/>
      </c>
      <c r="AJ702" s="10">
        <f>IF(AI702="","",AI702/75)</f>
        <v/>
      </c>
      <c r="AK702" s="10">
        <f>IF(AI702="","",SUMPRODUCT(T702:AH702,KPI_Weights!$B$3:$B$17)/5)</f>
        <v/>
      </c>
      <c r="AL702" s="7">
        <f>IF(COUNT(T702:AH702)=0,"",IF(OR(T702&lt;=1,W702&lt;=1,X702&lt;=1,Y702&lt;=1,AB702&lt;=1),"YES","NO"))</f>
        <v/>
      </c>
      <c r="AM702" s="7">
        <f>IF(AK702="","",IF(AND(AK702="NO",AJ702&gt;=0.85),"YES","NO"))</f>
        <v/>
      </c>
      <c r="AN702" s="7">
        <f>IF(AJ702="","",IF(AJ702&gt;=0.90,"Excellent",IF(AJ702&gt;=0.80,"Good",IF(AJ702&gt;=0.70,"Fair","Poor"))))</f>
        <v/>
      </c>
      <c r="AO702" s="12" t="n"/>
      <c r="AP702" s="12" t="n"/>
      <c r="AQ702" s="12" t="n"/>
      <c r="AR702" s="12" t="n"/>
      <c r="AS702" s="12" t="n"/>
      <c r="AT702" s="12" t="n"/>
      <c r="AU702" s="12" t="n"/>
      <c r="AV702" s="11" t="n"/>
      <c r="AW702" s="12" t="n"/>
      <c r="AX702" s="12" t="n"/>
      <c r="AY702" s="12" t="n"/>
      <c r="AZ702" s="12" t="n"/>
      <c r="BA702" s="12" t="n"/>
      <c r="BB702" s="12" t="n"/>
      <c r="BC702" s="12" t="n"/>
      <c r="BD702" s="12" t="n"/>
      <c r="BE702" s="12" t="n"/>
      <c r="BF702" s="12" t="n"/>
    </row>
    <row r="703">
      <c r="A703" s="7">
        <f>IF(B703="","","INS-"&amp;TEXT(ROW()-3,"000"))</f>
        <v/>
      </c>
      <c r="B703" s="11" t="n"/>
      <c r="C703" s="7">
        <f>IF(B703="","",ISOWEEKNUM(B703))</f>
        <v/>
      </c>
      <c r="D703" s="7">
        <f>IF(B703="","",TEXT(B703,"yyyy-mm"))</f>
        <v/>
      </c>
      <c r="E703" s="12" t="n"/>
      <c r="F703" s="12" t="n"/>
      <c r="G703" s="7">
        <f>IF(OR(E703="",F703=""),"",IF(COUNTIF(Cluster_Master!$I$3:$I$17,E703&amp;"|"&amp;F703)=1,"Valid","Review"))</f>
        <v/>
      </c>
      <c r="H703" s="7">
        <f>IF($G703&lt;&gt;"Valid","",VLOOKUP($E703&amp;"|"&amp;$F703,Cluster_Master!$I$3:$H$17,3,FALSE))</f>
        <v/>
      </c>
      <c r="I703" s="7">
        <f>IF($G703&lt;&gt;"Valid","",VLOOKUP($E703&amp;"|"&amp;$F703,Cluster_Master!$I$3:$H$17,4,FALSE))</f>
        <v/>
      </c>
      <c r="J703" s="7">
        <f>IF($G703&lt;&gt;"Valid","",VLOOKUP($E703&amp;"|"&amp;$F703,Cluster_Master!$I$3:$H$17,5,FALSE))</f>
        <v/>
      </c>
      <c r="K703" s="7">
        <f>IF($G703&lt;&gt;"Valid","",VLOOKUP($E703&amp;"|"&amp;$F703,Cluster_Master!$I$3:$H$17,6,FALSE))</f>
        <v/>
      </c>
      <c r="L703" s="7">
        <f>IF($G703&lt;&gt;"Valid","",VLOOKUP($E703&amp;"|"&amp;$F703,Cluster_Master!$I$3:$H$17,7,FALSE))</f>
        <v/>
      </c>
      <c r="M703" s="7">
        <f>IF($G703&lt;&gt;"Valid","",VLOOKUP($E703&amp;"|"&amp;$F703,Cluster_Master!$I$3:$H$17,8,FALSE))</f>
        <v/>
      </c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7">
        <f>IF(COUNT(T703:AH703)=0,"",SUM(T703:AH703))</f>
        <v/>
      </c>
      <c r="AJ703" s="10">
        <f>IF(AI703="","",AI703/75)</f>
        <v/>
      </c>
      <c r="AK703" s="10">
        <f>IF(AI703="","",SUMPRODUCT(T703:AH703,KPI_Weights!$B$3:$B$17)/5)</f>
        <v/>
      </c>
      <c r="AL703" s="7">
        <f>IF(COUNT(T703:AH703)=0,"",IF(OR(T703&lt;=1,W703&lt;=1,X703&lt;=1,Y703&lt;=1,AB703&lt;=1),"YES","NO"))</f>
        <v/>
      </c>
      <c r="AM703" s="7">
        <f>IF(AK703="","",IF(AND(AK703="NO",AJ703&gt;=0.85),"YES","NO"))</f>
        <v/>
      </c>
      <c r="AN703" s="7">
        <f>IF(AJ703="","",IF(AJ703&gt;=0.90,"Excellent",IF(AJ703&gt;=0.80,"Good",IF(AJ703&gt;=0.70,"Fair","Poor"))))</f>
        <v/>
      </c>
      <c r="AO703" s="12" t="n"/>
      <c r="AP703" s="12" t="n"/>
      <c r="AQ703" s="12" t="n"/>
      <c r="AR703" s="12" t="n"/>
      <c r="AS703" s="12" t="n"/>
      <c r="AT703" s="12" t="n"/>
      <c r="AU703" s="12" t="n"/>
      <c r="AV703" s="11" t="n"/>
      <c r="AW703" s="12" t="n"/>
      <c r="AX703" s="12" t="n"/>
      <c r="AY703" s="12" t="n"/>
      <c r="AZ703" s="12" t="n"/>
      <c r="BA703" s="12" t="n"/>
      <c r="BB703" s="12" t="n"/>
      <c r="BC703" s="12" t="n"/>
      <c r="BD703" s="12" t="n"/>
      <c r="BE703" s="12" t="n"/>
      <c r="BF703" s="12" t="n"/>
    </row>
    <row r="704">
      <c r="A704" s="7">
        <f>IF(B704="","","INS-"&amp;TEXT(ROW()-3,"000"))</f>
        <v/>
      </c>
      <c r="B704" s="11" t="n"/>
      <c r="C704" s="7">
        <f>IF(B704="","",ISOWEEKNUM(B704))</f>
        <v/>
      </c>
      <c r="D704" s="7">
        <f>IF(B704="","",TEXT(B704,"yyyy-mm"))</f>
        <v/>
      </c>
      <c r="E704" s="12" t="n"/>
      <c r="F704" s="12" t="n"/>
      <c r="G704" s="7">
        <f>IF(OR(E704="",F704=""),"",IF(COUNTIF(Cluster_Master!$I$3:$I$17,E704&amp;"|"&amp;F704)=1,"Valid","Review"))</f>
        <v/>
      </c>
      <c r="H704" s="7">
        <f>IF($G704&lt;&gt;"Valid","",VLOOKUP($E704&amp;"|"&amp;$F704,Cluster_Master!$I$3:$H$17,3,FALSE))</f>
        <v/>
      </c>
      <c r="I704" s="7">
        <f>IF($G704&lt;&gt;"Valid","",VLOOKUP($E704&amp;"|"&amp;$F704,Cluster_Master!$I$3:$H$17,4,FALSE))</f>
        <v/>
      </c>
      <c r="J704" s="7">
        <f>IF($G704&lt;&gt;"Valid","",VLOOKUP($E704&amp;"|"&amp;$F704,Cluster_Master!$I$3:$H$17,5,FALSE))</f>
        <v/>
      </c>
      <c r="K704" s="7">
        <f>IF($G704&lt;&gt;"Valid","",VLOOKUP($E704&amp;"|"&amp;$F704,Cluster_Master!$I$3:$H$17,6,FALSE))</f>
        <v/>
      </c>
      <c r="L704" s="7">
        <f>IF($G704&lt;&gt;"Valid","",VLOOKUP($E704&amp;"|"&amp;$F704,Cluster_Master!$I$3:$H$17,7,FALSE))</f>
        <v/>
      </c>
      <c r="M704" s="7">
        <f>IF($G704&lt;&gt;"Valid","",VLOOKUP($E704&amp;"|"&amp;$F704,Cluster_Master!$I$3:$H$17,8,FALSE))</f>
        <v/>
      </c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7">
        <f>IF(COUNT(T704:AH704)=0,"",SUM(T704:AH704))</f>
        <v/>
      </c>
      <c r="AJ704" s="10">
        <f>IF(AI704="","",AI704/75)</f>
        <v/>
      </c>
      <c r="AK704" s="10">
        <f>IF(AI704="","",SUMPRODUCT(T704:AH704,KPI_Weights!$B$3:$B$17)/5)</f>
        <v/>
      </c>
      <c r="AL704" s="7">
        <f>IF(COUNT(T704:AH704)=0,"",IF(OR(T704&lt;=1,W704&lt;=1,X704&lt;=1,Y704&lt;=1,AB704&lt;=1),"YES","NO"))</f>
        <v/>
      </c>
      <c r="AM704" s="7">
        <f>IF(AK704="","",IF(AND(AK704="NO",AJ704&gt;=0.85),"YES","NO"))</f>
        <v/>
      </c>
      <c r="AN704" s="7">
        <f>IF(AJ704="","",IF(AJ704&gt;=0.90,"Excellent",IF(AJ704&gt;=0.80,"Good",IF(AJ704&gt;=0.70,"Fair","Poor"))))</f>
        <v/>
      </c>
      <c r="AO704" s="12" t="n"/>
      <c r="AP704" s="12" t="n"/>
      <c r="AQ704" s="12" t="n"/>
      <c r="AR704" s="12" t="n"/>
      <c r="AS704" s="12" t="n"/>
      <c r="AT704" s="12" t="n"/>
      <c r="AU704" s="12" t="n"/>
      <c r="AV704" s="11" t="n"/>
      <c r="AW704" s="12" t="n"/>
      <c r="AX704" s="12" t="n"/>
      <c r="AY704" s="12" t="n"/>
      <c r="AZ704" s="12" t="n"/>
      <c r="BA704" s="12" t="n"/>
      <c r="BB704" s="12" t="n"/>
      <c r="BC704" s="12" t="n"/>
      <c r="BD704" s="12" t="n"/>
      <c r="BE704" s="12" t="n"/>
      <c r="BF704" s="12" t="n"/>
    </row>
    <row r="705">
      <c r="A705" s="7">
        <f>IF(B705="","","INS-"&amp;TEXT(ROW()-3,"000"))</f>
        <v/>
      </c>
      <c r="B705" s="11" t="n"/>
      <c r="C705" s="7">
        <f>IF(B705="","",ISOWEEKNUM(B705))</f>
        <v/>
      </c>
      <c r="D705" s="7">
        <f>IF(B705="","",TEXT(B705,"yyyy-mm"))</f>
        <v/>
      </c>
      <c r="E705" s="12" t="n"/>
      <c r="F705" s="12" t="n"/>
      <c r="G705" s="7">
        <f>IF(OR(E705="",F705=""),"",IF(COUNTIF(Cluster_Master!$I$3:$I$17,E705&amp;"|"&amp;F705)=1,"Valid","Review"))</f>
        <v/>
      </c>
      <c r="H705" s="7">
        <f>IF($G705&lt;&gt;"Valid","",VLOOKUP($E705&amp;"|"&amp;$F705,Cluster_Master!$I$3:$H$17,3,FALSE))</f>
        <v/>
      </c>
      <c r="I705" s="7">
        <f>IF($G705&lt;&gt;"Valid","",VLOOKUP($E705&amp;"|"&amp;$F705,Cluster_Master!$I$3:$H$17,4,FALSE))</f>
        <v/>
      </c>
      <c r="J705" s="7">
        <f>IF($G705&lt;&gt;"Valid","",VLOOKUP($E705&amp;"|"&amp;$F705,Cluster_Master!$I$3:$H$17,5,FALSE))</f>
        <v/>
      </c>
      <c r="K705" s="7">
        <f>IF($G705&lt;&gt;"Valid","",VLOOKUP($E705&amp;"|"&amp;$F705,Cluster_Master!$I$3:$H$17,6,FALSE))</f>
        <v/>
      </c>
      <c r="L705" s="7">
        <f>IF($G705&lt;&gt;"Valid","",VLOOKUP($E705&amp;"|"&amp;$F705,Cluster_Master!$I$3:$H$17,7,FALSE))</f>
        <v/>
      </c>
      <c r="M705" s="7">
        <f>IF($G705&lt;&gt;"Valid","",VLOOKUP($E705&amp;"|"&amp;$F705,Cluster_Master!$I$3:$H$17,8,FALSE))</f>
        <v/>
      </c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7">
        <f>IF(COUNT(T705:AH705)=0,"",SUM(T705:AH705))</f>
        <v/>
      </c>
      <c r="AJ705" s="10">
        <f>IF(AI705="","",AI705/75)</f>
        <v/>
      </c>
      <c r="AK705" s="10">
        <f>IF(AI705="","",SUMPRODUCT(T705:AH705,KPI_Weights!$B$3:$B$17)/5)</f>
        <v/>
      </c>
      <c r="AL705" s="7">
        <f>IF(COUNT(T705:AH705)=0,"",IF(OR(T705&lt;=1,W705&lt;=1,X705&lt;=1,Y705&lt;=1,AB705&lt;=1),"YES","NO"))</f>
        <v/>
      </c>
      <c r="AM705" s="7">
        <f>IF(AK705="","",IF(AND(AK705="NO",AJ705&gt;=0.85),"YES","NO"))</f>
        <v/>
      </c>
      <c r="AN705" s="7">
        <f>IF(AJ705="","",IF(AJ705&gt;=0.90,"Excellent",IF(AJ705&gt;=0.80,"Good",IF(AJ705&gt;=0.70,"Fair","Poor"))))</f>
        <v/>
      </c>
      <c r="AO705" s="12" t="n"/>
      <c r="AP705" s="12" t="n"/>
      <c r="AQ705" s="12" t="n"/>
      <c r="AR705" s="12" t="n"/>
      <c r="AS705" s="12" t="n"/>
      <c r="AT705" s="12" t="n"/>
      <c r="AU705" s="12" t="n"/>
      <c r="AV705" s="11" t="n"/>
      <c r="AW705" s="12" t="n"/>
      <c r="AX705" s="12" t="n"/>
      <c r="AY705" s="12" t="n"/>
      <c r="AZ705" s="12" t="n"/>
      <c r="BA705" s="12" t="n"/>
      <c r="BB705" s="12" t="n"/>
      <c r="BC705" s="12" t="n"/>
      <c r="BD705" s="12" t="n"/>
      <c r="BE705" s="12" t="n"/>
      <c r="BF705" s="12" t="n"/>
    </row>
    <row r="706">
      <c r="A706" s="7">
        <f>IF(B706="","","INS-"&amp;TEXT(ROW()-3,"000"))</f>
        <v/>
      </c>
      <c r="B706" s="11" t="n"/>
      <c r="C706" s="7">
        <f>IF(B706="","",ISOWEEKNUM(B706))</f>
        <v/>
      </c>
      <c r="D706" s="7">
        <f>IF(B706="","",TEXT(B706,"yyyy-mm"))</f>
        <v/>
      </c>
      <c r="E706" s="12" t="n"/>
      <c r="F706" s="12" t="n"/>
      <c r="G706" s="7">
        <f>IF(OR(E706="",F706=""),"",IF(COUNTIF(Cluster_Master!$I$3:$I$17,E706&amp;"|"&amp;F706)=1,"Valid","Review"))</f>
        <v/>
      </c>
      <c r="H706" s="7">
        <f>IF($G706&lt;&gt;"Valid","",VLOOKUP($E706&amp;"|"&amp;$F706,Cluster_Master!$I$3:$H$17,3,FALSE))</f>
        <v/>
      </c>
      <c r="I706" s="7">
        <f>IF($G706&lt;&gt;"Valid","",VLOOKUP($E706&amp;"|"&amp;$F706,Cluster_Master!$I$3:$H$17,4,FALSE))</f>
        <v/>
      </c>
      <c r="J706" s="7">
        <f>IF($G706&lt;&gt;"Valid","",VLOOKUP($E706&amp;"|"&amp;$F706,Cluster_Master!$I$3:$H$17,5,FALSE))</f>
        <v/>
      </c>
      <c r="K706" s="7">
        <f>IF($G706&lt;&gt;"Valid","",VLOOKUP($E706&amp;"|"&amp;$F706,Cluster_Master!$I$3:$H$17,6,FALSE))</f>
        <v/>
      </c>
      <c r="L706" s="7">
        <f>IF($G706&lt;&gt;"Valid","",VLOOKUP($E706&amp;"|"&amp;$F706,Cluster_Master!$I$3:$H$17,7,FALSE))</f>
        <v/>
      </c>
      <c r="M706" s="7">
        <f>IF($G706&lt;&gt;"Valid","",VLOOKUP($E706&amp;"|"&amp;$F706,Cluster_Master!$I$3:$H$17,8,FALSE))</f>
        <v/>
      </c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7">
        <f>IF(COUNT(T706:AH706)=0,"",SUM(T706:AH706))</f>
        <v/>
      </c>
      <c r="AJ706" s="10">
        <f>IF(AI706="","",AI706/75)</f>
        <v/>
      </c>
      <c r="AK706" s="10">
        <f>IF(AI706="","",SUMPRODUCT(T706:AH706,KPI_Weights!$B$3:$B$17)/5)</f>
        <v/>
      </c>
      <c r="AL706" s="7">
        <f>IF(COUNT(T706:AH706)=0,"",IF(OR(T706&lt;=1,W706&lt;=1,X706&lt;=1,Y706&lt;=1,AB706&lt;=1),"YES","NO"))</f>
        <v/>
      </c>
      <c r="AM706" s="7">
        <f>IF(AK706="","",IF(AND(AK706="NO",AJ706&gt;=0.85),"YES","NO"))</f>
        <v/>
      </c>
      <c r="AN706" s="7">
        <f>IF(AJ706="","",IF(AJ706&gt;=0.90,"Excellent",IF(AJ706&gt;=0.80,"Good",IF(AJ706&gt;=0.70,"Fair","Poor"))))</f>
        <v/>
      </c>
      <c r="AO706" s="12" t="n"/>
      <c r="AP706" s="12" t="n"/>
      <c r="AQ706" s="12" t="n"/>
      <c r="AR706" s="12" t="n"/>
      <c r="AS706" s="12" t="n"/>
      <c r="AT706" s="12" t="n"/>
      <c r="AU706" s="12" t="n"/>
      <c r="AV706" s="11" t="n"/>
      <c r="AW706" s="12" t="n"/>
      <c r="AX706" s="12" t="n"/>
      <c r="AY706" s="12" t="n"/>
      <c r="AZ706" s="12" t="n"/>
      <c r="BA706" s="12" t="n"/>
      <c r="BB706" s="12" t="n"/>
      <c r="BC706" s="12" t="n"/>
      <c r="BD706" s="12" t="n"/>
      <c r="BE706" s="12" t="n"/>
      <c r="BF706" s="12" t="n"/>
    </row>
    <row r="707">
      <c r="A707" s="7">
        <f>IF(B707="","","INS-"&amp;TEXT(ROW()-3,"000"))</f>
        <v/>
      </c>
      <c r="B707" s="11" t="n"/>
      <c r="C707" s="7">
        <f>IF(B707="","",ISOWEEKNUM(B707))</f>
        <v/>
      </c>
      <c r="D707" s="7">
        <f>IF(B707="","",TEXT(B707,"yyyy-mm"))</f>
        <v/>
      </c>
      <c r="E707" s="12" t="n"/>
      <c r="F707" s="12" t="n"/>
      <c r="G707" s="7">
        <f>IF(OR(E707="",F707=""),"",IF(COUNTIF(Cluster_Master!$I$3:$I$17,E707&amp;"|"&amp;F707)=1,"Valid","Review"))</f>
        <v/>
      </c>
      <c r="H707" s="7">
        <f>IF($G707&lt;&gt;"Valid","",VLOOKUP($E707&amp;"|"&amp;$F707,Cluster_Master!$I$3:$H$17,3,FALSE))</f>
        <v/>
      </c>
      <c r="I707" s="7">
        <f>IF($G707&lt;&gt;"Valid","",VLOOKUP($E707&amp;"|"&amp;$F707,Cluster_Master!$I$3:$H$17,4,FALSE))</f>
        <v/>
      </c>
      <c r="J707" s="7">
        <f>IF($G707&lt;&gt;"Valid","",VLOOKUP($E707&amp;"|"&amp;$F707,Cluster_Master!$I$3:$H$17,5,FALSE))</f>
        <v/>
      </c>
      <c r="K707" s="7">
        <f>IF($G707&lt;&gt;"Valid","",VLOOKUP($E707&amp;"|"&amp;$F707,Cluster_Master!$I$3:$H$17,6,FALSE))</f>
        <v/>
      </c>
      <c r="L707" s="7">
        <f>IF($G707&lt;&gt;"Valid","",VLOOKUP($E707&amp;"|"&amp;$F707,Cluster_Master!$I$3:$H$17,7,FALSE))</f>
        <v/>
      </c>
      <c r="M707" s="7">
        <f>IF($G707&lt;&gt;"Valid","",VLOOKUP($E707&amp;"|"&amp;$F707,Cluster_Master!$I$3:$H$17,8,FALSE))</f>
        <v/>
      </c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7">
        <f>IF(COUNT(T707:AH707)=0,"",SUM(T707:AH707))</f>
        <v/>
      </c>
      <c r="AJ707" s="10">
        <f>IF(AI707="","",AI707/75)</f>
        <v/>
      </c>
      <c r="AK707" s="10">
        <f>IF(AI707="","",SUMPRODUCT(T707:AH707,KPI_Weights!$B$3:$B$17)/5)</f>
        <v/>
      </c>
      <c r="AL707" s="7">
        <f>IF(COUNT(T707:AH707)=0,"",IF(OR(T707&lt;=1,W707&lt;=1,X707&lt;=1,Y707&lt;=1,AB707&lt;=1),"YES","NO"))</f>
        <v/>
      </c>
      <c r="AM707" s="7">
        <f>IF(AK707="","",IF(AND(AK707="NO",AJ707&gt;=0.85),"YES","NO"))</f>
        <v/>
      </c>
      <c r="AN707" s="7">
        <f>IF(AJ707="","",IF(AJ707&gt;=0.90,"Excellent",IF(AJ707&gt;=0.80,"Good",IF(AJ707&gt;=0.70,"Fair","Poor"))))</f>
        <v/>
      </c>
      <c r="AO707" s="12" t="n"/>
      <c r="AP707" s="12" t="n"/>
      <c r="AQ707" s="12" t="n"/>
      <c r="AR707" s="12" t="n"/>
      <c r="AS707" s="12" t="n"/>
      <c r="AT707" s="12" t="n"/>
      <c r="AU707" s="12" t="n"/>
      <c r="AV707" s="11" t="n"/>
      <c r="AW707" s="12" t="n"/>
      <c r="AX707" s="12" t="n"/>
      <c r="AY707" s="12" t="n"/>
      <c r="AZ707" s="12" t="n"/>
      <c r="BA707" s="12" t="n"/>
      <c r="BB707" s="12" t="n"/>
      <c r="BC707" s="12" t="n"/>
      <c r="BD707" s="12" t="n"/>
      <c r="BE707" s="12" t="n"/>
      <c r="BF707" s="12" t="n"/>
    </row>
    <row r="708">
      <c r="A708" s="7">
        <f>IF(B708="","","INS-"&amp;TEXT(ROW()-3,"000"))</f>
        <v/>
      </c>
      <c r="B708" s="11" t="n"/>
      <c r="C708" s="7">
        <f>IF(B708="","",ISOWEEKNUM(B708))</f>
        <v/>
      </c>
      <c r="D708" s="7">
        <f>IF(B708="","",TEXT(B708,"yyyy-mm"))</f>
        <v/>
      </c>
      <c r="E708" s="12" t="n"/>
      <c r="F708" s="12" t="n"/>
      <c r="G708" s="7">
        <f>IF(OR(E708="",F708=""),"",IF(COUNTIF(Cluster_Master!$I$3:$I$17,E708&amp;"|"&amp;F708)=1,"Valid","Review"))</f>
        <v/>
      </c>
      <c r="H708" s="7">
        <f>IF($G708&lt;&gt;"Valid","",VLOOKUP($E708&amp;"|"&amp;$F708,Cluster_Master!$I$3:$H$17,3,FALSE))</f>
        <v/>
      </c>
      <c r="I708" s="7">
        <f>IF($G708&lt;&gt;"Valid","",VLOOKUP($E708&amp;"|"&amp;$F708,Cluster_Master!$I$3:$H$17,4,FALSE))</f>
        <v/>
      </c>
      <c r="J708" s="7">
        <f>IF($G708&lt;&gt;"Valid","",VLOOKUP($E708&amp;"|"&amp;$F708,Cluster_Master!$I$3:$H$17,5,FALSE))</f>
        <v/>
      </c>
      <c r="K708" s="7">
        <f>IF($G708&lt;&gt;"Valid","",VLOOKUP($E708&amp;"|"&amp;$F708,Cluster_Master!$I$3:$H$17,6,FALSE))</f>
        <v/>
      </c>
      <c r="L708" s="7">
        <f>IF($G708&lt;&gt;"Valid","",VLOOKUP($E708&amp;"|"&amp;$F708,Cluster_Master!$I$3:$H$17,7,FALSE))</f>
        <v/>
      </c>
      <c r="M708" s="7">
        <f>IF($G708&lt;&gt;"Valid","",VLOOKUP($E708&amp;"|"&amp;$F708,Cluster_Master!$I$3:$H$17,8,FALSE))</f>
        <v/>
      </c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7">
        <f>IF(COUNT(T708:AH708)=0,"",SUM(T708:AH708))</f>
        <v/>
      </c>
      <c r="AJ708" s="10">
        <f>IF(AI708="","",AI708/75)</f>
        <v/>
      </c>
      <c r="AK708" s="10">
        <f>IF(AI708="","",SUMPRODUCT(T708:AH708,KPI_Weights!$B$3:$B$17)/5)</f>
        <v/>
      </c>
      <c r="AL708" s="7">
        <f>IF(COUNT(T708:AH708)=0,"",IF(OR(T708&lt;=1,W708&lt;=1,X708&lt;=1,Y708&lt;=1,AB708&lt;=1),"YES","NO"))</f>
        <v/>
      </c>
      <c r="AM708" s="7">
        <f>IF(AK708="","",IF(AND(AK708="NO",AJ708&gt;=0.85),"YES","NO"))</f>
        <v/>
      </c>
      <c r="AN708" s="7">
        <f>IF(AJ708="","",IF(AJ708&gt;=0.90,"Excellent",IF(AJ708&gt;=0.80,"Good",IF(AJ708&gt;=0.70,"Fair","Poor"))))</f>
        <v/>
      </c>
      <c r="AO708" s="12" t="n"/>
      <c r="AP708" s="12" t="n"/>
      <c r="AQ708" s="12" t="n"/>
      <c r="AR708" s="12" t="n"/>
      <c r="AS708" s="12" t="n"/>
      <c r="AT708" s="12" t="n"/>
      <c r="AU708" s="12" t="n"/>
      <c r="AV708" s="11" t="n"/>
      <c r="AW708" s="12" t="n"/>
      <c r="AX708" s="12" t="n"/>
      <c r="AY708" s="12" t="n"/>
      <c r="AZ708" s="12" t="n"/>
      <c r="BA708" s="12" t="n"/>
      <c r="BB708" s="12" t="n"/>
      <c r="BC708" s="12" t="n"/>
      <c r="BD708" s="12" t="n"/>
      <c r="BE708" s="12" t="n"/>
      <c r="BF708" s="12" t="n"/>
    </row>
    <row r="709">
      <c r="A709" s="7">
        <f>IF(B709="","","INS-"&amp;TEXT(ROW()-3,"000"))</f>
        <v/>
      </c>
      <c r="B709" s="11" t="n"/>
      <c r="C709" s="7">
        <f>IF(B709="","",ISOWEEKNUM(B709))</f>
        <v/>
      </c>
      <c r="D709" s="7">
        <f>IF(B709="","",TEXT(B709,"yyyy-mm"))</f>
        <v/>
      </c>
      <c r="E709" s="12" t="n"/>
      <c r="F709" s="12" t="n"/>
      <c r="G709" s="7">
        <f>IF(OR(E709="",F709=""),"",IF(COUNTIF(Cluster_Master!$I$3:$I$17,E709&amp;"|"&amp;F709)=1,"Valid","Review"))</f>
        <v/>
      </c>
      <c r="H709" s="7">
        <f>IF($G709&lt;&gt;"Valid","",VLOOKUP($E709&amp;"|"&amp;$F709,Cluster_Master!$I$3:$H$17,3,FALSE))</f>
        <v/>
      </c>
      <c r="I709" s="7">
        <f>IF($G709&lt;&gt;"Valid","",VLOOKUP($E709&amp;"|"&amp;$F709,Cluster_Master!$I$3:$H$17,4,FALSE))</f>
        <v/>
      </c>
      <c r="J709" s="7">
        <f>IF($G709&lt;&gt;"Valid","",VLOOKUP($E709&amp;"|"&amp;$F709,Cluster_Master!$I$3:$H$17,5,FALSE))</f>
        <v/>
      </c>
      <c r="K709" s="7">
        <f>IF($G709&lt;&gt;"Valid","",VLOOKUP($E709&amp;"|"&amp;$F709,Cluster_Master!$I$3:$H$17,6,FALSE))</f>
        <v/>
      </c>
      <c r="L709" s="7">
        <f>IF($G709&lt;&gt;"Valid","",VLOOKUP($E709&amp;"|"&amp;$F709,Cluster_Master!$I$3:$H$17,7,FALSE))</f>
        <v/>
      </c>
      <c r="M709" s="7">
        <f>IF($G709&lt;&gt;"Valid","",VLOOKUP($E709&amp;"|"&amp;$F709,Cluster_Master!$I$3:$H$17,8,FALSE))</f>
        <v/>
      </c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7">
        <f>IF(COUNT(T709:AH709)=0,"",SUM(T709:AH709))</f>
        <v/>
      </c>
      <c r="AJ709" s="10">
        <f>IF(AI709="","",AI709/75)</f>
        <v/>
      </c>
      <c r="AK709" s="10">
        <f>IF(AI709="","",SUMPRODUCT(T709:AH709,KPI_Weights!$B$3:$B$17)/5)</f>
        <v/>
      </c>
      <c r="AL709" s="7">
        <f>IF(COUNT(T709:AH709)=0,"",IF(OR(T709&lt;=1,W709&lt;=1,X709&lt;=1,Y709&lt;=1,AB709&lt;=1),"YES","NO"))</f>
        <v/>
      </c>
      <c r="AM709" s="7">
        <f>IF(AK709="","",IF(AND(AK709="NO",AJ709&gt;=0.85),"YES","NO"))</f>
        <v/>
      </c>
      <c r="AN709" s="7">
        <f>IF(AJ709="","",IF(AJ709&gt;=0.90,"Excellent",IF(AJ709&gt;=0.80,"Good",IF(AJ709&gt;=0.70,"Fair","Poor"))))</f>
        <v/>
      </c>
      <c r="AO709" s="12" t="n"/>
      <c r="AP709" s="12" t="n"/>
      <c r="AQ709" s="12" t="n"/>
      <c r="AR709" s="12" t="n"/>
      <c r="AS709" s="12" t="n"/>
      <c r="AT709" s="12" t="n"/>
      <c r="AU709" s="12" t="n"/>
      <c r="AV709" s="11" t="n"/>
      <c r="AW709" s="12" t="n"/>
      <c r="AX709" s="12" t="n"/>
      <c r="AY709" s="12" t="n"/>
      <c r="AZ709" s="12" t="n"/>
      <c r="BA709" s="12" t="n"/>
      <c r="BB709" s="12" t="n"/>
      <c r="BC709" s="12" t="n"/>
      <c r="BD709" s="12" t="n"/>
      <c r="BE709" s="12" t="n"/>
      <c r="BF709" s="12" t="n"/>
    </row>
    <row r="710">
      <c r="A710" s="7">
        <f>IF(B710="","","INS-"&amp;TEXT(ROW()-3,"000"))</f>
        <v/>
      </c>
      <c r="B710" s="11" t="n"/>
      <c r="C710" s="7">
        <f>IF(B710="","",ISOWEEKNUM(B710))</f>
        <v/>
      </c>
      <c r="D710" s="7">
        <f>IF(B710="","",TEXT(B710,"yyyy-mm"))</f>
        <v/>
      </c>
      <c r="E710" s="12" t="n"/>
      <c r="F710" s="12" t="n"/>
      <c r="G710" s="7">
        <f>IF(OR(E710="",F710=""),"",IF(COUNTIF(Cluster_Master!$I$3:$I$17,E710&amp;"|"&amp;F710)=1,"Valid","Review"))</f>
        <v/>
      </c>
      <c r="H710" s="7">
        <f>IF($G710&lt;&gt;"Valid","",VLOOKUP($E710&amp;"|"&amp;$F710,Cluster_Master!$I$3:$H$17,3,FALSE))</f>
        <v/>
      </c>
      <c r="I710" s="7">
        <f>IF($G710&lt;&gt;"Valid","",VLOOKUP($E710&amp;"|"&amp;$F710,Cluster_Master!$I$3:$H$17,4,FALSE))</f>
        <v/>
      </c>
      <c r="J710" s="7">
        <f>IF($G710&lt;&gt;"Valid","",VLOOKUP($E710&amp;"|"&amp;$F710,Cluster_Master!$I$3:$H$17,5,FALSE))</f>
        <v/>
      </c>
      <c r="K710" s="7">
        <f>IF($G710&lt;&gt;"Valid","",VLOOKUP($E710&amp;"|"&amp;$F710,Cluster_Master!$I$3:$H$17,6,FALSE))</f>
        <v/>
      </c>
      <c r="L710" s="7">
        <f>IF($G710&lt;&gt;"Valid","",VLOOKUP($E710&amp;"|"&amp;$F710,Cluster_Master!$I$3:$H$17,7,FALSE))</f>
        <v/>
      </c>
      <c r="M710" s="7">
        <f>IF($G710&lt;&gt;"Valid","",VLOOKUP($E710&amp;"|"&amp;$F710,Cluster_Master!$I$3:$H$17,8,FALSE))</f>
        <v/>
      </c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7">
        <f>IF(COUNT(T710:AH710)=0,"",SUM(T710:AH710))</f>
        <v/>
      </c>
      <c r="AJ710" s="10">
        <f>IF(AI710="","",AI710/75)</f>
        <v/>
      </c>
      <c r="AK710" s="10">
        <f>IF(AI710="","",SUMPRODUCT(T710:AH710,KPI_Weights!$B$3:$B$17)/5)</f>
        <v/>
      </c>
      <c r="AL710" s="7">
        <f>IF(COUNT(T710:AH710)=0,"",IF(OR(T710&lt;=1,W710&lt;=1,X710&lt;=1,Y710&lt;=1,AB710&lt;=1),"YES","NO"))</f>
        <v/>
      </c>
      <c r="AM710" s="7">
        <f>IF(AK710="","",IF(AND(AK710="NO",AJ710&gt;=0.85),"YES","NO"))</f>
        <v/>
      </c>
      <c r="AN710" s="7">
        <f>IF(AJ710="","",IF(AJ710&gt;=0.90,"Excellent",IF(AJ710&gt;=0.80,"Good",IF(AJ710&gt;=0.70,"Fair","Poor"))))</f>
        <v/>
      </c>
      <c r="AO710" s="12" t="n"/>
      <c r="AP710" s="12" t="n"/>
      <c r="AQ710" s="12" t="n"/>
      <c r="AR710" s="12" t="n"/>
      <c r="AS710" s="12" t="n"/>
      <c r="AT710" s="12" t="n"/>
      <c r="AU710" s="12" t="n"/>
      <c r="AV710" s="11" t="n"/>
      <c r="AW710" s="12" t="n"/>
      <c r="AX710" s="12" t="n"/>
      <c r="AY710" s="12" t="n"/>
      <c r="AZ710" s="12" t="n"/>
      <c r="BA710" s="12" t="n"/>
      <c r="BB710" s="12" t="n"/>
      <c r="BC710" s="12" t="n"/>
      <c r="BD710" s="12" t="n"/>
      <c r="BE710" s="12" t="n"/>
      <c r="BF710" s="12" t="n"/>
    </row>
    <row r="711">
      <c r="A711" s="7">
        <f>IF(B711="","","INS-"&amp;TEXT(ROW()-3,"000"))</f>
        <v/>
      </c>
      <c r="B711" s="11" t="n"/>
      <c r="C711" s="7">
        <f>IF(B711="","",ISOWEEKNUM(B711))</f>
        <v/>
      </c>
      <c r="D711" s="7">
        <f>IF(B711="","",TEXT(B711,"yyyy-mm"))</f>
        <v/>
      </c>
      <c r="E711" s="12" t="n"/>
      <c r="F711" s="12" t="n"/>
      <c r="G711" s="7">
        <f>IF(OR(E711="",F711=""),"",IF(COUNTIF(Cluster_Master!$I$3:$I$17,E711&amp;"|"&amp;F711)=1,"Valid","Review"))</f>
        <v/>
      </c>
      <c r="H711" s="7">
        <f>IF($G711&lt;&gt;"Valid","",VLOOKUP($E711&amp;"|"&amp;$F711,Cluster_Master!$I$3:$H$17,3,FALSE))</f>
        <v/>
      </c>
      <c r="I711" s="7">
        <f>IF($G711&lt;&gt;"Valid","",VLOOKUP($E711&amp;"|"&amp;$F711,Cluster_Master!$I$3:$H$17,4,FALSE))</f>
        <v/>
      </c>
      <c r="J711" s="7">
        <f>IF($G711&lt;&gt;"Valid","",VLOOKUP($E711&amp;"|"&amp;$F711,Cluster_Master!$I$3:$H$17,5,FALSE))</f>
        <v/>
      </c>
      <c r="K711" s="7">
        <f>IF($G711&lt;&gt;"Valid","",VLOOKUP($E711&amp;"|"&amp;$F711,Cluster_Master!$I$3:$H$17,6,FALSE))</f>
        <v/>
      </c>
      <c r="L711" s="7">
        <f>IF($G711&lt;&gt;"Valid","",VLOOKUP($E711&amp;"|"&amp;$F711,Cluster_Master!$I$3:$H$17,7,FALSE))</f>
        <v/>
      </c>
      <c r="M711" s="7">
        <f>IF($G711&lt;&gt;"Valid","",VLOOKUP($E711&amp;"|"&amp;$F711,Cluster_Master!$I$3:$H$17,8,FALSE))</f>
        <v/>
      </c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7">
        <f>IF(COUNT(T711:AH711)=0,"",SUM(T711:AH711))</f>
        <v/>
      </c>
      <c r="AJ711" s="10">
        <f>IF(AI711="","",AI711/75)</f>
        <v/>
      </c>
      <c r="AK711" s="10">
        <f>IF(AI711="","",SUMPRODUCT(T711:AH711,KPI_Weights!$B$3:$B$17)/5)</f>
        <v/>
      </c>
      <c r="AL711" s="7">
        <f>IF(COUNT(T711:AH711)=0,"",IF(OR(T711&lt;=1,W711&lt;=1,X711&lt;=1,Y711&lt;=1,AB711&lt;=1),"YES","NO"))</f>
        <v/>
      </c>
      <c r="AM711" s="7">
        <f>IF(AK711="","",IF(AND(AK711="NO",AJ711&gt;=0.85),"YES","NO"))</f>
        <v/>
      </c>
      <c r="AN711" s="7">
        <f>IF(AJ711="","",IF(AJ711&gt;=0.90,"Excellent",IF(AJ711&gt;=0.80,"Good",IF(AJ711&gt;=0.70,"Fair","Poor"))))</f>
        <v/>
      </c>
      <c r="AO711" s="12" t="n"/>
      <c r="AP711" s="12" t="n"/>
      <c r="AQ711" s="12" t="n"/>
      <c r="AR711" s="12" t="n"/>
      <c r="AS711" s="12" t="n"/>
      <c r="AT711" s="12" t="n"/>
      <c r="AU711" s="12" t="n"/>
      <c r="AV711" s="11" t="n"/>
      <c r="AW711" s="12" t="n"/>
      <c r="AX711" s="12" t="n"/>
      <c r="AY711" s="12" t="n"/>
      <c r="AZ711" s="12" t="n"/>
      <c r="BA711" s="12" t="n"/>
      <c r="BB711" s="12" t="n"/>
      <c r="BC711" s="12" t="n"/>
      <c r="BD711" s="12" t="n"/>
      <c r="BE711" s="12" t="n"/>
      <c r="BF711" s="12" t="n"/>
    </row>
    <row r="712">
      <c r="A712" s="7">
        <f>IF(B712="","","INS-"&amp;TEXT(ROW()-3,"000"))</f>
        <v/>
      </c>
      <c r="B712" s="11" t="n"/>
      <c r="C712" s="7">
        <f>IF(B712="","",ISOWEEKNUM(B712))</f>
        <v/>
      </c>
      <c r="D712" s="7">
        <f>IF(B712="","",TEXT(B712,"yyyy-mm"))</f>
        <v/>
      </c>
      <c r="E712" s="12" t="n"/>
      <c r="F712" s="12" t="n"/>
      <c r="G712" s="7">
        <f>IF(OR(E712="",F712=""),"",IF(COUNTIF(Cluster_Master!$I$3:$I$17,E712&amp;"|"&amp;F712)=1,"Valid","Review"))</f>
        <v/>
      </c>
      <c r="H712" s="7">
        <f>IF($G712&lt;&gt;"Valid","",VLOOKUP($E712&amp;"|"&amp;$F712,Cluster_Master!$I$3:$H$17,3,FALSE))</f>
        <v/>
      </c>
      <c r="I712" s="7">
        <f>IF($G712&lt;&gt;"Valid","",VLOOKUP($E712&amp;"|"&amp;$F712,Cluster_Master!$I$3:$H$17,4,FALSE))</f>
        <v/>
      </c>
      <c r="J712" s="7">
        <f>IF($G712&lt;&gt;"Valid","",VLOOKUP($E712&amp;"|"&amp;$F712,Cluster_Master!$I$3:$H$17,5,FALSE))</f>
        <v/>
      </c>
      <c r="K712" s="7">
        <f>IF($G712&lt;&gt;"Valid","",VLOOKUP($E712&amp;"|"&amp;$F712,Cluster_Master!$I$3:$H$17,6,FALSE))</f>
        <v/>
      </c>
      <c r="L712" s="7">
        <f>IF($G712&lt;&gt;"Valid","",VLOOKUP($E712&amp;"|"&amp;$F712,Cluster_Master!$I$3:$H$17,7,FALSE))</f>
        <v/>
      </c>
      <c r="M712" s="7">
        <f>IF($G712&lt;&gt;"Valid","",VLOOKUP($E712&amp;"|"&amp;$F712,Cluster_Master!$I$3:$H$17,8,FALSE))</f>
        <v/>
      </c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7">
        <f>IF(COUNT(T712:AH712)=0,"",SUM(T712:AH712))</f>
        <v/>
      </c>
      <c r="AJ712" s="10">
        <f>IF(AI712="","",AI712/75)</f>
        <v/>
      </c>
      <c r="AK712" s="10">
        <f>IF(AI712="","",SUMPRODUCT(T712:AH712,KPI_Weights!$B$3:$B$17)/5)</f>
        <v/>
      </c>
      <c r="AL712" s="7">
        <f>IF(COUNT(T712:AH712)=0,"",IF(OR(T712&lt;=1,W712&lt;=1,X712&lt;=1,Y712&lt;=1,AB712&lt;=1),"YES","NO"))</f>
        <v/>
      </c>
      <c r="AM712" s="7">
        <f>IF(AK712="","",IF(AND(AK712="NO",AJ712&gt;=0.85),"YES","NO"))</f>
        <v/>
      </c>
      <c r="AN712" s="7">
        <f>IF(AJ712="","",IF(AJ712&gt;=0.90,"Excellent",IF(AJ712&gt;=0.80,"Good",IF(AJ712&gt;=0.70,"Fair","Poor"))))</f>
        <v/>
      </c>
      <c r="AO712" s="12" t="n"/>
      <c r="AP712" s="12" t="n"/>
      <c r="AQ712" s="12" t="n"/>
      <c r="AR712" s="12" t="n"/>
      <c r="AS712" s="12" t="n"/>
      <c r="AT712" s="12" t="n"/>
      <c r="AU712" s="12" t="n"/>
      <c r="AV712" s="11" t="n"/>
      <c r="AW712" s="12" t="n"/>
      <c r="AX712" s="12" t="n"/>
      <c r="AY712" s="12" t="n"/>
      <c r="AZ712" s="12" t="n"/>
      <c r="BA712" s="12" t="n"/>
      <c r="BB712" s="12" t="n"/>
      <c r="BC712" s="12" t="n"/>
      <c r="BD712" s="12" t="n"/>
      <c r="BE712" s="12" t="n"/>
      <c r="BF712" s="12" t="n"/>
    </row>
    <row r="713">
      <c r="A713" s="7">
        <f>IF(B713="","","INS-"&amp;TEXT(ROW()-3,"000"))</f>
        <v/>
      </c>
      <c r="B713" s="11" t="n"/>
      <c r="C713" s="7">
        <f>IF(B713="","",ISOWEEKNUM(B713))</f>
        <v/>
      </c>
      <c r="D713" s="7">
        <f>IF(B713="","",TEXT(B713,"yyyy-mm"))</f>
        <v/>
      </c>
      <c r="E713" s="12" t="n"/>
      <c r="F713" s="12" t="n"/>
      <c r="G713" s="7">
        <f>IF(OR(E713="",F713=""),"",IF(COUNTIF(Cluster_Master!$I$3:$I$17,E713&amp;"|"&amp;F713)=1,"Valid","Review"))</f>
        <v/>
      </c>
      <c r="H713" s="7">
        <f>IF($G713&lt;&gt;"Valid","",VLOOKUP($E713&amp;"|"&amp;$F713,Cluster_Master!$I$3:$H$17,3,FALSE))</f>
        <v/>
      </c>
      <c r="I713" s="7">
        <f>IF($G713&lt;&gt;"Valid","",VLOOKUP($E713&amp;"|"&amp;$F713,Cluster_Master!$I$3:$H$17,4,FALSE))</f>
        <v/>
      </c>
      <c r="J713" s="7">
        <f>IF($G713&lt;&gt;"Valid","",VLOOKUP($E713&amp;"|"&amp;$F713,Cluster_Master!$I$3:$H$17,5,FALSE))</f>
        <v/>
      </c>
      <c r="K713" s="7">
        <f>IF($G713&lt;&gt;"Valid","",VLOOKUP($E713&amp;"|"&amp;$F713,Cluster_Master!$I$3:$H$17,6,FALSE))</f>
        <v/>
      </c>
      <c r="L713" s="7">
        <f>IF($G713&lt;&gt;"Valid","",VLOOKUP($E713&amp;"|"&amp;$F713,Cluster_Master!$I$3:$H$17,7,FALSE))</f>
        <v/>
      </c>
      <c r="M713" s="7">
        <f>IF($G713&lt;&gt;"Valid","",VLOOKUP($E713&amp;"|"&amp;$F713,Cluster_Master!$I$3:$H$17,8,FALSE))</f>
        <v/>
      </c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7">
        <f>IF(COUNT(T713:AH713)=0,"",SUM(T713:AH713))</f>
        <v/>
      </c>
      <c r="AJ713" s="10">
        <f>IF(AI713="","",AI713/75)</f>
        <v/>
      </c>
      <c r="AK713" s="10">
        <f>IF(AI713="","",SUMPRODUCT(T713:AH713,KPI_Weights!$B$3:$B$17)/5)</f>
        <v/>
      </c>
      <c r="AL713" s="7">
        <f>IF(COUNT(T713:AH713)=0,"",IF(OR(T713&lt;=1,W713&lt;=1,X713&lt;=1,Y713&lt;=1,AB713&lt;=1),"YES","NO"))</f>
        <v/>
      </c>
      <c r="AM713" s="7">
        <f>IF(AK713="","",IF(AND(AK713="NO",AJ713&gt;=0.85),"YES","NO"))</f>
        <v/>
      </c>
      <c r="AN713" s="7">
        <f>IF(AJ713="","",IF(AJ713&gt;=0.90,"Excellent",IF(AJ713&gt;=0.80,"Good",IF(AJ713&gt;=0.70,"Fair","Poor"))))</f>
        <v/>
      </c>
      <c r="AO713" s="12" t="n"/>
      <c r="AP713" s="12" t="n"/>
      <c r="AQ713" s="12" t="n"/>
      <c r="AR713" s="12" t="n"/>
      <c r="AS713" s="12" t="n"/>
      <c r="AT713" s="12" t="n"/>
      <c r="AU713" s="12" t="n"/>
      <c r="AV713" s="11" t="n"/>
      <c r="AW713" s="12" t="n"/>
      <c r="AX713" s="12" t="n"/>
      <c r="AY713" s="12" t="n"/>
      <c r="AZ713" s="12" t="n"/>
      <c r="BA713" s="12" t="n"/>
      <c r="BB713" s="12" t="n"/>
      <c r="BC713" s="12" t="n"/>
      <c r="BD713" s="12" t="n"/>
      <c r="BE713" s="12" t="n"/>
      <c r="BF713" s="12" t="n"/>
    </row>
    <row r="714">
      <c r="A714" s="7">
        <f>IF(B714="","","INS-"&amp;TEXT(ROW()-3,"000"))</f>
        <v/>
      </c>
      <c r="B714" s="11" t="n"/>
      <c r="C714" s="7">
        <f>IF(B714="","",ISOWEEKNUM(B714))</f>
        <v/>
      </c>
      <c r="D714" s="7">
        <f>IF(B714="","",TEXT(B714,"yyyy-mm"))</f>
        <v/>
      </c>
      <c r="E714" s="12" t="n"/>
      <c r="F714" s="12" t="n"/>
      <c r="G714" s="7">
        <f>IF(OR(E714="",F714=""),"",IF(COUNTIF(Cluster_Master!$I$3:$I$17,E714&amp;"|"&amp;F714)=1,"Valid","Review"))</f>
        <v/>
      </c>
      <c r="H714" s="7">
        <f>IF($G714&lt;&gt;"Valid","",VLOOKUP($E714&amp;"|"&amp;$F714,Cluster_Master!$I$3:$H$17,3,FALSE))</f>
        <v/>
      </c>
      <c r="I714" s="7">
        <f>IF($G714&lt;&gt;"Valid","",VLOOKUP($E714&amp;"|"&amp;$F714,Cluster_Master!$I$3:$H$17,4,FALSE))</f>
        <v/>
      </c>
      <c r="J714" s="7">
        <f>IF($G714&lt;&gt;"Valid","",VLOOKUP($E714&amp;"|"&amp;$F714,Cluster_Master!$I$3:$H$17,5,FALSE))</f>
        <v/>
      </c>
      <c r="K714" s="7">
        <f>IF($G714&lt;&gt;"Valid","",VLOOKUP($E714&amp;"|"&amp;$F714,Cluster_Master!$I$3:$H$17,6,FALSE))</f>
        <v/>
      </c>
      <c r="L714" s="7">
        <f>IF($G714&lt;&gt;"Valid","",VLOOKUP($E714&amp;"|"&amp;$F714,Cluster_Master!$I$3:$H$17,7,FALSE))</f>
        <v/>
      </c>
      <c r="M714" s="7">
        <f>IF($G714&lt;&gt;"Valid","",VLOOKUP($E714&amp;"|"&amp;$F714,Cluster_Master!$I$3:$H$17,8,FALSE))</f>
        <v/>
      </c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7">
        <f>IF(COUNT(T714:AH714)=0,"",SUM(T714:AH714))</f>
        <v/>
      </c>
      <c r="AJ714" s="10">
        <f>IF(AI714="","",AI714/75)</f>
        <v/>
      </c>
      <c r="AK714" s="10">
        <f>IF(AI714="","",SUMPRODUCT(T714:AH714,KPI_Weights!$B$3:$B$17)/5)</f>
        <v/>
      </c>
      <c r="AL714" s="7">
        <f>IF(COUNT(T714:AH714)=0,"",IF(OR(T714&lt;=1,W714&lt;=1,X714&lt;=1,Y714&lt;=1,AB714&lt;=1),"YES","NO"))</f>
        <v/>
      </c>
      <c r="AM714" s="7">
        <f>IF(AK714="","",IF(AND(AK714="NO",AJ714&gt;=0.85),"YES","NO"))</f>
        <v/>
      </c>
      <c r="AN714" s="7">
        <f>IF(AJ714="","",IF(AJ714&gt;=0.90,"Excellent",IF(AJ714&gt;=0.80,"Good",IF(AJ714&gt;=0.70,"Fair","Poor"))))</f>
        <v/>
      </c>
      <c r="AO714" s="12" t="n"/>
      <c r="AP714" s="12" t="n"/>
      <c r="AQ714" s="12" t="n"/>
      <c r="AR714" s="12" t="n"/>
      <c r="AS714" s="12" t="n"/>
      <c r="AT714" s="12" t="n"/>
      <c r="AU714" s="12" t="n"/>
      <c r="AV714" s="11" t="n"/>
      <c r="AW714" s="12" t="n"/>
      <c r="AX714" s="12" t="n"/>
      <c r="AY714" s="12" t="n"/>
      <c r="AZ714" s="12" t="n"/>
      <c r="BA714" s="12" t="n"/>
      <c r="BB714" s="12" t="n"/>
      <c r="BC714" s="12" t="n"/>
      <c r="BD714" s="12" t="n"/>
      <c r="BE714" s="12" t="n"/>
      <c r="BF714" s="12" t="n"/>
    </row>
    <row r="715">
      <c r="A715" s="7">
        <f>IF(B715="","","INS-"&amp;TEXT(ROW()-3,"000"))</f>
        <v/>
      </c>
      <c r="B715" s="11" t="n"/>
      <c r="C715" s="7">
        <f>IF(B715="","",ISOWEEKNUM(B715))</f>
        <v/>
      </c>
      <c r="D715" s="7">
        <f>IF(B715="","",TEXT(B715,"yyyy-mm"))</f>
        <v/>
      </c>
      <c r="E715" s="12" t="n"/>
      <c r="F715" s="12" t="n"/>
      <c r="G715" s="7">
        <f>IF(OR(E715="",F715=""),"",IF(COUNTIF(Cluster_Master!$I$3:$I$17,E715&amp;"|"&amp;F715)=1,"Valid","Review"))</f>
        <v/>
      </c>
      <c r="H715" s="7">
        <f>IF($G715&lt;&gt;"Valid","",VLOOKUP($E715&amp;"|"&amp;$F715,Cluster_Master!$I$3:$H$17,3,FALSE))</f>
        <v/>
      </c>
      <c r="I715" s="7">
        <f>IF($G715&lt;&gt;"Valid","",VLOOKUP($E715&amp;"|"&amp;$F715,Cluster_Master!$I$3:$H$17,4,FALSE))</f>
        <v/>
      </c>
      <c r="J715" s="7">
        <f>IF($G715&lt;&gt;"Valid","",VLOOKUP($E715&amp;"|"&amp;$F715,Cluster_Master!$I$3:$H$17,5,FALSE))</f>
        <v/>
      </c>
      <c r="K715" s="7">
        <f>IF($G715&lt;&gt;"Valid","",VLOOKUP($E715&amp;"|"&amp;$F715,Cluster_Master!$I$3:$H$17,6,FALSE))</f>
        <v/>
      </c>
      <c r="L715" s="7">
        <f>IF($G715&lt;&gt;"Valid","",VLOOKUP($E715&amp;"|"&amp;$F715,Cluster_Master!$I$3:$H$17,7,FALSE))</f>
        <v/>
      </c>
      <c r="M715" s="7">
        <f>IF($G715&lt;&gt;"Valid","",VLOOKUP($E715&amp;"|"&amp;$F715,Cluster_Master!$I$3:$H$17,8,FALSE))</f>
        <v/>
      </c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7">
        <f>IF(COUNT(T715:AH715)=0,"",SUM(T715:AH715))</f>
        <v/>
      </c>
      <c r="AJ715" s="10">
        <f>IF(AI715="","",AI715/75)</f>
        <v/>
      </c>
      <c r="AK715" s="10">
        <f>IF(AI715="","",SUMPRODUCT(T715:AH715,KPI_Weights!$B$3:$B$17)/5)</f>
        <v/>
      </c>
      <c r="AL715" s="7">
        <f>IF(COUNT(T715:AH715)=0,"",IF(OR(T715&lt;=1,W715&lt;=1,X715&lt;=1,Y715&lt;=1,AB715&lt;=1),"YES","NO"))</f>
        <v/>
      </c>
      <c r="AM715" s="7">
        <f>IF(AK715="","",IF(AND(AK715="NO",AJ715&gt;=0.85),"YES","NO"))</f>
        <v/>
      </c>
      <c r="AN715" s="7">
        <f>IF(AJ715="","",IF(AJ715&gt;=0.90,"Excellent",IF(AJ715&gt;=0.80,"Good",IF(AJ715&gt;=0.70,"Fair","Poor"))))</f>
        <v/>
      </c>
      <c r="AO715" s="12" t="n"/>
      <c r="AP715" s="12" t="n"/>
      <c r="AQ715" s="12" t="n"/>
      <c r="AR715" s="12" t="n"/>
      <c r="AS715" s="12" t="n"/>
      <c r="AT715" s="12" t="n"/>
      <c r="AU715" s="12" t="n"/>
      <c r="AV715" s="11" t="n"/>
      <c r="AW715" s="12" t="n"/>
      <c r="AX715" s="12" t="n"/>
      <c r="AY715" s="12" t="n"/>
      <c r="AZ715" s="12" t="n"/>
      <c r="BA715" s="12" t="n"/>
      <c r="BB715" s="12" t="n"/>
      <c r="BC715" s="12" t="n"/>
      <c r="BD715" s="12" t="n"/>
      <c r="BE715" s="12" t="n"/>
      <c r="BF715" s="12" t="n"/>
    </row>
    <row r="716">
      <c r="A716" s="7">
        <f>IF(B716="","","INS-"&amp;TEXT(ROW()-3,"000"))</f>
        <v/>
      </c>
      <c r="B716" s="11" t="n"/>
      <c r="C716" s="7">
        <f>IF(B716="","",ISOWEEKNUM(B716))</f>
        <v/>
      </c>
      <c r="D716" s="7">
        <f>IF(B716="","",TEXT(B716,"yyyy-mm"))</f>
        <v/>
      </c>
      <c r="E716" s="12" t="n"/>
      <c r="F716" s="12" t="n"/>
      <c r="G716" s="7">
        <f>IF(OR(E716="",F716=""),"",IF(COUNTIF(Cluster_Master!$I$3:$I$17,E716&amp;"|"&amp;F716)=1,"Valid","Review"))</f>
        <v/>
      </c>
      <c r="H716" s="7">
        <f>IF($G716&lt;&gt;"Valid","",VLOOKUP($E716&amp;"|"&amp;$F716,Cluster_Master!$I$3:$H$17,3,FALSE))</f>
        <v/>
      </c>
      <c r="I716" s="7">
        <f>IF($G716&lt;&gt;"Valid","",VLOOKUP($E716&amp;"|"&amp;$F716,Cluster_Master!$I$3:$H$17,4,FALSE))</f>
        <v/>
      </c>
      <c r="J716" s="7">
        <f>IF($G716&lt;&gt;"Valid","",VLOOKUP($E716&amp;"|"&amp;$F716,Cluster_Master!$I$3:$H$17,5,FALSE))</f>
        <v/>
      </c>
      <c r="K716" s="7">
        <f>IF($G716&lt;&gt;"Valid","",VLOOKUP($E716&amp;"|"&amp;$F716,Cluster_Master!$I$3:$H$17,6,FALSE))</f>
        <v/>
      </c>
      <c r="L716" s="7">
        <f>IF($G716&lt;&gt;"Valid","",VLOOKUP($E716&amp;"|"&amp;$F716,Cluster_Master!$I$3:$H$17,7,FALSE))</f>
        <v/>
      </c>
      <c r="M716" s="7">
        <f>IF($G716&lt;&gt;"Valid","",VLOOKUP($E716&amp;"|"&amp;$F716,Cluster_Master!$I$3:$H$17,8,FALSE))</f>
        <v/>
      </c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7">
        <f>IF(COUNT(T716:AH716)=0,"",SUM(T716:AH716))</f>
        <v/>
      </c>
      <c r="AJ716" s="10">
        <f>IF(AI716="","",AI716/75)</f>
        <v/>
      </c>
      <c r="AK716" s="10">
        <f>IF(AI716="","",SUMPRODUCT(T716:AH716,KPI_Weights!$B$3:$B$17)/5)</f>
        <v/>
      </c>
      <c r="AL716" s="7">
        <f>IF(COUNT(T716:AH716)=0,"",IF(OR(T716&lt;=1,W716&lt;=1,X716&lt;=1,Y716&lt;=1,AB716&lt;=1),"YES","NO"))</f>
        <v/>
      </c>
      <c r="AM716" s="7">
        <f>IF(AK716="","",IF(AND(AK716="NO",AJ716&gt;=0.85),"YES","NO"))</f>
        <v/>
      </c>
      <c r="AN716" s="7">
        <f>IF(AJ716="","",IF(AJ716&gt;=0.90,"Excellent",IF(AJ716&gt;=0.80,"Good",IF(AJ716&gt;=0.70,"Fair","Poor"))))</f>
        <v/>
      </c>
      <c r="AO716" s="12" t="n"/>
      <c r="AP716" s="12" t="n"/>
      <c r="AQ716" s="12" t="n"/>
      <c r="AR716" s="12" t="n"/>
      <c r="AS716" s="12" t="n"/>
      <c r="AT716" s="12" t="n"/>
      <c r="AU716" s="12" t="n"/>
      <c r="AV716" s="11" t="n"/>
      <c r="AW716" s="12" t="n"/>
      <c r="AX716" s="12" t="n"/>
      <c r="AY716" s="12" t="n"/>
      <c r="AZ716" s="12" t="n"/>
      <c r="BA716" s="12" t="n"/>
      <c r="BB716" s="12" t="n"/>
      <c r="BC716" s="12" t="n"/>
      <c r="BD716" s="12" t="n"/>
      <c r="BE716" s="12" t="n"/>
      <c r="BF716" s="12" t="n"/>
    </row>
    <row r="717">
      <c r="A717" s="7">
        <f>IF(B717="","","INS-"&amp;TEXT(ROW()-3,"000"))</f>
        <v/>
      </c>
      <c r="B717" s="11" t="n"/>
      <c r="C717" s="7">
        <f>IF(B717="","",ISOWEEKNUM(B717))</f>
        <v/>
      </c>
      <c r="D717" s="7">
        <f>IF(B717="","",TEXT(B717,"yyyy-mm"))</f>
        <v/>
      </c>
      <c r="E717" s="12" t="n"/>
      <c r="F717" s="12" t="n"/>
      <c r="G717" s="7">
        <f>IF(OR(E717="",F717=""),"",IF(COUNTIF(Cluster_Master!$I$3:$I$17,E717&amp;"|"&amp;F717)=1,"Valid","Review"))</f>
        <v/>
      </c>
      <c r="H717" s="7">
        <f>IF($G717&lt;&gt;"Valid","",VLOOKUP($E717&amp;"|"&amp;$F717,Cluster_Master!$I$3:$H$17,3,FALSE))</f>
        <v/>
      </c>
      <c r="I717" s="7">
        <f>IF($G717&lt;&gt;"Valid","",VLOOKUP($E717&amp;"|"&amp;$F717,Cluster_Master!$I$3:$H$17,4,FALSE))</f>
        <v/>
      </c>
      <c r="J717" s="7">
        <f>IF($G717&lt;&gt;"Valid","",VLOOKUP($E717&amp;"|"&amp;$F717,Cluster_Master!$I$3:$H$17,5,FALSE))</f>
        <v/>
      </c>
      <c r="K717" s="7">
        <f>IF($G717&lt;&gt;"Valid","",VLOOKUP($E717&amp;"|"&amp;$F717,Cluster_Master!$I$3:$H$17,6,FALSE))</f>
        <v/>
      </c>
      <c r="L717" s="7">
        <f>IF($G717&lt;&gt;"Valid","",VLOOKUP($E717&amp;"|"&amp;$F717,Cluster_Master!$I$3:$H$17,7,FALSE))</f>
        <v/>
      </c>
      <c r="M717" s="7">
        <f>IF($G717&lt;&gt;"Valid","",VLOOKUP($E717&amp;"|"&amp;$F717,Cluster_Master!$I$3:$H$17,8,FALSE))</f>
        <v/>
      </c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7">
        <f>IF(COUNT(T717:AH717)=0,"",SUM(T717:AH717))</f>
        <v/>
      </c>
      <c r="AJ717" s="10">
        <f>IF(AI717="","",AI717/75)</f>
        <v/>
      </c>
      <c r="AK717" s="10">
        <f>IF(AI717="","",SUMPRODUCT(T717:AH717,KPI_Weights!$B$3:$B$17)/5)</f>
        <v/>
      </c>
      <c r="AL717" s="7">
        <f>IF(COUNT(T717:AH717)=0,"",IF(OR(T717&lt;=1,W717&lt;=1,X717&lt;=1,Y717&lt;=1,AB717&lt;=1),"YES","NO"))</f>
        <v/>
      </c>
      <c r="AM717" s="7">
        <f>IF(AK717="","",IF(AND(AK717="NO",AJ717&gt;=0.85),"YES","NO"))</f>
        <v/>
      </c>
      <c r="AN717" s="7">
        <f>IF(AJ717="","",IF(AJ717&gt;=0.90,"Excellent",IF(AJ717&gt;=0.80,"Good",IF(AJ717&gt;=0.70,"Fair","Poor"))))</f>
        <v/>
      </c>
      <c r="AO717" s="12" t="n"/>
      <c r="AP717" s="12" t="n"/>
      <c r="AQ717" s="12" t="n"/>
      <c r="AR717" s="12" t="n"/>
      <c r="AS717" s="12" t="n"/>
      <c r="AT717" s="12" t="n"/>
      <c r="AU717" s="12" t="n"/>
      <c r="AV717" s="11" t="n"/>
      <c r="AW717" s="12" t="n"/>
      <c r="AX717" s="12" t="n"/>
      <c r="AY717" s="12" t="n"/>
      <c r="AZ717" s="12" t="n"/>
      <c r="BA717" s="12" t="n"/>
      <c r="BB717" s="12" t="n"/>
      <c r="BC717" s="12" t="n"/>
      <c r="BD717" s="12" t="n"/>
      <c r="BE717" s="12" t="n"/>
      <c r="BF717" s="12" t="n"/>
    </row>
    <row r="718">
      <c r="A718" s="7">
        <f>IF(B718="","","INS-"&amp;TEXT(ROW()-3,"000"))</f>
        <v/>
      </c>
      <c r="B718" s="11" t="n"/>
      <c r="C718" s="7">
        <f>IF(B718="","",ISOWEEKNUM(B718))</f>
        <v/>
      </c>
      <c r="D718" s="7">
        <f>IF(B718="","",TEXT(B718,"yyyy-mm"))</f>
        <v/>
      </c>
      <c r="E718" s="12" t="n"/>
      <c r="F718" s="12" t="n"/>
      <c r="G718" s="7">
        <f>IF(OR(E718="",F718=""),"",IF(COUNTIF(Cluster_Master!$I$3:$I$17,E718&amp;"|"&amp;F718)=1,"Valid","Review"))</f>
        <v/>
      </c>
      <c r="H718" s="7">
        <f>IF($G718&lt;&gt;"Valid","",VLOOKUP($E718&amp;"|"&amp;$F718,Cluster_Master!$I$3:$H$17,3,FALSE))</f>
        <v/>
      </c>
      <c r="I718" s="7">
        <f>IF($G718&lt;&gt;"Valid","",VLOOKUP($E718&amp;"|"&amp;$F718,Cluster_Master!$I$3:$H$17,4,FALSE))</f>
        <v/>
      </c>
      <c r="J718" s="7">
        <f>IF($G718&lt;&gt;"Valid","",VLOOKUP($E718&amp;"|"&amp;$F718,Cluster_Master!$I$3:$H$17,5,FALSE))</f>
        <v/>
      </c>
      <c r="K718" s="7">
        <f>IF($G718&lt;&gt;"Valid","",VLOOKUP($E718&amp;"|"&amp;$F718,Cluster_Master!$I$3:$H$17,6,FALSE))</f>
        <v/>
      </c>
      <c r="L718" s="7">
        <f>IF($G718&lt;&gt;"Valid","",VLOOKUP($E718&amp;"|"&amp;$F718,Cluster_Master!$I$3:$H$17,7,FALSE))</f>
        <v/>
      </c>
      <c r="M718" s="7">
        <f>IF($G718&lt;&gt;"Valid","",VLOOKUP($E718&amp;"|"&amp;$F718,Cluster_Master!$I$3:$H$17,8,FALSE))</f>
        <v/>
      </c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7">
        <f>IF(COUNT(T718:AH718)=0,"",SUM(T718:AH718))</f>
        <v/>
      </c>
      <c r="AJ718" s="10">
        <f>IF(AI718="","",AI718/75)</f>
        <v/>
      </c>
      <c r="AK718" s="10">
        <f>IF(AI718="","",SUMPRODUCT(T718:AH718,KPI_Weights!$B$3:$B$17)/5)</f>
        <v/>
      </c>
      <c r="AL718" s="7">
        <f>IF(COUNT(T718:AH718)=0,"",IF(OR(T718&lt;=1,W718&lt;=1,X718&lt;=1,Y718&lt;=1,AB718&lt;=1),"YES","NO"))</f>
        <v/>
      </c>
      <c r="AM718" s="7">
        <f>IF(AK718="","",IF(AND(AK718="NO",AJ718&gt;=0.85),"YES","NO"))</f>
        <v/>
      </c>
      <c r="AN718" s="7">
        <f>IF(AJ718="","",IF(AJ718&gt;=0.90,"Excellent",IF(AJ718&gt;=0.80,"Good",IF(AJ718&gt;=0.70,"Fair","Poor"))))</f>
        <v/>
      </c>
      <c r="AO718" s="12" t="n"/>
      <c r="AP718" s="12" t="n"/>
      <c r="AQ718" s="12" t="n"/>
      <c r="AR718" s="12" t="n"/>
      <c r="AS718" s="12" t="n"/>
      <c r="AT718" s="12" t="n"/>
      <c r="AU718" s="12" t="n"/>
      <c r="AV718" s="11" t="n"/>
      <c r="AW718" s="12" t="n"/>
      <c r="AX718" s="12" t="n"/>
      <c r="AY718" s="12" t="n"/>
      <c r="AZ718" s="12" t="n"/>
      <c r="BA718" s="12" t="n"/>
      <c r="BB718" s="12" t="n"/>
      <c r="BC718" s="12" t="n"/>
      <c r="BD718" s="12" t="n"/>
      <c r="BE718" s="12" t="n"/>
      <c r="BF718" s="12" t="n"/>
    </row>
    <row r="719">
      <c r="A719" s="7">
        <f>IF(B719="","","INS-"&amp;TEXT(ROW()-3,"000"))</f>
        <v/>
      </c>
      <c r="B719" s="11" t="n"/>
      <c r="C719" s="7">
        <f>IF(B719="","",ISOWEEKNUM(B719))</f>
        <v/>
      </c>
      <c r="D719" s="7">
        <f>IF(B719="","",TEXT(B719,"yyyy-mm"))</f>
        <v/>
      </c>
      <c r="E719" s="12" t="n"/>
      <c r="F719" s="12" t="n"/>
      <c r="G719" s="7">
        <f>IF(OR(E719="",F719=""),"",IF(COUNTIF(Cluster_Master!$I$3:$I$17,E719&amp;"|"&amp;F719)=1,"Valid","Review"))</f>
        <v/>
      </c>
      <c r="H719" s="7">
        <f>IF($G719&lt;&gt;"Valid","",VLOOKUP($E719&amp;"|"&amp;$F719,Cluster_Master!$I$3:$H$17,3,FALSE))</f>
        <v/>
      </c>
      <c r="I719" s="7">
        <f>IF($G719&lt;&gt;"Valid","",VLOOKUP($E719&amp;"|"&amp;$F719,Cluster_Master!$I$3:$H$17,4,FALSE))</f>
        <v/>
      </c>
      <c r="J719" s="7">
        <f>IF($G719&lt;&gt;"Valid","",VLOOKUP($E719&amp;"|"&amp;$F719,Cluster_Master!$I$3:$H$17,5,FALSE))</f>
        <v/>
      </c>
      <c r="K719" s="7">
        <f>IF($G719&lt;&gt;"Valid","",VLOOKUP($E719&amp;"|"&amp;$F719,Cluster_Master!$I$3:$H$17,6,FALSE))</f>
        <v/>
      </c>
      <c r="L719" s="7">
        <f>IF($G719&lt;&gt;"Valid","",VLOOKUP($E719&amp;"|"&amp;$F719,Cluster_Master!$I$3:$H$17,7,FALSE))</f>
        <v/>
      </c>
      <c r="M719" s="7">
        <f>IF($G719&lt;&gt;"Valid","",VLOOKUP($E719&amp;"|"&amp;$F719,Cluster_Master!$I$3:$H$17,8,FALSE))</f>
        <v/>
      </c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7">
        <f>IF(COUNT(T719:AH719)=0,"",SUM(T719:AH719))</f>
        <v/>
      </c>
      <c r="AJ719" s="10">
        <f>IF(AI719="","",AI719/75)</f>
        <v/>
      </c>
      <c r="AK719" s="10">
        <f>IF(AI719="","",SUMPRODUCT(T719:AH719,KPI_Weights!$B$3:$B$17)/5)</f>
        <v/>
      </c>
      <c r="AL719" s="7">
        <f>IF(COUNT(T719:AH719)=0,"",IF(OR(T719&lt;=1,W719&lt;=1,X719&lt;=1,Y719&lt;=1,AB719&lt;=1),"YES","NO"))</f>
        <v/>
      </c>
      <c r="AM719" s="7">
        <f>IF(AK719="","",IF(AND(AK719="NO",AJ719&gt;=0.85),"YES","NO"))</f>
        <v/>
      </c>
      <c r="AN719" s="7">
        <f>IF(AJ719="","",IF(AJ719&gt;=0.90,"Excellent",IF(AJ719&gt;=0.80,"Good",IF(AJ719&gt;=0.70,"Fair","Poor"))))</f>
        <v/>
      </c>
      <c r="AO719" s="12" t="n"/>
      <c r="AP719" s="12" t="n"/>
      <c r="AQ719" s="12" t="n"/>
      <c r="AR719" s="12" t="n"/>
      <c r="AS719" s="12" t="n"/>
      <c r="AT719" s="12" t="n"/>
      <c r="AU719" s="12" t="n"/>
      <c r="AV719" s="11" t="n"/>
      <c r="AW719" s="12" t="n"/>
      <c r="AX719" s="12" t="n"/>
      <c r="AY719" s="12" t="n"/>
      <c r="AZ719" s="12" t="n"/>
      <c r="BA719" s="12" t="n"/>
      <c r="BB719" s="12" t="n"/>
      <c r="BC719" s="12" t="n"/>
      <c r="BD719" s="12" t="n"/>
      <c r="BE719" s="12" t="n"/>
      <c r="BF719" s="12" t="n"/>
    </row>
    <row r="720">
      <c r="A720" s="7">
        <f>IF(B720="","","INS-"&amp;TEXT(ROW()-3,"000"))</f>
        <v/>
      </c>
      <c r="B720" s="11" t="n"/>
      <c r="C720" s="7">
        <f>IF(B720="","",ISOWEEKNUM(B720))</f>
        <v/>
      </c>
      <c r="D720" s="7">
        <f>IF(B720="","",TEXT(B720,"yyyy-mm"))</f>
        <v/>
      </c>
      <c r="E720" s="12" t="n"/>
      <c r="F720" s="12" t="n"/>
      <c r="G720" s="7">
        <f>IF(OR(E720="",F720=""),"",IF(COUNTIF(Cluster_Master!$I$3:$I$17,E720&amp;"|"&amp;F720)=1,"Valid","Review"))</f>
        <v/>
      </c>
      <c r="H720" s="7">
        <f>IF($G720&lt;&gt;"Valid","",VLOOKUP($E720&amp;"|"&amp;$F720,Cluster_Master!$I$3:$H$17,3,FALSE))</f>
        <v/>
      </c>
      <c r="I720" s="7">
        <f>IF($G720&lt;&gt;"Valid","",VLOOKUP($E720&amp;"|"&amp;$F720,Cluster_Master!$I$3:$H$17,4,FALSE))</f>
        <v/>
      </c>
      <c r="J720" s="7">
        <f>IF($G720&lt;&gt;"Valid","",VLOOKUP($E720&amp;"|"&amp;$F720,Cluster_Master!$I$3:$H$17,5,FALSE))</f>
        <v/>
      </c>
      <c r="K720" s="7">
        <f>IF($G720&lt;&gt;"Valid","",VLOOKUP($E720&amp;"|"&amp;$F720,Cluster_Master!$I$3:$H$17,6,FALSE))</f>
        <v/>
      </c>
      <c r="L720" s="7">
        <f>IF($G720&lt;&gt;"Valid","",VLOOKUP($E720&amp;"|"&amp;$F720,Cluster_Master!$I$3:$H$17,7,FALSE))</f>
        <v/>
      </c>
      <c r="M720" s="7">
        <f>IF($G720&lt;&gt;"Valid","",VLOOKUP($E720&amp;"|"&amp;$F720,Cluster_Master!$I$3:$H$17,8,FALSE))</f>
        <v/>
      </c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7">
        <f>IF(COUNT(T720:AH720)=0,"",SUM(T720:AH720))</f>
        <v/>
      </c>
      <c r="AJ720" s="10">
        <f>IF(AI720="","",AI720/75)</f>
        <v/>
      </c>
      <c r="AK720" s="10">
        <f>IF(AI720="","",SUMPRODUCT(T720:AH720,KPI_Weights!$B$3:$B$17)/5)</f>
        <v/>
      </c>
      <c r="AL720" s="7">
        <f>IF(COUNT(T720:AH720)=0,"",IF(OR(T720&lt;=1,W720&lt;=1,X720&lt;=1,Y720&lt;=1,AB720&lt;=1),"YES","NO"))</f>
        <v/>
      </c>
      <c r="AM720" s="7">
        <f>IF(AK720="","",IF(AND(AK720="NO",AJ720&gt;=0.85),"YES","NO"))</f>
        <v/>
      </c>
      <c r="AN720" s="7">
        <f>IF(AJ720="","",IF(AJ720&gt;=0.90,"Excellent",IF(AJ720&gt;=0.80,"Good",IF(AJ720&gt;=0.70,"Fair","Poor"))))</f>
        <v/>
      </c>
      <c r="AO720" s="12" t="n"/>
      <c r="AP720" s="12" t="n"/>
      <c r="AQ720" s="12" t="n"/>
      <c r="AR720" s="12" t="n"/>
      <c r="AS720" s="12" t="n"/>
      <c r="AT720" s="12" t="n"/>
      <c r="AU720" s="12" t="n"/>
      <c r="AV720" s="11" t="n"/>
      <c r="AW720" s="12" t="n"/>
      <c r="AX720" s="12" t="n"/>
      <c r="AY720" s="12" t="n"/>
      <c r="AZ720" s="12" t="n"/>
      <c r="BA720" s="12" t="n"/>
      <c r="BB720" s="12" t="n"/>
      <c r="BC720" s="12" t="n"/>
      <c r="BD720" s="12" t="n"/>
      <c r="BE720" s="12" t="n"/>
      <c r="BF720" s="12" t="n"/>
    </row>
    <row r="721">
      <c r="A721" s="7">
        <f>IF(B721="","","INS-"&amp;TEXT(ROW()-3,"000"))</f>
        <v/>
      </c>
      <c r="B721" s="11" t="n"/>
      <c r="C721" s="7">
        <f>IF(B721="","",ISOWEEKNUM(B721))</f>
        <v/>
      </c>
      <c r="D721" s="7">
        <f>IF(B721="","",TEXT(B721,"yyyy-mm"))</f>
        <v/>
      </c>
      <c r="E721" s="12" t="n"/>
      <c r="F721" s="12" t="n"/>
      <c r="G721" s="7">
        <f>IF(OR(E721="",F721=""),"",IF(COUNTIF(Cluster_Master!$I$3:$I$17,E721&amp;"|"&amp;F721)=1,"Valid","Review"))</f>
        <v/>
      </c>
      <c r="H721" s="7">
        <f>IF($G721&lt;&gt;"Valid","",VLOOKUP($E721&amp;"|"&amp;$F721,Cluster_Master!$I$3:$H$17,3,FALSE))</f>
        <v/>
      </c>
      <c r="I721" s="7">
        <f>IF($G721&lt;&gt;"Valid","",VLOOKUP($E721&amp;"|"&amp;$F721,Cluster_Master!$I$3:$H$17,4,FALSE))</f>
        <v/>
      </c>
      <c r="J721" s="7">
        <f>IF($G721&lt;&gt;"Valid","",VLOOKUP($E721&amp;"|"&amp;$F721,Cluster_Master!$I$3:$H$17,5,FALSE))</f>
        <v/>
      </c>
      <c r="K721" s="7">
        <f>IF($G721&lt;&gt;"Valid","",VLOOKUP($E721&amp;"|"&amp;$F721,Cluster_Master!$I$3:$H$17,6,FALSE))</f>
        <v/>
      </c>
      <c r="L721" s="7">
        <f>IF($G721&lt;&gt;"Valid","",VLOOKUP($E721&amp;"|"&amp;$F721,Cluster_Master!$I$3:$H$17,7,FALSE))</f>
        <v/>
      </c>
      <c r="M721" s="7">
        <f>IF($G721&lt;&gt;"Valid","",VLOOKUP($E721&amp;"|"&amp;$F721,Cluster_Master!$I$3:$H$17,8,FALSE))</f>
        <v/>
      </c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7">
        <f>IF(COUNT(T721:AH721)=0,"",SUM(T721:AH721))</f>
        <v/>
      </c>
      <c r="AJ721" s="10">
        <f>IF(AI721="","",AI721/75)</f>
        <v/>
      </c>
      <c r="AK721" s="10">
        <f>IF(AI721="","",SUMPRODUCT(T721:AH721,KPI_Weights!$B$3:$B$17)/5)</f>
        <v/>
      </c>
      <c r="AL721" s="7">
        <f>IF(COUNT(T721:AH721)=0,"",IF(OR(T721&lt;=1,W721&lt;=1,X721&lt;=1,Y721&lt;=1,AB721&lt;=1),"YES","NO"))</f>
        <v/>
      </c>
      <c r="AM721" s="7">
        <f>IF(AK721="","",IF(AND(AK721="NO",AJ721&gt;=0.85),"YES","NO"))</f>
        <v/>
      </c>
      <c r="AN721" s="7">
        <f>IF(AJ721="","",IF(AJ721&gt;=0.90,"Excellent",IF(AJ721&gt;=0.80,"Good",IF(AJ721&gt;=0.70,"Fair","Poor"))))</f>
        <v/>
      </c>
      <c r="AO721" s="12" t="n"/>
      <c r="AP721" s="12" t="n"/>
      <c r="AQ721" s="12" t="n"/>
      <c r="AR721" s="12" t="n"/>
      <c r="AS721" s="12" t="n"/>
      <c r="AT721" s="12" t="n"/>
      <c r="AU721" s="12" t="n"/>
      <c r="AV721" s="11" t="n"/>
      <c r="AW721" s="12" t="n"/>
      <c r="AX721" s="12" t="n"/>
      <c r="AY721" s="12" t="n"/>
      <c r="AZ721" s="12" t="n"/>
      <c r="BA721" s="12" t="n"/>
      <c r="BB721" s="12" t="n"/>
      <c r="BC721" s="12" t="n"/>
      <c r="BD721" s="12" t="n"/>
      <c r="BE721" s="12" t="n"/>
      <c r="BF721" s="12" t="n"/>
    </row>
    <row r="722">
      <c r="A722" s="7">
        <f>IF(B722="","","INS-"&amp;TEXT(ROW()-3,"000"))</f>
        <v/>
      </c>
      <c r="B722" s="11" t="n"/>
      <c r="C722" s="7">
        <f>IF(B722="","",ISOWEEKNUM(B722))</f>
        <v/>
      </c>
      <c r="D722" s="7">
        <f>IF(B722="","",TEXT(B722,"yyyy-mm"))</f>
        <v/>
      </c>
      <c r="E722" s="12" t="n"/>
      <c r="F722" s="12" t="n"/>
      <c r="G722" s="7">
        <f>IF(OR(E722="",F722=""),"",IF(COUNTIF(Cluster_Master!$I$3:$I$17,E722&amp;"|"&amp;F722)=1,"Valid","Review"))</f>
        <v/>
      </c>
      <c r="H722" s="7">
        <f>IF($G722&lt;&gt;"Valid","",VLOOKUP($E722&amp;"|"&amp;$F722,Cluster_Master!$I$3:$H$17,3,FALSE))</f>
        <v/>
      </c>
      <c r="I722" s="7">
        <f>IF($G722&lt;&gt;"Valid","",VLOOKUP($E722&amp;"|"&amp;$F722,Cluster_Master!$I$3:$H$17,4,FALSE))</f>
        <v/>
      </c>
      <c r="J722" s="7">
        <f>IF($G722&lt;&gt;"Valid","",VLOOKUP($E722&amp;"|"&amp;$F722,Cluster_Master!$I$3:$H$17,5,FALSE))</f>
        <v/>
      </c>
      <c r="K722" s="7">
        <f>IF($G722&lt;&gt;"Valid","",VLOOKUP($E722&amp;"|"&amp;$F722,Cluster_Master!$I$3:$H$17,6,FALSE))</f>
        <v/>
      </c>
      <c r="L722" s="7">
        <f>IF($G722&lt;&gt;"Valid","",VLOOKUP($E722&amp;"|"&amp;$F722,Cluster_Master!$I$3:$H$17,7,FALSE))</f>
        <v/>
      </c>
      <c r="M722" s="7">
        <f>IF($G722&lt;&gt;"Valid","",VLOOKUP($E722&amp;"|"&amp;$F722,Cluster_Master!$I$3:$H$17,8,FALSE))</f>
        <v/>
      </c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7">
        <f>IF(COUNT(T722:AH722)=0,"",SUM(T722:AH722))</f>
        <v/>
      </c>
      <c r="AJ722" s="10">
        <f>IF(AI722="","",AI722/75)</f>
        <v/>
      </c>
      <c r="AK722" s="10">
        <f>IF(AI722="","",SUMPRODUCT(T722:AH722,KPI_Weights!$B$3:$B$17)/5)</f>
        <v/>
      </c>
      <c r="AL722" s="7">
        <f>IF(COUNT(T722:AH722)=0,"",IF(OR(T722&lt;=1,W722&lt;=1,X722&lt;=1,Y722&lt;=1,AB722&lt;=1),"YES","NO"))</f>
        <v/>
      </c>
      <c r="AM722" s="7">
        <f>IF(AK722="","",IF(AND(AK722="NO",AJ722&gt;=0.85),"YES","NO"))</f>
        <v/>
      </c>
      <c r="AN722" s="7">
        <f>IF(AJ722="","",IF(AJ722&gt;=0.90,"Excellent",IF(AJ722&gt;=0.80,"Good",IF(AJ722&gt;=0.70,"Fair","Poor"))))</f>
        <v/>
      </c>
      <c r="AO722" s="12" t="n"/>
      <c r="AP722" s="12" t="n"/>
      <c r="AQ722" s="12" t="n"/>
      <c r="AR722" s="12" t="n"/>
      <c r="AS722" s="12" t="n"/>
      <c r="AT722" s="12" t="n"/>
      <c r="AU722" s="12" t="n"/>
      <c r="AV722" s="11" t="n"/>
      <c r="AW722" s="12" t="n"/>
      <c r="AX722" s="12" t="n"/>
      <c r="AY722" s="12" t="n"/>
      <c r="AZ722" s="12" t="n"/>
      <c r="BA722" s="12" t="n"/>
      <c r="BB722" s="12" t="n"/>
      <c r="BC722" s="12" t="n"/>
      <c r="BD722" s="12" t="n"/>
      <c r="BE722" s="12" t="n"/>
      <c r="BF722" s="12" t="n"/>
    </row>
    <row r="723">
      <c r="A723" s="7">
        <f>IF(B723="","","INS-"&amp;TEXT(ROW()-3,"000"))</f>
        <v/>
      </c>
      <c r="B723" s="11" t="n"/>
      <c r="C723" s="7">
        <f>IF(B723="","",ISOWEEKNUM(B723))</f>
        <v/>
      </c>
      <c r="D723" s="7">
        <f>IF(B723="","",TEXT(B723,"yyyy-mm"))</f>
        <v/>
      </c>
      <c r="E723" s="12" t="n"/>
      <c r="F723" s="12" t="n"/>
      <c r="G723" s="7">
        <f>IF(OR(E723="",F723=""),"",IF(COUNTIF(Cluster_Master!$I$3:$I$17,E723&amp;"|"&amp;F723)=1,"Valid","Review"))</f>
        <v/>
      </c>
      <c r="H723" s="7">
        <f>IF($G723&lt;&gt;"Valid","",VLOOKUP($E723&amp;"|"&amp;$F723,Cluster_Master!$I$3:$H$17,3,FALSE))</f>
        <v/>
      </c>
      <c r="I723" s="7">
        <f>IF($G723&lt;&gt;"Valid","",VLOOKUP($E723&amp;"|"&amp;$F723,Cluster_Master!$I$3:$H$17,4,FALSE))</f>
        <v/>
      </c>
      <c r="J723" s="7">
        <f>IF($G723&lt;&gt;"Valid","",VLOOKUP($E723&amp;"|"&amp;$F723,Cluster_Master!$I$3:$H$17,5,FALSE))</f>
        <v/>
      </c>
      <c r="K723" s="7">
        <f>IF($G723&lt;&gt;"Valid","",VLOOKUP($E723&amp;"|"&amp;$F723,Cluster_Master!$I$3:$H$17,6,FALSE))</f>
        <v/>
      </c>
      <c r="L723" s="7">
        <f>IF($G723&lt;&gt;"Valid","",VLOOKUP($E723&amp;"|"&amp;$F723,Cluster_Master!$I$3:$H$17,7,FALSE))</f>
        <v/>
      </c>
      <c r="M723" s="7">
        <f>IF($G723&lt;&gt;"Valid","",VLOOKUP($E723&amp;"|"&amp;$F723,Cluster_Master!$I$3:$H$17,8,FALSE))</f>
        <v/>
      </c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7">
        <f>IF(COUNT(T723:AH723)=0,"",SUM(T723:AH723))</f>
        <v/>
      </c>
      <c r="AJ723" s="10">
        <f>IF(AI723="","",AI723/75)</f>
        <v/>
      </c>
      <c r="AK723" s="10">
        <f>IF(AI723="","",SUMPRODUCT(T723:AH723,KPI_Weights!$B$3:$B$17)/5)</f>
        <v/>
      </c>
      <c r="AL723" s="7">
        <f>IF(COUNT(T723:AH723)=0,"",IF(OR(T723&lt;=1,W723&lt;=1,X723&lt;=1,Y723&lt;=1,AB723&lt;=1),"YES","NO"))</f>
        <v/>
      </c>
      <c r="AM723" s="7">
        <f>IF(AK723="","",IF(AND(AK723="NO",AJ723&gt;=0.85),"YES","NO"))</f>
        <v/>
      </c>
      <c r="AN723" s="7">
        <f>IF(AJ723="","",IF(AJ723&gt;=0.90,"Excellent",IF(AJ723&gt;=0.80,"Good",IF(AJ723&gt;=0.70,"Fair","Poor"))))</f>
        <v/>
      </c>
      <c r="AO723" s="12" t="n"/>
      <c r="AP723" s="12" t="n"/>
      <c r="AQ723" s="12" t="n"/>
      <c r="AR723" s="12" t="n"/>
      <c r="AS723" s="12" t="n"/>
      <c r="AT723" s="12" t="n"/>
      <c r="AU723" s="12" t="n"/>
      <c r="AV723" s="11" t="n"/>
      <c r="AW723" s="12" t="n"/>
      <c r="AX723" s="12" t="n"/>
      <c r="AY723" s="12" t="n"/>
      <c r="AZ723" s="12" t="n"/>
      <c r="BA723" s="12" t="n"/>
      <c r="BB723" s="12" t="n"/>
      <c r="BC723" s="12" t="n"/>
      <c r="BD723" s="12" t="n"/>
      <c r="BE723" s="12" t="n"/>
      <c r="BF723" s="12" t="n"/>
    </row>
    <row r="724">
      <c r="A724" s="7">
        <f>IF(B724="","","INS-"&amp;TEXT(ROW()-3,"000"))</f>
        <v/>
      </c>
      <c r="B724" s="11" t="n"/>
      <c r="C724" s="7">
        <f>IF(B724="","",ISOWEEKNUM(B724))</f>
        <v/>
      </c>
      <c r="D724" s="7">
        <f>IF(B724="","",TEXT(B724,"yyyy-mm"))</f>
        <v/>
      </c>
      <c r="E724" s="12" t="n"/>
      <c r="F724" s="12" t="n"/>
      <c r="G724" s="7">
        <f>IF(OR(E724="",F724=""),"",IF(COUNTIF(Cluster_Master!$I$3:$I$17,E724&amp;"|"&amp;F724)=1,"Valid","Review"))</f>
        <v/>
      </c>
      <c r="H724" s="7">
        <f>IF($G724&lt;&gt;"Valid","",VLOOKUP($E724&amp;"|"&amp;$F724,Cluster_Master!$I$3:$H$17,3,FALSE))</f>
        <v/>
      </c>
      <c r="I724" s="7">
        <f>IF($G724&lt;&gt;"Valid","",VLOOKUP($E724&amp;"|"&amp;$F724,Cluster_Master!$I$3:$H$17,4,FALSE))</f>
        <v/>
      </c>
      <c r="J724" s="7">
        <f>IF($G724&lt;&gt;"Valid","",VLOOKUP($E724&amp;"|"&amp;$F724,Cluster_Master!$I$3:$H$17,5,FALSE))</f>
        <v/>
      </c>
      <c r="K724" s="7">
        <f>IF($G724&lt;&gt;"Valid","",VLOOKUP($E724&amp;"|"&amp;$F724,Cluster_Master!$I$3:$H$17,6,FALSE))</f>
        <v/>
      </c>
      <c r="L724" s="7">
        <f>IF($G724&lt;&gt;"Valid","",VLOOKUP($E724&amp;"|"&amp;$F724,Cluster_Master!$I$3:$H$17,7,FALSE))</f>
        <v/>
      </c>
      <c r="M724" s="7">
        <f>IF($G724&lt;&gt;"Valid","",VLOOKUP($E724&amp;"|"&amp;$F724,Cluster_Master!$I$3:$H$17,8,FALSE))</f>
        <v/>
      </c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7">
        <f>IF(COUNT(T724:AH724)=0,"",SUM(T724:AH724))</f>
        <v/>
      </c>
      <c r="AJ724" s="10">
        <f>IF(AI724="","",AI724/75)</f>
        <v/>
      </c>
      <c r="AK724" s="10">
        <f>IF(AI724="","",SUMPRODUCT(T724:AH724,KPI_Weights!$B$3:$B$17)/5)</f>
        <v/>
      </c>
      <c r="AL724" s="7">
        <f>IF(COUNT(T724:AH724)=0,"",IF(OR(T724&lt;=1,W724&lt;=1,X724&lt;=1,Y724&lt;=1,AB724&lt;=1),"YES","NO"))</f>
        <v/>
      </c>
      <c r="AM724" s="7">
        <f>IF(AK724="","",IF(AND(AK724="NO",AJ724&gt;=0.85),"YES","NO"))</f>
        <v/>
      </c>
      <c r="AN724" s="7">
        <f>IF(AJ724="","",IF(AJ724&gt;=0.90,"Excellent",IF(AJ724&gt;=0.80,"Good",IF(AJ724&gt;=0.70,"Fair","Poor"))))</f>
        <v/>
      </c>
      <c r="AO724" s="12" t="n"/>
      <c r="AP724" s="12" t="n"/>
      <c r="AQ724" s="12" t="n"/>
      <c r="AR724" s="12" t="n"/>
      <c r="AS724" s="12" t="n"/>
      <c r="AT724" s="12" t="n"/>
      <c r="AU724" s="12" t="n"/>
      <c r="AV724" s="11" t="n"/>
      <c r="AW724" s="12" t="n"/>
      <c r="AX724" s="12" t="n"/>
      <c r="AY724" s="12" t="n"/>
      <c r="AZ724" s="12" t="n"/>
      <c r="BA724" s="12" t="n"/>
      <c r="BB724" s="12" t="n"/>
      <c r="BC724" s="12" t="n"/>
      <c r="BD724" s="12" t="n"/>
      <c r="BE724" s="12" t="n"/>
      <c r="BF724" s="12" t="n"/>
    </row>
    <row r="725">
      <c r="A725" s="7">
        <f>IF(B725="","","INS-"&amp;TEXT(ROW()-3,"000"))</f>
        <v/>
      </c>
      <c r="B725" s="11" t="n"/>
      <c r="C725" s="7">
        <f>IF(B725="","",ISOWEEKNUM(B725))</f>
        <v/>
      </c>
      <c r="D725" s="7">
        <f>IF(B725="","",TEXT(B725,"yyyy-mm"))</f>
        <v/>
      </c>
      <c r="E725" s="12" t="n"/>
      <c r="F725" s="12" t="n"/>
      <c r="G725" s="7">
        <f>IF(OR(E725="",F725=""),"",IF(COUNTIF(Cluster_Master!$I$3:$I$17,E725&amp;"|"&amp;F725)=1,"Valid","Review"))</f>
        <v/>
      </c>
      <c r="H725" s="7">
        <f>IF($G725&lt;&gt;"Valid","",VLOOKUP($E725&amp;"|"&amp;$F725,Cluster_Master!$I$3:$H$17,3,FALSE))</f>
        <v/>
      </c>
      <c r="I725" s="7">
        <f>IF($G725&lt;&gt;"Valid","",VLOOKUP($E725&amp;"|"&amp;$F725,Cluster_Master!$I$3:$H$17,4,FALSE))</f>
        <v/>
      </c>
      <c r="J725" s="7">
        <f>IF($G725&lt;&gt;"Valid","",VLOOKUP($E725&amp;"|"&amp;$F725,Cluster_Master!$I$3:$H$17,5,FALSE))</f>
        <v/>
      </c>
      <c r="K725" s="7">
        <f>IF($G725&lt;&gt;"Valid","",VLOOKUP($E725&amp;"|"&amp;$F725,Cluster_Master!$I$3:$H$17,6,FALSE))</f>
        <v/>
      </c>
      <c r="L725" s="7">
        <f>IF($G725&lt;&gt;"Valid","",VLOOKUP($E725&amp;"|"&amp;$F725,Cluster_Master!$I$3:$H$17,7,FALSE))</f>
        <v/>
      </c>
      <c r="M725" s="7">
        <f>IF($G725&lt;&gt;"Valid","",VLOOKUP($E725&amp;"|"&amp;$F725,Cluster_Master!$I$3:$H$17,8,FALSE))</f>
        <v/>
      </c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7">
        <f>IF(COUNT(T725:AH725)=0,"",SUM(T725:AH725))</f>
        <v/>
      </c>
      <c r="AJ725" s="10">
        <f>IF(AI725="","",AI725/75)</f>
        <v/>
      </c>
      <c r="AK725" s="10">
        <f>IF(AI725="","",SUMPRODUCT(T725:AH725,KPI_Weights!$B$3:$B$17)/5)</f>
        <v/>
      </c>
      <c r="AL725" s="7">
        <f>IF(COUNT(T725:AH725)=0,"",IF(OR(T725&lt;=1,W725&lt;=1,X725&lt;=1,Y725&lt;=1,AB725&lt;=1),"YES","NO"))</f>
        <v/>
      </c>
      <c r="AM725" s="7">
        <f>IF(AK725="","",IF(AND(AK725="NO",AJ725&gt;=0.85),"YES","NO"))</f>
        <v/>
      </c>
      <c r="AN725" s="7">
        <f>IF(AJ725="","",IF(AJ725&gt;=0.90,"Excellent",IF(AJ725&gt;=0.80,"Good",IF(AJ725&gt;=0.70,"Fair","Poor"))))</f>
        <v/>
      </c>
      <c r="AO725" s="12" t="n"/>
      <c r="AP725" s="12" t="n"/>
      <c r="AQ725" s="12" t="n"/>
      <c r="AR725" s="12" t="n"/>
      <c r="AS725" s="12" t="n"/>
      <c r="AT725" s="12" t="n"/>
      <c r="AU725" s="12" t="n"/>
      <c r="AV725" s="11" t="n"/>
      <c r="AW725" s="12" t="n"/>
      <c r="AX725" s="12" t="n"/>
      <c r="AY725" s="12" t="n"/>
      <c r="AZ725" s="12" t="n"/>
      <c r="BA725" s="12" t="n"/>
      <c r="BB725" s="12" t="n"/>
      <c r="BC725" s="12" t="n"/>
      <c r="BD725" s="12" t="n"/>
      <c r="BE725" s="12" t="n"/>
      <c r="BF725" s="12" t="n"/>
    </row>
    <row r="726">
      <c r="A726" s="7">
        <f>IF(B726="","","INS-"&amp;TEXT(ROW()-3,"000"))</f>
        <v/>
      </c>
      <c r="B726" s="11" t="n"/>
      <c r="C726" s="7">
        <f>IF(B726="","",ISOWEEKNUM(B726))</f>
        <v/>
      </c>
      <c r="D726" s="7">
        <f>IF(B726="","",TEXT(B726,"yyyy-mm"))</f>
        <v/>
      </c>
      <c r="E726" s="12" t="n"/>
      <c r="F726" s="12" t="n"/>
      <c r="G726" s="7">
        <f>IF(OR(E726="",F726=""),"",IF(COUNTIF(Cluster_Master!$I$3:$I$17,E726&amp;"|"&amp;F726)=1,"Valid","Review"))</f>
        <v/>
      </c>
      <c r="H726" s="7">
        <f>IF($G726&lt;&gt;"Valid","",VLOOKUP($E726&amp;"|"&amp;$F726,Cluster_Master!$I$3:$H$17,3,FALSE))</f>
        <v/>
      </c>
      <c r="I726" s="7">
        <f>IF($G726&lt;&gt;"Valid","",VLOOKUP($E726&amp;"|"&amp;$F726,Cluster_Master!$I$3:$H$17,4,FALSE))</f>
        <v/>
      </c>
      <c r="J726" s="7">
        <f>IF($G726&lt;&gt;"Valid","",VLOOKUP($E726&amp;"|"&amp;$F726,Cluster_Master!$I$3:$H$17,5,FALSE))</f>
        <v/>
      </c>
      <c r="K726" s="7">
        <f>IF($G726&lt;&gt;"Valid","",VLOOKUP($E726&amp;"|"&amp;$F726,Cluster_Master!$I$3:$H$17,6,FALSE))</f>
        <v/>
      </c>
      <c r="L726" s="7">
        <f>IF($G726&lt;&gt;"Valid","",VLOOKUP($E726&amp;"|"&amp;$F726,Cluster_Master!$I$3:$H$17,7,FALSE))</f>
        <v/>
      </c>
      <c r="M726" s="7">
        <f>IF($G726&lt;&gt;"Valid","",VLOOKUP($E726&amp;"|"&amp;$F726,Cluster_Master!$I$3:$H$17,8,FALSE))</f>
        <v/>
      </c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7">
        <f>IF(COUNT(T726:AH726)=0,"",SUM(T726:AH726))</f>
        <v/>
      </c>
      <c r="AJ726" s="10">
        <f>IF(AI726="","",AI726/75)</f>
        <v/>
      </c>
      <c r="AK726" s="10">
        <f>IF(AI726="","",SUMPRODUCT(T726:AH726,KPI_Weights!$B$3:$B$17)/5)</f>
        <v/>
      </c>
      <c r="AL726" s="7">
        <f>IF(COUNT(T726:AH726)=0,"",IF(OR(T726&lt;=1,W726&lt;=1,X726&lt;=1,Y726&lt;=1,AB726&lt;=1),"YES","NO"))</f>
        <v/>
      </c>
      <c r="AM726" s="7">
        <f>IF(AK726="","",IF(AND(AK726="NO",AJ726&gt;=0.85),"YES","NO"))</f>
        <v/>
      </c>
      <c r="AN726" s="7">
        <f>IF(AJ726="","",IF(AJ726&gt;=0.90,"Excellent",IF(AJ726&gt;=0.80,"Good",IF(AJ726&gt;=0.70,"Fair","Poor"))))</f>
        <v/>
      </c>
      <c r="AO726" s="12" t="n"/>
      <c r="AP726" s="12" t="n"/>
      <c r="AQ726" s="12" t="n"/>
      <c r="AR726" s="12" t="n"/>
      <c r="AS726" s="12" t="n"/>
      <c r="AT726" s="12" t="n"/>
      <c r="AU726" s="12" t="n"/>
      <c r="AV726" s="11" t="n"/>
      <c r="AW726" s="12" t="n"/>
      <c r="AX726" s="12" t="n"/>
      <c r="AY726" s="12" t="n"/>
      <c r="AZ726" s="12" t="n"/>
      <c r="BA726" s="12" t="n"/>
      <c r="BB726" s="12" t="n"/>
      <c r="BC726" s="12" t="n"/>
      <c r="BD726" s="12" t="n"/>
      <c r="BE726" s="12" t="n"/>
      <c r="BF726" s="12" t="n"/>
    </row>
    <row r="727">
      <c r="A727" s="7">
        <f>IF(B727="","","INS-"&amp;TEXT(ROW()-3,"000"))</f>
        <v/>
      </c>
      <c r="B727" s="11" t="n"/>
      <c r="C727" s="7">
        <f>IF(B727="","",ISOWEEKNUM(B727))</f>
        <v/>
      </c>
      <c r="D727" s="7">
        <f>IF(B727="","",TEXT(B727,"yyyy-mm"))</f>
        <v/>
      </c>
      <c r="E727" s="12" t="n"/>
      <c r="F727" s="12" t="n"/>
      <c r="G727" s="7">
        <f>IF(OR(E727="",F727=""),"",IF(COUNTIF(Cluster_Master!$I$3:$I$17,E727&amp;"|"&amp;F727)=1,"Valid","Review"))</f>
        <v/>
      </c>
      <c r="H727" s="7">
        <f>IF($G727&lt;&gt;"Valid","",VLOOKUP($E727&amp;"|"&amp;$F727,Cluster_Master!$I$3:$H$17,3,FALSE))</f>
        <v/>
      </c>
      <c r="I727" s="7">
        <f>IF($G727&lt;&gt;"Valid","",VLOOKUP($E727&amp;"|"&amp;$F727,Cluster_Master!$I$3:$H$17,4,FALSE))</f>
        <v/>
      </c>
      <c r="J727" s="7">
        <f>IF($G727&lt;&gt;"Valid","",VLOOKUP($E727&amp;"|"&amp;$F727,Cluster_Master!$I$3:$H$17,5,FALSE))</f>
        <v/>
      </c>
      <c r="K727" s="7">
        <f>IF($G727&lt;&gt;"Valid","",VLOOKUP($E727&amp;"|"&amp;$F727,Cluster_Master!$I$3:$H$17,6,FALSE))</f>
        <v/>
      </c>
      <c r="L727" s="7">
        <f>IF($G727&lt;&gt;"Valid","",VLOOKUP($E727&amp;"|"&amp;$F727,Cluster_Master!$I$3:$H$17,7,FALSE))</f>
        <v/>
      </c>
      <c r="M727" s="7">
        <f>IF($G727&lt;&gt;"Valid","",VLOOKUP($E727&amp;"|"&amp;$F727,Cluster_Master!$I$3:$H$17,8,FALSE))</f>
        <v/>
      </c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7">
        <f>IF(COUNT(T727:AH727)=0,"",SUM(T727:AH727))</f>
        <v/>
      </c>
      <c r="AJ727" s="10">
        <f>IF(AI727="","",AI727/75)</f>
        <v/>
      </c>
      <c r="AK727" s="10">
        <f>IF(AI727="","",SUMPRODUCT(T727:AH727,KPI_Weights!$B$3:$B$17)/5)</f>
        <v/>
      </c>
      <c r="AL727" s="7">
        <f>IF(COUNT(T727:AH727)=0,"",IF(OR(T727&lt;=1,W727&lt;=1,X727&lt;=1,Y727&lt;=1,AB727&lt;=1),"YES","NO"))</f>
        <v/>
      </c>
      <c r="AM727" s="7">
        <f>IF(AK727="","",IF(AND(AK727="NO",AJ727&gt;=0.85),"YES","NO"))</f>
        <v/>
      </c>
      <c r="AN727" s="7">
        <f>IF(AJ727="","",IF(AJ727&gt;=0.90,"Excellent",IF(AJ727&gt;=0.80,"Good",IF(AJ727&gt;=0.70,"Fair","Poor"))))</f>
        <v/>
      </c>
      <c r="AO727" s="12" t="n"/>
      <c r="AP727" s="12" t="n"/>
      <c r="AQ727" s="12" t="n"/>
      <c r="AR727" s="12" t="n"/>
      <c r="AS727" s="12" t="n"/>
      <c r="AT727" s="12" t="n"/>
      <c r="AU727" s="12" t="n"/>
      <c r="AV727" s="11" t="n"/>
      <c r="AW727" s="12" t="n"/>
      <c r="AX727" s="12" t="n"/>
      <c r="AY727" s="12" t="n"/>
      <c r="AZ727" s="12" t="n"/>
      <c r="BA727" s="12" t="n"/>
      <c r="BB727" s="12" t="n"/>
      <c r="BC727" s="12" t="n"/>
      <c r="BD727" s="12" t="n"/>
      <c r="BE727" s="12" t="n"/>
      <c r="BF727" s="12" t="n"/>
    </row>
    <row r="728">
      <c r="A728" s="7">
        <f>IF(B728="","","INS-"&amp;TEXT(ROW()-3,"000"))</f>
        <v/>
      </c>
      <c r="B728" s="11" t="n"/>
      <c r="C728" s="7">
        <f>IF(B728="","",ISOWEEKNUM(B728))</f>
        <v/>
      </c>
      <c r="D728" s="7">
        <f>IF(B728="","",TEXT(B728,"yyyy-mm"))</f>
        <v/>
      </c>
      <c r="E728" s="12" t="n"/>
      <c r="F728" s="12" t="n"/>
      <c r="G728" s="7">
        <f>IF(OR(E728="",F728=""),"",IF(COUNTIF(Cluster_Master!$I$3:$I$17,E728&amp;"|"&amp;F728)=1,"Valid","Review"))</f>
        <v/>
      </c>
      <c r="H728" s="7">
        <f>IF($G728&lt;&gt;"Valid","",VLOOKUP($E728&amp;"|"&amp;$F728,Cluster_Master!$I$3:$H$17,3,FALSE))</f>
        <v/>
      </c>
      <c r="I728" s="7">
        <f>IF($G728&lt;&gt;"Valid","",VLOOKUP($E728&amp;"|"&amp;$F728,Cluster_Master!$I$3:$H$17,4,FALSE))</f>
        <v/>
      </c>
      <c r="J728" s="7">
        <f>IF($G728&lt;&gt;"Valid","",VLOOKUP($E728&amp;"|"&amp;$F728,Cluster_Master!$I$3:$H$17,5,FALSE))</f>
        <v/>
      </c>
      <c r="K728" s="7">
        <f>IF($G728&lt;&gt;"Valid","",VLOOKUP($E728&amp;"|"&amp;$F728,Cluster_Master!$I$3:$H$17,6,FALSE))</f>
        <v/>
      </c>
      <c r="L728" s="7">
        <f>IF($G728&lt;&gt;"Valid","",VLOOKUP($E728&amp;"|"&amp;$F728,Cluster_Master!$I$3:$H$17,7,FALSE))</f>
        <v/>
      </c>
      <c r="M728" s="7">
        <f>IF($G728&lt;&gt;"Valid","",VLOOKUP($E728&amp;"|"&amp;$F728,Cluster_Master!$I$3:$H$17,8,FALSE))</f>
        <v/>
      </c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7">
        <f>IF(COUNT(T728:AH728)=0,"",SUM(T728:AH728))</f>
        <v/>
      </c>
      <c r="AJ728" s="10">
        <f>IF(AI728="","",AI728/75)</f>
        <v/>
      </c>
      <c r="AK728" s="10">
        <f>IF(AI728="","",SUMPRODUCT(T728:AH728,KPI_Weights!$B$3:$B$17)/5)</f>
        <v/>
      </c>
      <c r="AL728" s="7">
        <f>IF(COUNT(T728:AH728)=0,"",IF(OR(T728&lt;=1,W728&lt;=1,X728&lt;=1,Y728&lt;=1,AB728&lt;=1),"YES","NO"))</f>
        <v/>
      </c>
      <c r="AM728" s="7">
        <f>IF(AK728="","",IF(AND(AK728="NO",AJ728&gt;=0.85),"YES","NO"))</f>
        <v/>
      </c>
      <c r="AN728" s="7">
        <f>IF(AJ728="","",IF(AJ728&gt;=0.90,"Excellent",IF(AJ728&gt;=0.80,"Good",IF(AJ728&gt;=0.70,"Fair","Poor"))))</f>
        <v/>
      </c>
      <c r="AO728" s="12" t="n"/>
      <c r="AP728" s="12" t="n"/>
      <c r="AQ728" s="12" t="n"/>
      <c r="AR728" s="12" t="n"/>
      <c r="AS728" s="12" t="n"/>
      <c r="AT728" s="12" t="n"/>
      <c r="AU728" s="12" t="n"/>
      <c r="AV728" s="11" t="n"/>
      <c r="AW728" s="12" t="n"/>
      <c r="AX728" s="12" t="n"/>
      <c r="AY728" s="12" t="n"/>
      <c r="AZ728" s="12" t="n"/>
      <c r="BA728" s="12" t="n"/>
      <c r="BB728" s="12" t="n"/>
      <c r="BC728" s="12" t="n"/>
      <c r="BD728" s="12" t="n"/>
      <c r="BE728" s="12" t="n"/>
      <c r="BF728" s="12" t="n"/>
    </row>
    <row r="729">
      <c r="A729" s="7">
        <f>IF(B729="","","INS-"&amp;TEXT(ROW()-3,"000"))</f>
        <v/>
      </c>
      <c r="B729" s="11" t="n"/>
      <c r="C729" s="7">
        <f>IF(B729="","",ISOWEEKNUM(B729))</f>
        <v/>
      </c>
      <c r="D729" s="7">
        <f>IF(B729="","",TEXT(B729,"yyyy-mm"))</f>
        <v/>
      </c>
      <c r="E729" s="12" t="n"/>
      <c r="F729" s="12" t="n"/>
      <c r="G729" s="7">
        <f>IF(OR(E729="",F729=""),"",IF(COUNTIF(Cluster_Master!$I$3:$I$17,E729&amp;"|"&amp;F729)=1,"Valid","Review"))</f>
        <v/>
      </c>
      <c r="H729" s="7">
        <f>IF($G729&lt;&gt;"Valid","",VLOOKUP($E729&amp;"|"&amp;$F729,Cluster_Master!$I$3:$H$17,3,FALSE))</f>
        <v/>
      </c>
      <c r="I729" s="7">
        <f>IF($G729&lt;&gt;"Valid","",VLOOKUP($E729&amp;"|"&amp;$F729,Cluster_Master!$I$3:$H$17,4,FALSE))</f>
        <v/>
      </c>
      <c r="J729" s="7">
        <f>IF($G729&lt;&gt;"Valid","",VLOOKUP($E729&amp;"|"&amp;$F729,Cluster_Master!$I$3:$H$17,5,FALSE))</f>
        <v/>
      </c>
      <c r="K729" s="7">
        <f>IF($G729&lt;&gt;"Valid","",VLOOKUP($E729&amp;"|"&amp;$F729,Cluster_Master!$I$3:$H$17,6,FALSE))</f>
        <v/>
      </c>
      <c r="L729" s="7">
        <f>IF($G729&lt;&gt;"Valid","",VLOOKUP($E729&amp;"|"&amp;$F729,Cluster_Master!$I$3:$H$17,7,FALSE))</f>
        <v/>
      </c>
      <c r="M729" s="7">
        <f>IF($G729&lt;&gt;"Valid","",VLOOKUP($E729&amp;"|"&amp;$F729,Cluster_Master!$I$3:$H$17,8,FALSE))</f>
        <v/>
      </c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7">
        <f>IF(COUNT(T729:AH729)=0,"",SUM(T729:AH729))</f>
        <v/>
      </c>
      <c r="AJ729" s="10">
        <f>IF(AI729="","",AI729/75)</f>
        <v/>
      </c>
      <c r="AK729" s="10">
        <f>IF(AI729="","",SUMPRODUCT(T729:AH729,KPI_Weights!$B$3:$B$17)/5)</f>
        <v/>
      </c>
      <c r="AL729" s="7">
        <f>IF(COUNT(T729:AH729)=0,"",IF(OR(T729&lt;=1,W729&lt;=1,X729&lt;=1,Y729&lt;=1,AB729&lt;=1),"YES","NO"))</f>
        <v/>
      </c>
      <c r="AM729" s="7">
        <f>IF(AK729="","",IF(AND(AK729="NO",AJ729&gt;=0.85),"YES","NO"))</f>
        <v/>
      </c>
      <c r="AN729" s="7">
        <f>IF(AJ729="","",IF(AJ729&gt;=0.90,"Excellent",IF(AJ729&gt;=0.80,"Good",IF(AJ729&gt;=0.70,"Fair","Poor"))))</f>
        <v/>
      </c>
      <c r="AO729" s="12" t="n"/>
      <c r="AP729" s="12" t="n"/>
      <c r="AQ729" s="12" t="n"/>
      <c r="AR729" s="12" t="n"/>
      <c r="AS729" s="12" t="n"/>
      <c r="AT729" s="12" t="n"/>
      <c r="AU729" s="12" t="n"/>
      <c r="AV729" s="11" t="n"/>
      <c r="AW729" s="12" t="n"/>
      <c r="AX729" s="12" t="n"/>
      <c r="AY729" s="12" t="n"/>
      <c r="AZ729" s="12" t="n"/>
      <c r="BA729" s="12" t="n"/>
      <c r="BB729" s="12" t="n"/>
      <c r="BC729" s="12" t="n"/>
      <c r="BD729" s="12" t="n"/>
      <c r="BE729" s="12" t="n"/>
      <c r="BF729" s="12" t="n"/>
    </row>
    <row r="730">
      <c r="A730" s="7">
        <f>IF(B730="","","INS-"&amp;TEXT(ROW()-3,"000"))</f>
        <v/>
      </c>
      <c r="B730" s="11" t="n"/>
      <c r="C730" s="7">
        <f>IF(B730="","",ISOWEEKNUM(B730))</f>
        <v/>
      </c>
      <c r="D730" s="7">
        <f>IF(B730="","",TEXT(B730,"yyyy-mm"))</f>
        <v/>
      </c>
      <c r="E730" s="12" t="n"/>
      <c r="F730" s="12" t="n"/>
      <c r="G730" s="7">
        <f>IF(OR(E730="",F730=""),"",IF(COUNTIF(Cluster_Master!$I$3:$I$17,E730&amp;"|"&amp;F730)=1,"Valid","Review"))</f>
        <v/>
      </c>
      <c r="H730" s="7">
        <f>IF($G730&lt;&gt;"Valid","",VLOOKUP($E730&amp;"|"&amp;$F730,Cluster_Master!$I$3:$H$17,3,FALSE))</f>
        <v/>
      </c>
      <c r="I730" s="7">
        <f>IF($G730&lt;&gt;"Valid","",VLOOKUP($E730&amp;"|"&amp;$F730,Cluster_Master!$I$3:$H$17,4,FALSE))</f>
        <v/>
      </c>
      <c r="J730" s="7">
        <f>IF($G730&lt;&gt;"Valid","",VLOOKUP($E730&amp;"|"&amp;$F730,Cluster_Master!$I$3:$H$17,5,FALSE))</f>
        <v/>
      </c>
      <c r="K730" s="7">
        <f>IF($G730&lt;&gt;"Valid","",VLOOKUP($E730&amp;"|"&amp;$F730,Cluster_Master!$I$3:$H$17,6,FALSE))</f>
        <v/>
      </c>
      <c r="L730" s="7">
        <f>IF($G730&lt;&gt;"Valid","",VLOOKUP($E730&amp;"|"&amp;$F730,Cluster_Master!$I$3:$H$17,7,FALSE))</f>
        <v/>
      </c>
      <c r="M730" s="7">
        <f>IF($G730&lt;&gt;"Valid","",VLOOKUP($E730&amp;"|"&amp;$F730,Cluster_Master!$I$3:$H$17,8,FALSE))</f>
        <v/>
      </c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7">
        <f>IF(COUNT(T730:AH730)=0,"",SUM(T730:AH730))</f>
        <v/>
      </c>
      <c r="AJ730" s="10">
        <f>IF(AI730="","",AI730/75)</f>
        <v/>
      </c>
      <c r="AK730" s="10">
        <f>IF(AI730="","",SUMPRODUCT(T730:AH730,KPI_Weights!$B$3:$B$17)/5)</f>
        <v/>
      </c>
      <c r="AL730" s="7">
        <f>IF(COUNT(T730:AH730)=0,"",IF(OR(T730&lt;=1,W730&lt;=1,X730&lt;=1,Y730&lt;=1,AB730&lt;=1),"YES","NO"))</f>
        <v/>
      </c>
      <c r="AM730" s="7">
        <f>IF(AK730="","",IF(AND(AK730="NO",AJ730&gt;=0.85),"YES","NO"))</f>
        <v/>
      </c>
      <c r="AN730" s="7">
        <f>IF(AJ730="","",IF(AJ730&gt;=0.90,"Excellent",IF(AJ730&gt;=0.80,"Good",IF(AJ730&gt;=0.70,"Fair","Poor"))))</f>
        <v/>
      </c>
      <c r="AO730" s="12" t="n"/>
      <c r="AP730" s="12" t="n"/>
      <c r="AQ730" s="12" t="n"/>
      <c r="AR730" s="12" t="n"/>
      <c r="AS730" s="12" t="n"/>
      <c r="AT730" s="12" t="n"/>
      <c r="AU730" s="12" t="n"/>
      <c r="AV730" s="11" t="n"/>
      <c r="AW730" s="12" t="n"/>
      <c r="AX730" s="12" t="n"/>
      <c r="AY730" s="12" t="n"/>
      <c r="AZ730" s="12" t="n"/>
      <c r="BA730" s="12" t="n"/>
      <c r="BB730" s="12" t="n"/>
      <c r="BC730" s="12" t="n"/>
      <c r="BD730" s="12" t="n"/>
      <c r="BE730" s="12" t="n"/>
      <c r="BF730" s="12" t="n"/>
    </row>
    <row r="731">
      <c r="A731" s="7">
        <f>IF(B731="","","INS-"&amp;TEXT(ROW()-3,"000"))</f>
        <v/>
      </c>
      <c r="B731" s="11" t="n"/>
      <c r="C731" s="7">
        <f>IF(B731="","",ISOWEEKNUM(B731))</f>
        <v/>
      </c>
      <c r="D731" s="7">
        <f>IF(B731="","",TEXT(B731,"yyyy-mm"))</f>
        <v/>
      </c>
      <c r="E731" s="12" t="n"/>
      <c r="F731" s="12" t="n"/>
      <c r="G731" s="7">
        <f>IF(OR(E731="",F731=""),"",IF(COUNTIF(Cluster_Master!$I$3:$I$17,E731&amp;"|"&amp;F731)=1,"Valid","Review"))</f>
        <v/>
      </c>
      <c r="H731" s="7">
        <f>IF($G731&lt;&gt;"Valid","",VLOOKUP($E731&amp;"|"&amp;$F731,Cluster_Master!$I$3:$H$17,3,FALSE))</f>
        <v/>
      </c>
      <c r="I731" s="7">
        <f>IF($G731&lt;&gt;"Valid","",VLOOKUP($E731&amp;"|"&amp;$F731,Cluster_Master!$I$3:$H$17,4,FALSE))</f>
        <v/>
      </c>
      <c r="J731" s="7">
        <f>IF($G731&lt;&gt;"Valid","",VLOOKUP($E731&amp;"|"&amp;$F731,Cluster_Master!$I$3:$H$17,5,FALSE))</f>
        <v/>
      </c>
      <c r="K731" s="7">
        <f>IF($G731&lt;&gt;"Valid","",VLOOKUP($E731&amp;"|"&amp;$F731,Cluster_Master!$I$3:$H$17,6,FALSE))</f>
        <v/>
      </c>
      <c r="L731" s="7">
        <f>IF($G731&lt;&gt;"Valid","",VLOOKUP($E731&amp;"|"&amp;$F731,Cluster_Master!$I$3:$H$17,7,FALSE))</f>
        <v/>
      </c>
      <c r="M731" s="7">
        <f>IF($G731&lt;&gt;"Valid","",VLOOKUP($E731&amp;"|"&amp;$F731,Cluster_Master!$I$3:$H$17,8,FALSE))</f>
        <v/>
      </c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7">
        <f>IF(COUNT(T731:AH731)=0,"",SUM(T731:AH731))</f>
        <v/>
      </c>
      <c r="AJ731" s="10">
        <f>IF(AI731="","",AI731/75)</f>
        <v/>
      </c>
      <c r="AK731" s="10">
        <f>IF(AI731="","",SUMPRODUCT(T731:AH731,KPI_Weights!$B$3:$B$17)/5)</f>
        <v/>
      </c>
      <c r="AL731" s="7">
        <f>IF(COUNT(T731:AH731)=0,"",IF(OR(T731&lt;=1,W731&lt;=1,X731&lt;=1,Y731&lt;=1,AB731&lt;=1),"YES","NO"))</f>
        <v/>
      </c>
      <c r="AM731" s="7">
        <f>IF(AK731="","",IF(AND(AK731="NO",AJ731&gt;=0.85),"YES","NO"))</f>
        <v/>
      </c>
      <c r="AN731" s="7">
        <f>IF(AJ731="","",IF(AJ731&gt;=0.90,"Excellent",IF(AJ731&gt;=0.80,"Good",IF(AJ731&gt;=0.70,"Fair","Poor"))))</f>
        <v/>
      </c>
      <c r="AO731" s="12" t="n"/>
      <c r="AP731" s="12" t="n"/>
      <c r="AQ731" s="12" t="n"/>
      <c r="AR731" s="12" t="n"/>
      <c r="AS731" s="12" t="n"/>
      <c r="AT731" s="12" t="n"/>
      <c r="AU731" s="12" t="n"/>
      <c r="AV731" s="11" t="n"/>
      <c r="AW731" s="12" t="n"/>
      <c r="AX731" s="12" t="n"/>
      <c r="AY731" s="12" t="n"/>
      <c r="AZ731" s="12" t="n"/>
      <c r="BA731" s="12" t="n"/>
      <c r="BB731" s="12" t="n"/>
      <c r="BC731" s="12" t="n"/>
      <c r="BD731" s="12" t="n"/>
      <c r="BE731" s="12" t="n"/>
      <c r="BF731" s="12" t="n"/>
    </row>
    <row r="732">
      <c r="A732" s="7">
        <f>IF(B732="","","INS-"&amp;TEXT(ROW()-3,"000"))</f>
        <v/>
      </c>
      <c r="B732" s="11" t="n"/>
      <c r="C732" s="7">
        <f>IF(B732="","",ISOWEEKNUM(B732))</f>
        <v/>
      </c>
      <c r="D732" s="7">
        <f>IF(B732="","",TEXT(B732,"yyyy-mm"))</f>
        <v/>
      </c>
      <c r="E732" s="12" t="n"/>
      <c r="F732" s="12" t="n"/>
      <c r="G732" s="7">
        <f>IF(OR(E732="",F732=""),"",IF(COUNTIF(Cluster_Master!$I$3:$I$17,E732&amp;"|"&amp;F732)=1,"Valid","Review"))</f>
        <v/>
      </c>
      <c r="H732" s="7">
        <f>IF($G732&lt;&gt;"Valid","",VLOOKUP($E732&amp;"|"&amp;$F732,Cluster_Master!$I$3:$H$17,3,FALSE))</f>
        <v/>
      </c>
      <c r="I732" s="7">
        <f>IF($G732&lt;&gt;"Valid","",VLOOKUP($E732&amp;"|"&amp;$F732,Cluster_Master!$I$3:$H$17,4,FALSE))</f>
        <v/>
      </c>
      <c r="J732" s="7">
        <f>IF($G732&lt;&gt;"Valid","",VLOOKUP($E732&amp;"|"&amp;$F732,Cluster_Master!$I$3:$H$17,5,FALSE))</f>
        <v/>
      </c>
      <c r="K732" s="7">
        <f>IF($G732&lt;&gt;"Valid","",VLOOKUP($E732&amp;"|"&amp;$F732,Cluster_Master!$I$3:$H$17,6,FALSE))</f>
        <v/>
      </c>
      <c r="L732" s="7">
        <f>IF($G732&lt;&gt;"Valid","",VLOOKUP($E732&amp;"|"&amp;$F732,Cluster_Master!$I$3:$H$17,7,FALSE))</f>
        <v/>
      </c>
      <c r="M732" s="7">
        <f>IF($G732&lt;&gt;"Valid","",VLOOKUP($E732&amp;"|"&amp;$F732,Cluster_Master!$I$3:$H$17,8,FALSE))</f>
        <v/>
      </c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7">
        <f>IF(COUNT(T732:AH732)=0,"",SUM(T732:AH732))</f>
        <v/>
      </c>
      <c r="AJ732" s="10">
        <f>IF(AI732="","",AI732/75)</f>
        <v/>
      </c>
      <c r="AK732" s="10">
        <f>IF(AI732="","",SUMPRODUCT(T732:AH732,KPI_Weights!$B$3:$B$17)/5)</f>
        <v/>
      </c>
      <c r="AL732" s="7">
        <f>IF(COUNT(T732:AH732)=0,"",IF(OR(T732&lt;=1,W732&lt;=1,X732&lt;=1,Y732&lt;=1,AB732&lt;=1),"YES","NO"))</f>
        <v/>
      </c>
      <c r="AM732" s="7">
        <f>IF(AK732="","",IF(AND(AK732="NO",AJ732&gt;=0.85),"YES","NO"))</f>
        <v/>
      </c>
      <c r="AN732" s="7">
        <f>IF(AJ732="","",IF(AJ732&gt;=0.90,"Excellent",IF(AJ732&gt;=0.80,"Good",IF(AJ732&gt;=0.70,"Fair","Poor"))))</f>
        <v/>
      </c>
      <c r="AO732" s="12" t="n"/>
      <c r="AP732" s="12" t="n"/>
      <c r="AQ732" s="12" t="n"/>
      <c r="AR732" s="12" t="n"/>
      <c r="AS732" s="12" t="n"/>
      <c r="AT732" s="12" t="n"/>
      <c r="AU732" s="12" t="n"/>
      <c r="AV732" s="11" t="n"/>
      <c r="AW732" s="12" t="n"/>
      <c r="AX732" s="12" t="n"/>
      <c r="AY732" s="12" t="n"/>
      <c r="AZ732" s="12" t="n"/>
      <c r="BA732" s="12" t="n"/>
      <c r="BB732" s="12" t="n"/>
      <c r="BC732" s="12" t="n"/>
      <c r="BD732" s="12" t="n"/>
      <c r="BE732" s="12" t="n"/>
      <c r="BF732" s="12" t="n"/>
    </row>
    <row r="733">
      <c r="A733" s="7">
        <f>IF(B733="","","INS-"&amp;TEXT(ROW()-3,"000"))</f>
        <v/>
      </c>
      <c r="B733" s="11" t="n"/>
      <c r="C733" s="7">
        <f>IF(B733="","",ISOWEEKNUM(B733))</f>
        <v/>
      </c>
      <c r="D733" s="7">
        <f>IF(B733="","",TEXT(B733,"yyyy-mm"))</f>
        <v/>
      </c>
      <c r="E733" s="12" t="n"/>
      <c r="F733" s="12" t="n"/>
      <c r="G733" s="7">
        <f>IF(OR(E733="",F733=""),"",IF(COUNTIF(Cluster_Master!$I$3:$I$17,E733&amp;"|"&amp;F733)=1,"Valid","Review"))</f>
        <v/>
      </c>
      <c r="H733" s="7">
        <f>IF($G733&lt;&gt;"Valid","",VLOOKUP($E733&amp;"|"&amp;$F733,Cluster_Master!$I$3:$H$17,3,FALSE))</f>
        <v/>
      </c>
      <c r="I733" s="7">
        <f>IF($G733&lt;&gt;"Valid","",VLOOKUP($E733&amp;"|"&amp;$F733,Cluster_Master!$I$3:$H$17,4,FALSE))</f>
        <v/>
      </c>
      <c r="J733" s="7">
        <f>IF($G733&lt;&gt;"Valid","",VLOOKUP($E733&amp;"|"&amp;$F733,Cluster_Master!$I$3:$H$17,5,FALSE))</f>
        <v/>
      </c>
      <c r="K733" s="7">
        <f>IF($G733&lt;&gt;"Valid","",VLOOKUP($E733&amp;"|"&amp;$F733,Cluster_Master!$I$3:$H$17,6,FALSE))</f>
        <v/>
      </c>
      <c r="L733" s="7">
        <f>IF($G733&lt;&gt;"Valid","",VLOOKUP($E733&amp;"|"&amp;$F733,Cluster_Master!$I$3:$H$17,7,FALSE))</f>
        <v/>
      </c>
      <c r="M733" s="7">
        <f>IF($G733&lt;&gt;"Valid","",VLOOKUP($E733&amp;"|"&amp;$F733,Cluster_Master!$I$3:$H$17,8,FALSE))</f>
        <v/>
      </c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7">
        <f>IF(COUNT(T733:AH733)=0,"",SUM(T733:AH733))</f>
        <v/>
      </c>
      <c r="AJ733" s="10">
        <f>IF(AI733="","",AI733/75)</f>
        <v/>
      </c>
      <c r="AK733" s="10">
        <f>IF(AI733="","",SUMPRODUCT(T733:AH733,KPI_Weights!$B$3:$B$17)/5)</f>
        <v/>
      </c>
      <c r="AL733" s="7">
        <f>IF(COUNT(T733:AH733)=0,"",IF(OR(T733&lt;=1,W733&lt;=1,X733&lt;=1,Y733&lt;=1,AB733&lt;=1),"YES","NO"))</f>
        <v/>
      </c>
      <c r="AM733" s="7">
        <f>IF(AK733="","",IF(AND(AK733="NO",AJ733&gt;=0.85),"YES","NO"))</f>
        <v/>
      </c>
      <c r="AN733" s="7">
        <f>IF(AJ733="","",IF(AJ733&gt;=0.90,"Excellent",IF(AJ733&gt;=0.80,"Good",IF(AJ733&gt;=0.70,"Fair","Poor"))))</f>
        <v/>
      </c>
      <c r="AO733" s="12" t="n"/>
      <c r="AP733" s="12" t="n"/>
      <c r="AQ733" s="12" t="n"/>
      <c r="AR733" s="12" t="n"/>
      <c r="AS733" s="12" t="n"/>
      <c r="AT733" s="12" t="n"/>
      <c r="AU733" s="12" t="n"/>
      <c r="AV733" s="11" t="n"/>
      <c r="AW733" s="12" t="n"/>
      <c r="AX733" s="12" t="n"/>
      <c r="AY733" s="12" t="n"/>
      <c r="AZ733" s="12" t="n"/>
      <c r="BA733" s="12" t="n"/>
      <c r="BB733" s="12" t="n"/>
      <c r="BC733" s="12" t="n"/>
      <c r="BD733" s="12" t="n"/>
      <c r="BE733" s="12" t="n"/>
      <c r="BF733" s="12" t="n"/>
    </row>
    <row r="734">
      <c r="A734" s="7">
        <f>IF(B734="","","INS-"&amp;TEXT(ROW()-3,"000"))</f>
        <v/>
      </c>
      <c r="B734" s="11" t="n"/>
      <c r="C734" s="7">
        <f>IF(B734="","",ISOWEEKNUM(B734))</f>
        <v/>
      </c>
      <c r="D734" s="7">
        <f>IF(B734="","",TEXT(B734,"yyyy-mm"))</f>
        <v/>
      </c>
      <c r="E734" s="12" t="n"/>
      <c r="F734" s="12" t="n"/>
      <c r="G734" s="7">
        <f>IF(OR(E734="",F734=""),"",IF(COUNTIF(Cluster_Master!$I$3:$I$17,E734&amp;"|"&amp;F734)=1,"Valid","Review"))</f>
        <v/>
      </c>
      <c r="H734" s="7">
        <f>IF($G734&lt;&gt;"Valid","",VLOOKUP($E734&amp;"|"&amp;$F734,Cluster_Master!$I$3:$H$17,3,FALSE))</f>
        <v/>
      </c>
      <c r="I734" s="7">
        <f>IF($G734&lt;&gt;"Valid","",VLOOKUP($E734&amp;"|"&amp;$F734,Cluster_Master!$I$3:$H$17,4,FALSE))</f>
        <v/>
      </c>
      <c r="J734" s="7">
        <f>IF($G734&lt;&gt;"Valid","",VLOOKUP($E734&amp;"|"&amp;$F734,Cluster_Master!$I$3:$H$17,5,FALSE))</f>
        <v/>
      </c>
      <c r="K734" s="7">
        <f>IF($G734&lt;&gt;"Valid","",VLOOKUP($E734&amp;"|"&amp;$F734,Cluster_Master!$I$3:$H$17,6,FALSE))</f>
        <v/>
      </c>
      <c r="L734" s="7">
        <f>IF($G734&lt;&gt;"Valid","",VLOOKUP($E734&amp;"|"&amp;$F734,Cluster_Master!$I$3:$H$17,7,FALSE))</f>
        <v/>
      </c>
      <c r="M734" s="7">
        <f>IF($G734&lt;&gt;"Valid","",VLOOKUP($E734&amp;"|"&amp;$F734,Cluster_Master!$I$3:$H$17,8,FALSE))</f>
        <v/>
      </c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7">
        <f>IF(COUNT(T734:AH734)=0,"",SUM(T734:AH734))</f>
        <v/>
      </c>
      <c r="AJ734" s="10">
        <f>IF(AI734="","",AI734/75)</f>
        <v/>
      </c>
      <c r="AK734" s="10">
        <f>IF(AI734="","",SUMPRODUCT(T734:AH734,KPI_Weights!$B$3:$B$17)/5)</f>
        <v/>
      </c>
      <c r="AL734" s="7">
        <f>IF(COUNT(T734:AH734)=0,"",IF(OR(T734&lt;=1,W734&lt;=1,X734&lt;=1,Y734&lt;=1,AB734&lt;=1),"YES","NO"))</f>
        <v/>
      </c>
      <c r="AM734" s="7">
        <f>IF(AK734="","",IF(AND(AK734="NO",AJ734&gt;=0.85),"YES","NO"))</f>
        <v/>
      </c>
      <c r="AN734" s="7">
        <f>IF(AJ734="","",IF(AJ734&gt;=0.90,"Excellent",IF(AJ734&gt;=0.80,"Good",IF(AJ734&gt;=0.70,"Fair","Poor"))))</f>
        <v/>
      </c>
      <c r="AO734" s="12" t="n"/>
      <c r="AP734" s="12" t="n"/>
      <c r="AQ734" s="12" t="n"/>
      <c r="AR734" s="12" t="n"/>
      <c r="AS734" s="12" t="n"/>
      <c r="AT734" s="12" t="n"/>
      <c r="AU734" s="12" t="n"/>
      <c r="AV734" s="11" t="n"/>
      <c r="AW734" s="12" t="n"/>
      <c r="AX734" s="12" t="n"/>
      <c r="AY734" s="12" t="n"/>
      <c r="AZ734" s="12" t="n"/>
      <c r="BA734" s="12" t="n"/>
      <c r="BB734" s="12" t="n"/>
      <c r="BC734" s="12" t="n"/>
      <c r="BD734" s="12" t="n"/>
      <c r="BE734" s="12" t="n"/>
      <c r="BF734" s="12" t="n"/>
    </row>
    <row r="735">
      <c r="A735" s="7">
        <f>IF(B735="","","INS-"&amp;TEXT(ROW()-3,"000"))</f>
        <v/>
      </c>
      <c r="B735" s="11" t="n"/>
      <c r="C735" s="7">
        <f>IF(B735="","",ISOWEEKNUM(B735))</f>
        <v/>
      </c>
      <c r="D735" s="7">
        <f>IF(B735="","",TEXT(B735,"yyyy-mm"))</f>
        <v/>
      </c>
      <c r="E735" s="12" t="n"/>
      <c r="F735" s="12" t="n"/>
      <c r="G735" s="7">
        <f>IF(OR(E735="",F735=""),"",IF(COUNTIF(Cluster_Master!$I$3:$I$17,E735&amp;"|"&amp;F735)=1,"Valid","Review"))</f>
        <v/>
      </c>
      <c r="H735" s="7">
        <f>IF($G735&lt;&gt;"Valid","",VLOOKUP($E735&amp;"|"&amp;$F735,Cluster_Master!$I$3:$H$17,3,FALSE))</f>
        <v/>
      </c>
      <c r="I735" s="7">
        <f>IF($G735&lt;&gt;"Valid","",VLOOKUP($E735&amp;"|"&amp;$F735,Cluster_Master!$I$3:$H$17,4,FALSE))</f>
        <v/>
      </c>
      <c r="J735" s="7">
        <f>IF($G735&lt;&gt;"Valid","",VLOOKUP($E735&amp;"|"&amp;$F735,Cluster_Master!$I$3:$H$17,5,FALSE))</f>
        <v/>
      </c>
      <c r="K735" s="7">
        <f>IF($G735&lt;&gt;"Valid","",VLOOKUP($E735&amp;"|"&amp;$F735,Cluster_Master!$I$3:$H$17,6,FALSE))</f>
        <v/>
      </c>
      <c r="L735" s="7">
        <f>IF($G735&lt;&gt;"Valid","",VLOOKUP($E735&amp;"|"&amp;$F735,Cluster_Master!$I$3:$H$17,7,FALSE))</f>
        <v/>
      </c>
      <c r="M735" s="7">
        <f>IF($G735&lt;&gt;"Valid","",VLOOKUP($E735&amp;"|"&amp;$F735,Cluster_Master!$I$3:$H$17,8,FALSE))</f>
        <v/>
      </c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7">
        <f>IF(COUNT(T735:AH735)=0,"",SUM(T735:AH735))</f>
        <v/>
      </c>
      <c r="AJ735" s="10">
        <f>IF(AI735="","",AI735/75)</f>
        <v/>
      </c>
      <c r="AK735" s="10">
        <f>IF(AI735="","",SUMPRODUCT(T735:AH735,KPI_Weights!$B$3:$B$17)/5)</f>
        <v/>
      </c>
      <c r="AL735" s="7">
        <f>IF(COUNT(T735:AH735)=0,"",IF(OR(T735&lt;=1,W735&lt;=1,X735&lt;=1,Y735&lt;=1,AB735&lt;=1),"YES","NO"))</f>
        <v/>
      </c>
      <c r="AM735" s="7">
        <f>IF(AK735="","",IF(AND(AK735="NO",AJ735&gt;=0.85),"YES","NO"))</f>
        <v/>
      </c>
      <c r="AN735" s="7">
        <f>IF(AJ735="","",IF(AJ735&gt;=0.90,"Excellent",IF(AJ735&gt;=0.80,"Good",IF(AJ735&gt;=0.70,"Fair","Poor"))))</f>
        <v/>
      </c>
      <c r="AO735" s="12" t="n"/>
      <c r="AP735" s="12" t="n"/>
      <c r="AQ735" s="12" t="n"/>
      <c r="AR735" s="12" t="n"/>
      <c r="AS735" s="12" t="n"/>
      <c r="AT735" s="12" t="n"/>
      <c r="AU735" s="12" t="n"/>
      <c r="AV735" s="11" t="n"/>
      <c r="AW735" s="12" t="n"/>
      <c r="AX735" s="12" t="n"/>
      <c r="AY735" s="12" t="n"/>
      <c r="AZ735" s="12" t="n"/>
      <c r="BA735" s="12" t="n"/>
      <c r="BB735" s="12" t="n"/>
      <c r="BC735" s="12" t="n"/>
      <c r="BD735" s="12" t="n"/>
      <c r="BE735" s="12" t="n"/>
      <c r="BF735" s="12" t="n"/>
    </row>
    <row r="736">
      <c r="A736" s="7">
        <f>IF(B736="","","INS-"&amp;TEXT(ROW()-3,"000"))</f>
        <v/>
      </c>
      <c r="B736" s="11" t="n"/>
      <c r="C736" s="7">
        <f>IF(B736="","",ISOWEEKNUM(B736))</f>
        <v/>
      </c>
      <c r="D736" s="7">
        <f>IF(B736="","",TEXT(B736,"yyyy-mm"))</f>
        <v/>
      </c>
      <c r="E736" s="12" t="n"/>
      <c r="F736" s="12" t="n"/>
      <c r="G736" s="7">
        <f>IF(OR(E736="",F736=""),"",IF(COUNTIF(Cluster_Master!$I$3:$I$17,E736&amp;"|"&amp;F736)=1,"Valid","Review"))</f>
        <v/>
      </c>
      <c r="H736" s="7">
        <f>IF($G736&lt;&gt;"Valid","",VLOOKUP($E736&amp;"|"&amp;$F736,Cluster_Master!$I$3:$H$17,3,FALSE))</f>
        <v/>
      </c>
      <c r="I736" s="7">
        <f>IF($G736&lt;&gt;"Valid","",VLOOKUP($E736&amp;"|"&amp;$F736,Cluster_Master!$I$3:$H$17,4,FALSE))</f>
        <v/>
      </c>
      <c r="J736" s="7">
        <f>IF($G736&lt;&gt;"Valid","",VLOOKUP($E736&amp;"|"&amp;$F736,Cluster_Master!$I$3:$H$17,5,FALSE))</f>
        <v/>
      </c>
      <c r="K736" s="7">
        <f>IF($G736&lt;&gt;"Valid","",VLOOKUP($E736&amp;"|"&amp;$F736,Cluster_Master!$I$3:$H$17,6,FALSE))</f>
        <v/>
      </c>
      <c r="L736" s="7">
        <f>IF($G736&lt;&gt;"Valid","",VLOOKUP($E736&amp;"|"&amp;$F736,Cluster_Master!$I$3:$H$17,7,FALSE))</f>
        <v/>
      </c>
      <c r="M736" s="7">
        <f>IF($G736&lt;&gt;"Valid","",VLOOKUP($E736&amp;"|"&amp;$F736,Cluster_Master!$I$3:$H$17,8,FALSE))</f>
        <v/>
      </c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7">
        <f>IF(COUNT(T736:AH736)=0,"",SUM(T736:AH736))</f>
        <v/>
      </c>
      <c r="AJ736" s="10">
        <f>IF(AI736="","",AI736/75)</f>
        <v/>
      </c>
      <c r="AK736" s="10">
        <f>IF(AI736="","",SUMPRODUCT(T736:AH736,KPI_Weights!$B$3:$B$17)/5)</f>
        <v/>
      </c>
      <c r="AL736" s="7">
        <f>IF(COUNT(T736:AH736)=0,"",IF(OR(T736&lt;=1,W736&lt;=1,X736&lt;=1,Y736&lt;=1,AB736&lt;=1),"YES","NO"))</f>
        <v/>
      </c>
      <c r="AM736" s="7">
        <f>IF(AK736="","",IF(AND(AK736="NO",AJ736&gt;=0.85),"YES","NO"))</f>
        <v/>
      </c>
      <c r="AN736" s="7">
        <f>IF(AJ736="","",IF(AJ736&gt;=0.90,"Excellent",IF(AJ736&gt;=0.80,"Good",IF(AJ736&gt;=0.70,"Fair","Poor"))))</f>
        <v/>
      </c>
      <c r="AO736" s="12" t="n"/>
      <c r="AP736" s="12" t="n"/>
      <c r="AQ736" s="12" t="n"/>
      <c r="AR736" s="12" t="n"/>
      <c r="AS736" s="12" t="n"/>
      <c r="AT736" s="12" t="n"/>
      <c r="AU736" s="12" t="n"/>
      <c r="AV736" s="11" t="n"/>
      <c r="AW736" s="12" t="n"/>
      <c r="AX736" s="12" t="n"/>
      <c r="AY736" s="12" t="n"/>
      <c r="AZ736" s="12" t="n"/>
      <c r="BA736" s="12" t="n"/>
      <c r="BB736" s="12" t="n"/>
      <c r="BC736" s="12" t="n"/>
      <c r="BD736" s="12" t="n"/>
      <c r="BE736" s="12" t="n"/>
      <c r="BF736" s="12" t="n"/>
    </row>
    <row r="737">
      <c r="A737" s="7">
        <f>IF(B737="","","INS-"&amp;TEXT(ROW()-3,"000"))</f>
        <v/>
      </c>
      <c r="B737" s="11" t="n"/>
      <c r="C737" s="7">
        <f>IF(B737="","",ISOWEEKNUM(B737))</f>
        <v/>
      </c>
      <c r="D737" s="7">
        <f>IF(B737="","",TEXT(B737,"yyyy-mm"))</f>
        <v/>
      </c>
      <c r="E737" s="12" t="n"/>
      <c r="F737" s="12" t="n"/>
      <c r="G737" s="7">
        <f>IF(OR(E737="",F737=""),"",IF(COUNTIF(Cluster_Master!$I$3:$I$17,E737&amp;"|"&amp;F737)=1,"Valid","Review"))</f>
        <v/>
      </c>
      <c r="H737" s="7">
        <f>IF($G737&lt;&gt;"Valid","",VLOOKUP($E737&amp;"|"&amp;$F737,Cluster_Master!$I$3:$H$17,3,FALSE))</f>
        <v/>
      </c>
      <c r="I737" s="7">
        <f>IF($G737&lt;&gt;"Valid","",VLOOKUP($E737&amp;"|"&amp;$F737,Cluster_Master!$I$3:$H$17,4,FALSE))</f>
        <v/>
      </c>
      <c r="J737" s="7">
        <f>IF($G737&lt;&gt;"Valid","",VLOOKUP($E737&amp;"|"&amp;$F737,Cluster_Master!$I$3:$H$17,5,FALSE))</f>
        <v/>
      </c>
      <c r="K737" s="7">
        <f>IF($G737&lt;&gt;"Valid","",VLOOKUP($E737&amp;"|"&amp;$F737,Cluster_Master!$I$3:$H$17,6,FALSE))</f>
        <v/>
      </c>
      <c r="L737" s="7">
        <f>IF($G737&lt;&gt;"Valid","",VLOOKUP($E737&amp;"|"&amp;$F737,Cluster_Master!$I$3:$H$17,7,FALSE))</f>
        <v/>
      </c>
      <c r="M737" s="7">
        <f>IF($G737&lt;&gt;"Valid","",VLOOKUP($E737&amp;"|"&amp;$F737,Cluster_Master!$I$3:$H$17,8,FALSE))</f>
        <v/>
      </c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7">
        <f>IF(COUNT(T737:AH737)=0,"",SUM(T737:AH737))</f>
        <v/>
      </c>
      <c r="AJ737" s="10">
        <f>IF(AI737="","",AI737/75)</f>
        <v/>
      </c>
      <c r="AK737" s="10">
        <f>IF(AI737="","",SUMPRODUCT(T737:AH737,KPI_Weights!$B$3:$B$17)/5)</f>
        <v/>
      </c>
      <c r="AL737" s="7">
        <f>IF(COUNT(T737:AH737)=0,"",IF(OR(T737&lt;=1,W737&lt;=1,X737&lt;=1,Y737&lt;=1,AB737&lt;=1),"YES","NO"))</f>
        <v/>
      </c>
      <c r="AM737" s="7">
        <f>IF(AK737="","",IF(AND(AK737="NO",AJ737&gt;=0.85),"YES","NO"))</f>
        <v/>
      </c>
      <c r="AN737" s="7">
        <f>IF(AJ737="","",IF(AJ737&gt;=0.90,"Excellent",IF(AJ737&gt;=0.80,"Good",IF(AJ737&gt;=0.70,"Fair","Poor"))))</f>
        <v/>
      </c>
      <c r="AO737" s="12" t="n"/>
      <c r="AP737" s="12" t="n"/>
      <c r="AQ737" s="12" t="n"/>
      <c r="AR737" s="12" t="n"/>
      <c r="AS737" s="12" t="n"/>
      <c r="AT737" s="12" t="n"/>
      <c r="AU737" s="12" t="n"/>
      <c r="AV737" s="11" t="n"/>
      <c r="AW737" s="12" t="n"/>
      <c r="AX737" s="12" t="n"/>
      <c r="AY737" s="12" t="n"/>
      <c r="AZ737" s="12" t="n"/>
      <c r="BA737" s="12" t="n"/>
      <c r="BB737" s="12" t="n"/>
      <c r="BC737" s="12" t="n"/>
      <c r="BD737" s="12" t="n"/>
      <c r="BE737" s="12" t="n"/>
      <c r="BF737" s="12" t="n"/>
    </row>
    <row r="738">
      <c r="A738" s="7">
        <f>IF(B738="","","INS-"&amp;TEXT(ROW()-3,"000"))</f>
        <v/>
      </c>
      <c r="B738" s="11" t="n"/>
      <c r="C738" s="7">
        <f>IF(B738="","",ISOWEEKNUM(B738))</f>
        <v/>
      </c>
      <c r="D738" s="7">
        <f>IF(B738="","",TEXT(B738,"yyyy-mm"))</f>
        <v/>
      </c>
      <c r="E738" s="12" t="n"/>
      <c r="F738" s="12" t="n"/>
      <c r="G738" s="7">
        <f>IF(OR(E738="",F738=""),"",IF(COUNTIF(Cluster_Master!$I$3:$I$17,E738&amp;"|"&amp;F738)=1,"Valid","Review"))</f>
        <v/>
      </c>
      <c r="H738" s="7">
        <f>IF($G738&lt;&gt;"Valid","",VLOOKUP($E738&amp;"|"&amp;$F738,Cluster_Master!$I$3:$H$17,3,FALSE))</f>
        <v/>
      </c>
      <c r="I738" s="7">
        <f>IF($G738&lt;&gt;"Valid","",VLOOKUP($E738&amp;"|"&amp;$F738,Cluster_Master!$I$3:$H$17,4,FALSE))</f>
        <v/>
      </c>
      <c r="J738" s="7">
        <f>IF($G738&lt;&gt;"Valid","",VLOOKUP($E738&amp;"|"&amp;$F738,Cluster_Master!$I$3:$H$17,5,FALSE))</f>
        <v/>
      </c>
      <c r="K738" s="7">
        <f>IF($G738&lt;&gt;"Valid","",VLOOKUP($E738&amp;"|"&amp;$F738,Cluster_Master!$I$3:$H$17,6,FALSE))</f>
        <v/>
      </c>
      <c r="L738" s="7">
        <f>IF($G738&lt;&gt;"Valid","",VLOOKUP($E738&amp;"|"&amp;$F738,Cluster_Master!$I$3:$H$17,7,FALSE))</f>
        <v/>
      </c>
      <c r="M738" s="7">
        <f>IF($G738&lt;&gt;"Valid","",VLOOKUP($E738&amp;"|"&amp;$F738,Cluster_Master!$I$3:$H$17,8,FALSE))</f>
        <v/>
      </c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7">
        <f>IF(COUNT(T738:AH738)=0,"",SUM(T738:AH738))</f>
        <v/>
      </c>
      <c r="AJ738" s="10">
        <f>IF(AI738="","",AI738/75)</f>
        <v/>
      </c>
      <c r="AK738" s="10">
        <f>IF(AI738="","",SUMPRODUCT(T738:AH738,KPI_Weights!$B$3:$B$17)/5)</f>
        <v/>
      </c>
      <c r="AL738" s="7">
        <f>IF(COUNT(T738:AH738)=0,"",IF(OR(T738&lt;=1,W738&lt;=1,X738&lt;=1,Y738&lt;=1,AB738&lt;=1),"YES","NO"))</f>
        <v/>
      </c>
      <c r="AM738" s="7">
        <f>IF(AK738="","",IF(AND(AK738="NO",AJ738&gt;=0.85),"YES","NO"))</f>
        <v/>
      </c>
      <c r="AN738" s="7">
        <f>IF(AJ738="","",IF(AJ738&gt;=0.90,"Excellent",IF(AJ738&gt;=0.80,"Good",IF(AJ738&gt;=0.70,"Fair","Poor"))))</f>
        <v/>
      </c>
      <c r="AO738" s="12" t="n"/>
      <c r="AP738" s="12" t="n"/>
      <c r="AQ738" s="12" t="n"/>
      <c r="AR738" s="12" t="n"/>
      <c r="AS738" s="12" t="n"/>
      <c r="AT738" s="12" t="n"/>
      <c r="AU738" s="12" t="n"/>
      <c r="AV738" s="11" t="n"/>
      <c r="AW738" s="12" t="n"/>
      <c r="AX738" s="12" t="n"/>
      <c r="AY738" s="12" t="n"/>
      <c r="AZ738" s="12" t="n"/>
      <c r="BA738" s="12" t="n"/>
      <c r="BB738" s="12" t="n"/>
      <c r="BC738" s="12" t="n"/>
      <c r="BD738" s="12" t="n"/>
      <c r="BE738" s="12" t="n"/>
      <c r="BF738" s="12" t="n"/>
    </row>
    <row r="739">
      <c r="A739" s="7">
        <f>IF(B739="","","INS-"&amp;TEXT(ROW()-3,"000"))</f>
        <v/>
      </c>
      <c r="B739" s="11" t="n"/>
      <c r="C739" s="7">
        <f>IF(B739="","",ISOWEEKNUM(B739))</f>
        <v/>
      </c>
      <c r="D739" s="7">
        <f>IF(B739="","",TEXT(B739,"yyyy-mm"))</f>
        <v/>
      </c>
      <c r="E739" s="12" t="n"/>
      <c r="F739" s="12" t="n"/>
      <c r="G739" s="7">
        <f>IF(OR(E739="",F739=""),"",IF(COUNTIF(Cluster_Master!$I$3:$I$17,E739&amp;"|"&amp;F739)=1,"Valid","Review"))</f>
        <v/>
      </c>
      <c r="H739" s="7">
        <f>IF($G739&lt;&gt;"Valid","",VLOOKUP($E739&amp;"|"&amp;$F739,Cluster_Master!$I$3:$H$17,3,FALSE))</f>
        <v/>
      </c>
      <c r="I739" s="7">
        <f>IF($G739&lt;&gt;"Valid","",VLOOKUP($E739&amp;"|"&amp;$F739,Cluster_Master!$I$3:$H$17,4,FALSE))</f>
        <v/>
      </c>
      <c r="J739" s="7">
        <f>IF($G739&lt;&gt;"Valid","",VLOOKUP($E739&amp;"|"&amp;$F739,Cluster_Master!$I$3:$H$17,5,FALSE))</f>
        <v/>
      </c>
      <c r="K739" s="7">
        <f>IF($G739&lt;&gt;"Valid","",VLOOKUP($E739&amp;"|"&amp;$F739,Cluster_Master!$I$3:$H$17,6,FALSE))</f>
        <v/>
      </c>
      <c r="L739" s="7">
        <f>IF($G739&lt;&gt;"Valid","",VLOOKUP($E739&amp;"|"&amp;$F739,Cluster_Master!$I$3:$H$17,7,FALSE))</f>
        <v/>
      </c>
      <c r="M739" s="7">
        <f>IF($G739&lt;&gt;"Valid","",VLOOKUP($E739&amp;"|"&amp;$F739,Cluster_Master!$I$3:$H$17,8,FALSE))</f>
        <v/>
      </c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7">
        <f>IF(COUNT(T739:AH739)=0,"",SUM(T739:AH739))</f>
        <v/>
      </c>
      <c r="AJ739" s="10">
        <f>IF(AI739="","",AI739/75)</f>
        <v/>
      </c>
      <c r="AK739" s="10">
        <f>IF(AI739="","",SUMPRODUCT(T739:AH739,KPI_Weights!$B$3:$B$17)/5)</f>
        <v/>
      </c>
      <c r="AL739" s="7">
        <f>IF(COUNT(T739:AH739)=0,"",IF(OR(T739&lt;=1,W739&lt;=1,X739&lt;=1,Y739&lt;=1,AB739&lt;=1),"YES","NO"))</f>
        <v/>
      </c>
      <c r="AM739" s="7">
        <f>IF(AK739="","",IF(AND(AK739="NO",AJ739&gt;=0.85),"YES","NO"))</f>
        <v/>
      </c>
      <c r="AN739" s="7">
        <f>IF(AJ739="","",IF(AJ739&gt;=0.90,"Excellent",IF(AJ739&gt;=0.80,"Good",IF(AJ739&gt;=0.70,"Fair","Poor"))))</f>
        <v/>
      </c>
      <c r="AO739" s="12" t="n"/>
      <c r="AP739" s="12" t="n"/>
      <c r="AQ739" s="12" t="n"/>
      <c r="AR739" s="12" t="n"/>
      <c r="AS739" s="12" t="n"/>
      <c r="AT739" s="12" t="n"/>
      <c r="AU739" s="12" t="n"/>
      <c r="AV739" s="11" t="n"/>
      <c r="AW739" s="12" t="n"/>
      <c r="AX739" s="12" t="n"/>
      <c r="AY739" s="12" t="n"/>
      <c r="AZ739" s="12" t="n"/>
      <c r="BA739" s="12" t="n"/>
      <c r="BB739" s="12" t="n"/>
      <c r="BC739" s="12" t="n"/>
      <c r="BD739" s="12" t="n"/>
      <c r="BE739" s="12" t="n"/>
      <c r="BF739" s="12" t="n"/>
    </row>
    <row r="740">
      <c r="A740" s="7">
        <f>IF(B740="","","INS-"&amp;TEXT(ROW()-3,"000"))</f>
        <v/>
      </c>
      <c r="B740" s="11" t="n"/>
      <c r="C740" s="7">
        <f>IF(B740="","",ISOWEEKNUM(B740))</f>
        <v/>
      </c>
      <c r="D740" s="7">
        <f>IF(B740="","",TEXT(B740,"yyyy-mm"))</f>
        <v/>
      </c>
      <c r="E740" s="12" t="n"/>
      <c r="F740" s="12" t="n"/>
      <c r="G740" s="7">
        <f>IF(OR(E740="",F740=""),"",IF(COUNTIF(Cluster_Master!$I$3:$I$17,E740&amp;"|"&amp;F740)=1,"Valid","Review"))</f>
        <v/>
      </c>
      <c r="H740" s="7">
        <f>IF($G740&lt;&gt;"Valid","",VLOOKUP($E740&amp;"|"&amp;$F740,Cluster_Master!$I$3:$H$17,3,FALSE))</f>
        <v/>
      </c>
      <c r="I740" s="7">
        <f>IF($G740&lt;&gt;"Valid","",VLOOKUP($E740&amp;"|"&amp;$F740,Cluster_Master!$I$3:$H$17,4,FALSE))</f>
        <v/>
      </c>
      <c r="J740" s="7">
        <f>IF($G740&lt;&gt;"Valid","",VLOOKUP($E740&amp;"|"&amp;$F740,Cluster_Master!$I$3:$H$17,5,FALSE))</f>
        <v/>
      </c>
      <c r="K740" s="7">
        <f>IF($G740&lt;&gt;"Valid","",VLOOKUP($E740&amp;"|"&amp;$F740,Cluster_Master!$I$3:$H$17,6,FALSE))</f>
        <v/>
      </c>
      <c r="L740" s="7">
        <f>IF($G740&lt;&gt;"Valid","",VLOOKUP($E740&amp;"|"&amp;$F740,Cluster_Master!$I$3:$H$17,7,FALSE))</f>
        <v/>
      </c>
      <c r="M740" s="7">
        <f>IF($G740&lt;&gt;"Valid","",VLOOKUP($E740&amp;"|"&amp;$F740,Cluster_Master!$I$3:$H$17,8,FALSE))</f>
        <v/>
      </c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7">
        <f>IF(COUNT(T740:AH740)=0,"",SUM(T740:AH740))</f>
        <v/>
      </c>
      <c r="AJ740" s="10">
        <f>IF(AI740="","",AI740/75)</f>
        <v/>
      </c>
      <c r="AK740" s="10">
        <f>IF(AI740="","",SUMPRODUCT(T740:AH740,KPI_Weights!$B$3:$B$17)/5)</f>
        <v/>
      </c>
      <c r="AL740" s="7">
        <f>IF(COUNT(T740:AH740)=0,"",IF(OR(T740&lt;=1,W740&lt;=1,X740&lt;=1,Y740&lt;=1,AB740&lt;=1),"YES","NO"))</f>
        <v/>
      </c>
      <c r="AM740" s="7">
        <f>IF(AK740="","",IF(AND(AK740="NO",AJ740&gt;=0.85),"YES","NO"))</f>
        <v/>
      </c>
      <c r="AN740" s="7">
        <f>IF(AJ740="","",IF(AJ740&gt;=0.90,"Excellent",IF(AJ740&gt;=0.80,"Good",IF(AJ740&gt;=0.70,"Fair","Poor"))))</f>
        <v/>
      </c>
      <c r="AO740" s="12" t="n"/>
      <c r="AP740" s="12" t="n"/>
      <c r="AQ740" s="12" t="n"/>
      <c r="AR740" s="12" t="n"/>
      <c r="AS740" s="12" t="n"/>
      <c r="AT740" s="12" t="n"/>
      <c r="AU740" s="12" t="n"/>
      <c r="AV740" s="11" t="n"/>
      <c r="AW740" s="12" t="n"/>
      <c r="AX740" s="12" t="n"/>
      <c r="AY740" s="12" t="n"/>
      <c r="AZ740" s="12" t="n"/>
      <c r="BA740" s="12" t="n"/>
      <c r="BB740" s="12" t="n"/>
      <c r="BC740" s="12" t="n"/>
      <c r="BD740" s="12" t="n"/>
      <c r="BE740" s="12" t="n"/>
      <c r="BF740" s="12" t="n"/>
    </row>
    <row r="741">
      <c r="A741" s="7">
        <f>IF(B741="","","INS-"&amp;TEXT(ROW()-3,"000"))</f>
        <v/>
      </c>
      <c r="B741" s="11" t="n"/>
      <c r="C741" s="7">
        <f>IF(B741="","",ISOWEEKNUM(B741))</f>
        <v/>
      </c>
      <c r="D741" s="7">
        <f>IF(B741="","",TEXT(B741,"yyyy-mm"))</f>
        <v/>
      </c>
      <c r="E741" s="12" t="n"/>
      <c r="F741" s="12" t="n"/>
      <c r="G741" s="7">
        <f>IF(OR(E741="",F741=""),"",IF(COUNTIF(Cluster_Master!$I$3:$I$17,E741&amp;"|"&amp;F741)=1,"Valid","Review"))</f>
        <v/>
      </c>
      <c r="H741" s="7">
        <f>IF($G741&lt;&gt;"Valid","",VLOOKUP($E741&amp;"|"&amp;$F741,Cluster_Master!$I$3:$H$17,3,FALSE))</f>
        <v/>
      </c>
      <c r="I741" s="7">
        <f>IF($G741&lt;&gt;"Valid","",VLOOKUP($E741&amp;"|"&amp;$F741,Cluster_Master!$I$3:$H$17,4,FALSE))</f>
        <v/>
      </c>
      <c r="J741" s="7">
        <f>IF($G741&lt;&gt;"Valid","",VLOOKUP($E741&amp;"|"&amp;$F741,Cluster_Master!$I$3:$H$17,5,FALSE))</f>
        <v/>
      </c>
      <c r="K741" s="7">
        <f>IF($G741&lt;&gt;"Valid","",VLOOKUP($E741&amp;"|"&amp;$F741,Cluster_Master!$I$3:$H$17,6,FALSE))</f>
        <v/>
      </c>
      <c r="L741" s="7">
        <f>IF($G741&lt;&gt;"Valid","",VLOOKUP($E741&amp;"|"&amp;$F741,Cluster_Master!$I$3:$H$17,7,FALSE))</f>
        <v/>
      </c>
      <c r="M741" s="7">
        <f>IF($G741&lt;&gt;"Valid","",VLOOKUP($E741&amp;"|"&amp;$F741,Cluster_Master!$I$3:$H$17,8,FALSE))</f>
        <v/>
      </c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7">
        <f>IF(COUNT(T741:AH741)=0,"",SUM(T741:AH741))</f>
        <v/>
      </c>
      <c r="AJ741" s="10">
        <f>IF(AI741="","",AI741/75)</f>
        <v/>
      </c>
      <c r="AK741" s="10">
        <f>IF(AI741="","",SUMPRODUCT(T741:AH741,KPI_Weights!$B$3:$B$17)/5)</f>
        <v/>
      </c>
      <c r="AL741" s="7">
        <f>IF(COUNT(T741:AH741)=0,"",IF(OR(T741&lt;=1,W741&lt;=1,X741&lt;=1,Y741&lt;=1,AB741&lt;=1),"YES","NO"))</f>
        <v/>
      </c>
      <c r="AM741" s="7">
        <f>IF(AK741="","",IF(AND(AK741="NO",AJ741&gt;=0.85),"YES","NO"))</f>
        <v/>
      </c>
      <c r="AN741" s="7">
        <f>IF(AJ741="","",IF(AJ741&gt;=0.90,"Excellent",IF(AJ741&gt;=0.80,"Good",IF(AJ741&gt;=0.70,"Fair","Poor"))))</f>
        <v/>
      </c>
      <c r="AO741" s="12" t="n"/>
      <c r="AP741" s="12" t="n"/>
      <c r="AQ741" s="12" t="n"/>
      <c r="AR741" s="12" t="n"/>
      <c r="AS741" s="12" t="n"/>
      <c r="AT741" s="12" t="n"/>
      <c r="AU741" s="12" t="n"/>
      <c r="AV741" s="11" t="n"/>
      <c r="AW741" s="12" t="n"/>
      <c r="AX741" s="12" t="n"/>
      <c r="AY741" s="12" t="n"/>
      <c r="AZ741" s="12" t="n"/>
      <c r="BA741" s="12" t="n"/>
      <c r="BB741" s="12" t="n"/>
      <c r="BC741" s="12" t="n"/>
      <c r="BD741" s="12" t="n"/>
      <c r="BE741" s="12" t="n"/>
      <c r="BF741" s="12" t="n"/>
    </row>
    <row r="742">
      <c r="A742" s="7">
        <f>IF(B742="","","INS-"&amp;TEXT(ROW()-3,"000"))</f>
        <v/>
      </c>
      <c r="B742" s="11" t="n"/>
      <c r="C742" s="7">
        <f>IF(B742="","",ISOWEEKNUM(B742))</f>
        <v/>
      </c>
      <c r="D742" s="7">
        <f>IF(B742="","",TEXT(B742,"yyyy-mm"))</f>
        <v/>
      </c>
      <c r="E742" s="12" t="n"/>
      <c r="F742" s="12" t="n"/>
      <c r="G742" s="7">
        <f>IF(OR(E742="",F742=""),"",IF(COUNTIF(Cluster_Master!$I$3:$I$17,E742&amp;"|"&amp;F742)=1,"Valid","Review"))</f>
        <v/>
      </c>
      <c r="H742" s="7">
        <f>IF($G742&lt;&gt;"Valid","",VLOOKUP($E742&amp;"|"&amp;$F742,Cluster_Master!$I$3:$H$17,3,FALSE))</f>
        <v/>
      </c>
      <c r="I742" s="7">
        <f>IF($G742&lt;&gt;"Valid","",VLOOKUP($E742&amp;"|"&amp;$F742,Cluster_Master!$I$3:$H$17,4,FALSE))</f>
        <v/>
      </c>
      <c r="J742" s="7">
        <f>IF($G742&lt;&gt;"Valid","",VLOOKUP($E742&amp;"|"&amp;$F742,Cluster_Master!$I$3:$H$17,5,FALSE))</f>
        <v/>
      </c>
      <c r="K742" s="7">
        <f>IF($G742&lt;&gt;"Valid","",VLOOKUP($E742&amp;"|"&amp;$F742,Cluster_Master!$I$3:$H$17,6,FALSE))</f>
        <v/>
      </c>
      <c r="L742" s="7">
        <f>IF($G742&lt;&gt;"Valid","",VLOOKUP($E742&amp;"|"&amp;$F742,Cluster_Master!$I$3:$H$17,7,FALSE))</f>
        <v/>
      </c>
      <c r="M742" s="7">
        <f>IF($G742&lt;&gt;"Valid","",VLOOKUP($E742&amp;"|"&amp;$F742,Cluster_Master!$I$3:$H$17,8,FALSE))</f>
        <v/>
      </c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7">
        <f>IF(COUNT(T742:AH742)=0,"",SUM(T742:AH742))</f>
        <v/>
      </c>
      <c r="AJ742" s="10">
        <f>IF(AI742="","",AI742/75)</f>
        <v/>
      </c>
      <c r="AK742" s="10">
        <f>IF(AI742="","",SUMPRODUCT(T742:AH742,KPI_Weights!$B$3:$B$17)/5)</f>
        <v/>
      </c>
      <c r="AL742" s="7">
        <f>IF(COUNT(T742:AH742)=0,"",IF(OR(T742&lt;=1,W742&lt;=1,X742&lt;=1,Y742&lt;=1,AB742&lt;=1),"YES","NO"))</f>
        <v/>
      </c>
      <c r="AM742" s="7">
        <f>IF(AK742="","",IF(AND(AK742="NO",AJ742&gt;=0.85),"YES","NO"))</f>
        <v/>
      </c>
      <c r="AN742" s="7">
        <f>IF(AJ742="","",IF(AJ742&gt;=0.90,"Excellent",IF(AJ742&gt;=0.80,"Good",IF(AJ742&gt;=0.70,"Fair","Poor"))))</f>
        <v/>
      </c>
      <c r="AO742" s="12" t="n"/>
      <c r="AP742" s="12" t="n"/>
      <c r="AQ742" s="12" t="n"/>
      <c r="AR742" s="12" t="n"/>
      <c r="AS742" s="12" t="n"/>
      <c r="AT742" s="12" t="n"/>
      <c r="AU742" s="12" t="n"/>
      <c r="AV742" s="11" t="n"/>
      <c r="AW742" s="12" t="n"/>
      <c r="AX742" s="12" t="n"/>
      <c r="AY742" s="12" t="n"/>
      <c r="AZ742" s="12" t="n"/>
      <c r="BA742" s="12" t="n"/>
      <c r="BB742" s="12" t="n"/>
      <c r="BC742" s="12" t="n"/>
      <c r="BD742" s="12" t="n"/>
      <c r="BE742" s="12" t="n"/>
      <c r="BF742" s="12" t="n"/>
    </row>
    <row r="743">
      <c r="A743" s="7">
        <f>IF(B743="","","INS-"&amp;TEXT(ROW()-3,"000"))</f>
        <v/>
      </c>
      <c r="B743" s="11" t="n"/>
      <c r="C743" s="7">
        <f>IF(B743="","",ISOWEEKNUM(B743))</f>
        <v/>
      </c>
      <c r="D743" s="7">
        <f>IF(B743="","",TEXT(B743,"yyyy-mm"))</f>
        <v/>
      </c>
      <c r="E743" s="12" t="n"/>
      <c r="F743" s="12" t="n"/>
      <c r="G743" s="7">
        <f>IF(OR(E743="",F743=""),"",IF(COUNTIF(Cluster_Master!$I$3:$I$17,E743&amp;"|"&amp;F743)=1,"Valid","Review"))</f>
        <v/>
      </c>
      <c r="H743" s="7">
        <f>IF($G743&lt;&gt;"Valid","",VLOOKUP($E743&amp;"|"&amp;$F743,Cluster_Master!$I$3:$H$17,3,FALSE))</f>
        <v/>
      </c>
      <c r="I743" s="7">
        <f>IF($G743&lt;&gt;"Valid","",VLOOKUP($E743&amp;"|"&amp;$F743,Cluster_Master!$I$3:$H$17,4,FALSE))</f>
        <v/>
      </c>
      <c r="J743" s="7">
        <f>IF($G743&lt;&gt;"Valid","",VLOOKUP($E743&amp;"|"&amp;$F743,Cluster_Master!$I$3:$H$17,5,FALSE))</f>
        <v/>
      </c>
      <c r="K743" s="7">
        <f>IF($G743&lt;&gt;"Valid","",VLOOKUP($E743&amp;"|"&amp;$F743,Cluster_Master!$I$3:$H$17,6,FALSE))</f>
        <v/>
      </c>
      <c r="L743" s="7">
        <f>IF($G743&lt;&gt;"Valid","",VLOOKUP($E743&amp;"|"&amp;$F743,Cluster_Master!$I$3:$H$17,7,FALSE))</f>
        <v/>
      </c>
      <c r="M743" s="7">
        <f>IF($G743&lt;&gt;"Valid","",VLOOKUP($E743&amp;"|"&amp;$F743,Cluster_Master!$I$3:$H$17,8,FALSE))</f>
        <v/>
      </c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7">
        <f>IF(COUNT(T743:AH743)=0,"",SUM(T743:AH743))</f>
        <v/>
      </c>
      <c r="AJ743" s="10">
        <f>IF(AI743="","",AI743/75)</f>
        <v/>
      </c>
      <c r="AK743" s="10">
        <f>IF(AI743="","",SUMPRODUCT(T743:AH743,KPI_Weights!$B$3:$B$17)/5)</f>
        <v/>
      </c>
      <c r="AL743" s="7">
        <f>IF(COUNT(T743:AH743)=0,"",IF(OR(T743&lt;=1,W743&lt;=1,X743&lt;=1,Y743&lt;=1,AB743&lt;=1),"YES","NO"))</f>
        <v/>
      </c>
      <c r="AM743" s="7">
        <f>IF(AK743="","",IF(AND(AK743="NO",AJ743&gt;=0.85),"YES","NO"))</f>
        <v/>
      </c>
      <c r="AN743" s="7">
        <f>IF(AJ743="","",IF(AJ743&gt;=0.90,"Excellent",IF(AJ743&gt;=0.80,"Good",IF(AJ743&gt;=0.70,"Fair","Poor"))))</f>
        <v/>
      </c>
      <c r="AO743" s="12" t="n"/>
      <c r="AP743" s="12" t="n"/>
      <c r="AQ743" s="12" t="n"/>
      <c r="AR743" s="12" t="n"/>
      <c r="AS743" s="12" t="n"/>
      <c r="AT743" s="12" t="n"/>
      <c r="AU743" s="12" t="n"/>
      <c r="AV743" s="11" t="n"/>
      <c r="AW743" s="12" t="n"/>
      <c r="AX743" s="12" t="n"/>
      <c r="AY743" s="12" t="n"/>
      <c r="AZ743" s="12" t="n"/>
      <c r="BA743" s="12" t="n"/>
      <c r="BB743" s="12" t="n"/>
      <c r="BC743" s="12" t="n"/>
      <c r="BD743" s="12" t="n"/>
      <c r="BE743" s="12" t="n"/>
      <c r="BF743" s="12" t="n"/>
    </row>
    <row r="744">
      <c r="A744" s="7">
        <f>IF(B744="","","INS-"&amp;TEXT(ROW()-3,"000"))</f>
        <v/>
      </c>
      <c r="B744" s="11" t="n"/>
      <c r="C744" s="7">
        <f>IF(B744="","",ISOWEEKNUM(B744))</f>
        <v/>
      </c>
      <c r="D744" s="7">
        <f>IF(B744="","",TEXT(B744,"yyyy-mm"))</f>
        <v/>
      </c>
      <c r="E744" s="12" t="n"/>
      <c r="F744" s="12" t="n"/>
      <c r="G744" s="7">
        <f>IF(OR(E744="",F744=""),"",IF(COUNTIF(Cluster_Master!$I$3:$I$17,E744&amp;"|"&amp;F744)=1,"Valid","Review"))</f>
        <v/>
      </c>
      <c r="H744" s="7">
        <f>IF($G744&lt;&gt;"Valid","",VLOOKUP($E744&amp;"|"&amp;$F744,Cluster_Master!$I$3:$H$17,3,FALSE))</f>
        <v/>
      </c>
      <c r="I744" s="7">
        <f>IF($G744&lt;&gt;"Valid","",VLOOKUP($E744&amp;"|"&amp;$F744,Cluster_Master!$I$3:$H$17,4,FALSE))</f>
        <v/>
      </c>
      <c r="J744" s="7">
        <f>IF($G744&lt;&gt;"Valid","",VLOOKUP($E744&amp;"|"&amp;$F744,Cluster_Master!$I$3:$H$17,5,FALSE))</f>
        <v/>
      </c>
      <c r="K744" s="7">
        <f>IF($G744&lt;&gt;"Valid","",VLOOKUP($E744&amp;"|"&amp;$F744,Cluster_Master!$I$3:$H$17,6,FALSE))</f>
        <v/>
      </c>
      <c r="L744" s="7">
        <f>IF($G744&lt;&gt;"Valid","",VLOOKUP($E744&amp;"|"&amp;$F744,Cluster_Master!$I$3:$H$17,7,FALSE))</f>
        <v/>
      </c>
      <c r="M744" s="7">
        <f>IF($G744&lt;&gt;"Valid","",VLOOKUP($E744&amp;"|"&amp;$F744,Cluster_Master!$I$3:$H$17,8,FALSE))</f>
        <v/>
      </c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7">
        <f>IF(COUNT(T744:AH744)=0,"",SUM(T744:AH744))</f>
        <v/>
      </c>
      <c r="AJ744" s="10">
        <f>IF(AI744="","",AI744/75)</f>
        <v/>
      </c>
      <c r="AK744" s="10">
        <f>IF(AI744="","",SUMPRODUCT(T744:AH744,KPI_Weights!$B$3:$B$17)/5)</f>
        <v/>
      </c>
      <c r="AL744" s="7">
        <f>IF(COUNT(T744:AH744)=0,"",IF(OR(T744&lt;=1,W744&lt;=1,X744&lt;=1,Y744&lt;=1,AB744&lt;=1),"YES","NO"))</f>
        <v/>
      </c>
      <c r="AM744" s="7">
        <f>IF(AK744="","",IF(AND(AK744="NO",AJ744&gt;=0.85),"YES","NO"))</f>
        <v/>
      </c>
      <c r="AN744" s="7">
        <f>IF(AJ744="","",IF(AJ744&gt;=0.90,"Excellent",IF(AJ744&gt;=0.80,"Good",IF(AJ744&gt;=0.70,"Fair","Poor"))))</f>
        <v/>
      </c>
      <c r="AO744" s="12" t="n"/>
      <c r="AP744" s="12" t="n"/>
      <c r="AQ744" s="12" t="n"/>
      <c r="AR744" s="12" t="n"/>
      <c r="AS744" s="12" t="n"/>
      <c r="AT744" s="12" t="n"/>
      <c r="AU744" s="12" t="n"/>
      <c r="AV744" s="11" t="n"/>
      <c r="AW744" s="12" t="n"/>
      <c r="AX744" s="12" t="n"/>
      <c r="AY744" s="12" t="n"/>
      <c r="AZ744" s="12" t="n"/>
      <c r="BA744" s="12" t="n"/>
      <c r="BB744" s="12" t="n"/>
      <c r="BC744" s="12" t="n"/>
      <c r="BD744" s="12" t="n"/>
      <c r="BE744" s="12" t="n"/>
      <c r="BF744" s="12" t="n"/>
    </row>
    <row r="745">
      <c r="A745" s="7">
        <f>IF(B745="","","INS-"&amp;TEXT(ROW()-3,"000"))</f>
        <v/>
      </c>
      <c r="B745" s="11" t="n"/>
      <c r="C745" s="7">
        <f>IF(B745="","",ISOWEEKNUM(B745))</f>
        <v/>
      </c>
      <c r="D745" s="7">
        <f>IF(B745="","",TEXT(B745,"yyyy-mm"))</f>
        <v/>
      </c>
      <c r="E745" s="12" t="n"/>
      <c r="F745" s="12" t="n"/>
      <c r="G745" s="7">
        <f>IF(OR(E745="",F745=""),"",IF(COUNTIF(Cluster_Master!$I$3:$I$17,E745&amp;"|"&amp;F745)=1,"Valid","Review"))</f>
        <v/>
      </c>
      <c r="H745" s="7">
        <f>IF($G745&lt;&gt;"Valid","",VLOOKUP($E745&amp;"|"&amp;$F745,Cluster_Master!$I$3:$H$17,3,FALSE))</f>
        <v/>
      </c>
      <c r="I745" s="7">
        <f>IF($G745&lt;&gt;"Valid","",VLOOKUP($E745&amp;"|"&amp;$F745,Cluster_Master!$I$3:$H$17,4,FALSE))</f>
        <v/>
      </c>
      <c r="J745" s="7">
        <f>IF($G745&lt;&gt;"Valid","",VLOOKUP($E745&amp;"|"&amp;$F745,Cluster_Master!$I$3:$H$17,5,FALSE))</f>
        <v/>
      </c>
      <c r="K745" s="7">
        <f>IF($G745&lt;&gt;"Valid","",VLOOKUP($E745&amp;"|"&amp;$F745,Cluster_Master!$I$3:$H$17,6,FALSE))</f>
        <v/>
      </c>
      <c r="L745" s="7">
        <f>IF($G745&lt;&gt;"Valid","",VLOOKUP($E745&amp;"|"&amp;$F745,Cluster_Master!$I$3:$H$17,7,FALSE))</f>
        <v/>
      </c>
      <c r="M745" s="7">
        <f>IF($G745&lt;&gt;"Valid","",VLOOKUP($E745&amp;"|"&amp;$F745,Cluster_Master!$I$3:$H$17,8,FALSE))</f>
        <v/>
      </c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7">
        <f>IF(COUNT(T745:AH745)=0,"",SUM(T745:AH745))</f>
        <v/>
      </c>
      <c r="AJ745" s="10">
        <f>IF(AI745="","",AI745/75)</f>
        <v/>
      </c>
      <c r="AK745" s="10">
        <f>IF(AI745="","",SUMPRODUCT(T745:AH745,KPI_Weights!$B$3:$B$17)/5)</f>
        <v/>
      </c>
      <c r="AL745" s="7">
        <f>IF(COUNT(T745:AH745)=0,"",IF(OR(T745&lt;=1,W745&lt;=1,X745&lt;=1,Y745&lt;=1,AB745&lt;=1),"YES","NO"))</f>
        <v/>
      </c>
      <c r="AM745" s="7">
        <f>IF(AK745="","",IF(AND(AK745="NO",AJ745&gt;=0.85),"YES","NO"))</f>
        <v/>
      </c>
      <c r="AN745" s="7">
        <f>IF(AJ745="","",IF(AJ745&gt;=0.90,"Excellent",IF(AJ745&gt;=0.80,"Good",IF(AJ745&gt;=0.70,"Fair","Poor"))))</f>
        <v/>
      </c>
      <c r="AO745" s="12" t="n"/>
      <c r="AP745" s="12" t="n"/>
      <c r="AQ745" s="12" t="n"/>
      <c r="AR745" s="12" t="n"/>
      <c r="AS745" s="12" t="n"/>
      <c r="AT745" s="12" t="n"/>
      <c r="AU745" s="12" t="n"/>
      <c r="AV745" s="11" t="n"/>
      <c r="AW745" s="12" t="n"/>
      <c r="AX745" s="12" t="n"/>
      <c r="AY745" s="12" t="n"/>
      <c r="AZ745" s="12" t="n"/>
      <c r="BA745" s="12" t="n"/>
      <c r="BB745" s="12" t="n"/>
      <c r="BC745" s="12" t="n"/>
      <c r="BD745" s="12" t="n"/>
      <c r="BE745" s="12" t="n"/>
      <c r="BF745" s="12" t="n"/>
    </row>
    <row r="746">
      <c r="A746" s="7">
        <f>IF(B746="","","INS-"&amp;TEXT(ROW()-3,"000"))</f>
        <v/>
      </c>
      <c r="B746" s="11" t="n"/>
      <c r="C746" s="7">
        <f>IF(B746="","",ISOWEEKNUM(B746))</f>
        <v/>
      </c>
      <c r="D746" s="7">
        <f>IF(B746="","",TEXT(B746,"yyyy-mm"))</f>
        <v/>
      </c>
      <c r="E746" s="12" t="n"/>
      <c r="F746" s="12" t="n"/>
      <c r="G746" s="7">
        <f>IF(OR(E746="",F746=""),"",IF(COUNTIF(Cluster_Master!$I$3:$I$17,E746&amp;"|"&amp;F746)=1,"Valid","Review"))</f>
        <v/>
      </c>
      <c r="H746" s="7">
        <f>IF($G746&lt;&gt;"Valid","",VLOOKUP($E746&amp;"|"&amp;$F746,Cluster_Master!$I$3:$H$17,3,FALSE))</f>
        <v/>
      </c>
      <c r="I746" s="7">
        <f>IF($G746&lt;&gt;"Valid","",VLOOKUP($E746&amp;"|"&amp;$F746,Cluster_Master!$I$3:$H$17,4,FALSE))</f>
        <v/>
      </c>
      <c r="J746" s="7">
        <f>IF($G746&lt;&gt;"Valid","",VLOOKUP($E746&amp;"|"&amp;$F746,Cluster_Master!$I$3:$H$17,5,FALSE))</f>
        <v/>
      </c>
      <c r="K746" s="7">
        <f>IF($G746&lt;&gt;"Valid","",VLOOKUP($E746&amp;"|"&amp;$F746,Cluster_Master!$I$3:$H$17,6,FALSE))</f>
        <v/>
      </c>
      <c r="L746" s="7">
        <f>IF($G746&lt;&gt;"Valid","",VLOOKUP($E746&amp;"|"&amp;$F746,Cluster_Master!$I$3:$H$17,7,FALSE))</f>
        <v/>
      </c>
      <c r="M746" s="7">
        <f>IF($G746&lt;&gt;"Valid","",VLOOKUP($E746&amp;"|"&amp;$F746,Cluster_Master!$I$3:$H$17,8,FALSE))</f>
        <v/>
      </c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7">
        <f>IF(COUNT(T746:AH746)=0,"",SUM(T746:AH746))</f>
        <v/>
      </c>
      <c r="AJ746" s="10">
        <f>IF(AI746="","",AI746/75)</f>
        <v/>
      </c>
      <c r="AK746" s="10">
        <f>IF(AI746="","",SUMPRODUCT(T746:AH746,KPI_Weights!$B$3:$B$17)/5)</f>
        <v/>
      </c>
      <c r="AL746" s="7">
        <f>IF(COUNT(T746:AH746)=0,"",IF(OR(T746&lt;=1,W746&lt;=1,X746&lt;=1,Y746&lt;=1,AB746&lt;=1),"YES","NO"))</f>
        <v/>
      </c>
      <c r="AM746" s="7">
        <f>IF(AK746="","",IF(AND(AK746="NO",AJ746&gt;=0.85),"YES","NO"))</f>
        <v/>
      </c>
      <c r="AN746" s="7">
        <f>IF(AJ746="","",IF(AJ746&gt;=0.90,"Excellent",IF(AJ746&gt;=0.80,"Good",IF(AJ746&gt;=0.70,"Fair","Poor"))))</f>
        <v/>
      </c>
      <c r="AO746" s="12" t="n"/>
      <c r="AP746" s="12" t="n"/>
      <c r="AQ746" s="12" t="n"/>
      <c r="AR746" s="12" t="n"/>
      <c r="AS746" s="12" t="n"/>
      <c r="AT746" s="12" t="n"/>
      <c r="AU746" s="12" t="n"/>
      <c r="AV746" s="11" t="n"/>
      <c r="AW746" s="12" t="n"/>
      <c r="AX746" s="12" t="n"/>
      <c r="AY746" s="12" t="n"/>
      <c r="AZ746" s="12" t="n"/>
      <c r="BA746" s="12" t="n"/>
      <c r="BB746" s="12" t="n"/>
      <c r="BC746" s="12" t="n"/>
      <c r="BD746" s="12" t="n"/>
      <c r="BE746" s="12" t="n"/>
      <c r="BF746" s="12" t="n"/>
    </row>
    <row r="747">
      <c r="A747" s="7">
        <f>IF(B747="","","INS-"&amp;TEXT(ROW()-3,"000"))</f>
        <v/>
      </c>
      <c r="B747" s="11" t="n"/>
      <c r="C747" s="7">
        <f>IF(B747="","",ISOWEEKNUM(B747))</f>
        <v/>
      </c>
      <c r="D747" s="7">
        <f>IF(B747="","",TEXT(B747,"yyyy-mm"))</f>
        <v/>
      </c>
      <c r="E747" s="12" t="n"/>
      <c r="F747" s="12" t="n"/>
      <c r="G747" s="7">
        <f>IF(OR(E747="",F747=""),"",IF(COUNTIF(Cluster_Master!$I$3:$I$17,E747&amp;"|"&amp;F747)=1,"Valid","Review"))</f>
        <v/>
      </c>
      <c r="H747" s="7">
        <f>IF($G747&lt;&gt;"Valid","",VLOOKUP($E747&amp;"|"&amp;$F747,Cluster_Master!$I$3:$H$17,3,FALSE))</f>
        <v/>
      </c>
      <c r="I747" s="7">
        <f>IF($G747&lt;&gt;"Valid","",VLOOKUP($E747&amp;"|"&amp;$F747,Cluster_Master!$I$3:$H$17,4,FALSE))</f>
        <v/>
      </c>
      <c r="J747" s="7">
        <f>IF($G747&lt;&gt;"Valid","",VLOOKUP($E747&amp;"|"&amp;$F747,Cluster_Master!$I$3:$H$17,5,FALSE))</f>
        <v/>
      </c>
      <c r="K747" s="7">
        <f>IF($G747&lt;&gt;"Valid","",VLOOKUP($E747&amp;"|"&amp;$F747,Cluster_Master!$I$3:$H$17,6,FALSE))</f>
        <v/>
      </c>
      <c r="L747" s="7">
        <f>IF($G747&lt;&gt;"Valid","",VLOOKUP($E747&amp;"|"&amp;$F747,Cluster_Master!$I$3:$H$17,7,FALSE))</f>
        <v/>
      </c>
      <c r="M747" s="7">
        <f>IF($G747&lt;&gt;"Valid","",VLOOKUP($E747&amp;"|"&amp;$F747,Cluster_Master!$I$3:$H$17,8,FALSE))</f>
        <v/>
      </c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7">
        <f>IF(COUNT(T747:AH747)=0,"",SUM(T747:AH747))</f>
        <v/>
      </c>
      <c r="AJ747" s="10">
        <f>IF(AI747="","",AI747/75)</f>
        <v/>
      </c>
      <c r="AK747" s="10">
        <f>IF(AI747="","",SUMPRODUCT(T747:AH747,KPI_Weights!$B$3:$B$17)/5)</f>
        <v/>
      </c>
      <c r="AL747" s="7">
        <f>IF(COUNT(T747:AH747)=0,"",IF(OR(T747&lt;=1,W747&lt;=1,X747&lt;=1,Y747&lt;=1,AB747&lt;=1),"YES","NO"))</f>
        <v/>
      </c>
      <c r="AM747" s="7">
        <f>IF(AK747="","",IF(AND(AK747="NO",AJ747&gt;=0.85),"YES","NO"))</f>
        <v/>
      </c>
      <c r="AN747" s="7">
        <f>IF(AJ747="","",IF(AJ747&gt;=0.90,"Excellent",IF(AJ747&gt;=0.80,"Good",IF(AJ747&gt;=0.70,"Fair","Poor"))))</f>
        <v/>
      </c>
      <c r="AO747" s="12" t="n"/>
      <c r="AP747" s="12" t="n"/>
      <c r="AQ747" s="12" t="n"/>
      <c r="AR747" s="12" t="n"/>
      <c r="AS747" s="12" t="n"/>
      <c r="AT747" s="12" t="n"/>
      <c r="AU747" s="12" t="n"/>
      <c r="AV747" s="11" t="n"/>
      <c r="AW747" s="12" t="n"/>
      <c r="AX747" s="12" t="n"/>
      <c r="AY747" s="12" t="n"/>
      <c r="AZ747" s="12" t="n"/>
      <c r="BA747" s="12" t="n"/>
      <c r="BB747" s="12" t="n"/>
      <c r="BC747" s="12" t="n"/>
      <c r="BD747" s="12" t="n"/>
      <c r="BE747" s="12" t="n"/>
      <c r="BF747" s="12" t="n"/>
    </row>
    <row r="748">
      <c r="A748" s="7">
        <f>IF(B748="","","INS-"&amp;TEXT(ROW()-3,"000"))</f>
        <v/>
      </c>
      <c r="B748" s="11" t="n"/>
      <c r="C748" s="7">
        <f>IF(B748="","",ISOWEEKNUM(B748))</f>
        <v/>
      </c>
      <c r="D748" s="7">
        <f>IF(B748="","",TEXT(B748,"yyyy-mm"))</f>
        <v/>
      </c>
      <c r="E748" s="12" t="n"/>
      <c r="F748" s="12" t="n"/>
      <c r="G748" s="7">
        <f>IF(OR(E748="",F748=""),"",IF(COUNTIF(Cluster_Master!$I$3:$I$17,E748&amp;"|"&amp;F748)=1,"Valid","Review"))</f>
        <v/>
      </c>
      <c r="H748" s="7">
        <f>IF($G748&lt;&gt;"Valid","",VLOOKUP($E748&amp;"|"&amp;$F748,Cluster_Master!$I$3:$H$17,3,FALSE))</f>
        <v/>
      </c>
      <c r="I748" s="7">
        <f>IF($G748&lt;&gt;"Valid","",VLOOKUP($E748&amp;"|"&amp;$F748,Cluster_Master!$I$3:$H$17,4,FALSE))</f>
        <v/>
      </c>
      <c r="J748" s="7">
        <f>IF($G748&lt;&gt;"Valid","",VLOOKUP($E748&amp;"|"&amp;$F748,Cluster_Master!$I$3:$H$17,5,FALSE))</f>
        <v/>
      </c>
      <c r="K748" s="7">
        <f>IF($G748&lt;&gt;"Valid","",VLOOKUP($E748&amp;"|"&amp;$F748,Cluster_Master!$I$3:$H$17,6,FALSE))</f>
        <v/>
      </c>
      <c r="L748" s="7">
        <f>IF($G748&lt;&gt;"Valid","",VLOOKUP($E748&amp;"|"&amp;$F748,Cluster_Master!$I$3:$H$17,7,FALSE))</f>
        <v/>
      </c>
      <c r="M748" s="7">
        <f>IF($G748&lt;&gt;"Valid","",VLOOKUP($E748&amp;"|"&amp;$F748,Cluster_Master!$I$3:$H$17,8,FALSE))</f>
        <v/>
      </c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7">
        <f>IF(COUNT(T748:AH748)=0,"",SUM(T748:AH748))</f>
        <v/>
      </c>
      <c r="AJ748" s="10">
        <f>IF(AI748="","",AI748/75)</f>
        <v/>
      </c>
      <c r="AK748" s="10">
        <f>IF(AI748="","",SUMPRODUCT(T748:AH748,KPI_Weights!$B$3:$B$17)/5)</f>
        <v/>
      </c>
      <c r="AL748" s="7">
        <f>IF(COUNT(T748:AH748)=0,"",IF(OR(T748&lt;=1,W748&lt;=1,X748&lt;=1,Y748&lt;=1,AB748&lt;=1),"YES","NO"))</f>
        <v/>
      </c>
      <c r="AM748" s="7">
        <f>IF(AK748="","",IF(AND(AK748="NO",AJ748&gt;=0.85),"YES","NO"))</f>
        <v/>
      </c>
      <c r="AN748" s="7">
        <f>IF(AJ748="","",IF(AJ748&gt;=0.90,"Excellent",IF(AJ748&gt;=0.80,"Good",IF(AJ748&gt;=0.70,"Fair","Poor"))))</f>
        <v/>
      </c>
      <c r="AO748" s="12" t="n"/>
      <c r="AP748" s="12" t="n"/>
      <c r="AQ748" s="12" t="n"/>
      <c r="AR748" s="12" t="n"/>
      <c r="AS748" s="12" t="n"/>
      <c r="AT748" s="12" t="n"/>
      <c r="AU748" s="12" t="n"/>
      <c r="AV748" s="11" t="n"/>
      <c r="AW748" s="12" t="n"/>
      <c r="AX748" s="12" t="n"/>
      <c r="AY748" s="12" t="n"/>
      <c r="AZ748" s="12" t="n"/>
      <c r="BA748" s="12" t="n"/>
      <c r="BB748" s="12" t="n"/>
      <c r="BC748" s="12" t="n"/>
      <c r="BD748" s="12" t="n"/>
      <c r="BE748" s="12" t="n"/>
      <c r="BF748" s="12" t="n"/>
    </row>
    <row r="749">
      <c r="A749" s="7">
        <f>IF(B749="","","INS-"&amp;TEXT(ROW()-3,"000"))</f>
        <v/>
      </c>
      <c r="B749" s="11" t="n"/>
      <c r="C749" s="7">
        <f>IF(B749="","",ISOWEEKNUM(B749))</f>
        <v/>
      </c>
      <c r="D749" s="7">
        <f>IF(B749="","",TEXT(B749,"yyyy-mm"))</f>
        <v/>
      </c>
      <c r="E749" s="12" t="n"/>
      <c r="F749" s="12" t="n"/>
      <c r="G749" s="7">
        <f>IF(OR(E749="",F749=""),"",IF(COUNTIF(Cluster_Master!$I$3:$I$17,E749&amp;"|"&amp;F749)=1,"Valid","Review"))</f>
        <v/>
      </c>
      <c r="H749" s="7">
        <f>IF($G749&lt;&gt;"Valid","",VLOOKUP($E749&amp;"|"&amp;$F749,Cluster_Master!$I$3:$H$17,3,FALSE))</f>
        <v/>
      </c>
      <c r="I749" s="7">
        <f>IF($G749&lt;&gt;"Valid","",VLOOKUP($E749&amp;"|"&amp;$F749,Cluster_Master!$I$3:$H$17,4,FALSE))</f>
        <v/>
      </c>
      <c r="J749" s="7">
        <f>IF($G749&lt;&gt;"Valid","",VLOOKUP($E749&amp;"|"&amp;$F749,Cluster_Master!$I$3:$H$17,5,FALSE))</f>
        <v/>
      </c>
      <c r="K749" s="7">
        <f>IF($G749&lt;&gt;"Valid","",VLOOKUP($E749&amp;"|"&amp;$F749,Cluster_Master!$I$3:$H$17,6,FALSE))</f>
        <v/>
      </c>
      <c r="L749" s="7">
        <f>IF($G749&lt;&gt;"Valid","",VLOOKUP($E749&amp;"|"&amp;$F749,Cluster_Master!$I$3:$H$17,7,FALSE))</f>
        <v/>
      </c>
      <c r="M749" s="7">
        <f>IF($G749&lt;&gt;"Valid","",VLOOKUP($E749&amp;"|"&amp;$F749,Cluster_Master!$I$3:$H$17,8,FALSE))</f>
        <v/>
      </c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7">
        <f>IF(COUNT(T749:AH749)=0,"",SUM(T749:AH749))</f>
        <v/>
      </c>
      <c r="AJ749" s="10">
        <f>IF(AI749="","",AI749/75)</f>
        <v/>
      </c>
      <c r="AK749" s="10">
        <f>IF(AI749="","",SUMPRODUCT(T749:AH749,KPI_Weights!$B$3:$B$17)/5)</f>
        <v/>
      </c>
      <c r="AL749" s="7">
        <f>IF(COUNT(T749:AH749)=0,"",IF(OR(T749&lt;=1,W749&lt;=1,X749&lt;=1,Y749&lt;=1,AB749&lt;=1),"YES","NO"))</f>
        <v/>
      </c>
      <c r="AM749" s="7">
        <f>IF(AK749="","",IF(AND(AK749="NO",AJ749&gt;=0.85),"YES","NO"))</f>
        <v/>
      </c>
      <c r="AN749" s="7">
        <f>IF(AJ749="","",IF(AJ749&gt;=0.90,"Excellent",IF(AJ749&gt;=0.80,"Good",IF(AJ749&gt;=0.70,"Fair","Poor"))))</f>
        <v/>
      </c>
      <c r="AO749" s="12" t="n"/>
      <c r="AP749" s="12" t="n"/>
      <c r="AQ749" s="12" t="n"/>
      <c r="AR749" s="12" t="n"/>
      <c r="AS749" s="12" t="n"/>
      <c r="AT749" s="12" t="n"/>
      <c r="AU749" s="12" t="n"/>
      <c r="AV749" s="11" t="n"/>
      <c r="AW749" s="12" t="n"/>
      <c r="AX749" s="12" t="n"/>
      <c r="AY749" s="12" t="n"/>
      <c r="AZ749" s="12" t="n"/>
      <c r="BA749" s="12" t="n"/>
      <c r="BB749" s="12" t="n"/>
      <c r="BC749" s="12" t="n"/>
      <c r="BD749" s="12" t="n"/>
      <c r="BE749" s="12" t="n"/>
      <c r="BF749" s="12" t="n"/>
    </row>
    <row r="750">
      <c r="A750" s="7">
        <f>IF(B750="","","INS-"&amp;TEXT(ROW()-3,"000"))</f>
        <v/>
      </c>
      <c r="B750" s="11" t="n"/>
      <c r="C750" s="7">
        <f>IF(B750="","",ISOWEEKNUM(B750))</f>
        <v/>
      </c>
      <c r="D750" s="7">
        <f>IF(B750="","",TEXT(B750,"yyyy-mm"))</f>
        <v/>
      </c>
      <c r="E750" s="12" t="n"/>
      <c r="F750" s="12" t="n"/>
      <c r="G750" s="7">
        <f>IF(OR(E750="",F750=""),"",IF(COUNTIF(Cluster_Master!$I$3:$I$17,E750&amp;"|"&amp;F750)=1,"Valid","Review"))</f>
        <v/>
      </c>
      <c r="H750" s="7">
        <f>IF($G750&lt;&gt;"Valid","",VLOOKUP($E750&amp;"|"&amp;$F750,Cluster_Master!$I$3:$H$17,3,FALSE))</f>
        <v/>
      </c>
      <c r="I750" s="7">
        <f>IF($G750&lt;&gt;"Valid","",VLOOKUP($E750&amp;"|"&amp;$F750,Cluster_Master!$I$3:$H$17,4,FALSE))</f>
        <v/>
      </c>
      <c r="J750" s="7">
        <f>IF($G750&lt;&gt;"Valid","",VLOOKUP($E750&amp;"|"&amp;$F750,Cluster_Master!$I$3:$H$17,5,FALSE))</f>
        <v/>
      </c>
      <c r="K750" s="7">
        <f>IF($G750&lt;&gt;"Valid","",VLOOKUP($E750&amp;"|"&amp;$F750,Cluster_Master!$I$3:$H$17,6,FALSE))</f>
        <v/>
      </c>
      <c r="L750" s="7">
        <f>IF($G750&lt;&gt;"Valid","",VLOOKUP($E750&amp;"|"&amp;$F750,Cluster_Master!$I$3:$H$17,7,FALSE))</f>
        <v/>
      </c>
      <c r="M750" s="7">
        <f>IF($G750&lt;&gt;"Valid","",VLOOKUP($E750&amp;"|"&amp;$F750,Cluster_Master!$I$3:$H$17,8,FALSE))</f>
        <v/>
      </c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7">
        <f>IF(COUNT(T750:AH750)=0,"",SUM(T750:AH750))</f>
        <v/>
      </c>
      <c r="AJ750" s="10">
        <f>IF(AI750="","",AI750/75)</f>
        <v/>
      </c>
      <c r="AK750" s="10">
        <f>IF(AI750="","",SUMPRODUCT(T750:AH750,KPI_Weights!$B$3:$B$17)/5)</f>
        <v/>
      </c>
      <c r="AL750" s="7">
        <f>IF(COUNT(T750:AH750)=0,"",IF(OR(T750&lt;=1,W750&lt;=1,X750&lt;=1,Y750&lt;=1,AB750&lt;=1),"YES","NO"))</f>
        <v/>
      </c>
      <c r="AM750" s="7">
        <f>IF(AK750="","",IF(AND(AK750="NO",AJ750&gt;=0.85),"YES","NO"))</f>
        <v/>
      </c>
      <c r="AN750" s="7">
        <f>IF(AJ750="","",IF(AJ750&gt;=0.90,"Excellent",IF(AJ750&gt;=0.80,"Good",IF(AJ750&gt;=0.70,"Fair","Poor"))))</f>
        <v/>
      </c>
      <c r="AO750" s="12" t="n"/>
      <c r="AP750" s="12" t="n"/>
      <c r="AQ750" s="12" t="n"/>
      <c r="AR750" s="12" t="n"/>
      <c r="AS750" s="12" t="n"/>
      <c r="AT750" s="12" t="n"/>
      <c r="AU750" s="12" t="n"/>
      <c r="AV750" s="11" t="n"/>
      <c r="AW750" s="12" t="n"/>
      <c r="AX750" s="12" t="n"/>
      <c r="AY750" s="12" t="n"/>
      <c r="AZ750" s="12" t="n"/>
      <c r="BA750" s="12" t="n"/>
      <c r="BB750" s="12" t="n"/>
      <c r="BC750" s="12" t="n"/>
      <c r="BD750" s="12" t="n"/>
      <c r="BE750" s="12" t="n"/>
      <c r="BF750" s="12" t="n"/>
    </row>
    <row r="751">
      <c r="A751" s="7">
        <f>IF(B751="","","INS-"&amp;TEXT(ROW()-3,"000"))</f>
        <v/>
      </c>
      <c r="B751" s="11" t="n"/>
      <c r="C751" s="7">
        <f>IF(B751="","",ISOWEEKNUM(B751))</f>
        <v/>
      </c>
      <c r="D751" s="7">
        <f>IF(B751="","",TEXT(B751,"yyyy-mm"))</f>
        <v/>
      </c>
      <c r="E751" s="12" t="n"/>
      <c r="F751" s="12" t="n"/>
      <c r="G751" s="7">
        <f>IF(OR(E751="",F751=""),"",IF(COUNTIF(Cluster_Master!$I$3:$I$17,E751&amp;"|"&amp;F751)=1,"Valid","Review"))</f>
        <v/>
      </c>
      <c r="H751" s="7">
        <f>IF($G751&lt;&gt;"Valid","",VLOOKUP($E751&amp;"|"&amp;$F751,Cluster_Master!$I$3:$H$17,3,FALSE))</f>
        <v/>
      </c>
      <c r="I751" s="7">
        <f>IF($G751&lt;&gt;"Valid","",VLOOKUP($E751&amp;"|"&amp;$F751,Cluster_Master!$I$3:$H$17,4,FALSE))</f>
        <v/>
      </c>
      <c r="J751" s="7">
        <f>IF($G751&lt;&gt;"Valid","",VLOOKUP($E751&amp;"|"&amp;$F751,Cluster_Master!$I$3:$H$17,5,FALSE))</f>
        <v/>
      </c>
      <c r="K751" s="7">
        <f>IF($G751&lt;&gt;"Valid","",VLOOKUP($E751&amp;"|"&amp;$F751,Cluster_Master!$I$3:$H$17,6,FALSE))</f>
        <v/>
      </c>
      <c r="L751" s="7">
        <f>IF($G751&lt;&gt;"Valid","",VLOOKUP($E751&amp;"|"&amp;$F751,Cluster_Master!$I$3:$H$17,7,FALSE))</f>
        <v/>
      </c>
      <c r="M751" s="7">
        <f>IF($G751&lt;&gt;"Valid","",VLOOKUP($E751&amp;"|"&amp;$F751,Cluster_Master!$I$3:$H$17,8,FALSE))</f>
        <v/>
      </c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7">
        <f>IF(COUNT(T751:AH751)=0,"",SUM(T751:AH751))</f>
        <v/>
      </c>
      <c r="AJ751" s="10">
        <f>IF(AI751="","",AI751/75)</f>
        <v/>
      </c>
      <c r="AK751" s="10">
        <f>IF(AI751="","",SUMPRODUCT(T751:AH751,KPI_Weights!$B$3:$B$17)/5)</f>
        <v/>
      </c>
      <c r="AL751" s="7">
        <f>IF(COUNT(T751:AH751)=0,"",IF(OR(T751&lt;=1,W751&lt;=1,X751&lt;=1,Y751&lt;=1,AB751&lt;=1),"YES","NO"))</f>
        <v/>
      </c>
      <c r="AM751" s="7">
        <f>IF(AK751="","",IF(AND(AK751="NO",AJ751&gt;=0.85),"YES","NO"))</f>
        <v/>
      </c>
      <c r="AN751" s="7">
        <f>IF(AJ751="","",IF(AJ751&gt;=0.90,"Excellent",IF(AJ751&gt;=0.80,"Good",IF(AJ751&gt;=0.70,"Fair","Poor"))))</f>
        <v/>
      </c>
      <c r="AO751" s="12" t="n"/>
      <c r="AP751" s="12" t="n"/>
      <c r="AQ751" s="12" t="n"/>
      <c r="AR751" s="12" t="n"/>
      <c r="AS751" s="12" t="n"/>
      <c r="AT751" s="12" t="n"/>
      <c r="AU751" s="12" t="n"/>
      <c r="AV751" s="11" t="n"/>
      <c r="AW751" s="12" t="n"/>
      <c r="AX751" s="12" t="n"/>
      <c r="AY751" s="12" t="n"/>
      <c r="AZ751" s="12" t="n"/>
      <c r="BA751" s="12" t="n"/>
      <c r="BB751" s="12" t="n"/>
      <c r="BC751" s="12" t="n"/>
      <c r="BD751" s="12" t="n"/>
      <c r="BE751" s="12" t="n"/>
      <c r="BF751" s="12" t="n"/>
    </row>
    <row r="752">
      <c r="A752" s="7">
        <f>IF(B752="","","INS-"&amp;TEXT(ROW()-3,"000"))</f>
        <v/>
      </c>
      <c r="B752" s="11" t="n"/>
      <c r="C752" s="7">
        <f>IF(B752="","",ISOWEEKNUM(B752))</f>
        <v/>
      </c>
      <c r="D752" s="7">
        <f>IF(B752="","",TEXT(B752,"yyyy-mm"))</f>
        <v/>
      </c>
      <c r="E752" s="12" t="n"/>
      <c r="F752" s="12" t="n"/>
      <c r="G752" s="7">
        <f>IF(OR(E752="",F752=""),"",IF(COUNTIF(Cluster_Master!$I$3:$I$17,E752&amp;"|"&amp;F752)=1,"Valid","Review"))</f>
        <v/>
      </c>
      <c r="H752" s="7">
        <f>IF($G752&lt;&gt;"Valid","",VLOOKUP($E752&amp;"|"&amp;$F752,Cluster_Master!$I$3:$H$17,3,FALSE))</f>
        <v/>
      </c>
      <c r="I752" s="7">
        <f>IF($G752&lt;&gt;"Valid","",VLOOKUP($E752&amp;"|"&amp;$F752,Cluster_Master!$I$3:$H$17,4,FALSE))</f>
        <v/>
      </c>
      <c r="J752" s="7">
        <f>IF($G752&lt;&gt;"Valid","",VLOOKUP($E752&amp;"|"&amp;$F752,Cluster_Master!$I$3:$H$17,5,FALSE))</f>
        <v/>
      </c>
      <c r="K752" s="7">
        <f>IF($G752&lt;&gt;"Valid","",VLOOKUP($E752&amp;"|"&amp;$F752,Cluster_Master!$I$3:$H$17,6,FALSE))</f>
        <v/>
      </c>
      <c r="L752" s="7">
        <f>IF($G752&lt;&gt;"Valid","",VLOOKUP($E752&amp;"|"&amp;$F752,Cluster_Master!$I$3:$H$17,7,FALSE))</f>
        <v/>
      </c>
      <c r="M752" s="7">
        <f>IF($G752&lt;&gt;"Valid","",VLOOKUP($E752&amp;"|"&amp;$F752,Cluster_Master!$I$3:$H$17,8,FALSE))</f>
        <v/>
      </c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7">
        <f>IF(COUNT(T752:AH752)=0,"",SUM(T752:AH752))</f>
        <v/>
      </c>
      <c r="AJ752" s="10">
        <f>IF(AI752="","",AI752/75)</f>
        <v/>
      </c>
      <c r="AK752" s="10">
        <f>IF(AI752="","",SUMPRODUCT(T752:AH752,KPI_Weights!$B$3:$B$17)/5)</f>
        <v/>
      </c>
      <c r="AL752" s="7">
        <f>IF(COUNT(T752:AH752)=0,"",IF(OR(T752&lt;=1,W752&lt;=1,X752&lt;=1,Y752&lt;=1,AB752&lt;=1),"YES","NO"))</f>
        <v/>
      </c>
      <c r="AM752" s="7">
        <f>IF(AK752="","",IF(AND(AK752="NO",AJ752&gt;=0.85),"YES","NO"))</f>
        <v/>
      </c>
      <c r="AN752" s="7">
        <f>IF(AJ752="","",IF(AJ752&gt;=0.90,"Excellent",IF(AJ752&gt;=0.80,"Good",IF(AJ752&gt;=0.70,"Fair","Poor"))))</f>
        <v/>
      </c>
      <c r="AO752" s="12" t="n"/>
      <c r="AP752" s="12" t="n"/>
      <c r="AQ752" s="12" t="n"/>
      <c r="AR752" s="12" t="n"/>
      <c r="AS752" s="12" t="n"/>
      <c r="AT752" s="12" t="n"/>
      <c r="AU752" s="12" t="n"/>
      <c r="AV752" s="11" t="n"/>
      <c r="AW752" s="12" t="n"/>
      <c r="AX752" s="12" t="n"/>
      <c r="AY752" s="12" t="n"/>
      <c r="AZ752" s="12" t="n"/>
      <c r="BA752" s="12" t="n"/>
      <c r="BB752" s="12" t="n"/>
      <c r="BC752" s="12" t="n"/>
      <c r="BD752" s="12" t="n"/>
      <c r="BE752" s="12" t="n"/>
      <c r="BF752" s="12" t="n"/>
    </row>
    <row r="753">
      <c r="A753" s="7">
        <f>IF(B753="","","INS-"&amp;TEXT(ROW()-3,"000"))</f>
        <v/>
      </c>
      <c r="B753" s="11" t="n"/>
      <c r="C753" s="7">
        <f>IF(B753="","",ISOWEEKNUM(B753))</f>
        <v/>
      </c>
      <c r="D753" s="7">
        <f>IF(B753="","",TEXT(B753,"yyyy-mm"))</f>
        <v/>
      </c>
      <c r="E753" s="12" t="n"/>
      <c r="F753" s="12" t="n"/>
      <c r="G753" s="7">
        <f>IF(OR(E753="",F753=""),"",IF(COUNTIF(Cluster_Master!$I$3:$I$17,E753&amp;"|"&amp;F753)=1,"Valid","Review"))</f>
        <v/>
      </c>
      <c r="H753" s="7">
        <f>IF($G753&lt;&gt;"Valid","",VLOOKUP($E753&amp;"|"&amp;$F753,Cluster_Master!$I$3:$H$17,3,FALSE))</f>
        <v/>
      </c>
      <c r="I753" s="7">
        <f>IF($G753&lt;&gt;"Valid","",VLOOKUP($E753&amp;"|"&amp;$F753,Cluster_Master!$I$3:$H$17,4,FALSE))</f>
        <v/>
      </c>
      <c r="J753" s="7">
        <f>IF($G753&lt;&gt;"Valid","",VLOOKUP($E753&amp;"|"&amp;$F753,Cluster_Master!$I$3:$H$17,5,FALSE))</f>
        <v/>
      </c>
      <c r="K753" s="7">
        <f>IF($G753&lt;&gt;"Valid","",VLOOKUP($E753&amp;"|"&amp;$F753,Cluster_Master!$I$3:$H$17,6,FALSE))</f>
        <v/>
      </c>
      <c r="L753" s="7">
        <f>IF($G753&lt;&gt;"Valid","",VLOOKUP($E753&amp;"|"&amp;$F753,Cluster_Master!$I$3:$H$17,7,FALSE))</f>
        <v/>
      </c>
      <c r="M753" s="7">
        <f>IF($G753&lt;&gt;"Valid","",VLOOKUP($E753&amp;"|"&amp;$F753,Cluster_Master!$I$3:$H$17,8,FALSE))</f>
        <v/>
      </c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7">
        <f>IF(COUNT(T753:AH753)=0,"",SUM(T753:AH753))</f>
        <v/>
      </c>
      <c r="AJ753" s="10">
        <f>IF(AI753="","",AI753/75)</f>
        <v/>
      </c>
      <c r="AK753" s="10">
        <f>IF(AI753="","",SUMPRODUCT(T753:AH753,KPI_Weights!$B$3:$B$17)/5)</f>
        <v/>
      </c>
      <c r="AL753" s="7">
        <f>IF(COUNT(T753:AH753)=0,"",IF(OR(T753&lt;=1,W753&lt;=1,X753&lt;=1,Y753&lt;=1,AB753&lt;=1),"YES","NO"))</f>
        <v/>
      </c>
      <c r="AM753" s="7">
        <f>IF(AK753="","",IF(AND(AK753="NO",AJ753&gt;=0.85),"YES","NO"))</f>
        <v/>
      </c>
      <c r="AN753" s="7">
        <f>IF(AJ753="","",IF(AJ753&gt;=0.90,"Excellent",IF(AJ753&gt;=0.80,"Good",IF(AJ753&gt;=0.70,"Fair","Poor"))))</f>
        <v/>
      </c>
      <c r="AO753" s="12" t="n"/>
      <c r="AP753" s="12" t="n"/>
      <c r="AQ753" s="12" t="n"/>
      <c r="AR753" s="12" t="n"/>
      <c r="AS753" s="12" t="n"/>
      <c r="AT753" s="12" t="n"/>
      <c r="AU753" s="12" t="n"/>
      <c r="AV753" s="11" t="n"/>
      <c r="AW753" s="12" t="n"/>
      <c r="AX753" s="12" t="n"/>
      <c r="AY753" s="12" t="n"/>
      <c r="AZ753" s="12" t="n"/>
      <c r="BA753" s="12" t="n"/>
      <c r="BB753" s="12" t="n"/>
      <c r="BC753" s="12" t="n"/>
      <c r="BD753" s="12" t="n"/>
      <c r="BE753" s="12" t="n"/>
      <c r="BF753" s="12" t="n"/>
    </row>
    <row r="754">
      <c r="A754" s="7">
        <f>IF(B754="","","INS-"&amp;TEXT(ROW()-3,"000"))</f>
        <v/>
      </c>
      <c r="B754" s="11" t="n"/>
      <c r="C754" s="7">
        <f>IF(B754="","",ISOWEEKNUM(B754))</f>
        <v/>
      </c>
      <c r="D754" s="7">
        <f>IF(B754="","",TEXT(B754,"yyyy-mm"))</f>
        <v/>
      </c>
      <c r="E754" s="12" t="n"/>
      <c r="F754" s="12" t="n"/>
      <c r="G754" s="7">
        <f>IF(OR(E754="",F754=""),"",IF(COUNTIF(Cluster_Master!$I$3:$I$17,E754&amp;"|"&amp;F754)=1,"Valid","Review"))</f>
        <v/>
      </c>
      <c r="H754" s="7">
        <f>IF($G754&lt;&gt;"Valid","",VLOOKUP($E754&amp;"|"&amp;$F754,Cluster_Master!$I$3:$H$17,3,FALSE))</f>
        <v/>
      </c>
      <c r="I754" s="7">
        <f>IF($G754&lt;&gt;"Valid","",VLOOKUP($E754&amp;"|"&amp;$F754,Cluster_Master!$I$3:$H$17,4,FALSE))</f>
        <v/>
      </c>
      <c r="J754" s="7">
        <f>IF($G754&lt;&gt;"Valid","",VLOOKUP($E754&amp;"|"&amp;$F754,Cluster_Master!$I$3:$H$17,5,FALSE))</f>
        <v/>
      </c>
      <c r="K754" s="7">
        <f>IF($G754&lt;&gt;"Valid","",VLOOKUP($E754&amp;"|"&amp;$F754,Cluster_Master!$I$3:$H$17,6,FALSE))</f>
        <v/>
      </c>
      <c r="L754" s="7">
        <f>IF($G754&lt;&gt;"Valid","",VLOOKUP($E754&amp;"|"&amp;$F754,Cluster_Master!$I$3:$H$17,7,FALSE))</f>
        <v/>
      </c>
      <c r="M754" s="7">
        <f>IF($G754&lt;&gt;"Valid","",VLOOKUP($E754&amp;"|"&amp;$F754,Cluster_Master!$I$3:$H$17,8,FALSE))</f>
        <v/>
      </c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7">
        <f>IF(COUNT(T754:AH754)=0,"",SUM(T754:AH754))</f>
        <v/>
      </c>
      <c r="AJ754" s="10">
        <f>IF(AI754="","",AI754/75)</f>
        <v/>
      </c>
      <c r="AK754" s="10">
        <f>IF(AI754="","",SUMPRODUCT(T754:AH754,KPI_Weights!$B$3:$B$17)/5)</f>
        <v/>
      </c>
      <c r="AL754" s="7">
        <f>IF(COUNT(T754:AH754)=0,"",IF(OR(T754&lt;=1,W754&lt;=1,X754&lt;=1,Y754&lt;=1,AB754&lt;=1),"YES","NO"))</f>
        <v/>
      </c>
      <c r="AM754" s="7">
        <f>IF(AK754="","",IF(AND(AK754="NO",AJ754&gt;=0.85),"YES","NO"))</f>
        <v/>
      </c>
      <c r="AN754" s="7">
        <f>IF(AJ754="","",IF(AJ754&gt;=0.90,"Excellent",IF(AJ754&gt;=0.80,"Good",IF(AJ754&gt;=0.70,"Fair","Poor"))))</f>
        <v/>
      </c>
      <c r="AO754" s="12" t="n"/>
      <c r="AP754" s="12" t="n"/>
      <c r="AQ754" s="12" t="n"/>
      <c r="AR754" s="12" t="n"/>
      <c r="AS754" s="12" t="n"/>
      <c r="AT754" s="12" t="n"/>
      <c r="AU754" s="12" t="n"/>
      <c r="AV754" s="11" t="n"/>
      <c r="AW754" s="12" t="n"/>
      <c r="AX754" s="12" t="n"/>
      <c r="AY754" s="12" t="n"/>
      <c r="AZ754" s="12" t="n"/>
      <c r="BA754" s="12" t="n"/>
      <c r="BB754" s="12" t="n"/>
      <c r="BC754" s="12" t="n"/>
      <c r="BD754" s="12" t="n"/>
      <c r="BE754" s="12" t="n"/>
      <c r="BF754" s="12" t="n"/>
    </row>
    <row r="755">
      <c r="A755" s="7">
        <f>IF(B755="","","INS-"&amp;TEXT(ROW()-3,"000"))</f>
        <v/>
      </c>
      <c r="B755" s="11" t="n"/>
      <c r="C755" s="7">
        <f>IF(B755="","",ISOWEEKNUM(B755))</f>
        <v/>
      </c>
      <c r="D755" s="7">
        <f>IF(B755="","",TEXT(B755,"yyyy-mm"))</f>
        <v/>
      </c>
      <c r="E755" s="12" t="n"/>
      <c r="F755" s="12" t="n"/>
      <c r="G755" s="7">
        <f>IF(OR(E755="",F755=""),"",IF(COUNTIF(Cluster_Master!$I$3:$I$17,E755&amp;"|"&amp;F755)=1,"Valid","Review"))</f>
        <v/>
      </c>
      <c r="H755" s="7">
        <f>IF($G755&lt;&gt;"Valid","",VLOOKUP($E755&amp;"|"&amp;$F755,Cluster_Master!$I$3:$H$17,3,FALSE))</f>
        <v/>
      </c>
      <c r="I755" s="7">
        <f>IF($G755&lt;&gt;"Valid","",VLOOKUP($E755&amp;"|"&amp;$F755,Cluster_Master!$I$3:$H$17,4,FALSE))</f>
        <v/>
      </c>
      <c r="J755" s="7">
        <f>IF($G755&lt;&gt;"Valid","",VLOOKUP($E755&amp;"|"&amp;$F755,Cluster_Master!$I$3:$H$17,5,FALSE))</f>
        <v/>
      </c>
      <c r="K755" s="7">
        <f>IF($G755&lt;&gt;"Valid","",VLOOKUP($E755&amp;"|"&amp;$F755,Cluster_Master!$I$3:$H$17,6,FALSE))</f>
        <v/>
      </c>
      <c r="L755" s="7">
        <f>IF($G755&lt;&gt;"Valid","",VLOOKUP($E755&amp;"|"&amp;$F755,Cluster_Master!$I$3:$H$17,7,FALSE))</f>
        <v/>
      </c>
      <c r="M755" s="7">
        <f>IF($G755&lt;&gt;"Valid","",VLOOKUP($E755&amp;"|"&amp;$F755,Cluster_Master!$I$3:$H$17,8,FALSE))</f>
        <v/>
      </c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7">
        <f>IF(COUNT(T755:AH755)=0,"",SUM(T755:AH755))</f>
        <v/>
      </c>
      <c r="AJ755" s="10">
        <f>IF(AI755="","",AI755/75)</f>
        <v/>
      </c>
      <c r="AK755" s="10">
        <f>IF(AI755="","",SUMPRODUCT(T755:AH755,KPI_Weights!$B$3:$B$17)/5)</f>
        <v/>
      </c>
      <c r="AL755" s="7">
        <f>IF(COUNT(T755:AH755)=0,"",IF(OR(T755&lt;=1,W755&lt;=1,X755&lt;=1,Y755&lt;=1,AB755&lt;=1),"YES","NO"))</f>
        <v/>
      </c>
      <c r="AM755" s="7">
        <f>IF(AK755="","",IF(AND(AK755="NO",AJ755&gt;=0.85),"YES","NO"))</f>
        <v/>
      </c>
      <c r="AN755" s="7">
        <f>IF(AJ755="","",IF(AJ755&gt;=0.90,"Excellent",IF(AJ755&gt;=0.80,"Good",IF(AJ755&gt;=0.70,"Fair","Poor"))))</f>
        <v/>
      </c>
      <c r="AO755" s="12" t="n"/>
      <c r="AP755" s="12" t="n"/>
      <c r="AQ755" s="12" t="n"/>
      <c r="AR755" s="12" t="n"/>
      <c r="AS755" s="12" t="n"/>
      <c r="AT755" s="12" t="n"/>
      <c r="AU755" s="12" t="n"/>
      <c r="AV755" s="11" t="n"/>
      <c r="AW755" s="12" t="n"/>
      <c r="AX755" s="12" t="n"/>
      <c r="AY755" s="12" t="n"/>
      <c r="AZ755" s="12" t="n"/>
      <c r="BA755" s="12" t="n"/>
      <c r="BB755" s="12" t="n"/>
      <c r="BC755" s="12" t="n"/>
      <c r="BD755" s="12" t="n"/>
      <c r="BE755" s="12" t="n"/>
      <c r="BF755" s="12" t="n"/>
    </row>
    <row r="756">
      <c r="A756" s="7">
        <f>IF(B756="","","INS-"&amp;TEXT(ROW()-3,"000"))</f>
        <v/>
      </c>
      <c r="B756" s="11" t="n"/>
      <c r="C756" s="7">
        <f>IF(B756="","",ISOWEEKNUM(B756))</f>
        <v/>
      </c>
      <c r="D756" s="7">
        <f>IF(B756="","",TEXT(B756,"yyyy-mm"))</f>
        <v/>
      </c>
      <c r="E756" s="12" t="n"/>
      <c r="F756" s="12" t="n"/>
      <c r="G756" s="7">
        <f>IF(OR(E756="",F756=""),"",IF(COUNTIF(Cluster_Master!$I$3:$I$17,E756&amp;"|"&amp;F756)=1,"Valid","Review"))</f>
        <v/>
      </c>
      <c r="H756" s="7">
        <f>IF($G756&lt;&gt;"Valid","",VLOOKUP($E756&amp;"|"&amp;$F756,Cluster_Master!$I$3:$H$17,3,FALSE))</f>
        <v/>
      </c>
      <c r="I756" s="7">
        <f>IF($G756&lt;&gt;"Valid","",VLOOKUP($E756&amp;"|"&amp;$F756,Cluster_Master!$I$3:$H$17,4,FALSE))</f>
        <v/>
      </c>
      <c r="J756" s="7">
        <f>IF($G756&lt;&gt;"Valid","",VLOOKUP($E756&amp;"|"&amp;$F756,Cluster_Master!$I$3:$H$17,5,FALSE))</f>
        <v/>
      </c>
      <c r="K756" s="7">
        <f>IF($G756&lt;&gt;"Valid","",VLOOKUP($E756&amp;"|"&amp;$F756,Cluster_Master!$I$3:$H$17,6,FALSE))</f>
        <v/>
      </c>
      <c r="L756" s="7">
        <f>IF($G756&lt;&gt;"Valid","",VLOOKUP($E756&amp;"|"&amp;$F756,Cluster_Master!$I$3:$H$17,7,FALSE))</f>
        <v/>
      </c>
      <c r="M756" s="7">
        <f>IF($G756&lt;&gt;"Valid","",VLOOKUP($E756&amp;"|"&amp;$F756,Cluster_Master!$I$3:$H$17,8,FALSE))</f>
        <v/>
      </c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7">
        <f>IF(COUNT(T756:AH756)=0,"",SUM(T756:AH756))</f>
        <v/>
      </c>
      <c r="AJ756" s="10">
        <f>IF(AI756="","",AI756/75)</f>
        <v/>
      </c>
      <c r="AK756" s="10">
        <f>IF(AI756="","",SUMPRODUCT(T756:AH756,KPI_Weights!$B$3:$B$17)/5)</f>
        <v/>
      </c>
      <c r="AL756" s="7">
        <f>IF(COUNT(T756:AH756)=0,"",IF(OR(T756&lt;=1,W756&lt;=1,X756&lt;=1,Y756&lt;=1,AB756&lt;=1),"YES","NO"))</f>
        <v/>
      </c>
      <c r="AM756" s="7">
        <f>IF(AK756="","",IF(AND(AK756="NO",AJ756&gt;=0.85),"YES","NO"))</f>
        <v/>
      </c>
      <c r="AN756" s="7">
        <f>IF(AJ756="","",IF(AJ756&gt;=0.90,"Excellent",IF(AJ756&gt;=0.80,"Good",IF(AJ756&gt;=0.70,"Fair","Poor"))))</f>
        <v/>
      </c>
      <c r="AO756" s="12" t="n"/>
      <c r="AP756" s="12" t="n"/>
      <c r="AQ756" s="12" t="n"/>
      <c r="AR756" s="12" t="n"/>
      <c r="AS756" s="12" t="n"/>
      <c r="AT756" s="12" t="n"/>
      <c r="AU756" s="12" t="n"/>
      <c r="AV756" s="11" t="n"/>
      <c r="AW756" s="12" t="n"/>
      <c r="AX756" s="12" t="n"/>
      <c r="AY756" s="12" t="n"/>
      <c r="AZ756" s="12" t="n"/>
      <c r="BA756" s="12" t="n"/>
      <c r="BB756" s="12" t="n"/>
      <c r="BC756" s="12" t="n"/>
      <c r="BD756" s="12" t="n"/>
      <c r="BE756" s="12" t="n"/>
      <c r="BF756" s="12" t="n"/>
    </row>
    <row r="757">
      <c r="A757" s="7">
        <f>IF(B757="","","INS-"&amp;TEXT(ROW()-3,"000"))</f>
        <v/>
      </c>
      <c r="B757" s="11" t="n"/>
      <c r="C757" s="7">
        <f>IF(B757="","",ISOWEEKNUM(B757))</f>
        <v/>
      </c>
      <c r="D757" s="7">
        <f>IF(B757="","",TEXT(B757,"yyyy-mm"))</f>
        <v/>
      </c>
      <c r="E757" s="12" t="n"/>
      <c r="F757" s="12" t="n"/>
      <c r="G757" s="7">
        <f>IF(OR(E757="",F757=""),"",IF(COUNTIF(Cluster_Master!$I$3:$I$17,E757&amp;"|"&amp;F757)=1,"Valid","Review"))</f>
        <v/>
      </c>
      <c r="H757" s="7">
        <f>IF($G757&lt;&gt;"Valid","",VLOOKUP($E757&amp;"|"&amp;$F757,Cluster_Master!$I$3:$H$17,3,FALSE))</f>
        <v/>
      </c>
      <c r="I757" s="7">
        <f>IF($G757&lt;&gt;"Valid","",VLOOKUP($E757&amp;"|"&amp;$F757,Cluster_Master!$I$3:$H$17,4,FALSE))</f>
        <v/>
      </c>
      <c r="J757" s="7">
        <f>IF($G757&lt;&gt;"Valid","",VLOOKUP($E757&amp;"|"&amp;$F757,Cluster_Master!$I$3:$H$17,5,FALSE))</f>
        <v/>
      </c>
      <c r="K757" s="7">
        <f>IF($G757&lt;&gt;"Valid","",VLOOKUP($E757&amp;"|"&amp;$F757,Cluster_Master!$I$3:$H$17,6,FALSE))</f>
        <v/>
      </c>
      <c r="L757" s="7">
        <f>IF($G757&lt;&gt;"Valid","",VLOOKUP($E757&amp;"|"&amp;$F757,Cluster_Master!$I$3:$H$17,7,FALSE))</f>
        <v/>
      </c>
      <c r="M757" s="7">
        <f>IF($G757&lt;&gt;"Valid","",VLOOKUP($E757&amp;"|"&amp;$F757,Cluster_Master!$I$3:$H$17,8,FALSE))</f>
        <v/>
      </c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7">
        <f>IF(COUNT(T757:AH757)=0,"",SUM(T757:AH757))</f>
        <v/>
      </c>
      <c r="AJ757" s="10">
        <f>IF(AI757="","",AI757/75)</f>
        <v/>
      </c>
      <c r="AK757" s="10">
        <f>IF(AI757="","",SUMPRODUCT(T757:AH757,KPI_Weights!$B$3:$B$17)/5)</f>
        <v/>
      </c>
      <c r="AL757" s="7">
        <f>IF(COUNT(T757:AH757)=0,"",IF(OR(T757&lt;=1,W757&lt;=1,X757&lt;=1,Y757&lt;=1,AB757&lt;=1),"YES","NO"))</f>
        <v/>
      </c>
      <c r="AM757" s="7">
        <f>IF(AK757="","",IF(AND(AK757="NO",AJ757&gt;=0.85),"YES","NO"))</f>
        <v/>
      </c>
      <c r="AN757" s="7">
        <f>IF(AJ757="","",IF(AJ757&gt;=0.90,"Excellent",IF(AJ757&gt;=0.80,"Good",IF(AJ757&gt;=0.70,"Fair","Poor"))))</f>
        <v/>
      </c>
      <c r="AO757" s="12" t="n"/>
      <c r="AP757" s="12" t="n"/>
      <c r="AQ757" s="12" t="n"/>
      <c r="AR757" s="12" t="n"/>
      <c r="AS757" s="12" t="n"/>
      <c r="AT757" s="12" t="n"/>
      <c r="AU757" s="12" t="n"/>
      <c r="AV757" s="11" t="n"/>
      <c r="AW757" s="12" t="n"/>
      <c r="AX757" s="12" t="n"/>
      <c r="AY757" s="12" t="n"/>
      <c r="AZ757" s="12" t="n"/>
      <c r="BA757" s="12" t="n"/>
      <c r="BB757" s="12" t="n"/>
      <c r="BC757" s="12" t="n"/>
      <c r="BD757" s="12" t="n"/>
      <c r="BE757" s="12" t="n"/>
      <c r="BF757" s="12" t="n"/>
    </row>
    <row r="758">
      <c r="A758" s="7">
        <f>IF(B758="","","INS-"&amp;TEXT(ROW()-3,"000"))</f>
        <v/>
      </c>
      <c r="B758" s="11" t="n"/>
      <c r="C758" s="7">
        <f>IF(B758="","",ISOWEEKNUM(B758))</f>
        <v/>
      </c>
      <c r="D758" s="7">
        <f>IF(B758="","",TEXT(B758,"yyyy-mm"))</f>
        <v/>
      </c>
      <c r="E758" s="12" t="n"/>
      <c r="F758" s="12" t="n"/>
      <c r="G758" s="7">
        <f>IF(OR(E758="",F758=""),"",IF(COUNTIF(Cluster_Master!$I$3:$I$17,E758&amp;"|"&amp;F758)=1,"Valid","Review"))</f>
        <v/>
      </c>
      <c r="H758" s="7">
        <f>IF($G758&lt;&gt;"Valid","",VLOOKUP($E758&amp;"|"&amp;$F758,Cluster_Master!$I$3:$H$17,3,FALSE))</f>
        <v/>
      </c>
      <c r="I758" s="7">
        <f>IF($G758&lt;&gt;"Valid","",VLOOKUP($E758&amp;"|"&amp;$F758,Cluster_Master!$I$3:$H$17,4,FALSE))</f>
        <v/>
      </c>
      <c r="J758" s="7">
        <f>IF($G758&lt;&gt;"Valid","",VLOOKUP($E758&amp;"|"&amp;$F758,Cluster_Master!$I$3:$H$17,5,FALSE))</f>
        <v/>
      </c>
      <c r="K758" s="7">
        <f>IF($G758&lt;&gt;"Valid","",VLOOKUP($E758&amp;"|"&amp;$F758,Cluster_Master!$I$3:$H$17,6,FALSE))</f>
        <v/>
      </c>
      <c r="L758" s="7">
        <f>IF($G758&lt;&gt;"Valid","",VLOOKUP($E758&amp;"|"&amp;$F758,Cluster_Master!$I$3:$H$17,7,FALSE))</f>
        <v/>
      </c>
      <c r="M758" s="7">
        <f>IF($G758&lt;&gt;"Valid","",VLOOKUP($E758&amp;"|"&amp;$F758,Cluster_Master!$I$3:$H$17,8,FALSE))</f>
        <v/>
      </c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7">
        <f>IF(COUNT(T758:AH758)=0,"",SUM(T758:AH758))</f>
        <v/>
      </c>
      <c r="AJ758" s="10">
        <f>IF(AI758="","",AI758/75)</f>
        <v/>
      </c>
      <c r="AK758" s="10">
        <f>IF(AI758="","",SUMPRODUCT(T758:AH758,KPI_Weights!$B$3:$B$17)/5)</f>
        <v/>
      </c>
      <c r="AL758" s="7">
        <f>IF(COUNT(T758:AH758)=0,"",IF(OR(T758&lt;=1,W758&lt;=1,X758&lt;=1,Y758&lt;=1,AB758&lt;=1),"YES","NO"))</f>
        <v/>
      </c>
      <c r="AM758" s="7">
        <f>IF(AK758="","",IF(AND(AK758="NO",AJ758&gt;=0.85),"YES","NO"))</f>
        <v/>
      </c>
      <c r="AN758" s="7">
        <f>IF(AJ758="","",IF(AJ758&gt;=0.90,"Excellent",IF(AJ758&gt;=0.80,"Good",IF(AJ758&gt;=0.70,"Fair","Poor"))))</f>
        <v/>
      </c>
      <c r="AO758" s="12" t="n"/>
      <c r="AP758" s="12" t="n"/>
      <c r="AQ758" s="12" t="n"/>
      <c r="AR758" s="12" t="n"/>
      <c r="AS758" s="12" t="n"/>
      <c r="AT758" s="12" t="n"/>
      <c r="AU758" s="12" t="n"/>
      <c r="AV758" s="11" t="n"/>
      <c r="AW758" s="12" t="n"/>
      <c r="AX758" s="12" t="n"/>
      <c r="AY758" s="12" t="n"/>
      <c r="AZ758" s="12" t="n"/>
      <c r="BA758" s="12" t="n"/>
      <c r="BB758" s="12" t="n"/>
      <c r="BC758" s="12" t="n"/>
      <c r="BD758" s="12" t="n"/>
      <c r="BE758" s="12" t="n"/>
      <c r="BF758" s="12" t="n"/>
    </row>
    <row r="759">
      <c r="A759" s="7">
        <f>IF(B759="","","INS-"&amp;TEXT(ROW()-3,"000"))</f>
        <v/>
      </c>
      <c r="B759" s="11" t="n"/>
      <c r="C759" s="7">
        <f>IF(B759="","",ISOWEEKNUM(B759))</f>
        <v/>
      </c>
      <c r="D759" s="7">
        <f>IF(B759="","",TEXT(B759,"yyyy-mm"))</f>
        <v/>
      </c>
      <c r="E759" s="12" t="n"/>
      <c r="F759" s="12" t="n"/>
      <c r="G759" s="7">
        <f>IF(OR(E759="",F759=""),"",IF(COUNTIF(Cluster_Master!$I$3:$I$17,E759&amp;"|"&amp;F759)=1,"Valid","Review"))</f>
        <v/>
      </c>
      <c r="H759" s="7">
        <f>IF($G759&lt;&gt;"Valid","",VLOOKUP($E759&amp;"|"&amp;$F759,Cluster_Master!$I$3:$H$17,3,FALSE))</f>
        <v/>
      </c>
      <c r="I759" s="7">
        <f>IF($G759&lt;&gt;"Valid","",VLOOKUP($E759&amp;"|"&amp;$F759,Cluster_Master!$I$3:$H$17,4,FALSE))</f>
        <v/>
      </c>
      <c r="J759" s="7">
        <f>IF($G759&lt;&gt;"Valid","",VLOOKUP($E759&amp;"|"&amp;$F759,Cluster_Master!$I$3:$H$17,5,FALSE))</f>
        <v/>
      </c>
      <c r="K759" s="7">
        <f>IF($G759&lt;&gt;"Valid","",VLOOKUP($E759&amp;"|"&amp;$F759,Cluster_Master!$I$3:$H$17,6,FALSE))</f>
        <v/>
      </c>
      <c r="L759" s="7">
        <f>IF($G759&lt;&gt;"Valid","",VLOOKUP($E759&amp;"|"&amp;$F759,Cluster_Master!$I$3:$H$17,7,FALSE))</f>
        <v/>
      </c>
      <c r="M759" s="7">
        <f>IF($G759&lt;&gt;"Valid","",VLOOKUP($E759&amp;"|"&amp;$F759,Cluster_Master!$I$3:$H$17,8,FALSE))</f>
        <v/>
      </c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7">
        <f>IF(COUNT(T759:AH759)=0,"",SUM(T759:AH759))</f>
        <v/>
      </c>
      <c r="AJ759" s="10">
        <f>IF(AI759="","",AI759/75)</f>
        <v/>
      </c>
      <c r="AK759" s="10">
        <f>IF(AI759="","",SUMPRODUCT(T759:AH759,KPI_Weights!$B$3:$B$17)/5)</f>
        <v/>
      </c>
      <c r="AL759" s="7">
        <f>IF(COUNT(T759:AH759)=0,"",IF(OR(T759&lt;=1,W759&lt;=1,X759&lt;=1,Y759&lt;=1,AB759&lt;=1),"YES","NO"))</f>
        <v/>
      </c>
      <c r="AM759" s="7">
        <f>IF(AK759="","",IF(AND(AK759="NO",AJ759&gt;=0.85),"YES","NO"))</f>
        <v/>
      </c>
      <c r="AN759" s="7">
        <f>IF(AJ759="","",IF(AJ759&gt;=0.90,"Excellent",IF(AJ759&gt;=0.80,"Good",IF(AJ759&gt;=0.70,"Fair","Poor"))))</f>
        <v/>
      </c>
      <c r="AO759" s="12" t="n"/>
      <c r="AP759" s="12" t="n"/>
      <c r="AQ759" s="12" t="n"/>
      <c r="AR759" s="12" t="n"/>
      <c r="AS759" s="12" t="n"/>
      <c r="AT759" s="12" t="n"/>
      <c r="AU759" s="12" t="n"/>
      <c r="AV759" s="11" t="n"/>
      <c r="AW759" s="12" t="n"/>
      <c r="AX759" s="12" t="n"/>
      <c r="AY759" s="12" t="n"/>
      <c r="AZ759" s="12" t="n"/>
      <c r="BA759" s="12" t="n"/>
      <c r="BB759" s="12" t="n"/>
      <c r="BC759" s="12" t="n"/>
      <c r="BD759" s="12" t="n"/>
      <c r="BE759" s="12" t="n"/>
      <c r="BF759" s="12" t="n"/>
    </row>
    <row r="760">
      <c r="A760" s="7">
        <f>IF(B760="","","INS-"&amp;TEXT(ROW()-3,"000"))</f>
        <v/>
      </c>
      <c r="B760" s="11" t="n"/>
      <c r="C760" s="7">
        <f>IF(B760="","",ISOWEEKNUM(B760))</f>
        <v/>
      </c>
      <c r="D760" s="7">
        <f>IF(B760="","",TEXT(B760,"yyyy-mm"))</f>
        <v/>
      </c>
      <c r="E760" s="12" t="n"/>
      <c r="F760" s="12" t="n"/>
      <c r="G760" s="7">
        <f>IF(OR(E760="",F760=""),"",IF(COUNTIF(Cluster_Master!$I$3:$I$17,E760&amp;"|"&amp;F760)=1,"Valid","Review"))</f>
        <v/>
      </c>
      <c r="H760" s="7">
        <f>IF($G760&lt;&gt;"Valid","",VLOOKUP($E760&amp;"|"&amp;$F760,Cluster_Master!$I$3:$H$17,3,FALSE))</f>
        <v/>
      </c>
      <c r="I760" s="7">
        <f>IF($G760&lt;&gt;"Valid","",VLOOKUP($E760&amp;"|"&amp;$F760,Cluster_Master!$I$3:$H$17,4,FALSE))</f>
        <v/>
      </c>
      <c r="J760" s="7">
        <f>IF($G760&lt;&gt;"Valid","",VLOOKUP($E760&amp;"|"&amp;$F760,Cluster_Master!$I$3:$H$17,5,FALSE))</f>
        <v/>
      </c>
      <c r="K760" s="7">
        <f>IF($G760&lt;&gt;"Valid","",VLOOKUP($E760&amp;"|"&amp;$F760,Cluster_Master!$I$3:$H$17,6,FALSE))</f>
        <v/>
      </c>
      <c r="L760" s="7">
        <f>IF($G760&lt;&gt;"Valid","",VLOOKUP($E760&amp;"|"&amp;$F760,Cluster_Master!$I$3:$H$17,7,FALSE))</f>
        <v/>
      </c>
      <c r="M760" s="7">
        <f>IF($G760&lt;&gt;"Valid","",VLOOKUP($E760&amp;"|"&amp;$F760,Cluster_Master!$I$3:$H$17,8,FALSE))</f>
        <v/>
      </c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7">
        <f>IF(COUNT(T760:AH760)=0,"",SUM(T760:AH760))</f>
        <v/>
      </c>
      <c r="AJ760" s="10">
        <f>IF(AI760="","",AI760/75)</f>
        <v/>
      </c>
      <c r="AK760" s="10">
        <f>IF(AI760="","",SUMPRODUCT(T760:AH760,KPI_Weights!$B$3:$B$17)/5)</f>
        <v/>
      </c>
      <c r="AL760" s="7">
        <f>IF(COUNT(T760:AH760)=0,"",IF(OR(T760&lt;=1,W760&lt;=1,X760&lt;=1,Y760&lt;=1,AB760&lt;=1),"YES","NO"))</f>
        <v/>
      </c>
      <c r="AM760" s="7">
        <f>IF(AK760="","",IF(AND(AK760="NO",AJ760&gt;=0.85),"YES","NO"))</f>
        <v/>
      </c>
      <c r="AN760" s="7">
        <f>IF(AJ760="","",IF(AJ760&gt;=0.90,"Excellent",IF(AJ760&gt;=0.80,"Good",IF(AJ760&gt;=0.70,"Fair","Poor"))))</f>
        <v/>
      </c>
      <c r="AO760" s="12" t="n"/>
      <c r="AP760" s="12" t="n"/>
      <c r="AQ760" s="12" t="n"/>
      <c r="AR760" s="12" t="n"/>
      <c r="AS760" s="12" t="n"/>
      <c r="AT760" s="12" t="n"/>
      <c r="AU760" s="12" t="n"/>
      <c r="AV760" s="11" t="n"/>
      <c r="AW760" s="12" t="n"/>
      <c r="AX760" s="12" t="n"/>
      <c r="AY760" s="12" t="n"/>
      <c r="AZ760" s="12" t="n"/>
      <c r="BA760" s="12" t="n"/>
      <c r="BB760" s="12" t="n"/>
      <c r="BC760" s="12" t="n"/>
      <c r="BD760" s="12" t="n"/>
      <c r="BE760" s="12" t="n"/>
      <c r="BF760" s="12" t="n"/>
    </row>
    <row r="761">
      <c r="A761" s="7">
        <f>IF(B761="","","INS-"&amp;TEXT(ROW()-3,"000"))</f>
        <v/>
      </c>
      <c r="B761" s="11" t="n"/>
      <c r="C761" s="7">
        <f>IF(B761="","",ISOWEEKNUM(B761))</f>
        <v/>
      </c>
      <c r="D761" s="7">
        <f>IF(B761="","",TEXT(B761,"yyyy-mm"))</f>
        <v/>
      </c>
      <c r="E761" s="12" t="n"/>
      <c r="F761" s="12" t="n"/>
      <c r="G761" s="7">
        <f>IF(OR(E761="",F761=""),"",IF(COUNTIF(Cluster_Master!$I$3:$I$17,E761&amp;"|"&amp;F761)=1,"Valid","Review"))</f>
        <v/>
      </c>
      <c r="H761" s="7">
        <f>IF($G761&lt;&gt;"Valid","",VLOOKUP($E761&amp;"|"&amp;$F761,Cluster_Master!$I$3:$H$17,3,FALSE))</f>
        <v/>
      </c>
      <c r="I761" s="7">
        <f>IF($G761&lt;&gt;"Valid","",VLOOKUP($E761&amp;"|"&amp;$F761,Cluster_Master!$I$3:$H$17,4,FALSE))</f>
        <v/>
      </c>
      <c r="J761" s="7">
        <f>IF($G761&lt;&gt;"Valid","",VLOOKUP($E761&amp;"|"&amp;$F761,Cluster_Master!$I$3:$H$17,5,FALSE))</f>
        <v/>
      </c>
      <c r="K761" s="7">
        <f>IF($G761&lt;&gt;"Valid","",VLOOKUP($E761&amp;"|"&amp;$F761,Cluster_Master!$I$3:$H$17,6,FALSE))</f>
        <v/>
      </c>
      <c r="L761" s="7">
        <f>IF($G761&lt;&gt;"Valid","",VLOOKUP($E761&amp;"|"&amp;$F761,Cluster_Master!$I$3:$H$17,7,FALSE))</f>
        <v/>
      </c>
      <c r="M761" s="7">
        <f>IF($G761&lt;&gt;"Valid","",VLOOKUP($E761&amp;"|"&amp;$F761,Cluster_Master!$I$3:$H$17,8,FALSE))</f>
        <v/>
      </c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7">
        <f>IF(COUNT(T761:AH761)=0,"",SUM(T761:AH761))</f>
        <v/>
      </c>
      <c r="AJ761" s="10">
        <f>IF(AI761="","",AI761/75)</f>
        <v/>
      </c>
      <c r="AK761" s="10">
        <f>IF(AI761="","",SUMPRODUCT(T761:AH761,KPI_Weights!$B$3:$B$17)/5)</f>
        <v/>
      </c>
      <c r="AL761" s="7">
        <f>IF(COUNT(T761:AH761)=0,"",IF(OR(T761&lt;=1,W761&lt;=1,X761&lt;=1,Y761&lt;=1,AB761&lt;=1),"YES","NO"))</f>
        <v/>
      </c>
      <c r="AM761" s="7">
        <f>IF(AK761="","",IF(AND(AK761="NO",AJ761&gt;=0.85),"YES","NO"))</f>
        <v/>
      </c>
      <c r="AN761" s="7">
        <f>IF(AJ761="","",IF(AJ761&gt;=0.90,"Excellent",IF(AJ761&gt;=0.80,"Good",IF(AJ761&gt;=0.70,"Fair","Poor"))))</f>
        <v/>
      </c>
      <c r="AO761" s="12" t="n"/>
      <c r="AP761" s="12" t="n"/>
      <c r="AQ761" s="12" t="n"/>
      <c r="AR761" s="12" t="n"/>
      <c r="AS761" s="12" t="n"/>
      <c r="AT761" s="12" t="n"/>
      <c r="AU761" s="12" t="n"/>
      <c r="AV761" s="11" t="n"/>
      <c r="AW761" s="12" t="n"/>
      <c r="AX761" s="12" t="n"/>
      <c r="AY761" s="12" t="n"/>
      <c r="AZ761" s="12" t="n"/>
      <c r="BA761" s="12" t="n"/>
      <c r="BB761" s="12" t="n"/>
      <c r="BC761" s="12" t="n"/>
      <c r="BD761" s="12" t="n"/>
      <c r="BE761" s="12" t="n"/>
      <c r="BF761" s="12" t="n"/>
    </row>
    <row r="762">
      <c r="A762" s="7">
        <f>IF(B762="","","INS-"&amp;TEXT(ROW()-3,"000"))</f>
        <v/>
      </c>
      <c r="B762" s="11" t="n"/>
      <c r="C762" s="7">
        <f>IF(B762="","",ISOWEEKNUM(B762))</f>
        <v/>
      </c>
      <c r="D762" s="7">
        <f>IF(B762="","",TEXT(B762,"yyyy-mm"))</f>
        <v/>
      </c>
      <c r="E762" s="12" t="n"/>
      <c r="F762" s="12" t="n"/>
      <c r="G762" s="7">
        <f>IF(OR(E762="",F762=""),"",IF(COUNTIF(Cluster_Master!$I$3:$I$17,E762&amp;"|"&amp;F762)=1,"Valid","Review"))</f>
        <v/>
      </c>
      <c r="H762" s="7">
        <f>IF($G762&lt;&gt;"Valid","",VLOOKUP($E762&amp;"|"&amp;$F762,Cluster_Master!$I$3:$H$17,3,FALSE))</f>
        <v/>
      </c>
      <c r="I762" s="7">
        <f>IF($G762&lt;&gt;"Valid","",VLOOKUP($E762&amp;"|"&amp;$F762,Cluster_Master!$I$3:$H$17,4,FALSE))</f>
        <v/>
      </c>
      <c r="J762" s="7">
        <f>IF($G762&lt;&gt;"Valid","",VLOOKUP($E762&amp;"|"&amp;$F762,Cluster_Master!$I$3:$H$17,5,FALSE))</f>
        <v/>
      </c>
      <c r="K762" s="7">
        <f>IF($G762&lt;&gt;"Valid","",VLOOKUP($E762&amp;"|"&amp;$F762,Cluster_Master!$I$3:$H$17,6,FALSE))</f>
        <v/>
      </c>
      <c r="L762" s="7">
        <f>IF($G762&lt;&gt;"Valid","",VLOOKUP($E762&amp;"|"&amp;$F762,Cluster_Master!$I$3:$H$17,7,FALSE))</f>
        <v/>
      </c>
      <c r="M762" s="7">
        <f>IF($G762&lt;&gt;"Valid","",VLOOKUP($E762&amp;"|"&amp;$F762,Cluster_Master!$I$3:$H$17,8,FALSE))</f>
        <v/>
      </c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7">
        <f>IF(COUNT(T762:AH762)=0,"",SUM(T762:AH762))</f>
        <v/>
      </c>
      <c r="AJ762" s="10">
        <f>IF(AI762="","",AI762/75)</f>
        <v/>
      </c>
      <c r="AK762" s="10">
        <f>IF(AI762="","",SUMPRODUCT(T762:AH762,KPI_Weights!$B$3:$B$17)/5)</f>
        <v/>
      </c>
      <c r="AL762" s="7">
        <f>IF(COUNT(T762:AH762)=0,"",IF(OR(T762&lt;=1,W762&lt;=1,X762&lt;=1,Y762&lt;=1,AB762&lt;=1),"YES","NO"))</f>
        <v/>
      </c>
      <c r="AM762" s="7">
        <f>IF(AK762="","",IF(AND(AK762="NO",AJ762&gt;=0.85),"YES","NO"))</f>
        <v/>
      </c>
      <c r="AN762" s="7">
        <f>IF(AJ762="","",IF(AJ762&gt;=0.90,"Excellent",IF(AJ762&gt;=0.80,"Good",IF(AJ762&gt;=0.70,"Fair","Poor"))))</f>
        <v/>
      </c>
      <c r="AO762" s="12" t="n"/>
      <c r="AP762" s="12" t="n"/>
      <c r="AQ762" s="12" t="n"/>
      <c r="AR762" s="12" t="n"/>
      <c r="AS762" s="12" t="n"/>
      <c r="AT762" s="12" t="n"/>
      <c r="AU762" s="12" t="n"/>
      <c r="AV762" s="11" t="n"/>
      <c r="AW762" s="12" t="n"/>
      <c r="AX762" s="12" t="n"/>
      <c r="AY762" s="12" t="n"/>
      <c r="AZ762" s="12" t="n"/>
      <c r="BA762" s="12" t="n"/>
      <c r="BB762" s="12" t="n"/>
      <c r="BC762" s="12" t="n"/>
      <c r="BD762" s="12" t="n"/>
      <c r="BE762" s="12" t="n"/>
      <c r="BF762" s="12" t="n"/>
    </row>
    <row r="763">
      <c r="A763" s="7">
        <f>IF(B763="","","INS-"&amp;TEXT(ROW()-3,"000"))</f>
        <v/>
      </c>
      <c r="B763" s="11" t="n"/>
      <c r="C763" s="7">
        <f>IF(B763="","",ISOWEEKNUM(B763))</f>
        <v/>
      </c>
      <c r="D763" s="7">
        <f>IF(B763="","",TEXT(B763,"yyyy-mm"))</f>
        <v/>
      </c>
      <c r="E763" s="12" t="n"/>
      <c r="F763" s="12" t="n"/>
      <c r="G763" s="7">
        <f>IF(OR(E763="",F763=""),"",IF(COUNTIF(Cluster_Master!$I$3:$I$17,E763&amp;"|"&amp;F763)=1,"Valid","Review"))</f>
        <v/>
      </c>
      <c r="H763" s="7">
        <f>IF($G763&lt;&gt;"Valid","",VLOOKUP($E763&amp;"|"&amp;$F763,Cluster_Master!$I$3:$H$17,3,FALSE))</f>
        <v/>
      </c>
      <c r="I763" s="7">
        <f>IF($G763&lt;&gt;"Valid","",VLOOKUP($E763&amp;"|"&amp;$F763,Cluster_Master!$I$3:$H$17,4,FALSE))</f>
        <v/>
      </c>
      <c r="J763" s="7">
        <f>IF($G763&lt;&gt;"Valid","",VLOOKUP($E763&amp;"|"&amp;$F763,Cluster_Master!$I$3:$H$17,5,FALSE))</f>
        <v/>
      </c>
      <c r="K763" s="7">
        <f>IF($G763&lt;&gt;"Valid","",VLOOKUP($E763&amp;"|"&amp;$F763,Cluster_Master!$I$3:$H$17,6,FALSE))</f>
        <v/>
      </c>
      <c r="L763" s="7">
        <f>IF($G763&lt;&gt;"Valid","",VLOOKUP($E763&amp;"|"&amp;$F763,Cluster_Master!$I$3:$H$17,7,FALSE))</f>
        <v/>
      </c>
      <c r="M763" s="7">
        <f>IF($G763&lt;&gt;"Valid","",VLOOKUP($E763&amp;"|"&amp;$F763,Cluster_Master!$I$3:$H$17,8,FALSE))</f>
        <v/>
      </c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7">
        <f>IF(COUNT(T763:AH763)=0,"",SUM(T763:AH763))</f>
        <v/>
      </c>
      <c r="AJ763" s="10">
        <f>IF(AI763="","",AI763/75)</f>
        <v/>
      </c>
      <c r="AK763" s="10">
        <f>IF(AI763="","",SUMPRODUCT(T763:AH763,KPI_Weights!$B$3:$B$17)/5)</f>
        <v/>
      </c>
      <c r="AL763" s="7">
        <f>IF(COUNT(T763:AH763)=0,"",IF(OR(T763&lt;=1,W763&lt;=1,X763&lt;=1,Y763&lt;=1,AB763&lt;=1),"YES","NO"))</f>
        <v/>
      </c>
      <c r="AM763" s="7">
        <f>IF(AK763="","",IF(AND(AK763="NO",AJ763&gt;=0.85),"YES","NO"))</f>
        <v/>
      </c>
      <c r="AN763" s="7">
        <f>IF(AJ763="","",IF(AJ763&gt;=0.90,"Excellent",IF(AJ763&gt;=0.80,"Good",IF(AJ763&gt;=0.70,"Fair","Poor"))))</f>
        <v/>
      </c>
      <c r="AO763" s="12" t="n"/>
      <c r="AP763" s="12" t="n"/>
      <c r="AQ763" s="12" t="n"/>
      <c r="AR763" s="12" t="n"/>
      <c r="AS763" s="12" t="n"/>
      <c r="AT763" s="12" t="n"/>
      <c r="AU763" s="12" t="n"/>
      <c r="AV763" s="11" t="n"/>
      <c r="AW763" s="12" t="n"/>
      <c r="AX763" s="12" t="n"/>
      <c r="AY763" s="12" t="n"/>
      <c r="AZ763" s="12" t="n"/>
      <c r="BA763" s="12" t="n"/>
      <c r="BB763" s="12" t="n"/>
      <c r="BC763" s="12" t="n"/>
      <c r="BD763" s="12" t="n"/>
      <c r="BE763" s="12" t="n"/>
      <c r="BF763" s="12" t="n"/>
    </row>
    <row r="764">
      <c r="A764" s="7">
        <f>IF(B764="","","INS-"&amp;TEXT(ROW()-3,"000"))</f>
        <v/>
      </c>
      <c r="B764" s="11" t="n"/>
      <c r="C764" s="7">
        <f>IF(B764="","",ISOWEEKNUM(B764))</f>
        <v/>
      </c>
      <c r="D764" s="7">
        <f>IF(B764="","",TEXT(B764,"yyyy-mm"))</f>
        <v/>
      </c>
      <c r="E764" s="12" t="n"/>
      <c r="F764" s="12" t="n"/>
      <c r="G764" s="7">
        <f>IF(OR(E764="",F764=""),"",IF(COUNTIF(Cluster_Master!$I$3:$I$17,E764&amp;"|"&amp;F764)=1,"Valid","Review"))</f>
        <v/>
      </c>
      <c r="H764" s="7">
        <f>IF($G764&lt;&gt;"Valid","",VLOOKUP($E764&amp;"|"&amp;$F764,Cluster_Master!$I$3:$H$17,3,FALSE))</f>
        <v/>
      </c>
      <c r="I764" s="7">
        <f>IF($G764&lt;&gt;"Valid","",VLOOKUP($E764&amp;"|"&amp;$F764,Cluster_Master!$I$3:$H$17,4,FALSE))</f>
        <v/>
      </c>
      <c r="J764" s="7">
        <f>IF($G764&lt;&gt;"Valid","",VLOOKUP($E764&amp;"|"&amp;$F764,Cluster_Master!$I$3:$H$17,5,FALSE))</f>
        <v/>
      </c>
      <c r="K764" s="7">
        <f>IF($G764&lt;&gt;"Valid","",VLOOKUP($E764&amp;"|"&amp;$F764,Cluster_Master!$I$3:$H$17,6,FALSE))</f>
        <v/>
      </c>
      <c r="L764" s="7">
        <f>IF($G764&lt;&gt;"Valid","",VLOOKUP($E764&amp;"|"&amp;$F764,Cluster_Master!$I$3:$H$17,7,FALSE))</f>
        <v/>
      </c>
      <c r="M764" s="7">
        <f>IF($G764&lt;&gt;"Valid","",VLOOKUP($E764&amp;"|"&amp;$F764,Cluster_Master!$I$3:$H$17,8,FALSE))</f>
        <v/>
      </c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7">
        <f>IF(COUNT(T764:AH764)=0,"",SUM(T764:AH764))</f>
        <v/>
      </c>
      <c r="AJ764" s="10">
        <f>IF(AI764="","",AI764/75)</f>
        <v/>
      </c>
      <c r="AK764" s="10">
        <f>IF(AI764="","",SUMPRODUCT(T764:AH764,KPI_Weights!$B$3:$B$17)/5)</f>
        <v/>
      </c>
      <c r="AL764" s="7">
        <f>IF(COUNT(T764:AH764)=0,"",IF(OR(T764&lt;=1,W764&lt;=1,X764&lt;=1,Y764&lt;=1,AB764&lt;=1),"YES","NO"))</f>
        <v/>
      </c>
      <c r="AM764" s="7">
        <f>IF(AK764="","",IF(AND(AK764="NO",AJ764&gt;=0.85),"YES","NO"))</f>
        <v/>
      </c>
      <c r="AN764" s="7">
        <f>IF(AJ764="","",IF(AJ764&gt;=0.90,"Excellent",IF(AJ764&gt;=0.80,"Good",IF(AJ764&gt;=0.70,"Fair","Poor"))))</f>
        <v/>
      </c>
      <c r="AO764" s="12" t="n"/>
      <c r="AP764" s="12" t="n"/>
      <c r="AQ764" s="12" t="n"/>
      <c r="AR764" s="12" t="n"/>
      <c r="AS764" s="12" t="n"/>
      <c r="AT764" s="12" t="n"/>
      <c r="AU764" s="12" t="n"/>
      <c r="AV764" s="11" t="n"/>
      <c r="AW764" s="12" t="n"/>
      <c r="AX764" s="12" t="n"/>
      <c r="AY764" s="12" t="n"/>
      <c r="AZ764" s="12" t="n"/>
      <c r="BA764" s="12" t="n"/>
      <c r="BB764" s="12" t="n"/>
      <c r="BC764" s="12" t="n"/>
      <c r="BD764" s="12" t="n"/>
      <c r="BE764" s="12" t="n"/>
      <c r="BF764" s="12" t="n"/>
    </row>
    <row r="765">
      <c r="A765" s="7">
        <f>IF(B765="","","INS-"&amp;TEXT(ROW()-3,"000"))</f>
        <v/>
      </c>
      <c r="B765" s="11" t="n"/>
      <c r="C765" s="7">
        <f>IF(B765="","",ISOWEEKNUM(B765))</f>
        <v/>
      </c>
      <c r="D765" s="7">
        <f>IF(B765="","",TEXT(B765,"yyyy-mm"))</f>
        <v/>
      </c>
      <c r="E765" s="12" t="n"/>
      <c r="F765" s="12" t="n"/>
      <c r="G765" s="7">
        <f>IF(OR(E765="",F765=""),"",IF(COUNTIF(Cluster_Master!$I$3:$I$17,E765&amp;"|"&amp;F765)=1,"Valid","Review"))</f>
        <v/>
      </c>
      <c r="H765" s="7">
        <f>IF($G765&lt;&gt;"Valid","",VLOOKUP($E765&amp;"|"&amp;$F765,Cluster_Master!$I$3:$H$17,3,FALSE))</f>
        <v/>
      </c>
      <c r="I765" s="7">
        <f>IF($G765&lt;&gt;"Valid","",VLOOKUP($E765&amp;"|"&amp;$F765,Cluster_Master!$I$3:$H$17,4,FALSE))</f>
        <v/>
      </c>
      <c r="J765" s="7">
        <f>IF($G765&lt;&gt;"Valid","",VLOOKUP($E765&amp;"|"&amp;$F765,Cluster_Master!$I$3:$H$17,5,FALSE))</f>
        <v/>
      </c>
      <c r="K765" s="7">
        <f>IF($G765&lt;&gt;"Valid","",VLOOKUP($E765&amp;"|"&amp;$F765,Cluster_Master!$I$3:$H$17,6,FALSE))</f>
        <v/>
      </c>
      <c r="L765" s="7">
        <f>IF($G765&lt;&gt;"Valid","",VLOOKUP($E765&amp;"|"&amp;$F765,Cluster_Master!$I$3:$H$17,7,FALSE))</f>
        <v/>
      </c>
      <c r="M765" s="7">
        <f>IF($G765&lt;&gt;"Valid","",VLOOKUP($E765&amp;"|"&amp;$F765,Cluster_Master!$I$3:$H$17,8,FALSE))</f>
        <v/>
      </c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7">
        <f>IF(COUNT(T765:AH765)=0,"",SUM(T765:AH765))</f>
        <v/>
      </c>
      <c r="AJ765" s="10">
        <f>IF(AI765="","",AI765/75)</f>
        <v/>
      </c>
      <c r="AK765" s="10">
        <f>IF(AI765="","",SUMPRODUCT(T765:AH765,KPI_Weights!$B$3:$B$17)/5)</f>
        <v/>
      </c>
      <c r="AL765" s="7">
        <f>IF(COUNT(T765:AH765)=0,"",IF(OR(T765&lt;=1,W765&lt;=1,X765&lt;=1,Y765&lt;=1,AB765&lt;=1),"YES","NO"))</f>
        <v/>
      </c>
      <c r="AM765" s="7">
        <f>IF(AK765="","",IF(AND(AK765="NO",AJ765&gt;=0.85),"YES","NO"))</f>
        <v/>
      </c>
      <c r="AN765" s="7">
        <f>IF(AJ765="","",IF(AJ765&gt;=0.90,"Excellent",IF(AJ765&gt;=0.80,"Good",IF(AJ765&gt;=0.70,"Fair","Poor"))))</f>
        <v/>
      </c>
      <c r="AO765" s="12" t="n"/>
      <c r="AP765" s="12" t="n"/>
      <c r="AQ765" s="12" t="n"/>
      <c r="AR765" s="12" t="n"/>
      <c r="AS765" s="12" t="n"/>
      <c r="AT765" s="12" t="n"/>
      <c r="AU765" s="12" t="n"/>
      <c r="AV765" s="11" t="n"/>
      <c r="AW765" s="12" t="n"/>
      <c r="AX765" s="12" t="n"/>
      <c r="AY765" s="12" t="n"/>
      <c r="AZ765" s="12" t="n"/>
      <c r="BA765" s="12" t="n"/>
      <c r="BB765" s="12" t="n"/>
      <c r="BC765" s="12" t="n"/>
      <c r="BD765" s="12" t="n"/>
      <c r="BE765" s="12" t="n"/>
      <c r="BF765" s="12" t="n"/>
    </row>
    <row r="766">
      <c r="A766" s="7">
        <f>IF(B766="","","INS-"&amp;TEXT(ROW()-3,"000"))</f>
        <v/>
      </c>
      <c r="B766" s="11" t="n"/>
      <c r="C766" s="7">
        <f>IF(B766="","",ISOWEEKNUM(B766))</f>
        <v/>
      </c>
      <c r="D766" s="7">
        <f>IF(B766="","",TEXT(B766,"yyyy-mm"))</f>
        <v/>
      </c>
      <c r="E766" s="12" t="n"/>
      <c r="F766" s="12" t="n"/>
      <c r="G766" s="7">
        <f>IF(OR(E766="",F766=""),"",IF(COUNTIF(Cluster_Master!$I$3:$I$17,E766&amp;"|"&amp;F766)=1,"Valid","Review"))</f>
        <v/>
      </c>
      <c r="H766" s="7">
        <f>IF($G766&lt;&gt;"Valid","",VLOOKUP($E766&amp;"|"&amp;$F766,Cluster_Master!$I$3:$H$17,3,FALSE))</f>
        <v/>
      </c>
      <c r="I766" s="7">
        <f>IF($G766&lt;&gt;"Valid","",VLOOKUP($E766&amp;"|"&amp;$F766,Cluster_Master!$I$3:$H$17,4,FALSE))</f>
        <v/>
      </c>
      <c r="J766" s="7">
        <f>IF($G766&lt;&gt;"Valid","",VLOOKUP($E766&amp;"|"&amp;$F766,Cluster_Master!$I$3:$H$17,5,FALSE))</f>
        <v/>
      </c>
      <c r="K766" s="7">
        <f>IF($G766&lt;&gt;"Valid","",VLOOKUP($E766&amp;"|"&amp;$F766,Cluster_Master!$I$3:$H$17,6,FALSE))</f>
        <v/>
      </c>
      <c r="L766" s="7">
        <f>IF($G766&lt;&gt;"Valid","",VLOOKUP($E766&amp;"|"&amp;$F766,Cluster_Master!$I$3:$H$17,7,FALSE))</f>
        <v/>
      </c>
      <c r="M766" s="7">
        <f>IF($G766&lt;&gt;"Valid","",VLOOKUP($E766&amp;"|"&amp;$F766,Cluster_Master!$I$3:$H$17,8,FALSE))</f>
        <v/>
      </c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7">
        <f>IF(COUNT(T766:AH766)=0,"",SUM(T766:AH766))</f>
        <v/>
      </c>
      <c r="AJ766" s="10">
        <f>IF(AI766="","",AI766/75)</f>
        <v/>
      </c>
      <c r="AK766" s="10">
        <f>IF(AI766="","",SUMPRODUCT(T766:AH766,KPI_Weights!$B$3:$B$17)/5)</f>
        <v/>
      </c>
      <c r="AL766" s="7">
        <f>IF(COUNT(T766:AH766)=0,"",IF(OR(T766&lt;=1,W766&lt;=1,X766&lt;=1,Y766&lt;=1,AB766&lt;=1),"YES","NO"))</f>
        <v/>
      </c>
      <c r="AM766" s="7">
        <f>IF(AK766="","",IF(AND(AK766="NO",AJ766&gt;=0.85),"YES","NO"))</f>
        <v/>
      </c>
      <c r="AN766" s="7">
        <f>IF(AJ766="","",IF(AJ766&gt;=0.90,"Excellent",IF(AJ766&gt;=0.80,"Good",IF(AJ766&gt;=0.70,"Fair","Poor"))))</f>
        <v/>
      </c>
      <c r="AO766" s="12" t="n"/>
      <c r="AP766" s="12" t="n"/>
      <c r="AQ766" s="12" t="n"/>
      <c r="AR766" s="12" t="n"/>
      <c r="AS766" s="12" t="n"/>
      <c r="AT766" s="12" t="n"/>
      <c r="AU766" s="12" t="n"/>
      <c r="AV766" s="11" t="n"/>
      <c r="AW766" s="12" t="n"/>
      <c r="AX766" s="12" t="n"/>
      <c r="AY766" s="12" t="n"/>
      <c r="AZ766" s="12" t="n"/>
      <c r="BA766" s="12" t="n"/>
      <c r="BB766" s="12" t="n"/>
      <c r="BC766" s="12" t="n"/>
      <c r="BD766" s="12" t="n"/>
      <c r="BE766" s="12" t="n"/>
      <c r="BF766" s="12" t="n"/>
    </row>
    <row r="767">
      <c r="A767" s="7">
        <f>IF(B767="","","INS-"&amp;TEXT(ROW()-3,"000"))</f>
        <v/>
      </c>
      <c r="B767" s="11" t="n"/>
      <c r="C767" s="7">
        <f>IF(B767="","",ISOWEEKNUM(B767))</f>
        <v/>
      </c>
      <c r="D767" s="7">
        <f>IF(B767="","",TEXT(B767,"yyyy-mm"))</f>
        <v/>
      </c>
      <c r="E767" s="12" t="n"/>
      <c r="F767" s="12" t="n"/>
      <c r="G767" s="7">
        <f>IF(OR(E767="",F767=""),"",IF(COUNTIF(Cluster_Master!$I$3:$I$17,E767&amp;"|"&amp;F767)=1,"Valid","Review"))</f>
        <v/>
      </c>
      <c r="H767" s="7">
        <f>IF($G767&lt;&gt;"Valid","",VLOOKUP($E767&amp;"|"&amp;$F767,Cluster_Master!$I$3:$H$17,3,FALSE))</f>
        <v/>
      </c>
      <c r="I767" s="7">
        <f>IF($G767&lt;&gt;"Valid","",VLOOKUP($E767&amp;"|"&amp;$F767,Cluster_Master!$I$3:$H$17,4,FALSE))</f>
        <v/>
      </c>
      <c r="J767" s="7">
        <f>IF($G767&lt;&gt;"Valid","",VLOOKUP($E767&amp;"|"&amp;$F767,Cluster_Master!$I$3:$H$17,5,FALSE))</f>
        <v/>
      </c>
      <c r="K767" s="7">
        <f>IF($G767&lt;&gt;"Valid","",VLOOKUP($E767&amp;"|"&amp;$F767,Cluster_Master!$I$3:$H$17,6,FALSE))</f>
        <v/>
      </c>
      <c r="L767" s="7">
        <f>IF($G767&lt;&gt;"Valid","",VLOOKUP($E767&amp;"|"&amp;$F767,Cluster_Master!$I$3:$H$17,7,FALSE))</f>
        <v/>
      </c>
      <c r="M767" s="7">
        <f>IF($G767&lt;&gt;"Valid","",VLOOKUP($E767&amp;"|"&amp;$F767,Cluster_Master!$I$3:$H$17,8,FALSE))</f>
        <v/>
      </c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7">
        <f>IF(COUNT(T767:AH767)=0,"",SUM(T767:AH767))</f>
        <v/>
      </c>
      <c r="AJ767" s="10">
        <f>IF(AI767="","",AI767/75)</f>
        <v/>
      </c>
      <c r="AK767" s="10">
        <f>IF(AI767="","",SUMPRODUCT(T767:AH767,KPI_Weights!$B$3:$B$17)/5)</f>
        <v/>
      </c>
      <c r="AL767" s="7">
        <f>IF(COUNT(T767:AH767)=0,"",IF(OR(T767&lt;=1,W767&lt;=1,X767&lt;=1,Y767&lt;=1,AB767&lt;=1),"YES","NO"))</f>
        <v/>
      </c>
      <c r="AM767" s="7">
        <f>IF(AK767="","",IF(AND(AK767="NO",AJ767&gt;=0.85),"YES","NO"))</f>
        <v/>
      </c>
      <c r="AN767" s="7">
        <f>IF(AJ767="","",IF(AJ767&gt;=0.90,"Excellent",IF(AJ767&gt;=0.80,"Good",IF(AJ767&gt;=0.70,"Fair","Poor"))))</f>
        <v/>
      </c>
      <c r="AO767" s="12" t="n"/>
      <c r="AP767" s="12" t="n"/>
      <c r="AQ767" s="12" t="n"/>
      <c r="AR767" s="12" t="n"/>
      <c r="AS767" s="12" t="n"/>
      <c r="AT767" s="12" t="n"/>
      <c r="AU767" s="12" t="n"/>
      <c r="AV767" s="11" t="n"/>
      <c r="AW767" s="12" t="n"/>
      <c r="AX767" s="12" t="n"/>
      <c r="AY767" s="12" t="n"/>
      <c r="AZ767" s="12" t="n"/>
      <c r="BA767" s="12" t="n"/>
      <c r="BB767" s="12" t="n"/>
      <c r="BC767" s="12" t="n"/>
      <c r="BD767" s="12" t="n"/>
      <c r="BE767" s="12" t="n"/>
      <c r="BF767" s="12" t="n"/>
    </row>
    <row r="768">
      <c r="A768" s="7">
        <f>IF(B768="","","INS-"&amp;TEXT(ROW()-3,"000"))</f>
        <v/>
      </c>
      <c r="B768" s="11" t="n"/>
      <c r="C768" s="7">
        <f>IF(B768="","",ISOWEEKNUM(B768))</f>
        <v/>
      </c>
      <c r="D768" s="7">
        <f>IF(B768="","",TEXT(B768,"yyyy-mm"))</f>
        <v/>
      </c>
      <c r="E768" s="12" t="n"/>
      <c r="F768" s="12" t="n"/>
      <c r="G768" s="7">
        <f>IF(OR(E768="",F768=""),"",IF(COUNTIF(Cluster_Master!$I$3:$I$17,E768&amp;"|"&amp;F768)=1,"Valid","Review"))</f>
        <v/>
      </c>
      <c r="H768" s="7">
        <f>IF($G768&lt;&gt;"Valid","",VLOOKUP($E768&amp;"|"&amp;$F768,Cluster_Master!$I$3:$H$17,3,FALSE))</f>
        <v/>
      </c>
      <c r="I768" s="7">
        <f>IF($G768&lt;&gt;"Valid","",VLOOKUP($E768&amp;"|"&amp;$F768,Cluster_Master!$I$3:$H$17,4,FALSE))</f>
        <v/>
      </c>
      <c r="J768" s="7">
        <f>IF($G768&lt;&gt;"Valid","",VLOOKUP($E768&amp;"|"&amp;$F768,Cluster_Master!$I$3:$H$17,5,FALSE))</f>
        <v/>
      </c>
      <c r="K768" s="7">
        <f>IF($G768&lt;&gt;"Valid","",VLOOKUP($E768&amp;"|"&amp;$F768,Cluster_Master!$I$3:$H$17,6,FALSE))</f>
        <v/>
      </c>
      <c r="L768" s="7">
        <f>IF($G768&lt;&gt;"Valid","",VLOOKUP($E768&amp;"|"&amp;$F768,Cluster_Master!$I$3:$H$17,7,FALSE))</f>
        <v/>
      </c>
      <c r="M768" s="7">
        <f>IF($G768&lt;&gt;"Valid","",VLOOKUP($E768&amp;"|"&amp;$F768,Cluster_Master!$I$3:$H$17,8,FALSE))</f>
        <v/>
      </c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7">
        <f>IF(COUNT(T768:AH768)=0,"",SUM(T768:AH768))</f>
        <v/>
      </c>
      <c r="AJ768" s="10">
        <f>IF(AI768="","",AI768/75)</f>
        <v/>
      </c>
      <c r="AK768" s="10">
        <f>IF(AI768="","",SUMPRODUCT(T768:AH768,KPI_Weights!$B$3:$B$17)/5)</f>
        <v/>
      </c>
      <c r="AL768" s="7">
        <f>IF(COUNT(T768:AH768)=0,"",IF(OR(T768&lt;=1,W768&lt;=1,X768&lt;=1,Y768&lt;=1,AB768&lt;=1),"YES","NO"))</f>
        <v/>
      </c>
      <c r="AM768" s="7">
        <f>IF(AK768="","",IF(AND(AK768="NO",AJ768&gt;=0.85),"YES","NO"))</f>
        <v/>
      </c>
      <c r="AN768" s="7">
        <f>IF(AJ768="","",IF(AJ768&gt;=0.90,"Excellent",IF(AJ768&gt;=0.80,"Good",IF(AJ768&gt;=0.70,"Fair","Poor"))))</f>
        <v/>
      </c>
      <c r="AO768" s="12" t="n"/>
      <c r="AP768" s="12" t="n"/>
      <c r="AQ768" s="12" t="n"/>
      <c r="AR768" s="12" t="n"/>
      <c r="AS768" s="12" t="n"/>
      <c r="AT768" s="12" t="n"/>
      <c r="AU768" s="12" t="n"/>
      <c r="AV768" s="11" t="n"/>
      <c r="AW768" s="12" t="n"/>
      <c r="AX768" s="12" t="n"/>
      <c r="AY768" s="12" t="n"/>
      <c r="AZ768" s="12" t="n"/>
      <c r="BA768" s="12" t="n"/>
      <c r="BB768" s="12" t="n"/>
      <c r="BC768" s="12" t="n"/>
      <c r="BD768" s="12" t="n"/>
      <c r="BE768" s="12" t="n"/>
      <c r="BF768" s="12" t="n"/>
    </row>
    <row r="769">
      <c r="A769" s="7">
        <f>IF(B769="","","INS-"&amp;TEXT(ROW()-3,"000"))</f>
        <v/>
      </c>
      <c r="B769" s="11" t="n"/>
      <c r="C769" s="7">
        <f>IF(B769="","",ISOWEEKNUM(B769))</f>
        <v/>
      </c>
      <c r="D769" s="7">
        <f>IF(B769="","",TEXT(B769,"yyyy-mm"))</f>
        <v/>
      </c>
      <c r="E769" s="12" t="n"/>
      <c r="F769" s="12" t="n"/>
      <c r="G769" s="7">
        <f>IF(OR(E769="",F769=""),"",IF(COUNTIF(Cluster_Master!$I$3:$I$17,E769&amp;"|"&amp;F769)=1,"Valid","Review"))</f>
        <v/>
      </c>
      <c r="H769" s="7">
        <f>IF($G769&lt;&gt;"Valid","",VLOOKUP($E769&amp;"|"&amp;$F769,Cluster_Master!$I$3:$H$17,3,FALSE))</f>
        <v/>
      </c>
      <c r="I769" s="7">
        <f>IF($G769&lt;&gt;"Valid","",VLOOKUP($E769&amp;"|"&amp;$F769,Cluster_Master!$I$3:$H$17,4,FALSE))</f>
        <v/>
      </c>
      <c r="J769" s="7">
        <f>IF($G769&lt;&gt;"Valid","",VLOOKUP($E769&amp;"|"&amp;$F769,Cluster_Master!$I$3:$H$17,5,FALSE))</f>
        <v/>
      </c>
      <c r="K769" s="7">
        <f>IF($G769&lt;&gt;"Valid","",VLOOKUP($E769&amp;"|"&amp;$F769,Cluster_Master!$I$3:$H$17,6,FALSE))</f>
        <v/>
      </c>
      <c r="L769" s="7">
        <f>IF($G769&lt;&gt;"Valid","",VLOOKUP($E769&amp;"|"&amp;$F769,Cluster_Master!$I$3:$H$17,7,FALSE))</f>
        <v/>
      </c>
      <c r="M769" s="7">
        <f>IF($G769&lt;&gt;"Valid","",VLOOKUP($E769&amp;"|"&amp;$F769,Cluster_Master!$I$3:$H$17,8,FALSE))</f>
        <v/>
      </c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7">
        <f>IF(COUNT(T769:AH769)=0,"",SUM(T769:AH769))</f>
        <v/>
      </c>
      <c r="AJ769" s="10">
        <f>IF(AI769="","",AI769/75)</f>
        <v/>
      </c>
      <c r="AK769" s="10">
        <f>IF(AI769="","",SUMPRODUCT(T769:AH769,KPI_Weights!$B$3:$B$17)/5)</f>
        <v/>
      </c>
      <c r="AL769" s="7">
        <f>IF(COUNT(T769:AH769)=0,"",IF(OR(T769&lt;=1,W769&lt;=1,X769&lt;=1,Y769&lt;=1,AB769&lt;=1),"YES","NO"))</f>
        <v/>
      </c>
      <c r="AM769" s="7">
        <f>IF(AK769="","",IF(AND(AK769="NO",AJ769&gt;=0.85),"YES","NO"))</f>
        <v/>
      </c>
      <c r="AN769" s="7">
        <f>IF(AJ769="","",IF(AJ769&gt;=0.90,"Excellent",IF(AJ769&gt;=0.80,"Good",IF(AJ769&gt;=0.70,"Fair","Poor"))))</f>
        <v/>
      </c>
      <c r="AO769" s="12" t="n"/>
      <c r="AP769" s="12" t="n"/>
      <c r="AQ769" s="12" t="n"/>
      <c r="AR769" s="12" t="n"/>
      <c r="AS769" s="12" t="n"/>
      <c r="AT769" s="12" t="n"/>
      <c r="AU769" s="12" t="n"/>
      <c r="AV769" s="11" t="n"/>
      <c r="AW769" s="12" t="n"/>
      <c r="AX769" s="12" t="n"/>
      <c r="AY769" s="12" t="n"/>
      <c r="AZ769" s="12" t="n"/>
      <c r="BA769" s="12" t="n"/>
      <c r="BB769" s="12" t="n"/>
      <c r="BC769" s="12" t="n"/>
      <c r="BD769" s="12" t="n"/>
      <c r="BE769" s="12" t="n"/>
      <c r="BF769" s="12" t="n"/>
    </row>
    <row r="770">
      <c r="A770" s="7">
        <f>IF(B770="","","INS-"&amp;TEXT(ROW()-3,"000"))</f>
        <v/>
      </c>
      <c r="B770" s="11" t="n"/>
      <c r="C770" s="7">
        <f>IF(B770="","",ISOWEEKNUM(B770))</f>
        <v/>
      </c>
      <c r="D770" s="7">
        <f>IF(B770="","",TEXT(B770,"yyyy-mm"))</f>
        <v/>
      </c>
      <c r="E770" s="12" t="n"/>
      <c r="F770" s="12" t="n"/>
      <c r="G770" s="7">
        <f>IF(OR(E770="",F770=""),"",IF(COUNTIF(Cluster_Master!$I$3:$I$17,E770&amp;"|"&amp;F770)=1,"Valid","Review"))</f>
        <v/>
      </c>
      <c r="H770" s="7">
        <f>IF($G770&lt;&gt;"Valid","",VLOOKUP($E770&amp;"|"&amp;$F770,Cluster_Master!$I$3:$H$17,3,FALSE))</f>
        <v/>
      </c>
      <c r="I770" s="7">
        <f>IF($G770&lt;&gt;"Valid","",VLOOKUP($E770&amp;"|"&amp;$F770,Cluster_Master!$I$3:$H$17,4,FALSE))</f>
        <v/>
      </c>
      <c r="J770" s="7">
        <f>IF($G770&lt;&gt;"Valid","",VLOOKUP($E770&amp;"|"&amp;$F770,Cluster_Master!$I$3:$H$17,5,FALSE))</f>
        <v/>
      </c>
      <c r="K770" s="7">
        <f>IF($G770&lt;&gt;"Valid","",VLOOKUP($E770&amp;"|"&amp;$F770,Cluster_Master!$I$3:$H$17,6,FALSE))</f>
        <v/>
      </c>
      <c r="L770" s="7">
        <f>IF($G770&lt;&gt;"Valid","",VLOOKUP($E770&amp;"|"&amp;$F770,Cluster_Master!$I$3:$H$17,7,FALSE))</f>
        <v/>
      </c>
      <c r="M770" s="7">
        <f>IF($G770&lt;&gt;"Valid","",VLOOKUP($E770&amp;"|"&amp;$F770,Cluster_Master!$I$3:$H$17,8,FALSE))</f>
        <v/>
      </c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7">
        <f>IF(COUNT(T770:AH770)=0,"",SUM(T770:AH770))</f>
        <v/>
      </c>
      <c r="AJ770" s="10">
        <f>IF(AI770="","",AI770/75)</f>
        <v/>
      </c>
      <c r="AK770" s="10">
        <f>IF(AI770="","",SUMPRODUCT(T770:AH770,KPI_Weights!$B$3:$B$17)/5)</f>
        <v/>
      </c>
      <c r="AL770" s="7">
        <f>IF(COUNT(T770:AH770)=0,"",IF(OR(T770&lt;=1,W770&lt;=1,X770&lt;=1,Y770&lt;=1,AB770&lt;=1),"YES","NO"))</f>
        <v/>
      </c>
      <c r="AM770" s="7">
        <f>IF(AK770="","",IF(AND(AK770="NO",AJ770&gt;=0.85),"YES","NO"))</f>
        <v/>
      </c>
      <c r="AN770" s="7">
        <f>IF(AJ770="","",IF(AJ770&gt;=0.90,"Excellent",IF(AJ770&gt;=0.80,"Good",IF(AJ770&gt;=0.70,"Fair","Poor"))))</f>
        <v/>
      </c>
      <c r="AO770" s="12" t="n"/>
      <c r="AP770" s="12" t="n"/>
      <c r="AQ770" s="12" t="n"/>
      <c r="AR770" s="12" t="n"/>
      <c r="AS770" s="12" t="n"/>
      <c r="AT770" s="12" t="n"/>
      <c r="AU770" s="12" t="n"/>
      <c r="AV770" s="11" t="n"/>
      <c r="AW770" s="12" t="n"/>
      <c r="AX770" s="12" t="n"/>
      <c r="AY770" s="12" t="n"/>
      <c r="AZ770" s="12" t="n"/>
      <c r="BA770" s="12" t="n"/>
      <c r="BB770" s="12" t="n"/>
      <c r="BC770" s="12" t="n"/>
      <c r="BD770" s="12" t="n"/>
      <c r="BE770" s="12" t="n"/>
      <c r="BF770" s="12" t="n"/>
    </row>
    <row r="771">
      <c r="A771" s="7">
        <f>IF(B771="","","INS-"&amp;TEXT(ROW()-3,"000"))</f>
        <v/>
      </c>
      <c r="B771" s="11" t="n"/>
      <c r="C771" s="7">
        <f>IF(B771="","",ISOWEEKNUM(B771))</f>
        <v/>
      </c>
      <c r="D771" s="7">
        <f>IF(B771="","",TEXT(B771,"yyyy-mm"))</f>
        <v/>
      </c>
      <c r="E771" s="12" t="n"/>
      <c r="F771" s="12" t="n"/>
      <c r="G771" s="7">
        <f>IF(OR(E771="",F771=""),"",IF(COUNTIF(Cluster_Master!$I$3:$I$17,E771&amp;"|"&amp;F771)=1,"Valid","Review"))</f>
        <v/>
      </c>
      <c r="H771" s="7">
        <f>IF($G771&lt;&gt;"Valid","",VLOOKUP($E771&amp;"|"&amp;$F771,Cluster_Master!$I$3:$H$17,3,FALSE))</f>
        <v/>
      </c>
      <c r="I771" s="7">
        <f>IF($G771&lt;&gt;"Valid","",VLOOKUP($E771&amp;"|"&amp;$F771,Cluster_Master!$I$3:$H$17,4,FALSE))</f>
        <v/>
      </c>
      <c r="J771" s="7">
        <f>IF($G771&lt;&gt;"Valid","",VLOOKUP($E771&amp;"|"&amp;$F771,Cluster_Master!$I$3:$H$17,5,FALSE))</f>
        <v/>
      </c>
      <c r="K771" s="7">
        <f>IF($G771&lt;&gt;"Valid","",VLOOKUP($E771&amp;"|"&amp;$F771,Cluster_Master!$I$3:$H$17,6,FALSE))</f>
        <v/>
      </c>
      <c r="L771" s="7">
        <f>IF($G771&lt;&gt;"Valid","",VLOOKUP($E771&amp;"|"&amp;$F771,Cluster_Master!$I$3:$H$17,7,FALSE))</f>
        <v/>
      </c>
      <c r="M771" s="7">
        <f>IF($G771&lt;&gt;"Valid","",VLOOKUP($E771&amp;"|"&amp;$F771,Cluster_Master!$I$3:$H$17,8,FALSE))</f>
        <v/>
      </c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7">
        <f>IF(COUNT(T771:AH771)=0,"",SUM(T771:AH771))</f>
        <v/>
      </c>
      <c r="AJ771" s="10">
        <f>IF(AI771="","",AI771/75)</f>
        <v/>
      </c>
      <c r="AK771" s="10">
        <f>IF(AI771="","",SUMPRODUCT(T771:AH771,KPI_Weights!$B$3:$B$17)/5)</f>
        <v/>
      </c>
      <c r="AL771" s="7">
        <f>IF(COUNT(T771:AH771)=0,"",IF(OR(T771&lt;=1,W771&lt;=1,X771&lt;=1,Y771&lt;=1,AB771&lt;=1),"YES","NO"))</f>
        <v/>
      </c>
      <c r="AM771" s="7">
        <f>IF(AK771="","",IF(AND(AK771="NO",AJ771&gt;=0.85),"YES","NO"))</f>
        <v/>
      </c>
      <c r="AN771" s="7">
        <f>IF(AJ771="","",IF(AJ771&gt;=0.90,"Excellent",IF(AJ771&gt;=0.80,"Good",IF(AJ771&gt;=0.70,"Fair","Poor"))))</f>
        <v/>
      </c>
      <c r="AO771" s="12" t="n"/>
      <c r="AP771" s="12" t="n"/>
      <c r="AQ771" s="12" t="n"/>
      <c r="AR771" s="12" t="n"/>
      <c r="AS771" s="12" t="n"/>
      <c r="AT771" s="12" t="n"/>
      <c r="AU771" s="12" t="n"/>
      <c r="AV771" s="11" t="n"/>
      <c r="AW771" s="12" t="n"/>
      <c r="AX771" s="12" t="n"/>
      <c r="AY771" s="12" t="n"/>
      <c r="AZ771" s="12" t="n"/>
      <c r="BA771" s="12" t="n"/>
      <c r="BB771" s="12" t="n"/>
      <c r="BC771" s="12" t="n"/>
      <c r="BD771" s="12" t="n"/>
      <c r="BE771" s="12" t="n"/>
      <c r="BF771" s="12" t="n"/>
    </row>
    <row r="772">
      <c r="A772" s="7">
        <f>IF(B772="","","INS-"&amp;TEXT(ROW()-3,"000"))</f>
        <v/>
      </c>
      <c r="B772" s="11" t="n"/>
      <c r="C772" s="7">
        <f>IF(B772="","",ISOWEEKNUM(B772))</f>
        <v/>
      </c>
      <c r="D772" s="7">
        <f>IF(B772="","",TEXT(B772,"yyyy-mm"))</f>
        <v/>
      </c>
      <c r="E772" s="12" t="n"/>
      <c r="F772" s="12" t="n"/>
      <c r="G772" s="7">
        <f>IF(OR(E772="",F772=""),"",IF(COUNTIF(Cluster_Master!$I$3:$I$17,E772&amp;"|"&amp;F772)=1,"Valid","Review"))</f>
        <v/>
      </c>
      <c r="H772" s="7">
        <f>IF($G772&lt;&gt;"Valid","",VLOOKUP($E772&amp;"|"&amp;$F772,Cluster_Master!$I$3:$H$17,3,FALSE))</f>
        <v/>
      </c>
      <c r="I772" s="7">
        <f>IF($G772&lt;&gt;"Valid","",VLOOKUP($E772&amp;"|"&amp;$F772,Cluster_Master!$I$3:$H$17,4,FALSE))</f>
        <v/>
      </c>
      <c r="J772" s="7">
        <f>IF($G772&lt;&gt;"Valid","",VLOOKUP($E772&amp;"|"&amp;$F772,Cluster_Master!$I$3:$H$17,5,FALSE))</f>
        <v/>
      </c>
      <c r="K772" s="7">
        <f>IF($G772&lt;&gt;"Valid","",VLOOKUP($E772&amp;"|"&amp;$F772,Cluster_Master!$I$3:$H$17,6,FALSE))</f>
        <v/>
      </c>
      <c r="L772" s="7">
        <f>IF($G772&lt;&gt;"Valid","",VLOOKUP($E772&amp;"|"&amp;$F772,Cluster_Master!$I$3:$H$17,7,FALSE))</f>
        <v/>
      </c>
      <c r="M772" s="7">
        <f>IF($G772&lt;&gt;"Valid","",VLOOKUP($E772&amp;"|"&amp;$F772,Cluster_Master!$I$3:$H$17,8,FALSE))</f>
        <v/>
      </c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7">
        <f>IF(COUNT(T772:AH772)=0,"",SUM(T772:AH772))</f>
        <v/>
      </c>
      <c r="AJ772" s="10">
        <f>IF(AI772="","",AI772/75)</f>
        <v/>
      </c>
      <c r="AK772" s="10">
        <f>IF(AI772="","",SUMPRODUCT(T772:AH772,KPI_Weights!$B$3:$B$17)/5)</f>
        <v/>
      </c>
      <c r="AL772" s="7">
        <f>IF(COUNT(T772:AH772)=0,"",IF(OR(T772&lt;=1,W772&lt;=1,X772&lt;=1,Y772&lt;=1,AB772&lt;=1),"YES","NO"))</f>
        <v/>
      </c>
      <c r="AM772" s="7">
        <f>IF(AK772="","",IF(AND(AK772="NO",AJ772&gt;=0.85),"YES","NO"))</f>
        <v/>
      </c>
      <c r="AN772" s="7">
        <f>IF(AJ772="","",IF(AJ772&gt;=0.90,"Excellent",IF(AJ772&gt;=0.80,"Good",IF(AJ772&gt;=0.70,"Fair","Poor"))))</f>
        <v/>
      </c>
      <c r="AO772" s="12" t="n"/>
      <c r="AP772" s="12" t="n"/>
      <c r="AQ772" s="12" t="n"/>
      <c r="AR772" s="12" t="n"/>
      <c r="AS772" s="12" t="n"/>
      <c r="AT772" s="12" t="n"/>
      <c r="AU772" s="12" t="n"/>
      <c r="AV772" s="11" t="n"/>
      <c r="AW772" s="12" t="n"/>
      <c r="AX772" s="12" t="n"/>
      <c r="AY772" s="12" t="n"/>
      <c r="AZ772" s="12" t="n"/>
      <c r="BA772" s="12" t="n"/>
      <c r="BB772" s="12" t="n"/>
      <c r="BC772" s="12" t="n"/>
      <c r="BD772" s="12" t="n"/>
      <c r="BE772" s="12" t="n"/>
      <c r="BF772" s="12" t="n"/>
    </row>
    <row r="773">
      <c r="A773" s="7">
        <f>IF(B773="","","INS-"&amp;TEXT(ROW()-3,"000"))</f>
        <v/>
      </c>
      <c r="B773" s="11" t="n"/>
      <c r="C773" s="7">
        <f>IF(B773="","",ISOWEEKNUM(B773))</f>
        <v/>
      </c>
      <c r="D773" s="7">
        <f>IF(B773="","",TEXT(B773,"yyyy-mm"))</f>
        <v/>
      </c>
      <c r="E773" s="12" t="n"/>
      <c r="F773" s="12" t="n"/>
      <c r="G773" s="7">
        <f>IF(OR(E773="",F773=""),"",IF(COUNTIF(Cluster_Master!$I$3:$I$17,E773&amp;"|"&amp;F773)=1,"Valid","Review"))</f>
        <v/>
      </c>
      <c r="H773" s="7">
        <f>IF($G773&lt;&gt;"Valid","",VLOOKUP($E773&amp;"|"&amp;$F773,Cluster_Master!$I$3:$H$17,3,FALSE))</f>
        <v/>
      </c>
      <c r="I773" s="7">
        <f>IF($G773&lt;&gt;"Valid","",VLOOKUP($E773&amp;"|"&amp;$F773,Cluster_Master!$I$3:$H$17,4,FALSE))</f>
        <v/>
      </c>
      <c r="J773" s="7">
        <f>IF($G773&lt;&gt;"Valid","",VLOOKUP($E773&amp;"|"&amp;$F773,Cluster_Master!$I$3:$H$17,5,FALSE))</f>
        <v/>
      </c>
      <c r="K773" s="7">
        <f>IF($G773&lt;&gt;"Valid","",VLOOKUP($E773&amp;"|"&amp;$F773,Cluster_Master!$I$3:$H$17,6,FALSE))</f>
        <v/>
      </c>
      <c r="L773" s="7">
        <f>IF($G773&lt;&gt;"Valid","",VLOOKUP($E773&amp;"|"&amp;$F773,Cluster_Master!$I$3:$H$17,7,FALSE))</f>
        <v/>
      </c>
      <c r="M773" s="7">
        <f>IF($G773&lt;&gt;"Valid","",VLOOKUP($E773&amp;"|"&amp;$F773,Cluster_Master!$I$3:$H$17,8,FALSE))</f>
        <v/>
      </c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7">
        <f>IF(COUNT(T773:AH773)=0,"",SUM(T773:AH773))</f>
        <v/>
      </c>
      <c r="AJ773" s="10">
        <f>IF(AI773="","",AI773/75)</f>
        <v/>
      </c>
      <c r="AK773" s="10">
        <f>IF(AI773="","",SUMPRODUCT(T773:AH773,KPI_Weights!$B$3:$B$17)/5)</f>
        <v/>
      </c>
      <c r="AL773" s="7">
        <f>IF(COUNT(T773:AH773)=0,"",IF(OR(T773&lt;=1,W773&lt;=1,X773&lt;=1,Y773&lt;=1,AB773&lt;=1),"YES","NO"))</f>
        <v/>
      </c>
      <c r="AM773" s="7">
        <f>IF(AK773="","",IF(AND(AK773="NO",AJ773&gt;=0.85),"YES","NO"))</f>
        <v/>
      </c>
      <c r="AN773" s="7">
        <f>IF(AJ773="","",IF(AJ773&gt;=0.90,"Excellent",IF(AJ773&gt;=0.80,"Good",IF(AJ773&gt;=0.70,"Fair","Poor"))))</f>
        <v/>
      </c>
      <c r="AO773" s="12" t="n"/>
      <c r="AP773" s="12" t="n"/>
      <c r="AQ773" s="12" t="n"/>
      <c r="AR773" s="12" t="n"/>
      <c r="AS773" s="12" t="n"/>
      <c r="AT773" s="12" t="n"/>
      <c r="AU773" s="12" t="n"/>
      <c r="AV773" s="11" t="n"/>
      <c r="AW773" s="12" t="n"/>
      <c r="AX773" s="12" t="n"/>
      <c r="AY773" s="12" t="n"/>
      <c r="AZ773" s="12" t="n"/>
      <c r="BA773" s="12" t="n"/>
      <c r="BB773" s="12" t="n"/>
      <c r="BC773" s="12" t="n"/>
      <c r="BD773" s="12" t="n"/>
      <c r="BE773" s="12" t="n"/>
      <c r="BF773" s="12" t="n"/>
    </row>
    <row r="774">
      <c r="A774" s="7">
        <f>IF(B774="","","INS-"&amp;TEXT(ROW()-3,"000"))</f>
        <v/>
      </c>
      <c r="B774" s="11" t="n"/>
      <c r="C774" s="7">
        <f>IF(B774="","",ISOWEEKNUM(B774))</f>
        <v/>
      </c>
      <c r="D774" s="7">
        <f>IF(B774="","",TEXT(B774,"yyyy-mm"))</f>
        <v/>
      </c>
      <c r="E774" s="12" t="n"/>
      <c r="F774" s="12" t="n"/>
      <c r="G774" s="7">
        <f>IF(OR(E774="",F774=""),"",IF(COUNTIF(Cluster_Master!$I$3:$I$17,E774&amp;"|"&amp;F774)=1,"Valid","Review"))</f>
        <v/>
      </c>
      <c r="H774" s="7">
        <f>IF($G774&lt;&gt;"Valid","",VLOOKUP($E774&amp;"|"&amp;$F774,Cluster_Master!$I$3:$H$17,3,FALSE))</f>
        <v/>
      </c>
      <c r="I774" s="7">
        <f>IF($G774&lt;&gt;"Valid","",VLOOKUP($E774&amp;"|"&amp;$F774,Cluster_Master!$I$3:$H$17,4,FALSE))</f>
        <v/>
      </c>
      <c r="J774" s="7">
        <f>IF($G774&lt;&gt;"Valid","",VLOOKUP($E774&amp;"|"&amp;$F774,Cluster_Master!$I$3:$H$17,5,FALSE))</f>
        <v/>
      </c>
      <c r="K774" s="7">
        <f>IF($G774&lt;&gt;"Valid","",VLOOKUP($E774&amp;"|"&amp;$F774,Cluster_Master!$I$3:$H$17,6,FALSE))</f>
        <v/>
      </c>
      <c r="L774" s="7">
        <f>IF($G774&lt;&gt;"Valid","",VLOOKUP($E774&amp;"|"&amp;$F774,Cluster_Master!$I$3:$H$17,7,FALSE))</f>
        <v/>
      </c>
      <c r="M774" s="7">
        <f>IF($G774&lt;&gt;"Valid","",VLOOKUP($E774&amp;"|"&amp;$F774,Cluster_Master!$I$3:$H$17,8,FALSE))</f>
        <v/>
      </c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7">
        <f>IF(COUNT(T774:AH774)=0,"",SUM(T774:AH774))</f>
        <v/>
      </c>
      <c r="AJ774" s="10">
        <f>IF(AI774="","",AI774/75)</f>
        <v/>
      </c>
      <c r="AK774" s="10">
        <f>IF(AI774="","",SUMPRODUCT(T774:AH774,KPI_Weights!$B$3:$B$17)/5)</f>
        <v/>
      </c>
      <c r="AL774" s="7">
        <f>IF(COUNT(T774:AH774)=0,"",IF(OR(T774&lt;=1,W774&lt;=1,X774&lt;=1,Y774&lt;=1,AB774&lt;=1),"YES","NO"))</f>
        <v/>
      </c>
      <c r="AM774" s="7">
        <f>IF(AK774="","",IF(AND(AK774="NO",AJ774&gt;=0.85),"YES","NO"))</f>
        <v/>
      </c>
      <c r="AN774" s="7">
        <f>IF(AJ774="","",IF(AJ774&gt;=0.90,"Excellent",IF(AJ774&gt;=0.80,"Good",IF(AJ774&gt;=0.70,"Fair","Poor"))))</f>
        <v/>
      </c>
      <c r="AO774" s="12" t="n"/>
      <c r="AP774" s="12" t="n"/>
      <c r="AQ774" s="12" t="n"/>
      <c r="AR774" s="12" t="n"/>
      <c r="AS774" s="12" t="n"/>
      <c r="AT774" s="12" t="n"/>
      <c r="AU774" s="12" t="n"/>
      <c r="AV774" s="11" t="n"/>
      <c r="AW774" s="12" t="n"/>
      <c r="AX774" s="12" t="n"/>
      <c r="AY774" s="12" t="n"/>
      <c r="AZ774" s="12" t="n"/>
      <c r="BA774" s="12" t="n"/>
      <c r="BB774" s="12" t="n"/>
      <c r="BC774" s="12" t="n"/>
      <c r="BD774" s="12" t="n"/>
      <c r="BE774" s="12" t="n"/>
      <c r="BF774" s="12" t="n"/>
    </row>
    <row r="775">
      <c r="A775" s="7">
        <f>IF(B775="","","INS-"&amp;TEXT(ROW()-3,"000"))</f>
        <v/>
      </c>
      <c r="B775" s="11" t="n"/>
      <c r="C775" s="7">
        <f>IF(B775="","",ISOWEEKNUM(B775))</f>
        <v/>
      </c>
      <c r="D775" s="7">
        <f>IF(B775="","",TEXT(B775,"yyyy-mm"))</f>
        <v/>
      </c>
      <c r="E775" s="12" t="n"/>
      <c r="F775" s="12" t="n"/>
      <c r="G775" s="7">
        <f>IF(OR(E775="",F775=""),"",IF(COUNTIF(Cluster_Master!$I$3:$I$17,E775&amp;"|"&amp;F775)=1,"Valid","Review"))</f>
        <v/>
      </c>
      <c r="H775" s="7">
        <f>IF($G775&lt;&gt;"Valid","",VLOOKUP($E775&amp;"|"&amp;$F775,Cluster_Master!$I$3:$H$17,3,FALSE))</f>
        <v/>
      </c>
      <c r="I775" s="7">
        <f>IF($G775&lt;&gt;"Valid","",VLOOKUP($E775&amp;"|"&amp;$F775,Cluster_Master!$I$3:$H$17,4,FALSE))</f>
        <v/>
      </c>
      <c r="J775" s="7">
        <f>IF($G775&lt;&gt;"Valid","",VLOOKUP($E775&amp;"|"&amp;$F775,Cluster_Master!$I$3:$H$17,5,FALSE))</f>
        <v/>
      </c>
      <c r="K775" s="7">
        <f>IF($G775&lt;&gt;"Valid","",VLOOKUP($E775&amp;"|"&amp;$F775,Cluster_Master!$I$3:$H$17,6,FALSE))</f>
        <v/>
      </c>
      <c r="L775" s="7">
        <f>IF($G775&lt;&gt;"Valid","",VLOOKUP($E775&amp;"|"&amp;$F775,Cluster_Master!$I$3:$H$17,7,FALSE))</f>
        <v/>
      </c>
      <c r="M775" s="7">
        <f>IF($G775&lt;&gt;"Valid","",VLOOKUP($E775&amp;"|"&amp;$F775,Cluster_Master!$I$3:$H$17,8,FALSE))</f>
        <v/>
      </c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7">
        <f>IF(COUNT(T775:AH775)=0,"",SUM(T775:AH775))</f>
        <v/>
      </c>
      <c r="AJ775" s="10">
        <f>IF(AI775="","",AI775/75)</f>
        <v/>
      </c>
      <c r="AK775" s="10">
        <f>IF(AI775="","",SUMPRODUCT(T775:AH775,KPI_Weights!$B$3:$B$17)/5)</f>
        <v/>
      </c>
      <c r="AL775" s="7">
        <f>IF(COUNT(T775:AH775)=0,"",IF(OR(T775&lt;=1,W775&lt;=1,X775&lt;=1,Y775&lt;=1,AB775&lt;=1),"YES","NO"))</f>
        <v/>
      </c>
      <c r="AM775" s="7">
        <f>IF(AK775="","",IF(AND(AK775="NO",AJ775&gt;=0.85),"YES","NO"))</f>
        <v/>
      </c>
      <c r="AN775" s="7">
        <f>IF(AJ775="","",IF(AJ775&gt;=0.90,"Excellent",IF(AJ775&gt;=0.80,"Good",IF(AJ775&gt;=0.70,"Fair","Poor"))))</f>
        <v/>
      </c>
      <c r="AO775" s="12" t="n"/>
      <c r="AP775" s="12" t="n"/>
      <c r="AQ775" s="12" t="n"/>
      <c r="AR775" s="12" t="n"/>
      <c r="AS775" s="12" t="n"/>
      <c r="AT775" s="12" t="n"/>
      <c r="AU775" s="12" t="n"/>
      <c r="AV775" s="11" t="n"/>
      <c r="AW775" s="12" t="n"/>
      <c r="AX775" s="12" t="n"/>
      <c r="AY775" s="12" t="n"/>
      <c r="AZ775" s="12" t="n"/>
      <c r="BA775" s="12" t="n"/>
      <c r="BB775" s="12" t="n"/>
      <c r="BC775" s="12" t="n"/>
      <c r="BD775" s="12" t="n"/>
      <c r="BE775" s="12" t="n"/>
      <c r="BF775" s="12" t="n"/>
    </row>
    <row r="776">
      <c r="A776" s="7">
        <f>IF(B776="","","INS-"&amp;TEXT(ROW()-3,"000"))</f>
        <v/>
      </c>
      <c r="B776" s="11" t="n"/>
      <c r="C776" s="7">
        <f>IF(B776="","",ISOWEEKNUM(B776))</f>
        <v/>
      </c>
      <c r="D776" s="7">
        <f>IF(B776="","",TEXT(B776,"yyyy-mm"))</f>
        <v/>
      </c>
      <c r="E776" s="12" t="n"/>
      <c r="F776" s="12" t="n"/>
      <c r="G776" s="7">
        <f>IF(OR(E776="",F776=""),"",IF(COUNTIF(Cluster_Master!$I$3:$I$17,E776&amp;"|"&amp;F776)=1,"Valid","Review"))</f>
        <v/>
      </c>
      <c r="H776" s="7">
        <f>IF($G776&lt;&gt;"Valid","",VLOOKUP($E776&amp;"|"&amp;$F776,Cluster_Master!$I$3:$H$17,3,FALSE))</f>
        <v/>
      </c>
      <c r="I776" s="7">
        <f>IF($G776&lt;&gt;"Valid","",VLOOKUP($E776&amp;"|"&amp;$F776,Cluster_Master!$I$3:$H$17,4,FALSE))</f>
        <v/>
      </c>
      <c r="J776" s="7">
        <f>IF($G776&lt;&gt;"Valid","",VLOOKUP($E776&amp;"|"&amp;$F776,Cluster_Master!$I$3:$H$17,5,FALSE))</f>
        <v/>
      </c>
      <c r="K776" s="7">
        <f>IF($G776&lt;&gt;"Valid","",VLOOKUP($E776&amp;"|"&amp;$F776,Cluster_Master!$I$3:$H$17,6,FALSE))</f>
        <v/>
      </c>
      <c r="L776" s="7">
        <f>IF($G776&lt;&gt;"Valid","",VLOOKUP($E776&amp;"|"&amp;$F776,Cluster_Master!$I$3:$H$17,7,FALSE))</f>
        <v/>
      </c>
      <c r="M776" s="7">
        <f>IF($G776&lt;&gt;"Valid","",VLOOKUP($E776&amp;"|"&amp;$F776,Cluster_Master!$I$3:$H$17,8,FALSE))</f>
        <v/>
      </c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7">
        <f>IF(COUNT(T776:AH776)=0,"",SUM(T776:AH776))</f>
        <v/>
      </c>
      <c r="AJ776" s="10">
        <f>IF(AI776="","",AI776/75)</f>
        <v/>
      </c>
      <c r="AK776" s="10">
        <f>IF(AI776="","",SUMPRODUCT(T776:AH776,KPI_Weights!$B$3:$B$17)/5)</f>
        <v/>
      </c>
      <c r="AL776" s="7">
        <f>IF(COUNT(T776:AH776)=0,"",IF(OR(T776&lt;=1,W776&lt;=1,X776&lt;=1,Y776&lt;=1,AB776&lt;=1),"YES","NO"))</f>
        <v/>
      </c>
      <c r="AM776" s="7">
        <f>IF(AK776="","",IF(AND(AK776="NO",AJ776&gt;=0.85),"YES","NO"))</f>
        <v/>
      </c>
      <c r="AN776" s="7">
        <f>IF(AJ776="","",IF(AJ776&gt;=0.90,"Excellent",IF(AJ776&gt;=0.80,"Good",IF(AJ776&gt;=0.70,"Fair","Poor"))))</f>
        <v/>
      </c>
      <c r="AO776" s="12" t="n"/>
      <c r="AP776" s="12" t="n"/>
      <c r="AQ776" s="12" t="n"/>
      <c r="AR776" s="12" t="n"/>
      <c r="AS776" s="12" t="n"/>
      <c r="AT776" s="12" t="n"/>
      <c r="AU776" s="12" t="n"/>
      <c r="AV776" s="11" t="n"/>
      <c r="AW776" s="12" t="n"/>
      <c r="AX776" s="12" t="n"/>
      <c r="AY776" s="12" t="n"/>
      <c r="AZ776" s="12" t="n"/>
      <c r="BA776" s="12" t="n"/>
      <c r="BB776" s="12" t="n"/>
      <c r="BC776" s="12" t="n"/>
      <c r="BD776" s="12" t="n"/>
      <c r="BE776" s="12" t="n"/>
      <c r="BF776" s="12" t="n"/>
    </row>
    <row r="777">
      <c r="A777" s="7">
        <f>IF(B777="","","INS-"&amp;TEXT(ROW()-3,"000"))</f>
        <v/>
      </c>
      <c r="B777" s="11" t="n"/>
      <c r="C777" s="7">
        <f>IF(B777="","",ISOWEEKNUM(B777))</f>
        <v/>
      </c>
      <c r="D777" s="7">
        <f>IF(B777="","",TEXT(B777,"yyyy-mm"))</f>
        <v/>
      </c>
      <c r="E777" s="12" t="n"/>
      <c r="F777" s="12" t="n"/>
      <c r="G777" s="7">
        <f>IF(OR(E777="",F777=""),"",IF(COUNTIF(Cluster_Master!$I$3:$I$17,E777&amp;"|"&amp;F777)=1,"Valid","Review"))</f>
        <v/>
      </c>
      <c r="H777" s="7">
        <f>IF($G777&lt;&gt;"Valid","",VLOOKUP($E777&amp;"|"&amp;$F777,Cluster_Master!$I$3:$H$17,3,FALSE))</f>
        <v/>
      </c>
      <c r="I777" s="7">
        <f>IF($G777&lt;&gt;"Valid","",VLOOKUP($E777&amp;"|"&amp;$F777,Cluster_Master!$I$3:$H$17,4,FALSE))</f>
        <v/>
      </c>
      <c r="J777" s="7">
        <f>IF($G777&lt;&gt;"Valid","",VLOOKUP($E777&amp;"|"&amp;$F777,Cluster_Master!$I$3:$H$17,5,FALSE))</f>
        <v/>
      </c>
      <c r="K777" s="7">
        <f>IF($G777&lt;&gt;"Valid","",VLOOKUP($E777&amp;"|"&amp;$F777,Cluster_Master!$I$3:$H$17,6,FALSE))</f>
        <v/>
      </c>
      <c r="L777" s="7">
        <f>IF($G777&lt;&gt;"Valid","",VLOOKUP($E777&amp;"|"&amp;$F777,Cluster_Master!$I$3:$H$17,7,FALSE))</f>
        <v/>
      </c>
      <c r="M777" s="7">
        <f>IF($G777&lt;&gt;"Valid","",VLOOKUP($E777&amp;"|"&amp;$F777,Cluster_Master!$I$3:$H$17,8,FALSE))</f>
        <v/>
      </c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7">
        <f>IF(COUNT(T777:AH777)=0,"",SUM(T777:AH777))</f>
        <v/>
      </c>
      <c r="AJ777" s="10">
        <f>IF(AI777="","",AI777/75)</f>
        <v/>
      </c>
      <c r="AK777" s="10">
        <f>IF(AI777="","",SUMPRODUCT(T777:AH777,KPI_Weights!$B$3:$B$17)/5)</f>
        <v/>
      </c>
      <c r="AL777" s="7">
        <f>IF(COUNT(T777:AH777)=0,"",IF(OR(T777&lt;=1,W777&lt;=1,X777&lt;=1,Y777&lt;=1,AB777&lt;=1),"YES","NO"))</f>
        <v/>
      </c>
      <c r="AM777" s="7">
        <f>IF(AK777="","",IF(AND(AK777="NO",AJ777&gt;=0.85),"YES","NO"))</f>
        <v/>
      </c>
      <c r="AN777" s="7">
        <f>IF(AJ777="","",IF(AJ777&gt;=0.90,"Excellent",IF(AJ777&gt;=0.80,"Good",IF(AJ777&gt;=0.70,"Fair","Poor"))))</f>
        <v/>
      </c>
      <c r="AO777" s="12" t="n"/>
      <c r="AP777" s="12" t="n"/>
      <c r="AQ777" s="12" t="n"/>
      <c r="AR777" s="12" t="n"/>
      <c r="AS777" s="12" t="n"/>
      <c r="AT777" s="12" t="n"/>
      <c r="AU777" s="12" t="n"/>
      <c r="AV777" s="11" t="n"/>
      <c r="AW777" s="12" t="n"/>
      <c r="AX777" s="12" t="n"/>
      <c r="AY777" s="12" t="n"/>
      <c r="AZ777" s="12" t="n"/>
      <c r="BA777" s="12" t="n"/>
      <c r="BB777" s="12" t="n"/>
      <c r="BC777" s="12" t="n"/>
      <c r="BD777" s="12" t="n"/>
      <c r="BE777" s="12" t="n"/>
      <c r="BF777" s="12" t="n"/>
    </row>
    <row r="778">
      <c r="A778" s="7">
        <f>IF(B778="","","INS-"&amp;TEXT(ROW()-3,"000"))</f>
        <v/>
      </c>
      <c r="B778" s="11" t="n"/>
      <c r="C778" s="7">
        <f>IF(B778="","",ISOWEEKNUM(B778))</f>
        <v/>
      </c>
      <c r="D778" s="7">
        <f>IF(B778="","",TEXT(B778,"yyyy-mm"))</f>
        <v/>
      </c>
      <c r="E778" s="12" t="n"/>
      <c r="F778" s="12" t="n"/>
      <c r="G778" s="7">
        <f>IF(OR(E778="",F778=""),"",IF(COUNTIF(Cluster_Master!$I$3:$I$17,E778&amp;"|"&amp;F778)=1,"Valid","Review"))</f>
        <v/>
      </c>
      <c r="H778" s="7">
        <f>IF($G778&lt;&gt;"Valid","",VLOOKUP($E778&amp;"|"&amp;$F778,Cluster_Master!$I$3:$H$17,3,FALSE))</f>
        <v/>
      </c>
      <c r="I778" s="7">
        <f>IF($G778&lt;&gt;"Valid","",VLOOKUP($E778&amp;"|"&amp;$F778,Cluster_Master!$I$3:$H$17,4,FALSE))</f>
        <v/>
      </c>
      <c r="J778" s="7">
        <f>IF($G778&lt;&gt;"Valid","",VLOOKUP($E778&amp;"|"&amp;$F778,Cluster_Master!$I$3:$H$17,5,FALSE))</f>
        <v/>
      </c>
      <c r="K778" s="7">
        <f>IF($G778&lt;&gt;"Valid","",VLOOKUP($E778&amp;"|"&amp;$F778,Cluster_Master!$I$3:$H$17,6,FALSE))</f>
        <v/>
      </c>
      <c r="L778" s="7">
        <f>IF($G778&lt;&gt;"Valid","",VLOOKUP($E778&amp;"|"&amp;$F778,Cluster_Master!$I$3:$H$17,7,FALSE))</f>
        <v/>
      </c>
      <c r="M778" s="7">
        <f>IF($G778&lt;&gt;"Valid","",VLOOKUP($E778&amp;"|"&amp;$F778,Cluster_Master!$I$3:$H$17,8,FALSE))</f>
        <v/>
      </c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7">
        <f>IF(COUNT(T778:AH778)=0,"",SUM(T778:AH778))</f>
        <v/>
      </c>
      <c r="AJ778" s="10">
        <f>IF(AI778="","",AI778/75)</f>
        <v/>
      </c>
      <c r="AK778" s="10">
        <f>IF(AI778="","",SUMPRODUCT(T778:AH778,KPI_Weights!$B$3:$B$17)/5)</f>
        <v/>
      </c>
      <c r="AL778" s="7">
        <f>IF(COUNT(T778:AH778)=0,"",IF(OR(T778&lt;=1,W778&lt;=1,X778&lt;=1,Y778&lt;=1,AB778&lt;=1),"YES","NO"))</f>
        <v/>
      </c>
      <c r="AM778" s="7">
        <f>IF(AK778="","",IF(AND(AK778="NO",AJ778&gt;=0.85),"YES","NO"))</f>
        <v/>
      </c>
      <c r="AN778" s="7">
        <f>IF(AJ778="","",IF(AJ778&gt;=0.90,"Excellent",IF(AJ778&gt;=0.80,"Good",IF(AJ778&gt;=0.70,"Fair","Poor"))))</f>
        <v/>
      </c>
      <c r="AO778" s="12" t="n"/>
      <c r="AP778" s="12" t="n"/>
      <c r="AQ778" s="12" t="n"/>
      <c r="AR778" s="12" t="n"/>
      <c r="AS778" s="12" t="n"/>
      <c r="AT778" s="12" t="n"/>
      <c r="AU778" s="12" t="n"/>
      <c r="AV778" s="11" t="n"/>
      <c r="AW778" s="12" t="n"/>
      <c r="AX778" s="12" t="n"/>
      <c r="AY778" s="12" t="n"/>
      <c r="AZ778" s="12" t="n"/>
      <c r="BA778" s="12" t="n"/>
      <c r="BB778" s="12" t="n"/>
      <c r="BC778" s="12" t="n"/>
      <c r="BD778" s="12" t="n"/>
      <c r="BE778" s="12" t="n"/>
      <c r="BF778" s="12" t="n"/>
    </row>
    <row r="779">
      <c r="A779" s="7">
        <f>IF(B779="","","INS-"&amp;TEXT(ROW()-3,"000"))</f>
        <v/>
      </c>
      <c r="B779" s="11" t="n"/>
      <c r="C779" s="7">
        <f>IF(B779="","",ISOWEEKNUM(B779))</f>
        <v/>
      </c>
      <c r="D779" s="7">
        <f>IF(B779="","",TEXT(B779,"yyyy-mm"))</f>
        <v/>
      </c>
      <c r="E779" s="12" t="n"/>
      <c r="F779" s="12" t="n"/>
      <c r="G779" s="7">
        <f>IF(OR(E779="",F779=""),"",IF(COUNTIF(Cluster_Master!$I$3:$I$17,E779&amp;"|"&amp;F779)=1,"Valid","Review"))</f>
        <v/>
      </c>
      <c r="H779" s="7">
        <f>IF($G779&lt;&gt;"Valid","",VLOOKUP($E779&amp;"|"&amp;$F779,Cluster_Master!$I$3:$H$17,3,FALSE))</f>
        <v/>
      </c>
      <c r="I779" s="7">
        <f>IF($G779&lt;&gt;"Valid","",VLOOKUP($E779&amp;"|"&amp;$F779,Cluster_Master!$I$3:$H$17,4,FALSE))</f>
        <v/>
      </c>
      <c r="J779" s="7">
        <f>IF($G779&lt;&gt;"Valid","",VLOOKUP($E779&amp;"|"&amp;$F779,Cluster_Master!$I$3:$H$17,5,FALSE))</f>
        <v/>
      </c>
      <c r="K779" s="7">
        <f>IF($G779&lt;&gt;"Valid","",VLOOKUP($E779&amp;"|"&amp;$F779,Cluster_Master!$I$3:$H$17,6,FALSE))</f>
        <v/>
      </c>
      <c r="L779" s="7">
        <f>IF($G779&lt;&gt;"Valid","",VLOOKUP($E779&amp;"|"&amp;$F779,Cluster_Master!$I$3:$H$17,7,FALSE))</f>
        <v/>
      </c>
      <c r="M779" s="7">
        <f>IF($G779&lt;&gt;"Valid","",VLOOKUP($E779&amp;"|"&amp;$F779,Cluster_Master!$I$3:$H$17,8,FALSE))</f>
        <v/>
      </c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7">
        <f>IF(COUNT(T779:AH779)=0,"",SUM(T779:AH779))</f>
        <v/>
      </c>
      <c r="AJ779" s="10">
        <f>IF(AI779="","",AI779/75)</f>
        <v/>
      </c>
      <c r="AK779" s="10">
        <f>IF(AI779="","",SUMPRODUCT(T779:AH779,KPI_Weights!$B$3:$B$17)/5)</f>
        <v/>
      </c>
      <c r="AL779" s="7">
        <f>IF(COUNT(T779:AH779)=0,"",IF(OR(T779&lt;=1,W779&lt;=1,X779&lt;=1,Y779&lt;=1,AB779&lt;=1),"YES","NO"))</f>
        <v/>
      </c>
      <c r="AM779" s="7">
        <f>IF(AK779="","",IF(AND(AK779="NO",AJ779&gt;=0.85),"YES","NO"))</f>
        <v/>
      </c>
      <c r="AN779" s="7">
        <f>IF(AJ779="","",IF(AJ779&gt;=0.90,"Excellent",IF(AJ779&gt;=0.80,"Good",IF(AJ779&gt;=0.70,"Fair","Poor"))))</f>
        <v/>
      </c>
      <c r="AO779" s="12" t="n"/>
      <c r="AP779" s="12" t="n"/>
      <c r="AQ779" s="12" t="n"/>
      <c r="AR779" s="12" t="n"/>
      <c r="AS779" s="12" t="n"/>
      <c r="AT779" s="12" t="n"/>
      <c r="AU779" s="12" t="n"/>
      <c r="AV779" s="11" t="n"/>
      <c r="AW779" s="12" t="n"/>
      <c r="AX779" s="12" t="n"/>
      <c r="AY779" s="12" t="n"/>
      <c r="AZ779" s="12" t="n"/>
      <c r="BA779" s="12" t="n"/>
      <c r="BB779" s="12" t="n"/>
      <c r="BC779" s="12" t="n"/>
      <c r="BD779" s="12" t="n"/>
      <c r="BE779" s="12" t="n"/>
      <c r="BF779" s="12" t="n"/>
    </row>
    <row r="780">
      <c r="A780" s="7">
        <f>IF(B780="","","INS-"&amp;TEXT(ROW()-3,"000"))</f>
        <v/>
      </c>
      <c r="B780" s="11" t="n"/>
      <c r="C780" s="7">
        <f>IF(B780="","",ISOWEEKNUM(B780))</f>
        <v/>
      </c>
      <c r="D780" s="7">
        <f>IF(B780="","",TEXT(B780,"yyyy-mm"))</f>
        <v/>
      </c>
      <c r="E780" s="12" t="n"/>
      <c r="F780" s="12" t="n"/>
      <c r="G780" s="7">
        <f>IF(OR(E780="",F780=""),"",IF(COUNTIF(Cluster_Master!$I$3:$I$17,E780&amp;"|"&amp;F780)=1,"Valid","Review"))</f>
        <v/>
      </c>
      <c r="H780" s="7">
        <f>IF($G780&lt;&gt;"Valid","",VLOOKUP($E780&amp;"|"&amp;$F780,Cluster_Master!$I$3:$H$17,3,FALSE))</f>
        <v/>
      </c>
      <c r="I780" s="7">
        <f>IF($G780&lt;&gt;"Valid","",VLOOKUP($E780&amp;"|"&amp;$F780,Cluster_Master!$I$3:$H$17,4,FALSE))</f>
        <v/>
      </c>
      <c r="J780" s="7">
        <f>IF($G780&lt;&gt;"Valid","",VLOOKUP($E780&amp;"|"&amp;$F780,Cluster_Master!$I$3:$H$17,5,FALSE))</f>
        <v/>
      </c>
      <c r="K780" s="7">
        <f>IF($G780&lt;&gt;"Valid","",VLOOKUP($E780&amp;"|"&amp;$F780,Cluster_Master!$I$3:$H$17,6,FALSE))</f>
        <v/>
      </c>
      <c r="L780" s="7">
        <f>IF($G780&lt;&gt;"Valid","",VLOOKUP($E780&amp;"|"&amp;$F780,Cluster_Master!$I$3:$H$17,7,FALSE))</f>
        <v/>
      </c>
      <c r="M780" s="7">
        <f>IF($G780&lt;&gt;"Valid","",VLOOKUP($E780&amp;"|"&amp;$F780,Cluster_Master!$I$3:$H$17,8,FALSE))</f>
        <v/>
      </c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7">
        <f>IF(COUNT(T780:AH780)=0,"",SUM(T780:AH780))</f>
        <v/>
      </c>
      <c r="AJ780" s="10">
        <f>IF(AI780="","",AI780/75)</f>
        <v/>
      </c>
      <c r="AK780" s="10">
        <f>IF(AI780="","",SUMPRODUCT(T780:AH780,KPI_Weights!$B$3:$B$17)/5)</f>
        <v/>
      </c>
      <c r="AL780" s="7">
        <f>IF(COUNT(T780:AH780)=0,"",IF(OR(T780&lt;=1,W780&lt;=1,X780&lt;=1,Y780&lt;=1,AB780&lt;=1),"YES","NO"))</f>
        <v/>
      </c>
      <c r="AM780" s="7">
        <f>IF(AK780="","",IF(AND(AK780="NO",AJ780&gt;=0.85),"YES","NO"))</f>
        <v/>
      </c>
      <c r="AN780" s="7">
        <f>IF(AJ780="","",IF(AJ780&gt;=0.90,"Excellent",IF(AJ780&gt;=0.80,"Good",IF(AJ780&gt;=0.70,"Fair","Poor"))))</f>
        <v/>
      </c>
      <c r="AO780" s="12" t="n"/>
      <c r="AP780" s="12" t="n"/>
      <c r="AQ780" s="12" t="n"/>
      <c r="AR780" s="12" t="n"/>
      <c r="AS780" s="12" t="n"/>
      <c r="AT780" s="12" t="n"/>
      <c r="AU780" s="12" t="n"/>
      <c r="AV780" s="11" t="n"/>
      <c r="AW780" s="12" t="n"/>
      <c r="AX780" s="12" t="n"/>
      <c r="AY780" s="12" t="n"/>
      <c r="AZ780" s="12" t="n"/>
      <c r="BA780" s="12" t="n"/>
      <c r="BB780" s="12" t="n"/>
      <c r="BC780" s="12" t="n"/>
      <c r="BD780" s="12" t="n"/>
      <c r="BE780" s="12" t="n"/>
      <c r="BF780" s="12" t="n"/>
    </row>
    <row r="781">
      <c r="A781" s="7">
        <f>IF(B781="","","INS-"&amp;TEXT(ROW()-3,"000"))</f>
        <v/>
      </c>
      <c r="B781" s="11" t="n"/>
      <c r="C781" s="7">
        <f>IF(B781="","",ISOWEEKNUM(B781))</f>
        <v/>
      </c>
      <c r="D781" s="7">
        <f>IF(B781="","",TEXT(B781,"yyyy-mm"))</f>
        <v/>
      </c>
      <c r="E781" s="12" t="n"/>
      <c r="F781" s="12" t="n"/>
      <c r="G781" s="7">
        <f>IF(OR(E781="",F781=""),"",IF(COUNTIF(Cluster_Master!$I$3:$I$17,E781&amp;"|"&amp;F781)=1,"Valid","Review"))</f>
        <v/>
      </c>
      <c r="H781" s="7">
        <f>IF($G781&lt;&gt;"Valid","",VLOOKUP($E781&amp;"|"&amp;$F781,Cluster_Master!$I$3:$H$17,3,FALSE))</f>
        <v/>
      </c>
      <c r="I781" s="7">
        <f>IF($G781&lt;&gt;"Valid","",VLOOKUP($E781&amp;"|"&amp;$F781,Cluster_Master!$I$3:$H$17,4,FALSE))</f>
        <v/>
      </c>
      <c r="J781" s="7">
        <f>IF($G781&lt;&gt;"Valid","",VLOOKUP($E781&amp;"|"&amp;$F781,Cluster_Master!$I$3:$H$17,5,FALSE))</f>
        <v/>
      </c>
      <c r="K781" s="7">
        <f>IF($G781&lt;&gt;"Valid","",VLOOKUP($E781&amp;"|"&amp;$F781,Cluster_Master!$I$3:$H$17,6,FALSE))</f>
        <v/>
      </c>
      <c r="L781" s="7">
        <f>IF($G781&lt;&gt;"Valid","",VLOOKUP($E781&amp;"|"&amp;$F781,Cluster_Master!$I$3:$H$17,7,FALSE))</f>
        <v/>
      </c>
      <c r="M781" s="7">
        <f>IF($G781&lt;&gt;"Valid","",VLOOKUP($E781&amp;"|"&amp;$F781,Cluster_Master!$I$3:$H$17,8,FALSE))</f>
        <v/>
      </c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7">
        <f>IF(COUNT(T781:AH781)=0,"",SUM(T781:AH781))</f>
        <v/>
      </c>
      <c r="AJ781" s="10">
        <f>IF(AI781="","",AI781/75)</f>
        <v/>
      </c>
      <c r="AK781" s="10">
        <f>IF(AI781="","",SUMPRODUCT(T781:AH781,KPI_Weights!$B$3:$B$17)/5)</f>
        <v/>
      </c>
      <c r="AL781" s="7">
        <f>IF(COUNT(T781:AH781)=0,"",IF(OR(T781&lt;=1,W781&lt;=1,X781&lt;=1,Y781&lt;=1,AB781&lt;=1),"YES","NO"))</f>
        <v/>
      </c>
      <c r="AM781" s="7">
        <f>IF(AK781="","",IF(AND(AK781="NO",AJ781&gt;=0.85),"YES","NO"))</f>
        <v/>
      </c>
      <c r="AN781" s="7">
        <f>IF(AJ781="","",IF(AJ781&gt;=0.90,"Excellent",IF(AJ781&gt;=0.80,"Good",IF(AJ781&gt;=0.70,"Fair","Poor"))))</f>
        <v/>
      </c>
      <c r="AO781" s="12" t="n"/>
      <c r="AP781" s="12" t="n"/>
      <c r="AQ781" s="12" t="n"/>
      <c r="AR781" s="12" t="n"/>
      <c r="AS781" s="12" t="n"/>
      <c r="AT781" s="12" t="n"/>
      <c r="AU781" s="12" t="n"/>
      <c r="AV781" s="11" t="n"/>
      <c r="AW781" s="12" t="n"/>
      <c r="AX781" s="12" t="n"/>
      <c r="AY781" s="12" t="n"/>
      <c r="AZ781" s="12" t="n"/>
      <c r="BA781" s="12" t="n"/>
      <c r="BB781" s="12" t="n"/>
      <c r="BC781" s="12" t="n"/>
      <c r="BD781" s="12" t="n"/>
      <c r="BE781" s="12" t="n"/>
      <c r="BF781" s="12" t="n"/>
    </row>
    <row r="782">
      <c r="A782" s="7">
        <f>IF(B782="","","INS-"&amp;TEXT(ROW()-3,"000"))</f>
        <v/>
      </c>
      <c r="B782" s="11" t="n"/>
      <c r="C782" s="7">
        <f>IF(B782="","",ISOWEEKNUM(B782))</f>
        <v/>
      </c>
      <c r="D782" s="7">
        <f>IF(B782="","",TEXT(B782,"yyyy-mm"))</f>
        <v/>
      </c>
      <c r="E782" s="12" t="n"/>
      <c r="F782" s="12" t="n"/>
      <c r="G782" s="7">
        <f>IF(OR(E782="",F782=""),"",IF(COUNTIF(Cluster_Master!$I$3:$I$17,E782&amp;"|"&amp;F782)=1,"Valid","Review"))</f>
        <v/>
      </c>
      <c r="H782" s="7">
        <f>IF($G782&lt;&gt;"Valid","",VLOOKUP($E782&amp;"|"&amp;$F782,Cluster_Master!$I$3:$H$17,3,FALSE))</f>
        <v/>
      </c>
      <c r="I782" s="7">
        <f>IF($G782&lt;&gt;"Valid","",VLOOKUP($E782&amp;"|"&amp;$F782,Cluster_Master!$I$3:$H$17,4,FALSE))</f>
        <v/>
      </c>
      <c r="J782" s="7">
        <f>IF($G782&lt;&gt;"Valid","",VLOOKUP($E782&amp;"|"&amp;$F782,Cluster_Master!$I$3:$H$17,5,FALSE))</f>
        <v/>
      </c>
      <c r="K782" s="7">
        <f>IF($G782&lt;&gt;"Valid","",VLOOKUP($E782&amp;"|"&amp;$F782,Cluster_Master!$I$3:$H$17,6,FALSE))</f>
        <v/>
      </c>
      <c r="L782" s="7">
        <f>IF($G782&lt;&gt;"Valid","",VLOOKUP($E782&amp;"|"&amp;$F782,Cluster_Master!$I$3:$H$17,7,FALSE))</f>
        <v/>
      </c>
      <c r="M782" s="7">
        <f>IF($G782&lt;&gt;"Valid","",VLOOKUP($E782&amp;"|"&amp;$F782,Cluster_Master!$I$3:$H$17,8,FALSE))</f>
        <v/>
      </c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7">
        <f>IF(COUNT(T782:AH782)=0,"",SUM(T782:AH782))</f>
        <v/>
      </c>
      <c r="AJ782" s="10">
        <f>IF(AI782="","",AI782/75)</f>
        <v/>
      </c>
      <c r="AK782" s="10">
        <f>IF(AI782="","",SUMPRODUCT(T782:AH782,KPI_Weights!$B$3:$B$17)/5)</f>
        <v/>
      </c>
      <c r="AL782" s="7">
        <f>IF(COUNT(T782:AH782)=0,"",IF(OR(T782&lt;=1,W782&lt;=1,X782&lt;=1,Y782&lt;=1,AB782&lt;=1),"YES","NO"))</f>
        <v/>
      </c>
      <c r="AM782" s="7">
        <f>IF(AK782="","",IF(AND(AK782="NO",AJ782&gt;=0.85),"YES","NO"))</f>
        <v/>
      </c>
      <c r="AN782" s="7">
        <f>IF(AJ782="","",IF(AJ782&gt;=0.90,"Excellent",IF(AJ782&gt;=0.80,"Good",IF(AJ782&gt;=0.70,"Fair","Poor"))))</f>
        <v/>
      </c>
      <c r="AO782" s="12" t="n"/>
      <c r="AP782" s="12" t="n"/>
      <c r="AQ782" s="12" t="n"/>
      <c r="AR782" s="12" t="n"/>
      <c r="AS782" s="12" t="n"/>
      <c r="AT782" s="12" t="n"/>
      <c r="AU782" s="12" t="n"/>
      <c r="AV782" s="11" t="n"/>
      <c r="AW782" s="12" t="n"/>
      <c r="AX782" s="12" t="n"/>
      <c r="AY782" s="12" t="n"/>
      <c r="AZ782" s="12" t="n"/>
      <c r="BA782" s="12" t="n"/>
      <c r="BB782" s="12" t="n"/>
      <c r="BC782" s="12" t="n"/>
      <c r="BD782" s="12" t="n"/>
      <c r="BE782" s="12" t="n"/>
      <c r="BF782" s="12" t="n"/>
    </row>
    <row r="783">
      <c r="A783" s="7">
        <f>IF(B783="","","INS-"&amp;TEXT(ROW()-3,"000"))</f>
        <v/>
      </c>
      <c r="B783" s="11" t="n"/>
      <c r="C783" s="7">
        <f>IF(B783="","",ISOWEEKNUM(B783))</f>
        <v/>
      </c>
      <c r="D783" s="7">
        <f>IF(B783="","",TEXT(B783,"yyyy-mm"))</f>
        <v/>
      </c>
      <c r="E783" s="12" t="n"/>
      <c r="F783" s="12" t="n"/>
      <c r="G783" s="7">
        <f>IF(OR(E783="",F783=""),"",IF(COUNTIF(Cluster_Master!$I$3:$I$17,E783&amp;"|"&amp;F783)=1,"Valid","Review"))</f>
        <v/>
      </c>
      <c r="H783" s="7">
        <f>IF($G783&lt;&gt;"Valid","",VLOOKUP($E783&amp;"|"&amp;$F783,Cluster_Master!$I$3:$H$17,3,FALSE))</f>
        <v/>
      </c>
      <c r="I783" s="7">
        <f>IF($G783&lt;&gt;"Valid","",VLOOKUP($E783&amp;"|"&amp;$F783,Cluster_Master!$I$3:$H$17,4,FALSE))</f>
        <v/>
      </c>
      <c r="J783" s="7">
        <f>IF($G783&lt;&gt;"Valid","",VLOOKUP($E783&amp;"|"&amp;$F783,Cluster_Master!$I$3:$H$17,5,FALSE))</f>
        <v/>
      </c>
      <c r="K783" s="7">
        <f>IF($G783&lt;&gt;"Valid","",VLOOKUP($E783&amp;"|"&amp;$F783,Cluster_Master!$I$3:$H$17,6,FALSE))</f>
        <v/>
      </c>
      <c r="L783" s="7">
        <f>IF($G783&lt;&gt;"Valid","",VLOOKUP($E783&amp;"|"&amp;$F783,Cluster_Master!$I$3:$H$17,7,FALSE))</f>
        <v/>
      </c>
      <c r="M783" s="7">
        <f>IF($G783&lt;&gt;"Valid","",VLOOKUP($E783&amp;"|"&amp;$F783,Cluster_Master!$I$3:$H$17,8,FALSE))</f>
        <v/>
      </c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7">
        <f>IF(COUNT(T783:AH783)=0,"",SUM(T783:AH783))</f>
        <v/>
      </c>
      <c r="AJ783" s="10">
        <f>IF(AI783="","",AI783/75)</f>
        <v/>
      </c>
      <c r="AK783" s="10">
        <f>IF(AI783="","",SUMPRODUCT(T783:AH783,KPI_Weights!$B$3:$B$17)/5)</f>
        <v/>
      </c>
      <c r="AL783" s="7">
        <f>IF(COUNT(T783:AH783)=0,"",IF(OR(T783&lt;=1,W783&lt;=1,X783&lt;=1,Y783&lt;=1,AB783&lt;=1),"YES","NO"))</f>
        <v/>
      </c>
      <c r="AM783" s="7">
        <f>IF(AK783="","",IF(AND(AK783="NO",AJ783&gt;=0.85),"YES","NO"))</f>
        <v/>
      </c>
      <c r="AN783" s="7">
        <f>IF(AJ783="","",IF(AJ783&gt;=0.90,"Excellent",IF(AJ783&gt;=0.80,"Good",IF(AJ783&gt;=0.70,"Fair","Poor"))))</f>
        <v/>
      </c>
      <c r="AO783" s="12" t="n"/>
      <c r="AP783" s="12" t="n"/>
      <c r="AQ783" s="12" t="n"/>
      <c r="AR783" s="12" t="n"/>
      <c r="AS783" s="12" t="n"/>
      <c r="AT783" s="12" t="n"/>
      <c r="AU783" s="12" t="n"/>
      <c r="AV783" s="11" t="n"/>
      <c r="AW783" s="12" t="n"/>
      <c r="AX783" s="12" t="n"/>
      <c r="AY783" s="12" t="n"/>
      <c r="AZ783" s="12" t="n"/>
      <c r="BA783" s="12" t="n"/>
      <c r="BB783" s="12" t="n"/>
      <c r="BC783" s="12" t="n"/>
      <c r="BD783" s="12" t="n"/>
      <c r="BE783" s="12" t="n"/>
      <c r="BF783" s="12" t="n"/>
    </row>
    <row r="784">
      <c r="A784" s="7">
        <f>IF(B784="","","INS-"&amp;TEXT(ROW()-3,"000"))</f>
        <v/>
      </c>
      <c r="B784" s="11" t="n"/>
      <c r="C784" s="7">
        <f>IF(B784="","",ISOWEEKNUM(B784))</f>
        <v/>
      </c>
      <c r="D784" s="7">
        <f>IF(B784="","",TEXT(B784,"yyyy-mm"))</f>
        <v/>
      </c>
      <c r="E784" s="12" t="n"/>
      <c r="F784" s="12" t="n"/>
      <c r="G784" s="7">
        <f>IF(OR(E784="",F784=""),"",IF(COUNTIF(Cluster_Master!$I$3:$I$17,E784&amp;"|"&amp;F784)=1,"Valid","Review"))</f>
        <v/>
      </c>
      <c r="H784" s="7">
        <f>IF($G784&lt;&gt;"Valid","",VLOOKUP($E784&amp;"|"&amp;$F784,Cluster_Master!$I$3:$H$17,3,FALSE))</f>
        <v/>
      </c>
      <c r="I784" s="7">
        <f>IF($G784&lt;&gt;"Valid","",VLOOKUP($E784&amp;"|"&amp;$F784,Cluster_Master!$I$3:$H$17,4,FALSE))</f>
        <v/>
      </c>
      <c r="J784" s="7">
        <f>IF($G784&lt;&gt;"Valid","",VLOOKUP($E784&amp;"|"&amp;$F784,Cluster_Master!$I$3:$H$17,5,FALSE))</f>
        <v/>
      </c>
      <c r="K784" s="7">
        <f>IF($G784&lt;&gt;"Valid","",VLOOKUP($E784&amp;"|"&amp;$F784,Cluster_Master!$I$3:$H$17,6,FALSE))</f>
        <v/>
      </c>
      <c r="L784" s="7">
        <f>IF($G784&lt;&gt;"Valid","",VLOOKUP($E784&amp;"|"&amp;$F784,Cluster_Master!$I$3:$H$17,7,FALSE))</f>
        <v/>
      </c>
      <c r="M784" s="7">
        <f>IF($G784&lt;&gt;"Valid","",VLOOKUP($E784&amp;"|"&amp;$F784,Cluster_Master!$I$3:$H$17,8,FALSE))</f>
        <v/>
      </c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7">
        <f>IF(COUNT(T784:AH784)=0,"",SUM(T784:AH784))</f>
        <v/>
      </c>
      <c r="AJ784" s="10">
        <f>IF(AI784="","",AI784/75)</f>
        <v/>
      </c>
      <c r="AK784" s="10">
        <f>IF(AI784="","",SUMPRODUCT(T784:AH784,KPI_Weights!$B$3:$B$17)/5)</f>
        <v/>
      </c>
      <c r="AL784" s="7">
        <f>IF(COUNT(T784:AH784)=0,"",IF(OR(T784&lt;=1,W784&lt;=1,X784&lt;=1,Y784&lt;=1,AB784&lt;=1),"YES","NO"))</f>
        <v/>
      </c>
      <c r="AM784" s="7">
        <f>IF(AK784="","",IF(AND(AK784="NO",AJ784&gt;=0.85),"YES","NO"))</f>
        <v/>
      </c>
      <c r="AN784" s="7">
        <f>IF(AJ784="","",IF(AJ784&gt;=0.90,"Excellent",IF(AJ784&gt;=0.80,"Good",IF(AJ784&gt;=0.70,"Fair","Poor"))))</f>
        <v/>
      </c>
      <c r="AO784" s="12" t="n"/>
      <c r="AP784" s="12" t="n"/>
      <c r="AQ784" s="12" t="n"/>
      <c r="AR784" s="12" t="n"/>
      <c r="AS784" s="12" t="n"/>
      <c r="AT784" s="12" t="n"/>
      <c r="AU784" s="12" t="n"/>
      <c r="AV784" s="11" t="n"/>
      <c r="AW784" s="12" t="n"/>
      <c r="AX784" s="12" t="n"/>
      <c r="AY784" s="12" t="n"/>
      <c r="AZ784" s="12" t="n"/>
      <c r="BA784" s="12" t="n"/>
      <c r="BB784" s="12" t="n"/>
      <c r="BC784" s="12" t="n"/>
      <c r="BD784" s="12" t="n"/>
      <c r="BE784" s="12" t="n"/>
      <c r="BF784" s="12" t="n"/>
    </row>
    <row r="785">
      <c r="A785" s="7">
        <f>IF(B785="","","INS-"&amp;TEXT(ROW()-3,"000"))</f>
        <v/>
      </c>
      <c r="B785" s="11" t="n"/>
      <c r="C785" s="7">
        <f>IF(B785="","",ISOWEEKNUM(B785))</f>
        <v/>
      </c>
      <c r="D785" s="7">
        <f>IF(B785="","",TEXT(B785,"yyyy-mm"))</f>
        <v/>
      </c>
      <c r="E785" s="12" t="n"/>
      <c r="F785" s="12" t="n"/>
      <c r="G785" s="7">
        <f>IF(OR(E785="",F785=""),"",IF(COUNTIF(Cluster_Master!$I$3:$I$17,E785&amp;"|"&amp;F785)=1,"Valid","Review"))</f>
        <v/>
      </c>
      <c r="H785" s="7">
        <f>IF($G785&lt;&gt;"Valid","",VLOOKUP($E785&amp;"|"&amp;$F785,Cluster_Master!$I$3:$H$17,3,FALSE))</f>
        <v/>
      </c>
      <c r="I785" s="7">
        <f>IF($G785&lt;&gt;"Valid","",VLOOKUP($E785&amp;"|"&amp;$F785,Cluster_Master!$I$3:$H$17,4,FALSE))</f>
        <v/>
      </c>
      <c r="J785" s="7">
        <f>IF($G785&lt;&gt;"Valid","",VLOOKUP($E785&amp;"|"&amp;$F785,Cluster_Master!$I$3:$H$17,5,FALSE))</f>
        <v/>
      </c>
      <c r="K785" s="7">
        <f>IF($G785&lt;&gt;"Valid","",VLOOKUP($E785&amp;"|"&amp;$F785,Cluster_Master!$I$3:$H$17,6,FALSE))</f>
        <v/>
      </c>
      <c r="L785" s="7">
        <f>IF($G785&lt;&gt;"Valid","",VLOOKUP($E785&amp;"|"&amp;$F785,Cluster_Master!$I$3:$H$17,7,FALSE))</f>
        <v/>
      </c>
      <c r="M785" s="7">
        <f>IF($G785&lt;&gt;"Valid","",VLOOKUP($E785&amp;"|"&amp;$F785,Cluster_Master!$I$3:$H$17,8,FALSE))</f>
        <v/>
      </c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7">
        <f>IF(COUNT(T785:AH785)=0,"",SUM(T785:AH785))</f>
        <v/>
      </c>
      <c r="AJ785" s="10">
        <f>IF(AI785="","",AI785/75)</f>
        <v/>
      </c>
      <c r="AK785" s="10">
        <f>IF(AI785="","",SUMPRODUCT(T785:AH785,KPI_Weights!$B$3:$B$17)/5)</f>
        <v/>
      </c>
      <c r="AL785" s="7">
        <f>IF(COUNT(T785:AH785)=0,"",IF(OR(T785&lt;=1,W785&lt;=1,X785&lt;=1,Y785&lt;=1,AB785&lt;=1),"YES","NO"))</f>
        <v/>
      </c>
      <c r="AM785" s="7">
        <f>IF(AK785="","",IF(AND(AK785="NO",AJ785&gt;=0.85),"YES","NO"))</f>
        <v/>
      </c>
      <c r="AN785" s="7">
        <f>IF(AJ785="","",IF(AJ785&gt;=0.90,"Excellent",IF(AJ785&gt;=0.80,"Good",IF(AJ785&gt;=0.70,"Fair","Poor"))))</f>
        <v/>
      </c>
      <c r="AO785" s="12" t="n"/>
      <c r="AP785" s="12" t="n"/>
      <c r="AQ785" s="12" t="n"/>
      <c r="AR785" s="12" t="n"/>
      <c r="AS785" s="12" t="n"/>
      <c r="AT785" s="12" t="n"/>
      <c r="AU785" s="12" t="n"/>
      <c r="AV785" s="11" t="n"/>
      <c r="AW785" s="12" t="n"/>
      <c r="AX785" s="12" t="n"/>
      <c r="AY785" s="12" t="n"/>
      <c r="AZ785" s="12" t="n"/>
      <c r="BA785" s="12" t="n"/>
      <c r="BB785" s="12" t="n"/>
      <c r="BC785" s="12" t="n"/>
      <c r="BD785" s="12" t="n"/>
      <c r="BE785" s="12" t="n"/>
      <c r="BF785" s="12" t="n"/>
    </row>
    <row r="786">
      <c r="A786" s="7">
        <f>IF(B786="","","INS-"&amp;TEXT(ROW()-3,"000"))</f>
        <v/>
      </c>
      <c r="B786" s="11" t="n"/>
      <c r="C786" s="7">
        <f>IF(B786="","",ISOWEEKNUM(B786))</f>
        <v/>
      </c>
      <c r="D786" s="7">
        <f>IF(B786="","",TEXT(B786,"yyyy-mm"))</f>
        <v/>
      </c>
      <c r="E786" s="12" t="n"/>
      <c r="F786" s="12" t="n"/>
      <c r="G786" s="7">
        <f>IF(OR(E786="",F786=""),"",IF(COUNTIF(Cluster_Master!$I$3:$I$17,E786&amp;"|"&amp;F786)=1,"Valid","Review"))</f>
        <v/>
      </c>
      <c r="H786" s="7">
        <f>IF($G786&lt;&gt;"Valid","",VLOOKUP($E786&amp;"|"&amp;$F786,Cluster_Master!$I$3:$H$17,3,FALSE))</f>
        <v/>
      </c>
      <c r="I786" s="7">
        <f>IF($G786&lt;&gt;"Valid","",VLOOKUP($E786&amp;"|"&amp;$F786,Cluster_Master!$I$3:$H$17,4,FALSE))</f>
        <v/>
      </c>
      <c r="J786" s="7">
        <f>IF($G786&lt;&gt;"Valid","",VLOOKUP($E786&amp;"|"&amp;$F786,Cluster_Master!$I$3:$H$17,5,FALSE))</f>
        <v/>
      </c>
      <c r="K786" s="7">
        <f>IF($G786&lt;&gt;"Valid","",VLOOKUP($E786&amp;"|"&amp;$F786,Cluster_Master!$I$3:$H$17,6,FALSE))</f>
        <v/>
      </c>
      <c r="L786" s="7">
        <f>IF($G786&lt;&gt;"Valid","",VLOOKUP($E786&amp;"|"&amp;$F786,Cluster_Master!$I$3:$H$17,7,FALSE))</f>
        <v/>
      </c>
      <c r="M786" s="7">
        <f>IF($G786&lt;&gt;"Valid","",VLOOKUP($E786&amp;"|"&amp;$F786,Cluster_Master!$I$3:$H$17,8,FALSE))</f>
        <v/>
      </c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7">
        <f>IF(COUNT(T786:AH786)=0,"",SUM(T786:AH786))</f>
        <v/>
      </c>
      <c r="AJ786" s="10">
        <f>IF(AI786="","",AI786/75)</f>
        <v/>
      </c>
      <c r="AK786" s="10">
        <f>IF(AI786="","",SUMPRODUCT(T786:AH786,KPI_Weights!$B$3:$B$17)/5)</f>
        <v/>
      </c>
      <c r="AL786" s="7">
        <f>IF(COUNT(T786:AH786)=0,"",IF(OR(T786&lt;=1,W786&lt;=1,X786&lt;=1,Y786&lt;=1,AB786&lt;=1),"YES","NO"))</f>
        <v/>
      </c>
      <c r="AM786" s="7">
        <f>IF(AK786="","",IF(AND(AK786="NO",AJ786&gt;=0.85),"YES","NO"))</f>
        <v/>
      </c>
      <c r="AN786" s="7">
        <f>IF(AJ786="","",IF(AJ786&gt;=0.90,"Excellent",IF(AJ786&gt;=0.80,"Good",IF(AJ786&gt;=0.70,"Fair","Poor"))))</f>
        <v/>
      </c>
      <c r="AO786" s="12" t="n"/>
      <c r="AP786" s="12" t="n"/>
      <c r="AQ786" s="12" t="n"/>
      <c r="AR786" s="12" t="n"/>
      <c r="AS786" s="12" t="n"/>
      <c r="AT786" s="12" t="n"/>
      <c r="AU786" s="12" t="n"/>
      <c r="AV786" s="11" t="n"/>
      <c r="AW786" s="12" t="n"/>
      <c r="AX786" s="12" t="n"/>
      <c r="AY786" s="12" t="n"/>
      <c r="AZ786" s="12" t="n"/>
      <c r="BA786" s="12" t="n"/>
      <c r="BB786" s="12" t="n"/>
      <c r="BC786" s="12" t="n"/>
      <c r="BD786" s="12" t="n"/>
      <c r="BE786" s="12" t="n"/>
      <c r="BF786" s="12" t="n"/>
    </row>
    <row r="787">
      <c r="A787" s="7">
        <f>IF(B787="","","INS-"&amp;TEXT(ROW()-3,"000"))</f>
        <v/>
      </c>
      <c r="B787" s="11" t="n"/>
      <c r="C787" s="7">
        <f>IF(B787="","",ISOWEEKNUM(B787))</f>
        <v/>
      </c>
      <c r="D787" s="7">
        <f>IF(B787="","",TEXT(B787,"yyyy-mm"))</f>
        <v/>
      </c>
      <c r="E787" s="12" t="n"/>
      <c r="F787" s="12" t="n"/>
      <c r="G787" s="7">
        <f>IF(OR(E787="",F787=""),"",IF(COUNTIF(Cluster_Master!$I$3:$I$17,E787&amp;"|"&amp;F787)=1,"Valid","Review"))</f>
        <v/>
      </c>
      <c r="H787" s="7">
        <f>IF($G787&lt;&gt;"Valid","",VLOOKUP($E787&amp;"|"&amp;$F787,Cluster_Master!$I$3:$H$17,3,FALSE))</f>
        <v/>
      </c>
      <c r="I787" s="7">
        <f>IF($G787&lt;&gt;"Valid","",VLOOKUP($E787&amp;"|"&amp;$F787,Cluster_Master!$I$3:$H$17,4,FALSE))</f>
        <v/>
      </c>
      <c r="J787" s="7">
        <f>IF($G787&lt;&gt;"Valid","",VLOOKUP($E787&amp;"|"&amp;$F787,Cluster_Master!$I$3:$H$17,5,FALSE))</f>
        <v/>
      </c>
      <c r="K787" s="7">
        <f>IF($G787&lt;&gt;"Valid","",VLOOKUP($E787&amp;"|"&amp;$F787,Cluster_Master!$I$3:$H$17,6,FALSE))</f>
        <v/>
      </c>
      <c r="L787" s="7">
        <f>IF($G787&lt;&gt;"Valid","",VLOOKUP($E787&amp;"|"&amp;$F787,Cluster_Master!$I$3:$H$17,7,FALSE))</f>
        <v/>
      </c>
      <c r="M787" s="7">
        <f>IF($G787&lt;&gt;"Valid","",VLOOKUP($E787&amp;"|"&amp;$F787,Cluster_Master!$I$3:$H$17,8,FALSE))</f>
        <v/>
      </c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7">
        <f>IF(COUNT(T787:AH787)=0,"",SUM(T787:AH787))</f>
        <v/>
      </c>
      <c r="AJ787" s="10">
        <f>IF(AI787="","",AI787/75)</f>
        <v/>
      </c>
      <c r="AK787" s="10">
        <f>IF(AI787="","",SUMPRODUCT(T787:AH787,KPI_Weights!$B$3:$B$17)/5)</f>
        <v/>
      </c>
      <c r="AL787" s="7">
        <f>IF(COUNT(T787:AH787)=0,"",IF(OR(T787&lt;=1,W787&lt;=1,X787&lt;=1,Y787&lt;=1,AB787&lt;=1),"YES","NO"))</f>
        <v/>
      </c>
      <c r="AM787" s="7">
        <f>IF(AK787="","",IF(AND(AK787="NO",AJ787&gt;=0.85),"YES","NO"))</f>
        <v/>
      </c>
      <c r="AN787" s="7">
        <f>IF(AJ787="","",IF(AJ787&gt;=0.90,"Excellent",IF(AJ787&gt;=0.80,"Good",IF(AJ787&gt;=0.70,"Fair","Poor"))))</f>
        <v/>
      </c>
      <c r="AO787" s="12" t="n"/>
      <c r="AP787" s="12" t="n"/>
      <c r="AQ787" s="12" t="n"/>
      <c r="AR787" s="12" t="n"/>
      <c r="AS787" s="12" t="n"/>
      <c r="AT787" s="12" t="n"/>
      <c r="AU787" s="12" t="n"/>
      <c r="AV787" s="11" t="n"/>
      <c r="AW787" s="12" t="n"/>
      <c r="AX787" s="12" t="n"/>
      <c r="AY787" s="12" t="n"/>
      <c r="AZ787" s="12" t="n"/>
      <c r="BA787" s="12" t="n"/>
      <c r="BB787" s="12" t="n"/>
      <c r="BC787" s="12" t="n"/>
      <c r="BD787" s="12" t="n"/>
      <c r="BE787" s="12" t="n"/>
      <c r="BF787" s="12" t="n"/>
    </row>
    <row r="788">
      <c r="A788" s="7">
        <f>IF(B788="","","INS-"&amp;TEXT(ROW()-3,"000"))</f>
        <v/>
      </c>
      <c r="B788" s="11" t="n"/>
      <c r="C788" s="7">
        <f>IF(B788="","",ISOWEEKNUM(B788))</f>
        <v/>
      </c>
      <c r="D788" s="7">
        <f>IF(B788="","",TEXT(B788,"yyyy-mm"))</f>
        <v/>
      </c>
      <c r="E788" s="12" t="n"/>
      <c r="F788" s="12" t="n"/>
      <c r="G788" s="7">
        <f>IF(OR(E788="",F788=""),"",IF(COUNTIF(Cluster_Master!$I$3:$I$17,E788&amp;"|"&amp;F788)=1,"Valid","Review"))</f>
        <v/>
      </c>
      <c r="H788" s="7">
        <f>IF($G788&lt;&gt;"Valid","",VLOOKUP($E788&amp;"|"&amp;$F788,Cluster_Master!$I$3:$H$17,3,FALSE))</f>
        <v/>
      </c>
      <c r="I788" s="7">
        <f>IF($G788&lt;&gt;"Valid","",VLOOKUP($E788&amp;"|"&amp;$F788,Cluster_Master!$I$3:$H$17,4,FALSE))</f>
        <v/>
      </c>
      <c r="J788" s="7">
        <f>IF($G788&lt;&gt;"Valid","",VLOOKUP($E788&amp;"|"&amp;$F788,Cluster_Master!$I$3:$H$17,5,FALSE))</f>
        <v/>
      </c>
      <c r="K788" s="7">
        <f>IF($G788&lt;&gt;"Valid","",VLOOKUP($E788&amp;"|"&amp;$F788,Cluster_Master!$I$3:$H$17,6,FALSE))</f>
        <v/>
      </c>
      <c r="L788" s="7">
        <f>IF($G788&lt;&gt;"Valid","",VLOOKUP($E788&amp;"|"&amp;$F788,Cluster_Master!$I$3:$H$17,7,FALSE))</f>
        <v/>
      </c>
      <c r="M788" s="7">
        <f>IF($G788&lt;&gt;"Valid","",VLOOKUP($E788&amp;"|"&amp;$F788,Cluster_Master!$I$3:$H$17,8,FALSE))</f>
        <v/>
      </c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7">
        <f>IF(COUNT(T788:AH788)=0,"",SUM(T788:AH788))</f>
        <v/>
      </c>
      <c r="AJ788" s="10">
        <f>IF(AI788="","",AI788/75)</f>
        <v/>
      </c>
      <c r="AK788" s="10">
        <f>IF(AI788="","",SUMPRODUCT(T788:AH788,KPI_Weights!$B$3:$B$17)/5)</f>
        <v/>
      </c>
      <c r="AL788" s="7">
        <f>IF(COUNT(T788:AH788)=0,"",IF(OR(T788&lt;=1,W788&lt;=1,X788&lt;=1,Y788&lt;=1,AB788&lt;=1),"YES","NO"))</f>
        <v/>
      </c>
      <c r="AM788" s="7">
        <f>IF(AK788="","",IF(AND(AK788="NO",AJ788&gt;=0.85),"YES","NO"))</f>
        <v/>
      </c>
      <c r="AN788" s="7">
        <f>IF(AJ788="","",IF(AJ788&gt;=0.90,"Excellent",IF(AJ788&gt;=0.80,"Good",IF(AJ788&gt;=0.70,"Fair","Poor"))))</f>
        <v/>
      </c>
      <c r="AO788" s="12" t="n"/>
      <c r="AP788" s="12" t="n"/>
      <c r="AQ788" s="12" t="n"/>
      <c r="AR788" s="12" t="n"/>
      <c r="AS788" s="12" t="n"/>
      <c r="AT788" s="12" t="n"/>
      <c r="AU788" s="12" t="n"/>
      <c r="AV788" s="11" t="n"/>
      <c r="AW788" s="12" t="n"/>
      <c r="AX788" s="12" t="n"/>
      <c r="AY788" s="12" t="n"/>
      <c r="AZ788" s="12" t="n"/>
      <c r="BA788" s="12" t="n"/>
      <c r="BB788" s="12" t="n"/>
      <c r="BC788" s="12" t="n"/>
      <c r="BD788" s="12" t="n"/>
      <c r="BE788" s="12" t="n"/>
      <c r="BF788" s="12" t="n"/>
    </row>
    <row r="789">
      <c r="A789" s="7">
        <f>IF(B789="","","INS-"&amp;TEXT(ROW()-3,"000"))</f>
        <v/>
      </c>
      <c r="B789" s="11" t="n"/>
      <c r="C789" s="7">
        <f>IF(B789="","",ISOWEEKNUM(B789))</f>
        <v/>
      </c>
      <c r="D789" s="7">
        <f>IF(B789="","",TEXT(B789,"yyyy-mm"))</f>
        <v/>
      </c>
      <c r="E789" s="12" t="n"/>
      <c r="F789" s="12" t="n"/>
      <c r="G789" s="7">
        <f>IF(OR(E789="",F789=""),"",IF(COUNTIF(Cluster_Master!$I$3:$I$17,E789&amp;"|"&amp;F789)=1,"Valid","Review"))</f>
        <v/>
      </c>
      <c r="H789" s="7">
        <f>IF($G789&lt;&gt;"Valid","",VLOOKUP($E789&amp;"|"&amp;$F789,Cluster_Master!$I$3:$H$17,3,FALSE))</f>
        <v/>
      </c>
      <c r="I789" s="7">
        <f>IF($G789&lt;&gt;"Valid","",VLOOKUP($E789&amp;"|"&amp;$F789,Cluster_Master!$I$3:$H$17,4,FALSE))</f>
        <v/>
      </c>
      <c r="J789" s="7">
        <f>IF($G789&lt;&gt;"Valid","",VLOOKUP($E789&amp;"|"&amp;$F789,Cluster_Master!$I$3:$H$17,5,FALSE))</f>
        <v/>
      </c>
      <c r="K789" s="7">
        <f>IF($G789&lt;&gt;"Valid","",VLOOKUP($E789&amp;"|"&amp;$F789,Cluster_Master!$I$3:$H$17,6,FALSE))</f>
        <v/>
      </c>
      <c r="L789" s="7">
        <f>IF($G789&lt;&gt;"Valid","",VLOOKUP($E789&amp;"|"&amp;$F789,Cluster_Master!$I$3:$H$17,7,FALSE))</f>
        <v/>
      </c>
      <c r="M789" s="7">
        <f>IF($G789&lt;&gt;"Valid","",VLOOKUP($E789&amp;"|"&amp;$F789,Cluster_Master!$I$3:$H$17,8,FALSE))</f>
        <v/>
      </c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7">
        <f>IF(COUNT(T789:AH789)=0,"",SUM(T789:AH789))</f>
        <v/>
      </c>
      <c r="AJ789" s="10">
        <f>IF(AI789="","",AI789/75)</f>
        <v/>
      </c>
      <c r="AK789" s="10">
        <f>IF(AI789="","",SUMPRODUCT(T789:AH789,KPI_Weights!$B$3:$B$17)/5)</f>
        <v/>
      </c>
      <c r="AL789" s="7">
        <f>IF(COUNT(T789:AH789)=0,"",IF(OR(T789&lt;=1,W789&lt;=1,X789&lt;=1,Y789&lt;=1,AB789&lt;=1),"YES","NO"))</f>
        <v/>
      </c>
      <c r="AM789" s="7">
        <f>IF(AK789="","",IF(AND(AK789="NO",AJ789&gt;=0.85),"YES","NO"))</f>
        <v/>
      </c>
      <c r="AN789" s="7">
        <f>IF(AJ789="","",IF(AJ789&gt;=0.90,"Excellent",IF(AJ789&gt;=0.80,"Good",IF(AJ789&gt;=0.70,"Fair","Poor"))))</f>
        <v/>
      </c>
      <c r="AO789" s="12" t="n"/>
      <c r="AP789" s="12" t="n"/>
      <c r="AQ789" s="12" t="n"/>
      <c r="AR789" s="12" t="n"/>
      <c r="AS789" s="12" t="n"/>
      <c r="AT789" s="12" t="n"/>
      <c r="AU789" s="12" t="n"/>
      <c r="AV789" s="11" t="n"/>
      <c r="AW789" s="12" t="n"/>
      <c r="AX789" s="12" t="n"/>
      <c r="AY789" s="12" t="n"/>
      <c r="AZ789" s="12" t="n"/>
      <c r="BA789" s="12" t="n"/>
      <c r="BB789" s="12" t="n"/>
      <c r="BC789" s="12" t="n"/>
      <c r="BD789" s="12" t="n"/>
      <c r="BE789" s="12" t="n"/>
      <c r="BF789" s="12" t="n"/>
    </row>
    <row r="790">
      <c r="A790" s="7">
        <f>IF(B790="","","INS-"&amp;TEXT(ROW()-3,"000"))</f>
        <v/>
      </c>
      <c r="B790" s="11" t="n"/>
      <c r="C790" s="7">
        <f>IF(B790="","",ISOWEEKNUM(B790))</f>
        <v/>
      </c>
      <c r="D790" s="7">
        <f>IF(B790="","",TEXT(B790,"yyyy-mm"))</f>
        <v/>
      </c>
      <c r="E790" s="12" t="n"/>
      <c r="F790" s="12" t="n"/>
      <c r="G790" s="7">
        <f>IF(OR(E790="",F790=""),"",IF(COUNTIF(Cluster_Master!$I$3:$I$17,E790&amp;"|"&amp;F790)=1,"Valid","Review"))</f>
        <v/>
      </c>
      <c r="H790" s="7">
        <f>IF($G790&lt;&gt;"Valid","",VLOOKUP($E790&amp;"|"&amp;$F790,Cluster_Master!$I$3:$H$17,3,FALSE))</f>
        <v/>
      </c>
      <c r="I790" s="7">
        <f>IF($G790&lt;&gt;"Valid","",VLOOKUP($E790&amp;"|"&amp;$F790,Cluster_Master!$I$3:$H$17,4,FALSE))</f>
        <v/>
      </c>
      <c r="J790" s="7">
        <f>IF($G790&lt;&gt;"Valid","",VLOOKUP($E790&amp;"|"&amp;$F790,Cluster_Master!$I$3:$H$17,5,FALSE))</f>
        <v/>
      </c>
      <c r="K790" s="7">
        <f>IF($G790&lt;&gt;"Valid","",VLOOKUP($E790&amp;"|"&amp;$F790,Cluster_Master!$I$3:$H$17,6,FALSE))</f>
        <v/>
      </c>
      <c r="L790" s="7">
        <f>IF($G790&lt;&gt;"Valid","",VLOOKUP($E790&amp;"|"&amp;$F790,Cluster_Master!$I$3:$H$17,7,FALSE))</f>
        <v/>
      </c>
      <c r="M790" s="7">
        <f>IF($G790&lt;&gt;"Valid","",VLOOKUP($E790&amp;"|"&amp;$F790,Cluster_Master!$I$3:$H$17,8,FALSE))</f>
        <v/>
      </c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7">
        <f>IF(COUNT(T790:AH790)=0,"",SUM(T790:AH790))</f>
        <v/>
      </c>
      <c r="AJ790" s="10">
        <f>IF(AI790="","",AI790/75)</f>
        <v/>
      </c>
      <c r="AK790" s="10">
        <f>IF(AI790="","",SUMPRODUCT(T790:AH790,KPI_Weights!$B$3:$B$17)/5)</f>
        <v/>
      </c>
      <c r="AL790" s="7">
        <f>IF(COUNT(T790:AH790)=0,"",IF(OR(T790&lt;=1,W790&lt;=1,X790&lt;=1,Y790&lt;=1,AB790&lt;=1),"YES","NO"))</f>
        <v/>
      </c>
      <c r="AM790" s="7">
        <f>IF(AK790="","",IF(AND(AK790="NO",AJ790&gt;=0.85),"YES","NO"))</f>
        <v/>
      </c>
      <c r="AN790" s="7">
        <f>IF(AJ790="","",IF(AJ790&gt;=0.90,"Excellent",IF(AJ790&gt;=0.80,"Good",IF(AJ790&gt;=0.70,"Fair","Poor"))))</f>
        <v/>
      </c>
      <c r="AO790" s="12" t="n"/>
      <c r="AP790" s="12" t="n"/>
      <c r="AQ790" s="12" t="n"/>
      <c r="AR790" s="12" t="n"/>
      <c r="AS790" s="12" t="n"/>
      <c r="AT790" s="12" t="n"/>
      <c r="AU790" s="12" t="n"/>
      <c r="AV790" s="11" t="n"/>
      <c r="AW790" s="12" t="n"/>
      <c r="AX790" s="12" t="n"/>
      <c r="AY790" s="12" t="n"/>
      <c r="AZ790" s="12" t="n"/>
      <c r="BA790" s="12" t="n"/>
      <c r="BB790" s="12" t="n"/>
      <c r="BC790" s="12" t="n"/>
      <c r="BD790" s="12" t="n"/>
      <c r="BE790" s="12" t="n"/>
      <c r="BF790" s="12" t="n"/>
    </row>
    <row r="791">
      <c r="A791" s="7">
        <f>IF(B791="","","INS-"&amp;TEXT(ROW()-3,"000"))</f>
        <v/>
      </c>
      <c r="B791" s="11" t="n"/>
      <c r="C791" s="7">
        <f>IF(B791="","",ISOWEEKNUM(B791))</f>
        <v/>
      </c>
      <c r="D791" s="7">
        <f>IF(B791="","",TEXT(B791,"yyyy-mm"))</f>
        <v/>
      </c>
      <c r="E791" s="12" t="n"/>
      <c r="F791" s="12" t="n"/>
      <c r="G791" s="7">
        <f>IF(OR(E791="",F791=""),"",IF(COUNTIF(Cluster_Master!$I$3:$I$17,E791&amp;"|"&amp;F791)=1,"Valid","Review"))</f>
        <v/>
      </c>
      <c r="H791" s="7">
        <f>IF($G791&lt;&gt;"Valid","",VLOOKUP($E791&amp;"|"&amp;$F791,Cluster_Master!$I$3:$H$17,3,FALSE))</f>
        <v/>
      </c>
      <c r="I791" s="7">
        <f>IF($G791&lt;&gt;"Valid","",VLOOKUP($E791&amp;"|"&amp;$F791,Cluster_Master!$I$3:$H$17,4,FALSE))</f>
        <v/>
      </c>
      <c r="J791" s="7">
        <f>IF($G791&lt;&gt;"Valid","",VLOOKUP($E791&amp;"|"&amp;$F791,Cluster_Master!$I$3:$H$17,5,FALSE))</f>
        <v/>
      </c>
      <c r="K791" s="7">
        <f>IF($G791&lt;&gt;"Valid","",VLOOKUP($E791&amp;"|"&amp;$F791,Cluster_Master!$I$3:$H$17,6,FALSE))</f>
        <v/>
      </c>
      <c r="L791" s="7">
        <f>IF($G791&lt;&gt;"Valid","",VLOOKUP($E791&amp;"|"&amp;$F791,Cluster_Master!$I$3:$H$17,7,FALSE))</f>
        <v/>
      </c>
      <c r="M791" s="7">
        <f>IF($G791&lt;&gt;"Valid","",VLOOKUP($E791&amp;"|"&amp;$F791,Cluster_Master!$I$3:$H$17,8,FALSE))</f>
        <v/>
      </c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7">
        <f>IF(COUNT(T791:AH791)=0,"",SUM(T791:AH791))</f>
        <v/>
      </c>
      <c r="AJ791" s="10">
        <f>IF(AI791="","",AI791/75)</f>
        <v/>
      </c>
      <c r="AK791" s="10">
        <f>IF(AI791="","",SUMPRODUCT(T791:AH791,KPI_Weights!$B$3:$B$17)/5)</f>
        <v/>
      </c>
      <c r="AL791" s="7">
        <f>IF(COUNT(T791:AH791)=0,"",IF(OR(T791&lt;=1,W791&lt;=1,X791&lt;=1,Y791&lt;=1,AB791&lt;=1),"YES","NO"))</f>
        <v/>
      </c>
      <c r="AM791" s="7">
        <f>IF(AK791="","",IF(AND(AK791="NO",AJ791&gt;=0.85),"YES","NO"))</f>
        <v/>
      </c>
      <c r="AN791" s="7">
        <f>IF(AJ791="","",IF(AJ791&gt;=0.90,"Excellent",IF(AJ791&gt;=0.80,"Good",IF(AJ791&gt;=0.70,"Fair","Poor"))))</f>
        <v/>
      </c>
      <c r="AO791" s="12" t="n"/>
      <c r="AP791" s="12" t="n"/>
      <c r="AQ791" s="12" t="n"/>
      <c r="AR791" s="12" t="n"/>
      <c r="AS791" s="12" t="n"/>
      <c r="AT791" s="12" t="n"/>
      <c r="AU791" s="12" t="n"/>
      <c r="AV791" s="11" t="n"/>
      <c r="AW791" s="12" t="n"/>
      <c r="AX791" s="12" t="n"/>
      <c r="AY791" s="12" t="n"/>
      <c r="AZ791" s="12" t="n"/>
      <c r="BA791" s="12" t="n"/>
      <c r="BB791" s="12" t="n"/>
      <c r="BC791" s="12" t="n"/>
      <c r="BD791" s="12" t="n"/>
      <c r="BE791" s="12" t="n"/>
      <c r="BF791" s="12" t="n"/>
    </row>
    <row r="792">
      <c r="A792" s="7">
        <f>IF(B792="","","INS-"&amp;TEXT(ROW()-3,"000"))</f>
        <v/>
      </c>
      <c r="B792" s="11" t="n"/>
      <c r="C792" s="7">
        <f>IF(B792="","",ISOWEEKNUM(B792))</f>
        <v/>
      </c>
      <c r="D792" s="7">
        <f>IF(B792="","",TEXT(B792,"yyyy-mm"))</f>
        <v/>
      </c>
      <c r="E792" s="12" t="n"/>
      <c r="F792" s="12" t="n"/>
      <c r="G792" s="7">
        <f>IF(OR(E792="",F792=""),"",IF(COUNTIF(Cluster_Master!$I$3:$I$17,E792&amp;"|"&amp;F792)=1,"Valid","Review"))</f>
        <v/>
      </c>
      <c r="H792" s="7">
        <f>IF($G792&lt;&gt;"Valid","",VLOOKUP($E792&amp;"|"&amp;$F792,Cluster_Master!$I$3:$H$17,3,FALSE))</f>
        <v/>
      </c>
      <c r="I792" s="7">
        <f>IF($G792&lt;&gt;"Valid","",VLOOKUP($E792&amp;"|"&amp;$F792,Cluster_Master!$I$3:$H$17,4,FALSE))</f>
        <v/>
      </c>
      <c r="J792" s="7">
        <f>IF($G792&lt;&gt;"Valid","",VLOOKUP($E792&amp;"|"&amp;$F792,Cluster_Master!$I$3:$H$17,5,FALSE))</f>
        <v/>
      </c>
      <c r="K792" s="7">
        <f>IF($G792&lt;&gt;"Valid","",VLOOKUP($E792&amp;"|"&amp;$F792,Cluster_Master!$I$3:$H$17,6,FALSE))</f>
        <v/>
      </c>
      <c r="L792" s="7">
        <f>IF($G792&lt;&gt;"Valid","",VLOOKUP($E792&amp;"|"&amp;$F792,Cluster_Master!$I$3:$H$17,7,FALSE))</f>
        <v/>
      </c>
      <c r="M792" s="7">
        <f>IF($G792&lt;&gt;"Valid","",VLOOKUP($E792&amp;"|"&amp;$F792,Cluster_Master!$I$3:$H$17,8,FALSE))</f>
        <v/>
      </c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7">
        <f>IF(COUNT(T792:AH792)=0,"",SUM(T792:AH792))</f>
        <v/>
      </c>
      <c r="AJ792" s="10">
        <f>IF(AI792="","",AI792/75)</f>
        <v/>
      </c>
      <c r="AK792" s="10">
        <f>IF(AI792="","",SUMPRODUCT(T792:AH792,KPI_Weights!$B$3:$B$17)/5)</f>
        <v/>
      </c>
      <c r="AL792" s="7">
        <f>IF(COUNT(T792:AH792)=0,"",IF(OR(T792&lt;=1,W792&lt;=1,X792&lt;=1,Y792&lt;=1,AB792&lt;=1),"YES","NO"))</f>
        <v/>
      </c>
      <c r="AM792" s="7">
        <f>IF(AK792="","",IF(AND(AK792="NO",AJ792&gt;=0.85),"YES","NO"))</f>
        <v/>
      </c>
      <c r="AN792" s="7">
        <f>IF(AJ792="","",IF(AJ792&gt;=0.90,"Excellent",IF(AJ792&gt;=0.80,"Good",IF(AJ792&gt;=0.70,"Fair","Poor"))))</f>
        <v/>
      </c>
      <c r="AO792" s="12" t="n"/>
      <c r="AP792" s="12" t="n"/>
      <c r="AQ792" s="12" t="n"/>
      <c r="AR792" s="12" t="n"/>
      <c r="AS792" s="12" t="n"/>
      <c r="AT792" s="12" t="n"/>
      <c r="AU792" s="12" t="n"/>
      <c r="AV792" s="11" t="n"/>
      <c r="AW792" s="12" t="n"/>
      <c r="AX792" s="12" t="n"/>
      <c r="AY792" s="12" t="n"/>
      <c r="AZ792" s="12" t="n"/>
      <c r="BA792" s="12" t="n"/>
      <c r="BB792" s="12" t="n"/>
      <c r="BC792" s="12" t="n"/>
      <c r="BD792" s="12" t="n"/>
      <c r="BE792" s="12" t="n"/>
      <c r="BF792" s="12" t="n"/>
    </row>
    <row r="793">
      <c r="A793" s="7">
        <f>IF(B793="","","INS-"&amp;TEXT(ROW()-3,"000"))</f>
        <v/>
      </c>
      <c r="B793" s="11" t="n"/>
      <c r="C793" s="7">
        <f>IF(B793="","",ISOWEEKNUM(B793))</f>
        <v/>
      </c>
      <c r="D793" s="7">
        <f>IF(B793="","",TEXT(B793,"yyyy-mm"))</f>
        <v/>
      </c>
      <c r="E793" s="12" t="n"/>
      <c r="F793" s="12" t="n"/>
      <c r="G793" s="7">
        <f>IF(OR(E793="",F793=""),"",IF(COUNTIF(Cluster_Master!$I$3:$I$17,E793&amp;"|"&amp;F793)=1,"Valid","Review"))</f>
        <v/>
      </c>
      <c r="H793" s="7">
        <f>IF($G793&lt;&gt;"Valid","",VLOOKUP($E793&amp;"|"&amp;$F793,Cluster_Master!$I$3:$H$17,3,FALSE))</f>
        <v/>
      </c>
      <c r="I793" s="7">
        <f>IF($G793&lt;&gt;"Valid","",VLOOKUP($E793&amp;"|"&amp;$F793,Cluster_Master!$I$3:$H$17,4,FALSE))</f>
        <v/>
      </c>
      <c r="J793" s="7">
        <f>IF($G793&lt;&gt;"Valid","",VLOOKUP($E793&amp;"|"&amp;$F793,Cluster_Master!$I$3:$H$17,5,FALSE))</f>
        <v/>
      </c>
      <c r="K793" s="7">
        <f>IF($G793&lt;&gt;"Valid","",VLOOKUP($E793&amp;"|"&amp;$F793,Cluster_Master!$I$3:$H$17,6,FALSE))</f>
        <v/>
      </c>
      <c r="L793" s="7">
        <f>IF($G793&lt;&gt;"Valid","",VLOOKUP($E793&amp;"|"&amp;$F793,Cluster_Master!$I$3:$H$17,7,FALSE))</f>
        <v/>
      </c>
      <c r="M793" s="7">
        <f>IF($G793&lt;&gt;"Valid","",VLOOKUP($E793&amp;"|"&amp;$F793,Cluster_Master!$I$3:$H$17,8,FALSE))</f>
        <v/>
      </c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7">
        <f>IF(COUNT(T793:AH793)=0,"",SUM(T793:AH793))</f>
        <v/>
      </c>
      <c r="AJ793" s="10">
        <f>IF(AI793="","",AI793/75)</f>
        <v/>
      </c>
      <c r="AK793" s="10">
        <f>IF(AI793="","",SUMPRODUCT(T793:AH793,KPI_Weights!$B$3:$B$17)/5)</f>
        <v/>
      </c>
      <c r="AL793" s="7">
        <f>IF(COUNT(T793:AH793)=0,"",IF(OR(T793&lt;=1,W793&lt;=1,X793&lt;=1,Y793&lt;=1,AB793&lt;=1),"YES","NO"))</f>
        <v/>
      </c>
      <c r="AM793" s="7">
        <f>IF(AK793="","",IF(AND(AK793="NO",AJ793&gt;=0.85),"YES","NO"))</f>
        <v/>
      </c>
      <c r="AN793" s="7">
        <f>IF(AJ793="","",IF(AJ793&gt;=0.90,"Excellent",IF(AJ793&gt;=0.80,"Good",IF(AJ793&gt;=0.70,"Fair","Poor"))))</f>
        <v/>
      </c>
      <c r="AO793" s="12" t="n"/>
      <c r="AP793" s="12" t="n"/>
      <c r="AQ793" s="12" t="n"/>
      <c r="AR793" s="12" t="n"/>
      <c r="AS793" s="12" t="n"/>
      <c r="AT793" s="12" t="n"/>
      <c r="AU793" s="12" t="n"/>
      <c r="AV793" s="11" t="n"/>
      <c r="AW793" s="12" t="n"/>
      <c r="AX793" s="12" t="n"/>
      <c r="AY793" s="12" t="n"/>
      <c r="AZ793" s="12" t="n"/>
      <c r="BA793" s="12" t="n"/>
      <c r="BB793" s="12" t="n"/>
      <c r="BC793" s="12" t="n"/>
      <c r="BD793" s="12" t="n"/>
      <c r="BE793" s="12" t="n"/>
      <c r="BF793" s="12" t="n"/>
    </row>
    <row r="794">
      <c r="A794" s="7">
        <f>IF(B794="","","INS-"&amp;TEXT(ROW()-3,"000"))</f>
        <v/>
      </c>
      <c r="B794" s="11" t="n"/>
      <c r="C794" s="7">
        <f>IF(B794="","",ISOWEEKNUM(B794))</f>
        <v/>
      </c>
      <c r="D794" s="7">
        <f>IF(B794="","",TEXT(B794,"yyyy-mm"))</f>
        <v/>
      </c>
      <c r="E794" s="12" t="n"/>
      <c r="F794" s="12" t="n"/>
      <c r="G794" s="7">
        <f>IF(OR(E794="",F794=""),"",IF(COUNTIF(Cluster_Master!$I$3:$I$17,E794&amp;"|"&amp;F794)=1,"Valid","Review"))</f>
        <v/>
      </c>
      <c r="H794" s="7">
        <f>IF($G794&lt;&gt;"Valid","",VLOOKUP($E794&amp;"|"&amp;$F794,Cluster_Master!$I$3:$H$17,3,FALSE))</f>
        <v/>
      </c>
      <c r="I794" s="7">
        <f>IF($G794&lt;&gt;"Valid","",VLOOKUP($E794&amp;"|"&amp;$F794,Cluster_Master!$I$3:$H$17,4,FALSE))</f>
        <v/>
      </c>
      <c r="J794" s="7">
        <f>IF($G794&lt;&gt;"Valid","",VLOOKUP($E794&amp;"|"&amp;$F794,Cluster_Master!$I$3:$H$17,5,FALSE))</f>
        <v/>
      </c>
      <c r="K794" s="7">
        <f>IF($G794&lt;&gt;"Valid","",VLOOKUP($E794&amp;"|"&amp;$F794,Cluster_Master!$I$3:$H$17,6,FALSE))</f>
        <v/>
      </c>
      <c r="L794" s="7">
        <f>IF($G794&lt;&gt;"Valid","",VLOOKUP($E794&amp;"|"&amp;$F794,Cluster_Master!$I$3:$H$17,7,FALSE))</f>
        <v/>
      </c>
      <c r="M794" s="7">
        <f>IF($G794&lt;&gt;"Valid","",VLOOKUP($E794&amp;"|"&amp;$F794,Cluster_Master!$I$3:$H$17,8,FALSE))</f>
        <v/>
      </c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7">
        <f>IF(COUNT(T794:AH794)=0,"",SUM(T794:AH794))</f>
        <v/>
      </c>
      <c r="AJ794" s="10">
        <f>IF(AI794="","",AI794/75)</f>
        <v/>
      </c>
      <c r="AK794" s="10">
        <f>IF(AI794="","",SUMPRODUCT(T794:AH794,KPI_Weights!$B$3:$B$17)/5)</f>
        <v/>
      </c>
      <c r="AL794" s="7">
        <f>IF(COUNT(T794:AH794)=0,"",IF(OR(T794&lt;=1,W794&lt;=1,X794&lt;=1,Y794&lt;=1,AB794&lt;=1),"YES","NO"))</f>
        <v/>
      </c>
      <c r="AM794" s="7">
        <f>IF(AK794="","",IF(AND(AK794="NO",AJ794&gt;=0.85),"YES","NO"))</f>
        <v/>
      </c>
      <c r="AN794" s="7">
        <f>IF(AJ794="","",IF(AJ794&gt;=0.90,"Excellent",IF(AJ794&gt;=0.80,"Good",IF(AJ794&gt;=0.70,"Fair","Poor"))))</f>
        <v/>
      </c>
      <c r="AO794" s="12" t="n"/>
      <c r="AP794" s="12" t="n"/>
      <c r="AQ794" s="12" t="n"/>
      <c r="AR794" s="12" t="n"/>
      <c r="AS794" s="12" t="n"/>
      <c r="AT794" s="12" t="n"/>
      <c r="AU794" s="12" t="n"/>
      <c r="AV794" s="11" t="n"/>
      <c r="AW794" s="12" t="n"/>
      <c r="AX794" s="12" t="n"/>
      <c r="AY794" s="12" t="n"/>
      <c r="AZ794" s="12" t="n"/>
      <c r="BA794" s="12" t="n"/>
      <c r="BB794" s="12" t="n"/>
      <c r="BC794" s="12" t="n"/>
      <c r="BD794" s="12" t="n"/>
      <c r="BE794" s="12" t="n"/>
      <c r="BF794" s="12" t="n"/>
    </row>
    <row r="795">
      <c r="A795" s="7">
        <f>IF(B795="","","INS-"&amp;TEXT(ROW()-3,"000"))</f>
        <v/>
      </c>
      <c r="B795" s="11" t="n"/>
      <c r="C795" s="7">
        <f>IF(B795="","",ISOWEEKNUM(B795))</f>
        <v/>
      </c>
      <c r="D795" s="7">
        <f>IF(B795="","",TEXT(B795,"yyyy-mm"))</f>
        <v/>
      </c>
      <c r="E795" s="12" t="n"/>
      <c r="F795" s="12" t="n"/>
      <c r="G795" s="7">
        <f>IF(OR(E795="",F795=""),"",IF(COUNTIF(Cluster_Master!$I$3:$I$17,E795&amp;"|"&amp;F795)=1,"Valid","Review"))</f>
        <v/>
      </c>
      <c r="H795" s="7">
        <f>IF($G795&lt;&gt;"Valid","",VLOOKUP($E795&amp;"|"&amp;$F795,Cluster_Master!$I$3:$H$17,3,FALSE))</f>
        <v/>
      </c>
      <c r="I795" s="7">
        <f>IF($G795&lt;&gt;"Valid","",VLOOKUP($E795&amp;"|"&amp;$F795,Cluster_Master!$I$3:$H$17,4,FALSE))</f>
        <v/>
      </c>
      <c r="J795" s="7">
        <f>IF($G795&lt;&gt;"Valid","",VLOOKUP($E795&amp;"|"&amp;$F795,Cluster_Master!$I$3:$H$17,5,FALSE))</f>
        <v/>
      </c>
      <c r="K795" s="7">
        <f>IF($G795&lt;&gt;"Valid","",VLOOKUP($E795&amp;"|"&amp;$F795,Cluster_Master!$I$3:$H$17,6,FALSE))</f>
        <v/>
      </c>
      <c r="L795" s="7">
        <f>IF($G795&lt;&gt;"Valid","",VLOOKUP($E795&amp;"|"&amp;$F795,Cluster_Master!$I$3:$H$17,7,FALSE))</f>
        <v/>
      </c>
      <c r="M795" s="7">
        <f>IF($G795&lt;&gt;"Valid","",VLOOKUP($E795&amp;"|"&amp;$F795,Cluster_Master!$I$3:$H$17,8,FALSE))</f>
        <v/>
      </c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7">
        <f>IF(COUNT(T795:AH795)=0,"",SUM(T795:AH795))</f>
        <v/>
      </c>
      <c r="AJ795" s="10">
        <f>IF(AI795="","",AI795/75)</f>
        <v/>
      </c>
      <c r="AK795" s="10">
        <f>IF(AI795="","",SUMPRODUCT(T795:AH795,KPI_Weights!$B$3:$B$17)/5)</f>
        <v/>
      </c>
      <c r="AL795" s="7">
        <f>IF(COUNT(T795:AH795)=0,"",IF(OR(T795&lt;=1,W795&lt;=1,X795&lt;=1,Y795&lt;=1,AB795&lt;=1),"YES","NO"))</f>
        <v/>
      </c>
      <c r="AM795" s="7">
        <f>IF(AK795="","",IF(AND(AK795="NO",AJ795&gt;=0.85),"YES","NO"))</f>
        <v/>
      </c>
      <c r="AN795" s="7">
        <f>IF(AJ795="","",IF(AJ795&gt;=0.90,"Excellent",IF(AJ795&gt;=0.80,"Good",IF(AJ795&gt;=0.70,"Fair","Poor"))))</f>
        <v/>
      </c>
      <c r="AO795" s="12" t="n"/>
      <c r="AP795" s="12" t="n"/>
      <c r="AQ795" s="12" t="n"/>
      <c r="AR795" s="12" t="n"/>
      <c r="AS795" s="12" t="n"/>
      <c r="AT795" s="12" t="n"/>
      <c r="AU795" s="12" t="n"/>
      <c r="AV795" s="11" t="n"/>
      <c r="AW795" s="12" t="n"/>
      <c r="AX795" s="12" t="n"/>
      <c r="AY795" s="12" t="n"/>
      <c r="AZ795" s="12" t="n"/>
      <c r="BA795" s="12" t="n"/>
      <c r="BB795" s="12" t="n"/>
      <c r="BC795" s="12" t="n"/>
      <c r="BD795" s="12" t="n"/>
      <c r="BE795" s="12" t="n"/>
      <c r="BF795" s="12" t="n"/>
    </row>
    <row r="796">
      <c r="A796" s="7">
        <f>IF(B796="","","INS-"&amp;TEXT(ROW()-3,"000"))</f>
        <v/>
      </c>
      <c r="B796" s="11" t="n"/>
      <c r="C796" s="7">
        <f>IF(B796="","",ISOWEEKNUM(B796))</f>
        <v/>
      </c>
      <c r="D796" s="7">
        <f>IF(B796="","",TEXT(B796,"yyyy-mm"))</f>
        <v/>
      </c>
      <c r="E796" s="12" t="n"/>
      <c r="F796" s="12" t="n"/>
      <c r="G796" s="7">
        <f>IF(OR(E796="",F796=""),"",IF(COUNTIF(Cluster_Master!$I$3:$I$17,E796&amp;"|"&amp;F796)=1,"Valid","Review"))</f>
        <v/>
      </c>
      <c r="H796" s="7">
        <f>IF($G796&lt;&gt;"Valid","",VLOOKUP($E796&amp;"|"&amp;$F796,Cluster_Master!$I$3:$H$17,3,FALSE))</f>
        <v/>
      </c>
      <c r="I796" s="7">
        <f>IF($G796&lt;&gt;"Valid","",VLOOKUP($E796&amp;"|"&amp;$F796,Cluster_Master!$I$3:$H$17,4,FALSE))</f>
        <v/>
      </c>
      <c r="J796" s="7">
        <f>IF($G796&lt;&gt;"Valid","",VLOOKUP($E796&amp;"|"&amp;$F796,Cluster_Master!$I$3:$H$17,5,FALSE))</f>
        <v/>
      </c>
      <c r="K796" s="7">
        <f>IF($G796&lt;&gt;"Valid","",VLOOKUP($E796&amp;"|"&amp;$F796,Cluster_Master!$I$3:$H$17,6,FALSE))</f>
        <v/>
      </c>
      <c r="L796" s="7">
        <f>IF($G796&lt;&gt;"Valid","",VLOOKUP($E796&amp;"|"&amp;$F796,Cluster_Master!$I$3:$H$17,7,FALSE))</f>
        <v/>
      </c>
      <c r="M796" s="7">
        <f>IF($G796&lt;&gt;"Valid","",VLOOKUP($E796&amp;"|"&amp;$F796,Cluster_Master!$I$3:$H$17,8,FALSE))</f>
        <v/>
      </c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7">
        <f>IF(COUNT(T796:AH796)=0,"",SUM(T796:AH796))</f>
        <v/>
      </c>
      <c r="AJ796" s="10">
        <f>IF(AI796="","",AI796/75)</f>
        <v/>
      </c>
      <c r="AK796" s="10">
        <f>IF(AI796="","",SUMPRODUCT(T796:AH796,KPI_Weights!$B$3:$B$17)/5)</f>
        <v/>
      </c>
      <c r="AL796" s="7">
        <f>IF(COUNT(T796:AH796)=0,"",IF(OR(T796&lt;=1,W796&lt;=1,X796&lt;=1,Y796&lt;=1,AB796&lt;=1),"YES","NO"))</f>
        <v/>
      </c>
      <c r="AM796" s="7">
        <f>IF(AK796="","",IF(AND(AK796="NO",AJ796&gt;=0.85),"YES","NO"))</f>
        <v/>
      </c>
      <c r="AN796" s="7">
        <f>IF(AJ796="","",IF(AJ796&gt;=0.90,"Excellent",IF(AJ796&gt;=0.80,"Good",IF(AJ796&gt;=0.70,"Fair","Poor"))))</f>
        <v/>
      </c>
      <c r="AO796" s="12" t="n"/>
      <c r="AP796" s="12" t="n"/>
      <c r="AQ796" s="12" t="n"/>
      <c r="AR796" s="12" t="n"/>
      <c r="AS796" s="12" t="n"/>
      <c r="AT796" s="12" t="n"/>
      <c r="AU796" s="12" t="n"/>
      <c r="AV796" s="11" t="n"/>
      <c r="AW796" s="12" t="n"/>
      <c r="AX796" s="12" t="n"/>
      <c r="AY796" s="12" t="n"/>
      <c r="AZ796" s="12" t="n"/>
      <c r="BA796" s="12" t="n"/>
      <c r="BB796" s="12" t="n"/>
      <c r="BC796" s="12" t="n"/>
      <c r="BD796" s="12" t="n"/>
      <c r="BE796" s="12" t="n"/>
      <c r="BF796" s="12" t="n"/>
    </row>
    <row r="797">
      <c r="A797" s="7">
        <f>IF(B797="","","INS-"&amp;TEXT(ROW()-3,"000"))</f>
        <v/>
      </c>
      <c r="B797" s="11" t="n"/>
      <c r="C797" s="7">
        <f>IF(B797="","",ISOWEEKNUM(B797))</f>
        <v/>
      </c>
      <c r="D797" s="7">
        <f>IF(B797="","",TEXT(B797,"yyyy-mm"))</f>
        <v/>
      </c>
      <c r="E797" s="12" t="n"/>
      <c r="F797" s="12" t="n"/>
      <c r="G797" s="7">
        <f>IF(OR(E797="",F797=""),"",IF(COUNTIF(Cluster_Master!$I$3:$I$17,E797&amp;"|"&amp;F797)=1,"Valid","Review"))</f>
        <v/>
      </c>
      <c r="H797" s="7">
        <f>IF($G797&lt;&gt;"Valid","",VLOOKUP($E797&amp;"|"&amp;$F797,Cluster_Master!$I$3:$H$17,3,FALSE))</f>
        <v/>
      </c>
      <c r="I797" s="7">
        <f>IF($G797&lt;&gt;"Valid","",VLOOKUP($E797&amp;"|"&amp;$F797,Cluster_Master!$I$3:$H$17,4,FALSE))</f>
        <v/>
      </c>
      <c r="J797" s="7">
        <f>IF($G797&lt;&gt;"Valid","",VLOOKUP($E797&amp;"|"&amp;$F797,Cluster_Master!$I$3:$H$17,5,FALSE))</f>
        <v/>
      </c>
      <c r="K797" s="7">
        <f>IF($G797&lt;&gt;"Valid","",VLOOKUP($E797&amp;"|"&amp;$F797,Cluster_Master!$I$3:$H$17,6,FALSE))</f>
        <v/>
      </c>
      <c r="L797" s="7">
        <f>IF($G797&lt;&gt;"Valid","",VLOOKUP($E797&amp;"|"&amp;$F797,Cluster_Master!$I$3:$H$17,7,FALSE))</f>
        <v/>
      </c>
      <c r="M797" s="7">
        <f>IF($G797&lt;&gt;"Valid","",VLOOKUP($E797&amp;"|"&amp;$F797,Cluster_Master!$I$3:$H$17,8,FALSE))</f>
        <v/>
      </c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7">
        <f>IF(COUNT(T797:AH797)=0,"",SUM(T797:AH797))</f>
        <v/>
      </c>
      <c r="AJ797" s="10">
        <f>IF(AI797="","",AI797/75)</f>
        <v/>
      </c>
      <c r="AK797" s="10">
        <f>IF(AI797="","",SUMPRODUCT(T797:AH797,KPI_Weights!$B$3:$B$17)/5)</f>
        <v/>
      </c>
      <c r="AL797" s="7">
        <f>IF(COUNT(T797:AH797)=0,"",IF(OR(T797&lt;=1,W797&lt;=1,X797&lt;=1,Y797&lt;=1,AB797&lt;=1),"YES","NO"))</f>
        <v/>
      </c>
      <c r="AM797" s="7">
        <f>IF(AK797="","",IF(AND(AK797="NO",AJ797&gt;=0.85),"YES","NO"))</f>
        <v/>
      </c>
      <c r="AN797" s="7">
        <f>IF(AJ797="","",IF(AJ797&gt;=0.90,"Excellent",IF(AJ797&gt;=0.80,"Good",IF(AJ797&gt;=0.70,"Fair","Poor"))))</f>
        <v/>
      </c>
      <c r="AO797" s="12" t="n"/>
      <c r="AP797" s="12" t="n"/>
      <c r="AQ797" s="12" t="n"/>
      <c r="AR797" s="12" t="n"/>
      <c r="AS797" s="12" t="n"/>
      <c r="AT797" s="12" t="n"/>
      <c r="AU797" s="12" t="n"/>
      <c r="AV797" s="11" t="n"/>
      <c r="AW797" s="12" t="n"/>
      <c r="AX797" s="12" t="n"/>
      <c r="AY797" s="12" t="n"/>
      <c r="AZ797" s="12" t="n"/>
      <c r="BA797" s="12" t="n"/>
      <c r="BB797" s="12" t="n"/>
      <c r="BC797" s="12" t="n"/>
      <c r="BD797" s="12" t="n"/>
      <c r="BE797" s="12" t="n"/>
      <c r="BF797" s="12" t="n"/>
    </row>
    <row r="798">
      <c r="A798" s="7">
        <f>IF(B798="","","INS-"&amp;TEXT(ROW()-3,"000"))</f>
        <v/>
      </c>
      <c r="B798" s="11" t="n"/>
      <c r="C798" s="7">
        <f>IF(B798="","",ISOWEEKNUM(B798))</f>
        <v/>
      </c>
      <c r="D798" s="7">
        <f>IF(B798="","",TEXT(B798,"yyyy-mm"))</f>
        <v/>
      </c>
      <c r="E798" s="12" t="n"/>
      <c r="F798" s="12" t="n"/>
      <c r="G798" s="7">
        <f>IF(OR(E798="",F798=""),"",IF(COUNTIF(Cluster_Master!$I$3:$I$17,E798&amp;"|"&amp;F798)=1,"Valid","Review"))</f>
        <v/>
      </c>
      <c r="H798" s="7">
        <f>IF($G798&lt;&gt;"Valid","",VLOOKUP($E798&amp;"|"&amp;$F798,Cluster_Master!$I$3:$H$17,3,FALSE))</f>
        <v/>
      </c>
      <c r="I798" s="7">
        <f>IF($G798&lt;&gt;"Valid","",VLOOKUP($E798&amp;"|"&amp;$F798,Cluster_Master!$I$3:$H$17,4,FALSE))</f>
        <v/>
      </c>
      <c r="J798" s="7">
        <f>IF($G798&lt;&gt;"Valid","",VLOOKUP($E798&amp;"|"&amp;$F798,Cluster_Master!$I$3:$H$17,5,FALSE))</f>
        <v/>
      </c>
      <c r="K798" s="7">
        <f>IF($G798&lt;&gt;"Valid","",VLOOKUP($E798&amp;"|"&amp;$F798,Cluster_Master!$I$3:$H$17,6,FALSE))</f>
        <v/>
      </c>
      <c r="L798" s="7">
        <f>IF($G798&lt;&gt;"Valid","",VLOOKUP($E798&amp;"|"&amp;$F798,Cluster_Master!$I$3:$H$17,7,FALSE))</f>
        <v/>
      </c>
      <c r="M798" s="7">
        <f>IF($G798&lt;&gt;"Valid","",VLOOKUP($E798&amp;"|"&amp;$F798,Cluster_Master!$I$3:$H$17,8,FALSE))</f>
        <v/>
      </c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7">
        <f>IF(COUNT(T798:AH798)=0,"",SUM(T798:AH798))</f>
        <v/>
      </c>
      <c r="AJ798" s="10">
        <f>IF(AI798="","",AI798/75)</f>
        <v/>
      </c>
      <c r="AK798" s="10">
        <f>IF(AI798="","",SUMPRODUCT(T798:AH798,KPI_Weights!$B$3:$B$17)/5)</f>
        <v/>
      </c>
      <c r="AL798" s="7">
        <f>IF(COUNT(T798:AH798)=0,"",IF(OR(T798&lt;=1,W798&lt;=1,X798&lt;=1,Y798&lt;=1,AB798&lt;=1),"YES","NO"))</f>
        <v/>
      </c>
      <c r="AM798" s="7">
        <f>IF(AK798="","",IF(AND(AK798="NO",AJ798&gt;=0.85),"YES","NO"))</f>
        <v/>
      </c>
      <c r="AN798" s="7">
        <f>IF(AJ798="","",IF(AJ798&gt;=0.90,"Excellent",IF(AJ798&gt;=0.80,"Good",IF(AJ798&gt;=0.70,"Fair","Poor"))))</f>
        <v/>
      </c>
      <c r="AO798" s="12" t="n"/>
      <c r="AP798" s="12" t="n"/>
      <c r="AQ798" s="12" t="n"/>
      <c r="AR798" s="12" t="n"/>
      <c r="AS798" s="12" t="n"/>
      <c r="AT798" s="12" t="n"/>
      <c r="AU798" s="12" t="n"/>
      <c r="AV798" s="11" t="n"/>
      <c r="AW798" s="12" t="n"/>
      <c r="AX798" s="12" t="n"/>
      <c r="AY798" s="12" t="n"/>
      <c r="AZ798" s="12" t="n"/>
      <c r="BA798" s="12" t="n"/>
      <c r="BB798" s="12" t="n"/>
      <c r="BC798" s="12" t="n"/>
      <c r="BD798" s="12" t="n"/>
      <c r="BE798" s="12" t="n"/>
      <c r="BF798" s="12" t="n"/>
    </row>
    <row r="799">
      <c r="A799" s="7">
        <f>IF(B799="","","INS-"&amp;TEXT(ROW()-3,"000"))</f>
        <v/>
      </c>
      <c r="B799" s="11" t="n"/>
      <c r="C799" s="7">
        <f>IF(B799="","",ISOWEEKNUM(B799))</f>
        <v/>
      </c>
      <c r="D799" s="7">
        <f>IF(B799="","",TEXT(B799,"yyyy-mm"))</f>
        <v/>
      </c>
      <c r="E799" s="12" t="n"/>
      <c r="F799" s="12" t="n"/>
      <c r="G799" s="7">
        <f>IF(OR(E799="",F799=""),"",IF(COUNTIF(Cluster_Master!$I$3:$I$17,E799&amp;"|"&amp;F799)=1,"Valid","Review"))</f>
        <v/>
      </c>
      <c r="H799" s="7">
        <f>IF($G799&lt;&gt;"Valid","",VLOOKUP($E799&amp;"|"&amp;$F799,Cluster_Master!$I$3:$H$17,3,FALSE))</f>
        <v/>
      </c>
      <c r="I799" s="7">
        <f>IF($G799&lt;&gt;"Valid","",VLOOKUP($E799&amp;"|"&amp;$F799,Cluster_Master!$I$3:$H$17,4,FALSE))</f>
        <v/>
      </c>
      <c r="J799" s="7">
        <f>IF($G799&lt;&gt;"Valid","",VLOOKUP($E799&amp;"|"&amp;$F799,Cluster_Master!$I$3:$H$17,5,FALSE))</f>
        <v/>
      </c>
      <c r="K799" s="7">
        <f>IF($G799&lt;&gt;"Valid","",VLOOKUP($E799&amp;"|"&amp;$F799,Cluster_Master!$I$3:$H$17,6,FALSE))</f>
        <v/>
      </c>
      <c r="L799" s="7">
        <f>IF($G799&lt;&gt;"Valid","",VLOOKUP($E799&amp;"|"&amp;$F799,Cluster_Master!$I$3:$H$17,7,FALSE))</f>
        <v/>
      </c>
      <c r="M799" s="7">
        <f>IF($G799&lt;&gt;"Valid","",VLOOKUP($E799&amp;"|"&amp;$F799,Cluster_Master!$I$3:$H$17,8,FALSE))</f>
        <v/>
      </c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7">
        <f>IF(COUNT(T799:AH799)=0,"",SUM(T799:AH799))</f>
        <v/>
      </c>
      <c r="AJ799" s="10">
        <f>IF(AI799="","",AI799/75)</f>
        <v/>
      </c>
      <c r="AK799" s="10">
        <f>IF(AI799="","",SUMPRODUCT(T799:AH799,KPI_Weights!$B$3:$B$17)/5)</f>
        <v/>
      </c>
      <c r="AL799" s="7">
        <f>IF(COUNT(T799:AH799)=0,"",IF(OR(T799&lt;=1,W799&lt;=1,X799&lt;=1,Y799&lt;=1,AB799&lt;=1),"YES","NO"))</f>
        <v/>
      </c>
      <c r="AM799" s="7">
        <f>IF(AK799="","",IF(AND(AK799="NO",AJ799&gt;=0.85),"YES","NO"))</f>
        <v/>
      </c>
      <c r="AN799" s="7">
        <f>IF(AJ799="","",IF(AJ799&gt;=0.90,"Excellent",IF(AJ799&gt;=0.80,"Good",IF(AJ799&gt;=0.70,"Fair","Poor"))))</f>
        <v/>
      </c>
      <c r="AO799" s="12" t="n"/>
      <c r="AP799" s="12" t="n"/>
      <c r="AQ799" s="12" t="n"/>
      <c r="AR799" s="12" t="n"/>
      <c r="AS799" s="12" t="n"/>
      <c r="AT799" s="12" t="n"/>
      <c r="AU799" s="12" t="n"/>
      <c r="AV799" s="11" t="n"/>
      <c r="AW799" s="12" t="n"/>
      <c r="AX799" s="12" t="n"/>
      <c r="AY799" s="12" t="n"/>
      <c r="AZ799" s="12" t="n"/>
      <c r="BA799" s="12" t="n"/>
      <c r="BB799" s="12" t="n"/>
      <c r="BC799" s="12" t="n"/>
      <c r="BD799" s="12" t="n"/>
      <c r="BE799" s="12" t="n"/>
      <c r="BF799" s="12" t="n"/>
    </row>
    <row r="800">
      <c r="A800" s="7">
        <f>IF(B800="","","INS-"&amp;TEXT(ROW()-3,"000"))</f>
        <v/>
      </c>
      <c r="B800" s="11" t="n"/>
      <c r="C800" s="7">
        <f>IF(B800="","",ISOWEEKNUM(B800))</f>
        <v/>
      </c>
      <c r="D800" s="7">
        <f>IF(B800="","",TEXT(B800,"yyyy-mm"))</f>
        <v/>
      </c>
      <c r="E800" s="12" t="n"/>
      <c r="F800" s="12" t="n"/>
      <c r="G800" s="7">
        <f>IF(OR(E800="",F800=""),"",IF(COUNTIF(Cluster_Master!$I$3:$I$17,E800&amp;"|"&amp;F800)=1,"Valid","Review"))</f>
        <v/>
      </c>
      <c r="H800" s="7">
        <f>IF($G800&lt;&gt;"Valid","",VLOOKUP($E800&amp;"|"&amp;$F800,Cluster_Master!$I$3:$H$17,3,FALSE))</f>
        <v/>
      </c>
      <c r="I800" s="7">
        <f>IF($G800&lt;&gt;"Valid","",VLOOKUP($E800&amp;"|"&amp;$F800,Cluster_Master!$I$3:$H$17,4,FALSE))</f>
        <v/>
      </c>
      <c r="J800" s="7">
        <f>IF($G800&lt;&gt;"Valid","",VLOOKUP($E800&amp;"|"&amp;$F800,Cluster_Master!$I$3:$H$17,5,FALSE))</f>
        <v/>
      </c>
      <c r="K800" s="7">
        <f>IF($G800&lt;&gt;"Valid","",VLOOKUP($E800&amp;"|"&amp;$F800,Cluster_Master!$I$3:$H$17,6,FALSE))</f>
        <v/>
      </c>
      <c r="L800" s="7">
        <f>IF($G800&lt;&gt;"Valid","",VLOOKUP($E800&amp;"|"&amp;$F800,Cluster_Master!$I$3:$H$17,7,FALSE))</f>
        <v/>
      </c>
      <c r="M800" s="7">
        <f>IF($G800&lt;&gt;"Valid","",VLOOKUP($E800&amp;"|"&amp;$F800,Cluster_Master!$I$3:$H$17,8,FALSE))</f>
        <v/>
      </c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7">
        <f>IF(COUNT(T800:AH800)=0,"",SUM(T800:AH800))</f>
        <v/>
      </c>
      <c r="AJ800" s="10">
        <f>IF(AI800="","",AI800/75)</f>
        <v/>
      </c>
      <c r="AK800" s="10">
        <f>IF(AI800="","",SUMPRODUCT(T800:AH800,KPI_Weights!$B$3:$B$17)/5)</f>
        <v/>
      </c>
      <c r="AL800" s="7">
        <f>IF(COUNT(T800:AH800)=0,"",IF(OR(T800&lt;=1,W800&lt;=1,X800&lt;=1,Y800&lt;=1,AB800&lt;=1),"YES","NO"))</f>
        <v/>
      </c>
      <c r="AM800" s="7">
        <f>IF(AK800="","",IF(AND(AK800="NO",AJ800&gt;=0.85),"YES","NO"))</f>
        <v/>
      </c>
      <c r="AN800" s="7">
        <f>IF(AJ800="","",IF(AJ800&gt;=0.90,"Excellent",IF(AJ800&gt;=0.80,"Good",IF(AJ800&gt;=0.70,"Fair","Poor"))))</f>
        <v/>
      </c>
      <c r="AO800" s="12" t="n"/>
      <c r="AP800" s="12" t="n"/>
      <c r="AQ800" s="12" t="n"/>
      <c r="AR800" s="12" t="n"/>
      <c r="AS800" s="12" t="n"/>
      <c r="AT800" s="12" t="n"/>
      <c r="AU800" s="12" t="n"/>
      <c r="AV800" s="11" t="n"/>
      <c r="AW800" s="12" t="n"/>
      <c r="AX800" s="12" t="n"/>
      <c r="AY800" s="12" t="n"/>
      <c r="AZ800" s="12" t="n"/>
      <c r="BA800" s="12" t="n"/>
      <c r="BB800" s="12" t="n"/>
      <c r="BC800" s="12" t="n"/>
      <c r="BD800" s="12" t="n"/>
      <c r="BE800" s="12" t="n"/>
      <c r="BF800" s="12" t="n"/>
    </row>
    <row r="801">
      <c r="A801" s="7">
        <f>IF(B801="","","INS-"&amp;TEXT(ROW()-3,"000"))</f>
        <v/>
      </c>
      <c r="B801" s="11" t="n"/>
      <c r="C801" s="7">
        <f>IF(B801="","",ISOWEEKNUM(B801))</f>
        <v/>
      </c>
      <c r="D801" s="7">
        <f>IF(B801="","",TEXT(B801,"yyyy-mm"))</f>
        <v/>
      </c>
      <c r="E801" s="12" t="n"/>
      <c r="F801" s="12" t="n"/>
      <c r="G801" s="7">
        <f>IF(OR(E801="",F801=""),"",IF(COUNTIF(Cluster_Master!$I$3:$I$17,E801&amp;"|"&amp;F801)=1,"Valid","Review"))</f>
        <v/>
      </c>
      <c r="H801" s="7">
        <f>IF($G801&lt;&gt;"Valid","",VLOOKUP($E801&amp;"|"&amp;$F801,Cluster_Master!$I$3:$H$17,3,FALSE))</f>
        <v/>
      </c>
      <c r="I801" s="7">
        <f>IF($G801&lt;&gt;"Valid","",VLOOKUP($E801&amp;"|"&amp;$F801,Cluster_Master!$I$3:$H$17,4,FALSE))</f>
        <v/>
      </c>
      <c r="J801" s="7">
        <f>IF($G801&lt;&gt;"Valid","",VLOOKUP($E801&amp;"|"&amp;$F801,Cluster_Master!$I$3:$H$17,5,FALSE))</f>
        <v/>
      </c>
      <c r="K801" s="7">
        <f>IF($G801&lt;&gt;"Valid","",VLOOKUP($E801&amp;"|"&amp;$F801,Cluster_Master!$I$3:$H$17,6,FALSE))</f>
        <v/>
      </c>
      <c r="L801" s="7">
        <f>IF($G801&lt;&gt;"Valid","",VLOOKUP($E801&amp;"|"&amp;$F801,Cluster_Master!$I$3:$H$17,7,FALSE))</f>
        <v/>
      </c>
      <c r="M801" s="7">
        <f>IF($G801&lt;&gt;"Valid","",VLOOKUP($E801&amp;"|"&amp;$F801,Cluster_Master!$I$3:$H$17,8,FALSE))</f>
        <v/>
      </c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7">
        <f>IF(COUNT(T801:AH801)=0,"",SUM(T801:AH801))</f>
        <v/>
      </c>
      <c r="AJ801" s="10">
        <f>IF(AI801="","",AI801/75)</f>
        <v/>
      </c>
      <c r="AK801" s="10">
        <f>IF(AI801="","",SUMPRODUCT(T801:AH801,KPI_Weights!$B$3:$B$17)/5)</f>
        <v/>
      </c>
      <c r="AL801" s="7">
        <f>IF(COUNT(T801:AH801)=0,"",IF(OR(T801&lt;=1,W801&lt;=1,X801&lt;=1,Y801&lt;=1,AB801&lt;=1),"YES","NO"))</f>
        <v/>
      </c>
      <c r="AM801" s="7">
        <f>IF(AK801="","",IF(AND(AK801="NO",AJ801&gt;=0.85),"YES","NO"))</f>
        <v/>
      </c>
      <c r="AN801" s="7">
        <f>IF(AJ801="","",IF(AJ801&gt;=0.90,"Excellent",IF(AJ801&gt;=0.80,"Good",IF(AJ801&gt;=0.70,"Fair","Poor"))))</f>
        <v/>
      </c>
      <c r="AO801" s="12" t="n"/>
      <c r="AP801" s="12" t="n"/>
      <c r="AQ801" s="12" t="n"/>
      <c r="AR801" s="12" t="n"/>
      <c r="AS801" s="12" t="n"/>
      <c r="AT801" s="12" t="n"/>
      <c r="AU801" s="12" t="n"/>
      <c r="AV801" s="11" t="n"/>
      <c r="AW801" s="12" t="n"/>
      <c r="AX801" s="12" t="n"/>
      <c r="AY801" s="12" t="n"/>
      <c r="AZ801" s="12" t="n"/>
      <c r="BA801" s="12" t="n"/>
      <c r="BB801" s="12" t="n"/>
      <c r="BC801" s="12" t="n"/>
      <c r="BD801" s="12" t="n"/>
      <c r="BE801" s="12" t="n"/>
      <c r="BF801" s="12" t="n"/>
    </row>
    <row r="802">
      <c r="A802" s="7">
        <f>IF(B802="","","INS-"&amp;TEXT(ROW()-3,"000"))</f>
        <v/>
      </c>
      <c r="B802" s="11" t="n"/>
      <c r="C802" s="7">
        <f>IF(B802="","",ISOWEEKNUM(B802))</f>
        <v/>
      </c>
      <c r="D802" s="7">
        <f>IF(B802="","",TEXT(B802,"yyyy-mm"))</f>
        <v/>
      </c>
      <c r="E802" s="12" t="n"/>
      <c r="F802" s="12" t="n"/>
      <c r="G802" s="7">
        <f>IF(OR(E802="",F802=""),"",IF(COUNTIF(Cluster_Master!$I$3:$I$17,E802&amp;"|"&amp;F802)=1,"Valid","Review"))</f>
        <v/>
      </c>
      <c r="H802" s="7">
        <f>IF($G802&lt;&gt;"Valid","",VLOOKUP($E802&amp;"|"&amp;$F802,Cluster_Master!$I$3:$H$17,3,FALSE))</f>
        <v/>
      </c>
      <c r="I802" s="7">
        <f>IF($G802&lt;&gt;"Valid","",VLOOKUP($E802&amp;"|"&amp;$F802,Cluster_Master!$I$3:$H$17,4,FALSE))</f>
        <v/>
      </c>
      <c r="J802" s="7">
        <f>IF($G802&lt;&gt;"Valid","",VLOOKUP($E802&amp;"|"&amp;$F802,Cluster_Master!$I$3:$H$17,5,FALSE))</f>
        <v/>
      </c>
      <c r="K802" s="7">
        <f>IF($G802&lt;&gt;"Valid","",VLOOKUP($E802&amp;"|"&amp;$F802,Cluster_Master!$I$3:$H$17,6,FALSE))</f>
        <v/>
      </c>
      <c r="L802" s="7">
        <f>IF($G802&lt;&gt;"Valid","",VLOOKUP($E802&amp;"|"&amp;$F802,Cluster_Master!$I$3:$H$17,7,FALSE))</f>
        <v/>
      </c>
      <c r="M802" s="7">
        <f>IF($G802&lt;&gt;"Valid","",VLOOKUP($E802&amp;"|"&amp;$F802,Cluster_Master!$I$3:$H$17,8,FALSE))</f>
        <v/>
      </c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7">
        <f>IF(COUNT(T802:AH802)=0,"",SUM(T802:AH802))</f>
        <v/>
      </c>
      <c r="AJ802" s="10">
        <f>IF(AI802="","",AI802/75)</f>
        <v/>
      </c>
      <c r="AK802" s="10">
        <f>IF(AI802="","",SUMPRODUCT(T802:AH802,KPI_Weights!$B$3:$B$17)/5)</f>
        <v/>
      </c>
      <c r="AL802" s="7">
        <f>IF(COUNT(T802:AH802)=0,"",IF(OR(T802&lt;=1,W802&lt;=1,X802&lt;=1,Y802&lt;=1,AB802&lt;=1),"YES","NO"))</f>
        <v/>
      </c>
      <c r="AM802" s="7">
        <f>IF(AK802="","",IF(AND(AK802="NO",AJ802&gt;=0.85),"YES","NO"))</f>
        <v/>
      </c>
      <c r="AN802" s="7">
        <f>IF(AJ802="","",IF(AJ802&gt;=0.90,"Excellent",IF(AJ802&gt;=0.80,"Good",IF(AJ802&gt;=0.70,"Fair","Poor"))))</f>
        <v/>
      </c>
      <c r="AO802" s="12" t="n"/>
      <c r="AP802" s="12" t="n"/>
      <c r="AQ802" s="12" t="n"/>
      <c r="AR802" s="12" t="n"/>
      <c r="AS802" s="12" t="n"/>
      <c r="AT802" s="12" t="n"/>
      <c r="AU802" s="12" t="n"/>
      <c r="AV802" s="11" t="n"/>
      <c r="AW802" s="12" t="n"/>
      <c r="AX802" s="12" t="n"/>
      <c r="AY802" s="12" t="n"/>
      <c r="AZ802" s="12" t="n"/>
      <c r="BA802" s="12" t="n"/>
      <c r="BB802" s="12" t="n"/>
      <c r="BC802" s="12" t="n"/>
      <c r="BD802" s="12" t="n"/>
      <c r="BE802" s="12" t="n"/>
      <c r="BF802" s="12" t="n"/>
    </row>
    <row r="803">
      <c r="A803" s="7">
        <f>IF(B803="","","INS-"&amp;TEXT(ROW()-3,"000"))</f>
        <v/>
      </c>
      <c r="B803" s="11" t="n"/>
      <c r="C803" s="7">
        <f>IF(B803="","",ISOWEEKNUM(B803))</f>
        <v/>
      </c>
      <c r="D803" s="7">
        <f>IF(B803="","",TEXT(B803,"yyyy-mm"))</f>
        <v/>
      </c>
      <c r="E803" s="12" t="n"/>
      <c r="F803" s="12" t="n"/>
      <c r="G803" s="7">
        <f>IF(OR(E803="",F803=""),"",IF(COUNTIF(Cluster_Master!$I$3:$I$17,E803&amp;"|"&amp;F803)=1,"Valid","Review"))</f>
        <v/>
      </c>
      <c r="H803" s="7">
        <f>IF($G803&lt;&gt;"Valid","",VLOOKUP($E803&amp;"|"&amp;$F803,Cluster_Master!$I$3:$H$17,3,FALSE))</f>
        <v/>
      </c>
      <c r="I803" s="7">
        <f>IF($G803&lt;&gt;"Valid","",VLOOKUP($E803&amp;"|"&amp;$F803,Cluster_Master!$I$3:$H$17,4,FALSE))</f>
        <v/>
      </c>
      <c r="J803" s="7">
        <f>IF($G803&lt;&gt;"Valid","",VLOOKUP($E803&amp;"|"&amp;$F803,Cluster_Master!$I$3:$H$17,5,FALSE))</f>
        <v/>
      </c>
      <c r="K803" s="7">
        <f>IF($G803&lt;&gt;"Valid","",VLOOKUP($E803&amp;"|"&amp;$F803,Cluster_Master!$I$3:$H$17,6,FALSE))</f>
        <v/>
      </c>
      <c r="L803" s="7">
        <f>IF($G803&lt;&gt;"Valid","",VLOOKUP($E803&amp;"|"&amp;$F803,Cluster_Master!$I$3:$H$17,7,FALSE))</f>
        <v/>
      </c>
      <c r="M803" s="7">
        <f>IF($G803&lt;&gt;"Valid","",VLOOKUP($E803&amp;"|"&amp;$F803,Cluster_Master!$I$3:$H$17,8,FALSE))</f>
        <v/>
      </c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7">
        <f>IF(COUNT(T803:AH803)=0,"",SUM(T803:AH803))</f>
        <v/>
      </c>
      <c r="AJ803" s="10">
        <f>IF(AI803="","",AI803/75)</f>
        <v/>
      </c>
      <c r="AK803" s="10">
        <f>IF(AI803="","",SUMPRODUCT(T803:AH803,KPI_Weights!$B$3:$B$17)/5)</f>
        <v/>
      </c>
      <c r="AL803" s="7">
        <f>IF(COUNT(T803:AH803)=0,"",IF(OR(T803&lt;=1,W803&lt;=1,X803&lt;=1,Y803&lt;=1,AB803&lt;=1),"YES","NO"))</f>
        <v/>
      </c>
      <c r="AM803" s="7">
        <f>IF(AK803="","",IF(AND(AK803="NO",AJ803&gt;=0.85),"YES","NO"))</f>
        <v/>
      </c>
      <c r="AN803" s="7">
        <f>IF(AJ803="","",IF(AJ803&gt;=0.90,"Excellent",IF(AJ803&gt;=0.80,"Good",IF(AJ803&gt;=0.70,"Fair","Poor"))))</f>
        <v/>
      </c>
      <c r="AO803" s="12" t="n"/>
      <c r="AP803" s="12" t="n"/>
      <c r="AQ803" s="12" t="n"/>
      <c r="AR803" s="12" t="n"/>
      <c r="AS803" s="12" t="n"/>
      <c r="AT803" s="12" t="n"/>
      <c r="AU803" s="12" t="n"/>
      <c r="AV803" s="11" t="n"/>
      <c r="AW803" s="12" t="n"/>
      <c r="AX803" s="12" t="n"/>
      <c r="AY803" s="12" t="n"/>
      <c r="AZ803" s="12" t="n"/>
      <c r="BA803" s="12" t="n"/>
      <c r="BB803" s="12" t="n"/>
      <c r="BC803" s="12" t="n"/>
      <c r="BD803" s="12" t="n"/>
      <c r="BE803" s="12" t="n"/>
      <c r="BF803" s="12" t="n"/>
    </row>
    <row r="804">
      <c r="A804" s="7">
        <f>IF(B804="","","INS-"&amp;TEXT(ROW()-3,"000"))</f>
        <v/>
      </c>
      <c r="B804" s="11" t="n"/>
      <c r="C804" s="7">
        <f>IF(B804="","",ISOWEEKNUM(B804))</f>
        <v/>
      </c>
      <c r="D804" s="7">
        <f>IF(B804="","",TEXT(B804,"yyyy-mm"))</f>
        <v/>
      </c>
      <c r="E804" s="12" t="n"/>
      <c r="F804" s="12" t="n"/>
      <c r="G804" s="7">
        <f>IF(OR(E804="",F804=""),"",IF(COUNTIF(Cluster_Master!$I$3:$I$17,E804&amp;"|"&amp;F804)=1,"Valid","Review"))</f>
        <v/>
      </c>
      <c r="H804" s="7">
        <f>IF($G804&lt;&gt;"Valid","",VLOOKUP($E804&amp;"|"&amp;$F804,Cluster_Master!$I$3:$H$17,3,FALSE))</f>
        <v/>
      </c>
      <c r="I804" s="7">
        <f>IF($G804&lt;&gt;"Valid","",VLOOKUP($E804&amp;"|"&amp;$F804,Cluster_Master!$I$3:$H$17,4,FALSE))</f>
        <v/>
      </c>
      <c r="J804" s="7">
        <f>IF($G804&lt;&gt;"Valid","",VLOOKUP($E804&amp;"|"&amp;$F804,Cluster_Master!$I$3:$H$17,5,FALSE))</f>
        <v/>
      </c>
      <c r="K804" s="7">
        <f>IF($G804&lt;&gt;"Valid","",VLOOKUP($E804&amp;"|"&amp;$F804,Cluster_Master!$I$3:$H$17,6,FALSE))</f>
        <v/>
      </c>
      <c r="L804" s="7">
        <f>IF($G804&lt;&gt;"Valid","",VLOOKUP($E804&amp;"|"&amp;$F804,Cluster_Master!$I$3:$H$17,7,FALSE))</f>
        <v/>
      </c>
      <c r="M804" s="7">
        <f>IF($G804&lt;&gt;"Valid","",VLOOKUP($E804&amp;"|"&amp;$F804,Cluster_Master!$I$3:$H$17,8,FALSE))</f>
        <v/>
      </c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7">
        <f>IF(COUNT(T804:AH804)=0,"",SUM(T804:AH804))</f>
        <v/>
      </c>
      <c r="AJ804" s="10">
        <f>IF(AI804="","",AI804/75)</f>
        <v/>
      </c>
      <c r="AK804" s="10">
        <f>IF(AI804="","",SUMPRODUCT(T804:AH804,KPI_Weights!$B$3:$B$17)/5)</f>
        <v/>
      </c>
      <c r="AL804" s="7">
        <f>IF(COUNT(T804:AH804)=0,"",IF(OR(T804&lt;=1,W804&lt;=1,X804&lt;=1,Y804&lt;=1,AB804&lt;=1),"YES","NO"))</f>
        <v/>
      </c>
      <c r="AM804" s="7">
        <f>IF(AK804="","",IF(AND(AK804="NO",AJ804&gt;=0.85),"YES","NO"))</f>
        <v/>
      </c>
      <c r="AN804" s="7">
        <f>IF(AJ804="","",IF(AJ804&gt;=0.90,"Excellent",IF(AJ804&gt;=0.80,"Good",IF(AJ804&gt;=0.70,"Fair","Poor"))))</f>
        <v/>
      </c>
      <c r="AO804" s="12" t="n"/>
      <c r="AP804" s="12" t="n"/>
      <c r="AQ804" s="12" t="n"/>
      <c r="AR804" s="12" t="n"/>
      <c r="AS804" s="12" t="n"/>
      <c r="AT804" s="12" t="n"/>
      <c r="AU804" s="12" t="n"/>
      <c r="AV804" s="11" t="n"/>
      <c r="AW804" s="12" t="n"/>
      <c r="AX804" s="12" t="n"/>
      <c r="AY804" s="12" t="n"/>
      <c r="AZ804" s="12" t="n"/>
      <c r="BA804" s="12" t="n"/>
      <c r="BB804" s="12" t="n"/>
      <c r="BC804" s="12" t="n"/>
      <c r="BD804" s="12" t="n"/>
      <c r="BE804" s="12" t="n"/>
      <c r="BF804" s="12" t="n"/>
    </row>
    <row r="805">
      <c r="A805" s="7">
        <f>IF(B805="","","INS-"&amp;TEXT(ROW()-3,"000"))</f>
        <v/>
      </c>
      <c r="B805" s="11" t="n"/>
      <c r="C805" s="7">
        <f>IF(B805="","",ISOWEEKNUM(B805))</f>
        <v/>
      </c>
      <c r="D805" s="7">
        <f>IF(B805="","",TEXT(B805,"yyyy-mm"))</f>
        <v/>
      </c>
      <c r="E805" s="12" t="n"/>
      <c r="F805" s="12" t="n"/>
      <c r="G805" s="7">
        <f>IF(OR(E805="",F805=""),"",IF(COUNTIF(Cluster_Master!$I$3:$I$17,E805&amp;"|"&amp;F805)=1,"Valid","Review"))</f>
        <v/>
      </c>
      <c r="H805" s="7">
        <f>IF($G805&lt;&gt;"Valid","",VLOOKUP($E805&amp;"|"&amp;$F805,Cluster_Master!$I$3:$H$17,3,FALSE))</f>
        <v/>
      </c>
      <c r="I805" s="7">
        <f>IF($G805&lt;&gt;"Valid","",VLOOKUP($E805&amp;"|"&amp;$F805,Cluster_Master!$I$3:$H$17,4,FALSE))</f>
        <v/>
      </c>
      <c r="J805" s="7">
        <f>IF($G805&lt;&gt;"Valid","",VLOOKUP($E805&amp;"|"&amp;$F805,Cluster_Master!$I$3:$H$17,5,FALSE))</f>
        <v/>
      </c>
      <c r="K805" s="7">
        <f>IF($G805&lt;&gt;"Valid","",VLOOKUP($E805&amp;"|"&amp;$F805,Cluster_Master!$I$3:$H$17,6,FALSE))</f>
        <v/>
      </c>
      <c r="L805" s="7">
        <f>IF($G805&lt;&gt;"Valid","",VLOOKUP($E805&amp;"|"&amp;$F805,Cluster_Master!$I$3:$H$17,7,FALSE))</f>
        <v/>
      </c>
      <c r="M805" s="7">
        <f>IF($G805&lt;&gt;"Valid","",VLOOKUP($E805&amp;"|"&amp;$F805,Cluster_Master!$I$3:$H$17,8,FALSE))</f>
        <v/>
      </c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7">
        <f>IF(COUNT(T805:AH805)=0,"",SUM(T805:AH805))</f>
        <v/>
      </c>
      <c r="AJ805" s="10">
        <f>IF(AI805="","",AI805/75)</f>
        <v/>
      </c>
      <c r="AK805" s="10">
        <f>IF(AI805="","",SUMPRODUCT(T805:AH805,KPI_Weights!$B$3:$B$17)/5)</f>
        <v/>
      </c>
      <c r="AL805" s="7">
        <f>IF(COUNT(T805:AH805)=0,"",IF(OR(T805&lt;=1,W805&lt;=1,X805&lt;=1,Y805&lt;=1,AB805&lt;=1),"YES","NO"))</f>
        <v/>
      </c>
      <c r="AM805" s="7">
        <f>IF(AK805="","",IF(AND(AK805="NO",AJ805&gt;=0.85),"YES","NO"))</f>
        <v/>
      </c>
      <c r="AN805" s="7">
        <f>IF(AJ805="","",IF(AJ805&gt;=0.90,"Excellent",IF(AJ805&gt;=0.80,"Good",IF(AJ805&gt;=0.70,"Fair","Poor"))))</f>
        <v/>
      </c>
      <c r="AO805" s="12" t="n"/>
      <c r="AP805" s="12" t="n"/>
      <c r="AQ805" s="12" t="n"/>
      <c r="AR805" s="12" t="n"/>
      <c r="AS805" s="12" t="n"/>
      <c r="AT805" s="12" t="n"/>
      <c r="AU805" s="12" t="n"/>
      <c r="AV805" s="11" t="n"/>
      <c r="AW805" s="12" t="n"/>
      <c r="AX805" s="12" t="n"/>
      <c r="AY805" s="12" t="n"/>
      <c r="AZ805" s="12" t="n"/>
      <c r="BA805" s="12" t="n"/>
      <c r="BB805" s="12" t="n"/>
      <c r="BC805" s="12" t="n"/>
      <c r="BD805" s="12" t="n"/>
      <c r="BE805" s="12" t="n"/>
      <c r="BF805" s="12" t="n"/>
    </row>
    <row r="806">
      <c r="A806" s="7">
        <f>IF(B806="","","INS-"&amp;TEXT(ROW()-3,"000"))</f>
        <v/>
      </c>
      <c r="B806" s="11" t="n"/>
      <c r="C806" s="7">
        <f>IF(B806="","",ISOWEEKNUM(B806))</f>
        <v/>
      </c>
      <c r="D806" s="7">
        <f>IF(B806="","",TEXT(B806,"yyyy-mm"))</f>
        <v/>
      </c>
      <c r="E806" s="12" t="n"/>
      <c r="F806" s="12" t="n"/>
      <c r="G806" s="7">
        <f>IF(OR(E806="",F806=""),"",IF(COUNTIF(Cluster_Master!$I$3:$I$17,E806&amp;"|"&amp;F806)=1,"Valid","Review"))</f>
        <v/>
      </c>
      <c r="H806" s="7">
        <f>IF($G806&lt;&gt;"Valid","",VLOOKUP($E806&amp;"|"&amp;$F806,Cluster_Master!$I$3:$H$17,3,FALSE))</f>
        <v/>
      </c>
      <c r="I806" s="7">
        <f>IF($G806&lt;&gt;"Valid","",VLOOKUP($E806&amp;"|"&amp;$F806,Cluster_Master!$I$3:$H$17,4,FALSE))</f>
        <v/>
      </c>
      <c r="J806" s="7">
        <f>IF($G806&lt;&gt;"Valid","",VLOOKUP($E806&amp;"|"&amp;$F806,Cluster_Master!$I$3:$H$17,5,FALSE))</f>
        <v/>
      </c>
      <c r="K806" s="7">
        <f>IF($G806&lt;&gt;"Valid","",VLOOKUP($E806&amp;"|"&amp;$F806,Cluster_Master!$I$3:$H$17,6,FALSE))</f>
        <v/>
      </c>
      <c r="L806" s="7">
        <f>IF($G806&lt;&gt;"Valid","",VLOOKUP($E806&amp;"|"&amp;$F806,Cluster_Master!$I$3:$H$17,7,FALSE))</f>
        <v/>
      </c>
      <c r="M806" s="7">
        <f>IF($G806&lt;&gt;"Valid","",VLOOKUP($E806&amp;"|"&amp;$F806,Cluster_Master!$I$3:$H$17,8,FALSE))</f>
        <v/>
      </c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7">
        <f>IF(COUNT(T806:AH806)=0,"",SUM(T806:AH806))</f>
        <v/>
      </c>
      <c r="AJ806" s="10">
        <f>IF(AI806="","",AI806/75)</f>
        <v/>
      </c>
      <c r="AK806" s="10">
        <f>IF(AI806="","",SUMPRODUCT(T806:AH806,KPI_Weights!$B$3:$B$17)/5)</f>
        <v/>
      </c>
      <c r="AL806" s="7">
        <f>IF(COUNT(T806:AH806)=0,"",IF(OR(T806&lt;=1,W806&lt;=1,X806&lt;=1,Y806&lt;=1,AB806&lt;=1),"YES","NO"))</f>
        <v/>
      </c>
      <c r="AM806" s="7">
        <f>IF(AK806="","",IF(AND(AK806="NO",AJ806&gt;=0.85),"YES","NO"))</f>
        <v/>
      </c>
      <c r="AN806" s="7">
        <f>IF(AJ806="","",IF(AJ806&gt;=0.90,"Excellent",IF(AJ806&gt;=0.80,"Good",IF(AJ806&gt;=0.70,"Fair","Poor"))))</f>
        <v/>
      </c>
      <c r="AO806" s="12" t="n"/>
      <c r="AP806" s="12" t="n"/>
      <c r="AQ806" s="12" t="n"/>
      <c r="AR806" s="12" t="n"/>
      <c r="AS806" s="12" t="n"/>
      <c r="AT806" s="12" t="n"/>
      <c r="AU806" s="12" t="n"/>
      <c r="AV806" s="11" t="n"/>
      <c r="AW806" s="12" t="n"/>
      <c r="AX806" s="12" t="n"/>
      <c r="AY806" s="12" t="n"/>
      <c r="AZ806" s="12" t="n"/>
      <c r="BA806" s="12" t="n"/>
      <c r="BB806" s="12" t="n"/>
      <c r="BC806" s="12" t="n"/>
      <c r="BD806" s="12" t="n"/>
      <c r="BE806" s="12" t="n"/>
      <c r="BF806" s="12" t="n"/>
    </row>
    <row r="807">
      <c r="A807" s="7">
        <f>IF(B807="","","INS-"&amp;TEXT(ROW()-3,"000"))</f>
        <v/>
      </c>
      <c r="B807" s="11" t="n"/>
      <c r="C807" s="7">
        <f>IF(B807="","",ISOWEEKNUM(B807))</f>
        <v/>
      </c>
      <c r="D807" s="7">
        <f>IF(B807="","",TEXT(B807,"yyyy-mm"))</f>
        <v/>
      </c>
      <c r="E807" s="12" t="n"/>
      <c r="F807" s="12" t="n"/>
      <c r="G807" s="7">
        <f>IF(OR(E807="",F807=""),"",IF(COUNTIF(Cluster_Master!$I$3:$I$17,E807&amp;"|"&amp;F807)=1,"Valid","Review"))</f>
        <v/>
      </c>
      <c r="H807" s="7">
        <f>IF($G807&lt;&gt;"Valid","",VLOOKUP($E807&amp;"|"&amp;$F807,Cluster_Master!$I$3:$H$17,3,FALSE))</f>
        <v/>
      </c>
      <c r="I807" s="7">
        <f>IF($G807&lt;&gt;"Valid","",VLOOKUP($E807&amp;"|"&amp;$F807,Cluster_Master!$I$3:$H$17,4,FALSE))</f>
        <v/>
      </c>
      <c r="J807" s="7">
        <f>IF($G807&lt;&gt;"Valid","",VLOOKUP($E807&amp;"|"&amp;$F807,Cluster_Master!$I$3:$H$17,5,FALSE))</f>
        <v/>
      </c>
      <c r="K807" s="7">
        <f>IF($G807&lt;&gt;"Valid","",VLOOKUP($E807&amp;"|"&amp;$F807,Cluster_Master!$I$3:$H$17,6,FALSE))</f>
        <v/>
      </c>
      <c r="L807" s="7">
        <f>IF($G807&lt;&gt;"Valid","",VLOOKUP($E807&amp;"|"&amp;$F807,Cluster_Master!$I$3:$H$17,7,FALSE))</f>
        <v/>
      </c>
      <c r="M807" s="7">
        <f>IF($G807&lt;&gt;"Valid","",VLOOKUP($E807&amp;"|"&amp;$F807,Cluster_Master!$I$3:$H$17,8,FALSE))</f>
        <v/>
      </c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7">
        <f>IF(COUNT(T807:AH807)=0,"",SUM(T807:AH807))</f>
        <v/>
      </c>
      <c r="AJ807" s="10">
        <f>IF(AI807="","",AI807/75)</f>
        <v/>
      </c>
      <c r="AK807" s="10">
        <f>IF(AI807="","",SUMPRODUCT(T807:AH807,KPI_Weights!$B$3:$B$17)/5)</f>
        <v/>
      </c>
      <c r="AL807" s="7">
        <f>IF(COUNT(T807:AH807)=0,"",IF(OR(T807&lt;=1,W807&lt;=1,X807&lt;=1,Y807&lt;=1,AB807&lt;=1),"YES","NO"))</f>
        <v/>
      </c>
      <c r="AM807" s="7">
        <f>IF(AK807="","",IF(AND(AK807="NO",AJ807&gt;=0.85),"YES","NO"))</f>
        <v/>
      </c>
      <c r="AN807" s="7">
        <f>IF(AJ807="","",IF(AJ807&gt;=0.90,"Excellent",IF(AJ807&gt;=0.80,"Good",IF(AJ807&gt;=0.70,"Fair","Poor"))))</f>
        <v/>
      </c>
      <c r="AO807" s="12" t="n"/>
      <c r="AP807" s="12" t="n"/>
      <c r="AQ807" s="12" t="n"/>
      <c r="AR807" s="12" t="n"/>
      <c r="AS807" s="12" t="n"/>
      <c r="AT807" s="12" t="n"/>
      <c r="AU807" s="12" t="n"/>
      <c r="AV807" s="11" t="n"/>
      <c r="AW807" s="12" t="n"/>
      <c r="AX807" s="12" t="n"/>
      <c r="AY807" s="12" t="n"/>
      <c r="AZ807" s="12" t="n"/>
      <c r="BA807" s="12" t="n"/>
      <c r="BB807" s="12" t="n"/>
      <c r="BC807" s="12" t="n"/>
      <c r="BD807" s="12" t="n"/>
      <c r="BE807" s="12" t="n"/>
      <c r="BF807" s="12" t="n"/>
    </row>
    <row r="808">
      <c r="A808" s="7">
        <f>IF(B808="","","INS-"&amp;TEXT(ROW()-3,"000"))</f>
        <v/>
      </c>
      <c r="B808" s="11" t="n"/>
      <c r="C808" s="7">
        <f>IF(B808="","",ISOWEEKNUM(B808))</f>
        <v/>
      </c>
      <c r="D808" s="7">
        <f>IF(B808="","",TEXT(B808,"yyyy-mm"))</f>
        <v/>
      </c>
      <c r="E808" s="12" t="n"/>
      <c r="F808" s="12" t="n"/>
      <c r="G808" s="7">
        <f>IF(OR(E808="",F808=""),"",IF(COUNTIF(Cluster_Master!$I$3:$I$17,E808&amp;"|"&amp;F808)=1,"Valid","Review"))</f>
        <v/>
      </c>
      <c r="H808" s="7">
        <f>IF($G808&lt;&gt;"Valid","",VLOOKUP($E808&amp;"|"&amp;$F808,Cluster_Master!$I$3:$H$17,3,FALSE))</f>
        <v/>
      </c>
      <c r="I808" s="7">
        <f>IF($G808&lt;&gt;"Valid","",VLOOKUP($E808&amp;"|"&amp;$F808,Cluster_Master!$I$3:$H$17,4,FALSE))</f>
        <v/>
      </c>
      <c r="J808" s="7">
        <f>IF($G808&lt;&gt;"Valid","",VLOOKUP($E808&amp;"|"&amp;$F808,Cluster_Master!$I$3:$H$17,5,FALSE))</f>
        <v/>
      </c>
      <c r="K808" s="7">
        <f>IF($G808&lt;&gt;"Valid","",VLOOKUP($E808&amp;"|"&amp;$F808,Cluster_Master!$I$3:$H$17,6,FALSE))</f>
        <v/>
      </c>
      <c r="L808" s="7">
        <f>IF($G808&lt;&gt;"Valid","",VLOOKUP($E808&amp;"|"&amp;$F808,Cluster_Master!$I$3:$H$17,7,FALSE))</f>
        <v/>
      </c>
      <c r="M808" s="7">
        <f>IF($G808&lt;&gt;"Valid","",VLOOKUP($E808&amp;"|"&amp;$F808,Cluster_Master!$I$3:$H$17,8,FALSE))</f>
        <v/>
      </c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7">
        <f>IF(COUNT(T808:AH808)=0,"",SUM(T808:AH808))</f>
        <v/>
      </c>
      <c r="AJ808" s="10">
        <f>IF(AI808="","",AI808/75)</f>
        <v/>
      </c>
      <c r="AK808" s="10">
        <f>IF(AI808="","",SUMPRODUCT(T808:AH808,KPI_Weights!$B$3:$B$17)/5)</f>
        <v/>
      </c>
      <c r="AL808" s="7">
        <f>IF(COUNT(T808:AH808)=0,"",IF(OR(T808&lt;=1,W808&lt;=1,X808&lt;=1,Y808&lt;=1,AB808&lt;=1),"YES","NO"))</f>
        <v/>
      </c>
      <c r="AM808" s="7">
        <f>IF(AK808="","",IF(AND(AK808="NO",AJ808&gt;=0.85),"YES","NO"))</f>
        <v/>
      </c>
      <c r="AN808" s="7">
        <f>IF(AJ808="","",IF(AJ808&gt;=0.90,"Excellent",IF(AJ808&gt;=0.80,"Good",IF(AJ808&gt;=0.70,"Fair","Poor"))))</f>
        <v/>
      </c>
      <c r="AO808" s="12" t="n"/>
      <c r="AP808" s="12" t="n"/>
      <c r="AQ808" s="12" t="n"/>
      <c r="AR808" s="12" t="n"/>
      <c r="AS808" s="12" t="n"/>
      <c r="AT808" s="12" t="n"/>
      <c r="AU808" s="12" t="n"/>
      <c r="AV808" s="11" t="n"/>
      <c r="AW808" s="12" t="n"/>
      <c r="AX808" s="12" t="n"/>
      <c r="AY808" s="12" t="n"/>
      <c r="AZ808" s="12" t="n"/>
      <c r="BA808" s="12" t="n"/>
      <c r="BB808" s="12" t="n"/>
      <c r="BC808" s="12" t="n"/>
      <c r="BD808" s="12" t="n"/>
      <c r="BE808" s="12" t="n"/>
      <c r="BF808" s="12" t="n"/>
    </row>
    <row r="809">
      <c r="A809" s="7">
        <f>IF(B809="","","INS-"&amp;TEXT(ROW()-3,"000"))</f>
        <v/>
      </c>
      <c r="B809" s="11" t="n"/>
      <c r="C809" s="7">
        <f>IF(B809="","",ISOWEEKNUM(B809))</f>
        <v/>
      </c>
      <c r="D809" s="7">
        <f>IF(B809="","",TEXT(B809,"yyyy-mm"))</f>
        <v/>
      </c>
      <c r="E809" s="12" t="n"/>
      <c r="F809" s="12" t="n"/>
      <c r="G809" s="7">
        <f>IF(OR(E809="",F809=""),"",IF(COUNTIF(Cluster_Master!$I$3:$I$17,E809&amp;"|"&amp;F809)=1,"Valid","Review"))</f>
        <v/>
      </c>
      <c r="H809" s="7">
        <f>IF($G809&lt;&gt;"Valid","",VLOOKUP($E809&amp;"|"&amp;$F809,Cluster_Master!$I$3:$H$17,3,FALSE))</f>
        <v/>
      </c>
      <c r="I809" s="7">
        <f>IF($G809&lt;&gt;"Valid","",VLOOKUP($E809&amp;"|"&amp;$F809,Cluster_Master!$I$3:$H$17,4,FALSE))</f>
        <v/>
      </c>
      <c r="J809" s="7">
        <f>IF($G809&lt;&gt;"Valid","",VLOOKUP($E809&amp;"|"&amp;$F809,Cluster_Master!$I$3:$H$17,5,FALSE))</f>
        <v/>
      </c>
      <c r="K809" s="7">
        <f>IF($G809&lt;&gt;"Valid","",VLOOKUP($E809&amp;"|"&amp;$F809,Cluster_Master!$I$3:$H$17,6,FALSE))</f>
        <v/>
      </c>
      <c r="L809" s="7">
        <f>IF($G809&lt;&gt;"Valid","",VLOOKUP($E809&amp;"|"&amp;$F809,Cluster_Master!$I$3:$H$17,7,FALSE))</f>
        <v/>
      </c>
      <c r="M809" s="7">
        <f>IF($G809&lt;&gt;"Valid","",VLOOKUP($E809&amp;"|"&amp;$F809,Cluster_Master!$I$3:$H$17,8,FALSE))</f>
        <v/>
      </c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7">
        <f>IF(COUNT(T809:AH809)=0,"",SUM(T809:AH809))</f>
        <v/>
      </c>
      <c r="AJ809" s="10">
        <f>IF(AI809="","",AI809/75)</f>
        <v/>
      </c>
      <c r="AK809" s="10">
        <f>IF(AI809="","",SUMPRODUCT(T809:AH809,KPI_Weights!$B$3:$B$17)/5)</f>
        <v/>
      </c>
      <c r="AL809" s="7">
        <f>IF(COUNT(T809:AH809)=0,"",IF(OR(T809&lt;=1,W809&lt;=1,X809&lt;=1,Y809&lt;=1,AB809&lt;=1),"YES","NO"))</f>
        <v/>
      </c>
      <c r="AM809" s="7">
        <f>IF(AK809="","",IF(AND(AK809="NO",AJ809&gt;=0.85),"YES","NO"))</f>
        <v/>
      </c>
      <c r="AN809" s="7">
        <f>IF(AJ809="","",IF(AJ809&gt;=0.90,"Excellent",IF(AJ809&gt;=0.80,"Good",IF(AJ809&gt;=0.70,"Fair","Poor"))))</f>
        <v/>
      </c>
      <c r="AO809" s="12" t="n"/>
      <c r="AP809" s="12" t="n"/>
      <c r="AQ809" s="12" t="n"/>
      <c r="AR809" s="12" t="n"/>
      <c r="AS809" s="12" t="n"/>
      <c r="AT809" s="12" t="n"/>
      <c r="AU809" s="12" t="n"/>
      <c r="AV809" s="11" t="n"/>
      <c r="AW809" s="12" t="n"/>
      <c r="AX809" s="12" t="n"/>
      <c r="AY809" s="12" t="n"/>
      <c r="AZ809" s="12" t="n"/>
      <c r="BA809" s="12" t="n"/>
      <c r="BB809" s="12" t="n"/>
      <c r="BC809" s="12" t="n"/>
      <c r="BD809" s="12" t="n"/>
      <c r="BE809" s="12" t="n"/>
      <c r="BF809" s="12" t="n"/>
    </row>
    <row r="810">
      <c r="A810" s="7">
        <f>IF(B810="","","INS-"&amp;TEXT(ROW()-3,"000"))</f>
        <v/>
      </c>
      <c r="B810" s="11" t="n"/>
      <c r="C810" s="7">
        <f>IF(B810="","",ISOWEEKNUM(B810))</f>
        <v/>
      </c>
      <c r="D810" s="7">
        <f>IF(B810="","",TEXT(B810,"yyyy-mm"))</f>
        <v/>
      </c>
      <c r="E810" s="12" t="n"/>
      <c r="F810" s="12" t="n"/>
      <c r="G810" s="7">
        <f>IF(OR(E810="",F810=""),"",IF(COUNTIF(Cluster_Master!$I$3:$I$17,E810&amp;"|"&amp;F810)=1,"Valid","Review"))</f>
        <v/>
      </c>
      <c r="H810" s="7">
        <f>IF($G810&lt;&gt;"Valid","",VLOOKUP($E810&amp;"|"&amp;$F810,Cluster_Master!$I$3:$H$17,3,FALSE))</f>
        <v/>
      </c>
      <c r="I810" s="7">
        <f>IF($G810&lt;&gt;"Valid","",VLOOKUP($E810&amp;"|"&amp;$F810,Cluster_Master!$I$3:$H$17,4,FALSE))</f>
        <v/>
      </c>
      <c r="J810" s="7">
        <f>IF($G810&lt;&gt;"Valid","",VLOOKUP($E810&amp;"|"&amp;$F810,Cluster_Master!$I$3:$H$17,5,FALSE))</f>
        <v/>
      </c>
      <c r="K810" s="7">
        <f>IF($G810&lt;&gt;"Valid","",VLOOKUP($E810&amp;"|"&amp;$F810,Cluster_Master!$I$3:$H$17,6,FALSE))</f>
        <v/>
      </c>
      <c r="L810" s="7">
        <f>IF($G810&lt;&gt;"Valid","",VLOOKUP($E810&amp;"|"&amp;$F810,Cluster_Master!$I$3:$H$17,7,FALSE))</f>
        <v/>
      </c>
      <c r="M810" s="7">
        <f>IF($G810&lt;&gt;"Valid","",VLOOKUP($E810&amp;"|"&amp;$F810,Cluster_Master!$I$3:$H$17,8,FALSE))</f>
        <v/>
      </c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7">
        <f>IF(COUNT(T810:AH810)=0,"",SUM(T810:AH810))</f>
        <v/>
      </c>
      <c r="AJ810" s="10">
        <f>IF(AI810="","",AI810/75)</f>
        <v/>
      </c>
      <c r="AK810" s="10">
        <f>IF(AI810="","",SUMPRODUCT(T810:AH810,KPI_Weights!$B$3:$B$17)/5)</f>
        <v/>
      </c>
      <c r="AL810" s="7">
        <f>IF(COUNT(T810:AH810)=0,"",IF(OR(T810&lt;=1,W810&lt;=1,X810&lt;=1,Y810&lt;=1,AB810&lt;=1),"YES","NO"))</f>
        <v/>
      </c>
      <c r="AM810" s="7">
        <f>IF(AK810="","",IF(AND(AK810="NO",AJ810&gt;=0.85),"YES","NO"))</f>
        <v/>
      </c>
      <c r="AN810" s="7">
        <f>IF(AJ810="","",IF(AJ810&gt;=0.90,"Excellent",IF(AJ810&gt;=0.80,"Good",IF(AJ810&gt;=0.70,"Fair","Poor"))))</f>
        <v/>
      </c>
      <c r="AO810" s="12" t="n"/>
      <c r="AP810" s="12" t="n"/>
      <c r="AQ810" s="12" t="n"/>
      <c r="AR810" s="12" t="n"/>
      <c r="AS810" s="12" t="n"/>
      <c r="AT810" s="12" t="n"/>
      <c r="AU810" s="12" t="n"/>
      <c r="AV810" s="11" t="n"/>
      <c r="AW810" s="12" t="n"/>
      <c r="AX810" s="12" t="n"/>
      <c r="AY810" s="12" t="n"/>
      <c r="AZ810" s="12" t="n"/>
      <c r="BA810" s="12" t="n"/>
      <c r="BB810" s="12" t="n"/>
      <c r="BC810" s="12" t="n"/>
      <c r="BD810" s="12" t="n"/>
      <c r="BE810" s="12" t="n"/>
      <c r="BF810" s="12" t="n"/>
    </row>
    <row r="811">
      <c r="A811" s="7">
        <f>IF(B811="","","INS-"&amp;TEXT(ROW()-3,"000"))</f>
        <v/>
      </c>
      <c r="B811" s="11" t="n"/>
      <c r="C811" s="7">
        <f>IF(B811="","",ISOWEEKNUM(B811))</f>
        <v/>
      </c>
      <c r="D811" s="7">
        <f>IF(B811="","",TEXT(B811,"yyyy-mm"))</f>
        <v/>
      </c>
      <c r="E811" s="12" t="n"/>
      <c r="F811" s="12" t="n"/>
      <c r="G811" s="7">
        <f>IF(OR(E811="",F811=""),"",IF(COUNTIF(Cluster_Master!$I$3:$I$17,E811&amp;"|"&amp;F811)=1,"Valid","Review"))</f>
        <v/>
      </c>
      <c r="H811" s="7">
        <f>IF($G811&lt;&gt;"Valid","",VLOOKUP($E811&amp;"|"&amp;$F811,Cluster_Master!$I$3:$H$17,3,FALSE))</f>
        <v/>
      </c>
      <c r="I811" s="7">
        <f>IF($G811&lt;&gt;"Valid","",VLOOKUP($E811&amp;"|"&amp;$F811,Cluster_Master!$I$3:$H$17,4,FALSE))</f>
        <v/>
      </c>
      <c r="J811" s="7">
        <f>IF($G811&lt;&gt;"Valid","",VLOOKUP($E811&amp;"|"&amp;$F811,Cluster_Master!$I$3:$H$17,5,FALSE))</f>
        <v/>
      </c>
      <c r="K811" s="7">
        <f>IF($G811&lt;&gt;"Valid","",VLOOKUP($E811&amp;"|"&amp;$F811,Cluster_Master!$I$3:$H$17,6,FALSE))</f>
        <v/>
      </c>
      <c r="L811" s="7">
        <f>IF($G811&lt;&gt;"Valid","",VLOOKUP($E811&amp;"|"&amp;$F811,Cluster_Master!$I$3:$H$17,7,FALSE))</f>
        <v/>
      </c>
      <c r="M811" s="7">
        <f>IF($G811&lt;&gt;"Valid","",VLOOKUP($E811&amp;"|"&amp;$F811,Cluster_Master!$I$3:$H$17,8,FALSE))</f>
        <v/>
      </c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7">
        <f>IF(COUNT(T811:AH811)=0,"",SUM(T811:AH811))</f>
        <v/>
      </c>
      <c r="AJ811" s="10">
        <f>IF(AI811="","",AI811/75)</f>
        <v/>
      </c>
      <c r="AK811" s="10">
        <f>IF(AI811="","",SUMPRODUCT(T811:AH811,KPI_Weights!$B$3:$B$17)/5)</f>
        <v/>
      </c>
      <c r="AL811" s="7">
        <f>IF(COUNT(T811:AH811)=0,"",IF(OR(T811&lt;=1,W811&lt;=1,X811&lt;=1,Y811&lt;=1,AB811&lt;=1),"YES","NO"))</f>
        <v/>
      </c>
      <c r="AM811" s="7">
        <f>IF(AK811="","",IF(AND(AK811="NO",AJ811&gt;=0.85),"YES","NO"))</f>
        <v/>
      </c>
      <c r="AN811" s="7">
        <f>IF(AJ811="","",IF(AJ811&gt;=0.90,"Excellent",IF(AJ811&gt;=0.80,"Good",IF(AJ811&gt;=0.70,"Fair","Poor"))))</f>
        <v/>
      </c>
      <c r="AO811" s="12" t="n"/>
      <c r="AP811" s="12" t="n"/>
      <c r="AQ811" s="12" t="n"/>
      <c r="AR811" s="12" t="n"/>
      <c r="AS811" s="12" t="n"/>
      <c r="AT811" s="12" t="n"/>
      <c r="AU811" s="12" t="n"/>
      <c r="AV811" s="11" t="n"/>
      <c r="AW811" s="12" t="n"/>
      <c r="AX811" s="12" t="n"/>
      <c r="AY811" s="12" t="n"/>
      <c r="AZ811" s="12" t="n"/>
      <c r="BA811" s="12" t="n"/>
      <c r="BB811" s="12" t="n"/>
      <c r="BC811" s="12" t="n"/>
      <c r="BD811" s="12" t="n"/>
      <c r="BE811" s="12" t="n"/>
      <c r="BF811" s="12" t="n"/>
    </row>
    <row r="812">
      <c r="A812" s="7">
        <f>IF(B812="","","INS-"&amp;TEXT(ROW()-3,"000"))</f>
        <v/>
      </c>
      <c r="B812" s="11" t="n"/>
      <c r="C812" s="7">
        <f>IF(B812="","",ISOWEEKNUM(B812))</f>
        <v/>
      </c>
      <c r="D812" s="7">
        <f>IF(B812="","",TEXT(B812,"yyyy-mm"))</f>
        <v/>
      </c>
      <c r="E812" s="12" t="n"/>
      <c r="F812" s="12" t="n"/>
      <c r="G812" s="7">
        <f>IF(OR(E812="",F812=""),"",IF(COUNTIF(Cluster_Master!$I$3:$I$17,E812&amp;"|"&amp;F812)=1,"Valid","Review"))</f>
        <v/>
      </c>
      <c r="H812" s="7">
        <f>IF($G812&lt;&gt;"Valid","",VLOOKUP($E812&amp;"|"&amp;$F812,Cluster_Master!$I$3:$H$17,3,FALSE))</f>
        <v/>
      </c>
      <c r="I812" s="7">
        <f>IF($G812&lt;&gt;"Valid","",VLOOKUP($E812&amp;"|"&amp;$F812,Cluster_Master!$I$3:$H$17,4,FALSE))</f>
        <v/>
      </c>
      <c r="J812" s="7">
        <f>IF($G812&lt;&gt;"Valid","",VLOOKUP($E812&amp;"|"&amp;$F812,Cluster_Master!$I$3:$H$17,5,FALSE))</f>
        <v/>
      </c>
      <c r="K812" s="7">
        <f>IF($G812&lt;&gt;"Valid","",VLOOKUP($E812&amp;"|"&amp;$F812,Cluster_Master!$I$3:$H$17,6,FALSE))</f>
        <v/>
      </c>
      <c r="L812" s="7">
        <f>IF($G812&lt;&gt;"Valid","",VLOOKUP($E812&amp;"|"&amp;$F812,Cluster_Master!$I$3:$H$17,7,FALSE))</f>
        <v/>
      </c>
      <c r="M812" s="7">
        <f>IF($G812&lt;&gt;"Valid","",VLOOKUP($E812&amp;"|"&amp;$F812,Cluster_Master!$I$3:$H$17,8,FALSE))</f>
        <v/>
      </c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7">
        <f>IF(COUNT(T812:AH812)=0,"",SUM(T812:AH812))</f>
        <v/>
      </c>
      <c r="AJ812" s="10">
        <f>IF(AI812="","",AI812/75)</f>
        <v/>
      </c>
      <c r="AK812" s="10">
        <f>IF(AI812="","",SUMPRODUCT(T812:AH812,KPI_Weights!$B$3:$B$17)/5)</f>
        <v/>
      </c>
      <c r="AL812" s="7">
        <f>IF(COUNT(T812:AH812)=0,"",IF(OR(T812&lt;=1,W812&lt;=1,X812&lt;=1,Y812&lt;=1,AB812&lt;=1),"YES","NO"))</f>
        <v/>
      </c>
      <c r="AM812" s="7">
        <f>IF(AK812="","",IF(AND(AK812="NO",AJ812&gt;=0.85),"YES","NO"))</f>
        <v/>
      </c>
      <c r="AN812" s="7">
        <f>IF(AJ812="","",IF(AJ812&gt;=0.90,"Excellent",IF(AJ812&gt;=0.80,"Good",IF(AJ812&gt;=0.70,"Fair","Poor"))))</f>
        <v/>
      </c>
      <c r="AO812" s="12" t="n"/>
      <c r="AP812" s="12" t="n"/>
      <c r="AQ812" s="12" t="n"/>
      <c r="AR812" s="12" t="n"/>
      <c r="AS812" s="12" t="n"/>
      <c r="AT812" s="12" t="n"/>
      <c r="AU812" s="12" t="n"/>
      <c r="AV812" s="11" t="n"/>
      <c r="AW812" s="12" t="n"/>
      <c r="AX812" s="12" t="n"/>
      <c r="AY812" s="12" t="n"/>
      <c r="AZ812" s="12" t="n"/>
      <c r="BA812" s="12" t="n"/>
      <c r="BB812" s="12" t="n"/>
      <c r="BC812" s="12" t="n"/>
      <c r="BD812" s="12" t="n"/>
      <c r="BE812" s="12" t="n"/>
      <c r="BF812" s="12" t="n"/>
    </row>
    <row r="813">
      <c r="A813" s="7">
        <f>IF(B813="","","INS-"&amp;TEXT(ROW()-3,"000"))</f>
        <v/>
      </c>
      <c r="B813" s="11" t="n"/>
      <c r="C813" s="7">
        <f>IF(B813="","",ISOWEEKNUM(B813))</f>
        <v/>
      </c>
      <c r="D813" s="7">
        <f>IF(B813="","",TEXT(B813,"yyyy-mm"))</f>
        <v/>
      </c>
      <c r="E813" s="12" t="n"/>
      <c r="F813" s="12" t="n"/>
      <c r="G813" s="7">
        <f>IF(OR(E813="",F813=""),"",IF(COUNTIF(Cluster_Master!$I$3:$I$17,E813&amp;"|"&amp;F813)=1,"Valid","Review"))</f>
        <v/>
      </c>
      <c r="H813" s="7">
        <f>IF($G813&lt;&gt;"Valid","",VLOOKUP($E813&amp;"|"&amp;$F813,Cluster_Master!$I$3:$H$17,3,FALSE))</f>
        <v/>
      </c>
      <c r="I813" s="7">
        <f>IF($G813&lt;&gt;"Valid","",VLOOKUP($E813&amp;"|"&amp;$F813,Cluster_Master!$I$3:$H$17,4,FALSE))</f>
        <v/>
      </c>
      <c r="J813" s="7">
        <f>IF($G813&lt;&gt;"Valid","",VLOOKUP($E813&amp;"|"&amp;$F813,Cluster_Master!$I$3:$H$17,5,FALSE))</f>
        <v/>
      </c>
      <c r="K813" s="7">
        <f>IF($G813&lt;&gt;"Valid","",VLOOKUP($E813&amp;"|"&amp;$F813,Cluster_Master!$I$3:$H$17,6,FALSE))</f>
        <v/>
      </c>
      <c r="L813" s="7">
        <f>IF($G813&lt;&gt;"Valid","",VLOOKUP($E813&amp;"|"&amp;$F813,Cluster_Master!$I$3:$H$17,7,FALSE))</f>
        <v/>
      </c>
      <c r="M813" s="7">
        <f>IF($G813&lt;&gt;"Valid","",VLOOKUP($E813&amp;"|"&amp;$F813,Cluster_Master!$I$3:$H$17,8,FALSE))</f>
        <v/>
      </c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7">
        <f>IF(COUNT(T813:AH813)=0,"",SUM(T813:AH813))</f>
        <v/>
      </c>
      <c r="AJ813" s="10">
        <f>IF(AI813="","",AI813/75)</f>
        <v/>
      </c>
      <c r="AK813" s="10">
        <f>IF(AI813="","",SUMPRODUCT(T813:AH813,KPI_Weights!$B$3:$B$17)/5)</f>
        <v/>
      </c>
      <c r="AL813" s="7">
        <f>IF(COUNT(T813:AH813)=0,"",IF(OR(T813&lt;=1,W813&lt;=1,X813&lt;=1,Y813&lt;=1,AB813&lt;=1),"YES","NO"))</f>
        <v/>
      </c>
      <c r="AM813" s="7">
        <f>IF(AK813="","",IF(AND(AK813="NO",AJ813&gt;=0.85),"YES","NO"))</f>
        <v/>
      </c>
      <c r="AN813" s="7">
        <f>IF(AJ813="","",IF(AJ813&gt;=0.90,"Excellent",IF(AJ813&gt;=0.80,"Good",IF(AJ813&gt;=0.70,"Fair","Poor"))))</f>
        <v/>
      </c>
      <c r="AO813" s="12" t="n"/>
      <c r="AP813" s="12" t="n"/>
      <c r="AQ813" s="12" t="n"/>
      <c r="AR813" s="12" t="n"/>
      <c r="AS813" s="12" t="n"/>
      <c r="AT813" s="12" t="n"/>
      <c r="AU813" s="12" t="n"/>
      <c r="AV813" s="11" t="n"/>
      <c r="AW813" s="12" t="n"/>
      <c r="AX813" s="12" t="n"/>
      <c r="AY813" s="12" t="n"/>
      <c r="AZ813" s="12" t="n"/>
      <c r="BA813" s="12" t="n"/>
      <c r="BB813" s="12" t="n"/>
      <c r="BC813" s="12" t="n"/>
      <c r="BD813" s="12" t="n"/>
      <c r="BE813" s="12" t="n"/>
      <c r="BF813" s="12" t="n"/>
    </row>
    <row r="814">
      <c r="A814" s="7">
        <f>IF(B814="","","INS-"&amp;TEXT(ROW()-3,"000"))</f>
        <v/>
      </c>
      <c r="B814" s="11" t="n"/>
      <c r="C814" s="7">
        <f>IF(B814="","",ISOWEEKNUM(B814))</f>
        <v/>
      </c>
      <c r="D814" s="7">
        <f>IF(B814="","",TEXT(B814,"yyyy-mm"))</f>
        <v/>
      </c>
      <c r="E814" s="12" t="n"/>
      <c r="F814" s="12" t="n"/>
      <c r="G814" s="7">
        <f>IF(OR(E814="",F814=""),"",IF(COUNTIF(Cluster_Master!$I$3:$I$17,E814&amp;"|"&amp;F814)=1,"Valid","Review"))</f>
        <v/>
      </c>
      <c r="H814" s="7">
        <f>IF($G814&lt;&gt;"Valid","",VLOOKUP($E814&amp;"|"&amp;$F814,Cluster_Master!$I$3:$H$17,3,FALSE))</f>
        <v/>
      </c>
      <c r="I814" s="7">
        <f>IF($G814&lt;&gt;"Valid","",VLOOKUP($E814&amp;"|"&amp;$F814,Cluster_Master!$I$3:$H$17,4,FALSE))</f>
        <v/>
      </c>
      <c r="J814" s="7">
        <f>IF($G814&lt;&gt;"Valid","",VLOOKUP($E814&amp;"|"&amp;$F814,Cluster_Master!$I$3:$H$17,5,FALSE))</f>
        <v/>
      </c>
      <c r="K814" s="7">
        <f>IF($G814&lt;&gt;"Valid","",VLOOKUP($E814&amp;"|"&amp;$F814,Cluster_Master!$I$3:$H$17,6,FALSE))</f>
        <v/>
      </c>
      <c r="L814" s="7">
        <f>IF($G814&lt;&gt;"Valid","",VLOOKUP($E814&amp;"|"&amp;$F814,Cluster_Master!$I$3:$H$17,7,FALSE))</f>
        <v/>
      </c>
      <c r="M814" s="7">
        <f>IF($G814&lt;&gt;"Valid","",VLOOKUP($E814&amp;"|"&amp;$F814,Cluster_Master!$I$3:$H$17,8,FALSE))</f>
        <v/>
      </c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7">
        <f>IF(COUNT(T814:AH814)=0,"",SUM(T814:AH814))</f>
        <v/>
      </c>
      <c r="AJ814" s="10">
        <f>IF(AI814="","",AI814/75)</f>
        <v/>
      </c>
      <c r="AK814" s="10">
        <f>IF(AI814="","",SUMPRODUCT(T814:AH814,KPI_Weights!$B$3:$B$17)/5)</f>
        <v/>
      </c>
      <c r="AL814" s="7">
        <f>IF(COUNT(T814:AH814)=0,"",IF(OR(T814&lt;=1,W814&lt;=1,X814&lt;=1,Y814&lt;=1,AB814&lt;=1),"YES","NO"))</f>
        <v/>
      </c>
      <c r="AM814" s="7">
        <f>IF(AK814="","",IF(AND(AK814="NO",AJ814&gt;=0.85),"YES","NO"))</f>
        <v/>
      </c>
      <c r="AN814" s="7">
        <f>IF(AJ814="","",IF(AJ814&gt;=0.90,"Excellent",IF(AJ814&gt;=0.80,"Good",IF(AJ814&gt;=0.70,"Fair","Poor"))))</f>
        <v/>
      </c>
      <c r="AO814" s="12" t="n"/>
      <c r="AP814" s="12" t="n"/>
      <c r="AQ814" s="12" t="n"/>
      <c r="AR814" s="12" t="n"/>
      <c r="AS814" s="12" t="n"/>
      <c r="AT814" s="12" t="n"/>
      <c r="AU814" s="12" t="n"/>
      <c r="AV814" s="11" t="n"/>
      <c r="AW814" s="12" t="n"/>
      <c r="AX814" s="12" t="n"/>
      <c r="AY814" s="12" t="n"/>
      <c r="AZ814" s="12" t="n"/>
      <c r="BA814" s="12" t="n"/>
      <c r="BB814" s="12" t="n"/>
      <c r="BC814" s="12" t="n"/>
      <c r="BD814" s="12" t="n"/>
      <c r="BE814" s="12" t="n"/>
      <c r="BF814" s="12" t="n"/>
    </row>
    <row r="815">
      <c r="A815" s="7">
        <f>IF(B815="","","INS-"&amp;TEXT(ROW()-3,"000"))</f>
        <v/>
      </c>
      <c r="B815" s="11" t="n"/>
      <c r="C815" s="7">
        <f>IF(B815="","",ISOWEEKNUM(B815))</f>
        <v/>
      </c>
      <c r="D815" s="7">
        <f>IF(B815="","",TEXT(B815,"yyyy-mm"))</f>
        <v/>
      </c>
      <c r="E815" s="12" t="n"/>
      <c r="F815" s="12" t="n"/>
      <c r="G815" s="7">
        <f>IF(OR(E815="",F815=""),"",IF(COUNTIF(Cluster_Master!$I$3:$I$17,E815&amp;"|"&amp;F815)=1,"Valid","Review"))</f>
        <v/>
      </c>
      <c r="H815" s="7">
        <f>IF($G815&lt;&gt;"Valid","",VLOOKUP($E815&amp;"|"&amp;$F815,Cluster_Master!$I$3:$H$17,3,FALSE))</f>
        <v/>
      </c>
      <c r="I815" s="7">
        <f>IF($G815&lt;&gt;"Valid","",VLOOKUP($E815&amp;"|"&amp;$F815,Cluster_Master!$I$3:$H$17,4,FALSE))</f>
        <v/>
      </c>
      <c r="J815" s="7">
        <f>IF($G815&lt;&gt;"Valid","",VLOOKUP($E815&amp;"|"&amp;$F815,Cluster_Master!$I$3:$H$17,5,FALSE))</f>
        <v/>
      </c>
      <c r="K815" s="7">
        <f>IF($G815&lt;&gt;"Valid","",VLOOKUP($E815&amp;"|"&amp;$F815,Cluster_Master!$I$3:$H$17,6,FALSE))</f>
        <v/>
      </c>
      <c r="L815" s="7">
        <f>IF($G815&lt;&gt;"Valid","",VLOOKUP($E815&amp;"|"&amp;$F815,Cluster_Master!$I$3:$H$17,7,FALSE))</f>
        <v/>
      </c>
      <c r="M815" s="7">
        <f>IF($G815&lt;&gt;"Valid","",VLOOKUP($E815&amp;"|"&amp;$F815,Cluster_Master!$I$3:$H$17,8,FALSE))</f>
        <v/>
      </c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7">
        <f>IF(COUNT(T815:AH815)=0,"",SUM(T815:AH815))</f>
        <v/>
      </c>
      <c r="AJ815" s="10">
        <f>IF(AI815="","",AI815/75)</f>
        <v/>
      </c>
      <c r="AK815" s="10">
        <f>IF(AI815="","",SUMPRODUCT(T815:AH815,KPI_Weights!$B$3:$B$17)/5)</f>
        <v/>
      </c>
      <c r="AL815" s="7">
        <f>IF(COUNT(T815:AH815)=0,"",IF(OR(T815&lt;=1,W815&lt;=1,X815&lt;=1,Y815&lt;=1,AB815&lt;=1),"YES","NO"))</f>
        <v/>
      </c>
      <c r="AM815" s="7">
        <f>IF(AK815="","",IF(AND(AK815="NO",AJ815&gt;=0.85),"YES","NO"))</f>
        <v/>
      </c>
      <c r="AN815" s="7">
        <f>IF(AJ815="","",IF(AJ815&gt;=0.90,"Excellent",IF(AJ815&gt;=0.80,"Good",IF(AJ815&gt;=0.70,"Fair","Poor"))))</f>
        <v/>
      </c>
      <c r="AO815" s="12" t="n"/>
      <c r="AP815" s="12" t="n"/>
      <c r="AQ815" s="12" t="n"/>
      <c r="AR815" s="12" t="n"/>
      <c r="AS815" s="12" t="n"/>
      <c r="AT815" s="12" t="n"/>
      <c r="AU815" s="12" t="n"/>
      <c r="AV815" s="11" t="n"/>
      <c r="AW815" s="12" t="n"/>
      <c r="AX815" s="12" t="n"/>
      <c r="AY815" s="12" t="n"/>
      <c r="AZ815" s="12" t="n"/>
      <c r="BA815" s="12" t="n"/>
      <c r="BB815" s="12" t="n"/>
      <c r="BC815" s="12" t="n"/>
      <c r="BD815" s="12" t="n"/>
      <c r="BE815" s="12" t="n"/>
      <c r="BF815" s="12" t="n"/>
    </row>
    <row r="816">
      <c r="A816" s="7">
        <f>IF(B816="","","INS-"&amp;TEXT(ROW()-3,"000"))</f>
        <v/>
      </c>
      <c r="B816" s="11" t="n"/>
      <c r="C816" s="7">
        <f>IF(B816="","",ISOWEEKNUM(B816))</f>
        <v/>
      </c>
      <c r="D816" s="7">
        <f>IF(B816="","",TEXT(B816,"yyyy-mm"))</f>
        <v/>
      </c>
      <c r="E816" s="12" t="n"/>
      <c r="F816" s="12" t="n"/>
      <c r="G816" s="7">
        <f>IF(OR(E816="",F816=""),"",IF(COUNTIF(Cluster_Master!$I$3:$I$17,E816&amp;"|"&amp;F816)=1,"Valid","Review"))</f>
        <v/>
      </c>
      <c r="H816" s="7">
        <f>IF($G816&lt;&gt;"Valid","",VLOOKUP($E816&amp;"|"&amp;$F816,Cluster_Master!$I$3:$H$17,3,FALSE))</f>
        <v/>
      </c>
      <c r="I816" s="7">
        <f>IF($G816&lt;&gt;"Valid","",VLOOKUP($E816&amp;"|"&amp;$F816,Cluster_Master!$I$3:$H$17,4,FALSE))</f>
        <v/>
      </c>
      <c r="J816" s="7">
        <f>IF($G816&lt;&gt;"Valid","",VLOOKUP($E816&amp;"|"&amp;$F816,Cluster_Master!$I$3:$H$17,5,FALSE))</f>
        <v/>
      </c>
      <c r="K816" s="7">
        <f>IF($G816&lt;&gt;"Valid","",VLOOKUP($E816&amp;"|"&amp;$F816,Cluster_Master!$I$3:$H$17,6,FALSE))</f>
        <v/>
      </c>
      <c r="L816" s="7">
        <f>IF($G816&lt;&gt;"Valid","",VLOOKUP($E816&amp;"|"&amp;$F816,Cluster_Master!$I$3:$H$17,7,FALSE))</f>
        <v/>
      </c>
      <c r="M816" s="7">
        <f>IF($G816&lt;&gt;"Valid","",VLOOKUP($E816&amp;"|"&amp;$F816,Cluster_Master!$I$3:$H$17,8,FALSE))</f>
        <v/>
      </c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7">
        <f>IF(COUNT(T816:AH816)=0,"",SUM(T816:AH816))</f>
        <v/>
      </c>
      <c r="AJ816" s="10">
        <f>IF(AI816="","",AI816/75)</f>
        <v/>
      </c>
      <c r="AK816" s="10">
        <f>IF(AI816="","",SUMPRODUCT(T816:AH816,KPI_Weights!$B$3:$B$17)/5)</f>
        <v/>
      </c>
      <c r="AL816" s="7">
        <f>IF(COUNT(T816:AH816)=0,"",IF(OR(T816&lt;=1,W816&lt;=1,X816&lt;=1,Y816&lt;=1,AB816&lt;=1),"YES","NO"))</f>
        <v/>
      </c>
      <c r="AM816" s="7">
        <f>IF(AK816="","",IF(AND(AK816="NO",AJ816&gt;=0.85),"YES","NO"))</f>
        <v/>
      </c>
      <c r="AN816" s="7">
        <f>IF(AJ816="","",IF(AJ816&gt;=0.90,"Excellent",IF(AJ816&gt;=0.80,"Good",IF(AJ816&gt;=0.70,"Fair","Poor"))))</f>
        <v/>
      </c>
      <c r="AO816" s="12" t="n"/>
      <c r="AP816" s="12" t="n"/>
      <c r="AQ816" s="12" t="n"/>
      <c r="AR816" s="12" t="n"/>
      <c r="AS816" s="12" t="n"/>
      <c r="AT816" s="12" t="n"/>
      <c r="AU816" s="12" t="n"/>
      <c r="AV816" s="11" t="n"/>
      <c r="AW816" s="12" t="n"/>
      <c r="AX816" s="12" t="n"/>
      <c r="AY816" s="12" t="n"/>
      <c r="AZ816" s="12" t="n"/>
      <c r="BA816" s="12" t="n"/>
      <c r="BB816" s="12" t="n"/>
      <c r="BC816" s="12" t="n"/>
      <c r="BD816" s="12" t="n"/>
      <c r="BE816" s="12" t="n"/>
      <c r="BF816" s="12" t="n"/>
    </row>
    <row r="817">
      <c r="A817" s="7">
        <f>IF(B817="","","INS-"&amp;TEXT(ROW()-3,"000"))</f>
        <v/>
      </c>
      <c r="B817" s="11" t="n"/>
      <c r="C817" s="7">
        <f>IF(B817="","",ISOWEEKNUM(B817))</f>
        <v/>
      </c>
      <c r="D817" s="7">
        <f>IF(B817="","",TEXT(B817,"yyyy-mm"))</f>
        <v/>
      </c>
      <c r="E817" s="12" t="n"/>
      <c r="F817" s="12" t="n"/>
      <c r="G817" s="7">
        <f>IF(OR(E817="",F817=""),"",IF(COUNTIF(Cluster_Master!$I$3:$I$17,E817&amp;"|"&amp;F817)=1,"Valid","Review"))</f>
        <v/>
      </c>
      <c r="H817" s="7">
        <f>IF($G817&lt;&gt;"Valid","",VLOOKUP($E817&amp;"|"&amp;$F817,Cluster_Master!$I$3:$H$17,3,FALSE))</f>
        <v/>
      </c>
      <c r="I817" s="7">
        <f>IF($G817&lt;&gt;"Valid","",VLOOKUP($E817&amp;"|"&amp;$F817,Cluster_Master!$I$3:$H$17,4,FALSE))</f>
        <v/>
      </c>
      <c r="J817" s="7">
        <f>IF($G817&lt;&gt;"Valid","",VLOOKUP($E817&amp;"|"&amp;$F817,Cluster_Master!$I$3:$H$17,5,FALSE))</f>
        <v/>
      </c>
      <c r="K817" s="7">
        <f>IF($G817&lt;&gt;"Valid","",VLOOKUP($E817&amp;"|"&amp;$F817,Cluster_Master!$I$3:$H$17,6,FALSE))</f>
        <v/>
      </c>
      <c r="L817" s="7">
        <f>IF($G817&lt;&gt;"Valid","",VLOOKUP($E817&amp;"|"&amp;$F817,Cluster_Master!$I$3:$H$17,7,FALSE))</f>
        <v/>
      </c>
      <c r="M817" s="7">
        <f>IF($G817&lt;&gt;"Valid","",VLOOKUP($E817&amp;"|"&amp;$F817,Cluster_Master!$I$3:$H$17,8,FALSE))</f>
        <v/>
      </c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7">
        <f>IF(COUNT(T817:AH817)=0,"",SUM(T817:AH817))</f>
        <v/>
      </c>
      <c r="AJ817" s="10">
        <f>IF(AI817="","",AI817/75)</f>
        <v/>
      </c>
      <c r="AK817" s="10">
        <f>IF(AI817="","",SUMPRODUCT(T817:AH817,KPI_Weights!$B$3:$B$17)/5)</f>
        <v/>
      </c>
      <c r="AL817" s="7">
        <f>IF(COUNT(T817:AH817)=0,"",IF(OR(T817&lt;=1,W817&lt;=1,X817&lt;=1,Y817&lt;=1,AB817&lt;=1),"YES","NO"))</f>
        <v/>
      </c>
      <c r="AM817" s="7">
        <f>IF(AK817="","",IF(AND(AK817="NO",AJ817&gt;=0.85),"YES","NO"))</f>
        <v/>
      </c>
      <c r="AN817" s="7">
        <f>IF(AJ817="","",IF(AJ817&gt;=0.90,"Excellent",IF(AJ817&gt;=0.80,"Good",IF(AJ817&gt;=0.70,"Fair","Poor"))))</f>
        <v/>
      </c>
      <c r="AO817" s="12" t="n"/>
      <c r="AP817" s="12" t="n"/>
      <c r="AQ817" s="12" t="n"/>
      <c r="AR817" s="12" t="n"/>
      <c r="AS817" s="12" t="n"/>
      <c r="AT817" s="12" t="n"/>
      <c r="AU817" s="12" t="n"/>
      <c r="AV817" s="11" t="n"/>
      <c r="AW817" s="12" t="n"/>
      <c r="AX817" s="12" t="n"/>
      <c r="AY817" s="12" t="n"/>
      <c r="AZ817" s="12" t="n"/>
      <c r="BA817" s="12" t="n"/>
      <c r="BB817" s="12" t="n"/>
      <c r="BC817" s="12" t="n"/>
      <c r="BD817" s="12" t="n"/>
      <c r="BE817" s="12" t="n"/>
      <c r="BF817" s="12" t="n"/>
    </row>
    <row r="818">
      <c r="A818" s="7">
        <f>IF(B818="","","INS-"&amp;TEXT(ROW()-3,"000"))</f>
        <v/>
      </c>
      <c r="B818" s="11" t="n"/>
      <c r="C818" s="7">
        <f>IF(B818="","",ISOWEEKNUM(B818))</f>
        <v/>
      </c>
      <c r="D818" s="7">
        <f>IF(B818="","",TEXT(B818,"yyyy-mm"))</f>
        <v/>
      </c>
      <c r="E818" s="12" t="n"/>
      <c r="F818" s="12" t="n"/>
      <c r="G818" s="7">
        <f>IF(OR(E818="",F818=""),"",IF(COUNTIF(Cluster_Master!$I$3:$I$17,E818&amp;"|"&amp;F818)=1,"Valid","Review"))</f>
        <v/>
      </c>
      <c r="H818" s="7">
        <f>IF($G818&lt;&gt;"Valid","",VLOOKUP($E818&amp;"|"&amp;$F818,Cluster_Master!$I$3:$H$17,3,FALSE))</f>
        <v/>
      </c>
      <c r="I818" s="7">
        <f>IF($G818&lt;&gt;"Valid","",VLOOKUP($E818&amp;"|"&amp;$F818,Cluster_Master!$I$3:$H$17,4,FALSE))</f>
        <v/>
      </c>
      <c r="J818" s="7">
        <f>IF($G818&lt;&gt;"Valid","",VLOOKUP($E818&amp;"|"&amp;$F818,Cluster_Master!$I$3:$H$17,5,FALSE))</f>
        <v/>
      </c>
      <c r="K818" s="7">
        <f>IF($G818&lt;&gt;"Valid","",VLOOKUP($E818&amp;"|"&amp;$F818,Cluster_Master!$I$3:$H$17,6,FALSE))</f>
        <v/>
      </c>
      <c r="L818" s="7">
        <f>IF($G818&lt;&gt;"Valid","",VLOOKUP($E818&amp;"|"&amp;$F818,Cluster_Master!$I$3:$H$17,7,FALSE))</f>
        <v/>
      </c>
      <c r="M818" s="7">
        <f>IF($G818&lt;&gt;"Valid","",VLOOKUP($E818&amp;"|"&amp;$F818,Cluster_Master!$I$3:$H$17,8,FALSE))</f>
        <v/>
      </c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7">
        <f>IF(COUNT(T818:AH818)=0,"",SUM(T818:AH818))</f>
        <v/>
      </c>
      <c r="AJ818" s="10">
        <f>IF(AI818="","",AI818/75)</f>
        <v/>
      </c>
      <c r="AK818" s="10">
        <f>IF(AI818="","",SUMPRODUCT(T818:AH818,KPI_Weights!$B$3:$B$17)/5)</f>
        <v/>
      </c>
      <c r="AL818" s="7">
        <f>IF(COUNT(T818:AH818)=0,"",IF(OR(T818&lt;=1,W818&lt;=1,X818&lt;=1,Y818&lt;=1,AB818&lt;=1),"YES","NO"))</f>
        <v/>
      </c>
      <c r="AM818" s="7">
        <f>IF(AK818="","",IF(AND(AK818="NO",AJ818&gt;=0.85),"YES","NO"))</f>
        <v/>
      </c>
      <c r="AN818" s="7">
        <f>IF(AJ818="","",IF(AJ818&gt;=0.90,"Excellent",IF(AJ818&gt;=0.80,"Good",IF(AJ818&gt;=0.70,"Fair","Poor"))))</f>
        <v/>
      </c>
      <c r="AO818" s="12" t="n"/>
      <c r="AP818" s="12" t="n"/>
      <c r="AQ818" s="12" t="n"/>
      <c r="AR818" s="12" t="n"/>
      <c r="AS818" s="12" t="n"/>
      <c r="AT818" s="12" t="n"/>
      <c r="AU818" s="12" t="n"/>
      <c r="AV818" s="11" t="n"/>
      <c r="AW818" s="12" t="n"/>
      <c r="AX818" s="12" t="n"/>
      <c r="AY818" s="12" t="n"/>
      <c r="AZ818" s="12" t="n"/>
      <c r="BA818" s="12" t="n"/>
      <c r="BB818" s="12" t="n"/>
      <c r="BC818" s="12" t="n"/>
      <c r="BD818" s="12" t="n"/>
      <c r="BE818" s="12" t="n"/>
      <c r="BF818" s="12" t="n"/>
    </row>
    <row r="819">
      <c r="A819" s="7">
        <f>IF(B819="","","INS-"&amp;TEXT(ROW()-3,"000"))</f>
        <v/>
      </c>
      <c r="B819" s="11" t="n"/>
      <c r="C819" s="7">
        <f>IF(B819="","",ISOWEEKNUM(B819))</f>
        <v/>
      </c>
      <c r="D819" s="7">
        <f>IF(B819="","",TEXT(B819,"yyyy-mm"))</f>
        <v/>
      </c>
      <c r="E819" s="12" t="n"/>
      <c r="F819" s="12" t="n"/>
      <c r="G819" s="7">
        <f>IF(OR(E819="",F819=""),"",IF(COUNTIF(Cluster_Master!$I$3:$I$17,E819&amp;"|"&amp;F819)=1,"Valid","Review"))</f>
        <v/>
      </c>
      <c r="H819" s="7">
        <f>IF($G819&lt;&gt;"Valid","",VLOOKUP($E819&amp;"|"&amp;$F819,Cluster_Master!$I$3:$H$17,3,FALSE))</f>
        <v/>
      </c>
      <c r="I819" s="7">
        <f>IF($G819&lt;&gt;"Valid","",VLOOKUP($E819&amp;"|"&amp;$F819,Cluster_Master!$I$3:$H$17,4,FALSE))</f>
        <v/>
      </c>
      <c r="J819" s="7">
        <f>IF($G819&lt;&gt;"Valid","",VLOOKUP($E819&amp;"|"&amp;$F819,Cluster_Master!$I$3:$H$17,5,FALSE))</f>
        <v/>
      </c>
      <c r="K819" s="7">
        <f>IF($G819&lt;&gt;"Valid","",VLOOKUP($E819&amp;"|"&amp;$F819,Cluster_Master!$I$3:$H$17,6,FALSE))</f>
        <v/>
      </c>
      <c r="L819" s="7">
        <f>IF($G819&lt;&gt;"Valid","",VLOOKUP($E819&amp;"|"&amp;$F819,Cluster_Master!$I$3:$H$17,7,FALSE))</f>
        <v/>
      </c>
      <c r="M819" s="7">
        <f>IF($G819&lt;&gt;"Valid","",VLOOKUP($E819&amp;"|"&amp;$F819,Cluster_Master!$I$3:$H$17,8,FALSE))</f>
        <v/>
      </c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7">
        <f>IF(COUNT(T819:AH819)=0,"",SUM(T819:AH819))</f>
        <v/>
      </c>
      <c r="AJ819" s="10">
        <f>IF(AI819="","",AI819/75)</f>
        <v/>
      </c>
      <c r="AK819" s="10">
        <f>IF(AI819="","",SUMPRODUCT(T819:AH819,KPI_Weights!$B$3:$B$17)/5)</f>
        <v/>
      </c>
      <c r="AL819" s="7">
        <f>IF(COUNT(T819:AH819)=0,"",IF(OR(T819&lt;=1,W819&lt;=1,X819&lt;=1,Y819&lt;=1,AB819&lt;=1),"YES","NO"))</f>
        <v/>
      </c>
      <c r="AM819" s="7">
        <f>IF(AK819="","",IF(AND(AK819="NO",AJ819&gt;=0.85),"YES","NO"))</f>
        <v/>
      </c>
      <c r="AN819" s="7">
        <f>IF(AJ819="","",IF(AJ819&gt;=0.90,"Excellent",IF(AJ819&gt;=0.80,"Good",IF(AJ819&gt;=0.70,"Fair","Poor"))))</f>
        <v/>
      </c>
      <c r="AO819" s="12" t="n"/>
      <c r="AP819" s="12" t="n"/>
      <c r="AQ819" s="12" t="n"/>
      <c r="AR819" s="12" t="n"/>
      <c r="AS819" s="12" t="n"/>
      <c r="AT819" s="12" t="n"/>
      <c r="AU819" s="12" t="n"/>
      <c r="AV819" s="11" t="n"/>
      <c r="AW819" s="12" t="n"/>
      <c r="AX819" s="12" t="n"/>
      <c r="AY819" s="12" t="n"/>
      <c r="AZ819" s="12" t="n"/>
      <c r="BA819" s="12" t="n"/>
      <c r="BB819" s="12" t="n"/>
      <c r="BC819" s="12" t="n"/>
      <c r="BD819" s="12" t="n"/>
      <c r="BE819" s="12" t="n"/>
      <c r="BF819" s="12" t="n"/>
    </row>
    <row r="820">
      <c r="A820" s="7">
        <f>IF(B820="","","INS-"&amp;TEXT(ROW()-3,"000"))</f>
        <v/>
      </c>
      <c r="B820" s="11" t="n"/>
      <c r="C820" s="7">
        <f>IF(B820="","",ISOWEEKNUM(B820))</f>
        <v/>
      </c>
      <c r="D820" s="7">
        <f>IF(B820="","",TEXT(B820,"yyyy-mm"))</f>
        <v/>
      </c>
      <c r="E820" s="12" t="n"/>
      <c r="F820" s="12" t="n"/>
      <c r="G820" s="7">
        <f>IF(OR(E820="",F820=""),"",IF(COUNTIF(Cluster_Master!$I$3:$I$17,E820&amp;"|"&amp;F820)=1,"Valid","Review"))</f>
        <v/>
      </c>
      <c r="H820" s="7">
        <f>IF($G820&lt;&gt;"Valid","",VLOOKUP($E820&amp;"|"&amp;$F820,Cluster_Master!$I$3:$H$17,3,FALSE))</f>
        <v/>
      </c>
      <c r="I820" s="7">
        <f>IF($G820&lt;&gt;"Valid","",VLOOKUP($E820&amp;"|"&amp;$F820,Cluster_Master!$I$3:$H$17,4,FALSE))</f>
        <v/>
      </c>
      <c r="J820" s="7">
        <f>IF($G820&lt;&gt;"Valid","",VLOOKUP($E820&amp;"|"&amp;$F820,Cluster_Master!$I$3:$H$17,5,FALSE))</f>
        <v/>
      </c>
      <c r="K820" s="7">
        <f>IF($G820&lt;&gt;"Valid","",VLOOKUP($E820&amp;"|"&amp;$F820,Cluster_Master!$I$3:$H$17,6,FALSE))</f>
        <v/>
      </c>
      <c r="L820" s="7">
        <f>IF($G820&lt;&gt;"Valid","",VLOOKUP($E820&amp;"|"&amp;$F820,Cluster_Master!$I$3:$H$17,7,FALSE))</f>
        <v/>
      </c>
      <c r="M820" s="7">
        <f>IF($G820&lt;&gt;"Valid","",VLOOKUP($E820&amp;"|"&amp;$F820,Cluster_Master!$I$3:$H$17,8,FALSE))</f>
        <v/>
      </c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7">
        <f>IF(COUNT(T820:AH820)=0,"",SUM(T820:AH820))</f>
        <v/>
      </c>
      <c r="AJ820" s="10">
        <f>IF(AI820="","",AI820/75)</f>
        <v/>
      </c>
      <c r="AK820" s="10">
        <f>IF(AI820="","",SUMPRODUCT(T820:AH820,KPI_Weights!$B$3:$B$17)/5)</f>
        <v/>
      </c>
      <c r="AL820" s="7">
        <f>IF(COUNT(T820:AH820)=0,"",IF(OR(T820&lt;=1,W820&lt;=1,X820&lt;=1,Y820&lt;=1,AB820&lt;=1),"YES","NO"))</f>
        <v/>
      </c>
      <c r="AM820" s="7">
        <f>IF(AK820="","",IF(AND(AK820="NO",AJ820&gt;=0.85),"YES","NO"))</f>
        <v/>
      </c>
      <c r="AN820" s="7">
        <f>IF(AJ820="","",IF(AJ820&gt;=0.90,"Excellent",IF(AJ820&gt;=0.80,"Good",IF(AJ820&gt;=0.70,"Fair","Poor"))))</f>
        <v/>
      </c>
      <c r="AO820" s="12" t="n"/>
      <c r="AP820" s="12" t="n"/>
      <c r="AQ820" s="12" t="n"/>
      <c r="AR820" s="12" t="n"/>
      <c r="AS820" s="12" t="n"/>
      <c r="AT820" s="12" t="n"/>
      <c r="AU820" s="12" t="n"/>
      <c r="AV820" s="11" t="n"/>
      <c r="AW820" s="12" t="n"/>
      <c r="AX820" s="12" t="n"/>
      <c r="AY820" s="12" t="n"/>
      <c r="AZ820" s="12" t="n"/>
      <c r="BA820" s="12" t="n"/>
      <c r="BB820" s="12" t="n"/>
      <c r="BC820" s="12" t="n"/>
      <c r="BD820" s="12" t="n"/>
      <c r="BE820" s="12" t="n"/>
      <c r="BF820" s="12" t="n"/>
    </row>
    <row r="821">
      <c r="A821" s="7">
        <f>IF(B821="","","INS-"&amp;TEXT(ROW()-3,"000"))</f>
        <v/>
      </c>
      <c r="B821" s="11" t="n"/>
      <c r="C821" s="7">
        <f>IF(B821="","",ISOWEEKNUM(B821))</f>
        <v/>
      </c>
      <c r="D821" s="7">
        <f>IF(B821="","",TEXT(B821,"yyyy-mm"))</f>
        <v/>
      </c>
      <c r="E821" s="12" t="n"/>
      <c r="F821" s="12" t="n"/>
      <c r="G821" s="7">
        <f>IF(OR(E821="",F821=""),"",IF(COUNTIF(Cluster_Master!$I$3:$I$17,E821&amp;"|"&amp;F821)=1,"Valid","Review"))</f>
        <v/>
      </c>
      <c r="H821" s="7">
        <f>IF($G821&lt;&gt;"Valid","",VLOOKUP($E821&amp;"|"&amp;$F821,Cluster_Master!$I$3:$H$17,3,FALSE))</f>
        <v/>
      </c>
      <c r="I821" s="7">
        <f>IF($G821&lt;&gt;"Valid","",VLOOKUP($E821&amp;"|"&amp;$F821,Cluster_Master!$I$3:$H$17,4,FALSE))</f>
        <v/>
      </c>
      <c r="J821" s="7">
        <f>IF($G821&lt;&gt;"Valid","",VLOOKUP($E821&amp;"|"&amp;$F821,Cluster_Master!$I$3:$H$17,5,FALSE))</f>
        <v/>
      </c>
      <c r="K821" s="7">
        <f>IF($G821&lt;&gt;"Valid","",VLOOKUP($E821&amp;"|"&amp;$F821,Cluster_Master!$I$3:$H$17,6,FALSE))</f>
        <v/>
      </c>
      <c r="L821" s="7">
        <f>IF($G821&lt;&gt;"Valid","",VLOOKUP($E821&amp;"|"&amp;$F821,Cluster_Master!$I$3:$H$17,7,FALSE))</f>
        <v/>
      </c>
      <c r="M821" s="7">
        <f>IF($G821&lt;&gt;"Valid","",VLOOKUP($E821&amp;"|"&amp;$F821,Cluster_Master!$I$3:$H$17,8,FALSE))</f>
        <v/>
      </c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7">
        <f>IF(COUNT(T821:AH821)=0,"",SUM(T821:AH821))</f>
        <v/>
      </c>
      <c r="AJ821" s="10">
        <f>IF(AI821="","",AI821/75)</f>
        <v/>
      </c>
      <c r="AK821" s="10">
        <f>IF(AI821="","",SUMPRODUCT(T821:AH821,KPI_Weights!$B$3:$B$17)/5)</f>
        <v/>
      </c>
      <c r="AL821" s="7">
        <f>IF(COUNT(T821:AH821)=0,"",IF(OR(T821&lt;=1,W821&lt;=1,X821&lt;=1,Y821&lt;=1,AB821&lt;=1),"YES","NO"))</f>
        <v/>
      </c>
      <c r="AM821" s="7">
        <f>IF(AK821="","",IF(AND(AK821="NO",AJ821&gt;=0.85),"YES","NO"))</f>
        <v/>
      </c>
      <c r="AN821" s="7">
        <f>IF(AJ821="","",IF(AJ821&gt;=0.90,"Excellent",IF(AJ821&gt;=0.80,"Good",IF(AJ821&gt;=0.70,"Fair","Poor"))))</f>
        <v/>
      </c>
      <c r="AO821" s="12" t="n"/>
      <c r="AP821" s="12" t="n"/>
      <c r="AQ821" s="12" t="n"/>
      <c r="AR821" s="12" t="n"/>
      <c r="AS821" s="12" t="n"/>
      <c r="AT821" s="12" t="n"/>
      <c r="AU821" s="12" t="n"/>
      <c r="AV821" s="11" t="n"/>
      <c r="AW821" s="12" t="n"/>
      <c r="AX821" s="12" t="n"/>
      <c r="AY821" s="12" t="n"/>
      <c r="AZ821" s="12" t="n"/>
      <c r="BA821" s="12" t="n"/>
      <c r="BB821" s="12" t="n"/>
      <c r="BC821" s="12" t="n"/>
      <c r="BD821" s="12" t="n"/>
      <c r="BE821" s="12" t="n"/>
      <c r="BF821" s="12" t="n"/>
    </row>
    <row r="822">
      <c r="A822" s="7">
        <f>IF(B822="","","INS-"&amp;TEXT(ROW()-3,"000"))</f>
        <v/>
      </c>
      <c r="B822" s="11" t="n"/>
      <c r="C822" s="7">
        <f>IF(B822="","",ISOWEEKNUM(B822))</f>
        <v/>
      </c>
      <c r="D822" s="7">
        <f>IF(B822="","",TEXT(B822,"yyyy-mm"))</f>
        <v/>
      </c>
      <c r="E822" s="12" t="n"/>
      <c r="F822" s="12" t="n"/>
      <c r="G822" s="7">
        <f>IF(OR(E822="",F822=""),"",IF(COUNTIF(Cluster_Master!$I$3:$I$17,E822&amp;"|"&amp;F822)=1,"Valid","Review"))</f>
        <v/>
      </c>
      <c r="H822" s="7">
        <f>IF($G822&lt;&gt;"Valid","",VLOOKUP($E822&amp;"|"&amp;$F822,Cluster_Master!$I$3:$H$17,3,FALSE))</f>
        <v/>
      </c>
      <c r="I822" s="7">
        <f>IF($G822&lt;&gt;"Valid","",VLOOKUP($E822&amp;"|"&amp;$F822,Cluster_Master!$I$3:$H$17,4,FALSE))</f>
        <v/>
      </c>
      <c r="J822" s="7">
        <f>IF($G822&lt;&gt;"Valid","",VLOOKUP($E822&amp;"|"&amp;$F822,Cluster_Master!$I$3:$H$17,5,FALSE))</f>
        <v/>
      </c>
      <c r="K822" s="7">
        <f>IF($G822&lt;&gt;"Valid","",VLOOKUP($E822&amp;"|"&amp;$F822,Cluster_Master!$I$3:$H$17,6,FALSE))</f>
        <v/>
      </c>
      <c r="L822" s="7">
        <f>IF($G822&lt;&gt;"Valid","",VLOOKUP($E822&amp;"|"&amp;$F822,Cluster_Master!$I$3:$H$17,7,FALSE))</f>
        <v/>
      </c>
      <c r="M822" s="7">
        <f>IF($G822&lt;&gt;"Valid","",VLOOKUP($E822&amp;"|"&amp;$F822,Cluster_Master!$I$3:$H$17,8,FALSE))</f>
        <v/>
      </c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7">
        <f>IF(COUNT(T822:AH822)=0,"",SUM(T822:AH822))</f>
        <v/>
      </c>
      <c r="AJ822" s="10">
        <f>IF(AI822="","",AI822/75)</f>
        <v/>
      </c>
      <c r="AK822" s="10">
        <f>IF(AI822="","",SUMPRODUCT(T822:AH822,KPI_Weights!$B$3:$B$17)/5)</f>
        <v/>
      </c>
      <c r="AL822" s="7">
        <f>IF(COUNT(T822:AH822)=0,"",IF(OR(T822&lt;=1,W822&lt;=1,X822&lt;=1,Y822&lt;=1,AB822&lt;=1),"YES","NO"))</f>
        <v/>
      </c>
      <c r="AM822" s="7">
        <f>IF(AK822="","",IF(AND(AK822="NO",AJ822&gt;=0.85),"YES","NO"))</f>
        <v/>
      </c>
      <c r="AN822" s="7">
        <f>IF(AJ822="","",IF(AJ822&gt;=0.90,"Excellent",IF(AJ822&gt;=0.80,"Good",IF(AJ822&gt;=0.70,"Fair","Poor"))))</f>
        <v/>
      </c>
      <c r="AO822" s="12" t="n"/>
      <c r="AP822" s="12" t="n"/>
      <c r="AQ822" s="12" t="n"/>
      <c r="AR822" s="12" t="n"/>
      <c r="AS822" s="12" t="n"/>
      <c r="AT822" s="12" t="n"/>
      <c r="AU822" s="12" t="n"/>
      <c r="AV822" s="11" t="n"/>
      <c r="AW822" s="12" t="n"/>
      <c r="AX822" s="12" t="n"/>
      <c r="AY822" s="12" t="n"/>
      <c r="AZ822" s="12" t="n"/>
      <c r="BA822" s="12" t="n"/>
      <c r="BB822" s="12" t="n"/>
      <c r="BC822" s="12" t="n"/>
      <c r="BD822" s="12" t="n"/>
      <c r="BE822" s="12" t="n"/>
      <c r="BF822" s="12" t="n"/>
    </row>
    <row r="823">
      <c r="A823" s="7">
        <f>IF(B823="","","INS-"&amp;TEXT(ROW()-3,"000"))</f>
        <v/>
      </c>
      <c r="B823" s="11" t="n"/>
      <c r="C823" s="7">
        <f>IF(B823="","",ISOWEEKNUM(B823))</f>
        <v/>
      </c>
      <c r="D823" s="7">
        <f>IF(B823="","",TEXT(B823,"yyyy-mm"))</f>
        <v/>
      </c>
      <c r="E823" s="12" t="n"/>
      <c r="F823" s="12" t="n"/>
      <c r="G823" s="7">
        <f>IF(OR(E823="",F823=""),"",IF(COUNTIF(Cluster_Master!$I$3:$I$17,E823&amp;"|"&amp;F823)=1,"Valid","Review"))</f>
        <v/>
      </c>
      <c r="H823" s="7">
        <f>IF($G823&lt;&gt;"Valid","",VLOOKUP($E823&amp;"|"&amp;$F823,Cluster_Master!$I$3:$H$17,3,FALSE))</f>
        <v/>
      </c>
      <c r="I823" s="7">
        <f>IF($G823&lt;&gt;"Valid","",VLOOKUP($E823&amp;"|"&amp;$F823,Cluster_Master!$I$3:$H$17,4,FALSE))</f>
        <v/>
      </c>
      <c r="J823" s="7">
        <f>IF($G823&lt;&gt;"Valid","",VLOOKUP($E823&amp;"|"&amp;$F823,Cluster_Master!$I$3:$H$17,5,FALSE))</f>
        <v/>
      </c>
      <c r="K823" s="7">
        <f>IF($G823&lt;&gt;"Valid","",VLOOKUP($E823&amp;"|"&amp;$F823,Cluster_Master!$I$3:$H$17,6,FALSE))</f>
        <v/>
      </c>
      <c r="L823" s="7">
        <f>IF($G823&lt;&gt;"Valid","",VLOOKUP($E823&amp;"|"&amp;$F823,Cluster_Master!$I$3:$H$17,7,FALSE))</f>
        <v/>
      </c>
      <c r="M823" s="7">
        <f>IF($G823&lt;&gt;"Valid","",VLOOKUP($E823&amp;"|"&amp;$F823,Cluster_Master!$I$3:$H$17,8,FALSE))</f>
        <v/>
      </c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7">
        <f>IF(COUNT(T823:AH823)=0,"",SUM(T823:AH823))</f>
        <v/>
      </c>
      <c r="AJ823" s="10">
        <f>IF(AI823="","",AI823/75)</f>
        <v/>
      </c>
      <c r="AK823" s="10">
        <f>IF(AI823="","",SUMPRODUCT(T823:AH823,KPI_Weights!$B$3:$B$17)/5)</f>
        <v/>
      </c>
      <c r="AL823" s="7">
        <f>IF(COUNT(T823:AH823)=0,"",IF(OR(T823&lt;=1,W823&lt;=1,X823&lt;=1,Y823&lt;=1,AB823&lt;=1),"YES","NO"))</f>
        <v/>
      </c>
      <c r="AM823" s="7">
        <f>IF(AK823="","",IF(AND(AK823="NO",AJ823&gt;=0.85),"YES","NO"))</f>
        <v/>
      </c>
      <c r="AN823" s="7">
        <f>IF(AJ823="","",IF(AJ823&gt;=0.90,"Excellent",IF(AJ823&gt;=0.80,"Good",IF(AJ823&gt;=0.70,"Fair","Poor"))))</f>
        <v/>
      </c>
      <c r="AO823" s="12" t="n"/>
      <c r="AP823" s="12" t="n"/>
      <c r="AQ823" s="12" t="n"/>
      <c r="AR823" s="12" t="n"/>
      <c r="AS823" s="12" t="n"/>
      <c r="AT823" s="12" t="n"/>
      <c r="AU823" s="12" t="n"/>
      <c r="AV823" s="11" t="n"/>
      <c r="AW823" s="12" t="n"/>
      <c r="AX823" s="12" t="n"/>
      <c r="AY823" s="12" t="n"/>
      <c r="AZ823" s="12" t="n"/>
      <c r="BA823" s="12" t="n"/>
      <c r="BB823" s="12" t="n"/>
      <c r="BC823" s="12" t="n"/>
      <c r="BD823" s="12" t="n"/>
      <c r="BE823" s="12" t="n"/>
      <c r="BF823" s="12" t="n"/>
    </row>
    <row r="824">
      <c r="A824" s="7">
        <f>IF(B824="","","INS-"&amp;TEXT(ROW()-3,"000"))</f>
        <v/>
      </c>
      <c r="B824" s="11" t="n"/>
      <c r="C824" s="7">
        <f>IF(B824="","",ISOWEEKNUM(B824))</f>
        <v/>
      </c>
      <c r="D824" s="7">
        <f>IF(B824="","",TEXT(B824,"yyyy-mm"))</f>
        <v/>
      </c>
      <c r="E824" s="12" t="n"/>
      <c r="F824" s="12" t="n"/>
      <c r="G824" s="7">
        <f>IF(OR(E824="",F824=""),"",IF(COUNTIF(Cluster_Master!$I$3:$I$17,E824&amp;"|"&amp;F824)=1,"Valid","Review"))</f>
        <v/>
      </c>
      <c r="H824" s="7">
        <f>IF($G824&lt;&gt;"Valid","",VLOOKUP($E824&amp;"|"&amp;$F824,Cluster_Master!$I$3:$H$17,3,FALSE))</f>
        <v/>
      </c>
      <c r="I824" s="7">
        <f>IF($G824&lt;&gt;"Valid","",VLOOKUP($E824&amp;"|"&amp;$F824,Cluster_Master!$I$3:$H$17,4,FALSE))</f>
        <v/>
      </c>
      <c r="J824" s="7">
        <f>IF($G824&lt;&gt;"Valid","",VLOOKUP($E824&amp;"|"&amp;$F824,Cluster_Master!$I$3:$H$17,5,FALSE))</f>
        <v/>
      </c>
      <c r="K824" s="7">
        <f>IF($G824&lt;&gt;"Valid","",VLOOKUP($E824&amp;"|"&amp;$F824,Cluster_Master!$I$3:$H$17,6,FALSE))</f>
        <v/>
      </c>
      <c r="L824" s="7">
        <f>IF($G824&lt;&gt;"Valid","",VLOOKUP($E824&amp;"|"&amp;$F824,Cluster_Master!$I$3:$H$17,7,FALSE))</f>
        <v/>
      </c>
      <c r="M824" s="7">
        <f>IF($G824&lt;&gt;"Valid","",VLOOKUP($E824&amp;"|"&amp;$F824,Cluster_Master!$I$3:$H$17,8,FALSE))</f>
        <v/>
      </c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7">
        <f>IF(COUNT(T824:AH824)=0,"",SUM(T824:AH824))</f>
        <v/>
      </c>
      <c r="AJ824" s="10">
        <f>IF(AI824="","",AI824/75)</f>
        <v/>
      </c>
      <c r="AK824" s="10">
        <f>IF(AI824="","",SUMPRODUCT(T824:AH824,KPI_Weights!$B$3:$B$17)/5)</f>
        <v/>
      </c>
      <c r="AL824" s="7">
        <f>IF(COUNT(T824:AH824)=0,"",IF(OR(T824&lt;=1,W824&lt;=1,X824&lt;=1,Y824&lt;=1,AB824&lt;=1),"YES","NO"))</f>
        <v/>
      </c>
      <c r="AM824" s="7">
        <f>IF(AK824="","",IF(AND(AK824="NO",AJ824&gt;=0.85),"YES","NO"))</f>
        <v/>
      </c>
      <c r="AN824" s="7">
        <f>IF(AJ824="","",IF(AJ824&gt;=0.90,"Excellent",IF(AJ824&gt;=0.80,"Good",IF(AJ824&gt;=0.70,"Fair","Poor"))))</f>
        <v/>
      </c>
      <c r="AO824" s="12" t="n"/>
      <c r="AP824" s="12" t="n"/>
      <c r="AQ824" s="12" t="n"/>
      <c r="AR824" s="12" t="n"/>
      <c r="AS824" s="12" t="n"/>
      <c r="AT824" s="12" t="n"/>
      <c r="AU824" s="12" t="n"/>
      <c r="AV824" s="11" t="n"/>
      <c r="AW824" s="12" t="n"/>
      <c r="AX824" s="12" t="n"/>
      <c r="AY824" s="12" t="n"/>
      <c r="AZ824" s="12" t="n"/>
      <c r="BA824" s="12" t="n"/>
      <c r="BB824" s="12" t="n"/>
      <c r="BC824" s="12" t="n"/>
      <c r="BD824" s="12" t="n"/>
      <c r="BE824" s="12" t="n"/>
      <c r="BF824" s="12" t="n"/>
    </row>
    <row r="825">
      <c r="A825" s="7">
        <f>IF(B825="","","INS-"&amp;TEXT(ROW()-3,"000"))</f>
        <v/>
      </c>
      <c r="B825" s="11" t="n"/>
      <c r="C825" s="7">
        <f>IF(B825="","",ISOWEEKNUM(B825))</f>
        <v/>
      </c>
      <c r="D825" s="7">
        <f>IF(B825="","",TEXT(B825,"yyyy-mm"))</f>
        <v/>
      </c>
      <c r="E825" s="12" t="n"/>
      <c r="F825" s="12" t="n"/>
      <c r="G825" s="7">
        <f>IF(OR(E825="",F825=""),"",IF(COUNTIF(Cluster_Master!$I$3:$I$17,E825&amp;"|"&amp;F825)=1,"Valid","Review"))</f>
        <v/>
      </c>
      <c r="H825" s="7">
        <f>IF($G825&lt;&gt;"Valid","",VLOOKUP($E825&amp;"|"&amp;$F825,Cluster_Master!$I$3:$H$17,3,FALSE))</f>
        <v/>
      </c>
      <c r="I825" s="7">
        <f>IF($G825&lt;&gt;"Valid","",VLOOKUP($E825&amp;"|"&amp;$F825,Cluster_Master!$I$3:$H$17,4,FALSE))</f>
        <v/>
      </c>
      <c r="J825" s="7">
        <f>IF($G825&lt;&gt;"Valid","",VLOOKUP($E825&amp;"|"&amp;$F825,Cluster_Master!$I$3:$H$17,5,FALSE))</f>
        <v/>
      </c>
      <c r="K825" s="7">
        <f>IF($G825&lt;&gt;"Valid","",VLOOKUP($E825&amp;"|"&amp;$F825,Cluster_Master!$I$3:$H$17,6,FALSE))</f>
        <v/>
      </c>
      <c r="L825" s="7">
        <f>IF($G825&lt;&gt;"Valid","",VLOOKUP($E825&amp;"|"&amp;$F825,Cluster_Master!$I$3:$H$17,7,FALSE))</f>
        <v/>
      </c>
      <c r="M825" s="7">
        <f>IF($G825&lt;&gt;"Valid","",VLOOKUP($E825&amp;"|"&amp;$F825,Cluster_Master!$I$3:$H$17,8,FALSE))</f>
        <v/>
      </c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7">
        <f>IF(COUNT(T825:AH825)=0,"",SUM(T825:AH825))</f>
        <v/>
      </c>
      <c r="AJ825" s="10">
        <f>IF(AI825="","",AI825/75)</f>
        <v/>
      </c>
      <c r="AK825" s="10">
        <f>IF(AI825="","",SUMPRODUCT(T825:AH825,KPI_Weights!$B$3:$B$17)/5)</f>
        <v/>
      </c>
      <c r="AL825" s="7">
        <f>IF(COUNT(T825:AH825)=0,"",IF(OR(T825&lt;=1,W825&lt;=1,X825&lt;=1,Y825&lt;=1,AB825&lt;=1),"YES","NO"))</f>
        <v/>
      </c>
      <c r="AM825" s="7">
        <f>IF(AK825="","",IF(AND(AK825="NO",AJ825&gt;=0.85),"YES","NO"))</f>
        <v/>
      </c>
      <c r="AN825" s="7">
        <f>IF(AJ825="","",IF(AJ825&gt;=0.90,"Excellent",IF(AJ825&gt;=0.80,"Good",IF(AJ825&gt;=0.70,"Fair","Poor"))))</f>
        <v/>
      </c>
      <c r="AO825" s="12" t="n"/>
      <c r="AP825" s="12" t="n"/>
      <c r="AQ825" s="12" t="n"/>
      <c r="AR825" s="12" t="n"/>
      <c r="AS825" s="12" t="n"/>
      <c r="AT825" s="12" t="n"/>
      <c r="AU825" s="12" t="n"/>
      <c r="AV825" s="11" t="n"/>
      <c r="AW825" s="12" t="n"/>
      <c r="AX825" s="12" t="n"/>
      <c r="AY825" s="12" t="n"/>
      <c r="AZ825" s="12" t="n"/>
      <c r="BA825" s="12" t="n"/>
      <c r="BB825" s="12" t="n"/>
      <c r="BC825" s="12" t="n"/>
      <c r="BD825" s="12" t="n"/>
      <c r="BE825" s="12" t="n"/>
      <c r="BF825" s="12" t="n"/>
    </row>
    <row r="826">
      <c r="A826" s="7">
        <f>IF(B826="","","INS-"&amp;TEXT(ROW()-3,"000"))</f>
        <v/>
      </c>
      <c r="B826" s="11" t="n"/>
      <c r="C826" s="7">
        <f>IF(B826="","",ISOWEEKNUM(B826))</f>
        <v/>
      </c>
      <c r="D826" s="7">
        <f>IF(B826="","",TEXT(B826,"yyyy-mm"))</f>
        <v/>
      </c>
      <c r="E826" s="12" t="n"/>
      <c r="F826" s="12" t="n"/>
      <c r="G826" s="7">
        <f>IF(OR(E826="",F826=""),"",IF(COUNTIF(Cluster_Master!$I$3:$I$17,E826&amp;"|"&amp;F826)=1,"Valid","Review"))</f>
        <v/>
      </c>
      <c r="H826" s="7">
        <f>IF($G826&lt;&gt;"Valid","",VLOOKUP($E826&amp;"|"&amp;$F826,Cluster_Master!$I$3:$H$17,3,FALSE))</f>
        <v/>
      </c>
      <c r="I826" s="7">
        <f>IF($G826&lt;&gt;"Valid","",VLOOKUP($E826&amp;"|"&amp;$F826,Cluster_Master!$I$3:$H$17,4,FALSE))</f>
        <v/>
      </c>
      <c r="J826" s="7">
        <f>IF($G826&lt;&gt;"Valid","",VLOOKUP($E826&amp;"|"&amp;$F826,Cluster_Master!$I$3:$H$17,5,FALSE))</f>
        <v/>
      </c>
      <c r="K826" s="7">
        <f>IF($G826&lt;&gt;"Valid","",VLOOKUP($E826&amp;"|"&amp;$F826,Cluster_Master!$I$3:$H$17,6,FALSE))</f>
        <v/>
      </c>
      <c r="L826" s="7">
        <f>IF($G826&lt;&gt;"Valid","",VLOOKUP($E826&amp;"|"&amp;$F826,Cluster_Master!$I$3:$H$17,7,FALSE))</f>
        <v/>
      </c>
      <c r="M826" s="7">
        <f>IF($G826&lt;&gt;"Valid","",VLOOKUP($E826&amp;"|"&amp;$F826,Cluster_Master!$I$3:$H$17,8,FALSE))</f>
        <v/>
      </c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7">
        <f>IF(COUNT(T826:AH826)=0,"",SUM(T826:AH826))</f>
        <v/>
      </c>
      <c r="AJ826" s="10">
        <f>IF(AI826="","",AI826/75)</f>
        <v/>
      </c>
      <c r="AK826" s="10">
        <f>IF(AI826="","",SUMPRODUCT(T826:AH826,KPI_Weights!$B$3:$B$17)/5)</f>
        <v/>
      </c>
      <c r="AL826" s="7">
        <f>IF(COUNT(T826:AH826)=0,"",IF(OR(T826&lt;=1,W826&lt;=1,X826&lt;=1,Y826&lt;=1,AB826&lt;=1),"YES","NO"))</f>
        <v/>
      </c>
      <c r="AM826" s="7">
        <f>IF(AK826="","",IF(AND(AK826="NO",AJ826&gt;=0.85),"YES","NO"))</f>
        <v/>
      </c>
      <c r="AN826" s="7">
        <f>IF(AJ826="","",IF(AJ826&gt;=0.90,"Excellent",IF(AJ826&gt;=0.80,"Good",IF(AJ826&gt;=0.70,"Fair","Poor"))))</f>
        <v/>
      </c>
      <c r="AO826" s="12" t="n"/>
      <c r="AP826" s="12" t="n"/>
      <c r="AQ826" s="12" t="n"/>
      <c r="AR826" s="12" t="n"/>
      <c r="AS826" s="12" t="n"/>
      <c r="AT826" s="12" t="n"/>
      <c r="AU826" s="12" t="n"/>
      <c r="AV826" s="11" t="n"/>
      <c r="AW826" s="12" t="n"/>
      <c r="AX826" s="12" t="n"/>
      <c r="AY826" s="12" t="n"/>
      <c r="AZ826" s="12" t="n"/>
      <c r="BA826" s="12" t="n"/>
      <c r="BB826" s="12" t="n"/>
      <c r="BC826" s="12" t="n"/>
      <c r="BD826" s="12" t="n"/>
      <c r="BE826" s="12" t="n"/>
      <c r="BF826" s="12" t="n"/>
    </row>
    <row r="827">
      <c r="A827" s="7">
        <f>IF(B827="","","INS-"&amp;TEXT(ROW()-3,"000"))</f>
        <v/>
      </c>
      <c r="B827" s="11" t="n"/>
      <c r="C827" s="7">
        <f>IF(B827="","",ISOWEEKNUM(B827))</f>
        <v/>
      </c>
      <c r="D827" s="7">
        <f>IF(B827="","",TEXT(B827,"yyyy-mm"))</f>
        <v/>
      </c>
      <c r="E827" s="12" t="n"/>
      <c r="F827" s="12" t="n"/>
      <c r="G827" s="7">
        <f>IF(OR(E827="",F827=""),"",IF(COUNTIF(Cluster_Master!$I$3:$I$17,E827&amp;"|"&amp;F827)=1,"Valid","Review"))</f>
        <v/>
      </c>
      <c r="H827" s="7">
        <f>IF($G827&lt;&gt;"Valid","",VLOOKUP($E827&amp;"|"&amp;$F827,Cluster_Master!$I$3:$H$17,3,FALSE))</f>
        <v/>
      </c>
      <c r="I827" s="7">
        <f>IF($G827&lt;&gt;"Valid","",VLOOKUP($E827&amp;"|"&amp;$F827,Cluster_Master!$I$3:$H$17,4,FALSE))</f>
        <v/>
      </c>
      <c r="J827" s="7">
        <f>IF($G827&lt;&gt;"Valid","",VLOOKUP($E827&amp;"|"&amp;$F827,Cluster_Master!$I$3:$H$17,5,FALSE))</f>
        <v/>
      </c>
      <c r="K827" s="7">
        <f>IF($G827&lt;&gt;"Valid","",VLOOKUP($E827&amp;"|"&amp;$F827,Cluster_Master!$I$3:$H$17,6,FALSE))</f>
        <v/>
      </c>
      <c r="L827" s="7">
        <f>IF($G827&lt;&gt;"Valid","",VLOOKUP($E827&amp;"|"&amp;$F827,Cluster_Master!$I$3:$H$17,7,FALSE))</f>
        <v/>
      </c>
      <c r="M827" s="7">
        <f>IF($G827&lt;&gt;"Valid","",VLOOKUP($E827&amp;"|"&amp;$F827,Cluster_Master!$I$3:$H$17,8,FALSE))</f>
        <v/>
      </c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7">
        <f>IF(COUNT(T827:AH827)=0,"",SUM(T827:AH827))</f>
        <v/>
      </c>
      <c r="AJ827" s="10">
        <f>IF(AI827="","",AI827/75)</f>
        <v/>
      </c>
      <c r="AK827" s="10">
        <f>IF(AI827="","",SUMPRODUCT(T827:AH827,KPI_Weights!$B$3:$B$17)/5)</f>
        <v/>
      </c>
      <c r="AL827" s="7">
        <f>IF(COUNT(T827:AH827)=0,"",IF(OR(T827&lt;=1,W827&lt;=1,X827&lt;=1,Y827&lt;=1,AB827&lt;=1),"YES","NO"))</f>
        <v/>
      </c>
      <c r="AM827" s="7">
        <f>IF(AK827="","",IF(AND(AK827="NO",AJ827&gt;=0.85),"YES","NO"))</f>
        <v/>
      </c>
      <c r="AN827" s="7">
        <f>IF(AJ827="","",IF(AJ827&gt;=0.90,"Excellent",IF(AJ827&gt;=0.80,"Good",IF(AJ827&gt;=0.70,"Fair","Poor"))))</f>
        <v/>
      </c>
      <c r="AO827" s="12" t="n"/>
      <c r="AP827" s="12" t="n"/>
      <c r="AQ827" s="12" t="n"/>
      <c r="AR827" s="12" t="n"/>
      <c r="AS827" s="12" t="n"/>
      <c r="AT827" s="12" t="n"/>
      <c r="AU827" s="12" t="n"/>
      <c r="AV827" s="11" t="n"/>
      <c r="AW827" s="12" t="n"/>
      <c r="AX827" s="12" t="n"/>
      <c r="AY827" s="12" t="n"/>
      <c r="AZ827" s="12" t="n"/>
      <c r="BA827" s="12" t="n"/>
      <c r="BB827" s="12" t="n"/>
      <c r="BC827" s="12" t="n"/>
      <c r="BD827" s="12" t="n"/>
      <c r="BE827" s="12" t="n"/>
      <c r="BF827" s="12" t="n"/>
    </row>
    <row r="828">
      <c r="A828" s="7">
        <f>IF(B828="","","INS-"&amp;TEXT(ROW()-3,"000"))</f>
        <v/>
      </c>
      <c r="B828" s="11" t="n"/>
      <c r="C828" s="7">
        <f>IF(B828="","",ISOWEEKNUM(B828))</f>
        <v/>
      </c>
      <c r="D828" s="7">
        <f>IF(B828="","",TEXT(B828,"yyyy-mm"))</f>
        <v/>
      </c>
      <c r="E828" s="12" t="n"/>
      <c r="F828" s="12" t="n"/>
      <c r="G828" s="7">
        <f>IF(OR(E828="",F828=""),"",IF(COUNTIF(Cluster_Master!$I$3:$I$17,E828&amp;"|"&amp;F828)=1,"Valid","Review"))</f>
        <v/>
      </c>
      <c r="H828" s="7">
        <f>IF($G828&lt;&gt;"Valid","",VLOOKUP($E828&amp;"|"&amp;$F828,Cluster_Master!$I$3:$H$17,3,FALSE))</f>
        <v/>
      </c>
      <c r="I828" s="7">
        <f>IF($G828&lt;&gt;"Valid","",VLOOKUP($E828&amp;"|"&amp;$F828,Cluster_Master!$I$3:$H$17,4,FALSE))</f>
        <v/>
      </c>
      <c r="J828" s="7">
        <f>IF($G828&lt;&gt;"Valid","",VLOOKUP($E828&amp;"|"&amp;$F828,Cluster_Master!$I$3:$H$17,5,FALSE))</f>
        <v/>
      </c>
      <c r="K828" s="7">
        <f>IF($G828&lt;&gt;"Valid","",VLOOKUP($E828&amp;"|"&amp;$F828,Cluster_Master!$I$3:$H$17,6,FALSE))</f>
        <v/>
      </c>
      <c r="L828" s="7">
        <f>IF($G828&lt;&gt;"Valid","",VLOOKUP($E828&amp;"|"&amp;$F828,Cluster_Master!$I$3:$H$17,7,FALSE))</f>
        <v/>
      </c>
      <c r="M828" s="7">
        <f>IF($G828&lt;&gt;"Valid","",VLOOKUP($E828&amp;"|"&amp;$F828,Cluster_Master!$I$3:$H$17,8,FALSE))</f>
        <v/>
      </c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7">
        <f>IF(COUNT(T828:AH828)=0,"",SUM(T828:AH828))</f>
        <v/>
      </c>
      <c r="AJ828" s="10">
        <f>IF(AI828="","",AI828/75)</f>
        <v/>
      </c>
      <c r="AK828" s="10">
        <f>IF(AI828="","",SUMPRODUCT(T828:AH828,KPI_Weights!$B$3:$B$17)/5)</f>
        <v/>
      </c>
      <c r="AL828" s="7">
        <f>IF(COUNT(T828:AH828)=0,"",IF(OR(T828&lt;=1,W828&lt;=1,X828&lt;=1,Y828&lt;=1,AB828&lt;=1),"YES","NO"))</f>
        <v/>
      </c>
      <c r="AM828" s="7">
        <f>IF(AK828="","",IF(AND(AK828="NO",AJ828&gt;=0.85),"YES","NO"))</f>
        <v/>
      </c>
      <c r="AN828" s="7">
        <f>IF(AJ828="","",IF(AJ828&gt;=0.90,"Excellent",IF(AJ828&gt;=0.80,"Good",IF(AJ828&gt;=0.70,"Fair","Poor"))))</f>
        <v/>
      </c>
      <c r="AO828" s="12" t="n"/>
      <c r="AP828" s="12" t="n"/>
      <c r="AQ828" s="12" t="n"/>
      <c r="AR828" s="12" t="n"/>
      <c r="AS828" s="12" t="n"/>
      <c r="AT828" s="12" t="n"/>
      <c r="AU828" s="12" t="n"/>
      <c r="AV828" s="11" t="n"/>
      <c r="AW828" s="12" t="n"/>
      <c r="AX828" s="12" t="n"/>
      <c r="AY828" s="12" t="n"/>
      <c r="AZ828" s="12" t="n"/>
      <c r="BA828" s="12" t="n"/>
      <c r="BB828" s="12" t="n"/>
      <c r="BC828" s="12" t="n"/>
      <c r="BD828" s="12" t="n"/>
      <c r="BE828" s="12" t="n"/>
      <c r="BF828" s="12" t="n"/>
    </row>
    <row r="829">
      <c r="A829" s="7">
        <f>IF(B829="","","INS-"&amp;TEXT(ROW()-3,"000"))</f>
        <v/>
      </c>
      <c r="B829" s="11" t="n"/>
      <c r="C829" s="7">
        <f>IF(B829="","",ISOWEEKNUM(B829))</f>
        <v/>
      </c>
      <c r="D829" s="7">
        <f>IF(B829="","",TEXT(B829,"yyyy-mm"))</f>
        <v/>
      </c>
      <c r="E829" s="12" t="n"/>
      <c r="F829" s="12" t="n"/>
      <c r="G829" s="7">
        <f>IF(OR(E829="",F829=""),"",IF(COUNTIF(Cluster_Master!$I$3:$I$17,E829&amp;"|"&amp;F829)=1,"Valid","Review"))</f>
        <v/>
      </c>
      <c r="H829" s="7">
        <f>IF($G829&lt;&gt;"Valid","",VLOOKUP($E829&amp;"|"&amp;$F829,Cluster_Master!$I$3:$H$17,3,FALSE))</f>
        <v/>
      </c>
      <c r="I829" s="7">
        <f>IF($G829&lt;&gt;"Valid","",VLOOKUP($E829&amp;"|"&amp;$F829,Cluster_Master!$I$3:$H$17,4,FALSE))</f>
        <v/>
      </c>
      <c r="J829" s="7">
        <f>IF($G829&lt;&gt;"Valid","",VLOOKUP($E829&amp;"|"&amp;$F829,Cluster_Master!$I$3:$H$17,5,FALSE))</f>
        <v/>
      </c>
      <c r="K829" s="7">
        <f>IF($G829&lt;&gt;"Valid","",VLOOKUP($E829&amp;"|"&amp;$F829,Cluster_Master!$I$3:$H$17,6,FALSE))</f>
        <v/>
      </c>
      <c r="L829" s="7">
        <f>IF($G829&lt;&gt;"Valid","",VLOOKUP($E829&amp;"|"&amp;$F829,Cluster_Master!$I$3:$H$17,7,FALSE))</f>
        <v/>
      </c>
      <c r="M829" s="7">
        <f>IF($G829&lt;&gt;"Valid","",VLOOKUP($E829&amp;"|"&amp;$F829,Cluster_Master!$I$3:$H$17,8,FALSE))</f>
        <v/>
      </c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7">
        <f>IF(COUNT(T829:AH829)=0,"",SUM(T829:AH829))</f>
        <v/>
      </c>
      <c r="AJ829" s="10">
        <f>IF(AI829="","",AI829/75)</f>
        <v/>
      </c>
      <c r="AK829" s="10">
        <f>IF(AI829="","",SUMPRODUCT(T829:AH829,KPI_Weights!$B$3:$B$17)/5)</f>
        <v/>
      </c>
      <c r="AL829" s="7">
        <f>IF(COUNT(T829:AH829)=0,"",IF(OR(T829&lt;=1,W829&lt;=1,X829&lt;=1,Y829&lt;=1,AB829&lt;=1),"YES","NO"))</f>
        <v/>
      </c>
      <c r="AM829" s="7">
        <f>IF(AK829="","",IF(AND(AK829="NO",AJ829&gt;=0.85),"YES","NO"))</f>
        <v/>
      </c>
      <c r="AN829" s="7">
        <f>IF(AJ829="","",IF(AJ829&gt;=0.90,"Excellent",IF(AJ829&gt;=0.80,"Good",IF(AJ829&gt;=0.70,"Fair","Poor"))))</f>
        <v/>
      </c>
      <c r="AO829" s="12" t="n"/>
      <c r="AP829" s="12" t="n"/>
      <c r="AQ829" s="12" t="n"/>
      <c r="AR829" s="12" t="n"/>
      <c r="AS829" s="12" t="n"/>
      <c r="AT829" s="12" t="n"/>
      <c r="AU829" s="12" t="n"/>
      <c r="AV829" s="11" t="n"/>
      <c r="AW829" s="12" t="n"/>
      <c r="AX829" s="12" t="n"/>
      <c r="AY829" s="12" t="n"/>
      <c r="AZ829" s="12" t="n"/>
      <c r="BA829" s="12" t="n"/>
      <c r="BB829" s="12" t="n"/>
      <c r="BC829" s="12" t="n"/>
      <c r="BD829" s="12" t="n"/>
      <c r="BE829" s="12" t="n"/>
      <c r="BF829" s="12" t="n"/>
    </row>
    <row r="830">
      <c r="A830" s="7">
        <f>IF(B830="","","INS-"&amp;TEXT(ROW()-3,"000"))</f>
        <v/>
      </c>
      <c r="B830" s="11" t="n"/>
      <c r="C830" s="7">
        <f>IF(B830="","",ISOWEEKNUM(B830))</f>
        <v/>
      </c>
      <c r="D830" s="7">
        <f>IF(B830="","",TEXT(B830,"yyyy-mm"))</f>
        <v/>
      </c>
      <c r="E830" s="12" t="n"/>
      <c r="F830" s="12" t="n"/>
      <c r="G830" s="7">
        <f>IF(OR(E830="",F830=""),"",IF(COUNTIF(Cluster_Master!$I$3:$I$17,E830&amp;"|"&amp;F830)=1,"Valid","Review"))</f>
        <v/>
      </c>
      <c r="H830" s="7">
        <f>IF($G830&lt;&gt;"Valid","",VLOOKUP($E830&amp;"|"&amp;$F830,Cluster_Master!$I$3:$H$17,3,FALSE))</f>
        <v/>
      </c>
      <c r="I830" s="7">
        <f>IF($G830&lt;&gt;"Valid","",VLOOKUP($E830&amp;"|"&amp;$F830,Cluster_Master!$I$3:$H$17,4,FALSE))</f>
        <v/>
      </c>
      <c r="J830" s="7">
        <f>IF($G830&lt;&gt;"Valid","",VLOOKUP($E830&amp;"|"&amp;$F830,Cluster_Master!$I$3:$H$17,5,FALSE))</f>
        <v/>
      </c>
      <c r="K830" s="7">
        <f>IF($G830&lt;&gt;"Valid","",VLOOKUP($E830&amp;"|"&amp;$F830,Cluster_Master!$I$3:$H$17,6,FALSE))</f>
        <v/>
      </c>
      <c r="L830" s="7">
        <f>IF($G830&lt;&gt;"Valid","",VLOOKUP($E830&amp;"|"&amp;$F830,Cluster_Master!$I$3:$H$17,7,FALSE))</f>
        <v/>
      </c>
      <c r="M830" s="7">
        <f>IF($G830&lt;&gt;"Valid","",VLOOKUP($E830&amp;"|"&amp;$F830,Cluster_Master!$I$3:$H$17,8,FALSE))</f>
        <v/>
      </c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7">
        <f>IF(COUNT(T830:AH830)=0,"",SUM(T830:AH830))</f>
        <v/>
      </c>
      <c r="AJ830" s="10">
        <f>IF(AI830="","",AI830/75)</f>
        <v/>
      </c>
      <c r="AK830" s="10">
        <f>IF(AI830="","",SUMPRODUCT(T830:AH830,KPI_Weights!$B$3:$B$17)/5)</f>
        <v/>
      </c>
      <c r="AL830" s="7">
        <f>IF(COUNT(T830:AH830)=0,"",IF(OR(T830&lt;=1,W830&lt;=1,X830&lt;=1,Y830&lt;=1,AB830&lt;=1),"YES","NO"))</f>
        <v/>
      </c>
      <c r="AM830" s="7">
        <f>IF(AK830="","",IF(AND(AK830="NO",AJ830&gt;=0.85),"YES","NO"))</f>
        <v/>
      </c>
      <c r="AN830" s="7">
        <f>IF(AJ830="","",IF(AJ830&gt;=0.90,"Excellent",IF(AJ830&gt;=0.80,"Good",IF(AJ830&gt;=0.70,"Fair","Poor"))))</f>
        <v/>
      </c>
      <c r="AO830" s="12" t="n"/>
      <c r="AP830" s="12" t="n"/>
      <c r="AQ830" s="12" t="n"/>
      <c r="AR830" s="12" t="n"/>
      <c r="AS830" s="12" t="n"/>
      <c r="AT830" s="12" t="n"/>
      <c r="AU830" s="12" t="n"/>
      <c r="AV830" s="11" t="n"/>
      <c r="AW830" s="12" t="n"/>
      <c r="AX830" s="12" t="n"/>
      <c r="AY830" s="12" t="n"/>
      <c r="AZ830" s="12" t="n"/>
      <c r="BA830" s="12" t="n"/>
      <c r="BB830" s="12" t="n"/>
      <c r="BC830" s="12" t="n"/>
      <c r="BD830" s="12" t="n"/>
      <c r="BE830" s="12" t="n"/>
      <c r="BF830" s="12" t="n"/>
    </row>
    <row r="831">
      <c r="A831" s="7">
        <f>IF(B831="","","INS-"&amp;TEXT(ROW()-3,"000"))</f>
        <v/>
      </c>
      <c r="B831" s="11" t="n"/>
      <c r="C831" s="7">
        <f>IF(B831="","",ISOWEEKNUM(B831))</f>
        <v/>
      </c>
      <c r="D831" s="7">
        <f>IF(B831="","",TEXT(B831,"yyyy-mm"))</f>
        <v/>
      </c>
      <c r="E831" s="12" t="n"/>
      <c r="F831" s="12" t="n"/>
      <c r="G831" s="7">
        <f>IF(OR(E831="",F831=""),"",IF(COUNTIF(Cluster_Master!$I$3:$I$17,E831&amp;"|"&amp;F831)=1,"Valid","Review"))</f>
        <v/>
      </c>
      <c r="H831" s="7">
        <f>IF($G831&lt;&gt;"Valid","",VLOOKUP($E831&amp;"|"&amp;$F831,Cluster_Master!$I$3:$H$17,3,FALSE))</f>
        <v/>
      </c>
      <c r="I831" s="7">
        <f>IF($G831&lt;&gt;"Valid","",VLOOKUP($E831&amp;"|"&amp;$F831,Cluster_Master!$I$3:$H$17,4,FALSE))</f>
        <v/>
      </c>
      <c r="J831" s="7">
        <f>IF($G831&lt;&gt;"Valid","",VLOOKUP($E831&amp;"|"&amp;$F831,Cluster_Master!$I$3:$H$17,5,FALSE))</f>
        <v/>
      </c>
      <c r="K831" s="7">
        <f>IF($G831&lt;&gt;"Valid","",VLOOKUP($E831&amp;"|"&amp;$F831,Cluster_Master!$I$3:$H$17,6,FALSE))</f>
        <v/>
      </c>
      <c r="L831" s="7">
        <f>IF($G831&lt;&gt;"Valid","",VLOOKUP($E831&amp;"|"&amp;$F831,Cluster_Master!$I$3:$H$17,7,FALSE))</f>
        <v/>
      </c>
      <c r="M831" s="7">
        <f>IF($G831&lt;&gt;"Valid","",VLOOKUP($E831&amp;"|"&amp;$F831,Cluster_Master!$I$3:$H$17,8,FALSE))</f>
        <v/>
      </c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7">
        <f>IF(COUNT(T831:AH831)=0,"",SUM(T831:AH831))</f>
        <v/>
      </c>
      <c r="AJ831" s="10">
        <f>IF(AI831="","",AI831/75)</f>
        <v/>
      </c>
      <c r="AK831" s="10">
        <f>IF(AI831="","",SUMPRODUCT(T831:AH831,KPI_Weights!$B$3:$B$17)/5)</f>
        <v/>
      </c>
      <c r="AL831" s="7">
        <f>IF(COUNT(T831:AH831)=0,"",IF(OR(T831&lt;=1,W831&lt;=1,X831&lt;=1,Y831&lt;=1,AB831&lt;=1),"YES","NO"))</f>
        <v/>
      </c>
      <c r="AM831" s="7">
        <f>IF(AK831="","",IF(AND(AK831="NO",AJ831&gt;=0.85),"YES","NO"))</f>
        <v/>
      </c>
      <c r="AN831" s="7">
        <f>IF(AJ831="","",IF(AJ831&gt;=0.90,"Excellent",IF(AJ831&gt;=0.80,"Good",IF(AJ831&gt;=0.70,"Fair","Poor"))))</f>
        <v/>
      </c>
      <c r="AO831" s="12" t="n"/>
      <c r="AP831" s="12" t="n"/>
      <c r="AQ831" s="12" t="n"/>
      <c r="AR831" s="12" t="n"/>
      <c r="AS831" s="12" t="n"/>
      <c r="AT831" s="12" t="n"/>
      <c r="AU831" s="12" t="n"/>
      <c r="AV831" s="11" t="n"/>
      <c r="AW831" s="12" t="n"/>
      <c r="AX831" s="12" t="n"/>
      <c r="AY831" s="12" t="n"/>
      <c r="AZ831" s="12" t="n"/>
      <c r="BA831" s="12" t="n"/>
      <c r="BB831" s="12" t="n"/>
      <c r="BC831" s="12" t="n"/>
      <c r="BD831" s="12" t="n"/>
      <c r="BE831" s="12" t="n"/>
      <c r="BF831" s="12" t="n"/>
    </row>
    <row r="832">
      <c r="A832" s="7">
        <f>IF(B832="","","INS-"&amp;TEXT(ROW()-3,"000"))</f>
        <v/>
      </c>
      <c r="B832" s="11" t="n"/>
      <c r="C832" s="7">
        <f>IF(B832="","",ISOWEEKNUM(B832))</f>
        <v/>
      </c>
      <c r="D832" s="7">
        <f>IF(B832="","",TEXT(B832,"yyyy-mm"))</f>
        <v/>
      </c>
      <c r="E832" s="12" t="n"/>
      <c r="F832" s="12" t="n"/>
      <c r="G832" s="7">
        <f>IF(OR(E832="",F832=""),"",IF(COUNTIF(Cluster_Master!$I$3:$I$17,E832&amp;"|"&amp;F832)=1,"Valid","Review"))</f>
        <v/>
      </c>
      <c r="H832" s="7">
        <f>IF($G832&lt;&gt;"Valid","",VLOOKUP($E832&amp;"|"&amp;$F832,Cluster_Master!$I$3:$H$17,3,FALSE))</f>
        <v/>
      </c>
      <c r="I832" s="7">
        <f>IF($G832&lt;&gt;"Valid","",VLOOKUP($E832&amp;"|"&amp;$F832,Cluster_Master!$I$3:$H$17,4,FALSE))</f>
        <v/>
      </c>
      <c r="J832" s="7">
        <f>IF($G832&lt;&gt;"Valid","",VLOOKUP($E832&amp;"|"&amp;$F832,Cluster_Master!$I$3:$H$17,5,FALSE))</f>
        <v/>
      </c>
      <c r="K832" s="7">
        <f>IF($G832&lt;&gt;"Valid","",VLOOKUP($E832&amp;"|"&amp;$F832,Cluster_Master!$I$3:$H$17,6,FALSE))</f>
        <v/>
      </c>
      <c r="L832" s="7">
        <f>IF($G832&lt;&gt;"Valid","",VLOOKUP($E832&amp;"|"&amp;$F832,Cluster_Master!$I$3:$H$17,7,FALSE))</f>
        <v/>
      </c>
      <c r="M832" s="7">
        <f>IF($G832&lt;&gt;"Valid","",VLOOKUP($E832&amp;"|"&amp;$F832,Cluster_Master!$I$3:$H$17,8,FALSE))</f>
        <v/>
      </c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7">
        <f>IF(COUNT(T832:AH832)=0,"",SUM(T832:AH832))</f>
        <v/>
      </c>
      <c r="AJ832" s="10">
        <f>IF(AI832="","",AI832/75)</f>
        <v/>
      </c>
      <c r="AK832" s="10">
        <f>IF(AI832="","",SUMPRODUCT(T832:AH832,KPI_Weights!$B$3:$B$17)/5)</f>
        <v/>
      </c>
      <c r="AL832" s="7">
        <f>IF(COUNT(T832:AH832)=0,"",IF(OR(T832&lt;=1,W832&lt;=1,X832&lt;=1,Y832&lt;=1,AB832&lt;=1),"YES","NO"))</f>
        <v/>
      </c>
      <c r="AM832" s="7">
        <f>IF(AK832="","",IF(AND(AK832="NO",AJ832&gt;=0.85),"YES","NO"))</f>
        <v/>
      </c>
      <c r="AN832" s="7">
        <f>IF(AJ832="","",IF(AJ832&gt;=0.90,"Excellent",IF(AJ832&gt;=0.80,"Good",IF(AJ832&gt;=0.70,"Fair","Poor"))))</f>
        <v/>
      </c>
      <c r="AO832" s="12" t="n"/>
      <c r="AP832" s="12" t="n"/>
      <c r="AQ832" s="12" t="n"/>
      <c r="AR832" s="12" t="n"/>
      <c r="AS832" s="12" t="n"/>
      <c r="AT832" s="12" t="n"/>
      <c r="AU832" s="12" t="n"/>
      <c r="AV832" s="11" t="n"/>
      <c r="AW832" s="12" t="n"/>
      <c r="AX832" s="12" t="n"/>
      <c r="AY832" s="12" t="n"/>
      <c r="AZ832" s="12" t="n"/>
      <c r="BA832" s="12" t="n"/>
      <c r="BB832" s="12" t="n"/>
      <c r="BC832" s="12" t="n"/>
      <c r="BD832" s="12" t="n"/>
      <c r="BE832" s="12" t="n"/>
      <c r="BF832" s="12" t="n"/>
    </row>
    <row r="833">
      <c r="A833" s="7">
        <f>IF(B833="","","INS-"&amp;TEXT(ROW()-3,"000"))</f>
        <v/>
      </c>
      <c r="B833" s="11" t="n"/>
      <c r="C833" s="7">
        <f>IF(B833="","",ISOWEEKNUM(B833))</f>
        <v/>
      </c>
      <c r="D833" s="7">
        <f>IF(B833="","",TEXT(B833,"yyyy-mm"))</f>
        <v/>
      </c>
      <c r="E833" s="12" t="n"/>
      <c r="F833" s="12" t="n"/>
      <c r="G833" s="7">
        <f>IF(OR(E833="",F833=""),"",IF(COUNTIF(Cluster_Master!$I$3:$I$17,E833&amp;"|"&amp;F833)=1,"Valid","Review"))</f>
        <v/>
      </c>
      <c r="H833" s="7">
        <f>IF($G833&lt;&gt;"Valid","",VLOOKUP($E833&amp;"|"&amp;$F833,Cluster_Master!$I$3:$H$17,3,FALSE))</f>
        <v/>
      </c>
      <c r="I833" s="7">
        <f>IF($G833&lt;&gt;"Valid","",VLOOKUP($E833&amp;"|"&amp;$F833,Cluster_Master!$I$3:$H$17,4,FALSE))</f>
        <v/>
      </c>
      <c r="J833" s="7">
        <f>IF($G833&lt;&gt;"Valid","",VLOOKUP($E833&amp;"|"&amp;$F833,Cluster_Master!$I$3:$H$17,5,FALSE))</f>
        <v/>
      </c>
      <c r="K833" s="7">
        <f>IF($G833&lt;&gt;"Valid","",VLOOKUP($E833&amp;"|"&amp;$F833,Cluster_Master!$I$3:$H$17,6,FALSE))</f>
        <v/>
      </c>
      <c r="L833" s="7">
        <f>IF($G833&lt;&gt;"Valid","",VLOOKUP($E833&amp;"|"&amp;$F833,Cluster_Master!$I$3:$H$17,7,FALSE))</f>
        <v/>
      </c>
      <c r="M833" s="7">
        <f>IF($G833&lt;&gt;"Valid","",VLOOKUP($E833&amp;"|"&amp;$F833,Cluster_Master!$I$3:$H$17,8,FALSE))</f>
        <v/>
      </c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7">
        <f>IF(COUNT(T833:AH833)=0,"",SUM(T833:AH833))</f>
        <v/>
      </c>
      <c r="AJ833" s="10">
        <f>IF(AI833="","",AI833/75)</f>
        <v/>
      </c>
      <c r="AK833" s="10">
        <f>IF(AI833="","",SUMPRODUCT(T833:AH833,KPI_Weights!$B$3:$B$17)/5)</f>
        <v/>
      </c>
      <c r="AL833" s="7">
        <f>IF(COUNT(T833:AH833)=0,"",IF(OR(T833&lt;=1,W833&lt;=1,X833&lt;=1,Y833&lt;=1,AB833&lt;=1),"YES","NO"))</f>
        <v/>
      </c>
      <c r="AM833" s="7">
        <f>IF(AK833="","",IF(AND(AK833="NO",AJ833&gt;=0.85),"YES","NO"))</f>
        <v/>
      </c>
      <c r="AN833" s="7">
        <f>IF(AJ833="","",IF(AJ833&gt;=0.90,"Excellent",IF(AJ833&gt;=0.80,"Good",IF(AJ833&gt;=0.70,"Fair","Poor"))))</f>
        <v/>
      </c>
      <c r="AO833" s="12" t="n"/>
      <c r="AP833" s="12" t="n"/>
      <c r="AQ833" s="12" t="n"/>
      <c r="AR833" s="12" t="n"/>
      <c r="AS833" s="12" t="n"/>
      <c r="AT833" s="12" t="n"/>
      <c r="AU833" s="12" t="n"/>
      <c r="AV833" s="11" t="n"/>
      <c r="AW833" s="12" t="n"/>
      <c r="AX833" s="12" t="n"/>
      <c r="AY833" s="12" t="n"/>
      <c r="AZ833" s="12" t="n"/>
      <c r="BA833" s="12" t="n"/>
      <c r="BB833" s="12" t="n"/>
      <c r="BC833" s="12" t="n"/>
      <c r="BD833" s="12" t="n"/>
      <c r="BE833" s="12" t="n"/>
      <c r="BF833" s="12" t="n"/>
    </row>
    <row r="834">
      <c r="A834" s="7">
        <f>IF(B834="","","INS-"&amp;TEXT(ROW()-3,"000"))</f>
        <v/>
      </c>
      <c r="B834" s="11" t="n"/>
      <c r="C834" s="7">
        <f>IF(B834="","",ISOWEEKNUM(B834))</f>
        <v/>
      </c>
      <c r="D834" s="7">
        <f>IF(B834="","",TEXT(B834,"yyyy-mm"))</f>
        <v/>
      </c>
      <c r="E834" s="12" t="n"/>
      <c r="F834" s="12" t="n"/>
      <c r="G834" s="7">
        <f>IF(OR(E834="",F834=""),"",IF(COUNTIF(Cluster_Master!$I$3:$I$17,E834&amp;"|"&amp;F834)=1,"Valid","Review"))</f>
        <v/>
      </c>
      <c r="H834" s="7">
        <f>IF($G834&lt;&gt;"Valid","",VLOOKUP($E834&amp;"|"&amp;$F834,Cluster_Master!$I$3:$H$17,3,FALSE))</f>
        <v/>
      </c>
      <c r="I834" s="7">
        <f>IF($G834&lt;&gt;"Valid","",VLOOKUP($E834&amp;"|"&amp;$F834,Cluster_Master!$I$3:$H$17,4,FALSE))</f>
        <v/>
      </c>
      <c r="J834" s="7">
        <f>IF($G834&lt;&gt;"Valid","",VLOOKUP($E834&amp;"|"&amp;$F834,Cluster_Master!$I$3:$H$17,5,FALSE))</f>
        <v/>
      </c>
      <c r="K834" s="7">
        <f>IF($G834&lt;&gt;"Valid","",VLOOKUP($E834&amp;"|"&amp;$F834,Cluster_Master!$I$3:$H$17,6,FALSE))</f>
        <v/>
      </c>
      <c r="L834" s="7">
        <f>IF($G834&lt;&gt;"Valid","",VLOOKUP($E834&amp;"|"&amp;$F834,Cluster_Master!$I$3:$H$17,7,FALSE))</f>
        <v/>
      </c>
      <c r="M834" s="7">
        <f>IF($G834&lt;&gt;"Valid","",VLOOKUP($E834&amp;"|"&amp;$F834,Cluster_Master!$I$3:$H$17,8,FALSE))</f>
        <v/>
      </c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7">
        <f>IF(COUNT(T834:AH834)=0,"",SUM(T834:AH834))</f>
        <v/>
      </c>
      <c r="AJ834" s="10">
        <f>IF(AI834="","",AI834/75)</f>
        <v/>
      </c>
      <c r="AK834" s="10">
        <f>IF(AI834="","",SUMPRODUCT(T834:AH834,KPI_Weights!$B$3:$B$17)/5)</f>
        <v/>
      </c>
      <c r="AL834" s="7">
        <f>IF(COUNT(T834:AH834)=0,"",IF(OR(T834&lt;=1,W834&lt;=1,X834&lt;=1,Y834&lt;=1,AB834&lt;=1),"YES","NO"))</f>
        <v/>
      </c>
      <c r="AM834" s="7">
        <f>IF(AK834="","",IF(AND(AK834="NO",AJ834&gt;=0.85),"YES","NO"))</f>
        <v/>
      </c>
      <c r="AN834" s="7">
        <f>IF(AJ834="","",IF(AJ834&gt;=0.90,"Excellent",IF(AJ834&gt;=0.80,"Good",IF(AJ834&gt;=0.70,"Fair","Poor"))))</f>
        <v/>
      </c>
      <c r="AO834" s="12" t="n"/>
      <c r="AP834" s="12" t="n"/>
      <c r="AQ834" s="12" t="n"/>
      <c r="AR834" s="12" t="n"/>
      <c r="AS834" s="12" t="n"/>
      <c r="AT834" s="12" t="n"/>
      <c r="AU834" s="12" t="n"/>
      <c r="AV834" s="11" t="n"/>
      <c r="AW834" s="12" t="n"/>
      <c r="AX834" s="12" t="n"/>
      <c r="AY834" s="12" t="n"/>
      <c r="AZ834" s="12" t="n"/>
      <c r="BA834" s="12" t="n"/>
      <c r="BB834" s="12" t="n"/>
      <c r="BC834" s="12" t="n"/>
      <c r="BD834" s="12" t="n"/>
      <c r="BE834" s="12" t="n"/>
      <c r="BF834" s="12" t="n"/>
    </row>
    <row r="835">
      <c r="A835" s="7">
        <f>IF(B835="","","INS-"&amp;TEXT(ROW()-3,"000"))</f>
        <v/>
      </c>
      <c r="B835" s="11" t="n"/>
      <c r="C835" s="7">
        <f>IF(B835="","",ISOWEEKNUM(B835))</f>
        <v/>
      </c>
      <c r="D835" s="7">
        <f>IF(B835="","",TEXT(B835,"yyyy-mm"))</f>
        <v/>
      </c>
      <c r="E835" s="12" t="n"/>
      <c r="F835" s="12" t="n"/>
      <c r="G835" s="7">
        <f>IF(OR(E835="",F835=""),"",IF(COUNTIF(Cluster_Master!$I$3:$I$17,E835&amp;"|"&amp;F835)=1,"Valid","Review"))</f>
        <v/>
      </c>
      <c r="H835" s="7">
        <f>IF($G835&lt;&gt;"Valid","",VLOOKUP($E835&amp;"|"&amp;$F835,Cluster_Master!$I$3:$H$17,3,FALSE))</f>
        <v/>
      </c>
      <c r="I835" s="7">
        <f>IF($G835&lt;&gt;"Valid","",VLOOKUP($E835&amp;"|"&amp;$F835,Cluster_Master!$I$3:$H$17,4,FALSE))</f>
        <v/>
      </c>
      <c r="J835" s="7">
        <f>IF($G835&lt;&gt;"Valid","",VLOOKUP($E835&amp;"|"&amp;$F835,Cluster_Master!$I$3:$H$17,5,FALSE))</f>
        <v/>
      </c>
      <c r="K835" s="7">
        <f>IF($G835&lt;&gt;"Valid","",VLOOKUP($E835&amp;"|"&amp;$F835,Cluster_Master!$I$3:$H$17,6,FALSE))</f>
        <v/>
      </c>
      <c r="L835" s="7">
        <f>IF($G835&lt;&gt;"Valid","",VLOOKUP($E835&amp;"|"&amp;$F835,Cluster_Master!$I$3:$H$17,7,FALSE))</f>
        <v/>
      </c>
      <c r="M835" s="7">
        <f>IF($G835&lt;&gt;"Valid","",VLOOKUP($E835&amp;"|"&amp;$F835,Cluster_Master!$I$3:$H$17,8,FALSE))</f>
        <v/>
      </c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7">
        <f>IF(COUNT(T835:AH835)=0,"",SUM(T835:AH835))</f>
        <v/>
      </c>
      <c r="AJ835" s="10">
        <f>IF(AI835="","",AI835/75)</f>
        <v/>
      </c>
      <c r="AK835" s="10">
        <f>IF(AI835="","",SUMPRODUCT(T835:AH835,KPI_Weights!$B$3:$B$17)/5)</f>
        <v/>
      </c>
      <c r="AL835" s="7">
        <f>IF(COUNT(T835:AH835)=0,"",IF(OR(T835&lt;=1,W835&lt;=1,X835&lt;=1,Y835&lt;=1,AB835&lt;=1),"YES","NO"))</f>
        <v/>
      </c>
      <c r="AM835" s="7">
        <f>IF(AK835="","",IF(AND(AK835="NO",AJ835&gt;=0.85),"YES","NO"))</f>
        <v/>
      </c>
      <c r="AN835" s="7">
        <f>IF(AJ835="","",IF(AJ835&gt;=0.90,"Excellent",IF(AJ835&gt;=0.80,"Good",IF(AJ835&gt;=0.70,"Fair","Poor"))))</f>
        <v/>
      </c>
      <c r="AO835" s="12" t="n"/>
      <c r="AP835" s="12" t="n"/>
      <c r="AQ835" s="12" t="n"/>
      <c r="AR835" s="12" t="n"/>
      <c r="AS835" s="12" t="n"/>
      <c r="AT835" s="12" t="n"/>
      <c r="AU835" s="12" t="n"/>
      <c r="AV835" s="11" t="n"/>
      <c r="AW835" s="12" t="n"/>
      <c r="AX835" s="12" t="n"/>
      <c r="AY835" s="12" t="n"/>
      <c r="AZ835" s="12" t="n"/>
      <c r="BA835" s="12" t="n"/>
      <c r="BB835" s="12" t="n"/>
      <c r="BC835" s="12" t="n"/>
      <c r="BD835" s="12" t="n"/>
      <c r="BE835" s="12" t="n"/>
      <c r="BF835" s="12" t="n"/>
    </row>
    <row r="836">
      <c r="A836" s="7">
        <f>IF(B836="","","INS-"&amp;TEXT(ROW()-3,"000"))</f>
        <v/>
      </c>
      <c r="B836" s="11" t="n"/>
      <c r="C836" s="7">
        <f>IF(B836="","",ISOWEEKNUM(B836))</f>
        <v/>
      </c>
      <c r="D836" s="7">
        <f>IF(B836="","",TEXT(B836,"yyyy-mm"))</f>
        <v/>
      </c>
      <c r="E836" s="12" t="n"/>
      <c r="F836" s="12" t="n"/>
      <c r="G836" s="7">
        <f>IF(OR(E836="",F836=""),"",IF(COUNTIF(Cluster_Master!$I$3:$I$17,E836&amp;"|"&amp;F836)=1,"Valid","Review"))</f>
        <v/>
      </c>
      <c r="H836" s="7">
        <f>IF($G836&lt;&gt;"Valid","",VLOOKUP($E836&amp;"|"&amp;$F836,Cluster_Master!$I$3:$H$17,3,FALSE))</f>
        <v/>
      </c>
      <c r="I836" s="7">
        <f>IF($G836&lt;&gt;"Valid","",VLOOKUP($E836&amp;"|"&amp;$F836,Cluster_Master!$I$3:$H$17,4,FALSE))</f>
        <v/>
      </c>
      <c r="J836" s="7">
        <f>IF($G836&lt;&gt;"Valid","",VLOOKUP($E836&amp;"|"&amp;$F836,Cluster_Master!$I$3:$H$17,5,FALSE))</f>
        <v/>
      </c>
      <c r="K836" s="7">
        <f>IF($G836&lt;&gt;"Valid","",VLOOKUP($E836&amp;"|"&amp;$F836,Cluster_Master!$I$3:$H$17,6,FALSE))</f>
        <v/>
      </c>
      <c r="L836" s="7">
        <f>IF($G836&lt;&gt;"Valid","",VLOOKUP($E836&amp;"|"&amp;$F836,Cluster_Master!$I$3:$H$17,7,FALSE))</f>
        <v/>
      </c>
      <c r="M836" s="7">
        <f>IF($G836&lt;&gt;"Valid","",VLOOKUP($E836&amp;"|"&amp;$F836,Cluster_Master!$I$3:$H$17,8,FALSE))</f>
        <v/>
      </c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7">
        <f>IF(COUNT(T836:AH836)=0,"",SUM(T836:AH836))</f>
        <v/>
      </c>
      <c r="AJ836" s="10">
        <f>IF(AI836="","",AI836/75)</f>
        <v/>
      </c>
      <c r="AK836" s="10">
        <f>IF(AI836="","",SUMPRODUCT(T836:AH836,KPI_Weights!$B$3:$B$17)/5)</f>
        <v/>
      </c>
      <c r="AL836" s="7">
        <f>IF(COUNT(T836:AH836)=0,"",IF(OR(T836&lt;=1,W836&lt;=1,X836&lt;=1,Y836&lt;=1,AB836&lt;=1),"YES","NO"))</f>
        <v/>
      </c>
      <c r="AM836" s="7">
        <f>IF(AK836="","",IF(AND(AK836="NO",AJ836&gt;=0.85),"YES","NO"))</f>
        <v/>
      </c>
      <c r="AN836" s="7">
        <f>IF(AJ836="","",IF(AJ836&gt;=0.90,"Excellent",IF(AJ836&gt;=0.80,"Good",IF(AJ836&gt;=0.70,"Fair","Poor"))))</f>
        <v/>
      </c>
      <c r="AO836" s="12" t="n"/>
      <c r="AP836" s="12" t="n"/>
      <c r="AQ836" s="12" t="n"/>
      <c r="AR836" s="12" t="n"/>
      <c r="AS836" s="12" t="n"/>
      <c r="AT836" s="12" t="n"/>
      <c r="AU836" s="12" t="n"/>
      <c r="AV836" s="11" t="n"/>
      <c r="AW836" s="12" t="n"/>
      <c r="AX836" s="12" t="n"/>
      <c r="AY836" s="12" t="n"/>
      <c r="AZ836" s="12" t="n"/>
      <c r="BA836" s="12" t="n"/>
      <c r="BB836" s="12" t="n"/>
      <c r="BC836" s="12" t="n"/>
      <c r="BD836" s="12" t="n"/>
      <c r="BE836" s="12" t="n"/>
      <c r="BF836" s="12" t="n"/>
    </row>
    <row r="837">
      <c r="A837" s="7">
        <f>IF(B837="","","INS-"&amp;TEXT(ROW()-3,"000"))</f>
        <v/>
      </c>
      <c r="B837" s="11" t="n"/>
      <c r="C837" s="7">
        <f>IF(B837="","",ISOWEEKNUM(B837))</f>
        <v/>
      </c>
      <c r="D837" s="7">
        <f>IF(B837="","",TEXT(B837,"yyyy-mm"))</f>
        <v/>
      </c>
      <c r="E837" s="12" t="n"/>
      <c r="F837" s="12" t="n"/>
      <c r="G837" s="7">
        <f>IF(OR(E837="",F837=""),"",IF(COUNTIF(Cluster_Master!$I$3:$I$17,E837&amp;"|"&amp;F837)=1,"Valid","Review"))</f>
        <v/>
      </c>
      <c r="H837" s="7">
        <f>IF($G837&lt;&gt;"Valid","",VLOOKUP($E837&amp;"|"&amp;$F837,Cluster_Master!$I$3:$H$17,3,FALSE))</f>
        <v/>
      </c>
      <c r="I837" s="7">
        <f>IF($G837&lt;&gt;"Valid","",VLOOKUP($E837&amp;"|"&amp;$F837,Cluster_Master!$I$3:$H$17,4,FALSE))</f>
        <v/>
      </c>
      <c r="J837" s="7">
        <f>IF($G837&lt;&gt;"Valid","",VLOOKUP($E837&amp;"|"&amp;$F837,Cluster_Master!$I$3:$H$17,5,FALSE))</f>
        <v/>
      </c>
      <c r="K837" s="7">
        <f>IF($G837&lt;&gt;"Valid","",VLOOKUP($E837&amp;"|"&amp;$F837,Cluster_Master!$I$3:$H$17,6,FALSE))</f>
        <v/>
      </c>
      <c r="L837" s="7">
        <f>IF($G837&lt;&gt;"Valid","",VLOOKUP($E837&amp;"|"&amp;$F837,Cluster_Master!$I$3:$H$17,7,FALSE))</f>
        <v/>
      </c>
      <c r="M837" s="7">
        <f>IF($G837&lt;&gt;"Valid","",VLOOKUP($E837&amp;"|"&amp;$F837,Cluster_Master!$I$3:$H$17,8,FALSE))</f>
        <v/>
      </c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7">
        <f>IF(COUNT(T837:AH837)=0,"",SUM(T837:AH837))</f>
        <v/>
      </c>
      <c r="AJ837" s="10">
        <f>IF(AI837="","",AI837/75)</f>
        <v/>
      </c>
      <c r="AK837" s="10">
        <f>IF(AI837="","",SUMPRODUCT(T837:AH837,KPI_Weights!$B$3:$B$17)/5)</f>
        <v/>
      </c>
      <c r="AL837" s="7">
        <f>IF(COUNT(T837:AH837)=0,"",IF(OR(T837&lt;=1,W837&lt;=1,X837&lt;=1,Y837&lt;=1,AB837&lt;=1),"YES","NO"))</f>
        <v/>
      </c>
      <c r="AM837" s="7">
        <f>IF(AK837="","",IF(AND(AK837="NO",AJ837&gt;=0.85),"YES","NO"))</f>
        <v/>
      </c>
      <c r="AN837" s="7">
        <f>IF(AJ837="","",IF(AJ837&gt;=0.90,"Excellent",IF(AJ837&gt;=0.80,"Good",IF(AJ837&gt;=0.70,"Fair","Poor"))))</f>
        <v/>
      </c>
      <c r="AO837" s="12" t="n"/>
      <c r="AP837" s="12" t="n"/>
      <c r="AQ837" s="12" t="n"/>
      <c r="AR837" s="12" t="n"/>
      <c r="AS837" s="12" t="n"/>
      <c r="AT837" s="12" t="n"/>
      <c r="AU837" s="12" t="n"/>
      <c r="AV837" s="11" t="n"/>
      <c r="AW837" s="12" t="n"/>
      <c r="AX837" s="12" t="n"/>
      <c r="AY837" s="12" t="n"/>
      <c r="AZ837" s="12" t="n"/>
      <c r="BA837" s="12" t="n"/>
      <c r="BB837" s="12" t="n"/>
      <c r="BC837" s="12" t="n"/>
      <c r="BD837" s="12" t="n"/>
      <c r="BE837" s="12" t="n"/>
      <c r="BF837" s="12" t="n"/>
    </row>
    <row r="838">
      <c r="A838" s="7">
        <f>IF(B838="","","INS-"&amp;TEXT(ROW()-3,"000"))</f>
        <v/>
      </c>
      <c r="B838" s="11" t="n"/>
      <c r="C838" s="7">
        <f>IF(B838="","",ISOWEEKNUM(B838))</f>
        <v/>
      </c>
      <c r="D838" s="7">
        <f>IF(B838="","",TEXT(B838,"yyyy-mm"))</f>
        <v/>
      </c>
      <c r="E838" s="12" t="n"/>
      <c r="F838" s="12" t="n"/>
      <c r="G838" s="7">
        <f>IF(OR(E838="",F838=""),"",IF(COUNTIF(Cluster_Master!$I$3:$I$17,E838&amp;"|"&amp;F838)=1,"Valid","Review"))</f>
        <v/>
      </c>
      <c r="H838" s="7">
        <f>IF($G838&lt;&gt;"Valid","",VLOOKUP($E838&amp;"|"&amp;$F838,Cluster_Master!$I$3:$H$17,3,FALSE))</f>
        <v/>
      </c>
      <c r="I838" s="7">
        <f>IF($G838&lt;&gt;"Valid","",VLOOKUP($E838&amp;"|"&amp;$F838,Cluster_Master!$I$3:$H$17,4,FALSE))</f>
        <v/>
      </c>
      <c r="J838" s="7">
        <f>IF($G838&lt;&gt;"Valid","",VLOOKUP($E838&amp;"|"&amp;$F838,Cluster_Master!$I$3:$H$17,5,FALSE))</f>
        <v/>
      </c>
      <c r="K838" s="7">
        <f>IF($G838&lt;&gt;"Valid","",VLOOKUP($E838&amp;"|"&amp;$F838,Cluster_Master!$I$3:$H$17,6,FALSE))</f>
        <v/>
      </c>
      <c r="L838" s="7">
        <f>IF($G838&lt;&gt;"Valid","",VLOOKUP($E838&amp;"|"&amp;$F838,Cluster_Master!$I$3:$H$17,7,FALSE))</f>
        <v/>
      </c>
      <c r="M838" s="7">
        <f>IF($G838&lt;&gt;"Valid","",VLOOKUP($E838&amp;"|"&amp;$F838,Cluster_Master!$I$3:$H$17,8,FALSE))</f>
        <v/>
      </c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7">
        <f>IF(COUNT(T838:AH838)=0,"",SUM(T838:AH838))</f>
        <v/>
      </c>
      <c r="AJ838" s="10">
        <f>IF(AI838="","",AI838/75)</f>
        <v/>
      </c>
      <c r="AK838" s="10">
        <f>IF(AI838="","",SUMPRODUCT(T838:AH838,KPI_Weights!$B$3:$B$17)/5)</f>
        <v/>
      </c>
      <c r="AL838" s="7">
        <f>IF(COUNT(T838:AH838)=0,"",IF(OR(T838&lt;=1,W838&lt;=1,X838&lt;=1,Y838&lt;=1,AB838&lt;=1),"YES","NO"))</f>
        <v/>
      </c>
      <c r="AM838" s="7">
        <f>IF(AK838="","",IF(AND(AK838="NO",AJ838&gt;=0.85),"YES","NO"))</f>
        <v/>
      </c>
      <c r="AN838" s="7">
        <f>IF(AJ838="","",IF(AJ838&gt;=0.90,"Excellent",IF(AJ838&gt;=0.80,"Good",IF(AJ838&gt;=0.70,"Fair","Poor"))))</f>
        <v/>
      </c>
      <c r="AO838" s="12" t="n"/>
      <c r="AP838" s="12" t="n"/>
      <c r="AQ838" s="12" t="n"/>
      <c r="AR838" s="12" t="n"/>
      <c r="AS838" s="12" t="n"/>
      <c r="AT838" s="12" t="n"/>
      <c r="AU838" s="12" t="n"/>
      <c r="AV838" s="11" t="n"/>
      <c r="AW838" s="12" t="n"/>
      <c r="AX838" s="12" t="n"/>
      <c r="AY838" s="12" t="n"/>
      <c r="AZ838" s="12" t="n"/>
      <c r="BA838" s="12" t="n"/>
      <c r="BB838" s="12" t="n"/>
      <c r="BC838" s="12" t="n"/>
      <c r="BD838" s="12" t="n"/>
      <c r="BE838" s="12" t="n"/>
      <c r="BF838" s="12" t="n"/>
    </row>
    <row r="839">
      <c r="A839" s="7">
        <f>IF(B839="","","INS-"&amp;TEXT(ROW()-3,"000"))</f>
        <v/>
      </c>
      <c r="B839" s="11" t="n"/>
      <c r="C839" s="7">
        <f>IF(B839="","",ISOWEEKNUM(B839))</f>
        <v/>
      </c>
      <c r="D839" s="7">
        <f>IF(B839="","",TEXT(B839,"yyyy-mm"))</f>
        <v/>
      </c>
      <c r="E839" s="12" t="n"/>
      <c r="F839" s="12" t="n"/>
      <c r="G839" s="7">
        <f>IF(OR(E839="",F839=""),"",IF(COUNTIF(Cluster_Master!$I$3:$I$17,E839&amp;"|"&amp;F839)=1,"Valid","Review"))</f>
        <v/>
      </c>
      <c r="H839" s="7">
        <f>IF($G839&lt;&gt;"Valid","",VLOOKUP($E839&amp;"|"&amp;$F839,Cluster_Master!$I$3:$H$17,3,FALSE))</f>
        <v/>
      </c>
      <c r="I839" s="7">
        <f>IF($G839&lt;&gt;"Valid","",VLOOKUP($E839&amp;"|"&amp;$F839,Cluster_Master!$I$3:$H$17,4,FALSE))</f>
        <v/>
      </c>
      <c r="J839" s="7">
        <f>IF($G839&lt;&gt;"Valid","",VLOOKUP($E839&amp;"|"&amp;$F839,Cluster_Master!$I$3:$H$17,5,FALSE))</f>
        <v/>
      </c>
      <c r="K839" s="7">
        <f>IF($G839&lt;&gt;"Valid","",VLOOKUP($E839&amp;"|"&amp;$F839,Cluster_Master!$I$3:$H$17,6,FALSE))</f>
        <v/>
      </c>
      <c r="L839" s="7">
        <f>IF($G839&lt;&gt;"Valid","",VLOOKUP($E839&amp;"|"&amp;$F839,Cluster_Master!$I$3:$H$17,7,FALSE))</f>
        <v/>
      </c>
      <c r="M839" s="7">
        <f>IF($G839&lt;&gt;"Valid","",VLOOKUP($E839&amp;"|"&amp;$F839,Cluster_Master!$I$3:$H$17,8,FALSE))</f>
        <v/>
      </c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7">
        <f>IF(COUNT(T839:AH839)=0,"",SUM(T839:AH839))</f>
        <v/>
      </c>
      <c r="AJ839" s="10">
        <f>IF(AI839="","",AI839/75)</f>
        <v/>
      </c>
      <c r="AK839" s="10">
        <f>IF(AI839="","",SUMPRODUCT(T839:AH839,KPI_Weights!$B$3:$B$17)/5)</f>
        <v/>
      </c>
      <c r="AL839" s="7">
        <f>IF(COUNT(T839:AH839)=0,"",IF(OR(T839&lt;=1,W839&lt;=1,X839&lt;=1,Y839&lt;=1,AB839&lt;=1),"YES","NO"))</f>
        <v/>
      </c>
      <c r="AM839" s="7">
        <f>IF(AK839="","",IF(AND(AK839="NO",AJ839&gt;=0.85),"YES","NO"))</f>
        <v/>
      </c>
      <c r="AN839" s="7">
        <f>IF(AJ839="","",IF(AJ839&gt;=0.90,"Excellent",IF(AJ839&gt;=0.80,"Good",IF(AJ839&gt;=0.70,"Fair","Poor"))))</f>
        <v/>
      </c>
      <c r="AO839" s="12" t="n"/>
      <c r="AP839" s="12" t="n"/>
      <c r="AQ839" s="12" t="n"/>
      <c r="AR839" s="12" t="n"/>
      <c r="AS839" s="12" t="n"/>
      <c r="AT839" s="12" t="n"/>
      <c r="AU839" s="12" t="n"/>
      <c r="AV839" s="11" t="n"/>
      <c r="AW839" s="12" t="n"/>
      <c r="AX839" s="12" t="n"/>
      <c r="AY839" s="12" t="n"/>
      <c r="AZ839" s="12" t="n"/>
      <c r="BA839" s="12" t="n"/>
      <c r="BB839" s="12" t="n"/>
      <c r="BC839" s="12" t="n"/>
      <c r="BD839" s="12" t="n"/>
      <c r="BE839" s="12" t="n"/>
      <c r="BF839" s="12" t="n"/>
    </row>
    <row r="840">
      <c r="A840" s="7">
        <f>IF(B840="","","INS-"&amp;TEXT(ROW()-3,"000"))</f>
        <v/>
      </c>
      <c r="B840" s="11" t="n"/>
      <c r="C840" s="7">
        <f>IF(B840="","",ISOWEEKNUM(B840))</f>
        <v/>
      </c>
      <c r="D840" s="7">
        <f>IF(B840="","",TEXT(B840,"yyyy-mm"))</f>
        <v/>
      </c>
      <c r="E840" s="12" t="n"/>
      <c r="F840" s="12" t="n"/>
      <c r="G840" s="7">
        <f>IF(OR(E840="",F840=""),"",IF(COUNTIF(Cluster_Master!$I$3:$I$17,E840&amp;"|"&amp;F840)=1,"Valid","Review"))</f>
        <v/>
      </c>
      <c r="H840" s="7">
        <f>IF($G840&lt;&gt;"Valid","",VLOOKUP($E840&amp;"|"&amp;$F840,Cluster_Master!$I$3:$H$17,3,FALSE))</f>
        <v/>
      </c>
      <c r="I840" s="7">
        <f>IF($G840&lt;&gt;"Valid","",VLOOKUP($E840&amp;"|"&amp;$F840,Cluster_Master!$I$3:$H$17,4,FALSE))</f>
        <v/>
      </c>
      <c r="J840" s="7">
        <f>IF($G840&lt;&gt;"Valid","",VLOOKUP($E840&amp;"|"&amp;$F840,Cluster_Master!$I$3:$H$17,5,FALSE))</f>
        <v/>
      </c>
      <c r="K840" s="7">
        <f>IF($G840&lt;&gt;"Valid","",VLOOKUP($E840&amp;"|"&amp;$F840,Cluster_Master!$I$3:$H$17,6,FALSE))</f>
        <v/>
      </c>
      <c r="L840" s="7">
        <f>IF($G840&lt;&gt;"Valid","",VLOOKUP($E840&amp;"|"&amp;$F840,Cluster_Master!$I$3:$H$17,7,FALSE))</f>
        <v/>
      </c>
      <c r="M840" s="7">
        <f>IF($G840&lt;&gt;"Valid","",VLOOKUP($E840&amp;"|"&amp;$F840,Cluster_Master!$I$3:$H$17,8,FALSE))</f>
        <v/>
      </c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7">
        <f>IF(COUNT(T840:AH840)=0,"",SUM(T840:AH840))</f>
        <v/>
      </c>
      <c r="AJ840" s="10">
        <f>IF(AI840="","",AI840/75)</f>
        <v/>
      </c>
      <c r="AK840" s="10">
        <f>IF(AI840="","",SUMPRODUCT(T840:AH840,KPI_Weights!$B$3:$B$17)/5)</f>
        <v/>
      </c>
      <c r="AL840" s="7">
        <f>IF(COUNT(T840:AH840)=0,"",IF(OR(T840&lt;=1,W840&lt;=1,X840&lt;=1,Y840&lt;=1,AB840&lt;=1),"YES","NO"))</f>
        <v/>
      </c>
      <c r="AM840" s="7">
        <f>IF(AK840="","",IF(AND(AK840="NO",AJ840&gt;=0.85),"YES","NO"))</f>
        <v/>
      </c>
      <c r="AN840" s="7">
        <f>IF(AJ840="","",IF(AJ840&gt;=0.90,"Excellent",IF(AJ840&gt;=0.80,"Good",IF(AJ840&gt;=0.70,"Fair","Poor"))))</f>
        <v/>
      </c>
      <c r="AO840" s="12" t="n"/>
      <c r="AP840" s="12" t="n"/>
      <c r="AQ840" s="12" t="n"/>
      <c r="AR840" s="12" t="n"/>
      <c r="AS840" s="12" t="n"/>
      <c r="AT840" s="12" t="n"/>
      <c r="AU840" s="12" t="n"/>
      <c r="AV840" s="11" t="n"/>
      <c r="AW840" s="12" t="n"/>
      <c r="AX840" s="12" t="n"/>
      <c r="AY840" s="12" t="n"/>
      <c r="AZ840" s="12" t="n"/>
      <c r="BA840" s="12" t="n"/>
      <c r="BB840" s="12" t="n"/>
      <c r="BC840" s="12" t="n"/>
      <c r="BD840" s="12" t="n"/>
      <c r="BE840" s="12" t="n"/>
      <c r="BF840" s="12" t="n"/>
    </row>
    <row r="841">
      <c r="A841" s="7">
        <f>IF(B841="","","INS-"&amp;TEXT(ROW()-3,"000"))</f>
        <v/>
      </c>
      <c r="B841" s="11" t="n"/>
      <c r="C841" s="7">
        <f>IF(B841="","",ISOWEEKNUM(B841))</f>
        <v/>
      </c>
      <c r="D841" s="7">
        <f>IF(B841="","",TEXT(B841,"yyyy-mm"))</f>
        <v/>
      </c>
      <c r="E841" s="12" t="n"/>
      <c r="F841" s="12" t="n"/>
      <c r="G841" s="7">
        <f>IF(OR(E841="",F841=""),"",IF(COUNTIF(Cluster_Master!$I$3:$I$17,E841&amp;"|"&amp;F841)=1,"Valid","Review"))</f>
        <v/>
      </c>
      <c r="H841" s="7">
        <f>IF($G841&lt;&gt;"Valid","",VLOOKUP($E841&amp;"|"&amp;$F841,Cluster_Master!$I$3:$H$17,3,FALSE))</f>
        <v/>
      </c>
      <c r="I841" s="7">
        <f>IF($G841&lt;&gt;"Valid","",VLOOKUP($E841&amp;"|"&amp;$F841,Cluster_Master!$I$3:$H$17,4,FALSE))</f>
        <v/>
      </c>
      <c r="J841" s="7">
        <f>IF($G841&lt;&gt;"Valid","",VLOOKUP($E841&amp;"|"&amp;$F841,Cluster_Master!$I$3:$H$17,5,FALSE))</f>
        <v/>
      </c>
      <c r="K841" s="7">
        <f>IF($G841&lt;&gt;"Valid","",VLOOKUP($E841&amp;"|"&amp;$F841,Cluster_Master!$I$3:$H$17,6,FALSE))</f>
        <v/>
      </c>
      <c r="L841" s="7">
        <f>IF($G841&lt;&gt;"Valid","",VLOOKUP($E841&amp;"|"&amp;$F841,Cluster_Master!$I$3:$H$17,7,FALSE))</f>
        <v/>
      </c>
      <c r="M841" s="7">
        <f>IF($G841&lt;&gt;"Valid","",VLOOKUP($E841&amp;"|"&amp;$F841,Cluster_Master!$I$3:$H$17,8,FALSE))</f>
        <v/>
      </c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7">
        <f>IF(COUNT(T841:AH841)=0,"",SUM(T841:AH841))</f>
        <v/>
      </c>
      <c r="AJ841" s="10">
        <f>IF(AI841="","",AI841/75)</f>
        <v/>
      </c>
      <c r="AK841" s="10">
        <f>IF(AI841="","",SUMPRODUCT(T841:AH841,KPI_Weights!$B$3:$B$17)/5)</f>
        <v/>
      </c>
      <c r="AL841" s="7">
        <f>IF(COUNT(T841:AH841)=0,"",IF(OR(T841&lt;=1,W841&lt;=1,X841&lt;=1,Y841&lt;=1,AB841&lt;=1),"YES","NO"))</f>
        <v/>
      </c>
      <c r="AM841" s="7">
        <f>IF(AK841="","",IF(AND(AK841="NO",AJ841&gt;=0.85),"YES","NO"))</f>
        <v/>
      </c>
      <c r="AN841" s="7">
        <f>IF(AJ841="","",IF(AJ841&gt;=0.90,"Excellent",IF(AJ841&gt;=0.80,"Good",IF(AJ841&gt;=0.70,"Fair","Poor"))))</f>
        <v/>
      </c>
      <c r="AO841" s="12" t="n"/>
      <c r="AP841" s="12" t="n"/>
      <c r="AQ841" s="12" t="n"/>
      <c r="AR841" s="12" t="n"/>
      <c r="AS841" s="12" t="n"/>
      <c r="AT841" s="12" t="n"/>
      <c r="AU841" s="12" t="n"/>
      <c r="AV841" s="11" t="n"/>
      <c r="AW841" s="12" t="n"/>
      <c r="AX841" s="12" t="n"/>
      <c r="AY841" s="12" t="n"/>
      <c r="AZ841" s="12" t="n"/>
      <c r="BA841" s="12" t="n"/>
      <c r="BB841" s="12" t="n"/>
      <c r="BC841" s="12" t="n"/>
      <c r="BD841" s="12" t="n"/>
      <c r="BE841" s="12" t="n"/>
      <c r="BF841" s="12" t="n"/>
    </row>
    <row r="842">
      <c r="A842" s="7">
        <f>IF(B842="","","INS-"&amp;TEXT(ROW()-3,"000"))</f>
        <v/>
      </c>
      <c r="B842" s="11" t="n"/>
      <c r="C842" s="7">
        <f>IF(B842="","",ISOWEEKNUM(B842))</f>
        <v/>
      </c>
      <c r="D842" s="7">
        <f>IF(B842="","",TEXT(B842,"yyyy-mm"))</f>
        <v/>
      </c>
      <c r="E842" s="12" t="n"/>
      <c r="F842" s="12" t="n"/>
      <c r="G842" s="7">
        <f>IF(OR(E842="",F842=""),"",IF(COUNTIF(Cluster_Master!$I$3:$I$17,E842&amp;"|"&amp;F842)=1,"Valid","Review"))</f>
        <v/>
      </c>
      <c r="H842" s="7">
        <f>IF($G842&lt;&gt;"Valid","",VLOOKUP($E842&amp;"|"&amp;$F842,Cluster_Master!$I$3:$H$17,3,FALSE))</f>
        <v/>
      </c>
      <c r="I842" s="7">
        <f>IF($G842&lt;&gt;"Valid","",VLOOKUP($E842&amp;"|"&amp;$F842,Cluster_Master!$I$3:$H$17,4,FALSE))</f>
        <v/>
      </c>
      <c r="J842" s="7">
        <f>IF($G842&lt;&gt;"Valid","",VLOOKUP($E842&amp;"|"&amp;$F842,Cluster_Master!$I$3:$H$17,5,FALSE))</f>
        <v/>
      </c>
      <c r="K842" s="7">
        <f>IF($G842&lt;&gt;"Valid","",VLOOKUP($E842&amp;"|"&amp;$F842,Cluster_Master!$I$3:$H$17,6,FALSE))</f>
        <v/>
      </c>
      <c r="L842" s="7">
        <f>IF($G842&lt;&gt;"Valid","",VLOOKUP($E842&amp;"|"&amp;$F842,Cluster_Master!$I$3:$H$17,7,FALSE))</f>
        <v/>
      </c>
      <c r="M842" s="7">
        <f>IF($G842&lt;&gt;"Valid","",VLOOKUP($E842&amp;"|"&amp;$F842,Cluster_Master!$I$3:$H$17,8,FALSE))</f>
        <v/>
      </c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7">
        <f>IF(COUNT(T842:AH842)=0,"",SUM(T842:AH842))</f>
        <v/>
      </c>
      <c r="AJ842" s="10">
        <f>IF(AI842="","",AI842/75)</f>
        <v/>
      </c>
      <c r="AK842" s="10">
        <f>IF(AI842="","",SUMPRODUCT(T842:AH842,KPI_Weights!$B$3:$B$17)/5)</f>
        <v/>
      </c>
      <c r="AL842" s="7">
        <f>IF(COUNT(T842:AH842)=0,"",IF(OR(T842&lt;=1,W842&lt;=1,X842&lt;=1,Y842&lt;=1,AB842&lt;=1),"YES","NO"))</f>
        <v/>
      </c>
      <c r="AM842" s="7">
        <f>IF(AK842="","",IF(AND(AK842="NO",AJ842&gt;=0.85),"YES","NO"))</f>
        <v/>
      </c>
      <c r="AN842" s="7">
        <f>IF(AJ842="","",IF(AJ842&gt;=0.90,"Excellent",IF(AJ842&gt;=0.80,"Good",IF(AJ842&gt;=0.70,"Fair","Poor"))))</f>
        <v/>
      </c>
      <c r="AO842" s="12" t="n"/>
      <c r="AP842" s="12" t="n"/>
      <c r="AQ842" s="12" t="n"/>
      <c r="AR842" s="12" t="n"/>
      <c r="AS842" s="12" t="n"/>
      <c r="AT842" s="12" t="n"/>
      <c r="AU842" s="12" t="n"/>
      <c r="AV842" s="11" t="n"/>
      <c r="AW842" s="12" t="n"/>
      <c r="AX842" s="12" t="n"/>
      <c r="AY842" s="12" t="n"/>
      <c r="AZ842" s="12" t="n"/>
      <c r="BA842" s="12" t="n"/>
      <c r="BB842" s="12" t="n"/>
      <c r="BC842" s="12" t="n"/>
      <c r="BD842" s="12" t="n"/>
      <c r="BE842" s="12" t="n"/>
      <c r="BF842" s="12" t="n"/>
    </row>
    <row r="843">
      <c r="A843" s="7">
        <f>IF(B843="","","INS-"&amp;TEXT(ROW()-3,"000"))</f>
        <v/>
      </c>
      <c r="B843" s="11" t="n"/>
      <c r="C843" s="7">
        <f>IF(B843="","",ISOWEEKNUM(B843))</f>
        <v/>
      </c>
      <c r="D843" s="7">
        <f>IF(B843="","",TEXT(B843,"yyyy-mm"))</f>
        <v/>
      </c>
      <c r="E843" s="12" t="n"/>
      <c r="F843" s="12" t="n"/>
      <c r="G843" s="7">
        <f>IF(OR(E843="",F843=""),"",IF(COUNTIF(Cluster_Master!$I$3:$I$17,E843&amp;"|"&amp;F843)=1,"Valid","Review"))</f>
        <v/>
      </c>
      <c r="H843" s="7">
        <f>IF($G843&lt;&gt;"Valid","",VLOOKUP($E843&amp;"|"&amp;$F843,Cluster_Master!$I$3:$H$17,3,FALSE))</f>
        <v/>
      </c>
      <c r="I843" s="7">
        <f>IF($G843&lt;&gt;"Valid","",VLOOKUP($E843&amp;"|"&amp;$F843,Cluster_Master!$I$3:$H$17,4,FALSE))</f>
        <v/>
      </c>
      <c r="J843" s="7">
        <f>IF($G843&lt;&gt;"Valid","",VLOOKUP($E843&amp;"|"&amp;$F843,Cluster_Master!$I$3:$H$17,5,FALSE))</f>
        <v/>
      </c>
      <c r="K843" s="7">
        <f>IF($G843&lt;&gt;"Valid","",VLOOKUP($E843&amp;"|"&amp;$F843,Cluster_Master!$I$3:$H$17,6,FALSE))</f>
        <v/>
      </c>
      <c r="L843" s="7">
        <f>IF($G843&lt;&gt;"Valid","",VLOOKUP($E843&amp;"|"&amp;$F843,Cluster_Master!$I$3:$H$17,7,FALSE))</f>
        <v/>
      </c>
      <c r="M843" s="7">
        <f>IF($G843&lt;&gt;"Valid","",VLOOKUP($E843&amp;"|"&amp;$F843,Cluster_Master!$I$3:$H$17,8,FALSE))</f>
        <v/>
      </c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7">
        <f>IF(COUNT(T843:AH843)=0,"",SUM(T843:AH843))</f>
        <v/>
      </c>
      <c r="AJ843" s="10">
        <f>IF(AI843="","",AI843/75)</f>
        <v/>
      </c>
      <c r="AK843" s="10">
        <f>IF(AI843="","",SUMPRODUCT(T843:AH843,KPI_Weights!$B$3:$B$17)/5)</f>
        <v/>
      </c>
      <c r="AL843" s="7">
        <f>IF(COUNT(T843:AH843)=0,"",IF(OR(T843&lt;=1,W843&lt;=1,X843&lt;=1,Y843&lt;=1,AB843&lt;=1),"YES","NO"))</f>
        <v/>
      </c>
      <c r="AM843" s="7">
        <f>IF(AK843="","",IF(AND(AK843="NO",AJ843&gt;=0.85),"YES","NO"))</f>
        <v/>
      </c>
      <c r="AN843" s="7">
        <f>IF(AJ843="","",IF(AJ843&gt;=0.90,"Excellent",IF(AJ843&gt;=0.80,"Good",IF(AJ843&gt;=0.70,"Fair","Poor"))))</f>
        <v/>
      </c>
      <c r="AO843" s="12" t="n"/>
      <c r="AP843" s="12" t="n"/>
      <c r="AQ843" s="12" t="n"/>
      <c r="AR843" s="12" t="n"/>
      <c r="AS843" s="12" t="n"/>
      <c r="AT843" s="12" t="n"/>
      <c r="AU843" s="12" t="n"/>
      <c r="AV843" s="11" t="n"/>
      <c r="AW843" s="12" t="n"/>
      <c r="AX843" s="12" t="n"/>
      <c r="AY843" s="12" t="n"/>
      <c r="AZ843" s="12" t="n"/>
      <c r="BA843" s="12" t="n"/>
      <c r="BB843" s="12" t="n"/>
      <c r="BC843" s="12" t="n"/>
      <c r="BD843" s="12" t="n"/>
      <c r="BE843" s="12" t="n"/>
      <c r="BF843" s="12" t="n"/>
    </row>
    <row r="844">
      <c r="A844" s="7">
        <f>IF(B844="","","INS-"&amp;TEXT(ROW()-3,"000"))</f>
        <v/>
      </c>
      <c r="B844" s="11" t="n"/>
      <c r="C844" s="7">
        <f>IF(B844="","",ISOWEEKNUM(B844))</f>
        <v/>
      </c>
      <c r="D844" s="7">
        <f>IF(B844="","",TEXT(B844,"yyyy-mm"))</f>
        <v/>
      </c>
      <c r="E844" s="12" t="n"/>
      <c r="F844" s="12" t="n"/>
      <c r="G844" s="7">
        <f>IF(OR(E844="",F844=""),"",IF(COUNTIF(Cluster_Master!$I$3:$I$17,E844&amp;"|"&amp;F844)=1,"Valid","Review"))</f>
        <v/>
      </c>
      <c r="H844" s="7">
        <f>IF($G844&lt;&gt;"Valid","",VLOOKUP($E844&amp;"|"&amp;$F844,Cluster_Master!$I$3:$H$17,3,FALSE))</f>
        <v/>
      </c>
      <c r="I844" s="7">
        <f>IF($G844&lt;&gt;"Valid","",VLOOKUP($E844&amp;"|"&amp;$F844,Cluster_Master!$I$3:$H$17,4,FALSE))</f>
        <v/>
      </c>
      <c r="J844" s="7">
        <f>IF($G844&lt;&gt;"Valid","",VLOOKUP($E844&amp;"|"&amp;$F844,Cluster_Master!$I$3:$H$17,5,FALSE))</f>
        <v/>
      </c>
      <c r="K844" s="7">
        <f>IF($G844&lt;&gt;"Valid","",VLOOKUP($E844&amp;"|"&amp;$F844,Cluster_Master!$I$3:$H$17,6,FALSE))</f>
        <v/>
      </c>
      <c r="L844" s="7">
        <f>IF($G844&lt;&gt;"Valid","",VLOOKUP($E844&amp;"|"&amp;$F844,Cluster_Master!$I$3:$H$17,7,FALSE))</f>
        <v/>
      </c>
      <c r="M844" s="7">
        <f>IF($G844&lt;&gt;"Valid","",VLOOKUP($E844&amp;"|"&amp;$F844,Cluster_Master!$I$3:$H$17,8,FALSE))</f>
        <v/>
      </c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7">
        <f>IF(COUNT(T844:AH844)=0,"",SUM(T844:AH844))</f>
        <v/>
      </c>
      <c r="AJ844" s="10">
        <f>IF(AI844="","",AI844/75)</f>
        <v/>
      </c>
      <c r="AK844" s="10">
        <f>IF(AI844="","",SUMPRODUCT(T844:AH844,KPI_Weights!$B$3:$B$17)/5)</f>
        <v/>
      </c>
      <c r="AL844" s="7">
        <f>IF(COUNT(T844:AH844)=0,"",IF(OR(T844&lt;=1,W844&lt;=1,X844&lt;=1,Y844&lt;=1,AB844&lt;=1),"YES","NO"))</f>
        <v/>
      </c>
      <c r="AM844" s="7">
        <f>IF(AK844="","",IF(AND(AK844="NO",AJ844&gt;=0.85),"YES","NO"))</f>
        <v/>
      </c>
      <c r="AN844" s="7">
        <f>IF(AJ844="","",IF(AJ844&gt;=0.90,"Excellent",IF(AJ844&gt;=0.80,"Good",IF(AJ844&gt;=0.70,"Fair","Poor"))))</f>
        <v/>
      </c>
      <c r="AO844" s="12" t="n"/>
      <c r="AP844" s="12" t="n"/>
      <c r="AQ844" s="12" t="n"/>
      <c r="AR844" s="12" t="n"/>
      <c r="AS844" s="12" t="n"/>
      <c r="AT844" s="12" t="n"/>
      <c r="AU844" s="12" t="n"/>
      <c r="AV844" s="11" t="n"/>
      <c r="AW844" s="12" t="n"/>
      <c r="AX844" s="12" t="n"/>
      <c r="AY844" s="12" t="n"/>
      <c r="AZ844" s="12" t="n"/>
      <c r="BA844" s="12" t="n"/>
      <c r="BB844" s="12" t="n"/>
      <c r="BC844" s="12" t="n"/>
      <c r="BD844" s="12" t="n"/>
      <c r="BE844" s="12" t="n"/>
      <c r="BF844" s="12" t="n"/>
    </row>
    <row r="845">
      <c r="A845" s="7">
        <f>IF(B845="","","INS-"&amp;TEXT(ROW()-3,"000"))</f>
        <v/>
      </c>
      <c r="B845" s="11" t="n"/>
      <c r="C845" s="7">
        <f>IF(B845="","",ISOWEEKNUM(B845))</f>
        <v/>
      </c>
      <c r="D845" s="7">
        <f>IF(B845="","",TEXT(B845,"yyyy-mm"))</f>
        <v/>
      </c>
      <c r="E845" s="12" t="n"/>
      <c r="F845" s="12" t="n"/>
      <c r="G845" s="7">
        <f>IF(OR(E845="",F845=""),"",IF(COUNTIF(Cluster_Master!$I$3:$I$17,E845&amp;"|"&amp;F845)=1,"Valid","Review"))</f>
        <v/>
      </c>
      <c r="H845" s="7">
        <f>IF($G845&lt;&gt;"Valid","",VLOOKUP($E845&amp;"|"&amp;$F845,Cluster_Master!$I$3:$H$17,3,FALSE))</f>
        <v/>
      </c>
      <c r="I845" s="7">
        <f>IF($G845&lt;&gt;"Valid","",VLOOKUP($E845&amp;"|"&amp;$F845,Cluster_Master!$I$3:$H$17,4,FALSE))</f>
        <v/>
      </c>
      <c r="J845" s="7">
        <f>IF($G845&lt;&gt;"Valid","",VLOOKUP($E845&amp;"|"&amp;$F845,Cluster_Master!$I$3:$H$17,5,FALSE))</f>
        <v/>
      </c>
      <c r="K845" s="7">
        <f>IF($G845&lt;&gt;"Valid","",VLOOKUP($E845&amp;"|"&amp;$F845,Cluster_Master!$I$3:$H$17,6,FALSE))</f>
        <v/>
      </c>
      <c r="L845" s="7">
        <f>IF($G845&lt;&gt;"Valid","",VLOOKUP($E845&amp;"|"&amp;$F845,Cluster_Master!$I$3:$H$17,7,FALSE))</f>
        <v/>
      </c>
      <c r="M845" s="7">
        <f>IF($G845&lt;&gt;"Valid","",VLOOKUP($E845&amp;"|"&amp;$F845,Cluster_Master!$I$3:$H$17,8,FALSE))</f>
        <v/>
      </c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7">
        <f>IF(COUNT(T845:AH845)=0,"",SUM(T845:AH845))</f>
        <v/>
      </c>
      <c r="AJ845" s="10">
        <f>IF(AI845="","",AI845/75)</f>
        <v/>
      </c>
      <c r="AK845" s="10">
        <f>IF(AI845="","",SUMPRODUCT(T845:AH845,KPI_Weights!$B$3:$B$17)/5)</f>
        <v/>
      </c>
      <c r="AL845" s="7">
        <f>IF(COUNT(T845:AH845)=0,"",IF(OR(T845&lt;=1,W845&lt;=1,X845&lt;=1,Y845&lt;=1,AB845&lt;=1),"YES","NO"))</f>
        <v/>
      </c>
      <c r="AM845" s="7">
        <f>IF(AK845="","",IF(AND(AK845="NO",AJ845&gt;=0.85),"YES","NO"))</f>
        <v/>
      </c>
      <c r="AN845" s="7">
        <f>IF(AJ845="","",IF(AJ845&gt;=0.90,"Excellent",IF(AJ845&gt;=0.80,"Good",IF(AJ845&gt;=0.70,"Fair","Poor"))))</f>
        <v/>
      </c>
      <c r="AO845" s="12" t="n"/>
      <c r="AP845" s="12" t="n"/>
      <c r="AQ845" s="12" t="n"/>
      <c r="AR845" s="12" t="n"/>
      <c r="AS845" s="12" t="n"/>
      <c r="AT845" s="12" t="n"/>
      <c r="AU845" s="12" t="n"/>
      <c r="AV845" s="11" t="n"/>
      <c r="AW845" s="12" t="n"/>
      <c r="AX845" s="12" t="n"/>
      <c r="AY845" s="12" t="n"/>
      <c r="AZ845" s="12" t="n"/>
      <c r="BA845" s="12" t="n"/>
      <c r="BB845" s="12" t="n"/>
      <c r="BC845" s="12" t="n"/>
      <c r="BD845" s="12" t="n"/>
      <c r="BE845" s="12" t="n"/>
      <c r="BF845" s="12" t="n"/>
    </row>
    <row r="846">
      <c r="A846" s="7">
        <f>IF(B846="","","INS-"&amp;TEXT(ROW()-3,"000"))</f>
        <v/>
      </c>
      <c r="B846" s="11" t="n"/>
      <c r="C846" s="7">
        <f>IF(B846="","",ISOWEEKNUM(B846))</f>
        <v/>
      </c>
      <c r="D846" s="7">
        <f>IF(B846="","",TEXT(B846,"yyyy-mm"))</f>
        <v/>
      </c>
      <c r="E846" s="12" t="n"/>
      <c r="F846" s="12" t="n"/>
      <c r="G846" s="7">
        <f>IF(OR(E846="",F846=""),"",IF(COUNTIF(Cluster_Master!$I$3:$I$17,E846&amp;"|"&amp;F846)=1,"Valid","Review"))</f>
        <v/>
      </c>
      <c r="H846" s="7">
        <f>IF($G846&lt;&gt;"Valid","",VLOOKUP($E846&amp;"|"&amp;$F846,Cluster_Master!$I$3:$H$17,3,FALSE))</f>
        <v/>
      </c>
      <c r="I846" s="7">
        <f>IF($G846&lt;&gt;"Valid","",VLOOKUP($E846&amp;"|"&amp;$F846,Cluster_Master!$I$3:$H$17,4,FALSE))</f>
        <v/>
      </c>
      <c r="J846" s="7">
        <f>IF($G846&lt;&gt;"Valid","",VLOOKUP($E846&amp;"|"&amp;$F846,Cluster_Master!$I$3:$H$17,5,FALSE))</f>
        <v/>
      </c>
      <c r="K846" s="7">
        <f>IF($G846&lt;&gt;"Valid","",VLOOKUP($E846&amp;"|"&amp;$F846,Cluster_Master!$I$3:$H$17,6,FALSE))</f>
        <v/>
      </c>
      <c r="L846" s="7">
        <f>IF($G846&lt;&gt;"Valid","",VLOOKUP($E846&amp;"|"&amp;$F846,Cluster_Master!$I$3:$H$17,7,FALSE))</f>
        <v/>
      </c>
      <c r="M846" s="7">
        <f>IF($G846&lt;&gt;"Valid","",VLOOKUP($E846&amp;"|"&amp;$F846,Cluster_Master!$I$3:$H$17,8,FALSE))</f>
        <v/>
      </c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7">
        <f>IF(COUNT(T846:AH846)=0,"",SUM(T846:AH846))</f>
        <v/>
      </c>
      <c r="AJ846" s="10">
        <f>IF(AI846="","",AI846/75)</f>
        <v/>
      </c>
      <c r="AK846" s="10">
        <f>IF(AI846="","",SUMPRODUCT(T846:AH846,KPI_Weights!$B$3:$B$17)/5)</f>
        <v/>
      </c>
      <c r="AL846" s="7">
        <f>IF(COUNT(T846:AH846)=0,"",IF(OR(T846&lt;=1,W846&lt;=1,X846&lt;=1,Y846&lt;=1,AB846&lt;=1),"YES","NO"))</f>
        <v/>
      </c>
      <c r="AM846" s="7">
        <f>IF(AK846="","",IF(AND(AK846="NO",AJ846&gt;=0.85),"YES","NO"))</f>
        <v/>
      </c>
      <c r="AN846" s="7">
        <f>IF(AJ846="","",IF(AJ846&gt;=0.90,"Excellent",IF(AJ846&gt;=0.80,"Good",IF(AJ846&gt;=0.70,"Fair","Poor"))))</f>
        <v/>
      </c>
      <c r="AO846" s="12" t="n"/>
      <c r="AP846" s="12" t="n"/>
      <c r="AQ846" s="12" t="n"/>
      <c r="AR846" s="12" t="n"/>
      <c r="AS846" s="12" t="n"/>
      <c r="AT846" s="12" t="n"/>
      <c r="AU846" s="12" t="n"/>
      <c r="AV846" s="11" t="n"/>
      <c r="AW846" s="12" t="n"/>
      <c r="AX846" s="12" t="n"/>
      <c r="AY846" s="12" t="n"/>
      <c r="AZ846" s="12" t="n"/>
      <c r="BA846" s="12" t="n"/>
      <c r="BB846" s="12" t="n"/>
      <c r="BC846" s="12" t="n"/>
      <c r="BD846" s="12" t="n"/>
      <c r="BE846" s="12" t="n"/>
      <c r="BF846" s="12" t="n"/>
    </row>
    <row r="847">
      <c r="A847" s="7">
        <f>IF(B847="","","INS-"&amp;TEXT(ROW()-3,"000"))</f>
        <v/>
      </c>
      <c r="B847" s="11" t="n"/>
      <c r="C847" s="7">
        <f>IF(B847="","",ISOWEEKNUM(B847))</f>
        <v/>
      </c>
      <c r="D847" s="7">
        <f>IF(B847="","",TEXT(B847,"yyyy-mm"))</f>
        <v/>
      </c>
      <c r="E847" s="12" t="n"/>
      <c r="F847" s="12" t="n"/>
      <c r="G847" s="7">
        <f>IF(OR(E847="",F847=""),"",IF(COUNTIF(Cluster_Master!$I$3:$I$17,E847&amp;"|"&amp;F847)=1,"Valid","Review"))</f>
        <v/>
      </c>
      <c r="H847" s="7">
        <f>IF($G847&lt;&gt;"Valid","",VLOOKUP($E847&amp;"|"&amp;$F847,Cluster_Master!$I$3:$H$17,3,FALSE))</f>
        <v/>
      </c>
      <c r="I847" s="7">
        <f>IF($G847&lt;&gt;"Valid","",VLOOKUP($E847&amp;"|"&amp;$F847,Cluster_Master!$I$3:$H$17,4,FALSE))</f>
        <v/>
      </c>
      <c r="J847" s="7">
        <f>IF($G847&lt;&gt;"Valid","",VLOOKUP($E847&amp;"|"&amp;$F847,Cluster_Master!$I$3:$H$17,5,FALSE))</f>
        <v/>
      </c>
      <c r="K847" s="7">
        <f>IF($G847&lt;&gt;"Valid","",VLOOKUP($E847&amp;"|"&amp;$F847,Cluster_Master!$I$3:$H$17,6,FALSE))</f>
        <v/>
      </c>
      <c r="L847" s="7">
        <f>IF($G847&lt;&gt;"Valid","",VLOOKUP($E847&amp;"|"&amp;$F847,Cluster_Master!$I$3:$H$17,7,FALSE))</f>
        <v/>
      </c>
      <c r="M847" s="7">
        <f>IF($G847&lt;&gt;"Valid","",VLOOKUP($E847&amp;"|"&amp;$F847,Cluster_Master!$I$3:$H$17,8,FALSE))</f>
        <v/>
      </c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7">
        <f>IF(COUNT(T847:AH847)=0,"",SUM(T847:AH847))</f>
        <v/>
      </c>
      <c r="AJ847" s="10">
        <f>IF(AI847="","",AI847/75)</f>
        <v/>
      </c>
      <c r="AK847" s="10">
        <f>IF(AI847="","",SUMPRODUCT(T847:AH847,KPI_Weights!$B$3:$B$17)/5)</f>
        <v/>
      </c>
      <c r="AL847" s="7">
        <f>IF(COUNT(T847:AH847)=0,"",IF(OR(T847&lt;=1,W847&lt;=1,X847&lt;=1,Y847&lt;=1,AB847&lt;=1),"YES","NO"))</f>
        <v/>
      </c>
      <c r="AM847" s="7">
        <f>IF(AK847="","",IF(AND(AK847="NO",AJ847&gt;=0.85),"YES","NO"))</f>
        <v/>
      </c>
      <c r="AN847" s="7">
        <f>IF(AJ847="","",IF(AJ847&gt;=0.90,"Excellent",IF(AJ847&gt;=0.80,"Good",IF(AJ847&gt;=0.70,"Fair","Poor"))))</f>
        <v/>
      </c>
      <c r="AO847" s="12" t="n"/>
      <c r="AP847" s="12" t="n"/>
      <c r="AQ847" s="12" t="n"/>
      <c r="AR847" s="12" t="n"/>
      <c r="AS847" s="12" t="n"/>
      <c r="AT847" s="12" t="n"/>
      <c r="AU847" s="12" t="n"/>
      <c r="AV847" s="11" t="n"/>
      <c r="AW847" s="12" t="n"/>
      <c r="AX847" s="12" t="n"/>
      <c r="AY847" s="12" t="n"/>
      <c r="AZ847" s="12" t="n"/>
      <c r="BA847" s="12" t="n"/>
      <c r="BB847" s="12" t="n"/>
      <c r="BC847" s="12" t="n"/>
      <c r="BD847" s="12" t="n"/>
      <c r="BE847" s="12" t="n"/>
      <c r="BF847" s="12" t="n"/>
    </row>
    <row r="848">
      <c r="A848" s="7">
        <f>IF(B848="","","INS-"&amp;TEXT(ROW()-3,"000"))</f>
        <v/>
      </c>
      <c r="B848" s="11" t="n"/>
      <c r="C848" s="7">
        <f>IF(B848="","",ISOWEEKNUM(B848))</f>
        <v/>
      </c>
      <c r="D848" s="7">
        <f>IF(B848="","",TEXT(B848,"yyyy-mm"))</f>
        <v/>
      </c>
      <c r="E848" s="12" t="n"/>
      <c r="F848" s="12" t="n"/>
      <c r="G848" s="7">
        <f>IF(OR(E848="",F848=""),"",IF(COUNTIF(Cluster_Master!$I$3:$I$17,E848&amp;"|"&amp;F848)=1,"Valid","Review"))</f>
        <v/>
      </c>
      <c r="H848" s="7">
        <f>IF($G848&lt;&gt;"Valid","",VLOOKUP($E848&amp;"|"&amp;$F848,Cluster_Master!$I$3:$H$17,3,FALSE))</f>
        <v/>
      </c>
      <c r="I848" s="7">
        <f>IF($G848&lt;&gt;"Valid","",VLOOKUP($E848&amp;"|"&amp;$F848,Cluster_Master!$I$3:$H$17,4,FALSE))</f>
        <v/>
      </c>
      <c r="J848" s="7">
        <f>IF($G848&lt;&gt;"Valid","",VLOOKUP($E848&amp;"|"&amp;$F848,Cluster_Master!$I$3:$H$17,5,FALSE))</f>
        <v/>
      </c>
      <c r="K848" s="7">
        <f>IF($G848&lt;&gt;"Valid","",VLOOKUP($E848&amp;"|"&amp;$F848,Cluster_Master!$I$3:$H$17,6,FALSE))</f>
        <v/>
      </c>
      <c r="L848" s="7">
        <f>IF($G848&lt;&gt;"Valid","",VLOOKUP($E848&amp;"|"&amp;$F848,Cluster_Master!$I$3:$H$17,7,FALSE))</f>
        <v/>
      </c>
      <c r="M848" s="7">
        <f>IF($G848&lt;&gt;"Valid","",VLOOKUP($E848&amp;"|"&amp;$F848,Cluster_Master!$I$3:$H$17,8,FALSE))</f>
        <v/>
      </c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7">
        <f>IF(COUNT(T848:AH848)=0,"",SUM(T848:AH848))</f>
        <v/>
      </c>
      <c r="AJ848" s="10">
        <f>IF(AI848="","",AI848/75)</f>
        <v/>
      </c>
      <c r="AK848" s="10">
        <f>IF(AI848="","",SUMPRODUCT(T848:AH848,KPI_Weights!$B$3:$B$17)/5)</f>
        <v/>
      </c>
      <c r="AL848" s="7">
        <f>IF(COUNT(T848:AH848)=0,"",IF(OR(T848&lt;=1,W848&lt;=1,X848&lt;=1,Y848&lt;=1,AB848&lt;=1),"YES","NO"))</f>
        <v/>
      </c>
      <c r="AM848" s="7">
        <f>IF(AK848="","",IF(AND(AK848="NO",AJ848&gt;=0.85),"YES","NO"))</f>
        <v/>
      </c>
      <c r="AN848" s="7">
        <f>IF(AJ848="","",IF(AJ848&gt;=0.90,"Excellent",IF(AJ848&gt;=0.80,"Good",IF(AJ848&gt;=0.70,"Fair","Poor"))))</f>
        <v/>
      </c>
      <c r="AO848" s="12" t="n"/>
      <c r="AP848" s="12" t="n"/>
      <c r="AQ848" s="12" t="n"/>
      <c r="AR848" s="12" t="n"/>
      <c r="AS848" s="12" t="n"/>
      <c r="AT848" s="12" t="n"/>
      <c r="AU848" s="12" t="n"/>
      <c r="AV848" s="11" t="n"/>
      <c r="AW848" s="12" t="n"/>
      <c r="AX848" s="12" t="n"/>
      <c r="AY848" s="12" t="n"/>
      <c r="AZ848" s="12" t="n"/>
      <c r="BA848" s="12" t="n"/>
      <c r="BB848" s="12" t="n"/>
      <c r="BC848" s="12" t="n"/>
      <c r="BD848" s="12" t="n"/>
      <c r="BE848" s="12" t="n"/>
      <c r="BF848" s="12" t="n"/>
    </row>
    <row r="849">
      <c r="A849" s="7">
        <f>IF(B849="","","INS-"&amp;TEXT(ROW()-3,"000"))</f>
        <v/>
      </c>
      <c r="B849" s="11" t="n"/>
      <c r="C849" s="7">
        <f>IF(B849="","",ISOWEEKNUM(B849))</f>
        <v/>
      </c>
      <c r="D849" s="7">
        <f>IF(B849="","",TEXT(B849,"yyyy-mm"))</f>
        <v/>
      </c>
      <c r="E849" s="12" t="n"/>
      <c r="F849" s="12" t="n"/>
      <c r="G849" s="7">
        <f>IF(OR(E849="",F849=""),"",IF(COUNTIF(Cluster_Master!$I$3:$I$17,E849&amp;"|"&amp;F849)=1,"Valid","Review"))</f>
        <v/>
      </c>
      <c r="H849" s="7">
        <f>IF($G849&lt;&gt;"Valid","",VLOOKUP($E849&amp;"|"&amp;$F849,Cluster_Master!$I$3:$H$17,3,FALSE))</f>
        <v/>
      </c>
      <c r="I849" s="7">
        <f>IF($G849&lt;&gt;"Valid","",VLOOKUP($E849&amp;"|"&amp;$F849,Cluster_Master!$I$3:$H$17,4,FALSE))</f>
        <v/>
      </c>
      <c r="J849" s="7">
        <f>IF($G849&lt;&gt;"Valid","",VLOOKUP($E849&amp;"|"&amp;$F849,Cluster_Master!$I$3:$H$17,5,FALSE))</f>
        <v/>
      </c>
      <c r="K849" s="7">
        <f>IF($G849&lt;&gt;"Valid","",VLOOKUP($E849&amp;"|"&amp;$F849,Cluster_Master!$I$3:$H$17,6,FALSE))</f>
        <v/>
      </c>
      <c r="L849" s="7">
        <f>IF($G849&lt;&gt;"Valid","",VLOOKUP($E849&amp;"|"&amp;$F849,Cluster_Master!$I$3:$H$17,7,FALSE))</f>
        <v/>
      </c>
      <c r="M849" s="7">
        <f>IF($G849&lt;&gt;"Valid","",VLOOKUP($E849&amp;"|"&amp;$F849,Cluster_Master!$I$3:$H$17,8,FALSE))</f>
        <v/>
      </c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7">
        <f>IF(COUNT(T849:AH849)=0,"",SUM(T849:AH849))</f>
        <v/>
      </c>
      <c r="AJ849" s="10">
        <f>IF(AI849="","",AI849/75)</f>
        <v/>
      </c>
      <c r="AK849" s="10">
        <f>IF(AI849="","",SUMPRODUCT(T849:AH849,KPI_Weights!$B$3:$B$17)/5)</f>
        <v/>
      </c>
      <c r="AL849" s="7">
        <f>IF(COUNT(T849:AH849)=0,"",IF(OR(T849&lt;=1,W849&lt;=1,X849&lt;=1,Y849&lt;=1,AB849&lt;=1),"YES","NO"))</f>
        <v/>
      </c>
      <c r="AM849" s="7">
        <f>IF(AK849="","",IF(AND(AK849="NO",AJ849&gt;=0.85),"YES","NO"))</f>
        <v/>
      </c>
      <c r="AN849" s="7">
        <f>IF(AJ849="","",IF(AJ849&gt;=0.90,"Excellent",IF(AJ849&gt;=0.80,"Good",IF(AJ849&gt;=0.70,"Fair","Poor"))))</f>
        <v/>
      </c>
      <c r="AO849" s="12" t="n"/>
      <c r="AP849" s="12" t="n"/>
      <c r="AQ849" s="12" t="n"/>
      <c r="AR849" s="12" t="n"/>
      <c r="AS849" s="12" t="n"/>
      <c r="AT849" s="12" t="n"/>
      <c r="AU849" s="12" t="n"/>
      <c r="AV849" s="11" t="n"/>
      <c r="AW849" s="12" t="n"/>
      <c r="AX849" s="12" t="n"/>
      <c r="AY849" s="12" t="n"/>
      <c r="AZ849" s="12" t="n"/>
      <c r="BA849" s="12" t="n"/>
      <c r="BB849" s="12" t="n"/>
      <c r="BC849" s="12" t="n"/>
      <c r="BD849" s="12" t="n"/>
      <c r="BE849" s="12" t="n"/>
      <c r="BF849" s="12" t="n"/>
    </row>
    <row r="850">
      <c r="A850" s="7">
        <f>IF(B850="","","INS-"&amp;TEXT(ROW()-3,"000"))</f>
        <v/>
      </c>
      <c r="B850" s="11" t="n"/>
      <c r="C850" s="7">
        <f>IF(B850="","",ISOWEEKNUM(B850))</f>
        <v/>
      </c>
      <c r="D850" s="7">
        <f>IF(B850="","",TEXT(B850,"yyyy-mm"))</f>
        <v/>
      </c>
      <c r="E850" s="12" t="n"/>
      <c r="F850" s="12" t="n"/>
      <c r="G850" s="7">
        <f>IF(OR(E850="",F850=""),"",IF(COUNTIF(Cluster_Master!$I$3:$I$17,E850&amp;"|"&amp;F850)=1,"Valid","Review"))</f>
        <v/>
      </c>
      <c r="H850" s="7">
        <f>IF($G850&lt;&gt;"Valid","",VLOOKUP($E850&amp;"|"&amp;$F850,Cluster_Master!$I$3:$H$17,3,FALSE))</f>
        <v/>
      </c>
      <c r="I850" s="7">
        <f>IF($G850&lt;&gt;"Valid","",VLOOKUP($E850&amp;"|"&amp;$F850,Cluster_Master!$I$3:$H$17,4,FALSE))</f>
        <v/>
      </c>
      <c r="J850" s="7">
        <f>IF($G850&lt;&gt;"Valid","",VLOOKUP($E850&amp;"|"&amp;$F850,Cluster_Master!$I$3:$H$17,5,FALSE))</f>
        <v/>
      </c>
      <c r="K850" s="7">
        <f>IF($G850&lt;&gt;"Valid","",VLOOKUP($E850&amp;"|"&amp;$F850,Cluster_Master!$I$3:$H$17,6,FALSE))</f>
        <v/>
      </c>
      <c r="L850" s="7">
        <f>IF($G850&lt;&gt;"Valid","",VLOOKUP($E850&amp;"|"&amp;$F850,Cluster_Master!$I$3:$H$17,7,FALSE))</f>
        <v/>
      </c>
      <c r="M850" s="7">
        <f>IF($G850&lt;&gt;"Valid","",VLOOKUP($E850&amp;"|"&amp;$F850,Cluster_Master!$I$3:$H$17,8,FALSE))</f>
        <v/>
      </c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7">
        <f>IF(COUNT(T850:AH850)=0,"",SUM(T850:AH850))</f>
        <v/>
      </c>
      <c r="AJ850" s="10">
        <f>IF(AI850="","",AI850/75)</f>
        <v/>
      </c>
      <c r="AK850" s="10">
        <f>IF(AI850="","",SUMPRODUCT(T850:AH850,KPI_Weights!$B$3:$B$17)/5)</f>
        <v/>
      </c>
      <c r="AL850" s="7">
        <f>IF(COUNT(T850:AH850)=0,"",IF(OR(T850&lt;=1,W850&lt;=1,X850&lt;=1,Y850&lt;=1,AB850&lt;=1),"YES","NO"))</f>
        <v/>
      </c>
      <c r="AM850" s="7">
        <f>IF(AK850="","",IF(AND(AK850="NO",AJ850&gt;=0.85),"YES","NO"))</f>
        <v/>
      </c>
      <c r="AN850" s="7">
        <f>IF(AJ850="","",IF(AJ850&gt;=0.90,"Excellent",IF(AJ850&gt;=0.80,"Good",IF(AJ850&gt;=0.70,"Fair","Poor"))))</f>
        <v/>
      </c>
      <c r="AO850" s="12" t="n"/>
      <c r="AP850" s="12" t="n"/>
      <c r="AQ850" s="12" t="n"/>
      <c r="AR850" s="12" t="n"/>
      <c r="AS850" s="12" t="n"/>
      <c r="AT850" s="12" t="n"/>
      <c r="AU850" s="12" t="n"/>
      <c r="AV850" s="11" t="n"/>
      <c r="AW850" s="12" t="n"/>
      <c r="AX850" s="12" t="n"/>
      <c r="AY850" s="12" t="n"/>
      <c r="AZ850" s="12" t="n"/>
      <c r="BA850" s="12" t="n"/>
      <c r="BB850" s="12" t="n"/>
      <c r="BC850" s="12" t="n"/>
      <c r="BD850" s="12" t="n"/>
      <c r="BE850" s="12" t="n"/>
      <c r="BF850" s="12" t="n"/>
    </row>
    <row r="851">
      <c r="A851" s="7">
        <f>IF(B851="","","INS-"&amp;TEXT(ROW()-3,"000"))</f>
        <v/>
      </c>
      <c r="B851" s="11" t="n"/>
      <c r="C851" s="7">
        <f>IF(B851="","",ISOWEEKNUM(B851))</f>
        <v/>
      </c>
      <c r="D851" s="7">
        <f>IF(B851="","",TEXT(B851,"yyyy-mm"))</f>
        <v/>
      </c>
      <c r="E851" s="12" t="n"/>
      <c r="F851" s="12" t="n"/>
      <c r="G851" s="7">
        <f>IF(OR(E851="",F851=""),"",IF(COUNTIF(Cluster_Master!$I$3:$I$17,E851&amp;"|"&amp;F851)=1,"Valid","Review"))</f>
        <v/>
      </c>
      <c r="H851" s="7">
        <f>IF($G851&lt;&gt;"Valid","",VLOOKUP($E851&amp;"|"&amp;$F851,Cluster_Master!$I$3:$H$17,3,FALSE))</f>
        <v/>
      </c>
      <c r="I851" s="7">
        <f>IF($G851&lt;&gt;"Valid","",VLOOKUP($E851&amp;"|"&amp;$F851,Cluster_Master!$I$3:$H$17,4,FALSE))</f>
        <v/>
      </c>
      <c r="J851" s="7">
        <f>IF($G851&lt;&gt;"Valid","",VLOOKUP($E851&amp;"|"&amp;$F851,Cluster_Master!$I$3:$H$17,5,FALSE))</f>
        <v/>
      </c>
      <c r="K851" s="7">
        <f>IF($G851&lt;&gt;"Valid","",VLOOKUP($E851&amp;"|"&amp;$F851,Cluster_Master!$I$3:$H$17,6,FALSE))</f>
        <v/>
      </c>
      <c r="L851" s="7">
        <f>IF($G851&lt;&gt;"Valid","",VLOOKUP($E851&amp;"|"&amp;$F851,Cluster_Master!$I$3:$H$17,7,FALSE))</f>
        <v/>
      </c>
      <c r="M851" s="7">
        <f>IF($G851&lt;&gt;"Valid","",VLOOKUP($E851&amp;"|"&amp;$F851,Cluster_Master!$I$3:$H$17,8,FALSE))</f>
        <v/>
      </c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7">
        <f>IF(COUNT(T851:AH851)=0,"",SUM(T851:AH851))</f>
        <v/>
      </c>
      <c r="AJ851" s="10">
        <f>IF(AI851="","",AI851/75)</f>
        <v/>
      </c>
      <c r="AK851" s="10">
        <f>IF(AI851="","",SUMPRODUCT(T851:AH851,KPI_Weights!$B$3:$B$17)/5)</f>
        <v/>
      </c>
      <c r="AL851" s="7">
        <f>IF(COUNT(T851:AH851)=0,"",IF(OR(T851&lt;=1,W851&lt;=1,X851&lt;=1,Y851&lt;=1,AB851&lt;=1),"YES","NO"))</f>
        <v/>
      </c>
      <c r="AM851" s="7">
        <f>IF(AK851="","",IF(AND(AK851="NO",AJ851&gt;=0.85),"YES","NO"))</f>
        <v/>
      </c>
      <c r="AN851" s="7">
        <f>IF(AJ851="","",IF(AJ851&gt;=0.90,"Excellent",IF(AJ851&gt;=0.80,"Good",IF(AJ851&gt;=0.70,"Fair","Poor"))))</f>
        <v/>
      </c>
      <c r="AO851" s="12" t="n"/>
      <c r="AP851" s="12" t="n"/>
      <c r="AQ851" s="12" t="n"/>
      <c r="AR851" s="12" t="n"/>
      <c r="AS851" s="12" t="n"/>
      <c r="AT851" s="12" t="n"/>
      <c r="AU851" s="12" t="n"/>
      <c r="AV851" s="11" t="n"/>
      <c r="AW851" s="12" t="n"/>
      <c r="AX851" s="12" t="n"/>
      <c r="AY851" s="12" t="n"/>
      <c r="AZ851" s="12" t="n"/>
      <c r="BA851" s="12" t="n"/>
      <c r="BB851" s="12" t="n"/>
      <c r="BC851" s="12" t="n"/>
      <c r="BD851" s="12" t="n"/>
      <c r="BE851" s="12" t="n"/>
      <c r="BF851" s="12" t="n"/>
    </row>
    <row r="852">
      <c r="A852" s="7">
        <f>IF(B852="","","INS-"&amp;TEXT(ROW()-3,"000"))</f>
        <v/>
      </c>
      <c r="B852" s="11" t="n"/>
      <c r="C852" s="7">
        <f>IF(B852="","",ISOWEEKNUM(B852))</f>
        <v/>
      </c>
      <c r="D852" s="7">
        <f>IF(B852="","",TEXT(B852,"yyyy-mm"))</f>
        <v/>
      </c>
      <c r="E852" s="12" t="n"/>
      <c r="F852" s="12" t="n"/>
      <c r="G852" s="7">
        <f>IF(OR(E852="",F852=""),"",IF(COUNTIF(Cluster_Master!$I$3:$I$17,E852&amp;"|"&amp;F852)=1,"Valid","Review"))</f>
        <v/>
      </c>
      <c r="H852" s="7">
        <f>IF($G852&lt;&gt;"Valid","",VLOOKUP($E852&amp;"|"&amp;$F852,Cluster_Master!$I$3:$H$17,3,FALSE))</f>
        <v/>
      </c>
      <c r="I852" s="7">
        <f>IF($G852&lt;&gt;"Valid","",VLOOKUP($E852&amp;"|"&amp;$F852,Cluster_Master!$I$3:$H$17,4,FALSE))</f>
        <v/>
      </c>
      <c r="J852" s="7">
        <f>IF($G852&lt;&gt;"Valid","",VLOOKUP($E852&amp;"|"&amp;$F852,Cluster_Master!$I$3:$H$17,5,FALSE))</f>
        <v/>
      </c>
      <c r="K852" s="7">
        <f>IF($G852&lt;&gt;"Valid","",VLOOKUP($E852&amp;"|"&amp;$F852,Cluster_Master!$I$3:$H$17,6,FALSE))</f>
        <v/>
      </c>
      <c r="L852" s="7">
        <f>IF($G852&lt;&gt;"Valid","",VLOOKUP($E852&amp;"|"&amp;$F852,Cluster_Master!$I$3:$H$17,7,FALSE))</f>
        <v/>
      </c>
      <c r="M852" s="7">
        <f>IF($G852&lt;&gt;"Valid","",VLOOKUP($E852&amp;"|"&amp;$F852,Cluster_Master!$I$3:$H$17,8,FALSE))</f>
        <v/>
      </c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7">
        <f>IF(COUNT(T852:AH852)=0,"",SUM(T852:AH852))</f>
        <v/>
      </c>
      <c r="AJ852" s="10">
        <f>IF(AI852="","",AI852/75)</f>
        <v/>
      </c>
      <c r="AK852" s="10">
        <f>IF(AI852="","",SUMPRODUCT(T852:AH852,KPI_Weights!$B$3:$B$17)/5)</f>
        <v/>
      </c>
      <c r="AL852" s="7">
        <f>IF(COUNT(T852:AH852)=0,"",IF(OR(T852&lt;=1,W852&lt;=1,X852&lt;=1,Y852&lt;=1,AB852&lt;=1),"YES","NO"))</f>
        <v/>
      </c>
      <c r="AM852" s="7">
        <f>IF(AK852="","",IF(AND(AK852="NO",AJ852&gt;=0.85),"YES","NO"))</f>
        <v/>
      </c>
      <c r="AN852" s="7">
        <f>IF(AJ852="","",IF(AJ852&gt;=0.90,"Excellent",IF(AJ852&gt;=0.80,"Good",IF(AJ852&gt;=0.70,"Fair","Poor"))))</f>
        <v/>
      </c>
      <c r="AO852" s="12" t="n"/>
      <c r="AP852" s="12" t="n"/>
      <c r="AQ852" s="12" t="n"/>
      <c r="AR852" s="12" t="n"/>
      <c r="AS852" s="12" t="n"/>
      <c r="AT852" s="12" t="n"/>
      <c r="AU852" s="12" t="n"/>
      <c r="AV852" s="11" t="n"/>
      <c r="AW852" s="12" t="n"/>
      <c r="AX852" s="12" t="n"/>
      <c r="AY852" s="12" t="n"/>
      <c r="AZ852" s="12" t="n"/>
      <c r="BA852" s="12" t="n"/>
      <c r="BB852" s="12" t="n"/>
      <c r="BC852" s="12" t="n"/>
      <c r="BD852" s="12" t="n"/>
      <c r="BE852" s="12" t="n"/>
      <c r="BF852" s="12" t="n"/>
    </row>
    <row r="853">
      <c r="A853" s="7">
        <f>IF(B853="","","INS-"&amp;TEXT(ROW()-3,"000"))</f>
        <v/>
      </c>
      <c r="B853" s="11" t="n"/>
      <c r="C853" s="7">
        <f>IF(B853="","",ISOWEEKNUM(B853))</f>
        <v/>
      </c>
      <c r="D853" s="7">
        <f>IF(B853="","",TEXT(B853,"yyyy-mm"))</f>
        <v/>
      </c>
      <c r="E853" s="12" t="n"/>
      <c r="F853" s="12" t="n"/>
      <c r="G853" s="7">
        <f>IF(OR(E853="",F853=""),"",IF(COUNTIF(Cluster_Master!$I$3:$I$17,E853&amp;"|"&amp;F853)=1,"Valid","Review"))</f>
        <v/>
      </c>
      <c r="H853" s="7">
        <f>IF($G853&lt;&gt;"Valid","",VLOOKUP($E853&amp;"|"&amp;$F853,Cluster_Master!$I$3:$H$17,3,FALSE))</f>
        <v/>
      </c>
      <c r="I853" s="7">
        <f>IF($G853&lt;&gt;"Valid","",VLOOKUP($E853&amp;"|"&amp;$F853,Cluster_Master!$I$3:$H$17,4,FALSE))</f>
        <v/>
      </c>
      <c r="J853" s="7">
        <f>IF($G853&lt;&gt;"Valid","",VLOOKUP($E853&amp;"|"&amp;$F853,Cluster_Master!$I$3:$H$17,5,FALSE))</f>
        <v/>
      </c>
      <c r="K853" s="7">
        <f>IF($G853&lt;&gt;"Valid","",VLOOKUP($E853&amp;"|"&amp;$F853,Cluster_Master!$I$3:$H$17,6,FALSE))</f>
        <v/>
      </c>
      <c r="L853" s="7">
        <f>IF($G853&lt;&gt;"Valid","",VLOOKUP($E853&amp;"|"&amp;$F853,Cluster_Master!$I$3:$H$17,7,FALSE))</f>
        <v/>
      </c>
      <c r="M853" s="7">
        <f>IF($G853&lt;&gt;"Valid","",VLOOKUP($E853&amp;"|"&amp;$F853,Cluster_Master!$I$3:$H$17,8,FALSE))</f>
        <v/>
      </c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7">
        <f>IF(COUNT(T853:AH853)=0,"",SUM(T853:AH853))</f>
        <v/>
      </c>
      <c r="AJ853" s="10">
        <f>IF(AI853="","",AI853/75)</f>
        <v/>
      </c>
      <c r="AK853" s="10">
        <f>IF(AI853="","",SUMPRODUCT(T853:AH853,KPI_Weights!$B$3:$B$17)/5)</f>
        <v/>
      </c>
      <c r="AL853" s="7">
        <f>IF(COUNT(T853:AH853)=0,"",IF(OR(T853&lt;=1,W853&lt;=1,X853&lt;=1,Y853&lt;=1,AB853&lt;=1),"YES","NO"))</f>
        <v/>
      </c>
      <c r="AM853" s="7">
        <f>IF(AK853="","",IF(AND(AK853="NO",AJ853&gt;=0.85),"YES","NO"))</f>
        <v/>
      </c>
      <c r="AN853" s="7">
        <f>IF(AJ853="","",IF(AJ853&gt;=0.90,"Excellent",IF(AJ853&gt;=0.80,"Good",IF(AJ853&gt;=0.70,"Fair","Poor"))))</f>
        <v/>
      </c>
      <c r="AO853" s="12" t="n"/>
      <c r="AP853" s="12" t="n"/>
      <c r="AQ853" s="12" t="n"/>
      <c r="AR853" s="12" t="n"/>
      <c r="AS853" s="12" t="n"/>
      <c r="AT853" s="12" t="n"/>
      <c r="AU853" s="12" t="n"/>
      <c r="AV853" s="11" t="n"/>
      <c r="AW853" s="12" t="n"/>
      <c r="AX853" s="12" t="n"/>
      <c r="AY853" s="12" t="n"/>
      <c r="AZ853" s="12" t="n"/>
      <c r="BA853" s="12" t="n"/>
      <c r="BB853" s="12" t="n"/>
      <c r="BC853" s="12" t="n"/>
      <c r="BD853" s="12" t="n"/>
      <c r="BE853" s="12" t="n"/>
      <c r="BF853" s="12" t="n"/>
    </row>
    <row r="854">
      <c r="A854" s="7">
        <f>IF(B854="","","INS-"&amp;TEXT(ROW()-3,"000"))</f>
        <v/>
      </c>
      <c r="B854" s="11" t="n"/>
      <c r="C854" s="7">
        <f>IF(B854="","",ISOWEEKNUM(B854))</f>
        <v/>
      </c>
      <c r="D854" s="7">
        <f>IF(B854="","",TEXT(B854,"yyyy-mm"))</f>
        <v/>
      </c>
      <c r="E854" s="12" t="n"/>
      <c r="F854" s="12" t="n"/>
      <c r="G854" s="7">
        <f>IF(OR(E854="",F854=""),"",IF(COUNTIF(Cluster_Master!$I$3:$I$17,E854&amp;"|"&amp;F854)=1,"Valid","Review"))</f>
        <v/>
      </c>
      <c r="H854" s="7">
        <f>IF($G854&lt;&gt;"Valid","",VLOOKUP($E854&amp;"|"&amp;$F854,Cluster_Master!$I$3:$H$17,3,FALSE))</f>
        <v/>
      </c>
      <c r="I854" s="7">
        <f>IF($G854&lt;&gt;"Valid","",VLOOKUP($E854&amp;"|"&amp;$F854,Cluster_Master!$I$3:$H$17,4,FALSE))</f>
        <v/>
      </c>
      <c r="J854" s="7">
        <f>IF($G854&lt;&gt;"Valid","",VLOOKUP($E854&amp;"|"&amp;$F854,Cluster_Master!$I$3:$H$17,5,FALSE))</f>
        <v/>
      </c>
      <c r="K854" s="7">
        <f>IF($G854&lt;&gt;"Valid","",VLOOKUP($E854&amp;"|"&amp;$F854,Cluster_Master!$I$3:$H$17,6,FALSE))</f>
        <v/>
      </c>
      <c r="L854" s="7">
        <f>IF($G854&lt;&gt;"Valid","",VLOOKUP($E854&amp;"|"&amp;$F854,Cluster_Master!$I$3:$H$17,7,FALSE))</f>
        <v/>
      </c>
      <c r="M854" s="7">
        <f>IF($G854&lt;&gt;"Valid","",VLOOKUP($E854&amp;"|"&amp;$F854,Cluster_Master!$I$3:$H$17,8,FALSE))</f>
        <v/>
      </c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7">
        <f>IF(COUNT(T854:AH854)=0,"",SUM(T854:AH854))</f>
        <v/>
      </c>
      <c r="AJ854" s="10">
        <f>IF(AI854="","",AI854/75)</f>
        <v/>
      </c>
      <c r="AK854" s="10">
        <f>IF(AI854="","",SUMPRODUCT(T854:AH854,KPI_Weights!$B$3:$B$17)/5)</f>
        <v/>
      </c>
      <c r="AL854" s="7">
        <f>IF(COUNT(T854:AH854)=0,"",IF(OR(T854&lt;=1,W854&lt;=1,X854&lt;=1,Y854&lt;=1,AB854&lt;=1),"YES","NO"))</f>
        <v/>
      </c>
      <c r="AM854" s="7">
        <f>IF(AK854="","",IF(AND(AK854="NO",AJ854&gt;=0.85),"YES","NO"))</f>
        <v/>
      </c>
      <c r="AN854" s="7">
        <f>IF(AJ854="","",IF(AJ854&gt;=0.90,"Excellent",IF(AJ854&gt;=0.80,"Good",IF(AJ854&gt;=0.70,"Fair","Poor"))))</f>
        <v/>
      </c>
      <c r="AO854" s="12" t="n"/>
      <c r="AP854" s="12" t="n"/>
      <c r="AQ854" s="12" t="n"/>
      <c r="AR854" s="12" t="n"/>
      <c r="AS854" s="12" t="n"/>
      <c r="AT854" s="12" t="n"/>
      <c r="AU854" s="12" t="n"/>
      <c r="AV854" s="11" t="n"/>
      <c r="AW854" s="12" t="n"/>
      <c r="AX854" s="12" t="n"/>
      <c r="AY854" s="12" t="n"/>
      <c r="AZ854" s="12" t="n"/>
      <c r="BA854" s="12" t="n"/>
      <c r="BB854" s="12" t="n"/>
      <c r="BC854" s="12" t="n"/>
      <c r="BD854" s="12" t="n"/>
      <c r="BE854" s="12" t="n"/>
      <c r="BF854" s="12" t="n"/>
    </row>
    <row r="855">
      <c r="A855" s="7">
        <f>IF(B855="","","INS-"&amp;TEXT(ROW()-3,"000"))</f>
        <v/>
      </c>
      <c r="B855" s="11" t="n"/>
      <c r="C855" s="7">
        <f>IF(B855="","",ISOWEEKNUM(B855))</f>
        <v/>
      </c>
      <c r="D855" s="7">
        <f>IF(B855="","",TEXT(B855,"yyyy-mm"))</f>
        <v/>
      </c>
      <c r="E855" s="12" t="n"/>
      <c r="F855" s="12" t="n"/>
      <c r="G855" s="7">
        <f>IF(OR(E855="",F855=""),"",IF(COUNTIF(Cluster_Master!$I$3:$I$17,E855&amp;"|"&amp;F855)=1,"Valid","Review"))</f>
        <v/>
      </c>
      <c r="H855" s="7">
        <f>IF($G855&lt;&gt;"Valid","",VLOOKUP($E855&amp;"|"&amp;$F855,Cluster_Master!$I$3:$H$17,3,FALSE))</f>
        <v/>
      </c>
      <c r="I855" s="7">
        <f>IF($G855&lt;&gt;"Valid","",VLOOKUP($E855&amp;"|"&amp;$F855,Cluster_Master!$I$3:$H$17,4,FALSE))</f>
        <v/>
      </c>
      <c r="J855" s="7">
        <f>IF($G855&lt;&gt;"Valid","",VLOOKUP($E855&amp;"|"&amp;$F855,Cluster_Master!$I$3:$H$17,5,FALSE))</f>
        <v/>
      </c>
      <c r="K855" s="7">
        <f>IF($G855&lt;&gt;"Valid","",VLOOKUP($E855&amp;"|"&amp;$F855,Cluster_Master!$I$3:$H$17,6,FALSE))</f>
        <v/>
      </c>
      <c r="L855" s="7">
        <f>IF($G855&lt;&gt;"Valid","",VLOOKUP($E855&amp;"|"&amp;$F855,Cluster_Master!$I$3:$H$17,7,FALSE))</f>
        <v/>
      </c>
      <c r="M855" s="7">
        <f>IF($G855&lt;&gt;"Valid","",VLOOKUP($E855&amp;"|"&amp;$F855,Cluster_Master!$I$3:$H$17,8,FALSE))</f>
        <v/>
      </c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7">
        <f>IF(COUNT(T855:AH855)=0,"",SUM(T855:AH855))</f>
        <v/>
      </c>
      <c r="AJ855" s="10">
        <f>IF(AI855="","",AI855/75)</f>
        <v/>
      </c>
      <c r="AK855" s="10">
        <f>IF(AI855="","",SUMPRODUCT(T855:AH855,KPI_Weights!$B$3:$B$17)/5)</f>
        <v/>
      </c>
      <c r="AL855" s="7">
        <f>IF(COUNT(T855:AH855)=0,"",IF(OR(T855&lt;=1,W855&lt;=1,X855&lt;=1,Y855&lt;=1,AB855&lt;=1),"YES","NO"))</f>
        <v/>
      </c>
      <c r="AM855" s="7">
        <f>IF(AK855="","",IF(AND(AK855="NO",AJ855&gt;=0.85),"YES","NO"))</f>
        <v/>
      </c>
      <c r="AN855" s="7">
        <f>IF(AJ855="","",IF(AJ855&gt;=0.90,"Excellent",IF(AJ855&gt;=0.80,"Good",IF(AJ855&gt;=0.70,"Fair","Poor"))))</f>
        <v/>
      </c>
      <c r="AO855" s="12" t="n"/>
      <c r="AP855" s="12" t="n"/>
      <c r="AQ855" s="12" t="n"/>
      <c r="AR855" s="12" t="n"/>
      <c r="AS855" s="12" t="n"/>
      <c r="AT855" s="12" t="n"/>
      <c r="AU855" s="12" t="n"/>
      <c r="AV855" s="11" t="n"/>
      <c r="AW855" s="12" t="n"/>
      <c r="AX855" s="12" t="n"/>
      <c r="AY855" s="12" t="n"/>
      <c r="AZ855" s="12" t="n"/>
      <c r="BA855" s="12" t="n"/>
      <c r="BB855" s="12" t="n"/>
      <c r="BC855" s="12" t="n"/>
      <c r="BD855" s="12" t="n"/>
      <c r="BE855" s="12" t="n"/>
      <c r="BF855" s="12" t="n"/>
    </row>
    <row r="856">
      <c r="A856" s="7">
        <f>IF(B856="","","INS-"&amp;TEXT(ROW()-3,"000"))</f>
        <v/>
      </c>
      <c r="B856" s="11" t="n"/>
      <c r="C856" s="7">
        <f>IF(B856="","",ISOWEEKNUM(B856))</f>
        <v/>
      </c>
      <c r="D856" s="7">
        <f>IF(B856="","",TEXT(B856,"yyyy-mm"))</f>
        <v/>
      </c>
      <c r="E856" s="12" t="n"/>
      <c r="F856" s="12" t="n"/>
      <c r="G856" s="7">
        <f>IF(OR(E856="",F856=""),"",IF(COUNTIF(Cluster_Master!$I$3:$I$17,E856&amp;"|"&amp;F856)=1,"Valid","Review"))</f>
        <v/>
      </c>
      <c r="H856" s="7">
        <f>IF($G856&lt;&gt;"Valid","",VLOOKUP($E856&amp;"|"&amp;$F856,Cluster_Master!$I$3:$H$17,3,FALSE))</f>
        <v/>
      </c>
      <c r="I856" s="7">
        <f>IF($G856&lt;&gt;"Valid","",VLOOKUP($E856&amp;"|"&amp;$F856,Cluster_Master!$I$3:$H$17,4,FALSE))</f>
        <v/>
      </c>
      <c r="J856" s="7">
        <f>IF($G856&lt;&gt;"Valid","",VLOOKUP($E856&amp;"|"&amp;$F856,Cluster_Master!$I$3:$H$17,5,FALSE))</f>
        <v/>
      </c>
      <c r="K856" s="7">
        <f>IF($G856&lt;&gt;"Valid","",VLOOKUP($E856&amp;"|"&amp;$F856,Cluster_Master!$I$3:$H$17,6,FALSE))</f>
        <v/>
      </c>
      <c r="L856" s="7">
        <f>IF($G856&lt;&gt;"Valid","",VLOOKUP($E856&amp;"|"&amp;$F856,Cluster_Master!$I$3:$H$17,7,FALSE))</f>
        <v/>
      </c>
      <c r="M856" s="7">
        <f>IF($G856&lt;&gt;"Valid","",VLOOKUP($E856&amp;"|"&amp;$F856,Cluster_Master!$I$3:$H$17,8,FALSE))</f>
        <v/>
      </c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7">
        <f>IF(COUNT(T856:AH856)=0,"",SUM(T856:AH856))</f>
        <v/>
      </c>
      <c r="AJ856" s="10">
        <f>IF(AI856="","",AI856/75)</f>
        <v/>
      </c>
      <c r="AK856" s="10">
        <f>IF(AI856="","",SUMPRODUCT(T856:AH856,KPI_Weights!$B$3:$B$17)/5)</f>
        <v/>
      </c>
      <c r="AL856" s="7">
        <f>IF(COUNT(T856:AH856)=0,"",IF(OR(T856&lt;=1,W856&lt;=1,X856&lt;=1,Y856&lt;=1,AB856&lt;=1),"YES","NO"))</f>
        <v/>
      </c>
      <c r="AM856" s="7">
        <f>IF(AK856="","",IF(AND(AK856="NO",AJ856&gt;=0.85),"YES","NO"))</f>
        <v/>
      </c>
      <c r="AN856" s="7">
        <f>IF(AJ856="","",IF(AJ856&gt;=0.90,"Excellent",IF(AJ856&gt;=0.80,"Good",IF(AJ856&gt;=0.70,"Fair","Poor"))))</f>
        <v/>
      </c>
      <c r="AO856" s="12" t="n"/>
      <c r="AP856" s="12" t="n"/>
      <c r="AQ856" s="12" t="n"/>
      <c r="AR856" s="12" t="n"/>
      <c r="AS856" s="12" t="n"/>
      <c r="AT856" s="12" t="n"/>
      <c r="AU856" s="12" t="n"/>
      <c r="AV856" s="11" t="n"/>
      <c r="AW856" s="12" t="n"/>
      <c r="AX856" s="12" t="n"/>
      <c r="AY856" s="12" t="n"/>
      <c r="AZ856" s="12" t="n"/>
      <c r="BA856" s="12" t="n"/>
      <c r="BB856" s="12" t="n"/>
      <c r="BC856" s="12" t="n"/>
      <c r="BD856" s="12" t="n"/>
      <c r="BE856" s="12" t="n"/>
      <c r="BF856" s="12" t="n"/>
    </row>
    <row r="857">
      <c r="A857" s="7">
        <f>IF(B857="","","INS-"&amp;TEXT(ROW()-3,"000"))</f>
        <v/>
      </c>
      <c r="B857" s="11" t="n"/>
      <c r="C857" s="7">
        <f>IF(B857="","",ISOWEEKNUM(B857))</f>
        <v/>
      </c>
      <c r="D857" s="7">
        <f>IF(B857="","",TEXT(B857,"yyyy-mm"))</f>
        <v/>
      </c>
      <c r="E857" s="12" t="n"/>
      <c r="F857" s="12" t="n"/>
      <c r="G857" s="7">
        <f>IF(OR(E857="",F857=""),"",IF(COUNTIF(Cluster_Master!$I$3:$I$17,E857&amp;"|"&amp;F857)=1,"Valid","Review"))</f>
        <v/>
      </c>
      <c r="H857" s="7">
        <f>IF($G857&lt;&gt;"Valid","",VLOOKUP($E857&amp;"|"&amp;$F857,Cluster_Master!$I$3:$H$17,3,FALSE))</f>
        <v/>
      </c>
      <c r="I857" s="7">
        <f>IF($G857&lt;&gt;"Valid","",VLOOKUP($E857&amp;"|"&amp;$F857,Cluster_Master!$I$3:$H$17,4,FALSE))</f>
        <v/>
      </c>
      <c r="J857" s="7">
        <f>IF($G857&lt;&gt;"Valid","",VLOOKUP($E857&amp;"|"&amp;$F857,Cluster_Master!$I$3:$H$17,5,FALSE))</f>
        <v/>
      </c>
      <c r="K857" s="7">
        <f>IF($G857&lt;&gt;"Valid","",VLOOKUP($E857&amp;"|"&amp;$F857,Cluster_Master!$I$3:$H$17,6,FALSE))</f>
        <v/>
      </c>
      <c r="L857" s="7">
        <f>IF($G857&lt;&gt;"Valid","",VLOOKUP($E857&amp;"|"&amp;$F857,Cluster_Master!$I$3:$H$17,7,FALSE))</f>
        <v/>
      </c>
      <c r="M857" s="7">
        <f>IF($G857&lt;&gt;"Valid","",VLOOKUP($E857&amp;"|"&amp;$F857,Cluster_Master!$I$3:$H$17,8,FALSE))</f>
        <v/>
      </c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7">
        <f>IF(COUNT(T857:AH857)=0,"",SUM(T857:AH857))</f>
        <v/>
      </c>
      <c r="AJ857" s="10">
        <f>IF(AI857="","",AI857/75)</f>
        <v/>
      </c>
      <c r="AK857" s="10">
        <f>IF(AI857="","",SUMPRODUCT(T857:AH857,KPI_Weights!$B$3:$B$17)/5)</f>
        <v/>
      </c>
      <c r="AL857" s="7">
        <f>IF(COUNT(T857:AH857)=0,"",IF(OR(T857&lt;=1,W857&lt;=1,X857&lt;=1,Y857&lt;=1,AB857&lt;=1),"YES","NO"))</f>
        <v/>
      </c>
      <c r="AM857" s="7">
        <f>IF(AK857="","",IF(AND(AK857="NO",AJ857&gt;=0.85),"YES","NO"))</f>
        <v/>
      </c>
      <c r="AN857" s="7">
        <f>IF(AJ857="","",IF(AJ857&gt;=0.90,"Excellent",IF(AJ857&gt;=0.80,"Good",IF(AJ857&gt;=0.70,"Fair","Poor"))))</f>
        <v/>
      </c>
      <c r="AO857" s="12" t="n"/>
      <c r="AP857" s="12" t="n"/>
      <c r="AQ857" s="12" t="n"/>
      <c r="AR857" s="12" t="n"/>
      <c r="AS857" s="12" t="n"/>
      <c r="AT857" s="12" t="n"/>
      <c r="AU857" s="12" t="n"/>
      <c r="AV857" s="11" t="n"/>
      <c r="AW857" s="12" t="n"/>
      <c r="AX857" s="12" t="n"/>
      <c r="AY857" s="12" t="n"/>
      <c r="AZ857" s="12" t="n"/>
      <c r="BA857" s="12" t="n"/>
      <c r="BB857" s="12" t="n"/>
      <c r="BC857" s="12" t="n"/>
      <c r="BD857" s="12" t="n"/>
      <c r="BE857" s="12" t="n"/>
      <c r="BF857" s="12" t="n"/>
    </row>
    <row r="858">
      <c r="A858" s="7">
        <f>IF(B858="","","INS-"&amp;TEXT(ROW()-3,"000"))</f>
        <v/>
      </c>
      <c r="B858" s="11" t="n"/>
      <c r="C858" s="7">
        <f>IF(B858="","",ISOWEEKNUM(B858))</f>
        <v/>
      </c>
      <c r="D858" s="7">
        <f>IF(B858="","",TEXT(B858,"yyyy-mm"))</f>
        <v/>
      </c>
      <c r="E858" s="12" t="n"/>
      <c r="F858" s="12" t="n"/>
      <c r="G858" s="7">
        <f>IF(OR(E858="",F858=""),"",IF(COUNTIF(Cluster_Master!$I$3:$I$17,E858&amp;"|"&amp;F858)=1,"Valid","Review"))</f>
        <v/>
      </c>
      <c r="H858" s="7">
        <f>IF($G858&lt;&gt;"Valid","",VLOOKUP($E858&amp;"|"&amp;$F858,Cluster_Master!$I$3:$H$17,3,FALSE))</f>
        <v/>
      </c>
      <c r="I858" s="7">
        <f>IF($G858&lt;&gt;"Valid","",VLOOKUP($E858&amp;"|"&amp;$F858,Cluster_Master!$I$3:$H$17,4,FALSE))</f>
        <v/>
      </c>
      <c r="J858" s="7">
        <f>IF($G858&lt;&gt;"Valid","",VLOOKUP($E858&amp;"|"&amp;$F858,Cluster_Master!$I$3:$H$17,5,FALSE))</f>
        <v/>
      </c>
      <c r="K858" s="7">
        <f>IF($G858&lt;&gt;"Valid","",VLOOKUP($E858&amp;"|"&amp;$F858,Cluster_Master!$I$3:$H$17,6,FALSE))</f>
        <v/>
      </c>
      <c r="L858" s="7">
        <f>IF($G858&lt;&gt;"Valid","",VLOOKUP($E858&amp;"|"&amp;$F858,Cluster_Master!$I$3:$H$17,7,FALSE))</f>
        <v/>
      </c>
      <c r="M858" s="7">
        <f>IF($G858&lt;&gt;"Valid","",VLOOKUP($E858&amp;"|"&amp;$F858,Cluster_Master!$I$3:$H$17,8,FALSE))</f>
        <v/>
      </c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7">
        <f>IF(COUNT(T858:AH858)=0,"",SUM(T858:AH858))</f>
        <v/>
      </c>
      <c r="AJ858" s="10">
        <f>IF(AI858="","",AI858/75)</f>
        <v/>
      </c>
      <c r="AK858" s="10">
        <f>IF(AI858="","",SUMPRODUCT(T858:AH858,KPI_Weights!$B$3:$B$17)/5)</f>
        <v/>
      </c>
      <c r="AL858" s="7">
        <f>IF(COUNT(T858:AH858)=0,"",IF(OR(T858&lt;=1,W858&lt;=1,X858&lt;=1,Y858&lt;=1,AB858&lt;=1),"YES","NO"))</f>
        <v/>
      </c>
      <c r="AM858" s="7">
        <f>IF(AK858="","",IF(AND(AK858="NO",AJ858&gt;=0.85),"YES","NO"))</f>
        <v/>
      </c>
      <c r="AN858" s="7">
        <f>IF(AJ858="","",IF(AJ858&gt;=0.90,"Excellent",IF(AJ858&gt;=0.80,"Good",IF(AJ858&gt;=0.70,"Fair","Poor"))))</f>
        <v/>
      </c>
      <c r="AO858" s="12" t="n"/>
      <c r="AP858" s="12" t="n"/>
      <c r="AQ858" s="12" t="n"/>
      <c r="AR858" s="12" t="n"/>
      <c r="AS858" s="12" t="n"/>
      <c r="AT858" s="12" t="n"/>
      <c r="AU858" s="12" t="n"/>
      <c r="AV858" s="11" t="n"/>
      <c r="AW858" s="12" t="n"/>
      <c r="AX858" s="12" t="n"/>
      <c r="AY858" s="12" t="n"/>
      <c r="AZ858" s="12" t="n"/>
      <c r="BA858" s="12" t="n"/>
      <c r="BB858" s="12" t="n"/>
      <c r="BC858" s="12" t="n"/>
      <c r="BD858" s="12" t="n"/>
      <c r="BE858" s="12" t="n"/>
      <c r="BF858" s="12" t="n"/>
    </row>
    <row r="859">
      <c r="A859" s="7">
        <f>IF(B859="","","INS-"&amp;TEXT(ROW()-3,"000"))</f>
        <v/>
      </c>
      <c r="B859" s="11" t="n"/>
      <c r="C859" s="7">
        <f>IF(B859="","",ISOWEEKNUM(B859))</f>
        <v/>
      </c>
      <c r="D859" s="7">
        <f>IF(B859="","",TEXT(B859,"yyyy-mm"))</f>
        <v/>
      </c>
      <c r="E859" s="12" t="n"/>
      <c r="F859" s="12" t="n"/>
      <c r="G859" s="7">
        <f>IF(OR(E859="",F859=""),"",IF(COUNTIF(Cluster_Master!$I$3:$I$17,E859&amp;"|"&amp;F859)=1,"Valid","Review"))</f>
        <v/>
      </c>
      <c r="H859" s="7">
        <f>IF($G859&lt;&gt;"Valid","",VLOOKUP($E859&amp;"|"&amp;$F859,Cluster_Master!$I$3:$H$17,3,FALSE))</f>
        <v/>
      </c>
      <c r="I859" s="7">
        <f>IF($G859&lt;&gt;"Valid","",VLOOKUP($E859&amp;"|"&amp;$F859,Cluster_Master!$I$3:$H$17,4,FALSE))</f>
        <v/>
      </c>
      <c r="J859" s="7">
        <f>IF($G859&lt;&gt;"Valid","",VLOOKUP($E859&amp;"|"&amp;$F859,Cluster_Master!$I$3:$H$17,5,FALSE))</f>
        <v/>
      </c>
      <c r="K859" s="7">
        <f>IF($G859&lt;&gt;"Valid","",VLOOKUP($E859&amp;"|"&amp;$F859,Cluster_Master!$I$3:$H$17,6,FALSE))</f>
        <v/>
      </c>
      <c r="L859" s="7">
        <f>IF($G859&lt;&gt;"Valid","",VLOOKUP($E859&amp;"|"&amp;$F859,Cluster_Master!$I$3:$H$17,7,FALSE))</f>
        <v/>
      </c>
      <c r="M859" s="7">
        <f>IF($G859&lt;&gt;"Valid","",VLOOKUP($E859&amp;"|"&amp;$F859,Cluster_Master!$I$3:$H$17,8,FALSE))</f>
        <v/>
      </c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7">
        <f>IF(COUNT(T859:AH859)=0,"",SUM(T859:AH859))</f>
        <v/>
      </c>
      <c r="AJ859" s="10">
        <f>IF(AI859="","",AI859/75)</f>
        <v/>
      </c>
      <c r="AK859" s="10">
        <f>IF(AI859="","",SUMPRODUCT(T859:AH859,KPI_Weights!$B$3:$B$17)/5)</f>
        <v/>
      </c>
      <c r="AL859" s="7">
        <f>IF(COUNT(T859:AH859)=0,"",IF(OR(T859&lt;=1,W859&lt;=1,X859&lt;=1,Y859&lt;=1,AB859&lt;=1),"YES","NO"))</f>
        <v/>
      </c>
      <c r="AM859" s="7">
        <f>IF(AK859="","",IF(AND(AK859="NO",AJ859&gt;=0.85),"YES","NO"))</f>
        <v/>
      </c>
      <c r="AN859" s="7">
        <f>IF(AJ859="","",IF(AJ859&gt;=0.90,"Excellent",IF(AJ859&gt;=0.80,"Good",IF(AJ859&gt;=0.70,"Fair","Poor"))))</f>
        <v/>
      </c>
      <c r="AO859" s="12" t="n"/>
      <c r="AP859" s="12" t="n"/>
      <c r="AQ859" s="12" t="n"/>
      <c r="AR859" s="12" t="n"/>
      <c r="AS859" s="12" t="n"/>
      <c r="AT859" s="12" t="n"/>
      <c r="AU859" s="12" t="n"/>
      <c r="AV859" s="11" t="n"/>
      <c r="AW859" s="12" t="n"/>
      <c r="AX859" s="12" t="n"/>
      <c r="AY859" s="12" t="n"/>
      <c r="AZ859" s="12" t="n"/>
      <c r="BA859" s="12" t="n"/>
      <c r="BB859" s="12" t="n"/>
      <c r="BC859" s="12" t="n"/>
      <c r="BD859" s="12" t="n"/>
      <c r="BE859" s="12" t="n"/>
      <c r="BF859" s="12" t="n"/>
    </row>
    <row r="860">
      <c r="A860" s="7">
        <f>IF(B860="","","INS-"&amp;TEXT(ROW()-3,"000"))</f>
        <v/>
      </c>
      <c r="B860" s="11" t="n"/>
      <c r="C860" s="7">
        <f>IF(B860="","",ISOWEEKNUM(B860))</f>
        <v/>
      </c>
      <c r="D860" s="7">
        <f>IF(B860="","",TEXT(B860,"yyyy-mm"))</f>
        <v/>
      </c>
      <c r="E860" s="12" t="n"/>
      <c r="F860" s="12" t="n"/>
      <c r="G860" s="7">
        <f>IF(OR(E860="",F860=""),"",IF(COUNTIF(Cluster_Master!$I$3:$I$17,E860&amp;"|"&amp;F860)=1,"Valid","Review"))</f>
        <v/>
      </c>
      <c r="H860" s="7">
        <f>IF($G860&lt;&gt;"Valid","",VLOOKUP($E860&amp;"|"&amp;$F860,Cluster_Master!$I$3:$H$17,3,FALSE))</f>
        <v/>
      </c>
      <c r="I860" s="7">
        <f>IF($G860&lt;&gt;"Valid","",VLOOKUP($E860&amp;"|"&amp;$F860,Cluster_Master!$I$3:$H$17,4,FALSE))</f>
        <v/>
      </c>
      <c r="J860" s="7">
        <f>IF($G860&lt;&gt;"Valid","",VLOOKUP($E860&amp;"|"&amp;$F860,Cluster_Master!$I$3:$H$17,5,FALSE))</f>
        <v/>
      </c>
      <c r="K860" s="7">
        <f>IF($G860&lt;&gt;"Valid","",VLOOKUP($E860&amp;"|"&amp;$F860,Cluster_Master!$I$3:$H$17,6,FALSE))</f>
        <v/>
      </c>
      <c r="L860" s="7">
        <f>IF($G860&lt;&gt;"Valid","",VLOOKUP($E860&amp;"|"&amp;$F860,Cluster_Master!$I$3:$H$17,7,FALSE))</f>
        <v/>
      </c>
      <c r="M860" s="7">
        <f>IF($G860&lt;&gt;"Valid","",VLOOKUP($E860&amp;"|"&amp;$F860,Cluster_Master!$I$3:$H$17,8,FALSE))</f>
        <v/>
      </c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7">
        <f>IF(COUNT(T860:AH860)=0,"",SUM(T860:AH860))</f>
        <v/>
      </c>
      <c r="AJ860" s="10">
        <f>IF(AI860="","",AI860/75)</f>
        <v/>
      </c>
      <c r="AK860" s="10">
        <f>IF(AI860="","",SUMPRODUCT(T860:AH860,KPI_Weights!$B$3:$B$17)/5)</f>
        <v/>
      </c>
      <c r="AL860" s="7">
        <f>IF(COUNT(T860:AH860)=0,"",IF(OR(T860&lt;=1,W860&lt;=1,X860&lt;=1,Y860&lt;=1,AB860&lt;=1),"YES","NO"))</f>
        <v/>
      </c>
      <c r="AM860" s="7">
        <f>IF(AK860="","",IF(AND(AK860="NO",AJ860&gt;=0.85),"YES","NO"))</f>
        <v/>
      </c>
      <c r="AN860" s="7">
        <f>IF(AJ860="","",IF(AJ860&gt;=0.90,"Excellent",IF(AJ860&gt;=0.80,"Good",IF(AJ860&gt;=0.70,"Fair","Poor"))))</f>
        <v/>
      </c>
      <c r="AO860" s="12" t="n"/>
      <c r="AP860" s="12" t="n"/>
      <c r="AQ860" s="12" t="n"/>
      <c r="AR860" s="12" t="n"/>
      <c r="AS860" s="12" t="n"/>
      <c r="AT860" s="12" t="n"/>
      <c r="AU860" s="12" t="n"/>
      <c r="AV860" s="11" t="n"/>
      <c r="AW860" s="12" t="n"/>
      <c r="AX860" s="12" t="n"/>
      <c r="AY860" s="12" t="n"/>
      <c r="AZ860" s="12" t="n"/>
      <c r="BA860" s="12" t="n"/>
      <c r="BB860" s="12" t="n"/>
      <c r="BC860" s="12" t="n"/>
      <c r="BD860" s="12" t="n"/>
      <c r="BE860" s="12" t="n"/>
      <c r="BF860" s="12" t="n"/>
    </row>
    <row r="861">
      <c r="A861" s="7">
        <f>IF(B861="","","INS-"&amp;TEXT(ROW()-3,"000"))</f>
        <v/>
      </c>
      <c r="B861" s="11" t="n"/>
      <c r="C861" s="7">
        <f>IF(B861="","",ISOWEEKNUM(B861))</f>
        <v/>
      </c>
      <c r="D861" s="7">
        <f>IF(B861="","",TEXT(B861,"yyyy-mm"))</f>
        <v/>
      </c>
      <c r="E861" s="12" t="n"/>
      <c r="F861" s="12" t="n"/>
      <c r="G861" s="7">
        <f>IF(OR(E861="",F861=""),"",IF(COUNTIF(Cluster_Master!$I$3:$I$17,E861&amp;"|"&amp;F861)=1,"Valid","Review"))</f>
        <v/>
      </c>
      <c r="H861" s="7">
        <f>IF($G861&lt;&gt;"Valid","",VLOOKUP($E861&amp;"|"&amp;$F861,Cluster_Master!$I$3:$H$17,3,FALSE))</f>
        <v/>
      </c>
      <c r="I861" s="7">
        <f>IF($G861&lt;&gt;"Valid","",VLOOKUP($E861&amp;"|"&amp;$F861,Cluster_Master!$I$3:$H$17,4,FALSE))</f>
        <v/>
      </c>
      <c r="J861" s="7">
        <f>IF($G861&lt;&gt;"Valid","",VLOOKUP($E861&amp;"|"&amp;$F861,Cluster_Master!$I$3:$H$17,5,FALSE))</f>
        <v/>
      </c>
      <c r="K861" s="7">
        <f>IF($G861&lt;&gt;"Valid","",VLOOKUP($E861&amp;"|"&amp;$F861,Cluster_Master!$I$3:$H$17,6,FALSE))</f>
        <v/>
      </c>
      <c r="L861" s="7">
        <f>IF($G861&lt;&gt;"Valid","",VLOOKUP($E861&amp;"|"&amp;$F861,Cluster_Master!$I$3:$H$17,7,FALSE))</f>
        <v/>
      </c>
      <c r="M861" s="7">
        <f>IF($G861&lt;&gt;"Valid","",VLOOKUP($E861&amp;"|"&amp;$F861,Cluster_Master!$I$3:$H$17,8,FALSE))</f>
        <v/>
      </c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7">
        <f>IF(COUNT(T861:AH861)=0,"",SUM(T861:AH861))</f>
        <v/>
      </c>
      <c r="AJ861" s="10">
        <f>IF(AI861="","",AI861/75)</f>
        <v/>
      </c>
      <c r="AK861" s="10">
        <f>IF(AI861="","",SUMPRODUCT(T861:AH861,KPI_Weights!$B$3:$B$17)/5)</f>
        <v/>
      </c>
      <c r="AL861" s="7">
        <f>IF(COUNT(T861:AH861)=0,"",IF(OR(T861&lt;=1,W861&lt;=1,X861&lt;=1,Y861&lt;=1,AB861&lt;=1),"YES","NO"))</f>
        <v/>
      </c>
      <c r="AM861" s="7">
        <f>IF(AK861="","",IF(AND(AK861="NO",AJ861&gt;=0.85),"YES","NO"))</f>
        <v/>
      </c>
      <c r="AN861" s="7">
        <f>IF(AJ861="","",IF(AJ861&gt;=0.90,"Excellent",IF(AJ861&gt;=0.80,"Good",IF(AJ861&gt;=0.70,"Fair","Poor"))))</f>
        <v/>
      </c>
      <c r="AO861" s="12" t="n"/>
      <c r="AP861" s="12" t="n"/>
      <c r="AQ861" s="12" t="n"/>
      <c r="AR861" s="12" t="n"/>
      <c r="AS861" s="12" t="n"/>
      <c r="AT861" s="12" t="n"/>
      <c r="AU861" s="12" t="n"/>
      <c r="AV861" s="11" t="n"/>
      <c r="AW861" s="12" t="n"/>
      <c r="AX861" s="12" t="n"/>
      <c r="AY861" s="12" t="n"/>
      <c r="AZ861" s="12" t="n"/>
      <c r="BA861" s="12" t="n"/>
      <c r="BB861" s="12" t="n"/>
      <c r="BC861" s="12" t="n"/>
      <c r="BD861" s="12" t="n"/>
      <c r="BE861" s="12" t="n"/>
      <c r="BF861" s="12" t="n"/>
    </row>
    <row r="862">
      <c r="A862" s="7">
        <f>IF(B862="","","INS-"&amp;TEXT(ROW()-3,"000"))</f>
        <v/>
      </c>
      <c r="B862" s="11" t="n"/>
      <c r="C862" s="7">
        <f>IF(B862="","",ISOWEEKNUM(B862))</f>
        <v/>
      </c>
      <c r="D862" s="7">
        <f>IF(B862="","",TEXT(B862,"yyyy-mm"))</f>
        <v/>
      </c>
      <c r="E862" s="12" t="n"/>
      <c r="F862" s="12" t="n"/>
      <c r="G862" s="7">
        <f>IF(OR(E862="",F862=""),"",IF(COUNTIF(Cluster_Master!$I$3:$I$17,E862&amp;"|"&amp;F862)=1,"Valid","Review"))</f>
        <v/>
      </c>
      <c r="H862" s="7">
        <f>IF($G862&lt;&gt;"Valid","",VLOOKUP($E862&amp;"|"&amp;$F862,Cluster_Master!$I$3:$H$17,3,FALSE))</f>
        <v/>
      </c>
      <c r="I862" s="7">
        <f>IF($G862&lt;&gt;"Valid","",VLOOKUP($E862&amp;"|"&amp;$F862,Cluster_Master!$I$3:$H$17,4,FALSE))</f>
        <v/>
      </c>
      <c r="J862" s="7">
        <f>IF($G862&lt;&gt;"Valid","",VLOOKUP($E862&amp;"|"&amp;$F862,Cluster_Master!$I$3:$H$17,5,FALSE))</f>
        <v/>
      </c>
      <c r="K862" s="7">
        <f>IF($G862&lt;&gt;"Valid","",VLOOKUP($E862&amp;"|"&amp;$F862,Cluster_Master!$I$3:$H$17,6,FALSE))</f>
        <v/>
      </c>
      <c r="L862" s="7">
        <f>IF($G862&lt;&gt;"Valid","",VLOOKUP($E862&amp;"|"&amp;$F862,Cluster_Master!$I$3:$H$17,7,FALSE))</f>
        <v/>
      </c>
      <c r="M862" s="7">
        <f>IF($G862&lt;&gt;"Valid","",VLOOKUP($E862&amp;"|"&amp;$F862,Cluster_Master!$I$3:$H$17,8,FALSE))</f>
        <v/>
      </c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7">
        <f>IF(COUNT(T862:AH862)=0,"",SUM(T862:AH862))</f>
        <v/>
      </c>
      <c r="AJ862" s="10">
        <f>IF(AI862="","",AI862/75)</f>
        <v/>
      </c>
      <c r="AK862" s="10">
        <f>IF(AI862="","",SUMPRODUCT(T862:AH862,KPI_Weights!$B$3:$B$17)/5)</f>
        <v/>
      </c>
      <c r="AL862" s="7">
        <f>IF(COUNT(T862:AH862)=0,"",IF(OR(T862&lt;=1,W862&lt;=1,X862&lt;=1,Y862&lt;=1,AB862&lt;=1),"YES","NO"))</f>
        <v/>
      </c>
      <c r="AM862" s="7">
        <f>IF(AK862="","",IF(AND(AK862="NO",AJ862&gt;=0.85),"YES","NO"))</f>
        <v/>
      </c>
      <c r="AN862" s="7">
        <f>IF(AJ862="","",IF(AJ862&gt;=0.90,"Excellent",IF(AJ862&gt;=0.80,"Good",IF(AJ862&gt;=0.70,"Fair","Poor"))))</f>
        <v/>
      </c>
      <c r="AO862" s="12" t="n"/>
      <c r="AP862" s="12" t="n"/>
      <c r="AQ862" s="12" t="n"/>
      <c r="AR862" s="12" t="n"/>
      <c r="AS862" s="12" t="n"/>
      <c r="AT862" s="12" t="n"/>
      <c r="AU862" s="12" t="n"/>
      <c r="AV862" s="11" t="n"/>
      <c r="AW862" s="12" t="n"/>
      <c r="AX862" s="12" t="n"/>
      <c r="AY862" s="12" t="n"/>
      <c r="AZ862" s="12" t="n"/>
      <c r="BA862" s="12" t="n"/>
      <c r="BB862" s="12" t="n"/>
      <c r="BC862" s="12" t="n"/>
      <c r="BD862" s="12" t="n"/>
      <c r="BE862" s="12" t="n"/>
      <c r="BF862" s="12" t="n"/>
    </row>
    <row r="863">
      <c r="A863" s="7">
        <f>IF(B863="","","INS-"&amp;TEXT(ROW()-3,"000"))</f>
        <v/>
      </c>
      <c r="B863" s="11" t="n"/>
      <c r="C863" s="7">
        <f>IF(B863="","",ISOWEEKNUM(B863))</f>
        <v/>
      </c>
      <c r="D863" s="7">
        <f>IF(B863="","",TEXT(B863,"yyyy-mm"))</f>
        <v/>
      </c>
      <c r="E863" s="12" t="n"/>
      <c r="F863" s="12" t="n"/>
      <c r="G863" s="7">
        <f>IF(OR(E863="",F863=""),"",IF(COUNTIF(Cluster_Master!$I$3:$I$17,E863&amp;"|"&amp;F863)=1,"Valid","Review"))</f>
        <v/>
      </c>
      <c r="H863" s="7">
        <f>IF($G863&lt;&gt;"Valid","",VLOOKUP($E863&amp;"|"&amp;$F863,Cluster_Master!$I$3:$H$17,3,FALSE))</f>
        <v/>
      </c>
      <c r="I863" s="7">
        <f>IF($G863&lt;&gt;"Valid","",VLOOKUP($E863&amp;"|"&amp;$F863,Cluster_Master!$I$3:$H$17,4,FALSE))</f>
        <v/>
      </c>
      <c r="J863" s="7">
        <f>IF($G863&lt;&gt;"Valid","",VLOOKUP($E863&amp;"|"&amp;$F863,Cluster_Master!$I$3:$H$17,5,FALSE))</f>
        <v/>
      </c>
      <c r="K863" s="7">
        <f>IF($G863&lt;&gt;"Valid","",VLOOKUP($E863&amp;"|"&amp;$F863,Cluster_Master!$I$3:$H$17,6,FALSE))</f>
        <v/>
      </c>
      <c r="L863" s="7">
        <f>IF($G863&lt;&gt;"Valid","",VLOOKUP($E863&amp;"|"&amp;$F863,Cluster_Master!$I$3:$H$17,7,FALSE))</f>
        <v/>
      </c>
      <c r="M863" s="7">
        <f>IF($G863&lt;&gt;"Valid","",VLOOKUP($E863&amp;"|"&amp;$F863,Cluster_Master!$I$3:$H$17,8,FALSE))</f>
        <v/>
      </c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7">
        <f>IF(COUNT(T863:AH863)=0,"",SUM(T863:AH863))</f>
        <v/>
      </c>
      <c r="AJ863" s="10">
        <f>IF(AI863="","",AI863/75)</f>
        <v/>
      </c>
      <c r="AK863" s="10">
        <f>IF(AI863="","",SUMPRODUCT(T863:AH863,KPI_Weights!$B$3:$B$17)/5)</f>
        <v/>
      </c>
      <c r="AL863" s="7">
        <f>IF(COUNT(T863:AH863)=0,"",IF(OR(T863&lt;=1,W863&lt;=1,X863&lt;=1,Y863&lt;=1,AB863&lt;=1),"YES","NO"))</f>
        <v/>
      </c>
      <c r="AM863" s="7">
        <f>IF(AK863="","",IF(AND(AK863="NO",AJ863&gt;=0.85),"YES","NO"))</f>
        <v/>
      </c>
      <c r="AN863" s="7">
        <f>IF(AJ863="","",IF(AJ863&gt;=0.90,"Excellent",IF(AJ863&gt;=0.80,"Good",IF(AJ863&gt;=0.70,"Fair","Poor"))))</f>
        <v/>
      </c>
      <c r="AO863" s="12" t="n"/>
      <c r="AP863" s="12" t="n"/>
      <c r="AQ863" s="12" t="n"/>
      <c r="AR863" s="12" t="n"/>
      <c r="AS863" s="12" t="n"/>
      <c r="AT863" s="12" t="n"/>
      <c r="AU863" s="12" t="n"/>
      <c r="AV863" s="11" t="n"/>
      <c r="AW863" s="12" t="n"/>
      <c r="AX863" s="12" t="n"/>
      <c r="AY863" s="12" t="n"/>
      <c r="AZ863" s="12" t="n"/>
      <c r="BA863" s="12" t="n"/>
      <c r="BB863" s="12" t="n"/>
      <c r="BC863" s="12" t="n"/>
      <c r="BD863" s="12" t="n"/>
      <c r="BE863" s="12" t="n"/>
      <c r="BF863" s="12" t="n"/>
    </row>
    <row r="864">
      <c r="A864" s="7">
        <f>IF(B864="","","INS-"&amp;TEXT(ROW()-3,"000"))</f>
        <v/>
      </c>
      <c r="B864" s="11" t="n"/>
      <c r="C864" s="7">
        <f>IF(B864="","",ISOWEEKNUM(B864))</f>
        <v/>
      </c>
      <c r="D864" s="7">
        <f>IF(B864="","",TEXT(B864,"yyyy-mm"))</f>
        <v/>
      </c>
      <c r="E864" s="12" t="n"/>
      <c r="F864" s="12" t="n"/>
      <c r="G864" s="7">
        <f>IF(OR(E864="",F864=""),"",IF(COUNTIF(Cluster_Master!$I$3:$I$17,E864&amp;"|"&amp;F864)=1,"Valid","Review"))</f>
        <v/>
      </c>
      <c r="H864" s="7">
        <f>IF($G864&lt;&gt;"Valid","",VLOOKUP($E864&amp;"|"&amp;$F864,Cluster_Master!$I$3:$H$17,3,FALSE))</f>
        <v/>
      </c>
      <c r="I864" s="7">
        <f>IF($G864&lt;&gt;"Valid","",VLOOKUP($E864&amp;"|"&amp;$F864,Cluster_Master!$I$3:$H$17,4,FALSE))</f>
        <v/>
      </c>
      <c r="J864" s="7">
        <f>IF($G864&lt;&gt;"Valid","",VLOOKUP($E864&amp;"|"&amp;$F864,Cluster_Master!$I$3:$H$17,5,FALSE))</f>
        <v/>
      </c>
      <c r="K864" s="7">
        <f>IF($G864&lt;&gt;"Valid","",VLOOKUP($E864&amp;"|"&amp;$F864,Cluster_Master!$I$3:$H$17,6,FALSE))</f>
        <v/>
      </c>
      <c r="L864" s="7">
        <f>IF($G864&lt;&gt;"Valid","",VLOOKUP($E864&amp;"|"&amp;$F864,Cluster_Master!$I$3:$H$17,7,FALSE))</f>
        <v/>
      </c>
      <c r="M864" s="7">
        <f>IF($G864&lt;&gt;"Valid","",VLOOKUP($E864&amp;"|"&amp;$F864,Cluster_Master!$I$3:$H$17,8,FALSE))</f>
        <v/>
      </c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7">
        <f>IF(COUNT(T864:AH864)=0,"",SUM(T864:AH864))</f>
        <v/>
      </c>
      <c r="AJ864" s="10">
        <f>IF(AI864="","",AI864/75)</f>
        <v/>
      </c>
      <c r="AK864" s="10">
        <f>IF(AI864="","",SUMPRODUCT(T864:AH864,KPI_Weights!$B$3:$B$17)/5)</f>
        <v/>
      </c>
      <c r="AL864" s="7">
        <f>IF(COUNT(T864:AH864)=0,"",IF(OR(T864&lt;=1,W864&lt;=1,X864&lt;=1,Y864&lt;=1,AB864&lt;=1),"YES","NO"))</f>
        <v/>
      </c>
      <c r="AM864" s="7">
        <f>IF(AK864="","",IF(AND(AK864="NO",AJ864&gt;=0.85),"YES","NO"))</f>
        <v/>
      </c>
      <c r="AN864" s="7">
        <f>IF(AJ864="","",IF(AJ864&gt;=0.90,"Excellent",IF(AJ864&gt;=0.80,"Good",IF(AJ864&gt;=0.70,"Fair","Poor"))))</f>
        <v/>
      </c>
      <c r="AO864" s="12" t="n"/>
      <c r="AP864" s="12" t="n"/>
      <c r="AQ864" s="12" t="n"/>
      <c r="AR864" s="12" t="n"/>
      <c r="AS864" s="12" t="n"/>
      <c r="AT864" s="12" t="n"/>
      <c r="AU864" s="12" t="n"/>
      <c r="AV864" s="11" t="n"/>
      <c r="AW864" s="12" t="n"/>
      <c r="AX864" s="12" t="n"/>
      <c r="AY864" s="12" t="n"/>
      <c r="AZ864" s="12" t="n"/>
      <c r="BA864" s="12" t="n"/>
      <c r="BB864" s="12" t="n"/>
      <c r="BC864" s="12" t="n"/>
      <c r="BD864" s="12" t="n"/>
      <c r="BE864" s="12" t="n"/>
      <c r="BF864" s="12" t="n"/>
    </row>
    <row r="865">
      <c r="A865" s="7">
        <f>IF(B865="","","INS-"&amp;TEXT(ROW()-3,"000"))</f>
        <v/>
      </c>
      <c r="B865" s="11" t="n"/>
      <c r="C865" s="7">
        <f>IF(B865="","",ISOWEEKNUM(B865))</f>
        <v/>
      </c>
      <c r="D865" s="7">
        <f>IF(B865="","",TEXT(B865,"yyyy-mm"))</f>
        <v/>
      </c>
      <c r="E865" s="12" t="n"/>
      <c r="F865" s="12" t="n"/>
      <c r="G865" s="7">
        <f>IF(OR(E865="",F865=""),"",IF(COUNTIF(Cluster_Master!$I$3:$I$17,E865&amp;"|"&amp;F865)=1,"Valid","Review"))</f>
        <v/>
      </c>
      <c r="H865" s="7">
        <f>IF($G865&lt;&gt;"Valid","",VLOOKUP($E865&amp;"|"&amp;$F865,Cluster_Master!$I$3:$H$17,3,FALSE))</f>
        <v/>
      </c>
      <c r="I865" s="7">
        <f>IF($G865&lt;&gt;"Valid","",VLOOKUP($E865&amp;"|"&amp;$F865,Cluster_Master!$I$3:$H$17,4,FALSE))</f>
        <v/>
      </c>
      <c r="J865" s="7">
        <f>IF($G865&lt;&gt;"Valid","",VLOOKUP($E865&amp;"|"&amp;$F865,Cluster_Master!$I$3:$H$17,5,FALSE))</f>
        <v/>
      </c>
      <c r="K865" s="7">
        <f>IF($G865&lt;&gt;"Valid","",VLOOKUP($E865&amp;"|"&amp;$F865,Cluster_Master!$I$3:$H$17,6,FALSE))</f>
        <v/>
      </c>
      <c r="L865" s="7">
        <f>IF($G865&lt;&gt;"Valid","",VLOOKUP($E865&amp;"|"&amp;$F865,Cluster_Master!$I$3:$H$17,7,FALSE))</f>
        <v/>
      </c>
      <c r="M865" s="7">
        <f>IF($G865&lt;&gt;"Valid","",VLOOKUP($E865&amp;"|"&amp;$F865,Cluster_Master!$I$3:$H$17,8,FALSE))</f>
        <v/>
      </c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7">
        <f>IF(COUNT(T865:AH865)=0,"",SUM(T865:AH865))</f>
        <v/>
      </c>
      <c r="AJ865" s="10">
        <f>IF(AI865="","",AI865/75)</f>
        <v/>
      </c>
      <c r="AK865" s="10">
        <f>IF(AI865="","",SUMPRODUCT(T865:AH865,KPI_Weights!$B$3:$B$17)/5)</f>
        <v/>
      </c>
      <c r="AL865" s="7">
        <f>IF(COUNT(T865:AH865)=0,"",IF(OR(T865&lt;=1,W865&lt;=1,X865&lt;=1,Y865&lt;=1,AB865&lt;=1),"YES","NO"))</f>
        <v/>
      </c>
      <c r="AM865" s="7">
        <f>IF(AK865="","",IF(AND(AK865="NO",AJ865&gt;=0.85),"YES","NO"))</f>
        <v/>
      </c>
      <c r="AN865" s="7">
        <f>IF(AJ865="","",IF(AJ865&gt;=0.90,"Excellent",IF(AJ865&gt;=0.80,"Good",IF(AJ865&gt;=0.70,"Fair","Poor"))))</f>
        <v/>
      </c>
      <c r="AO865" s="12" t="n"/>
      <c r="AP865" s="12" t="n"/>
      <c r="AQ865" s="12" t="n"/>
      <c r="AR865" s="12" t="n"/>
      <c r="AS865" s="12" t="n"/>
      <c r="AT865" s="12" t="n"/>
      <c r="AU865" s="12" t="n"/>
      <c r="AV865" s="11" t="n"/>
      <c r="AW865" s="12" t="n"/>
      <c r="AX865" s="12" t="n"/>
      <c r="AY865" s="12" t="n"/>
      <c r="AZ865" s="12" t="n"/>
      <c r="BA865" s="12" t="n"/>
      <c r="BB865" s="12" t="n"/>
      <c r="BC865" s="12" t="n"/>
      <c r="BD865" s="12" t="n"/>
      <c r="BE865" s="12" t="n"/>
      <c r="BF865" s="12" t="n"/>
    </row>
    <row r="866">
      <c r="A866" s="7">
        <f>IF(B866="","","INS-"&amp;TEXT(ROW()-3,"000"))</f>
        <v/>
      </c>
      <c r="B866" s="11" t="n"/>
      <c r="C866" s="7">
        <f>IF(B866="","",ISOWEEKNUM(B866))</f>
        <v/>
      </c>
      <c r="D866" s="7">
        <f>IF(B866="","",TEXT(B866,"yyyy-mm"))</f>
        <v/>
      </c>
      <c r="E866" s="12" t="n"/>
      <c r="F866" s="12" t="n"/>
      <c r="G866" s="7">
        <f>IF(OR(E866="",F866=""),"",IF(COUNTIF(Cluster_Master!$I$3:$I$17,E866&amp;"|"&amp;F866)=1,"Valid","Review"))</f>
        <v/>
      </c>
      <c r="H866" s="7">
        <f>IF($G866&lt;&gt;"Valid","",VLOOKUP($E866&amp;"|"&amp;$F866,Cluster_Master!$I$3:$H$17,3,FALSE))</f>
        <v/>
      </c>
      <c r="I866" s="7">
        <f>IF($G866&lt;&gt;"Valid","",VLOOKUP($E866&amp;"|"&amp;$F866,Cluster_Master!$I$3:$H$17,4,FALSE))</f>
        <v/>
      </c>
      <c r="J866" s="7">
        <f>IF($G866&lt;&gt;"Valid","",VLOOKUP($E866&amp;"|"&amp;$F866,Cluster_Master!$I$3:$H$17,5,FALSE))</f>
        <v/>
      </c>
      <c r="K866" s="7">
        <f>IF($G866&lt;&gt;"Valid","",VLOOKUP($E866&amp;"|"&amp;$F866,Cluster_Master!$I$3:$H$17,6,FALSE))</f>
        <v/>
      </c>
      <c r="L866" s="7">
        <f>IF($G866&lt;&gt;"Valid","",VLOOKUP($E866&amp;"|"&amp;$F866,Cluster_Master!$I$3:$H$17,7,FALSE))</f>
        <v/>
      </c>
      <c r="M866" s="7">
        <f>IF($G866&lt;&gt;"Valid","",VLOOKUP($E866&amp;"|"&amp;$F866,Cluster_Master!$I$3:$H$17,8,FALSE))</f>
        <v/>
      </c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7">
        <f>IF(COUNT(T866:AH866)=0,"",SUM(T866:AH866))</f>
        <v/>
      </c>
      <c r="AJ866" s="10">
        <f>IF(AI866="","",AI866/75)</f>
        <v/>
      </c>
      <c r="AK866" s="10">
        <f>IF(AI866="","",SUMPRODUCT(T866:AH866,KPI_Weights!$B$3:$B$17)/5)</f>
        <v/>
      </c>
      <c r="AL866" s="7">
        <f>IF(COUNT(T866:AH866)=0,"",IF(OR(T866&lt;=1,W866&lt;=1,X866&lt;=1,Y866&lt;=1,AB866&lt;=1),"YES","NO"))</f>
        <v/>
      </c>
      <c r="AM866" s="7">
        <f>IF(AK866="","",IF(AND(AK866="NO",AJ866&gt;=0.85),"YES","NO"))</f>
        <v/>
      </c>
      <c r="AN866" s="7">
        <f>IF(AJ866="","",IF(AJ866&gt;=0.90,"Excellent",IF(AJ866&gt;=0.80,"Good",IF(AJ866&gt;=0.70,"Fair","Poor"))))</f>
        <v/>
      </c>
      <c r="AO866" s="12" t="n"/>
      <c r="AP866" s="12" t="n"/>
      <c r="AQ866" s="12" t="n"/>
      <c r="AR866" s="12" t="n"/>
      <c r="AS866" s="12" t="n"/>
      <c r="AT866" s="12" t="n"/>
      <c r="AU866" s="12" t="n"/>
      <c r="AV866" s="11" t="n"/>
      <c r="AW866" s="12" t="n"/>
      <c r="AX866" s="12" t="n"/>
      <c r="AY866" s="12" t="n"/>
      <c r="AZ866" s="12" t="n"/>
      <c r="BA866" s="12" t="n"/>
      <c r="BB866" s="12" t="n"/>
      <c r="BC866" s="12" t="n"/>
      <c r="BD866" s="12" t="n"/>
      <c r="BE866" s="12" t="n"/>
      <c r="BF866" s="12" t="n"/>
    </row>
    <row r="867">
      <c r="A867" s="7">
        <f>IF(B867="","","INS-"&amp;TEXT(ROW()-3,"000"))</f>
        <v/>
      </c>
      <c r="B867" s="11" t="n"/>
      <c r="C867" s="7">
        <f>IF(B867="","",ISOWEEKNUM(B867))</f>
        <v/>
      </c>
      <c r="D867" s="7">
        <f>IF(B867="","",TEXT(B867,"yyyy-mm"))</f>
        <v/>
      </c>
      <c r="E867" s="12" t="n"/>
      <c r="F867" s="12" t="n"/>
      <c r="G867" s="7">
        <f>IF(OR(E867="",F867=""),"",IF(COUNTIF(Cluster_Master!$I$3:$I$17,E867&amp;"|"&amp;F867)=1,"Valid","Review"))</f>
        <v/>
      </c>
      <c r="H867" s="7">
        <f>IF($G867&lt;&gt;"Valid","",VLOOKUP($E867&amp;"|"&amp;$F867,Cluster_Master!$I$3:$H$17,3,FALSE))</f>
        <v/>
      </c>
      <c r="I867" s="7">
        <f>IF($G867&lt;&gt;"Valid","",VLOOKUP($E867&amp;"|"&amp;$F867,Cluster_Master!$I$3:$H$17,4,FALSE))</f>
        <v/>
      </c>
      <c r="J867" s="7">
        <f>IF($G867&lt;&gt;"Valid","",VLOOKUP($E867&amp;"|"&amp;$F867,Cluster_Master!$I$3:$H$17,5,FALSE))</f>
        <v/>
      </c>
      <c r="K867" s="7">
        <f>IF($G867&lt;&gt;"Valid","",VLOOKUP($E867&amp;"|"&amp;$F867,Cluster_Master!$I$3:$H$17,6,FALSE))</f>
        <v/>
      </c>
      <c r="L867" s="7">
        <f>IF($G867&lt;&gt;"Valid","",VLOOKUP($E867&amp;"|"&amp;$F867,Cluster_Master!$I$3:$H$17,7,FALSE))</f>
        <v/>
      </c>
      <c r="M867" s="7">
        <f>IF($G867&lt;&gt;"Valid","",VLOOKUP($E867&amp;"|"&amp;$F867,Cluster_Master!$I$3:$H$17,8,FALSE))</f>
        <v/>
      </c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7">
        <f>IF(COUNT(T867:AH867)=0,"",SUM(T867:AH867))</f>
        <v/>
      </c>
      <c r="AJ867" s="10">
        <f>IF(AI867="","",AI867/75)</f>
        <v/>
      </c>
      <c r="AK867" s="10">
        <f>IF(AI867="","",SUMPRODUCT(T867:AH867,KPI_Weights!$B$3:$B$17)/5)</f>
        <v/>
      </c>
      <c r="AL867" s="7">
        <f>IF(COUNT(T867:AH867)=0,"",IF(OR(T867&lt;=1,W867&lt;=1,X867&lt;=1,Y867&lt;=1,AB867&lt;=1),"YES","NO"))</f>
        <v/>
      </c>
      <c r="AM867" s="7">
        <f>IF(AK867="","",IF(AND(AK867="NO",AJ867&gt;=0.85),"YES","NO"))</f>
        <v/>
      </c>
      <c r="AN867" s="7">
        <f>IF(AJ867="","",IF(AJ867&gt;=0.90,"Excellent",IF(AJ867&gt;=0.80,"Good",IF(AJ867&gt;=0.70,"Fair","Poor"))))</f>
        <v/>
      </c>
      <c r="AO867" s="12" t="n"/>
      <c r="AP867" s="12" t="n"/>
      <c r="AQ867" s="12" t="n"/>
      <c r="AR867" s="12" t="n"/>
      <c r="AS867" s="12" t="n"/>
      <c r="AT867" s="12" t="n"/>
      <c r="AU867" s="12" t="n"/>
      <c r="AV867" s="11" t="n"/>
      <c r="AW867" s="12" t="n"/>
      <c r="AX867" s="12" t="n"/>
      <c r="AY867" s="12" t="n"/>
      <c r="AZ867" s="12" t="n"/>
      <c r="BA867" s="12" t="n"/>
      <c r="BB867" s="12" t="n"/>
      <c r="BC867" s="12" t="n"/>
      <c r="BD867" s="12" t="n"/>
      <c r="BE867" s="12" t="n"/>
      <c r="BF867" s="12" t="n"/>
    </row>
    <row r="868">
      <c r="A868" s="7">
        <f>IF(B868="","","INS-"&amp;TEXT(ROW()-3,"000"))</f>
        <v/>
      </c>
      <c r="B868" s="11" t="n"/>
      <c r="C868" s="7">
        <f>IF(B868="","",ISOWEEKNUM(B868))</f>
        <v/>
      </c>
      <c r="D868" s="7">
        <f>IF(B868="","",TEXT(B868,"yyyy-mm"))</f>
        <v/>
      </c>
      <c r="E868" s="12" t="n"/>
      <c r="F868" s="12" t="n"/>
      <c r="G868" s="7">
        <f>IF(OR(E868="",F868=""),"",IF(COUNTIF(Cluster_Master!$I$3:$I$17,E868&amp;"|"&amp;F868)=1,"Valid","Review"))</f>
        <v/>
      </c>
      <c r="H868" s="7">
        <f>IF($G868&lt;&gt;"Valid","",VLOOKUP($E868&amp;"|"&amp;$F868,Cluster_Master!$I$3:$H$17,3,FALSE))</f>
        <v/>
      </c>
      <c r="I868" s="7">
        <f>IF($G868&lt;&gt;"Valid","",VLOOKUP($E868&amp;"|"&amp;$F868,Cluster_Master!$I$3:$H$17,4,FALSE))</f>
        <v/>
      </c>
      <c r="J868" s="7">
        <f>IF($G868&lt;&gt;"Valid","",VLOOKUP($E868&amp;"|"&amp;$F868,Cluster_Master!$I$3:$H$17,5,FALSE))</f>
        <v/>
      </c>
      <c r="K868" s="7">
        <f>IF($G868&lt;&gt;"Valid","",VLOOKUP($E868&amp;"|"&amp;$F868,Cluster_Master!$I$3:$H$17,6,FALSE))</f>
        <v/>
      </c>
      <c r="L868" s="7">
        <f>IF($G868&lt;&gt;"Valid","",VLOOKUP($E868&amp;"|"&amp;$F868,Cluster_Master!$I$3:$H$17,7,FALSE))</f>
        <v/>
      </c>
      <c r="M868" s="7">
        <f>IF($G868&lt;&gt;"Valid","",VLOOKUP($E868&amp;"|"&amp;$F868,Cluster_Master!$I$3:$H$17,8,FALSE))</f>
        <v/>
      </c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7">
        <f>IF(COUNT(T868:AH868)=0,"",SUM(T868:AH868))</f>
        <v/>
      </c>
      <c r="AJ868" s="10">
        <f>IF(AI868="","",AI868/75)</f>
        <v/>
      </c>
      <c r="AK868" s="10">
        <f>IF(AI868="","",SUMPRODUCT(T868:AH868,KPI_Weights!$B$3:$B$17)/5)</f>
        <v/>
      </c>
      <c r="AL868" s="7">
        <f>IF(COUNT(T868:AH868)=0,"",IF(OR(T868&lt;=1,W868&lt;=1,X868&lt;=1,Y868&lt;=1,AB868&lt;=1),"YES","NO"))</f>
        <v/>
      </c>
      <c r="AM868" s="7">
        <f>IF(AK868="","",IF(AND(AK868="NO",AJ868&gt;=0.85),"YES","NO"))</f>
        <v/>
      </c>
      <c r="AN868" s="7">
        <f>IF(AJ868="","",IF(AJ868&gt;=0.90,"Excellent",IF(AJ868&gt;=0.80,"Good",IF(AJ868&gt;=0.70,"Fair","Poor"))))</f>
        <v/>
      </c>
      <c r="AO868" s="12" t="n"/>
      <c r="AP868" s="12" t="n"/>
      <c r="AQ868" s="12" t="n"/>
      <c r="AR868" s="12" t="n"/>
      <c r="AS868" s="12" t="n"/>
      <c r="AT868" s="12" t="n"/>
      <c r="AU868" s="12" t="n"/>
      <c r="AV868" s="11" t="n"/>
      <c r="AW868" s="12" t="n"/>
      <c r="AX868" s="12" t="n"/>
      <c r="AY868" s="12" t="n"/>
      <c r="AZ868" s="12" t="n"/>
      <c r="BA868" s="12" t="n"/>
      <c r="BB868" s="12" t="n"/>
      <c r="BC868" s="12" t="n"/>
      <c r="BD868" s="12" t="n"/>
      <c r="BE868" s="12" t="n"/>
      <c r="BF868" s="12" t="n"/>
    </row>
    <row r="869">
      <c r="A869" s="7">
        <f>IF(B869="","","INS-"&amp;TEXT(ROW()-3,"000"))</f>
        <v/>
      </c>
      <c r="B869" s="11" t="n"/>
      <c r="C869" s="7">
        <f>IF(B869="","",ISOWEEKNUM(B869))</f>
        <v/>
      </c>
      <c r="D869" s="7">
        <f>IF(B869="","",TEXT(B869,"yyyy-mm"))</f>
        <v/>
      </c>
      <c r="E869" s="12" t="n"/>
      <c r="F869" s="12" t="n"/>
      <c r="G869" s="7">
        <f>IF(OR(E869="",F869=""),"",IF(COUNTIF(Cluster_Master!$I$3:$I$17,E869&amp;"|"&amp;F869)=1,"Valid","Review"))</f>
        <v/>
      </c>
      <c r="H869" s="7">
        <f>IF($G869&lt;&gt;"Valid","",VLOOKUP($E869&amp;"|"&amp;$F869,Cluster_Master!$I$3:$H$17,3,FALSE))</f>
        <v/>
      </c>
      <c r="I869" s="7">
        <f>IF($G869&lt;&gt;"Valid","",VLOOKUP($E869&amp;"|"&amp;$F869,Cluster_Master!$I$3:$H$17,4,FALSE))</f>
        <v/>
      </c>
      <c r="J869" s="7">
        <f>IF($G869&lt;&gt;"Valid","",VLOOKUP($E869&amp;"|"&amp;$F869,Cluster_Master!$I$3:$H$17,5,FALSE))</f>
        <v/>
      </c>
      <c r="K869" s="7">
        <f>IF($G869&lt;&gt;"Valid","",VLOOKUP($E869&amp;"|"&amp;$F869,Cluster_Master!$I$3:$H$17,6,FALSE))</f>
        <v/>
      </c>
      <c r="L869" s="7">
        <f>IF($G869&lt;&gt;"Valid","",VLOOKUP($E869&amp;"|"&amp;$F869,Cluster_Master!$I$3:$H$17,7,FALSE))</f>
        <v/>
      </c>
      <c r="M869" s="7">
        <f>IF($G869&lt;&gt;"Valid","",VLOOKUP($E869&amp;"|"&amp;$F869,Cluster_Master!$I$3:$H$17,8,FALSE))</f>
        <v/>
      </c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7">
        <f>IF(COUNT(T869:AH869)=0,"",SUM(T869:AH869))</f>
        <v/>
      </c>
      <c r="AJ869" s="10">
        <f>IF(AI869="","",AI869/75)</f>
        <v/>
      </c>
      <c r="AK869" s="10">
        <f>IF(AI869="","",SUMPRODUCT(T869:AH869,KPI_Weights!$B$3:$B$17)/5)</f>
        <v/>
      </c>
      <c r="AL869" s="7">
        <f>IF(COUNT(T869:AH869)=0,"",IF(OR(T869&lt;=1,W869&lt;=1,X869&lt;=1,Y869&lt;=1,AB869&lt;=1),"YES","NO"))</f>
        <v/>
      </c>
      <c r="AM869" s="7">
        <f>IF(AK869="","",IF(AND(AK869="NO",AJ869&gt;=0.85),"YES","NO"))</f>
        <v/>
      </c>
      <c r="AN869" s="7">
        <f>IF(AJ869="","",IF(AJ869&gt;=0.90,"Excellent",IF(AJ869&gt;=0.80,"Good",IF(AJ869&gt;=0.70,"Fair","Poor"))))</f>
        <v/>
      </c>
      <c r="AO869" s="12" t="n"/>
      <c r="AP869" s="12" t="n"/>
      <c r="AQ869" s="12" t="n"/>
      <c r="AR869" s="12" t="n"/>
      <c r="AS869" s="12" t="n"/>
      <c r="AT869" s="12" t="n"/>
      <c r="AU869" s="12" t="n"/>
      <c r="AV869" s="11" t="n"/>
      <c r="AW869" s="12" t="n"/>
      <c r="AX869" s="12" t="n"/>
      <c r="AY869" s="12" t="n"/>
      <c r="AZ869" s="12" t="n"/>
      <c r="BA869" s="12" t="n"/>
      <c r="BB869" s="12" t="n"/>
      <c r="BC869" s="12" t="n"/>
      <c r="BD869" s="12" t="n"/>
      <c r="BE869" s="12" t="n"/>
      <c r="BF869" s="12" t="n"/>
    </row>
    <row r="870">
      <c r="A870" s="7">
        <f>IF(B870="","","INS-"&amp;TEXT(ROW()-3,"000"))</f>
        <v/>
      </c>
      <c r="B870" s="11" t="n"/>
      <c r="C870" s="7">
        <f>IF(B870="","",ISOWEEKNUM(B870))</f>
        <v/>
      </c>
      <c r="D870" s="7">
        <f>IF(B870="","",TEXT(B870,"yyyy-mm"))</f>
        <v/>
      </c>
      <c r="E870" s="12" t="n"/>
      <c r="F870" s="12" t="n"/>
      <c r="G870" s="7">
        <f>IF(OR(E870="",F870=""),"",IF(COUNTIF(Cluster_Master!$I$3:$I$17,E870&amp;"|"&amp;F870)=1,"Valid","Review"))</f>
        <v/>
      </c>
      <c r="H870" s="7">
        <f>IF($G870&lt;&gt;"Valid","",VLOOKUP($E870&amp;"|"&amp;$F870,Cluster_Master!$I$3:$H$17,3,FALSE))</f>
        <v/>
      </c>
      <c r="I870" s="7">
        <f>IF($G870&lt;&gt;"Valid","",VLOOKUP($E870&amp;"|"&amp;$F870,Cluster_Master!$I$3:$H$17,4,FALSE))</f>
        <v/>
      </c>
      <c r="J870" s="7">
        <f>IF($G870&lt;&gt;"Valid","",VLOOKUP($E870&amp;"|"&amp;$F870,Cluster_Master!$I$3:$H$17,5,FALSE))</f>
        <v/>
      </c>
      <c r="K870" s="7">
        <f>IF($G870&lt;&gt;"Valid","",VLOOKUP($E870&amp;"|"&amp;$F870,Cluster_Master!$I$3:$H$17,6,FALSE))</f>
        <v/>
      </c>
      <c r="L870" s="7">
        <f>IF($G870&lt;&gt;"Valid","",VLOOKUP($E870&amp;"|"&amp;$F870,Cluster_Master!$I$3:$H$17,7,FALSE))</f>
        <v/>
      </c>
      <c r="M870" s="7">
        <f>IF($G870&lt;&gt;"Valid","",VLOOKUP($E870&amp;"|"&amp;$F870,Cluster_Master!$I$3:$H$17,8,FALSE))</f>
        <v/>
      </c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7">
        <f>IF(COUNT(T870:AH870)=0,"",SUM(T870:AH870))</f>
        <v/>
      </c>
      <c r="AJ870" s="10">
        <f>IF(AI870="","",AI870/75)</f>
        <v/>
      </c>
      <c r="AK870" s="10">
        <f>IF(AI870="","",SUMPRODUCT(T870:AH870,KPI_Weights!$B$3:$B$17)/5)</f>
        <v/>
      </c>
      <c r="AL870" s="7">
        <f>IF(COUNT(T870:AH870)=0,"",IF(OR(T870&lt;=1,W870&lt;=1,X870&lt;=1,Y870&lt;=1,AB870&lt;=1),"YES","NO"))</f>
        <v/>
      </c>
      <c r="AM870" s="7">
        <f>IF(AK870="","",IF(AND(AK870="NO",AJ870&gt;=0.85),"YES","NO"))</f>
        <v/>
      </c>
      <c r="AN870" s="7">
        <f>IF(AJ870="","",IF(AJ870&gt;=0.90,"Excellent",IF(AJ870&gt;=0.80,"Good",IF(AJ870&gt;=0.70,"Fair","Poor"))))</f>
        <v/>
      </c>
      <c r="AO870" s="12" t="n"/>
      <c r="AP870" s="12" t="n"/>
      <c r="AQ870" s="12" t="n"/>
      <c r="AR870" s="12" t="n"/>
      <c r="AS870" s="12" t="n"/>
      <c r="AT870" s="12" t="n"/>
      <c r="AU870" s="12" t="n"/>
      <c r="AV870" s="11" t="n"/>
      <c r="AW870" s="12" t="n"/>
      <c r="AX870" s="12" t="n"/>
      <c r="AY870" s="12" t="n"/>
      <c r="AZ870" s="12" t="n"/>
      <c r="BA870" s="12" t="n"/>
      <c r="BB870" s="12" t="n"/>
      <c r="BC870" s="12" t="n"/>
      <c r="BD870" s="12" t="n"/>
      <c r="BE870" s="12" t="n"/>
      <c r="BF870" s="12" t="n"/>
    </row>
    <row r="871">
      <c r="A871" s="7">
        <f>IF(B871="","","INS-"&amp;TEXT(ROW()-3,"000"))</f>
        <v/>
      </c>
      <c r="B871" s="11" t="n"/>
      <c r="C871" s="7">
        <f>IF(B871="","",ISOWEEKNUM(B871))</f>
        <v/>
      </c>
      <c r="D871" s="7">
        <f>IF(B871="","",TEXT(B871,"yyyy-mm"))</f>
        <v/>
      </c>
      <c r="E871" s="12" t="n"/>
      <c r="F871" s="12" t="n"/>
      <c r="G871" s="7">
        <f>IF(OR(E871="",F871=""),"",IF(COUNTIF(Cluster_Master!$I$3:$I$17,E871&amp;"|"&amp;F871)=1,"Valid","Review"))</f>
        <v/>
      </c>
      <c r="H871" s="7">
        <f>IF($G871&lt;&gt;"Valid","",VLOOKUP($E871&amp;"|"&amp;$F871,Cluster_Master!$I$3:$H$17,3,FALSE))</f>
        <v/>
      </c>
      <c r="I871" s="7">
        <f>IF($G871&lt;&gt;"Valid","",VLOOKUP($E871&amp;"|"&amp;$F871,Cluster_Master!$I$3:$H$17,4,FALSE))</f>
        <v/>
      </c>
      <c r="J871" s="7">
        <f>IF($G871&lt;&gt;"Valid","",VLOOKUP($E871&amp;"|"&amp;$F871,Cluster_Master!$I$3:$H$17,5,FALSE))</f>
        <v/>
      </c>
      <c r="K871" s="7">
        <f>IF($G871&lt;&gt;"Valid","",VLOOKUP($E871&amp;"|"&amp;$F871,Cluster_Master!$I$3:$H$17,6,FALSE))</f>
        <v/>
      </c>
      <c r="L871" s="7">
        <f>IF($G871&lt;&gt;"Valid","",VLOOKUP($E871&amp;"|"&amp;$F871,Cluster_Master!$I$3:$H$17,7,FALSE))</f>
        <v/>
      </c>
      <c r="M871" s="7">
        <f>IF($G871&lt;&gt;"Valid","",VLOOKUP($E871&amp;"|"&amp;$F871,Cluster_Master!$I$3:$H$17,8,FALSE))</f>
        <v/>
      </c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7">
        <f>IF(COUNT(T871:AH871)=0,"",SUM(T871:AH871))</f>
        <v/>
      </c>
      <c r="AJ871" s="10">
        <f>IF(AI871="","",AI871/75)</f>
        <v/>
      </c>
      <c r="AK871" s="10">
        <f>IF(AI871="","",SUMPRODUCT(T871:AH871,KPI_Weights!$B$3:$B$17)/5)</f>
        <v/>
      </c>
      <c r="AL871" s="7">
        <f>IF(COUNT(T871:AH871)=0,"",IF(OR(T871&lt;=1,W871&lt;=1,X871&lt;=1,Y871&lt;=1,AB871&lt;=1),"YES","NO"))</f>
        <v/>
      </c>
      <c r="AM871" s="7">
        <f>IF(AK871="","",IF(AND(AK871="NO",AJ871&gt;=0.85),"YES","NO"))</f>
        <v/>
      </c>
      <c r="AN871" s="7">
        <f>IF(AJ871="","",IF(AJ871&gt;=0.90,"Excellent",IF(AJ871&gt;=0.80,"Good",IF(AJ871&gt;=0.70,"Fair","Poor"))))</f>
        <v/>
      </c>
      <c r="AO871" s="12" t="n"/>
      <c r="AP871" s="12" t="n"/>
      <c r="AQ871" s="12" t="n"/>
      <c r="AR871" s="12" t="n"/>
      <c r="AS871" s="12" t="n"/>
      <c r="AT871" s="12" t="n"/>
      <c r="AU871" s="12" t="n"/>
      <c r="AV871" s="11" t="n"/>
      <c r="AW871" s="12" t="n"/>
      <c r="AX871" s="12" t="n"/>
      <c r="AY871" s="12" t="n"/>
      <c r="AZ871" s="12" t="n"/>
      <c r="BA871" s="12" t="n"/>
      <c r="BB871" s="12" t="n"/>
      <c r="BC871" s="12" t="n"/>
      <c r="BD871" s="12" t="n"/>
      <c r="BE871" s="12" t="n"/>
      <c r="BF871" s="12" t="n"/>
    </row>
    <row r="872">
      <c r="A872" s="7">
        <f>IF(B872="","","INS-"&amp;TEXT(ROW()-3,"000"))</f>
        <v/>
      </c>
      <c r="B872" s="11" t="n"/>
      <c r="C872" s="7">
        <f>IF(B872="","",ISOWEEKNUM(B872))</f>
        <v/>
      </c>
      <c r="D872" s="7">
        <f>IF(B872="","",TEXT(B872,"yyyy-mm"))</f>
        <v/>
      </c>
      <c r="E872" s="12" t="n"/>
      <c r="F872" s="12" t="n"/>
      <c r="G872" s="7">
        <f>IF(OR(E872="",F872=""),"",IF(COUNTIF(Cluster_Master!$I$3:$I$17,E872&amp;"|"&amp;F872)=1,"Valid","Review"))</f>
        <v/>
      </c>
      <c r="H872" s="7">
        <f>IF($G872&lt;&gt;"Valid","",VLOOKUP($E872&amp;"|"&amp;$F872,Cluster_Master!$I$3:$H$17,3,FALSE))</f>
        <v/>
      </c>
      <c r="I872" s="7">
        <f>IF($G872&lt;&gt;"Valid","",VLOOKUP($E872&amp;"|"&amp;$F872,Cluster_Master!$I$3:$H$17,4,FALSE))</f>
        <v/>
      </c>
      <c r="J872" s="7">
        <f>IF($G872&lt;&gt;"Valid","",VLOOKUP($E872&amp;"|"&amp;$F872,Cluster_Master!$I$3:$H$17,5,FALSE))</f>
        <v/>
      </c>
      <c r="K872" s="7">
        <f>IF($G872&lt;&gt;"Valid","",VLOOKUP($E872&amp;"|"&amp;$F872,Cluster_Master!$I$3:$H$17,6,FALSE))</f>
        <v/>
      </c>
      <c r="L872" s="7">
        <f>IF($G872&lt;&gt;"Valid","",VLOOKUP($E872&amp;"|"&amp;$F872,Cluster_Master!$I$3:$H$17,7,FALSE))</f>
        <v/>
      </c>
      <c r="M872" s="7">
        <f>IF($G872&lt;&gt;"Valid","",VLOOKUP($E872&amp;"|"&amp;$F872,Cluster_Master!$I$3:$H$17,8,FALSE))</f>
        <v/>
      </c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7">
        <f>IF(COUNT(T872:AH872)=0,"",SUM(T872:AH872))</f>
        <v/>
      </c>
      <c r="AJ872" s="10">
        <f>IF(AI872="","",AI872/75)</f>
        <v/>
      </c>
      <c r="AK872" s="10">
        <f>IF(AI872="","",SUMPRODUCT(T872:AH872,KPI_Weights!$B$3:$B$17)/5)</f>
        <v/>
      </c>
      <c r="AL872" s="7">
        <f>IF(COUNT(T872:AH872)=0,"",IF(OR(T872&lt;=1,W872&lt;=1,X872&lt;=1,Y872&lt;=1,AB872&lt;=1),"YES","NO"))</f>
        <v/>
      </c>
      <c r="AM872" s="7">
        <f>IF(AK872="","",IF(AND(AK872="NO",AJ872&gt;=0.85),"YES","NO"))</f>
        <v/>
      </c>
      <c r="AN872" s="7">
        <f>IF(AJ872="","",IF(AJ872&gt;=0.90,"Excellent",IF(AJ872&gt;=0.80,"Good",IF(AJ872&gt;=0.70,"Fair","Poor"))))</f>
        <v/>
      </c>
      <c r="AO872" s="12" t="n"/>
      <c r="AP872" s="12" t="n"/>
      <c r="AQ872" s="12" t="n"/>
      <c r="AR872" s="12" t="n"/>
      <c r="AS872" s="12" t="n"/>
      <c r="AT872" s="12" t="n"/>
      <c r="AU872" s="12" t="n"/>
      <c r="AV872" s="11" t="n"/>
      <c r="AW872" s="12" t="n"/>
      <c r="AX872" s="12" t="n"/>
      <c r="AY872" s="12" t="n"/>
      <c r="AZ872" s="12" t="n"/>
      <c r="BA872" s="12" t="n"/>
      <c r="BB872" s="12" t="n"/>
      <c r="BC872" s="12" t="n"/>
      <c r="BD872" s="12" t="n"/>
      <c r="BE872" s="12" t="n"/>
      <c r="BF872" s="12" t="n"/>
    </row>
    <row r="873">
      <c r="A873" s="7">
        <f>IF(B873="","","INS-"&amp;TEXT(ROW()-3,"000"))</f>
        <v/>
      </c>
      <c r="B873" s="11" t="n"/>
      <c r="C873" s="7">
        <f>IF(B873="","",ISOWEEKNUM(B873))</f>
        <v/>
      </c>
      <c r="D873" s="7">
        <f>IF(B873="","",TEXT(B873,"yyyy-mm"))</f>
        <v/>
      </c>
      <c r="E873" s="12" t="n"/>
      <c r="F873" s="12" t="n"/>
      <c r="G873" s="7">
        <f>IF(OR(E873="",F873=""),"",IF(COUNTIF(Cluster_Master!$I$3:$I$17,E873&amp;"|"&amp;F873)=1,"Valid","Review"))</f>
        <v/>
      </c>
      <c r="H873" s="7">
        <f>IF($G873&lt;&gt;"Valid","",VLOOKUP($E873&amp;"|"&amp;$F873,Cluster_Master!$I$3:$H$17,3,FALSE))</f>
        <v/>
      </c>
      <c r="I873" s="7">
        <f>IF($G873&lt;&gt;"Valid","",VLOOKUP($E873&amp;"|"&amp;$F873,Cluster_Master!$I$3:$H$17,4,FALSE))</f>
        <v/>
      </c>
      <c r="J873" s="7">
        <f>IF($G873&lt;&gt;"Valid","",VLOOKUP($E873&amp;"|"&amp;$F873,Cluster_Master!$I$3:$H$17,5,FALSE))</f>
        <v/>
      </c>
      <c r="K873" s="7">
        <f>IF($G873&lt;&gt;"Valid","",VLOOKUP($E873&amp;"|"&amp;$F873,Cluster_Master!$I$3:$H$17,6,FALSE))</f>
        <v/>
      </c>
      <c r="L873" s="7">
        <f>IF($G873&lt;&gt;"Valid","",VLOOKUP($E873&amp;"|"&amp;$F873,Cluster_Master!$I$3:$H$17,7,FALSE))</f>
        <v/>
      </c>
      <c r="M873" s="7">
        <f>IF($G873&lt;&gt;"Valid","",VLOOKUP($E873&amp;"|"&amp;$F873,Cluster_Master!$I$3:$H$17,8,FALSE))</f>
        <v/>
      </c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7">
        <f>IF(COUNT(T873:AH873)=0,"",SUM(T873:AH873))</f>
        <v/>
      </c>
      <c r="AJ873" s="10">
        <f>IF(AI873="","",AI873/75)</f>
        <v/>
      </c>
      <c r="AK873" s="10">
        <f>IF(AI873="","",SUMPRODUCT(T873:AH873,KPI_Weights!$B$3:$B$17)/5)</f>
        <v/>
      </c>
      <c r="AL873" s="7">
        <f>IF(COUNT(T873:AH873)=0,"",IF(OR(T873&lt;=1,W873&lt;=1,X873&lt;=1,Y873&lt;=1,AB873&lt;=1),"YES","NO"))</f>
        <v/>
      </c>
      <c r="AM873" s="7">
        <f>IF(AK873="","",IF(AND(AK873="NO",AJ873&gt;=0.85),"YES","NO"))</f>
        <v/>
      </c>
      <c r="AN873" s="7">
        <f>IF(AJ873="","",IF(AJ873&gt;=0.90,"Excellent",IF(AJ873&gt;=0.80,"Good",IF(AJ873&gt;=0.70,"Fair","Poor"))))</f>
        <v/>
      </c>
      <c r="AO873" s="12" t="n"/>
      <c r="AP873" s="12" t="n"/>
      <c r="AQ873" s="12" t="n"/>
      <c r="AR873" s="12" t="n"/>
      <c r="AS873" s="12" t="n"/>
      <c r="AT873" s="12" t="n"/>
      <c r="AU873" s="12" t="n"/>
      <c r="AV873" s="11" t="n"/>
      <c r="AW873" s="12" t="n"/>
      <c r="AX873" s="12" t="n"/>
      <c r="AY873" s="12" t="n"/>
      <c r="AZ873" s="12" t="n"/>
      <c r="BA873" s="12" t="n"/>
      <c r="BB873" s="12" t="n"/>
      <c r="BC873" s="12" t="n"/>
      <c r="BD873" s="12" t="n"/>
      <c r="BE873" s="12" t="n"/>
      <c r="BF873" s="12" t="n"/>
    </row>
    <row r="874">
      <c r="A874" s="7">
        <f>IF(B874="","","INS-"&amp;TEXT(ROW()-3,"000"))</f>
        <v/>
      </c>
      <c r="B874" s="11" t="n"/>
      <c r="C874" s="7">
        <f>IF(B874="","",ISOWEEKNUM(B874))</f>
        <v/>
      </c>
      <c r="D874" s="7">
        <f>IF(B874="","",TEXT(B874,"yyyy-mm"))</f>
        <v/>
      </c>
      <c r="E874" s="12" t="n"/>
      <c r="F874" s="12" t="n"/>
      <c r="G874" s="7">
        <f>IF(OR(E874="",F874=""),"",IF(COUNTIF(Cluster_Master!$I$3:$I$17,E874&amp;"|"&amp;F874)=1,"Valid","Review"))</f>
        <v/>
      </c>
      <c r="H874" s="7">
        <f>IF($G874&lt;&gt;"Valid","",VLOOKUP($E874&amp;"|"&amp;$F874,Cluster_Master!$I$3:$H$17,3,FALSE))</f>
        <v/>
      </c>
      <c r="I874" s="7">
        <f>IF($G874&lt;&gt;"Valid","",VLOOKUP($E874&amp;"|"&amp;$F874,Cluster_Master!$I$3:$H$17,4,FALSE))</f>
        <v/>
      </c>
      <c r="J874" s="7">
        <f>IF($G874&lt;&gt;"Valid","",VLOOKUP($E874&amp;"|"&amp;$F874,Cluster_Master!$I$3:$H$17,5,FALSE))</f>
        <v/>
      </c>
      <c r="K874" s="7">
        <f>IF($G874&lt;&gt;"Valid","",VLOOKUP($E874&amp;"|"&amp;$F874,Cluster_Master!$I$3:$H$17,6,FALSE))</f>
        <v/>
      </c>
      <c r="L874" s="7">
        <f>IF($G874&lt;&gt;"Valid","",VLOOKUP($E874&amp;"|"&amp;$F874,Cluster_Master!$I$3:$H$17,7,FALSE))</f>
        <v/>
      </c>
      <c r="M874" s="7">
        <f>IF($G874&lt;&gt;"Valid","",VLOOKUP($E874&amp;"|"&amp;$F874,Cluster_Master!$I$3:$H$17,8,FALSE))</f>
        <v/>
      </c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7">
        <f>IF(COUNT(T874:AH874)=0,"",SUM(T874:AH874))</f>
        <v/>
      </c>
      <c r="AJ874" s="10">
        <f>IF(AI874="","",AI874/75)</f>
        <v/>
      </c>
      <c r="AK874" s="10">
        <f>IF(AI874="","",SUMPRODUCT(T874:AH874,KPI_Weights!$B$3:$B$17)/5)</f>
        <v/>
      </c>
      <c r="AL874" s="7">
        <f>IF(COUNT(T874:AH874)=0,"",IF(OR(T874&lt;=1,W874&lt;=1,X874&lt;=1,Y874&lt;=1,AB874&lt;=1),"YES","NO"))</f>
        <v/>
      </c>
      <c r="AM874" s="7">
        <f>IF(AK874="","",IF(AND(AK874="NO",AJ874&gt;=0.85),"YES","NO"))</f>
        <v/>
      </c>
      <c r="AN874" s="7">
        <f>IF(AJ874="","",IF(AJ874&gt;=0.90,"Excellent",IF(AJ874&gt;=0.80,"Good",IF(AJ874&gt;=0.70,"Fair","Poor"))))</f>
        <v/>
      </c>
      <c r="AO874" s="12" t="n"/>
      <c r="AP874" s="12" t="n"/>
      <c r="AQ874" s="12" t="n"/>
      <c r="AR874" s="12" t="n"/>
      <c r="AS874" s="12" t="n"/>
      <c r="AT874" s="12" t="n"/>
      <c r="AU874" s="12" t="n"/>
      <c r="AV874" s="11" t="n"/>
      <c r="AW874" s="12" t="n"/>
      <c r="AX874" s="12" t="n"/>
      <c r="AY874" s="12" t="n"/>
      <c r="AZ874" s="12" t="n"/>
      <c r="BA874" s="12" t="n"/>
      <c r="BB874" s="12" t="n"/>
      <c r="BC874" s="12" t="n"/>
      <c r="BD874" s="12" t="n"/>
      <c r="BE874" s="12" t="n"/>
      <c r="BF874" s="12" t="n"/>
    </row>
    <row r="875">
      <c r="A875" s="7">
        <f>IF(B875="","","INS-"&amp;TEXT(ROW()-3,"000"))</f>
        <v/>
      </c>
      <c r="B875" s="11" t="n"/>
      <c r="C875" s="7">
        <f>IF(B875="","",ISOWEEKNUM(B875))</f>
        <v/>
      </c>
      <c r="D875" s="7">
        <f>IF(B875="","",TEXT(B875,"yyyy-mm"))</f>
        <v/>
      </c>
      <c r="E875" s="12" t="n"/>
      <c r="F875" s="12" t="n"/>
      <c r="G875" s="7">
        <f>IF(OR(E875="",F875=""),"",IF(COUNTIF(Cluster_Master!$I$3:$I$17,E875&amp;"|"&amp;F875)=1,"Valid","Review"))</f>
        <v/>
      </c>
      <c r="H875" s="7">
        <f>IF($G875&lt;&gt;"Valid","",VLOOKUP($E875&amp;"|"&amp;$F875,Cluster_Master!$I$3:$H$17,3,FALSE))</f>
        <v/>
      </c>
      <c r="I875" s="7">
        <f>IF($G875&lt;&gt;"Valid","",VLOOKUP($E875&amp;"|"&amp;$F875,Cluster_Master!$I$3:$H$17,4,FALSE))</f>
        <v/>
      </c>
      <c r="J875" s="7">
        <f>IF($G875&lt;&gt;"Valid","",VLOOKUP($E875&amp;"|"&amp;$F875,Cluster_Master!$I$3:$H$17,5,FALSE))</f>
        <v/>
      </c>
      <c r="K875" s="7">
        <f>IF($G875&lt;&gt;"Valid","",VLOOKUP($E875&amp;"|"&amp;$F875,Cluster_Master!$I$3:$H$17,6,FALSE))</f>
        <v/>
      </c>
      <c r="L875" s="7">
        <f>IF($G875&lt;&gt;"Valid","",VLOOKUP($E875&amp;"|"&amp;$F875,Cluster_Master!$I$3:$H$17,7,FALSE))</f>
        <v/>
      </c>
      <c r="M875" s="7">
        <f>IF($G875&lt;&gt;"Valid","",VLOOKUP($E875&amp;"|"&amp;$F875,Cluster_Master!$I$3:$H$17,8,FALSE))</f>
        <v/>
      </c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7">
        <f>IF(COUNT(T875:AH875)=0,"",SUM(T875:AH875))</f>
        <v/>
      </c>
      <c r="AJ875" s="10">
        <f>IF(AI875="","",AI875/75)</f>
        <v/>
      </c>
      <c r="AK875" s="10">
        <f>IF(AI875="","",SUMPRODUCT(T875:AH875,KPI_Weights!$B$3:$B$17)/5)</f>
        <v/>
      </c>
      <c r="AL875" s="7">
        <f>IF(COUNT(T875:AH875)=0,"",IF(OR(T875&lt;=1,W875&lt;=1,X875&lt;=1,Y875&lt;=1,AB875&lt;=1),"YES","NO"))</f>
        <v/>
      </c>
      <c r="AM875" s="7">
        <f>IF(AK875="","",IF(AND(AK875="NO",AJ875&gt;=0.85),"YES","NO"))</f>
        <v/>
      </c>
      <c r="AN875" s="7">
        <f>IF(AJ875="","",IF(AJ875&gt;=0.90,"Excellent",IF(AJ875&gt;=0.80,"Good",IF(AJ875&gt;=0.70,"Fair","Poor"))))</f>
        <v/>
      </c>
      <c r="AO875" s="12" t="n"/>
      <c r="AP875" s="12" t="n"/>
      <c r="AQ875" s="12" t="n"/>
      <c r="AR875" s="12" t="n"/>
      <c r="AS875" s="12" t="n"/>
      <c r="AT875" s="12" t="n"/>
      <c r="AU875" s="12" t="n"/>
      <c r="AV875" s="11" t="n"/>
      <c r="AW875" s="12" t="n"/>
      <c r="AX875" s="12" t="n"/>
      <c r="AY875" s="12" t="n"/>
      <c r="AZ875" s="12" t="n"/>
      <c r="BA875" s="12" t="n"/>
      <c r="BB875" s="12" t="n"/>
      <c r="BC875" s="12" t="n"/>
      <c r="BD875" s="12" t="n"/>
      <c r="BE875" s="12" t="n"/>
      <c r="BF875" s="12" t="n"/>
    </row>
    <row r="876">
      <c r="A876" s="7">
        <f>IF(B876="","","INS-"&amp;TEXT(ROW()-3,"000"))</f>
        <v/>
      </c>
      <c r="B876" s="11" t="n"/>
      <c r="C876" s="7">
        <f>IF(B876="","",ISOWEEKNUM(B876))</f>
        <v/>
      </c>
      <c r="D876" s="7">
        <f>IF(B876="","",TEXT(B876,"yyyy-mm"))</f>
        <v/>
      </c>
      <c r="E876" s="12" t="n"/>
      <c r="F876" s="12" t="n"/>
      <c r="G876" s="7">
        <f>IF(OR(E876="",F876=""),"",IF(COUNTIF(Cluster_Master!$I$3:$I$17,E876&amp;"|"&amp;F876)=1,"Valid","Review"))</f>
        <v/>
      </c>
      <c r="H876" s="7">
        <f>IF($G876&lt;&gt;"Valid","",VLOOKUP($E876&amp;"|"&amp;$F876,Cluster_Master!$I$3:$H$17,3,FALSE))</f>
        <v/>
      </c>
      <c r="I876" s="7">
        <f>IF($G876&lt;&gt;"Valid","",VLOOKUP($E876&amp;"|"&amp;$F876,Cluster_Master!$I$3:$H$17,4,FALSE))</f>
        <v/>
      </c>
      <c r="J876" s="7">
        <f>IF($G876&lt;&gt;"Valid","",VLOOKUP($E876&amp;"|"&amp;$F876,Cluster_Master!$I$3:$H$17,5,FALSE))</f>
        <v/>
      </c>
      <c r="K876" s="7">
        <f>IF($G876&lt;&gt;"Valid","",VLOOKUP($E876&amp;"|"&amp;$F876,Cluster_Master!$I$3:$H$17,6,FALSE))</f>
        <v/>
      </c>
      <c r="L876" s="7">
        <f>IF($G876&lt;&gt;"Valid","",VLOOKUP($E876&amp;"|"&amp;$F876,Cluster_Master!$I$3:$H$17,7,FALSE))</f>
        <v/>
      </c>
      <c r="M876" s="7">
        <f>IF($G876&lt;&gt;"Valid","",VLOOKUP($E876&amp;"|"&amp;$F876,Cluster_Master!$I$3:$H$17,8,FALSE))</f>
        <v/>
      </c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7">
        <f>IF(COUNT(T876:AH876)=0,"",SUM(T876:AH876))</f>
        <v/>
      </c>
      <c r="AJ876" s="10">
        <f>IF(AI876="","",AI876/75)</f>
        <v/>
      </c>
      <c r="AK876" s="10">
        <f>IF(AI876="","",SUMPRODUCT(T876:AH876,KPI_Weights!$B$3:$B$17)/5)</f>
        <v/>
      </c>
      <c r="AL876" s="7">
        <f>IF(COUNT(T876:AH876)=0,"",IF(OR(T876&lt;=1,W876&lt;=1,X876&lt;=1,Y876&lt;=1,AB876&lt;=1),"YES","NO"))</f>
        <v/>
      </c>
      <c r="AM876" s="7">
        <f>IF(AK876="","",IF(AND(AK876="NO",AJ876&gt;=0.85),"YES","NO"))</f>
        <v/>
      </c>
      <c r="AN876" s="7">
        <f>IF(AJ876="","",IF(AJ876&gt;=0.90,"Excellent",IF(AJ876&gt;=0.80,"Good",IF(AJ876&gt;=0.70,"Fair","Poor"))))</f>
        <v/>
      </c>
      <c r="AO876" s="12" t="n"/>
      <c r="AP876" s="12" t="n"/>
      <c r="AQ876" s="12" t="n"/>
      <c r="AR876" s="12" t="n"/>
      <c r="AS876" s="12" t="n"/>
      <c r="AT876" s="12" t="n"/>
      <c r="AU876" s="12" t="n"/>
      <c r="AV876" s="11" t="n"/>
      <c r="AW876" s="12" t="n"/>
      <c r="AX876" s="12" t="n"/>
      <c r="AY876" s="12" t="n"/>
      <c r="AZ876" s="12" t="n"/>
      <c r="BA876" s="12" t="n"/>
      <c r="BB876" s="12" t="n"/>
      <c r="BC876" s="12" t="n"/>
      <c r="BD876" s="12" t="n"/>
      <c r="BE876" s="12" t="n"/>
      <c r="BF876" s="12" t="n"/>
    </row>
    <row r="877">
      <c r="A877" s="7">
        <f>IF(B877="","","INS-"&amp;TEXT(ROW()-3,"000"))</f>
        <v/>
      </c>
      <c r="B877" s="11" t="n"/>
      <c r="C877" s="7">
        <f>IF(B877="","",ISOWEEKNUM(B877))</f>
        <v/>
      </c>
      <c r="D877" s="7">
        <f>IF(B877="","",TEXT(B877,"yyyy-mm"))</f>
        <v/>
      </c>
      <c r="E877" s="12" t="n"/>
      <c r="F877" s="12" t="n"/>
      <c r="G877" s="7">
        <f>IF(OR(E877="",F877=""),"",IF(COUNTIF(Cluster_Master!$I$3:$I$17,E877&amp;"|"&amp;F877)=1,"Valid","Review"))</f>
        <v/>
      </c>
      <c r="H877" s="7">
        <f>IF($G877&lt;&gt;"Valid","",VLOOKUP($E877&amp;"|"&amp;$F877,Cluster_Master!$I$3:$H$17,3,FALSE))</f>
        <v/>
      </c>
      <c r="I877" s="7">
        <f>IF($G877&lt;&gt;"Valid","",VLOOKUP($E877&amp;"|"&amp;$F877,Cluster_Master!$I$3:$H$17,4,FALSE))</f>
        <v/>
      </c>
      <c r="J877" s="7">
        <f>IF($G877&lt;&gt;"Valid","",VLOOKUP($E877&amp;"|"&amp;$F877,Cluster_Master!$I$3:$H$17,5,FALSE))</f>
        <v/>
      </c>
      <c r="K877" s="7">
        <f>IF($G877&lt;&gt;"Valid","",VLOOKUP($E877&amp;"|"&amp;$F877,Cluster_Master!$I$3:$H$17,6,FALSE))</f>
        <v/>
      </c>
      <c r="L877" s="7">
        <f>IF($G877&lt;&gt;"Valid","",VLOOKUP($E877&amp;"|"&amp;$F877,Cluster_Master!$I$3:$H$17,7,FALSE))</f>
        <v/>
      </c>
      <c r="M877" s="7">
        <f>IF($G877&lt;&gt;"Valid","",VLOOKUP($E877&amp;"|"&amp;$F877,Cluster_Master!$I$3:$H$17,8,FALSE))</f>
        <v/>
      </c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7">
        <f>IF(COUNT(T877:AH877)=0,"",SUM(T877:AH877))</f>
        <v/>
      </c>
      <c r="AJ877" s="10">
        <f>IF(AI877="","",AI877/75)</f>
        <v/>
      </c>
      <c r="AK877" s="10">
        <f>IF(AI877="","",SUMPRODUCT(T877:AH877,KPI_Weights!$B$3:$B$17)/5)</f>
        <v/>
      </c>
      <c r="AL877" s="7">
        <f>IF(COUNT(T877:AH877)=0,"",IF(OR(T877&lt;=1,W877&lt;=1,X877&lt;=1,Y877&lt;=1,AB877&lt;=1),"YES","NO"))</f>
        <v/>
      </c>
      <c r="AM877" s="7">
        <f>IF(AK877="","",IF(AND(AK877="NO",AJ877&gt;=0.85),"YES","NO"))</f>
        <v/>
      </c>
      <c r="AN877" s="7">
        <f>IF(AJ877="","",IF(AJ877&gt;=0.90,"Excellent",IF(AJ877&gt;=0.80,"Good",IF(AJ877&gt;=0.70,"Fair","Poor"))))</f>
        <v/>
      </c>
      <c r="AO877" s="12" t="n"/>
      <c r="AP877" s="12" t="n"/>
      <c r="AQ877" s="12" t="n"/>
      <c r="AR877" s="12" t="n"/>
      <c r="AS877" s="12" t="n"/>
      <c r="AT877" s="12" t="n"/>
      <c r="AU877" s="12" t="n"/>
      <c r="AV877" s="11" t="n"/>
      <c r="AW877" s="12" t="n"/>
      <c r="AX877" s="12" t="n"/>
      <c r="AY877" s="12" t="n"/>
      <c r="AZ877" s="12" t="n"/>
      <c r="BA877" s="12" t="n"/>
      <c r="BB877" s="12" t="n"/>
      <c r="BC877" s="12" t="n"/>
      <c r="BD877" s="12" t="n"/>
      <c r="BE877" s="12" t="n"/>
      <c r="BF877" s="12" t="n"/>
    </row>
    <row r="878">
      <c r="A878" s="7">
        <f>IF(B878="","","INS-"&amp;TEXT(ROW()-3,"000"))</f>
        <v/>
      </c>
      <c r="B878" s="11" t="n"/>
      <c r="C878" s="7">
        <f>IF(B878="","",ISOWEEKNUM(B878))</f>
        <v/>
      </c>
      <c r="D878" s="7">
        <f>IF(B878="","",TEXT(B878,"yyyy-mm"))</f>
        <v/>
      </c>
      <c r="E878" s="12" t="n"/>
      <c r="F878" s="12" t="n"/>
      <c r="G878" s="7">
        <f>IF(OR(E878="",F878=""),"",IF(COUNTIF(Cluster_Master!$I$3:$I$17,E878&amp;"|"&amp;F878)=1,"Valid","Review"))</f>
        <v/>
      </c>
      <c r="H878" s="7">
        <f>IF($G878&lt;&gt;"Valid","",VLOOKUP($E878&amp;"|"&amp;$F878,Cluster_Master!$I$3:$H$17,3,FALSE))</f>
        <v/>
      </c>
      <c r="I878" s="7">
        <f>IF($G878&lt;&gt;"Valid","",VLOOKUP($E878&amp;"|"&amp;$F878,Cluster_Master!$I$3:$H$17,4,FALSE))</f>
        <v/>
      </c>
      <c r="J878" s="7">
        <f>IF($G878&lt;&gt;"Valid","",VLOOKUP($E878&amp;"|"&amp;$F878,Cluster_Master!$I$3:$H$17,5,FALSE))</f>
        <v/>
      </c>
      <c r="K878" s="7">
        <f>IF($G878&lt;&gt;"Valid","",VLOOKUP($E878&amp;"|"&amp;$F878,Cluster_Master!$I$3:$H$17,6,FALSE))</f>
        <v/>
      </c>
      <c r="L878" s="7">
        <f>IF($G878&lt;&gt;"Valid","",VLOOKUP($E878&amp;"|"&amp;$F878,Cluster_Master!$I$3:$H$17,7,FALSE))</f>
        <v/>
      </c>
      <c r="M878" s="7">
        <f>IF($G878&lt;&gt;"Valid","",VLOOKUP($E878&amp;"|"&amp;$F878,Cluster_Master!$I$3:$H$17,8,FALSE))</f>
        <v/>
      </c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7">
        <f>IF(COUNT(T878:AH878)=0,"",SUM(T878:AH878))</f>
        <v/>
      </c>
      <c r="AJ878" s="10">
        <f>IF(AI878="","",AI878/75)</f>
        <v/>
      </c>
      <c r="AK878" s="10">
        <f>IF(AI878="","",SUMPRODUCT(T878:AH878,KPI_Weights!$B$3:$B$17)/5)</f>
        <v/>
      </c>
      <c r="AL878" s="7">
        <f>IF(COUNT(T878:AH878)=0,"",IF(OR(T878&lt;=1,W878&lt;=1,X878&lt;=1,Y878&lt;=1,AB878&lt;=1),"YES","NO"))</f>
        <v/>
      </c>
      <c r="AM878" s="7">
        <f>IF(AK878="","",IF(AND(AK878="NO",AJ878&gt;=0.85),"YES","NO"))</f>
        <v/>
      </c>
      <c r="AN878" s="7">
        <f>IF(AJ878="","",IF(AJ878&gt;=0.90,"Excellent",IF(AJ878&gt;=0.80,"Good",IF(AJ878&gt;=0.70,"Fair","Poor"))))</f>
        <v/>
      </c>
      <c r="AO878" s="12" t="n"/>
      <c r="AP878" s="12" t="n"/>
      <c r="AQ878" s="12" t="n"/>
      <c r="AR878" s="12" t="n"/>
      <c r="AS878" s="12" t="n"/>
      <c r="AT878" s="12" t="n"/>
      <c r="AU878" s="12" t="n"/>
      <c r="AV878" s="11" t="n"/>
      <c r="AW878" s="12" t="n"/>
      <c r="AX878" s="12" t="n"/>
      <c r="AY878" s="12" t="n"/>
      <c r="AZ878" s="12" t="n"/>
      <c r="BA878" s="12" t="n"/>
      <c r="BB878" s="12" t="n"/>
      <c r="BC878" s="12" t="n"/>
      <c r="BD878" s="12" t="n"/>
      <c r="BE878" s="12" t="n"/>
      <c r="BF878" s="12" t="n"/>
    </row>
    <row r="879">
      <c r="A879" s="7">
        <f>IF(B879="","","INS-"&amp;TEXT(ROW()-3,"000"))</f>
        <v/>
      </c>
      <c r="B879" s="11" t="n"/>
      <c r="C879" s="7">
        <f>IF(B879="","",ISOWEEKNUM(B879))</f>
        <v/>
      </c>
      <c r="D879" s="7">
        <f>IF(B879="","",TEXT(B879,"yyyy-mm"))</f>
        <v/>
      </c>
      <c r="E879" s="12" t="n"/>
      <c r="F879" s="12" t="n"/>
      <c r="G879" s="7">
        <f>IF(OR(E879="",F879=""),"",IF(COUNTIF(Cluster_Master!$I$3:$I$17,E879&amp;"|"&amp;F879)=1,"Valid","Review"))</f>
        <v/>
      </c>
      <c r="H879" s="7">
        <f>IF($G879&lt;&gt;"Valid","",VLOOKUP($E879&amp;"|"&amp;$F879,Cluster_Master!$I$3:$H$17,3,FALSE))</f>
        <v/>
      </c>
      <c r="I879" s="7">
        <f>IF($G879&lt;&gt;"Valid","",VLOOKUP($E879&amp;"|"&amp;$F879,Cluster_Master!$I$3:$H$17,4,FALSE))</f>
        <v/>
      </c>
      <c r="J879" s="7">
        <f>IF($G879&lt;&gt;"Valid","",VLOOKUP($E879&amp;"|"&amp;$F879,Cluster_Master!$I$3:$H$17,5,FALSE))</f>
        <v/>
      </c>
      <c r="K879" s="7">
        <f>IF($G879&lt;&gt;"Valid","",VLOOKUP($E879&amp;"|"&amp;$F879,Cluster_Master!$I$3:$H$17,6,FALSE))</f>
        <v/>
      </c>
      <c r="L879" s="7">
        <f>IF($G879&lt;&gt;"Valid","",VLOOKUP($E879&amp;"|"&amp;$F879,Cluster_Master!$I$3:$H$17,7,FALSE))</f>
        <v/>
      </c>
      <c r="M879" s="7">
        <f>IF($G879&lt;&gt;"Valid","",VLOOKUP($E879&amp;"|"&amp;$F879,Cluster_Master!$I$3:$H$17,8,FALSE))</f>
        <v/>
      </c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7">
        <f>IF(COUNT(T879:AH879)=0,"",SUM(T879:AH879))</f>
        <v/>
      </c>
      <c r="AJ879" s="10">
        <f>IF(AI879="","",AI879/75)</f>
        <v/>
      </c>
      <c r="AK879" s="10">
        <f>IF(AI879="","",SUMPRODUCT(T879:AH879,KPI_Weights!$B$3:$B$17)/5)</f>
        <v/>
      </c>
      <c r="AL879" s="7">
        <f>IF(COUNT(T879:AH879)=0,"",IF(OR(T879&lt;=1,W879&lt;=1,X879&lt;=1,Y879&lt;=1,AB879&lt;=1),"YES","NO"))</f>
        <v/>
      </c>
      <c r="AM879" s="7">
        <f>IF(AK879="","",IF(AND(AK879="NO",AJ879&gt;=0.85),"YES","NO"))</f>
        <v/>
      </c>
      <c r="AN879" s="7">
        <f>IF(AJ879="","",IF(AJ879&gt;=0.90,"Excellent",IF(AJ879&gt;=0.80,"Good",IF(AJ879&gt;=0.70,"Fair","Poor"))))</f>
        <v/>
      </c>
      <c r="AO879" s="12" t="n"/>
      <c r="AP879" s="12" t="n"/>
      <c r="AQ879" s="12" t="n"/>
      <c r="AR879" s="12" t="n"/>
      <c r="AS879" s="12" t="n"/>
      <c r="AT879" s="12" t="n"/>
      <c r="AU879" s="12" t="n"/>
      <c r="AV879" s="11" t="n"/>
      <c r="AW879" s="12" t="n"/>
      <c r="AX879" s="12" t="n"/>
      <c r="AY879" s="12" t="n"/>
      <c r="AZ879" s="12" t="n"/>
      <c r="BA879" s="12" t="n"/>
      <c r="BB879" s="12" t="n"/>
      <c r="BC879" s="12" t="n"/>
      <c r="BD879" s="12" t="n"/>
      <c r="BE879" s="12" t="n"/>
      <c r="BF879" s="12" t="n"/>
    </row>
    <row r="880">
      <c r="A880" s="7">
        <f>IF(B880="","","INS-"&amp;TEXT(ROW()-3,"000"))</f>
        <v/>
      </c>
      <c r="B880" s="11" t="n"/>
      <c r="C880" s="7">
        <f>IF(B880="","",ISOWEEKNUM(B880))</f>
        <v/>
      </c>
      <c r="D880" s="7">
        <f>IF(B880="","",TEXT(B880,"yyyy-mm"))</f>
        <v/>
      </c>
      <c r="E880" s="12" t="n"/>
      <c r="F880" s="12" t="n"/>
      <c r="G880" s="7">
        <f>IF(OR(E880="",F880=""),"",IF(COUNTIF(Cluster_Master!$I$3:$I$17,E880&amp;"|"&amp;F880)=1,"Valid","Review"))</f>
        <v/>
      </c>
      <c r="H880" s="7">
        <f>IF($G880&lt;&gt;"Valid","",VLOOKUP($E880&amp;"|"&amp;$F880,Cluster_Master!$I$3:$H$17,3,FALSE))</f>
        <v/>
      </c>
      <c r="I880" s="7">
        <f>IF($G880&lt;&gt;"Valid","",VLOOKUP($E880&amp;"|"&amp;$F880,Cluster_Master!$I$3:$H$17,4,FALSE))</f>
        <v/>
      </c>
      <c r="J880" s="7">
        <f>IF($G880&lt;&gt;"Valid","",VLOOKUP($E880&amp;"|"&amp;$F880,Cluster_Master!$I$3:$H$17,5,FALSE))</f>
        <v/>
      </c>
      <c r="K880" s="7">
        <f>IF($G880&lt;&gt;"Valid","",VLOOKUP($E880&amp;"|"&amp;$F880,Cluster_Master!$I$3:$H$17,6,FALSE))</f>
        <v/>
      </c>
      <c r="L880" s="7">
        <f>IF($G880&lt;&gt;"Valid","",VLOOKUP($E880&amp;"|"&amp;$F880,Cluster_Master!$I$3:$H$17,7,FALSE))</f>
        <v/>
      </c>
      <c r="M880" s="7">
        <f>IF($G880&lt;&gt;"Valid","",VLOOKUP($E880&amp;"|"&amp;$F880,Cluster_Master!$I$3:$H$17,8,FALSE))</f>
        <v/>
      </c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7">
        <f>IF(COUNT(T880:AH880)=0,"",SUM(T880:AH880))</f>
        <v/>
      </c>
      <c r="AJ880" s="10">
        <f>IF(AI880="","",AI880/75)</f>
        <v/>
      </c>
      <c r="AK880" s="10">
        <f>IF(AI880="","",SUMPRODUCT(T880:AH880,KPI_Weights!$B$3:$B$17)/5)</f>
        <v/>
      </c>
      <c r="AL880" s="7">
        <f>IF(COUNT(T880:AH880)=0,"",IF(OR(T880&lt;=1,W880&lt;=1,X880&lt;=1,Y880&lt;=1,AB880&lt;=1),"YES","NO"))</f>
        <v/>
      </c>
      <c r="AM880" s="7">
        <f>IF(AK880="","",IF(AND(AK880="NO",AJ880&gt;=0.85),"YES","NO"))</f>
        <v/>
      </c>
      <c r="AN880" s="7">
        <f>IF(AJ880="","",IF(AJ880&gt;=0.90,"Excellent",IF(AJ880&gt;=0.80,"Good",IF(AJ880&gt;=0.70,"Fair","Poor"))))</f>
        <v/>
      </c>
      <c r="AO880" s="12" t="n"/>
      <c r="AP880" s="12" t="n"/>
      <c r="AQ880" s="12" t="n"/>
      <c r="AR880" s="12" t="n"/>
      <c r="AS880" s="12" t="n"/>
      <c r="AT880" s="12" t="n"/>
      <c r="AU880" s="12" t="n"/>
      <c r="AV880" s="11" t="n"/>
      <c r="AW880" s="12" t="n"/>
      <c r="AX880" s="12" t="n"/>
      <c r="AY880" s="12" t="n"/>
      <c r="AZ880" s="12" t="n"/>
      <c r="BA880" s="12" t="n"/>
      <c r="BB880" s="12" t="n"/>
      <c r="BC880" s="12" t="n"/>
      <c r="BD880" s="12" t="n"/>
      <c r="BE880" s="12" t="n"/>
      <c r="BF880" s="12" t="n"/>
    </row>
    <row r="881">
      <c r="A881" s="7">
        <f>IF(B881="","","INS-"&amp;TEXT(ROW()-3,"000"))</f>
        <v/>
      </c>
      <c r="B881" s="11" t="n"/>
      <c r="C881" s="7">
        <f>IF(B881="","",ISOWEEKNUM(B881))</f>
        <v/>
      </c>
      <c r="D881" s="7">
        <f>IF(B881="","",TEXT(B881,"yyyy-mm"))</f>
        <v/>
      </c>
      <c r="E881" s="12" t="n"/>
      <c r="F881" s="12" t="n"/>
      <c r="G881" s="7">
        <f>IF(OR(E881="",F881=""),"",IF(COUNTIF(Cluster_Master!$I$3:$I$17,E881&amp;"|"&amp;F881)=1,"Valid","Review"))</f>
        <v/>
      </c>
      <c r="H881" s="7">
        <f>IF($G881&lt;&gt;"Valid","",VLOOKUP($E881&amp;"|"&amp;$F881,Cluster_Master!$I$3:$H$17,3,FALSE))</f>
        <v/>
      </c>
      <c r="I881" s="7">
        <f>IF($G881&lt;&gt;"Valid","",VLOOKUP($E881&amp;"|"&amp;$F881,Cluster_Master!$I$3:$H$17,4,FALSE))</f>
        <v/>
      </c>
      <c r="J881" s="7">
        <f>IF($G881&lt;&gt;"Valid","",VLOOKUP($E881&amp;"|"&amp;$F881,Cluster_Master!$I$3:$H$17,5,FALSE))</f>
        <v/>
      </c>
      <c r="K881" s="7">
        <f>IF($G881&lt;&gt;"Valid","",VLOOKUP($E881&amp;"|"&amp;$F881,Cluster_Master!$I$3:$H$17,6,FALSE))</f>
        <v/>
      </c>
      <c r="L881" s="7">
        <f>IF($G881&lt;&gt;"Valid","",VLOOKUP($E881&amp;"|"&amp;$F881,Cluster_Master!$I$3:$H$17,7,FALSE))</f>
        <v/>
      </c>
      <c r="M881" s="7">
        <f>IF($G881&lt;&gt;"Valid","",VLOOKUP($E881&amp;"|"&amp;$F881,Cluster_Master!$I$3:$H$17,8,FALSE))</f>
        <v/>
      </c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7">
        <f>IF(COUNT(T881:AH881)=0,"",SUM(T881:AH881))</f>
        <v/>
      </c>
      <c r="AJ881" s="10">
        <f>IF(AI881="","",AI881/75)</f>
        <v/>
      </c>
      <c r="AK881" s="10">
        <f>IF(AI881="","",SUMPRODUCT(T881:AH881,KPI_Weights!$B$3:$B$17)/5)</f>
        <v/>
      </c>
      <c r="AL881" s="7">
        <f>IF(COUNT(T881:AH881)=0,"",IF(OR(T881&lt;=1,W881&lt;=1,X881&lt;=1,Y881&lt;=1,AB881&lt;=1),"YES","NO"))</f>
        <v/>
      </c>
      <c r="AM881" s="7">
        <f>IF(AK881="","",IF(AND(AK881="NO",AJ881&gt;=0.85),"YES","NO"))</f>
        <v/>
      </c>
      <c r="AN881" s="7">
        <f>IF(AJ881="","",IF(AJ881&gt;=0.90,"Excellent",IF(AJ881&gt;=0.80,"Good",IF(AJ881&gt;=0.70,"Fair","Poor"))))</f>
        <v/>
      </c>
      <c r="AO881" s="12" t="n"/>
      <c r="AP881" s="12" t="n"/>
      <c r="AQ881" s="12" t="n"/>
      <c r="AR881" s="12" t="n"/>
      <c r="AS881" s="12" t="n"/>
      <c r="AT881" s="12" t="n"/>
      <c r="AU881" s="12" t="n"/>
      <c r="AV881" s="11" t="n"/>
      <c r="AW881" s="12" t="n"/>
      <c r="AX881" s="12" t="n"/>
      <c r="AY881" s="12" t="n"/>
      <c r="AZ881" s="12" t="n"/>
      <c r="BA881" s="12" t="n"/>
      <c r="BB881" s="12" t="n"/>
      <c r="BC881" s="12" t="n"/>
      <c r="BD881" s="12" t="n"/>
      <c r="BE881" s="12" t="n"/>
      <c r="BF881" s="12" t="n"/>
    </row>
    <row r="882">
      <c r="A882" s="7">
        <f>IF(B882="","","INS-"&amp;TEXT(ROW()-3,"000"))</f>
        <v/>
      </c>
      <c r="B882" s="11" t="n"/>
      <c r="C882" s="7">
        <f>IF(B882="","",ISOWEEKNUM(B882))</f>
        <v/>
      </c>
      <c r="D882" s="7">
        <f>IF(B882="","",TEXT(B882,"yyyy-mm"))</f>
        <v/>
      </c>
      <c r="E882" s="12" t="n"/>
      <c r="F882" s="12" t="n"/>
      <c r="G882" s="7">
        <f>IF(OR(E882="",F882=""),"",IF(COUNTIF(Cluster_Master!$I$3:$I$17,E882&amp;"|"&amp;F882)=1,"Valid","Review"))</f>
        <v/>
      </c>
      <c r="H882" s="7">
        <f>IF($G882&lt;&gt;"Valid","",VLOOKUP($E882&amp;"|"&amp;$F882,Cluster_Master!$I$3:$H$17,3,FALSE))</f>
        <v/>
      </c>
      <c r="I882" s="7">
        <f>IF($G882&lt;&gt;"Valid","",VLOOKUP($E882&amp;"|"&amp;$F882,Cluster_Master!$I$3:$H$17,4,FALSE))</f>
        <v/>
      </c>
      <c r="J882" s="7">
        <f>IF($G882&lt;&gt;"Valid","",VLOOKUP($E882&amp;"|"&amp;$F882,Cluster_Master!$I$3:$H$17,5,FALSE))</f>
        <v/>
      </c>
      <c r="K882" s="7">
        <f>IF($G882&lt;&gt;"Valid","",VLOOKUP($E882&amp;"|"&amp;$F882,Cluster_Master!$I$3:$H$17,6,FALSE))</f>
        <v/>
      </c>
      <c r="L882" s="7">
        <f>IF($G882&lt;&gt;"Valid","",VLOOKUP($E882&amp;"|"&amp;$F882,Cluster_Master!$I$3:$H$17,7,FALSE))</f>
        <v/>
      </c>
      <c r="M882" s="7">
        <f>IF($G882&lt;&gt;"Valid","",VLOOKUP($E882&amp;"|"&amp;$F882,Cluster_Master!$I$3:$H$17,8,FALSE))</f>
        <v/>
      </c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7">
        <f>IF(COUNT(T882:AH882)=0,"",SUM(T882:AH882))</f>
        <v/>
      </c>
      <c r="AJ882" s="10">
        <f>IF(AI882="","",AI882/75)</f>
        <v/>
      </c>
      <c r="AK882" s="10">
        <f>IF(AI882="","",SUMPRODUCT(T882:AH882,KPI_Weights!$B$3:$B$17)/5)</f>
        <v/>
      </c>
      <c r="AL882" s="7">
        <f>IF(COUNT(T882:AH882)=0,"",IF(OR(T882&lt;=1,W882&lt;=1,X882&lt;=1,Y882&lt;=1,AB882&lt;=1),"YES","NO"))</f>
        <v/>
      </c>
      <c r="AM882" s="7">
        <f>IF(AK882="","",IF(AND(AK882="NO",AJ882&gt;=0.85),"YES","NO"))</f>
        <v/>
      </c>
      <c r="AN882" s="7">
        <f>IF(AJ882="","",IF(AJ882&gt;=0.90,"Excellent",IF(AJ882&gt;=0.80,"Good",IF(AJ882&gt;=0.70,"Fair","Poor"))))</f>
        <v/>
      </c>
      <c r="AO882" s="12" t="n"/>
      <c r="AP882" s="12" t="n"/>
      <c r="AQ882" s="12" t="n"/>
      <c r="AR882" s="12" t="n"/>
      <c r="AS882" s="12" t="n"/>
      <c r="AT882" s="12" t="n"/>
      <c r="AU882" s="12" t="n"/>
      <c r="AV882" s="11" t="n"/>
      <c r="AW882" s="12" t="n"/>
      <c r="AX882" s="12" t="n"/>
      <c r="AY882" s="12" t="n"/>
      <c r="AZ882" s="12" t="n"/>
      <c r="BA882" s="12" t="n"/>
      <c r="BB882" s="12" t="n"/>
      <c r="BC882" s="12" t="n"/>
      <c r="BD882" s="12" t="n"/>
      <c r="BE882" s="12" t="n"/>
      <c r="BF882" s="12" t="n"/>
    </row>
    <row r="883">
      <c r="A883" s="7">
        <f>IF(B883="","","INS-"&amp;TEXT(ROW()-3,"000"))</f>
        <v/>
      </c>
      <c r="B883" s="11" t="n"/>
      <c r="C883" s="7">
        <f>IF(B883="","",ISOWEEKNUM(B883))</f>
        <v/>
      </c>
      <c r="D883" s="7">
        <f>IF(B883="","",TEXT(B883,"yyyy-mm"))</f>
        <v/>
      </c>
      <c r="E883" s="12" t="n"/>
      <c r="F883" s="12" t="n"/>
      <c r="G883" s="7">
        <f>IF(OR(E883="",F883=""),"",IF(COUNTIF(Cluster_Master!$I$3:$I$17,E883&amp;"|"&amp;F883)=1,"Valid","Review"))</f>
        <v/>
      </c>
      <c r="H883" s="7">
        <f>IF($G883&lt;&gt;"Valid","",VLOOKUP($E883&amp;"|"&amp;$F883,Cluster_Master!$I$3:$H$17,3,FALSE))</f>
        <v/>
      </c>
      <c r="I883" s="7">
        <f>IF($G883&lt;&gt;"Valid","",VLOOKUP($E883&amp;"|"&amp;$F883,Cluster_Master!$I$3:$H$17,4,FALSE))</f>
        <v/>
      </c>
      <c r="J883" s="7">
        <f>IF($G883&lt;&gt;"Valid","",VLOOKUP($E883&amp;"|"&amp;$F883,Cluster_Master!$I$3:$H$17,5,FALSE))</f>
        <v/>
      </c>
      <c r="K883" s="7">
        <f>IF($G883&lt;&gt;"Valid","",VLOOKUP($E883&amp;"|"&amp;$F883,Cluster_Master!$I$3:$H$17,6,FALSE))</f>
        <v/>
      </c>
      <c r="L883" s="7">
        <f>IF($G883&lt;&gt;"Valid","",VLOOKUP($E883&amp;"|"&amp;$F883,Cluster_Master!$I$3:$H$17,7,FALSE))</f>
        <v/>
      </c>
      <c r="M883" s="7">
        <f>IF($G883&lt;&gt;"Valid","",VLOOKUP($E883&amp;"|"&amp;$F883,Cluster_Master!$I$3:$H$17,8,FALSE))</f>
        <v/>
      </c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7">
        <f>IF(COUNT(T883:AH883)=0,"",SUM(T883:AH883))</f>
        <v/>
      </c>
      <c r="AJ883" s="10">
        <f>IF(AI883="","",AI883/75)</f>
        <v/>
      </c>
      <c r="AK883" s="10">
        <f>IF(AI883="","",SUMPRODUCT(T883:AH883,KPI_Weights!$B$3:$B$17)/5)</f>
        <v/>
      </c>
      <c r="AL883" s="7">
        <f>IF(COUNT(T883:AH883)=0,"",IF(OR(T883&lt;=1,W883&lt;=1,X883&lt;=1,Y883&lt;=1,AB883&lt;=1),"YES","NO"))</f>
        <v/>
      </c>
      <c r="AM883" s="7">
        <f>IF(AK883="","",IF(AND(AK883="NO",AJ883&gt;=0.85),"YES","NO"))</f>
        <v/>
      </c>
      <c r="AN883" s="7">
        <f>IF(AJ883="","",IF(AJ883&gt;=0.90,"Excellent",IF(AJ883&gt;=0.80,"Good",IF(AJ883&gt;=0.70,"Fair","Poor"))))</f>
        <v/>
      </c>
      <c r="AO883" s="12" t="n"/>
      <c r="AP883" s="12" t="n"/>
      <c r="AQ883" s="12" t="n"/>
      <c r="AR883" s="12" t="n"/>
      <c r="AS883" s="12" t="n"/>
      <c r="AT883" s="12" t="n"/>
      <c r="AU883" s="12" t="n"/>
      <c r="AV883" s="11" t="n"/>
      <c r="AW883" s="12" t="n"/>
      <c r="AX883" s="12" t="n"/>
      <c r="AY883" s="12" t="n"/>
      <c r="AZ883" s="12" t="n"/>
      <c r="BA883" s="12" t="n"/>
      <c r="BB883" s="12" t="n"/>
      <c r="BC883" s="12" t="n"/>
      <c r="BD883" s="12" t="n"/>
      <c r="BE883" s="12" t="n"/>
      <c r="BF883" s="12" t="n"/>
    </row>
    <row r="884">
      <c r="A884" s="7">
        <f>IF(B884="","","INS-"&amp;TEXT(ROW()-3,"000"))</f>
        <v/>
      </c>
      <c r="B884" s="11" t="n"/>
      <c r="C884" s="7">
        <f>IF(B884="","",ISOWEEKNUM(B884))</f>
        <v/>
      </c>
      <c r="D884" s="7">
        <f>IF(B884="","",TEXT(B884,"yyyy-mm"))</f>
        <v/>
      </c>
      <c r="E884" s="12" t="n"/>
      <c r="F884" s="12" t="n"/>
      <c r="G884" s="7">
        <f>IF(OR(E884="",F884=""),"",IF(COUNTIF(Cluster_Master!$I$3:$I$17,E884&amp;"|"&amp;F884)=1,"Valid","Review"))</f>
        <v/>
      </c>
      <c r="H884" s="7">
        <f>IF($G884&lt;&gt;"Valid","",VLOOKUP($E884&amp;"|"&amp;$F884,Cluster_Master!$I$3:$H$17,3,FALSE))</f>
        <v/>
      </c>
      <c r="I884" s="7">
        <f>IF($G884&lt;&gt;"Valid","",VLOOKUP($E884&amp;"|"&amp;$F884,Cluster_Master!$I$3:$H$17,4,FALSE))</f>
        <v/>
      </c>
      <c r="J884" s="7">
        <f>IF($G884&lt;&gt;"Valid","",VLOOKUP($E884&amp;"|"&amp;$F884,Cluster_Master!$I$3:$H$17,5,FALSE))</f>
        <v/>
      </c>
      <c r="K884" s="7">
        <f>IF($G884&lt;&gt;"Valid","",VLOOKUP($E884&amp;"|"&amp;$F884,Cluster_Master!$I$3:$H$17,6,FALSE))</f>
        <v/>
      </c>
      <c r="L884" s="7">
        <f>IF($G884&lt;&gt;"Valid","",VLOOKUP($E884&amp;"|"&amp;$F884,Cluster_Master!$I$3:$H$17,7,FALSE))</f>
        <v/>
      </c>
      <c r="M884" s="7">
        <f>IF($G884&lt;&gt;"Valid","",VLOOKUP($E884&amp;"|"&amp;$F884,Cluster_Master!$I$3:$H$17,8,FALSE))</f>
        <v/>
      </c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7">
        <f>IF(COUNT(T884:AH884)=0,"",SUM(T884:AH884))</f>
        <v/>
      </c>
      <c r="AJ884" s="10">
        <f>IF(AI884="","",AI884/75)</f>
        <v/>
      </c>
      <c r="AK884" s="10">
        <f>IF(AI884="","",SUMPRODUCT(T884:AH884,KPI_Weights!$B$3:$B$17)/5)</f>
        <v/>
      </c>
      <c r="AL884" s="7">
        <f>IF(COUNT(T884:AH884)=0,"",IF(OR(T884&lt;=1,W884&lt;=1,X884&lt;=1,Y884&lt;=1,AB884&lt;=1),"YES","NO"))</f>
        <v/>
      </c>
      <c r="AM884" s="7">
        <f>IF(AK884="","",IF(AND(AK884="NO",AJ884&gt;=0.85),"YES","NO"))</f>
        <v/>
      </c>
      <c r="AN884" s="7">
        <f>IF(AJ884="","",IF(AJ884&gt;=0.90,"Excellent",IF(AJ884&gt;=0.80,"Good",IF(AJ884&gt;=0.70,"Fair","Poor"))))</f>
        <v/>
      </c>
      <c r="AO884" s="12" t="n"/>
      <c r="AP884" s="12" t="n"/>
      <c r="AQ884" s="12" t="n"/>
      <c r="AR884" s="12" t="n"/>
      <c r="AS884" s="12" t="n"/>
      <c r="AT884" s="12" t="n"/>
      <c r="AU884" s="12" t="n"/>
      <c r="AV884" s="11" t="n"/>
      <c r="AW884" s="12" t="n"/>
      <c r="AX884" s="12" t="n"/>
      <c r="AY884" s="12" t="n"/>
      <c r="AZ884" s="12" t="n"/>
      <c r="BA884" s="12" t="n"/>
      <c r="BB884" s="12" t="n"/>
      <c r="BC884" s="12" t="n"/>
      <c r="BD884" s="12" t="n"/>
      <c r="BE884" s="12" t="n"/>
      <c r="BF884" s="12" t="n"/>
    </row>
    <row r="885">
      <c r="A885" s="7">
        <f>IF(B885="","","INS-"&amp;TEXT(ROW()-3,"000"))</f>
        <v/>
      </c>
      <c r="B885" s="11" t="n"/>
      <c r="C885" s="7">
        <f>IF(B885="","",ISOWEEKNUM(B885))</f>
        <v/>
      </c>
      <c r="D885" s="7">
        <f>IF(B885="","",TEXT(B885,"yyyy-mm"))</f>
        <v/>
      </c>
      <c r="E885" s="12" t="n"/>
      <c r="F885" s="12" t="n"/>
      <c r="G885" s="7">
        <f>IF(OR(E885="",F885=""),"",IF(COUNTIF(Cluster_Master!$I$3:$I$17,E885&amp;"|"&amp;F885)=1,"Valid","Review"))</f>
        <v/>
      </c>
      <c r="H885" s="7">
        <f>IF($G885&lt;&gt;"Valid","",VLOOKUP($E885&amp;"|"&amp;$F885,Cluster_Master!$I$3:$H$17,3,FALSE))</f>
        <v/>
      </c>
      <c r="I885" s="7">
        <f>IF($G885&lt;&gt;"Valid","",VLOOKUP($E885&amp;"|"&amp;$F885,Cluster_Master!$I$3:$H$17,4,FALSE))</f>
        <v/>
      </c>
      <c r="J885" s="7">
        <f>IF($G885&lt;&gt;"Valid","",VLOOKUP($E885&amp;"|"&amp;$F885,Cluster_Master!$I$3:$H$17,5,FALSE))</f>
        <v/>
      </c>
      <c r="K885" s="7">
        <f>IF($G885&lt;&gt;"Valid","",VLOOKUP($E885&amp;"|"&amp;$F885,Cluster_Master!$I$3:$H$17,6,FALSE))</f>
        <v/>
      </c>
      <c r="L885" s="7">
        <f>IF($G885&lt;&gt;"Valid","",VLOOKUP($E885&amp;"|"&amp;$F885,Cluster_Master!$I$3:$H$17,7,FALSE))</f>
        <v/>
      </c>
      <c r="M885" s="7">
        <f>IF($G885&lt;&gt;"Valid","",VLOOKUP($E885&amp;"|"&amp;$F885,Cluster_Master!$I$3:$H$17,8,FALSE))</f>
        <v/>
      </c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7">
        <f>IF(COUNT(T885:AH885)=0,"",SUM(T885:AH885))</f>
        <v/>
      </c>
      <c r="AJ885" s="10">
        <f>IF(AI885="","",AI885/75)</f>
        <v/>
      </c>
      <c r="AK885" s="10">
        <f>IF(AI885="","",SUMPRODUCT(T885:AH885,KPI_Weights!$B$3:$B$17)/5)</f>
        <v/>
      </c>
      <c r="AL885" s="7">
        <f>IF(COUNT(T885:AH885)=0,"",IF(OR(T885&lt;=1,W885&lt;=1,X885&lt;=1,Y885&lt;=1,AB885&lt;=1),"YES","NO"))</f>
        <v/>
      </c>
      <c r="AM885" s="7">
        <f>IF(AK885="","",IF(AND(AK885="NO",AJ885&gt;=0.85),"YES","NO"))</f>
        <v/>
      </c>
      <c r="AN885" s="7">
        <f>IF(AJ885="","",IF(AJ885&gt;=0.90,"Excellent",IF(AJ885&gt;=0.80,"Good",IF(AJ885&gt;=0.70,"Fair","Poor"))))</f>
        <v/>
      </c>
      <c r="AO885" s="12" t="n"/>
      <c r="AP885" s="12" t="n"/>
      <c r="AQ885" s="12" t="n"/>
      <c r="AR885" s="12" t="n"/>
      <c r="AS885" s="12" t="n"/>
      <c r="AT885" s="12" t="n"/>
      <c r="AU885" s="12" t="n"/>
      <c r="AV885" s="11" t="n"/>
      <c r="AW885" s="12" t="n"/>
      <c r="AX885" s="12" t="n"/>
      <c r="AY885" s="12" t="n"/>
      <c r="AZ885" s="12" t="n"/>
      <c r="BA885" s="12" t="n"/>
      <c r="BB885" s="12" t="n"/>
      <c r="BC885" s="12" t="n"/>
      <c r="BD885" s="12" t="n"/>
      <c r="BE885" s="12" t="n"/>
      <c r="BF885" s="12" t="n"/>
    </row>
    <row r="886">
      <c r="A886" s="7">
        <f>IF(B886="","","INS-"&amp;TEXT(ROW()-3,"000"))</f>
        <v/>
      </c>
      <c r="B886" s="11" t="n"/>
      <c r="C886" s="7">
        <f>IF(B886="","",ISOWEEKNUM(B886))</f>
        <v/>
      </c>
      <c r="D886" s="7">
        <f>IF(B886="","",TEXT(B886,"yyyy-mm"))</f>
        <v/>
      </c>
      <c r="E886" s="12" t="n"/>
      <c r="F886" s="12" t="n"/>
      <c r="G886" s="7">
        <f>IF(OR(E886="",F886=""),"",IF(COUNTIF(Cluster_Master!$I$3:$I$17,E886&amp;"|"&amp;F886)=1,"Valid","Review"))</f>
        <v/>
      </c>
      <c r="H886" s="7">
        <f>IF($G886&lt;&gt;"Valid","",VLOOKUP($E886&amp;"|"&amp;$F886,Cluster_Master!$I$3:$H$17,3,FALSE))</f>
        <v/>
      </c>
      <c r="I886" s="7">
        <f>IF($G886&lt;&gt;"Valid","",VLOOKUP($E886&amp;"|"&amp;$F886,Cluster_Master!$I$3:$H$17,4,FALSE))</f>
        <v/>
      </c>
      <c r="J886" s="7">
        <f>IF($G886&lt;&gt;"Valid","",VLOOKUP($E886&amp;"|"&amp;$F886,Cluster_Master!$I$3:$H$17,5,FALSE))</f>
        <v/>
      </c>
      <c r="K886" s="7">
        <f>IF($G886&lt;&gt;"Valid","",VLOOKUP($E886&amp;"|"&amp;$F886,Cluster_Master!$I$3:$H$17,6,FALSE))</f>
        <v/>
      </c>
      <c r="L886" s="7">
        <f>IF($G886&lt;&gt;"Valid","",VLOOKUP($E886&amp;"|"&amp;$F886,Cluster_Master!$I$3:$H$17,7,FALSE))</f>
        <v/>
      </c>
      <c r="M886" s="7">
        <f>IF($G886&lt;&gt;"Valid","",VLOOKUP($E886&amp;"|"&amp;$F886,Cluster_Master!$I$3:$H$17,8,FALSE))</f>
        <v/>
      </c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7">
        <f>IF(COUNT(T886:AH886)=0,"",SUM(T886:AH886))</f>
        <v/>
      </c>
      <c r="AJ886" s="10">
        <f>IF(AI886="","",AI886/75)</f>
        <v/>
      </c>
      <c r="AK886" s="10">
        <f>IF(AI886="","",SUMPRODUCT(T886:AH886,KPI_Weights!$B$3:$B$17)/5)</f>
        <v/>
      </c>
      <c r="AL886" s="7">
        <f>IF(COUNT(T886:AH886)=0,"",IF(OR(T886&lt;=1,W886&lt;=1,X886&lt;=1,Y886&lt;=1,AB886&lt;=1),"YES","NO"))</f>
        <v/>
      </c>
      <c r="AM886" s="7">
        <f>IF(AK886="","",IF(AND(AK886="NO",AJ886&gt;=0.85),"YES","NO"))</f>
        <v/>
      </c>
      <c r="AN886" s="7">
        <f>IF(AJ886="","",IF(AJ886&gt;=0.90,"Excellent",IF(AJ886&gt;=0.80,"Good",IF(AJ886&gt;=0.70,"Fair","Poor"))))</f>
        <v/>
      </c>
      <c r="AO886" s="12" t="n"/>
      <c r="AP886" s="12" t="n"/>
      <c r="AQ886" s="12" t="n"/>
      <c r="AR886" s="12" t="n"/>
      <c r="AS886" s="12" t="n"/>
      <c r="AT886" s="12" t="n"/>
      <c r="AU886" s="12" t="n"/>
      <c r="AV886" s="11" t="n"/>
      <c r="AW886" s="12" t="n"/>
      <c r="AX886" s="12" t="n"/>
      <c r="AY886" s="12" t="n"/>
      <c r="AZ886" s="12" t="n"/>
      <c r="BA886" s="12" t="n"/>
      <c r="BB886" s="12" t="n"/>
      <c r="BC886" s="12" t="n"/>
      <c r="BD886" s="12" t="n"/>
      <c r="BE886" s="12" t="n"/>
      <c r="BF886" s="12" t="n"/>
    </row>
    <row r="887">
      <c r="A887" s="7">
        <f>IF(B887="","","INS-"&amp;TEXT(ROW()-3,"000"))</f>
        <v/>
      </c>
      <c r="B887" s="11" t="n"/>
      <c r="C887" s="7">
        <f>IF(B887="","",ISOWEEKNUM(B887))</f>
        <v/>
      </c>
      <c r="D887" s="7">
        <f>IF(B887="","",TEXT(B887,"yyyy-mm"))</f>
        <v/>
      </c>
      <c r="E887" s="12" t="n"/>
      <c r="F887" s="12" t="n"/>
      <c r="G887" s="7">
        <f>IF(OR(E887="",F887=""),"",IF(COUNTIF(Cluster_Master!$I$3:$I$17,E887&amp;"|"&amp;F887)=1,"Valid","Review"))</f>
        <v/>
      </c>
      <c r="H887" s="7">
        <f>IF($G887&lt;&gt;"Valid","",VLOOKUP($E887&amp;"|"&amp;$F887,Cluster_Master!$I$3:$H$17,3,FALSE))</f>
        <v/>
      </c>
      <c r="I887" s="7">
        <f>IF($G887&lt;&gt;"Valid","",VLOOKUP($E887&amp;"|"&amp;$F887,Cluster_Master!$I$3:$H$17,4,FALSE))</f>
        <v/>
      </c>
      <c r="J887" s="7">
        <f>IF($G887&lt;&gt;"Valid","",VLOOKUP($E887&amp;"|"&amp;$F887,Cluster_Master!$I$3:$H$17,5,FALSE))</f>
        <v/>
      </c>
      <c r="K887" s="7">
        <f>IF($G887&lt;&gt;"Valid","",VLOOKUP($E887&amp;"|"&amp;$F887,Cluster_Master!$I$3:$H$17,6,FALSE))</f>
        <v/>
      </c>
      <c r="L887" s="7">
        <f>IF($G887&lt;&gt;"Valid","",VLOOKUP($E887&amp;"|"&amp;$F887,Cluster_Master!$I$3:$H$17,7,FALSE))</f>
        <v/>
      </c>
      <c r="M887" s="7">
        <f>IF($G887&lt;&gt;"Valid","",VLOOKUP($E887&amp;"|"&amp;$F887,Cluster_Master!$I$3:$H$17,8,FALSE))</f>
        <v/>
      </c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7">
        <f>IF(COUNT(T887:AH887)=0,"",SUM(T887:AH887))</f>
        <v/>
      </c>
      <c r="AJ887" s="10">
        <f>IF(AI887="","",AI887/75)</f>
        <v/>
      </c>
      <c r="AK887" s="10">
        <f>IF(AI887="","",SUMPRODUCT(T887:AH887,KPI_Weights!$B$3:$B$17)/5)</f>
        <v/>
      </c>
      <c r="AL887" s="7">
        <f>IF(COUNT(T887:AH887)=0,"",IF(OR(T887&lt;=1,W887&lt;=1,X887&lt;=1,Y887&lt;=1,AB887&lt;=1),"YES","NO"))</f>
        <v/>
      </c>
      <c r="AM887" s="7">
        <f>IF(AK887="","",IF(AND(AK887="NO",AJ887&gt;=0.85),"YES","NO"))</f>
        <v/>
      </c>
      <c r="AN887" s="7">
        <f>IF(AJ887="","",IF(AJ887&gt;=0.90,"Excellent",IF(AJ887&gt;=0.80,"Good",IF(AJ887&gt;=0.70,"Fair","Poor"))))</f>
        <v/>
      </c>
      <c r="AO887" s="12" t="n"/>
      <c r="AP887" s="12" t="n"/>
      <c r="AQ887" s="12" t="n"/>
      <c r="AR887" s="12" t="n"/>
      <c r="AS887" s="12" t="n"/>
      <c r="AT887" s="12" t="n"/>
      <c r="AU887" s="12" t="n"/>
      <c r="AV887" s="11" t="n"/>
      <c r="AW887" s="12" t="n"/>
      <c r="AX887" s="12" t="n"/>
      <c r="AY887" s="12" t="n"/>
      <c r="AZ887" s="12" t="n"/>
      <c r="BA887" s="12" t="n"/>
      <c r="BB887" s="12" t="n"/>
      <c r="BC887" s="12" t="n"/>
      <c r="BD887" s="12" t="n"/>
      <c r="BE887" s="12" t="n"/>
      <c r="BF887" s="12" t="n"/>
    </row>
    <row r="888">
      <c r="A888" s="7">
        <f>IF(B888="","","INS-"&amp;TEXT(ROW()-3,"000"))</f>
        <v/>
      </c>
      <c r="B888" s="11" t="n"/>
      <c r="C888" s="7">
        <f>IF(B888="","",ISOWEEKNUM(B888))</f>
        <v/>
      </c>
      <c r="D888" s="7">
        <f>IF(B888="","",TEXT(B888,"yyyy-mm"))</f>
        <v/>
      </c>
      <c r="E888" s="12" t="n"/>
      <c r="F888" s="12" t="n"/>
      <c r="G888" s="7">
        <f>IF(OR(E888="",F888=""),"",IF(COUNTIF(Cluster_Master!$I$3:$I$17,E888&amp;"|"&amp;F888)=1,"Valid","Review"))</f>
        <v/>
      </c>
      <c r="H888" s="7">
        <f>IF($G888&lt;&gt;"Valid","",VLOOKUP($E888&amp;"|"&amp;$F888,Cluster_Master!$I$3:$H$17,3,FALSE))</f>
        <v/>
      </c>
      <c r="I888" s="7">
        <f>IF($G888&lt;&gt;"Valid","",VLOOKUP($E888&amp;"|"&amp;$F888,Cluster_Master!$I$3:$H$17,4,FALSE))</f>
        <v/>
      </c>
      <c r="J888" s="7">
        <f>IF($G888&lt;&gt;"Valid","",VLOOKUP($E888&amp;"|"&amp;$F888,Cluster_Master!$I$3:$H$17,5,FALSE))</f>
        <v/>
      </c>
      <c r="K888" s="7">
        <f>IF($G888&lt;&gt;"Valid","",VLOOKUP($E888&amp;"|"&amp;$F888,Cluster_Master!$I$3:$H$17,6,FALSE))</f>
        <v/>
      </c>
      <c r="L888" s="7">
        <f>IF($G888&lt;&gt;"Valid","",VLOOKUP($E888&amp;"|"&amp;$F888,Cluster_Master!$I$3:$H$17,7,FALSE))</f>
        <v/>
      </c>
      <c r="M888" s="7">
        <f>IF($G888&lt;&gt;"Valid","",VLOOKUP($E888&amp;"|"&amp;$F888,Cluster_Master!$I$3:$H$17,8,FALSE))</f>
        <v/>
      </c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7">
        <f>IF(COUNT(T888:AH888)=0,"",SUM(T888:AH888))</f>
        <v/>
      </c>
      <c r="AJ888" s="10">
        <f>IF(AI888="","",AI888/75)</f>
        <v/>
      </c>
      <c r="AK888" s="10">
        <f>IF(AI888="","",SUMPRODUCT(T888:AH888,KPI_Weights!$B$3:$B$17)/5)</f>
        <v/>
      </c>
      <c r="AL888" s="7">
        <f>IF(COUNT(T888:AH888)=0,"",IF(OR(T888&lt;=1,W888&lt;=1,X888&lt;=1,Y888&lt;=1,AB888&lt;=1),"YES","NO"))</f>
        <v/>
      </c>
      <c r="AM888" s="7">
        <f>IF(AK888="","",IF(AND(AK888="NO",AJ888&gt;=0.85),"YES","NO"))</f>
        <v/>
      </c>
      <c r="AN888" s="7">
        <f>IF(AJ888="","",IF(AJ888&gt;=0.90,"Excellent",IF(AJ888&gt;=0.80,"Good",IF(AJ888&gt;=0.70,"Fair","Poor"))))</f>
        <v/>
      </c>
      <c r="AO888" s="12" t="n"/>
      <c r="AP888" s="12" t="n"/>
      <c r="AQ888" s="12" t="n"/>
      <c r="AR888" s="12" t="n"/>
      <c r="AS888" s="12" t="n"/>
      <c r="AT888" s="12" t="n"/>
      <c r="AU888" s="12" t="n"/>
      <c r="AV888" s="11" t="n"/>
      <c r="AW888" s="12" t="n"/>
      <c r="AX888" s="12" t="n"/>
      <c r="AY888" s="12" t="n"/>
      <c r="AZ888" s="12" t="n"/>
      <c r="BA888" s="12" t="n"/>
      <c r="BB888" s="12" t="n"/>
      <c r="BC888" s="12" t="n"/>
      <c r="BD888" s="12" t="n"/>
      <c r="BE888" s="12" t="n"/>
      <c r="BF888" s="12" t="n"/>
    </row>
    <row r="889">
      <c r="A889" s="7">
        <f>IF(B889="","","INS-"&amp;TEXT(ROW()-3,"000"))</f>
        <v/>
      </c>
      <c r="B889" s="11" t="n"/>
      <c r="C889" s="7">
        <f>IF(B889="","",ISOWEEKNUM(B889))</f>
        <v/>
      </c>
      <c r="D889" s="7">
        <f>IF(B889="","",TEXT(B889,"yyyy-mm"))</f>
        <v/>
      </c>
      <c r="E889" s="12" t="n"/>
      <c r="F889" s="12" t="n"/>
      <c r="G889" s="7">
        <f>IF(OR(E889="",F889=""),"",IF(COUNTIF(Cluster_Master!$I$3:$I$17,E889&amp;"|"&amp;F889)=1,"Valid","Review"))</f>
        <v/>
      </c>
      <c r="H889" s="7">
        <f>IF($G889&lt;&gt;"Valid","",VLOOKUP($E889&amp;"|"&amp;$F889,Cluster_Master!$I$3:$H$17,3,FALSE))</f>
        <v/>
      </c>
      <c r="I889" s="7">
        <f>IF($G889&lt;&gt;"Valid","",VLOOKUP($E889&amp;"|"&amp;$F889,Cluster_Master!$I$3:$H$17,4,FALSE))</f>
        <v/>
      </c>
      <c r="J889" s="7">
        <f>IF($G889&lt;&gt;"Valid","",VLOOKUP($E889&amp;"|"&amp;$F889,Cluster_Master!$I$3:$H$17,5,FALSE))</f>
        <v/>
      </c>
      <c r="K889" s="7">
        <f>IF($G889&lt;&gt;"Valid","",VLOOKUP($E889&amp;"|"&amp;$F889,Cluster_Master!$I$3:$H$17,6,FALSE))</f>
        <v/>
      </c>
      <c r="L889" s="7">
        <f>IF($G889&lt;&gt;"Valid","",VLOOKUP($E889&amp;"|"&amp;$F889,Cluster_Master!$I$3:$H$17,7,FALSE))</f>
        <v/>
      </c>
      <c r="M889" s="7">
        <f>IF($G889&lt;&gt;"Valid","",VLOOKUP($E889&amp;"|"&amp;$F889,Cluster_Master!$I$3:$H$17,8,FALSE))</f>
        <v/>
      </c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7">
        <f>IF(COUNT(T889:AH889)=0,"",SUM(T889:AH889))</f>
        <v/>
      </c>
      <c r="AJ889" s="10">
        <f>IF(AI889="","",AI889/75)</f>
        <v/>
      </c>
      <c r="AK889" s="10">
        <f>IF(AI889="","",SUMPRODUCT(T889:AH889,KPI_Weights!$B$3:$B$17)/5)</f>
        <v/>
      </c>
      <c r="AL889" s="7">
        <f>IF(COUNT(T889:AH889)=0,"",IF(OR(T889&lt;=1,W889&lt;=1,X889&lt;=1,Y889&lt;=1,AB889&lt;=1),"YES","NO"))</f>
        <v/>
      </c>
      <c r="AM889" s="7">
        <f>IF(AK889="","",IF(AND(AK889="NO",AJ889&gt;=0.85),"YES","NO"))</f>
        <v/>
      </c>
      <c r="AN889" s="7">
        <f>IF(AJ889="","",IF(AJ889&gt;=0.90,"Excellent",IF(AJ889&gt;=0.80,"Good",IF(AJ889&gt;=0.70,"Fair","Poor"))))</f>
        <v/>
      </c>
      <c r="AO889" s="12" t="n"/>
      <c r="AP889" s="12" t="n"/>
      <c r="AQ889" s="12" t="n"/>
      <c r="AR889" s="12" t="n"/>
      <c r="AS889" s="12" t="n"/>
      <c r="AT889" s="12" t="n"/>
      <c r="AU889" s="12" t="n"/>
      <c r="AV889" s="11" t="n"/>
      <c r="AW889" s="12" t="n"/>
      <c r="AX889" s="12" t="n"/>
      <c r="AY889" s="12" t="n"/>
      <c r="AZ889" s="12" t="n"/>
      <c r="BA889" s="12" t="n"/>
      <c r="BB889" s="12" t="n"/>
      <c r="BC889" s="12" t="n"/>
      <c r="BD889" s="12" t="n"/>
      <c r="BE889" s="12" t="n"/>
      <c r="BF889" s="12" t="n"/>
    </row>
    <row r="890">
      <c r="A890" s="7">
        <f>IF(B890="","","INS-"&amp;TEXT(ROW()-3,"000"))</f>
        <v/>
      </c>
      <c r="B890" s="11" t="n"/>
      <c r="C890" s="7">
        <f>IF(B890="","",ISOWEEKNUM(B890))</f>
        <v/>
      </c>
      <c r="D890" s="7">
        <f>IF(B890="","",TEXT(B890,"yyyy-mm"))</f>
        <v/>
      </c>
      <c r="E890" s="12" t="n"/>
      <c r="F890" s="12" t="n"/>
      <c r="G890" s="7">
        <f>IF(OR(E890="",F890=""),"",IF(COUNTIF(Cluster_Master!$I$3:$I$17,E890&amp;"|"&amp;F890)=1,"Valid","Review"))</f>
        <v/>
      </c>
      <c r="H890" s="7">
        <f>IF($G890&lt;&gt;"Valid","",VLOOKUP($E890&amp;"|"&amp;$F890,Cluster_Master!$I$3:$H$17,3,FALSE))</f>
        <v/>
      </c>
      <c r="I890" s="7">
        <f>IF($G890&lt;&gt;"Valid","",VLOOKUP($E890&amp;"|"&amp;$F890,Cluster_Master!$I$3:$H$17,4,FALSE))</f>
        <v/>
      </c>
      <c r="J890" s="7">
        <f>IF($G890&lt;&gt;"Valid","",VLOOKUP($E890&amp;"|"&amp;$F890,Cluster_Master!$I$3:$H$17,5,FALSE))</f>
        <v/>
      </c>
      <c r="K890" s="7">
        <f>IF($G890&lt;&gt;"Valid","",VLOOKUP($E890&amp;"|"&amp;$F890,Cluster_Master!$I$3:$H$17,6,FALSE))</f>
        <v/>
      </c>
      <c r="L890" s="7">
        <f>IF($G890&lt;&gt;"Valid","",VLOOKUP($E890&amp;"|"&amp;$F890,Cluster_Master!$I$3:$H$17,7,FALSE))</f>
        <v/>
      </c>
      <c r="M890" s="7">
        <f>IF($G890&lt;&gt;"Valid","",VLOOKUP($E890&amp;"|"&amp;$F890,Cluster_Master!$I$3:$H$17,8,FALSE))</f>
        <v/>
      </c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7">
        <f>IF(COUNT(T890:AH890)=0,"",SUM(T890:AH890))</f>
        <v/>
      </c>
      <c r="AJ890" s="10">
        <f>IF(AI890="","",AI890/75)</f>
        <v/>
      </c>
      <c r="AK890" s="10">
        <f>IF(AI890="","",SUMPRODUCT(T890:AH890,KPI_Weights!$B$3:$B$17)/5)</f>
        <v/>
      </c>
      <c r="AL890" s="7">
        <f>IF(COUNT(T890:AH890)=0,"",IF(OR(T890&lt;=1,W890&lt;=1,X890&lt;=1,Y890&lt;=1,AB890&lt;=1),"YES","NO"))</f>
        <v/>
      </c>
      <c r="AM890" s="7">
        <f>IF(AK890="","",IF(AND(AK890="NO",AJ890&gt;=0.85),"YES","NO"))</f>
        <v/>
      </c>
      <c r="AN890" s="7">
        <f>IF(AJ890="","",IF(AJ890&gt;=0.90,"Excellent",IF(AJ890&gt;=0.80,"Good",IF(AJ890&gt;=0.70,"Fair","Poor"))))</f>
        <v/>
      </c>
      <c r="AO890" s="12" t="n"/>
      <c r="AP890" s="12" t="n"/>
      <c r="AQ890" s="12" t="n"/>
      <c r="AR890" s="12" t="n"/>
      <c r="AS890" s="12" t="n"/>
      <c r="AT890" s="12" t="n"/>
      <c r="AU890" s="12" t="n"/>
      <c r="AV890" s="11" t="n"/>
      <c r="AW890" s="12" t="n"/>
      <c r="AX890" s="12" t="n"/>
      <c r="AY890" s="12" t="n"/>
      <c r="AZ890" s="12" t="n"/>
      <c r="BA890" s="12" t="n"/>
      <c r="BB890" s="12" t="n"/>
      <c r="BC890" s="12" t="n"/>
      <c r="BD890" s="12" t="n"/>
      <c r="BE890" s="12" t="n"/>
      <c r="BF890" s="12" t="n"/>
    </row>
    <row r="891">
      <c r="A891" s="7">
        <f>IF(B891="","","INS-"&amp;TEXT(ROW()-3,"000"))</f>
        <v/>
      </c>
      <c r="B891" s="11" t="n"/>
      <c r="C891" s="7">
        <f>IF(B891="","",ISOWEEKNUM(B891))</f>
        <v/>
      </c>
      <c r="D891" s="7">
        <f>IF(B891="","",TEXT(B891,"yyyy-mm"))</f>
        <v/>
      </c>
      <c r="E891" s="12" t="n"/>
      <c r="F891" s="12" t="n"/>
      <c r="G891" s="7">
        <f>IF(OR(E891="",F891=""),"",IF(COUNTIF(Cluster_Master!$I$3:$I$17,E891&amp;"|"&amp;F891)=1,"Valid","Review"))</f>
        <v/>
      </c>
      <c r="H891" s="7">
        <f>IF($G891&lt;&gt;"Valid","",VLOOKUP($E891&amp;"|"&amp;$F891,Cluster_Master!$I$3:$H$17,3,FALSE))</f>
        <v/>
      </c>
      <c r="I891" s="7">
        <f>IF($G891&lt;&gt;"Valid","",VLOOKUP($E891&amp;"|"&amp;$F891,Cluster_Master!$I$3:$H$17,4,FALSE))</f>
        <v/>
      </c>
      <c r="J891" s="7">
        <f>IF($G891&lt;&gt;"Valid","",VLOOKUP($E891&amp;"|"&amp;$F891,Cluster_Master!$I$3:$H$17,5,FALSE))</f>
        <v/>
      </c>
      <c r="K891" s="7">
        <f>IF($G891&lt;&gt;"Valid","",VLOOKUP($E891&amp;"|"&amp;$F891,Cluster_Master!$I$3:$H$17,6,FALSE))</f>
        <v/>
      </c>
      <c r="L891" s="7">
        <f>IF($G891&lt;&gt;"Valid","",VLOOKUP($E891&amp;"|"&amp;$F891,Cluster_Master!$I$3:$H$17,7,FALSE))</f>
        <v/>
      </c>
      <c r="M891" s="7">
        <f>IF($G891&lt;&gt;"Valid","",VLOOKUP($E891&amp;"|"&amp;$F891,Cluster_Master!$I$3:$H$17,8,FALSE))</f>
        <v/>
      </c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7">
        <f>IF(COUNT(T891:AH891)=0,"",SUM(T891:AH891))</f>
        <v/>
      </c>
      <c r="AJ891" s="10">
        <f>IF(AI891="","",AI891/75)</f>
        <v/>
      </c>
      <c r="AK891" s="10">
        <f>IF(AI891="","",SUMPRODUCT(T891:AH891,KPI_Weights!$B$3:$B$17)/5)</f>
        <v/>
      </c>
      <c r="AL891" s="7">
        <f>IF(COUNT(T891:AH891)=0,"",IF(OR(T891&lt;=1,W891&lt;=1,X891&lt;=1,Y891&lt;=1,AB891&lt;=1),"YES","NO"))</f>
        <v/>
      </c>
      <c r="AM891" s="7">
        <f>IF(AK891="","",IF(AND(AK891="NO",AJ891&gt;=0.85),"YES","NO"))</f>
        <v/>
      </c>
      <c r="AN891" s="7">
        <f>IF(AJ891="","",IF(AJ891&gt;=0.90,"Excellent",IF(AJ891&gt;=0.80,"Good",IF(AJ891&gt;=0.70,"Fair","Poor"))))</f>
        <v/>
      </c>
      <c r="AO891" s="12" t="n"/>
      <c r="AP891" s="12" t="n"/>
      <c r="AQ891" s="12" t="n"/>
      <c r="AR891" s="12" t="n"/>
      <c r="AS891" s="12" t="n"/>
      <c r="AT891" s="12" t="n"/>
      <c r="AU891" s="12" t="n"/>
      <c r="AV891" s="11" t="n"/>
      <c r="AW891" s="12" t="n"/>
      <c r="AX891" s="12" t="n"/>
      <c r="AY891" s="12" t="n"/>
      <c r="AZ891" s="12" t="n"/>
      <c r="BA891" s="12" t="n"/>
      <c r="BB891" s="12" t="n"/>
      <c r="BC891" s="12" t="n"/>
      <c r="BD891" s="12" t="n"/>
      <c r="BE891" s="12" t="n"/>
      <c r="BF891" s="12" t="n"/>
    </row>
    <row r="892">
      <c r="A892" s="7">
        <f>IF(B892="","","INS-"&amp;TEXT(ROW()-3,"000"))</f>
        <v/>
      </c>
      <c r="B892" s="11" t="n"/>
      <c r="C892" s="7">
        <f>IF(B892="","",ISOWEEKNUM(B892))</f>
        <v/>
      </c>
      <c r="D892" s="7">
        <f>IF(B892="","",TEXT(B892,"yyyy-mm"))</f>
        <v/>
      </c>
      <c r="E892" s="12" t="n"/>
      <c r="F892" s="12" t="n"/>
      <c r="G892" s="7">
        <f>IF(OR(E892="",F892=""),"",IF(COUNTIF(Cluster_Master!$I$3:$I$17,E892&amp;"|"&amp;F892)=1,"Valid","Review"))</f>
        <v/>
      </c>
      <c r="H892" s="7">
        <f>IF($G892&lt;&gt;"Valid","",VLOOKUP($E892&amp;"|"&amp;$F892,Cluster_Master!$I$3:$H$17,3,FALSE))</f>
        <v/>
      </c>
      <c r="I892" s="7">
        <f>IF($G892&lt;&gt;"Valid","",VLOOKUP($E892&amp;"|"&amp;$F892,Cluster_Master!$I$3:$H$17,4,FALSE))</f>
        <v/>
      </c>
      <c r="J892" s="7">
        <f>IF($G892&lt;&gt;"Valid","",VLOOKUP($E892&amp;"|"&amp;$F892,Cluster_Master!$I$3:$H$17,5,FALSE))</f>
        <v/>
      </c>
      <c r="K892" s="7">
        <f>IF($G892&lt;&gt;"Valid","",VLOOKUP($E892&amp;"|"&amp;$F892,Cluster_Master!$I$3:$H$17,6,FALSE))</f>
        <v/>
      </c>
      <c r="L892" s="7">
        <f>IF($G892&lt;&gt;"Valid","",VLOOKUP($E892&amp;"|"&amp;$F892,Cluster_Master!$I$3:$H$17,7,FALSE))</f>
        <v/>
      </c>
      <c r="M892" s="7">
        <f>IF($G892&lt;&gt;"Valid","",VLOOKUP($E892&amp;"|"&amp;$F892,Cluster_Master!$I$3:$H$17,8,FALSE))</f>
        <v/>
      </c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7">
        <f>IF(COUNT(T892:AH892)=0,"",SUM(T892:AH892))</f>
        <v/>
      </c>
      <c r="AJ892" s="10">
        <f>IF(AI892="","",AI892/75)</f>
        <v/>
      </c>
      <c r="AK892" s="10">
        <f>IF(AI892="","",SUMPRODUCT(T892:AH892,KPI_Weights!$B$3:$B$17)/5)</f>
        <v/>
      </c>
      <c r="AL892" s="7">
        <f>IF(COUNT(T892:AH892)=0,"",IF(OR(T892&lt;=1,W892&lt;=1,X892&lt;=1,Y892&lt;=1,AB892&lt;=1),"YES","NO"))</f>
        <v/>
      </c>
      <c r="AM892" s="7">
        <f>IF(AK892="","",IF(AND(AK892="NO",AJ892&gt;=0.85),"YES","NO"))</f>
        <v/>
      </c>
      <c r="AN892" s="7">
        <f>IF(AJ892="","",IF(AJ892&gt;=0.90,"Excellent",IF(AJ892&gt;=0.80,"Good",IF(AJ892&gt;=0.70,"Fair","Poor"))))</f>
        <v/>
      </c>
      <c r="AO892" s="12" t="n"/>
      <c r="AP892" s="12" t="n"/>
      <c r="AQ892" s="12" t="n"/>
      <c r="AR892" s="12" t="n"/>
      <c r="AS892" s="12" t="n"/>
      <c r="AT892" s="12" t="n"/>
      <c r="AU892" s="12" t="n"/>
      <c r="AV892" s="11" t="n"/>
      <c r="AW892" s="12" t="n"/>
      <c r="AX892" s="12" t="n"/>
      <c r="AY892" s="12" t="n"/>
      <c r="AZ892" s="12" t="n"/>
      <c r="BA892" s="12" t="n"/>
      <c r="BB892" s="12" t="n"/>
      <c r="BC892" s="12" t="n"/>
      <c r="BD892" s="12" t="n"/>
      <c r="BE892" s="12" t="n"/>
      <c r="BF892" s="12" t="n"/>
    </row>
    <row r="893">
      <c r="A893" s="7">
        <f>IF(B893="","","INS-"&amp;TEXT(ROW()-3,"000"))</f>
        <v/>
      </c>
      <c r="B893" s="11" t="n"/>
      <c r="C893" s="7">
        <f>IF(B893="","",ISOWEEKNUM(B893))</f>
        <v/>
      </c>
      <c r="D893" s="7">
        <f>IF(B893="","",TEXT(B893,"yyyy-mm"))</f>
        <v/>
      </c>
      <c r="E893" s="12" t="n"/>
      <c r="F893" s="12" t="n"/>
      <c r="G893" s="7">
        <f>IF(OR(E893="",F893=""),"",IF(COUNTIF(Cluster_Master!$I$3:$I$17,E893&amp;"|"&amp;F893)=1,"Valid","Review"))</f>
        <v/>
      </c>
      <c r="H893" s="7">
        <f>IF($G893&lt;&gt;"Valid","",VLOOKUP($E893&amp;"|"&amp;$F893,Cluster_Master!$I$3:$H$17,3,FALSE))</f>
        <v/>
      </c>
      <c r="I893" s="7">
        <f>IF($G893&lt;&gt;"Valid","",VLOOKUP($E893&amp;"|"&amp;$F893,Cluster_Master!$I$3:$H$17,4,FALSE))</f>
        <v/>
      </c>
      <c r="J893" s="7">
        <f>IF($G893&lt;&gt;"Valid","",VLOOKUP($E893&amp;"|"&amp;$F893,Cluster_Master!$I$3:$H$17,5,FALSE))</f>
        <v/>
      </c>
      <c r="K893" s="7">
        <f>IF($G893&lt;&gt;"Valid","",VLOOKUP($E893&amp;"|"&amp;$F893,Cluster_Master!$I$3:$H$17,6,FALSE))</f>
        <v/>
      </c>
      <c r="L893" s="7">
        <f>IF($G893&lt;&gt;"Valid","",VLOOKUP($E893&amp;"|"&amp;$F893,Cluster_Master!$I$3:$H$17,7,FALSE))</f>
        <v/>
      </c>
      <c r="M893" s="7">
        <f>IF($G893&lt;&gt;"Valid","",VLOOKUP($E893&amp;"|"&amp;$F893,Cluster_Master!$I$3:$H$17,8,FALSE))</f>
        <v/>
      </c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7">
        <f>IF(COUNT(T893:AH893)=0,"",SUM(T893:AH893))</f>
        <v/>
      </c>
      <c r="AJ893" s="10">
        <f>IF(AI893="","",AI893/75)</f>
        <v/>
      </c>
      <c r="AK893" s="10">
        <f>IF(AI893="","",SUMPRODUCT(T893:AH893,KPI_Weights!$B$3:$B$17)/5)</f>
        <v/>
      </c>
      <c r="AL893" s="7">
        <f>IF(COUNT(T893:AH893)=0,"",IF(OR(T893&lt;=1,W893&lt;=1,X893&lt;=1,Y893&lt;=1,AB893&lt;=1),"YES","NO"))</f>
        <v/>
      </c>
      <c r="AM893" s="7">
        <f>IF(AK893="","",IF(AND(AK893="NO",AJ893&gt;=0.85),"YES","NO"))</f>
        <v/>
      </c>
      <c r="AN893" s="7">
        <f>IF(AJ893="","",IF(AJ893&gt;=0.90,"Excellent",IF(AJ893&gt;=0.80,"Good",IF(AJ893&gt;=0.70,"Fair","Poor"))))</f>
        <v/>
      </c>
      <c r="AO893" s="12" t="n"/>
      <c r="AP893" s="12" t="n"/>
      <c r="AQ893" s="12" t="n"/>
      <c r="AR893" s="12" t="n"/>
      <c r="AS893" s="12" t="n"/>
      <c r="AT893" s="12" t="n"/>
      <c r="AU893" s="12" t="n"/>
      <c r="AV893" s="11" t="n"/>
      <c r="AW893" s="12" t="n"/>
      <c r="AX893" s="12" t="n"/>
      <c r="AY893" s="12" t="n"/>
      <c r="AZ893" s="12" t="n"/>
      <c r="BA893" s="12" t="n"/>
      <c r="BB893" s="12" t="n"/>
      <c r="BC893" s="12" t="n"/>
      <c r="BD893" s="12" t="n"/>
      <c r="BE893" s="12" t="n"/>
      <c r="BF893" s="12" t="n"/>
    </row>
    <row r="894">
      <c r="A894" s="7">
        <f>IF(B894="","","INS-"&amp;TEXT(ROW()-3,"000"))</f>
        <v/>
      </c>
      <c r="B894" s="11" t="n"/>
      <c r="C894" s="7">
        <f>IF(B894="","",ISOWEEKNUM(B894))</f>
        <v/>
      </c>
      <c r="D894" s="7">
        <f>IF(B894="","",TEXT(B894,"yyyy-mm"))</f>
        <v/>
      </c>
      <c r="E894" s="12" t="n"/>
      <c r="F894" s="12" t="n"/>
      <c r="G894" s="7">
        <f>IF(OR(E894="",F894=""),"",IF(COUNTIF(Cluster_Master!$I$3:$I$17,E894&amp;"|"&amp;F894)=1,"Valid","Review"))</f>
        <v/>
      </c>
      <c r="H894" s="7">
        <f>IF($G894&lt;&gt;"Valid","",VLOOKUP($E894&amp;"|"&amp;$F894,Cluster_Master!$I$3:$H$17,3,FALSE))</f>
        <v/>
      </c>
      <c r="I894" s="7">
        <f>IF($G894&lt;&gt;"Valid","",VLOOKUP($E894&amp;"|"&amp;$F894,Cluster_Master!$I$3:$H$17,4,FALSE))</f>
        <v/>
      </c>
      <c r="J894" s="7">
        <f>IF($G894&lt;&gt;"Valid","",VLOOKUP($E894&amp;"|"&amp;$F894,Cluster_Master!$I$3:$H$17,5,FALSE))</f>
        <v/>
      </c>
      <c r="K894" s="7">
        <f>IF($G894&lt;&gt;"Valid","",VLOOKUP($E894&amp;"|"&amp;$F894,Cluster_Master!$I$3:$H$17,6,FALSE))</f>
        <v/>
      </c>
      <c r="L894" s="7">
        <f>IF($G894&lt;&gt;"Valid","",VLOOKUP($E894&amp;"|"&amp;$F894,Cluster_Master!$I$3:$H$17,7,FALSE))</f>
        <v/>
      </c>
      <c r="M894" s="7">
        <f>IF($G894&lt;&gt;"Valid","",VLOOKUP($E894&amp;"|"&amp;$F894,Cluster_Master!$I$3:$H$17,8,FALSE))</f>
        <v/>
      </c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7">
        <f>IF(COUNT(T894:AH894)=0,"",SUM(T894:AH894))</f>
        <v/>
      </c>
      <c r="AJ894" s="10">
        <f>IF(AI894="","",AI894/75)</f>
        <v/>
      </c>
      <c r="AK894" s="10">
        <f>IF(AI894="","",SUMPRODUCT(T894:AH894,KPI_Weights!$B$3:$B$17)/5)</f>
        <v/>
      </c>
      <c r="AL894" s="7">
        <f>IF(COUNT(T894:AH894)=0,"",IF(OR(T894&lt;=1,W894&lt;=1,X894&lt;=1,Y894&lt;=1,AB894&lt;=1),"YES","NO"))</f>
        <v/>
      </c>
      <c r="AM894" s="7">
        <f>IF(AK894="","",IF(AND(AK894="NO",AJ894&gt;=0.85),"YES","NO"))</f>
        <v/>
      </c>
      <c r="AN894" s="7">
        <f>IF(AJ894="","",IF(AJ894&gt;=0.90,"Excellent",IF(AJ894&gt;=0.80,"Good",IF(AJ894&gt;=0.70,"Fair","Poor"))))</f>
        <v/>
      </c>
      <c r="AO894" s="12" t="n"/>
      <c r="AP894" s="12" t="n"/>
      <c r="AQ894" s="12" t="n"/>
      <c r="AR894" s="12" t="n"/>
      <c r="AS894" s="12" t="n"/>
      <c r="AT894" s="12" t="n"/>
      <c r="AU894" s="12" t="n"/>
      <c r="AV894" s="11" t="n"/>
      <c r="AW894" s="12" t="n"/>
      <c r="AX894" s="12" t="n"/>
      <c r="AY894" s="12" t="n"/>
      <c r="AZ894" s="12" t="n"/>
      <c r="BA894" s="12" t="n"/>
      <c r="BB894" s="12" t="n"/>
      <c r="BC894" s="12" t="n"/>
      <c r="BD894" s="12" t="n"/>
      <c r="BE894" s="12" t="n"/>
      <c r="BF894" s="12" t="n"/>
    </row>
    <row r="895">
      <c r="A895" s="7">
        <f>IF(B895="","","INS-"&amp;TEXT(ROW()-3,"000"))</f>
        <v/>
      </c>
      <c r="B895" s="11" t="n"/>
      <c r="C895" s="7">
        <f>IF(B895="","",ISOWEEKNUM(B895))</f>
        <v/>
      </c>
      <c r="D895" s="7">
        <f>IF(B895="","",TEXT(B895,"yyyy-mm"))</f>
        <v/>
      </c>
      <c r="E895" s="12" t="n"/>
      <c r="F895" s="12" t="n"/>
      <c r="G895" s="7">
        <f>IF(OR(E895="",F895=""),"",IF(COUNTIF(Cluster_Master!$I$3:$I$17,E895&amp;"|"&amp;F895)=1,"Valid","Review"))</f>
        <v/>
      </c>
      <c r="H895" s="7">
        <f>IF($G895&lt;&gt;"Valid","",VLOOKUP($E895&amp;"|"&amp;$F895,Cluster_Master!$I$3:$H$17,3,FALSE))</f>
        <v/>
      </c>
      <c r="I895" s="7">
        <f>IF($G895&lt;&gt;"Valid","",VLOOKUP($E895&amp;"|"&amp;$F895,Cluster_Master!$I$3:$H$17,4,FALSE))</f>
        <v/>
      </c>
      <c r="J895" s="7">
        <f>IF($G895&lt;&gt;"Valid","",VLOOKUP($E895&amp;"|"&amp;$F895,Cluster_Master!$I$3:$H$17,5,FALSE))</f>
        <v/>
      </c>
      <c r="K895" s="7">
        <f>IF($G895&lt;&gt;"Valid","",VLOOKUP($E895&amp;"|"&amp;$F895,Cluster_Master!$I$3:$H$17,6,FALSE))</f>
        <v/>
      </c>
      <c r="L895" s="7">
        <f>IF($G895&lt;&gt;"Valid","",VLOOKUP($E895&amp;"|"&amp;$F895,Cluster_Master!$I$3:$H$17,7,FALSE))</f>
        <v/>
      </c>
      <c r="M895" s="7">
        <f>IF($G895&lt;&gt;"Valid","",VLOOKUP($E895&amp;"|"&amp;$F895,Cluster_Master!$I$3:$H$17,8,FALSE))</f>
        <v/>
      </c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7">
        <f>IF(COUNT(T895:AH895)=0,"",SUM(T895:AH895))</f>
        <v/>
      </c>
      <c r="AJ895" s="10">
        <f>IF(AI895="","",AI895/75)</f>
        <v/>
      </c>
      <c r="AK895" s="10">
        <f>IF(AI895="","",SUMPRODUCT(T895:AH895,KPI_Weights!$B$3:$B$17)/5)</f>
        <v/>
      </c>
      <c r="AL895" s="7">
        <f>IF(COUNT(T895:AH895)=0,"",IF(OR(T895&lt;=1,W895&lt;=1,X895&lt;=1,Y895&lt;=1,AB895&lt;=1),"YES","NO"))</f>
        <v/>
      </c>
      <c r="AM895" s="7">
        <f>IF(AK895="","",IF(AND(AK895="NO",AJ895&gt;=0.85),"YES","NO"))</f>
        <v/>
      </c>
      <c r="AN895" s="7">
        <f>IF(AJ895="","",IF(AJ895&gt;=0.90,"Excellent",IF(AJ895&gt;=0.80,"Good",IF(AJ895&gt;=0.70,"Fair","Poor"))))</f>
        <v/>
      </c>
      <c r="AO895" s="12" t="n"/>
      <c r="AP895" s="12" t="n"/>
      <c r="AQ895" s="12" t="n"/>
      <c r="AR895" s="12" t="n"/>
      <c r="AS895" s="12" t="n"/>
      <c r="AT895" s="12" t="n"/>
      <c r="AU895" s="12" t="n"/>
      <c r="AV895" s="11" t="n"/>
      <c r="AW895" s="12" t="n"/>
      <c r="AX895" s="12" t="n"/>
      <c r="AY895" s="12" t="n"/>
      <c r="AZ895" s="12" t="n"/>
      <c r="BA895" s="12" t="n"/>
      <c r="BB895" s="12" t="n"/>
      <c r="BC895" s="12" t="n"/>
      <c r="BD895" s="12" t="n"/>
      <c r="BE895" s="12" t="n"/>
      <c r="BF895" s="12" t="n"/>
    </row>
    <row r="896">
      <c r="A896" s="7">
        <f>IF(B896="","","INS-"&amp;TEXT(ROW()-3,"000"))</f>
        <v/>
      </c>
      <c r="B896" s="11" t="n"/>
      <c r="C896" s="7">
        <f>IF(B896="","",ISOWEEKNUM(B896))</f>
        <v/>
      </c>
      <c r="D896" s="7">
        <f>IF(B896="","",TEXT(B896,"yyyy-mm"))</f>
        <v/>
      </c>
      <c r="E896" s="12" t="n"/>
      <c r="F896" s="12" t="n"/>
      <c r="G896" s="7">
        <f>IF(OR(E896="",F896=""),"",IF(COUNTIF(Cluster_Master!$I$3:$I$17,E896&amp;"|"&amp;F896)=1,"Valid","Review"))</f>
        <v/>
      </c>
      <c r="H896" s="7">
        <f>IF($G896&lt;&gt;"Valid","",VLOOKUP($E896&amp;"|"&amp;$F896,Cluster_Master!$I$3:$H$17,3,FALSE))</f>
        <v/>
      </c>
      <c r="I896" s="7">
        <f>IF($G896&lt;&gt;"Valid","",VLOOKUP($E896&amp;"|"&amp;$F896,Cluster_Master!$I$3:$H$17,4,FALSE))</f>
        <v/>
      </c>
      <c r="J896" s="7">
        <f>IF($G896&lt;&gt;"Valid","",VLOOKUP($E896&amp;"|"&amp;$F896,Cluster_Master!$I$3:$H$17,5,FALSE))</f>
        <v/>
      </c>
      <c r="K896" s="7">
        <f>IF($G896&lt;&gt;"Valid","",VLOOKUP($E896&amp;"|"&amp;$F896,Cluster_Master!$I$3:$H$17,6,FALSE))</f>
        <v/>
      </c>
      <c r="L896" s="7">
        <f>IF($G896&lt;&gt;"Valid","",VLOOKUP($E896&amp;"|"&amp;$F896,Cluster_Master!$I$3:$H$17,7,FALSE))</f>
        <v/>
      </c>
      <c r="M896" s="7">
        <f>IF($G896&lt;&gt;"Valid","",VLOOKUP($E896&amp;"|"&amp;$F896,Cluster_Master!$I$3:$H$17,8,FALSE))</f>
        <v/>
      </c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7">
        <f>IF(COUNT(T896:AH896)=0,"",SUM(T896:AH896))</f>
        <v/>
      </c>
      <c r="AJ896" s="10">
        <f>IF(AI896="","",AI896/75)</f>
        <v/>
      </c>
      <c r="AK896" s="10">
        <f>IF(AI896="","",SUMPRODUCT(T896:AH896,KPI_Weights!$B$3:$B$17)/5)</f>
        <v/>
      </c>
      <c r="AL896" s="7">
        <f>IF(COUNT(T896:AH896)=0,"",IF(OR(T896&lt;=1,W896&lt;=1,X896&lt;=1,Y896&lt;=1,AB896&lt;=1),"YES","NO"))</f>
        <v/>
      </c>
      <c r="AM896" s="7">
        <f>IF(AK896="","",IF(AND(AK896="NO",AJ896&gt;=0.85),"YES","NO"))</f>
        <v/>
      </c>
      <c r="AN896" s="7">
        <f>IF(AJ896="","",IF(AJ896&gt;=0.90,"Excellent",IF(AJ896&gt;=0.80,"Good",IF(AJ896&gt;=0.70,"Fair","Poor"))))</f>
        <v/>
      </c>
      <c r="AO896" s="12" t="n"/>
      <c r="AP896" s="12" t="n"/>
      <c r="AQ896" s="12" t="n"/>
      <c r="AR896" s="12" t="n"/>
      <c r="AS896" s="12" t="n"/>
      <c r="AT896" s="12" t="n"/>
      <c r="AU896" s="12" t="n"/>
      <c r="AV896" s="11" t="n"/>
      <c r="AW896" s="12" t="n"/>
      <c r="AX896" s="12" t="n"/>
      <c r="AY896" s="12" t="n"/>
      <c r="AZ896" s="12" t="n"/>
      <c r="BA896" s="12" t="n"/>
      <c r="BB896" s="12" t="n"/>
      <c r="BC896" s="12" t="n"/>
      <c r="BD896" s="12" t="n"/>
      <c r="BE896" s="12" t="n"/>
      <c r="BF896" s="12" t="n"/>
    </row>
    <row r="897">
      <c r="A897" s="7">
        <f>IF(B897="","","INS-"&amp;TEXT(ROW()-3,"000"))</f>
        <v/>
      </c>
      <c r="B897" s="11" t="n"/>
      <c r="C897" s="7">
        <f>IF(B897="","",ISOWEEKNUM(B897))</f>
        <v/>
      </c>
      <c r="D897" s="7">
        <f>IF(B897="","",TEXT(B897,"yyyy-mm"))</f>
        <v/>
      </c>
      <c r="E897" s="12" t="n"/>
      <c r="F897" s="12" t="n"/>
      <c r="G897" s="7">
        <f>IF(OR(E897="",F897=""),"",IF(COUNTIF(Cluster_Master!$I$3:$I$17,E897&amp;"|"&amp;F897)=1,"Valid","Review"))</f>
        <v/>
      </c>
      <c r="H897" s="7">
        <f>IF($G897&lt;&gt;"Valid","",VLOOKUP($E897&amp;"|"&amp;$F897,Cluster_Master!$I$3:$H$17,3,FALSE))</f>
        <v/>
      </c>
      <c r="I897" s="7">
        <f>IF($G897&lt;&gt;"Valid","",VLOOKUP($E897&amp;"|"&amp;$F897,Cluster_Master!$I$3:$H$17,4,FALSE))</f>
        <v/>
      </c>
      <c r="J897" s="7">
        <f>IF($G897&lt;&gt;"Valid","",VLOOKUP($E897&amp;"|"&amp;$F897,Cluster_Master!$I$3:$H$17,5,FALSE))</f>
        <v/>
      </c>
      <c r="K897" s="7">
        <f>IF($G897&lt;&gt;"Valid","",VLOOKUP($E897&amp;"|"&amp;$F897,Cluster_Master!$I$3:$H$17,6,FALSE))</f>
        <v/>
      </c>
      <c r="L897" s="7">
        <f>IF($G897&lt;&gt;"Valid","",VLOOKUP($E897&amp;"|"&amp;$F897,Cluster_Master!$I$3:$H$17,7,FALSE))</f>
        <v/>
      </c>
      <c r="M897" s="7">
        <f>IF($G897&lt;&gt;"Valid","",VLOOKUP($E897&amp;"|"&amp;$F897,Cluster_Master!$I$3:$H$17,8,FALSE))</f>
        <v/>
      </c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7">
        <f>IF(COUNT(T897:AH897)=0,"",SUM(T897:AH897))</f>
        <v/>
      </c>
      <c r="AJ897" s="10">
        <f>IF(AI897="","",AI897/75)</f>
        <v/>
      </c>
      <c r="AK897" s="10">
        <f>IF(AI897="","",SUMPRODUCT(T897:AH897,KPI_Weights!$B$3:$B$17)/5)</f>
        <v/>
      </c>
      <c r="AL897" s="7">
        <f>IF(COUNT(T897:AH897)=0,"",IF(OR(T897&lt;=1,W897&lt;=1,X897&lt;=1,Y897&lt;=1,AB897&lt;=1),"YES","NO"))</f>
        <v/>
      </c>
      <c r="AM897" s="7">
        <f>IF(AK897="","",IF(AND(AK897="NO",AJ897&gt;=0.85),"YES","NO"))</f>
        <v/>
      </c>
      <c r="AN897" s="7">
        <f>IF(AJ897="","",IF(AJ897&gt;=0.90,"Excellent",IF(AJ897&gt;=0.80,"Good",IF(AJ897&gt;=0.70,"Fair","Poor"))))</f>
        <v/>
      </c>
      <c r="AO897" s="12" t="n"/>
      <c r="AP897" s="12" t="n"/>
      <c r="AQ897" s="12" t="n"/>
      <c r="AR897" s="12" t="n"/>
      <c r="AS897" s="12" t="n"/>
      <c r="AT897" s="12" t="n"/>
      <c r="AU897" s="12" t="n"/>
      <c r="AV897" s="11" t="n"/>
      <c r="AW897" s="12" t="n"/>
      <c r="AX897" s="12" t="n"/>
      <c r="AY897" s="12" t="n"/>
      <c r="AZ897" s="12" t="n"/>
      <c r="BA897" s="12" t="n"/>
      <c r="BB897" s="12" t="n"/>
      <c r="BC897" s="12" t="n"/>
      <c r="BD897" s="12" t="n"/>
      <c r="BE897" s="12" t="n"/>
      <c r="BF897" s="12" t="n"/>
    </row>
    <row r="898">
      <c r="A898" s="7">
        <f>IF(B898="","","INS-"&amp;TEXT(ROW()-3,"000"))</f>
        <v/>
      </c>
      <c r="B898" s="11" t="n"/>
      <c r="C898" s="7">
        <f>IF(B898="","",ISOWEEKNUM(B898))</f>
        <v/>
      </c>
      <c r="D898" s="7">
        <f>IF(B898="","",TEXT(B898,"yyyy-mm"))</f>
        <v/>
      </c>
      <c r="E898" s="12" t="n"/>
      <c r="F898" s="12" t="n"/>
      <c r="G898" s="7">
        <f>IF(OR(E898="",F898=""),"",IF(COUNTIF(Cluster_Master!$I$3:$I$17,E898&amp;"|"&amp;F898)=1,"Valid","Review"))</f>
        <v/>
      </c>
      <c r="H898" s="7">
        <f>IF($G898&lt;&gt;"Valid","",VLOOKUP($E898&amp;"|"&amp;$F898,Cluster_Master!$I$3:$H$17,3,FALSE))</f>
        <v/>
      </c>
      <c r="I898" s="7">
        <f>IF($G898&lt;&gt;"Valid","",VLOOKUP($E898&amp;"|"&amp;$F898,Cluster_Master!$I$3:$H$17,4,FALSE))</f>
        <v/>
      </c>
      <c r="J898" s="7">
        <f>IF($G898&lt;&gt;"Valid","",VLOOKUP($E898&amp;"|"&amp;$F898,Cluster_Master!$I$3:$H$17,5,FALSE))</f>
        <v/>
      </c>
      <c r="K898" s="7">
        <f>IF($G898&lt;&gt;"Valid","",VLOOKUP($E898&amp;"|"&amp;$F898,Cluster_Master!$I$3:$H$17,6,FALSE))</f>
        <v/>
      </c>
      <c r="L898" s="7">
        <f>IF($G898&lt;&gt;"Valid","",VLOOKUP($E898&amp;"|"&amp;$F898,Cluster_Master!$I$3:$H$17,7,FALSE))</f>
        <v/>
      </c>
      <c r="M898" s="7">
        <f>IF($G898&lt;&gt;"Valid","",VLOOKUP($E898&amp;"|"&amp;$F898,Cluster_Master!$I$3:$H$17,8,FALSE))</f>
        <v/>
      </c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7">
        <f>IF(COUNT(T898:AH898)=0,"",SUM(T898:AH898))</f>
        <v/>
      </c>
      <c r="AJ898" s="10">
        <f>IF(AI898="","",AI898/75)</f>
        <v/>
      </c>
      <c r="AK898" s="10">
        <f>IF(AI898="","",SUMPRODUCT(T898:AH898,KPI_Weights!$B$3:$B$17)/5)</f>
        <v/>
      </c>
      <c r="AL898" s="7">
        <f>IF(COUNT(T898:AH898)=0,"",IF(OR(T898&lt;=1,W898&lt;=1,X898&lt;=1,Y898&lt;=1,AB898&lt;=1),"YES","NO"))</f>
        <v/>
      </c>
      <c r="AM898" s="7">
        <f>IF(AK898="","",IF(AND(AK898="NO",AJ898&gt;=0.85),"YES","NO"))</f>
        <v/>
      </c>
      <c r="AN898" s="7">
        <f>IF(AJ898="","",IF(AJ898&gt;=0.90,"Excellent",IF(AJ898&gt;=0.80,"Good",IF(AJ898&gt;=0.70,"Fair","Poor"))))</f>
        <v/>
      </c>
      <c r="AO898" s="12" t="n"/>
      <c r="AP898" s="12" t="n"/>
      <c r="AQ898" s="12" t="n"/>
      <c r="AR898" s="12" t="n"/>
      <c r="AS898" s="12" t="n"/>
      <c r="AT898" s="12" t="n"/>
      <c r="AU898" s="12" t="n"/>
      <c r="AV898" s="11" t="n"/>
      <c r="AW898" s="12" t="n"/>
      <c r="AX898" s="12" t="n"/>
      <c r="AY898" s="12" t="n"/>
      <c r="AZ898" s="12" t="n"/>
      <c r="BA898" s="12" t="n"/>
      <c r="BB898" s="12" t="n"/>
      <c r="BC898" s="12" t="n"/>
      <c r="BD898" s="12" t="n"/>
      <c r="BE898" s="12" t="n"/>
      <c r="BF898" s="12" t="n"/>
    </row>
    <row r="899">
      <c r="A899" s="7">
        <f>IF(B899="","","INS-"&amp;TEXT(ROW()-3,"000"))</f>
        <v/>
      </c>
      <c r="B899" s="11" t="n"/>
      <c r="C899" s="7">
        <f>IF(B899="","",ISOWEEKNUM(B899))</f>
        <v/>
      </c>
      <c r="D899" s="7">
        <f>IF(B899="","",TEXT(B899,"yyyy-mm"))</f>
        <v/>
      </c>
      <c r="E899" s="12" t="n"/>
      <c r="F899" s="12" t="n"/>
      <c r="G899" s="7">
        <f>IF(OR(E899="",F899=""),"",IF(COUNTIF(Cluster_Master!$I$3:$I$17,E899&amp;"|"&amp;F899)=1,"Valid","Review"))</f>
        <v/>
      </c>
      <c r="H899" s="7">
        <f>IF($G899&lt;&gt;"Valid","",VLOOKUP($E899&amp;"|"&amp;$F899,Cluster_Master!$I$3:$H$17,3,FALSE))</f>
        <v/>
      </c>
      <c r="I899" s="7">
        <f>IF($G899&lt;&gt;"Valid","",VLOOKUP($E899&amp;"|"&amp;$F899,Cluster_Master!$I$3:$H$17,4,FALSE))</f>
        <v/>
      </c>
      <c r="J899" s="7">
        <f>IF($G899&lt;&gt;"Valid","",VLOOKUP($E899&amp;"|"&amp;$F899,Cluster_Master!$I$3:$H$17,5,FALSE))</f>
        <v/>
      </c>
      <c r="K899" s="7">
        <f>IF($G899&lt;&gt;"Valid","",VLOOKUP($E899&amp;"|"&amp;$F899,Cluster_Master!$I$3:$H$17,6,FALSE))</f>
        <v/>
      </c>
      <c r="L899" s="7">
        <f>IF($G899&lt;&gt;"Valid","",VLOOKUP($E899&amp;"|"&amp;$F899,Cluster_Master!$I$3:$H$17,7,FALSE))</f>
        <v/>
      </c>
      <c r="M899" s="7">
        <f>IF($G899&lt;&gt;"Valid","",VLOOKUP($E899&amp;"|"&amp;$F899,Cluster_Master!$I$3:$H$17,8,FALSE))</f>
        <v/>
      </c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7">
        <f>IF(COUNT(T899:AH899)=0,"",SUM(T899:AH899))</f>
        <v/>
      </c>
      <c r="AJ899" s="10">
        <f>IF(AI899="","",AI899/75)</f>
        <v/>
      </c>
      <c r="AK899" s="10">
        <f>IF(AI899="","",SUMPRODUCT(T899:AH899,KPI_Weights!$B$3:$B$17)/5)</f>
        <v/>
      </c>
      <c r="AL899" s="7">
        <f>IF(COUNT(T899:AH899)=0,"",IF(OR(T899&lt;=1,W899&lt;=1,X899&lt;=1,Y899&lt;=1,AB899&lt;=1),"YES","NO"))</f>
        <v/>
      </c>
      <c r="AM899" s="7">
        <f>IF(AK899="","",IF(AND(AK899="NO",AJ899&gt;=0.85),"YES","NO"))</f>
        <v/>
      </c>
      <c r="AN899" s="7">
        <f>IF(AJ899="","",IF(AJ899&gt;=0.90,"Excellent",IF(AJ899&gt;=0.80,"Good",IF(AJ899&gt;=0.70,"Fair","Poor"))))</f>
        <v/>
      </c>
      <c r="AO899" s="12" t="n"/>
      <c r="AP899" s="12" t="n"/>
      <c r="AQ899" s="12" t="n"/>
      <c r="AR899" s="12" t="n"/>
      <c r="AS899" s="12" t="n"/>
      <c r="AT899" s="12" t="n"/>
      <c r="AU899" s="12" t="n"/>
      <c r="AV899" s="11" t="n"/>
      <c r="AW899" s="12" t="n"/>
      <c r="AX899" s="12" t="n"/>
      <c r="AY899" s="12" t="n"/>
      <c r="AZ899" s="12" t="n"/>
      <c r="BA899" s="12" t="n"/>
      <c r="BB899" s="12" t="n"/>
      <c r="BC899" s="12" t="n"/>
      <c r="BD899" s="12" t="n"/>
      <c r="BE899" s="12" t="n"/>
      <c r="BF899" s="12" t="n"/>
    </row>
    <row r="900">
      <c r="A900" s="7">
        <f>IF(B900="","","INS-"&amp;TEXT(ROW()-3,"000"))</f>
        <v/>
      </c>
      <c r="B900" s="11" t="n"/>
      <c r="C900" s="7">
        <f>IF(B900="","",ISOWEEKNUM(B900))</f>
        <v/>
      </c>
      <c r="D900" s="7">
        <f>IF(B900="","",TEXT(B900,"yyyy-mm"))</f>
        <v/>
      </c>
      <c r="E900" s="12" t="n"/>
      <c r="F900" s="12" t="n"/>
      <c r="G900" s="7">
        <f>IF(OR(E900="",F900=""),"",IF(COUNTIF(Cluster_Master!$I$3:$I$17,E900&amp;"|"&amp;F900)=1,"Valid","Review"))</f>
        <v/>
      </c>
      <c r="H900" s="7">
        <f>IF($G900&lt;&gt;"Valid","",VLOOKUP($E900&amp;"|"&amp;$F900,Cluster_Master!$I$3:$H$17,3,FALSE))</f>
        <v/>
      </c>
      <c r="I900" s="7">
        <f>IF($G900&lt;&gt;"Valid","",VLOOKUP($E900&amp;"|"&amp;$F900,Cluster_Master!$I$3:$H$17,4,FALSE))</f>
        <v/>
      </c>
      <c r="J900" s="7">
        <f>IF($G900&lt;&gt;"Valid","",VLOOKUP($E900&amp;"|"&amp;$F900,Cluster_Master!$I$3:$H$17,5,FALSE))</f>
        <v/>
      </c>
      <c r="K900" s="7">
        <f>IF($G900&lt;&gt;"Valid","",VLOOKUP($E900&amp;"|"&amp;$F900,Cluster_Master!$I$3:$H$17,6,FALSE))</f>
        <v/>
      </c>
      <c r="L900" s="7">
        <f>IF($G900&lt;&gt;"Valid","",VLOOKUP($E900&amp;"|"&amp;$F900,Cluster_Master!$I$3:$H$17,7,FALSE))</f>
        <v/>
      </c>
      <c r="M900" s="7">
        <f>IF($G900&lt;&gt;"Valid","",VLOOKUP($E900&amp;"|"&amp;$F900,Cluster_Master!$I$3:$H$17,8,FALSE))</f>
        <v/>
      </c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7">
        <f>IF(COUNT(T900:AH900)=0,"",SUM(T900:AH900))</f>
        <v/>
      </c>
      <c r="AJ900" s="10">
        <f>IF(AI900="","",AI900/75)</f>
        <v/>
      </c>
      <c r="AK900" s="10">
        <f>IF(AI900="","",SUMPRODUCT(T900:AH900,KPI_Weights!$B$3:$B$17)/5)</f>
        <v/>
      </c>
      <c r="AL900" s="7">
        <f>IF(COUNT(T900:AH900)=0,"",IF(OR(T900&lt;=1,W900&lt;=1,X900&lt;=1,Y900&lt;=1,AB900&lt;=1),"YES","NO"))</f>
        <v/>
      </c>
      <c r="AM900" s="7">
        <f>IF(AK900="","",IF(AND(AK900="NO",AJ900&gt;=0.85),"YES","NO"))</f>
        <v/>
      </c>
      <c r="AN900" s="7">
        <f>IF(AJ900="","",IF(AJ900&gt;=0.90,"Excellent",IF(AJ900&gt;=0.80,"Good",IF(AJ900&gt;=0.70,"Fair","Poor"))))</f>
        <v/>
      </c>
      <c r="AO900" s="12" t="n"/>
      <c r="AP900" s="12" t="n"/>
      <c r="AQ900" s="12" t="n"/>
      <c r="AR900" s="12" t="n"/>
      <c r="AS900" s="12" t="n"/>
      <c r="AT900" s="12" t="n"/>
      <c r="AU900" s="12" t="n"/>
      <c r="AV900" s="11" t="n"/>
      <c r="AW900" s="12" t="n"/>
      <c r="AX900" s="12" t="n"/>
      <c r="AY900" s="12" t="n"/>
      <c r="AZ900" s="12" t="n"/>
      <c r="BA900" s="12" t="n"/>
      <c r="BB900" s="12" t="n"/>
      <c r="BC900" s="12" t="n"/>
      <c r="BD900" s="12" t="n"/>
      <c r="BE900" s="12" t="n"/>
      <c r="BF900" s="12" t="n"/>
    </row>
    <row r="901">
      <c r="A901" s="7">
        <f>IF(B901="","","INS-"&amp;TEXT(ROW()-3,"000"))</f>
        <v/>
      </c>
      <c r="B901" s="11" t="n"/>
      <c r="C901" s="7">
        <f>IF(B901="","",ISOWEEKNUM(B901))</f>
        <v/>
      </c>
      <c r="D901" s="7">
        <f>IF(B901="","",TEXT(B901,"yyyy-mm"))</f>
        <v/>
      </c>
      <c r="E901" s="12" t="n"/>
      <c r="F901" s="12" t="n"/>
      <c r="G901" s="7">
        <f>IF(OR(E901="",F901=""),"",IF(COUNTIF(Cluster_Master!$I$3:$I$17,E901&amp;"|"&amp;F901)=1,"Valid","Review"))</f>
        <v/>
      </c>
      <c r="H901" s="7">
        <f>IF($G901&lt;&gt;"Valid","",VLOOKUP($E901&amp;"|"&amp;$F901,Cluster_Master!$I$3:$H$17,3,FALSE))</f>
        <v/>
      </c>
      <c r="I901" s="7">
        <f>IF($G901&lt;&gt;"Valid","",VLOOKUP($E901&amp;"|"&amp;$F901,Cluster_Master!$I$3:$H$17,4,FALSE))</f>
        <v/>
      </c>
      <c r="J901" s="7">
        <f>IF($G901&lt;&gt;"Valid","",VLOOKUP($E901&amp;"|"&amp;$F901,Cluster_Master!$I$3:$H$17,5,FALSE))</f>
        <v/>
      </c>
      <c r="K901" s="7">
        <f>IF($G901&lt;&gt;"Valid","",VLOOKUP($E901&amp;"|"&amp;$F901,Cluster_Master!$I$3:$H$17,6,FALSE))</f>
        <v/>
      </c>
      <c r="L901" s="7">
        <f>IF($G901&lt;&gt;"Valid","",VLOOKUP($E901&amp;"|"&amp;$F901,Cluster_Master!$I$3:$H$17,7,FALSE))</f>
        <v/>
      </c>
      <c r="M901" s="7">
        <f>IF($G901&lt;&gt;"Valid","",VLOOKUP($E901&amp;"|"&amp;$F901,Cluster_Master!$I$3:$H$17,8,FALSE))</f>
        <v/>
      </c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7">
        <f>IF(COUNT(T901:AH901)=0,"",SUM(T901:AH901))</f>
        <v/>
      </c>
      <c r="AJ901" s="10">
        <f>IF(AI901="","",AI901/75)</f>
        <v/>
      </c>
      <c r="AK901" s="10">
        <f>IF(AI901="","",SUMPRODUCT(T901:AH901,KPI_Weights!$B$3:$B$17)/5)</f>
        <v/>
      </c>
      <c r="AL901" s="7">
        <f>IF(COUNT(T901:AH901)=0,"",IF(OR(T901&lt;=1,W901&lt;=1,X901&lt;=1,Y901&lt;=1,AB901&lt;=1),"YES","NO"))</f>
        <v/>
      </c>
      <c r="AM901" s="7">
        <f>IF(AK901="","",IF(AND(AK901="NO",AJ901&gt;=0.85),"YES","NO"))</f>
        <v/>
      </c>
      <c r="AN901" s="7">
        <f>IF(AJ901="","",IF(AJ901&gt;=0.90,"Excellent",IF(AJ901&gt;=0.80,"Good",IF(AJ901&gt;=0.70,"Fair","Poor"))))</f>
        <v/>
      </c>
      <c r="AO901" s="12" t="n"/>
      <c r="AP901" s="12" t="n"/>
      <c r="AQ901" s="12" t="n"/>
      <c r="AR901" s="12" t="n"/>
      <c r="AS901" s="12" t="n"/>
      <c r="AT901" s="12" t="n"/>
      <c r="AU901" s="12" t="n"/>
      <c r="AV901" s="11" t="n"/>
      <c r="AW901" s="12" t="n"/>
      <c r="AX901" s="12" t="n"/>
      <c r="AY901" s="12" t="n"/>
      <c r="AZ901" s="12" t="n"/>
      <c r="BA901" s="12" t="n"/>
      <c r="BB901" s="12" t="n"/>
      <c r="BC901" s="12" t="n"/>
      <c r="BD901" s="12" t="n"/>
      <c r="BE901" s="12" t="n"/>
      <c r="BF901" s="12" t="n"/>
    </row>
    <row r="902">
      <c r="A902" s="7">
        <f>IF(B902="","","INS-"&amp;TEXT(ROW()-3,"000"))</f>
        <v/>
      </c>
      <c r="B902" s="11" t="n"/>
      <c r="C902" s="7">
        <f>IF(B902="","",ISOWEEKNUM(B902))</f>
        <v/>
      </c>
      <c r="D902" s="7">
        <f>IF(B902="","",TEXT(B902,"yyyy-mm"))</f>
        <v/>
      </c>
      <c r="E902" s="12" t="n"/>
      <c r="F902" s="12" t="n"/>
      <c r="G902" s="7">
        <f>IF(OR(E902="",F902=""),"",IF(COUNTIF(Cluster_Master!$I$3:$I$17,E902&amp;"|"&amp;F902)=1,"Valid","Review"))</f>
        <v/>
      </c>
      <c r="H902" s="7">
        <f>IF($G902&lt;&gt;"Valid","",VLOOKUP($E902&amp;"|"&amp;$F902,Cluster_Master!$I$3:$H$17,3,FALSE))</f>
        <v/>
      </c>
      <c r="I902" s="7">
        <f>IF($G902&lt;&gt;"Valid","",VLOOKUP($E902&amp;"|"&amp;$F902,Cluster_Master!$I$3:$H$17,4,FALSE))</f>
        <v/>
      </c>
      <c r="J902" s="7">
        <f>IF($G902&lt;&gt;"Valid","",VLOOKUP($E902&amp;"|"&amp;$F902,Cluster_Master!$I$3:$H$17,5,FALSE))</f>
        <v/>
      </c>
      <c r="K902" s="7">
        <f>IF($G902&lt;&gt;"Valid","",VLOOKUP($E902&amp;"|"&amp;$F902,Cluster_Master!$I$3:$H$17,6,FALSE))</f>
        <v/>
      </c>
      <c r="L902" s="7">
        <f>IF($G902&lt;&gt;"Valid","",VLOOKUP($E902&amp;"|"&amp;$F902,Cluster_Master!$I$3:$H$17,7,FALSE))</f>
        <v/>
      </c>
      <c r="M902" s="7">
        <f>IF($G902&lt;&gt;"Valid","",VLOOKUP($E902&amp;"|"&amp;$F902,Cluster_Master!$I$3:$H$17,8,FALSE))</f>
        <v/>
      </c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7">
        <f>IF(COUNT(T902:AH902)=0,"",SUM(T902:AH902))</f>
        <v/>
      </c>
      <c r="AJ902" s="10">
        <f>IF(AI902="","",AI902/75)</f>
        <v/>
      </c>
      <c r="AK902" s="10">
        <f>IF(AI902="","",SUMPRODUCT(T902:AH902,KPI_Weights!$B$3:$B$17)/5)</f>
        <v/>
      </c>
      <c r="AL902" s="7">
        <f>IF(COUNT(T902:AH902)=0,"",IF(OR(T902&lt;=1,W902&lt;=1,X902&lt;=1,Y902&lt;=1,AB902&lt;=1),"YES","NO"))</f>
        <v/>
      </c>
      <c r="AM902" s="7">
        <f>IF(AK902="","",IF(AND(AK902="NO",AJ902&gt;=0.85),"YES","NO"))</f>
        <v/>
      </c>
      <c r="AN902" s="7">
        <f>IF(AJ902="","",IF(AJ902&gt;=0.90,"Excellent",IF(AJ902&gt;=0.80,"Good",IF(AJ902&gt;=0.70,"Fair","Poor"))))</f>
        <v/>
      </c>
      <c r="AO902" s="12" t="n"/>
      <c r="AP902" s="12" t="n"/>
      <c r="AQ902" s="12" t="n"/>
      <c r="AR902" s="12" t="n"/>
      <c r="AS902" s="12" t="n"/>
      <c r="AT902" s="12" t="n"/>
      <c r="AU902" s="12" t="n"/>
      <c r="AV902" s="11" t="n"/>
      <c r="AW902" s="12" t="n"/>
      <c r="AX902" s="12" t="n"/>
      <c r="AY902" s="12" t="n"/>
      <c r="AZ902" s="12" t="n"/>
      <c r="BA902" s="12" t="n"/>
      <c r="BB902" s="12" t="n"/>
      <c r="BC902" s="12" t="n"/>
      <c r="BD902" s="12" t="n"/>
      <c r="BE902" s="12" t="n"/>
      <c r="BF902" s="12" t="n"/>
    </row>
    <row r="903">
      <c r="A903" s="7">
        <f>IF(B903="","","INS-"&amp;TEXT(ROW()-3,"000"))</f>
        <v/>
      </c>
      <c r="B903" s="11" t="n"/>
      <c r="C903" s="7">
        <f>IF(B903="","",ISOWEEKNUM(B903))</f>
        <v/>
      </c>
      <c r="D903" s="7">
        <f>IF(B903="","",TEXT(B903,"yyyy-mm"))</f>
        <v/>
      </c>
      <c r="E903" s="12" t="n"/>
      <c r="F903" s="12" t="n"/>
      <c r="G903" s="7">
        <f>IF(OR(E903="",F903=""),"",IF(COUNTIF(Cluster_Master!$I$3:$I$17,E903&amp;"|"&amp;F903)=1,"Valid","Review"))</f>
        <v/>
      </c>
      <c r="H903" s="7">
        <f>IF($G903&lt;&gt;"Valid","",VLOOKUP($E903&amp;"|"&amp;$F903,Cluster_Master!$I$3:$H$17,3,FALSE))</f>
        <v/>
      </c>
      <c r="I903" s="7">
        <f>IF($G903&lt;&gt;"Valid","",VLOOKUP($E903&amp;"|"&amp;$F903,Cluster_Master!$I$3:$H$17,4,FALSE))</f>
        <v/>
      </c>
      <c r="J903" s="7">
        <f>IF($G903&lt;&gt;"Valid","",VLOOKUP($E903&amp;"|"&amp;$F903,Cluster_Master!$I$3:$H$17,5,FALSE))</f>
        <v/>
      </c>
      <c r="K903" s="7">
        <f>IF($G903&lt;&gt;"Valid","",VLOOKUP($E903&amp;"|"&amp;$F903,Cluster_Master!$I$3:$H$17,6,FALSE))</f>
        <v/>
      </c>
      <c r="L903" s="7">
        <f>IF($G903&lt;&gt;"Valid","",VLOOKUP($E903&amp;"|"&amp;$F903,Cluster_Master!$I$3:$H$17,7,FALSE))</f>
        <v/>
      </c>
      <c r="M903" s="7">
        <f>IF($G903&lt;&gt;"Valid","",VLOOKUP($E903&amp;"|"&amp;$F903,Cluster_Master!$I$3:$H$17,8,FALSE))</f>
        <v/>
      </c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7">
        <f>IF(COUNT(T903:AH903)=0,"",SUM(T903:AH903))</f>
        <v/>
      </c>
      <c r="AJ903" s="10">
        <f>IF(AI903="","",AI903/75)</f>
        <v/>
      </c>
      <c r="AK903" s="10">
        <f>IF(AI903="","",SUMPRODUCT(T903:AH903,KPI_Weights!$B$3:$B$17)/5)</f>
        <v/>
      </c>
      <c r="AL903" s="7">
        <f>IF(COUNT(T903:AH903)=0,"",IF(OR(T903&lt;=1,W903&lt;=1,X903&lt;=1,Y903&lt;=1,AB903&lt;=1),"YES","NO"))</f>
        <v/>
      </c>
      <c r="AM903" s="7">
        <f>IF(AK903="","",IF(AND(AK903="NO",AJ903&gt;=0.85),"YES","NO"))</f>
        <v/>
      </c>
      <c r="AN903" s="7">
        <f>IF(AJ903="","",IF(AJ903&gt;=0.90,"Excellent",IF(AJ903&gt;=0.80,"Good",IF(AJ903&gt;=0.70,"Fair","Poor"))))</f>
        <v/>
      </c>
      <c r="AO903" s="12" t="n"/>
      <c r="AP903" s="12" t="n"/>
      <c r="AQ903" s="12" t="n"/>
      <c r="AR903" s="12" t="n"/>
      <c r="AS903" s="12" t="n"/>
      <c r="AT903" s="12" t="n"/>
      <c r="AU903" s="12" t="n"/>
      <c r="AV903" s="11" t="n"/>
      <c r="AW903" s="12" t="n"/>
      <c r="AX903" s="12" t="n"/>
      <c r="AY903" s="12" t="n"/>
      <c r="AZ903" s="12" t="n"/>
      <c r="BA903" s="12" t="n"/>
      <c r="BB903" s="12" t="n"/>
      <c r="BC903" s="12" t="n"/>
      <c r="BD903" s="12" t="n"/>
      <c r="BE903" s="12" t="n"/>
      <c r="BF903" s="12" t="n"/>
    </row>
    <row r="904">
      <c r="A904" s="7">
        <f>IF(B904="","","INS-"&amp;TEXT(ROW()-3,"000"))</f>
        <v/>
      </c>
      <c r="B904" s="11" t="n"/>
      <c r="C904" s="7">
        <f>IF(B904="","",ISOWEEKNUM(B904))</f>
        <v/>
      </c>
      <c r="D904" s="7">
        <f>IF(B904="","",TEXT(B904,"yyyy-mm"))</f>
        <v/>
      </c>
      <c r="E904" s="12" t="n"/>
      <c r="F904" s="12" t="n"/>
      <c r="G904" s="7">
        <f>IF(OR(E904="",F904=""),"",IF(COUNTIF(Cluster_Master!$I$3:$I$17,E904&amp;"|"&amp;F904)=1,"Valid","Review"))</f>
        <v/>
      </c>
      <c r="H904" s="7">
        <f>IF($G904&lt;&gt;"Valid","",VLOOKUP($E904&amp;"|"&amp;$F904,Cluster_Master!$I$3:$H$17,3,FALSE))</f>
        <v/>
      </c>
      <c r="I904" s="7">
        <f>IF($G904&lt;&gt;"Valid","",VLOOKUP($E904&amp;"|"&amp;$F904,Cluster_Master!$I$3:$H$17,4,FALSE))</f>
        <v/>
      </c>
      <c r="J904" s="7">
        <f>IF($G904&lt;&gt;"Valid","",VLOOKUP($E904&amp;"|"&amp;$F904,Cluster_Master!$I$3:$H$17,5,FALSE))</f>
        <v/>
      </c>
      <c r="K904" s="7">
        <f>IF($G904&lt;&gt;"Valid","",VLOOKUP($E904&amp;"|"&amp;$F904,Cluster_Master!$I$3:$H$17,6,FALSE))</f>
        <v/>
      </c>
      <c r="L904" s="7">
        <f>IF($G904&lt;&gt;"Valid","",VLOOKUP($E904&amp;"|"&amp;$F904,Cluster_Master!$I$3:$H$17,7,FALSE))</f>
        <v/>
      </c>
      <c r="M904" s="7">
        <f>IF($G904&lt;&gt;"Valid","",VLOOKUP($E904&amp;"|"&amp;$F904,Cluster_Master!$I$3:$H$17,8,FALSE))</f>
        <v/>
      </c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7">
        <f>IF(COUNT(T904:AH904)=0,"",SUM(T904:AH904))</f>
        <v/>
      </c>
      <c r="AJ904" s="10">
        <f>IF(AI904="","",AI904/75)</f>
        <v/>
      </c>
      <c r="AK904" s="10">
        <f>IF(AI904="","",SUMPRODUCT(T904:AH904,KPI_Weights!$B$3:$B$17)/5)</f>
        <v/>
      </c>
      <c r="AL904" s="7">
        <f>IF(COUNT(T904:AH904)=0,"",IF(OR(T904&lt;=1,W904&lt;=1,X904&lt;=1,Y904&lt;=1,AB904&lt;=1),"YES","NO"))</f>
        <v/>
      </c>
      <c r="AM904" s="7">
        <f>IF(AK904="","",IF(AND(AK904="NO",AJ904&gt;=0.85),"YES","NO"))</f>
        <v/>
      </c>
      <c r="AN904" s="7">
        <f>IF(AJ904="","",IF(AJ904&gt;=0.90,"Excellent",IF(AJ904&gt;=0.80,"Good",IF(AJ904&gt;=0.70,"Fair","Poor"))))</f>
        <v/>
      </c>
      <c r="AO904" s="12" t="n"/>
      <c r="AP904" s="12" t="n"/>
      <c r="AQ904" s="12" t="n"/>
      <c r="AR904" s="12" t="n"/>
      <c r="AS904" s="12" t="n"/>
      <c r="AT904" s="12" t="n"/>
      <c r="AU904" s="12" t="n"/>
      <c r="AV904" s="11" t="n"/>
      <c r="AW904" s="12" t="n"/>
      <c r="AX904" s="12" t="n"/>
      <c r="AY904" s="12" t="n"/>
      <c r="AZ904" s="12" t="n"/>
      <c r="BA904" s="12" t="n"/>
      <c r="BB904" s="12" t="n"/>
      <c r="BC904" s="12" t="n"/>
      <c r="BD904" s="12" t="n"/>
      <c r="BE904" s="12" t="n"/>
      <c r="BF904" s="12" t="n"/>
    </row>
    <row r="905">
      <c r="A905" s="7">
        <f>IF(B905="","","INS-"&amp;TEXT(ROW()-3,"000"))</f>
        <v/>
      </c>
      <c r="B905" s="11" t="n"/>
      <c r="C905" s="7">
        <f>IF(B905="","",ISOWEEKNUM(B905))</f>
        <v/>
      </c>
      <c r="D905" s="7">
        <f>IF(B905="","",TEXT(B905,"yyyy-mm"))</f>
        <v/>
      </c>
      <c r="E905" s="12" t="n"/>
      <c r="F905" s="12" t="n"/>
      <c r="G905" s="7">
        <f>IF(OR(E905="",F905=""),"",IF(COUNTIF(Cluster_Master!$I$3:$I$17,E905&amp;"|"&amp;F905)=1,"Valid","Review"))</f>
        <v/>
      </c>
      <c r="H905" s="7">
        <f>IF($G905&lt;&gt;"Valid","",VLOOKUP($E905&amp;"|"&amp;$F905,Cluster_Master!$I$3:$H$17,3,FALSE))</f>
        <v/>
      </c>
      <c r="I905" s="7">
        <f>IF($G905&lt;&gt;"Valid","",VLOOKUP($E905&amp;"|"&amp;$F905,Cluster_Master!$I$3:$H$17,4,FALSE))</f>
        <v/>
      </c>
      <c r="J905" s="7">
        <f>IF($G905&lt;&gt;"Valid","",VLOOKUP($E905&amp;"|"&amp;$F905,Cluster_Master!$I$3:$H$17,5,FALSE))</f>
        <v/>
      </c>
      <c r="K905" s="7">
        <f>IF($G905&lt;&gt;"Valid","",VLOOKUP($E905&amp;"|"&amp;$F905,Cluster_Master!$I$3:$H$17,6,FALSE))</f>
        <v/>
      </c>
      <c r="L905" s="7">
        <f>IF($G905&lt;&gt;"Valid","",VLOOKUP($E905&amp;"|"&amp;$F905,Cluster_Master!$I$3:$H$17,7,FALSE))</f>
        <v/>
      </c>
      <c r="M905" s="7">
        <f>IF($G905&lt;&gt;"Valid","",VLOOKUP($E905&amp;"|"&amp;$F905,Cluster_Master!$I$3:$H$17,8,FALSE))</f>
        <v/>
      </c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7">
        <f>IF(COUNT(T905:AH905)=0,"",SUM(T905:AH905))</f>
        <v/>
      </c>
      <c r="AJ905" s="10">
        <f>IF(AI905="","",AI905/75)</f>
        <v/>
      </c>
      <c r="AK905" s="10">
        <f>IF(AI905="","",SUMPRODUCT(T905:AH905,KPI_Weights!$B$3:$B$17)/5)</f>
        <v/>
      </c>
      <c r="AL905" s="7">
        <f>IF(COUNT(T905:AH905)=0,"",IF(OR(T905&lt;=1,W905&lt;=1,X905&lt;=1,Y905&lt;=1,AB905&lt;=1),"YES","NO"))</f>
        <v/>
      </c>
      <c r="AM905" s="7">
        <f>IF(AK905="","",IF(AND(AK905="NO",AJ905&gt;=0.85),"YES","NO"))</f>
        <v/>
      </c>
      <c r="AN905" s="7">
        <f>IF(AJ905="","",IF(AJ905&gt;=0.90,"Excellent",IF(AJ905&gt;=0.80,"Good",IF(AJ905&gt;=0.70,"Fair","Poor"))))</f>
        <v/>
      </c>
      <c r="AO905" s="12" t="n"/>
      <c r="AP905" s="12" t="n"/>
      <c r="AQ905" s="12" t="n"/>
      <c r="AR905" s="12" t="n"/>
      <c r="AS905" s="12" t="n"/>
      <c r="AT905" s="12" t="n"/>
      <c r="AU905" s="12" t="n"/>
      <c r="AV905" s="11" t="n"/>
      <c r="AW905" s="12" t="n"/>
      <c r="AX905" s="12" t="n"/>
      <c r="AY905" s="12" t="n"/>
      <c r="AZ905" s="12" t="n"/>
      <c r="BA905" s="12" t="n"/>
      <c r="BB905" s="12" t="n"/>
      <c r="BC905" s="12" t="n"/>
      <c r="BD905" s="12" t="n"/>
      <c r="BE905" s="12" t="n"/>
      <c r="BF905" s="12" t="n"/>
    </row>
    <row r="906">
      <c r="A906" s="7">
        <f>IF(B906="","","INS-"&amp;TEXT(ROW()-3,"000"))</f>
        <v/>
      </c>
      <c r="B906" s="11" t="n"/>
      <c r="C906" s="7">
        <f>IF(B906="","",ISOWEEKNUM(B906))</f>
        <v/>
      </c>
      <c r="D906" s="7">
        <f>IF(B906="","",TEXT(B906,"yyyy-mm"))</f>
        <v/>
      </c>
      <c r="E906" s="12" t="n"/>
      <c r="F906" s="12" t="n"/>
      <c r="G906" s="7">
        <f>IF(OR(E906="",F906=""),"",IF(COUNTIF(Cluster_Master!$I$3:$I$17,E906&amp;"|"&amp;F906)=1,"Valid","Review"))</f>
        <v/>
      </c>
      <c r="H906" s="7">
        <f>IF($G906&lt;&gt;"Valid","",VLOOKUP($E906&amp;"|"&amp;$F906,Cluster_Master!$I$3:$H$17,3,FALSE))</f>
        <v/>
      </c>
      <c r="I906" s="7">
        <f>IF($G906&lt;&gt;"Valid","",VLOOKUP($E906&amp;"|"&amp;$F906,Cluster_Master!$I$3:$H$17,4,FALSE))</f>
        <v/>
      </c>
      <c r="J906" s="7">
        <f>IF($G906&lt;&gt;"Valid","",VLOOKUP($E906&amp;"|"&amp;$F906,Cluster_Master!$I$3:$H$17,5,FALSE))</f>
        <v/>
      </c>
      <c r="K906" s="7">
        <f>IF($G906&lt;&gt;"Valid","",VLOOKUP($E906&amp;"|"&amp;$F906,Cluster_Master!$I$3:$H$17,6,FALSE))</f>
        <v/>
      </c>
      <c r="L906" s="7">
        <f>IF($G906&lt;&gt;"Valid","",VLOOKUP($E906&amp;"|"&amp;$F906,Cluster_Master!$I$3:$H$17,7,FALSE))</f>
        <v/>
      </c>
      <c r="M906" s="7">
        <f>IF($G906&lt;&gt;"Valid","",VLOOKUP($E906&amp;"|"&amp;$F906,Cluster_Master!$I$3:$H$17,8,FALSE))</f>
        <v/>
      </c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7">
        <f>IF(COUNT(T906:AH906)=0,"",SUM(T906:AH906))</f>
        <v/>
      </c>
      <c r="AJ906" s="10">
        <f>IF(AI906="","",AI906/75)</f>
        <v/>
      </c>
      <c r="AK906" s="10">
        <f>IF(AI906="","",SUMPRODUCT(T906:AH906,KPI_Weights!$B$3:$B$17)/5)</f>
        <v/>
      </c>
      <c r="AL906" s="7">
        <f>IF(COUNT(T906:AH906)=0,"",IF(OR(T906&lt;=1,W906&lt;=1,X906&lt;=1,Y906&lt;=1,AB906&lt;=1),"YES","NO"))</f>
        <v/>
      </c>
      <c r="AM906" s="7">
        <f>IF(AK906="","",IF(AND(AK906="NO",AJ906&gt;=0.85),"YES","NO"))</f>
        <v/>
      </c>
      <c r="AN906" s="7">
        <f>IF(AJ906="","",IF(AJ906&gt;=0.90,"Excellent",IF(AJ906&gt;=0.80,"Good",IF(AJ906&gt;=0.70,"Fair","Poor"))))</f>
        <v/>
      </c>
      <c r="AO906" s="12" t="n"/>
      <c r="AP906" s="12" t="n"/>
      <c r="AQ906" s="12" t="n"/>
      <c r="AR906" s="12" t="n"/>
      <c r="AS906" s="12" t="n"/>
      <c r="AT906" s="12" t="n"/>
      <c r="AU906" s="12" t="n"/>
      <c r="AV906" s="11" t="n"/>
      <c r="AW906" s="12" t="n"/>
      <c r="AX906" s="12" t="n"/>
      <c r="AY906" s="12" t="n"/>
      <c r="AZ906" s="12" t="n"/>
      <c r="BA906" s="12" t="n"/>
      <c r="BB906" s="12" t="n"/>
      <c r="BC906" s="12" t="n"/>
      <c r="BD906" s="12" t="n"/>
      <c r="BE906" s="12" t="n"/>
      <c r="BF906" s="12" t="n"/>
    </row>
    <row r="907">
      <c r="A907" s="7">
        <f>IF(B907="","","INS-"&amp;TEXT(ROW()-3,"000"))</f>
        <v/>
      </c>
      <c r="B907" s="11" t="n"/>
      <c r="C907" s="7">
        <f>IF(B907="","",ISOWEEKNUM(B907))</f>
        <v/>
      </c>
      <c r="D907" s="7">
        <f>IF(B907="","",TEXT(B907,"yyyy-mm"))</f>
        <v/>
      </c>
      <c r="E907" s="12" t="n"/>
      <c r="F907" s="12" t="n"/>
      <c r="G907" s="7">
        <f>IF(OR(E907="",F907=""),"",IF(COUNTIF(Cluster_Master!$I$3:$I$17,E907&amp;"|"&amp;F907)=1,"Valid","Review"))</f>
        <v/>
      </c>
      <c r="H907" s="7">
        <f>IF($G907&lt;&gt;"Valid","",VLOOKUP($E907&amp;"|"&amp;$F907,Cluster_Master!$I$3:$H$17,3,FALSE))</f>
        <v/>
      </c>
      <c r="I907" s="7">
        <f>IF($G907&lt;&gt;"Valid","",VLOOKUP($E907&amp;"|"&amp;$F907,Cluster_Master!$I$3:$H$17,4,FALSE))</f>
        <v/>
      </c>
      <c r="J907" s="7">
        <f>IF($G907&lt;&gt;"Valid","",VLOOKUP($E907&amp;"|"&amp;$F907,Cluster_Master!$I$3:$H$17,5,FALSE))</f>
        <v/>
      </c>
      <c r="K907" s="7">
        <f>IF($G907&lt;&gt;"Valid","",VLOOKUP($E907&amp;"|"&amp;$F907,Cluster_Master!$I$3:$H$17,6,FALSE))</f>
        <v/>
      </c>
      <c r="L907" s="7">
        <f>IF($G907&lt;&gt;"Valid","",VLOOKUP($E907&amp;"|"&amp;$F907,Cluster_Master!$I$3:$H$17,7,FALSE))</f>
        <v/>
      </c>
      <c r="M907" s="7">
        <f>IF($G907&lt;&gt;"Valid","",VLOOKUP($E907&amp;"|"&amp;$F907,Cluster_Master!$I$3:$H$17,8,FALSE))</f>
        <v/>
      </c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7">
        <f>IF(COUNT(T907:AH907)=0,"",SUM(T907:AH907))</f>
        <v/>
      </c>
      <c r="AJ907" s="10">
        <f>IF(AI907="","",AI907/75)</f>
        <v/>
      </c>
      <c r="AK907" s="10">
        <f>IF(AI907="","",SUMPRODUCT(T907:AH907,KPI_Weights!$B$3:$B$17)/5)</f>
        <v/>
      </c>
      <c r="AL907" s="7">
        <f>IF(COUNT(T907:AH907)=0,"",IF(OR(T907&lt;=1,W907&lt;=1,X907&lt;=1,Y907&lt;=1,AB907&lt;=1),"YES","NO"))</f>
        <v/>
      </c>
      <c r="AM907" s="7">
        <f>IF(AK907="","",IF(AND(AK907="NO",AJ907&gt;=0.85),"YES","NO"))</f>
        <v/>
      </c>
      <c r="AN907" s="7">
        <f>IF(AJ907="","",IF(AJ907&gt;=0.90,"Excellent",IF(AJ907&gt;=0.80,"Good",IF(AJ907&gt;=0.70,"Fair","Poor"))))</f>
        <v/>
      </c>
      <c r="AO907" s="12" t="n"/>
      <c r="AP907" s="12" t="n"/>
      <c r="AQ907" s="12" t="n"/>
      <c r="AR907" s="12" t="n"/>
      <c r="AS907" s="12" t="n"/>
      <c r="AT907" s="12" t="n"/>
      <c r="AU907" s="12" t="n"/>
      <c r="AV907" s="11" t="n"/>
      <c r="AW907" s="12" t="n"/>
      <c r="AX907" s="12" t="n"/>
      <c r="AY907" s="12" t="n"/>
      <c r="AZ907" s="12" t="n"/>
      <c r="BA907" s="12" t="n"/>
      <c r="BB907" s="12" t="n"/>
      <c r="BC907" s="12" t="n"/>
      <c r="BD907" s="12" t="n"/>
      <c r="BE907" s="12" t="n"/>
      <c r="BF907" s="12" t="n"/>
    </row>
    <row r="908">
      <c r="A908" s="7">
        <f>IF(B908="","","INS-"&amp;TEXT(ROW()-3,"000"))</f>
        <v/>
      </c>
      <c r="B908" s="11" t="n"/>
      <c r="C908" s="7">
        <f>IF(B908="","",ISOWEEKNUM(B908))</f>
        <v/>
      </c>
      <c r="D908" s="7">
        <f>IF(B908="","",TEXT(B908,"yyyy-mm"))</f>
        <v/>
      </c>
      <c r="E908" s="12" t="n"/>
      <c r="F908" s="12" t="n"/>
      <c r="G908" s="7">
        <f>IF(OR(E908="",F908=""),"",IF(COUNTIF(Cluster_Master!$I$3:$I$17,E908&amp;"|"&amp;F908)=1,"Valid","Review"))</f>
        <v/>
      </c>
      <c r="H908" s="7">
        <f>IF($G908&lt;&gt;"Valid","",VLOOKUP($E908&amp;"|"&amp;$F908,Cluster_Master!$I$3:$H$17,3,FALSE))</f>
        <v/>
      </c>
      <c r="I908" s="7">
        <f>IF($G908&lt;&gt;"Valid","",VLOOKUP($E908&amp;"|"&amp;$F908,Cluster_Master!$I$3:$H$17,4,FALSE))</f>
        <v/>
      </c>
      <c r="J908" s="7">
        <f>IF($G908&lt;&gt;"Valid","",VLOOKUP($E908&amp;"|"&amp;$F908,Cluster_Master!$I$3:$H$17,5,FALSE))</f>
        <v/>
      </c>
      <c r="K908" s="7">
        <f>IF($G908&lt;&gt;"Valid","",VLOOKUP($E908&amp;"|"&amp;$F908,Cluster_Master!$I$3:$H$17,6,FALSE))</f>
        <v/>
      </c>
      <c r="L908" s="7">
        <f>IF($G908&lt;&gt;"Valid","",VLOOKUP($E908&amp;"|"&amp;$F908,Cluster_Master!$I$3:$H$17,7,FALSE))</f>
        <v/>
      </c>
      <c r="M908" s="7">
        <f>IF($G908&lt;&gt;"Valid","",VLOOKUP($E908&amp;"|"&amp;$F908,Cluster_Master!$I$3:$H$17,8,FALSE))</f>
        <v/>
      </c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7">
        <f>IF(COUNT(T908:AH908)=0,"",SUM(T908:AH908))</f>
        <v/>
      </c>
      <c r="AJ908" s="10">
        <f>IF(AI908="","",AI908/75)</f>
        <v/>
      </c>
      <c r="AK908" s="10">
        <f>IF(AI908="","",SUMPRODUCT(T908:AH908,KPI_Weights!$B$3:$B$17)/5)</f>
        <v/>
      </c>
      <c r="AL908" s="7">
        <f>IF(COUNT(T908:AH908)=0,"",IF(OR(T908&lt;=1,W908&lt;=1,X908&lt;=1,Y908&lt;=1,AB908&lt;=1),"YES","NO"))</f>
        <v/>
      </c>
      <c r="AM908" s="7">
        <f>IF(AK908="","",IF(AND(AK908="NO",AJ908&gt;=0.85),"YES","NO"))</f>
        <v/>
      </c>
      <c r="AN908" s="7">
        <f>IF(AJ908="","",IF(AJ908&gt;=0.90,"Excellent",IF(AJ908&gt;=0.80,"Good",IF(AJ908&gt;=0.70,"Fair","Poor"))))</f>
        <v/>
      </c>
      <c r="AO908" s="12" t="n"/>
      <c r="AP908" s="12" t="n"/>
      <c r="AQ908" s="12" t="n"/>
      <c r="AR908" s="12" t="n"/>
      <c r="AS908" s="12" t="n"/>
      <c r="AT908" s="12" t="n"/>
      <c r="AU908" s="12" t="n"/>
      <c r="AV908" s="11" t="n"/>
      <c r="AW908" s="12" t="n"/>
      <c r="AX908" s="12" t="n"/>
      <c r="AY908" s="12" t="n"/>
      <c r="AZ908" s="12" t="n"/>
      <c r="BA908" s="12" t="n"/>
      <c r="BB908" s="12" t="n"/>
      <c r="BC908" s="12" t="n"/>
      <c r="BD908" s="12" t="n"/>
      <c r="BE908" s="12" t="n"/>
      <c r="BF908" s="12" t="n"/>
    </row>
    <row r="909">
      <c r="A909" s="7">
        <f>IF(B909="","","INS-"&amp;TEXT(ROW()-3,"000"))</f>
        <v/>
      </c>
      <c r="B909" s="11" t="n"/>
      <c r="C909" s="7">
        <f>IF(B909="","",ISOWEEKNUM(B909))</f>
        <v/>
      </c>
      <c r="D909" s="7">
        <f>IF(B909="","",TEXT(B909,"yyyy-mm"))</f>
        <v/>
      </c>
      <c r="E909" s="12" t="n"/>
      <c r="F909" s="12" t="n"/>
      <c r="G909" s="7">
        <f>IF(OR(E909="",F909=""),"",IF(COUNTIF(Cluster_Master!$I$3:$I$17,E909&amp;"|"&amp;F909)=1,"Valid","Review"))</f>
        <v/>
      </c>
      <c r="H909" s="7">
        <f>IF($G909&lt;&gt;"Valid","",VLOOKUP($E909&amp;"|"&amp;$F909,Cluster_Master!$I$3:$H$17,3,FALSE))</f>
        <v/>
      </c>
      <c r="I909" s="7">
        <f>IF($G909&lt;&gt;"Valid","",VLOOKUP($E909&amp;"|"&amp;$F909,Cluster_Master!$I$3:$H$17,4,FALSE))</f>
        <v/>
      </c>
      <c r="J909" s="7">
        <f>IF($G909&lt;&gt;"Valid","",VLOOKUP($E909&amp;"|"&amp;$F909,Cluster_Master!$I$3:$H$17,5,FALSE))</f>
        <v/>
      </c>
      <c r="K909" s="7">
        <f>IF($G909&lt;&gt;"Valid","",VLOOKUP($E909&amp;"|"&amp;$F909,Cluster_Master!$I$3:$H$17,6,FALSE))</f>
        <v/>
      </c>
      <c r="L909" s="7">
        <f>IF($G909&lt;&gt;"Valid","",VLOOKUP($E909&amp;"|"&amp;$F909,Cluster_Master!$I$3:$H$17,7,FALSE))</f>
        <v/>
      </c>
      <c r="M909" s="7">
        <f>IF($G909&lt;&gt;"Valid","",VLOOKUP($E909&amp;"|"&amp;$F909,Cluster_Master!$I$3:$H$17,8,FALSE))</f>
        <v/>
      </c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7">
        <f>IF(COUNT(T909:AH909)=0,"",SUM(T909:AH909))</f>
        <v/>
      </c>
      <c r="AJ909" s="10">
        <f>IF(AI909="","",AI909/75)</f>
        <v/>
      </c>
      <c r="AK909" s="10">
        <f>IF(AI909="","",SUMPRODUCT(T909:AH909,KPI_Weights!$B$3:$B$17)/5)</f>
        <v/>
      </c>
      <c r="AL909" s="7">
        <f>IF(COUNT(T909:AH909)=0,"",IF(OR(T909&lt;=1,W909&lt;=1,X909&lt;=1,Y909&lt;=1,AB909&lt;=1),"YES","NO"))</f>
        <v/>
      </c>
      <c r="AM909" s="7">
        <f>IF(AK909="","",IF(AND(AK909="NO",AJ909&gt;=0.85),"YES","NO"))</f>
        <v/>
      </c>
      <c r="AN909" s="7">
        <f>IF(AJ909="","",IF(AJ909&gt;=0.90,"Excellent",IF(AJ909&gt;=0.80,"Good",IF(AJ909&gt;=0.70,"Fair","Poor"))))</f>
        <v/>
      </c>
      <c r="AO909" s="12" t="n"/>
      <c r="AP909" s="12" t="n"/>
      <c r="AQ909" s="12" t="n"/>
      <c r="AR909" s="12" t="n"/>
      <c r="AS909" s="12" t="n"/>
      <c r="AT909" s="12" t="n"/>
      <c r="AU909" s="12" t="n"/>
      <c r="AV909" s="11" t="n"/>
      <c r="AW909" s="12" t="n"/>
      <c r="AX909" s="12" t="n"/>
      <c r="AY909" s="12" t="n"/>
      <c r="AZ909" s="12" t="n"/>
      <c r="BA909" s="12" t="n"/>
      <c r="BB909" s="12" t="n"/>
      <c r="BC909" s="12" t="n"/>
      <c r="BD909" s="12" t="n"/>
      <c r="BE909" s="12" t="n"/>
      <c r="BF909" s="12" t="n"/>
    </row>
    <row r="910">
      <c r="A910" s="7">
        <f>IF(B910="","","INS-"&amp;TEXT(ROW()-3,"000"))</f>
        <v/>
      </c>
      <c r="B910" s="11" t="n"/>
      <c r="C910" s="7">
        <f>IF(B910="","",ISOWEEKNUM(B910))</f>
        <v/>
      </c>
      <c r="D910" s="7">
        <f>IF(B910="","",TEXT(B910,"yyyy-mm"))</f>
        <v/>
      </c>
      <c r="E910" s="12" t="n"/>
      <c r="F910" s="12" t="n"/>
      <c r="G910" s="7">
        <f>IF(OR(E910="",F910=""),"",IF(COUNTIF(Cluster_Master!$I$3:$I$17,E910&amp;"|"&amp;F910)=1,"Valid","Review"))</f>
        <v/>
      </c>
      <c r="H910" s="7">
        <f>IF($G910&lt;&gt;"Valid","",VLOOKUP($E910&amp;"|"&amp;$F910,Cluster_Master!$I$3:$H$17,3,FALSE))</f>
        <v/>
      </c>
      <c r="I910" s="7">
        <f>IF($G910&lt;&gt;"Valid","",VLOOKUP($E910&amp;"|"&amp;$F910,Cluster_Master!$I$3:$H$17,4,FALSE))</f>
        <v/>
      </c>
      <c r="J910" s="7">
        <f>IF($G910&lt;&gt;"Valid","",VLOOKUP($E910&amp;"|"&amp;$F910,Cluster_Master!$I$3:$H$17,5,FALSE))</f>
        <v/>
      </c>
      <c r="K910" s="7">
        <f>IF($G910&lt;&gt;"Valid","",VLOOKUP($E910&amp;"|"&amp;$F910,Cluster_Master!$I$3:$H$17,6,FALSE))</f>
        <v/>
      </c>
      <c r="L910" s="7">
        <f>IF($G910&lt;&gt;"Valid","",VLOOKUP($E910&amp;"|"&amp;$F910,Cluster_Master!$I$3:$H$17,7,FALSE))</f>
        <v/>
      </c>
      <c r="M910" s="7">
        <f>IF($G910&lt;&gt;"Valid","",VLOOKUP($E910&amp;"|"&amp;$F910,Cluster_Master!$I$3:$H$17,8,FALSE))</f>
        <v/>
      </c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7">
        <f>IF(COUNT(T910:AH910)=0,"",SUM(T910:AH910))</f>
        <v/>
      </c>
      <c r="AJ910" s="10">
        <f>IF(AI910="","",AI910/75)</f>
        <v/>
      </c>
      <c r="AK910" s="10">
        <f>IF(AI910="","",SUMPRODUCT(T910:AH910,KPI_Weights!$B$3:$B$17)/5)</f>
        <v/>
      </c>
      <c r="AL910" s="7">
        <f>IF(COUNT(T910:AH910)=0,"",IF(OR(T910&lt;=1,W910&lt;=1,X910&lt;=1,Y910&lt;=1,AB910&lt;=1),"YES","NO"))</f>
        <v/>
      </c>
      <c r="AM910" s="7">
        <f>IF(AK910="","",IF(AND(AK910="NO",AJ910&gt;=0.85),"YES","NO"))</f>
        <v/>
      </c>
      <c r="AN910" s="7">
        <f>IF(AJ910="","",IF(AJ910&gt;=0.90,"Excellent",IF(AJ910&gt;=0.80,"Good",IF(AJ910&gt;=0.70,"Fair","Poor"))))</f>
        <v/>
      </c>
      <c r="AO910" s="12" t="n"/>
      <c r="AP910" s="12" t="n"/>
      <c r="AQ910" s="12" t="n"/>
      <c r="AR910" s="12" t="n"/>
      <c r="AS910" s="12" t="n"/>
      <c r="AT910" s="12" t="n"/>
      <c r="AU910" s="12" t="n"/>
      <c r="AV910" s="11" t="n"/>
      <c r="AW910" s="12" t="n"/>
      <c r="AX910" s="12" t="n"/>
      <c r="AY910" s="12" t="n"/>
      <c r="AZ910" s="12" t="n"/>
      <c r="BA910" s="12" t="n"/>
      <c r="BB910" s="12" t="n"/>
      <c r="BC910" s="12" t="n"/>
      <c r="BD910" s="12" t="n"/>
      <c r="BE910" s="12" t="n"/>
      <c r="BF910" s="12" t="n"/>
    </row>
    <row r="911">
      <c r="A911" s="7">
        <f>IF(B911="","","INS-"&amp;TEXT(ROW()-3,"000"))</f>
        <v/>
      </c>
      <c r="B911" s="11" t="n"/>
      <c r="C911" s="7">
        <f>IF(B911="","",ISOWEEKNUM(B911))</f>
        <v/>
      </c>
      <c r="D911" s="7">
        <f>IF(B911="","",TEXT(B911,"yyyy-mm"))</f>
        <v/>
      </c>
      <c r="E911" s="12" t="n"/>
      <c r="F911" s="12" t="n"/>
      <c r="G911" s="7">
        <f>IF(OR(E911="",F911=""),"",IF(COUNTIF(Cluster_Master!$I$3:$I$17,E911&amp;"|"&amp;F911)=1,"Valid","Review"))</f>
        <v/>
      </c>
      <c r="H911" s="7">
        <f>IF($G911&lt;&gt;"Valid","",VLOOKUP($E911&amp;"|"&amp;$F911,Cluster_Master!$I$3:$H$17,3,FALSE))</f>
        <v/>
      </c>
      <c r="I911" s="7">
        <f>IF($G911&lt;&gt;"Valid","",VLOOKUP($E911&amp;"|"&amp;$F911,Cluster_Master!$I$3:$H$17,4,FALSE))</f>
        <v/>
      </c>
      <c r="J911" s="7">
        <f>IF($G911&lt;&gt;"Valid","",VLOOKUP($E911&amp;"|"&amp;$F911,Cluster_Master!$I$3:$H$17,5,FALSE))</f>
        <v/>
      </c>
      <c r="K911" s="7">
        <f>IF($G911&lt;&gt;"Valid","",VLOOKUP($E911&amp;"|"&amp;$F911,Cluster_Master!$I$3:$H$17,6,FALSE))</f>
        <v/>
      </c>
      <c r="L911" s="7">
        <f>IF($G911&lt;&gt;"Valid","",VLOOKUP($E911&amp;"|"&amp;$F911,Cluster_Master!$I$3:$H$17,7,FALSE))</f>
        <v/>
      </c>
      <c r="M911" s="7">
        <f>IF($G911&lt;&gt;"Valid","",VLOOKUP($E911&amp;"|"&amp;$F911,Cluster_Master!$I$3:$H$17,8,FALSE))</f>
        <v/>
      </c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7">
        <f>IF(COUNT(T911:AH911)=0,"",SUM(T911:AH911))</f>
        <v/>
      </c>
      <c r="AJ911" s="10">
        <f>IF(AI911="","",AI911/75)</f>
        <v/>
      </c>
      <c r="AK911" s="10">
        <f>IF(AI911="","",SUMPRODUCT(T911:AH911,KPI_Weights!$B$3:$B$17)/5)</f>
        <v/>
      </c>
      <c r="AL911" s="7">
        <f>IF(COUNT(T911:AH911)=0,"",IF(OR(T911&lt;=1,W911&lt;=1,X911&lt;=1,Y911&lt;=1,AB911&lt;=1),"YES","NO"))</f>
        <v/>
      </c>
      <c r="AM911" s="7">
        <f>IF(AK911="","",IF(AND(AK911="NO",AJ911&gt;=0.85),"YES","NO"))</f>
        <v/>
      </c>
      <c r="AN911" s="7">
        <f>IF(AJ911="","",IF(AJ911&gt;=0.90,"Excellent",IF(AJ911&gt;=0.80,"Good",IF(AJ911&gt;=0.70,"Fair","Poor"))))</f>
        <v/>
      </c>
      <c r="AO911" s="12" t="n"/>
      <c r="AP911" s="12" t="n"/>
      <c r="AQ911" s="12" t="n"/>
      <c r="AR911" s="12" t="n"/>
      <c r="AS911" s="12" t="n"/>
      <c r="AT911" s="12" t="n"/>
      <c r="AU911" s="12" t="n"/>
      <c r="AV911" s="11" t="n"/>
      <c r="AW911" s="12" t="n"/>
      <c r="AX911" s="12" t="n"/>
      <c r="AY911" s="12" t="n"/>
      <c r="AZ911" s="12" t="n"/>
      <c r="BA911" s="12" t="n"/>
      <c r="BB911" s="12" t="n"/>
      <c r="BC911" s="12" t="n"/>
      <c r="BD911" s="12" t="n"/>
      <c r="BE911" s="12" t="n"/>
      <c r="BF911" s="12" t="n"/>
    </row>
    <row r="912">
      <c r="A912" s="7">
        <f>IF(B912="","","INS-"&amp;TEXT(ROW()-3,"000"))</f>
        <v/>
      </c>
      <c r="B912" s="11" t="n"/>
      <c r="C912" s="7">
        <f>IF(B912="","",ISOWEEKNUM(B912))</f>
        <v/>
      </c>
      <c r="D912" s="7">
        <f>IF(B912="","",TEXT(B912,"yyyy-mm"))</f>
        <v/>
      </c>
      <c r="E912" s="12" t="n"/>
      <c r="F912" s="12" t="n"/>
      <c r="G912" s="7">
        <f>IF(OR(E912="",F912=""),"",IF(COUNTIF(Cluster_Master!$I$3:$I$17,E912&amp;"|"&amp;F912)=1,"Valid","Review"))</f>
        <v/>
      </c>
      <c r="H912" s="7">
        <f>IF($G912&lt;&gt;"Valid","",VLOOKUP($E912&amp;"|"&amp;$F912,Cluster_Master!$I$3:$H$17,3,FALSE))</f>
        <v/>
      </c>
      <c r="I912" s="7">
        <f>IF($G912&lt;&gt;"Valid","",VLOOKUP($E912&amp;"|"&amp;$F912,Cluster_Master!$I$3:$H$17,4,FALSE))</f>
        <v/>
      </c>
      <c r="J912" s="7">
        <f>IF($G912&lt;&gt;"Valid","",VLOOKUP($E912&amp;"|"&amp;$F912,Cluster_Master!$I$3:$H$17,5,FALSE))</f>
        <v/>
      </c>
      <c r="K912" s="7">
        <f>IF($G912&lt;&gt;"Valid","",VLOOKUP($E912&amp;"|"&amp;$F912,Cluster_Master!$I$3:$H$17,6,FALSE))</f>
        <v/>
      </c>
      <c r="L912" s="7">
        <f>IF($G912&lt;&gt;"Valid","",VLOOKUP($E912&amp;"|"&amp;$F912,Cluster_Master!$I$3:$H$17,7,FALSE))</f>
        <v/>
      </c>
      <c r="M912" s="7">
        <f>IF($G912&lt;&gt;"Valid","",VLOOKUP($E912&amp;"|"&amp;$F912,Cluster_Master!$I$3:$H$17,8,FALSE))</f>
        <v/>
      </c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7">
        <f>IF(COUNT(T912:AH912)=0,"",SUM(T912:AH912))</f>
        <v/>
      </c>
      <c r="AJ912" s="10">
        <f>IF(AI912="","",AI912/75)</f>
        <v/>
      </c>
      <c r="AK912" s="10">
        <f>IF(AI912="","",SUMPRODUCT(T912:AH912,KPI_Weights!$B$3:$B$17)/5)</f>
        <v/>
      </c>
      <c r="AL912" s="7">
        <f>IF(COUNT(T912:AH912)=0,"",IF(OR(T912&lt;=1,W912&lt;=1,X912&lt;=1,Y912&lt;=1,AB912&lt;=1),"YES","NO"))</f>
        <v/>
      </c>
      <c r="AM912" s="7">
        <f>IF(AK912="","",IF(AND(AK912="NO",AJ912&gt;=0.85),"YES","NO"))</f>
        <v/>
      </c>
      <c r="AN912" s="7">
        <f>IF(AJ912="","",IF(AJ912&gt;=0.90,"Excellent",IF(AJ912&gt;=0.80,"Good",IF(AJ912&gt;=0.70,"Fair","Poor"))))</f>
        <v/>
      </c>
      <c r="AO912" s="12" t="n"/>
      <c r="AP912" s="12" t="n"/>
      <c r="AQ912" s="12" t="n"/>
      <c r="AR912" s="12" t="n"/>
      <c r="AS912" s="12" t="n"/>
      <c r="AT912" s="12" t="n"/>
      <c r="AU912" s="12" t="n"/>
      <c r="AV912" s="11" t="n"/>
      <c r="AW912" s="12" t="n"/>
      <c r="AX912" s="12" t="n"/>
      <c r="AY912" s="12" t="n"/>
      <c r="AZ912" s="12" t="n"/>
      <c r="BA912" s="12" t="n"/>
      <c r="BB912" s="12" t="n"/>
      <c r="BC912" s="12" t="n"/>
      <c r="BD912" s="12" t="n"/>
      <c r="BE912" s="12" t="n"/>
      <c r="BF912" s="12" t="n"/>
    </row>
    <row r="913">
      <c r="A913" s="7">
        <f>IF(B913="","","INS-"&amp;TEXT(ROW()-3,"000"))</f>
        <v/>
      </c>
      <c r="B913" s="11" t="n"/>
      <c r="C913" s="7">
        <f>IF(B913="","",ISOWEEKNUM(B913))</f>
        <v/>
      </c>
      <c r="D913" s="7">
        <f>IF(B913="","",TEXT(B913,"yyyy-mm"))</f>
        <v/>
      </c>
      <c r="E913" s="12" t="n"/>
      <c r="F913" s="12" t="n"/>
      <c r="G913" s="7">
        <f>IF(OR(E913="",F913=""),"",IF(COUNTIF(Cluster_Master!$I$3:$I$17,E913&amp;"|"&amp;F913)=1,"Valid","Review"))</f>
        <v/>
      </c>
      <c r="H913" s="7">
        <f>IF($G913&lt;&gt;"Valid","",VLOOKUP($E913&amp;"|"&amp;$F913,Cluster_Master!$I$3:$H$17,3,FALSE))</f>
        <v/>
      </c>
      <c r="I913" s="7">
        <f>IF($G913&lt;&gt;"Valid","",VLOOKUP($E913&amp;"|"&amp;$F913,Cluster_Master!$I$3:$H$17,4,FALSE))</f>
        <v/>
      </c>
      <c r="J913" s="7">
        <f>IF($G913&lt;&gt;"Valid","",VLOOKUP($E913&amp;"|"&amp;$F913,Cluster_Master!$I$3:$H$17,5,FALSE))</f>
        <v/>
      </c>
      <c r="K913" s="7">
        <f>IF($G913&lt;&gt;"Valid","",VLOOKUP($E913&amp;"|"&amp;$F913,Cluster_Master!$I$3:$H$17,6,FALSE))</f>
        <v/>
      </c>
      <c r="L913" s="7">
        <f>IF($G913&lt;&gt;"Valid","",VLOOKUP($E913&amp;"|"&amp;$F913,Cluster_Master!$I$3:$H$17,7,FALSE))</f>
        <v/>
      </c>
      <c r="M913" s="7">
        <f>IF($G913&lt;&gt;"Valid","",VLOOKUP($E913&amp;"|"&amp;$F913,Cluster_Master!$I$3:$H$17,8,FALSE))</f>
        <v/>
      </c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7">
        <f>IF(COUNT(T913:AH913)=0,"",SUM(T913:AH913))</f>
        <v/>
      </c>
      <c r="AJ913" s="10">
        <f>IF(AI913="","",AI913/75)</f>
        <v/>
      </c>
      <c r="AK913" s="10">
        <f>IF(AI913="","",SUMPRODUCT(T913:AH913,KPI_Weights!$B$3:$B$17)/5)</f>
        <v/>
      </c>
      <c r="AL913" s="7">
        <f>IF(COUNT(T913:AH913)=0,"",IF(OR(T913&lt;=1,W913&lt;=1,X913&lt;=1,Y913&lt;=1,AB913&lt;=1),"YES","NO"))</f>
        <v/>
      </c>
      <c r="AM913" s="7">
        <f>IF(AK913="","",IF(AND(AK913="NO",AJ913&gt;=0.85),"YES","NO"))</f>
        <v/>
      </c>
      <c r="AN913" s="7">
        <f>IF(AJ913="","",IF(AJ913&gt;=0.90,"Excellent",IF(AJ913&gt;=0.80,"Good",IF(AJ913&gt;=0.70,"Fair","Poor"))))</f>
        <v/>
      </c>
      <c r="AO913" s="12" t="n"/>
      <c r="AP913" s="12" t="n"/>
      <c r="AQ913" s="12" t="n"/>
      <c r="AR913" s="12" t="n"/>
      <c r="AS913" s="12" t="n"/>
      <c r="AT913" s="12" t="n"/>
      <c r="AU913" s="12" t="n"/>
      <c r="AV913" s="11" t="n"/>
      <c r="AW913" s="12" t="n"/>
      <c r="AX913" s="12" t="n"/>
      <c r="AY913" s="12" t="n"/>
      <c r="AZ913" s="12" t="n"/>
      <c r="BA913" s="12" t="n"/>
      <c r="BB913" s="12" t="n"/>
      <c r="BC913" s="12" t="n"/>
      <c r="BD913" s="12" t="n"/>
      <c r="BE913" s="12" t="n"/>
      <c r="BF913" s="12" t="n"/>
    </row>
    <row r="914">
      <c r="A914" s="7">
        <f>IF(B914="","","INS-"&amp;TEXT(ROW()-3,"000"))</f>
        <v/>
      </c>
      <c r="B914" s="11" t="n"/>
      <c r="C914" s="7">
        <f>IF(B914="","",ISOWEEKNUM(B914))</f>
        <v/>
      </c>
      <c r="D914" s="7">
        <f>IF(B914="","",TEXT(B914,"yyyy-mm"))</f>
        <v/>
      </c>
      <c r="E914" s="12" t="n"/>
      <c r="F914" s="12" t="n"/>
      <c r="G914" s="7">
        <f>IF(OR(E914="",F914=""),"",IF(COUNTIF(Cluster_Master!$I$3:$I$17,E914&amp;"|"&amp;F914)=1,"Valid","Review"))</f>
        <v/>
      </c>
      <c r="H914" s="7">
        <f>IF($G914&lt;&gt;"Valid","",VLOOKUP($E914&amp;"|"&amp;$F914,Cluster_Master!$I$3:$H$17,3,FALSE))</f>
        <v/>
      </c>
      <c r="I914" s="7">
        <f>IF($G914&lt;&gt;"Valid","",VLOOKUP($E914&amp;"|"&amp;$F914,Cluster_Master!$I$3:$H$17,4,FALSE))</f>
        <v/>
      </c>
      <c r="J914" s="7">
        <f>IF($G914&lt;&gt;"Valid","",VLOOKUP($E914&amp;"|"&amp;$F914,Cluster_Master!$I$3:$H$17,5,FALSE))</f>
        <v/>
      </c>
      <c r="K914" s="7">
        <f>IF($G914&lt;&gt;"Valid","",VLOOKUP($E914&amp;"|"&amp;$F914,Cluster_Master!$I$3:$H$17,6,FALSE))</f>
        <v/>
      </c>
      <c r="L914" s="7">
        <f>IF($G914&lt;&gt;"Valid","",VLOOKUP($E914&amp;"|"&amp;$F914,Cluster_Master!$I$3:$H$17,7,FALSE))</f>
        <v/>
      </c>
      <c r="M914" s="7">
        <f>IF($G914&lt;&gt;"Valid","",VLOOKUP($E914&amp;"|"&amp;$F914,Cluster_Master!$I$3:$H$17,8,FALSE))</f>
        <v/>
      </c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7">
        <f>IF(COUNT(T914:AH914)=0,"",SUM(T914:AH914))</f>
        <v/>
      </c>
      <c r="AJ914" s="10">
        <f>IF(AI914="","",AI914/75)</f>
        <v/>
      </c>
      <c r="AK914" s="10">
        <f>IF(AI914="","",SUMPRODUCT(T914:AH914,KPI_Weights!$B$3:$B$17)/5)</f>
        <v/>
      </c>
      <c r="AL914" s="7">
        <f>IF(COUNT(T914:AH914)=0,"",IF(OR(T914&lt;=1,W914&lt;=1,X914&lt;=1,Y914&lt;=1,AB914&lt;=1),"YES","NO"))</f>
        <v/>
      </c>
      <c r="AM914" s="7">
        <f>IF(AK914="","",IF(AND(AK914="NO",AJ914&gt;=0.85),"YES","NO"))</f>
        <v/>
      </c>
      <c r="AN914" s="7">
        <f>IF(AJ914="","",IF(AJ914&gt;=0.90,"Excellent",IF(AJ914&gt;=0.80,"Good",IF(AJ914&gt;=0.70,"Fair","Poor"))))</f>
        <v/>
      </c>
      <c r="AO914" s="12" t="n"/>
      <c r="AP914" s="12" t="n"/>
      <c r="AQ914" s="12" t="n"/>
      <c r="AR914" s="12" t="n"/>
      <c r="AS914" s="12" t="n"/>
      <c r="AT914" s="12" t="n"/>
      <c r="AU914" s="12" t="n"/>
      <c r="AV914" s="11" t="n"/>
      <c r="AW914" s="12" t="n"/>
      <c r="AX914" s="12" t="n"/>
      <c r="AY914" s="12" t="n"/>
      <c r="AZ914" s="12" t="n"/>
      <c r="BA914" s="12" t="n"/>
      <c r="BB914" s="12" t="n"/>
      <c r="BC914" s="12" t="n"/>
      <c r="BD914" s="12" t="n"/>
      <c r="BE914" s="12" t="n"/>
      <c r="BF914" s="12" t="n"/>
    </row>
    <row r="915">
      <c r="A915" s="7">
        <f>IF(B915="","","INS-"&amp;TEXT(ROW()-3,"000"))</f>
        <v/>
      </c>
      <c r="B915" s="11" t="n"/>
      <c r="C915" s="7">
        <f>IF(B915="","",ISOWEEKNUM(B915))</f>
        <v/>
      </c>
      <c r="D915" s="7">
        <f>IF(B915="","",TEXT(B915,"yyyy-mm"))</f>
        <v/>
      </c>
      <c r="E915" s="12" t="n"/>
      <c r="F915" s="12" t="n"/>
      <c r="G915" s="7">
        <f>IF(OR(E915="",F915=""),"",IF(COUNTIF(Cluster_Master!$I$3:$I$17,E915&amp;"|"&amp;F915)=1,"Valid","Review"))</f>
        <v/>
      </c>
      <c r="H915" s="7">
        <f>IF($G915&lt;&gt;"Valid","",VLOOKUP($E915&amp;"|"&amp;$F915,Cluster_Master!$I$3:$H$17,3,FALSE))</f>
        <v/>
      </c>
      <c r="I915" s="7">
        <f>IF($G915&lt;&gt;"Valid","",VLOOKUP($E915&amp;"|"&amp;$F915,Cluster_Master!$I$3:$H$17,4,FALSE))</f>
        <v/>
      </c>
      <c r="J915" s="7">
        <f>IF($G915&lt;&gt;"Valid","",VLOOKUP($E915&amp;"|"&amp;$F915,Cluster_Master!$I$3:$H$17,5,FALSE))</f>
        <v/>
      </c>
      <c r="K915" s="7">
        <f>IF($G915&lt;&gt;"Valid","",VLOOKUP($E915&amp;"|"&amp;$F915,Cluster_Master!$I$3:$H$17,6,FALSE))</f>
        <v/>
      </c>
      <c r="L915" s="7">
        <f>IF($G915&lt;&gt;"Valid","",VLOOKUP($E915&amp;"|"&amp;$F915,Cluster_Master!$I$3:$H$17,7,FALSE))</f>
        <v/>
      </c>
      <c r="M915" s="7">
        <f>IF($G915&lt;&gt;"Valid","",VLOOKUP($E915&amp;"|"&amp;$F915,Cluster_Master!$I$3:$H$17,8,FALSE))</f>
        <v/>
      </c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7">
        <f>IF(COUNT(T915:AH915)=0,"",SUM(T915:AH915))</f>
        <v/>
      </c>
      <c r="AJ915" s="10">
        <f>IF(AI915="","",AI915/75)</f>
        <v/>
      </c>
      <c r="AK915" s="10">
        <f>IF(AI915="","",SUMPRODUCT(T915:AH915,KPI_Weights!$B$3:$B$17)/5)</f>
        <v/>
      </c>
      <c r="AL915" s="7">
        <f>IF(COUNT(T915:AH915)=0,"",IF(OR(T915&lt;=1,W915&lt;=1,X915&lt;=1,Y915&lt;=1,AB915&lt;=1),"YES","NO"))</f>
        <v/>
      </c>
      <c r="AM915" s="7">
        <f>IF(AK915="","",IF(AND(AK915="NO",AJ915&gt;=0.85),"YES","NO"))</f>
        <v/>
      </c>
      <c r="AN915" s="7">
        <f>IF(AJ915="","",IF(AJ915&gt;=0.90,"Excellent",IF(AJ915&gt;=0.80,"Good",IF(AJ915&gt;=0.70,"Fair","Poor"))))</f>
        <v/>
      </c>
      <c r="AO915" s="12" t="n"/>
      <c r="AP915" s="12" t="n"/>
      <c r="AQ915" s="12" t="n"/>
      <c r="AR915" s="12" t="n"/>
      <c r="AS915" s="12" t="n"/>
      <c r="AT915" s="12" t="n"/>
      <c r="AU915" s="12" t="n"/>
      <c r="AV915" s="11" t="n"/>
      <c r="AW915" s="12" t="n"/>
      <c r="AX915" s="12" t="n"/>
      <c r="AY915" s="12" t="n"/>
      <c r="AZ915" s="12" t="n"/>
      <c r="BA915" s="12" t="n"/>
      <c r="BB915" s="12" t="n"/>
      <c r="BC915" s="12" t="n"/>
      <c r="BD915" s="12" t="n"/>
      <c r="BE915" s="12" t="n"/>
      <c r="BF915" s="12" t="n"/>
    </row>
    <row r="916">
      <c r="A916" s="7">
        <f>IF(B916="","","INS-"&amp;TEXT(ROW()-3,"000"))</f>
        <v/>
      </c>
      <c r="B916" s="11" t="n"/>
      <c r="C916" s="7">
        <f>IF(B916="","",ISOWEEKNUM(B916))</f>
        <v/>
      </c>
      <c r="D916" s="7">
        <f>IF(B916="","",TEXT(B916,"yyyy-mm"))</f>
        <v/>
      </c>
      <c r="E916" s="12" t="n"/>
      <c r="F916" s="12" t="n"/>
      <c r="G916" s="7">
        <f>IF(OR(E916="",F916=""),"",IF(COUNTIF(Cluster_Master!$I$3:$I$17,E916&amp;"|"&amp;F916)=1,"Valid","Review"))</f>
        <v/>
      </c>
      <c r="H916" s="7">
        <f>IF($G916&lt;&gt;"Valid","",VLOOKUP($E916&amp;"|"&amp;$F916,Cluster_Master!$I$3:$H$17,3,FALSE))</f>
        <v/>
      </c>
      <c r="I916" s="7">
        <f>IF($G916&lt;&gt;"Valid","",VLOOKUP($E916&amp;"|"&amp;$F916,Cluster_Master!$I$3:$H$17,4,FALSE))</f>
        <v/>
      </c>
      <c r="J916" s="7">
        <f>IF($G916&lt;&gt;"Valid","",VLOOKUP($E916&amp;"|"&amp;$F916,Cluster_Master!$I$3:$H$17,5,FALSE))</f>
        <v/>
      </c>
      <c r="K916" s="7">
        <f>IF($G916&lt;&gt;"Valid","",VLOOKUP($E916&amp;"|"&amp;$F916,Cluster_Master!$I$3:$H$17,6,FALSE))</f>
        <v/>
      </c>
      <c r="L916" s="7">
        <f>IF($G916&lt;&gt;"Valid","",VLOOKUP($E916&amp;"|"&amp;$F916,Cluster_Master!$I$3:$H$17,7,FALSE))</f>
        <v/>
      </c>
      <c r="M916" s="7">
        <f>IF($G916&lt;&gt;"Valid","",VLOOKUP($E916&amp;"|"&amp;$F916,Cluster_Master!$I$3:$H$17,8,FALSE))</f>
        <v/>
      </c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7">
        <f>IF(COUNT(T916:AH916)=0,"",SUM(T916:AH916))</f>
        <v/>
      </c>
      <c r="AJ916" s="10">
        <f>IF(AI916="","",AI916/75)</f>
        <v/>
      </c>
      <c r="AK916" s="10">
        <f>IF(AI916="","",SUMPRODUCT(T916:AH916,KPI_Weights!$B$3:$B$17)/5)</f>
        <v/>
      </c>
      <c r="AL916" s="7">
        <f>IF(COUNT(T916:AH916)=0,"",IF(OR(T916&lt;=1,W916&lt;=1,X916&lt;=1,Y916&lt;=1,AB916&lt;=1),"YES","NO"))</f>
        <v/>
      </c>
      <c r="AM916" s="7">
        <f>IF(AK916="","",IF(AND(AK916="NO",AJ916&gt;=0.85),"YES","NO"))</f>
        <v/>
      </c>
      <c r="AN916" s="7">
        <f>IF(AJ916="","",IF(AJ916&gt;=0.90,"Excellent",IF(AJ916&gt;=0.80,"Good",IF(AJ916&gt;=0.70,"Fair","Poor"))))</f>
        <v/>
      </c>
      <c r="AO916" s="12" t="n"/>
      <c r="AP916" s="12" t="n"/>
      <c r="AQ916" s="12" t="n"/>
      <c r="AR916" s="12" t="n"/>
      <c r="AS916" s="12" t="n"/>
      <c r="AT916" s="12" t="n"/>
      <c r="AU916" s="12" t="n"/>
      <c r="AV916" s="11" t="n"/>
      <c r="AW916" s="12" t="n"/>
      <c r="AX916" s="12" t="n"/>
      <c r="AY916" s="12" t="n"/>
      <c r="AZ916" s="12" t="n"/>
      <c r="BA916" s="12" t="n"/>
      <c r="BB916" s="12" t="n"/>
      <c r="BC916" s="12" t="n"/>
      <c r="BD916" s="12" t="n"/>
      <c r="BE916" s="12" t="n"/>
      <c r="BF916" s="12" t="n"/>
    </row>
    <row r="917">
      <c r="A917" s="7">
        <f>IF(B917="","","INS-"&amp;TEXT(ROW()-3,"000"))</f>
        <v/>
      </c>
      <c r="B917" s="11" t="n"/>
      <c r="C917" s="7">
        <f>IF(B917="","",ISOWEEKNUM(B917))</f>
        <v/>
      </c>
      <c r="D917" s="7">
        <f>IF(B917="","",TEXT(B917,"yyyy-mm"))</f>
        <v/>
      </c>
      <c r="E917" s="12" t="n"/>
      <c r="F917" s="12" t="n"/>
      <c r="G917" s="7">
        <f>IF(OR(E917="",F917=""),"",IF(COUNTIF(Cluster_Master!$I$3:$I$17,E917&amp;"|"&amp;F917)=1,"Valid","Review"))</f>
        <v/>
      </c>
      <c r="H917" s="7">
        <f>IF($G917&lt;&gt;"Valid","",VLOOKUP($E917&amp;"|"&amp;$F917,Cluster_Master!$I$3:$H$17,3,FALSE))</f>
        <v/>
      </c>
      <c r="I917" s="7">
        <f>IF($G917&lt;&gt;"Valid","",VLOOKUP($E917&amp;"|"&amp;$F917,Cluster_Master!$I$3:$H$17,4,FALSE))</f>
        <v/>
      </c>
      <c r="J917" s="7">
        <f>IF($G917&lt;&gt;"Valid","",VLOOKUP($E917&amp;"|"&amp;$F917,Cluster_Master!$I$3:$H$17,5,FALSE))</f>
        <v/>
      </c>
      <c r="K917" s="7">
        <f>IF($G917&lt;&gt;"Valid","",VLOOKUP($E917&amp;"|"&amp;$F917,Cluster_Master!$I$3:$H$17,6,FALSE))</f>
        <v/>
      </c>
      <c r="L917" s="7">
        <f>IF($G917&lt;&gt;"Valid","",VLOOKUP($E917&amp;"|"&amp;$F917,Cluster_Master!$I$3:$H$17,7,FALSE))</f>
        <v/>
      </c>
      <c r="M917" s="7">
        <f>IF($G917&lt;&gt;"Valid","",VLOOKUP($E917&amp;"|"&amp;$F917,Cluster_Master!$I$3:$H$17,8,FALSE))</f>
        <v/>
      </c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7">
        <f>IF(COUNT(T917:AH917)=0,"",SUM(T917:AH917))</f>
        <v/>
      </c>
      <c r="AJ917" s="10">
        <f>IF(AI917="","",AI917/75)</f>
        <v/>
      </c>
      <c r="AK917" s="10">
        <f>IF(AI917="","",SUMPRODUCT(T917:AH917,KPI_Weights!$B$3:$B$17)/5)</f>
        <v/>
      </c>
      <c r="AL917" s="7">
        <f>IF(COUNT(T917:AH917)=0,"",IF(OR(T917&lt;=1,W917&lt;=1,X917&lt;=1,Y917&lt;=1,AB917&lt;=1),"YES","NO"))</f>
        <v/>
      </c>
      <c r="AM917" s="7">
        <f>IF(AK917="","",IF(AND(AK917="NO",AJ917&gt;=0.85),"YES","NO"))</f>
        <v/>
      </c>
      <c r="AN917" s="7">
        <f>IF(AJ917="","",IF(AJ917&gt;=0.90,"Excellent",IF(AJ917&gt;=0.80,"Good",IF(AJ917&gt;=0.70,"Fair","Poor"))))</f>
        <v/>
      </c>
      <c r="AO917" s="12" t="n"/>
      <c r="AP917" s="12" t="n"/>
      <c r="AQ917" s="12" t="n"/>
      <c r="AR917" s="12" t="n"/>
      <c r="AS917" s="12" t="n"/>
      <c r="AT917" s="12" t="n"/>
      <c r="AU917" s="12" t="n"/>
      <c r="AV917" s="11" t="n"/>
      <c r="AW917" s="12" t="n"/>
      <c r="AX917" s="12" t="n"/>
      <c r="AY917" s="12" t="n"/>
      <c r="AZ917" s="12" t="n"/>
      <c r="BA917" s="12" t="n"/>
      <c r="BB917" s="12" t="n"/>
      <c r="BC917" s="12" t="n"/>
      <c r="BD917" s="12" t="n"/>
      <c r="BE917" s="12" t="n"/>
      <c r="BF917" s="12" t="n"/>
    </row>
    <row r="918">
      <c r="A918" s="7">
        <f>IF(B918="","","INS-"&amp;TEXT(ROW()-3,"000"))</f>
        <v/>
      </c>
      <c r="B918" s="11" t="n"/>
      <c r="C918" s="7">
        <f>IF(B918="","",ISOWEEKNUM(B918))</f>
        <v/>
      </c>
      <c r="D918" s="7">
        <f>IF(B918="","",TEXT(B918,"yyyy-mm"))</f>
        <v/>
      </c>
      <c r="E918" s="12" t="n"/>
      <c r="F918" s="12" t="n"/>
      <c r="G918" s="7">
        <f>IF(OR(E918="",F918=""),"",IF(COUNTIF(Cluster_Master!$I$3:$I$17,E918&amp;"|"&amp;F918)=1,"Valid","Review"))</f>
        <v/>
      </c>
      <c r="H918" s="7">
        <f>IF($G918&lt;&gt;"Valid","",VLOOKUP($E918&amp;"|"&amp;$F918,Cluster_Master!$I$3:$H$17,3,FALSE))</f>
        <v/>
      </c>
      <c r="I918" s="7">
        <f>IF($G918&lt;&gt;"Valid","",VLOOKUP($E918&amp;"|"&amp;$F918,Cluster_Master!$I$3:$H$17,4,FALSE))</f>
        <v/>
      </c>
      <c r="J918" s="7">
        <f>IF($G918&lt;&gt;"Valid","",VLOOKUP($E918&amp;"|"&amp;$F918,Cluster_Master!$I$3:$H$17,5,FALSE))</f>
        <v/>
      </c>
      <c r="K918" s="7">
        <f>IF($G918&lt;&gt;"Valid","",VLOOKUP($E918&amp;"|"&amp;$F918,Cluster_Master!$I$3:$H$17,6,FALSE))</f>
        <v/>
      </c>
      <c r="L918" s="7">
        <f>IF($G918&lt;&gt;"Valid","",VLOOKUP($E918&amp;"|"&amp;$F918,Cluster_Master!$I$3:$H$17,7,FALSE))</f>
        <v/>
      </c>
      <c r="M918" s="7">
        <f>IF($G918&lt;&gt;"Valid","",VLOOKUP($E918&amp;"|"&amp;$F918,Cluster_Master!$I$3:$H$17,8,FALSE))</f>
        <v/>
      </c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7">
        <f>IF(COUNT(T918:AH918)=0,"",SUM(T918:AH918))</f>
        <v/>
      </c>
      <c r="AJ918" s="10">
        <f>IF(AI918="","",AI918/75)</f>
        <v/>
      </c>
      <c r="AK918" s="10">
        <f>IF(AI918="","",SUMPRODUCT(T918:AH918,KPI_Weights!$B$3:$B$17)/5)</f>
        <v/>
      </c>
      <c r="AL918" s="7">
        <f>IF(COUNT(T918:AH918)=0,"",IF(OR(T918&lt;=1,W918&lt;=1,X918&lt;=1,Y918&lt;=1,AB918&lt;=1),"YES","NO"))</f>
        <v/>
      </c>
      <c r="AM918" s="7">
        <f>IF(AK918="","",IF(AND(AK918="NO",AJ918&gt;=0.85),"YES","NO"))</f>
        <v/>
      </c>
      <c r="AN918" s="7">
        <f>IF(AJ918="","",IF(AJ918&gt;=0.90,"Excellent",IF(AJ918&gt;=0.80,"Good",IF(AJ918&gt;=0.70,"Fair","Poor"))))</f>
        <v/>
      </c>
      <c r="AO918" s="12" t="n"/>
      <c r="AP918" s="12" t="n"/>
      <c r="AQ918" s="12" t="n"/>
      <c r="AR918" s="12" t="n"/>
      <c r="AS918" s="12" t="n"/>
      <c r="AT918" s="12" t="n"/>
      <c r="AU918" s="12" t="n"/>
      <c r="AV918" s="11" t="n"/>
      <c r="AW918" s="12" t="n"/>
      <c r="AX918" s="12" t="n"/>
      <c r="AY918" s="12" t="n"/>
      <c r="AZ918" s="12" t="n"/>
      <c r="BA918" s="12" t="n"/>
      <c r="BB918" s="12" t="n"/>
      <c r="BC918" s="12" t="n"/>
      <c r="BD918" s="12" t="n"/>
      <c r="BE918" s="12" t="n"/>
      <c r="BF918" s="12" t="n"/>
    </row>
    <row r="919">
      <c r="A919" s="7">
        <f>IF(B919="","","INS-"&amp;TEXT(ROW()-3,"000"))</f>
        <v/>
      </c>
      <c r="B919" s="11" t="n"/>
      <c r="C919" s="7">
        <f>IF(B919="","",ISOWEEKNUM(B919))</f>
        <v/>
      </c>
      <c r="D919" s="7">
        <f>IF(B919="","",TEXT(B919,"yyyy-mm"))</f>
        <v/>
      </c>
      <c r="E919" s="12" t="n"/>
      <c r="F919" s="12" t="n"/>
      <c r="G919" s="7">
        <f>IF(OR(E919="",F919=""),"",IF(COUNTIF(Cluster_Master!$I$3:$I$17,E919&amp;"|"&amp;F919)=1,"Valid","Review"))</f>
        <v/>
      </c>
      <c r="H919" s="7">
        <f>IF($G919&lt;&gt;"Valid","",VLOOKUP($E919&amp;"|"&amp;$F919,Cluster_Master!$I$3:$H$17,3,FALSE))</f>
        <v/>
      </c>
      <c r="I919" s="7">
        <f>IF($G919&lt;&gt;"Valid","",VLOOKUP($E919&amp;"|"&amp;$F919,Cluster_Master!$I$3:$H$17,4,FALSE))</f>
        <v/>
      </c>
      <c r="J919" s="7">
        <f>IF($G919&lt;&gt;"Valid","",VLOOKUP($E919&amp;"|"&amp;$F919,Cluster_Master!$I$3:$H$17,5,FALSE))</f>
        <v/>
      </c>
      <c r="K919" s="7">
        <f>IF($G919&lt;&gt;"Valid","",VLOOKUP($E919&amp;"|"&amp;$F919,Cluster_Master!$I$3:$H$17,6,FALSE))</f>
        <v/>
      </c>
      <c r="L919" s="7">
        <f>IF($G919&lt;&gt;"Valid","",VLOOKUP($E919&amp;"|"&amp;$F919,Cluster_Master!$I$3:$H$17,7,FALSE))</f>
        <v/>
      </c>
      <c r="M919" s="7">
        <f>IF($G919&lt;&gt;"Valid","",VLOOKUP($E919&amp;"|"&amp;$F919,Cluster_Master!$I$3:$H$17,8,FALSE))</f>
        <v/>
      </c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7">
        <f>IF(COUNT(T919:AH919)=0,"",SUM(T919:AH919))</f>
        <v/>
      </c>
      <c r="AJ919" s="10">
        <f>IF(AI919="","",AI919/75)</f>
        <v/>
      </c>
      <c r="AK919" s="10">
        <f>IF(AI919="","",SUMPRODUCT(T919:AH919,KPI_Weights!$B$3:$B$17)/5)</f>
        <v/>
      </c>
      <c r="AL919" s="7">
        <f>IF(COUNT(T919:AH919)=0,"",IF(OR(T919&lt;=1,W919&lt;=1,X919&lt;=1,Y919&lt;=1,AB919&lt;=1),"YES","NO"))</f>
        <v/>
      </c>
      <c r="AM919" s="7">
        <f>IF(AK919="","",IF(AND(AK919="NO",AJ919&gt;=0.85),"YES","NO"))</f>
        <v/>
      </c>
      <c r="AN919" s="7">
        <f>IF(AJ919="","",IF(AJ919&gt;=0.90,"Excellent",IF(AJ919&gt;=0.80,"Good",IF(AJ919&gt;=0.70,"Fair","Poor"))))</f>
        <v/>
      </c>
      <c r="AO919" s="12" t="n"/>
      <c r="AP919" s="12" t="n"/>
      <c r="AQ919" s="12" t="n"/>
      <c r="AR919" s="12" t="n"/>
      <c r="AS919" s="12" t="n"/>
      <c r="AT919" s="12" t="n"/>
      <c r="AU919" s="12" t="n"/>
      <c r="AV919" s="11" t="n"/>
      <c r="AW919" s="12" t="n"/>
      <c r="AX919" s="12" t="n"/>
      <c r="AY919" s="12" t="n"/>
      <c r="AZ919" s="12" t="n"/>
      <c r="BA919" s="12" t="n"/>
      <c r="BB919" s="12" t="n"/>
      <c r="BC919" s="12" t="n"/>
      <c r="BD919" s="12" t="n"/>
      <c r="BE919" s="12" t="n"/>
      <c r="BF919" s="12" t="n"/>
    </row>
    <row r="920">
      <c r="A920" s="7">
        <f>IF(B920="","","INS-"&amp;TEXT(ROW()-3,"000"))</f>
        <v/>
      </c>
      <c r="B920" s="11" t="n"/>
      <c r="C920" s="7">
        <f>IF(B920="","",ISOWEEKNUM(B920))</f>
        <v/>
      </c>
      <c r="D920" s="7">
        <f>IF(B920="","",TEXT(B920,"yyyy-mm"))</f>
        <v/>
      </c>
      <c r="E920" s="12" t="n"/>
      <c r="F920" s="12" t="n"/>
      <c r="G920" s="7">
        <f>IF(OR(E920="",F920=""),"",IF(COUNTIF(Cluster_Master!$I$3:$I$17,E920&amp;"|"&amp;F920)=1,"Valid","Review"))</f>
        <v/>
      </c>
      <c r="H920" s="7">
        <f>IF($G920&lt;&gt;"Valid","",VLOOKUP($E920&amp;"|"&amp;$F920,Cluster_Master!$I$3:$H$17,3,FALSE))</f>
        <v/>
      </c>
      <c r="I920" s="7">
        <f>IF($G920&lt;&gt;"Valid","",VLOOKUP($E920&amp;"|"&amp;$F920,Cluster_Master!$I$3:$H$17,4,FALSE))</f>
        <v/>
      </c>
      <c r="J920" s="7">
        <f>IF($G920&lt;&gt;"Valid","",VLOOKUP($E920&amp;"|"&amp;$F920,Cluster_Master!$I$3:$H$17,5,FALSE))</f>
        <v/>
      </c>
      <c r="K920" s="7">
        <f>IF($G920&lt;&gt;"Valid","",VLOOKUP($E920&amp;"|"&amp;$F920,Cluster_Master!$I$3:$H$17,6,FALSE))</f>
        <v/>
      </c>
      <c r="L920" s="7">
        <f>IF($G920&lt;&gt;"Valid","",VLOOKUP($E920&amp;"|"&amp;$F920,Cluster_Master!$I$3:$H$17,7,FALSE))</f>
        <v/>
      </c>
      <c r="M920" s="7">
        <f>IF($G920&lt;&gt;"Valid","",VLOOKUP($E920&amp;"|"&amp;$F920,Cluster_Master!$I$3:$H$17,8,FALSE))</f>
        <v/>
      </c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7">
        <f>IF(COUNT(T920:AH920)=0,"",SUM(T920:AH920))</f>
        <v/>
      </c>
      <c r="AJ920" s="10">
        <f>IF(AI920="","",AI920/75)</f>
        <v/>
      </c>
      <c r="AK920" s="10">
        <f>IF(AI920="","",SUMPRODUCT(T920:AH920,KPI_Weights!$B$3:$B$17)/5)</f>
        <v/>
      </c>
      <c r="AL920" s="7">
        <f>IF(COUNT(T920:AH920)=0,"",IF(OR(T920&lt;=1,W920&lt;=1,X920&lt;=1,Y920&lt;=1,AB920&lt;=1),"YES","NO"))</f>
        <v/>
      </c>
      <c r="AM920" s="7">
        <f>IF(AK920="","",IF(AND(AK920="NO",AJ920&gt;=0.85),"YES","NO"))</f>
        <v/>
      </c>
      <c r="AN920" s="7">
        <f>IF(AJ920="","",IF(AJ920&gt;=0.90,"Excellent",IF(AJ920&gt;=0.80,"Good",IF(AJ920&gt;=0.70,"Fair","Poor"))))</f>
        <v/>
      </c>
      <c r="AO920" s="12" t="n"/>
      <c r="AP920" s="12" t="n"/>
      <c r="AQ920" s="12" t="n"/>
      <c r="AR920" s="12" t="n"/>
      <c r="AS920" s="12" t="n"/>
      <c r="AT920" s="12" t="n"/>
      <c r="AU920" s="12" t="n"/>
      <c r="AV920" s="11" t="n"/>
      <c r="AW920" s="12" t="n"/>
      <c r="AX920" s="12" t="n"/>
      <c r="AY920" s="12" t="n"/>
      <c r="AZ920" s="12" t="n"/>
      <c r="BA920" s="12" t="n"/>
      <c r="BB920" s="12" t="n"/>
      <c r="BC920" s="12" t="n"/>
      <c r="BD920" s="12" t="n"/>
      <c r="BE920" s="12" t="n"/>
      <c r="BF920" s="12" t="n"/>
    </row>
    <row r="921">
      <c r="A921" s="7">
        <f>IF(B921="","","INS-"&amp;TEXT(ROW()-3,"000"))</f>
        <v/>
      </c>
      <c r="B921" s="11" t="n"/>
      <c r="C921" s="7">
        <f>IF(B921="","",ISOWEEKNUM(B921))</f>
        <v/>
      </c>
      <c r="D921" s="7">
        <f>IF(B921="","",TEXT(B921,"yyyy-mm"))</f>
        <v/>
      </c>
      <c r="E921" s="12" t="n"/>
      <c r="F921" s="12" t="n"/>
      <c r="G921" s="7">
        <f>IF(OR(E921="",F921=""),"",IF(COUNTIF(Cluster_Master!$I$3:$I$17,E921&amp;"|"&amp;F921)=1,"Valid","Review"))</f>
        <v/>
      </c>
      <c r="H921" s="7">
        <f>IF($G921&lt;&gt;"Valid","",VLOOKUP($E921&amp;"|"&amp;$F921,Cluster_Master!$I$3:$H$17,3,FALSE))</f>
        <v/>
      </c>
      <c r="I921" s="7">
        <f>IF($G921&lt;&gt;"Valid","",VLOOKUP($E921&amp;"|"&amp;$F921,Cluster_Master!$I$3:$H$17,4,FALSE))</f>
        <v/>
      </c>
      <c r="J921" s="7">
        <f>IF($G921&lt;&gt;"Valid","",VLOOKUP($E921&amp;"|"&amp;$F921,Cluster_Master!$I$3:$H$17,5,FALSE))</f>
        <v/>
      </c>
      <c r="K921" s="7">
        <f>IF($G921&lt;&gt;"Valid","",VLOOKUP($E921&amp;"|"&amp;$F921,Cluster_Master!$I$3:$H$17,6,FALSE))</f>
        <v/>
      </c>
      <c r="L921" s="7">
        <f>IF($G921&lt;&gt;"Valid","",VLOOKUP($E921&amp;"|"&amp;$F921,Cluster_Master!$I$3:$H$17,7,FALSE))</f>
        <v/>
      </c>
      <c r="M921" s="7">
        <f>IF($G921&lt;&gt;"Valid","",VLOOKUP($E921&amp;"|"&amp;$F921,Cluster_Master!$I$3:$H$17,8,FALSE))</f>
        <v/>
      </c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7">
        <f>IF(COUNT(T921:AH921)=0,"",SUM(T921:AH921))</f>
        <v/>
      </c>
      <c r="AJ921" s="10">
        <f>IF(AI921="","",AI921/75)</f>
        <v/>
      </c>
      <c r="AK921" s="10">
        <f>IF(AI921="","",SUMPRODUCT(T921:AH921,KPI_Weights!$B$3:$B$17)/5)</f>
        <v/>
      </c>
      <c r="AL921" s="7">
        <f>IF(COUNT(T921:AH921)=0,"",IF(OR(T921&lt;=1,W921&lt;=1,X921&lt;=1,Y921&lt;=1,AB921&lt;=1),"YES","NO"))</f>
        <v/>
      </c>
      <c r="AM921" s="7">
        <f>IF(AK921="","",IF(AND(AK921="NO",AJ921&gt;=0.85),"YES","NO"))</f>
        <v/>
      </c>
      <c r="AN921" s="7">
        <f>IF(AJ921="","",IF(AJ921&gt;=0.90,"Excellent",IF(AJ921&gt;=0.80,"Good",IF(AJ921&gt;=0.70,"Fair","Poor"))))</f>
        <v/>
      </c>
      <c r="AO921" s="12" t="n"/>
      <c r="AP921" s="12" t="n"/>
      <c r="AQ921" s="12" t="n"/>
      <c r="AR921" s="12" t="n"/>
      <c r="AS921" s="12" t="n"/>
      <c r="AT921" s="12" t="n"/>
      <c r="AU921" s="12" t="n"/>
      <c r="AV921" s="11" t="n"/>
      <c r="AW921" s="12" t="n"/>
      <c r="AX921" s="12" t="n"/>
      <c r="AY921" s="12" t="n"/>
      <c r="AZ921" s="12" t="n"/>
      <c r="BA921" s="12" t="n"/>
      <c r="BB921" s="12" t="n"/>
      <c r="BC921" s="12" t="n"/>
      <c r="BD921" s="12" t="n"/>
      <c r="BE921" s="12" t="n"/>
      <c r="BF921" s="12" t="n"/>
    </row>
    <row r="922">
      <c r="A922" s="7">
        <f>IF(B922="","","INS-"&amp;TEXT(ROW()-3,"000"))</f>
        <v/>
      </c>
      <c r="B922" s="11" t="n"/>
      <c r="C922" s="7">
        <f>IF(B922="","",ISOWEEKNUM(B922))</f>
        <v/>
      </c>
      <c r="D922" s="7">
        <f>IF(B922="","",TEXT(B922,"yyyy-mm"))</f>
        <v/>
      </c>
      <c r="E922" s="12" t="n"/>
      <c r="F922" s="12" t="n"/>
      <c r="G922" s="7">
        <f>IF(OR(E922="",F922=""),"",IF(COUNTIF(Cluster_Master!$I$3:$I$17,E922&amp;"|"&amp;F922)=1,"Valid","Review"))</f>
        <v/>
      </c>
      <c r="H922" s="7">
        <f>IF($G922&lt;&gt;"Valid","",VLOOKUP($E922&amp;"|"&amp;$F922,Cluster_Master!$I$3:$H$17,3,FALSE))</f>
        <v/>
      </c>
      <c r="I922" s="7">
        <f>IF($G922&lt;&gt;"Valid","",VLOOKUP($E922&amp;"|"&amp;$F922,Cluster_Master!$I$3:$H$17,4,FALSE))</f>
        <v/>
      </c>
      <c r="J922" s="7">
        <f>IF($G922&lt;&gt;"Valid","",VLOOKUP($E922&amp;"|"&amp;$F922,Cluster_Master!$I$3:$H$17,5,FALSE))</f>
        <v/>
      </c>
      <c r="K922" s="7">
        <f>IF($G922&lt;&gt;"Valid","",VLOOKUP($E922&amp;"|"&amp;$F922,Cluster_Master!$I$3:$H$17,6,FALSE))</f>
        <v/>
      </c>
      <c r="L922" s="7">
        <f>IF($G922&lt;&gt;"Valid","",VLOOKUP($E922&amp;"|"&amp;$F922,Cluster_Master!$I$3:$H$17,7,FALSE))</f>
        <v/>
      </c>
      <c r="M922" s="7">
        <f>IF($G922&lt;&gt;"Valid","",VLOOKUP($E922&amp;"|"&amp;$F922,Cluster_Master!$I$3:$H$17,8,FALSE))</f>
        <v/>
      </c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7">
        <f>IF(COUNT(T922:AH922)=0,"",SUM(T922:AH922))</f>
        <v/>
      </c>
      <c r="AJ922" s="10">
        <f>IF(AI922="","",AI922/75)</f>
        <v/>
      </c>
      <c r="AK922" s="10">
        <f>IF(AI922="","",SUMPRODUCT(T922:AH922,KPI_Weights!$B$3:$B$17)/5)</f>
        <v/>
      </c>
      <c r="AL922" s="7">
        <f>IF(COUNT(T922:AH922)=0,"",IF(OR(T922&lt;=1,W922&lt;=1,X922&lt;=1,Y922&lt;=1,AB922&lt;=1),"YES","NO"))</f>
        <v/>
      </c>
      <c r="AM922" s="7">
        <f>IF(AK922="","",IF(AND(AK922="NO",AJ922&gt;=0.85),"YES","NO"))</f>
        <v/>
      </c>
      <c r="AN922" s="7">
        <f>IF(AJ922="","",IF(AJ922&gt;=0.90,"Excellent",IF(AJ922&gt;=0.80,"Good",IF(AJ922&gt;=0.70,"Fair","Poor"))))</f>
        <v/>
      </c>
      <c r="AO922" s="12" t="n"/>
      <c r="AP922" s="12" t="n"/>
      <c r="AQ922" s="12" t="n"/>
      <c r="AR922" s="12" t="n"/>
      <c r="AS922" s="12" t="n"/>
      <c r="AT922" s="12" t="n"/>
      <c r="AU922" s="12" t="n"/>
      <c r="AV922" s="11" t="n"/>
      <c r="AW922" s="12" t="n"/>
      <c r="AX922" s="12" t="n"/>
      <c r="AY922" s="12" t="n"/>
      <c r="AZ922" s="12" t="n"/>
      <c r="BA922" s="12" t="n"/>
      <c r="BB922" s="12" t="n"/>
      <c r="BC922" s="12" t="n"/>
      <c r="BD922" s="12" t="n"/>
      <c r="BE922" s="12" t="n"/>
      <c r="BF922" s="12" t="n"/>
    </row>
    <row r="923">
      <c r="A923" s="7">
        <f>IF(B923="","","INS-"&amp;TEXT(ROW()-3,"000"))</f>
        <v/>
      </c>
      <c r="B923" s="11" t="n"/>
      <c r="C923" s="7">
        <f>IF(B923="","",ISOWEEKNUM(B923))</f>
        <v/>
      </c>
      <c r="D923" s="7">
        <f>IF(B923="","",TEXT(B923,"yyyy-mm"))</f>
        <v/>
      </c>
      <c r="E923" s="12" t="n"/>
      <c r="F923" s="12" t="n"/>
      <c r="G923" s="7">
        <f>IF(OR(E923="",F923=""),"",IF(COUNTIF(Cluster_Master!$I$3:$I$17,E923&amp;"|"&amp;F923)=1,"Valid","Review"))</f>
        <v/>
      </c>
      <c r="H923" s="7">
        <f>IF($G923&lt;&gt;"Valid","",VLOOKUP($E923&amp;"|"&amp;$F923,Cluster_Master!$I$3:$H$17,3,FALSE))</f>
        <v/>
      </c>
      <c r="I923" s="7">
        <f>IF($G923&lt;&gt;"Valid","",VLOOKUP($E923&amp;"|"&amp;$F923,Cluster_Master!$I$3:$H$17,4,FALSE))</f>
        <v/>
      </c>
      <c r="J923" s="7">
        <f>IF($G923&lt;&gt;"Valid","",VLOOKUP($E923&amp;"|"&amp;$F923,Cluster_Master!$I$3:$H$17,5,FALSE))</f>
        <v/>
      </c>
      <c r="K923" s="7">
        <f>IF($G923&lt;&gt;"Valid","",VLOOKUP($E923&amp;"|"&amp;$F923,Cluster_Master!$I$3:$H$17,6,FALSE))</f>
        <v/>
      </c>
      <c r="L923" s="7">
        <f>IF($G923&lt;&gt;"Valid","",VLOOKUP($E923&amp;"|"&amp;$F923,Cluster_Master!$I$3:$H$17,7,FALSE))</f>
        <v/>
      </c>
      <c r="M923" s="7">
        <f>IF($G923&lt;&gt;"Valid","",VLOOKUP($E923&amp;"|"&amp;$F923,Cluster_Master!$I$3:$H$17,8,FALSE))</f>
        <v/>
      </c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7">
        <f>IF(COUNT(T923:AH923)=0,"",SUM(T923:AH923))</f>
        <v/>
      </c>
      <c r="AJ923" s="10">
        <f>IF(AI923="","",AI923/75)</f>
        <v/>
      </c>
      <c r="AK923" s="10">
        <f>IF(AI923="","",SUMPRODUCT(T923:AH923,KPI_Weights!$B$3:$B$17)/5)</f>
        <v/>
      </c>
      <c r="AL923" s="7">
        <f>IF(COUNT(T923:AH923)=0,"",IF(OR(T923&lt;=1,W923&lt;=1,X923&lt;=1,Y923&lt;=1,AB923&lt;=1),"YES","NO"))</f>
        <v/>
      </c>
      <c r="AM923" s="7">
        <f>IF(AK923="","",IF(AND(AK923="NO",AJ923&gt;=0.85),"YES","NO"))</f>
        <v/>
      </c>
      <c r="AN923" s="7">
        <f>IF(AJ923="","",IF(AJ923&gt;=0.90,"Excellent",IF(AJ923&gt;=0.80,"Good",IF(AJ923&gt;=0.70,"Fair","Poor"))))</f>
        <v/>
      </c>
      <c r="AO923" s="12" t="n"/>
      <c r="AP923" s="12" t="n"/>
      <c r="AQ923" s="12" t="n"/>
      <c r="AR923" s="12" t="n"/>
      <c r="AS923" s="12" t="n"/>
      <c r="AT923" s="12" t="n"/>
      <c r="AU923" s="12" t="n"/>
      <c r="AV923" s="11" t="n"/>
      <c r="AW923" s="12" t="n"/>
      <c r="AX923" s="12" t="n"/>
      <c r="AY923" s="12" t="n"/>
      <c r="AZ923" s="12" t="n"/>
      <c r="BA923" s="12" t="n"/>
      <c r="BB923" s="12" t="n"/>
      <c r="BC923" s="12" t="n"/>
      <c r="BD923" s="12" t="n"/>
      <c r="BE923" s="12" t="n"/>
      <c r="BF923" s="12" t="n"/>
    </row>
    <row r="924">
      <c r="A924" s="7">
        <f>IF(B924="","","INS-"&amp;TEXT(ROW()-3,"000"))</f>
        <v/>
      </c>
      <c r="B924" s="11" t="n"/>
      <c r="C924" s="7">
        <f>IF(B924="","",ISOWEEKNUM(B924))</f>
        <v/>
      </c>
      <c r="D924" s="7">
        <f>IF(B924="","",TEXT(B924,"yyyy-mm"))</f>
        <v/>
      </c>
      <c r="E924" s="12" t="n"/>
      <c r="F924" s="12" t="n"/>
      <c r="G924" s="7">
        <f>IF(OR(E924="",F924=""),"",IF(COUNTIF(Cluster_Master!$I$3:$I$17,E924&amp;"|"&amp;F924)=1,"Valid","Review"))</f>
        <v/>
      </c>
      <c r="H924" s="7">
        <f>IF($G924&lt;&gt;"Valid","",VLOOKUP($E924&amp;"|"&amp;$F924,Cluster_Master!$I$3:$H$17,3,FALSE))</f>
        <v/>
      </c>
      <c r="I924" s="7">
        <f>IF($G924&lt;&gt;"Valid","",VLOOKUP($E924&amp;"|"&amp;$F924,Cluster_Master!$I$3:$H$17,4,FALSE))</f>
        <v/>
      </c>
      <c r="J924" s="7">
        <f>IF($G924&lt;&gt;"Valid","",VLOOKUP($E924&amp;"|"&amp;$F924,Cluster_Master!$I$3:$H$17,5,FALSE))</f>
        <v/>
      </c>
      <c r="K924" s="7">
        <f>IF($G924&lt;&gt;"Valid","",VLOOKUP($E924&amp;"|"&amp;$F924,Cluster_Master!$I$3:$H$17,6,FALSE))</f>
        <v/>
      </c>
      <c r="L924" s="7">
        <f>IF($G924&lt;&gt;"Valid","",VLOOKUP($E924&amp;"|"&amp;$F924,Cluster_Master!$I$3:$H$17,7,FALSE))</f>
        <v/>
      </c>
      <c r="M924" s="7">
        <f>IF($G924&lt;&gt;"Valid","",VLOOKUP($E924&amp;"|"&amp;$F924,Cluster_Master!$I$3:$H$17,8,FALSE))</f>
        <v/>
      </c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7">
        <f>IF(COUNT(T924:AH924)=0,"",SUM(T924:AH924))</f>
        <v/>
      </c>
      <c r="AJ924" s="10">
        <f>IF(AI924="","",AI924/75)</f>
        <v/>
      </c>
      <c r="AK924" s="10">
        <f>IF(AI924="","",SUMPRODUCT(T924:AH924,KPI_Weights!$B$3:$B$17)/5)</f>
        <v/>
      </c>
      <c r="AL924" s="7">
        <f>IF(COUNT(T924:AH924)=0,"",IF(OR(T924&lt;=1,W924&lt;=1,X924&lt;=1,Y924&lt;=1,AB924&lt;=1),"YES","NO"))</f>
        <v/>
      </c>
      <c r="AM924" s="7">
        <f>IF(AK924="","",IF(AND(AK924="NO",AJ924&gt;=0.85),"YES","NO"))</f>
        <v/>
      </c>
      <c r="AN924" s="7">
        <f>IF(AJ924="","",IF(AJ924&gt;=0.90,"Excellent",IF(AJ924&gt;=0.80,"Good",IF(AJ924&gt;=0.70,"Fair","Poor"))))</f>
        <v/>
      </c>
      <c r="AO924" s="12" t="n"/>
      <c r="AP924" s="12" t="n"/>
      <c r="AQ924" s="12" t="n"/>
      <c r="AR924" s="12" t="n"/>
      <c r="AS924" s="12" t="n"/>
      <c r="AT924" s="12" t="n"/>
      <c r="AU924" s="12" t="n"/>
      <c r="AV924" s="11" t="n"/>
      <c r="AW924" s="12" t="n"/>
      <c r="AX924" s="12" t="n"/>
      <c r="AY924" s="12" t="n"/>
      <c r="AZ924" s="12" t="n"/>
      <c r="BA924" s="12" t="n"/>
      <c r="BB924" s="12" t="n"/>
      <c r="BC924" s="12" t="n"/>
      <c r="BD924" s="12" t="n"/>
      <c r="BE924" s="12" t="n"/>
      <c r="BF924" s="12" t="n"/>
    </row>
    <row r="925">
      <c r="A925" s="7">
        <f>IF(B925="","","INS-"&amp;TEXT(ROW()-3,"000"))</f>
        <v/>
      </c>
      <c r="B925" s="11" t="n"/>
      <c r="C925" s="7">
        <f>IF(B925="","",ISOWEEKNUM(B925))</f>
        <v/>
      </c>
      <c r="D925" s="7">
        <f>IF(B925="","",TEXT(B925,"yyyy-mm"))</f>
        <v/>
      </c>
      <c r="E925" s="12" t="n"/>
      <c r="F925" s="12" t="n"/>
      <c r="G925" s="7">
        <f>IF(OR(E925="",F925=""),"",IF(COUNTIF(Cluster_Master!$I$3:$I$17,E925&amp;"|"&amp;F925)=1,"Valid","Review"))</f>
        <v/>
      </c>
      <c r="H925" s="7">
        <f>IF($G925&lt;&gt;"Valid","",VLOOKUP($E925&amp;"|"&amp;$F925,Cluster_Master!$I$3:$H$17,3,FALSE))</f>
        <v/>
      </c>
      <c r="I925" s="7">
        <f>IF($G925&lt;&gt;"Valid","",VLOOKUP($E925&amp;"|"&amp;$F925,Cluster_Master!$I$3:$H$17,4,FALSE))</f>
        <v/>
      </c>
      <c r="J925" s="7">
        <f>IF($G925&lt;&gt;"Valid","",VLOOKUP($E925&amp;"|"&amp;$F925,Cluster_Master!$I$3:$H$17,5,FALSE))</f>
        <v/>
      </c>
      <c r="K925" s="7">
        <f>IF($G925&lt;&gt;"Valid","",VLOOKUP($E925&amp;"|"&amp;$F925,Cluster_Master!$I$3:$H$17,6,FALSE))</f>
        <v/>
      </c>
      <c r="L925" s="7">
        <f>IF($G925&lt;&gt;"Valid","",VLOOKUP($E925&amp;"|"&amp;$F925,Cluster_Master!$I$3:$H$17,7,FALSE))</f>
        <v/>
      </c>
      <c r="M925" s="7">
        <f>IF($G925&lt;&gt;"Valid","",VLOOKUP($E925&amp;"|"&amp;$F925,Cluster_Master!$I$3:$H$17,8,FALSE))</f>
        <v/>
      </c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7">
        <f>IF(COUNT(T925:AH925)=0,"",SUM(T925:AH925))</f>
        <v/>
      </c>
      <c r="AJ925" s="10">
        <f>IF(AI925="","",AI925/75)</f>
        <v/>
      </c>
      <c r="AK925" s="10">
        <f>IF(AI925="","",SUMPRODUCT(T925:AH925,KPI_Weights!$B$3:$B$17)/5)</f>
        <v/>
      </c>
      <c r="AL925" s="7">
        <f>IF(COUNT(T925:AH925)=0,"",IF(OR(T925&lt;=1,W925&lt;=1,X925&lt;=1,Y925&lt;=1,AB925&lt;=1),"YES","NO"))</f>
        <v/>
      </c>
      <c r="AM925" s="7">
        <f>IF(AK925="","",IF(AND(AK925="NO",AJ925&gt;=0.85),"YES","NO"))</f>
        <v/>
      </c>
      <c r="AN925" s="7">
        <f>IF(AJ925="","",IF(AJ925&gt;=0.90,"Excellent",IF(AJ925&gt;=0.80,"Good",IF(AJ925&gt;=0.70,"Fair","Poor"))))</f>
        <v/>
      </c>
      <c r="AO925" s="12" t="n"/>
      <c r="AP925" s="12" t="n"/>
      <c r="AQ925" s="12" t="n"/>
      <c r="AR925" s="12" t="n"/>
      <c r="AS925" s="12" t="n"/>
      <c r="AT925" s="12" t="n"/>
      <c r="AU925" s="12" t="n"/>
      <c r="AV925" s="11" t="n"/>
      <c r="AW925" s="12" t="n"/>
      <c r="AX925" s="12" t="n"/>
      <c r="AY925" s="12" t="n"/>
      <c r="AZ925" s="12" t="n"/>
      <c r="BA925" s="12" t="n"/>
      <c r="BB925" s="12" t="n"/>
      <c r="BC925" s="12" t="n"/>
      <c r="BD925" s="12" t="n"/>
      <c r="BE925" s="12" t="n"/>
      <c r="BF925" s="12" t="n"/>
    </row>
    <row r="926">
      <c r="A926" s="7">
        <f>IF(B926="","","INS-"&amp;TEXT(ROW()-3,"000"))</f>
        <v/>
      </c>
      <c r="B926" s="11" t="n"/>
      <c r="C926" s="7">
        <f>IF(B926="","",ISOWEEKNUM(B926))</f>
        <v/>
      </c>
      <c r="D926" s="7">
        <f>IF(B926="","",TEXT(B926,"yyyy-mm"))</f>
        <v/>
      </c>
      <c r="E926" s="12" t="n"/>
      <c r="F926" s="12" t="n"/>
      <c r="G926" s="7">
        <f>IF(OR(E926="",F926=""),"",IF(COUNTIF(Cluster_Master!$I$3:$I$17,E926&amp;"|"&amp;F926)=1,"Valid","Review"))</f>
        <v/>
      </c>
      <c r="H926" s="7">
        <f>IF($G926&lt;&gt;"Valid","",VLOOKUP($E926&amp;"|"&amp;$F926,Cluster_Master!$I$3:$H$17,3,FALSE))</f>
        <v/>
      </c>
      <c r="I926" s="7">
        <f>IF($G926&lt;&gt;"Valid","",VLOOKUP($E926&amp;"|"&amp;$F926,Cluster_Master!$I$3:$H$17,4,FALSE))</f>
        <v/>
      </c>
      <c r="J926" s="7">
        <f>IF($G926&lt;&gt;"Valid","",VLOOKUP($E926&amp;"|"&amp;$F926,Cluster_Master!$I$3:$H$17,5,FALSE))</f>
        <v/>
      </c>
      <c r="K926" s="7">
        <f>IF($G926&lt;&gt;"Valid","",VLOOKUP($E926&amp;"|"&amp;$F926,Cluster_Master!$I$3:$H$17,6,FALSE))</f>
        <v/>
      </c>
      <c r="L926" s="7">
        <f>IF($G926&lt;&gt;"Valid","",VLOOKUP($E926&amp;"|"&amp;$F926,Cluster_Master!$I$3:$H$17,7,FALSE))</f>
        <v/>
      </c>
      <c r="M926" s="7">
        <f>IF($G926&lt;&gt;"Valid","",VLOOKUP($E926&amp;"|"&amp;$F926,Cluster_Master!$I$3:$H$17,8,FALSE))</f>
        <v/>
      </c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7">
        <f>IF(COUNT(T926:AH926)=0,"",SUM(T926:AH926))</f>
        <v/>
      </c>
      <c r="AJ926" s="10">
        <f>IF(AI926="","",AI926/75)</f>
        <v/>
      </c>
      <c r="AK926" s="10">
        <f>IF(AI926="","",SUMPRODUCT(T926:AH926,KPI_Weights!$B$3:$B$17)/5)</f>
        <v/>
      </c>
      <c r="AL926" s="7">
        <f>IF(COUNT(T926:AH926)=0,"",IF(OR(T926&lt;=1,W926&lt;=1,X926&lt;=1,Y926&lt;=1,AB926&lt;=1),"YES","NO"))</f>
        <v/>
      </c>
      <c r="AM926" s="7">
        <f>IF(AK926="","",IF(AND(AK926="NO",AJ926&gt;=0.85),"YES","NO"))</f>
        <v/>
      </c>
      <c r="AN926" s="7">
        <f>IF(AJ926="","",IF(AJ926&gt;=0.90,"Excellent",IF(AJ926&gt;=0.80,"Good",IF(AJ926&gt;=0.70,"Fair","Poor"))))</f>
        <v/>
      </c>
      <c r="AO926" s="12" t="n"/>
      <c r="AP926" s="12" t="n"/>
      <c r="AQ926" s="12" t="n"/>
      <c r="AR926" s="12" t="n"/>
      <c r="AS926" s="12" t="n"/>
      <c r="AT926" s="12" t="n"/>
      <c r="AU926" s="12" t="n"/>
      <c r="AV926" s="11" t="n"/>
      <c r="AW926" s="12" t="n"/>
      <c r="AX926" s="12" t="n"/>
      <c r="AY926" s="12" t="n"/>
      <c r="AZ926" s="12" t="n"/>
      <c r="BA926" s="12" t="n"/>
      <c r="BB926" s="12" t="n"/>
      <c r="BC926" s="12" t="n"/>
      <c r="BD926" s="12" t="n"/>
      <c r="BE926" s="12" t="n"/>
      <c r="BF926" s="12" t="n"/>
    </row>
    <row r="927">
      <c r="A927" s="7">
        <f>IF(B927="","","INS-"&amp;TEXT(ROW()-3,"000"))</f>
        <v/>
      </c>
      <c r="B927" s="11" t="n"/>
      <c r="C927" s="7">
        <f>IF(B927="","",ISOWEEKNUM(B927))</f>
        <v/>
      </c>
      <c r="D927" s="7">
        <f>IF(B927="","",TEXT(B927,"yyyy-mm"))</f>
        <v/>
      </c>
      <c r="E927" s="12" t="n"/>
      <c r="F927" s="12" t="n"/>
      <c r="G927" s="7">
        <f>IF(OR(E927="",F927=""),"",IF(COUNTIF(Cluster_Master!$I$3:$I$17,E927&amp;"|"&amp;F927)=1,"Valid","Review"))</f>
        <v/>
      </c>
      <c r="H927" s="7">
        <f>IF($G927&lt;&gt;"Valid","",VLOOKUP($E927&amp;"|"&amp;$F927,Cluster_Master!$I$3:$H$17,3,FALSE))</f>
        <v/>
      </c>
      <c r="I927" s="7">
        <f>IF($G927&lt;&gt;"Valid","",VLOOKUP($E927&amp;"|"&amp;$F927,Cluster_Master!$I$3:$H$17,4,FALSE))</f>
        <v/>
      </c>
      <c r="J927" s="7">
        <f>IF($G927&lt;&gt;"Valid","",VLOOKUP($E927&amp;"|"&amp;$F927,Cluster_Master!$I$3:$H$17,5,FALSE))</f>
        <v/>
      </c>
      <c r="K927" s="7">
        <f>IF($G927&lt;&gt;"Valid","",VLOOKUP($E927&amp;"|"&amp;$F927,Cluster_Master!$I$3:$H$17,6,FALSE))</f>
        <v/>
      </c>
      <c r="L927" s="7">
        <f>IF($G927&lt;&gt;"Valid","",VLOOKUP($E927&amp;"|"&amp;$F927,Cluster_Master!$I$3:$H$17,7,FALSE))</f>
        <v/>
      </c>
      <c r="M927" s="7">
        <f>IF($G927&lt;&gt;"Valid","",VLOOKUP($E927&amp;"|"&amp;$F927,Cluster_Master!$I$3:$H$17,8,FALSE))</f>
        <v/>
      </c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7">
        <f>IF(COUNT(T927:AH927)=0,"",SUM(T927:AH927))</f>
        <v/>
      </c>
      <c r="AJ927" s="10">
        <f>IF(AI927="","",AI927/75)</f>
        <v/>
      </c>
      <c r="AK927" s="10">
        <f>IF(AI927="","",SUMPRODUCT(T927:AH927,KPI_Weights!$B$3:$B$17)/5)</f>
        <v/>
      </c>
      <c r="AL927" s="7">
        <f>IF(COUNT(T927:AH927)=0,"",IF(OR(T927&lt;=1,W927&lt;=1,X927&lt;=1,Y927&lt;=1,AB927&lt;=1),"YES","NO"))</f>
        <v/>
      </c>
      <c r="AM927" s="7">
        <f>IF(AK927="","",IF(AND(AK927="NO",AJ927&gt;=0.85),"YES","NO"))</f>
        <v/>
      </c>
      <c r="AN927" s="7">
        <f>IF(AJ927="","",IF(AJ927&gt;=0.90,"Excellent",IF(AJ927&gt;=0.80,"Good",IF(AJ927&gt;=0.70,"Fair","Poor"))))</f>
        <v/>
      </c>
      <c r="AO927" s="12" t="n"/>
      <c r="AP927" s="12" t="n"/>
      <c r="AQ927" s="12" t="n"/>
      <c r="AR927" s="12" t="n"/>
      <c r="AS927" s="12" t="n"/>
      <c r="AT927" s="12" t="n"/>
      <c r="AU927" s="12" t="n"/>
      <c r="AV927" s="11" t="n"/>
      <c r="AW927" s="12" t="n"/>
      <c r="AX927" s="12" t="n"/>
      <c r="AY927" s="12" t="n"/>
      <c r="AZ927" s="12" t="n"/>
      <c r="BA927" s="12" t="n"/>
      <c r="BB927" s="12" t="n"/>
      <c r="BC927" s="12" t="n"/>
      <c r="BD927" s="12" t="n"/>
      <c r="BE927" s="12" t="n"/>
      <c r="BF927" s="12" t="n"/>
    </row>
    <row r="928">
      <c r="A928" s="7">
        <f>IF(B928="","","INS-"&amp;TEXT(ROW()-3,"000"))</f>
        <v/>
      </c>
      <c r="B928" s="11" t="n"/>
      <c r="C928" s="7">
        <f>IF(B928="","",ISOWEEKNUM(B928))</f>
        <v/>
      </c>
      <c r="D928" s="7">
        <f>IF(B928="","",TEXT(B928,"yyyy-mm"))</f>
        <v/>
      </c>
      <c r="E928" s="12" t="n"/>
      <c r="F928" s="12" t="n"/>
      <c r="G928" s="7">
        <f>IF(OR(E928="",F928=""),"",IF(COUNTIF(Cluster_Master!$I$3:$I$17,E928&amp;"|"&amp;F928)=1,"Valid","Review"))</f>
        <v/>
      </c>
      <c r="H928" s="7">
        <f>IF($G928&lt;&gt;"Valid","",VLOOKUP($E928&amp;"|"&amp;$F928,Cluster_Master!$I$3:$H$17,3,FALSE))</f>
        <v/>
      </c>
      <c r="I928" s="7">
        <f>IF($G928&lt;&gt;"Valid","",VLOOKUP($E928&amp;"|"&amp;$F928,Cluster_Master!$I$3:$H$17,4,FALSE))</f>
        <v/>
      </c>
      <c r="J928" s="7">
        <f>IF($G928&lt;&gt;"Valid","",VLOOKUP($E928&amp;"|"&amp;$F928,Cluster_Master!$I$3:$H$17,5,FALSE))</f>
        <v/>
      </c>
      <c r="K928" s="7">
        <f>IF($G928&lt;&gt;"Valid","",VLOOKUP($E928&amp;"|"&amp;$F928,Cluster_Master!$I$3:$H$17,6,FALSE))</f>
        <v/>
      </c>
      <c r="L928" s="7">
        <f>IF($G928&lt;&gt;"Valid","",VLOOKUP($E928&amp;"|"&amp;$F928,Cluster_Master!$I$3:$H$17,7,FALSE))</f>
        <v/>
      </c>
      <c r="M928" s="7">
        <f>IF($G928&lt;&gt;"Valid","",VLOOKUP($E928&amp;"|"&amp;$F928,Cluster_Master!$I$3:$H$17,8,FALSE))</f>
        <v/>
      </c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7">
        <f>IF(COUNT(T928:AH928)=0,"",SUM(T928:AH928))</f>
        <v/>
      </c>
      <c r="AJ928" s="10">
        <f>IF(AI928="","",AI928/75)</f>
        <v/>
      </c>
      <c r="AK928" s="10">
        <f>IF(AI928="","",SUMPRODUCT(T928:AH928,KPI_Weights!$B$3:$B$17)/5)</f>
        <v/>
      </c>
      <c r="AL928" s="7">
        <f>IF(COUNT(T928:AH928)=0,"",IF(OR(T928&lt;=1,W928&lt;=1,X928&lt;=1,Y928&lt;=1,AB928&lt;=1),"YES","NO"))</f>
        <v/>
      </c>
      <c r="AM928" s="7">
        <f>IF(AK928="","",IF(AND(AK928="NO",AJ928&gt;=0.85),"YES","NO"))</f>
        <v/>
      </c>
      <c r="AN928" s="7">
        <f>IF(AJ928="","",IF(AJ928&gt;=0.90,"Excellent",IF(AJ928&gt;=0.80,"Good",IF(AJ928&gt;=0.70,"Fair","Poor"))))</f>
        <v/>
      </c>
      <c r="AO928" s="12" t="n"/>
      <c r="AP928" s="12" t="n"/>
      <c r="AQ928" s="12" t="n"/>
      <c r="AR928" s="12" t="n"/>
      <c r="AS928" s="12" t="n"/>
      <c r="AT928" s="12" t="n"/>
      <c r="AU928" s="12" t="n"/>
      <c r="AV928" s="11" t="n"/>
      <c r="AW928" s="12" t="n"/>
      <c r="AX928" s="12" t="n"/>
      <c r="AY928" s="12" t="n"/>
      <c r="AZ928" s="12" t="n"/>
      <c r="BA928" s="12" t="n"/>
      <c r="BB928" s="12" t="n"/>
      <c r="BC928" s="12" t="n"/>
      <c r="BD928" s="12" t="n"/>
      <c r="BE928" s="12" t="n"/>
      <c r="BF928" s="12" t="n"/>
    </row>
    <row r="929">
      <c r="A929" s="7">
        <f>IF(B929="","","INS-"&amp;TEXT(ROW()-3,"000"))</f>
        <v/>
      </c>
      <c r="B929" s="11" t="n"/>
      <c r="C929" s="7">
        <f>IF(B929="","",ISOWEEKNUM(B929))</f>
        <v/>
      </c>
      <c r="D929" s="7">
        <f>IF(B929="","",TEXT(B929,"yyyy-mm"))</f>
        <v/>
      </c>
      <c r="E929" s="12" t="n"/>
      <c r="F929" s="12" t="n"/>
      <c r="G929" s="7">
        <f>IF(OR(E929="",F929=""),"",IF(COUNTIF(Cluster_Master!$I$3:$I$17,E929&amp;"|"&amp;F929)=1,"Valid","Review"))</f>
        <v/>
      </c>
      <c r="H929" s="7">
        <f>IF($G929&lt;&gt;"Valid","",VLOOKUP($E929&amp;"|"&amp;$F929,Cluster_Master!$I$3:$H$17,3,FALSE))</f>
        <v/>
      </c>
      <c r="I929" s="7">
        <f>IF($G929&lt;&gt;"Valid","",VLOOKUP($E929&amp;"|"&amp;$F929,Cluster_Master!$I$3:$H$17,4,FALSE))</f>
        <v/>
      </c>
      <c r="J929" s="7">
        <f>IF($G929&lt;&gt;"Valid","",VLOOKUP($E929&amp;"|"&amp;$F929,Cluster_Master!$I$3:$H$17,5,FALSE))</f>
        <v/>
      </c>
      <c r="K929" s="7">
        <f>IF($G929&lt;&gt;"Valid","",VLOOKUP($E929&amp;"|"&amp;$F929,Cluster_Master!$I$3:$H$17,6,FALSE))</f>
        <v/>
      </c>
      <c r="L929" s="7">
        <f>IF($G929&lt;&gt;"Valid","",VLOOKUP($E929&amp;"|"&amp;$F929,Cluster_Master!$I$3:$H$17,7,FALSE))</f>
        <v/>
      </c>
      <c r="M929" s="7">
        <f>IF($G929&lt;&gt;"Valid","",VLOOKUP($E929&amp;"|"&amp;$F929,Cluster_Master!$I$3:$H$17,8,FALSE))</f>
        <v/>
      </c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7">
        <f>IF(COUNT(T929:AH929)=0,"",SUM(T929:AH929))</f>
        <v/>
      </c>
      <c r="AJ929" s="10">
        <f>IF(AI929="","",AI929/75)</f>
        <v/>
      </c>
      <c r="AK929" s="10">
        <f>IF(AI929="","",SUMPRODUCT(T929:AH929,KPI_Weights!$B$3:$B$17)/5)</f>
        <v/>
      </c>
      <c r="AL929" s="7">
        <f>IF(COUNT(T929:AH929)=0,"",IF(OR(T929&lt;=1,W929&lt;=1,X929&lt;=1,Y929&lt;=1,AB929&lt;=1),"YES","NO"))</f>
        <v/>
      </c>
      <c r="AM929" s="7">
        <f>IF(AK929="","",IF(AND(AK929="NO",AJ929&gt;=0.85),"YES","NO"))</f>
        <v/>
      </c>
      <c r="AN929" s="7">
        <f>IF(AJ929="","",IF(AJ929&gt;=0.90,"Excellent",IF(AJ929&gt;=0.80,"Good",IF(AJ929&gt;=0.70,"Fair","Poor"))))</f>
        <v/>
      </c>
      <c r="AO929" s="12" t="n"/>
      <c r="AP929" s="12" t="n"/>
      <c r="AQ929" s="12" t="n"/>
      <c r="AR929" s="12" t="n"/>
      <c r="AS929" s="12" t="n"/>
      <c r="AT929" s="12" t="n"/>
      <c r="AU929" s="12" t="n"/>
      <c r="AV929" s="11" t="n"/>
      <c r="AW929" s="12" t="n"/>
      <c r="AX929" s="12" t="n"/>
      <c r="AY929" s="12" t="n"/>
      <c r="AZ929" s="12" t="n"/>
      <c r="BA929" s="12" t="n"/>
      <c r="BB929" s="12" t="n"/>
      <c r="BC929" s="12" t="n"/>
      <c r="BD929" s="12" t="n"/>
      <c r="BE929" s="12" t="n"/>
      <c r="BF929" s="12" t="n"/>
    </row>
    <row r="930">
      <c r="A930" s="7">
        <f>IF(B930="","","INS-"&amp;TEXT(ROW()-3,"000"))</f>
        <v/>
      </c>
      <c r="B930" s="11" t="n"/>
      <c r="C930" s="7">
        <f>IF(B930="","",ISOWEEKNUM(B930))</f>
        <v/>
      </c>
      <c r="D930" s="7">
        <f>IF(B930="","",TEXT(B930,"yyyy-mm"))</f>
        <v/>
      </c>
      <c r="E930" s="12" t="n"/>
      <c r="F930" s="12" t="n"/>
      <c r="G930" s="7">
        <f>IF(OR(E930="",F930=""),"",IF(COUNTIF(Cluster_Master!$I$3:$I$17,E930&amp;"|"&amp;F930)=1,"Valid","Review"))</f>
        <v/>
      </c>
      <c r="H930" s="7">
        <f>IF($G930&lt;&gt;"Valid","",VLOOKUP($E930&amp;"|"&amp;$F930,Cluster_Master!$I$3:$H$17,3,FALSE))</f>
        <v/>
      </c>
      <c r="I930" s="7">
        <f>IF($G930&lt;&gt;"Valid","",VLOOKUP($E930&amp;"|"&amp;$F930,Cluster_Master!$I$3:$H$17,4,FALSE))</f>
        <v/>
      </c>
      <c r="J930" s="7">
        <f>IF($G930&lt;&gt;"Valid","",VLOOKUP($E930&amp;"|"&amp;$F930,Cluster_Master!$I$3:$H$17,5,FALSE))</f>
        <v/>
      </c>
      <c r="K930" s="7">
        <f>IF($G930&lt;&gt;"Valid","",VLOOKUP($E930&amp;"|"&amp;$F930,Cluster_Master!$I$3:$H$17,6,FALSE))</f>
        <v/>
      </c>
      <c r="L930" s="7">
        <f>IF($G930&lt;&gt;"Valid","",VLOOKUP($E930&amp;"|"&amp;$F930,Cluster_Master!$I$3:$H$17,7,FALSE))</f>
        <v/>
      </c>
      <c r="M930" s="7">
        <f>IF($G930&lt;&gt;"Valid","",VLOOKUP($E930&amp;"|"&amp;$F930,Cluster_Master!$I$3:$H$17,8,FALSE))</f>
        <v/>
      </c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7">
        <f>IF(COUNT(T930:AH930)=0,"",SUM(T930:AH930))</f>
        <v/>
      </c>
      <c r="AJ930" s="10">
        <f>IF(AI930="","",AI930/75)</f>
        <v/>
      </c>
      <c r="AK930" s="10">
        <f>IF(AI930="","",SUMPRODUCT(T930:AH930,KPI_Weights!$B$3:$B$17)/5)</f>
        <v/>
      </c>
      <c r="AL930" s="7">
        <f>IF(COUNT(T930:AH930)=0,"",IF(OR(T930&lt;=1,W930&lt;=1,X930&lt;=1,Y930&lt;=1,AB930&lt;=1),"YES","NO"))</f>
        <v/>
      </c>
      <c r="AM930" s="7">
        <f>IF(AK930="","",IF(AND(AK930="NO",AJ930&gt;=0.85),"YES","NO"))</f>
        <v/>
      </c>
      <c r="AN930" s="7">
        <f>IF(AJ930="","",IF(AJ930&gt;=0.90,"Excellent",IF(AJ930&gt;=0.80,"Good",IF(AJ930&gt;=0.70,"Fair","Poor"))))</f>
        <v/>
      </c>
      <c r="AO930" s="12" t="n"/>
      <c r="AP930" s="12" t="n"/>
      <c r="AQ930" s="12" t="n"/>
      <c r="AR930" s="12" t="n"/>
      <c r="AS930" s="12" t="n"/>
      <c r="AT930" s="12" t="n"/>
      <c r="AU930" s="12" t="n"/>
      <c r="AV930" s="11" t="n"/>
      <c r="AW930" s="12" t="n"/>
      <c r="AX930" s="12" t="n"/>
      <c r="AY930" s="12" t="n"/>
      <c r="AZ930" s="12" t="n"/>
      <c r="BA930" s="12" t="n"/>
      <c r="BB930" s="12" t="n"/>
      <c r="BC930" s="12" t="n"/>
      <c r="BD930" s="12" t="n"/>
      <c r="BE930" s="12" t="n"/>
      <c r="BF930" s="12" t="n"/>
    </row>
    <row r="931">
      <c r="A931" s="7">
        <f>IF(B931="","","INS-"&amp;TEXT(ROW()-3,"000"))</f>
        <v/>
      </c>
      <c r="B931" s="11" t="n"/>
      <c r="C931" s="7">
        <f>IF(B931="","",ISOWEEKNUM(B931))</f>
        <v/>
      </c>
      <c r="D931" s="7">
        <f>IF(B931="","",TEXT(B931,"yyyy-mm"))</f>
        <v/>
      </c>
      <c r="E931" s="12" t="n"/>
      <c r="F931" s="12" t="n"/>
      <c r="G931" s="7">
        <f>IF(OR(E931="",F931=""),"",IF(COUNTIF(Cluster_Master!$I$3:$I$17,E931&amp;"|"&amp;F931)=1,"Valid","Review"))</f>
        <v/>
      </c>
      <c r="H931" s="7">
        <f>IF($G931&lt;&gt;"Valid","",VLOOKUP($E931&amp;"|"&amp;$F931,Cluster_Master!$I$3:$H$17,3,FALSE))</f>
        <v/>
      </c>
      <c r="I931" s="7">
        <f>IF($G931&lt;&gt;"Valid","",VLOOKUP($E931&amp;"|"&amp;$F931,Cluster_Master!$I$3:$H$17,4,FALSE))</f>
        <v/>
      </c>
      <c r="J931" s="7">
        <f>IF($G931&lt;&gt;"Valid","",VLOOKUP($E931&amp;"|"&amp;$F931,Cluster_Master!$I$3:$H$17,5,FALSE))</f>
        <v/>
      </c>
      <c r="K931" s="7">
        <f>IF($G931&lt;&gt;"Valid","",VLOOKUP($E931&amp;"|"&amp;$F931,Cluster_Master!$I$3:$H$17,6,FALSE))</f>
        <v/>
      </c>
      <c r="L931" s="7">
        <f>IF($G931&lt;&gt;"Valid","",VLOOKUP($E931&amp;"|"&amp;$F931,Cluster_Master!$I$3:$H$17,7,FALSE))</f>
        <v/>
      </c>
      <c r="M931" s="7">
        <f>IF($G931&lt;&gt;"Valid","",VLOOKUP($E931&amp;"|"&amp;$F931,Cluster_Master!$I$3:$H$17,8,FALSE))</f>
        <v/>
      </c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7">
        <f>IF(COUNT(T931:AH931)=0,"",SUM(T931:AH931))</f>
        <v/>
      </c>
      <c r="AJ931" s="10">
        <f>IF(AI931="","",AI931/75)</f>
        <v/>
      </c>
      <c r="AK931" s="10">
        <f>IF(AI931="","",SUMPRODUCT(T931:AH931,KPI_Weights!$B$3:$B$17)/5)</f>
        <v/>
      </c>
      <c r="AL931" s="7">
        <f>IF(COUNT(T931:AH931)=0,"",IF(OR(T931&lt;=1,W931&lt;=1,X931&lt;=1,Y931&lt;=1,AB931&lt;=1),"YES","NO"))</f>
        <v/>
      </c>
      <c r="AM931" s="7">
        <f>IF(AK931="","",IF(AND(AK931="NO",AJ931&gt;=0.85),"YES","NO"))</f>
        <v/>
      </c>
      <c r="AN931" s="7">
        <f>IF(AJ931="","",IF(AJ931&gt;=0.90,"Excellent",IF(AJ931&gt;=0.80,"Good",IF(AJ931&gt;=0.70,"Fair","Poor"))))</f>
        <v/>
      </c>
      <c r="AO931" s="12" t="n"/>
      <c r="AP931" s="12" t="n"/>
      <c r="AQ931" s="12" t="n"/>
      <c r="AR931" s="12" t="n"/>
      <c r="AS931" s="12" t="n"/>
      <c r="AT931" s="12" t="n"/>
      <c r="AU931" s="12" t="n"/>
      <c r="AV931" s="11" t="n"/>
      <c r="AW931" s="12" t="n"/>
      <c r="AX931" s="12" t="n"/>
      <c r="AY931" s="12" t="n"/>
      <c r="AZ931" s="12" t="n"/>
      <c r="BA931" s="12" t="n"/>
      <c r="BB931" s="12" t="n"/>
      <c r="BC931" s="12" t="n"/>
      <c r="BD931" s="12" t="n"/>
      <c r="BE931" s="12" t="n"/>
      <c r="BF931" s="12" t="n"/>
    </row>
    <row r="932">
      <c r="A932" s="7">
        <f>IF(B932="","","INS-"&amp;TEXT(ROW()-3,"000"))</f>
        <v/>
      </c>
      <c r="B932" s="11" t="n"/>
      <c r="C932" s="7">
        <f>IF(B932="","",ISOWEEKNUM(B932))</f>
        <v/>
      </c>
      <c r="D932" s="7">
        <f>IF(B932="","",TEXT(B932,"yyyy-mm"))</f>
        <v/>
      </c>
      <c r="E932" s="12" t="n"/>
      <c r="F932" s="12" t="n"/>
      <c r="G932" s="7">
        <f>IF(OR(E932="",F932=""),"",IF(COUNTIF(Cluster_Master!$I$3:$I$17,E932&amp;"|"&amp;F932)=1,"Valid","Review"))</f>
        <v/>
      </c>
      <c r="H932" s="7">
        <f>IF($G932&lt;&gt;"Valid","",VLOOKUP($E932&amp;"|"&amp;$F932,Cluster_Master!$I$3:$H$17,3,FALSE))</f>
        <v/>
      </c>
      <c r="I932" s="7">
        <f>IF($G932&lt;&gt;"Valid","",VLOOKUP($E932&amp;"|"&amp;$F932,Cluster_Master!$I$3:$H$17,4,FALSE))</f>
        <v/>
      </c>
      <c r="J932" s="7">
        <f>IF($G932&lt;&gt;"Valid","",VLOOKUP($E932&amp;"|"&amp;$F932,Cluster_Master!$I$3:$H$17,5,FALSE))</f>
        <v/>
      </c>
      <c r="K932" s="7">
        <f>IF($G932&lt;&gt;"Valid","",VLOOKUP($E932&amp;"|"&amp;$F932,Cluster_Master!$I$3:$H$17,6,FALSE))</f>
        <v/>
      </c>
      <c r="L932" s="7">
        <f>IF($G932&lt;&gt;"Valid","",VLOOKUP($E932&amp;"|"&amp;$F932,Cluster_Master!$I$3:$H$17,7,FALSE))</f>
        <v/>
      </c>
      <c r="M932" s="7">
        <f>IF($G932&lt;&gt;"Valid","",VLOOKUP($E932&amp;"|"&amp;$F932,Cluster_Master!$I$3:$H$17,8,FALSE))</f>
        <v/>
      </c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7">
        <f>IF(COUNT(T932:AH932)=0,"",SUM(T932:AH932))</f>
        <v/>
      </c>
      <c r="AJ932" s="10">
        <f>IF(AI932="","",AI932/75)</f>
        <v/>
      </c>
      <c r="AK932" s="10">
        <f>IF(AI932="","",SUMPRODUCT(T932:AH932,KPI_Weights!$B$3:$B$17)/5)</f>
        <v/>
      </c>
      <c r="AL932" s="7">
        <f>IF(COUNT(T932:AH932)=0,"",IF(OR(T932&lt;=1,W932&lt;=1,X932&lt;=1,Y932&lt;=1,AB932&lt;=1),"YES","NO"))</f>
        <v/>
      </c>
      <c r="AM932" s="7">
        <f>IF(AK932="","",IF(AND(AK932="NO",AJ932&gt;=0.85),"YES","NO"))</f>
        <v/>
      </c>
      <c r="AN932" s="7">
        <f>IF(AJ932="","",IF(AJ932&gt;=0.90,"Excellent",IF(AJ932&gt;=0.80,"Good",IF(AJ932&gt;=0.70,"Fair","Poor"))))</f>
        <v/>
      </c>
      <c r="AO932" s="12" t="n"/>
      <c r="AP932" s="12" t="n"/>
      <c r="AQ932" s="12" t="n"/>
      <c r="AR932" s="12" t="n"/>
      <c r="AS932" s="12" t="n"/>
      <c r="AT932" s="12" t="n"/>
      <c r="AU932" s="12" t="n"/>
      <c r="AV932" s="11" t="n"/>
      <c r="AW932" s="12" t="n"/>
      <c r="AX932" s="12" t="n"/>
      <c r="AY932" s="12" t="n"/>
      <c r="AZ932" s="12" t="n"/>
      <c r="BA932" s="12" t="n"/>
      <c r="BB932" s="12" t="n"/>
      <c r="BC932" s="12" t="n"/>
      <c r="BD932" s="12" t="n"/>
      <c r="BE932" s="12" t="n"/>
      <c r="BF932" s="12" t="n"/>
    </row>
    <row r="933">
      <c r="A933" s="7">
        <f>IF(B933="","","INS-"&amp;TEXT(ROW()-3,"000"))</f>
        <v/>
      </c>
      <c r="B933" s="11" t="n"/>
      <c r="C933" s="7">
        <f>IF(B933="","",ISOWEEKNUM(B933))</f>
        <v/>
      </c>
      <c r="D933" s="7">
        <f>IF(B933="","",TEXT(B933,"yyyy-mm"))</f>
        <v/>
      </c>
      <c r="E933" s="12" t="n"/>
      <c r="F933" s="12" t="n"/>
      <c r="G933" s="7">
        <f>IF(OR(E933="",F933=""),"",IF(COUNTIF(Cluster_Master!$I$3:$I$17,E933&amp;"|"&amp;F933)=1,"Valid","Review"))</f>
        <v/>
      </c>
      <c r="H933" s="7">
        <f>IF($G933&lt;&gt;"Valid","",VLOOKUP($E933&amp;"|"&amp;$F933,Cluster_Master!$I$3:$H$17,3,FALSE))</f>
        <v/>
      </c>
      <c r="I933" s="7">
        <f>IF($G933&lt;&gt;"Valid","",VLOOKUP($E933&amp;"|"&amp;$F933,Cluster_Master!$I$3:$H$17,4,FALSE))</f>
        <v/>
      </c>
      <c r="J933" s="7">
        <f>IF($G933&lt;&gt;"Valid","",VLOOKUP($E933&amp;"|"&amp;$F933,Cluster_Master!$I$3:$H$17,5,FALSE))</f>
        <v/>
      </c>
      <c r="K933" s="7">
        <f>IF($G933&lt;&gt;"Valid","",VLOOKUP($E933&amp;"|"&amp;$F933,Cluster_Master!$I$3:$H$17,6,FALSE))</f>
        <v/>
      </c>
      <c r="L933" s="7">
        <f>IF($G933&lt;&gt;"Valid","",VLOOKUP($E933&amp;"|"&amp;$F933,Cluster_Master!$I$3:$H$17,7,FALSE))</f>
        <v/>
      </c>
      <c r="M933" s="7">
        <f>IF($G933&lt;&gt;"Valid","",VLOOKUP($E933&amp;"|"&amp;$F933,Cluster_Master!$I$3:$H$17,8,FALSE))</f>
        <v/>
      </c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7">
        <f>IF(COUNT(T933:AH933)=0,"",SUM(T933:AH933))</f>
        <v/>
      </c>
      <c r="AJ933" s="10">
        <f>IF(AI933="","",AI933/75)</f>
        <v/>
      </c>
      <c r="AK933" s="10">
        <f>IF(AI933="","",SUMPRODUCT(T933:AH933,KPI_Weights!$B$3:$B$17)/5)</f>
        <v/>
      </c>
      <c r="AL933" s="7">
        <f>IF(COUNT(T933:AH933)=0,"",IF(OR(T933&lt;=1,W933&lt;=1,X933&lt;=1,Y933&lt;=1,AB933&lt;=1),"YES","NO"))</f>
        <v/>
      </c>
      <c r="AM933" s="7">
        <f>IF(AK933="","",IF(AND(AK933="NO",AJ933&gt;=0.85),"YES","NO"))</f>
        <v/>
      </c>
      <c r="AN933" s="7">
        <f>IF(AJ933="","",IF(AJ933&gt;=0.90,"Excellent",IF(AJ933&gt;=0.80,"Good",IF(AJ933&gt;=0.70,"Fair","Poor"))))</f>
        <v/>
      </c>
      <c r="AO933" s="12" t="n"/>
      <c r="AP933" s="12" t="n"/>
      <c r="AQ933" s="12" t="n"/>
      <c r="AR933" s="12" t="n"/>
      <c r="AS933" s="12" t="n"/>
      <c r="AT933" s="12" t="n"/>
      <c r="AU933" s="12" t="n"/>
      <c r="AV933" s="11" t="n"/>
      <c r="AW933" s="12" t="n"/>
      <c r="AX933" s="12" t="n"/>
      <c r="AY933" s="12" t="n"/>
      <c r="AZ933" s="12" t="n"/>
      <c r="BA933" s="12" t="n"/>
      <c r="BB933" s="12" t="n"/>
      <c r="BC933" s="12" t="n"/>
      <c r="BD933" s="12" t="n"/>
      <c r="BE933" s="12" t="n"/>
      <c r="BF933" s="12" t="n"/>
    </row>
    <row r="934">
      <c r="A934" s="7">
        <f>IF(B934="","","INS-"&amp;TEXT(ROW()-3,"000"))</f>
        <v/>
      </c>
      <c r="B934" s="11" t="n"/>
      <c r="C934" s="7">
        <f>IF(B934="","",ISOWEEKNUM(B934))</f>
        <v/>
      </c>
      <c r="D934" s="7">
        <f>IF(B934="","",TEXT(B934,"yyyy-mm"))</f>
        <v/>
      </c>
      <c r="E934" s="12" t="n"/>
      <c r="F934" s="12" t="n"/>
      <c r="G934" s="7">
        <f>IF(OR(E934="",F934=""),"",IF(COUNTIF(Cluster_Master!$I$3:$I$17,E934&amp;"|"&amp;F934)=1,"Valid","Review"))</f>
        <v/>
      </c>
      <c r="H934" s="7">
        <f>IF($G934&lt;&gt;"Valid","",VLOOKUP($E934&amp;"|"&amp;$F934,Cluster_Master!$I$3:$H$17,3,FALSE))</f>
        <v/>
      </c>
      <c r="I934" s="7">
        <f>IF($G934&lt;&gt;"Valid","",VLOOKUP($E934&amp;"|"&amp;$F934,Cluster_Master!$I$3:$H$17,4,FALSE))</f>
        <v/>
      </c>
      <c r="J934" s="7">
        <f>IF($G934&lt;&gt;"Valid","",VLOOKUP($E934&amp;"|"&amp;$F934,Cluster_Master!$I$3:$H$17,5,FALSE))</f>
        <v/>
      </c>
      <c r="K934" s="7">
        <f>IF($G934&lt;&gt;"Valid","",VLOOKUP($E934&amp;"|"&amp;$F934,Cluster_Master!$I$3:$H$17,6,FALSE))</f>
        <v/>
      </c>
      <c r="L934" s="7">
        <f>IF($G934&lt;&gt;"Valid","",VLOOKUP($E934&amp;"|"&amp;$F934,Cluster_Master!$I$3:$H$17,7,FALSE))</f>
        <v/>
      </c>
      <c r="M934" s="7">
        <f>IF($G934&lt;&gt;"Valid","",VLOOKUP($E934&amp;"|"&amp;$F934,Cluster_Master!$I$3:$H$17,8,FALSE))</f>
        <v/>
      </c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7">
        <f>IF(COUNT(T934:AH934)=0,"",SUM(T934:AH934))</f>
        <v/>
      </c>
      <c r="AJ934" s="10">
        <f>IF(AI934="","",AI934/75)</f>
        <v/>
      </c>
      <c r="AK934" s="10">
        <f>IF(AI934="","",SUMPRODUCT(T934:AH934,KPI_Weights!$B$3:$B$17)/5)</f>
        <v/>
      </c>
      <c r="AL934" s="7">
        <f>IF(COUNT(T934:AH934)=0,"",IF(OR(T934&lt;=1,W934&lt;=1,X934&lt;=1,Y934&lt;=1,AB934&lt;=1),"YES","NO"))</f>
        <v/>
      </c>
      <c r="AM934" s="7">
        <f>IF(AK934="","",IF(AND(AK934="NO",AJ934&gt;=0.85),"YES","NO"))</f>
        <v/>
      </c>
      <c r="AN934" s="7">
        <f>IF(AJ934="","",IF(AJ934&gt;=0.90,"Excellent",IF(AJ934&gt;=0.80,"Good",IF(AJ934&gt;=0.70,"Fair","Poor"))))</f>
        <v/>
      </c>
      <c r="AO934" s="12" t="n"/>
      <c r="AP934" s="12" t="n"/>
      <c r="AQ934" s="12" t="n"/>
      <c r="AR934" s="12" t="n"/>
      <c r="AS934" s="12" t="n"/>
      <c r="AT934" s="12" t="n"/>
      <c r="AU934" s="12" t="n"/>
      <c r="AV934" s="11" t="n"/>
      <c r="AW934" s="12" t="n"/>
      <c r="AX934" s="12" t="n"/>
      <c r="AY934" s="12" t="n"/>
      <c r="AZ934" s="12" t="n"/>
      <c r="BA934" s="12" t="n"/>
      <c r="BB934" s="12" t="n"/>
      <c r="BC934" s="12" t="n"/>
      <c r="BD934" s="12" t="n"/>
      <c r="BE934" s="12" t="n"/>
      <c r="BF934" s="12" t="n"/>
    </row>
    <row r="935">
      <c r="A935" s="7">
        <f>IF(B935="","","INS-"&amp;TEXT(ROW()-3,"000"))</f>
        <v/>
      </c>
      <c r="B935" s="11" t="n"/>
      <c r="C935" s="7">
        <f>IF(B935="","",ISOWEEKNUM(B935))</f>
        <v/>
      </c>
      <c r="D935" s="7">
        <f>IF(B935="","",TEXT(B935,"yyyy-mm"))</f>
        <v/>
      </c>
      <c r="E935" s="12" t="n"/>
      <c r="F935" s="12" t="n"/>
      <c r="G935" s="7">
        <f>IF(OR(E935="",F935=""),"",IF(COUNTIF(Cluster_Master!$I$3:$I$17,E935&amp;"|"&amp;F935)=1,"Valid","Review"))</f>
        <v/>
      </c>
      <c r="H935" s="7">
        <f>IF($G935&lt;&gt;"Valid","",VLOOKUP($E935&amp;"|"&amp;$F935,Cluster_Master!$I$3:$H$17,3,FALSE))</f>
        <v/>
      </c>
      <c r="I935" s="7">
        <f>IF($G935&lt;&gt;"Valid","",VLOOKUP($E935&amp;"|"&amp;$F935,Cluster_Master!$I$3:$H$17,4,FALSE))</f>
        <v/>
      </c>
      <c r="J935" s="7">
        <f>IF($G935&lt;&gt;"Valid","",VLOOKUP($E935&amp;"|"&amp;$F935,Cluster_Master!$I$3:$H$17,5,FALSE))</f>
        <v/>
      </c>
      <c r="K935" s="7">
        <f>IF($G935&lt;&gt;"Valid","",VLOOKUP($E935&amp;"|"&amp;$F935,Cluster_Master!$I$3:$H$17,6,FALSE))</f>
        <v/>
      </c>
      <c r="L935" s="7">
        <f>IF($G935&lt;&gt;"Valid","",VLOOKUP($E935&amp;"|"&amp;$F935,Cluster_Master!$I$3:$H$17,7,FALSE))</f>
        <v/>
      </c>
      <c r="M935" s="7">
        <f>IF($G935&lt;&gt;"Valid","",VLOOKUP($E935&amp;"|"&amp;$F935,Cluster_Master!$I$3:$H$17,8,FALSE))</f>
        <v/>
      </c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7">
        <f>IF(COUNT(T935:AH935)=0,"",SUM(T935:AH935))</f>
        <v/>
      </c>
      <c r="AJ935" s="10">
        <f>IF(AI935="","",AI935/75)</f>
        <v/>
      </c>
      <c r="AK935" s="10">
        <f>IF(AI935="","",SUMPRODUCT(T935:AH935,KPI_Weights!$B$3:$B$17)/5)</f>
        <v/>
      </c>
      <c r="AL935" s="7">
        <f>IF(COUNT(T935:AH935)=0,"",IF(OR(T935&lt;=1,W935&lt;=1,X935&lt;=1,Y935&lt;=1,AB935&lt;=1),"YES","NO"))</f>
        <v/>
      </c>
      <c r="AM935" s="7">
        <f>IF(AK935="","",IF(AND(AK935="NO",AJ935&gt;=0.85),"YES","NO"))</f>
        <v/>
      </c>
      <c r="AN935" s="7">
        <f>IF(AJ935="","",IF(AJ935&gt;=0.90,"Excellent",IF(AJ935&gt;=0.80,"Good",IF(AJ935&gt;=0.70,"Fair","Poor"))))</f>
        <v/>
      </c>
      <c r="AO935" s="12" t="n"/>
      <c r="AP935" s="12" t="n"/>
      <c r="AQ935" s="12" t="n"/>
      <c r="AR935" s="12" t="n"/>
      <c r="AS935" s="12" t="n"/>
      <c r="AT935" s="12" t="n"/>
      <c r="AU935" s="12" t="n"/>
      <c r="AV935" s="11" t="n"/>
      <c r="AW935" s="12" t="n"/>
      <c r="AX935" s="12" t="n"/>
      <c r="AY935" s="12" t="n"/>
      <c r="AZ935" s="12" t="n"/>
      <c r="BA935" s="12" t="n"/>
      <c r="BB935" s="12" t="n"/>
      <c r="BC935" s="12" t="n"/>
      <c r="BD935" s="12" t="n"/>
      <c r="BE935" s="12" t="n"/>
      <c r="BF935" s="12" t="n"/>
    </row>
    <row r="936">
      <c r="A936" s="7">
        <f>IF(B936="","","INS-"&amp;TEXT(ROW()-3,"000"))</f>
        <v/>
      </c>
      <c r="B936" s="11" t="n"/>
      <c r="C936" s="7">
        <f>IF(B936="","",ISOWEEKNUM(B936))</f>
        <v/>
      </c>
      <c r="D936" s="7">
        <f>IF(B936="","",TEXT(B936,"yyyy-mm"))</f>
        <v/>
      </c>
      <c r="E936" s="12" t="n"/>
      <c r="F936" s="12" t="n"/>
      <c r="G936" s="7">
        <f>IF(OR(E936="",F936=""),"",IF(COUNTIF(Cluster_Master!$I$3:$I$17,E936&amp;"|"&amp;F936)=1,"Valid","Review"))</f>
        <v/>
      </c>
      <c r="H936" s="7">
        <f>IF($G936&lt;&gt;"Valid","",VLOOKUP($E936&amp;"|"&amp;$F936,Cluster_Master!$I$3:$H$17,3,FALSE))</f>
        <v/>
      </c>
      <c r="I936" s="7">
        <f>IF($G936&lt;&gt;"Valid","",VLOOKUP($E936&amp;"|"&amp;$F936,Cluster_Master!$I$3:$H$17,4,FALSE))</f>
        <v/>
      </c>
      <c r="J936" s="7">
        <f>IF($G936&lt;&gt;"Valid","",VLOOKUP($E936&amp;"|"&amp;$F936,Cluster_Master!$I$3:$H$17,5,FALSE))</f>
        <v/>
      </c>
      <c r="K936" s="7">
        <f>IF($G936&lt;&gt;"Valid","",VLOOKUP($E936&amp;"|"&amp;$F936,Cluster_Master!$I$3:$H$17,6,FALSE))</f>
        <v/>
      </c>
      <c r="L936" s="7">
        <f>IF($G936&lt;&gt;"Valid","",VLOOKUP($E936&amp;"|"&amp;$F936,Cluster_Master!$I$3:$H$17,7,FALSE))</f>
        <v/>
      </c>
      <c r="M936" s="7">
        <f>IF($G936&lt;&gt;"Valid","",VLOOKUP($E936&amp;"|"&amp;$F936,Cluster_Master!$I$3:$H$17,8,FALSE))</f>
        <v/>
      </c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7">
        <f>IF(COUNT(T936:AH936)=0,"",SUM(T936:AH936))</f>
        <v/>
      </c>
      <c r="AJ936" s="10">
        <f>IF(AI936="","",AI936/75)</f>
        <v/>
      </c>
      <c r="AK936" s="10">
        <f>IF(AI936="","",SUMPRODUCT(T936:AH936,KPI_Weights!$B$3:$B$17)/5)</f>
        <v/>
      </c>
      <c r="AL936" s="7">
        <f>IF(COUNT(T936:AH936)=0,"",IF(OR(T936&lt;=1,W936&lt;=1,X936&lt;=1,Y936&lt;=1,AB936&lt;=1),"YES","NO"))</f>
        <v/>
      </c>
      <c r="AM936" s="7">
        <f>IF(AK936="","",IF(AND(AK936="NO",AJ936&gt;=0.85),"YES","NO"))</f>
        <v/>
      </c>
      <c r="AN936" s="7">
        <f>IF(AJ936="","",IF(AJ936&gt;=0.90,"Excellent",IF(AJ936&gt;=0.80,"Good",IF(AJ936&gt;=0.70,"Fair","Poor"))))</f>
        <v/>
      </c>
      <c r="AO936" s="12" t="n"/>
      <c r="AP936" s="12" t="n"/>
      <c r="AQ936" s="12" t="n"/>
      <c r="AR936" s="12" t="n"/>
      <c r="AS936" s="12" t="n"/>
      <c r="AT936" s="12" t="n"/>
      <c r="AU936" s="12" t="n"/>
      <c r="AV936" s="11" t="n"/>
      <c r="AW936" s="12" t="n"/>
      <c r="AX936" s="12" t="n"/>
      <c r="AY936" s="12" t="n"/>
      <c r="AZ936" s="12" t="n"/>
      <c r="BA936" s="12" t="n"/>
      <c r="BB936" s="12" t="n"/>
      <c r="BC936" s="12" t="n"/>
      <c r="BD936" s="12" t="n"/>
      <c r="BE936" s="12" t="n"/>
      <c r="BF936" s="12" t="n"/>
    </row>
    <row r="937">
      <c r="A937" s="7">
        <f>IF(B937="","","INS-"&amp;TEXT(ROW()-3,"000"))</f>
        <v/>
      </c>
      <c r="B937" s="11" t="n"/>
      <c r="C937" s="7">
        <f>IF(B937="","",ISOWEEKNUM(B937))</f>
        <v/>
      </c>
      <c r="D937" s="7">
        <f>IF(B937="","",TEXT(B937,"yyyy-mm"))</f>
        <v/>
      </c>
      <c r="E937" s="12" t="n"/>
      <c r="F937" s="12" t="n"/>
      <c r="G937" s="7">
        <f>IF(OR(E937="",F937=""),"",IF(COUNTIF(Cluster_Master!$I$3:$I$17,E937&amp;"|"&amp;F937)=1,"Valid","Review"))</f>
        <v/>
      </c>
      <c r="H937" s="7">
        <f>IF($G937&lt;&gt;"Valid","",VLOOKUP($E937&amp;"|"&amp;$F937,Cluster_Master!$I$3:$H$17,3,FALSE))</f>
        <v/>
      </c>
      <c r="I937" s="7">
        <f>IF($G937&lt;&gt;"Valid","",VLOOKUP($E937&amp;"|"&amp;$F937,Cluster_Master!$I$3:$H$17,4,FALSE))</f>
        <v/>
      </c>
      <c r="J937" s="7">
        <f>IF($G937&lt;&gt;"Valid","",VLOOKUP($E937&amp;"|"&amp;$F937,Cluster_Master!$I$3:$H$17,5,FALSE))</f>
        <v/>
      </c>
      <c r="K937" s="7">
        <f>IF($G937&lt;&gt;"Valid","",VLOOKUP($E937&amp;"|"&amp;$F937,Cluster_Master!$I$3:$H$17,6,FALSE))</f>
        <v/>
      </c>
      <c r="L937" s="7">
        <f>IF($G937&lt;&gt;"Valid","",VLOOKUP($E937&amp;"|"&amp;$F937,Cluster_Master!$I$3:$H$17,7,FALSE))</f>
        <v/>
      </c>
      <c r="M937" s="7">
        <f>IF($G937&lt;&gt;"Valid","",VLOOKUP($E937&amp;"|"&amp;$F937,Cluster_Master!$I$3:$H$17,8,FALSE))</f>
        <v/>
      </c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7">
        <f>IF(COUNT(T937:AH937)=0,"",SUM(T937:AH937))</f>
        <v/>
      </c>
      <c r="AJ937" s="10">
        <f>IF(AI937="","",AI937/75)</f>
        <v/>
      </c>
      <c r="AK937" s="10">
        <f>IF(AI937="","",SUMPRODUCT(T937:AH937,KPI_Weights!$B$3:$B$17)/5)</f>
        <v/>
      </c>
      <c r="AL937" s="7">
        <f>IF(COUNT(T937:AH937)=0,"",IF(OR(T937&lt;=1,W937&lt;=1,X937&lt;=1,Y937&lt;=1,AB937&lt;=1),"YES","NO"))</f>
        <v/>
      </c>
      <c r="AM937" s="7">
        <f>IF(AK937="","",IF(AND(AK937="NO",AJ937&gt;=0.85),"YES","NO"))</f>
        <v/>
      </c>
      <c r="AN937" s="7">
        <f>IF(AJ937="","",IF(AJ937&gt;=0.90,"Excellent",IF(AJ937&gt;=0.80,"Good",IF(AJ937&gt;=0.70,"Fair","Poor"))))</f>
        <v/>
      </c>
      <c r="AO937" s="12" t="n"/>
      <c r="AP937" s="12" t="n"/>
      <c r="AQ937" s="12" t="n"/>
      <c r="AR937" s="12" t="n"/>
      <c r="AS937" s="12" t="n"/>
      <c r="AT937" s="12" t="n"/>
      <c r="AU937" s="12" t="n"/>
      <c r="AV937" s="11" t="n"/>
      <c r="AW937" s="12" t="n"/>
      <c r="AX937" s="12" t="n"/>
      <c r="AY937" s="12" t="n"/>
      <c r="AZ937" s="12" t="n"/>
      <c r="BA937" s="12" t="n"/>
      <c r="BB937" s="12" t="n"/>
      <c r="BC937" s="12" t="n"/>
      <c r="BD937" s="12" t="n"/>
      <c r="BE937" s="12" t="n"/>
      <c r="BF937" s="12" t="n"/>
    </row>
    <row r="938">
      <c r="A938" s="7">
        <f>IF(B938="","","INS-"&amp;TEXT(ROW()-3,"000"))</f>
        <v/>
      </c>
      <c r="B938" s="11" t="n"/>
      <c r="C938" s="7">
        <f>IF(B938="","",ISOWEEKNUM(B938))</f>
        <v/>
      </c>
      <c r="D938" s="7">
        <f>IF(B938="","",TEXT(B938,"yyyy-mm"))</f>
        <v/>
      </c>
      <c r="E938" s="12" t="n"/>
      <c r="F938" s="12" t="n"/>
      <c r="G938" s="7">
        <f>IF(OR(E938="",F938=""),"",IF(COUNTIF(Cluster_Master!$I$3:$I$17,E938&amp;"|"&amp;F938)=1,"Valid","Review"))</f>
        <v/>
      </c>
      <c r="H938" s="7">
        <f>IF($G938&lt;&gt;"Valid","",VLOOKUP($E938&amp;"|"&amp;$F938,Cluster_Master!$I$3:$H$17,3,FALSE))</f>
        <v/>
      </c>
      <c r="I938" s="7">
        <f>IF($G938&lt;&gt;"Valid","",VLOOKUP($E938&amp;"|"&amp;$F938,Cluster_Master!$I$3:$H$17,4,FALSE))</f>
        <v/>
      </c>
      <c r="J938" s="7">
        <f>IF($G938&lt;&gt;"Valid","",VLOOKUP($E938&amp;"|"&amp;$F938,Cluster_Master!$I$3:$H$17,5,FALSE))</f>
        <v/>
      </c>
      <c r="K938" s="7">
        <f>IF($G938&lt;&gt;"Valid","",VLOOKUP($E938&amp;"|"&amp;$F938,Cluster_Master!$I$3:$H$17,6,FALSE))</f>
        <v/>
      </c>
      <c r="L938" s="7">
        <f>IF($G938&lt;&gt;"Valid","",VLOOKUP($E938&amp;"|"&amp;$F938,Cluster_Master!$I$3:$H$17,7,FALSE))</f>
        <v/>
      </c>
      <c r="M938" s="7">
        <f>IF($G938&lt;&gt;"Valid","",VLOOKUP($E938&amp;"|"&amp;$F938,Cluster_Master!$I$3:$H$17,8,FALSE))</f>
        <v/>
      </c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7">
        <f>IF(COUNT(T938:AH938)=0,"",SUM(T938:AH938))</f>
        <v/>
      </c>
      <c r="AJ938" s="10">
        <f>IF(AI938="","",AI938/75)</f>
        <v/>
      </c>
      <c r="AK938" s="10">
        <f>IF(AI938="","",SUMPRODUCT(T938:AH938,KPI_Weights!$B$3:$B$17)/5)</f>
        <v/>
      </c>
      <c r="AL938" s="7">
        <f>IF(COUNT(T938:AH938)=0,"",IF(OR(T938&lt;=1,W938&lt;=1,X938&lt;=1,Y938&lt;=1,AB938&lt;=1),"YES","NO"))</f>
        <v/>
      </c>
      <c r="AM938" s="7">
        <f>IF(AK938="","",IF(AND(AK938="NO",AJ938&gt;=0.85),"YES","NO"))</f>
        <v/>
      </c>
      <c r="AN938" s="7">
        <f>IF(AJ938="","",IF(AJ938&gt;=0.90,"Excellent",IF(AJ938&gt;=0.80,"Good",IF(AJ938&gt;=0.70,"Fair","Poor"))))</f>
        <v/>
      </c>
      <c r="AO938" s="12" t="n"/>
      <c r="AP938" s="12" t="n"/>
      <c r="AQ938" s="12" t="n"/>
      <c r="AR938" s="12" t="n"/>
      <c r="AS938" s="12" t="n"/>
      <c r="AT938" s="12" t="n"/>
      <c r="AU938" s="12" t="n"/>
      <c r="AV938" s="11" t="n"/>
      <c r="AW938" s="12" t="n"/>
      <c r="AX938" s="12" t="n"/>
      <c r="AY938" s="12" t="n"/>
      <c r="AZ938" s="12" t="n"/>
      <c r="BA938" s="12" t="n"/>
      <c r="BB938" s="12" t="n"/>
      <c r="BC938" s="12" t="n"/>
      <c r="BD938" s="12" t="n"/>
      <c r="BE938" s="12" t="n"/>
      <c r="BF938" s="12" t="n"/>
    </row>
    <row r="939">
      <c r="A939" s="7">
        <f>IF(B939="","","INS-"&amp;TEXT(ROW()-3,"000"))</f>
        <v/>
      </c>
      <c r="B939" s="11" t="n"/>
      <c r="C939" s="7">
        <f>IF(B939="","",ISOWEEKNUM(B939))</f>
        <v/>
      </c>
      <c r="D939" s="7">
        <f>IF(B939="","",TEXT(B939,"yyyy-mm"))</f>
        <v/>
      </c>
      <c r="E939" s="12" t="n"/>
      <c r="F939" s="12" t="n"/>
      <c r="G939" s="7">
        <f>IF(OR(E939="",F939=""),"",IF(COUNTIF(Cluster_Master!$I$3:$I$17,E939&amp;"|"&amp;F939)=1,"Valid","Review"))</f>
        <v/>
      </c>
      <c r="H939" s="7">
        <f>IF($G939&lt;&gt;"Valid","",VLOOKUP($E939&amp;"|"&amp;$F939,Cluster_Master!$I$3:$H$17,3,FALSE))</f>
        <v/>
      </c>
      <c r="I939" s="7">
        <f>IF($G939&lt;&gt;"Valid","",VLOOKUP($E939&amp;"|"&amp;$F939,Cluster_Master!$I$3:$H$17,4,FALSE))</f>
        <v/>
      </c>
      <c r="J939" s="7">
        <f>IF($G939&lt;&gt;"Valid","",VLOOKUP($E939&amp;"|"&amp;$F939,Cluster_Master!$I$3:$H$17,5,FALSE))</f>
        <v/>
      </c>
      <c r="K939" s="7">
        <f>IF($G939&lt;&gt;"Valid","",VLOOKUP($E939&amp;"|"&amp;$F939,Cluster_Master!$I$3:$H$17,6,FALSE))</f>
        <v/>
      </c>
      <c r="L939" s="7">
        <f>IF($G939&lt;&gt;"Valid","",VLOOKUP($E939&amp;"|"&amp;$F939,Cluster_Master!$I$3:$H$17,7,FALSE))</f>
        <v/>
      </c>
      <c r="M939" s="7">
        <f>IF($G939&lt;&gt;"Valid","",VLOOKUP($E939&amp;"|"&amp;$F939,Cluster_Master!$I$3:$H$17,8,FALSE))</f>
        <v/>
      </c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7">
        <f>IF(COUNT(T939:AH939)=0,"",SUM(T939:AH939))</f>
        <v/>
      </c>
      <c r="AJ939" s="10">
        <f>IF(AI939="","",AI939/75)</f>
        <v/>
      </c>
      <c r="AK939" s="10">
        <f>IF(AI939="","",SUMPRODUCT(T939:AH939,KPI_Weights!$B$3:$B$17)/5)</f>
        <v/>
      </c>
      <c r="AL939" s="7">
        <f>IF(COUNT(T939:AH939)=0,"",IF(OR(T939&lt;=1,W939&lt;=1,X939&lt;=1,Y939&lt;=1,AB939&lt;=1),"YES","NO"))</f>
        <v/>
      </c>
      <c r="AM939" s="7">
        <f>IF(AK939="","",IF(AND(AK939="NO",AJ939&gt;=0.85),"YES","NO"))</f>
        <v/>
      </c>
      <c r="AN939" s="7">
        <f>IF(AJ939="","",IF(AJ939&gt;=0.90,"Excellent",IF(AJ939&gt;=0.80,"Good",IF(AJ939&gt;=0.70,"Fair","Poor"))))</f>
        <v/>
      </c>
      <c r="AO939" s="12" t="n"/>
      <c r="AP939" s="12" t="n"/>
      <c r="AQ939" s="12" t="n"/>
      <c r="AR939" s="12" t="n"/>
      <c r="AS939" s="12" t="n"/>
      <c r="AT939" s="12" t="n"/>
      <c r="AU939" s="12" t="n"/>
      <c r="AV939" s="11" t="n"/>
      <c r="AW939" s="12" t="n"/>
      <c r="AX939" s="12" t="n"/>
      <c r="AY939" s="12" t="n"/>
      <c r="AZ939" s="12" t="n"/>
      <c r="BA939" s="12" t="n"/>
      <c r="BB939" s="12" t="n"/>
      <c r="BC939" s="12" t="n"/>
      <c r="BD939" s="12" t="n"/>
      <c r="BE939" s="12" t="n"/>
      <c r="BF939" s="12" t="n"/>
    </row>
    <row r="940">
      <c r="A940" s="7">
        <f>IF(B940="","","INS-"&amp;TEXT(ROW()-3,"000"))</f>
        <v/>
      </c>
      <c r="B940" s="11" t="n"/>
      <c r="C940" s="7">
        <f>IF(B940="","",ISOWEEKNUM(B940))</f>
        <v/>
      </c>
      <c r="D940" s="7">
        <f>IF(B940="","",TEXT(B940,"yyyy-mm"))</f>
        <v/>
      </c>
      <c r="E940" s="12" t="n"/>
      <c r="F940" s="12" t="n"/>
      <c r="G940" s="7">
        <f>IF(OR(E940="",F940=""),"",IF(COUNTIF(Cluster_Master!$I$3:$I$17,E940&amp;"|"&amp;F940)=1,"Valid","Review"))</f>
        <v/>
      </c>
      <c r="H940" s="7">
        <f>IF($G940&lt;&gt;"Valid","",VLOOKUP($E940&amp;"|"&amp;$F940,Cluster_Master!$I$3:$H$17,3,FALSE))</f>
        <v/>
      </c>
      <c r="I940" s="7">
        <f>IF($G940&lt;&gt;"Valid","",VLOOKUP($E940&amp;"|"&amp;$F940,Cluster_Master!$I$3:$H$17,4,FALSE))</f>
        <v/>
      </c>
      <c r="J940" s="7">
        <f>IF($G940&lt;&gt;"Valid","",VLOOKUP($E940&amp;"|"&amp;$F940,Cluster_Master!$I$3:$H$17,5,FALSE))</f>
        <v/>
      </c>
      <c r="K940" s="7">
        <f>IF($G940&lt;&gt;"Valid","",VLOOKUP($E940&amp;"|"&amp;$F940,Cluster_Master!$I$3:$H$17,6,FALSE))</f>
        <v/>
      </c>
      <c r="L940" s="7">
        <f>IF($G940&lt;&gt;"Valid","",VLOOKUP($E940&amp;"|"&amp;$F940,Cluster_Master!$I$3:$H$17,7,FALSE))</f>
        <v/>
      </c>
      <c r="M940" s="7">
        <f>IF($G940&lt;&gt;"Valid","",VLOOKUP($E940&amp;"|"&amp;$F940,Cluster_Master!$I$3:$H$17,8,FALSE))</f>
        <v/>
      </c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7">
        <f>IF(COUNT(T940:AH940)=0,"",SUM(T940:AH940))</f>
        <v/>
      </c>
      <c r="AJ940" s="10">
        <f>IF(AI940="","",AI940/75)</f>
        <v/>
      </c>
      <c r="AK940" s="10">
        <f>IF(AI940="","",SUMPRODUCT(T940:AH940,KPI_Weights!$B$3:$B$17)/5)</f>
        <v/>
      </c>
      <c r="AL940" s="7">
        <f>IF(COUNT(T940:AH940)=0,"",IF(OR(T940&lt;=1,W940&lt;=1,X940&lt;=1,Y940&lt;=1,AB940&lt;=1),"YES","NO"))</f>
        <v/>
      </c>
      <c r="AM940" s="7">
        <f>IF(AK940="","",IF(AND(AK940="NO",AJ940&gt;=0.85),"YES","NO"))</f>
        <v/>
      </c>
      <c r="AN940" s="7">
        <f>IF(AJ940="","",IF(AJ940&gt;=0.90,"Excellent",IF(AJ940&gt;=0.80,"Good",IF(AJ940&gt;=0.70,"Fair","Poor"))))</f>
        <v/>
      </c>
      <c r="AO940" s="12" t="n"/>
      <c r="AP940" s="12" t="n"/>
      <c r="AQ940" s="12" t="n"/>
      <c r="AR940" s="12" t="n"/>
      <c r="AS940" s="12" t="n"/>
      <c r="AT940" s="12" t="n"/>
      <c r="AU940" s="12" t="n"/>
      <c r="AV940" s="11" t="n"/>
      <c r="AW940" s="12" t="n"/>
      <c r="AX940" s="12" t="n"/>
      <c r="AY940" s="12" t="n"/>
      <c r="AZ940" s="12" t="n"/>
      <c r="BA940" s="12" t="n"/>
      <c r="BB940" s="12" t="n"/>
      <c r="BC940" s="12" t="n"/>
      <c r="BD940" s="12" t="n"/>
      <c r="BE940" s="12" t="n"/>
      <c r="BF940" s="12" t="n"/>
    </row>
    <row r="941">
      <c r="A941" s="7">
        <f>IF(B941="","","INS-"&amp;TEXT(ROW()-3,"000"))</f>
        <v/>
      </c>
      <c r="B941" s="11" t="n"/>
      <c r="C941" s="7">
        <f>IF(B941="","",ISOWEEKNUM(B941))</f>
        <v/>
      </c>
      <c r="D941" s="7">
        <f>IF(B941="","",TEXT(B941,"yyyy-mm"))</f>
        <v/>
      </c>
      <c r="E941" s="12" t="n"/>
      <c r="F941" s="12" t="n"/>
      <c r="G941" s="7">
        <f>IF(OR(E941="",F941=""),"",IF(COUNTIF(Cluster_Master!$I$3:$I$17,E941&amp;"|"&amp;F941)=1,"Valid","Review"))</f>
        <v/>
      </c>
      <c r="H941" s="7">
        <f>IF($G941&lt;&gt;"Valid","",VLOOKUP($E941&amp;"|"&amp;$F941,Cluster_Master!$I$3:$H$17,3,FALSE))</f>
        <v/>
      </c>
      <c r="I941" s="7">
        <f>IF($G941&lt;&gt;"Valid","",VLOOKUP($E941&amp;"|"&amp;$F941,Cluster_Master!$I$3:$H$17,4,FALSE))</f>
        <v/>
      </c>
      <c r="J941" s="7">
        <f>IF($G941&lt;&gt;"Valid","",VLOOKUP($E941&amp;"|"&amp;$F941,Cluster_Master!$I$3:$H$17,5,FALSE))</f>
        <v/>
      </c>
      <c r="K941" s="7">
        <f>IF($G941&lt;&gt;"Valid","",VLOOKUP($E941&amp;"|"&amp;$F941,Cluster_Master!$I$3:$H$17,6,FALSE))</f>
        <v/>
      </c>
      <c r="L941" s="7">
        <f>IF($G941&lt;&gt;"Valid","",VLOOKUP($E941&amp;"|"&amp;$F941,Cluster_Master!$I$3:$H$17,7,FALSE))</f>
        <v/>
      </c>
      <c r="M941" s="7">
        <f>IF($G941&lt;&gt;"Valid","",VLOOKUP($E941&amp;"|"&amp;$F941,Cluster_Master!$I$3:$H$17,8,FALSE))</f>
        <v/>
      </c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7">
        <f>IF(COUNT(T941:AH941)=0,"",SUM(T941:AH941))</f>
        <v/>
      </c>
      <c r="AJ941" s="10">
        <f>IF(AI941="","",AI941/75)</f>
        <v/>
      </c>
      <c r="AK941" s="10">
        <f>IF(AI941="","",SUMPRODUCT(T941:AH941,KPI_Weights!$B$3:$B$17)/5)</f>
        <v/>
      </c>
      <c r="AL941" s="7">
        <f>IF(COUNT(T941:AH941)=0,"",IF(OR(T941&lt;=1,W941&lt;=1,X941&lt;=1,Y941&lt;=1,AB941&lt;=1),"YES","NO"))</f>
        <v/>
      </c>
      <c r="AM941" s="7">
        <f>IF(AK941="","",IF(AND(AK941="NO",AJ941&gt;=0.85),"YES","NO"))</f>
        <v/>
      </c>
      <c r="AN941" s="7">
        <f>IF(AJ941="","",IF(AJ941&gt;=0.90,"Excellent",IF(AJ941&gt;=0.80,"Good",IF(AJ941&gt;=0.70,"Fair","Poor"))))</f>
        <v/>
      </c>
      <c r="AO941" s="12" t="n"/>
      <c r="AP941" s="12" t="n"/>
      <c r="AQ941" s="12" t="n"/>
      <c r="AR941" s="12" t="n"/>
      <c r="AS941" s="12" t="n"/>
      <c r="AT941" s="12" t="n"/>
      <c r="AU941" s="12" t="n"/>
      <c r="AV941" s="11" t="n"/>
      <c r="AW941" s="12" t="n"/>
      <c r="AX941" s="12" t="n"/>
      <c r="AY941" s="12" t="n"/>
      <c r="AZ941" s="12" t="n"/>
      <c r="BA941" s="12" t="n"/>
      <c r="BB941" s="12" t="n"/>
      <c r="BC941" s="12" t="n"/>
      <c r="BD941" s="12" t="n"/>
      <c r="BE941" s="12" t="n"/>
      <c r="BF941" s="12" t="n"/>
    </row>
    <row r="942">
      <c r="A942" s="7">
        <f>IF(B942="","","INS-"&amp;TEXT(ROW()-3,"000"))</f>
        <v/>
      </c>
      <c r="B942" s="11" t="n"/>
      <c r="C942" s="7">
        <f>IF(B942="","",ISOWEEKNUM(B942))</f>
        <v/>
      </c>
      <c r="D942" s="7">
        <f>IF(B942="","",TEXT(B942,"yyyy-mm"))</f>
        <v/>
      </c>
      <c r="E942" s="12" t="n"/>
      <c r="F942" s="12" t="n"/>
      <c r="G942" s="7">
        <f>IF(OR(E942="",F942=""),"",IF(COUNTIF(Cluster_Master!$I$3:$I$17,E942&amp;"|"&amp;F942)=1,"Valid","Review"))</f>
        <v/>
      </c>
      <c r="H942" s="7">
        <f>IF($G942&lt;&gt;"Valid","",VLOOKUP($E942&amp;"|"&amp;$F942,Cluster_Master!$I$3:$H$17,3,FALSE))</f>
        <v/>
      </c>
      <c r="I942" s="7">
        <f>IF($G942&lt;&gt;"Valid","",VLOOKUP($E942&amp;"|"&amp;$F942,Cluster_Master!$I$3:$H$17,4,FALSE))</f>
        <v/>
      </c>
      <c r="J942" s="7">
        <f>IF($G942&lt;&gt;"Valid","",VLOOKUP($E942&amp;"|"&amp;$F942,Cluster_Master!$I$3:$H$17,5,FALSE))</f>
        <v/>
      </c>
      <c r="K942" s="7">
        <f>IF($G942&lt;&gt;"Valid","",VLOOKUP($E942&amp;"|"&amp;$F942,Cluster_Master!$I$3:$H$17,6,FALSE))</f>
        <v/>
      </c>
      <c r="L942" s="7">
        <f>IF($G942&lt;&gt;"Valid","",VLOOKUP($E942&amp;"|"&amp;$F942,Cluster_Master!$I$3:$H$17,7,FALSE))</f>
        <v/>
      </c>
      <c r="M942" s="7">
        <f>IF($G942&lt;&gt;"Valid","",VLOOKUP($E942&amp;"|"&amp;$F942,Cluster_Master!$I$3:$H$17,8,FALSE))</f>
        <v/>
      </c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7">
        <f>IF(COUNT(T942:AH942)=0,"",SUM(T942:AH942))</f>
        <v/>
      </c>
      <c r="AJ942" s="10">
        <f>IF(AI942="","",AI942/75)</f>
        <v/>
      </c>
      <c r="AK942" s="10">
        <f>IF(AI942="","",SUMPRODUCT(T942:AH942,KPI_Weights!$B$3:$B$17)/5)</f>
        <v/>
      </c>
      <c r="AL942" s="7">
        <f>IF(COUNT(T942:AH942)=0,"",IF(OR(T942&lt;=1,W942&lt;=1,X942&lt;=1,Y942&lt;=1,AB942&lt;=1),"YES","NO"))</f>
        <v/>
      </c>
      <c r="AM942" s="7">
        <f>IF(AK942="","",IF(AND(AK942="NO",AJ942&gt;=0.85),"YES","NO"))</f>
        <v/>
      </c>
      <c r="AN942" s="7">
        <f>IF(AJ942="","",IF(AJ942&gt;=0.90,"Excellent",IF(AJ942&gt;=0.80,"Good",IF(AJ942&gt;=0.70,"Fair","Poor"))))</f>
        <v/>
      </c>
      <c r="AO942" s="12" t="n"/>
      <c r="AP942" s="12" t="n"/>
      <c r="AQ942" s="12" t="n"/>
      <c r="AR942" s="12" t="n"/>
      <c r="AS942" s="12" t="n"/>
      <c r="AT942" s="12" t="n"/>
      <c r="AU942" s="12" t="n"/>
      <c r="AV942" s="11" t="n"/>
      <c r="AW942" s="12" t="n"/>
      <c r="AX942" s="12" t="n"/>
      <c r="AY942" s="12" t="n"/>
      <c r="AZ942" s="12" t="n"/>
      <c r="BA942" s="12" t="n"/>
      <c r="BB942" s="12" t="n"/>
      <c r="BC942" s="12" t="n"/>
      <c r="BD942" s="12" t="n"/>
      <c r="BE942" s="12" t="n"/>
      <c r="BF942" s="12" t="n"/>
    </row>
    <row r="943">
      <c r="A943" s="7">
        <f>IF(B943="","","INS-"&amp;TEXT(ROW()-3,"000"))</f>
        <v/>
      </c>
      <c r="B943" s="11" t="n"/>
      <c r="C943" s="7">
        <f>IF(B943="","",ISOWEEKNUM(B943))</f>
        <v/>
      </c>
      <c r="D943" s="7">
        <f>IF(B943="","",TEXT(B943,"yyyy-mm"))</f>
        <v/>
      </c>
      <c r="E943" s="12" t="n"/>
      <c r="F943" s="12" t="n"/>
      <c r="G943" s="7">
        <f>IF(OR(E943="",F943=""),"",IF(COUNTIF(Cluster_Master!$I$3:$I$17,E943&amp;"|"&amp;F943)=1,"Valid","Review"))</f>
        <v/>
      </c>
      <c r="H943" s="7">
        <f>IF($G943&lt;&gt;"Valid","",VLOOKUP($E943&amp;"|"&amp;$F943,Cluster_Master!$I$3:$H$17,3,FALSE))</f>
        <v/>
      </c>
      <c r="I943" s="7">
        <f>IF($G943&lt;&gt;"Valid","",VLOOKUP($E943&amp;"|"&amp;$F943,Cluster_Master!$I$3:$H$17,4,FALSE))</f>
        <v/>
      </c>
      <c r="J943" s="7">
        <f>IF($G943&lt;&gt;"Valid","",VLOOKUP($E943&amp;"|"&amp;$F943,Cluster_Master!$I$3:$H$17,5,FALSE))</f>
        <v/>
      </c>
      <c r="K943" s="7">
        <f>IF($G943&lt;&gt;"Valid","",VLOOKUP($E943&amp;"|"&amp;$F943,Cluster_Master!$I$3:$H$17,6,FALSE))</f>
        <v/>
      </c>
      <c r="L943" s="7">
        <f>IF($G943&lt;&gt;"Valid","",VLOOKUP($E943&amp;"|"&amp;$F943,Cluster_Master!$I$3:$H$17,7,FALSE))</f>
        <v/>
      </c>
      <c r="M943" s="7">
        <f>IF($G943&lt;&gt;"Valid","",VLOOKUP($E943&amp;"|"&amp;$F943,Cluster_Master!$I$3:$H$17,8,FALSE))</f>
        <v/>
      </c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7">
        <f>IF(COUNT(T943:AH943)=0,"",SUM(T943:AH943))</f>
        <v/>
      </c>
      <c r="AJ943" s="10">
        <f>IF(AI943="","",AI943/75)</f>
        <v/>
      </c>
      <c r="AK943" s="10">
        <f>IF(AI943="","",SUMPRODUCT(T943:AH943,KPI_Weights!$B$3:$B$17)/5)</f>
        <v/>
      </c>
      <c r="AL943" s="7">
        <f>IF(COUNT(T943:AH943)=0,"",IF(OR(T943&lt;=1,W943&lt;=1,X943&lt;=1,Y943&lt;=1,AB943&lt;=1),"YES","NO"))</f>
        <v/>
      </c>
      <c r="AM943" s="7">
        <f>IF(AK943="","",IF(AND(AK943="NO",AJ943&gt;=0.85),"YES","NO"))</f>
        <v/>
      </c>
      <c r="AN943" s="7">
        <f>IF(AJ943="","",IF(AJ943&gt;=0.90,"Excellent",IF(AJ943&gt;=0.80,"Good",IF(AJ943&gt;=0.70,"Fair","Poor"))))</f>
        <v/>
      </c>
      <c r="AO943" s="12" t="n"/>
      <c r="AP943" s="12" t="n"/>
      <c r="AQ943" s="12" t="n"/>
      <c r="AR943" s="12" t="n"/>
      <c r="AS943" s="12" t="n"/>
      <c r="AT943" s="12" t="n"/>
      <c r="AU943" s="12" t="n"/>
      <c r="AV943" s="11" t="n"/>
      <c r="AW943" s="12" t="n"/>
      <c r="AX943" s="12" t="n"/>
      <c r="AY943" s="12" t="n"/>
      <c r="AZ943" s="12" t="n"/>
      <c r="BA943" s="12" t="n"/>
      <c r="BB943" s="12" t="n"/>
      <c r="BC943" s="12" t="n"/>
      <c r="BD943" s="12" t="n"/>
      <c r="BE943" s="12" t="n"/>
      <c r="BF943" s="12" t="n"/>
    </row>
    <row r="944">
      <c r="A944" s="7">
        <f>IF(B944="","","INS-"&amp;TEXT(ROW()-3,"000"))</f>
        <v/>
      </c>
      <c r="B944" s="11" t="n"/>
      <c r="C944" s="7">
        <f>IF(B944="","",ISOWEEKNUM(B944))</f>
        <v/>
      </c>
      <c r="D944" s="7">
        <f>IF(B944="","",TEXT(B944,"yyyy-mm"))</f>
        <v/>
      </c>
      <c r="E944" s="12" t="n"/>
      <c r="F944" s="12" t="n"/>
      <c r="G944" s="7">
        <f>IF(OR(E944="",F944=""),"",IF(COUNTIF(Cluster_Master!$I$3:$I$17,E944&amp;"|"&amp;F944)=1,"Valid","Review"))</f>
        <v/>
      </c>
      <c r="H944" s="7">
        <f>IF($G944&lt;&gt;"Valid","",VLOOKUP($E944&amp;"|"&amp;$F944,Cluster_Master!$I$3:$H$17,3,FALSE))</f>
        <v/>
      </c>
      <c r="I944" s="7">
        <f>IF($G944&lt;&gt;"Valid","",VLOOKUP($E944&amp;"|"&amp;$F944,Cluster_Master!$I$3:$H$17,4,FALSE))</f>
        <v/>
      </c>
      <c r="J944" s="7">
        <f>IF($G944&lt;&gt;"Valid","",VLOOKUP($E944&amp;"|"&amp;$F944,Cluster_Master!$I$3:$H$17,5,FALSE))</f>
        <v/>
      </c>
      <c r="K944" s="7">
        <f>IF($G944&lt;&gt;"Valid","",VLOOKUP($E944&amp;"|"&amp;$F944,Cluster_Master!$I$3:$H$17,6,FALSE))</f>
        <v/>
      </c>
      <c r="L944" s="7">
        <f>IF($G944&lt;&gt;"Valid","",VLOOKUP($E944&amp;"|"&amp;$F944,Cluster_Master!$I$3:$H$17,7,FALSE))</f>
        <v/>
      </c>
      <c r="M944" s="7">
        <f>IF($G944&lt;&gt;"Valid","",VLOOKUP($E944&amp;"|"&amp;$F944,Cluster_Master!$I$3:$H$17,8,FALSE))</f>
        <v/>
      </c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7">
        <f>IF(COUNT(T944:AH944)=0,"",SUM(T944:AH944))</f>
        <v/>
      </c>
      <c r="AJ944" s="10">
        <f>IF(AI944="","",AI944/75)</f>
        <v/>
      </c>
      <c r="AK944" s="10">
        <f>IF(AI944="","",SUMPRODUCT(T944:AH944,KPI_Weights!$B$3:$B$17)/5)</f>
        <v/>
      </c>
      <c r="AL944" s="7">
        <f>IF(COUNT(T944:AH944)=0,"",IF(OR(T944&lt;=1,W944&lt;=1,X944&lt;=1,Y944&lt;=1,AB944&lt;=1),"YES","NO"))</f>
        <v/>
      </c>
      <c r="AM944" s="7">
        <f>IF(AK944="","",IF(AND(AK944="NO",AJ944&gt;=0.85),"YES","NO"))</f>
        <v/>
      </c>
      <c r="AN944" s="7">
        <f>IF(AJ944="","",IF(AJ944&gt;=0.90,"Excellent",IF(AJ944&gt;=0.80,"Good",IF(AJ944&gt;=0.70,"Fair","Poor"))))</f>
        <v/>
      </c>
      <c r="AO944" s="12" t="n"/>
      <c r="AP944" s="12" t="n"/>
      <c r="AQ944" s="12" t="n"/>
      <c r="AR944" s="12" t="n"/>
      <c r="AS944" s="12" t="n"/>
      <c r="AT944" s="12" t="n"/>
      <c r="AU944" s="12" t="n"/>
      <c r="AV944" s="11" t="n"/>
      <c r="AW944" s="12" t="n"/>
      <c r="AX944" s="12" t="n"/>
      <c r="AY944" s="12" t="n"/>
      <c r="AZ944" s="12" t="n"/>
      <c r="BA944" s="12" t="n"/>
      <c r="BB944" s="12" t="n"/>
      <c r="BC944" s="12" t="n"/>
      <c r="BD944" s="12" t="n"/>
      <c r="BE944" s="12" t="n"/>
      <c r="BF944" s="12" t="n"/>
    </row>
    <row r="945">
      <c r="A945" s="7">
        <f>IF(B945="","","INS-"&amp;TEXT(ROW()-3,"000"))</f>
        <v/>
      </c>
      <c r="B945" s="11" t="n"/>
      <c r="C945" s="7">
        <f>IF(B945="","",ISOWEEKNUM(B945))</f>
        <v/>
      </c>
      <c r="D945" s="7">
        <f>IF(B945="","",TEXT(B945,"yyyy-mm"))</f>
        <v/>
      </c>
      <c r="E945" s="12" t="n"/>
      <c r="F945" s="12" t="n"/>
      <c r="G945" s="7">
        <f>IF(OR(E945="",F945=""),"",IF(COUNTIF(Cluster_Master!$I$3:$I$17,E945&amp;"|"&amp;F945)=1,"Valid","Review"))</f>
        <v/>
      </c>
      <c r="H945" s="7">
        <f>IF($G945&lt;&gt;"Valid","",VLOOKUP($E945&amp;"|"&amp;$F945,Cluster_Master!$I$3:$H$17,3,FALSE))</f>
        <v/>
      </c>
      <c r="I945" s="7">
        <f>IF($G945&lt;&gt;"Valid","",VLOOKUP($E945&amp;"|"&amp;$F945,Cluster_Master!$I$3:$H$17,4,FALSE))</f>
        <v/>
      </c>
      <c r="J945" s="7">
        <f>IF($G945&lt;&gt;"Valid","",VLOOKUP($E945&amp;"|"&amp;$F945,Cluster_Master!$I$3:$H$17,5,FALSE))</f>
        <v/>
      </c>
      <c r="K945" s="7">
        <f>IF($G945&lt;&gt;"Valid","",VLOOKUP($E945&amp;"|"&amp;$F945,Cluster_Master!$I$3:$H$17,6,FALSE))</f>
        <v/>
      </c>
      <c r="L945" s="7">
        <f>IF($G945&lt;&gt;"Valid","",VLOOKUP($E945&amp;"|"&amp;$F945,Cluster_Master!$I$3:$H$17,7,FALSE))</f>
        <v/>
      </c>
      <c r="M945" s="7">
        <f>IF($G945&lt;&gt;"Valid","",VLOOKUP($E945&amp;"|"&amp;$F945,Cluster_Master!$I$3:$H$17,8,FALSE))</f>
        <v/>
      </c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7">
        <f>IF(COUNT(T945:AH945)=0,"",SUM(T945:AH945))</f>
        <v/>
      </c>
      <c r="AJ945" s="10">
        <f>IF(AI945="","",AI945/75)</f>
        <v/>
      </c>
      <c r="AK945" s="10">
        <f>IF(AI945="","",SUMPRODUCT(T945:AH945,KPI_Weights!$B$3:$B$17)/5)</f>
        <v/>
      </c>
      <c r="AL945" s="7">
        <f>IF(COUNT(T945:AH945)=0,"",IF(OR(T945&lt;=1,W945&lt;=1,X945&lt;=1,Y945&lt;=1,AB945&lt;=1),"YES","NO"))</f>
        <v/>
      </c>
      <c r="AM945" s="7">
        <f>IF(AK945="","",IF(AND(AK945="NO",AJ945&gt;=0.85),"YES","NO"))</f>
        <v/>
      </c>
      <c r="AN945" s="7">
        <f>IF(AJ945="","",IF(AJ945&gt;=0.90,"Excellent",IF(AJ945&gt;=0.80,"Good",IF(AJ945&gt;=0.70,"Fair","Poor"))))</f>
        <v/>
      </c>
      <c r="AO945" s="12" t="n"/>
      <c r="AP945" s="12" t="n"/>
      <c r="AQ945" s="12" t="n"/>
      <c r="AR945" s="12" t="n"/>
      <c r="AS945" s="12" t="n"/>
      <c r="AT945" s="12" t="n"/>
      <c r="AU945" s="12" t="n"/>
      <c r="AV945" s="11" t="n"/>
      <c r="AW945" s="12" t="n"/>
      <c r="AX945" s="12" t="n"/>
      <c r="AY945" s="12" t="n"/>
      <c r="AZ945" s="12" t="n"/>
      <c r="BA945" s="12" t="n"/>
      <c r="BB945" s="12" t="n"/>
      <c r="BC945" s="12" t="n"/>
      <c r="BD945" s="12" t="n"/>
      <c r="BE945" s="12" t="n"/>
      <c r="BF945" s="12" t="n"/>
    </row>
    <row r="946">
      <c r="A946" s="7">
        <f>IF(B946="","","INS-"&amp;TEXT(ROW()-3,"000"))</f>
        <v/>
      </c>
      <c r="B946" s="11" t="n"/>
      <c r="C946" s="7">
        <f>IF(B946="","",ISOWEEKNUM(B946))</f>
        <v/>
      </c>
      <c r="D946" s="7">
        <f>IF(B946="","",TEXT(B946,"yyyy-mm"))</f>
        <v/>
      </c>
      <c r="E946" s="12" t="n"/>
      <c r="F946" s="12" t="n"/>
      <c r="G946" s="7">
        <f>IF(OR(E946="",F946=""),"",IF(COUNTIF(Cluster_Master!$I$3:$I$17,E946&amp;"|"&amp;F946)=1,"Valid","Review"))</f>
        <v/>
      </c>
      <c r="H946" s="7">
        <f>IF($G946&lt;&gt;"Valid","",VLOOKUP($E946&amp;"|"&amp;$F946,Cluster_Master!$I$3:$H$17,3,FALSE))</f>
        <v/>
      </c>
      <c r="I946" s="7">
        <f>IF($G946&lt;&gt;"Valid","",VLOOKUP($E946&amp;"|"&amp;$F946,Cluster_Master!$I$3:$H$17,4,FALSE))</f>
        <v/>
      </c>
      <c r="J946" s="7">
        <f>IF($G946&lt;&gt;"Valid","",VLOOKUP($E946&amp;"|"&amp;$F946,Cluster_Master!$I$3:$H$17,5,FALSE))</f>
        <v/>
      </c>
      <c r="K946" s="7">
        <f>IF($G946&lt;&gt;"Valid","",VLOOKUP($E946&amp;"|"&amp;$F946,Cluster_Master!$I$3:$H$17,6,FALSE))</f>
        <v/>
      </c>
      <c r="L946" s="7">
        <f>IF($G946&lt;&gt;"Valid","",VLOOKUP($E946&amp;"|"&amp;$F946,Cluster_Master!$I$3:$H$17,7,FALSE))</f>
        <v/>
      </c>
      <c r="M946" s="7">
        <f>IF($G946&lt;&gt;"Valid","",VLOOKUP($E946&amp;"|"&amp;$F946,Cluster_Master!$I$3:$H$17,8,FALSE))</f>
        <v/>
      </c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7">
        <f>IF(COUNT(T946:AH946)=0,"",SUM(T946:AH946))</f>
        <v/>
      </c>
      <c r="AJ946" s="10">
        <f>IF(AI946="","",AI946/75)</f>
        <v/>
      </c>
      <c r="AK946" s="10">
        <f>IF(AI946="","",SUMPRODUCT(T946:AH946,KPI_Weights!$B$3:$B$17)/5)</f>
        <v/>
      </c>
      <c r="AL946" s="7">
        <f>IF(COUNT(T946:AH946)=0,"",IF(OR(T946&lt;=1,W946&lt;=1,X946&lt;=1,Y946&lt;=1,AB946&lt;=1),"YES","NO"))</f>
        <v/>
      </c>
      <c r="AM946" s="7">
        <f>IF(AK946="","",IF(AND(AK946="NO",AJ946&gt;=0.85),"YES","NO"))</f>
        <v/>
      </c>
      <c r="AN946" s="7">
        <f>IF(AJ946="","",IF(AJ946&gt;=0.90,"Excellent",IF(AJ946&gt;=0.80,"Good",IF(AJ946&gt;=0.70,"Fair","Poor"))))</f>
        <v/>
      </c>
      <c r="AO946" s="12" t="n"/>
      <c r="AP946" s="12" t="n"/>
      <c r="AQ946" s="12" t="n"/>
      <c r="AR946" s="12" t="n"/>
      <c r="AS946" s="12" t="n"/>
      <c r="AT946" s="12" t="n"/>
      <c r="AU946" s="12" t="n"/>
      <c r="AV946" s="11" t="n"/>
      <c r="AW946" s="12" t="n"/>
      <c r="AX946" s="12" t="n"/>
      <c r="AY946" s="12" t="n"/>
      <c r="AZ946" s="12" t="n"/>
      <c r="BA946" s="12" t="n"/>
      <c r="BB946" s="12" t="n"/>
      <c r="BC946" s="12" t="n"/>
      <c r="BD946" s="12" t="n"/>
      <c r="BE946" s="12" t="n"/>
      <c r="BF946" s="12" t="n"/>
    </row>
    <row r="947">
      <c r="A947" s="7">
        <f>IF(B947="","","INS-"&amp;TEXT(ROW()-3,"000"))</f>
        <v/>
      </c>
      <c r="B947" s="11" t="n"/>
      <c r="C947" s="7">
        <f>IF(B947="","",ISOWEEKNUM(B947))</f>
        <v/>
      </c>
      <c r="D947" s="7">
        <f>IF(B947="","",TEXT(B947,"yyyy-mm"))</f>
        <v/>
      </c>
      <c r="E947" s="12" t="n"/>
      <c r="F947" s="12" t="n"/>
      <c r="G947" s="7">
        <f>IF(OR(E947="",F947=""),"",IF(COUNTIF(Cluster_Master!$I$3:$I$17,E947&amp;"|"&amp;F947)=1,"Valid","Review"))</f>
        <v/>
      </c>
      <c r="H947" s="7">
        <f>IF($G947&lt;&gt;"Valid","",VLOOKUP($E947&amp;"|"&amp;$F947,Cluster_Master!$I$3:$H$17,3,FALSE))</f>
        <v/>
      </c>
      <c r="I947" s="7">
        <f>IF($G947&lt;&gt;"Valid","",VLOOKUP($E947&amp;"|"&amp;$F947,Cluster_Master!$I$3:$H$17,4,FALSE))</f>
        <v/>
      </c>
      <c r="J947" s="7">
        <f>IF($G947&lt;&gt;"Valid","",VLOOKUP($E947&amp;"|"&amp;$F947,Cluster_Master!$I$3:$H$17,5,FALSE))</f>
        <v/>
      </c>
      <c r="K947" s="7">
        <f>IF($G947&lt;&gt;"Valid","",VLOOKUP($E947&amp;"|"&amp;$F947,Cluster_Master!$I$3:$H$17,6,FALSE))</f>
        <v/>
      </c>
      <c r="L947" s="7">
        <f>IF($G947&lt;&gt;"Valid","",VLOOKUP($E947&amp;"|"&amp;$F947,Cluster_Master!$I$3:$H$17,7,FALSE))</f>
        <v/>
      </c>
      <c r="M947" s="7">
        <f>IF($G947&lt;&gt;"Valid","",VLOOKUP($E947&amp;"|"&amp;$F947,Cluster_Master!$I$3:$H$17,8,FALSE))</f>
        <v/>
      </c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7">
        <f>IF(COUNT(T947:AH947)=0,"",SUM(T947:AH947))</f>
        <v/>
      </c>
      <c r="AJ947" s="10">
        <f>IF(AI947="","",AI947/75)</f>
        <v/>
      </c>
      <c r="AK947" s="10">
        <f>IF(AI947="","",SUMPRODUCT(T947:AH947,KPI_Weights!$B$3:$B$17)/5)</f>
        <v/>
      </c>
      <c r="AL947" s="7">
        <f>IF(COUNT(T947:AH947)=0,"",IF(OR(T947&lt;=1,W947&lt;=1,X947&lt;=1,Y947&lt;=1,AB947&lt;=1),"YES","NO"))</f>
        <v/>
      </c>
      <c r="AM947" s="7">
        <f>IF(AK947="","",IF(AND(AK947="NO",AJ947&gt;=0.85),"YES","NO"))</f>
        <v/>
      </c>
      <c r="AN947" s="7">
        <f>IF(AJ947="","",IF(AJ947&gt;=0.90,"Excellent",IF(AJ947&gt;=0.80,"Good",IF(AJ947&gt;=0.70,"Fair","Poor"))))</f>
        <v/>
      </c>
      <c r="AO947" s="12" t="n"/>
      <c r="AP947" s="12" t="n"/>
      <c r="AQ947" s="12" t="n"/>
      <c r="AR947" s="12" t="n"/>
      <c r="AS947" s="12" t="n"/>
      <c r="AT947" s="12" t="n"/>
      <c r="AU947" s="12" t="n"/>
      <c r="AV947" s="11" t="n"/>
      <c r="AW947" s="12" t="n"/>
      <c r="AX947" s="12" t="n"/>
      <c r="AY947" s="12" t="n"/>
      <c r="AZ947" s="12" t="n"/>
      <c r="BA947" s="12" t="n"/>
      <c r="BB947" s="12" t="n"/>
      <c r="BC947" s="12" t="n"/>
      <c r="BD947" s="12" t="n"/>
      <c r="BE947" s="12" t="n"/>
      <c r="BF947" s="12" t="n"/>
    </row>
    <row r="948">
      <c r="A948" s="7">
        <f>IF(B948="","","INS-"&amp;TEXT(ROW()-3,"000"))</f>
        <v/>
      </c>
      <c r="B948" s="11" t="n"/>
      <c r="C948" s="7">
        <f>IF(B948="","",ISOWEEKNUM(B948))</f>
        <v/>
      </c>
      <c r="D948" s="7">
        <f>IF(B948="","",TEXT(B948,"yyyy-mm"))</f>
        <v/>
      </c>
      <c r="E948" s="12" t="n"/>
      <c r="F948" s="12" t="n"/>
      <c r="G948" s="7">
        <f>IF(OR(E948="",F948=""),"",IF(COUNTIF(Cluster_Master!$I$3:$I$17,E948&amp;"|"&amp;F948)=1,"Valid","Review"))</f>
        <v/>
      </c>
      <c r="H948" s="7">
        <f>IF($G948&lt;&gt;"Valid","",VLOOKUP($E948&amp;"|"&amp;$F948,Cluster_Master!$I$3:$H$17,3,FALSE))</f>
        <v/>
      </c>
      <c r="I948" s="7">
        <f>IF($G948&lt;&gt;"Valid","",VLOOKUP($E948&amp;"|"&amp;$F948,Cluster_Master!$I$3:$H$17,4,FALSE))</f>
        <v/>
      </c>
      <c r="J948" s="7">
        <f>IF($G948&lt;&gt;"Valid","",VLOOKUP($E948&amp;"|"&amp;$F948,Cluster_Master!$I$3:$H$17,5,FALSE))</f>
        <v/>
      </c>
      <c r="K948" s="7">
        <f>IF($G948&lt;&gt;"Valid","",VLOOKUP($E948&amp;"|"&amp;$F948,Cluster_Master!$I$3:$H$17,6,FALSE))</f>
        <v/>
      </c>
      <c r="L948" s="7">
        <f>IF($G948&lt;&gt;"Valid","",VLOOKUP($E948&amp;"|"&amp;$F948,Cluster_Master!$I$3:$H$17,7,FALSE))</f>
        <v/>
      </c>
      <c r="M948" s="7">
        <f>IF($G948&lt;&gt;"Valid","",VLOOKUP($E948&amp;"|"&amp;$F948,Cluster_Master!$I$3:$H$17,8,FALSE))</f>
        <v/>
      </c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7">
        <f>IF(COUNT(T948:AH948)=0,"",SUM(T948:AH948))</f>
        <v/>
      </c>
      <c r="AJ948" s="10">
        <f>IF(AI948="","",AI948/75)</f>
        <v/>
      </c>
      <c r="AK948" s="10">
        <f>IF(AI948="","",SUMPRODUCT(T948:AH948,KPI_Weights!$B$3:$B$17)/5)</f>
        <v/>
      </c>
      <c r="AL948" s="7">
        <f>IF(COUNT(T948:AH948)=0,"",IF(OR(T948&lt;=1,W948&lt;=1,X948&lt;=1,Y948&lt;=1,AB948&lt;=1),"YES","NO"))</f>
        <v/>
      </c>
      <c r="AM948" s="7">
        <f>IF(AK948="","",IF(AND(AK948="NO",AJ948&gt;=0.85),"YES","NO"))</f>
        <v/>
      </c>
      <c r="AN948" s="7">
        <f>IF(AJ948="","",IF(AJ948&gt;=0.90,"Excellent",IF(AJ948&gt;=0.80,"Good",IF(AJ948&gt;=0.70,"Fair","Poor"))))</f>
        <v/>
      </c>
      <c r="AO948" s="12" t="n"/>
      <c r="AP948" s="12" t="n"/>
      <c r="AQ948" s="12" t="n"/>
      <c r="AR948" s="12" t="n"/>
      <c r="AS948" s="12" t="n"/>
      <c r="AT948" s="12" t="n"/>
      <c r="AU948" s="12" t="n"/>
      <c r="AV948" s="11" t="n"/>
      <c r="AW948" s="12" t="n"/>
      <c r="AX948" s="12" t="n"/>
      <c r="AY948" s="12" t="n"/>
      <c r="AZ948" s="12" t="n"/>
      <c r="BA948" s="12" t="n"/>
      <c r="BB948" s="12" t="n"/>
      <c r="BC948" s="12" t="n"/>
      <c r="BD948" s="12" t="n"/>
      <c r="BE948" s="12" t="n"/>
      <c r="BF948" s="12" t="n"/>
    </row>
    <row r="949">
      <c r="A949" s="7">
        <f>IF(B949="","","INS-"&amp;TEXT(ROW()-3,"000"))</f>
        <v/>
      </c>
      <c r="B949" s="11" t="n"/>
      <c r="C949" s="7">
        <f>IF(B949="","",ISOWEEKNUM(B949))</f>
        <v/>
      </c>
      <c r="D949" s="7">
        <f>IF(B949="","",TEXT(B949,"yyyy-mm"))</f>
        <v/>
      </c>
      <c r="E949" s="12" t="n"/>
      <c r="F949" s="12" t="n"/>
      <c r="G949" s="7">
        <f>IF(OR(E949="",F949=""),"",IF(COUNTIF(Cluster_Master!$I$3:$I$17,E949&amp;"|"&amp;F949)=1,"Valid","Review"))</f>
        <v/>
      </c>
      <c r="H949" s="7">
        <f>IF($G949&lt;&gt;"Valid","",VLOOKUP($E949&amp;"|"&amp;$F949,Cluster_Master!$I$3:$H$17,3,FALSE))</f>
        <v/>
      </c>
      <c r="I949" s="7">
        <f>IF($G949&lt;&gt;"Valid","",VLOOKUP($E949&amp;"|"&amp;$F949,Cluster_Master!$I$3:$H$17,4,FALSE))</f>
        <v/>
      </c>
      <c r="J949" s="7">
        <f>IF($G949&lt;&gt;"Valid","",VLOOKUP($E949&amp;"|"&amp;$F949,Cluster_Master!$I$3:$H$17,5,FALSE))</f>
        <v/>
      </c>
      <c r="K949" s="7">
        <f>IF($G949&lt;&gt;"Valid","",VLOOKUP($E949&amp;"|"&amp;$F949,Cluster_Master!$I$3:$H$17,6,FALSE))</f>
        <v/>
      </c>
      <c r="L949" s="7">
        <f>IF($G949&lt;&gt;"Valid","",VLOOKUP($E949&amp;"|"&amp;$F949,Cluster_Master!$I$3:$H$17,7,FALSE))</f>
        <v/>
      </c>
      <c r="M949" s="7">
        <f>IF($G949&lt;&gt;"Valid","",VLOOKUP($E949&amp;"|"&amp;$F949,Cluster_Master!$I$3:$H$17,8,FALSE))</f>
        <v/>
      </c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7">
        <f>IF(COUNT(T949:AH949)=0,"",SUM(T949:AH949))</f>
        <v/>
      </c>
      <c r="AJ949" s="10">
        <f>IF(AI949="","",AI949/75)</f>
        <v/>
      </c>
      <c r="AK949" s="10">
        <f>IF(AI949="","",SUMPRODUCT(T949:AH949,KPI_Weights!$B$3:$B$17)/5)</f>
        <v/>
      </c>
      <c r="AL949" s="7">
        <f>IF(COUNT(T949:AH949)=0,"",IF(OR(T949&lt;=1,W949&lt;=1,X949&lt;=1,Y949&lt;=1,AB949&lt;=1),"YES","NO"))</f>
        <v/>
      </c>
      <c r="AM949" s="7">
        <f>IF(AK949="","",IF(AND(AK949="NO",AJ949&gt;=0.85),"YES","NO"))</f>
        <v/>
      </c>
      <c r="AN949" s="7">
        <f>IF(AJ949="","",IF(AJ949&gt;=0.90,"Excellent",IF(AJ949&gt;=0.80,"Good",IF(AJ949&gt;=0.70,"Fair","Poor"))))</f>
        <v/>
      </c>
      <c r="AO949" s="12" t="n"/>
      <c r="AP949" s="12" t="n"/>
      <c r="AQ949" s="12" t="n"/>
      <c r="AR949" s="12" t="n"/>
      <c r="AS949" s="12" t="n"/>
      <c r="AT949" s="12" t="n"/>
      <c r="AU949" s="12" t="n"/>
      <c r="AV949" s="11" t="n"/>
      <c r="AW949" s="12" t="n"/>
      <c r="AX949" s="12" t="n"/>
      <c r="AY949" s="12" t="n"/>
      <c r="AZ949" s="12" t="n"/>
      <c r="BA949" s="12" t="n"/>
      <c r="BB949" s="12" t="n"/>
      <c r="BC949" s="12" t="n"/>
      <c r="BD949" s="12" t="n"/>
      <c r="BE949" s="12" t="n"/>
      <c r="BF949" s="12" t="n"/>
    </row>
    <row r="950">
      <c r="A950" s="7">
        <f>IF(B950="","","INS-"&amp;TEXT(ROW()-3,"000"))</f>
        <v/>
      </c>
      <c r="B950" s="11" t="n"/>
      <c r="C950" s="7">
        <f>IF(B950="","",ISOWEEKNUM(B950))</f>
        <v/>
      </c>
      <c r="D950" s="7">
        <f>IF(B950="","",TEXT(B950,"yyyy-mm"))</f>
        <v/>
      </c>
      <c r="E950" s="12" t="n"/>
      <c r="F950" s="12" t="n"/>
      <c r="G950" s="7">
        <f>IF(OR(E950="",F950=""),"",IF(COUNTIF(Cluster_Master!$I$3:$I$17,E950&amp;"|"&amp;F950)=1,"Valid","Review"))</f>
        <v/>
      </c>
      <c r="H950" s="7">
        <f>IF($G950&lt;&gt;"Valid","",VLOOKUP($E950&amp;"|"&amp;$F950,Cluster_Master!$I$3:$H$17,3,FALSE))</f>
        <v/>
      </c>
      <c r="I950" s="7">
        <f>IF($G950&lt;&gt;"Valid","",VLOOKUP($E950&amp;"|"&amp;$F950,Cluster_Master!$I$3:$H$17,4,FALSE))</f>
        <v/>
      </c>
      <c r="J950" s="7">
        <f>IF($G950&lt;&gt;"Valid","",VLOOKUP($E950&amp;"|"&amp;$F950,Cluster_Master!$I$3:$H$17,5,FALSE))</f>
        <v/>
      </c>
      <c r="K950" s="7">
        <f>IF($G950&lt;&gt;"Valid","",VLOOKUP($E950&amp;"|"&amp;$F950,Cluster_Master!$I$3:$H$17,6,FALSE))</f>
        <v/>
      </c>
      <c r="L950" s="7">
        <f>IF($G950&lt;&gt;"Valid","",VLOOKUP($E950&amp;"|"&amp;$F950,Cluster_Master!$I$3:$H$17,7,FALSE))</f>
        <v/>
      </c>
      <c r="M950" s="7">
        <f>IF($G950&lt;&gt;"Valid","",VLOOKUP($E950&amp;"|"&amp;$F950,Cluster_Master!$I$3:$H$17,8,FALSE))</f>
        <v/>
      </c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7">
        <f>IF(COUNT(T950:AH950)=0,"",SUM(T950:AH950))</f>
        <v/>
      </c>
      <c r="AJ950" s="10">
        <f>IF(AI950="","",AI950/75)</f>
        <v/>
      </c>
      <c r="AK950" s="10">
        <f>IF(AI950="","",SUMPRODUCT(T950:AH950,KPI_Weights!$B$3:$B$17)/5)</f>
        <v/>
      </c>
      <c r="AL950" s="7">
        <f>IF(COUNT(T950:AH950)=0,"",IF(OR(T950&lt;=1,W950&lt;=1,X950&lt;=1,Y950&lt;=1,AB950&lt;=1),"YES","NO"))</f>
        <v/>
      </c>
      <c r="AM950" s="7">
        <f>IF(AK950="","",IF(AND(AK950="NO",AJ950&gt;=0.85),"YES","NO"))</f>
        <v/>
      </c>
      <c r="AN950" s="7">
        <f>IF(AJ950="","",IF(AJ950&gt;=0.90,"Excellent",IF(AJ950&gt;=0.80,"Good",IF(AJ950&gt;=0.70,"Fair","Poor"))))</f>
        <v/>
      </c>
      <c r="AO950" s="12" t="n"/>
      <c r="AP950" s="12" t="n"/>
      <c r="AQ950" s="12" t="n"/>
      <c r="AR950" s="12" t="n"/>
      <c r="AS950" s="12" t="n"/>
      <c r="AT950" s="12" t="n"/>
      <c r="AU950" s="12" t="n"/>
      <c r="AV950" s="11" t="n"/>
      <c r="AW950" s="12" t="n"/>
      <c r="AX950" s="12" t="n"/>
      <c r="AY950" s="12" t="n"/>
      <c r="AZ950" s="12" t="n"/>
      <c r="BA950" s="12" t="n"/>
      <c r="BB950" s="12" t="n"/>
      <c r="BC950" s="12" t="n"/>
      <c r="BD950" s="12" t="n"/>
      <c r="BE950" s="12" t="n"/>
      <c r="BF950" s="12" t="n"/>
    </row>
    <row r="951">
      <c r="A951" s="7">
        <f>IF(B951="","","INS-"&amp;TEXT(ROW()-3,"000"))</f>
        <v/>
      </c>
      <c r="B951" s="11" t="n"/>
      <c r="C951" s="7">
        <f>IF(B951="","",ISOWEEKNUM(B951))</f>
        <v/>
      </c>
      <c r="D951" s="7">
        <f>IF(B951="","",TEXT(B951,"yyyy-mm"))</f>
        <v/>
      </c>
      <c r="E951" s="12" t="n"/>
      <c r="F951" s="12" t="n"/>
      <c r="G951" s="7">
        <f>IF(OR(E951="",F951=""),"",IF(COUNTIF(Cluster_Master!$I$3:$I$17,E951&amp;"|"&amp;F951)=1,"Valid","Review"))</f>
        <v/>
      </c>
      <c r="H951" s="7">
        <f>IF($G951&lt;&gt;"Valid","",VLOOKUP($E951&amp;"|"&amp;$F951,Cluster_Master!$I$3:$H$17,3,FALSE))</f>
        <v/>
      </c>
      <c r="I951" s="7">
        <f>IF($G951&lt;&gt;"Valid","",VLOOKUP($E951&amp;"|"&amp;$F951,Cluster_Master!$I$3:$H$17,4,FALSE))</f>
        <v/>
      </c>
      <c r="J951" s="7">
        <f>IF($G951&lt;&gt;"Valid","",VLOOKUP($E951&amp;"|"&amp;$F951,Cluster_Master!$I$3:$H$17,5,FALSE))</f>
        <v/>
      </c>
      <c r="K951" s="7">
        <f>IF($G951&lt;&gt;"Valid","",VLOOKUP($E951&amp;"|"&amp;$F951,Cluster_Master!$I$3:$H$17,6,FALSE))</f>
        <v/>
      </c>
      <c r="L951" s="7">
        <f>IF($G951&lt;&gt;"Valid","",VLOOKUP($E951&amp;"|"&amp;$F951,Cluster_Master!$I$3:$H$17,7,FALSE))</f>
        <v/>
      </c>
      <c r="M951" s="7">
        <f>IF($G951&lt;&gt;"Valid","",VLOOKUP($E951&amp;"|"&amp;$F951,Cluster_Master!$I$3:$H$17,8,FALSE))</f>
        <v/>
      </c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7">
        <f>IF(COUNT(T951:AH951)=0,"",SUM(T951:AH951))</f>
        <v/>
      </c>
      <c r="AJ951" s="10">
        <f>IF(AI951="","",AI951/75)</f>
        <v/>
      </c>
      <c r="AK951" s="10">
        <f>IF(AI951="","",SUMPRODUCT(T951:AH951,KPI_Weights!$B$3:$B$17)/5)</f>
        <v/>
      </c>
      <c r="AL951" s="7">
        <f>IF(COUNT(T951:AH951)=0,"",IF(OR(T951&lt;=1,W951&lt;=1,X951&lt;=1,Y951&lt;=1,AB951&lt;=1),"YES","NO"))</f>
        <v/>
      </c>
      <c r="AM951" s="7">
        <f>IF(AK951="","",IF(AND(AK951="NO",AJ951&gt;=0.85),"YES","NO"))</f>
        <v/>
      </c>
      <c r="AN951" s="7">
        <f>IF(AJ951="","",IF(AJ951&gt;=0.90,"Excellent",IF(AJ951&gt;=0.80,"Good",IF(AJ951&gt;=0.70,"Fair","Poor"))))</f>
        <v/>
      </c>
      <c r="AO951" s="12" t="n"/>
      <c r="AP951" s="12" t="n"/>
      <c r="AQ951" s="12" t="n"/>
      <c r="AR951" s="12" t="n"/>
      <c r="AS951" s="12" t="n"/>
      <c r="AT951" s="12" t="n"/>
      <c r="AU951" s="12" t="n"/>
      <c r="AV951" s="11" t="n"/>
      <c r="AW951" s="12" t="n"/>
      <c r="AX951" s="12" t="n"/>
      <c r="AY951" s="12" t="n"/>
      <c r="AZ951" s="12" t="n"/>
      <c r="BA951" s="12" t="n"/>
      <c r="BB951" s="12" t="n"/>
      <c r="BC951" s="12" t="n"/>
      <c r="BD951" s="12" t="n"/>
      <c r="BE951" s="12" t="n"/>
      <c r="BF951" s="12" t="n"/>
    </row>
    <row r="952">
      <c r="A952" s="7">
        <f>IF(B952="","","INS-"&amp;TEXT(ROW()-3,"000"))</f>
        <v/>
      </c>
      <c r="B952" s="11" t="n"/>
      <c r="C952" s="7">
        <f>IF(B952="","",ISOWEEKNUM(B952))</f>
        <v/>
      </c>
      <c r="D952" s="7">
        <f>IF(B952="","",TEXT(B952,"yyyy-mm"))</f>
        <v/>
      </c>
      <c r="E952" s="12" t="n"/>
      <c r="F952" s="12" t="n"/>
      <c r="G952" s="7">
        <f>IF(OR(E952="",F952=""),"",IF(COUNTIF(Cluster_Master!$I$3:$I$17,E952&amp;"|"&amp;F952)=1,"Valid","Review"))</f>
        <v/>
      </c>
      <c r="H952" s="7">
        <f>IF($G952&lt;&gt;"Valid","",VLOOKUP($E952&amp;"|"&amp;$F952,Cluster_Master!$I$3:$H$17,3,FALSE))</f>
        <v/>
      </c>
      <c r="I952" s="7">
        <f>IF($G952&lt;&gt;"Valid","",VLOOKUP($E952&amp;"|"&amp;$F952,Cluster_Master!$I$3:$H$17,4,FALSE))</f>
        <v/>
      </c>
      <c r="J952" s="7">
        <f>IF($G952&lt;&gt;"Valid","",VLOOKUP($E952&amp;"|"&amp;$F952,Cluster_Master!$I$3:$H$17,5,FALSE))</f>
        <v/>
      </c>
      <c r="K952" s="7">
        <f>IF($G952&lt;&gt;"Valid","",VLOOKUP($E952&amp;"|"&amp;$F952,Cluster_Master!$I$3:$H$17,6,FALSE))</f>
        <v/>
      </c>
      <c r="L952" s="7">
        <f>IF($G952&lt;&gt;"Valid","",VLOOKUP($E952&amp;"|"&amp;$F952,Cluster_Master!$I$3:$H$17,7,FALSE))</f>
        <v/>
      </c>
      <c r="M952" s="7">
        <f>IF($G952&lt;&gt;"Valid","",VLOOKUP($E952&amp;"|"&amp;$F952,Cluster_Master!$I$3:$H$17,8,FALSE))</f>
        <v/>
      </c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7">
        <f>IF(COUNT(T952:AH952)=0,"",SUM(T952:AH952))</f>
        <v/>
      </c>
      <c r="AJ952" s="10">
        <f>IF(AI952="","",AI952/75)</f>
        <v/>
      </c>
      <c r="AK952" s="10">
        <f>IF(AI952="","",SUMPRODUCT(T952:AH952,KPI_Weights!$B$3:$B$17)/5)</f>
        <v/>
      </c>
      <c r="AL952" s="7">
        <f>IF(COUNT(T952:AH952)=0,"",IF(OR(T952&lt;=1,W952&lt;=1,X952&lt;=1,Y952&lt;=1,AB952&lt;=1),"YES","NO"))</f>
        <v/>
      </c>
      <c r="AM952" s="7">
        <f>IF(AK952="","",IF(AND(AK952="NO",AJ952&gt;=0.85),"YES","NO"))</f>
        <v/>
      </c>
      <c r="AN952" s="7">
        <f>IF(AJ952="","",IF(AJ952&gt;=0.90,"Excellent",IF(AJ952&gt;=0.80,"Good",IF(AJ952&gt;=0.70,"Fair","Poor"))))</f>
        <v/>
      </c>
      <c r="AO952" s="12" t="n"/>
      <c r="AP952" s="12" t="n"/>
      <c r="AQ952" s="12" t="n"/>
      <c r="AR952" s="12" t="n"/>
      <c r="AS952" s="12" t="n"/>
      <c r="AT952" s="12" t="n"/>
      <c r="AU952" s="12" t="n"/>
      <c r="AV952" s="11" t="n"/>
      <c r="AW952" s="12" t="n"/>
      <c r="AX952" s="12" t="n"/>
      <c r="AY952" s="12" t="n"/>
      <c r="AZ952" s="12" t="n"/>
      <c r="BA952" s="12" t="n"/>
      <c r="BB952" s="12" t="n"/>
      <c r="BC952" s="12" t="n"/>
      <c r="BD952" s="12" t="n"/>
      <c r="BE952" s="12" t="n"/>
      <c r="BF952" s="12" t="n"/>
    </row>
    <row r="953">
      <c r="A953" s="7">
        <f>IF(B953="","","INS-"&amp;TEXT(ROW()-3,"000"))</f>
        <v/>
      </c>
      <c r="B953" s="11" t="n"/>
      <c r="C953" s="7">
        <f>IF(B953="","",ISOWEEKNUM(B953))</f>
        <v/>
      </c>
      <c r="D953" s="7">
        <f>IF(B953="","",TEXT(B953,"yyyy-mm"))</f>
        <v/>
      </c>
      <c r="E953" s="12" t="n"/>
      <c r="F953" s="12" t="n"/>
      <c r="G953" s="7">
        <f>IF(OR(E953="",F953=""),"",IF(COUNTIF(Cluster_Master!$I$3:$I$17,E953&amp;"|"&amp;F953)=1,"Valid","Review"))</f>
        <v/>
      </c>
      <c r="H953" s="7">
        <f>IF($G953&lt;&gt;"Valid","",VLOOKUP($E953&amp;"|"&amp;$F953,Cluster_Master!$I$3:$H$17,3,FALSE))</f>
        <v/>
      </c>
      <c r="I953" s="7">
        <f>IF($G953&lt;&gt;"Valid","",VLOOKUP($E953&amp;"|"&amp;$F953,Cluster_Master!$I$3:$H$17,4,FALSE))</f>
        <v/>
      </c>
      <c r="J953" s="7">
        <f>IF($G953&lt;&gt;"Valid","",VLOOKUP($E953&amp;"|"&amp;$F953,Cluster_Master!$I$3:$H$17,5,FALSE))</f>
        <v/>
      </c>
      <c r="K953" s="7">
        <f>IF($G953&lt;&gt;"Valid","",VLOOKUP($E953&amp;"|"&amp;$F953,Cluster_Master!$I$3:$H$17,6,FALSE))</f>
        <v/>
      </c>
      <c r="L953" s="7">
        <f>IF($G953&lt;&gt;"Valid","",VLOOKUP($E953&amp;"|"&amp;$F953,Cluster_Master!$I$3:$H$17,7,FALSE))</f>
        <v/>
      </c>
      <c r="M953" s="7">
        <f>IF($G953&lt;&gt;"Valid","",VLOOKUP($E953&amp;"|"&amp;$F953,Cluster_Master!$I$3:$H$17,8,FALSE))</f>
        <v/>
      </c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7">
        <f>IF(COUNT(T953:AH953)=0,"",SUM(T953:AH953))</f>
        <v/>
      </c>
      <c r="AJ953" s="10">
        <f>IF(AI953="","",AI953/75)</f>
        <v/>
      </c>
      <c r="AK953" s="10">
        <f>IF(AI953="","",SUMPRODUCT(T953:AH953,KPI_Weights!$B$3:$B$17)/5)</f>
        <v/>
      </c>
      <c r="AL953" s="7">
        <f>IF(COUNT(T953:AH953)=0,"",IF(OR(T953&lt;=1,W953&lt;=1,X953&lt;=1,Y953&lt;=1,AB953&lt;=1),"YES","NO"))</f>
        <v/>
      </c>
      <c r="AM953" s="7">
        <f>IF(AK953="","",IF(AND(AK953="NO",AJ953&gt;=0.85),"YES","NO"))</f>
        <v/>
      </c>
      <c r="AN953" s="7">
        <f>IF(AJ953="","",IF(AJ953&gt;=0.90,"Excellent",IF(AJ953&gt;=0.80,"Good",IF(AJ953&gt;=0.70,"Fair","Poor"))))</f>
        <v/>
      </c>
      <c r="AO953" s="12" t="n"/>
      <c r="AP953" s="12" t="n"/>
      <c r="AQ953" s="12" t="n"/>
      <c r="AR953" s="12" t="n"/>
      <c r="AS953" s="12" t="n"/>
      <c r="AT953" s="12" t="n"/>
      <c r="AU953" s="12" t="n"/>
      <c r="AV953" s="11" t="n"/>
      <c r="AW953" s="12" t="n"/>
      <c r="AX953" s="12" t="n"/>
      <c r="AY953" s="12" t="n"/>
      <c r="AZ953" s="12" t="n"/>
      <c r="BA953" s="12" t="n"/>
      <c r="BB953" s="12" t="n"/>
      <c r="BC953" s="12" t="n"/>
      <c r="BD953" s="12" t="n"/>
      <c r="BE953" s="12" t="n"/>
      <c r="BF953" s="12" t="n"/>
    </row>
    <row r="954">
      <c r="A954" s="7">
        <f>IF(B954="","","INS-"&amp;TEXT(ROW()-3,"000"))</f>
        <v/>
      </c>
      <c r="B954" s="11" t="n"/>
      <c r="C954" s="7">
        <f>IF(B954="","",ISOWEEKNUM(B954))</f>
        <v/>
      </c>
      <c r="D954" s="7">
        <f>IF(B954="","",TEXT(B954,"yyyy-mm"))</f>
        <v/>
      </c>
      <c r="E954" s="12" t="n"/>
      <c r="F954" s="12" t="n"/>
      <c r="G954" s="7">
        <f>IF(OR(E954="",F954=""),"",IF(COUNTIF(Cluster_Master!$I$3:$I$17,E954&amp;"|"&amp;F954)=1,"Valid","Review"))</f>
        <v/>
      </c>
      <c r="H954" s="7">
        <f>IF($G954&lt;&gt;"Valid","",VLOOKUP($E954&amp;"|"&amp;$F954,Cluster_Master!$I$3:$H$17,3,FALSE))</f>
        <v/>
      </c>
      <c r="I954" s="7">
        <f>IF($G954&lt;&gt;"Valid","",VLOOKUP($E954&amp;"|"&amp;$F954,Cluster_Master!$I$3:$H$17,4,FALSE))</f>
        <v/>
      </c>
      <c r="J954" s="7">
        <f>IF($G954&lt;&gt;"Valid","",VLOOKUP($E954&amp;"|"&amp;$F954,Cluster_Master!$I$3:$H$17,5,FALSE))</f>
        <v/>
      </c>
      <c r="K954" s="7">
        <f>IF($G954&lt;&gt;"Valid","",VLOOKUP($E954&amp;"|"&amp;$F954,Cluster_Master!$I$3:$H$17,6,FALSE))</f>
        <v/>
      </c>
      <c r="L954" s="7">
        <f>IF($G954&lt;&gt;"Valid","",VLOOKUP($E954&amp;"|"&amp;$F954,Cluster_Master!$I$3:$H$17,7,FALSE))</f>
        <v/>
      </c>
      <c r="M954" s="7">
        <f>IF($G954&lt;&gt;"Valid","",VLOOKUP($E954&amp;"|"&amp;$F954,Cluster_Master!$I$3:$H$17,8,FALSE))</f>
        <v/>
      </c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7">
        <f>IF(COUNT(T954:AH954)=0,"",SUM(T954:AH954))</f>
        <v/>
      </c>
      <c r="AJ954" s="10">
        <f>IF(AI954="","",AI954/75)</f>
        <v/>
      </c>
      <c r="AK954" s="10">
        <f>IF(AI954="","",SUMPRODUCT(T954:AH954,KPI_Weights!$B$3:$B$17)/5)</f>
        <v/>
      </c>
      <c r="AL954" s="7">
        <f>IF(COUNT(T954:AH954)=0,"",IF(OR(T954&lt;=1,W954&lt;=1,X954&lt;=1,Y954&lt;=1,AB954&lt;=1),"YES","NO"))</f>
        <v/>
      </c>
      <c r="AM954" s="7">
        <f>IF(AK954="","",IF(AND(AK954="NO",AJ954&gt;=0.85),"YES","NO"))</f>
        <v/>
      </c>
      <c r="AN954" s="7">
        <f>IF(AJ954="","",IF(AJ954&gt;=0.90,"Excellent",IF(AJ954&gt;=0.80,"Good",IF(AJ954&gt;=0.70,"Fair","Poor"))))</f>
        <v/>
      </c>
      <c r="AO954" s="12" t="n"/>
      <c r="AP954" s="12" t="n"/>
      <c r="AQ954" s="12" t="n"/>
      <c r="AR954" s="12" t="n"/>
      <c r="AS954" s="12" t="n"/>
      <c r="AT954" s="12" t="n"/>
      <c r="AU954" s="12" t="n"/>
      <c r="AV954" s="11" t="n"/>
      <c r="AW954" s="12" t="n"/>
      <c r="AX954" s="12" t="n"/>
      <c r="AY954" s="12" t="n"/>
      <c r="AZ954" s="12" t="n"/>
      <c r="BA954" s="12" t="n"/>
      <c r="BB954" s="12" t="n"/>
      <c r="BC954" s="12" t="n"/>
      <c r="BD954" s="12" t="n"/>
      <c r="BE954" s="12" t="n"/>
      <c r="BF954" s="12" t="n"/>
    </row>
    <row r="955">
      <c r="A955" s="7">
        <f>IF(B955="","","INS-"&amp;TEXT(ROW()-3,"000"))</f>
        <v/>
      </c>
      <c r="B955" s="11" t="n"/>
      <c r="C955" s="7">
        <f>IF(B955="","",ISOWEEKNUM(B955))</f>
        <v/>
      </c>
      <c r="D955" s="7">
        <f>IF(B955="","",TEXT(B955,"yyyy-mm"))</f>
        <v/>
      </c>
      <c r="E955" s="12" t="n"/>
      <c r="F955" s="12" t="n"/>
      <c r="G955" s="7">
        <f>IF(OR(E955="",F955=""),"",IF(COUNTIF(Cluster_Master!$I$3:$I$17,E955&amp;"|"&amp;F955)=1,"Valid","Review"))</f>
        <v/>
      </c>
      <c r="H955" s="7">
        <f>IF($G955&lt;&gt;"Valid","",VLOOKUP($E955&amp;"|"&amp;$F955,Cluster_Master!$I$3:$H$17,3,FALSE))</f>
        <v/>
      </c>
      <c r="I955" s="7">
        <f>IF($G955&lt;&gt;"Valid","",VLOOKUP($E955&amp;"|"&amp;$F955,Cluster_Master!$I$3:$H$17,4,FALSE))</f>
        <v/>
      </c>
      <c r="J955" s="7">
        <f>IF($G955&lt;&gt;"Valid","",VLOOKUP($E955&amp;"|"&amp;$F955,Cluster_Master!$I$3:$H$17,5,FALSE))</f>
        <v/>
      </c>
      <c r="K955" s="7">
        <f>IF($G955&lt;&gt;"Valid","",VLOOKUP($E955&amp;"|"&amp;$F955,Cluster_Master!$I$3:$H$17,6,FALSE))</f>
        <v/>
      </c>
      <c r="L955" s="7">
        <f>IF($G955&lt;&gt;"Valid","",VLOOKUP($E955&amp;"|"&amp;$F955,Cluster_Master!$I$3:$H$17,7,FALSE))</f>
        <v/>
      </c>
      <c r="M955" s="7">
        <f>IF($G955&lt;&gt;"Valid","",VLOOKUP($E955&amp;"|"&amp;$F955,Cluster_Master!$I$3:$H$17,8,FALSE))</f>
        <v/>
      </c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7">
        <f>IF(COUNT(T955:AH955)=0,"",SUM(T955:AH955))</f>
        <v/>
      </c>
      <c r="AJ955" s="10">
        <f>IF(AI955="","",AI955/75)</f>
        <v/>
      </c>
      <c r="AK955" s="10">
        <f>IF(AI955="","",SUMPRODUCT(T955:AH955,KPI_Weights!$B$3:$B$17)/5)</f>
        <v/>
      </c>
      <c r="AL955" s="7">
        <f>IF(COUNT(T955:AH955)=0,"",IF(OR(T955&lt;=1,W955&lt;=1,X955&lt;=1,Y955&lt;=1,AB955&lt;=1),"YES","NO"))</f>
        <v/>
      </c>
      <c r="AM955" s="7">
        <f>IF(AK955="","",IF(AND(AK955="NO",AJ955&gt;=0.85),"YES","NO"))</f>
        <v/>
      </c>
      <c r="AN955" s="7">
        <f>IF(AJ955="","",IF(AJ955&gt;=0.90,"Excellent",IF(AJ955&gt;=0.80,"Good",IF(AJ955&gt;=0.70,"Fair","Poor"))))</f>
        <v/>
      </c>
      <c r="AO955" s="12" t="n"/>
      <c r="AP955" s="12" t="n"/>
      <c r="AQ955" s="12" t="n"/>
      <c r="AR955" s="12" t="n"/>
      <c r="AS955" s="12" t="n"/>
      <c r="AT955" s="12" t="n"/>
      <c r="AU955" s="12" t="n"/>
      <c r="AV955" s="11" t="n"/>
      <c r="AW955" s="12" t="n"/>
      <c r="AX955" s="12" t="n"/>
      <c r="AY955" s="12" t="n"/>
      <c r="AZ955" s="12" t="n"/>
      <c r="BA955" s="12" t="n"/>
      <c r="BB955" s="12" t="n"/>
      <c r="BC955" s="12" t="n"/>
      <c r="BD955" s="12" t="n"/>
      <c r="BE955" s="12" t="n"/>
      <c r="BF955" s="12" t="n"/>
    </row>
    <row r="956">
      <c r="A956" s="7">
        <f>IF(B956="","","INS-"&amp;TEXT(ROW()-3,"000"))</f>
        <v/>
      </c>
      <c r="B956" s="11" t="n"/>
      <c r="C956" s="7">
        <f>IF(B956="","",ISOWEEKNUM(B956))</f>
        <v/>
      </c>
      <c r="D956" s="7">
        <f>IF(B956="","",TEXT(B956,"yyyy-mm"))</f>
        <v/>
      </c>
      <c r="E956" s="12" t="n"/>
      <c r="F956" s="12" t="n"/>
      <c r="G956" s="7">
        <f>IF(OR(E956="",F956=""),"",IF(COUNTIF(Cluster_Master!$I$3:$I$17,E956&amp;"|"&amp;F956)=1,"Valid","Review"))</f>
        <v/>
      </c>
      <c r="H956" s="7">
        <f>IF($G956&lt;&gt;"Valid","",VLOOKUP($E956&amp;"|"&amp;$F956,Cluster_Master!$I$3:$H$17,3,FALSE))</f>
        <v/>
      </c>
      <c r="I956" s="7">
        <f>IF($G956&lt;&gt;"Valid","",VLOOKUP($E956&amp;"|"&amp;$F956,Cluster_Master!$I$3:$H$17,4,FALSE))</f>
        <v/>
      </c>
      <c r="J956" s="7">
        <f>IF($G956&lt;&gt;"Valid","",VLOOKUP($E956&amp;"|"&amp;$F956,Cluster_Master!$I$3:$H$17,5,FALSE))</f>
        <v/>
      </c>
      <c r="K956" s="7">
        <f>IF($G956&lt;&gt;"Valid","",VLOOKUP($E956&amp;"|"&amp;$F956,Cluster_Master!$I$3:$H$17,6,FALSE))</f>
        <v/>
      </c>
      <c r="L956" s="7">
        <f>IF($G956&lt;&gt;"Valid","",VLOOKUP($E956&amp;"|"&amp;$F956,Cluster_Master!$I$3:$H$17,7,FALSE))</f>
        <v/>
      </c>
      <c r="M956" s="7">
        <f>IF($G956&lt;&gt;"Valid","",VLOOKUP($E956&amp;"|"&amp;$F956,Cluster_Master!$I$3:$H$17,8,FALSE))</f>
        <v/>
      </c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7">
        <f>IF(COUNT(T956:AH956)=0,"",SUM(T956:AH956))</f>
        <v/>
      </c>
      <c r="AJ956" s="10">
        <f>IF(AI956="","",AI956/75)</f>
        <v/>
      </c>
      <c r="AK956" s="10">
        <f>IF(AI956="","",SUMPRODUCT(T956:AH956,KPI_Weights!$B$3:$B$17)/5)</f>
        <v/>
      </c>
      <c r="AL956" s="7">
        <f>IF(COUNT(T956:AH956)=0,"",IF(OR(T956&lt;=1,W956&lt;=1,X956&lt;=1,Y956&lt;=1,AB956&lt;=1),"YES","NO"))</f>
        <v/>
      </c>
      <c r="AM956" s="7">
        <f>IF(AK956="","",IF(AND(AK956="NO",AJ956&gt;=0.85),"YES","NO"))</f>
        <v/>
      </c>
      <c r="AN956" s="7">
        <f>IF(AJ956="","",IF(AJ956&gt;=0.90,"Excellent",IF(AJ956&gt;=0.80,"Good",IF(AJ956&gt;=0.70,"Fair","Poor"))))</f>
        <v/>
      </c>
      <c r="AO956" s="12" t="n"/>
      <c r="AP956" s="12" t="n"/>
      <c r="AQ956" s="12" t="n"/>
      <c r="AR956" s="12" t="n"/>
      <c r="AS956" s="12" t="n"/>
      <c r="AT956" s="12" t="n"/>
      <c r="AU956" s="12" t="n"/>
      <c r="AV956" s="11" t="n"/>
      <c r="AW956" s="12" t="n"/>
      <c r="AX956" s="12" t="n"/>
      <c r="AY956" s="12" t="n"/>
      <c r="AZ956" s="12" t="n"/>
      <c r="BA956" s="12" t="n"/>
      <c r="BB956" s="12" t="n"/>
      <c r="BC956" s="12" t="n"/>
      <c r="BD956" s="12" t="n"/>
      <c r="BE956" s="12" t="n"/>
      <c r="BF956" s="12" t="n"/>
    </row>
    <row r="957">
      <c r="A957" s="7">
        <f>IF(B957="","","INS-"&amp;TEXT(ROW()-3,"000"))</f>
        <v/>
      </c>
      <c r="B957" s="11" t="n"/>
      <c r="C957" s="7">
        <f>IF(B957="","",ISOWEEKNUM(B957))</f>
        <v/>
      </c>
      <c r="D957" s="7">
        <f>IF(B957="","",TEXT(B957,"yyyy-mm"))</f>
        <v/>
      </c>
      <c r="E957" s="12" t="n"/>
      <c r="F957" s="12" t="n"/>
      <c r="G957" s="7">
        <f>IF(OR(E957="",F957=""),"",IF(COUNTIF(Cluster_Master!$I$3:$I$17,E957&amp;"|"&amp;F957)=1,"Valid","Review"))</f>
        <v/>
      </c>
      <c r="H957" s="7">
        <f>IF($G957&lt;&gt;"Valid","",VLOOKUP($E957&amp;"|"&amp;$F957,Cluster_Master!$I$3:$H$17,3,FALSE))</f>
        <v/>
      </c>
      <c r="I957" s="7">
        <f>IF($G957&lt;&gt;"Valid","",VLOOKUP($E957&amp;"|"&amp;$F957,Cluster_Master!$I$3:$H$17,4,FALSE))</f>
        <v/>
      </c>
      <c r="J957" s="7">
        <f>IF($G957&lt;&gt;"Valid","",VLOOKUP($E957&amp;"|"&amp;$F957,Cluster_Master!$I$3:$H$17,5,FALSE))</f>
        <v/>
      </c>
      <c r="K957" s="7">
        <f>IF($G957&lt;&gt;"Valid","",VLOOKUP($E957&amp;"|"&amp;$F957,Cluster_Master!$I$3:$H$17,6,FALSE))</f>
        <v/>
      </c>
      <c r="L957" s="7">
        <f>IF($G957&lt;&gt;"Valid","",VLOOKUP($E957&amp;"|"&amp;$F957,Cluster_Master!$I$3:$H$17,7,FALSE))</f>
        <v/>
      </c>
      <c r="M957" s="7">
        <f>IF($G957&lt;&gt;"Valid","",VLOOKUP($E957&amp;"|"&amp;$F957,Cluster_Master!$I$3:$H$17,8,FALSE))</f>
        <v/>
      </c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7">
        <f>IF(COUNT(T957:AH957)=0,"",SUM(T957:AH957))</f>
        <v/>
      </c>
      <c r="AJ957" s="10">
        <f>IF(AI957="","",AI957/75)</f>
        <v/>
      </c>
      <c r="AK957" s="10">
        <f>IF(AI957="","",SUMPRODUCT(T957:AH957,KPI_Weights!$B$3:$B$17)/5)</f>
        <v/>
      </c>
      <c r="AL957" s="7">
        <f>IF(COUNT(T957:AH957)=0,"",IF(OR(T957&lt;=1,W957&lt;=1,X957&lt;=1,Y957&lt;=1,AB957&lt;=1),"YES","NO"))</f>
        <v/>
      </c>
      <c r="AM957" s="7">
        <f>IF(AK957="","",IF(AND(AK957="NO",AJ957&gt;=0.85),"YES","NO"))</f>
        <v/>
      </c>
      <c r="AN957" s="7">
        <f>IF(AJ957="","",IF(AJ957&gt;=0.90,"Excellent",IF(AJ957&gt;=0.80,"Good",IF(AJ957&gt;=0.70,"Fair","Poor"))))</f>
        <v/>
      </c>
      <c r="AO957" s="12" t="n"/>
      <c r="AP957" s="12" t="n"/>
      <c r="AQ957" s="12" t="n"/>
      <c r="AR957" s="12" t="n"/>
      <c r="AS957" s="12" t="n"/>
      <c r="AT957" s="12" t="n"/>
      <c r="AU957" s="12" t="n"/>
      <c r="AV957" s="11" t="n"/>
      <c r="AW957" s="12" t="n"/>
      <c r="AX957" s="12" t="n"/>
      <c r="AY957" s="12" t="n"/>
      <c r="AZ957" s="12" t="n"/>
      <c r="BA957" s="12" t="n"/>
      <c r="BB957" s="12" t="n"/>
      <c r="BC957" s="12" t="n"/>
      <c r="BD957" s="12" t="n"/>
      <c r="BE957" s="12" t="n"/>
      <c r="BF957" s="12" t="n"/>
    </row>
    <row r="958">
      <c r="A958" s="7">
        <f>IF(B958="","","INS-"&amp;TEXT(ROW()-3,"000"))</f>
        <v/>
      </c>
      <c r="B958" s="11" t="n"/>
      <c r="C958" s="7">
        <f>IF(B958="","",ISOWEEKNUM(B958))</f>
        <v/>
      </c>
      <c r="D958" s="7">
        <f>IF(B958="","",TEXT(B958,"yyyy-mm"))</f>
        <v/>
      </c>
      <c r="E958" s="12" t="n"/>
      <c r="F958" s="12" t="n"/>
      <c r="G958" s="7">
        <f>IF(OR(E958="",F958=""),"",IF(COUNTIF(Cluster_Master!$I$3:$I$17,E958&amp;"|"&amp;F958)=1,"Valid","Review"))</f>
        <v/>
      </c>
      <c r="H958" s="7">
        <f>IF($G958&lt;&gt;"Valid","",VLOOKUP($E958&amp;"|"&amp;$F958,Cluster_Master!$I$3:$H$17,3,FALSE))</f>
        <v/>
      </c>
      <c r="I958" s="7">
        <f>IF($G958&lt;&gt;"Valid","",VLOOKUP($E958&amp;"|"&amp;$F958,Cluster_Master!$I$3:$H$17,4,FALSE))</f>
        <v/>
      </c>
      <c r="J958" s="7">
        <f>IF($G958&lt;&gt;"Valid","",VLOOKUP($E958&amp;"|"&amp;$F958,Cluster_Master!$I$3:$H$17,5,FALSE))</f>
        <v/>
      </c>
      <c r="K958" s="7">
        <f>IF($G958&lt;&gt;"Valid","",VLOOKUP($E958&amp;"|"&amp;$F958,Cluster_Master!$I$3:$H$17,6,FALSE))</f>
        <v/>
      </c>
      <c r="L958" s="7">
        <f>IF($G958&lt;&gt;"Valid","",VLOOKUP($E958&amp;"|"&amp;$F958,Cluster_Master!$I$3:$H$17,7,FALSE))</f>
        <v/>
      </c>
      <c r="M958" s="7">
        <f>IF($G958&lt;&gt;"Valid","",VLOOKUP($E958&amp;"|"&amp;$F958,Cluster_Master!$I$3:$H$17,8,FALSE))</f>
        <v/>
      </c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7">
        <f>IF(COUNT(T958:AH958)=0,"",SUM(T958:AH958))</f>
        <v/>
      </c>
      <c r="AJ958" s="10">
        <f>IF(AI958="","",AI958/75)</f>
        <v/>
      </c>
      <c r="AK958" s="10">
        <f>IF(AI958="","",SUMPRODUCT(T958:AH958,KPI_Weights!$B$3:$B$17)/5)</f>
        <v/>
      </c>
      <c r="AL958" s="7">
        <f>IF(COUNT(T958:AH958)=0,"",IF(OR(T958&lt;=1,W958&lt;=1,X958&lt;=1,Y958&lt;=1,AB958&lt;=1),"YES","NO"))</f>
        <v/>
      </c>
      <c r="AM958" s="7">
        <f>IF(AK958="","",IF(AND(AK958="NO",AJ958&gt;=0.85),"YES","NO"))</f>
        <v/>
      </c>
      <c r="AN958" s="7">
        <f>IF(AJ958="","",IF(AJ958&gt;=0.90,"Excellent",IF(AJ958&gt;=0.80,"Good",IF(AJ958&gt;=0.70,"Fair","Poor"))))</f>
        <v/>
      </c>
      <c r="AO958" s="12" t="n"/>
      <c r="AP958" s="12" t="n"/>
      <c r="AQ958" s="12" t="n"/>
      <c r="AR958" s="12" t="n"/>
      <c r="AS958" s="12" t="n"/>
      <c r="AT958" s="12" t="n"/>
      <c r="AU958" s="12" t="n"/>
      <c r="AV958" s="11" t="n"/>
      <c r="AW958" s="12" t="n"/>
      <c r="AX958" s="12" t="n"/>
      <c r="AY958" s="12" t="n"/>
      <c r="AZ958" s="12" t="n"/>
      <c r="BA958" s="12" t="n"/>
      <c r="BB958" s="12" t="n"/>
      <c r="BC958" s="12" t="n"/>
      <c r="BD958" s="12" t="n"/>
      <c r="BE958" s="12" t="n"/>
      <c r="BF958" s="12" t="n"/>
    </row>
    <row r="959">
      <c r="A959" s="7">
        <f>IF(B959="","","INS-"&amp;TEXT(ROW()-3,"000"))</f>
        <v/>
      </c>
      <c r="B959" s="11" t="n"/>
      <c r="C959" s="7">
        <f>IF(B959="","",ISOWEEKNUM(B959))</f>
        <v/>
      </c>
      <c r="D959" s="7">
        <f>IF(B959="","",TEXT(B959,"yyyy-mm"))</f>
        <v/>
      </c>
      <c r="E959" s="12" t="n"/>
      <c r="F959" s="12" t="n"/>
      <c r="G959" s="7">
        <f>IF(OR(E959="",F959=""),"",IF(COUNTIF(Cluster_Master!$I$3:$I$17,E959&amp;"|"&amp;F959)=1,"Valid","Review"))</f>
        <v/>
      </c>
      <c r="H959" s="7">
        <f>IF($G959&lt;&gt;"Valid","",VLOOKUP($E959&amp;"|"&amp;$F959,Cluster_Master!$I$3:$H$17,3,FALSE))</f>
        <v/>
      </c>
      <c r="I959" s="7">
        <f>IF($G959&lt;&gt;"Valid","",VLOOKUP($E959&amp;"|"&amp;$F959,Cluster_Master!$I$3:$H$17,4,FALSE))</f>
        <v/>
      </c>
      <c r="J959" s="7">
        <f>IF($G959&lt;&gt;"Valid","",VLOOKUP($E959&amp;"|"&amp;$F959,Cluster_Master!$I$3:$H$17,5,FALSE))</f>
        <v/>
      </c>
      <c r="K959" s="7">
        <f>IF($G959&lt;&gt;"Valid","",VLOOKUP($E959&amp;"|"&amp;$F959,Cluster_Master!$I$3:$H$17,6,FALSE))</f>
        <v/>
      </c>
      <c r="L959" s="7">
        <f>IF($G959&lt;&gt;"Valid","",VLOOKUP($E959&amp;"|"&amp;$F959,Cluster_Master!$I$3:$H$17,7,FALSE))</f>
        <v/>
      </c>
      <c r="M959" s="7">
        <f>IF($G959&lt;&gt;"Valid","",VLOOKUP($E959&amp;"|"&amp;$F959,Cluster_Master!$I$3:$H$17,8,FALSE))</f>
        <v/>
      </c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7">
        <f>IF(COUNT(T959:AH959)=0,"",SUM(T959:AH959))</f>
        <v/>
      </c>
      <c r="AJ959" s="10">
        <f>IF(AI959="","",AI959/75)</f>
        <v/>
      </c>
      <c r="AK959" s="10">
        <f>IF(AI959="","",SUMPRODUCT(T959:AH959,KPI_Weights!$B$3:$B$17)/5)</f>
        <v/>
      </c>
      <c r="AL959" s="7">
        <f>IF(COUNT(T959:AH959)=0,"",IF(OR(T959&lt;=1,W959&lt;=1,X959&lt;=1,Y959&lt;=1,AB959&lt;=1),"YES","NO"))</f>
        <v/>
      </c>
      <c r="AM959" s="7">
        <f>IF(AK959="","",IF(AND(AK959="NO",AJ959&gt;=0.85),"YES","NO"))</f>
        <v/>
      </c>
      <c r="AN959" s="7">
        <f>IF(AJ959="","",IF(AJ959&gt;=0.90,"Excellent",IF(AJ959&gt;=0.80,"Good",IF(AJ959&gt;=0.70,"Fair","Poor"))))</f>
        <v/>
      </c>
      <c r="AO959" s="12" t="n"/>
      <c r="AP959" s="12" t="n"/>
      <c r="AQ959" s="12" t="n"/>
      <c r="AR959" s="12" t="n"/>
      <c r="AS959" s="12" t="n"/>
      <c r="AT959" s="12" t="n"/>
      <c r="AU959" s="12" t="n"/>
      <c r="AV959" s="11" t="n"/>
      <c r="AW959" s="12" t="n"/>
      <c r="AX959" s="12" t="n"/>
      <c r="AY959" s="12" t="n"/>
      <c r="AZ959" s="12" t="n"/>
      <c r="BA959" s="12" t="n"/>
      <c r="BB959" s="12" t="n"/>
      <c r="BC959" s="12" t="n"/>
      <c r="BD959" s="12" t="n"/>
      <c r="BE959" s="12" t="n"/>
      <c r="BF959" s="12" t="n"/>
    </row>
    <row r="960">
      <c r="A960" s="7">
        <f>IF(B960="","","INS-"&amp;TEXT(ROW()-3,"000"))</f>
        <v/>
      </c>
      <c r="B960" s="11" t="n"/>
      <c r="C960" s="7">
        <f>IF(B960="","",ISOWEEKNUM(B960))</f>
        <v/>
      </c>
      <c r="D960" s="7">
        <f>IF(B960="","",TEXT(B960,"yyyy-mm"))</f>
        <v/>
      </c>
      <c r="E960" s="12" t="n"/>
      <c r="F960" s="12" t="n"/>
      <c r="G960" s="7">
        <f>IF(OR(E960="",F960=""),"",IF(COUNTIF(Cluster_Master!$I$3:$I$17,E960&amp;"|"&amp;F960)=1,"Valid","Review"))</f>
        <v/>
      </c>
      <c r="H960" s="7">
        <f>IF($G960&lt;&gt;"Valid","",VLOOKUP($E960&amp;"|"&amp;$F960,Cluster_Master!$I$3:$H$17,3,FALSE))</f>
        <v/>
      </c>
      <c r="I960" s="7">
        <f>IF($G960&lt;&gt;"Valid","",VLOOKUP($E960&amp;"|"&amp;$F960,Cluster_Master!$I$3:$H$17,4,FALSE))</f>
        <v/>
      </c>
      <c r="J960" s="7">
        <f>IF($G960&lt;&gt;"Valid","",VLOOKUP($E960&amp;"|"&amp;$F960,Cluster_Master!$I$3:$H$17,5,FALSE))</f>
        <v/>
      </c>
      <c r="K960" s="7">
        <f>IF($G960&lt;&gt;"Valid","",VLOOKUP($E960&amp;"|"&amp;$F960,Cluster_Master!$I$3:$H$17,6,FALSE))</f>
        <v/>
      </c>
      <c r="L960" s="7">
        <f>IF($G960&lt;&gt;"Valid","",VLOOKUP($E960&amp;"|"&amp;$F960,Cluster_Master!$I$3:$H$17,7,FALSE))</f>
        <v/>
      </c>
      <c r="M960" s="7">
        <f>IF($G960&lt;&gt;"Valid","",VLOOKUP($E960&amp;"|"&amp;$F960,Cluster_Master!$I$3:$H$17,8,FALSE))</f>
        <v/>
      </c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7">
        <f>IF(COUNT(T960:AH960)=0,"",SUM(T960:AH960))</f>
        <v/>
      </c>
      <c r="AJ960" s="10">
        <f>IF(AI960="","",AI960/75)</f>
        <v/>
      </c>
      <c r="AK960" s="10">
        <f>IF(AI960="","",SUMPRODUCT(T960:AH960,KPI_Weights!$B$3:$B$17)/5)</f>
        <v/>
      </c>
      <c r="AL960" s="7">
        <f>IF(COUNT(T960:AH960)=0,"",IF(OR(T960&lt;=1,W960&lt;=1,X960&lt;=1,Y960&lt;=1,AB960&lt;=1),"YES","NO"))</f>
        <v/>
      </c>
      <c r="AM960" s="7">
        <f>IF(AK960="","",IF(AND(AK960="NO",AJ960&gt;=0.85),"YES","NO"))</f>
        <v/>
      </c>
      <c r="AN960" s="7">
        <f>IF(AJ960="","",IF(AJ960&gt;=0.90,"Excellent",IF(AJ960&gt;=0.80,"Good",IF(AJ960&gt;=0.70,"Fair","Poor"))))</f>
        <v/>
      </c>
      <c r="AO960" s="12" t="n"/>
      <c r="AP960" s="12" t="n"/>
      <c r="AQ960" s="12" t="n"/>
      <c r="AR960" s="12" t="n"/>
      <c r="AS960" s="12" t="n"/>
      <c r="AT960" s="12" t="n"/>
      <c r="AU960" s="12" t="n"/>
      <c r="AV960" s="11" t="n"/>
      <c r="AW960" s="12" t="n"/>
      <c r="AX960" s="12" t="n"/>
      <c r="AY960" s="12" t="n"/>
      <c r="AZ960" s="12" t="n"/>
      <c r="BA960" s="12" t="n"/>
      <c r="BB960" s="12" t="n"/>
      <c r="BC960" s="12" t="n"/>
      <c r="BD960" s="12" t="n"/>
      <c r="BE960" s="12" t="n"/>
      <c r="BF960" s="12" t="n"/>
    </row>
    <row r="961">
      <c r="A961" s="7">
        <f>IF(B961="","","INS-"&amp;TEXT(ROW()-3,"000"))</f>
        <v/>
      </c>
      <c r="B961" s="11" t="n"/>
      <c r="C961" s="7">
        <f>IF(B961="","",ISOWEEKNUM(B961))</f>
        <v/>
      </c>
      <c r="D961" s="7">
        <f>IF(B961="","",TEXT(B961,"yyyy-mm"))</f>
        <v/>
      </c>
      <c r="E961" s="12" t="n"/>
      <c r="F961" s="12" t="n"/>
      <c r="G961" s="7">
        <f>IF(OR(E961="",F961=""),"",IF(COUNTIF(Cluster_Master!$I$3:$I$17,E961&amp;"|"&amp;F961)=1,"Valid","Review"))</f>
        <v/>
      </c>
      <c r="H961" s="7">
        <f>IF($G961&lt;&gt;"Valid","",VLOOKUP($E961&amp;"|"&amp;$F961,Cluster_Master!$I$3:$H$17,3,FALSE))</f>
        <v/>
      </c>
      <c r="I961" s="7">
        <f>IF($G961&lt;&gt;"Valid","",VLOOKUP($E961&amp;"|"&amp;$F961,Cluster_Master!$I$3:$H$17,4,FALSE))</f>
        <v/>
      </c>
      <c r="J961" s="7">
        <f>IF($G961&lt;&gt;"Valid","",VLOOKUP($E961&amp;"|"&amp;$F961,Cluster_Master!$I$3:$H$17,5,FALSE))</f>
        <v/>
      </c>
      <c r="K961" s="7">
        <f>IF($G961&lt;&gt;"Valid","",VLOOKUP($E961&amp;"|"&amp;$F961,Cluster_Master!$I$3:$H$17,6,FALSE))</f>
        <v/>
      </c>
      <c r="L961" s="7">
        <f>IF($G961&lt;&gt;"Valid","",VLOOKUP($E961&amp;"|"&amp;$F961,Cluster_Master!$I$3:$H$17,7,FALSE))</f>
        <v/>
      </c>
      <c r="M961" s="7">
        <f>IF($G961&lt;&gt;"Valid","",VLOOKUP($E961&amp;"|"&amp;$F961,Cluster_Master!$I$3:$H$17,8,FALSE))</f>
        <v/>
      </c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7">
        <f>IF(COUNT(T961:AH961)=0,"",SUM(T961:AH961))</f>
        <v/>
      </c>
      <c r="AJ961" s="10">
        <f>IF(AI961="","",AI961/75)</f>
        <v/>
      </c>
      <c r="AK961" s="10">
        <f>IF(AI961="","",SUMPRODUCT(T961:AH961,KPI_Weights!$B$3:$B$17)/5)</f>
        <v/>
      </c>
      <c r="AL961" s="7">
        <f>IF(COUNT(T961:AH961)=0,"",IF(OR(T961&lt;=1,W961&lt;=1,X961&lt;=1,Y961&lt;=1,AB961&lt;=1),"YES","NO"))</f>
        <v/>
      </c>
      <c r="AM961" s="7">
        <f>IF(AK961="","",IF(AND(AK961="NO",AJ961&gt;=0.85),"YES","NO"))</f>
        <v/>
      </c>
      <c r="AN961" s="7">
        <f>IF(AJ961="","",IF(AJ961&gt;=0.90,"Excellent",IF(AJ961&gt;=0.80,"Good",IF(AJ961&gt;=0.70,"Fair","Poor"))))</f>
        <v/>
      </c>
      <c r="AO961" s="12" t="n"/>
      <c r="AP961" s="12" t="n"/>
      <c r="AQ961" s="12" t="n"/>
      <c r="AR961" s="12" t="n"/>
      <c r="AS961" s="12" t="n"/>
      <c r="AT961" s="12" t="n"/>
      <c r="AU961" s="12" t="n"/>
      <c r="AV961" s="11" t="n"/>
      <c r="AW961" s="12" t="n"/>
      <c r="AX961" s="12" t="n"/>
      <c r="AY961" s="12" t="n"/>
      <c r="AZ961" s="12" t="n"/>
      <c r="BA961" s="12" t="n"/>
      <c r="BB961" s="12" t="n"/>
      <c r="BC961" s="12" t="n"/>
      <c r="BD961" s="12" t="n"/>
      <c r="BE961" s="12" t="n"/>
      <c r="BF961" s="12" t="n"/>
    </row>
    <row r="962">
      <c r="A962" s="7">
        <f>IF(B962="","","INS-"&amp;TEXT(ROW()-3,"000"))</f>
        <v/>
      </c>
      <c r="B962" s="11" t="n"/>
      <c r="C962" s="7">
        <f>IF(B962="","",ISOWEEKNUM(B962))</f>
        <v/>
      </c>
      <c r="D962" s="7">
        <f>IF(B962="","",TEXT(B962,"yyyy-mm"))</f>
        <v/>
      </c>
      <c r="E962" s="12" t="n"/>
      <c r="F962" s="12" t="n"/>
      <c r="G962" s="7">
        <f>IF(OR(E962="",F962=""),"",IF(COUNTIF(Cluster_Master!$I$3:$I$17,E962&amp;"|"&amp;F962)=1,"Valid","Review"))</f>
        <v/>
      </c>
      <c r="H962" s="7">
        <f>IF($G962&lt;&gt;"Valid","",VLOOKUP($E962&amp;"|"&amp;$F962,Cluster_Master!$I$3:$H$17,3,FALSE))</f>
        <v/>
      </c>
      <c r="I962" s="7">
        <f>IF($G962&lt;&gt;"Valid","",VLOOKUP($E962&amp;"|"&amp;$F962,Cluster_Master!$I$3:$H$17,4,FALSE))</f>
        <v/>
      </c>
      <c r="J962" s="7">
        <f>IF($G962&lt;&gt;"Valid","",VLOOKUP($E962&amp;"|"&amp;$F962,Cluster_Master!$I$3:$H$17,5,FALSE))</f>
        <v/>
      </c>
      <c r="K962" s="7">
        <f>IF($G962&lt;&gt;"Valid","",VLOOKUP($E962&amp;"|"&amp;$F962,Cluster_Master!$I$3:$H$17,6,FALSE))</f>
        <v/>
      </c>
      <c r="L962" s="7">
        <f>IF($G962&lt;&gt;"Valid","",VLOOKUP($E962&amp;"|"&amp;$F962,Cluster_Master!$I$3:$H$17,7,FALSE))</f>
        <v/>
      </c>
      <c r="M962" s="7">
        <f>IF($G962&lt;&gt;"Valid","",VLOOKUP($E962&amp;"|"&amp;$F962,Cluster_Master!$I$3:$H$17,8,FALSE))</f>
        <v/>
      </c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7">
        <f>IF(COUNT(T962:AH962)=0,"",SUM(T962:AH962))</f>
        <v/>
      </c>
      <c r="AJ962" s="10">
        <f>IF(AI962="","",AI962/75)</f>
        <v/>
      </c>
      <c r="AK962" s="10">
        <f>IF(AI962="","",SUMPRODUCT(T962:AH962,KPI_Weights!$B$3:$B$17)/5)</f>
        <v/>
      </c>
      <c r="AL962" s="7">
        <f>IF(COUNT(T962:AH962)=0,"",IF(OR(T962&lt;=1,W962&lt;=1,X962&lt;=1,Y962&lt;=1,AB962&lt;=1),"YES","NO"))</f>
        <v/>
      </c>
      <c r="AM962" s="7">
        <f>IF(AK962="","",IF(AND(AK962="NO",AJ962&gt;=0.85),"YES","NO"))</f>
        <v/>
      </c>
      <c r="AN962" s="7">
        <f>IF(AJ962="","",IF(AJ962&gt;=0.90,"Excellent",IF(AJ962&gt;=0.80,"Good",IF(AJ962&gt;=0.70,"Fair","Poor"))))</f>
        <v/>
      </c>
      <c r="AO962" s="12" t="n"/>
      <c r="AP962" s="12" t="n"/>
      <c r="AQ962" s="12" t="n"/>
      <c r="AR962" s="12" t="n"/>
      <c r="AS962" s="12" t="n"/>
      <c r="AT962" s="12" t="n"/>
      <c r="AU962" s="12" t="n"/>
      <c r="AV962" s="11" t="n"/>
      <c r="AW962" s="12" t="n"/>
      <c r="AX962" s="12" t="n"/>
      <c r="AY962" s="12" t="n"/>
      <c r="AZ962" s="12" t="n"/>
      <c r="BA962" s="12" t="n"/>
      <c r="BB962" s="12" t="n"/>
      <c r="BC962" s="12" t="n"/>
      <c r="BD962" s="12" t="n"/>
      <c r="BE962" s="12" t="n"/>
      <c r="BF962" s="12" t="n"/>
    </row>
    <row r="963">
      <c r="A963" s="7">
        <f>IF(B963="","","INS-"&amp;TEXT(ROW()-3,"000"))</f>
        <v/>
      </c>
      <c r="B963" s="11" t="n"/>
      <c r="C963" s="7">
        <f>IF(B963="","",ISOWEEKNUM(B963))</f>
        <v/>
      </c>
      <c r="D963" s="7">
        <f>IF(B963="","",TEXT(B963,"yyyy-mm"))</f>
        <v/>
      </c>
      <c r="E963" s="12" t="n"/>
      <c r="F963" s="12" t="n"/>
      <c r="G963" s="7">
        <f>IF(OR(E963="",F963=""),"",IF(COUNTIF(Cluster_Master!$I$3:$I$17,E963&amp;"|"&amp;F963)=1,"Valid","Review"))</f>
        <v/>
      </c>
      <c r="H963" s="7">
        <f>IF($G963&lt;&gt;"Valid","",VLOOKUP($E963&amp;"|"&amp;$F963,Cluster_Master!$I$3:$H$17,3,FALSE))</f>
        <v/>
      </c>
      <c r="I963" s="7">
        <f>IF($G963&lt;&gt;"Valid","",VLOOKUP($E963&amp;"|"&amp;$F963,Cluster_Master!$I$3:$H$17,4,FALSE))</f>
        <v/>
      </c>
      <c r="J963" s="7">
        <f>IF($G963&lt;&gt;"Valid","",VLOOKUP($E963&amp;"|"&amp;$F963,Cluster_Master!$I$3:$H$17,5,FALSE))</f>
        <v/>
      </c>
      <c r="K963" s="7">
        <f>IF($G963&lt;&gt;"Valid","",VLOOKUP($E963&amp;"|"&amp;$F963,Cluster_Master!$I$3:$H$17,6,FALSE))</f>
        <v/>
      </c>
      <c r="L963" s="7">
        <f>IF($G963&lt;&gt;"Valid","",VLOOKUP($E963&amp;"|"&amp;$F963,Cluster_Master!$I$3:$H$17,7,FALSE))</f>
        <v/>
      </c>
      <c r="M963" s="7">
        <f>IF($G963&lt;&gt;"Valid","",VLOOKUP($E963&amp;"|"&amp;$F963,Cluster_Master!$I$3:$H$17,8,FALSE))</f>
        <v/>
      </c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7">
        <f>IF(COUNT(T963:AH963)=0,"",SUM(T963:AH963))</f>
        <v/>
      </c>
      <c r="AJ963" s="10">
        <f>IF(AI963="","",AI963/75)</f>
        <v/>
      </c>
      <c r="AK963" s="10">
        <f>IF(AI963="","",SUMPRODUCT(T963:AH963,KPI_Weights!$B$3:$B$17)/5)</f>
        <v/>
      </c>
      <c r="AL963" s="7">
        <f>IF(COUNT(T963:AH963)=0,"",IF(OR(T963&lt;=1,W963&lt;=1,X963&lt;=1,Y963&lt;=1,AB963&lt;=1),"YES","NO"))</f>
        <v/>
      </c>
      <c r="AM963" s="7">
        <f>IF(AK963="","",IF(AND(AK963="NO",AJ963&gt;=0.85),"YES","NO"))</f>
        <v/>
      </c>
      <c r="AN963" s="7">
        <f>IF(AJ963="","",IF(AJ963&gt;=0.90,"Excellent",IF(AJ963&gt;=0.80,"Good",IF(AJ963&gt;=0.70,"Fair","Poor"))))</f>
        <v/>
      </c>
      <c r="AO963" s="12" t="n"/>
      <c r="AP963" s="12" t="n"/>
      <c r="AQ963" s="12" t="n"/>
      <c r="AR963" s="12" t="n"/>
      <c r="AS963" s="12" t="n"/>
      <c r="AT963" s="12" t="n"/>
      <c r="AU963" s="12" t="n"/>
      <c r="AV963" s="11" t="n"/>
      <c r="AW963" s="12" t="n"/>
      <c r="AX963" s="12" t="n"/>
      <c r="AY963" s="12" t="n"/>
      <c r="AZ963" s="12" t="n"/>
      <c r="BA963" s="12" t="n"/>
      <c r="BB963" s="12" t="n"/>
      <c r="BC963" s="12" t="n"/>
      <c r="BD963" s="12" t="n"/>
      <c r="BE963" s="12" t="n"/>
      <c r="BF963" s="12" t="n"/>
    </row>
    <row r="964">
      <c r="A964" s="7">
        <f>IF(B964="","","INS-"&amp;TEXT(ROW()-3,"000"))</f>
        <v/>
      </c>
      <c r="B964" s="11" t="n"/>
      <c r="C964" s="7">
        <f>IF(B964="","",ISOWEEKNUM(B964))</f>
        <v/>
      </c>
      <c r="D964" s="7">
        <f>IF(B964="","",TEXT(B964,"yyyy-mm"))</f>
        <v/>
      </c>
      <c r="E964" s="12" t="n"/>
      <c r="F964" s="12" t="n"/>
      <c r="G964" s="7">
        <f>IF(OR(E964="",F964=""),"",IF(COUNTIF(Cluster_Master!$I$3:$I$17,E964&amp;"|"&amp;F964)=1,"Valid","Review"))</f>
        <v/>
      </c>
      <c r="H964" s="7">
        <f>IF($G964&lt;&gt;"Valid","",VLOOKUP($E964&amp;"|"&amp;$F964,Cluster_Master!$I$3:$H$17,3,FALSE))</f>
        <v/>
      </c>
      <c r="I964" s="7">
        <f>IF($G964&lt;&gt;"Valid","",VLOOKUP($E964&amp;"|"&amp;$F964,Cluster_Master!$I$3:$H$17,4,FALSE))</f>
        <v/>
      </c>
      <c r="J964" s="7">
        <f>IF($G964&lt;&gt;"Valid","",VLOOKUP($E964&amp;"|"&amp;$F964,Cluster_Master!$I$3:$H$17,5,FALSE))</f>
        <v/>
      </c>
      <c r="K964" s="7">
        <f>IF($G964&lt;&gt;"Valid","",VLOOKUP($E964&amp;"|"&amp;$F964,Cluster_Master!$I$3:$H$17,6,FALSE))</f>
        <v/>
      </c>
      <c r="L964" s="7">
        <f>IF($G964&lt;&gt;"Valid","",VLOOKUP($E964&amp;"|"&amp;$F964,Cluster_Master!$I$3:$H$17,7,FALSE))</f>
        <v/>
      </c>
      <c r="M964" s="7">
        <f>IF($G964&lt;&gt;"Valid","",VLOOKUP($E964&amp;"|"&amp;$F964,Cluster_Master!$I$3:$H$17,8,FALSE))</f>
        <v/>
      </c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7">
        <f>IF(COUNT(T964:AH964)=0,"",SUM(T964:AH964))</f>
        <v/>
      </c>
      <c r="AJ964" s="10">
        <f>IF(AI964="","",AI964/75)</f>
        <v/>
      </c>
      <c r="AK964" s="10">
        <f>IF(AI964="","",SUMPRODUCT(T964:AH964,KPI_Weights!$B$3:$B$17)/5)</f>
        <v/>
      </c>
      <c r="AL964" s="7">
        <f>IF(COUNT(T964:AH964)=0,"",IF(OR(T964&lt;=1,W964&lt;=1,X964&lt;=1,Y964&lt;=1,AB964&lt;=1),"YES","NO"))</f>
        <v/>
      </c>
      <c r="AM964" s="7">
        <f>IF(AK964="","",IF(AND(AK964="NO",AJ964&gt;=0.85),"YES","NO"))</f>
        <v/>
      </c>
      <c r="AN964" s="7">
        <f>IF(AJ964="","",IF(AJ964&gt;=0.90,"Excellent",IF(AJ964&gt;=0.80,"Good",IF(AJ964&gt;=0.70,"Fair","Poor"))))</f>
        <v/>
      </c>
      <c r="AO964" s="12" t="n"/>
      <c r="AP964" s="12" t="n"/>
      <c r="AQ964" s="12" t="n"/>
      <c r="AR964" s="12" t="n"/>
      <c r="AS964" s="12" t="n"/>
      <c r="AT964" s="12" t="n"/>
      <c r="AU964" s="12" t="n"/>
      <c r="AV964" s="11" t="n"/>
      <c r="AW964" s="12" t="n"/>
      <c r="AX964" s="12" t="n"/>
      <c r="AY964" s="12" t="n"/>
      <c r="AZ964" s="12" t="n"/>
      <c r="BA964" s="12" t="n"/>
      <c r="BB964" s="12" t="n"/>
      <c r="BC964" s="12" t="n"/>
      <c r="BD964" s="12" t="n"/>
      <c r="BE964" s="12" t="n"/>
      <c r="BF964" s="12" t="n"/>
    </row>
    <row r="965">
      <c r="A965" s="7">
        <f>IF(B965="","","INS-"&amp;TEXT(ROW()-3,"000"))</f>
        <v/>
      </c>
      <c r="B965" s="11" t="n"/>
      <c r="C965" s="7">
        <f>IF(B965="","",ISOWEEKNUM(B965))</f>
        <v/>
      </c>
      <c r="D965" s="7">
        <f>IF(B965="","",TEXT(B965,"yyyy-mm"))</f>
        <v/>
      </c>
      <c r="E965" s="12" t="n"/>
      <c r="F965" s="12" t="n"/>
      <c r="G965" s="7">
        <f>IF(OR(E965="",F965=""),"",IF(COUNTIF(Cluster_Master!$I$3:$I$17,E965&amp;"|"&amp;F965)=1,"Valid","Review"))</f>
        <v/>
      </c>
      <c r="H965" s="7">
        <f>IF($G965&lt;&gt;"Valid","",VLOOKUP($E965&amp;"|"&amp;$F965,Cluster_Master!$I$3:$H$17,3,FALSE))</f>
        <v/>
      </c>
      <c r="I965" s="7">
        <f>IF($G965&lt;&gt;"Valid","",VLOOKUP($E965&amp;"|"&amp;$F965,Cluster_Master!$I$3:$H$17,4,FALSE))</f>
        <v/>
      </c>
      <c r="J965" s="7">
        <f>IF($G965&lt;&gt;"Valid","",VLOOKUP($E965&amp;"|"&amp;$F965,Cluster_Master!$I$3:$H$17,5,FALSE))</f>
        <v/>
      </c>
      <c r="K965" s="7">
        <f>IF($G965&lt;&gt;"Valid","",VLOOKUP($E965&amp;"|"&amp;$F965,Cluster_Master!$I$3:$H$17,6,FALSE))</f>
        <v/>
      </c>
      <c r="L965" s="7">
        <f>IF($G965&lt;&gt;"Valid","",VLOOKUP($E965&amp;"|"&amp;$F965,Cluster_Master!$I$3:$H$17,7,FALSE))</f>
        <v/>
      </c>
      <c r="M965" s="7">
        <f>IF($G965&lt;&gt;"Valid","",VLOOKUP($E965&amp;"|"&amp;$F965,Cluster_Master!$I$3:$H$17,8,FALSE))</f>
        <v/>
      </c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7">
        <f>IF(COUNT(T965:AH965)=0,"",SUM(T965:AH965))</f>
        <v/>
      </c>
      <c r="AJ965" s="10">
        <f>IF(AI965="","",AI965/75)</f>
        <v/>
      </c>
      <c r="AK965" s="10">
        <f>IF(AI965="","",SUMPRODUCT(T965:AH965,KPI_Weights!$B$3:$B$17)/5)</f>
        <v/>
      </c>
      <c r="AL965" s="7">
        <f>IF(COUNT(T965:AH965)=0,"",IF(OR(T965&lt;=1,W965&lt;=1,X965&lt;=1,Y965&lt;=1,AB965&lt;=1),"YES","NO"))</f>
        <v/>
      </c>
      <c r="AM965" s="7">
        <f>IF(AK965="","",IF(AND(AK965="NO",AJ965&gt;=0.85),"YES","NO"))</f>
        <v/>
      </c>
      <c r="AN965" s="7">
        <f>IF(AJ965="","",IF(AJ965&gt;=0.90,"Excellent",IF(AJ965&gt;=0.80,"Good",IF(AJ965&gt;=0.70,"Fair","Poor"))))</f>
        <v/>
      </c>
      <c r="AO965" s="12" t="n"/>
      <c r="AP965" s="12" t="n"/>
      <c r="AQ965" s="12" t="n"/>
      <c r="AR965" s="12" t="n"/>
      <c r="AS965" s="12" t="n"/>
      <c r="AT965" s="12" t="n"/>
      <c r="AU965" s="12" t="n"/>
      <c r="AV965" s="11" t="n"/>
      <c r="AW965" s="12" t="n"/>
      <c r="AX965" s="12" t="n"/>
      <c r="AY965" s="12" t="n"/>
      <c r="AZ965" s="12" t="n"/>
      <c r="BA965" s="12" t="n"/>
      <c r="BB965" s="12" t="n"/>
      <c r="BC965" s="12" t="n"/>
      <c r="BD965" s="12" t="n"/>
      <c r="BE965" s="12" t="n"/>
      <c r="BF965" s="12" t="n"/>
    </row>
    <row r="966">
      <c r="A966" s="7">
        <f>IF(B966="","","INS-"&amp;TEXT(ROW()-3,"000"))</f>
        <v/>
      </c>
      <c r="B966" s="11" t="n"/>
      <c r="C966" s="7">
        <f>IF(B966="","",ISOWEEKNUM(B966))</f>
        <v/>
      </c>
      <c r="D966" s="7">
        <f>IF(B966="","",TEXT(B966,"yyyy-mm"))</f>
        <v/>
      </c>
      <c r="E966" s="12" t="n"/>
      <c r="F966" s="12" t="n"/>
      <c r="G966" s="7">
        <f>IF(OR(E966="",F966=""),"",IF(COUNTIF(Cluster_Master!$I$3:$I$17,E966&amp;"|"&amp;F966)=1,"Valid","Review"))</f>
        <v/>
      </c>
      <c r="H966" s="7">
        <f>IF($G966&lt;&gt;"Valid","",VLOOKUP($E966&amp;"|"&amp;$F966,Cluster_Master!$I$3:$H$17,3,FALSE))</f>
        <v/>
      </c>
      <c r="I966" s="7">
        <f>IF($G966&lt;&gt;"Valid","",VLOOKUP($E966&amp;"|"&amp;$F966,Cluster_Master!$I$3:$H$17,4,FALSE))</f>
        <v/>
      </c>
      <c r="J966" s="7">
        <f>IF($G966&lt;&gt;"Valid","",VLOOKUP($E966&amp;"|"&amp;$F966,Cluster_Master!$I$3:$H$17,5,FALSE))</f>
        <v/>
      </c>
      <c r="K966" s="7">
        <f>IF($G966&lt;&gt;"Valid","",VLOOKUP($E966&amp;"|"&amp;$F966,Cluster_Master!$I$3:$H$17,6,FALSE))</f>
        <v/>
      </c>
      <c r="L966" s="7">
        <f>IF($G966&lt;&gt;"Valid","",VLOOKUP($E966&amp;"|"&amp;$F966,Cluster_Master!$I$3:$H$17,7,FALSE))</f>
        <v/>
      </c>
      <c r="M966" s="7">
        <f>IF($G966&lt;&gt;"Valid","",VLOOKUP($E966&amp;"|"&amp;$F966,Cluster_Master!$I$3:$H$17,8,FALSE))</f>
        <v/>
      </c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7">
        <f>IF(COUNT(T966:AH966)=0,"",SUM(T966:AH966))</f>
        <v/>
      </c>
      <c r="AJ966" s="10">
        <f>IF(AI966="","",AI966/75)</f>
        <v/>
      </c>
      <c r="AK966" s="10">
        <f>IF(AI966="","",SUMPRODUCT(T966:AH966,KPI_Weights!$B$3:$B$17)/5)</f>
        <v/>
      </c>
      <c r="AL966" s="7">
        <f>IF(COUNT(T966:AH966)=0,"",IF(OR(T966&lt;=1,W966&lt;=1,X966&lt;=1,Y966&lt;=1,AB966&lt;=1),"YES","NO"))</f>
        <v/>
      </c>
      <c r="AM966" s="7">
        <f>IF(AK966="","",IF(AND(AK966="NO",AJ966&gt;=0.85),"YES","NO"))</f>
        <v/>
      </c>
      <c r="AN966" s="7">
        <f>IF(AJ966="","",IF(AJ966&gt;=0.90,"Excellent",IF(AJ966&gt;=0.80,"Good",IF(AJ966&gt;=0.70,"Fair","Poor"))))</f>
        <v/>
      </c>
      <c r="AO966" s="12" t="n"/>
      <c r="AP966" s="12" t="n"/>
      <c r="AQ966" s="12" t="n"/>
      <c r="AR966" s="12" t="n"/>
      <c r="AS966" s="12" t="n"/>
      <c r="AT966" s="12" t="n"/>
      <c r="AU966" s="12" t="n"/>
      <c r="AV966" s="11" t="n"/>
      <c r="AW966" s="12" t="n"/>
      <c r="AX966" s="12" t="n"/>
      <c r="AY966" s="12" t="n"/>
      <c r="AZ966" s="12" t="n"/>
      <c r="BA966" s="12" t="n"/>
      <c r="BB966" s="12" t="n"/>
      <c r="BC966" s="12" t="n"/>
      <c r="BD966" s="12" t="n"/>
      <c r="BE966" s="12" t="n"/>
      <c r="BF966" s="12" t="n"/>
    </row>
    <row r="967">
      <c r="A967" s="7">
        <f>IF(B967="","","INS-"&amp;TEXT(ROW()-3,"000"))</f>
        <v/>
      </c>
      <c r="B967" s="11" t="n"/>
      <c r="C967" s="7">
        <f>IF(B967="","",ISOWEEKNUM(B967))</f>
        <v/>
      </c>
      <c r="D967" s="7">
        <f>IF(B967="","",TEXT(B967,"yyyy-mm"))</f>
        <v/>
      </c>
      <c r="E967" s="12" t="n"/>
      <c r="F967" s="12" t="n"/>
      <c r="G967" s="7">
        <f>IF(OR(E967="",F967=""),"",IF(COUNTIF(Cluster_Master!$I$3:$I$17,E967&amp;"|"&amp;F967)=1,"Valid","Review"))</f>
        <v/>
      </c>
      <c r="H967" s="7">
        <f>IF($G967&lt;&gt;"Valid","",VLOOKUP($E967&amp;"|"&amp;$F967,Cluster_Master!$I$3:$H$17,3,FALSE))</f>
        <v/>
      </c>
      <c r="I967" s="7">
        <f>IF($G967&lt;&gt;"Valid","",VLOOKUP($E967&amp;"|"&amp;$F967,Cluster_Master!$I$3:$H$17,4,FALSE))</f>
        <v/>
      </c>
      <c r="J967" s="7">
        <f>IF($G967&lt;&gt;"Valid","",VLOOKUP($E967&amp;"|"&amp;$F967,Cluster_Master!$I$3:$H$17,5,FALSE))</f>
        <v/>
      </c>
      <c r="K967" s="7">
        <f>IF($G967&lt;&gt;"Valid","",VLOOKUP($E967&amp;"|"&amp;$F967,Cluster_Master!$I$3:$H$17,6,FALSE))</f>
        <v/>
      </c>
      <c r="L967" s="7">
        <f>IF($G967&lt;&gt;"Valid","",VLOOKUP($E967&amp;"|"&amp;$F967,Cluster_Master!$I$3:$H$17,7,FALSE))</f>
        <v/>
      </c>
      <c r="M967" s="7">
        <f>IF($G967&lt;&gt;"Valid","",VLOOKUP($E967&amp;"|"&amp;$F967,Cluster_Master!$I$3:$H$17,8,FALSE))</f>
        <v/>
      </c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7">
        <f>IF(COUNT(T967:AH967)=0,"",SUM(T967:AH967))</f>
        <v/>
      </c>
      <c r="AJ967" s="10">
        <f>IF(AI967="","",AI967/75)</f>
        <v/>
      </c>
      <c r="AK967" s="10">
        <f>IF(AI967="","",SUMPRODUCT(T967:AH967,KPI_Weights!$B$3:$B$17)/5)</f>
        <v/>
      </c>
      <c r="AL967" s="7">
        <f>IF(COUNT(T967:AH967)=0,"",IF(OR(T967&lt;=1,W967&lt;=1,X967&lt;=1,Y967&lt;=1,AB967&lt;=1),"YES","NO"))</f>
        <v/>
      </c>
      <c r="AM967" s="7">
        <f>IF(AK967="","",IF(AND(AK967="NO",AJ967&gt;=0.85),"YES","NO"))</f>
        <v/>
      </c>
      <c r="AN967" s="7">
        <f>IF(AJ967="","",IF(AJ967&gt;=0.90,"Excellent",IF(AJ967&gt;=0.80,"Good",IF(AJ967&gt;=0.70,"Fair","Poor"))))</f>
        <v/>
      </c>
      <c r="AO967" s="12" t="n"/>
      <c r="AP967" s="12" t="n"/>
      <c r="AQ967" s="12" t="n"/>
      <c r="AR967" s="12" t="n"/>
      <c r="AS967" s="12" t="n"/>
      <c r="AT967" s="12" t="n"/>
      <c r="AU967" s="12" t="n"/>
      <c r="AV967" s="11" t="n"/>
      <c r="AW967" s="12" t="n"/>
      <c r="AX967" s="12" t="n"/>
      <c r="AY967" s="12" t="n"/>
      <c r="AZ967" s="12" t="n"/>
      <c r="BA967" s="12" t="n"/>
      <c r="BB967" s="12" t="n"/>
      <c r="BC967" s="12" t="n"/>
      <c r="BD967" s="12" t="n"/>
      <c r="BE967" s="12" t="n"/>
      <c r="BF967" s="12" t="n"/>
    </row>
    <row r="968">
      <c r="A968" s="7">
        <f>IF(B968="","","INS-"&amp;TEXT(ROW()-3,"000"))</f>
        <v/>
      </c>
      <c r="B968" s="11" t="n"/>
      <c r="C968" s="7">
        <f>IF(B968="","",ISOWEEKNUM(B968))</f>
        <v/>
      </c>
      <c r="D968" s="7">
        <f>IF(B968="","",TEXT(B968,"yyyy-mm"))</f>
        <v/>
      </c>
      <c r="E968" s="12" t="n"/>
      <c r="F968" s="12" t="n"/>
      <c r="G968" s="7">
        <f>IF(OR(E968="",F968=""),"",IF(COUNTIF(Cluster_Master!$I$3:$I$17,E968&amp;"|"&amp;F968)=1,"Valid","Review"))</f>
        <v/>
      </c>
      <c r="H968" s="7">
        <f>IF($G968&lt;&gt;"Valid","",VLOOKUP($E968&amp;"|"&amp;$F968,Cluster_Master!$I$3:$H$17,3,FALSE))</f>
        <v/>
      </c>
      <c r="I968" s="7">
        <f>IF($G968&lt;&gt;"Valid","",VLOOKUP($E968&amp;"|"&amp;$F968,Cluster_Master!$I$3:$H$17,4,FALSE))</f>
        <v/>
      </c>
      <c r="J968" s="7">
        <f>IF($G968&lt;&gt;"Valid","",VLOOKUP($E968&amp;"|"&amp;$F968,Cluster_Master!$I$3:$H$17,5,FALSE))</f>
        <v/>
      </c>
      <c r="K968" s="7">
        <f>IF($G968&lt;&gt;"Valid","",VLOOKUP($E968&amp;"|"&amp;$F968,Cluster_Master!$I$3:$H$17,6,FALSE))</f>
        <v/>
      </c>
      <c r="L968" s="7">
        <f>IF($G968&lt;&gt;"Valid","",VLOOKUP($E968&amp;"|"&amp;$F968,Cluster_Master!$I$3:$H$17,7,FALSE))</f>
        <v/>
      </c>
      <c r="M968" s="7">
        <f>IF($G968&lt;&gt;"Valid","",VLOOKUP($E968&amp;"|"&amp;$F968,Cluster_Master!$I$3:$H$17,8,FALSE))</f>
        <v/>
      </c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7">
        <f>IF(COUNT(T968:AH968)=0,"",SUM(T968:AH968))</f>
        <v/>
      </c>
      <c r="AJ968" s="10">
        <f>IF(AI968="","",AI968/75)</f>
        <v/>
      </c>
      <c r="AK968" s="10">
        <f>IF(AI968="","",SUMPRODUCT(T968:AH968,KPI_Weights!$B$3:$B$17)/5)</f>
        <v/>
      </c>
      <c r="AL968" s="7">
        <f>IF(COUNT(T968:AH968)=0,"",IF(OR(T968&lt;=1,W968&lt;=1,X968&lt;=1,Y968&lt;=1,AB968&lt;=1),"YES","NO"))</f>
        <v/>
      </c>
      <c r="AM968" s="7">
        <f>IF(AK968="","",IF(AND(AK968="NO",AJ968&gt;=0.85),"YES","NO"))</f>
        <v/>
      </c>
      <c r="AN968" s="7">
        <f>IF(AJ968="","",IF(AJ968&gt;=0.90,"Excellent",IF(AJ968&gt;=0.80,"Good",IF(AJ968&gt;=0.70,"Fair","Poor"))))</f>
        <v/>
      </c>
      <c r="AO968" s="12" t="n"/>
      <c r="AP968" s="12" t="n"/>
      <c r="AQ968" s="12" t="n"/>
      <c r="AR968" s="12" t="n"/>
      <c r="AS968" s="12" t="n"/>
      <c r="AT968" s="12" t="n"/>
      <c r="AU968" s="12" t="n"/>
      <c r="AV968" s="11" t="n"/>
      <c r="AW968" s="12" t="n"/>
      <c r="AX968" s="12" t="n"/>
      <c r="AY968" s="12" t="n"/>
      <c r="AZ968" s="12" t="n"/>
      <c r="BA968" s="12" t="n"/>
      <c r="BB968" s="12" t="n"/>
      <c r="BC968" s="12" t="n"/>
      <c r="BD968" s="12" t="n"/>
      <c r="BE968" s="12" t="n"/>
      <c r="BF968" s="12" t="n"/>
    </row>
    <row r="969">
      <c r="A969" s="7">
        <f>IF(B969="","","INS-"&amp;TEXT(ROW()-3,"000"))</f>
        <v/>
      </c>
      <c r="B969" s="11" t="n"/>
      <c r="C969" s="7">
        <f>IF(B969="","",ISOWEEKNUM(B969))</f>
        <v/>
      </c>
      <c r="D969" s="7">
        <f>IF(B969="","",TEXT(B969,"yyyy-mm"))</f>
        <v/>
      </c>
      <c r="E969" s="12" t="n"/>
      <c r="F969" s="12" t="n"/>
      <c r="G969" s="7">
        <f>IF(OR(E969="",F969=""),"",IF(COUNTIF(Cluster_Master!$I$3:$I$17,E969&amp;"|"&amp;F969)=1,"Valid","Review"))</f>
        <v/>
      </c>
      <c r="H969" s="7">
        <f>IF($G969&lt;&gt;"Valid","",VLOOKUP($E969&amp;"|"&amp;$F969,Cluster_Master!$I$3:$H$17,3,FALSE))</f>
        <v/>
      </c>
      <c r="I969" s="7">
        <f>IF($G969&lt;&gt;"Valid","",VLOOKUP($E969&amp;"|"&amp;$F969,Cluster_Master!$I$3:$H$17,4,FALSE))</f>
        <v/>
      </c>
      <c r="J969" s="7">
        <f>IF($G969&lt;&gt;"Valid","",VLOOKUP($E969&amp;"|"&amp;$F969,Cluster_Master!$I$3:$H$17,5,FALSE))</f>
        <v/>
      </c>
      <c r="K969" s="7">
        <f>IF($G969&lt;&gt;"Valid","",VLOOKUP($E969&amp;"|"&amp;$F969,Cluster_Master!$I$3:$H$17,6,FALSE))</f>
        <v/>
      </c>
      <c r="L969" s="7">
        <f>IF($G969&lt;&gt;"Valid","",VLOOKUP($E969&amp;"|"&amp;$F969,Cluster_Master!$I$3:$H$17,7,FALSE))</f>
        <v/>
      </c>
      <c r="M969" s="7">
        <f>IF($G969&lt;&gt;"Valid","",VLOOKUP($E969&amp;"|"&amp;$F969,Cluster_Master!$I$3:$H$17,8,FALSE))</f>
        <v/>
      </c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7">
        <f>IF(COUNT(T969:AH969)=0,"",SUM(T969:AH969))</f>
        <v/>
      </c>
      <c r="AJ969" s="10">
        <f>IF(AI969="","",AI969/75)</f>
        <v/>
      </c>
      <c r="AK969" s="10">
        <f>IF(AI969="","",SUMPRODUCT(T969:AH969,KPI_Weights!$B$3:$B$17)/5)</f>
        <v/>
      </c>
      <c r="AL969" s="7">
        <f>IF(COUNT(T969:AH969)=0,"",IF(OR(T969&lt;=1,W969&lt;=1,X969&lt;=1,Y969&lt;=1,AB969&lt;=1),"YES","NO"))</f>
        <v/>
      </c>
      <c r="AM969" s="7">
        <f>IF(AK969="","",IF(AND(AK969="NO",AJ969&gt;=0.85),"YES","NO"))</f>
        <v/>
      </c>
      <c r="AN969" s="7">
        <f>IF(AJ969="","",IF(AJ969&gt;=0.90,"Excellent",IF(AJ969&gt;=0.80,"Good",IF(AJ969&gt;=0.70,"Fair","Poor"))))</f>
        <v/>
      </c>
      <c r="AO969" s="12" t="n"/>
      <c r="AP969" s="12" t="n"/>
      <c r="AQ969" s="12" t="n"/>
      <c r="AR969" s="12" t="n"/>
      <c r="AS969" s="12" t="n"/>
      <c r="AT969" s="12" t="n"/>
      <c r="AU969" s="12" t="n"/>
      <c r="AV969" s="11" t="n"/>
      <c r="AW969" s="12" t="n"/>
      <c r="AX969" s="12" t="n"/>
      <c r="AY969" s="12" t="n"/>
      <c r="AZ969" s="12" t="n"/>
      <c r="BA969" s="12" t="n"/>
      <c r="BB969" s="12" t="n"/>
      <c r="BC969" s="12" t="n"/>
      <c r="BD969" s="12" t="n"/>
      <c r="BE969" s="12" t="n"/>
      <c r="BF969" s="12" t="n"/>
    </row>
    <row r="970">
      <c r="A970" s="7">
        <f>IF(B970="","","INS-"&amp;TEXT(ROW()-3,"000"))</f>
        <v/>
      </c>
      <c r="B970" s="11" t="n"/>
      <c r="C970" s="7">
        <f>IF(B970="","",ISOWEEKNUM(B970))</f>
        <v/>
      </c>
      <c r="D970" s="7">
        <f>IF(B970="","",TEXT(B970,"yyyy-mm"))</f>
        <v/>
      </c>
      <c r="E970" s="12" t="n"/>
      <c r="F970" s="12" t="n"/>
      <c r="G970" s="7">
        <f>IF(OR(E970="",F970=""),"",IF(COUNTIF(Cluster_Master!$I$3:$I$17,E970&amp;"|"&amp;F970)=1,"Valid","Review"))</f>
        <v/>
      </c>
      <c r="H970" s="7">
        <f>IF($G970&lt;&gt;"Valid","",VLOOKUP($E970&amp;"|"&amp;$F970,Cluster_Master!$I$3:$H$17,3,FALSE))</f>
        <v/>
      </c>
      <c r="I970" s="7">
        <f>IF($G970&lt;&gt;"Valid","",VLOOKUP($E970&amp;"|"&amp;$F970,Cluster_Master!$I$3:$H$17,4,FALSE))</f>
        <v/>
      </c>
      <c r="J970" s="7">
        <f>IF($G970&lt;&gt;"Valid","",VLOOKUP($E970&amp;"|"&amp;$F970,Cluster_Master!$I$3:$H$17,5,FALSE))</f>
        <v/>
      </c>
      <c r="K970" s="7">
        <f>IF($G970&lt;&gt;"Valid","",VLOOKUP($E970&amp;"|"&amp;$F970,Cluster_Master!$I$3:$H$17,6,FALSE))</f>
        <v/>
      </c>
      <c r="L970" s="7">
        <f>IF($G970&lt;&gt;"Valid","",VLOOKUP($E970&amp;"|"&amp;$F970,Cluster_Master!$I$3:$H$17,7,FALSE))</f>
        <v/>
      </c>
      <c r="M970" s="7">
        <f>IF($G970&lt;&gt;"Valid","",VLOOKUP($E970&amp;"|"&amp;$F970,Cluster_Master!$I$3:$H$17,8,FALSE))</f>
        <v/>
      </c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7">
        <f>IF(COUNT(T970:AH970)=0,"",SUM(T970:AH970))</f>
        <v/>
      </c>
      <c r="AJ970" s="10">
        <f>IF(AI970="","",AI970/75)</f>
        <v/>
      </c>
      <c r="AK970" s="10">
        <f>IF(AI970="","",SUMPRODUCT(T970:AH970,KPI_Weights!$B$3:$B$17)/5)</f>
        <v/>
      </c>
      <c r="AL970" s="7">
        <f>IF(COUNT(T970:AH970)=0,"",IF(OR(T970&lt;=1,W970&lt;=1,X970&lt;=1,Y970&lt;=1,AB970&lt;=1),"YES","NO"))</f>
        <v/>
      </c>
      <c r="AM970" s="7">
        <f>IF(AK970="","",IF(AND(AK970="NO",AJ970&gt;=0.85),"YES","NO"))</f>
        <v/>
      </c>
      <c r="AN970" s="7">
        <f>IF(AJ970="","",IF(AJ970&gt;=0.90,"Excellent",IF(AJ970&gt;=0.80,"Good",IF(AJ970&gt;=0.70,"Fair","Poor"))))</f>
        <v/>
      </c>
      <c r="AO970" s="12" t="n"/>
      <c r="AP970" s="12" t="n"/>
      <c r="AQ970" s="12" t="n"/>
      <c r="AR970" s="12" t="n"/>
      <c r="AS970" s="12" t="n"/>
      <c r="AT970" s="12" t="n"/>
      <c r="AU970" s="12" t="n"/>
      <c r="AV970" s="11" t="n"/>
      <c r="AW970" s="12" t="n"/>
      <c r="AX970" s="12" t="n"/>
      <c r="AY970" s="12" t="n"/>
      <c r="AZ970" s="12" t="n"/>
      <c r="BA970" s="12" t="n"/>
      <c r="BB970" s="12" t="n"/>
      <c r="BC970" s="12" t="n"/>
      <c r="BD970" s="12" t="n"/>
      <c r="BE970" s="12" t="n"/>
      <c r="BF970" s="12" t="n"/>
    </row>
    <row r="971">
      <c r="A971" s="7">
        <f>IF(B971="","","INS-"&amp;TEXT(ROW()-3,"000"))</f>
        <v/>
      </c>
      <c r="B971" s="11" t="n"/>
      <c r="C971" s="7">
        <f>IF(B971="","",ISOWEEKNUM(B971))</f>
        <v/>
      </c>
      <c r="D971" s="7">
        <f>IF(B971="","",TEXT(B971,"yyyy-mm"))</f>
        <v/>
      </c>
      <c r="E971" s="12" t="n"/>
      <c r="F971" s="12" t="n"/>
      <c r="G971" s="7">
        <f>IF(OR(E971="",F971=""),"",IF(COUNTIF(Cluster_Master!$I$3:$I$17,E971&amp;"|"&amp;F971)=1,"Valid","Review"))</f>
        <v/>
      </c>
      <c r="H971" s="7">
        <f>IF($G971&lt;&gt;"Valid","",VLOOKUP($E971&amp;"|"&amp;$F971,Cluster_Master!$I$3:$H$17,3,FALSE))</f>
        <v/>
      </c>
      <c r="I971" s="7">
        <f>IF($G971&lt;&gt;"Valid","",VLOOKUP($E971&amp;"|"&amp;$F971,Cluster_Master!$I$3:$H$17,4,FALSE))</f>
        <v/>
      </c>
      <c r="J971" s="7">
        <f>IF($G971&lt;&gt;"Valid","",VLOOKUP($E971&amp;"|"&amp;$F971,Cluster_Master!$I$3:$H$17,5,FALSE))</f>
        <v/>
      </c>
      <c r="K971" s="7">
        <f>IF($G971&lt;&gt;"Valid","",VLOOKUP($E971&amp;"|"&amp;$F971,Cluster_Master!$I$3:$H$17,6,FALSE))</f>
        <v/>
      </c>
      <c r="L971" s="7">
        <f>IF($G971&lt;&gt;"Valid","",VLOOKUP($E971&amp;"|"&amp;$F971,Cluster_Master!$I$3:$H$17,7,FALSE))</f>
        <v/>
      </c>
      <c r="M971" s="7">
        <f>IF($G971&lt;&gt;"Valid","",VLOOKUP($E971&amp;"|"&amp;$F971,Cluster_Master!$I$3:$H$17,8,FALSE))</f>
        <v/>
      </c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7">
        <f>IF(COUNT(T971:AH971)=0,"",SUM(T971:AH971))</f>
        <v/>
      </c>
      <c r="AJ971" s="10">
        <f>IF(AI971="","",AI971/75)</f>
        <v/>
      </c>
      <c r="AK971" s="10">
        <f>IF(AI971="","",SUMPRODUCT(T971:AH971,KPI_Weights!$B$3:$B$17)/5)</f>
        <v/>
      </c>
      <c r="AL971" s="7">
        <f>IF(COUNT(T971:AH971)=0,"",IF(OR(T971&lt;=1,W971&lt;=1,X971&lt;=1,Y971&lt;=1,AB971&lt;=1),"YES","NO"))</f>
        <v/>
      </c>
      <c r="AM971" s="7">
        <f>IF(AK971="","",IF(AND(AK971="NO",AJ971&gt;=0.85),"YES","NO"))</f>
        <v/>
      </c>
      <c r="AN971" s="7">
        <f>IF(AJ971="","",IF(AJ971&gt;=0.90,"Excellent",IF(AJ971&gt;=0.80,"Good",IF(AJ971&gt;=0.70,"Fair","Poor"))))</f>
        <v/>
      </c>
      <c r="AO971" s="12" t="n"/>
      <c r="AP971" s="12" t="n"/>
      <c r="AQ971" s="12" t="n"/>
      <c r="AR971" s="12" t="n"/>
      <c r="AS971" s="12" t="n"/>
      <c r="AT971" s="12" t="n"/>
      <c r="AU971" s="12" t="n"/>
      <c r="AV971" s="11" t="n"/>
      <c r="AW971" s="12" t="n"/>
      <c r="AX971" s="12" t="n"/>
      <c r="AY971" s="12" t="n"/>
      <c r="AZ971" s="12" t="n"/>
      <c r="BA971" s="12" t="n"/>
      <c r="BB971" s="12" t="n"/>
      <c r="BC971" s="12" t="n"/>
      <c r="BD971" s="12" t="n"/>
      <c r="BE971" s="12" t="n"/>
      <c r="BF971" s="12" t="n"/>
    </row>
    <row r="972">
      <c r="A972" s="7">
        <f>IF(B972="","","INS-"&amp;TEXT(ROW()-3,"000"))</f>
        <v/>
      </c>
      <c r="B972" s="11" t="n"/>
      <c r="C972" s="7">
        <f>IF(B972="","",ISOWEEKNUM(B972))</f>
        <v/>
      </c>
      <c r="D972" s="7">
        <f>IF(B972="","",TEXT(B972,"yyyy-mm"))</f>
        <v/>
      </c>
      <c r="E972" s="12" t="n"/>
      <c r="F972" s="12" t="n"/>
      <c r="G972" s="7">
        <f>IF(OR(E972="",F972=""),"",IF(COUNTIF(Cluster_Master!$I$3:$I$17,E972&amp;"|"&amp;F972)=1,"Valid","Review"))</f>
        <v/>
      </c>
      <c r="H972" s="7">
        <f>IF($G972&lt;&gt;"Valid","",VLOOKUP($E972&amp;"|"&amp;$F972,Cluster_Master!$I$3:$H$17,3,FALSE))</f>
        <v/>
      </c>
      <c r="I972" s="7">
        <f>IF($G972&lt;&gt;"Valid","",VLOOKUP($E972&amp;"|"&amp;$F972,Cluster_Master!$I$3:$H$17,4,FALSE))</f>
        <v/>
      </c>
      <c r="J972" s="7">
        <f>IF($G972&lt;&gt;"Valid","",VLOOKUP($E972&amp;"|"&amp;$F972,Cluster_Master!$I$3:$H$17,5,FALSE))</f>
        <v/>
      </c>
      <c r="K972" s="7">
        <f>IF($G972&lt;&gt;"Valid","",VLOOKUP($E972&amp;"|"&amp;$F972,Cluster_Master!$I$3:$H$17,6,FALSE))</f>
        <v/>
      </c>
      <c r="L972" s="7">
        <f>IF($G972&lt;&gt;"Valid","",VLOOKUP($E972&amp;"|"&amp;$F972,Cluster_Master!$I$3:$H$17,7,FALSE))</f>
        <v/>
      </c>
      <c r="M972" s="7">
        <f>IF($G972&lt;&gt;"Valid","",VLOOKUP($E972&amp;"|"&amp;$F972,Cluster_Master!$I$3:$H$17,8,FALSE))</f>
        <v/>
      </c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7">
        <f>IF(COUNT(T972:AH972)=0,"",SUM(T972:AH972))</f>
        <v/>
      </c>
      <c r="AJ972" s="10">
        <f>IF(AI972="","",AI972/75)</f>
        <v/>
      </c>
      <c r="AK972" s="10">
        <f>IF(AI972="","",SUMPRODUCT(T972:AH972,KPI_Weights!$B$3:$B$17)/5)</f>
        <v/>
      </c>
      <c r="AL972" s="7">
        <f>IF(COUNT(T972:AH972)=0,"",IF(OR(T972&lt;=1,W972&lt;=1,X972&lt;=1,Y972&lt;=1,AB972&lt;=1),"YES","NO"))</f>
        <v/>
      </c>
      <c r="AM972" s="7">
        <f>IF(AK972="","",IF(AND(AK972="NO",AJ972&gt;=0.85),"YES","NO"))</f>
        <v/>
      </c>
      <c r="AN972" s="7">
        <f>IF(AJ972="","",IF(AJ972&gt;=0.90,"Excellent",IF(AJ972&gt;=0.80,"Good",IF(AJ972&gt;=0.70,"Fair","Poor"))))</f>
        <v/>
      </c>
      <c r="AO972" s="12" t="n"/>
      <c r="AP972" s="12" t="n"/>
      <c r="AQ972" s="12" t="n"/>
      <c r="AR972" s="12" t="n"/>
      <c r="AS972" s="12" t="n"/>
      <c r="AT972" s="12" t="n"/>
      <c r="AU972" s="12" t="n"/>
      <c r="AV972" s="11" t="n"/>
      <c r="AW972" s="12" t="n"/>
      <c r="AX972" s="12" t="n"/>
      <c r="AY972" s="12" t="n"/>
      <c r="AZ972" s="12" t="n"/>
      <c r="BA972" s="12" t="n"/>
      <c r="BB972" s="12" t="n"/>
      <c r="BC972" s="12" t="n"/>
      <c r="BD972" s="12" t="n"/>
      <c r="BE972" s="12" t="n"/>
      <c r="BF972" s="12" t="n"/>
    </row>
    <row r="973">
      <c r="A973" s="7">
        <f>IF(B973="","","INS-"&amp;TEXT(ROW()-3,"000"))</f>
        <v/>
      </c>
      <c r="B973" s="11" t="n"/>
      <c r="C973" s="7">
        <f>IF(B973="","",ISOWEEKNUM(B973))</f>
        <v/>
      </c>
      <c r="D973" s="7">
        <f>IF(B973="","",TEXT(B973,"yyyy-mm"))</f>
        <v/>
      </c>
      <c r="E973" s="12" t="n"/>
      <c r="F973" s="12" t="n"/>
      <c r="G973" s="7">
        <f>IF(OR(E973="",F973=""),"",IF(COUNTIF(Cluster_Master!$I$3:$I$17,E973&amp;"|"&amp;F973)=1,"Valid","Review"))</f>
        <v/>
      </c>
      <c r="H973" s="7">
        <f>IF($G973&lt;&gt;"Valid","",VLOOKUP($E973&amp;"|"&amp;$F973,Cluster_Master!$I$3:$H$17,3,FALSE))</f>
        <v/>
      </c>
      <c r="I973" s="7">
        <f>IF($G973&lt;&gt;"Valid","",VLOOKUP($E973&amp;"|"&amp;$F973,Cluster_Master!$I$3:$H$17,4,FALSE))</f>
        <v/>
      </c>
      <c r="J973" s="7">
        <f>IF($G973&lt;&gt;"Valid","",VLOOKUP($E973&amp;"|"&amp;$F973,Cluster_Master!$I$3:$H$17,5,FALSE))</f>
        <v/>
      </c>
      <c r="K973" s="7">
        <f>IF($G973&lt;&gt;"Valid","",VLOOKUP($E973&amp;"|"&amp;$F973,Cluster_Master!$I$3:$H$17,6,FALSE))</f>
        <v/>
      </c>
      <c r="L973" s="7">
        <f>IF($G973&lt;&gt;"Valid","",VLOOKUP($E973&amp;"|"&amp;$F973,Cluster_Master!$I$3:$H$17,7,FALSE))</f>
        <v/>
      </c>
      <c r="M973" s="7">
        <f>IF($G973&lt;&gt;"Valid","",VLOOKUP($E973&amp;"|"&amp;$F973,Cluster_Master!$I$3:$H$17,8,FALSE))</f>
        <v/>
      </c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7">
        <f>IF(COUNT(T973:AH973)=0,"",SUM(T973:AH973))</f>
        <v/>
      </c>
      <c r="AJ973" s="10">
        <f>IF(AI973="","",AI973/75)</f>
        <v/>
      </c>
      <c r="AK973" s="10">
        <f>IF(AI973="","",SUMPRODUCT(T973:AH973,KPI_Weights!$B$3:$B$17)/5)</f>
        <v/>
      </c>
      <c r="AL973" s="7">
        <f>IF(COUNT(T973:AH973)=0,"",IF(OR(T973&lt;=1,W973&lt;=1,X973&lt;=1,Y973&lt;=1,AB973&lt;=1),"YES","NO"))</f>
        <v/>
      </c>
      <c r="AM973" s="7">
        <f>IF(AK973="","",IF(AND(AK973="NO",AJ973&gt;=0.85),"YES","NO"))</f>
        <v/>
      </c>
      <c r="AN973" s="7">
        <f>IF(AJ973="","",IF(AJ973&gt;=0.90,"Excellent",IF(AJ973&gt;=0.80,"Good",IF(AJ973&gt;=0.70,"Fair","Poor"))))</f>
        <v/>
      </c>
      <c r="AO973" s="12" t="n"/>
      <c r="AP973" s="12" t="n"/>
      <c r="AQ973" s="12" t="n"/>
      <c r="AR973" s="12" t="n"/>
      <c r="AS973" s="12" t="n"/>
      <c r="AT973" s="12" t="n"/>
      <c r="AU973" s="12" t="n"/>
      <c r="AV973" s="11" t="n"/>
      <c r="AW973" s="12" t="n"/>
      <c r="AX973" s="12" t="n"/>
      <c r="AY973" s="12" t="n"/>
      <c r="AZ973" s="12" t="n"/>
      <c r="BA973" s="12" t="n"/>
      <c r="BB973" s="12" t="n"/>
      <c r="BC973" s="12" t="n"/>
      <c r="BD973" s="12" t="n"/>
      <c r="BE973" s="12" t="n"/>
      <c r="BF973" s="12" t="n"/>
    </row>
    <row r="974">
      <c r="A974" s="7">
        <f>IF(B974="","","INS-"&amp;TEXT(ROW()-3,"000"))</f>
        <v/>
      </c>
      <c r="B974" s="11" t="n"/>
      <c r="C974" s="7">
        <f>IF(B974="","",ISOWEEKNUM(B974))</f>
        <v/>
      </c>
      <c r="D974" s="7">
        <f>IF(B974="","",TEXT(B974,"yyyy-mm"))</f>
        <v/>
      </c>
      <c r="E974" s="12" t="n"/>
      <c r="F974" s="12" t="n"/>
      <c r="G974" s="7">
        <f>IF(OR(E974="",F974=""),"",IF(COUNTIF(Cluster_Master!$I$3:$I$17,E974&amp;"|"&amp;F974)=1,"Valid","Review"))</f>
        <v/>
      </c>
      <c r="H974" s="7">
        <f>IF($G974&lt;&gt;"Valid","",VLOOKUP($E974&amp;"|"&amp;$F974,Cluster_Master!$I$3:$H$17,3,FALSE))</f>
        <v/>
      </c>
      <c r="I974" s="7">
        <f>IF($G974&lt;&gt;"Valid","",VLOOKUP($E974&amp;"|"&amp;$F974,Cluster_Master!$I$3:$H$17,4,FALSE))</f>
        <v/>
      </c>
      <c r="J974" s="7">
        <f>IF($G974&lt;&gt;"Valid","",VLOOKUP($E974&amp;"|"&amp;$F974,Cluster_Master!$I$3:$H$17,5,FALSE))</f>
        <v/>
      </c>
      <c r="K974" s="7">
        <f>IF($G974&lt;&gt;"Valid","",VLOOKUP($E974&amp;"|"&amp;$F974,Cluster_Master!$I$3:$H$17,6,FALSE))</f>
        <v/>
      </c>
      <c r="L974" s="7">
        <f>IF($G974&lt;&gt;"Valid","",VLOOKUP($E974&amp;"|"&amp;$F974,Cluster_Master!$I$3:$H$17,7,FALSE))</f>
        <v/>
      </c>
      <c r="M974" s="7">
        <f>IF($G974&lt;&gt;"Valid","",VLOOKUP($E974&amp;"|"&amp;$F974,Cluster_Master!$I$3:$H$17,8,FALSE))</f>
        <v/>
      </c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7">
        <f>IF(COUNT(T974:AH974)=0,"",SUM(T974:AH974))</f>
        <v/>
      </c>
      <c r="AJ974" s="10">
        <f>IF(AI974="","",AI974/75)</f>
        <v/>
      </c>
      <c r="AK974" s="10">
        <f>IF(AI974="","",SUMPRODUCT(T974:AH974,KPI_Weights!$B$3:$B$17)/5)</f>
        <v/>
      </c>
      <c r="AL974" s="7">
        <f>IF(COUNT(T974:AH974)=0,"",IF(OR(T974&lt;=1,W974&lt;=1,X974&lt;=1,Y974&lt;=1,AB974&lt;=1),"YES","NO"))</f>
        <v/>
      </c>
      <c r="AM974" s="7">
        <f>IF(AK974="","",IF(AND(AK974="NO",AJ974&gt;=0.85),"YES","NO"))</f>
        <v/>
      </c>
      <c r="AN974" s="7">
        <f>IF(AJ974="","",IF(AJ974&gt;=0.90,"Excellent",IF(AJ974&gt;=0.80,"Good",IF(AJ974&gt;=0.70,"Fair","Poor"))))</f>
        <v/>
      </c>
      <c r="AO974" s="12" t="n"/>
      <c r="AP974" s="12" t="n"/>
      <c r="AQ974" s="12" t="n"/>
      <c r="AR974" s="12" t="n"/>
      <c r="AS974" s="12" t="n"/>
      <c r="AT974" s="12" t="n"/>
      <c r="AU974" s="12" t="n"/>
      <c r="AV974" s="11" t="n"/>
      <c r="AW974" s="12" t="n"/>
      <c r="AX974" s="12" t="n"/>
      <c r="AY974" s="12" t="n"/>
      <c r="AZ974" s="12" t="n"/>
      <c r="BA974" s="12" t="n"/>
      <c r="BB974" s="12" t="n"/>
      <c r="BC974" s="12" t="n"/>
      <c r="BD974" s="12" t="n"/>
      <c r="BE974" s="12" t="n"/>
      <c r="BF974" s="12" t="n"/>
    </row>
    <row r="975">
      <c r="A975" s="7">
        <f>IF(B975="","","INS-"&amp;TEXT(ROW()-3,"000"))</f>
        <v/>
      </c>
      <c r="B975" s="11" t="n"/>
      <c r="C975" s="7">
        <f>IF(B975="","",ISOWEEKNUM(B975))</f>
        <v/>
      </c>
      <c r="D975" s="7">
        <f>IF(B975="","",TEXT(B975,"yyyy-mm"))</f>
        <v/>
      </c>
      <c r="E975" s="12" t="n"/>
      <c r="F975" s="12" t="n"/>
      <c r="G975" s="7">
        <f>IF(OR(E975="",F975=""),"",IF(COUNTIF(Cluster_Master!$I$3:$I$17,E975&amp;"|"&amp;F975)=1,"Valid","Review"))</f>
        <v/>
      </c>
      <c r="H975" s="7">
        <f>IF($G975&lt;&gt;"Valid","",VLOOKUP($E975&amp;"|"&amp;$F975,Cluster_Master!$I$3:$H$17,3,FALSE))</f>
        <v/>
      </c>
      <c r="I975" s="7">
        <f>IF($G975&lt;&gt;"Valid","",VLOOKUP($E975&amp;"|"&amp;$F975,Cluster_Master!$I$3:$H$17,4,FALSE))</f>
        <v/>
      </c>
      <c r="J975" s="7">
        <f>IF($G975&lt;&gt;"Valid","",VLOOKUP($E975&amp;"|"&amp;$F975,Cluster_Master!$I$3:$H$17,5,FALSE))</f>
        <v/>
      </c>
      <c r="K975" s="7">
        <f>IF($G975&lt;&gt;"Valid","",VLOOKUP($E975&amp;"|"&amp;$F975,Cluster_Master!$I$3:$H$17,6,FALSE))</f>
        <v/>
      </c>
      <c r="L975" s="7">
        <f>IF($G975&lt;&gt;"Valid","",VLOOKUP($E975&amp;"|"&amp;$F975,Cluster_Master!$I$3:$H$17,7,FALSE))</f>
        <v/>
      </c>
      <c r="M975" s="7">
        <f>IF($G975&lt;&gt;"Valid","",VLOOKUP($E975&amp;"|"&amp;$F975,Cluster_Master!$I$3:$H$17,8,FALSE))</f>
        <v/>
      </c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7">
        <f>IF(COUNT(T975:AH975)=0,"",SUM(T975:AH975))</f>
        <v/>
      </c>
      <c r="AJ975" s="10">
        <f>IF(AI975="","",AI975/75)</f>
        <v/>
      </c>
      <c r="AK975" s="10">
        <f>IF(AI975="","",SUMPRODUCT(T975:AH975,KPI_Weights!$B$3:$B$17)/5)</f>
        <v/>
      </c>
      <c r="AL975" s="7">
        <f>IF(COUNT(T975:AH975)=0,"",IF(OR(T975&lt;=1,W975&lt;=1,X975&lt;=1,Y975&lt;=1,AB975&lt;=1),"YES","NO"))</f>
        <v/>
      </c>
      <c r="AM975" s="7">
        <f>IF(AK975="","",IF(AND(AK975="NO",AJ975&gt;=0.85),"YES","NO"))</f>
        <v/>
      </c>
      <c r="AN975" s="7">
        <f>IF(AJ975="","",IF(AJ975&gt;=0.90,"Excellent",IF(AJ975&gt;=0.80,"Good",IF(AJ975&gt;=0.70,"Fair","Poor"))))</f>
        <v/>
      </c>
      <c r="AO975" s="12" t="n"/>
      <c r="AP975" s="12" t="n"/>
      <c r="AQ975" s="12" t="n"/>
      <c r="AR975" s="12" t="n"/>
      <c r="AS975" s="12" t="n"/>
      <c r="AT975" s="12" t="n"/>
      <c r="AU975" s="12" t="n"/>
      <c r="AV975" s="11" t="n"/>
      <c r="AW975" s="12" t="n"/>
      <c r="AX975" s="12" t="n"/>
      <c r="AY975" s="12" t="n"/>
      <c r="AZ975" s="12" t="n"/>
      <c r="BA975" s="12" t="n"/>
      <c r="BB975" s="12" t="n"/>
      <c r="BC975" s="12" t="n"/>
      <c r="BD975" s="12" t="n"/>
      <c r="BE975" s="12" t="n"/>
      <c r="BF975" s="12" t="n"/>
    </row>
    <row r="976">
      <c r="A976" s="7">
        <f>IF(B976="","","INS-"&amp;TEXT(ROW()-3,"000"))</f>
        <v/>
      </c>
      <c r="B976" s="11" t="n"/>
      <c r="C976" s="7">
        <f>IF(B976="","",ISOWEEKNUM(B976))</f>
        <v/>
      </c>
      <c r="D976" s="7">
        <f>IF(B976="","",TEXT(B976,"yyyy-mm"))</f>
        <v/>
      </c>
      <c r="E976" s="12" t="n"/>
      <c r="F976" s="12" t="n"/>
      <c r="G976" s="7">
        <f>IF(OR(E976="",F976=""),"",IF(COUNTIF(Cluster_Master!$I$3:$I$17,E976&amp;"|"&amp;F976)=1,"Valid","Review"))</f>
        <v/>
      </c>
      <c r="H976" s="7">
        <f>IF($G976&lt;&gt;"Valid","",VLOOKUP($E976&amp;"|"&amp;$F976,Cluster_Master!$I$3:$H$17,3,FALSE))</f>
        <v/>
      </c>
      <c r="I976" s="7">
        <f>IF($G976&lt;&gt;"Valid","",VLOOKUP($E976&amp;"|"&amp;$F976,Cluster_Master!$I$3:$H$17,4,FALSE))</f>
        <v/>
      </c>
      <c r="J976" s="7">
        <f>IF($G976&lt;&gt;"Valid","",VLOOKUP($E976&amp;"|"&amp;$F976,Cluster_Master!$I$3:$H$17,5,FALSE))</f>
        <v/>
      </c>
      <c r="K976" s="7">
        <f>IF($G976&lt;&gt;"Valid","",VLOOKUP($E976&amp;"|"&amp;$F976,Cluster_Master!$I$3:$H$17,6,FALSE))</f>
        <v/>
      </c>
      <c r="L976" s="7">
        <f>IF($G976&lt;&gt;"Valid","",VLOOKUP($E976&amp;"|"&amp;$F976,Cluster_Master!$I$3:$H$17,7,FALSE))</f>
        <v/>
      </c>
      <c r="M976" s="7">
        <f>IF($G976&lt;&gt;"Valid","",VLOOKUP($E976&amp;"|"&amp;$F976,Cluster_Master!$I$3:$H$17,8,FALSE))</f>
        <v/>
      </c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7">
        <f>IF(COUNT(T976:AH976)=0,"",SUM(T976:AH976))</f>
        <v/>
      </c>
      <c r="AJ976" s="10">
        <f>IF(AI976="","",AI976/75)</f>
        <v/>
      </c>
      <c r="AK976" s="10">
        <f>IF(AI976="","",SUMPRODUCT(T976:AH976,KPI_Weights!$B$3:$B$17)/5)</f>
        <v/>
      </c>
      <c r="AL976" s="7">
        <f>IF(COUNT(T976:AH976)=0,"",IF(OR(T976&lt;=1,W976&lt;=1,X976&lt;=1,Y976&lt;=1,AB976&lt;=1),"YES","NO"))</f>
        <v/>
      </c>
      <c r="AM976" s="7">
        <f>IF(AK976="","",IF(AND(AK976="NO",AJ976&gt;=0.85),"YES","NO"))</f>
        <v/>
      </c>
      <c r="AN976" s="7">
        <f>IF(AJ976="","",IF(AJ976&gt;=0.90,"Excellent",IF(AJ976&gt;=0.80,"Good",IF(AJ976&gt;=0.70,"Fair","Poor"))))</f>
        <v/>
      </c>
      <c r="AO976" s="12" t="n"/>
      <c r="AP976" s="12" t="n"/>
      <c r="AQ976" s="12" t="n"/>
      <c r="AR976" s="12" t="n"/>
      <c r="AS976" s="12" t="n"/>
      <c r="AT976" s="12" t="n"/>
      <c r="AU976" s="12" t="n"/>
      <c r="AV976" s="11" t="n"/>
      <c r="AW976" s="12" t="n"/>
      <c r="AX976" s="12" t="n"/>
      <c r="AY976" s="12" t="n"/>
      <c r="AZ976" s="12" t="n"/>
      <c r="BA976" s="12" t="n"/>
      <c r="BB976" s="12" t="n"/>
      <c r="BC976" s="12" t="n"/>
      <c r="BD976" s="12" t="n"/>
      <c r="BE976" s="12" t="n"/>
      <c r="BF976" s="12" t="n"/>
    </row>
    <row r="977">
      <c r="A977" s="7">
        <f>IF(B977="","","INS-"&amp;TEXT(ROW()-3,"000"))</f>
        <v/>
      </c>
      <c r="B977" s="11" t="n"/>
      <c r="C977" s="7">
        <f>IF(B977="","",ISOWEEKNUM(B977))</f>
        <v/>
      </c>
      <c r="D977" s="7">
        <f>IF(B977="","",TEXT(B977,"yyyy-mm"))</f>
        <v/>
      </c>
      <c r="E977" s="12" t="n"/>
      <c r="F977" s="12" t="n"/>
      <c r="G977" s="7">
        <f>IF(OR(E977="",F977=""),"",IF(COUNTIF(Cluster_Master!$I$3:$I$17,E977&amp;"|"&amp;F977)=1,"Valid","Review"))</f>
        <v/>
      </c>
      <c r="H977" s="7">
        <f>IF($G977&lt;&gt;"Valid","",VLOOKUP($E977&amp;"|"&amp;$F977,Cluster_Master!$I$3:$H$17,3,FALSE))</f>
        <v/>
      </c>
      <c r="I977" s="7">
        <f>IF($G977&lt;&gt;"Valid","",VLOOKUP($E977&amp;"|"&amp;$F977,Cluster_Master!$I$3:$H$17,4,FALSE))</f>
        <v/>
      </c>
      <c r="J977" s="7">
        <f>IF($G977&lt;&gt;"Valid","",VLOOKUP($E977&amp;"|"&amp;$F977,Cluster_Master!$I$3:$H$17,5,FALSE))</f>
        <v/>
      </c>
      <c r="K977" s="7">
        <f>IF($G977&lt;&gt;"Valid","",VLOOKUP($E977&amp;"|"&amp;$F977,Cluster_Master!$I$3:$H$17,6,FALSE))</f>
        <v/>
      </c>
      <c r="L977" s="7">
        <f>IF($G977&lt;&gt;"Valid","",VLOOKUP($E977&amp;"|"&amp;$F977,Cluster_Master!$I$3:$H$17,7,FALSE))</f>
        <v/>
      </c>
      <c r="M977" s="7">
        <f>IF($G977&lt;&gt;"Valid","",VLOOKUP($E977&amp;"|"&amp;$F977,Cluster_Master!$I$3:$H$17,8,FALSE))</f>
        <v/>
      </c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7">
        <f>IF(COUNT(T977:AH977)=0,"",SUM(T977:AH977))</f>
        <v/>
      </c>
      <c r="AJ977" s="10">
        <f>IF(AI977="","",AI977/75)</f>
        <v/>
      </c>
      <c r="AK977" s="10">
        <f>IF(AI977="","",SUMPRODUCT(T977:AH977,KPI_Weights!$B$3:$B$17)/5)</f>
        <v/>
      </c>
      <c r="AL977" s="7">
        <f>IF(COUNT(T977:AH977)=0,"",IF(OR(T977&lt;=1,W977&lt;=1,X977&lt;=1,Y977&lt;=1,AB977&lt;=1),"YES","NO"))</f>
        <v/>
      </c>
      <c r="AM977" s="7">
        <f>IF(AK977="","",IF(AND(AK977="NO",AJ977&gt;=0.85),"YES","NO"))</f>
        <v/>
      </c>
      <c r="AN977" s="7">
        <f>IF(AJ977="","",IF(AJ977&gt;=0.90,"Excellent",IF(AJ977&gt;=0.80,"Good",IF(AJ977&gt;=0.70,"Fair","Poor"))))</f>
        <v/>
      </c>
      <c r="AO977" s="12" t="n"/>
      <c r="AP977" s="12" t="n"/>
      <c r="AQ977" s="12" t="n"/>
      <c r="AR977" s="12" t="n"/>
      <c r="AS977" s="12" t="n"/>
      <c r="AT977" s="12" t="n"/>
      <c r="AU977" s="12" t="n"/>
      <c r="AV977" s="11" t="n"/>
      <c r="AW977" s="12" t="n"/>
      <c r="AX977" s="12" t="n"/>
      <c r="AY977" s="12" t="n"/>
      <c r="AZ977" s="12" t="n"/>
      <c r="BA977" s="12" t="n"/>
      <c r="BB977" s="12" t="n"/>
      <c r="BC977" s="12" t="n"/>
      <c r="BD977" s="12" t="n"/>
      <c r="BE977" s="12" t="n"/>
      <c r="BF977" s="12" t="n"/>
    </row>
    <row r="978">
      <c r="A978" s="7">
        <f>IF(B978="","","INS-"&amp;TEXT(ROW()-3,"000"))</f>
        <v/>
      </c>
      <c r="B978" s="11" t="n"/>
      <c r="C978" s="7">
        <f>IF(B978="","",ISOWEEKNUM(B978))</f>
        <v/>
      </c>
      <c r="D978" s="7">
        <f>IF(B978="","",TEXT(B978,"yyyy-mm"))</f>
        <v/>
      </c>
      <c r="E978" s="12" t="n"/>
      <c r="F978" s="12" t="n"/>
      <c r="G978" s="7">
        <f>IF(OR(E978="",F978=""),"",IF(COUNTIF(Cluster_Master!$I$3:$I$17,E978&amp;"|"&amp;F978)=1,"Valid","Review"))</f>
        <v/>
      </c>
      <c r="H978" s="7">
        <f>IF($G978&lt;&gt;"Valid","",VLOOKUP($E978&amp;"|"&amp;$F978,Cluster_Master!$I$3:$H$17,3,FALSE))</f>
        <v/>
      </c>
      <c r="I978" s="7">
        <f>IF($G978&lt;&gt;"Valid","",VLOOKUP($E978&amp;"|"&amp;$F978,Cluster_Master!$I$3:$H$17,4,FALSE))</f>
        <v/>
      </c>
      <c r="J978" s="7">
        <f>IF($G978&lt;&gt;"Valid","",VLOOKUP($E978&amp;"|"&amp;$F978,Cluster_Master!$I$3:$H$17,5,FALSE))</f>
        <v/>
      </c>
      <c r="K978" s="7">
        <f>IF($G978&lt;&gt;"Valid","",VLOOKUP($E978&amp;"|"&amp;$F978,Cluster_Master!$I$3:$H$17,6,FALSE))</f>
        <v/>
      </c>
      <c r="L978" s="7">
        <f>IF($G978&lt;&gt;"Valid","",VLOOKUP($E978&amp;"|"&amp;$F978,Cluster_Master!$I$3:$H$17,7,FALSE))</f>
        <v/>
      </c>
      <c r="M978" s="7">
        <f>IF($G978&lt;&gt;"Valid","",VLOOKUP($E978&amp;"|"&amp;$F978,Cluster_Master!$I$3:$H$17,8,FALSE))</f>
        <v/>
      </c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7">
        <f>IF(COUNT(T978:AH978)=0,"",SUM(T978:AH978))</f>
        <v/>
      </c>
      <c r="AJ978" s="10">
        <f>IF(AI978="","",AI978/75)</f>
        <v/>
      </c>
      <c r="AK978" s="10">
        <f>IF(AI978="","",SUMPRODUCT(T978:AH978,KPI_Weights!$B$3:$B$17)/5)</f>
        <v/>
      </c>
      <c r="AL978" s="7">
        <f>IF(COUNT(T978:AH978)=0,"",IF(OR(T978&lt;=1,W978&lt;=1,X978&lt;=1,Y978&lt;=1,AB978&lt;=1),"YES","NO"))</f>
        <v/>
      </c>
      <c r="AM978" s="7">
        <f>IF(AK978="","",IF(AND(AK978="NO",AJ978&gt;=0.85),"YES","NO"))</f>
        <v/>
      </c>
      <c r="AN978" s="7">
        <f>IF(AJ978="","",IF(AJ978&gt;=0.90,"Excellent",IF(AJ978&gt;=0.80,"Good",IF(AJ978&gt;=0.70,"Fair","Poor"))))</f>
        <v/>
      </c>
      <c r="AO978" s="12" t="n"/>
      <c r="AP978" s="12" t="n"/>
      <c r="AQ978" s="12" t="n"/>
      <c r="AR978" s="12" t="n"/>
      <c r="AS978" s="12" t="n"/>
      <c r="AT978" s="12" t="n"/>
      <c r="AU978" s="12" t="n"/>
      <c r="AV978" s="11" t="n"/>
      <c r="AW978" s="12" t="n"/>
      <c r="AX978" s="12" t="n"/>
      <c r="AY978" s="12" t="n"/>
      <c r="AZ978" s="12" t="n"/>
      <c r="BA978" s="12" t="n"/>
      <c r="BB978" s="12" t="n"/>
      <c r="BC978" s="12" t="n"/>
      <c r="BD978" s="12" t="n"/>
      <c r="BE978" s="12" t="n"/>
      <c r="BF978" s="12" t="n"/>
    </row>
    <row r="979">
      <c r="A979" s="7">
        <f>IF(B979="","","INS-"&amp;TEXT(ROW()-3,"000"))</f>
        <v/>
      </c>
      <c r="B979" s="11" t="n"/>
      <c r="C979" s="7">
        <f>IF(B979="","",ISOWEEKNUM(B979))</f>
        <v/>
      </c>
      <c r="D979" s="7">
        <f>IF(B979="","",TEXT(B979,"yyyy-mm"))</f>
        <v/>
      </c>
      <c r="E979" s="12" t="n"/>
      <c r="F979" s="12" t="n"/>
      <c r="G979" s="7">
        <f>IF(OR(E979="",F979=""),"",IF(COUNTIF(Cluster_Master!$I$3:$I$17,E979&amp;"|"&amp;F979)=1,"Valid","Review"))</f>
        <v/>
      </c>
      <c r="H979" s="7">
        <f>IF($G979&lt;&gt;"Valid","",VLOOKUP($E979&amp;"|"&amp;$F979,Cluster_Master!$I$3:$H$17,3,FALSE))</f>
        <v/>
      </c>
      <c r="I979" s="7">
        <f>IF($G979&lt;&gt;"Valid","",VLOOKUP($E979&amp;"|"&amp;$F979,Cluster_Master!$I$3:$H$17,4,FALSE))</f>
        <v/>
      </c>
      <c r="J979" s="7">
        <f>IF($G979&lt;&gt;"Valid","",VLOOKUP($E979&amp;"|"&amp;$F979,Cluster_Master!$I$3:$H$17,5,FALSE))</f>
        <v/>
      </c>
      <c r="K979" s="7">
        <f>IF($G979&lt;&gt;"Valid","",VLOOKUP($E979&amp;"|"&amp;$F979,Cluster_Master!$I$3:$H$17,6,FALSE))</f>
        <v/>
      </c>
      <c r="L979" s="7">
        <f>IF($G979&lt;&gt;"Valid","",VLOOKUP($E979&amp;"|"&amp;$F979,Cluster_Master!$I$3:$H$17,7,FALSE))</f>
        <v/>
      </c>
      <c r="M979" s="7">
        <f>IF($G979&lt;&gt;"Valid","",VLOOKUP($E979&amp;"|"&amp;$F979,Cluster_Master!$I$3:$H$17,8,FALSE))</f>
        <v/>
      </c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7">
        <f>IF(COUNT(T979:AH979)=0,"",SUM(T979:AH979))</f>
        <v/>
      </c>
      <c r="AJ979" s="10">
        <f>IF(AI979="","",AI979/75)</f>
        <v/>
      </c>
      <c r="AK979" s="10">
        <f>IF(AI979="","",SUMPRODUCT(T979:AH979,KPI_Weights!$B$3:$B$17)/5)</f>
        <v/>
      </c>
      <c r="AL979" s="7">
        <f>IF(COUNT(T979:AH979)=0,"",IF(OR(T979&lt;=1,W979&lt;=1,X979&lt;=1,Y979&lt;=1,AB979&lt;=1),"YES","NO"))</f>
        <v/>
      </c>
      <c r="AM979" s="7">
        <f>IF(AK979="","",IF(AND(AK979="NO",AJ979&gt;=0.85),"YES","NO"))</f>
        <v/>
      </c>
      <c r="AN979" s="7">
        <f>IF(AJ979="","",IF(AJ979&gt;=0.90,"Excellent",IF(AJ979&gt;=0.80,"Good",IF(AJ979&gt;=0.70,"Fair","Poor"))))</f>
        <v/>
      </c>
      <c r="AO979" s="12" t="n"/>
      <c r="AP979" s="12" t="n"/>
      <c r="AQ979" s="12" t="n"/>
      <c r="AR979" s="12" t="n"/>
      <c r="AS979" s="12" t="n"/>
      <c r="AT979" s="12" t="n"/>
      <c r="AU979" s="12" t="n"/>
      <c r="AV979" s="11" t="n"/>
      <c r="AW979" s="12" t="n"/>
      <c r="AX979" s="12" t="n"/>
      <c r="AY979" s="12" t="n"/>
      <c r="AZ979" s="12" t="n"/>
      <c r="BA979" s="12" t="n"/>
      <c r="BB979" s="12" t="n"/>
      <c r="BC979" s="12" t="n"/>
      <c r="BD979" s="12" t="n"/>
      <c r="BE979" s="12" t="n"/>
      <c r="BF979" s="12" t="n"/>
    </row>
    <row r="980">
      <c r="A980" s="7">
        <f>IF(B980="","","INS-"&amp;TEXT(ROW()-3,"000"))</f>
        <v/>
      </c>
      <c r="B980" s="11" t="n"/>
      <c r="C980" s="7">
        <f>IF(B980="","",ISOWEEKNUM(B980))</f>
        <v/>
      </c>
      <c r="D980" s="7">
        <f>IF(B980="","",TEXT(B980,"yyyy-mm"))</f>
        <v/>
      </c>
      <c r="E980" s="12" t="n"/>
      <c r="F980" s="12" t="n"/>
      <c r="G980" s="7">
        <f>IF(OR(E980="",F980=""),"",IF(COUNTIF(Cluster_Master!$I$3:$I$17,E980&amp;"|"&amp;F980)=1,"Valid","Review"))</f>
        <v/>
      </c>
      <c r="H980" s="7">
        <f>IF($G980&lt;&gt;"Valid","",VLOOKUP($E980&amp;"|"&amp;$F980,Cluster_Master!$I$3:$H$17,3,FALSE))</f>
        <v/>
      </c>
      <c r="I980" s="7">
        <f>IF($G980&lt;&gt;"Valid","",VLOOKUP($E980&amp;"|"&amp;$F980,Cluster_Master!$I$3:$H$17,4,FALSE))</f>
        <v/>
      </c>
      <c r="J980" s="7">
        <f>IF($G980&lt;&gt;"Valid","",VLOOKUP($E980&amp;"|"&amp;$F980,Cluster_Master!$I$3:$H$17,5,FALSE))</f>
        <v/>
      </c>
      <c r="K980" s="7">
        <f>IF($G980&lt;&gt;"Valid","",VLOOKUP($E980&amp;"|"&amp;$F980,Cluster_Master!$I$3:$H$17,6,FALSE))</f>
        <v/>
      </c>
      <c r="L980" s="7">
        <f>IF($G980&lt;&gt;"Valid","",VLOOKUP($E980&amp;"|"&amp;$F980,Cluster_Master!$I$3:$H$17,7,FALSE))</f>
        <v/>
      </c>
      <c r="M980" s="7">
        <f>IF($G980&lt;&gt;"Valid","",VLOOKUP($E980&amp;"|"&amp;$F980,Cluster_Master!$I$3:$H$17,8,FALSE))</f>
        <v/>
      </c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7">
        <f>IF(COUNT(T980:AH980)=0,"",SUM(T980:AH980))</f>
        <v/>
      </c>
      <c r="AJ980" s="10">
        <f>IF(AI980="","",AI980/75)</f>
        <v/>
      </c>
      <c r="AK980" s="10">
        <f>IF(AI980="","",SUMPRODUCT(T980:AH980,KPI_Weights!$B$3:$B$17)/5)</f>
        <v/>
      </c>
      <c r="AL980" s="7">
        <f>IF(COUNT(T980:AH980)=0,"",IF(OR(T980&lt;=1,W980&lt;=1,X980&lt;=1,Y980&lt;=1,AB980&lt;=1),"YES","NO"))</f>
        <v/>
      </c>
      <c r="AM980" s="7">
        <f>IF(AK980="","",IF(AND(AK980="NO",AJ980&gt;=0.85),"YES","NO"))</f>
        <v/>
      </c>
      <c r="AN980" s="7">
        <f>IF(AJ980="","",IF(AJ980&gt;=0.90,"Excellent",IF(AJ980&gt;=0.80,"Good",IF(AJ980&gt;=0.70,"Fair","Poor"))))</f>
        <v/>
      </c>
      <c r="AO980" s="12" t="n"/>
      <c r="AP980" s="12" t="n"/>
      <c r="AQ980" s="12" t="n"/>
      <c r="AR980" s="12" t="n"/>
      <c r="AS980" s="12" t="n"/>
      <c r="AT980" s="12" t="n"/>
      <c r="AU980" s="12" t="n"/>
      <c r="AV980" s="11" t="n"/>
      <c r="AW980" s="12" t="n"/>
      <c r="AX980" s="12" t="n"/>
      <c r="AY980" s="12" t="n"/>
      <c r="AZ980" s="12" t="n"/>
      <c r="BA980" s="12" t="n"/>
      <c r="BB980" s="12" t="n"/>
      <c r="BC980" s="12" t="n"/>
      <c r="BD980" s="12" t="n"/>
      <c r="BE980" s="12" t="n"/>
      <c r="BF980" s="12" t="n"/>
    </row>
    <row r="981">
      <c r="A981" s="7">
        <f>IF(B981="","","INS-"&amp;TEXT(ROW()-3,"000"))</f>
        <v/>
      </c>
      <c r="B981" s="11" t="n"/>
      <c r="C981" s="7">
        <f>IF(B981="","",ISOWEEKNUM(B981))</f>
        <v/>
      </c>
      <c r="D981" s="7">
        <f>IF(B981="","",TEXT(B981,"yyyy-mm"))</f>
        <v/>
      </c>
      <c r="E981" s="12" t="n"/>
      <c r="F981" s="12" t="n"/>
      <c r="G981" s="7">
        <f>IF(OR(E981="",F981=""),"",IF(COUNTIF(Cluster_Master!$I$3:$I$17,E981&amp;"|"&amp;F981)=1,"Valid","Review"))</f>
        <v/>
      </c>
      <c r="H981" s="7">
        <f>IF($G981&lt;&gt;"Valid","",VLOOKUP($E981&amp;"|"&amp;$F981,Cluster_Master!$I$3:$H$17,3,FALSE))</f>
        <v/>
      </c>
      <c r="I981" s="7">
        <f>IF($G981&lt;&gt;"Valid","",VLOOKUP($E981&amp;"|"&amp;$F981,Cluster_Master!$I$3:$H$17,4,FALSE))</f>
        <v/>
      </c>
      <c r="J981" s="7">
        <f>IF($G981&lt;&gt;"Valid","",VLOOKUP($E981&amp;"|"&amp;$F981,Cluster_Master!$I$3:$H$17,5,FALSE))</f>
        <v/>
      </c>
      <c r="K981" s="7">
        <f>IF($G981&lt;&gt;"Valid","",VLOOKUP($E981&amp;"|"&amp;$F981,Cluster_Master!$I$3:$H$17,6,FALSE))</f>
        <v/>
      </c>
      <c r="L981" s="7">
        <f>IF($G981&lt;&gt;"Valid","",VLOOKUP($E981&amp;"|"&amp;$F981,Cluster_Master!$I$3:$H$17,7,FALSE))</f>
        <v/>
      </c>
      <c r="M981" s="7">
        <f>IF($G981&lt;&gt;"Valid","",VLOOKUP($E981&amp;"|"&amp;$F981,Cluster_Master!$I$3:$H$17,8,FALSE))</f>
        <v/>
      </c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7">
        <f>IF(COUNT(T981:AH981)=0,"",SUM(T981:AH981))</f>
        <v/>
      </c>
      <c r="AJ981" s="10">
        <f>IF(AI981="","",AI981/75)</f>
        <v/>
      </c>
      <c r="AK981" s="10">
        <f>IF(AI981="","",SUMPRODUCT(T981:AH981,KPI_Weights!$B$3:$B$17)/5)</f>
        <v/>
      </c>
      <c r="AL981" s="7">
        <f>IF(COUNT(T981:AH981)=0,"",IF(OR(T981&lt;=1,W981&lt;=1,X981&lt;=1,Y981&lt;=1,AB981&lt;=1),"YES","NO"))</f>
        <v/>
      </c>
      <c r="AM981" s="7">
        <f>IF(AK981="","",IF(AND(AK981="NO",AJ981&gt;=0.85),"YES","NO"))</f>
        <v/>
      </c>
      <c r="AN981" s="7">
        <f>IF(AJ981="","",IF(AJ981&gt;=0.90,"Excellent",IF(AJ981&gt;=0.80,"Good",IF(AJ981&gt;=0.70,"Fair","Poor"))))</f>
        <v/>
      </c>
      <c r="AO981" s="12" t="n"/>
      <c r="AP981" s="12" t="n"/>
      <c r="AQ981" s="12" t="n"/>
      <c r="AR981" s="12" t="n"/>
      <c r="AS981" s="12" t="n"/>
      <c r="AT981" s="12" t="n"/>
      <c r="AU981" s="12" t="n"/>
      <c r="AV981" s="11" t="n"/>
      <c r="AW981" s="12" t="n"/>
      <c r="AX981" s="12" t="n"/>
      <c r="AY981" s="12" t="n"/>
      <c r="AZ981" s="12" t="n"/>
      <c r="BA981" s="12" t="n"/>
      <c r="BB981" s="12" t="n"/>
      <c r="BC981" s="12" t="n"/>
      <c r="BD981" s="12" t="n"/>
      <c r="BE981" s="12" t="n"/>
      <c r="BF981" s="12" t="n"/>
    </row>
    <row r="982">
      <c r="A982" s="7">
        <f>IF(B982="","","INS-"&amp;TEXT(ROW()-3,"000"))</f>
        <v/>
      </c>
      <c r="B982" s="11" t="n"/>
      <c r="C982" s="7">
        <f>IF(B982="","",ISOWEEKNUM(B982))</f>
        <v/>
      </c>
      <c r="D982" s="7">
        <f>IF(B982="","",TEXT(B982,"yyyy-mm"))</f>
        <v/>
      </c>
      <c r="E982" s="12" t="n"/>
      <c r="F982" s="12" t="n"/>
      <c r="G982" s="7">
        <f>IF(OR(E982="",F982=""),"",IF(COUNTIF(Cluster_Master!$I$3:$I$17,E982&amp;"|"&amp;F982)=1,"Valid","Review"))</f>
        <v/>
      </c>
      <c r="H982" s="7">
        <f>IF($G982&lt;&gt;"Valid","",VLOOKUP($E982&amp;"|"&amp;$F982,Cluster_Master!$I$3:$H$17,3,FALSE))</f>
        <v/>
      </c>
      <c r="I982" s="7">
        <f>IF($G982&lt;&gt;"Valid","",VLOOKUP($E982&amp;"|"&amp;$F982,Cluster_Master!$I$3:$H$17,4,FALSE))</f>
        <v/>
      </c>
      <c r="J982" s="7">
        <f>IF($G982&lt;&gt;"Valid","",VLOOKUP($E982&amp;"|"&amp;$F982,Cluster_Master!$I$3:$H$17,5,FALSE))</f>
        <v/>
      </c>
      <c r="K982" s="7">
        <f>IF($G982&lt;&gt;"Valid","",VLOOKUP($E982&amp;"|"&amp;$F982,Cluster_Master!$I$3:$H$17,6,FALSE))</f>
        <v/>
      </c>
      <c r="L982" s="7">
        <f>IF($G982&lt;&gt;"Valid","",VLOOKUP($E982&amp;"|"&amp;$F982,Cluster_Master!$I$3:$H$17,7,FALSE))</f>
        <v/>
      </c>
      <c r="M982" s="7">
        <f>IF($G982&lt;&gt;"Valid","",VLOOKUP($E982&amp;"|"&amp;$F982,Cluster_Master!$I$3:$H$17,8,FALSE))</f>
        <v/>
      </c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7">
        <f>IF(COUNT(T982:AH982)=0,"",SUM(T982:AH982))</f>
        <v/>
      </c>
      <c r="AJ982" s="10">
        <f>IF(AI982="","",AI982/75)</f>
        <v/>
      </c>
      <c r="AK982" s="10">
        <f>IF(AI982="","",SUMPRODUCT(T982:AH982,KPI_Weights!$B$3:$B$17)/5)</f>
        <v/>
      </c>
      <c r="AL982" s="7">
        <f>IF(COUNT(T982:AH982)=0,"",IF(OR(T982&lt;=1,W982&lt;=1,X982&lt;=1,Y982&lt;=1,AB982&lt;=1),"YES","NO"))</f>
        <v/>
      </c>
      <c r="AM982" s="7">
        <f>IF(AK982="","",IF(AND(AK982="NO",AJ982&gt;=0.85),"YES","NO"))</f>
        <v/>
      </c>
      <c r="AN982" s="7">
        <f>IF(AJ982="","",IF(AJ982&gt;=0.90,"Excellent",IF(AJ982&gt;=0.80,"Good",IF(AJ982&gt;=0.70,"Fair","Poor"))))</f>
        <v/>
      </c>
      <c r="AO982" s="12" t="n"/>
      <c r="AP982" s="12" t="n"/>
      <c r="AQ982" s="12" t="n"/>
      <c r="AR982" s="12" t="n"/>
      <c r="AS982" s="12" t="n"/>
      <c r="AT982" s="12" t="n"/>
      <c r="AU982" s="12" t="n"/>
      <c r="AV982" s="11" t="n"/>
      <c r="AW982" s="12" t="n"/>
      <c r="AX982" s="12" t="n"/>
      <c r="AY982" s="12" t="n"/>
      <c r="AZ982" s="12" t="n"/>
      <c r="BA982" s="12" t="n"/>
      <c r="BB982" s="12" t="n"/>
      <c r="BC982" s="12" t="n"/>
      <c r="BD982" s="12" t="n"/>
      <c r="BE982" s="12" t="n"/>
      <c r="BF982" s="12" t="n"/>
    </row>
    <row r="983">
      <c r="A983" s="7">
        <f>IF(B983="","","INS-"&amp;TEXT(ROW()-3,"000"))</f>
        <v/>
      </c>
      <c r="B983" s="11" t="n"/>
      <c r="C983" s="7">
        <f>IF(B983="","",ISOWEEKNUM(B983))</f>
        <v/>
      </c>
      <c r="D983" s="7">
        <f>IF(B983="","",TEXT(B983,"yyyy-mm"))</f>
        <v/>
      </c>
      <c r="E983" s="12" t="n"/>
      <c r="F983" s="12" t="n"/>
      <c r="G983" s="7">
        <f>IF(OR(E983="",F983=""),"",IF(COUNTIF(Cluster_Master!$I$3:$I$17,E983&amp;"|"&amp;F983)=1,"Valid","Review"))</f>
        <v/>
      </c>
      <c r="H983" s="7">
        <f>IF($G983&lt;&gt;"Valid","",VLOOKUP($E983&amp;"|"&amp;$F983,Cluster_Master!$I$3:$H$17,3,FALSE))</f>
        <v/>
      </c>
      <c r="I983" s="7">
        <f>IF($G983&lt;&gt;"Valid","",VLOOKUP($E983&amp;"|"&amp;$F983,Cluster_Master!$I$3:$H$17,4,FALSE))</f>
        <v/>
      </c>
      <c r="J983" s="7">
        <f>IF($G983&lt;&gt;"Valid","",VLOOKUP($E983&amp;"|"&amp;$F983,Cluster_Master!$I$3:$H$17,5,FALSE))</f>
        <v/>
      </c>
      <c r="K983" s="7">
        <f>IF($G983&lt;&gt;"Valid","",VLOOKUP($E983&amp;"|"&amp;$F983,Cluster_Master!$I$3:$H$17,6,FALSE))</f>
        <v/>
      </c>
      <c r="L983" s="7">
        <f>IF($G983&lt;&gt;"Valid","",VLOOKUP($E983&amp;"|"&amp;$F983,Cluster_Master!$I$3:$H$17,7,FALSE))</f>
        <v/>
      </c>
      <c r="M983" s="7">
        <f>IF($G983&lt;&gt;"Valid","",VLOOKUP($E983&amp;"|"&amp;$F983,Cluster_Master!$I$3:$H$17,8,FALSE))</f>
        <v/>
      </c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7">
        <f>IF(COUNT(T983:AH983)=0,"",SUM(T983:AH983))</f>
        <v/>
      </c>
      <c r="AJ983" s="10">
        <f>IF(AI983="","",AI983/75)</f>
        <v/>
      </c>
      <c r="AK983" s="10">
        <f>IF(AI983="","",SUMPRODUCT(T983:AH983,KPI_Weights!$B$3:$B$17)/5)</f>
        <v/>
      </c>
      <c r="AL983" s="7">
        <f>IF(COUNT(T983:AH983)=0,"",IF(OR(T983&lt;=1,W983&lt;=1,X983&lt;=1,Y983&lt;=1,AB983&lt;=1),"YES","NO"))</f>
        <v/>
      </c>
      <c r="AM983" s="7">
        <f>IF(AK983="","",IF(AND(AK983="NO",AJ983&gt;=0.85),"YES","NO"))</f>
        <v/>
      </c>
      <c r="AN983" s="7">
        <f>IF(AJ983="","",IF(AJ983&gt;=0.90,"Excellent",IF(AJ983&gt;=0.80,"Good",IF(AJ983&gt;=0.70,"Fair","Poor"))))</f>
        <v/>
      </c>
      <c r="AO983" s="12" t="n"/>
      <c r="AP983" s="12" t="n"/>
      <c r="AQ983" s="12" t="n"/>
      <c r="AR983" s="12" t="n"/>
      <c r="AS983" s="12" t="n"/>
      <c r="AT983" s="12" t="n"/>
      <c r="AU983" s="12" t="n"/>
      <c r="AV983" s="11" t="n"/>
      <c r="AW983" s="12" t="n"/>
      <c r="AX983" s="12" t="n"/>
      <c r="AY983" s="12" t="n"/>
      <c r="AZ983" s="12" t="n"/>
      <c r="BA983" s="12" t="n"/>
      <c r="BB983" s="12" t="n"/>
      <c r="BC983" s="12" t="n"/>
      <c r="BD983" s="12" t="n"/>
      <c r="BE983" s="12" t="n"/>
      <c r="BF983" s="12" t="n"/>
    </row>
    <row r="984">
      <c r="A984" s="7">
        <f>IF(B984="","","INS-"&amp;TEXT(ROW()-3,"000"))</f>
        <v/>
      </c>
      <c r="B984" s="11" t="n"/>
      <c r="C984" s="7">
        <f>IF(B984="","",ISOWEEKNUM(B984))</f>
        <v/>
      </c>
      <c r="D984" s="7">
        <f>IF(B984="","",TEXT(B984,"yyyy-mm"))</f>
        <v/>
      </c>
      <c r="E984" s="12" t="n"/>
      <c r="F984" s="12" t="n"/>
      <c r="G984" s="7">
        <f>IF(OR(E984="",F984=""),"",IF(COUNTIF(Cluster_Master!$I$3:$I$17,E984&amp;"|"&amp;F984)=1,"Valid","Review"))</f>
        <v/>
      </c>
      <c r="H984" s="7">
        <f>IF($G984&lt;&gt;"Valid","",VLOOKUP($E984&amp;"|"&amp;$F984,Cluster_Master!$I$3:$H$17,3,FALSE))</f>
        <v/>
      </c>
      <c r="I984" s="7">
        <f>IF($G984&lt;&gt;"Valid","",VLOOKUP($E984&amp;"|"&amp;$F984,Cluster_Master!$I$3:$H$17,4,FALSE))</f>
        <v/>
      </c>
      <c r="J984" s="7">
        <f>IF($G984&lt;&gt;"Valid","",VLOOKUP($E984&amp;"|"&amp;$F984,Cluster_Master!$I$3:$H$17,5,FALSE))</f>
        <v/>
      </c>
      <c r="K984" s="7">
        <f>IF($G984&lt;&gt;"Valid","",VLOOKUP($E984&amp;"|"&amp;$F984,Cluster_Master!$I$3:$H$17,6,FALSE))</f>
        <v/>
      </c>
      <c r="L984" s="7">
        <f>IF($G984&lt;&gt;"Valid","",VLOOKUP($E984&amp;"|"&amp;$F984,Cluster_Master!$I$3:$H$17,7,FALSE))</f>
        <v/>
      </c>
      <c r="M984" s="7">
        <f>IF($G984&lt;&gt;"Valid","",VLOOKUP($E984&amp;"|"&amp;$F984,Cluster_Master!$I$3:$H$17,8,FALSE))</f>
        <v/>
      </c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7">
        <f>IF(COUNT(T984:AH984)=0,"",SUM(T984:AH984))</f>
        <v/>
      </c>
      <c r="AJ984" s="10">
        <f>IF(AI984="","",AI984/75)</f>
        <v/>
      </c>
      <c r="AK984" s="10">
        <f>IF(AI984="","",SUMPRODUCT(T984:AH984,KPI_Weights!$B$3:$B$17)/5)</f>
        <v/>
      </c>
      <c r="AL984" s="7">
        <f>IF(COUNT(T984:AH984)=0,"",IF(OR(T984&lt;=1,W984&lt;=1,X984&lt;=1,Y984&lt;=1,AB984&lt;=1),"YES","NO"))</f>
        <v/>
      </c>
      <c r="AM984" s="7">
        <f>IF(AK984="","",IF(AND(AK984="NO",AJ984&gt;=0.85),"YES","NO"))</f>
        <v/>
      </c>
      <c r="AN984" s="7">
        <f>IF(AJ984="","",IF(AJ984&gt;=0.90,"Excellent",IF(AJ984&gt;=0.80,"Good",IF(AJ984&gt;=0.70,"Fair","Poor"))))</f>
        <v/>
      </c>
      <c r="AO984" s="12" t="n"/>
      <c r="AP984" s="12" t="n"/>
      <c r="AQ984" s="12" t="n"/>
      <c r="AR984" s="12" t="n"/>
      <c r="AS984" s="12" t="n"/>
      <c r="AT984" s="12" t="n"/>
      <c r="AU984" s="12" t="n"/>
      <c r="AV984" s="11" t="n"/>
      <c r="AW984" s="12" t="n"/>
      <c r="AX984" s="12" t="n"/>
      <c r="AY984" s="12" t="n"/>
      <c r="AZ984" s="12" t="n"/>
      <c r="BA984" s="12" t="n"/>
      <c r="BB984" s="12" t="n"/>
      <c r="BC984" s="12" t="n"/>
      <c r="BD984" s="12" t="n"/>
      <c r="BE984" s="12" t="n"/>
      <c r="BF984" s="12" t="n"/>
    </row>
    <row r="985">
      <c r="A985" s="7">
        <f>IF(B985="","","INS-"&amp;TEXT(ROW()-3,"000"))</f>
        <v/>
      </c>
      <c r="B985" s="11" t="n"/>
      <c r="C985" s="7">
        <f>IF(B985="","",ISOWEEKNUM(B985))</f>
        <v/>
      </c>
      <c r="D985" s="7">
        <f>IF(B985="","",TEXT(B985,"yyyy-mm"))</f>
        <v/>
      </c>
      <c r="E985" s="12" t="n"/>
      <c r="F985" s="12" t="n"/>
      <c r="G985" s="7">
        <f>IF(OR(E985="",F985=""),"",IF(COUNTIF(Cluster_Master!$I$3:$I$17,E985&amp;"|"&amp;F985)=1,"Valid","Review"))</f>
        <v/>
      </c>
      <c r="H985" s="7">
        <f>IF($G985&lt;&gt;"Valid","",VLOOKUP($E985&amp;"|"&amp;$F985,Cluster_Master!$I$3:$H$17,3,FALSE))</f>
        <v/>
      </c>
      <c r="I985" s="7">
        <f>IF($G985&lt;&gt;"Valid","",VLOOKUP($E985&amp;"|"&amp;$F985,Cluster_Master!$I$3:$H$17,4,FALSE))</f>
        <v/>
      </c>
      <c r="J985" s="7">
        <f>IF($G985&lt;&gt;"Valid","",VLOOKUP($E985&amp;"|"&amp;$F985,Cluster_Master!$I$3:$H$17,5,FALSE))</f>
        <v/>
      </c>
      <c r="K985" s="7">
        <f>IF($G985&lt;&gt;"Valid","",VLOOKUP($E985&amp;"|"&amp;$F985,Cluster_Master!$I$3:$H$17,6,FALSE))</f>
        <v/>
      </c>
      <c r="L985" s="7">
        <f>IF($G985&lt;&gt;"Valid","",VLOOKUP($E985&amp;"|"&amp;$F985,Cluster_Master!$I$3:$H$17,7,FALSE))</f>
        <v/>
      </c>
      <c r="M985" s="7">
        <f>IF($G985&lt;&gt;"Valid","",VLOOKUP($E985&amp;"|"&amp;$F985,Cluster_Master!$I$3:$H$17,8,FALSE))</f>
        <v/>
      </c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7">
        <f>IF(COUNT(T985:AH985)=0,"",SUM(T985:AH985))</f>
        <v/>
      </c>
      <c r="AJ985" s="10">
        <f>IF(AI985="","",AI985/75)</f>
        <v/>
      </c>
      <c r="AK985" s="10">
        <f>IF(AI985="","",SUMPRODUCT(T985:AH985,KPI_Weights!$B$3:$B$17)/5)</f>
        <v/>
      </c>
      <c r="AL985" s="7">
        <f>IF(COUNT(T985:AH985)=0,"",IF(OR(T985&lt;=1,W985&lt;=1,X985&lt;=1,Y985&lt;=1,AB985&lt;=1),"YES","NO"))</f>
        <v/>
      </c>
      <c r="AM985" s="7">
        <f>IF(AK985="","",IF(AND(AK985="NO",AJ985&gt;=0.85),"YES","NO"))</f>
        <v/>
      </c>
      <c r="AN985" s="7">
        <f>IF(AJ985="","",IF(AJ985&gt;=0.90,"Excellent",IF(AJ985&gt;=0.80,"Good",IF(AJ985&gt;=0.70,"Fair","Poor"))))</f>
        <v/>
      </c>
      <c r="AO985" s="12" t="n"/>
      <c r="AP985" s="12" t="n"/>
      <c r="AQ985" s="12" t="n"/>
      <c r="AR985" s="12" t="n"/>
      <c r="AS985" s="12" t="n"/>
      <c r="AT985" s="12" t="n"/>
      <c r="AU985" s="12" t="n"/>
      <c r="AV985" s="11" t="n"/>
      <c r="AW985" s="12" t="n"/>
      <c r="AX985" s="12" t="n"/>
      <c r="AY985" s="12" t="n"/>
      <c r="AZ985" s="12" t="n"/>
      <c r="BA985" s="12" t="n"/>
      <c r="BB985" s="12" t="n"/>
      <c r="BC985" s="12" t="n"/>
      <c r="BD985" s="12" t="n"/>
      <c r="BE985" s="12" t="n"/>
      <c r="BF985" s="12" t="n"/>
    </row>
    <row r="986">
      <c r="A986" s="7">
        <f>IF(B986="","","INS-"&amp;TEXT(ROW()-3,"000"))</f>
        <v/>
      </c>
      <c r="B986" s="11" t="n"/>
      <c r="C986" s="7">
        <f>IF(B986="","",ISOWEEKNUM(B986))</f>
        <v/>
      </c>
      <c r="D986" s="7">
        <f>IF(B986="","",TEXT(B986,"yyyy-mm"))</f>
        <v/>
      </c>
      <c r="E986" s="12" t="n"/>
      <c r="F986" s="12" t="n"/>
      <c r="G986" s="7">
        <f>IF(OR(E986="",F986=""),"",IF(COUNTIF(Cluster_Master!$I$3:$I$17,E986&amp;"|"&amp;F986)=1,"Valid","Review"))</f>
        <v/>
      </c>
      <c r="H986" s="7">
        <f>IF($G986&lt;&gt;"Valid","",VLOOKUP($E986&amp;"|"&amp;$F986,Cluster_Master!$I$3:$H$17,3,FALSE))</f>
        <v/>
      </c>
      <c r="I986" s="7">
        <f>IF($G986&lt;&gt;"Valid","",VLOOKUP($E986&amp;"|"&amp;$F986,Cluster_Master!$I$3:$H$17,4,FALSE))</f>
        <v/>
      </c>
      <c r="J986" s="7">
        <f>IF($G986&lt;&gt;"Valid","",VLOOKUP($E986&amp;"|"&amp;$F986,Cluster_Master!$I$3:$H$17,5,FALSE))</f>
        <v/>
      </c>
      <c r="K986" s="7">
        <f>IF($G986&lt;&gt;"Valid","",VLOOKUP($E986&amp;"|"&amp;$F986,Cluster_Master!$I$3:$H$17,6,FALSE))</f>
        <v/>
      </c>
      <c r="L986" s="7">
        <f>IF($G986&lt;&gt;"Valid","",VLOOKUP($E986&amp;"|"&amp;$F986,Cluster_Master!$I$3:$H$17,7,FALSE))</f>
        <v/>
      </c>
      <c r="M986" s="7">
        <f>IF($G986&lt;&gt;"Valid","",VLOOKUP($E986&amp;"|"&amp;$F986,Cluster_Master!$I$3:$H$17,8,FALSE))</f>
        <v/>
      </c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7">
        <f>IF(COUNT(T986:AH986)=0,"",SUM(T986:AH986))</f>
        <v/>
      </c>
      <c r="AJ986" s="10">
        <f>IF(AI986="","",AI986/75)</f>
        <v/>
      </c>
      <c r="AK986" s="10">
        <f>IF(AI986="","",SUMPRODUCT(T986:AH986,KPI_Weights!$B$3:$B$17)/5)</f>
        <v/>
      </c>
      <c r="AL986" s="7">
        <f>IF(COUNT(T986:AH986)=0,"",IF(OR(T986&lt;=1,W986&lt;=1,X986&lt;=1,Y986&lt;=1,AB986&lt;=1),"YES","NO"))</f>
        <v/>
      </c>
      <c r="AM986" s="7">
        <f>IF(AK986="","",IF(AND(AK986="NO",AJ986&gt;=0.85),"YES","NO"))</f>
        <v/>
      </c>
      <c r="AN986" s="7">
        <f>IF(AJ986="","",IF(AJ986&gt;=0.90,"Excellent",IF(AJ986&gt;=0.80,"Good",IF(AJ986&gt;=0.70,"Fair","Poor"))))</f>
        <v/>
      </c>
      <c r="AO986" s="12" t="n"/>
      <c r="AP986" s="12" t="n"/>
      <c r="AQ986" s="12" t="n"/>
      <c r="AR986" s="12" t="n"/>
      <c r="AS986" s="12" t="n"/>
      <c r="AT986" s="12" t="n"/>
      <c r="AU986" s="12" t="n"/>
      <c r="AV986" s="11" t="n"/>
      <c r="AW986" s="12" t="n"/>
      <c r="AX986" s="12" t="n"/>
      <c r="AY986" s="12" t="n"/>
      <c r="AZ986" s="12" t="n"/>
      <c r="BA986" s="12" t="n"/>
      <c r="BB986" s="12" t="n"/>
      <c r="BC986" s="12" t="n"/>
      <c r="BD986" s="12" t="n"/>
      <c r="BE986" s="12" t="n"/>
      <c r="BF986" s="12" t="n"/>
    </row>
    <row r="987">
      <c r="A987" s="7">
        <f>IF(B987="","","INS-"&amp;TEXT(ROW()-3,"000"))</f>
        <v/>
      </c>
      <c r="B987" s="11" t="n"/>
      <c r="C987" s="7">
        <f>IF(B987="","",ISOWEEKNUM(B987))</f>
        <v/>
      </c>
      <c r="D987" s="7">
        <f>IF(B987="","",TEXT(B987,"yyyy-mm"))</f>
        <v/>
      </c>
      <c r="E987" s="12" t="n"/>
      <c r="F987" s="12" t="n"/>
      <c r="G987" s="7">
        <f>IF(OR(E987="",F987=""),"",IF(COUNTIF(Cluster_Master!$I$3:$I$17,E987&amp;"|"&amp;F987)=1,"Valid","Review"))</f>
        <v/>
      </c>
      <c r="H987" s="7">
        <f>IF($G987&lt;&gt;"Valid","",VLOOKUP($E987&amp;"|"&amp;$F987,Cluster_Master!$I$3:$H$17,3,FALSE))</f>
        <v/>
      </c>
      <c r="I987" s="7">
        <f>IF($G987&lt;&gt;"Valid","",VLOOKUP($E987&amp;"|"&amp;$F987,Cluster_Master!$I$3:$H$17,4,FALSE))</f>
        <v/>
      </c>
      <c r="J987" s="7">
        <f>IF($G987&lt;&gt;"Valid","",VLOOKUP($E987&amp;"|"&amp;$F987,Cluster_Master!$I$3:$H$17,5,FALSE))</f>
        <v/>
      </c>
      <c r="K987" s="7">
        <f>IF($G987&lt;&gt;"Valid","",VLOOKUP($E987&amp;"|"&amp;$F987,Cluster_Master!$I$3:$H$17,6,FALSE))</f>
        <v/>
      </c>
      <c r="L987" s="7">
        <f>IF($G987&lt;&gt;"Valid","",VLOOKUP($E987&amp;"|"&amp;$F987,Cluster_Master!$I$3:$H$17,7,FALSE))</f>
        <v/>
      </c>
      <c r="M987" s="7">
        <f>IF($G987&lt;&gt;"Valid","",VLOOKUP($E987&amp;"|"&amp;$F987,Cluster_Master!$I$3:$H$17,8,FALSE))</f>
        <v/>
      </c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7">
        <f>IF(COUNT(T987:AH987)=0,"",SUM(T987:AH987))</f>
        <v/>
      </c>
      <c r="AJ987" s="10">
        <f>IF(AI987="","",AI987/75)</f>
        <v/>
      </c>
      <c r="AK987" s="10">
        <f>IF(AI987="","",SUMPRODUCT(T987:AH987,KPI_Weights!$B$3:$B$17)/5)</f>
        <v/>
      </c>
      <c r="AL987" s="7">
        <f>IF(COUNT(T987:AH987)=0,"",IF(OR(T987&lt;=1,W987&lt;=1,X987&lt;=1,Y987&lt;=1,AB987&lt;=1),"YES","NO"))</f>
        <v/>
      </c>
      <c r="AM987" s="7">
        <f>IF(AK987="","",IF(AND(AK987="NO",AJ987&gt;=0.85),"YES","NO"))</f>
        <v/>
      </c>
      <c r="AN987" s="7">
        <f>IF(AJ987="","",IF(AJ987&gt;=0.90,"Excellent",IF(AJ987&gt;=0.80,"Good",IF(AJ987&gt;=0.70,"Fair","Poor"))))</f>
        <v/>
      </c>
      <c r="AO987" s="12" t="n"/>
      <c r="AP987" s="12" t="n"/>
      <c r="AQ987" s="12" t="n"/>
      <c r="AR987" s="12" t="n"/>
      <c r="AS987" s="12" t="n"/>
      <c r="AT987" s="12" t="n"/>
      <c r="AU987" s="12" t="n"/>
      <c r="AV987" s="11" t="n"/>
      <c r="AW987" s="12" t="n"/>
      <c r="AX987" s="12" t="n"/>
      <c r="AY987" s="12" t="n"/>
      <c r="AZ987" s="12" t="n"/>
      <c r="BA987" s="12" t="n"/>
      <c r="BB987" s="12" t="n"/>
      <c r="BC987" s="12" t="n"/>
      <c r="BD987" s="12" t="n"/>
      <c r="BE987" s="12" t="n"/>
      <c r="BF987" s="12" t="n"/>
    </row>
    <row r="988">
      <c r="A988" s="7">
        <f>IF(B988="","","INS-"&amp;TEXT(ROW()-3,"000"))</f>
        <v/>
      </c>
      <c r="B988" s="11" t="n"/>
      <c r="C988" s="7">
        <f>IF(B988="","",ISOWEEKNUM(B988))</f>
        <v/>
      </c>
      <c r="D988" s="7">
        <f>IF(B988="","",TEXT(B988,"yyyy-mm"))</f>
        <v/>
      </c>
      <c r="E988" s="12" t="n"/>
      <c r="F988" s="12" t="n"/>
      <c r="G988" s="7">
        <f>IF(OR(E988="",F988=""),"",IF(COUNTIF(Cluster_Master!$I$3:$I$17,E988&amp;"|"&amp;F988)=1,"Valid","Review"))</f>
        <v/>
      </c>
      <c r="H988" s="7">
        <f>IF($G988&lt;&gt;"Valid","",VLOOKUP($E988&amp;"|"&amp;$F988,Cluster_Master!$I$3:$H$17,3,FALSE))</f>
        <v/>
      </c>
      <c r="I988" s="7">
        <f>IF($G988&lt;&gt;"Valid","",VLOOKUP($E988&amp;"|"&amp;$F988,Cluster_Master!$I$3:$H$17,4,FALSE))</f>
        <v/>
      </c>
      <c r="J988" s="7">
        <f>IF($G988&lt;&gt;"Valid","",VLOOKUP($E988&amp;"|"&amp;$F988,Cluster_Master!$I$3:$H$17,5,FALSE))</f>
        <v/>
      </c>
      <c r="K988" s="7">
        <f>IF($G988&lt;&gt;"Valid","",VLOOKUP($E988&amp;"|"&amp;$F988,Cluster_Master!$I$3:$H$17,6,FALSE))</f>
        <v/>
      </c>
      <c r="L988" s="7">
        <f>IF($G988&lt;&gt;"Valid","",VLOOKUP($E988&amp;"|"&amp;$F988,Cluster_Master!$I$3:$H$17,7,FALSE))</f>
        <v/>
      </c>
      <c r="M988" s="7">
        <f>IF($G988&lt;&gt;"Valid","",VLOOKUP($E988&amp;"|"&amp;$F988,Cluster_Master!$I$3:$H$17,8,FALSE))</f>
        <v/>
      </c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7">
        <f>IF(COUNT(T988:AH988)=0,"",SUM(T988:AH988))</f>
        <v/>
      </c>
      <c r="AJ988" s="10">
        <f>IF(AI988="","",AI988/75)</f>
        <v/>
      </c>
      <c r="AK988" s="10">
        <f>IF(AI988="","",SUMPRODUCT(T988:AH988,KPI_Weights!$B$3:$B$17)/5)</f>
        <v/>
      </c>
      <c r="AL988" s="7">
        <f>IF(COUNT(T988:AH988)=0,"",IF(OR(T988&lt;=1,W988&lt;=1,X988&lt;=1,Y988&lt;=1,AB988&lt;=1),"YES","NO"))</f>
        <v/>
      </c>
      <c r="AM988" s="7">
        <f>IF(AK988="","",IF(AND(AK988="NO",AJ988&gt;=0.85),"YES","NO"))</f>
        <v/>
      </c>
      <c r="AN988" s="7">
        <f>IF(AJ988="","",IF(AJ988&gt;=0.90,"Excellent",IF(AJ988&gt;=0.80,"Good",IF(AJ988&gt;=0.70,"Fair","Poor"))))</f>
        <v/>
      </c>
      <c r="AO988" s="12" t="n"/>
      <c r="AP988" s="12" t="n"/>
      <c r="AQ988" s="12" t="n"/>
      <c r="AR988" s="12" t="n"/>
      <c r="AS988" s="12" t="n"/>
      <c r="AT988" s="12" t="n"/>
      <c r="AU988" s="12" t="n"/>
      <c r="AV988" s="11" t="n"/>
      <c r="AW988" s="12" t="n"/>
      <c r="AX988" s="12" t="n"/>
      <c r="AY988" s="12" t="n"/>
      <c r="AZ988" s="12" t="n"/>
      <c r="BA988" s="12" t="n"/>
      <c r="BB988" s="12" t="n"/>
      <c r="BC988" s="12" t="n"/>
      <c r="BD988" s="12" t="n"/>
      <c r="BE988" s="12" t="n"/>
      <c r="BF988" s="12" t="n"/>
    </row>
    <row r="989">
      <c r="A989" s="7">
        <f>IF(B989="","","INS-"&amp;TEXT(ROW()-3,"000"))</f>
        <v/>
      </c>
      <c r="B989" s="11" t="n"/>
      <c r="C989" s="7">
        <f>IF(B989="","",ISOWEEKNUM(B989))</f>
        <v/>
      </c>
      <c r="D989" s="7">
        <f>IF(B989="","",TEXT(B989,"yyyy-mm"))</f>
        <v/>
      </c>
      <c r="E989" s="12" t="n"/>
      <c r="F989" s="12" t="n"/>
      <c r="G989" s="7">
        <f>IF(OR(E989="",F989=""),"",IF(COUNTIF(Cluster_Master!$I$3:$I$17,E989&amp;"|"&amp;F989)=1,"Valid","Review"))</f>
        <v/>
      </c>
      <c r="H989" s="7">
        <f>IF($G989&lt;&gt;"Valid","",VLOOKUP($E989&amp;"|"&amp;$F989,Cluster_Master!$I$3:$H$17,3,FALSE))</f>
        <v/>
      </c>
      <c r="I989" s="7">
        <f>IF($G989&lt;&gt;"Valid","",VLOOKUP($E989&amp;"|"&amp;$F989,Cluster_Master!$I$3:$H$17,4,FALSE))</f>
        <v/>
      </c>
      <c r="J989" s="7">
        <f>IF($G989&lt;&gt;"Valid","",VLOOKUP($E989&amp;"|"&amp;$F989,Cluster_Master!$I$3:$H$17,5,FALSE))</f>
        <v/>
      </c>
      <c r="K989" s="7">
        <f>IF($G989&lt;&gt;"Valid","",VLOOKUP($E989&amp;"|"&amp;$F989,Cluster_Master!$I$3:$H$17,6,FALSE))</f>
        <v/>
      </c>
      <c r="L989" s="7">
        <f>IF($G989&lt;&gt;"Valid","",VLOOKUP($E989&amp;"|"&amp;$F989,Cluster_Master!$I$3:$H$17,7,FALSE))</f>
        <v/>
      </c>
      <c r="M989" s="7">
        <f>IF($G989&lt;&gt;"Valid","",VLOOKUP($E989&amp;"|"&amp;$F989,Cluster_Master!$I$3:$H$17,8,FALSE))</f>
        <v/>
      </c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7">
        <f>IF(COUNT(T989:AH989)=0,"",SUM(T989:AH989))</f>
        <v/>
      </c>
      <c r="AJ989" s="10">
        <f>IF(AI989="","",AI989/75)</f>
        <v/>
      </c>
      <c r="AK989" s="10">
        <f>IF(AI989="","",SUMPRODUCT(T989:AH989,KPI_Weights!$B$3:$B$17)/5)</f>
        <v/>
      </c>
      <c r="AL989" s="7">
        <f>IF(COUNT(T989:AH989)=0,"",IF(OR(T989&lt;=1,W989&lt;=1,X989&lt;=1,Y989&lt;=1,AB989&lt;=1),"YES","NO"))</f>
        <v/>
      </c>
      <c r="AM989" s="7">
        <f>IF(AK989="","",IF(AND(AK989="NO",AJ989&gt;=0.85),"YES","NO"))</f>
        <v/>
      </c>
      <c r="AN989" s="7">
        <f>IF(AJ989="","",IF(AJ989&gt;=0.90,"Excellent",IF(AJ989&gt;=0.80,"Good",IF(AJ989&gt;=0.70,"Fair","Poor"))))</f>
        <v/>
      </c>
      <c r="AO989" s="12" t="n"/>
      <c r="AP989" s="12" t="n"/>
      <c r="AQ989" s="12" t="n"/>
      <c r="AR989" s="12" t="n"/>
      <c r="AS989" s="12" t="n"/>
      <c r="AT989" s="12" t="n"/>
      <c r="AU989" s="12" t="n"/>
      <c r="AV989" s="11" t="n"/>
      <c r="AW989" s="12" t="n"/>
      <c r="AX989" s="12" t="n"/>
      <c r="AY989" s="12" t="n"/>
      <c r="AZ989" s="12" t="n"/>
      <c r="BA989" s="12" t="n"/>
      <c r="BB989" s="12" t="n"/>
      <c r="BC989" s="12" t="n"/>
      <c r="BD989" s="12" t="n"/>
      <c r="BE989" s="12" t="n"/>
      <c r="BF989" s="12" t="n"/>
    </row>
    <row r="990">
      <c r="A990" s="7">
        <f>IF(B990="","","INS-"&amp;TEXT(ROW()-3,"000"))</f>
        <v/>
      </c>
      <c r="B990" s="11" t="n"/>
      <c r="C990" s="7">
        <f>IF(B990="","",ISOWEEKNUM(B990))</f>
        <v/>
      </c>
      <c r="D990" s="7">
        <f>IF(B990="","",TEXT(B990,"yyyy-mm"))</f>
        <v/>
      </c>
      <c r="E990" s="12" t="n"/>
      <c r="F990" s="12" t="n"/>
      <c r="G990" s="7">
        <f>IF(OR(E990="",F990=""),"",IF(COUNTIF(Cluster_Master!$I$3:$I$17,E990&amp;"|"&amp;F990)=1,"Valid","Review"))</f>
        <v/>
      </c>
      <c r="H990" s="7">
        <f>IF($G990&lt;&gt;"Valid","",VLOOKUP($E990&amp;"|"&amp;$F990,Cluster_Master!$I$3:$H$17,3,FALSE))</f>
        <v/>
      </c>
      <c r="I990" s="7">
        <f>IF($G990&lt;&gt;"Valid","",VLOOKUP($E990&amp;"|"&amp;$F990,Cluster_Master!$I$3:$H$17,4,FALSE))</f>
        <v/>
      </c>
      <c r="J990" s="7">
        <f>IF($G990&lt;&gt;"Valid","",VLOOKUP($E990&amp;"|"&amp;$F990,Cluster_Master!$I$3:$H$17,5,FALSE))</f>
        <v/>
      </c>
      <c r="K990" s="7">
        <f>IF($G990&lt;&gt;"Valid","",VLOOKUP($E990&amp;"|"&amp;$F990,Cluster_Master!$I$3:$H$17,6,FALSE))</f>
        <v/>
      </c>
      <c r="L990" s="7">
        <f>IF($G990&lt;&gt;"Valid","",VLOOKUP($E990&amp;"|"&amp;$F990,Cluster_Master!$I$3:$H$17,7,FALSE))</f>
        <v/>
      </c>
      <c r="M990" s="7">
        <f>IF($G990&lt;&gt;"Valid","",VLOOKUP($E990&amp;"|"&amp;$F990,Cluster_Master!$I$3:$H$17,8,FALSE))</f>
        <v/>
      </c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7">
        <f>IF(COUNT(T990:AH990)=0,"",SUM(T990:AH990))</f>
        <v/>
      </c>
      <c r="AJ990" s="10">
        <f>IF(AI990="","",AI990/75)</f>
        <v/>
      </c>
      <c r="AK990" s="10">
        <f>IF(AI990="","",SUMPRODUCT(T990:AH990,KPI_Weights!$B$3:$B$17)/5)</f>
        <v/>
      </c>
      <c r="AL990" s="7">
        <f>IF(COUNT(T990:AH990)=0,"",IF(OR(T990&lt;=1,W990&lt;=1,X990&lt;=1,Y990&lt;=1,AB990&lt;=1),"YES","NO"))</f>
        <v/>
      </c>
      <c r="AM990" s="7">
        <f>IF(AK990="","",IF(AND(AK990="NO",AJ990&gt;=0.85),"YES","NO"))</f>
        <v/>
      </c>
      <c r="AN990" s="7">
        <f>IF(AJ990="","",IF(AJ990&gt;=0.90,"Excellent",IF(AJ990&gt;=0.80,"Good",IF(AJ990&gt;=0.70,"Fair","Poor"))))</f>
        <v/>
      </c>
      <c r="AO990" s="12" t="n"/>
      <c r="AP990" s="12" t="n"/>
      <c r="AQ990" s="12" t="n"/>
      <c r="AR990" s="12" t="n"/>
      <c r="AS990" s="12" t="n"/>
      <c r="AT990" s="12" t="n"/>
      <c r="AU990" s="12" t="n"/>
      <c r="AV990" s="11" t="n"/>
      <c r="AW990" s="12" t="n"/>
      <c r="AX990" s="12" t="n"/>
      <c r="AY990" s="12" t="n"/>
      <c r="AZ990" s="12" t="n"/>
      <c r="BA990" s="12" t="n"/>
      <c r="BB990" s="12" t="n"/>
      <c r="BC990" s="12" t="n"/>
      <c r="BD990" s="12" t="n"/>
      <c r="BE990" s="12" t="n"/>
      <c r="BF990" s="12" t="n"/>
    </row>
    <row r="991">
      <c r="A991" s="7">
        <f>IF(B991="","","INS-"&amp;TEXT(ROW()-3,"000"))</f>
        <v/>
      </c>
      <c r="B991" s="11" t="n"/>
      <c r="C991" s="7">
        <f>IF(B991="","",ISOWEEKNUM(B991))</f>
        <v/>
      </c>
      <c r="D991" s="7">
        <f>IF(B991="","",TEXT(B991,"yyyy-mm"))</f>
        <v/>
      </c>
      <c r="E991" s="12" t="n"/>
      <c r="F991" s="12" t="n"/>
      <c r="G991" s="7">
        <f>IF(OR(E991="",F991=""),"",IF(COUNTIF(Cluster_Master!$I$3:$I$17,E991&amp;"|"&amp;F991)=1,"Valid","Review"))</f>
        <v/>
      </c>
      <c r="H991" s="7">
        <f>IF($G991&lt;&gt;"Valid","",VLOOKUP($E991&amp;"|"&amp;$F991,Cluster_Master!$I$3:$H$17,3,FALSE))</f>
        <v/>
      </c>
      <c r="I991" s="7">
        <f>IF($G991&lt;&gt;"Valid","",VLOOKUP($E991&amp;"|"&amp;$F991,Cluster_Master!$I$3:$H$17,4,FALSE))</f>
        <v/>
      </c>
      <c r="J991" s="7">
        <f>IF($G991&lt;&gt;"Valid","",VLOOKUP($E991&amp;"|"&amp;$F991,Cluster_Master!$I$3:$H$17,5,FALSE))</f>
        <v/>
      </c>
      <c r="K991" s="7">
        <f>IF($G991&lt;&gt;"Valid","",VLOOKUP($E991&amp;"|"&amp;$F991,Cluster_Master!$I$3:$H$17,6,FALSE))</f>
        <v/>
      </c>
      <c r="L991" s="7">
        <f>IF($G991&lt;&gt;"Valid","",VLOOKUP($E991&amp;"|"&amp;$F991,Cluster_Master!$I$3:$H$17,7,FALSE))</f>
        <v/>
      </c>
      <c r="M991" s="7">
        <f>IF($G991&lt;&gt;"Valid","",VLOOKUP($E991&amp;"|"&amp;$F991,Cluster_Master!$I$3:$H$17,8,FALSE))</f>
        <v/>
      </c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7">
        <f>IF(COUNT(T991:AH991)=0,"",SUM(T991:AH991))</f>
        <v/>
      </c>
      <c r="AJ991" s="10">
        <f>IF(AI991="","",AI991/75)</f>
        <v/>
      </c>
      <c r="AK991" s="10">
        <f>IF(AI991="","",SUMPRODUCT(T991:AH991,KPI_Weights!$B$3:$B$17)/5)</f>
        <v/>
      </c>
      <c r="AL991" s="7">
        <f>IF(COUNT(T991:AH991)=0,"",IF(OR(T991&lt;=1,W991&lt;=1,X991&lt;=1,Y991&lt;=1,AB991&lt;=1),"YES","NO"))</f>
        <v/>
      </c>
      <c r="AM991" s="7">
        <f>IF(AK991="","",IF(AND(AK991="NO",AJ991&gt;=0.85),"YES","NO"))</f>
        <v/>
      </c>
      <c r="AN991" s="7">
        <f>IF(AJ991="","",IF(AJ991&gt;=0.90,"Excellent",IF(AJ991&gt;=0.80,"Good",IF(AJ991&gt;=0.70,"Fair","Poor"))))</f>
        <v/>
      </c>
      <c r="AO991" s="12" t="n"/>
      <c r="AP991" s="12" t="n"/>
      <c r="AQ991" s="12" t="n"/>
      <c r="AR991" s="12" t="n"/>
      <c r="AS991" s="12" t="n"/>
      <c r="AT991" s="12" t="n"/>
      <c r="AU991" s="12" t="n"/>
      <c r="AV991" s="11" t="n"/>
      <c r="AW991" s="12" t="n"/>
      <c r="AX991" s="12" t="n"/>
      <c r="AY991" s="12" t="n"/>
      <c r="AZ991" s="12" t="n"/>
      <c r="BA991" s="12" t="n"/>
      <c r="BB991" s="12" t="n"/>
      <c r="BC991" s="12" t="n"/>
      <c r="BD991" s="12" t="n"/>
      <c r="BE991" s="12" t="n"/>
      <c r="BF991" s="12" t="n"/>
    </row>
    <row r="992">
      <c r="A992" s="7">
        <f>IF(B992="","","INS-"&amp;TEXT(ROW()-3,"000"))</f>
        <v/>
      </c>
      <c r="B992" s="11" t="n"/>
      <c r="C992" s="7">
        <f>IF(B992="","",ISOWEEKNUM(B992))</f>
        <v/>
      </c>
      <c r="D992" s="7">
        <f>IF(B992="","",TEXT(B992,"yyyy-mm"))</f>
        <v/>
      </c>
      <c r="E992" s="12" t="n"/>
      <c r="F992" s="12" t="n"/>
      <c r="G992" s="7">
        <f>IF(OR(E992="",F992=""),"",IF(COUNTIF(Cluster_Master!$I$3:$I$17,E992&amp;"|"&amp;F992)=1,"Valid","Review"))</f>
        <v/>
      </c>
      <c r="H992" s="7">
        <f>IF($G992&lt;&gt;"Valid","",VLOOKUP($E992&amp;"|"&amp;$F992,Cluster_Master!$I$3:$H$17,3,FALSE))</f>
        <v/>
      </c>
      <c r="I992" s="7">
        <f>IF($G992&lt;&gt;"Valid","",VLOOKUP($E992&amp;"|"&amp;$F992,Cluster_Master!$I$3:$H$17,4,FALSE))</f>
        <v/>
      </c>
      <c r="J992" s="7">
        <f>IF($G992&lt;&gt;"Valid","",VLOOKUP($E992&amp;"|"&amp;$F992,Cluster_Master!$I$3:$H$17,5,FALSE))</f>
        <v/>
      </c>
      <c r="K992" s="7">
        <f>IF($G992&lt;&gt;"Valid","",VLOOKUP($E992&amp;"|"&amp;$F992,Cluster_Master!$I$3:$H$17,6,FALSE))</f>
        <v/>
      </c>
      <c r="L992" s="7">
        <f>IF($G992&lt;&gt;"Valid","",VLOOKUP($E992&amp;"|"&amp;$F992,Cluster_Master!$I$3:$H$17,7,FALSE))</f>
        <v/>
      </c>
      <c r="M992" s="7">
        <f>IF($G992&lt;&gt;"Valid","",VLOOKUP($E992&amp;"|"&amp;$F992,Cluster_Master!$I$3:$H$17,8,FALSE))</f>
        <v/>
      </c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7">
        <f>IF(COUNT(T992:AH992)=0,"",SUM(T992:AH992))</f>
        <v/>
      </c>
      <c r="AJ992" s="10">
        <f>IF(AI992="","",AI992/75)</f>
        <v/>
      </c>
      <c r="AK992" s="10">
        <f>IF(AI992="","",SUMPRODUCT(T992:AH992,KPI_Weights!$B$3:$B$17)/5)</f>
        <v/>
      </c>
      <c r="AL992" s="7">
        <f>IF(COUNT(T992:AH992)=0,"",IF(OR(T992&lt;=1,W992&lt;=1,X992&lt;=1,Y992&lt;=1,AB992&lt;=1),"YES","NO"))</f>
        <v/>
      </c>
      <c r="AM992" s="7">
        <f>IF(AK992="","",IF(AND(AK992="NO",AJ992&gt;=0.85),"YES","NO"))</f>
        <v/>
      </c>
      <c r="AN992" s="7">
        <f>IF(AJ992="","",IF(AJ992&gt;=0.90,"Excellent",IF(AJ992&gt;=0.80,"Good",IF(AJ992&gt;=0.70,"Fair","Poor"))))</f>
        <v/>
      </c>
      <c r="AO992" s="12" t="n"/>
      <c r="AP992" s="12" t="n"/>
      <c r="AQ992" s="12" t="n"/>
      <c r="AR992" s="12" t="n"/>
      <c r="AS992" s="12" t="n"/>
      <c r="AT992" s="12" t="n"/>
      <c r="AU992" s="12" t="n"/>
      <c r="AV992" s="11" t="n"/>
      <c r="AW992" s="12" t="n"/>
      <c r="AX992" s="12" t="n"/>
      <c r="AY992" s="12" t="n"/>
      <c r="AZ992" s="12" t="n"/>
      <c r="BA992" s="12" t="n"/>
      <c r="BB992" s="12" t="n"/>
      <c r="BC992" s="12" t="n"/>
      <c r="BD992" s="12" t="n"/>
      <c r="BE992" s="12" t="n"/>
      <c r="BF992" s="12" t="n"/>
    </row>
    <row r="993">
      <c r="A993" s="7">
        <f>IF(B993="","","INS-"&amp;TEXT(ROW()-3,"000"))</f>
        <v/>
      </c>
      <c r="B993" s="11" t="n"/>
      <c r="C993" s="7">
        <f>IF(B993="","",ISOWEEKNUM(B993))</f>
        <v/>
      </c>
      <c r="D993" s="7">
        <f>IF(B993="","",TEXT(B993,"yyyy-mm"))</f>
        <v/>
      </c>
      <c r="E993" s="12" t="n"/>
      <c r="F993" s="12" t="n"/>
      <c r="G993" s="7">
        <f>IF(OR(E993="",F993=""),"",IF(COUNTIF(Cluster_Master!$I$3:$I$17,E993&amp;"|"&amp;F993)=1,"Valid","Review"))</f>
        <v/>
      </c>
      <c r="H993" s="7">
        <f>IF($G993&lt;&gt;"Valid","",VLOOKUP($E993&amp;"|"&amp;$F993,Cluster_Master!$I$3:$H$17,3,FALSE))</f>
        <v/>
      </c>
      <c r="I993" s="7">
        <f>IF($G993&lt;&gt;"Valid","",VLOOKUP($E993&amp;"|"&amp;$F993,Cluster_Master!$I$3:$H$17,4,FALSE))</f>
        <v/>
      </c>
      <c r="J993" s="7">
        <f>IF($G993&lt;&gt;"Valid","",VLOOKUP($E993&amp;"|"&amp;$F993,Cluster_Master!$I$3:$H$17,5,FALSE))</f>
        <v/>
      </c>
      <c r="K993" s="7">
        <f>IF($G993&lt;&gt;"Valid","",VLOOKUP($E993&amp;"|"&amp;$F993,Cluster_Master!$I$3:$H$17,6,FALSE))</f>
        <v/>
      </c>
      <c r="L993" s="7">
        <f>IF($G993&lt;&gt;"Valid","",VLOOKUP($E993&amp;"|"&amp;$F993,Cluster_Master!$I$3:$H$17,7,FALSE))</f>
        <v/>
      </c>
      <c r="M993" s="7">
        <f>IF($G993&lt;&gt;"Valid","",VLOOKUP($E993&amp;"|"&amp;$F993,Cluster_Master!$I$3:$H$17,8,FALSE))</f>
        <v/>
      </c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7">
        <f>IF(COUNT(T993:AH993)=0,"",SUM(T993:AH993))</f>
        <v/>
      </c>
      <c r="AJ993" s="10">
        <f>IF(AI993="","",AI993/75)</f>
        <v/>
      </c>
      <c r="AK993" s="10">
        <f>IF(AI993="","",SUMPRODUCT(T993:AH993,KPI_Weights!$B$3:$B$17)/5)</f>
        <v/>
      </c>
      <c r="AL993" s="7">
        <f>IF(COUNT(T993:AH993)=0,"",IF(OR(T993&lt;=1,W993&lt;=1,X993&lt;=1,Y993&lt;=1,AB993&lt;=1),"YES","NO"))</f>
        <v/>
      </c>
      <c r="AM993" s="7">
        <f>IF(AK993="","",IF(AND(AK993="NO",AJ993&gt;=0.85),"YES","NO"))</f>
        <v/>
      </c>
      <c r="AN993" s="7">
        <f>IF(AJ993="","",IF(AJ993&gt;=0.90,"Excellent",IF(AJ993&gt;=0.80,"Good",IF(AJ993&gt;=0.70,"Fair","Poor"))))</f>
        <v/>
      </c>
      <c r="AO993" s="12" t="n"/>
      <c r="AP993" s="12" t="n"/>
      <c r="AQ993" s="12" t="n"/>
      <c r="AR993" s="12" t="n"/>
      <c r="AS993" s="12" t="n"/>
      <c r="AT993" s="12" t="n"/>
      <c r="AU993" s="12" t="n"/>
      <c r="AV993" s="11" t="n"/>
      <c r="AW993" s="12" t="n"/>
      <c r="AX993" s="12" t="n"/>
      <c r="AY993" s="12" t="n"/>
      <c r="AZ993" s="12" t="n"/>
      <c r="BA993" s="12" t="n"/>
      <c r="BB993" s="12" t="n"/>
      <c r="BC993" s="12" t="n"/>
      <c r="BD993" s="12" t="n"/>
      <c r="BE993" s="12" t="n"/>
      <c r="BF993" s="12" t="n"/>
    </row>
    <row r="994">
      <c r="A994" s="7">
        <f>IF(B994="","","INS-"&amp;TEXT(ROW()-3,"000"))</f>
        <v/>
      </c>
      <c r="B994" s="11" t="n"/>
      <c r="C994" s="7">
        <f>IF(B994="","",ISOWEEKNUM(B994))</f>
        <v/>
      </c>
      <c r="D994" s="7">
        <f>IF(B994="","",TEXT(B994,"yyyy-mm"))</f>
        <v/>
      </c>
      <c r="E994" s="12" t="n"/>
      <c r="F994" s="12" t="n"/>
      <c r="G994" s="7">
        <f>IF(OR(E994="",F994=""),"",IF(COUNTIF(Cluster_Master!$I$3:$I$17,E994&amp;"|"&amp;F994)=1,"Valid","Review"))</f>
        <v/>
      </c>
      <c r="H994" s="7">
        <f>IF($G994&lt;&gt;"Valid","",VLOOKUP($E994&amp;"|"&amp;$F994,Cluster_Master!$I$3:$H$17,3,FALSE))</f>
        <v/>
      </c>
      <c r="I994" s="7">
        <f>IF($G994&lt;&gt;"Valid","",VLOOKUP($E994&amp;"|"&amp;$F994,Cluster_Master!$I$3:$H$17,4,FALSE))</f>
        <v/>
      </c>
      <c r="J994" s="7">
        <f>IF($G994&lt;&gt;"Valid","",VLOOKUP($E994&amp;"|"&amp;$F994,Cluster_Master!$I$3:$H$17,5,FALSE))</f>
        <v/>
      </c>
      <c r="K994" s="7">
        <f>IF($G994&lt;&gt;"Valid","",VLOOKUP($E994&amp;"|"&amp;$F994,Cluster_Master!$I$3:$H$17,6,FALSE))</f>
        <v/>
      </c>
      <c r="L994" s="7">
        <f>IF($G994&lt;&gt;"Valid","",VLOOKUP($E994&amp;"|"&amp;$F994,Cluster_Master!$I$3:$H$17,7,FALSE))</f>
        <v/>
      </c>
      <c r="M994" s="7">
        <f>IF($G994&lt;&gt;"Valid","",VLOOKUP($E994&amp;"|"&amp;$F994,Cluster_Master!$I$3:$H$17,8,FALSE))</f>
        <v/>
      </c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7">
        <f>IF(COUNT(T994:AH994)=0,"",SUM(T994:AH994))</f>
        <v/>
      </c>
      <c r="AJ994" s="10">
        <f>IF(AI994="","",AI994/75)</f>
        <v/>
      </c>
      <c r="AK994" s="10">
        <f>IF(AI994="","",SUMPRODUCT(T994:AH994,KPI_Weights!$B$3:$B$17)/5)</f>
        <v/>
      </c>
      <c r="AL994" s="7">
        <f>IF(COUNT(T994:AH994)=0,"",IF(OR(T994&lt;=1,W994&lt;=1,X994&lt;=1,Y994&lt;=1,AB994&lt;=1),"YES","NO"))</f>
        <v/>
      </c>
      <c r="AM994" s="7">
        <f>IF(AK994="","",IF(AND(AK994="NO",AJ994&gt;=0.85),"YES","NO"))</f>
        <v/>
      </c>
      <c r="AN994" s="7">
        <f>IF(AJ994="","",IF(AJ994&gt;=0.90,"Excellent",IF(AJ994&gt;=0.80,"Good",IF(AJ994&gt;=0.70,"Fair","Poor"))))</f>
        <v/>
      </c>
      <c r="AO994" s="12" t="n"/>
      <c r="AP994" s="12" t="n"/>
      <c r="AQ994" s="12" t="n"/>
      <c r="AR994" s="12" t="n"/>
      <c r="AS994" s="12" t="n"/>
      <c r="AT994" s="12" t="n"/>
      <c r="AU994" s="12" t="n"/>
      <c r="AV994" s="11" t="n"/>
      <c r="AW994" s="12" t="n"/>
      <c r="AX994" s="12" t="n"/>
      <c r="AY994" s="12" t="n"/>
      <c r="AZ994" s="12" t="n"/>
      <c r="BA994" s="12" t="n"/>
      <c r="BB994" s="12" t="n"/>
      <c r="BC994" s="12" t="n"/>
      <c r="BD994" s="12" t="n"/>
      <c r="BE994" s="12" t="n"/>
      <c r="BF994" s="12" t="n"/>
    </row>
    <row r="995">
      <c r="A995" s="7">
        <f>IF(B995="","","INS-"&amp;TEXT(ROW()-3,"000"))</f>
        <v/>
      </c>
      <c r="B995" s="11" t="n"/>
      <c r="C995" s="7">
        <f>IF(B995="","",ISOWEEKNUM(B995))</f>
        <v/>
      </c>
      <c r="D995" s="7">
        <f>IF(B995="","",TEXT(B995,"yyyy-mm"))</f>
        <v/>
      </c>
      <c r="E995" s="12" t="n"/>
      <c r="F995" s="12" t="n"/>
      <c r="G995" s="7">
        <f>IF(OR(E995="",F995=""),"",IF(COUNTIF(Cluster_Master!$I$3:$I$17,E995&amp;"|"&amp;F995)=1,"Valid","Review"))</f>
        <v/>
      </c>
      <c r="H995" s="7">
        <f>IF($G995&lt;&gt;"Valid","",VLOOKUP($E995&amp;"|"&amp;$F995,Cluster_Master!$I$3:$H$17,3,FALSE))</f>
        <v/>
      </c>
      <c r="I995" s="7">
        <f>IF($G995&lt;&gt;"Valid","",VLOOKUP($E995&amp;"|"&amp;$F995,Cluster_Master!$I$3:$H$17,4,FALSE))</f>
        <v/>
      </c>
      <c r="J995" s="7">
        <f>IF($G995&lt;&gt;"Valid","",VLOOKUP($E995&amp;"|"&amp;$F995,Cluster_Master!$I$3:$H$17,5,FALSE))</f>
        <v/>
      </c>
      <c r="K995" s="7">
        <f>IF($G995&lt;&gt;"Valid","",VLOOKUP($E995&amp;"|"&amp;$F995,Cluster_Master!$I$3:$H$17,6,FALSE))</f>
        <v/>
      </c>
      <c r="L995" s="7">
        <f>IF($G995&lt;&gt;"Valid","",VLOOKUP($E995&amp;"|"&amp;$F995,Cluster_Master!$I$3:$H$17,7,FALSE))</f>
        <v/>
      </c>
      <c r="M995" s="7">
        <f>IF($G995&lt;&gt;"Valid","",VLOOKUP($E995&amp;"|"&amp;$F995,Cluster_Master!$I$3:$H$17,8,FALSE))</f>
        <v/>
      </c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7">
        <f>IF(COUNT(T995:AH995)=0,"",SUM(T995:AH995))</f>
        <v/>
      </c>
      <c r="AJ995" s="10">
        <f>IF(AI995="","",AI995/75)</f>
        <v/>
      </c>
      <c r="AK995" s="10">
        <f>IF(AI995="","",SUMPRODUCT(T995:AH995,KPI_Weights!$B$3:$B$17)/5)</f>
        <v/>
      </c>
      <c r="AL995" s="7">
        <f>IF(COUNT(T995:AH995)=0,"",IF(OR(T995&lt;=1,W995&lt;=1,X995&lt;=1,Y995&lt;=1,AB995&lt;=1),"YES","NO"))</f>
        <v/>
      </c>
      <c r="AM995" s="7">
        <f>IF(AK995="","",IF(AND(AK995="NO",AJ995&gt;=0.85),"YES","NO"))</f>
        <v/>
      </c>
      <c r="AN995" s="7">
        <f>IF(AJ995="","",IF(AJ995&gt;=0.90,"Excellent",IF(AJ995&gt;=0.80,"Good",IF(AJ995&gt;=0.70,"Fair","Poor"))))</f>
        <v/>
      </c>
      <c r="AO995" s="12" t="n"/>
      <c r="AP995" s="12" t="n"/>
      <c r="AQ995" s="12" t="n"/>
      <c r="AR995" s="12" t="n"/>
      <c r="AS995" s="12" t="n"/>
      <c r="AT995" s="12" t="n"/>
      <c r="AU995" s="12" t="n"/>
      <c r="AV995" s="11" t="n"/>
      <c r="AW995" s="12" t="n"/>
      <c r="AX995" s="12" t="n"/>
      <c r="AY995" s="12" t="n"/>
      <c r="AZ995" s="12" t="n"/>
      <c r="BA995" s="12" t="n"/>
      <c r="BB995" s="12" t="n"/>
      <c r="BC995" s="12" t="n"/>
      <c r="BD995" s="12" t="n"/>
      <c r="BE995" s="12" t="n"/>
      <c r="BF995" s="12" t="n"/>
    </row>
    <row r="996">
      <c r="A996" s="7">
        <f>IF(B996="","","INS-"&amp;TEXT(ROW()-3,"000"))</f>
        <v/>
      </c>
      <c r="B996" s="11" t="n"/>
      <c r="C996" s="7">
        <f>IF(B996="","",ISOWEEKNUM(B996))</f>
        <v/>
      </c>
      <c r="D996" s="7">
        <f>IF(B996="","",TEXT(B996,"yyyy-mm"))</f>
        <v/>
      </c>
      <c r="E996" s="12" t="n"/>
      <c r="F996" s="12" t="n"/>
      <c r="G996" s="7">
        <f>IF(OR(E996="",F996=""),"",IF(COUNTIF(Cluster_Master!$I$3:$I$17,E996&amp;"|"&amp;F996)=1,"Valid","Review"))</f>
        <v/>
      </c>
      <c r="H996" s="7">
        <f>IF($G996&lt;&gt;"Valid","",VLOOKUP($E996&amp;"|"&amp;$F996,Cluster_Master!$I$3:$H$17,3,FALSE))</f>
        <v/>
      </c>
      <c r="I996" s="7">
        <f>IF($G996&lt;&gt;"Valid","",VLOOKUP($E996&amp;"|"&amp;$F996,Cluster_Master!$I$3:$H$17,4,FALSE))</f>
        <v/>
      </c>
      <c r="J996" s="7">
        <f>IF($G996&lt;&gt;"Valid","",VLOOKUP($E996&amp;"|"&amp;$F996,Cluster_Master!$I$3:$H$17,5,FALSE))</f>
        <v/>
      </c>
      <c r="K996" s="7">
        <f>IF($G996&lt;&gt;"Valid","",VLOOKUP($E996&amp;"|"&amp;$F996,Cluster_Master!$I$3:$H$17,6,FALSE))</f>
        <v/>
      </c>
      <c r="L996" s="7">
        <f>IF($G996&lt;&gt;"Valid","",VLOOKUP($E996&amp;"|"&amp;$F996,Cluster_Master!$I$3:$H$17,7,FALSE))</f>
        <v/>
      </c>
      <c r="M996" s="7">
        <f>IF($G996&lt;&gt;"Valid","",VLOOKUP($E996&amp;"|"&amp;$F996,Cluster_Master!$I$3:$H$17,8,FALSE))</f>
        <v/>
      </c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7">
        <f>IF(COUNT(T996:AH996)=0,"",SUM(T996:AH996))</f>
        <v/>
      </c>
      <c r="AJ996" s="10">
        <f>IF(AI996="","",AI996/75)</f>
        <v/>
      </c>
      <c r="AK996" s="10">
        <f>IF(AI996="","",SUMPRODUCT(T996:AH996,KPI_Weights!$B$3:$B$17)/5)</f>
        <v/>
      </c>
      <c r="AL996" s="7">
        <f>IF(COUNT(T996:AH996)=0,"",IF(OR(T996&lt;=1,W996&lt;=1,X996&lt;=1,Y996&lt;=1,AB996&lt;=1),"YES","NO"))</f>
        <v/>
      </c>
      <c r="AM996" s="7">
        <f>IF(AK996="","",IF(AND(AK996="NO",AJ996&gt;=0.85),"YES","NO"))</f>
        <v/>
      </c>
      <c r="AN996" s="7">
        <f>IF(AJ996="","",IF(AJ996&gt;=0.90,"Excellent",IF(AJ996&gt;=0.80,"Good",IF(AJ996&gt;=0.70,"Fair","Poor"))))</f>
        <v/>
      </c>
      <c r="AO996" s="12" t="n"/>
      <c r="AP996" s="12" t="n"/>
      <c r="AQ996" s="12" t="n"/>
      <c r="AR996" s="12" t="n"/>
      <c r="AS996" s="12" t="n"/>
      <c r="AT996" s="12" t="n"/>
      <c r="AU996" s="12" t="n"/>
      <c r="AV996" s="11" t="n"/>
      <c r="AW996" s="12" t="n"/>
      <c r="AX996" s="12" t="n"/>
      <c r="AY996" s="12" t="n"/>
      <c r="AZ996" s="12" t="n"/>
      <c r="BA996" s="12" t="n"/>
      <c r="BB996" s="12" t="n"/>
      <c r="BC996" s="12" t="n"/>
      <c r="BD996" s="12" t="n"/>
      <c r="BE996" s="12" t="n"/>
      <c r="BF996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3:BF996"/>
  <conditionalFormatting sqref="AJ4:AJ996">
    <cfRule type="cellIs" priority="1" operator="greaterThanOrEqual" dxfId="0">
      <formula>0.85</formula>
    </cfRule>
  </conditionalFormatting>
  <conditionalFormatting sqref="AL4:AL996">
    <cfRule type="expression" priority="2" dxfId="1">
      <formula>$AL4="YES"</formula>
    </cfRule>
  </conditionalFormatting>
  <conditionalFormatting sqref="AM4:AM996">
    <cfRule type="expression" priority="3" dxfId="0">
      <formula>$AM4="YES"</formula>
    </cfRule>
  </conditionalFormatting>
  <dataValidations count="29">
    <dataValidation sqref="E4:E996" showDropDown="0" showInputMessage="0" showErrorMessage="0" allowBlank="1" type="list">
      <formula1>=Package_List</formula1>
    </dataValidation>
    <dataValidation sqref="F4:F996" showDropDown="0" showInputMessage="0" showErrorMessage="0" allowBlank="1" type="list">
      <formula1>=Cluster_List</formula1>
    </dataValidation>
    <dataValidation sqref="O4:O996" showDropDown="0" showInputMessage="0" showErrorMessage="0" allowBlank="1" type="list">
      <formula1>=Evaluator_Role_List</formula1>
    </dataValidation>
    <dataValidation sqref="R4:R996" showDropDown="0" showInputMessage="0" showErrorMessage="0" allowBlank="1" type="list">
      <formula1>=High_Risk_Activity_List</formula1>
    </dataValidation>
    <dataValidation sqref="S4:S996" showDropDown="0" showInputMessage="0" showErrorMessage="0" allowBlank="1" type="list">
      <formula1>=Yes_No_List</formula1>
    </dataValidation>
    <dataValidation sqref="T4:T996" showDropDown="0" showInputMessage="0" showErrorMessage="0" allowBlank="1" type="list">
      <formula1>=Score_List</formula1>
    </dataValidation>
    <dataValidation sqref="U4:U996" showDropDown="0" showInputMessage="0" showErrorMessage="0" allowBlank="1" type="list">
      <formula1>=Score_List</formula1>
    </dataValidation>
    <dataValidation sqref="V4:V996" showDropDown="0" showInputMessage="0" showErrorMessage="0" allowBlank="1" type="list">
      <formula1>=Score_List</formula1>
    </dataValidation>
    <dataValidation sqref="W4:W996" showDropDown="0" showInputMessage="0" showErrorMessage="0" allowBlank="1" type="list">
      <formula1>=Score_List</formula1>
    </dataValidation>
    <dataValidation sqref="X4:X996" showDropDown="0" showInputMessage="0" showErrorMessage="0" allowBlank="1" type="list">
      <formula1>=Score_List</formula1>
    </dataValidation>
    <dataValidation sqref="Y4:Y996" showDropDown="0" showInputMessage="0" showErrorMessage="0" allowBlank="1" type="list">
      <formula1>=Score_List</formula1>
    </dataValidation>
    <dataValidation sqref="Z4:Z996" showDropDown="0" showInputMessage="0" showErrorMessage="0" allowBlank="1" type="list">
      <formula1>=Score_List</formula1>
    </dataValidation>
    <dataValidation sqref="AA4:AA996" showDropDown="0" showInputMessage="0" showErrorMessage="0" allowBlank="1" type="list">
      <formula1>=Score_List</formula1>
    </dataValidation>
    <dataValidation sqref="AB4:AB996" showDropDown="0" showInputMessage="0" showErrorMessage="0" allowBlank="1" type="list">
      <formula1>=Score_List</formula1>
    </dataValidation>
    <dataValidation sqref="AC4:AC996" showDropDown="0" showInputMessage="0" showErrorMessage="0" allowBlank="1" type="list">
      <formula1>=Score_List</formula1>
    </dataValidation>
    <dataValidation sqref="AD4:AD996" showDropDown="0" showInputMessage="0" showErrorMessage="0" allowBlank="1" type="list">
      <formula1>=Score_List</formula1>
    </dataValidation>
    <dataValidation sqref="AE4:AE996" showDropDown="0" showInputMessage="0" showErrorMessage="0" allowBlank="1" type="list">
      <formula1>=Score_List</formula1>
    </dataValidation>
    <dataValidation sqref="AF4:AF996" showDropDown="0" showInputMessage="0" showErrorMessage="0" allowBlank="1" type="list">
      <formula1>=Score_List</formula1>
    </dataValidation>
    <dataValidation sqref="AG4:AG996" showDropDown="0" showInputMessage="0" showErrorMessage="0" allowBlank="1" type="list">
      <formula1>=Score_List</formula1>
    </dataValidation>
    <dataValidation sqref="AH4:AH996" showDropDown="0" showInputMessage="0" showErrorMessage="0" allowBlank="1" type="list">
      <formula1>=Score_List</formula1>
    </dataValidation>
    <dataValidation sqref="AO4:AO996" showDropDown="0" showInputMessage="0" showErrorMessage="0" allowBlank="1" type="list">
      <formula1>=Yes_No_List</formula1>
    </dataValidation>
    <dataValidation sqref="AP4:AP996" showDropDown="0" showInputMessage="0" showErrorMessage="0" allowBlank="1" type="list">
      <formula1>=Root_Cause_List</formula1>
    </dataValidation>
    <dataValidation sqref="AX4:AX996" showDropDown="0" showInputMessage="0" showErrorMessage="0" allowBlank="1" type="list">
      <formula1>=KPI_List</formula1>
    </dataValidation>
    <dataValidation sqref="AY4:AY996" showDropDown="0" showInputMessage="0" showErrorMessage="0" allowBlank="1" type="list">
      <formula1>=KPI_List</formula1>
    </dataValidation>
    <dataValidation sqref="AZ4:AZ996" showDropDown="0" showInputMessage="0" showErrorMessage="0" allowBlank="1" type="list">
      <formula1>=KPI_List</formula1>
    </dataValidation>
    <dataValidation sqref="BA4:BA996" showDropDown="0" showInputMessage="0" showErrorMessage="0" allowBlank="1" type="list">
      <formula1>=KPI_List</formula1>
    </dataValidation>
    <dataValidation sqref="BB4:BB996" showDropDown="0" showInputMessage="0" showErrorMessage="0" allowBlank="1" type="list">
      <formula1>=KPI_List</formula1>
    </dataValidation>
    <dataValidation sqref="BC4:BC996" showDropDown="0" showInputMessage="0" showErrorMessage="0" allowBlank="1" type="list">
      <formula1>=Yes_No_List</formula1>
    </dataValidation>
    <dataValidation sqref="BD4:BD996" showDropDown="0" showInputMessage="0" showErrorMessage="0" allowBlank="1" type="list">
      <formula1>=Yes_No_List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32" customWidth="1" min="6" max="6"/>
    <col width="16" customWidth="1" min="7" max="7"/>
    <col width="16" customWidth="1" min="8" max="8"/>
  </cols>
  <sheetData>
    <row r="1">
      <c r="A1" s="1" t="inlineStr">
        <is>
          <t>Weekly Dashboard</t>
        </is>
      </c>
    </row>
    <row r="2"/>
    <row r="3">
      <c r="A3" s="14" t="inlineStr">
        <is>
          <t>Selected Week No</t>
        </is>
      </c>
      <c r="B3" s="15" t="n">
        <v>13</v>
      </c>
    </row>
    <row r="4">
      <c r="A4" s="14" t="inlineStr">
        <is>
          <t>Selected Month (yyyy-mm)</t>
        </is>
      </c>
      <c r="B4" s="15" t="inlineStr">
        <is>
          <t>2026-03</t>
        </is>
      </c>
    </row>
    <row r="5">
      <c r="A5" s="14" t="inlineStr">
        <is>
          <t>Previous Month (yyyy-mm)</t>
        </is>
      </c>
      <c r="B5" s="15" t="inlineStr">
        <is>
          <t>2026-02</t>
        </is>
      </c>
    </row>
    <row r="6"/>
    <row r="7"/>
    <row r="8">
      <c r="A8" s="3" t="inlineStr">
        <is>
          <t>Cluster</t>
        </is>
      </c>
      <c r="B8" s="3" t="inlineStr">
        <is>
          <t>Package</t>
        </is>
      </c>
      <c r="C8" s="3" t="inlineStr">
        <is>
          <t>Contractor</t>
        </is>
      </c>
      <c r="D8" s="3" t="inlineStr">
        <is>
          <t>Week Avg Raw %</t>
        </is>
      </c>
      <c r="E8" s="3" t="inlineStr">
        <is>
          <t>Week Avg Weighted %</t>
        </is>
      </c>
      <c r="F8" s="3" t="inlineStr">
        <is>
          <t>Week Red Flags</t>
        </is>
      </c>
      <c r="G8" s="3" t="inlineStr">
        <is>
          <t>Month Avg Raw %</t>
        </is>
      </c>
      <c r="H8" s="3" t="inlineStr">
        <is>
          <t>Month Avg Weighted %</t>
        </is>
      </c>
      <c r="I8" s="3" t="inlineStr">
        <is>
          <t>Month Red Flags</t>
        </is>
      </c>
      <c r="J8" s="3" t="inlineStr">
        <is>
          <t>Month Improvement</t>
        </is>
      </c>
      <c r="K8" s="3" t="inlineStr">
        <is>
          <t>Award Eligible</t>
        </is>
      </c>
      <c r="L8" s="3" t="inlineStr">
        <is>
          <t>Rank</t>
        </is>
      </c>
    </row>
    <row r="9">
      <c r="A9" s="4" t="inlineStr">
        <is>
          <t>Cluster 7A</t>
        </is>
      </c>
      <c r="B9" s="4">
        <f>IFERROR(VLOOKUP($A9,Cluster_Master!$B$3:$C$17,1,FALSE),"")</f>
        <v/>
      </c>
      <c r="C9" s="4">
        <f>IFERROR(VLOOKUP($A9,Cluster_Master!$B$3:$C$17,2,FALSE),"")</f>
        <v/>
      </c>
      <c r="D9" s="16">
        <f>IFERROR(AVERAGEIFS(Weekly_Inspections!$AJ$4:$AJ$996,Weekly_Inspections!$F$4:$F$996,$A9,Weekly_Inspections!$C$4:$C$996,$B$3),"")</f>
        <v/>
      </c>
      <c r="E9" s="16">
        <f>IFERROR(AVERAGEIFS(Weekly_Inspections!$AK$4:$AK$996,Weekly_Inspections!$F$4:$F$996,$A9,Weekly_Inspections!$C$4:$C$996,$B$3),"")</f>
        <v/>
      </c>
      <c r="F9" s="4">
        <f>COUNTIFS(Weekly_Inspections!$F$4:$F$996,$A9,Weekly_Inspections!$C$4:$C$996,$B$3,Weekly_Inspections!$AL$4:$AL$996,"YES")</f>
        <v/>
      </c>
      <c r="G9" s="16">
        <f>IFERROR(AVERAGEIFS(Weekly_Inspections!$AJ$4:$AJ$996,Weekly_Inspections!$F$4:$F$996,$A9,Weekly_Inspections!$D$4:$D$996,$B$4),"")</f>
        <v/>
      </c>
      <c r="H9" s="16">
        <f>IFERROR(AVERAGEIFS(Weekly_Inspections!$AK$4:$AK$996,Weekly_Inspections!$F$4:$F$996,$A9,Weekly_Inspections!$D$4:$D$996,$B$4),"")</f>
        <v/>
      </c>
      <c r="I9" s="4">
        <f>COUNTIFS(Weekly_Inspections!$F$4:$F$996,$A9,Weekly_Inspections!$D$4:$D$996,$B$4,Weekly_Inspections!$AL$4:$AL$996,"YES")</f>
        <v/>
      </c>
      <c r="J9" s="16">
        <f>IFERROR(H9-AVERAGEIFS(Weekly_Inspections!$AK$4:$AK$996,Weekly_Inspections!$F$4:$F$996,$A9,Weekly_Inspections!$D$4:$D$996,$B$5),"")</f>
        <v/>
      </c>
      <c r="K9" s="4">
        <f>IF(AND(H9&gt;=0.85,I9=0),"YES","NO")</f>
        <v/>
      </c>
      <c r="L9" s="4">
        <f>IFERROR(RANK(H9,$H$9:$H$23,0),"")</f>
        <v/>
      </c>
    </row>
    <row r="10">
      <c r="A10" s="5" t="inlineStr">
        <is>
          <t>Cluster 7B</t>
        </is>
      </c>
      <c r="B10" s="4">
        <f>IFERROR(VLOOKUP($A10,Cluster_Master!$B$3:$C$17,1,FALSE),"")</f>
        <v/>
      </c>
      <c r="C10" s="4">
        <f>IFERROR(VLOOKUP($A10,Cluster_Master!$B$3:$C$17,2,FALSE),"")</f>
        <v/>
      </c>
      <c r="D10" s="16">
        <f>IFERROR(AVERAGEIFS(Weekly_Inspections!$AJ$4:$AJ$996,Weekly_Inspections!$F$4:$F$996,$A10,Weekly_Inspections!$C$4:$C$996,$B$3),"")</f>
        <v/>
      </c>
      <c r="E10" s="16">
        <f>IFERROR(AVERAGEIFS(Weekly_Inspections!$AK$4:$AK$996,Weekly_Inspections!$F$4:$F$996,$A10,Weekly_Inspections!$C$4:$C$996,$B$3),"")</f>
        <v/>
      </c>
      <c r="F10" s="4">
        <f>COUNTIFS(Weekly_Inspections!$F$4:$F$996,$A10,Weekly_Inspections!$C$4:$C$996,$B$3,Weekly_Inspections!$AL$4:$AL$996,"YES")</f>
        <v/>
      </c>
      <c r="G10" s="16">
        <f>IFERROR(AVERAGEIFS(Weekly_Inspections!$AJ$4:$AJ$996,Weekly_Inspections!$F$4:$F$996,$A10,Weekly_Inspections!$D$4:$D$996,$B$4),"")</f>
        <v/>
      </c>
      <c r="H10" s="16">
        <f>IFERROR(AVERAGEIFS(Weekly_Inspections!$AK$4:$AK$996,Weekly_Inspections!$F$4:$F$996,$A10,Weekly_Inspections!$D$4:$D$996,$B$4),"")</f>
        <v/>
      </c>
      <c r="I10" s="4">
        <f>COUNTIFS(Weekly_Inspections!$F$4:$F$996,$A10,Weekly_Inspections!$D$4:$D$996,$B$4,Weekly_Inspections!$AL$4:$AL$996,"YES")</f>
        <v/>
      </c>
      <c r="J10" s="16">
        <f>IFERROR(H10-AVERAGEIFS(Weekly_Inspections!$AK$4:$AK$996,Weekly_Inspections!$F$4:$F$996,$A10,Weekly_Inspections!$D$4:$D$996,$B$5),"")</f>
        <v/>
      </c>
      <c r="K10" s="4">
        <f>IF(AND(H10&gt;=0.85,I10=0),"YES","NO")</f>
        <v/>
      </c>
      <c r="L10" s="4">
        <f>IFERROR(RANK(H10,$H$9:$H$23,0),"")</f>
        <v/>
      </c>
    </row>
    <row r="11">
      <c r="A11" s="5" t="inlineStr">
        <is>
          <t>Cluster 8A</t>
        </is>
      </c>
      <c r="B11" s="4">
        <f>IFERROR(VLOOKUP($A11,Cluster_Master!$B$3:$C$17,1,FALSE),"")</f>
        <v/>
      </c>
      <c r="C11" s="4">
        <f>IFERROR(VLOOKUP($A11,Cluster_Master!$B$3:$C$17,2,FALSE),"")</f>
        <v/>
      </c>
      <c r="D11" s="16">
        <f>IFERROR(AVERAGEIFS(Weekly_Inspections!$AJ$4:$AJ$996,Weekly_Inspections!$F$4:$F$996,$A11,Weekly_Inspections!$C$4:$C$996,$B$3),"")</f>
        <v/>
      </c>
      <c r="E11" s="16">
        <f>IFERROR(AVERAGEIFS(Weekly_Inspections!$AK$4:$AK$996,Weekly_Inspections!$F$4:$F$996,$A11,Weekly_Inspections!$C$4:$C$996,$B$3),"")</f>
        <v/>
      </c>
      <c r="F11" s="4">
        <f>COUNTIFS(Weekly_Inspections!$F$4:$F$996,$A11,Weekly_Inspections!$C$4:$C$996,$B$3,Weekly_Inspections!$AL$4:$AL$996,"YES")</f>
        <v/>
      </c>
      <c r="G11" s="16">
        <f>IFERROR(AVERAGEIFS(Weekly_Inspections!$AJ$4:$AJ$996,Weekly_Inspections!$F$4:$F$996,$A11,Weekly_Inspections!$D$4:$D$996,$B$4),"")</f>
        <v/>
      </c>
      <c r="H11" s="16">
        <f>IFERROR(AVERAGEIFS(Weekly_Inspections!$AK$4:$AK$996,Weekly_Inspections!$F$4:$F$996,$A11,Weekly_Inspections!$D$4:$D$996,$B$4),"")</f>
        <v/>
      </c>
      <c r="I11" s="4">
        <f>COUNTIFS(Weekly_Inspections!$F$4:$F$996,$A11,Weekly_Inspections!$D$4:$D$996,$B$4,Weekly_Inspections!$AL$4:$AL$996,"YES")</f>
        <v/>
      </c>
      <c r="J11" s="16">
        <f>IFERROR(H11-AVERAGEIFS(Weekly_Inspections!$AK$4:$AK$996,Weekly_Inspections!$F$4:$F$996,$A11,Weekly_Inspections!$D$4:$D$996,$B$5),"")</f>
        <v/>
      </c>
      <c r="K11" s="4">
        <f>IF(AND(H11&gt;=0.85,I11=0),"YES","NO")</f>
        <v/>
      </c>
      <c r="L11" s="4">
        <f>IFERROR(RANK(H11,$H$9:$H$23,0),"")</f>
        <v/>
      </c>
    </row>
    <row r="12">
      <c r="A12" s="5" t="inlineStr">
        <is>
          <t>Cluster 8B</t>
        </is>
      </c>
      <c r="B12" s="4">
        <f>IFERROR(VLOOKUP($A12,Cluster_Master!$B$3:$C$17,1,FALSE),"")</f>
        <v/>
      </c>
      <c r="C12" s="4">
        <f>IFERROR(VLOOKUP($A12,Cluster_Master!$B$3:$C$17,2,FALSE),"")</f>
        <v/>
      </c>
      <c r="D12" s="16">
        <f>IFERROR(AVERAGEIFS(Weekly_Inspections!$AJ$4:$AJ$996,Weekly_Inspections!$F$4:$F$996,$A12,Weekly_Inspections!$C$4:$C$996,$B$3),"")</f>
        <v/>
      </c>
      <c r="E12" s="16">
        <f>IFERROR(AVERAGEIFS(Weekly_Inspections!$AK$4:$AK$996,Weekly_Inspections!$F$4:$F$996,$A12,Weekly_Inspections!$C$4:$C$996,$B$3),"")</f>
        <v/>
      </c>
      <c r="F12" s="4">
        <f>COUNTIFS(Weekly_Inspections!$F$4:$F$996,$A12,Weekly_Inspections!$C$4:$C$996,$B$3,Weekly_Inspections!$AL$4:$AL$996,"YES")</f>
        <v/>
      </c>
      <c r="G12" s="16">
        <f>IFERROR(AVERAGEIFS(Weekly_Inspections!$AJ$4:$AJ$996,Weekly_Inspections!$F$4:$F$996,$A12,Weekly_Inspections!$D$4:$D$996,$B$4),"")</f>
        <v/>
      </c>
      <c r="H12" s="16">
        <f>IFERROR(AVERAGEIFS(Weekly_Inspections!$AK$4:$AK$996,Weekly_Inspections!$F$4:$F$996,$A12,Weekly_Inspections!$D$4:$D$996,$B$4),"")</f>
        <v/>
      </c>
      <c r="I12" s="4">
        <f>COUNTIFS(Weekly_Inspections!$F$4:$F$996,$A12,Weekly_Inspections!$D$4:$D$996,$B$4,Weekly_Inspections!$AL$4:$AL$996,"YES")</f>
        <v/>
      </c>
      <c r="J12" s="16">
        <f>IFERROR(H12-AVERAGEIFS(Weekly_Inspections!$AK$4:$AK$996,Weekly_Inspections!$F$4:$F$996,$A12,Weekly_Inspections!$D$4:$D$996,$B$5),"")</f>
        <v/>
      </c>
      <c r="K12" s="4">
        <f>IF(AND(H12&gt;=0.85,I12=0),"YES","NO")</f>
        <v/>
      </c>
      <c r="L12" s="4">
        <f>IFERROR(RANK(H12,$H$9:$H$23,0),"")</f>
        <v/>
      </c>
    </row>
    <row r="13">
      <c r="A13" s="5" t="inlineStr">
        <is>
          <t>Cluster 8C</t>
        </is>
      </c>
      <c r="B13" s="4">
        <f>IFERROR(VLOOKUP($A13,Cluster_Master!$B$3:$C$17,1,FALSE),"")</f>
        <v/>
      </c>
      <c r="C13" s="4">
        <f>IFERROR(VLOOKUP($A13,Cluster_Master!$B$3:$C$17,2,FALSE),"")</f>
        <v/>
      </c>
      <c r="D13" s="16">
        <f>IFERROR(AVERAGEIFS(Weekly_Inspections!$AJ$4:$AJ$996,Weekly_Inspections!$F$4:$F$996,$A13,Weekly_Inspections!$C$4:$C$996,$B$3),"")</f>
        <v/>
      </c>
      <c r="E13" s="16">
        <f>IFERROR(AVERAGEIFS(Weekly_Inspections!$AK$4:$AK$996,Weekly_Inspections!$F$4:$F$996,$A13,Weekly_Inspections!$C$4:$C$996,$B$3),"")</f>
        <v/>
      </c>
      <c r="F13" s="4">
        <f>COUNTIFS(Weekly_Inspections!$F$4:$F$996,$A13,Weekly_Inspections!$C$4:$C$996,$B$3,Weekly_Inspections!$AL$4:$AL$996,"YES")</f>
        <v/>
      </c>
      <c r="G13" s="16">
        <f>IFERROR(AVERAGEIFS(Weekly_Inspections!$AJ$4:$AJ$996,Weekly_Inspections!$F$4:$F$996,$A13,Weekly_Inspections!$D$4:$D$996,$B$4),"")</f>
        <v/>
      </c>
      <c r="H13" s="16">
        <f>IFERROR(AVERAGEIFS(Weekly_Inspections!$AK$4:$AK$996,Weekly_Inspections!$F$4:$F$996,$A13,Weekly_Inspections!$D$4:$D$996,$B$4),"")</f>
        <v/>
      </c>
      <c r="I13" s="4">
        <f>COUNTIFS(Weekly_Inspections!$F$4:$F$996,$A13,Weekly_Inspections!$D$4:$D$996,$B$4,Weekly_Inspections!$AL$4:$AL$996,"YES")</f>
        <v/>
      </c>
      <c r="J13" s="16">
        <f>IFERROR(H13-AVERAGEIFS(Weekly_Inspections!$AK$4:$AK$996,Weekly_Inspections!$F$4:$F$996,$A13,Weekly_Inspections!$D$4:$D$996,$B$5),"")</f>
        <v/>
      </c>
      <c r="K13" s="4">
        <f>IF(AND(H13&gt;=0.85,I13=0),"YES","NO")</f>
        <v/>
      </c>
      <c r="L13" s="4">
        <f>IFERROR(RANK(H13,$H$9:$H$23,0),"")</f>
        <v/>
      </c>
    </row>
    <row r="14">
      <c r="A14" s="5" t="inlineStr">
        <is>
          <t>Cluster 8D</t>
        </is>
      </c>
      <c r="B14" s="4">
        <f>IFERROR(VLOOKUP($A14,Cluster_Master!$B$3:$C$17,1,FALSE),"")</f>
        <v/>
      </c>
      <c r="C14" s="4">
        <f>IFERROR(VLOOKUP($A14,Cluster_Master!$B$3:$C$17,2,FALSE),"")</f>
        <v/>
      </c>
      <c r="D14" s="16">
        <f>IFERROR(AVERAGEIFS(Weekly_Inspections!$AJ$4:$AJ$996,Weekly_Inspections!$F$4:$F$996,$A14,Weekly_Inspections!$C$4:$C$996,$B$3),"")</f>
        <v/>
      </c>
      <c r="E14" s="16">
        <f>IFERROR(AVERAGEIFS(Weekly_Inspections!$AK$4:$AK$996,Weekly_Inspections!$F$4:$F$996,$A14,Weekly_Inspections!$C$4:$C$996,$B$3),"")</f>
        <v/>
      </c>
      <c r="F14" s="4">
        <f>COUNTIFS(Weekly_Inspections!$F$4:$F$996,$A14,Weekly_Inspections!$C$4:$C$996,$B$3,Weekly_Inspections!$AL$4:$AL$996,"YES")</f>
        <v/>
      </c>
      <c r="G14" s="16">
        <f>IFERROR(AVERAGEIFS(Weekly_Inspections!$AJ$4:$AJ$996,Weekly_Inspections!$F$4:$F$996,$A14,Weekly_Inspections!$D$4:$D$996,$B$4),"")</f>
        <v/>
      </c>
      <c r="H14" s="16">
        <f>IFERROR(AVERAGEIFS(Weekly_Inspections!$AK$4:$AK$996,Weekly_Inspections!$F$4:$F$996,$A14,Weekly_Inspections!$D$4:$D$996,$B$4),"")</f>
        <v/>
      </c>
      <c r="I14" s="4">
        <f>COUNTIFS(Weekly_Inspections!$F$4:$F$996,$A14,Weekly_Inspections!$D$4:$D$996,$B$4,Weekly_Inspections!$AL$4:$AL$996,"YES")</f>
        <v/>
      </c>
      <c r="J14" s="16">
        <f>IFERROR(H14-AVERAGEIFS(Weekly_Inspections!$AK$4:$AK$996,Weekly_Inspections!$F$4:$F$996,$A14,Weekly_Inspections!$D$4:$D$996,$B$5),"")</f>
        <v/>
      </c>
      <c r="K14" s="4">
        <f>IF(AND(H14&gt;=0.85,I14=0),"YES","NO")</f>
        <v/>
      </c>
      <c r="L14" s="4">
        <f>IFERROR(RANK(H14,$H$9:$H$23,0),"")</f>
        <v/>
      </c>
    </row>
    <row r="15">
      <c r="A15" s="5" t="inlineStr">
        <is>
          <t>Cluster 3</t>
        </is>
      </c>
      <c r="B15" s="4">
        <f>IFERROR(VLOOKUP($A15,Cluster_Master!$B$3:$C$17,1,FALSE),"")</f>
        <v/>
      </c>
      <c r="C15" s="4">
        <f>IFERROR(VLOOKUP($A15,Cluster_Master!$B$3:$C$17,2,FALSE),"")</f>
        <v/>
      </c>
      <c r="D15" s="16">
        <f>IFERROR(AVERAGEIFS(Weekly_Inspections!$AJ$4:$AJ$996,Weekly_Inspections!$F$4:$F$996,$A15,Weekly_Inspections!$C$4:$C$996,$B$3),"")</f>
        <v/>
      </c>
      <c r="E15" s="16">
        <f>IFERROR(AVERAGEIFS(Weekly_Inspections!$AK$4:$AK$996,Weekly_Inspections!$F$4:$F$996,$A15,Weekly_Inspections!$C$4:$C$996,$B$3),"")</f>
        <v/>
      </c>
      <c r="F15" s="4">
        <f>COUNTIFS(Weekly_Inspections!$F$4:$F$996,$A15,Weekly_Inspections!$C$4:$C$996,$B$3,Weekly_Inspections!$AL$4:$AL$996,"YES")</f>
        <v/>
      </c>
      <c r="G15" s="16">
        <f>IFERROR(AVERAGEIFS(Weekly_Inspections!$AJ$4:$AJ$996,Weekly_Inspections!$F$4:$F$996,$A15,Weekly_Inspections!$D$4:$D$996,$B$4),"")</f>
        <v/>
      </c>
      <c r="H15" s="16">
        <f>IFERROR(AVERAGEIFS(Weekly_Inspections!$AK$4:$AK$996,Weekly_Inspections!$F$4:$F$996,$A15,Weekly_Inspections!$D$4:$D$996,$B$4),"")</f>
        <v/>
      </c>
      <c r="I15" s="4">
        <f>COUNTIFS(Weekly_Inspections!$F$4:$F$996,$A15,Weekly_Inspections!$D$4:$D$996,$B$4,Weekly_Inspections!$AL$4:$AL$996,"YES")</f>
        <v/>
      </c>
      <c r="J15" s="16">
        <f>IFERROR(H15-AVERAGEIFS(Weekly_Inspections!$AK$4:$AK$996,Weekly_Inspections!$F$4:$F$996,$A15,Weekly_Inspections!$D$4:$D$996,$B$5),"")</f>
        <v/>
      </c>
      <c r="K15" s="4">
        <f>IF(AND(H15&gt;=0.85,I15=0),"YES","NO")</f>
        <v/>
      </c>
      <c r="L15" s="4">
        <f>IFERROR(RANK(H15,$H$9:$H$23,0),"")</f>
        <v/>
      </c>
    </row>
    <row r="16">
      <c r="A16" s="5" t="inlineStr">
        <is>
          <t>Cluster 4</t>
        </is>
      </c>
      <c r="B16" s="4">
        <f>IFERROR(VLOOKUP($A16,Cluster_Master!$B$3:$C$17,1,FALSE),"")</f>
        <v/>
      </c>
      <c r="C16" s="4">
        <f>IFERROR(VLOOKUP($A16,Cluster_Master!$B$3:$C$17,2,FALSE),"")</f>
        <v/>
      </c>
      <c r="D16" s="16">
        <f>IFERROR(AVERAGEIFS(Weekly_Inspections!$AJ$4:$AJ$996,Weekly_Inspections!$F$4:$F$996,$A16,Weekly_Inspections!$C$4:$C$996,$B$3),"")</f>
        <v/>
      </c>
      <c r="E16" s="16">
        <f>IFERROR(AVERAGEIFS(Weekly_Inspections!$AK$4:$AK$996,Weekly_Inspections!$F$4:$F$996,$A16,Weekly_Inspections!$C$4:$C$996,$B$3),"")</f>
        <v/>
      </c>
      <c r="F16" s="4">
        <f>COUNTIFS(Weekly_Inspections!$F$4:$F$996,$A16,Weekly_Inspections!$C$4:$C$996,$B$3,Weekly_Inspections!$AL$4:$AL$996,"YES")</f>
        <v/>
      </c>
      <c r="G16" s="16">
        <f>IFERROR(AVERAGEIFS(Weekly_Inspections!$AJ$4:$AJ$996,Weekly_Inspections!$F$4:$F$996,$A16,Weekly_Inspections!$D$4:$D$996,$B$4),"")</f>
        <v/>
      </c>
      <c r="H16" s="16">
        <f>IFERROR(AVERAGEIFS(Weekly_Inspections!$AK$4:$AK$996,Weekly_Inspections!$F$4:$F$996,$A16,Weekly_Inspections!$D$4:$D$996,$B$4),"")</f>
        <v/>
      </c>
      <c r="I16" s="4">
        <f>COUNTIFS(Weekly_Inspections!$F$4:$F$996,$A16,Weekly_Inspections!$D$4:$D$996,$B$4,Weekly_Inspections!$AL$4:$AL$996,"YES")</f>
        <v/>
      </c>
      <c r="J16" s="16">
        <f>IFERROR(H16-AVERAGEIFS(Weekly_Inspections!$AK$4:$AK$996,Weekly_Inspections!$F$4:$F$996,$A16,Weekly_Inspections!$D$4:$D$996,$B$5),"")</f>
        <v/>
      </c>
      <c r="K16" s="4">
        <f>IF(AND(H16&gt;=0.85,I16=0),"YES","NO")</f>
        <v/>
      </c>
      <c r="L16" s="4">
        <f>IFERROR(RANK(H16,$H$9:$H$23,0),"")</f>
        <v/>
      </c>
    </row>
    <row r="17">
      <c r="A17" s="5" t="inlineStr">
        <is>
          <t>Cluster 5</t>
        </is>
      </c>
      <c r="B17" s="4">
        <f>IFERROR(VLOOKUP($A17,Cluster_Master!$B$3:$C$17,1,FALSE),"")</f>
        <v/>
      </c>
      <c r="C17" s="4">
        <f>IFERROR(VLOOKUP($A17,Cluster_Master!$B$3:$C$17,2,FALSE),"")</f>
        <v/>
      </c>
      <c r="D17" s="16">
        <f>IFERROR(AVERAGEIFS(Weekly_Inspections!$AJ$4:$AJ$996,Weekly_Inspections!$F$4:$F$996,$A17,Weekly_Inspections!$C$4:$C$996,$B$3),"")</f>
        <v/>
      </c>
      <c r="E17" s="16">
        <f>IFERROR(AVERAGEIFS(Weekly_Inspections!$AK$4:$AK$996,Weekly_Inspections!$F$4:$F$996,$A17,Weekly_Inspections!$C$4:$C$996,$B$3),"")</f>
        <v/>
      </c>
      <c r="F17" s="4">
        <f>COUNTIFS(Weekly_Inspections!$F$4:$F$996,$A17,Weekly_Inspections!$C$4:$C$996,$B$3,Weekly_Inspections!$AL$4:$AL$996,"YES")</f>
        <v/>
      </c>
      <c r="G17" s="16">
        <f>IFERROR(AVERAGEIFS(Weekly_Inspections!$AJ$4:$AJ$996,Weekly_Inspections!$F$4:$F$996,$A17,Weekly_Inspections!$D$4:$D$996,$B$4),"")</f>
        <v/>
      </c>
      <c r="H17" s="16">
        <f>IFERROR(AVERAGEIFS(Weekly_Inspections!$AK$4:$AK$996,Weekly_Inspections!$F$4:$F$996,$A17,Weekly_Inspections!$D$4:$D$996,$B$4),"")</f>
        <v/>
      </c>
      <c r="I17" s="4">
        <f>COUNTIFS(Weekly_Inspections!$F$4:$F$996,$A17,Weekly_Inspections!$D$4:$D$996,$B$4,Weekly_Inspections!$AL$4:$AL$996,"YES")</f>
        <v/>
      </c>
      <c r="J17" s="16">
        <f>IFERROR(H17-AVERAGEIFS(Weekly_Inspections!$AK$4:$AK$996,Weekly_Inspections!$F$4:$F$996,$A17,Weekly_Inspections!$D$4:$D$996,$B$5),"")</f>
        <v/>
      </c>
      <c r="K17" s="4">
        <f>IF(AND(H17&gt;=0.85,I17=0),"YES","NO")</f>
        <v/>
      </c>
      <c r="L17" s="4">
        <f>IFERROR(RANK(H17,$H$9:$H$23,0),"")</f>
        <v/>
      </c>
    </row>
    <row r="18">
      <c r="A18" s="5" t="inlineStr">
        <is>
          <t>Cluster 6</t>
        </is>
      </c>
      <c r="B18" s="4">
        <f>IFERROR(VLOOKUP($A18,Cluster_Master!$B$3:$C$17,1,FALSE),"")</f>
        <v/>
      </c>
      <c r="C18" s="4">
        <f>IFERROR(VLOOKUP($A18,Cluster_Master!$B$3:$C$17,2,FALSE),"")</f>
        <v/>
      </c>
      <c r="D18" s="16">
        <f>IFERROR(AVERAGEIFS(Weekly_Inspections!$AJ$4:$AJ$996,Weekly_Inspections!$F$4:$F$996,$A18,Weekly_Inspections!$C$4:$C$996,$B$3),"")</f>
        <v/>
      </c>
      <c r="E18" s="16">
        <f>IFERROR(AVERAGEIFS(Weekly_Inspections!$AK$4:$AK$996,Weekly_Inspections!$F$4:$F$996,$A18,Weekly_Inspections!$C$4:$C$996,$B$3),"")</f>
        <v/>
      </c>
      <c r="F18" s="4">
        <f>COUNTIFS(Weekly_Inspections!$F$4:$F$996,$A18,Weekly_Inspections!$C$4:$C$996,$B$3,Weekly_Inspections!$AL$4:$AL$996,"YES")</f>
        <v/>
      </c>
      <c r="G18" s="16">
        <f>IFERROR(AVERAGEIFS(Weekly_Inspections!$AJ$4:$AJ$996,Weekly_Inspections!$F$4:$F$996,$A18,Weekly_Inspections!$D$4:$D$996,$B$4),"")</f>
        <v/>
      </c>
      <c r="H18" s="16">
        <f>IFERROR(AVERAGEIFS(Weekly_Inspections!$AK$4:$AK$996,Weekly_Inspections!$F$4:$F$996,$A18,Weekly_Inspections!$D$4:$D$996,$B$4),"")</f>
        <v/>
      </c>
      <c r="I18" s="4">
        <f>COUNTIFS(Weekly_Inspections!$F$4:$F$996,$A18,Weekly_Inspections!$D$4:$D$996,$B$4,Weekly_Inspections!$AL$4:$AL$996,"YES")</f>
        <v/>
      </c>
      <c r="J18" s="16">
        <f>IFERROR(H18-AVERAGEIFS(Weekly_Inspections!$AK$4:$AK$996,Weekly_Inspections!$F$4:$F$996,$A18,Weekly_Inspections!$D$4:$D$996,$B$5),"")</f>
        <v/>
      </c>
      <c r="K18" s="4">
        <f>IF(AND(H18&gt;=0.85,I18=0),"YES","NO")</f>
        <v/>
      </c>
      <c r="L18" s="4">
        <f>IFERROR(RANK(H18,$H$9:$H$23,0),"")</f>
        <v/>
      </c>
    </row>
    <row r="19">
      <c r="A19" s="5" t="inlineStr">
        <is>
          <t>Cluster 1A</t>
        </is>
      </c>
      <c r="B19" s="4">
        <f>IFERROR(VLOOKUP($A19,Cluster_Master!$B$3:$C$17,1,FALSE),"")</f>
        <v/>
      </c>
      <c r="C19" s="4">
        <f>IFERROR(VLOOKUP($A19,Cluster_Master!$B$3:$C$17,2,FALSE),"")</f>
        <v/>
      </c>
      <c r="D19" s="16">
        <f>IFERROR(AVERAGEIFS(Weekly_Inspections!$AJ$4:$AJ$996,Weekly_Inspections!$F$4:$F$996,$A19,Weekly_Inspections!$C$4:$C$996,$B$3),"")</f>
        <v/>
      </c>
      <c r="E19" s="16">
        <f>IFERROR(AVERAGEIFS(Weekly_Inspections!$AK$4:$AK$996,Weekly_Inspections!$F$4:$F$996,$A19,Weekly_Inspections!$C$4:$C$996,$B$3),"")</f>
        <v/>
      </c>
      <c r="F19" s="4">
        <f>COUNTIFS(Weekly_Inspections!$F$4:$F$996,$A19,Weekly_Inspections!$C$4:$C$996,$B$3,Weekly_Inspections!$AL$4:$AL$996,"YES")</f>
        <v/>
      </c>
      <c r="G19" s="16">
        <f>IFERROR(AVERAGEIFS(Weekly_Inspections!$AJ$4:$AJ$996,Weekly_Inspections!$F$4:$F$996,$A19,Weekly_Inspections!$D$4:$D$996,$B$4),"")</f>
        <v/>
      </c>
      <c r="H19" s="16">
        <f>IFERROR(AVERAGEIFS(Weekly_Inspections!$AK$4:$AK$996,Weekly_Inspections!$F$4:$F$996,$A19,Weekly_Inspections!$D$4:$D$996,$B$4),"")</f>
        <v/>
      </c>
      <c r="I19" s="4">
        <f>COUNTIFS(Weekly_Inspections!$F$4:$F$996,$A19,Weekly_Inspections!$D$4:$D$996,$B$4,Weekly_Inspections!$AL$4:$AL$996,"YES")</f>
        <v/>
      </c>
      <c r="J19" s="16">
        <f>IFERROR(H19-AVERAGEIFS(Weekly_Inspections!$AK$4:$AK$996,Weekly_Inspections!$F$4:$F$996,$A19,Weekly_Inspections!$D$4:$D$996,$B$5),"")</f>
        <v/>
      </c>
      <c r="K19" s="4">
        <f>IF(AND(H19&gt;=0.85,I19=0),"YES","NO")</f>
        <v/>
      </c>
      <c r="L19" s="4">
        <f>IFERROR(RANK(H19,$H$9:$H$23,0),"")</f>
        <v/>
      </c>
    </row>
    <row r="20">
      <c r="A20" s="4" t="inlineStr">
        <is>
          <t>Cluster 1B</t>
        </is>
      </c>
      <c r="B20" s="4">
        <f>IFERROR(VLOOKUP($A20,Cluster_Master!$B$3:$C$17,1,FALSE),"")</f>
        <v/>
      </c>
      <c r="C20" s="4">
        <f>IFERROR(VLOOKUP($A20,Cluster_Master!$B$3:$C$17,2,FALSE),"")</f>
        <v/>
      </c>
      <c r="D20" s="16">
        <f>IFERROR(AVERAGEIFS(Weekly_Inspections!$AJ$4:$AJ$996,Weekly_Inspections!$F$4:$F$996,$A20,Weekly_Inspections!$C$4:$C$996,$B$3),"")</f>
        <v/>
      </c>
      <c r="E20" s="16">
        <f>IFERROR(AVERAGEIFS(Weekly_Inspections!$AK$4:$AK$996,Weekly_Inspections!$F$4:$F$996,$A20,Weekly_Inspections!$C$4:$C$996,$B$3),"")</f>
        <v/>
      </c>
      <c r="F20" s="4">
        <f>COUNTIFS(Weekly_Inspections!$F$4:$F$996,$A20,Weekly_Inspections!$C$4:$C$996,$B$3,Weekly_Inspections!$AL$4:$AL$996,"YES")</f>
        <v/>
      </c>
      <c r="G20" s="16">
        <f>IFERROR(AVERAGEIFS(Weekly_Inspections!$AJ$4:$AJ$996,Weekly_Inspections!$F$4:$F$996,$A20,Weekly_Inspections!$D$4:$D$996,$B$4),"")</f>
        <v/>
      </c>
      <c r="H20" s="16">
        <f>IFERROR(AVERAGEIFS(Weekly_Inspections!$AK$4:$AK$996,Weekly_Inspections!$F$4:$F$996,$A20,Weekly_Inspections!$D$4:$D$996,$B$4),"")</f>
        <v/>
      </c>
      <c r="I20" s="4">
        <f>COUNTIFS(Weekly_Inspections!$F$4:$F$996,$A20,Weekly_Inspections!$D$4:$D$996,$B$4,Weekly_Inspections!$AL$4:$AL$996,"YES")</f>
        <v/>
      </c>
      <c r="J20" s="16">
        <f>IFERROR(H20-AVERAGEIFS(Weekly_Inspections!$AK$4:$AK$996,Weekly_Inspections!$F$4:$F$996,$A20,Weekly_Inspections!$D$4:$D$996,$B$5),"")</f>
        <v/>
      </c>
      <c r="K20" s="4">
        <f>IF(AND(H20&gt;=0.85,I20=0),"YES","NO")</f>
        <v/>
      </c>
      <c r="L20" s="4">
        <f>IFERROR(RANK(H20,$H$9:$H$23,0),"")</f>
        <v/>
      </c>
    </row>
    <row r="21">
      <c r="A21" s="4" t="inlineStr">
        <is>
          <t>Cluster 2A</t>
        </is>
      </c>
      <c r="B21" s="4">
        <f>IFERROR(VLOOKUP($A21,Cluster_Master!$B$3:$C$17,1,FALSE),"")</f>
        <v/>
      </c>
      <c r="C21" s="4">
        <f>IFERROR(VLOOKUP($A21,Cluster_Master!$B$3:$C$17,2,FALSE),"")</f>
        <v/>
      </c>
      <c r="D21" s="16">
        <f>IFERROR(AVERAGEIFS(Weekly_Inspections!$AJ$4:$AJ$996,Weekly_Inspections!$F$4:$F$996,$A21,Weekly_Inspections!$C$4:$C$996,$B$3),"")</f>
        <v/>
      </c>
      <c r="E21" s="16">
        <f>IFERROR(AVERAGEIFS(Weekly_Inspections!$AK$4:$AK$996,Weekly_Inspections!$F$4:$F$996,$A21,Weekly_Inspections!$C$4:$C$996,$B$3),"")</f>
        <v/>
      </c>
      <c r="F21" s="4">
        <f>COUNTIFS(Weekly_Inspections!$F$4:$F$996,$A21,Weekly_Inspections!$C$4:$C$996,$B$3,Weekly_Inspections!$AL$4:$AL$996,"YES")</f>
        <v/>
      </c>
      <c r="G21" s="16">
        <f>IFERROR(AVERAGEIFS(Weekly_Inspections!$AJ$4:$AJ$996,Weekly_Inspections!$F$4:$F$996,$A21,Weekly_Inspections!$D$4:$D$996,$B$4),"")</f>
        <v/>
      </c>
      <c r="H21" s="16">
        <f>IFERROR(AVERAGEIFS(Weekly_Inspections!$AK$4:$AK$996,Weekly_Inspections!$F$4:$F$996,$A21,Weekly_Inspections!$D$4:$D$996,$B$4),"")</f>
        <v/>
      </c>
      <c r="I21" s="4">
        <f>COUNTIFS(Weekly_Inspections!$F$4:$F$996,$A21,Weekly_Inspections!$D$4:$D$996,$B$4,Weekly_Inspections!$AL$4:$AL$996,"YES")</f>
        <v/>
      </c>
      <c r="J21" s="16">
        <f>IFERROR(H21-AVERAGEIFS(Weekly_Inspections!$AK$4:$AK$996,Weekly_Inspections!$F$4:$F$996,$A21,Weekly_Inspections!$D$4:$D$996,$B$5),"")</f>
        <v/>
      </c>
      <c r="K21" s="4">
        <f>IF(AND(H21&gt;=0.85,I21=0),"YES","NO")</f>
        <v/>
      </c>
      <c r="L21" s="4">
        <f>IFERROR(RANK(H21,$H$9:$H$23,0),"")</f>
        <v/>
      </c>
    </row>
    <row r="22">
      <c r="A22" s="4" t="inlineStr">
        <is>
          <t>Cluster 2B</t>
        </is>
      </c>
      <c r="B22" s="4">
        <f>IFERROR(VLOOKUP($A22,Cluster_Master!$B$3:$C$17,1,FALSE),"")</f>
        <v/>
      </c>
      <c r="C22" s="4">
        <f>IFERROR(VLOOKUP($A22,Cluster_Master!$B$3:$C$17,2,FALSE),"")</f>
        <v/>
      </c>
      <c r="D22" s="16">
        <f>IFERROR(AVERAGEIFS(Weekly_Inspections!$AJ$4:$AJ$996,Weekly_Inspections!$F$4:$F$996,$A22,Weekly_Inspections!$C$4:$C$996,$B$3),"")</f>
        <v/>
      </c>
      <c r="E22" s="16">
        <f>IFERROR(AVERAGEIFS(Weekly_Inspections!$AK$4:$AK$996,Weekly_Inspections!$F$4:$F$996,$A22,Weekly_Inspections!$C$4:$C$996,$B$3),"")</f>
        <v/>
      </c>
      <c r="F22" s="4">
        <f>COUNTIFS(Weekly_Inspections!$F$4:$F$996,$A22,Weekly_Inspections!$C$4:$C$996,$B$3,Weekly_Inspections!$AL$4:$AL$996,"YES")</f>
        <v/>
      </c>
      <c r="G22" s="16">
        <f>IFERROR(AVERAGEIFS(Weekly_Inspections!$AJ$4:$AJ$996,Weekly_Inspections!$F$4:$F$996,$A22,Weekly_Inspections!$D$4:$D$996,$B$4),"")</f>
        <v/>
      </c>
      <c r="H22" s="16">
        <f>IFERROR(AVERAGEIFS(Weekly_Inspections!$AK$4:$AK$996,Weekly_Inspections!$F$4:$F$996,$A22,Weekly_Inspections!$D$4:$D$996,$B$4),"")</f>
        <v/>
      </c>
      <c r="I22" s="4">
        <f>COUNTIFS(Weekly_Inspections!$F$4:$F$996,$A22,Weekly_Inspections!$D$4:$D$996,$B$4,Weekly_Inspections!$AL$4:$AL$996,"YES")</f>
        <v/>
      </c>
      <c r="J22" s="16">
        <f>IFERROR(H22-AVERAGEIFS(Weekly_Inspections!$AK$4:$AK$996,Weekly_Inspections!$F$4:$F$996,$A22,Weekly_Inspections!$D$4:$D$996,$B$5),"")</f>
        <v/>
      </c>
      <c r="K22" s="4">
        <f>IF(AND(H22&gt;=0.85,I22=0),"YES","NO")</f>
        <v/>
      </c>
      <c r="L22" s="4">
        <f>IFERROR(RANK(H22,$H$9:$H$23,0),"")</f>
        <v/>
      </c>
    </row>
    <row r="23">
      <c r="A23" s="4" t="inlineStr">
        <is>
          <t>Cluster 2C</t>
        </is>
      </c>
      <c r="B23" s="4">
        <f>IFERROR(VLOOKUP($A23,Cluster_Master!$B$3:$C$17,1,FALSE),"")</f>
        <v/>
      </c>
      <c r="C23" s="4">
        <f>IFERROR(VLOOKUP($A23,Cluster_Master!$B$3:$C$17,2,FALSE),"")</f>
        <v/>
      </c>
      <c r="D23" s="16">
        <f>IFERROR(AVERAGEIFS(Weekly_Inspections!$AJ$4:$AJ$996,Weekly_Inspections!$F$4:$F$996,$A23,Weekly_Inspections!$C$4:$C$996,$B$3),"")</f>
        <v/>
      </c>
      <c r="E23" s="16">
        <f>IFERROR(AVERAGEIFS(Weekly_Inspections!$AK$4:$AK$996,Weekly_Inspections!$F$4:$F$996,$A23,Weekly_Inspections!$C$4:$C$996,$B$3),"")</f>
        <v/>
      </c>
      <c r="F23" s="4">
        <f>COUNTIFS(Weekly_Inspections!$F$4:$F$996,$A23,Weekly_Inspections!$C$4:$C$996,$B$3,Weekly_Inspections!$AL$4:$AL$996,"YES")</f>
        <v/>
      </c>
      <c r="G23" s="16">
        <f>IFERROR(AVERAGEIFS(Weekly_Inspections!$AJ$4:$AJ$996,Weekly_Inspections!$F$4:$F$996,$A23,Weekly_Inspections!$D$4:$D$996,$B$4),"")</f>
        <v/>
      </c>
      <c r="H23" s="16">
        <f>IFERROR(AVERAGEIFS(Weekly_Inspections!$AK$4:$AK$996,Weekly_Inspections!$F$4:$F$996,$A23,Weekly_Inspections!$D$4:$D$996,$B$4),"")</f>
        <v/>
      </c>
      <c r="I23" s="4">
        <f>COUNTIFS(Weekly_Inspections!$F$4:$F$996,$A23,Weekly_Inspections!$D$4:$D$996,$B$4,Weekly_Inspections!$AL$4:$AL$996,"YES")</f>
        <v/>
      </c>
      <c r="J23" s="16">
        <f>IFERROR(H23-AVERAGEIFS(Weekly_Inspections!$AK$4:$AK$996,Weekly_Inspections!$F$4:$F$996,$A23,Weekly_Inspections!$D$4:$D$996,$B$5),"")</f>
        <v/>
      </c>
      <c r="K23" s="4">
        <f>IF(AND(H23&gt;=0.85,I23=0),"YES","NO")</f>
        <v/>
      </c>
      <c r="L23" s="4">
        <f>IFERROR(RANK(H23,$H$9:$H$23,0),"")</f>
        <v/>
      </c>
    </row>
    <row r="24"/>
    <row r="25"/>
    <row r="26"/>
    <row r="27">
      <c r="A27" s="3" t="inlineStr">
        <is>
          <t>KPI</t>
        </is>
      </c>
      <c r="B27" s="3" t="inlineStr">
        <is>
          <t>Selected Week Avg Score</t>
        </is>
      </c>
      <c r="C27" s="3" t="inlineStr">
        <is>
          <t>Selected Month Avg Score</t>
        </is>
      </c>
      <c r="D27" s="3" t="inlineStr">
        <is>
          <t>Gap to 5 (Week)</t>
        </is>
      </c>
      <c r="E27" s="3" t="inlineStr">
        <is>
          <t>Gap to 5 (Month)</t>
        </is>
      </c>
      <c r="F27" s="3" t="inlineStr">
        <is>
          <t>Root Cause</t>
        </is>
      </c>
      <c r="G27" s="3" t="inlineStr">
        <is>
          <t>Selected Week Count</t>
        </is>
      </c>
      <c r="H27" s="3" t="inlineStr">
        <is>
          <t>Selected Month Count</t>
        </is>
      </c>
    </row>
    <row r="28">
      <c r="A28" s="4" t="inlineStr">
        <is>
          <t>Work at Height Control</t>
        </is>
      </c>
      <c r="B28" s="4">
        <f>IFERROR(AVERAGEIFS(Weekly_Inspections!$T$4:$T$996,Weekly_Inspections!$C$4:$C$996,$B$3),"")</f>
        <v/>
      </c>
      <c r="C28" s="4">
        <f>IFERROR(AVERAGEIFS(Weekly_Inspections!$T$4:$T$996,Weekly_Inspections!$D$4:$D$996,$B$4),"")</f>
        <v/>
      </c>
      <c r="D28" s="4">
        <f>IF(B28="","",5-B28)</f>
        <v/>
      </c>
      <c r="E28" s="4">
        <f>IF(C28="","",5-C28)</f>
        <v/>
      </c>
      <c r="F28" s="4" t="inlineStr">
        <is>
          <t>Leadership failure</t>
        </is>
      </c>
      <c r="G28" s="4">
        <f>COUNTIFS(Weekly_Inspections!$AP$4:$AP$996,$F28,Weekly_Inspections!$C$4:$C$996,$B$3)</f>
        <v/>
      </c>
      <c r="H28" s="4">
        <f>COUNTIFS(Weekly_Inspections!$AP$4:$AP$996,$F28,Weekly_Inspections!$D$4:$D$996,$B$4)</f>
        <v/>
      </c>
    </row>
    <row r="29">
      <c r="A29" s="4" t="inlineStr">
        <is>
          <t>Edge Protection</t>
        </is>
      </c>
      <c r="B29" s="4">
        <f>IFERROR(AVERAGEIFS(Weekly_Inspections!$U$4:$U$996,Weekly_Inspections!$C$4:$C$996,$B$3),"")</f>
        <v/>
      </c>
      <c r="C29" s="4">
        <f>IFERROR(AVERAGEIFS(Weekly_Inspections!$U$4:$U$996,Weekly_Inspections!$D$4:$D$996,$B$4),"")</f>
        <v/>
      </c>
      <c r="D29" s="4">
        <f>IF(B29="","",5-B29)</f>
        <v/>
      </c>
      <c r="E29" s="4">
        <f>IF(C29="","",5-C29)</f>
        <v/>
      </c>
      <c r="F29" s="4" t="inlineStr">
        <is>
          <t>Poor supervision</t>
        </is>
      </c>
      <c r="G29" s="4">
        <f>COUNTIFS(Weekly_Inspections!$AP$4:$AP$996,$F29,Weekly_Inspections!$C$4:$C$996,$B$3)</f>
        <v/>
      </c>
      <c r="H29" s="4">
        <f>COUNTIFS(Weekly_Inspections!$AP$4:$AP$996,$F29,Weekly_Inspections!$D$4:$D$996,$B$4)</f>
        <v/>
      </c>
    </row>
    <row r="30">
      <c r="A30" s="4" t="inlineStr">
        <is>
          <t>Falling Object Prevention</t>
        </is>
      </c>
      <c r="B30" s="4">
        <f>IFERROR(AVERAGEIFS(Weekly_Inspections!$V$4:$V$996,Weekly_Inspections!$C$4:$C$996,$B$3),"")</f>
        <v/>
      </c>
      <c r="C30" s="4">
        <f>IFERROR(AVERAGEIFS(Weekly_Inspections!$V$4:$V$996,Weekly_Inspections!$D$4:$D$996,$B$4),"")</f>
        <v/>
      </c>
      <c r="D30" s="4">
        <f>IF(B30="","",5-B30)</f>
        <v/>
      </c>
      <c r="E30" s="4">
        <f>IF(C30="","",5-C30)</f>
        <v/>
      </c>
      <c r="F30" s="4" t="inlineStr">
        <is>
          <t>Poor planning</t>
        </is>
      </c>
      <c r="G30" s="4">
        <f>COUNTIFS(Weekly_Inspections!$AP$4:$AP$996,$F30,Weekly_Inspections!$C$4:$C$996,$B$3)</f>
        <v/>
      </c>
      <c r="H30" s="4">
        <f>COUNTIFS(Weekly_Inspections!$AP$4:$AP$996,$F30,Weekly_Inspections!$D$4:$D$996,$B$4)</f>
        <v/>
      </c>
    </row>
    <row r="31">
      <c r="A31" s="4" t="inlineStr">
        <is>
          <t>Excavation Safety</t>
        </is>
      </c>
      <c r="B31" s="4">
        <f>IFERROR(AVERAGEIFS(Weekly_Inspections!$W$4:$W$996,Weekly_Inspections!$C$4:$C$996,$B$3),"")</f>
        <v/>
      </c>
      <c r="C31" s="4">
        <f>IFERROR(AVERAGEIFS(Weekly_Inspections!$W$4:$W$996,Weekly_Inspections!$D$4:$D$996,$B$4),"")</f>
        <v/>
      </c>
      <c r="D31" s="4">
        <f>IF(B31="","",5-B31)</f>
        <v/>
      </c>
      <c r="E31" s="4">
        <f>IF(C31="","",5-C31)</f>
        <v/>
      </c>
      <c r="F31" s="4" t="inlineStr">
        <is>
          <t>PTW failure</t>
        </is>
      </c>
      <c r="G31" s="4">
        <f>COUNTIFS(Weekly_Inspections!$AP$4:$AP$996,$F31,Weekly_Inspections!$C$4:$C$996,$B$3)</f>
        <v/>
      </c>
      <c r="H31" s="4">
        <f>COUNTIFS(Weekly_Inspections!$AP$4:$AP$996,$F31,Weekly_Inspections!$D$4:$D$996,$B$4)</f>
        <v/>
      </c>
    </row>
    <row r="32">
      <c r="A32" s="4" t="inlineStr">
        <is>
          <t>Scaffolding Compliance</t>
        </is>
      </c>
      <c r="B32" s="4">
        <f>IFERROR(AVERAGEIFS(Weekly_Inspections!$X$4:$X$996,Weekly_Inspections!$C$4:$C$996,$B$3),"")</f>
        <v/>
      </c>
      <c r="C32" s="4">
        <f>IFERROR(AVERAGEIFS(Weekly_Inspections!$X$4:$X$996,Weekly_Inspections!$D$4:$D$996,$B$4),"")</f>
        <v/>
      </c>
      <c r="D32" s="4">
        <f>IF(B32="","",5-B32)</f>
        <v/>
      </c>
      <c r="E32" s="4">
        <f>IF(C32="","",5-C32)</f>
        <v/>
      </c>
      <c r="F32" s="4" t="inlineStr">
        <is>
          <t>Weak MSRA</t>
        </is>
      </c>
      <c r="G32" s="4">
        <f>COUNTIFS(Weekly_Inspections!$AP$4:$AP$996,$F32,Weekly_Inspections!$C$4:$C$996,$B$3)</f>
        <v/>
      </c>
      <c r="H32" s="4">
        <f>COUNTIFS(Weekly_Inspections!$AP$4:$AP$996,$F32,Weekly_Inspections!$D$4:$D$996,$B$4)</f>
        <v/>
      </c>
    </row>
    <row r="33">
      <c r="A33" s="4" t="inlineStr">
        <is>
          <t>PTW Implementation</t>
        </is>
      </c>
      <c r="B33" s="4">
        <f>IFERROR(AVERAGEIFS(Weekly_Inspections!$Y$4:$Y$996,Weekly_Inspections!$C$4:$C$996,$B$3),"")</f>
        <v/>
      </c>
      <c r="C33" s="4">
        <f>IFERROR(AVERAGEIFS(Weekly_Inspections!$Y$4:$Y$996,Weekly_Inspections!$D$4:$D$996,$B$4),"")</f>
        <v/>
      </c>
      <c r="D33" s="4">
        <f>IF(B33="","",5-B33)</f>
        <v/>
      </c>
      <c r="E33" s="4">
        <f>IF(C33="","",5-C33)</f>
        <v/>
      </c>
      <c r="F33" s="4" t="inlineStr">
        <is>
          <t>Poor subcontractor control</t>
        </is>
      </c>
      <c r="G33" s="4">
        <f>COUNTIFS(Weekly_Inspections!$AP$4:$AP$996,$F33,Weekly_Inspections!$C$4:$C$996,$B$3)</f>
        <v/>
      </c>
      <c r="H33" s="4">
        <f>COUNTIFS(Weekly_Inspections!$AP$4:$AP$996,$F33,Weekly_Inspections!$D$4:$D$996,$B$4)</f>
        <v/>
      </c>
    </row>
    <row r="34">
      <c r="A34" s="4" t="inlineStr">
        <is>
          <t>PTW Field Verification</t>
        </is>
      </c>
      <c r="B34" s="4">
        <f>IFERROR(AVERAGEIFS(Weekly_Inspections!$Z$4:$Z$996,Weekly_Inspections!$C$4:$C$996,$B$3),"")</f>
        <v/>
      </c>
      <c r="C34" s="4">
        <f>IFERROR(AVERAGEIFS(Weekly_Inspections!$Z$4:$Z$996,Weekly_Inspections!$D$4:$D$996,$B$4),"")</f>
        <v/>
      </c>
      <c r="D34" s="4">
        <f>IF(B34="","",5-B34)</f>
        <v/>
      </c>
      <c r="E34" s="4">
        <f>IF(C34="","",5-C34)</f>
        <v/>
      </c>
      <c r="F34" s="4" t="inlineStr">
        <is>
          <t>Resource constraint</t>
        </is>
      </c>
      <c r="G34" s="4">
        <f>COUNTIFS(Weekly_Inspections!$AP$4:$AP$996,$F34,Weekly_Inspections!$C$4:$C$996,$B$3)</f>
        <v/>
      </c>
      <c r="H34" s="4">
        <f>COUNTIFS(Weekly_Inspections!$AP$4:$AP$996,$F34,Weekly_Inspections!$D$4:$D$996,$B$4)</f>
        <v/>
      </c>
    </row>
    <row r="35">
      <c r="A35" s="4" t="inlineStr">
        <is>
          <t>MSRA Quality</t>
        </is>
      </c>
      <c r="B35" s="4">
        <f>IFERROR(AVERAGEIFS(Weekly_Inspections!$AA$4:$AA$996,Weekly_Inspections!$C$4:$C$996,$B$3),"")</f>
        <v/>
      </c>
      <c r="C35" s="4">
        <f>IFERROR(AVERAGEIFS(Weekly_Inspections!$AA$4:$AA$996,Weekly_Inspections!$D$4:$D$996,$B$4),"")</f>
        <v/>
      </c>
      <c r="D35" s="4">
        <f>IF(B35="","",5-B35)</f>
        <v/>
      </c>
      <c r="E35" s="4">
        <f>IF(C35="","",5-C35)</f>
        <v/>
      </c>
      <c r="F35" s="4" t="inlineStr">
        <is>
          <t>Inadequate competence</t>
        </is>
      </c>
      <c r="G35" s="4">
        <f>COUNTIFS(Weekly_Inspections!$AP$4:$AP$996,$F35,Weekly_Inspections!$C$4:$C$996,$B$3)</f>
        <v/>
      </c>
      <c r="H35" s="4">
        <f>COUNTIFS(Weekly_Inspections!$AP$4:$AP$996,$F35,Weekly_Inspections!$D$4:$D$996,$B$4)</f>
        <v/>
      </c>
    </row>
    <row r="36">
      <c r="A36" s="4" t="inlineStr">
        <is>
          <t>Lifting/Precast Installation</t>
        </is>
      </c>
      <c r="B36" s="4">
        <f>IFERROR(AVERAGEIFS(Weekly_Inspections!$AB$4:$AB$996,Weekly_Inspections!$C$4:$C$996,$B$3),"")</f>
        <v/>
      </c>
      <c r="C36" s="4">
        <f>IFERROR(AVERAGEIFS(Weekly_Inspections!$AB$4:$AB$996,Weekly_Inspections!$D$4:$D$996,$B$4),"")</f>
        <v/>
      </c>
      <c r="D36" s="4">
        <f>IF(B36="","",5-B36)</f>
        <v/>
      </c>
      <c r="E36" s="4">
        <f>IF(C36="","",5-C36)</f>
        <v/>
      </c>
      <c r="F36" s="4" t="inlineStr">
        <is>
          <t>Poor housekeeping culture</t>
        </is>
      </c>
      <c r="G36" s="4">
        <f>COUNTIFS(Weekly_Inspections!$AP$4:$AP$996,$F36,Weekly_Inspections!$C$4:$C$996,$B$3)</f>
        <v/>
      </c>
      <c r="H36" s="4">
        <f>COUNTIFS(Weekly_Inspections!$AP$4:$AP$996,$F36,Weekly_Inspections!$D$4:$D$996,$B$4)</f>
        <v/>
      </c>
    </row>
    <row r="37">
      <c r="A37" s="4" t="inlineStr">
        <is>
          <t>Traffic &amp; Man-Machine Interface</t>
        </is>
      </c>
      <c r="B37" s="4">
        <f>IFERROR(AVERAGEIFS(Weekly_Inspections!$AC$4:$AC$996,Weekly_Inspections!$C$4:$C$996,$B$3),"")</f>
        <v/>
      </c>
      <c r="C37" s="4">
        <f>IFERROR(AVERAGEIFS(Weekly_Inspections!$AC$4:$AC$996,Weekly_Inspections!$D$4:$D$996,$B$4),"")</f>
        <v/>
      </c>
      <c r="D37" s="4">
        <f>IF(B37="","",5-B37)</f>
        <v/>
      </c>
      <c r="E37" s="4">
        <f>IF(C37="","",5-C37)</f>
        <v/>
      </c>
      <c r="F37" s="4" t="inlineStr">
        <is>
          <t>Interface / simultaneous activity conflict</t>
        </is>
      </c>
      <c r="G37" s="4">
        <f>COUNTIFS(Weekly_Inspections!$AP$4:$AP$996,$F37,Weekly_Inspections!$C$4:$C$996,$B$3)</f>
        <v/>
      </c>
      <c r="H37" s="4">
        <f>COUNTIFS(Weekly_Inspections!$AP$4:$AP$996,$F37,Weekly_Inspections!$D$4:$D$996,$B$4)</f>
        <v/>
      </c>
    </row>
    <row r="38">
      <c r="A38" s="4" t="inlineStr">
        <is>
          <t>Housekeeping/Waste Management</t>
        </is>
      </c>
      <c r="B38" s="4">
        <f>IFERROR(AVERAGEIFS(Weekly_Inspections!$AD$4:$AD$996,Weekly_Inspections!$C$4:$C$996,$B$3),"")</f>
        <v/>
      </c>
      <c r="C38" s="4">
        <f>IFERROR(AVERAGEIFS(Weekly_Inspections!$AD$4:$AD$996,Weekly_Inspections!$D$4:$D$996,$B$4),"")</f>
        <v/>
      </c>
      <c r="D38" s="4">
        <f>IF(B38="","",5-B38)</f>
        <v/>
      </c>
      <c r="E38" s="4">
        <f>IF(C38="","",5-C38)</f>
        <v/>
      </c>
      <c r="F38" s="4" t="inlineStr">
        <is>
          <t>Other</t>
        </is>
      </c>
      <c r="G38" s="4">
        <f>COUNTIFS(Weekly_Inspections!$AP$4:$AP$996,$F38,Weekly_Inspections!$C$4:$C$996,$B$3)</f>
        <v/>
      </c>
      <c r="H38" s="4">
        <f>COUNTIFS(Weekly_Inspections!$AP$4:$AP$996,$F38,Weekly_Inspections!$D$4:$D$996,$B$4)</f>
        <v/>
      </c>
    </row>
    <row r="39">
      <c r="A39" s="4" t="inlineStr">
        <is>
          <t>Welfare Arrangement</t>
        </is>
      </c>
      <c r="B39" s="4">
        <f>IFERROR(AVERAGEIFS(Weekly_Inspections!$AE$4:$AE$996,Weekly_Inspections!$C$4:$C$996,$B$3),"")</f>
        <v/>
      </c>
      <c r="C39" s="4">
        <f>IFERROR(AVERAGEIFS(Weekly_Inspections!$AE$4:$AE$996,Weekly_Inspections!$D$4:$D$996,$B$4),"")</f>
        <v/>
      </c>
      <c r="D39" s="4">
        <f>IF(B39="","",5-B39)</f>
        <v/>
      </c>
      <c r="E39" s="4">
        <f>IF(C39="","",5-C39)</f>
        <v/>
      </c>
      <c r="F39" s="4" t="inlineStr"/>
      <c r="G39" s="4">
        <f>COUNTIFS(Weekly_Inspections!$AP$4:$AP$996,$F39,Weekly_Inspections!$C$4:$C$996,$B$3)</f>
        <v/>
      </c>
      <c r="H39" s="4">
        <f>COUNTIFS(Weekly_Inspections!$AP$4:$AP$996,$F39,Weekly_Inspections!$D$4:$D$996,$B$4)</f>
        <v/>
      </c>
    </row>
    <row r="40">
      <c r="A40" s="4" t="inlineStr">
        <is>
          <t>Fire Readiness</t>
        </is>
      </c>
      <c r="B40" s="4">
        <f>IFERROR(AVERAGEIFS(Weekly_Inspections!$AF$4:$AF$996,Weekly_Inspections!$C$4:$C$996,$B$3),"")</f>
        <v/>
      </c>
      <c r="C40" s="4">
        <f>IFERROR(AVERAGEIFS(Weekly_Inspections!$AF$4:$AF$996,Weekly_Inspections!$D$4:$D$996,$B$4),"")</f>
        <v/>
      </c>
      <c r="D40" s="4">
        <f>IF(B40="","",5-B40)</f>
        <v/>
      </c>
      <c r="E40" s="4">
        <f>IF(C40="","",5-C40)</f>
        <v/>
      </c>
      <c r="F40" s="4" t="inlineStr"/>
      <c r="G40" s="4">
        <f>COUNTIFS(Weekly_Inspections!$AP$4:$AP$996,$F40,Weekly_Inspections!$C$4:$C$996,$B$3)</f>
        <v/>
      </c>
      <c r="H40" s="4">
        <f>COUNTIFS(Weekly_Inspections!$AP$4:$AP$996,$F40,Weekly_Inspections!$D$4:$D$996,$B$4)</f>
        <v/>
      </c>
    </row>
    <row r="41">
      <c r="A41" s="4" t="inlineStr">
        <is>
          <t>Supervision &amp; Subcontractor Control</t>
        </is>
      </c>
      <c r="B41" s="4">
        <f>IFERROR(AVERAGEIFS(Weekly_Inspections!$AG$4:$AG$996,Weekly_Inspections!$C$4:$C$996,$B$3),"")</f>
        <v/>
      </c>
      <c r="C41" s="4">
        <f>IFERROR(AVERAGEIFS(Weekly_Inspections!$AG$4:$AG$996,Weekly_Inspections!$D$4:$D$996,$B$4),"")</f>
        <v/>
      </c>
      <c r="D41" s="4">
        <f>IF(B41="","",5-B41)</f>
        <v/>
      </c>
      <c r="E41" s="4">
        <f>IF(C41="","",5-C41)</f>
        <v/>
      </c>
      <c r="F41" s="4" t="inlineStr"/>
      <c r="G41" s="4">
        <f>COUNTIFS(Weekly_Inspections!$AP$4:$AP$996,$F41,Weekly_Inspections!$C$4:$C$996,$B$3)</f>
        <v/>
      </c>
      <c r="H41" s="4">
        <f>COUNTIFS(Weekly_Inspections!$AP$4:$AP$996,$F41,Weekly_Inspections!$D$4:$D$996,$B$4)</f>
        <v/>
      </c>
    </row>
    <row r="42">
      <c r="A42" s="4" t="inlineStr">
        <is>
          <t>Temporary Electrical &amp; Tool Safety</t>
        </is>
      </c>
      <c r="B42" s="4">
        <f>IFERROR(AVERAGEIFS(Weekly_Inspections!$AH$4:$AH$996,Weekly_Inspections!$C$4:$C$996,$B$3),"")</f>
        <v/>
      </c>
      <c r="C42" s="4">
        <f>IFERROR(AVERAGEIFS(Weekly_Inspections!$AH$4:$AH$996,Weekly_Inspections!$D$4:$D$996,$B$4),"")</f>
        <v/>
      </c>
      <c r="D42" s="4">
        <f>IF(B42="","",5-B42)</f>
        <v/>
      </c>
      <c r="E42" s="4">
        <f>IF(C42="","",5-C42)</f>
        <v/>
      </c>
      <c r="F42" s="4" t="inlineStr"/>
      <c r="G42" s="4">
        <f>COUNTIFS(Weekly_Inspections!$AP$4:$AP$996,$F42,Weekly_Inspections!$C$4:$C$996,$B$3)</f>
        <v/>
      </c>
      <c r="H42" s="4">
        <f>COUNTIFS(Weekly_Inspections!$AP$4:$AP$996,$F42,Weekly_Inspections!$D$4:$D$996,$B$4)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6" customWidth="1" min="5" max="5"/>
    <col width="10" customWidth="1" min="6" max="6"/>
    <col width="18" customWidth="1" min="7" max="7"/>
    <col width="14" customWidth="1" min="8" max="8"/>
    <col width="8" customWidth="1" min="9" max="9"/>
    <col width="12" customWidth="1" min="10" max="10"/>
    <col width="14" customWidth="1" min="11" max="11"/>
  </cols>
  <sheetData>
    <row r="1">
      <c r="A1" s="1" t="inlineStr">
        <is>
          <t>Monthly Dashboard</t>
        </is>
      </c>
    </row>
    <row r="2"/>
    <row r="3">
      <c r="A3" s="2" t="inlineStr">
        <is>
          <t>Selected Month (yyyy-mm)</t>
        </is>
      </c>
      <c r="B3" s="15" t="inlineStr">
        <is>
          <t>2026-03</t>
        </is>
      </c>
    </row>
    <row r="4">
      <c r="A4" s="2" t="inlineStr">
        <is>
          <t>Previous Month (yyyy-mm)</t>
        </is>
      </c>
      <c r="B4" s="15" t="inlineStr">
        <is>
          <t>2026-02</t>
        </is>
      </c>
    </row>
    <row r="5"/>
    <row r="6">
      <c r="A6" s="3" t="inlineStr">
        <is>
          <t>Cluster</t>
        </is>
      </c>
      <c r="B6" s="3" t="inlineStr">
        <is>
          <t>Package</t>
        </is>
      </c>
      <c r="C6" s="3" t="inlineStr">
        <is>
          <t>Contractor</t>
        </is>
      </c>
      <c r="D6" s="3" t="inlineStr">
        <is>
          <t>Month Avg Raw %</t>
        </is>
      </c>
      <c r="E6" s="3" t="inlineStr">
        <is>
          <t>Month Avg Weighted %</t>
        </is>
      </c>
      <c r="F6" s="3" t="inlineStr">
        <is>
          <t>Red Flags</t>
        </is>
      </c>
      <c r="G6" s="3" t="inlineStr">
        <is>
          <t>Improvement vs Prev Month</t>
        </is>
      </c>
      <c r="H6" s="3" t="inlineStr">
        <is>
          <t>Award Eligible</t>
        </is>
      </c>
      <c r="I6" s="3" t="inlineStr">
        <is>
          <t>Rank</t>
        </is>
      </c>
      <c r="J6" s="3" t="inlineStr">
        <is>
          <t>Open Actions</t>
        </is>
      </c>
      <c r="K6" s="3" t="inlineStr">
        <is>
          <t>Overdue Actions</t>
        </is>
      </c>
    </row>
    <row r="7">
      <c r="A7" s="4" t="inlineStr">
        <is>
          <t>Cluster 7A</t>
        </is>
      </c>
      <c r="B7" s="4">
        <f>IFERROR(VLOOKUP($A7,Cluster_Master!$B$3:$C$17,1,FALSE),"")</f>
        <v/>
      </c>
      <c r="C7" s="4">
        <f>IFERROR(VLOOKUP($A7,Cluster_Master!$B$3:$C$17,2,FALSE),"")</f>
        <v/>
      </c>
      <c r="D7" s="16">
        <f>IFERROR(AVERAGEIFS(Weekly_Inspections!$AJ$4:$AJ$996,Weekly_Inspections!$F$4:$F$996,$A7,Weekly_Inspections!$D$4:$D$996,$B$3),"")</f>
        <v/>
      </c>
      <c r="E7" s="16">
        <f>IFERROR(AVERAGEIFS(Weekly_Inspections!$AK$4:$AK$996,Weekly_Inspections!$F$4:$F$996,$A7,Weekly_Inspections!$D$4:$D$996,$B$3),"")</f>
        <v/>
      </c>
      <c r="F7" s="4">
        <f>COUNTIFS(Weekly_Inspections!$F$4:$F$996,$A7,Weekly_Inspections!$D$4:$D$996,$B$3,Weekly_Inspections!$AL$4:$AL$996,"YES")</f>
        <v/>
      </c>
      <c r="G7" s="16">
        <f>IFERROR(E7-AVERAGEIFS(Weekly_Inspections!$AK$4:$AK$996,Weekly_Inspections!$F$4:$F$996,$A7,Weekly_Inspections!$D$4:$D$996,$B$4),"")</f>
        <v/>
      </c>
      <c r="H7" s="4">
        <f>IF(AND(E7&gt;=0.85,F7=0),"YES","NO")</f>
        <v/>
      </c>
      <c r="I7" s="4">
        <f>IFERROR(RANK(E7,$E$7:$E$21,0),"")</f>
        <v/>
      </c>
      <c r="J7" s="4">
        <f>COUNTIFS(CAPA_Tracker!$D$3:$D$200,$A7,CAPA_Tracker!$M$3:$M$200,"&lt;&gt;Closed",CAPA_Tracker!$A$3:$A$200,"&lt;&gt;")</f>
        <v/>
      </c>
      <c r="K7" s="4">
        <f>COUNTIFS(CAPA_Tracker!$D$3:$D$200,$A7,CAPA_Tracker!$P$3:$P$200,"YES",CAPA_Tracker!$A$3:$A$200,"&lt;&gt;")</f>
        <v/>
      </c>
    </row>
    <row r="8">
      <c r="A8" s="4" t="inlineStr">
        <is>
          <t>Cluster 7B</t>
        </is>
      </c>
      <c r="B8" s="4">
        <f>IFERROR(VLOOKUP($A8,Cluster_Master!$B$3:$C$17,1,FALSE),"")</f>
        <v/>
      </c>
      <c r="C8" s="4">
        <f>IFERROR(VLOOKUP($A8,Cluster_Master!$B$3:$C$17,2,FALSE),"")</f>
        <v/>
      </c>
      <c r="D8" s="16">
        <f>IFERROR(AVERAGEIFS(Weekly_Inspections!$AJ$4:$AJ$996,Weekly_Inspections!$F$4:$F$996,$A8,Weekly_Inspections!$D$4:$D$996,$B$3),"")</f>
        <v/>
      </c>
      <c r="E8" s="16">
        <f>IFERROR(AVERAGEIFS(Weekly_Inspections!$AK$4:$AK$996,Weekly_Inspections!$F$4:$F$996,$A8,Weekly_Inspections!$D$4:$D$996,$B$3),"")</f>
        <v/>
      </c>
      <c r="F8" s="4">
        <f>COUNTIFS(Weekly_Inspections!$F$4:$F$996,$A8,Weekly_Inspections!$D$4:$D$996,$B$3,Weekly_Inspections!$AL$4:$AL$996,"YES")</f>
        <v/>
      </c>
      <c r="G8" s="16">
        <f>IFERROR(E8-AVERAGEIFS(Weekly_Inspections!$AK$4:$AK$996,Weekly_Inspections!$F$4:$F$996,$A8,Weekly_Inspections!$D$4:$D$996,$B$4),"")</f>
        <v/>
      </c>
      <c r="H8" s="4">
        <f>IF(AND(E8&gt;=0.85,F8=0),"YES","NO")</f>
        <v/>
      </c>
      <c r="I8" s="4">
        <f>IFERROR(RANK(E8,$E$7:$E$21,0),"")</f>
        <v/>
      </c>
      <c r="J8" s="4">
        <f>COUNTIFS(CAPA_Tracker!$D$3:$D$200,$A8,CAPA_Tracker!$M$3:$M$200,"&lt;&gt;Closed",CAPA_Tracker!$A$3:$A$200,"&lt;&gt;")</f>
        <v/>
      </c>
      <c r="K8" s="4">
        <f>COUNTIFS(CAPA_Tracker!$D$3:$D$200,$A8,CAPA_Tracker!$P$3:$P$200,"YES",CAPA_Tracker!$A$3:$A$200,"&lt;&gt;")</f>
        <v/>
      </c>
    </row>
    <row r="9">
      <c r="A9" s="4" t="inlineStr">
        <is>
          <t>Cluster 8A</t>
        </is>
      </c>
      <c r="B9" s="4">
        <f>IFERROR(VLOOKUP($A9,Cluster_Master!$B$3:$C$17,1,FALSE),"")</f>
        <v/>
      </c>
      <c r="C9" s="4">
        <f>IFERROR(VLOOKUP($A9,Cluster_Master!$B$3:$C$17,2,FALSE),"")</f>
        <v/>
      </c>
      <c r="D9" s="16">
        <f>IFERROR(AVERAGEIFS(Weekly_Inspections!$AJ$4:$AJ$996,Weekly_Inspections!$F$4:$F$996,$A9,Weekly_Inspections!$D$4:$D$996,$B$3),"")</f>
        <v/>
      </c>
      <c r="E9" s="16">
        <f>IFERROR(AVERAGEIFS(Weekly_Inspections!$AK$4:$AK$996,Weekly_Inspections!$F$4:$F$996,$A9,Weekly_Inspections!$D$4:$D$996,$B$3),"")</f>
        <v/>
      </c>
      <c r="F9" s="4">
        <f>COUNTIFS(Weekly_Inspections!$F$4:$F$996,$A9,Weekly_Inspections!$D$4:$D$996,$B$3,Weekly_Inspections!$AL$4:$AL$996,"YES")</f>
        <v/>
      </c>
      <c r="G9" s="16">
        <f>IFERROR(E9-AVERAGEIFS(Weekly_Inspections!$AK$4:$AK$996,Weekly_Inspections!$F$4:$F$996,$A9,Weekly_Inspections!$D$4:$D$996,$B$4),"")</f>
        <v/>
      </c>
      <c r="H9" s="4">
        <f>IF(AND(E9&gt;=0.85,F9=0),"YES","NO")</f>
        <v/>
      </c>
      <c r="I9" s="4">
        <f>IFERROR(RANK(E9,$E$7:$E$21,0),"")</f>
        <v/>
      </c>
      <c r="J9" s="4">
        <f>COUNTIFS(CAPA_Tracker!$D$3:$D$200,$A9,CAPA_Tracker!$M$3:$M$200,"&lt;&gt;Closed",CAPA_Tracker!$A$3:$A$200,"&lt;&gt;")</f>
        <v/>
      </c>
      <c r="K9" s="4">
        <f>COUNTIFS(CAPA_Tracker!$D$3:$D$200,$A9,CAPA_Tracker!$P$3:$P$200,"YES",CAPA_Tracker!$A$3:$A$200,"&lt;&gt;")</f>
        <v/>
      </c>
    </row>
    <row r="10">
      <c r="A10" s="5" t="inlineStr">
        <is>
          <t>Cluster 8B</t>
        </is>
      </c>
      <c r="B10" s="4">
        <f>IFERROR(VLOOKUP($A10,Cluster_Master!$B$3:$C$17,1,FALSE),"")</f>
        <v/>
      </c>
      <c r="C10" s="4">
        <f>IFERROR(VLOOKUP($A10,Cluster_Master!$B$3:$C$17,2,FALSE),"")</f>
        <v/>
      </c>
      <c r="D10" s="16">
        <f>IFERROR(AVERAGEIFS(Weekly_Inspections!$AJ$4:$AJ$996,Weekly_Inspections!$F$4:$F$996,$A10,Weekly_Inspections!$D$4:$D$996,$B$3),"")</f>
        <v/>
      </c>
      <c r="E10" s="16">
        <f>IFERROR(AVERAGEIFS(Weekly_Inspections!$AK$4:$AK$996,Weekly_Inspections!$F$4:$F$996,$A10,Weekly_Inspections!$D$4:$D$996,$B$3),"")</f>
        <v/>
      </c>
      <c r="F10" s="4">
        <f>COUNTIFS(Weekly_Inspections!$F$4:$F$996,$A10,Weekly_Inspections!$D$4:$D$996,$B$3,Weekly_Inspections!$AL$4:$AL$996,"YES")</f>
        <v/>
      </c>
      <c r="G10" s="16">
        <f>IFERROR(E10-AVERAGEIFS(Weekly_Inspections!$AK$4:$AK$996,Weekly_Inspections!$F$4:$F$996,$A10,Weekly_Inspections!$D$4:$D$996,$B$4),"")</f>
        <v/>
      </c>
      <c r="H10" s="4">
        <f>IF(AND(E10&gt;=0.85,F10=0),"YES","NO")</f>
        <v/>
      </c>
      <c r="I10" s="4">
        <f>IFERROR(RANK(E10,$E$7:$E$21,0),"")</f>
        <v/>
      </c>
      <c r="J10" s="4">
        <f>COUNTIFS(CAPA_Tracker!$D$3:$D$200,$A10,CAPA_Tracker!$M$3:$M$200,"&lt;&gt;Closed",CAPA_Tracker!$A$3:$A$200,"&lt;&gt;")</f>
        <v/>
      </c>
      <c r="K10" s="4">
        <f>COUNTIFS(CAPA_Tracker!$D$3:$D$200,$A10,CAPA_Tracker!$P$3:$P$200,"YES",CAPA_Tracker!$A$3:$A$200,"&lt;&gt;")</f>
        <v/>
      </c>
    </row>
    <row r="11">
      <c r="A11" s="5" t="inlineStr">
        <is>
          <t>Cluster 8C</t>
        </is>
      </c>
      <c r="B11" s="4">
        <f>IFERROR(VLOOKUP($A11,Cluster_Master!$B$3:$C$17,1,FALSE),"")</f>
        <v/>
      </c>
      <c r="C11" s="4">
        <f>IFERROR(VLOOKUP($A11,Cluster_Master!$B$3:$C$17,2,FALSE),"")</f>
        <v/>
      </c>
      <c r="D11" s="16">
        <f>IFERROR(AVERAGEIFS(Weekly_Inspections!$AJ$4:$AJ$996,Weekly_Inspections!$F$4:$F$996,$A11,Weekly_Inspections!$D$4:$D$996,$B$3),"")</f>
        <v/>
      </c>
      <c r="E11" s="16">
        <f>IFERROR(AVERAGEIFS(Weekly_Inspections!$AK$4:$AK$996,Weekly_Inspections!$F$4:$F$996,$A11,Weekly_Inspections!$D$4:$D$996,$B$3),"")</f>
        <v/>
      </c>
      <c r="F11" s="4">
        <f>COUNTIFS(Weekly_Inspections!$F$4:$F$996,$A11,Weekly_Inspections!$D$4:$D$996,$B$3,Weekly_Inspections!$AL$4:$AL$996,"YES")</f>
        <v/>
      </c>
      <c r="G11" s="16">
        <f>IFERROR(E11-AVERAGEIFS(Weekly_Inspections!$AK$4:$AK$996,Weekly_Inspections!$F$4:$F$996,$A11,Weekly_Inspections!$D$4:$D$996,$B$4),"")</f>
        <v/>
      </c>
      <c r="H11" s="4">
        <f>IF(AND(E11&gt;=0.85,F11=0),"YES","NO")</f>
        <v/>
      </c>
      <c r="I11" s="4">
        <f>IFERROR(RANK(E11,$E$7:$E$21,0),"")</f>
        <v/>
      </c>
      <c r="J11" s="4">
        <f>COUNTIFS(CAPA_Tracker!$D$3:$D$200,$A11,CAPA_Tracker!$M$3:$M$200,"&lt;&gt;Closed",CAPA_Tracker!$A$3:$A$200,"&lt;&gt;")</f>
        <v/>
      </c>
      <c r="K11" s="4">
        <f>COUNTIFS(CAPA_Tracker!$D$3:$D$200,$A11,CAPA_Tracker!$P$3:$P$200,"YES",CAPA_Tracker!$A$3:$A$200,"&lt;&gt;")</f>
        <v/>
      </c>
    </row>
    <row r="12">
      <c r="A12" s="5" t="inlineStr">
        <is>
          <t>Cluster 8D</t>
        </is>
      </c>
      <c r="B12" s="4">
        <f>IFERROR(VLOOKUP($A12,Cluster_Master!$B$3:$C$17,1,FALSE),"")</f>
        <v/>
      </c>
      <c r="C12" s="4">
        <f>IFERROR(VLOOKUP($A12,Cluster_Master!$B$3:$C$17,2,FALSE),"")</f>
        <v/>
      </c>
      <c r="D12" s="16">
        <f>IFERROR(AVERAGEIFS(Weekly_Inspections!$AJ$4:$AJ$996,Weekly_Inspections!$F$4:$F$996,$A12,Weekly_Inspections!$D$4:$D$996,$B$3),"")</f>
        <v/>
      </c>
      <c r="E12" s="16">
        <f>IFERROR(AVERAGEIFS(Weekly_Inspections!$AK$4:$AK$996,Weekly_Inspections!$F$4:$F$996,$A12,Weekly_Inspections!$D$4:$D$996,$B$3),"")</f>
        <v/>
      </c>
      <c r="F12" s="4">
        <f>COUNTIFS(Weekly_Inspections!$F$4:$F$996,$A12,Weekly_Inspections!$D$4:$D$996,$B$3,Weekly_Inspections!$AL$4:$AL$996,"YES")</f>
        <v/>
      </c>
      <c r="G12" s="16">
        <f>IFERROR(E12-AVERAGEIFS(Weekly_Inspections!$AK$4:$AK$996,Weekly_Inspections!$F$4:$F$996,$A12,Weekly_Inspections!$D$4:$D$996,$B$4),"")</f>
        <v/>
      </c>
      <c r="H12" s="4">
        <f>IF(AND(E12&gt;=0.85,F12=0),"YES","NO")</f>
        <v/>
      </c>
      <c r="I12" s="4">
        <f>IFERROR(RANK(E12,$E$7:$E$21,0),"")</f>
        <v/>
      </c>
      <c r="J12" s="4">
        <f>COUNTIFS(CAPA_Tracker!$D$3:$D$200,$A12,CAPA_Tracker!$M$3:$M$200,"&lt;&gt;Closed",CAPA_Tracker!$A$3:$A$200,"&lt;&gt;")</f>
        <v/>
      </c>
      <c r="K12" s="4">
        <f>COUNTIFS(CAPA_Tracker!$D$3:$D$200,$A12,CAPA_Tracker!$P$3:$P$200,"YES",CAPA_Tracker!$A$3:$A$200,"&lt;&gt;")</f>
        <v/>
      </c>
    </row>
    <row r="13">
      <c r="A13" s="5" t="inlineStr">
        <is>
          <t>Cluster 3</t>
        </is>
      </c>
      <c r="B13" s="4">
        <f>IFERROR(VLOOKUP($A13,Cluster_Master!$B$3:$C$17,1,FALSE),"")</f>
        <v/>
      </c>
      <c r="C13" s="4">
        <f>IFERROR(VLOOKUP($A13,Cluster_Master!$B$3:$C$17,2,FALSE),"")</f>
        <v/>
      </c>
      <c r="D13" s="16">
        <f>IFERROR(AVERAGEIFS(Weekly_Inspections!$AJ$4:$AJ$996,Weekly_Inspections!$F$4:$F$996,$A13,Weekly_Inspections!$D$4:$D$996,$B$3),"")</f>
        <v/>
      </c>
      <c r="E13" s="16">
        <f>IFERROR(AVERAGEIFS(Weekly_Inspections!$AK$4:$AK$996,Weekly_Inspections!$F$4:$F$996,$A13,Weekly_Inspections!$D$4:$D$996,$B$3),"")</f>
        <v/>
      </c>
      <c r="F13" s="4">
        <f>COUNTIFS(Weekly_Inspections!$F$4:$F$996,$A13,Weekly_Inspections!$D$4:$D$996,$B$3,Weekly_Inspections!$AL$4:$AL$996,"YES")</f>
        <v/>
      </c>
      <c r="G13" s="16">
        <f>IFERROR(E13-AVERAGEIFS(Weekly_Inspections!$AK$4:$AK$996,Weekly_Inspections!$F$4:$F$996,$A13,Weekly_Inspections!$D$4:$D$996,$B$4),"")</f>
        <v/>
      </c>
      <c r="H13" s="4">
        <f>IF(AND(E13&gt;=0.85,F13=0),"YES","NO")</f>
        <v/>
      </c>
      <c r="I13" s="4">
        <f>IFERROR(RANK(E13,$E$7:$E$21,0),"")</f>
        <v/>
      </c>
      <c r="J13" s="4">
        <f>COUNTIFS(CAPA_Tracker!$D$3:$D$200,$A13,CAPA_Tracker!$M$3:$M$200,"&lt;&gt;Closed",CAPA_Tracker!$A$3:$A$200,"&lt;&gt;")</f>
        <v/>
      </c>
      <c r="K13" s="4">
        <f>COUNTIFS(CAPA_Tracker!$D$3:$D$200,$A13,CAPA_Tracker!$P$3:$P$200,"YES",CAPA_Tracker!$A$3:$A$200,"&lt;&gt;")</f>
        <v/>
      </c>
    </row>
    <row r="14">
      <c r="A14" s="5" t="inlineStr">
        <is>
          <t>Cluster 4</t>
        </is>
      </c>
      <c r="B14" s="4">
        <f>IFERROR(VLOOKUP($A14,Cluster_Master!$B$3:$C$17,1,FALSE),"")</f>
        <v/>
      </c>
      <c r="C14" s="4">
        <f>IFERROR(VLOOKUP($A14,Cluster_Master!$B$3:$C$17,2,FALSE),"")</f>
        <v/>
      </c>
      <c r="D14" s="16">
        <f>IFERROR(AVERAGEIFS(Weekly_Inspections!$AJ$4:$AJ$996,Weekly_Inspections!$F$4:$F$996,$A14,Weekly_Inspections!$D$4:$D$996,$B$3),"")</f>
        <v/>
      </c>
      <c r="E14" s="16">
        <f>IFERROR(AVERAGEIFS(Weekly_Inspections!$AK$4:$AK$996,Weekly_Inspections!$F$4:$F$996,$A14,Weekly_Inspections!$D$4:$D$996,$B$3),"")</f>
        <v/>
      </c>
      <c r="F14" s="4">
        <f>COUNTIFS(Weekly_Inspections!$F$4:$F$996,$A14,Weekly_Inspections!$D$4:$D$996,$B$3,Weekly_Inspections!$AL$4:$AL$996,"YES")</f>
        <v/>
      </c>
      <c r="G14" s="16">
        <f>IFERROR(E14-AVERAGEIFS(Weekly_Inspections!$AK$4:$AK$996,Weekly_Inspections!$F$4:$F$996,$A14,Weekly_Inspections!$D$4:$D$996,$B$4),"")</f>
        <v/>
      </c>
      <c r="H14" s="4">
        <f>IF(AND(E14&gt;=0.85,F14=0),"YES","NO")</f>
        <v/>
      </c>
      <c r="I14" s="4">
        <f>IFERROR(RANK(E14,$E$7:$E$21,0),"")</f>
        <v/>
      </c>
      <c r="J14" s="4">
        <f>COUNTIFS(CAPA_Tracker!$D$3:$D$200,$A14,CAPA_Tracker!$M$3:$M$200,"&lt;&gt;Closed",CAPA_Tracker!$A$3:$A$200,"&lt;&gt;")</f>
        <v/>
      </c>
      <c r="K14" s="4">
        <f>COUNTIFS(CAPA_Tracker!$D$3:$D$200,$A14,CAPA_Tracker!$P$3:$P$200,"YES",CAPA_Tracker!$A$3:$A$200,"&lt;&gt;")</f>
        <v/>
      </c>
    </row>
    <row r="15">
      <c r="A15" s="5" t="inlineStr">
        <is>
          <t>Cluster 5</t>
        </is>
      </c>
      <c r="B15" s="4">
        <f>IFERROR(VLOOKUP($A15,Cluster_Master!$B$3:$C$17,1,FALSE),"")</f>
        <v/>
      </c>
      <c r="C15" s="4">
        <f>IFERROR(VLOOKUP($A15,Cluster_Master!$B$3:$C$17,2,FALSE),"")</f>
        <v/>
      </c>
      <c r="D15" s="16">
        <f>IFERROR(AVERAGEIFS(Weekly_Inspections!$AJ$4:$AJ$996,Weekly_Inspections!$F$4:$F$996,$A15,Weekly_Inspections!$D$4:$D$996,$B$3),"")</f>
        <v/>
      </c>
      <c r="E15" s="16">
        <f>IFERROR(AVERAGEIFS(Weekly_Inspections!$AK$4:$AK$996,Weekly_Inspections!$F$4:$F$996,$A15,Weekly_Inspections!$D$4:$D$996,$B$3),"")</f>
        <v/>
      </c>
      <c r="F15" s="4">
        <f>COUNTIFS(Weekly_Inspections!$F$4:$F$996,$A15,Weekly_Inspections!$D$4:$D$996,$B$3,Weekly_Inspections!$AL$4:$AL$996,"YES")</f>
        <v/>
      </c>
      <c r="G15" s="16">
        <f>IFERROR(E15-AVERAGEIFS(Weekly_Inspections!$AK$4:$AK$996,Weekly_Inspections!$F$4:$F$996,$A15,Weekly_Inspections!$D$4:$D$996,$B$4),"")</f>
        <v/>
      </c>
      <c r="H15" s="4">
        <f>IF(AND(E15&gt;=0.85,F15=0),"YES","NO")</f>
        <v/>
      </c>
      <c r="I15" s="4">
        <f>IFERROR(RANK(E15,$E$7:$E$21,0),"")</f>
        <v/>
      </c>
      <c r="J15" s="4">
        <f>COUNTIFS(CAPA_Tracker!$D$3:$D$200,$A15,CAPA_Tracker!$M$3:$M$200,"&lt;&gt;Closed",CAPA_Tracker!$A$3:$A$200,"&lt;&gt;")</f>
        <v/>
      </c>
      <c r="K15" s="4">
        <f>COUNTIFS(CAPA_Tracker!$D$3:$D$200,$A15,CAPA_Tracker!$P$3:$P$200,"YES",CAPA_Tracker!$A$3:$A$200,"&lt;&gt;")</f>
        <v/>
      </c>
    </row>
    <row r="16">
      <c r="A16" s="5" t="inlineStr">
        <is>
          <t>Cluster 6</t>
        </is>
      </c>
      <c r="B16" s="4">
        <f>IFERROR(VLOOKUP($A16,Cluster_Master!$B$3:$C$17,1,FALSE),"")</f>
        <v/>
      </c>
      <c r="C16" s="4">
        <f>IFERROR(VLOOKUP($A16,Cluster_Master!$B$3:$C$17,2,FALSE),"")</f>
        <v/>
      </c>
      <c r="D16" s="16">
        <f>IFERROR(AVERAGEIFS(Weekly_Inspections!$AJ$4:$AJ$996,Weekly_Inspections!$F$4:$F$996,$A16,Weekly_Inspections!$D$4:$D$996,$B$3),"")</f>
        <v/>
      </c>
      <c r="E16" s="16">
        <f>IFERROR(AVERAGEIFS(Weekly_Inspections!$AK$4:$AK$996,Weekly_Inspections!$F$4:$F$996,$A16,Weekly_Inspections!$D$4:$D$996,$B$3),"")</f>
        <v/>
      </c>
      <c r="F16" s="4">
        <f>COUNTIFS(Weekly_Inspections!$F$4:$F$996,$A16,Weekly_Inspections!$D$4:$D$996,$B$3,Weekly_Inspections!$AL$4:$AL$996,"YES")</f>
        <v/>
      </c>
      <c r="G16" s="16">
        <f>IFERROR(E16-AVERAGEIFS(Weekly_Inspections!$AK$4:$AK$996,Weekly_Inspections!$F$4:$F$996,$A16,Weekly_Inspections!$D$4:$D$996,$B$4),"")</f>
        <v/>
      </c>
      <c r="H16" s="4">
        <f>IF(AND(E16&gt;=0.85,F16=0),"YES","NO")</f>
        <v/>
      </c>
      <c r="I16" s="4">
        <f>IFERROR(RANK(E16,$E$7:$E$21,0),"")</f>
        <v/>
      </c>
      <c r="J16" s="4">
        <f>COUNTIFS(CAPA_Tracker!$D$3:$D$200,$A16,CAPA_Tracker!$M$3:$M$200,"&lt;&gt;Closed",CAPA_Tracker!$A$3:$A$200,"&lt;&gt;")</f>
        <v/>
      </c>
      <c r="K16" s="4">
        <f>COUNTIFS(CAPA_Tracker!$D$3:$D$200,$A16,CAPA_Tracker!$P$3:$P$200,"YES",CAPA_Tracker!$A$3:$A$200,"&lt;&gt;")</f>
        <v/>
      </c>
    </row>
    <row r="17">
      <c r="A17" s="5" t="inlineStr">
        <is>
          <t>Cluster 1A</t>
        </is>
      </c>
      <c r="B17" s="4">
        <f>IFERROR(VLOOKUP($A17,Cluster_Master!$B$3:$C$17,1,FALSE),"")</f>
        <v/>
      </c>
      <c r="C17" s="4">
        <f>IFERROR(VLOOKUP($A17,Cluster_Master!$B$3:$C$17,2,FALSE),"")</f>
        <v/>
      </c>
      <c r="D17" s="16">
        <f>IFERROR(AVERAGEIFS(Weekly_Inspections!$AJ$4:$AJ$996,Weekly_Inspections!$F$4:$F$996,$A17,Weekly_Inspections!$D$4:$D$996,$B$3),"")</f>
        <v/>
      </c>
      <c r="E17" s="16">
        <f>IFERROR(AVERAGEIFS(Weekly_Inspections!$AK$4:$AK$996,Weekly_Inspections!$F$4:$F$996,$A17,Weekly_Inspections!$D$4:$D$996,$B$3),"")</f>
        <v/>
      </c>
      <c r="F17" s="4">
        <f>COUNTIFS(Weekly_Inspections!$F$4:$F$996,$A17,Weekly_Inspections!$D$4:$D$996,$B$3,Weekly_Inspections!$AL$4:$AL$996,"YES")</f>
        <v/>
      </c>
      <c r="G17" s="16">
        <f>IFERROR(E17-AVERAGEIFS(Weekly_Inspections!$AK$4:$AK$996,Weekly_Inspections!$F$4:$F$996,$A17,Weekly_Inspections!$D$4:$D$996,$B$4),"")</f>
        <v/>
      </c>
      <c r="H17" s="4">
        <f>IF(AND(E17&gt;=0.85,F17=0),"YES","NO")</f>
        <v/>
      </c>
      <c r="I17" s="4">
        <f>IFERROR(RANK(E17,$E$7:$E$21,0),"")</f>
        <v/>
      </c>
      <c r="J17" s="4">
        <f>COUNTIFS(CAPA_Tracker!$D$3:$D$200,$A17,CAPA_Tracker!$M$3:$M$200,"&lt;&gt;Closed",CAPA_Tracker!$A$3:$A$200,"&lt;&gt;")</f>
        <v/>
      </c>
      <c r="K17" s="4">
        <f>COUNTIFS(CAPA_Tracker!$D$3:$D$200,$A17,CAPA_Tracker!$P$3:$P$200,"YES",CAPA_Tracker!$A$3:$A$200,"&lt;&gt;")</f>
        <v/>
      </c>
    </row>
    <row r="18">
      <c r="A18" s="5" t="inlineStr">
        <is>
          <t>Cluster 1B</t>
        </is>
      </c>
      <c r="B18" s="4">
        <f>IFERROR(VLOOKUP($A18,Cluster_Master!$B$3:$C$17,1,FALSE),"")</f>
        <v/>
      </c>
      <c r="C18" s="4">
        <f>IFERROR(VLOOKUP($A18,Cluster_Master!$B$3:$C$17,2,FALSE),"")</f>
        <v/>
      </c>
      <c r="D18" s="16">
        <f>IFERROR(AVERAGEIFS(Weekly_Inspections!$AJ$4:$AJ$996,Weekly_Inspections!$F$4:$F$996,$A18,Weekly_Inspections!$D$4:$D$996,$B$3),"")</f>
        <v/>
      </c>
      <c r="E18" s="16">
        <f>IFERROR(AVERAGEIFS(Weekly_Inspections!$AK$4:$AK$996,Weekly_Inspections!$F$4:$F$996,$A18,Weekly_Inspections!$D$4:$D$996,$B$3),"")</f>
        <v/>
      </c>
      <c r="F18" s="4">
        <f>COUNTIFS(Weekly_Inspections!$F$4:$F$996,$A18,Weekly_Inspections!$D$4:$D$996,$B$3,Weekly_Inspections!$AL$4:$AL$996,"YES")</f>
        <v/>
      </c>
      <c r="G18" s="16">
        <f>IFERROR(E18-AVERAGEIFS(Weekly_Inspections!$AK$4:$AK$996,Weekly_Inspections!$F$4:$F$996,$A18,Weekly_Inspections!$D$4:$D$996,$B$4),"")</f>
        <v/>
      </c>
      <c r="H18" s="4">
        <f>IF(AND(E18&gt;=0.85,F18=0),"YES","NO")</f>
        <v/>
      </c>
      <c r="I18" s="4">
        <f>IFERROR(RANK(E18,$E$7:$E$21,0),"")</f>
        <v/>
      </c>
      <c r="J18" s="4">
        <f>COUNTIFS(CAPA_Tracker!$D$3:$D$200,$A18,CAPA_Tracker!$M$3:$M$200,"&lt;&gt;Closed",CAPA_Tracker!$A$3:$A$200,"&lt;&gt;")</f>
        <v/>
      </c>
      <c r="K18" s="4">
        <f>COUNTIFS(CAPA_Tracker!$D$3:$D$200,$A18,CAPA_Tracker!$P$3:$P$200,"YES",CAPA_Tracker!$A$3:$A$200,"&lt;&gt;")</f>
        <v/>
      </c>
    </row>
    <row r="19">
      <c r="A19" s="5" t="inlineStr">
        <is>
          <t>Cluster 2A</t>
        </is>
      </c>
      <c r="B19" s="4">
        <f>IFERROR(VLOOKUP($A19,Cluster_Master!$B$3:$C$17,1,FALSE),"")</f>
        <v/>
      </c>
      <c r="C19" s="4">
        <f>IFERROR(VLOOKUP($A19,Cluster_Master!$B$3:$C$17,2,FALSE),"")</f>
        <v/>
      </c>
      <c r="D19" s="16">
        <f>IFERROR(AVERAGEIFS(Weekly_Inspections!$AJ$4:$AJ$996,Weekly_Inspections!$F$4:$F$996,$A19,Weekly_Inspections!$D$4:$D$996,$B$3),"")</f>
        <v/>
      </c>
      <c r="E19" s="16">
        <f>IFERROR(AVERAGEIFS(Weekly_Inspections!$AK$4:$AK$996,Weekly_Inspections!$F$4:$F$996,$A19,Weekly_Inspections!$D$4:$D$996,$B$3),"")</f>
        <v/>
      </c>
      <c r="F19" s="4">
        <f>COUNTIFS(Weekly_Inspections!$F$4:$F$996,$A19,Weekly_Inspections!$D$4:$D$996,$B$3,Weekly_Inspections!$AL$4:$AL$996,"YES")</f>
        <v/>
      </c>
      <c r="G19" s="16">
        <f>IFERROR(E19-AVERAGEIFS(Weekly_Inspections!$AK$4:$AK$996,Weekly_Inspections!$F$4:$F$996,$A19,Weekly_Inspections!$D$4:$D$996,$B$4),"")</f>
        <v/>
      </c>
      <c r="H19" s="4">
        <f>IF(AND(E19&gt;=0.85,F19=0),"YES","NO")</f>
        <v/>
      </c>
      <c r="I19" s="4">
        <f>IFERROR(RANK(E19,$E$7:$E$21,0),"")</f>
        <v/>
      </c>
      <c r="J19" s="4">
        <f>COUNTIFS(CAPA_Tracker!$D$3:$D$200,$A19,CAPA_Tracker!$M$3:$M$200,"&lt;&gt;Closed",CAPA_Tracker!$A$3:$A$200,"&lt;&gt;")</f>
        <v/>
      </c>
      <c r="K19" s="4">
        <f>COUNTIFS(CAPA_Tracker!$D$3:$D$200,$A19,CAPA_Tracker!$P$3:$P$200,"YES",CAPA_Tracker!$A$3:$A$200,"&lt;&gt;")</f>
        <v/>
      </c>
    </row>
    <row r="20">
      <c r="A20" s="4" t="inlineStr">
        <is>
          <t>Cluster 2B</t>
        </is>
      </c>
      <c r="B20" s="4">
        <f>IFERROR(VLOOKUP($A20,Cluster_Master!$B$3:$C$17,1,FALSE),"")</f>
        <v/>
      </c>
      <c r="C20" s="4">
        <f>IFERROR(VLOOKUP($A20,Cluster_Master!$B$3:$C$17,2,FALSE),"")</f>
        <v/>
      </c>
      <c r="D20" s="16">
        <f>IFERROR(AVERAGEIFS(Weekly_Inspections!$AJ$4:$AJ$996,Weekly_Inspections!$F$4:$F$996,$A20,Weekly_Inspections!$D$4:$D$996,$B$3),"")</f>
        <v/>
      </c>
      <c r="E20" s="16">
        <f>IFERROR(AVERAGEIFS(Weekly_Inspections!$AK$4:$AK$996,Weekly_Inspections!$F$4:$F$996,$A20,Weekly_Inspections!$D$4:$D$996,$B$3),"")</f>
        <v/>
      </c>
      <c r="F20" s="4">
        <f>COUNTIFS(Weekly_Inspections!$F$4:$F$996,$A20,Weekly_Inspections!$D$4:$D$996,$B$3,Weekly_Inspections!$AL$4:$AL$996,"YES")</f>
        <v/>
      </c>
      <c r="G20" s="16">
        <f>IFERROR(E20-AVERAGEIFS(Weekly_Inspections!$AK$4:$AK$996,Weekly_Inspections!$F$4:$F$996,$A20,Weekly_Inspections!$D$4:$D$996,$B$4),"")</f>
        <v/>
      </c>
      <c r="H20" s="4">
        <f>IF(AND(E20&gt;=0.85,F20=0),"YES","NO")</f>
        <v/>
      </c>
      <c r="I20" s="4">
        <f>IFERROR(RANK(E20,$E$7:$E$21,0),"")</f>
        <v/>
      </c>
      <c r="J20" s="4">
        <f>COUNTIFS(CAPA_Tracker!$D$3:$D$200,$A20,CAPA_Tracker!$M$3:$M$200,"&lt;&gt;Closed",CAPA_Tracker!$A$3:$A$200,"&lt;&gt;")</f>
        <v/>
      </c>
      <c r="K20" s="4">
        <f>COUNTIFS(CAPA_Tracker!$D$3:$D$200,$A20,CAPA_Tracker!$P$3:$P$200,"YES",CAPA_Tracker!$A$3:$A$200,"&lt;&gt;")</f>
        <v/>
      </c>
    </row>
    <row r="21">
      <c r="A21" s="4" t="inlineStr">
        <is>
          <t>Cluster 2C</t>
        </is>
      </c>
      <c r="B21" s="4">
        <f>IFERROR(VLOOKUP($A21,Cluster_Master!$B$3:$C$17,1,FALSE),"")</f>
        <v/>
      </c>
      <c r="C21" s="4">
        <f>IFERROR(VLOOKUP($A21,Cluster_Master!$B$3:$C$17,2,FALSE),"")</f>
        <v/>
      </c>
      <c r="D21" s="16">
        <f>IFERROR(AVERAGEIFS(Weekly_Inspections!$AJ$4:$AJ$996,Weekly_Inspections!$F$4:$F$996,$A21,Weekly_Inspections!$D$4:$D$996,$B$3),"")</f>
        <v/>
      </c>
      <c r="E21" s="16">
        <f>IFERROR(AVERAGEIFS(Weekly_Inspections!$AK$4:$AK$996,Weekly_Inspections!$F$4:$F$996,$A21,Weekly_Inspections!$D$4:$D$996,$B$3),"")</f>
        <v/>
      </c>
      <c r="F21" s="4">
        <f>COUNTIFS(Weekly_Inspections!$F$4:$F$996,$A21,Weekly_Inspections!$D$4:$D$996,$B$3,Weekly_Inspections!$AL$4:$AL$996,"YES")</f>
        <v/>
      </c>
      <c r="G21" s="16">
        <f>IFERROR(E21-AVERAGEIFS(Weekly_Inspections!$AK$4:$AK$996,Weekly_Inspections!$F$4:$F$996,$A21,Weekly_Inspections!$D$4:$D$996,$B$4),"")</f>
        <v/>
      </c>
      <c r="H21" s="4">
        <f>IF(AND(E21&gt;=0.85,F21=0),"YES","NO")</f>
        <v/>
      </c>
      <c r="I21" s="4">
        <f>IFERROR(RANK(E21,$E$7:$E$21,0),"")</f>
        <v/>
      </c>
      <c r="J21" s="4">
        <f>COUNTIFS(CAPA_Tracker!$D$3:$D$200,$A21,CAPA_Tracker!$M$3:$M$200,"&lt;&gt;Closed",CAPA_Tracker!$A$3:$A$200,"&lt;&gt;")</f>
        <v/>
      </c>
      <c r="K21" s="4">
        <f>COUNTIFS(CAPA_Tracker!$D$3:$D$200,$A21,CAPA_Tracker!$P$3:$P$200,"YES",CAPA_Tracker!$A$3:$A$200,"&lt;&gt;")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2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Gap Analysis</t>
        </is>
      </c>
    </row>
    <row r="2"/>
    <row r="3">
      <c r="A3" s="2" t="inlineStr">
        <is>
          <t>Selected Week No</t>
        </is>
      </c>
      <c r="B3" s="15" t="n">
        <v>13</v>
      </c>
    </row>
    <row r="4">
      <c r="A4" s="2" t="inlineStr">
        <is>
          <t>Selected Month (yyyy-mm)</t>
        </is>
      </c>
      <c r="B4" s="15" t="inlineStr">
        <is>
          <t>2026-03</t>
        </is>
      </c>
    </row>
    <row r="5"/>
    <row r="6">
      <c r="A6" s="3" t="inlineStr">
        <is>
          <t>KPI</t>
        </is>
      </c>
      <c r="B6" s="3" t="inlineStr">
        <is>
          <t>Week Avg Score</t>
        </is>
      </c>
      <c r="C6" s="3" t="inlineStr">
        <is>
          <t>Month Avg Score</t>
        </is>
      </c>
      <c r="D6" s="3" t="inlineStr">
        <is>
          <t>Week Gap to 5</t>
        </is>
      </c>
      <c r="E6" s="3" t="inlineStr">
        <is>
          <t>Month Gap to 5</t>
        </is>
      </c>
      <c r="F6" s="3" t="inlineStr">
        <is>
          <t>Week Red Flags</t>
        </is>
      </c>
      <c r="G6" s="3" t="inlineStr">
        <is>
          <t>Month Red Flags</t>
        </is>
      </c>
      <c r="H6" s="3" t="inlineStr">
        <is>
          <t>Focus</t>
        </is>
      </c>
    </row>
    <row r="7">
      <c r="A7" s="4" t="inlineStr">
        <is>
          <t>Work at Height Control</t>
        </is>
      </c>
      <c r="B7" s="4">
        <f>IFERROR(AVERAGEIFS(Weekly_Inspections!$T$4:$T$996,Weekly_Inspections!$C$4:$C$996,$B$3),"")</f>
        <v/>
      </c>
      <c r="C7" s="4">
        <f>IFERROR(AVERAGEIFS(Weekly_Inspections!$T$4:$T$996,Weekly_Inspections!$D$4:$D$996,$B$4),"")</f>
        <v/>
      </c>
      <c r="D7" s="4">
        <f>IF(B7="","",5-B7)</f>
        <v/>
      </c>
      <c r="E7" s="4">
        <f>IF(C7="","",5-C7)</f>
        <v/>
      </c>
      <c r="F7" s="4">
        <f>COUNTIFS(Weekly_Inspections!$T$4:$T$996,"&lt;=1",Weekly_Inspections!$C$4:$C$996,$B$3)</f>
        <v/>
      </c>
      <c r="G7" s="4">
        <f>COUNTIFS(Weekly_Inspections!$T$4:$T$996,"&lt;=1",Weekly_Inspections!$D$4:$D$996,$B$4)</f>
        <v/>
      </c>
      <c r="H7" s="4">
        <f>IF(OR(D7&gt;=2,E7&gt;=2,F7&gt;0,G7&gt;0),"Priority Focus","Monitor")</f>
        <v/>
      </c>
    </row>
    <row r="8">
      <c r="A8" s="4" t="inlineStr">
        <is>
          <t>Edge Protection</t>
        </is>
      </c>
      <c r="B8" s="4">
        <f>IFERROR(AVERAGEIFS(Weekly_Inspections!$U$4:$U$996,Weekly_Inspections!$C$4:$C$996,$B$3),"")</f>
        <v/>
      </c>
      <c r="C8" s="4">
        <f>IFERROR(AVERAGEIFS(Weekly_Inspections!$U$4:$U$996,Weekly_Inspections!$D$4:$D$996,$B$4),"")</f>
        <v/>
      </c>
      <c r="D8" s="4">
        <f>IF(B8="","",5-B8)</f>
        <v/>
      </c>
      <c r="E8" s="4">
        <f>IF(C8="","",5-C8)</f>
        <v/>
      </c>
      <c r="F8" s="4">
        <f>""</f>
        <v/>
      </c>
      <c r="G8" s="4">
        <f>""</f>
        <v/>
      </c>
      <c r="H8" s="4">
        <f>IF(OR(D8&gt;=2,E8&gt;=2,F8&gt;0,G8&gt;0),"Priority Focus","Monitor")</f>
        <v/>
      </c>
    </row>
    <row r="9">
      <c r="A9" s="4" t="inlineStr">
        <is>
          <t>Falling Object Prevention</t>
        </is>
      </c>
      <c r="B9" s="4">
        <f>IFERROR(AVERAGEIFS(Weekly_Inspections!$V$4:$V$996,Weekly_Inspections!$C$4:$C$996,$B$3),"")</f>
        <v/>
      </c>
      <c r="C9" s="4">
        <f>IFERROR(AVERAGEIFS(Weekly_Inspections!$V$4:$V$996,Weekly_Inspections!$D$4:$D$996,$B$4),"")</f>
        <v/>
      </c>
      <c r="D9" s="4">
        <f>IF(B9="","",5-B9)</f>
        <v/>
      </c>
      <c r="E9" s="4">
        <f>IF(C9="","",5-C9)</f>
        <v/>
      </c>
      <c r="F9" s="4">
        <f>""</f>
        <v/>
      </c>
      <c r="G9" s="4">
        <f>""</f>
        <v/>
      </c>
      <c r="H9" s="4">
        <f>IF(OR(D9&gt;=2,E9&gt;=2,F9&gt;0,G9&gt;0),"Priority Focus","Monitor")</f>
        <v/>
      </c>
    </row>
    <row r="10">
      <c r="A10" s="5" t="inlineStr">
        <is>
          <t>Excavation Safety</t>
        </is>
      </c>
      <c r="B10" s="4">
        <f>IFERROR(AVERAGEIFS(Weekly_Inspections!$W$4:$W$996,Weekly_Inspections!$C$4:$C$996,$B$3),"")</f>
        <v/>
      </c>
      <c r="C10" s="4">
        <f>IFERROR(AVERAGEIFS(Weekly_Inspections!$W$4:$W$996,Weekly_Inspections!$D$4:$D$996,$B$4),"")</f>
        <v/>
      </c>
      <c r="D10" s="4">
        <f>IF(B10="","",5-B10)</f>
        <v/>
      </c>
      <c r="E10" s="4">
        <f>IF(C10="","",5-C10)</f>
        <v/>
      </c>
      <c r="F10" s="4">
        <f>COUNTIFS(Weekly_Inspections!$W$4:$W$996,"&lt;=1",Weekly_Inspections!$C$4:$C$996,$B$3)</f>
        <v/>
      </c>
      <c r="G10" s="4">
        <f>COUNTIFS(Weekly_Inspections!$W$4:$W$996,"&lt;=1",Weekly_Inspections!$D$4:$D$996,$B$4)</f>
        <v/>
      </c>
      <c r="H10" s="4">
        <f>IF(OR(D10&gt;=2,E10&gt;=2,F10&gt;0,G10&gt;0),"Priority Focus","Monitor")</f>
        <v/>
      </c>
    </row>
    <row r="11">
      <c r="A11" s="5" t="inlineStr">
        <is>
          <t>Scaffolding Compliance</t>
        </is>
      </c>
      <c r="B11" s="4">
        <f>IFERROR(AVERAGEIFS(Weekly_Inspections!$X$4:$X$996,Weekly_Inspections!$C$4:$C$996,$B$3),"")</f>
        <v/>
      </c>
      <c r="C11" s="4">
        <f>IFERROR(AVERAGEIFS(Weekly_Inspections!$X$4:$X$996,Weekly_Inspections!$D$4:$D$996,$B$4),"")</f>
        <v/>
      </c>
      <c r="D11" s="4">
        <f>IF(B11="","",5-B11)</f>
        <v/>
      </c>
      <c r="E11" s="4">
        <f>IF(C11="","",5-C11)</f>
        <v/>
      </c>
      <c r="F11" s="4">
        <f>COUNTIFS(Weekly_Inspections!$X$4:$X$996,"&lt;=1",Weekly_Inspections!$C$4:$C$996,$B$3)</f>
        <v/>
      </c>
      <c r="G11" s="4">
        <f>COUNTIFS(Weekly_Inspections!$X$4:$X$996,"&lt;=1",Weekly_Inspections!$D$4:$D$996,$B$4)</f>
        <v/>
      </c>
      <c r="H11" s="4">
        <f>IF(OR(D11&gt;=2,E11&gt;=2,F11&gt;0,G11&gt;0),"Priority Focus","Monitor")</f>
        <v/>
      </c>
    </row>
    <row r="12">
      <c r="A12" s="5" t="inlineStr">
        <is>
          <t>PTW Implementation</t>
        </is>
      </c>
      <c r="B12" s="4">
        <f>IFERROR(AVERAGEIFS(Weekly_Inspections!$Y$4:$Y$996,Weekly_Inspections!$C$4:$C$996,$B$3),"")</f>
        <v/>
      </c>
      <c r="C12" s="4">
        <f>IFERROR(AVERAGEIFS(Weekly_Inspections!$Y$4:$Y$996,Weekly_Inspections!$D$4:$D$996,$B$4),"")</f>
        <v/>
      </c>
      <c r="D12" s="4">
        <f>IF(B12="","",5-B12)</f>
        <v/>
      </c>
      <c r="E12" s="4">
        <f>IF(C12="","",5-C12)</f>
        <v/>
      </c>
      <c r="F12" s="4">
        <f>COUNTIFS(Weekly_Inspections!$Y$4:$Y$996,"&lt;=1",Weekly_Inspections!$C$4:$C$996,$B$3)</f>
        <v/>
      </c>
      <c r="G12" s="4">
        <f>COUNTIFS(Weekly_Inspections!$Y$4:$Y$996,"&lt;=1",Weekly_Inspections!$D$4:$D$996,$B$4)</f>
        <v/>
      </c>
      <c r="H12" s="4">
        <f>IF(OR(D12&gt;=2,E12&gt;=2,F12&gt;0,G12&gt;0),"Priority Focus","Monitor")</f>
        <v/>
      </c>
    </row>
    <row r="13">
      <c r="A13" s="5" t="inlineStr">
        <is>
          <t>PTW Field Verification</t>
        </is>
      </c>
      <c r="B13" s="4">
        <f>IFERROR(AVERAGEIFS(Weekly_Inspections!$Z$4:$Z$996,Weekly_Inspections!$C$4:$C$996,$B$3),"")</f>
        <v/>
      </c>
      <c r="C13" s="4">
        <f>IFERROR(AVERAGEIFS(Weekly_Inspections!$Z$4:$Z$996,Weekly_Inspections!$D$4:$D$996,$B$4),"")</f>
        <v/>
      </c>
      <c r="D13" s="4">
        <f>IF(B13="","",5-B13)</f>
        <v/>
      </c>
      <c r="E13" s="4">
        <f>IF(C13="","",5-C13)</f>
        <v/>
      </c>
      <c r="F13" s="4">
        <f>""</f>
        <v/>
      </c>
      <c r="G13" s="4">
        <f>""</f>
        <v/>
      </c>
      <c r="H13" s="4">
        <f>IF(OR(D13&gt;=2,E13&gt;=2,F13&gt;0,G13&gt;0),"Priority Focus","Monitor")</f>
        <v/>
      </c>
    </row>
    <row r="14">
      <c r="A14" s="5" t="inlineStr">
        <is>
          <t>MSRA Quality</t>
        </is>
      </c>
      <c r="B14" s="4">
        <f>IFERROR(AVERAGEIFS(Weekly_Inspections!$AA$4:$AA$996,Weekly_Inspections!$C$4:$C$996,$B$3),"")</f>
        <v/>
      </c>
      <c r="C14" s="4">
        <f>IFERROR(AVERAGEIFS(Weekly_Inspections!$AA$4:$AA$996,Weekly_Inspections!$D$4:$D$996,$B$4),"")</f>
        <v/>
      </c>
      <c r="D14" s="4">
        <f>IF(B14="","",5-B14)</f>
        <v/>
      </c>
      <c r="E14" s="4">
        <f>IF(C14="","",5-C14)</f>
        <v/>
      </c>
      <c r="F14" s="4">
        <f>""</f>
        <v/>
      </c>
      <c r="G14" s="4">
        <f>""</f>
        <v/>
      </c>
      <c r="H14" s="4">
        <f>IF(OR(D14&gt;=2,E14&gt;=2,F14&gt;0,G14&gt;0),"Priority Focus","Monitor")</f>
        <v/>
      </c>
    </row>
    <row r="15">
      <c r="A15" s="5" t="inlineStr">
        <is>
          <t>Lifting/Precast Installation</t>
        </is>
      </c>
      <c r="B15" s="4">
        <f>IFERROR(AVERAGEIFS(Weekly_Inspections!$AB$4:$AB$996,Weekly_Inspections!$C$4:$C$996,$B$3),"")</f>
        <v/>
      </c>
      <c r="C15" s="4">
        <f>IFERROR(AVERAGEIFS(Weekly_Inspections!$AB$4:$AB$996,Weekly_Inspections!$D$4:$D$996,$B$4),"")</f>
        <v/>
      </c>
      <c r="D15" s="4">
        <f>IF(B15="","",5-B15)</f>
        <v/>
      </c>
      <c r="E15" s="4">
        <f>IF(C15="","",5-C15)</f>
        <v/>
      </c>
      <c r="F15" s="4">
        <f>COUNTIFS(Weekly_Inspections!$AB$4:$AB$996,"&lt;=1",Weekly_Inspections!$C$4:$C$996,$B$3)</f>
        <v/>
      </c>
      <c r="G15" s="4">
        <f>COUNTIFS(Weekly_Inspections!$AB$4:$AB$996,"&lt;=1",Weekly_Inspections!$D$4:$D$996,$B$4)</f>
        <v/>
      </c>
      <c r="H15" s="4">
        <f>IF(OR(D15&gt;=2,E15&gt;=2,F15&gt;0,G15&gt;0),"Priority Focus","Monitor")</f>
        <v/>
      </c>
    </row>
    <row r="16">
      <c r="A16" s="5" t="inlineStr">
        <is>
          <t>Traffic &amp; Man-Machine Interface</t>
        </is>
      </c>
      <c r="B16" s="4">
        <f>IFERROR(AVERAGEIFS(Weekly_Inspections!$AC$4:$AC$996,Weekly_Inspections!$C$4:$C$996,$B$3),"")</f>
        <v/>
      </c>
      <c r="C16" s="4">
        <f>IFERROR(AVERAGEIFS(Weekly_Inspections!$AC$4:$AC$996,Weekly_Inspections!$D$4:$D$996,$B$4),"")</f>
        <v/>
      </c>
      <c r="D16" s="4">
        <f>IF(B16="","",5-B16)</f>
        <v/>
      </c>
      <c r="E16" s="4">
        <f>IF(C16="","",5-C16)</f>
        <v/>
      </c>
      <c r="F16" s="4">
        <f>""</f>
        <v/>
      </c>
      <c r="G16" s="4">
        <f>""</f>
        <v/>
      </c>
      <c r="H16" s="4">
        <f>IF(OR(D16&gt;=2,E16&gt;=2,F16&gt;0,G16&gt;0),"Priority Focus","Monitor")</f>
        <v/>
      </c>
    </row>
    <row r="17">
      <c r="A17" s="5" t="inlineStr">
        <is>
          <t>Housekeeping/Waste Management</t>
        </is>
      </c>
      <c r="B17" s="4">
        <f>IFERROR(AVERAGEIFS(Weekly_Inspections!$AD$4:$AD$996,Weekly_Inspections!$C$4:$C$996,$B$3),"")</f>
        <v/>
      </c>
      <c r="C17" s="4">
        <f>IFERROR(AVERAGEIFS(Weekly_Inspections!$AD$4:$AD$996,Weekly_Inspections!$D$4:$D$996,$B$4),"")</f>
        <v/>
      </c>
      <c r="D17" s="4">
        <f>IF(B17="","",5-B17)</f>
        <v/>
      </c>
      <c r="E17" s="4">
        <f>IF(C17="","",5-C17)</f>
        <v/>
      </c>
      <c r="F17" s="4">
        <f>""</f>
        <v/>
      </c>
      <c r="G17" s="4">
        <f>""</f>
        <v/>
      </c>
      <c r="H17" s="4">
        <f>IF(OR(D17&gt;=2,E17&gt;=2,F17&gt;0,G17&gt;0),"Priority Focus","Monitor")</f>
        <v/>
      </c>
    </row>
    <row r="18">
      <c r="A18" s="5" t="inlineStr">
        <is>
          <t>Welfare Arrangement</t>
        </is>
      </c>
      <c r="B18" s="4">
        <f>IFERROR(AVERAGEIFS(Weekly_Inspections!$AE$4:$AE$996,Weekly_Inspections!$C$4:$C$996,$B$3),"")</f>
        <v/>
      </c>
      <c r="C18" s="4">
        <f>IFERROR(AVERAGEIFS(Weekly_Inspections!$AE$4:$AE$996,Weekly_Inspections!$D$4:$D$996,$B$4),"")</f>
        <v/>
      </c>
      <c r="D18" s="4">
        <f>IF(B18="","",5-B18)</f>
        <v/>
      </c>
      <c r="E18" s="4">
        <f>IF(C18="","",5-C18)</f>
        <v/>
      </c>
      <c r="F18" s="4">
        <f>""</f>
        <v/>
      </c>
      <c r="G18" s="4">
        <f>""</f>
        <v/>
      </c>
      <c r="H18" s="4">
        <f>IF(OR(D18&gt;=2,E18&gt;=2,F18&gt;0,G18&gt;0),"Priority Focus","Monitor")</f>
        <v/>
      </c>
    </row>
    <row r="19">
      <c r="A19" s="5" t="inlineStr">
        <is>
          <t>Fire Readiness</t>
        </is>
      </c>
      <c r="B19" s="4">
        <f>IFERROR(AVERAGEIFS(Weekly_Inspections!$AF$4:$AF$996,Weekly_Inspections!$C$4:$C$996,$B$3),"")</f>
        <v/>
      </c>
      <c r="C19" s="4">
        <f>IFERROR(AVERAGEIFS(Weekly_Inspections!$AF$4:$AF$996,Weekly_Inspections!$D$4:$D$996,$B$4),"")</f>
        <v/>
      </c>
      <c r="D19" s="4">
        <f>IF(B19="","",5-B19)</f>
        <v/>
      </c>
      <c r="E19" s="4">
        <f>IF(C19="","",5-C19)</f>
        <v/>
      </c>
      <c r="F19" s="4">
        <f>""</f>
        <v/>
      </c>
      <c r="G19" s="4">
        <f>""</f>
        <v/>
      </c>
      <c r="H19" s="4">
        <f>IF(OR(D19&gt;=2,E19&gt;=2,F19&gt;0,G19&gt;0),"Priority Focus","Monitor")</f>
        <v/>
      </c>
    </row>
    <row r="20">
      <c r="A20" s="4" t="inlineStr">
        <is>
          <t>Supervision &amp; Subcontractor Control</t>
        </is>
      </c>
      <c r="B20" s="4">
        <f>IFERROR(AVERAGEIFS(Weekly_Inspections!$AG$4:$AG$996,Weekly_Inspections!$C$4:$C$996,$B$3),"")</f>
        <v/>
      </c>
      <c r="C20" s="4">
        <f>IFERROR(AVERAGEIFS(Weekly_Inspections!$AG$4:$AG$996,Weekly_Inspections!$D$4:$D$996,$B$4),"")</f>
        <v/>
      </c>
      <c r="D20" s="4">
        <f>IF(B20="","",5-B20)</f>
        <v/>
      </c>
      <c r="E20" s="4">
        <f>IF(C20="","",5-C20)</f>
        <v/>
      </c>
      <c r="F20" s="4">
        <f>""</f>
        <v/>
      </c>
      <c r="G20" s="4">
        <f>""</f>
        <v/>
      </c>
      <c r="H20" s="4">
        <f>IF(OR(D20&gt;=2,E20&gt;=2,F20&gt;0,G20&gt;0),"Priority Focus","Monitor")</f>
        <v/>
      </c>
    </row>
    <row r="21">
      <c r="A21" s="4" t="inlineStr">
        <is>
          <t>Temporary Electrical &amp; Tool Safety</t>
        </is>
      </c>
      <c r="B21" s="4">
        <f>IFERROR(AVERAGEIFS(Weekly_Inspections!$AH$4:$AH$996,Weekly_Inspections!$C$4:$C$996,$B$3),"")</f>
        <v/>
      </c>
      <c r="C21" s="4">
        <f>IFERROR(AVERAGEIFS(Weekly_Inspections!$AH$4:$AH$996,Weekly_Inspections!$D$4:$D$996,$B$4),"")</f>
        <v/>
      </c>
      <c r="D21" s="4">
        <f>IF(B21="","",5-B21)</f>
        <v/>
      </c>
      <c r="E21" s="4">
        <f>IF(C21="","",5-C21)</f>
        <v/>
      </c>
      <c r="F21" s="4">
        <f>""</f>
        <v/>
      </c>
      <c r="G21" s="4">
        <f>""</f>
        <v/>
      </c>
      <c r="H21" s="4">
        <f>IF(OR(D21&gt;=2,E21&gt;=2,F21&gt;0,G21&gt;0),"Priority Focus","Monitor")</f>
        <v/>
      </c>
    </row>
    <row r="22"/>
    <row r="23"/>
    <row r="24">
      <c r="A24" s="3" t="inlineStr">
        <is>
          <t>Root Cause</t>
        </is>
      </c>
      <c r="B24" s="3" t="inlineStr">
        <is>
          <t>Week Count</t>
        </is>
      </c>
      <c r="C24" s="3" t="inlineStr">
        <is>
          <t>Month Count</t>
        </is>
      </c>
      <c r="D24" s="3" t="inlineStr">
        <is>
          <t>Comment</t>
        </is>
      </c>
    </row>
    <row r="25">
      <c r="A25" s="4" t="inlineStr">
        <is>
          <t>Leadership failure</t>
        </is>
      </c>
      <c r="B25" s="4">
        <f>COUNTIFS(Weekly_Inspections!$AP$4:$AP$996,$A25,Weekly_Inspections!$C$4:$C$996,$B$3)</f>
        <v/>
      </c>
      <c r="C25" s="4">
        <f>COUNTIFS(Weekly_Inspections!$AP$4:$AP$996,$A25,Weekly_Inspections!$D$4:$D$996,$B$4)</f>
        <v/>
      </c>
      <c r="D25" s="4">
        <f>IF(OR(B25&gt;=2,C25&gt;=3),"Escalate leadership focus","Track")</f>
        <v/>
      </c>
    </row>
    <row r="26">
      <c r="A26" s="4" t="inlineStr">
        <is>
          <t>Poor supervision</t>
        </is>
      </c>
      <c r="B26" s="4">
        <f>COUNTIFS(Weekly_Inspections!$AP$4:$AP$996,$A26,Weekly_Inspections!$C$4:$C$996,$B$3)</f>
        <v/>
      </c>
      <c r="C26" s="4">
        <f>COUNTIFS(Weekly_Inspections!$AP$4:$AP$996,$A26,Weekly_Inspections!$D$4:$D$996,$B$4)</f>
        <v/>
      </c>
      <c r="D26" s="4">
        <f>IF(OR(B26&gt;=2,C26&gt;=3),"Escalate leadership focus","Track")</f>
        <v/>
      </c>
    </row>
    <row r="27">
      <c r="A27" s="4" t="inlineStr">
        <is>
          <t>Poor planning</t>
        </is>
      </c>
      <c r="B27" s="4">
        <f>COUNTIFS(Weekly_Inspections!$AP$4:$AP$996,$A27,Weekly_Inspections!$C$4:$C$996,$B$3)</f>
        <v/>
      </c>
      <c r="C27" s="4">
        <f>COUNTIFS(Weekly_Inspections!$AP$4:$AP$996,$A27,Weekly_Inspections!$D$4:$D$996,$B$4)</f>
        <v/>
      </c>
      <c r="D27" s="4">
        <f>IF(OR(B27&gt;=2,C27&gt;=3),"Escalate leadership focus","Track")</f>
        <v/>
      </c>
    </row>
    <row r="28">
      <c r="A28" s="4" t="inlineStr">
        <is>
          <t>PTW failure</t>
        </is>
      </c>
      <c r="B28" s="4">
        <f>COUNTIFS(Weekly_Inspections!$AP$4:$AP$996,$A28,Weekly_Inspections!$C$4:$C$996,$B$3)</f>
        <v/>
      </c>
      <c r="C28" s="4">
        <f>COUNTIFS(Weekly_Inspections!$AP$4:$AP$996,$A28,Weekly_Inspections!$D$4:$D$996,$B$4)</f>
        <v/>
      </c>
      <c r="D28" s="4">
        <f>IF(OR(B28&gt;=2,C28&gt;=3),"Escalate leadership focus","Track")</f>
        <v/>
      </c>
    </row>
    <row r="29">
      <c r="A29" s="4" t="inlineStr">
        <is>
          <t>Weak MSRA</t>
        </is>
      </c>
      <c r="B29" s="4">
        <f>COUNTIFS(Weekly_Inspections!$AP$4:$AP$996,$A29,Weekly_Inspections!$C$4:$C$996,$B$3)</f>
        <v/>
      </c>
      <c r="C29" s="4">
        <f>COUNTIFS(Weekly_Inspections!$AP$4:$AP$996,$A29,Weekly_Inspections!$D$4:$D$996,$B$4)</f>
        <v/>
      </c>
      <c r="D29" s="4">
        <f>IF(OR(B29&gt;=2,C29&gt;=3),"Escalate leadership focus","Track")</f>
        <v/>
      </c>
    </row>
    <row r="30">
      <c r="A30" s="4" t="inlineStr">
        <is>
          <t>Poor subcontractor control</t>
        </is>
      </c>
      <c r="B30" s="4">
        <f>COUNTIFS(Weekly_Inspections!$AP$4:$AP$996,$A30,Weekly_Inspections!$C$4:$C$996,$B$3)</f>
        <v/>
      </c>
      <c r="C30" s="4">
        <f>COUNTIFS(Weekly_Inspections!$AP$4:$AP$996,$A30,Weekly_Inspections!$D$4:$D$996,$B$4)</f>
        <v/>
      </c>
      <c r="D30" s="4">
        <f>IF(OR(B30&gt;=2,C30&gt;=3),"Escalate leadership focus","Track")</f>
        <v/>
      </c>
    </row>
    <row r="31">
      <c r="A31" s="4" t="inlineStr">
        <is>
          <t>Resource constraint</t>
        </is>
      </c>
      <c r="B31" s="4">
        <f>COUNTIFS(Weekly_Inspections!$AP$4:$AP$996,$A31,Weekly_Inspections!$C$4:$C$996,$B$3)</f>
        <v/>
      </c>
      <c r="C31" s="4">
        <f>COUNTIFS(Weekly_Inspections!$AP$4:$AP$996,$A31,Weekly_Inspections!$D$4:$D$996,$B$4)</f>
        <v/>
      </c>
      <c r="D31" s="4">
        <f>IF(OR(B31&gt;=2,C31&gt;=3),"Escalate leadership focus","Track")</f>
        <v/>
      </c>
    </row>
    <row r="32">
      <c r="A32" s="4" t="inlineStr">
        <is>
          <t>Inadequate competence</t>
        </is>
      </c>
      <c r="B32" s="4">
        <f>COUNTIFS(Weekly_Inspections!$AP$4:$AP$996,$A32,Weekly_Inspections!$C$4:$C$996,$B$3)</f>
        <v/>
      </c>
      <c r="C32" s="4">
        <f>COUNTIFS(Weekly_Inspections!$AP$4:$AP$996,$A32,Weekly_Inspections!$D$4:$D$996,$B$4)</f>
        <v/>
      </c>
      <c r="D32" s="4">
        <f>IF(OR(B32&gt;=2,C32&gt;=3),"Escalate leadership focus","Track")</f>
        <v/>
      </c>
    </row>
    <row r="33">
      <c r="A33" s="4" t="inlineStr">
        <is>
          <t>Poor housekeeping culture</t>
        </is>
      </c>
      <c r="B33" s="4">
        <f>COUNTIFS(Weekly_Inspections!$AP$4:$AP$996,$A33,Weekly_Inspections!$C$4:$C$996,$B$3)</f>
        <v/>
      </c>
      <c r="C33" s="4">
        <f>COUNTIFS(Weekly_Inspections!$AP$4:$AP$996,$A33,Weekly_Inspections!$D$4:$D$996,$B$4)</f>
        <v/>
      </c>
      <c r="D33" s="4">
        <f>IF(OR(B33&gt;=2,C33&gt;=3),"Escalate leadership focus","Track")</f>
        <v/>
      </c>
    </row>
    <row r="34">
      <c r="A34" s="4" t="inlineStr">
        <is>
          <t>Interface / simultaneous activity conflict</t>
        </is>
      </c>
      <c r="B34" s="4">
        <f>COUNTIFS(Weekly_Inspections!$AP$4:$AP$996,$A34,Weekly_Inspections!$C$4:$C$996,$B$3)</f>
        <v/>
      </c>
      <c r="C34" s="4">
        <f>COUNTIFS(Weekly_Inspections!$AP$4:$AP$996,$A34,Weekly_Inspections!$D$4:$D$996,$B$4)</f>
        <v/>
      </c>
      <c r="D34" s="4">
        <f>IF(OR(B34&gt;=2,C34&gt;=3),"Escalate leadership focus","Track")</f>
        <v/>
      </c>
    </row>
    <row r="35">
      <c r="A35" s="4" t="inlineStr">
        <is>
          <t>Other</t>
        </is>
      </c>
      <c r="B35" s="4">
        <f>COUNTIFS(Weekly_Inspections!$AP$4:$AP$996,$A35,Weekly_Inspections!$C$4:$C$996,$B$3)</f>
        <v/>
      </c>
      <c r="C35" s="4">
        <f>COUNTIFS(Weekly_Inspections!$AP$4:$AP$996,$A35,Weekly_Inspections!$D$4:$D$996,$B$4)</f>
        <v/>
      </c>
      <c r="D35" s="4">
        <f>IF(OR(B35&gt;=2,C35&gt;=3),"Escalate leadership focus","Track")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4" customWidth="1" min="5" max="5"/>
    <col width="18" customWidth="1" min="6" max="6"/>
    <col width="24" customWidth="1" min="7" max="7"/>
    <col width="22" customWidth="1" min="8" max="8"/>
    <col width="24" customWidth="1" min="9" max="9"/>
    <col width="26" customWidth="1" min="10" max="10"/>
    <col width="20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  <col width="18" customWidth="1" min="17" max="17"/>
    <col hidden="1" width="13" customWidth="1" min="20" max="20"/>
  </cols>
  <sheetData>
    <row r="1">
      <c r="A1" s="1" t="inlineStr">
        <is>
          <t>Corrective and Preventive Action (CAPA) Tracker</t>
        </is>
      </c>
    </row>
    <row r="2">
      <c r="A2" s="2" t="inlineStr">
        <is>
          <t>Automated from Weekly_Inspections. Close Date and Status can be updated manually when an action is fully verified closed.</t>
        </is>
      </c>
    </row>
    <row r="3">
      <c r="A3" s="3" t="inlineStr">
        <is>
          <t>Action_ID</t>
        </is>
      </c>
      <c r="B3" s="3" t="inlineStr">
        <is>
          <t>Date_Raised</t>
        </is>
      </c>
      <c r="C3" s="3" t="inlineStr">
        <is>
          <t>Package</t>
        </is>
      </c>
      <c r="D3" s="3" t="inlineStr">
        <is>
          <t>Cluster</t>
        </is>
      </c>
      <c r="E3" s="3" t="inlineStr">
        <is>
          <t>Contractor</t>
        </is>
      </c>
      <c r="F3" s="3" t="inlineStr">
        <is>
          <t>KPI_Area</t>
        </is>
      </c>
      <c r="G3" s="3" t="inlineStr">
        <is>
          <t>Finding</t>
        </is>
      </c>
      <c r="H3" s="3" t="inlineStr">
        <is>
          <t>Root_Cause</t>
        </is>
      </c>
      <c r="I3" s="3" t="inlineStr">
        <is>
          <t>Immediate_Action</t>
        </is>
      </c>
      <c r="J3" s="3" t="inlineStr">
        <is>
          <t>Preventive_Action</t>
        </is>
      </c>
      <c r="K3" s="3" t="inlineStr">
        <is>
          <t>Action_Owner</t>
        </is>
      </c>
      <c r="L3" s="3" t="inlineStr">
        <is>
          <t>Target_Date</t>
        </is>
      </c>
      <c r="M3" s="3" t="inlineStr">
        <is>
          <t>Status</t>
        </is>
      </c>
      <c r="N3" s="3" t="inlineStr">
        <is>
          <t>Close_Date</t>
        </is>
      </c>
      <c r="O3" s="3" t="inlineStr">
        <is>
          <t>Days_Open</t>
        </is>
      </c>
      <c r="P3" s="3" t="inlineStr">
        <is>
          <t>Overdue_Flag</t>
        </is>
      </c>
      <c r="Q3" s="3" t="inlineStr">
        <is>
          <t>Evidence_Link</t>
        </is>
      </c>
      <c r="T3" s="2" t="inlineStr">
        <is>
          <t>Helper_Row_Index</t>
        </is>
      </c>
    </row>
    <row r="4">
      <c r="A4" s="4">
        <f>IF($T4="","","CAPA-"&amp;TEXT($T4,"000"))</f>
        <v/>
      </c>
      <c r="B4" s="17">
        <f>IF($T4="","",INDEX(Weekly_Inspections!$B$4:$B$996,$T4))</f>
        <v/>
      </c>
      <c r="C4" s="4">
        <f>IF($T4="","",INDEX(Weekly_Inspections!$E$4:$E$996,$T4))</f>
        <v/>
      </c>
      <c r="D4" s="4">
        <f>IF($T4="","",INDEX(Weekly_Inspections!$F$4:$F$996,$T4))</f>
        <v/>
      </c>
      <c r="E4" s="4">
        <f>IF($T4="","",INDEX(Weekly_Inspections!$H$4:$H$996,$T4))</f>
        <v/>
      </c>
      <c r="F4" s="4">
        <f>IF($T4="","",INDEX(Weekly_Inspections!$R$4:$R$996,$T4))</f>
        <v/>
      </c>
      <c r="G4" s="4">
        <f>IF($T4="","",INDEX(Weekly_Inspections!$AQ$4:$AQ$996,$T4))</f>
        <v/>
      </c>
      <c r="H4" s="4">
        <f>IF($T4="","",INDEX(Weekly_Inspections!$AP$4:$AP$996,$T4))</f>
        <v/>
      </c>
      <c r="I4" s="4">
        <f>IF($T4="","",INDEX(Weekly_Inspections!$AR$4:$AR$996,$T4))</f>
        <v/>
      </c>
      <c r="J4" s="4">
        <f>IF($T4="","",INDEX(Weekly_Inspections!$AS$4:$AS$996,$T4))</f>
        <v/>
      </c>
      <c r="K4" s="4">
        <f>IF($T4="","",INDEX(Weekly_Inspections!$AU$4:$AU$996,$T4))</f>
        <v/>
      </c>
      <c r="L4" s="17">
        <f>IF($T4="","",INDEX(Weekly_Inspections!$AV$4:$AV$996,$T4))</f>
        <v/>
      </c>
      <c r="M4" s="9">
        <f>IF($T4="","","Open")</f>
        <v/>
      </c>
      <c r="N4" s="8" t="n"/>
      <c r="O4" s="4">
        <f>IF(A4="","",IF(N4&lt;&gt;"",N4-B4,TODAY()-B4))</f>
        <v/>
      </c>
      <c r="P4" s="4">
        <f>IF(A4="","",IF(AND(M4&lt;&gt;"Closed",L4&lt;TODAY()),"YES","NO"))</f>
        <v/>
      </c>
      <c r="Q4" s="4">
        <f>IF($T4="","",INDEX(Weekly_Inspections!$AW$4:$AW$996,$T4))</f>
        <v/>
      </c>
      <c r="T4" s="2">
        <f>IFERROR(AGGREGATE(15,6,(ROW(Weekly_Inspections!$AS$4:$AS$996)-ROW(Weekly_Inspections!$AS$4)+1)/(((Weekly_Inspections!$AS$4:$AS$996&lt;&gt;"")+(Weekly_Inspections!$AQ$4:$AQ$996&lt;&gt;""))&gt;0),ROWS($T$4:T4)),"")</f>
        <v/>
      </c>
    </row>
    <row r="5">
      <c r="A5" s="4">
        <f>IF($T5="","","CAPA-"&amp;TEXT($T5,"000"))</f>
        <v/>
      </c>
      <c r="B5" s="17">
        <f>IF($T5="","",INDEX(Weekly_Inspections!$B$4:$B$996,$T5))</f>
        <v/>
      </c>
      <c r="C5" s="4">
        <f>IF($T5="","",INDEX(Weekly_Inspections!$E$4:$E$996,$T5))</f>
        <v/>
      </c>
      <c r="D5" s="4">
        <f>IF($T5="","",INDEX(Weekly_Inspections!$F$4:$F$996,$T5))</f>
        <v/>
      </c>
      <c r="E5" s="4">
        <f>IF($T5="","",INDEX(Weekly_Inspections!$H$4:$H$996,$T5))</f>
        <v/>
      </c>
      <c r="F5" s="4">
        <f>IF($T5="","",INDEX(Weekly_Inspections!$R$4:$R$996,$T5))</f>
        <v/>
      </c>
      <c r="G5" s="4">
        <f>IF($T5="","",INDEX(Weekly_Inspections!$AQ$4:$AQ$996,$T5))</f>
        <v/>
      </c>
      <c r="H5" s="4">
        <f>IF($T5="","",INDEX(Weekly_Inspections!$AP$4:$AP$996,$T5))</f>
        <v/>
      </c>
      <c r="I5" s="4">
        <f>IF($T5="","",INDEX(Weekly_Inspections!$AR$4:$AR$996,$T5))</f>
        <v/>
      </c>
      <c r="J5" s="4">
        <f>IF($T5="","",INDEX(Weekly_Inspections!$AS$4:$AS$996,$T5))</f>
        <v/>
      </c>
      <c r="K5" s="4">
        <f>IF($T5="","",INDEX(Weekly_Inspections!$AU$4:$AU$996,$T5))</f>
        <v/>
      </c>
      <c r="L5" s="17">
        <f>IF($T5="","",INDEX(Weekly_Inspections!$AV$4:$AV$996,$T5))</f>
        <v/>
      </c>
      <c r="M5" s="9">
        <f>IF($T5="","","Open")</f>
        <v/>
      </c>
      <c r="N5" s="8" t="n"/>
      <c r="O5" s="4">
        <f>IF(A5="","",IF(N5&lt;&gt;"",N5-B5,TODAY()-B5))</f>
        <v/>
      </c>
      <c r="P5" s="4">
        <f>IF(A5="","",IF(AND(M5&lt;&gt;"Closed",L5&lt;TODAY()),"YES","NO"))</f>
        <v/>
      </c>
      <c r="Q5" s="4">
        <f>IF($T5="","",INDEX(Weekly_Inspections!$AW$4:$AW$996,$T5))</f>
        <v/>
      </c>
      <c r="T5" s="2">
        <f>IFERROR(AGGREGATE(15,6,(ROW(Weekly_Inspections!$AS$4:$AS$996)-ROW(Weekly_Inspections!$AS$4)+1)/(((Weekly_Inspections!$AS$4:$AS$996&lt;&gt;"")+(Weekly_Inspections!$AQ$4:$AQ$996&lt;&gt;""))&gt;0),ROWS($T$4:T5)),"")</f>
        <v/>
      </c>
    </row>
    <row r="6">
      <c r="A6" s="4">
        <f>IF($T6="","","CAPA-"&amp;TEXT($T6,"000"))</f>
        <v/>
      </c>
      <c r="B6" s="17">
        <f>IF($T6="","",INDEX(Weekly_Inspections!$B$4:$B$996,$T6))</f>
        <v/>
      </c>
      <c r="C6" s="4">
        <f>IF($T6="","",INDEX(Weekly_Inspections!$E$4:$E$996,$T6))</f>
        <v/>
      </c>
      <c r="D6" s="4">
        <f>IF($T6="","",INDEX(Weekly_Inspections!$F$4:$F$996,$T6))</f>
        <v/>
      </c>
      <c r="E6" s="4">
        <f>IF($T6="","",INDEX(Weekly_Inspections!$H$4:$H$996,$T6))</f>
        <v/>
      </c>
      <c r="F6" s="4">
        <f>IF($T6="","",INDEX(Weekly_Inspections!$R$4:$R$996,$T6))</f>
        <v/>
      </c>
      <c r="G6" s="4">
        <f>IF($T6="","",INDEX(Weekly_Inspections!$AQ$4:$AQ$996,$T6))</f>
        <v/>
      </c>
      <c r="H6" s="4">
        <f>IF($T6="","",INDEX(Weekly_Inspections!$AP$4:$AP$996,$T6))</f>
        <v/>
      </c>
      <c r="I6" s="4">
        <f>IF($T6="","",INDEX(Weekly_Inspections!$AR$4:$AR$996,$T6))</f>
        <v/>
      </c>
      <c r="J6" s="4">
        <f>IF($T6="","",INDEX(Weekly_Inspections!$AS$4:$AS$996,$T6))</f>
        <v/>
      </c>
      <c r="K6" s="4">
        <f>IF($T6="","",INDEX(Weekly_Inspections!$AU$4:$AU$996,$T6))</f>
        <v/>
      </c>
      <c r="L6" s="17">
        <f>IF($T6="","",INDEX(Weekly_Inspections!$AV$4:$AV$996,$T6))</f>
        <v/>
      </c>
      <c r="M6" s="9">
        <f>IF($T6="","","Open")</f>
        <v/>
      </c>
      <c r="N6" s="8" t="n"/>
      <c r="O6" s="4">
        <f>IF(A6="","",IF(N6&lt;&gt;"",N6-B6,TODAY()-B6))</f>
        <v/>
      </c>
      <c r="P6" s="4">
        <f>IF(A6="","",IF(AND(M6&lt;&gt;"Closed",L6&lt;TODAY()),"YES","NO"))</f>
        <v/>
      </c>
      <c r="Q6" s="4">
        <f>IF($T6="","",INDEX(Weekly_Inspections!$AW$4:$AW$996,$T6))</f>
        <v/>
      </c>
      <c r="T6" s="2">
        <f>IFERROR(AGGREGATE(15,6,(ROW(Weekly_Inspections!$AS$4:$AS$996)-ROW(Weekly_Inspections!$AS$4)+1)/(((Weekly_Inspections!$AS$4:$AS$996&lt;&gt;"")+(Weekly_Inspections!$AQ$4:$AQ$996&lt;&gt;""))&gt;0),ROWS($T$4:T6)),"")</f>
        <v/>
      </c>
    </row>
    <row r="7">
      <c r="A7" s="4">
        <f>IF($T7="","","CAPA-"&amp;TEXT($T7,"000"))</f>
        <v/>
      </c>
      <c r="B7" s="17">
        <f>IF($T7="","",INDEX(Weekly_Inspections!$B$4:$B$996,$T7))</f>
        <v/>
      </c>
      <c r="C7" s="4">
        <f>IF($T7="","",INDEX(Weekly_Inspections!$E$4:$E$996,$T7))</f>
        <v/>
      </c>
      <c r="D7" s="4">
        <f>IF($T7="","",INDEX(Weekly_Inspections!$F$4:$F$996,$T7))</f>
        <v/>
      </c>
      <c r="E7" s="4">
        <f>IF($T7="","",INDEX(Weekly_Inspections!$H$4:$H$996,$T7))</f>
        <v/>
      </c>
      <c r="F7" s="4">
        <f>IF($T7="","",INDEX(Weekly_Inspections!$R$4:$R$996,$T7))</f>
        <v/>
      </c>
      <c r="G7" s="4">
        <f>IF($T7="","",INDEX(Weekly_Inspections!$AQ$4:$AQ$996,$T7))</f>
        <v/>
      </c>
      <c r="H7" s="4">
        <f>IF($T7="","",INDEX(Weekly_Inspections!$AP$4:$AP$996,$T7))</f>
        <v/>
      </c>
      <c r="I7" s="4">
        <f>IF($T7="","",INDEX(Weekly_Inspections!$AR$4:$AR$996,$T7))</f>
        <v/>
      </c>
      <c r="J7" s="4">
        <f>IF($T7="","",INDEX(Weekly_Inspections!$AS$4:$AS$996,$T7))</f>
        <v/>
      </c>
      <c r="K7" s="4">
        <f>IF($T7="","",INDEX(Weekly_Inspections!$AU$4:$AU$996,$T7))</f>
        <v/>
      </c>
      <c r="L7" s="17">
        <f>IF($T7="","",INDEX(Weekly_Inspections!$AV$4:$AV$996,$T7))</f>
        <v/>
      </c>
      <c r="M7" s="9">
        <f>IF($T7="","","Open")</f>
        <v/>
      </c>
      <c r="N7" s="8" t="n"/>
      <c r="O7" s="4">
        <f>IF(A7="","",IF(N7&lt;&gt;"",N7-B7,TODAY()-B7))</f>
        <v/>
      </c>
      <c r="P7" s="4">
        <f>IF(A7="","",IF(AND(M7&lt;&gt;"Closed",L7&lt;TODAY()),"YES","NO"))</f>
        <v/>
      </c>
      <c r="Q7" s="4">
        <f>IF($T7="","",INDEX(Weekly_Inspections!$AW$4:$AW$996,$T7))</f>
        <v/>
      </c>
      <c r="T7" s="2">
        <f>IFERROR(AGGREGATE(15,6,(ROW(Weekly_Inspections!$AS$4:$AS$996)-ROW(Weekly_Inspections!$AS$4)+1)/(((Weekly_Inspections!$AS$4:$AS$996&lt;&gt;"")+(Weekly_Inspections!$AQ$4:$AQ$996&lt;&gt;""))&gt;0),ROWS($T$4:T7)),"")</f>
        <v/>
      </c>
    </row>
    <row r="8">
      <c r="A8" s="4">
        <f>IF($T8="","","CAPA-"&amp;TEXT($T8,"000"))</f>
        <v/>
      </c>
      <c r="B8" s="17">
        <f>IF($T8="","",INDEX(Weekly_Inspections!$B$4:$B$996,$T8))</f>
        <v/>
      </c>
      <c r="C8" s="4">
        <f>IF($T8="","",INDEX(Weekly_Inspections!$E$4:$E$996,$T8))</f>
        <v/>
      </c>
      <c r="D8" s="4">
        <f>IF($T8="","",INDEX(Weekly_Inspections!$F$4:$F$996,$T8))</f>
        <v/>
      </c>
      <c r="E8" s="4">
        <f>IF($T8="","",INDEX(Weekly_Inspections!$H$4:$H$996,$T8))</f>
        <v/>
      </c>
      <c r="F8" s="4">
        <f>IF($T8="","",INDEX(Weekly_Inspections!$R$4:$R$996,$T8))</f>
        <v/>
      </c>
      <c r="G8" s="4">
        <f>IF($T8="","",INDEX(Weekly_Inspections!$AQ$4:$AQ$996,$T8))</f>
        <v/>
      </c>
      <c r="H8" s="4">
        <f>IF($T8="","",INDEX(Weekly_Inspections!$AP$4:$AP$996,$T8))</f>
        <v/>
      </c>
      <c r="I8" s="4">
        <f>IF($T8="","",INDEX(Weekly_Inspections!$AR$4:$AR$996,$T8))</f>
        <v/>
      </c>
      <c r="J8" s="4">
        <f>IF($T8="","",INDEX(Weekly_Inspections!$AS$4:$AS$996,$T8))</f>
        <v/>
      </c>
      <c r="K8" s="4">
        <f>IF($T8="","",INDEX(Weekly_Inspections!$AU$4:$AU$996,$T8))</f>
        <v/>
      </c>
      <c r="L8" s="17">
        <f>IF($T8="","",INDEX(Weekly_Inspections!$AV$4:$AV$996,$T8))</f>
        <v/>
      </c>
      <c r="M8" s="9">
        <f>IF($T8="","","Open")</f>
        <v/>
      </c>
      <c r="N8" s="8" t="n"/>
      <c r="O8" s="4">
        <f>IF(A8="","",IF(N8&lt;&gt;"",N8-B8,TODAY()-B8))</f>
        <v/>
      </c>
      <c r="P8" s="4">
        <f>IF(A8="","",IF(AND(M8&lt;&gt;"Closed",L8&lt;TODAY()),"YES","NO"))</f>
        <v/>
      </c>
      <c r="Q8" s="4">
        <f>IF($T8="","",INDEX(Weekly_Inspections!$AW$4:$AW$996,$T8))</f>
        <v/>
      </c>
      <c r="T8" s="2">
        <f>IFERROR(AGGREGATE(15,6,(ROW(Weekly_Inspections!$AS$4:$AS$996)-ROW(Weekly_Inspections!$AS$4)+1)/(((Weekly_Inspections!$AS$4:$AS$996&lt;&gt;"")+(Weekly_Inspections!$AQ$4:$AQ$996&lt;&gt;""))&gt;0),ROWS($T$4:T8)),"")</f>
        <v/>
      </c>
    </row>
    <row r="9">
      <c r="A9" s="4">
        <f>IF($T9="","","CAPA-"&amp;TEXT($T9,"000"))</f>
        <v/>
      </c>
      <c r="B9" s="17">
        <f>IF($T9="","",INDEX(Weekly_Inspections!$B$4:$B$996,$T9))</f>
        <v/>
      </c>
      <c r="C9" s="4">
        <f>IF($T9="","",INDEX(Weekly_Inspections!$E$4:$E$996,$T9))</f>
        <v/>
      </c>
      <c r="D9" s="4">
        <f>IF($T9="","",INDEX(Weekly_Inspections!$F$4:$F$996,$T9))</f>
        <v/>
      </c>
      <c r="E9" s="4">
        <f>IF($T9="","",INDEX(Weekly_Inspections!$H$4:$H$996,$T9))</f>
        <v/>
      </c>
      <c r="F9" s="4">
        <f>IF($T9="","",INDEX(Weekly_Inspections!$R$4:$R$996,$T9))</f>
        <v/>
      </c>
      <c r="G9" s="4">
        <f>IF($T9="","",INDEX(Weekly_Inspections!$AQ$4:$AQ$996,$T9))</f>
        <v/>
      </c>
      <c r="H9" s="4">
        <f>IF($T9="","",INDEX(Weekly_Inspections!$AP$4:$AP$996,$T9))</f>
        <v/>
      </c>
      <c r="I9" s="4">
        <f>IF($T9="","",INDEX(Weekly_Inspections!$AR$4:$AR$996,$T9))</f>
        <v/>
      </c>
      <c r="J9" s="4">
        <f>IF($T9="","",INDEX(Weekly_Inspections!$AS$4:$AS$996,$T9))</f>
        <v/>
      </c>
      <c r="K9" s="4">
        <f>IF($T9="","",INDEX(Weekly_Inspections!$AU$4:$AU$996,$T9))</f>
        <v/>
      </c>
      <c r="L9" s="17">
        <f>IF($T9="","",INDEX(Weekly_Inspections!$AV$4:$AV$996,$T9))</f>
        <v/>
      </c>
      <c r="M9" s="9">
        <f>IF($T9="","","Open")</f>
        <v/>
      </c>
      <c r="N9" s="8" t="n"/>
      <c r="O9" s="4">
        <f>IF(A9="","",IF(N9&lt;&gt;"",N9-B9,TODAY()-B9))</f>
        <v/>
      </c>
      <c r="P9" s="4">
        <f>IF(A9="","",IF(AND(M9&lt;&gt;"Closed",L9&lt;TODAY()),"YES","NO"))</f>
        <v/>
      </c>
      <c r="Q9" s="4">
        <f>IF($T9="","",INDEX(Weekly_Inspections!$AW$4:$AW$996,$T9))</f>
        <v/>
      </c>
      <c r="T9" s="2">
        <f>IFERROR(AGGREGATE(15,6,(ROW(Weekly_Inspections!$AS$4:$AS$996)-ROW(Weekly_Inspections!$AS$4)+1)/(((Weekly_Inspections!$AS$4:$AS$996&lt;&gt;"")+(Weekly_Inspections!$AQ$4:$AQ$996&lt;&gt;""))&gt;0),ROWS($T$4:T9)),"")</f>
        <v/>
      </c>
    </row>
    <row r="10">
      <c r="A10" s="4">
        <f>IF($T10="","","CAPA-"&amp;TEXT($T10,"000"))</f>
        <v/>
      </c>
      <c r="B10" s="17">
        <f>IF($T10="","",INDEX(Weekly_Inspections!$B$4:$B$996,$T10))</f>
        <v/>
      </c>
      <c r="C10" s="4">
        <f>IF($T10="","",INDEX(Weekly_Inspections!$E$4:$E$996,$T10))</f>
        <v/>
      </c>
      <c r="D10" s="4">
        <f>IF($T10="","",INDEX(Weekly_Inspections!$F$4:$F$996,$T10))</f>
        <v/>
      </c>
      <c r="E10" s="4">
        <f>IF($T10="","",INDEX(Weekly_Inspections!$H$4:$H$996,$T10))</f>
        <v/>
      </c>
      <c r="F10" s="4">
        <f>IF($T10="","",INDEX(Weekly_Inspections!$R$4:$R$996,$T10))</f>
        <v/>
      </c>
      <c r="G10" s="4">
        <f>IF($T10="","",INDEX(Weekly_Inspections!$AQ$4:$AQ$996,$T10))</f>
        <v/>
      </c>
      <c r="H10" s="4">
        <f>IF($T10="","",INDEX(Weekly_Inspections!$AP$4:$AP$996,$T10))</f>
        <v/>
      </c>
      <c r="I10" s="4">
        <f>IF($T10="","",INDEX(Weekly_Inspections!$AR$4:$AR$996,$T10))</f>
        <v/>
      </c>
      <c r="J10" s="4">
        <f>IF($T10="","",INDEX(Weekly_Inspections!$AS$4:$AS$996,$T10))</f>
        <v/>
      </c>
      <c r="K10" s="4">
        <f>IF($T10="","",INDEX(Weekly_Inspections!$AU$4:$AU$996,$T10))</f>
        <v/>
      </c>
      <c r="L10" s="17">
        <f>IF($T10="","",INDEX(Weekly_Inspections!$AV$4:$AV$996,$T10))</f>
        <v/>
      </c>
      <c r="M10" s="9">
        <f>IF($T10="","","Open")</f>
        <v/>
      </c>
      <c r="N10" s="8" t="n"/>
      <c r="O10" s="4">
        <f>IF(A10="","",IF(N10&lt;&gt;"",N10-B10,TODAY()-B10))</f>
        <v/>
      </c>
      <c r="P10" s="4">
        <f>IF(A10="","",IF(AND(M10&lt;&gt;"Closed",L10&lt;TODAY()),"YES","NO"))</f>
        <v/>
      </c>
      <c r="Q10" s="4">
        <f>IF($T10="","",INDEX(Weekly_Inspections!$AW$4:$AW$996,$T10))</f>
        <v/>
      </c>
      <c r="T10" s="2">
        <f>IFERROR(AGGREGATE(15,6,(ROW(Weekly_Inspections!$AS$4:$AS$996)-ROW(Weekly_Inspections!$AS$4)+1)/(((Weekly_Inspections!$AS$4:$AS$996&lt;&gt;"")+(Weekly_Inspections!$AQ$4:$AQ$996&lt;&gt;""))&gt;0),ROWS($T$4:T10)),"")</f>
        <v/>
      </c>
    </row>
    <row r="11">
      <c r="A11" s="4">
        <f>IF($T11="","","CAPA-"&amp;TEXT($T11,"000"))</f>
        <v/>
      </c>
      <c r="B11" s="17">
        <f>IF($T11="","",INDEX(Weekly_Inspections!$B$4:$B$996,$T11))</f>
        <v/>
      </c>
      <c r="C11" s="4">
        <f>IF($T11="","",INDEX(Weekly_Inspections!$E$4:$E$996,$T11))</f>
        <v/>
      </c>
      <c r="D11" s="4">
        <f>IF($T11="","",INDEX(Weekly_Inspections!$F$4:$F$996,$T11))</f>
        <v/>
      </c>
      <c r="E11" s="4">
        <f>IF($T11="","",INDEX(Weekly_Inspections!$H$4:$H$996,$T11))</f>
        <v/>
      </c>
      <c r="F11" s="4">
        <f>IF($T11="","",INDEX(Weekly_Inspections!$R$4:$R$996,$T11))</f>
        <v/>
      </c>
      <c r="G11" s="4">
        <f>IF($T11="","",INDEX(Weekly_Inspections!$AQ$4:$AQ$996,$T11))</f>
        <v/>
      </c>
      <c r="H11" s="4">
        <f>IF($T11="","",INDEX(Weekly_Inspections!$AP$4:$AP$996,$T11))</f>
        <v/>
      </c>
      <c r="I11" s="4">
        <f>IF($T11="","",INDEX(Weekly_Inspections!$AR$4:$AR$996,$T11))</f>
        <v/>
      </c>
      <c r="J11" s="4">
        <f>IF($T11="","",INDEX(Weekly_Inspections!$AS$4:$AS$996,$T11))</f>
        <v/>
      </c>
      <c r="K11" s="4">
        <f>IF($T11="","",INDEX(Weekly_Inspections!$AU$4:$AU$996,$T11))</f>
        <v/>
      </c>
      <c r="L11" s="17">
        <f>IF($T11="","",INDEX(Weekly_Inspections!$AV$4:$AV$996,$T11))</f>
        <v/>
      </c>
      <c r="M11" s="9">
        <f>IF($T11="","","Open")</f>
        <v/>
      </c>
      <c r="N11" s="8" t="n"/>
      <c r="O11" s="4">
        <f>IF(A11="","",IF(N11&lt;&gt;"",N11-B11,TODAY()-B11))</f>
        <v/>
      </c>
      <c r="P11" s="4">
        <f>IF(A11="","",IF(AND(M11&lt;&gt;"Closed",L11&lt;TODAY()),"YES","NO"))</f>
        <v/>
      </c>
      <c r="Q11" s="4">
        <f>IF($T11="","",INDEX(Weekly_Inspections!$AW$4:$AW$996,$T11))</f>
        <v/>
      </c>
      <c r="T11" s="2">
        <f>IFERROR(AGGREGATE(15,6,(ROW(Weekly_Inspections!$AS$4:$AS$996)-ROW(Weekly_Inspections!$AS$4)+1)/(((Weekly_Inspections!$AS$4:$AS$996&lt;&gt;"")+(Weekly_Inspections!$AQ$4:$AQ$996&lt;&gt;""))&gt;0),ROWS($T$4:T11)),"")</f>
        <v/>
      </c>
    </row>
    <row r="12">
      <c r="A12" s="4">
        <f>IF($T12="","","CAPA-"&amp;TEXT($T12,"000"))</f>
        <v/>
      </c>
      <c r="B12" s="17">
        <f>IF($T12="","",INDEX(Weekly_Inspections!$B$4:$B$996,$T12))</f>
        <v/>
      </c>
      <c r="C12" s="4">
        <f>IF($T12="","",INDEX(Weekly_Inspections!$E$4:$E$996,$T12))</f>
        <v/>
      </c>
      <c r="D12" s="4">
        <f>IF($T12="","",INDEX(Weekly_Inspections!$F$4:$F$996,$T12))</f>
        <v/>
      </c>
      <c r="E12" s="4">
        <f>IF($T12="","",INDEX(Weekly_Inspections!$H$4:$H$996,$T12))</f>
        <v/>
      </c>
      <c r="F12" s="4">
        <f>IF($T12="","",INDEX(Weekly_Inspections!$R$4:$R$996,$T12))</f>
        <v/>
      </c>
      <c r="G12" s="4">
        <f>IF($T12="","",INDEX(Weekly_Inspections!$AQ$4:$AQ$996,$T12))</f>
        <v/>
      </c>
      <c r="H12" s="4">
        <f>IF($T12="","",INDEX(Weekly_Inspections!$AP$4:$AP$996,$T12))</f>
        <v/>
      </c>
      <c r="I12" s="4">
        <f>IF($T12="","",INDEX(Weekly_Inspections!$AR$4:$AR$996,$T12))</f>
        <v/>
      </c>
      <c r="J12" s="4">
        <f>IF($T12="","",INDEX(Weekly_Inspections!$AS$4:$AS$996,$T12))</f>
        <v/>
      </c>
      <c r="K12" s="4">
        <f>IF($T12="","",INDEX(Weekly_Inspections!$AU$4:$AU$996,$T12))</f>
        <v/>
      </c>
      <c r="L12" s="17">
        <f>IF($T12="","",INDEX(Weekly_Inspections!$AV$4:$AV$996,$T12))</f>
        <v/>
      </c>
      <c r="M12" s="9">
        <f>IF($T12="","","Open")</f>
        <v/>
      </c>
      <c r="N12" s="8" t="n"/>
      <c r="O12" s="4">
        <f>IF(A12="","",IF(N12&lt;&gt;"",N12-B12,TODAY()-B12))</f>
        <v/>
      </c>
      <c r="P12" s="4">
        <f>IF(A12="","",IF(AND(M12&lt;&gt;"Closed",L12&lt;TODAY()),"YES","NO"))</f>
        <v/>
      </c>
      <c r="Q12" s="4">
        <f>IF($T12="","",INDEX(Weekly_Inspections!$AW$4:$AW$996,$T12))</f>
        <v/>
      </c>
      <c r="T12" s="2">
        <f>IFERROR(AGGREGATE(15,6,(ROW(Weekly_Inspections!$AS$4:$AS$996)-ROW(Weekly_Inspections!$AS$4)+1)/(((Weekly_Inspections!$AS$4:$AS$996&lt;&gt;"")+(Weekly_Inspections!$AQ$4:$AQ$996&lt;&gt;""))&gt;0),ROWS($T$4:T12)),"")</f>
        <v/>
      </c>
    </row>
    <row r="13">
      <c r="A13" s="4">
        <f>IF($T13="","","CAPA-"&amp;TEXT($T13,"000"))</f>
        <v/>
      </c>
      <c r="B13" s="17">
        <f>IF($T13="","",INDEX(Weekly_Inspections!$B$4:$B$996,$T13))</f>
        <v/>
      </c>
      <c r="C13" s="4">
        <f>IF($T13="","",INDEX(Weekly_Inspections!$E$4:$E$996,$T13))</f>
        <v/>
      </c>
      <c r="D13" s="4">
        <f>IF($T13="","",INDEX(Weekly_Inspections!$F$4:$F$996,$T13))</f>
        <v/>
      </c>
      <c r="E13" s="4">
        <f>IF($T13="","",INDEX(Weekly_Inspections!$H$4:$H$996,$T13))</f>
        <v/>
      </c>
      <c r="F13" s="4">
        <f>IF($T13="","",INDEX(Weekly_Inspections!$R$4:$R$996,$T13))</f>
        <v/>
      </c>
      <c r="G13" s="4">
        <f>IF($T13="","",INDEX(Weekly_Inspections!$AQ$4:$AQ$996,$T13))</f>
        <v/>
      </c>
      <c r="H13" s="4">
        <f>IF($T13="","",INDEX(Weekly_Inspections!$AP$4:$AP$996,$T13))</f>
        <v/>
      </c>
      <c r="I13" s="4">
        <f>IF($T13="","",INDEX(Weekly_Inspections!$AR$4:$AR$996,$T13))</f>
        <v/>
      </c>
      <c r="J13" s="4">
        <f>IF($T13="","",INDEX(Weekly_Inspections!$AS$4:$AS$996,$T13))</f>
        <v/>
      </c>
      <c r="K13" s="4">
        <f>IF($T13="","",INDEX(Weekly_Inspections!$AU$4:$AU$996,$T13))</f>
        <v/>
      </c>
      <c r="L13" s="17">
        <f>IF($T13="","",INDEX(Weekly_Inspections!$AV$4:$AV$996,$T13))</f>
        <v/>
      </c>
      <c r="M13" s="9">
        <f>IF($T13="","","Open")</f>
        <v/>
      </c>
      <c r="N13" s="8" t="n"/>
      <c r="O13" s="4">
        <f>IF(A13="","",IF(N13&lt;&gt;"",N13-B13,TODAY()-B13))</f>
        <v/>
      </c>
      <c r="P13" s="4">
        <f>IF(A13="","",IF(AND(M13&lt;&gt;"Closed",L13&lt;TODAY()),"YES","NO"))</f>
        <v/>
      </c>
      <c r="Q13" s="4">
        <f>IF($T13="","",INDEX(Weekly_Inspections!$AW$4:$AW$996,$T13))</f>
        <v/>
      </c>
      <c r="T13" s="2">
        <f>IFERROR(AGGREGATE(15,6,(ROW(Weekly_Inspections!$AS$4:$AS$996)-ROW(Weekly_Inspections!$AS$4)+1)/(((Weekly_Inspections!$AS$4:$AS$996&lt;&gt;"")+(Weekly_Inspections!$AQ$4:$AQ$996&lt;&gt;""))&gt;0),ROWS($T$4:T13)),"")</f>
        <v/>
      </c>
    </row>
    <row r="14">
      <c r="A14" s="4">
        <f>IF($T14="","","CAPA-"&amp;TEXT($T14,"000"))</f>
        <v/>
      </c>
      <c r="B14" s="17">
        <f>IF($T14="","",INDEX(Weekly_Inspections!$B$4:$B$996,$T14))</f>
        <v/>
      </c>
      <c r="C14" s="4">
        <f>IF($T14="","",INDEX(Weekly_Inspections!$E$4:$E$996,$T14))</f>
        <v/>
      </c>
      <c r="D14" s="4">
        <f>IF($T14="","",INDEX(Weekly_Inspections!$F$4:$F$996,$T14))</f>
        <v/>
      </c>
      <c r="E14" s="4">
        <f>IF($T14="","",INDEX(Weekly_Inspections!$H$4:$H$996,$T14))</f>
        <v/>
      </c>
      <c r="F14" s="4">
        <f>IF($T14="","",INDEX(Weekly_Inspections!$R$4:$R$996,$T14))</f>
        <v/>
      </c>
      <c r="G14" s="4">
        <f>IF($T14="","",INDEX(Weekly_Inspections!$AQ$4:$AQ$996,$T14))</f>
        <v/>
      </c>
      <c r="H14" s="4">
        <f>IF($T14="","",INDEX(Weekly_Inspections!$AP$4:$AP$996,$T14))</f>
        <v/>
      </c>
      <c r="I14" s="4">
        <f>IF($T14="","",INDEX(Weekly_Inspections!$AR$4:$AR$996,$T14))</f>
        <v/>
      </c>
      <c r="J14" s="4">
        <f>IF($T14="","",INDEX(Weekly_Inspections!$AS$4:$AS$996,$T14))</f>
        <v/>
      </c>
      <c r="K14" s="4">
        <f>IF($T14="","",INDEX(Weekly_Inspections!$AU$4:$AU$996,$T14))</f>
        <v/>
      </c>
      <c r="L14" s="17">
        <f>IF($T14="","",INDEX(Weekly_Inspections!$AV$4:$AV$996,$T14))</f>
        <v/>
      </c>
      <c r="M14" s="9">
        <f>IF($T14="","","Open")</f>
        <v/>
      </c>
      <c r="N14" s="8" t="n"/>
      <c r="O14" s="4">
        <f>IF(A14="","",IF(N14&lt;&gt;"",N14-B14,TODAY()-B14))</f>
        <v/>
      </c>
      <c r="P14" s="4">
        <f>IF(A14="","",IF(AND(M14&lt;&gt;"Closed",L14&lt;TODAY()),"YES","NO"))</f>
        <v/>
      </c>
      <c r="Q14" s="4">
        <f>IF($T14="","",INDEX(Weekly_Inspections!$AW$4:$AW$996,$T14))</f>
        <v/>
      </c>
      <c r="T14" s="2">
        <f>IFERROR(AGGREGATE(15,6,(ROW(Weekly_Inspections!$AS$4:$AS$996)-ROW(Weekly_Inspections!$AS$4)+1)/(((Weekly_Inspections!$AS$4:$AS$996&lt;&gt;"")+(Weekly_Inspections!$AQ$4:$AQ$996&lt;&gt;""))&gt;0),ROWS($T$4:T14)),"")</f>
        <v/>
      </c>
    </row>
    <row r="15">
      <c r="A15" s="4">
        <f>IF($T15="","","CAPA-"&amp;TEXT($T15,"000"))</f>
        <v/>
      </c>
      <c r="B15" s="17">
        <f>IF($T15="","",INDEX(Weekly_Inspections!$B$4:$B$996,$T15))</f>
        <v/>
      </c>
      <c r="C15" s="4">
        <f>IF($T15="","",INDEX(Weekly_Inspections!$E$4:$E$996,$T15))</f>
        <v/>
      </c>
      <c r="D15" s="4">
        <f>IF($T15="","",INDEX(Weekly_Inspections!$F$4:$F$996,$T15))</f>
        <v/>
      </c>
      <c r="E15" s="4">
        <f>IF($T15="","",INDEX(Weekly_Inspections!$H$4:$H$996,$T15))</f>
        <v/>
      </c>
      <c r="F15" s="4">
        <f>IF($T15="","",INDEX(Weekly_Inspections!$R$4:$R$996,$T15))</f>
        <v/>
      </c>
      <c r="G15" s="4">
        <f>IF($T15="","",INDEX(Weekly_Inspections!$AQ$4:$AQ$996,$T15))</f>
        <v/>
      </c>
      <c r="H15" s="4">
        <f>IF($T15="","",INDEX(Weekly_Inspections!$AP$4:$AP$996,$T15))</f>
        <v/>
      </c>
      <c r="I15" s="4">
        <f>IF($T15="","",INDEX(Weekly_Inspections!$AR$4:$AR$996,$T15))</f>
        <v/>
      </c>
      <c r="J15" s="4">
        <f>IF($T15="","",INDEX(Weekly_Inspections!$AS$4:$AS$996,$T15))</f>
        <v/>
      </c>
      <c r="K15" s="4">
        <f>IF($T15="","",INDEX(Weekly_Inspections!$AU$4:$AU$996,$T15))</f>
        <v/>
      </c>
      <c r="L15" s="17">
        <f>IF($T15="","",INDEX(Weekly_Inspections!$AV$4:$AV$996,$T15))</f>
        <v/>
      </c>
      <c r="M15" s="9">
        <f>IF($T15="","","Open")</f>
        <v/>
      </c>
      <c r="N15" s="8" t="n"/>
      <c r="O15" s="4">
        <f>IF(A15="","",IF(N15&lt;&gt;"",N15-B15,TODAY()-B15))</f>
        <v/>
      </c>
      <c r="P15" s="4">
        <f>IF(A15="","",IF(AND(M15&lt;&gt;"Closed",L15&lt;TODAY()),"YES","NO"))</f>
        <v/>
      </c>
      <c r="Q15" s="4">
        <f>IF($T15="","",INDEX(Weekly_Inspections!$AW$4:$AW$996,$T15))</f>
        <v/>
      </c>
      <c r="T15" s="2">
        <f>IFERROR(AGGREGATE(15,6,(ROW(Weekly_Inspections!$AS$4:$AS$996)-ROW(Weekly_Inspections!$AS$4)+1)/(((Weekly_Inspections!$AS$4:$AS$996&lt;&gt;"")+(Weekly_Inspections!$AQ$4:$AQ$996&lt;&gt;""))&gt;0),ROWS($T$4:T15)),"")</f>
        <v/>
      </c>
    </row>
    <row r="16">
      <c r="A16" s="4">
        <f>IF($T16="","","CAPA-"&amp;TEXT($T16,"000"))</f>
        <v/>
      </c>
      <c r="B16" s="17">
        <f>IF($T16="","",INDEX(Weekly_Inspections!$B$4:$B$996,$T16))</f>
        <v/>
      </c>
      <c r="C16" s="4">
        <f>IF($T16="","",INDEX(Weekly_Inspections!$E$4:$E$996,$T16))</f>
        <v/>
      </c>
      <c r="D16" s="4">
        <f>IF($T16="","",INDEX(Weekly_Inspections!$F$4:$F$996,$T16))</f>
        <v/>
      </c>
      <c r="E16" s="4">
        <f>IF($T16="","",INDEX(Weekly_Inspections!$H$4:$H$996,$T16))</f>
        <v/>
      </c>
      <c r="F16" s="4">
        <f>IF($T16="","",INDEX(Weekly_Inspections!$R$4:$R$996,$T16))</f>
        <v/>
      </c>
      <c r="G16" s="4">
        <f>IF($T16="","",INDEX(Weekly_Inspections!$AQ$4:$AQ$996,$T16))</f>
        <v/>
      </c>
      <c r="H16" s="4">
        <f>IF($T16="","",INDEX(Weekly_Inspections!$AP$4:$AP$996,$T16))</f>
        <v/>
      </c>
      <c r="I16" s="4">
        <f>IF($T16="","",INDEX(Weekly_Inspections!$AR$4:$AR$996,$T16))</f>
        <v/>
      </c>
      <c r="J16" s="4">
        <f>IF($T16="","",INDEX(Weekly_Inspections!$AS$4:$AS$996,$T16))</f>
        <v/>
      </c>
      <c r="K16" s="4">
        <f>IF($T16="","",INDEX(Weekly_Inspections!$AU$4:$AU$996,$T16))</f>
        <v/>
      </c>
      <c r="L16" s="17">
        <f>IF($T16="","",INDEX(Weekly_Inspections!$AV$4:$AV$996,$T16))</f>
        <v/>
      </c>
      <c r="M16" s="9">
        <f>IF($T16="","","Open")</f>
        <v/>
      </c>
      <c r="N16" s="8" t="n"/>
      <c r="O16" s="4">
        <f>IF(A16="","",IF(N16&lt;&gt;"",N16-B16,TODAY()-B16))</f>
        <v/>
      </c>
      <c r="P16" s="4">
        <f>IF(A16="","",IF(AND(M16&lt;&gt;"Closed",L16&lt;TODAY()),"YES","NO"))</f>
        <v/>
      </c>
      <c r="Q16" s="4">
        <f>IF($T16="","",INDEX(Weekly_Inspections!$AW$4:$AW$996,$T16))</f>
        <v/>
      </c>
      <c r="T16" s="2">
        <f>IFERROR(AGGREGATE(15,6,(ROW(Weekly_Inspections!$AS$4:$AS$996)-ROW(Weekly_Inspections!$AS$4)+1)/(((Weekly_Inspections!$AS$4:$AS$996&lt;&gt;"")+(Weekly_Inspections!$AQ$4:$AQ$996&lt;&gt;""))&gt;0),ROWS($T$4:T16)),"")</f>
        <v/>
      </c>
    </row>
    <row r="17">
      <c r="A17" s="4">
        <f>IF($T17="","","CAPA-"&amp;TEXT($T17,"000"))</f>
        <v/>
      </c>
      <c r="B17" s="17">
        <f>IF($T17="","",INDEX(Weekly_Inspections!$B$4:$B$996,$T17))</f>
        <v/>
      </c>
      <c r="C17" s="4">
        <f>IF($T17="","",INDEX(Weekly_Inspections!$E$4:$E$996,$T17))</f>
        <v/>
      </c>
      <c r="D17" s="4">
        <f>IF($T17="","",INDEX(Weekly_Inspections!$F$4:$F$996,$T17))</f>
        <v/>
      </c>
      <c r="E17" s="4">
        <f>IF($T17="","",INDEX(Weekly_Inspections!$H$4:$H$996,$T17))</f>
        <v/>
      </c>
      <c r="F17" s="4">
        <f>IF($T17="","",INDEX(Weekly_Inspections!$R$4:$R$996,$T17))</f>
        <v/>
      </c>
      <c r="G17" s="4">
        <f>IF($T17="","",INDEX(Weekly_Inspections!$AQ$4:$AQ$996,$T17))</f>
        <v/>
      </c>
      <c r="H17" s="4">
        <f>IF($T17="","",INDEX(Weekly_Inspections!$AP$4:$AP$996,$T17))</f>
        <v/>
      </c>
      <c r="I17" s="4">
        <f>IF($T17="","",INDEX(Weekly_Inspections!$AR$4:$AR$996,$T17))</f>
        <v/>
      </c>
      <c r="J17" s="4">
        <f>IF($T17="","",INDEX(Weekly_Inspections!$AS$4:$AS$996,$T17))</f>
        <v/>
      </c>
      <c r="K17" s="4">
        <f>IF($T17="","",INDEX(Weekly_Inspections!$AU$4:$AU$996,$T17))</f>
        <v/>
      </c>
      <c r="L17" s="17">
        <f>IF($T17="","",INDEX(Weekly_Inspections!$AV$4:$AV$996,$T17))</f>
        <v/>
      </c>
      <c r="M17" s="9">
        <f>IF($T17="","","Open")</f>
        <v/>
      </c>
      <c r="N17" s="8" t="n"/>
      <c r="O17" s="4">
        <f>IF(A17="","",IF(N17&lt;&gt;"",N17-B17,TODAY()-B17))</f>
        <v/>
      </c>
      <c r="P17" s="4">
        <f>IF(A17="","",IF(AND(M17&lt;&gt;"Closed",L17&lt;TODAY()),"YES","NO"))</f>
        <v/>
      </c>
      <c r="Q17" s="4">
        <f>IF($T17="","",INDEX(Weekly_Inspections!$AW$4:$AW$996,$T17))</f>
        <v/>
      </c>
      <c r="T17" s="2">
        <f>IFERROR(AGGREGATE(15,6,(ROW(Weekly_Inspections!$AS$4:$AS$996)-ROW(Weekly_Inspections!$AS$4)+1)/(((Weekly_Inspections!$AS$4:$AS$996&lt;&gt;"")+(Weekly_Inspections!$AQ$4:$AQ$996&lt;&gt;""))&gt;0),ROWS($T$4:T17)),"")</f>
        <v/>
      </c>
    </row>
    <row r="18">
      <c r="A18" s="4">
        <f>IF($T18="","","CAPA-"&amp;TEXT($T18,"000"))</f>
        <v/>
      </c>
      <c r="B18" s="17">
        <f>IF($T18="","",INDEX(Weekly_Inspections!$B$4:$B$996,$T18))</f>
        <v/>
      </c>
      <c r="C18" s="4">
        <f>IF($T18="","",INDEX(Weekly_Inspections!$E$4:$E$996,$T18))</f>
        <v/>
      </c>
      <c r="D18" s="4">
        <f>IF($T18="","",INDEX(Weekly_Inspections!$F$4:$F$996,$T18))</f>
        <v/>
      </c>
      <c r="E18" s="4">
        <f>IF($T18="","",INDEX(Weekly_Inspections!$H$4:$H$996,$T18))</f>
        <v/>
      </c>
      <c r="F18" s="4">
        <f>IF($T18="","",INDEX(Weekly_Inspections!$R$4:$R$996,$T18))</f>
        <v/>
      </c>
      <c r="G18" s="4">
        <f>IF($T18="","",INDEX(Weekly_Inspections!$AQ$4:$AQ$996,$T18))</f>
        <v/>
      </c>
      <c r="H18" s="4">
        <f>IF($T18="","",INDEX(Weekly_Inspections!$AP$4:$AP$996,$T18))</f>
        <v/>
      </c>
      <c r="I18" s="4">
        <f>IF($T18="","",INDEX(Weekly_Inspections!$AR$4:$AR$996,$T18))</f>
        <v/>
      </c>
      <c r="J18" s="4">
        <f>IF($T18="","",INDEX(Weekly_Inspections!$AS$4:$AS$996,$T18))</f>
        <v/>
      </c>
      <c r="K18" s="4">
        <f>IF($T18="","",INDEX(Weekly_Inspections!$AU$4:$AU$996,$T18))</f>
        <v/>
      </c>
      <c r="L18" s="17">
        <f>IF($T18="","",INDEX(Weekly_Inspections!$AV$4:$AV$996,$T18))</f>
        <v/>
      </c>
      <c r="M18" s="9">
        <f>IF($T18="","","Open")</f>
        <v/>
      </c>
      <c r="N18" s="8" t="n"/>
      <c r="O18" s="4">
        <f>IF(A18="","",IF(N18&lt;&gt;"",N18-B18,TODAY()-B18))</f>
        <v/>
      </c>
      <c r="P18" s="4">
        <f>IF(A18="","",IF(AND(M18&lt;&gt;"Closed",L18&lt;TODAY()),"YES","NO"))</f>
        <v/>
      </c>
      <c r="Q18" s="4">
        <f>IF($T18="","",INDEX(Weekly_Inspections!$AW$4:$AW$996,$T18))</f>
        <v/>
      </c>
      <c r="T18" s="2">
        <f>IFERROR(AGGREGATE(15,6,(ROW(Weekly_Inspections!$AS$4:$AS$996)-ROW(Weekly_Inspections!$AS$4)+1)/(((Weekly_Inspections!$AS$4:$AS$996&lt;&gt;"")+(Weekly_Inspections!$AQ$4:$AQ$996&lt;&gt;""))&gt;0),ROWS($T$4:T18)),"")</f>
        <v/>
      </c>
    </row>
    <row r="19">
      <c r="A19" s="4">
        <f>IF($T19="","","CAPA-"&amp;TEXT($T19,"000"))</f>
        <v/>
      </c>
      <c r="B19" s="17">
        <f>IF($T19="","",INDEX(Weekly_Inspections!$B$4:$B$996,$T19))</f>
        <v/>
      </c>
      <c r="C19" s="4">
        <f>IF($T19="","",INDEX(Weekly_Inspections!$E$4:$E$996,$T19))</f>
        <v/>
      </c>
      <c r="D19" s="4">
        <f>IF($T19="","",INDEX(Weekly_Inspections!$F$4:$F$996,$T19))</f>
        <v/>
      </c>
      <c r="E19" s="4">
        <f>IF($T19="","",INDEX(Weekly_Inspections!$H$4:$H$996,$T19))</f>
        <v/>
      </c>
      <c r="F19" s="4">
        <f>IF($T19="","",INDEX(Weekly_Inspections!$R$4:$R$996,$T19))</f>
        <v/>
      </c>
      <c r="G19" s="4">
        <f>IF($T19="","",INDEX(Weekly_Inspections!$AQ$4:$AQ$996,$T19))</f>
        <v/>
      </c>
      <c r="H19" s="4">
        <f>IF($T19="","",INDEX(Weekly_Inspections!$AP$4:$AP$996,$T19))</f>
        <v/>
      </c>
      <c r="I19" s="4">
        <f>IF($T19="","",INDEX(Weekly_Inspections!$AR$4:$AR$996,$T19))</f>
        <v/>
      </c>
      <c r="J19" s="4">
        <f>IF($T19="","",INDEX(Weekly_Inspections!$AS$4:$AS$996,$T19))</f>
        <v/>
      </c>
      <c r="K19" s="4">
        <f>IF($T19="","",INDEX(Weekly_Inspections!$AU$4:$AU$996,$T19))</f>
        <v/>
      </c>
      <c r="L19" s="17">
        <f>IF($T19="","",INDEX(Weekly_Inspections!$AV$4:$AV$996,$T19))</f>
        <v/>
      </c>
      <c r="M19" s="9">
        <f>IF($T19="","","Open")</f>
        <v/>
      </c>
      <c r="N19" s="8" t="n"/>
      <c r="O19" s="4">
        <f>IF(A19="","",IF(N19&lt;&gt;"",N19-B19,TODAY()-B19))</f>
        <v/>
      </c>
      <c r="P19" s="4">
        <f>IF(A19="","",IF(AND(M19&lt;&gt;"Closed",L19&lt;TODAY()),"YES","NO"))</f>
        <v/>
      </c>
      <c r="Q19" s="4">
        <f>IF($T19="","",INDEX(Weekly_Inspections!$AW$4:$AW$996,$T19))</f>
        <v/>
      </c>
      <c r="T19" s="2">
        <f>IFERROR(AGGREGATE(15,6,(ROW(Weekly_Inspections!$AS$4:$AS$996)-ROW(Weekly_Inspections!$AS$4)+1)/(((Weekly_Inspections!$AS$4:$AS$996&lt;&gt;"")+(Weekly_Inspections!$AQ$4:$AQ$996&lt;&gt;""))&gt;0),ROWS($T$4:T19)),"")</f>
        <v/>
      </c>
    </row>
    <row r="20">
      <c r="A20" s="4">
        <f>IF($T20="","","CAPA-"&amp;TEXT($T20,"000"))</f>
        <v/>
      </c>
      <c r="B20" s="17">
        <f>IF($T20="","",INDEX(Weekly_Inspections!$B$4:$B$996,$T20))</f>
        <v/>
      </c>
      <c r="C20" s="4">
        <f>IF($T20="","",INDEX(Weekly_Inspections!$E$4:$E$996,$T20))</f>
        <v/>
      </c>
      <c r="D20" s="4">
        <f>IF($T20="","",INDEX(Weekly_Inspections!$F$4:$F$996,$T20))</f>
        <v/>
      </c>
      <c r="E20" s="4">
        <f>IF($T20="","",INDEX(Weekly_Inspections!$H$4:$H$996,$T20))</f>
        <v/>
      </c>
      <c r="F20" s="4">
        <f>IF($T20="","",INDEX(Weekly_Inspections!$R$4:$R$996,$T20))</f>
        <v/>
      </c>
      <c r="G20" s="4">
        <f>IF($T20="","",INDEX(Weekly_Inspections!$AQ$4:$AQ$996,$T20))</f>
        <v/>
      </c>
      <c r="H20" s="4">
        <f>IF($T20="","",INDEX(Weekly_Inspections!$AP$4:$AP$996,$T20))</f>
        <v/>
      </c>
      <c r="I20" s="4">
        <f>IF($T20="","",INDEX(Weekly_Inspections!$AR$4:$AR$996,$T20))</f>
        <v/>
      </c>
      <c r="J20" s="4">
        <f>IF($T20="","",INDEX(Weekly_Inspections!$AS$4:$AS$996,$T20))</f>
        <v/>
      </c>
      <c r="K20" s="4">
        <f>IF($T20="","",INDEX(Weekly_Inspections!$AU$4:$AU$996,$T20))</f>
        <v/>
      </c>
      <c r="L20" s="17">
        <f>IF($T20="","",INDEX(Weekly_Inspections!$AV$4:$AV$996,$T20))</f>
        <v/>
      </c>
      <c r="M20" s="9">
        <f>IF($T20="","","Open")</f>
        <v/>
      </c>
      <c r="N20" s="8" t="n"/>
      <c r="O20" s="4">
        <f>IF(A20="","",IF(N20&lt;&gt;"",N20-B20,TODAY()-B20))</f>
        <v/>
      </c>
      <c r="P20" s="4">
        <f>IF(A20="","",IF(AND(M20&lt;&gt;"Closed",L20&lt;TODAY()),"YES","NO"))</f>
        <v/>
      </c>
      <c r="Q20" s="4">
        <f>IF($T20="","",INDEX(Weekly_Inspections!$AW$4:$AW$996,$T20))</f>
        <v/>
      </c>
      <c r="T20" s="2">
        <f>IFERROR(AGGREGATE(15,6,(ROW(Weekly_Inspections!$AS$4:$AS$996)-ROW(Weekly_Inspections!$AS$4)+1)/(((Weekly_Inspections!$AS$4:$AS$996&lt;&gt;"")+(Weekly_Inspections!$AQ$4:$AQ$996&lt;&gt;""))&gt;0),ROWS($T$4:T20)),"")</f>
        <v/>
      </c>
    </row>
    <row r="21">
      <c r="A21" s="4">
        <f>IF($T21="","","CAPA-"&amp;TEXT($T21,"000"))</f>
        <v/>
      </c>
      <c r="B21" s="17">
        <f>IF($T21="","",INDEX(Weekly_Inspections!$B$4:$B$996,$T21))</f>
        <v/>
      </c>
      <c r="C21" s="4">
        <f>IF($T21="","",INDEX(Weekly_Inspections!$E$4:$E$996,$T21))</f>
        <v/>
      </c>
      <c r="D21" s="4">
        <f>IF($T21="","",INDEX(Weekly_Inspections!$F$4:$F$996,$T21))</f>
        <v/>
      </c>
      <c r="E21" s="4">
        <f>IF($T21="","",INDEX(Weekly_Inspections!$H$4:$H$996,$T21))</f>
        <v/>
      </c>
      <c r="F21" s="4">
        <f>IF($T21="","",INDEX(Weekly_Inspections!$R$4:$R$996,$T21))</f>
        <v/>
      </c>
      <c r="G21" s="4">
        <f>IF($T21="","",INDEX(Weekly_Inspections!$AQ$4:$AQ$996,$T21))</f>
        <v/>
      </c>
      <c r="H21" s="4">
        <f>IF($T21="","",INDEX(Weekly_Inspections!$AP$4:$AP$996,$T21))</f>
        <v/>
      </c>
      <c r="I21" s="4">
        <f>IF($T21="","",INDEX(Weekly_Inspections!$AR$4:$AR$996,$T21))</f>
        <v/>
      </c>
      <c r="J21" s="4">
        <f>IF($T21="","",INDEX(Weekly_Inspections!$AS$4:$AS$996,$T21))</f>
        <v/>
      </c>
      <c r="K21" s="4">
        <f>IF($T21="","",INDEX(Weekly_Inspections!$AU$4:$AU$996,$T21))</f>
        <v/>
      </c>
      <c r="L21" s="17">
        <f>IF($T21="","",INDEX(Weekly_Inspections!$AV$4:$AV$996,$T21))</f>
        <v/>
      </c>
      <c r="M21" s="9">
        <f>IF($T21="","","Open")</f>
        <v/>
      </c>
      <c r="N21" s="8" t="n"/>
      <c r="O21" s="4">
        <f>IF(A21="","",IF(N21&lt;&gt;"",N21-B21,TODAY()-B21))</f>
        <v/>
      </c>
      <c r="P21" s="4">
        <f>IF(A21="","",IF(AND(M21&lt;&gt;"Closed",L21&lt;TODAY()),"YES","NO"))</f>
        <v/>
      </c>
      <c r="Q21" s="4">
        <f>IF($T21="","",INDEX(Weekly_Inspections!$AW$4:$AW$996,$T21))</f>
        <v/>
      </c>
      <c r="T21" s="2">
        <f>IFERROR(AGGREGATE(15,6,(ROW(Weekly_Inspections!$AS$4:$AS$996)-ROW(Weekly_Inspections!$AS$4)+1)/(((Weekly_Inspections!$AS$4:$AS$996&lt;&gt;"")+(Weekly_Inspections!$AQ$4:$AQ$996&lt;&gt;""))&gt;0),ROWS($T$4:T21)),"")</f>
        <v/>
      </c>
    </row>
    <row r="22">
      <c r="A22" s="4">
        <f>IF($T22="","","CAPA-"&amp;TEXT($T22,"000"))</f>
        <v/>
      </c>
      <c r="B22" s="17">
        <f>IF($T22="","",INDEX(Weekly_Inspections!$B$4:$B$996,$T22))</f>
        <v/>
      </c>
      <c r="C22" s="4">
        <f>IF($T22="","",INDEX(Weekly_Inspections!$E$4:$E$996,$T22))</f>
        <v/>
      </c>
      <c r="D22" s="4">
        <f>IF($T22="","",INDEX(Weekly_Inspections!$F$4:$F$996,$T22))</f>
        <v/>
      </c>
      <c r="E22" s="4">
        <f>IF($T22="","",INDEX(Weekly_Inspections!$H$4:$H$996,$T22))</f>
        <v/>
      </c>
      <c r="F22" s="4">
        <f>IF($T22="","",INDEX(Weekly_Inspections!$R$4:$R$996,$T22))</f>
        <v/>
      </c>
      <c r="G22" s="4">
        <f>IF($T22="","",INDEX(Weekly_Inspections!$AQ$4:$AQ$996,$T22))</f>
        <v/>
      </c>
      <c r="H22" s="4">
        <f>IF($T22="","",INDEX(Weekly_Inspections!$AP$4:$AP$996,$T22))</f>
        <v/>
      </c>
      <c r="I22" s="4">
        <f>IF($T22="","",INDEX(Weekly_Inspections!$AR$4:$AR$996,$T22))</f>
        <v/>
      </c>
      <c r="J22" s="4">
        <f>IF($T22="","",INDEX(Weekly_Inspections!$AS$4:$AS$996,$T22))</f>
        <v/>
      </c>
      <c r="K22" s="4">
        <f>IF($T22="","",INDEX(Weekly_Inspections!$AU$4:$AU$996,$T22))</f>
        <v/>
      </c>
      <c r="L22" s="17">
        <f>IF($T22="","",INDEX(Weekly_Inspections!$AV$4:$AV$996,$T22))</f>
        <v/>
      </c>
      <c r="M22" s="9">
        <f>IF($T22="","","Open")</f>
        <v/>
      </c>
      <c r="N22" s="8" t="n"/>
      <c r="O22" s="4">
        <f>IF(A22="","",IF(N22&lt;&gt;"",N22-B22,TODAY()-B22))</f>
        <v/>
      </c>
      <c r="P22" s="4">
        <f>IF(A22="","",IF(AND(M22&lt;&gt;"Closed",L22&lt;TODAY()),"YES","NO"))</f>
        <v/>
      </c>
      <c r="Q22" s="4">
        <f>IF($T22="","",INDEX(Weekly_Inspections!$AW$4:$AW$996,$T22))</f>
        <v/>
      </c>
      <c r="T22" s="2">
        <f>IFERROR(AGGREGATE(15,6,(ROW(Weekly_Inspections!$AS$4:$AS$996)-ROW(Weekly_Inspections!$AS$4)+1)/(((Weekly_Inspections!$AS$4:$AS$996&lt;&gt;"")+(Weekly_Inspections!$AQ$4:$AQ$996&lt;&gt;""))&gt;0),ROWS($T$4:T22)),"")</f>
        <v/>
      </c>
    </row>
    <row r="23">
      <c r="A23" s="4">
        <f>IF($T23="","","CAPA-"&amp;TEXT($T23,"000"))</f>
        <v/>
      </c>
      <c r="B23" s="17">
        <f>IF($T23="","",INDEX(Weekly_Inspections!$B$4:$B$996,$T23))</f>
        <v/>
      </c>
      <c r="C23" s="4">
        <f>IF($T23="","",INDEX(Weekly_Inspections!$E$4:$E$996,$T23))</f>
        <v/>
      </c>
      <c r="D23" s="4">
        <f>IF($T23="","",INDEX(Weekly_Inspections!$F$4:$F$996,$T23))</f>
        <v/>
      </c>
      <c r="E23" s="4">
        <f>IF($T23="","",INDEX(Weekly_Inspections!$H$4:$H$996,$T23))</f>
        <v/>
      </c>
      <c r="F23" s="4">
        <f>IF($T23="","",INDEX(Weekly_Inspections!$R$4:$R$996,$T23))</f>
        <v/>
      </c>
      <c r="G23" s="4">
        <f>IF($T23="","",INDEX(Weekly_Inspections!$AQ$4:$AQ$996,$T23))</f>
        <v/>
      </c>
      <c r="H23" s="4">
        <f>IF($T23="","",INDEX(Weekly_Inspections!$AP$4:$AP$996,$T23))</f>
        <v/>
      </c>
      <c r="I23" s="4">
        <f>IF($T23="","",INDEX(Weekly_Inspections!$AR$4:$AR$996,$T23))</f>
        <v/>
      </c>
      <c r="J23" s="4">
        <f>IF($T23="","",INDEX(Weekly_Inspections!$AS$4:$AS$996,$T23))</f>
        <v/>
      </c>
      <c r="K23" s="4">
        <f>IF($T23="","",INDEX(Weekly_Inspections!$AU$4:$AU$996,$T23))</f>
        <v/>
      </c>
      <c r="L23" s="17">
        <f>IF($T23="","",INDEX(Weekly_Inspections!$AV$4:$AV$996,$T23))</f>
        <v/>
      </c>
      <c r="M23" s="9">
        <f>IF($T23="","","Open")</f>
        <v/>
      </c>
      <c r="N23" s="8" t="n"/>
      <c r="O23" s="4">
        <f>IF(A23="","",IF(N23&lt;&gt;"",N23-B23,TODAY()-B23))</f>
        <v/>
      </c>
      <c r="P23" s="4">
        <f>IF(A23="","",IF(AND(M23&lt;&gt;"Closed",L23&lt;TODAY()),"YES","NO"))</f>
        <v/>
      </c>
      <c r="Q23" s="4">
        <f>IF($T23="","",INDEX(Weekly_Inspections!$AW$4:$AW$996,$T23))</f>
        <v/>
      </c>
      <c r="T23" s="2">
        <f>IFERROR(AGGREGATE(15,6,(ROW(Weekly_Inspections!$AS$4:$AS$996)-ROW(Weekly_Inspections!$AS$4)+1)/(((Weekly_Inspections!$AS$4:$AS$996&lt;&gt;"")+(Weekly_Inspections!$AQ$4:$AQ$996&lt;&gt;""))&gt;0),ROWS($T$4:T23)),"")</f>
        <v/>
      </c>
    </row>
    <row r="24">
      <c r="A24" s="4">
        <f>IF($T24="","","CAPA-"&amp;TEXT($T24,"000"))</f>
        <v/>
      </c>
      <c r="B24" s="17">
        <f>IF($T24="","",INDEX(Weekly_Inspections!$B$4:$B$996,$T24))</f>
        <v/>
      </c>
      <c r="C24" s="4">
        <f>IF($T24="","",INDEX(Weekly_Inspections!$E$4:$E$996,$T24))</f>
        <v/>
      </c>
      <c r="D24" s="4">
        <f>IF($T24="","",INDEX(Weekly_Inspections!$F$4:$F$996,$T24))</f>
        <v/>
      </c>
      <c r="E24" s="4">
        <f>IF($T24="","",INDEX(Weekly_Inspections!$H$4:$H$996,$T24))</f>
        <v/>
      </c>
      <c r="F24" s="4">
        <f>IF($T24="","",INDEX(Weekly_Inspections!$R$4:$R$996,$T24))</f>
        <v/>
      </c>
      <c r="G24" s="4">
        <f>IF($T24="","",INDEX(Weekly_Inspections!$AQ$4:$AQ$996,$T24))</f>
        <v/>
      </c>
      <c r="H24" s="4">
        <f>IF($T24="","",INDEX(Weekly_Inspections!$AP$4:$AP$996,$T24))</f>
        <v/>
      </c>
      <c r="I24" s="4">
        <f>IF($T24="","",INDEX(Weekly_Inspections!$AR$4:$AR$996,$T24))</f>
        <v/>
      </c>
      <c r="J24" s="4">
        <f>IF($T24="","",INDEX(Weekly_Inspections!$AS$4:$AS$996,$T24))</f>
        <v/>
      </c>
      <c r="K24" s="4">
        <f>IF($T24="","",INDEX(Weekly_Inspections!$AU$4:$AU$996,$T24))</f>
        <v/>
      </c>
      <c r="L24" s="17">
        <f>IF($T24="","",INDEX(Weekly_Inspections!$AV$4:$AV$996,$T24))</f>
        <v/>
      </c>
      <c r="M24" s="9">
        <f>IF($T24="","","Open")</f>
        <v/>
      </c>
      <c r="N24" s="8" t="n"/>
      <c r="O24" s="4">
        <f>IF(A24="","",IF(N24&lt;&gt;"",N24-B24,TODAY()-B24))</f>
        <v/>
      </c>
      <c r="P24" s="4">
        <f>IF(A24="","",IF(AND(M24&lt;&gt;"Closed",L24&lt;TODAY()),"YES","NO"))</f>
        <v/>
      </c>
      <c r="Q24" s="4">
        <f>IF($T24="","",INDEX(Weekly_Inspections!$AW$4:$AW$996,$T24))</f>
        <v/>
      </c>
      <c r="T24" s="2">
        <f>IFERROR(AGGREGATE(15,6,(ROW(Weekly_Inspections!$AS$4:$AS$996)-ROW(Weekly_Inspections!$AS$4)+1)/(((Weekly_Inspections!$AS$4:$AS$996&lt;&gt;"")+(Weekly_Inspections!$AQ$4:$AQ$996&lt;&gt;""))&gt;0),ROWS($T$4:T24)),"")</f>
        <v/>
      </c>
    </row>
    <row r="25">
      <c r="A25" s="4">
        <f>IF($T25="","","CAPA-"&amp;TEXT($T25,"000"))</f>
        <v/>
      </c>
      <c r="B25" s="17">
        <f>IF($T25="","",INDEX(Weekly_Inspections!$B$4:$B$996,$T25))</f>
        <v/>
      </c>
      <c r="C25" s="4">
        <f>IF($T25="","",INDEX(Weekly_Inspections!$E$4:$E$996,$T25))</f>
        <v/>
      </c>
      <c r="D25" s="4">
        <f>IF($T25="","",INDEX(Weekly_Inspections!$F$4:$F$996,$T25))</f>
        <v/>
      </c>
      <c r="E25" s="4">
        <f>IF($T25="","",INDEX(Weekly_Inspections!$H$4:$H$996,$T25))</f>
        <v/>
      </c>
      <c r="F25" s="4">
        <f>IF($T25="","",INDEX(Weekly_Inspections!$R$4:$R$996,$T25))</f>
        <v/>
      </c>
      <c r="G25" s="4">
        <f>IF($T25="","",INDEX(Weekly_Inspections!$AQ$4:$AQ$996,$T25))</f>
        <v/>
      </c>
      <c r="H25" s="4">
        <f>IF($T25="","",INDEX(Weekly_Inspections!$AP$4:$AP$996,$T25))</f>
        <v/>
      </c>
      <c r="I25" s="4">
        <f>IF($T25="","",INDEX(Weekly_Inspections!$AR$4:$AR$996,$T25))</f>
        <v/>
      </c>
      <c r="J25" s="4">
        <f>IF($T25="","",INDEX(Weekly_Inspections!$AS$4:$AS$996,$T25))</f>
        <v/>
      </c>
      <c r="K25" s="4">
        <f>IF($T25="","",INDEX(Weekly_Inspections!$AU$4:$AU$996,$T25))</f>
        <v/>
      </c>
      <c r="L25" s="17">
        <f>IF($T25="","",INDEX(Weekly_Inspections!$AV$4:$AV$996,$T25))</f>
        <v/>
      </c>
      <c r="M25" s="9">
        <f>IF($T25="","","Open")</f>
        <v/>
      </c>
      <c r="N25" s="8" t="n"/>
      <c r="O25" s="4">
        <f>IF(A25="","",IF(N25&lt;&gt;"",N25-B25,TODAY()-B25))</f>
        <v/>
      </c>
      <c r="P25" s="4">
        <f>IF(A25="","",IF(AND(M25&lt;&gt;"Closed",L25&lt;TODAY()),"YES","NO"))</f>
        <v/>
      </c>
      <c r="Q25" s="4">
        <f>IF($T25="","",INDEX(Weekly_Inspections!$AW$4:$AW$996,$T25))</f>
        <v/>
      </c>
      <c r="T25" s="2">
        <f>IFERROR(AGGREGATE(15,6,(ROW(Weekly_Inspections!$AS$4:$AS$996)-ROW(Weekly_Inspections!$AS$4)+1)/(((Weekly_Inspections!$AS$4:$AS$996&lt;&gt;"")+(Weekly_Inspections!$AQ$4:$AQ$996&lt;&gt;""))&gt;0),ROWS($T$4:T25)),"")</f>
        <v/>
      </c>
    </row>
    <row r="26">
      <c r="A26" s="4">
        <f>IF($T26="","","CAPA-"&amp;TEXT($T26,"000"))</f>
        <v/>
      </c>
      <c r="B26" s="17">
        <f>IF($T26="","",INDEX(Weekly_Inspections!$B$4:$B$996,$T26))</f>
        <v/>
      </c>
      <c r="C26" s="4">
        <f>IF($T26="","",INDEX(Weekly_Inspections!$E$4:$E$996,$T26))</f>
        <v/>
      </c>
      <c r="D26" s="4">
        <f>IF($T26="","",INDEX(Weekly_Inspections!$F$4:$F$996,$T26))</f>
        <v/>
      </c>
      <c r="E26" s="4">
        <f>IF($T26="","",INDEX(Weekly_Inspections!$H$4:$H$996,$T26))</f>
        <v/>
      </c>
      <c r="F26" s="4">
        <f>IF($T26="","",INDEX(Weekly_Inspections!$R$4:$R$996,$T26))</f>
        <v/>
      </c>
      <c r="G26" s="4">
        <f>IF($T26="","",INDEX(Weekly_Inspections!$AQ$4:$AQ$996,$T26))</f>
        <v/>
      </c>
      <c r="H26" s="4">
        <f>IF($T26="","",INDEX(Weekly_Inspections!$AP$4:$AP$996,$T26))</f>
        <v/>
      </c>
      <c r="I26" s="4">
        <f>IF($T26="","",INDEX(Weekly_Inspections!$AR$4:$AR$996,$T26))</f>
        <v/>
      </c>
      <c r="J26" s="4">
        <f>IF($T26="","",INDEX(Weekly_Inspections!$AS$4:$AS$996,$T26))</f>
        <v/>
      </c>
      <c r="K26" s="4">
        <f>IF($T26="","",INDEX(Weekly_Inspections!$AU$4:$AU$996,$T26))</f>
        <v/>
      </c>
      <c r="L26" s="17">
        <f>IF($T26="","",INDEX(Weekly_Inspections!$AV$4:$AV$996,$T26))</f>
        <v/>
      </c>
      <c r="M26" s="9">
        <f>IF($T26="","","Open")</f>
        <v/>
      </c>
      <c r="N26" s="8" t="n"/>
      <c r="O26" s="4">
        <f>IF(A26="","",IF(N26&lt;&gt;"",N26-B26,TODAY()-B26))</f>
        <v/>
      </c>
      <c r="P26" s="4">
        <f>IF(A26="","",IF(AND(M26&lt;&gt;"Closed",L26&lt;TODAY()),"YES","NO"))</f>
        <v/>
      </c>
      <c r="Q26" s="4">
        <f>IF($T26="","",INDEX(Weekly_Inspections!$AW$4:$AW$996,$T26))</f>
        <v/>
      </c>
      <c r="T26" s="2">
        <f>IFERROR(AGGREGATE(15,6,(ROW(Weekly_Inspections!$AS$4:$AS$996)-ROW(Weekly_Inspections!$AS$4)+1)/(((Weekly_Inspections!$AS$4:$AS$996&lt;&gt;"")+(Weekly_Inspections!$AQ$4:$AQ$996&lt;&gt;""))&gt;0),ROWS($T$4:T26)),"")</f>
        <v/>
      </c>
    </row>
    <row r="27">
      <c r="A27" s="4">
        <f>IF($T27="","","CAPA-"&amp;TEXT($T27,"000"))</f>
        <v/>
      </c>
      <c r="B27" s="17">
        <f>IF($T27="","",INDEX(Weekly_Inspections!$B$4:$B$996,$T27))</f>
        <v/>
      </c>
      <c r="C27" s="4">
        <f>IF($T27="","",INDEX(Weekly_Inspections!$E$4:$E$996,$T27))</f>
        <v/>
      </c>
      <c r="D27" s="4">
        <f>IF($T27="","",INDEX(Weekly_Inspections!$F$4:$F$996,$T27))</f>
        <v/>
      </c>
      <c r="E27" s="4">
        <f>IF($T27="","",INDEX(Weekly_Inspections!$H$4:$H$996,$T27))</f>
        <v/>
      </c>
      <c r="F27" s="4">
        <f>IF($T27="","",INDEX(Weekly_Inspections!$R$4:$R$996,$T27))</f>
        <v/>
      </c>
      <c r="G27" s="4">
        <f>IF($T27="","",INDEX(Weekly_Inspections!$AQ$4:$AQ$996,$T27))</f>
        <v/>
      </c>
      <c r="H27" s="4">
        <f>IF($T27="","",INDEX(Weekly_Inspections!$AP$4:$AP$996,$T27))</f>
        <v/>
      </c>
      <c r="I27" s="4">
        <f>IF($T27="","",INDEX(Weekly_Inspections!$AR$4:$AR$996,$T27))</f>
        <v/>
      </c>
      <c r="J27" s="4">
        <f>IF($T27="","",INDEX(Weekly_Inspections!$AS$4:$AS$996,$T27))</f>
        <v/>
      </c>
      <c r="K27" s="4">
        <f>IF($T27="","",INDEX(Weekly_Inspections!$AU$4:$AU$996,$T27))</f>
        <v/>
      </c>
      <c r="L27" s="17">
        <f>IF($T27="","",INDEX(Weekly_Inspections!$AV$4:$AV$996,$T27))</f>
        <v/>
      </c>
      <c r="M27" s="9">
        <f>IF($T27="","","Open")</f>
        <v/>
      </c>
      <c r="N27" s="8" t="n"/>
      <c r="O27" s="4">
        <f>IF(A27="","",IF(N27&lt;&gt;"",N27-B27,TODAY()-B27))</f>
        <v/>
      </c>
      <c r="P27" s="4">
        <f>IF(A27="","",IF(AND(M27&lt;&gt;"Closed",L27&lt;TODAY()),"YES","NO"))</f>
        <v/>
      </c>
      <c r="Q27" s="4">
        <f>IF($T27="","",INDEX(Weekly_Inspections!$AW$4:$AW$996,$T27))</f>
        <v/>
      </c>
      <c r="T27" s="2">
        <f>IFERROR(AGGREGATE(15,6,(ROW(Weekly_Inspections!$AS$4:$AS$996)-ROW(Weekly_Inspections!$AS$4)+1)/(((Weekly_Inspections!$AS$4:$AS$996&lt;&gt;"")+(Weekly_Inspections!$AQ$4:$AQ$996&lt;&gt;""))&gt;0),ROWS($T$4:T27)),"")</f>
        <v/>
      </c>
    </row>
    <row r="28">
      <c r="A28" s="4">
        <f>IF($T28="","","CAPA-"&amp;TEXT($T28,"000"))</f>
        <v/>
      </c>
      <c r="B28" s="17">
        <f>IF($T28="","",INDEX(Weekly_Inspections!$B$4:$B$996,$T28))</f>
        <v/>
      </c>
      <c r="C28" s="4">
        <f>IF($T28="","",INDEX(Weekly_Inspections!$E$4:$E$996,$T28))</f>
        <v/>
      </c>
      <c r="D28" s="4">
        <f>IF($T28="","",INDEX(Weekly_Inspections!$F$4:$F$996,$T28))</f>
        <v/>
      </c>
      <c r="E28" s="4">
        <f>IF($T28="","",INDEX(Weekly_Inspections!$H$4:$H$996,$T28))</f>
        <v/>
      </c>
      <c r="F28" s="4">
        <f>IF($T28="","",INDEX(Weekly_Inspections!$R$4:$R$996,$T28))</f>
        <v/>
      </c>
      <c r="G28" s="4">
        <f>IF($T28="","",INDEX(Weekly_Inspections!$AQ$4:$AQ$996,$T28))</f>
        <v/>
      </c>
      <c r="H28" s="4">
        <f>IF($T28="","",INDEX(Weekly_Inspections!$AP$4:$AP$996,$T28))</f>
        <v/>
      </c>
      <c r="I28" s="4">
        <f>IF($T28="","",INDEX(Weekly_Inspections!$AR$4:$AR$996,$T28))</f>
        <v/>
      </c>
      <c r="J28" s="4">
        <f>IF($T28="","",INDEX(Weekly_Inspections!$AS$4:$AS$996,$T28))</f>
        <v/>
      </c>
      <c r="K28" s="4">
        <f>IF($T28="","",INDEX(Weekly_Inspections!$AU$4:$AU$996,$T28))</f>
        <v/>
      </c>
      <c r="L28" s="17">
        <f>IF($T28="","",INDEX(Weekly_Inspections!$AV$4:$AV$996,$T28))</f>
        <v/>
      </c>
      <c r="M28" s="9">
        <f>IF($T28="","","Open")</f>
        <v/>
      </c>
      <c r="N28" s="8" t="n"/>
      <c r="O28" s="4">
        <f>IF(A28="","",IF(N28&lt;&gt;"",N28-B28,TODAY()-B28))</f>
        <v/>
      </c>
      <c r="P28" s="4">
        <f>IF(A28="","",IF(AND(M28&lt;&gt;"Closed",L28&lt;TODAY()),"YES","NO"))</f>
        <v/>
      </c>
      <c r="Q28" s="4">
        <f>IF($T28="","",INDEX(Weekly_Inspections!$AW$4:$AW$996,$T28))</f>
        <v/>
      </c>
      <c r="T28" s="2">
        <f>IFERROR(AGGREGATE(15,6,(ROW(Weekly_Inspections!$AS$4:$AS$996)-ROW(Weekly_Inspections!$AS$4)+1)/(((Weekly_Inspections!$AS$4:$AS$996&lt;&gt;"")+(Weekly_Inspections!$AQ$4:$AQ$996&lt;&gt;""))&gt;0),ROWS($T$4:T28)),"")</f>
        <v/>
      </c>
    </row>
    <row r="29">
      <c r="A29" s="4">
        <f>IF($T29="","","CAPA-"&amp;TEXT($T29,"000"))</f>
        <v/>
      </c>
      <c r="B29" s="17">
        <f>IF($T29="","",INDEX(Weekly_Inspections!$B$4:$B$996,$T29))</f>
        <v/>
      </c>
      <c r="C29" s="4">
        <f>IF($T29="","",INDEX(Weekly_Inspections!$E$4:$E$996,$T29))</f>
        <v/>
      </c>
      <c r="D29" s="4">
        <f>IF($T29="","",INDEX(Weekly_Inspections!$F$4:$F$996,$T29))</f>
        <v/>
      </c>
      <c r="E29" s="4">
        <f>IF($T29="","",INDEX(Weekly_Inspections!$H$4:$H$996,$T29))</f>
        <v/>
      </c>
      <c r="F29" s="4">
        <f>IF($T29="","",INDEX(Weekly_Inspections!$R$4:$R$996,$T29))</f>
        <v/>
      </c>
      <c r="G29" s="4">
        <f>IF($T29="","",INDEX(Weekly_Inspections!$AQ$4:$AQ$996,$T29))</f>
        <v/>
      </c>
      <c r="H29" s="4">
        <f>IF($T29="","",INDEX(Weekly_Inspections!$AP$4:$AP$996,$T29))</f>
        <v/>
      </c>
      <c r="I29" s="4">
        <f>IF($T29="","",INDEX(Weekly_Inspections!$AR$4:$AR$996,$T29))</f>
        <v/>
      </c>
      <c r="J29" s="4">
        <f>IF($T29="","",INDEX(Weekly_Inspections!$AS$4:$AS$996,$T29))</f>
        <v/>
      </c>
      <c r="K29" s="4">
        <f>IF($T29="","",INDEX(Weekly_Inspections!$AU$4:$AU$996,$T29))</f>
        <v/>
      </c>
      <c r="L29" s="17">
        <f>IF($T29="","",INDEX(Weekly_Inspections!$AV$4:$AV$996,$T29))</f>
        <v/>
      </c>
      <c r="M29" s="9">
        <f>IF($T29="","","Open")</f>
        <v/>
      </c>
      <c r="N29" s="8" t="n"/>
      <c r="O29" s="4">
        <f>IF(A29="","",IF(N29&lt;&gt;"",N29-B29,TODAY()-B29))</f>
        <v/>
      </c>
      <c r="P29" s="4">
        <f>IF(A29="","",IF(AND(M29&lt;&gt;"Closed",L29&lt;TODAY()),"YES","NO"))</f>
        <v/>
      </c>
      <c r="Q29" s="4">
        <f>IF($T29="","",INDEX(Weekly_Inspections!$AW$4:$AW$996,$T29))</f>
        <v/>
      </c>
      <c r="T29" s="2">
        <f>IFERROR(AGGREGATE(15,6,(ROW(Weekly_Inspections!$AS$4:$AS$996)-ROW(Weekly_Inspections!$AS$4)+1)/(((Weekly_Inspections!$AS$4:$AS$996&lt;&gt;"")+(Weekly_Inspections!$AQ$4:$AQ$996&lt;&gt;""))&gt;0),ROWS($T$4:T29)),"")</f>
        <v/>
      </c>
    </row>
    <row r="30">
      <c r="A30" s="4">
        <f>IF($T30="","","CAPA-"&amp;TEXT($T30,"000"))</f>
        <v/>
      </c>
      <c r="B30" s="17">
        <f>IF($T30="","",INDEX(Weekly_Inspections!$B$4:$B$996,$T30))</f>
        <v/>
      </c>
      <c r="C30" s="4">
        <f>IF($T30="","",INDEX(Weekly_Inspections!$E$4:$E$996,$T30))</f>
        <v/>
      </c>
      <c r="D30" s="4">
        <f>IF($T30="","",INDEX(Weekly_Inspections!$F$4:$F$996,$T30))</f>
        <v/>
      </c>
      <c r="E30" s="4">
        <f>IF($T30="","",INDEX(Weekly_Inspections!$H$4:$H$996,$T30))</f>
        <v/>
      </c>
      <c r="F30" s="4">
        <f>IF($T30="","",INDEX(Weekly_Inspections!$R$4:$R$996,$T30))</f>
        <v/>
      </c>
      <c r="G30" s="4">
        <f>IF($T30="","",INDEX(Weekly_Inspections!$AQ$4:$AQ$996,$T30))</f>
        <v/>
      </c>
      <c r="H30" s="4">
        <f>IF($T30="","",INDEX(Weekly_Inspections!$AP$4:$AP$996,$T30))</f>
        <v/>
      </c>
      <c r="I30" s="4">
        <f>IF($T30="","",INDEX(Weekly_Inspections!$AR$4:$AR$996,$T30))</f>
        <v/>
      </c>
      <c r="J30" s="4">
        <f>IF($T30="","",INDEX(Weekly_Inspections!$AS$4:$AS$996,$T30))</f>
        <v/>
      </c>
      <c r="K30" s="4">
        <f>IF($T30="","",INDEX(Weekly_Inspections!$AU$4:$AU$996,$T30))</f>
        <v/>
      </c>
      <c r="L30" s="17">
        <f>IF($T30="","",INDEX(Weekly_Inspections!$AV$4:$AV$996,$T30))</f>
        <v/>
      </c>
      <c r="M30" s="9">
        <f>IF($T30="","","Open")</f>
        <v/>
      </c>
      <c r="N30" s="8" t="n"/>
      <c r="O30" s="4">
        <f>IF(A30="","",IF(N30&lt;&gt;"",N30-B30,TODAY()-B30))</f>
        <v/>
      </c>
      <c r="P30" s="4">
        <f>IF(A30="","",IF(AND(M30&lt;&gt;"Closed",L30&lt;TODAY()),"YES","NO"))</f>
        <v/>
      </c>
      <c r="Q30" s="4">
        <f>IF($T30="","",INDEX(Weekly_Inspections!$AW$4:$AW$996,$T30))</f>
        <v/>
      </c>
      <c r="T30" s="2">
        <f>IFERROR(AGGREGATE(15,6,(ROW(Weekly_Inspections!$AS$4:$AS$996)-ROW(Weekly_Inspections!$AS$4)+1)/(((Weekly_Inspections!$AS$4:$AS$996&lt;&gt;"")+(Weekly_Inspections!$AQ$4:$AQ$996&lt;&gt;""))&gt;0),ROWS($T$4:T30)),"")</f>
        <v/>
      </c>
    </row>
    <row r="31">
      <c r="A31" s="4">
        <f>IF($T31="","","CAPA-"&amp;TEXT($T31,"000"))</f>
        <v/>
      </c>
      <c r="B31" s="17">
        <f>IF($T31="","",INDEX(Weekly_Inspections!$B$4:$B$996,$T31))</f>
        <v/>
      </c>
      <c r="C31" s="4">
        <f>IF($T31="","",INDEX(Weekly_Inspections!$E$4:$E$996,$T31))</f>
        <v/>
      </c>
      <c r="D31" s="4">
        <f>IF($T31="","",INDEX(Weekly_Inspections!$F$4:$F$996,$T31))</f>
        <v/>
      </c>
      <c r="E31" s="4">
        <f>IF($T31="","",INDEX(Weekly_Inspections!$H$4:$H$996,$T31))</f>
        <v/>
      </c>
      <c r="F31" s="4">
        <f>IF($T31="","",INDEX(Weekly_Inspections!$R$4:$R$996,$T31))</f>
        <v/>
      </c>
      <c r="G31" s="4">
        <f>IF($T31="","",INDEX(Weekly_Inspections!$AQ$4:$AQ$996,$T31))</f>
        <v/>
      </c>
      <c r="H31" s="4">
        <f>IF($T31="","",INDEX(Weekly_Inspections!$AP$4:$AP$996,$T31))</f>
        <v/>
      </c>
      <c r="I31" s="4">
        <f>IF($T31="","",INDEX(Weekly_Inspections!$AR$4:$AR$996,$T31))</f>
        <v/>
      </c>
      <c r="J31" s="4">
        <f>IF($T31="","",INDEX(Weekly_Inspections!$AS$4:$AS$996,$T31))</f>
        <v/>
      </c>
      <c r="K31" s="4">
        <f>IF($T31="","",INDEX(Weekly_Inspections!$AU$4:$AU$996,$T31))</f>
        <v/>
      </c>
      <c r="L31" s="17">
        <f>IF($T31="","",INDEX(Weekly_Inspections!$AV$4:$AV$996,$T31))</f>
        <v/>
      </c>
      <c r="M31" s="9">
        <f>IF($T31="","","Open")</f>
        <v/>
      </c>
      <c r="N31" s="8" t="n"/>
      <c r="O31" s="4">
        <f>IF(A31="","",IF(N31&lt;&gt;"",N31-B31,TODAY()-B31))</f>
        <v/>
      </c>
      <c r="P31" s="4">
        <f>IF(A31="","",IF(AND(M31&lt;&gt;"Closed",L31&lt;TODAY()),"YES","NO"))</f>
        <v/>
      </c>
      <c r="Q31" s="4">
        <f>IF($T31="","",INDEX(Weekly_Inspections!$AW$4:$AW$996,$T31))</f>
        <v/>
      </c>
      <c r="T31" s="2">
        <f>IFERROR(AGGREGATE(15,6,(ROW(Weekly_Inspections!$AS$4:$AS$996)-ROW(Weekly_Inspections!$AS$4)+1)/(((Weekly_Inspections!$AS$4:$AS$996&lt;&gt;"")+(Weekly_Inspections!$AQ$4:$AQ$996&lt;&gt;""))&gt;0),ROWS($T$4:T31)),"")</f>
        <v/>
      </c>
    </row>
    <row r="32">
      <c r="A32" s="4">
        <f>IF($T32="","","CAPA-"&amp;TEXT($T32,"000"))</f>
        <v/>
      </c>
      <c r="B32" s="17">
        <f>IF($T32="","",INDEX(Weekly_Inspections!$B$4:$B$996,$T32))</f>
        <v/>
      </c>
      <c r="C32" s="4">
        <f>IF($T32="","",INDEX(Weekly_Inspections!$E$4:$E$996,$T32))</f>
        <v/>
      </c>
      <c r="D32" s="4">
        <f>IF($T32="","",INDEX(Weekly_Inspections!$F$4:$F$996,$T32))</f>
        <v/>
      </c>
      <c r="E32" s="4">
        <f>IF($T32="","",INDEX(Weekly_Inspections!$H$4:$H$996,$T32))</f>
        <v/>
      </c>
      <c r="F32" s="4">
        <f>IF($T32="","",INDEX(Weekly_Inspections!$R$4:$R$996,$T32))</f>
        <v/>
      </c>
      <c r="G32" s="4">
        <f>IF($T32="","",INDEX(Weekly_Inspections!$AQ$4:$AQ$996,$T32))</f>
        <v/>
      </c>
      <c r="H32" s="4">
        <f>IF($T32="","",INDEX(Weekly_Inspections!$AP$4:$AP$996,$T32))</f>
        <v/>
      </c>
      <c r="I32" s="4">
        <f>IF($T32="","",INDEX(Weekly_Inspections!$AR$4:$AR$996,$T32))</f>
        <v/>
      </c>
      <c r="J32" s="4">
        <f>IF($T32="","",INDEX(Weekly_Inspections!$AS$4:$AS$996,$T32))</f>
        <v/>
      </c>
      <c r="K32" s="4">
        <f>IF($T32="","",INDEX(Weekly_Inspections!$AU$4:$AU$996,$T32))</f>
        <v/>
      </c>
      <c r="L32" s="17">
        <f>IF($T32="","",INDEX(Weekly_Inspections!$AV$4:$AV$996,$T32))</f>
        <v/>
      </c>
      <c r="M32" s="9">
        <f>IF($T32="","","Open")</f>
        <v/>
      </c>
      <c r="N32" s="8" t="n"/>
      <c r="O32" s="4">
        <f>IF(A32="","",IF(N32&lt;&gt;"",N32-B32,TODAY()-B32))</f>
        <v/>
      </c>
      <c r="P32" s="4">
        <f>IF(A32="","",IF(AND(M32&lt;&gt;"Closed",L32&lt;TODAY()),"YES","NO"))</f>
        <v/>
      </c>
      <c r="Q32" s="4">
        <f>IF($T32="","",INDEX(Weekly_Inspections!$AW$4:$AW$996,$T32))</f>
        <v/>
      </c>
      <c r="T32" s="2">
        <f>IFERROR(AGGREGATE(15,6,(ROW(Weekly_Inspections!$AS$4:$AS$996)-ROW(Weekly_Inspections!$AS$4)+1)/(((Weekly_Inspections!$AS$4:$AS$996&lt;&gt;"")+(Weekly_Inspections!$AQ$4:$AQ$996&lt;&gt;""))&gt;0),ROWS($T$4:T32)),"")</f>
        <v/>
      </c>
    </row>
    <row r="33">
      <c r="A33" s="4">
        <f>IF($T33="","","CAPA-"&amp;TEXT($T33,"000"))</f>
        <v/>
      </c>
      <c r="B33" s="17">
        <f>IF($T33="","",INDEX(Weekly_Inspections!$B$4:$B$996,$T33))</f>
        <v/>
      </c>
      <c r="C33" s="4">
        <f>IF($T33="","",INDEX(Weekly_Inspections!$E$4:$E$996,$T33))</f>
        <v/>
      </c>
      <c r="D33" s="4">
        <f>IF($T33="","",INDEX(Weekly_Inspections!$F$4:$F$996,$T33))</f>
        <v/>
      </c>
      <c r="E33" s="4">
        <f>IF($T33="","",INDEX(Weekly_Inspections!$H$4:$H$996,$T33))</f>
        <v/>
      </c>
      <c r="F33" s="4">
        <f>IF($T33="","",INDEX(Weekly_Inspections!$R$4:$R$996,$T33))</f>
        <v/>
      </c>
      <c r="G33" s="4">
        <f>IF($T33="","",INDEX(Weekly_Inspections!$AQ$4:$AQ$996,$T33))</f>
        <v/>
      </c>
      <c r="H33" s="4">
        <f>IF($T33="","",INDEX(Weekly_Inspections!$AP$4:$AP$996,$T33))</f>
        <v/>
      </c>
      <c r="I33" s="4">
        <f>IF($T33="","",INDEX(Weekly_Inspections!$AR$4:$AR$996,$T33))</f>
        <v/>
      </c>
      <c r="J33" s="4">
        <f>IF($T33="","",INDEX(Weekly_Inspections!$AS$4:$AS$996,$T33))</f>
        <v/>
      </c>
      <c r="K33" s="4">
        <f>IF($T33="","",INDEX(Weekly_Inspections!$AU$4:$AU$996,$T33))</f>
        <v/>
      </c>
      <c r="L33" s="17">
        <f>IF($T33="","",INDEX(Weekly_Inspections!$AV$4:$AV$996,$T33))</f>
        <v/>
      </c>
      <c r="M33" s="9">
        <f>IF($T33="","","Open")</f>
        <v/>
      </c>
      <c r="N33" s="8" t="n"/>
      <c r="O33" s="4">
        <f>IF(A33="","",IF(N33&lt;&gt;"",N33-B33,TODAY()-B33))</f>
        <v/>
      </c>
      <c r="P33" s="4">
        <f>IF(A33="","",IF(AND(M33&lt;&gt;"Closed",L33&lt;TODAY()),"YES","NO"))</f>
        <v/>
      </c>
      <c r="Q33" s="4">
        <f>IF($T33="","",INDEX(Weekly_Inspections!$AW$4:$AW$996,$T33))</f>
        <v/>
      </c>
      <c r="T33" s="2">
        <f>IFERROR(AGGREGATE(15,6,(ROW(Weekly_Inspections!$AS$4:$AS$996)-ROW(Weekly_Inspections!$AS$4)+1)/(((Weekly_Inspections!$AS$4:$AS$996&lt;&gt;"")+(Weekly_Inspections!$AQ$4:$AQ$996&lt;&gt;""))&gt;0),ROWS($T$4:T33)),"")</f>
        <v/>
      </c>
    </row>
    <row r="34">
      <c r="A34" s="4">
        <f>IF($T34="","","CAPA-"&amp;TEXT($T34,"000"))</f>
        <v/>
      </c>
      <c r="B34" s="17">
        <f>IF($T34="","",INDEX(Weekly_Inspections!$B$4:$B$996,$T34))</f>
        <v/>
      </c>
      <c r="C34" s="4">
        <f>IF($T34="","",INDEX(Weekly_Inspections!$E$4:$E$996,$T34))</f>
        <v/>
      </c>
      <c r="D34" s="4">
        <f>IF($T34="","",INDEX(Weekly_Inspections!$F$4:$F$996,$T34))</f>
        <v/>
      </c>
      <c r="E34" s="4">
        <f>IF($T34="","",INDEX(Weekly_Inspections!$H$4:$H$996,$T34))</f>
        <v/>
      </c>
      <c r="F34" s="4">
        <f>IF($T34="","",INDEX(Weekly_Inspections!$R$4:$R$996,$T34))</f>
        <v/>
      </c>
      <c r="G34" s="4">
        <f>IF($T34="","",INDEX(Weekly_Inspections!$AQ$4:$AQ$996,$T34))</f>
        <v/>
      </c>
      <c r="H34" s="4">
        <f>IF($T34="","",INDEX(Weekly_Inspections!$AP$4:$AP$996,$T34))</f>
        <v/>
      </c>
      <c r="I34" s="4">
        <f>IF($T34="","",INDEX(Weekly_Inspections!$AR$4:$AR$996,$T34))</f>
        <v/>
      </c>
      <c r="J34" s="4">
        <f>IF($T34="","",INDEX(Weekly_Inspections!$AS$4:$AS$996,$T34))</f>
        <v/>
      </c>
      <c r="K34" s="4">
        <f>IF($T34="","",INDEX(Weekly_Inspections!$AU$4:$AU$996,$T34))</f>
        <v/>
      </c>
      <c r="L34" s="17">
        <f>IF($T34="","",INDEX(Weekly_Inspections!$AV$4:$AV$996,$T34))</f>
        <v/>
      </c>
      <c r="M34" s="9">
        <f>IF($T34="","","Open")</f>
        <v/>
      </c>
      <c r="N34" s="8" t="n"/>
      <c r="O34" s="4">
        <f>IF(A34="","",IF(N34&lt;&gt;"",N34-B34,TODAY()-B34))</f>
        <v/>
      </c>
      <c r="P34" s="4">
        <f>IF(A34="","",IF(AND(M34&lt;&gt;"Closed",L34&lt;TODAY()),"YES","NO"))</f>
        <v/>
      </c>
      <c r="Q34" s="4">
        <f>IF($T34="","",INDEX(Weekly_Inspections!$AW$4:$AW$996,$T34))</f>
        <v/>
      </c>
      <c r="T34" s="2">
        <f>IFERROR(AGGREGATE(15,6,(ROW(Weekly_Inspections!$AS$4:$AS$996)-ROW(Weekly_Inspections!$AS$4)+1)/(((Weekly_Inspections!$AS$4:$AS$996&lt;&gt;"")+(Weekly_Inspections!$AQ$4:$AQ$996&lt;&gt;""))&gt;0),ROWS($T$4:T34)),"")</f>
        <v/>
      </c>
    </row>
    <row r="35">
      <c r="A35" s="4">
        <f>IF($T35="","","CAPA-"&amp;TEXT($T35,"000"))</f>
        <v/>
      </c>
      <c r="B35" s="17">
        <f>IF($T35="","",INDEX(Weekly_Inspections!$B$4:$B$996,$T35))</f>
        <v/>
      </c>
      <c r="C35" s="4">
        <f>IF($T35="","",INDEX(Weekly_Inspections!$E$4:$E$996,$T35))</f>
        <v/>
      </c>
      <c r="D35" s="4">
        <f>IF($T35="","",INDEX(Weekly_Inspections!$F$4:$F$996,$T35))</f>
        <v/>
      </c>
      <c r="E35" s="4">
        <f>IF($T35="","",INDEX(Weekly_Inspections!$H$4:$H$996,$T35))</f>
        <v/>
      </c>
      <c r="F35" s="4">
        <f>IF($T35="","",INDEX(Weekly_Inspections!$R$4:$R$996,$T35))</f>
        <v/>
      </c>
      <c r="G35" s="4">
        <f>IF($T35="","",INDEX(Weekly_Inspections!$AQ$4:$AQ$996,$T35))</f>
        <v/>
      </c>
      <c r="H35" s="4">
        <f>IF($T35="","",INDEX(Weekly_Inspections!$AP$4:$AP$996,$T35))</f>
        <v/>
      </c>
      <c r="I35" s="4">
        <f>IF($T35="","",INDEX(Weekly_Inspections!$AR$4:$AR$996,$T35))</f>
        <v/>
      </c>
      <c r="J35" s="4">
        <f>IF($T35="","",INDEX(Weekly_Inspections!$AS$4:$AS$996,$T35))</f>
        <v/>
      </c>
      <c r="K35" s="4">
        <f>IF($T35="","",INDEX(Weekly_Inspections!$AU$4:$AU$996,$T35))</f>
        <v/>
      </c>
      <c r="L35" s="17">
        <f>IF($T35="","",INDEX(Weekly_Inspections!$AV$4:$AV$996,$T35))</f>
        <v/>
      </c>
      <c r="M35" s="9">
        <f>IF($T35="","","Open")</f>
        <v/>
      </c>
      <c r="N35" s="8" t="n"/>
      <c r="O35" s="4">
        <f>IF(A35="","",IF(N35&lt;&gt;"",N35-B35,TODAY()-B35))</f>
        <v/>
      </c>
      <c r="P35" s="4">
        <f>IF(A35="","",IF(AND(M35&lt;&gt;"Closed",L35&lt;TODAY()),"YES","NO"))</f>
        <v/>
      </c>
      <c r="Q35" s="4">
        <f>IF($T35="","",INDEX(Weekly_Inspections!$AW$4:$AW$996,$T35))</f>
        <v/>
      </c>
      <c r="T35" s="2">
        <f>IFERROR(AGGREGATE(15,6,(ROW(Weekly_Inspections!$AS$4:$AS$996)-ROW(Weekly_Inspections!$AS$4)+1)/(((Weekly_Inspections!$AS$4:$AS$996&lt;&gt;"")+(Weekly_Inspections!$AQ$4:$AQ$996&lt;&gt;""))&gt;0),ROWS($T$4:T35)),"")</f>
        <v/>
      </c>
    </row>
    <row r="36">
      <c r="A36" s="4">
        <f>IF($T36="","","CAPA-"&amp;TEXT($T36,"000"))</f>
        <v/>
      </c>
      <c r="B36" s="17">
        <f>IF($T36="","",INDEX(Weekly_Inspections!$B$4:$B$996,$T36))</f>
        <v/>
      </c>
      <c r="C36" s="4">
        <f>IF($T36="","",INDEX(Weekly_Inspections!$E$4:$E$996,$T36))</f>
        <v/>
      </c>
      <c r="D36" s="4">
        <f>IF($T36="","",INDEX(Weekly_Inspections!$F$4:$F$996,$T36))</f>
        <v/>
      </c>
      <c r="E36" s="4">
        <f>IF($T36="","",INDEX(Weekly_Inspections!$H$4:$H$996,$T36))</f>
        <v/>
      </c>
      <c r="F36" s="4">
        <f>IF($T36="","",INDEX(Weekly_Inspections!$R$4:$R$996,$T36))</f>
        <v/>
      </c>
      <c r="G36" s="4">
        <f>IF($T36="","",INDEX(Weekly_Inspections!$AQ$4:$AQ$996,$T36))</f>
        <v/>
      </c>
      <c r="H36" s="4">
        <f>IF($T36="","",INDEX(Weekly_Inspections!$AP$4:$AP$996,$T36))</f>
        <v/>
      </c>
      <c r="I36" s="4">
        <f>IF($T36="","",INDEX(Weekly_Inspections!$AR$4:$AR$996,$T36))</f>
        <v/>
      </c>
      <c r="J36" s="4">
        <f>IF($T36="","",INDEX(Weekly_Inspections!$AS$4:$AS$996,$T36))</f>
        <v/>
      </c>
      <c r="K36" s="4">
        <f>IF($T36="","",INDEX(Weekly_Inspections!$AU$4:$AU$996,$T36))</f>
        <v/>
      </c>
      <c r="L36" s="17">
        <f>IF($T36="","",INDEX(Weekly_Inspections!$AV$4:$AV$996,$T36))</f>
        <v/>
      </c>
      <c r="M36" s="9">
        <f>IF($T36="","","Open")</f>
        <v/>
      </c>
      <c r="N36" s="8" t="n"/>
      <c r="O36" s="4">
        <f>IF(A36="","",IF(N36&lt;&gt;"",N36-B36,TODAY()-B36))</f>
        <v/>
      </c>
      <c r="P36" s="4">
        <f>IF(A36="","",IF(AND(M36&lt;&gt;"Closed",L36&lt;TODAY()),"YES","NO"))</f>
        <v/>
      </c>
      <c r="Q36" s="4">
        <f>IF($T36="","",INDEX(Weekly_Inspections!$AW$4:$AW$996,$T36))</f>
        <v/>
      </c>
      <c r="T36" s="2">
        <f>IFERROR(AGGREGATE(15,6,(ROW(Weekly_Inspections!$AS$4:$AS$996)-ROW(Weekly_Inspections!$AS$4)+1)/(((Weekly_Inspections!$AS$4:$AS$996&lt;&gt;"")+(Weekly_Inspections!$AQ$4:$AQ$996&lt;&gt;""))&gt;0),ROWS($T$4:T36)),"")</f>
        <v/>
      </c>
    </row>
    <row r="37">
      <c r="A37" s="4">
        <f>IF($T37="","","CAPA-"&amp;TEXT($T37,"000"))</f>
        <v/>
      </c>
      <c r="B37" s="17">
        <f>IF($T37="","",INDEX(Weekly_Inspections!$B$4:$B$996,$T37))</f>
        <v/>
      </c>
      <c r="C37" s="4">
        <f>IF($T37="","",INDEX(Weekly_Inspections!$E$4:$E$996,$T37))</f>
        <v/>
      </c>
      <c r="D37" s="4">
        <f>IF($T37="","",INDEX(Weekly_Inspections!$F$4:$F$996,$T37))</f>
        <v/>
      </c>
      <c r="E37" s="4">
        <f>IF($T37="","",INDEX(Weekly_Inspections!$H$4:$H$996,$T37))</f>
        <v/>
      </c>
      <c r="F37" s="4">
        <f>IF($T37="","",INDEX(Weekly_Inspections!$R$4:$R$996,$T37))</f>
        <v/>
      </c>
      <c r="G37" s="4">
        <f>IF($T37="","",INDEX(Weekly_Inspections!$AQ$4:$AQ$996,$T37))</f>
        <v/>
      </c>
      <c r="H37" s="4">
        <f>IF($T37="","",INDEX(Weekly_Inspections!$AP$4:$AP$996,$T37))</f>
        <v/>
      </c>
      <c r="I37" s="4">
        <f>IF($T37="","",INDEX(Weekly_Inspections!$AR$4:$AR$996,$T37))</f>
        <v/>
      </c>
      <c r="J37" s="4">
        <f>IF($T37="","",INDEX(Weekly_Inspections!$AS$4:$AS$996,$T37))</f>
        <v/>
      </c>
      <c r="K37" s="4">
        <f>IF($T37="","",INDEX(Weekly_Inspections!$AU$4:$AU$996,$T37))</f>
        <v/>
      </c>
      <c r="L37" s="17">
        <f>IF($T37="","",INDEX(Weekly_Inspections!$AV$4:$AV$996,$T37))</f>
        <v/>
      </c>
      <c r="M37" s="9">
        <f>IF($T37="","","Open")</f>
        <v/>
      </c>
      <c r="N37" s="8" t="n"/>
      <c r="O37" s="4">
        <f>IF(A37="","",IF(N37&lt;&gt;"",N37-B37,TODAY()-B37))</f>
        <v/>
      </c>
      <c r="P37" s="4">
        <f>IF(A37="","",IF(AND(M37&lt;&gt;"Closed",L37&lt;TODAY()),"YES","NO"))</f>
        <v/>
      </c>
      <c r="Q37" s="4">
        <f>IF($T37="","",INDEX(Weekly_Inspections!$AW$4:$AW$996,$T37))</f>
        <v/>
      </c>
      <c r="T37" s="2">
        <f>IFERROR(AGGREGATE(15,6,(ROW(Weekly_Inspections!$AS$4:$AS$996)-ROW(Weekly_Inspections!$AS$4)+1)/(((Weekly_Inspections!$AS$4:$AS$996&lt;&gt;"")+(Weekly_Inspections!$AQ$4:$AQ$996&lt;&gt;""))&gt;0),ROWS($T$4:T37)),"")</f>
        <v/>
      </c>
    </row>
    <row r="38">
      <c r="A38" s="4">
        <f>IF($T38="","","CAPA-"&amp;TEXT($T38,"000"))</f>
        <v/>
      </c>
      <c r="B38" s="17">
        <f>IF($T38="","",INDEX(Weekly_Inspections!$B$4:$B$996,$T38))</f>
        <v/>
      </c>
      <c r="C38" s="4">
        <f>IF($T38="","",INDEX(Weekly_Inspections!$E$4:$E$996,$T38))</f>
        <v/>
      </c>
      <c r="D38" s="4">
        <f>IF($T38="","",INDEX(Weekly_Inspections!$F$4:$F$996,$T38))</f>
        <v/>
      </c>
      <c r="E38" s="4">
        <f>IF($T38="","",INDEX(Weekly_Inspections!$H$4:$H$996,$T38))</f>
        <v/>
      </c>
      <c r="F38" s="4">
        <f>IF($T38="","",INDEX(Weekly_Inspections!$R$4:$R$996,$T38))</f>
        <v/>
      </c>
      <c r="G38" s="4">
        <f>IF($T38="","",INDEX(Weekly_Inspections!$AQ$4:$AQ$996,$T38))</f>
        <v/>
      </c>
      <c r="H38" s="4">
        <f>IF($T38="","",INDEX(Weekly_Inspections!$AP$4:$AP$996,$T38))</f>
        <v/>
      </c>
      <c r="I38" s="4">
        <f>IF($T38="","",INDEX(Weekly_Inspections!$AR$4:$AR$996,$T38))</f>
        <v/>
      </c>
      <c r="J38" s="4">
        <f>IF($T38="","",INDEX(Weekly_Inspections!$AS$4:$AS$996,$T38))</f>
        <v/>
      </c>
      <c r="K38" s="4">
        <f>IF($T38="","",INDEX(Weekly_Inspections!$AU$4:$AU$996,$T38))</f>
        <v/>
      </c>
      <c r="L38" s="17">
        <f>IF($T38="","",INDEX(Weekly_Inspections!$AV$4:$AV$996,$T38))</f>
        <v/>
      </c>
      <c r="M38" s="9">
        <f>IF($T38="","","Open")</f>
        <v/>
      </c>
      <c r="N38" s="8" t="n"/>
      <c r="O38" s="4">
        <f>IF(A38="","",IF(N38&lt;&gt;"",N38-B38,TODAY()-B38))</f>
        <v/>
      </c>
      <c r="P38" s="4">
        <f>IF(A38="","",IF(AND(M38&lt;&gt;"Closed",L38&lt;TODAY()),"YES","NO"))</f>
        <v/>
      </c>
      <c r="Q38" s="4">
        <f>IF($T38="","",INDEX(Weekly_Inspections!$AW$4:$AW$996,$T38))</f>
        <v/>
      </c>
      <c r="T38" s="2">
        <f>IFERROR(AGGREGATE(15,6,(ROW(Weekly_Inspections!$AS$4:$AS$996)-ROW(Weekly_Inspections!$AS$4)+1)/(((Weekly_Inspections!$AS$4:$AS$996&lt;&gt;"")+(Weekly_Inspections!$AQ$4:$AQ$996&lt;&gt;""))&gt;0),ROWS($T$4:T38)),"")</f>
        <v/>
      </c>
    </row>
    <row r="39">
      <c r="A39" s="4">
        <f>IF($T39="","","CAPA-"&amp;TEXT($T39,"000"))</f>
        <v/>
      </c>
      <c r="B39" s="17">
        <f>IF($T39="","",INDEX(Weekly_Inspections!$B$4:$B$996,$T39))</f>
        <v/>
      </c>
      <c r="C39" s="4">
        <f>IF($T39="","",INDEX(Weekly_Inspections!$E$4:$E$996,$T39))</f>
        <v/>
      </c>
      <c r="D39" s="4">
        <f>IF($T39="","",INDEX(Weekly_Inspections!$F$4:$F$996,$T39))</f>
        <v/>
      </c>
      <c r="E39" s="4">
        <f>IF($T39="","",INDEX(Weekly_Inspections!$H$4:$H$996,$T39))</f>
        <v/>
      </c>
      <c r="F39" s="4">
        <f>IF($T39="","",INDEX(Weekly_Inspections!$R$4:$R$996,$T39))</f>
        <v/>
      </c>
      <c r="G39" s="4">
        <f>IF($T39="","",INDEX(Weekly_Inspections!$AQ$4:$AQ$996,$T39))</f>
        <v/>
      </c>
      <c r="H39" s="4">
        <f>IF($T39="","",INDEX(Weekly_Inspections!$AP$4:$AP$996,$T39))</f>
        <v/>
      </c>
      <c r="I39" s="4">
        <f>IF($T39="","",INDEX(Weekly_Inspections!$AR$4:$AR$996,$T39))</f>
        <v/>
      </c>
      <c r="J39" s="4">
        <f>IF($T39="","",INDEX(Weekly_Inspections!$AS$4:$AS$996,$T39))</f>
        <v/>
      </c>
      <c r="K39" s="4">
        <f>IF($T39="","",INDEX(Weekly_Inspections!$AU$4:$AU$996,$T39))</f>
        <v/>
      </c>
      <c r="L39" s="17">
        <f>IF($T39="","",INDEX(Weekly_Inspections!$AV$4:$AV$996,$T39))</f>
        <v/>
      </c>
      <c r="M39" s="9">
        <f>IF($T39="","","Open")</f>
        <v/>
      </c>
      <c r="N39" s="8" t="n"/>
      <c r="O39" s="4">
        <f>IF(A39="","",IF(N39&lt;&gt;"",N39-B39,TODAY()-B39))</f>
        <v/>
      </c>
      <c r="P39" s="4">
        <f>IF(A39="","",IF(AND(M39&lt;&gt;"Closed",L39&lt;TODAY()),"YES","NO"))</f>
        <v/>
      </c>
      <c r="Q39" s="4">
        <f>IF($T39="","",INDEX(Weekly_Inspections!$AW$4:$AW$996,$T39))</f>
        <v/>
      </c>
      <c r="T39" s="2">
        <f>IFERROR(AGGREGATE(15,6,(ROW(Weekly_Inspections!$AS$4:$AS$996)-ROW(Weekly_Inspections!$AS$4)+1)/(((Weekly_Inspections!$AS$4:$AS$996&lt;&gt;"")+(Weekly_Inspections!$AQ$4:$AQ$996&lt;&gt;""))&gt;0),ROWS($T$4:T39)),"")</f>
        <v/>
      </c>
    </row>
    <row r="40">
      <c r="A40" s="4">
        <f>IF($T40="","","CAPA-"&amp;TEXT($T40,"000"))</f>
        <v/>
      </c>
      <c r="B40" s="17">
        <f>IF($T40="","",INDEX(Weekly_Inspections!$B$4:$B$996,$T40))</f>
        <v/>
      </c>
      <c r="C40" s="4">
        <f>IF($T40="","",INDEX(Weekly_Inspections!$E$4:$E$996,$T40))</f>
        <v/>
      </c>
      <c r="D40" s="4">
        <f>IF($T40="","",INDEX(Weekly_Inspections!$F$4:$F$996,$T40))</f>
        <v/>
      </c>
      <c r="E40" s="4">
        <f>IF($T40="","",INDEX(Weekly_Inspections!$H$4:$H$996,$T40))</f>
        <v/>
      </c>
      <c r="F40" s="4">
        <f>IF($T40="","",INDEX(Weekly_Inspections!$R$4:$R$996,$T40))</f>
        <v/>
      </c>
      <c r="G40" s="4">
        <f>IF($T40="","",INDEX(Weekly_Inspections!$AQ$4:$AQ$996,$T40))</f>
        <v/>
      </c>
      <c r="H40" s="4">
        <f>IF($T40="","",INDEX(Weekly_Inspections!$AP$4:$AP$996,$T40))</f>
        <v/>
      </c>
      <c r="I40" s="4">
        <f>IF($T40="","",INDEX(Weekly_Inspections!$AR$4:$AR$996,$T40))</f>
        <v/>
      </c>
      <c r="J40" s="4">
        <f>IF($T40="","",INDEX(Weekly_Inspections!$AS$4:$AS$996,$T40))</f>
        <v/>
      </c>
      <c r="K40" s="4">
        <f>IF($T40="","",INDEX(Weekly_Inspections!$AU$4:$AU$996,$T40))</f>
        <v/>
      </c>
      <c r="L40" s="17">
        <f>IF($T40="","",INDEX(Weekly_Inspections!$AV$4:$AV$996,$T40))</f>
        <v/>
      </c>
      <c r="M40" s="9">
        <f>IF($T40="","","Open")</f>
        <v/>
      </c>
      <c r="N40" s="8" t="n"/>
      <c r="O40" s="4">
        <f>IF(A40="","",IF(N40&lt;&gt;"",N40-B40,TODAY()-B40))</f>
        <v/>
      </c>
      <c r="P40" s="4">
        <f>IF(A40="","",IF(AND(M40&lt;&gt;"Closed",L40&lt;TODAY()),"YES","NO"))</f>
        <v/>
      </c>
      <c r="Q40" s="4">
        <f>IF($T40="","",INDEX(Weekly_Inspections!$AW$4:$AW$996,$T40))</f>
        <v/>
      </c>
      <c r="T40" s="2">
        <f>IFERROR(AGGREGATE(15,6,(ROW(Weekly_Inspections!$AS$4:$AS$996)-ROW(Weekly_Inspections!$AS$4)+1)/(((Weekly_Inspections!$AS$4:$AS$996&lt;&gt;"")+(Weekly_Inspections!$AQ$4:$AQ$996&lt;&gt;""))&gt;0),ROWS($T$4:T40)),"")</f>
        <v/>
      </c>
    </row>
    <row r="41">
      <c r="A41" s="4">
        <f>IF($T41="","","CAPA-"&amp;TEXT($T41,"000"))</f>
        <v/>
      </c>
      <c r="B41" s="17">
        <f>IF($T41="","",INDEX(Weekly_Inspections!$B$4:$B$996,$T41))</f>
        <v/>
      </c>
      <c r="C41" s="4">
        <f>IF($T41="","",INDEX(Weekly_Inspections!$E$4:$E$996,$T41))</f>
        <v/>
      </c>
      <c r="D41" s="4">
        <f>IF($T41="","",INDEX(Weekly_Inspections!$F$4:$F$996,$T41))</f>
        <v/>
      </c>
      <c r="E41" s="4">
        <f>IF($T41="","",INDEX(Weekly_Inspections!$H$4:$H$996,$T41))</f>
        <v/>
      </c>
      <c r="F41" s="4">
        <f>IF($T41="","",INDEX(Weekly_Inspections!$R$4:$R$996,$T41))</f>
        <v/>
      </c>
      <c r="G41" s="4">
        <f>IF($T41="","",INDEX(Weekly_Inspections!$AQ$4:$AQ$996,$T41))</f>
        <v/>
      </c>
      <c r="H41" s="4">
        <f>IF($T41="","",INDEX(Weekly_Inspections!$AP$4:$AP$996,$T41))</f>
        <v/>
      </c>
      <c r="I41" s="4">
        <f>IF($T41="","",INDEX(Weekly_Inspections!$AR$4:$AR$996,$T41))</f>
        <v/>
      </c>
      <c r="J41" s="4">
        <f>IF($T41="","",INDEX(Weekly_Inspections!$AS$4:$AS$996,$T41))</f>
        <v/>
      </c>
      <c r="K41" s="4">
        <f>IF($T41="","",INDEX(Weekly_Inspections!$AU$4:$AU$996,$T41))</f>
        <v/>
      </c>
      <c r="L41" s="17">
        <f>IF($T41="","",INDEX(Weekly_Inspections!$AV$4:$AV$996,$T41))</f>
        <v/>
      </c>
      <c r="M41" s="9">
        <f>IF($T41="","","Open")</f>
        <v/>
      </c>
      <c r="N41" s="8" t="n"/>
      <c r="O41" s="4">
        <f>IF(A41="","",IF(N41&lt;&gt;"",N41-B41,TODAY()-B41))</f>
        <v/>
      </c>
      <c r="P41" s="4">
        <f>IF(A41="","",IF(AND(M41&lt;&gt;"Closed",L41&lt;TODAY()),"YES","NO"))</f>
        <v/>
      </c>
      <c r="Q41" s="4">
        <f>IF($T41="","",INDEX(Weekly_Inspections!$AW$4:$AW$996,$T41))</f>
        <v/>
      </c>
      <c r="T41" s="2">
        <f>IFERROR(AGGREGATE(15,6,(ROW(Weekly_Inspections!$AS$4:$AS$996)-ROW(Weekly_Inspections!$AS$4)+1)/(((Weekly_Inspections!$AS$4:$AS$996&lt;&gt;"")+(Weekly_Inspections!$AQ$4:$AQ$996&lt;&gt;""))&gt;0),ROWS($T$4:T41)),"")</f>
        <v/>
      </c>
    </row>
    <row r="42">
      <c r="A42" s="4">
        <f>IF($T42="","","CAPA-"&amp;TEXT($T42,"000"))</f>
        <v/>
      </c>
      <c r="B42" s="17">
        <f>IF($T42="","",INDEX(Weekly_Inspections!$B$4:$B$996,$T42))</f>
        <v/>
      </c>
      <c r="C42" s="4">
        <f>IF($T42="","",INDEX(Weekly_Inspections!$E$4:$E$996,$T42))</f>
        <v/>
      </c>
      <c r="D42" s="4">
        <f>IF($T42="","",INDEX(Weekly_Inspections!$F$4:$F$996,$T42))</f>
        <v/>
      </c>
      <c r="E42" s="4">
        <f>IF($T42="","",INDEX(Weekly_Inspections!$H$4:$H$996,$T42))</f>
        <v/>
      </c>
      <c r="F42" s="4">
        <f>IF($T42="","",INDEX(Weekly_Inspections!$R$4:$R$996,$T42))</f>
        <v/>
      </c>
      <c r="G42" s="4">
        <f>IF($T42="","",INDEX(Weekly_Inspections!$AQ$4:$AQ$996,$T42))</f>
        <v/>
      </c>
      <c r="H42" s="4">
        <f>IF($T42="","",INDEX(Weekly_Inspections!$AP$4:$AP$996,$T42))</f>
        <v/>
      </c>
      <c r="I42" s="4">
        <f>IF($T42="","",INDEX(Weekly_Inspections!$AR$4:$AR$996,$T42))</f>
        <v/>
      </c>
      <c r="J42" s="4">
        <f>IF($T42="","",INDEX(Weekly_Inspections!$AS$4:$AS$996,$T42))</f>
        <v/>
      </c>
      <c r="K42" s="4">
        <f>IF($T42="","",INDEX(Weekly_Inspections!$AU$4:$AU$996,$T42))</f>
        <v/>
      </c>
      <c r="L42" s="17">
        <f>IF($T42="","",INDEX(Weekly_Inspections!$AV$4:$AV$996,$T42))</f>
        <v/>
      </c>
      <c r="M42" s="9">
        <f>IF($T42="","","Open")</f>
        <v/>
      </c>
      <c r="N42" s="8" t="n"/>
      <c r="O42" s="4">
        <f>IF(A42="","",IF(N42&lt;&gt;"",N42-B42,TODAY()-B42))</f>
        <v/>
      </c>
      <c r="P42" s="4">
        <f>IF(A42="","",IF(AND(M42&lt;&gt;"Closed",L42&lt;TODAY()),"YES","NO"))</f>
        <v/>
      </c>
      <c r="Q42" s="4">
        <f>IF($T42="","",INDEX(Weekly_Inspections!$AW$4:$AW$996,$T42))</f>
        <v/>
      </c>
      <c r="T42" s="2">
        <f>IFERROR(AGGREGATE(15,6,(ROW(Weekly_Inspections!$AS$4:$AS$996)-ROW(Weekly_Inspections!$AS$4)+1)/(((Weekly_Inspections!$AS$4:$AS$996&lt;&gt;"")+(Weekly_Inspections!$AQ$4:$AQ$996&lt;&gt;""))&gt;0),ROWS($T$4:T42)),"")</f>
        <v/>
      </c>
    </row>
    <row r="43">
      <c r="A43" s="4">
        <f>IF($T43="","","CAPA-"&amp;TEXT($T43,"000"))</f>
        <v/>
      </c>
      <c r="B43" s="17">
        <f>IF($T43="","",INDEX(Weekly_Inspections!$B$4:$B$996,$T43))</f>
        <v/>
      </c>
      <c r="C43" s="4">
        <f>IF($T43="","",INDEX(Weekly_Inspections!$E$4:$E$996,$T43))</f>
        <v/>
      </c>
      <c r="D43" s="4">
        <f>IF($T43="","",INDEX(Weekly_Inspections!$F$4:$F$996,$T43))</f>
        <v/>
      </c>
      <c r="E43" s="4">
        <f>IF($T43="","",INDEX(Weekly_Inspections!$H$4:$H$996,$T43))</f>
        <v/>
      </c>
      <c r="F43" s="4">
        <f>IF($T43="","",INDEX(Weekly_Inspections!$R$4:$R$996,$T43))</f>
        <v/>
      </c>
      <c r="G43" s="4">
        <f>IF($T43="","",INDEX(Weekly_Inspections!$AQ$4:$AQ$996,$T43))</f>
        <v/>
      </c>
      <c r="H43" s="4">
        <f>IF($T43="","",INDEX(Weekly_Inspections!$AP$4:$AP$996,$T43))</f>
        <v/>
      </c>
      <c r="I43" s="4">
        <f>IF($T43="","",INDEX(Weekly_Inspections!$AR$4:$AR$996,$T43))</f>
        <v/>
      </c>
      <c r="J43" s="4">
        <f>IF($T43="","",INDEX(Weekly_Inspections!$AS$4:$AS$996,$T43))</f>
        <v/>
      </c>
      <c r="K43" s="4">
        <f>IF($T43="","",INDEX(Weekly_Inspections!$AU$4:$AU$996,$T43))</f>
        <v/>
      </c>
      <c r="L43" s="17">
        <f>IF($T43="","",INDEX(Weekly_Inspections!$AV$4:$AV$996,$T43))</f>
        <v/>
      </c>
      <c r="M43" s="9">
        <f>IF($T43="","","Open")</f>
        <v/>
      </c>
      <c r="N43" s="8" t="n"/>
      <c r="O43" s="4">
        <f>IF(A43="","",IF(N43&lt;&gt;"",N43-B43,TODAY()-B43))</f>
        <v/>
      </c>
      <c r="P43" s="4">
        <f>IF(A43="","",IF(AND(M43&lt;&gt;"Closed",L43&lt;TODAY()),"YES","NO"))</f>
        <v/>
      </c>
      <c r="Q43" s="4">
        <f>IF($T43="","",INDEX(Weekly_Inspections!$AW$4:$AW$996,$T43))</f>
        <v/>
      </c>
      <c r="T43" s="2">
        <f>IFERROR(AGGREGATE(15,6,(ROW(Weekly_Inspections!$AS$4:$AS$996)-ROW(Weekly_Inspections!$AS$4)+1)/(((Weekly_Inspections!$AS$4:$AS$996&lt;&gt;"")+(Weekly_Inspections!$AQ$4:$AQ$996&lt;&gt;""))&gt;0),ROWS($T$4:T43)),"")</f>
        <v/>
      </c>
    </row>
    <row r="44">
      <c r="A44" s="4">
        <f>IF($T44="","","CAPA-"&amp;TEXT($T44,"000"))</f>
        <v/>
      </c>
      <c r="B44" s="17">
        <f>IF($T44="","",INDEX(Weekly_Inspections!$B$4:$B$996,$T44))</f>
        <v/>
      </c>
      <c r="C44" s="4">
        <f>IF($T44="","",INDEX(Weekly_Inspections!$E$4:$E$996,$T44))</f>
        <v/>
      </c>
      <c r="D44" s="4">
        <f>IF($T44="","",INDEX(Weekly_Inspections!$F$4:$F$996,$T44))</f>
        <v/>
      </c>
      <c r="E44" s="4">
        <f>IF($T44="","",INDEX(Weekly_Inspections!$H$4:$H$996,$T44))</f>
        <v/>
      </c>
      <c r="F44" s="4">
        <f>IF($T44="","",INDEX(Weekly_Inspections!$R$4:$R$996,$T44))</f>
        <v/>
      </c>
      <c r="G44" s="4">
        <f>IF($T44="","",INDEX(Weekly_Inspections!$AQ$4:$AQ$996,$T44))</f>
        <v/>
      </c>
      <c r="H44" s="4">
        <f>IF($T44="","",INDEX(Weekly_Inspections!$AP$4:$AP$996,$T44))</f>
        <v/>
      </c>
      <c r="I44" s="4">
        <f>IF($T44="","",INDEX(Weekly_Inspections!$AR$4:$AR$996,$T44))</f>
        <v/>
      </c>
      <c r="J44" s="4">
        <f>IF($T44="","",INDEX(Weekly_Inspections!$AS$4:$AS$996,$T44))</f>
        <v/>
      </c>
      <c r="K44" s="4">
        <f>IF($T44="","",INDEX(Weekly_Inspections!$AU$4:$AU$996,$T44))</f>
        <v/>
      </c>
      <c r="L44" s="17">
        <f>IF($T44="","",INDEX(Weekly_Inspections!$AV$4:$AV$996,$T44))</f>
        <v/>
      </c>
      <c r="M44" s="9">
        <f>IF($T44="","","Open")</f>
        <v/>
      </c>
      <c r="N44" s="8" t="n"/>
      <c r="O44" s="4">
        <f>IF(A44="","",IF(N44&lt;&gt;"",N44-B44,TODAY()-B44))</f>
        <v/>
      </c>
      <c r="P44" s="4">
        <f>IF(A44="","",IF(AND(M44&lt;&gt;"Closed",L44&lt;TODAY()),"YES","NO"))</f>
        <v/>
      </c>
      <c r="Q44" s="4">
        <f>IF($T44="","",INDEX(Weekly_Inspections!$AW$4:$AW$996,$T44))</f>
        <v/>
      </c>
      <c r="T44" s="2">
        <f>IFERROR(AGGREGATE(15,6,(ROW(Weekly_Inspections!$AS$4:$AS$996)-ROW(Weekly_Inspections!$AS$4)+1)/(((Weekly_Inspections!$AS$4:$AS$996&lt;&gt;"")+(Weekly_Inspections!$AQ$4:$AQ$996&lt;&gt;""))&gt;0),ROWS($T$4:T44)),"")</f>
        <v/>
      </c>
    </row>
    <row r="45">
      <c r="A45" s="4">
        <f>IF($T45="","","CAPA-"&amp;TEXT($T45,"000"))</f>
        <v/>
      </c>
      <c r="B45" s="17">
        <f>IF($T45="","",INDEX(Weekly_Inspections!$B$4:$B$996,$T45))</f>
        <v/>
      </c>
      <c r="C45" s="4">
        <f>IF($T45="","",INDEX(Weekly_Inspections!$E$4:$E$996,$T45))</f>
        <v/>
      </c>
      <c r="D45" s="4">
        <f>IF($T45="","",INDEX(Weekly_Inspections!$F$4:$F$996,$T45))</f>
        <v/>
      </c>
      <c r="E45" s="4">
        <f>IF($T45="","",INDEX(Weekly_Inspections!$H$4:$H$996,$T45))</f>
        <v/>
      </c>
      <c r="F45" s="4">
        <f>IF($T45="","",INDEX(Weekly_Inspections!$R$4:$R$996,$T45))</f>
        <v/>
      </c>
      <c r="G45" s="4">
        <f>IF($T45="","",INDEX(Weekly_Inspections!$AQ$4:$AQ$996,$T45))</f>
        <v/>
      </c>
      <c r="H45" s="4">
        <f>IF($T45="","",INDEX(Weekly_Inspections!$AP$4:$AP$996,$T45))</f>
        <v/>
      </c>
      <c r="I45" s="4">
        <f>IF($T45="","",INDEX(Weekly_Inspections!$AR$4:$AR$996,$T45))</f>
        <v/>
      </c>
      <c r="J45" s="4">
        <f>IF($T45="","",INDEX(Weekly_Inspections!$AS$4:$AS$996,$T45))</f>
        <v/>
      </c>
      <c r="K45" s="4">
        <f>IF($T45="","",INDEX(Weekly_Inspections!$AU$4:$AU$996,$T45))</f>
        <v/>
      </c>
      <c r="L45" s="17">
        <f>IF($T45="","",INDEX(Weekly_Inspections!$AV$4:$AV$996,$T45))</f>
        <v/>
      </c>
      <c r="M45" s="9">
        <f>IF($T45="","","Open")</f>
        <v/>
      </c>
      <c r="N45" s="8" t="n"/>
      <c r="O45" s="4">
        <f>IF(A45="","",IF(N45&lt;&gt;"",N45-B45,TODAY()-B45))</f>
        <v/>
      </c>
      <c r="P45" s="4">
        <f>IF(A45="","",IF(AND(M45&lt;&gt;"Closed",L45&lt;TODAY()),"YES","NO"))</f>
        <v/>
      </c>
      <c r="Q45" s="4">
        <f>IF($T45="","",INDEX(Weekly_Inspections!$AW$4:$AW$996,$T45))</f>
        <v/>
      </c>
      <c r="T45" s="2">
        <f>IFERROR(AGGREGATE(15,6,(ROW(Weekly_Inspections!$AS$4:$AS$996)-ROW(Weekly_Inspections!$AS$4)+1)/(((Weekly_Inspections!$AS$4:$AS$996&lt;&gt;"")+(Weekly_Inspections!$AQ$4:$AQ$996&lt;&gt;""))&gt;0),ROWS($T$4:T45)),"")</f>
        <v/>
      </c>
    </row>
    <row r="46">
      <c r="A46" s="4">
        <f>IF($T46="","","CAPA-"&amp;TEXT($T46,"000"))</f>
        <v/>
      </c>
      <c r="B46" s="17">
        <f>IF($T46="","",INDEX(Weekly_Inspections!$B$4:$B$996,$T46))</f>
        <v/>
      </c>
      <c r="C46" s="4">
        <f>IF($T46="","",INDEX(Weekly_Inspections!$E$4:$E$996,$T46))</f>
        <v/>
      </c>
      <c r="D46" s="4">
        <f>IF($T46="","",INDEX(Weekly_Inspections!$F$4:$F$996,$T46))</f>
        <v/>
      </c>
      <c r="E46" s="4">
        <f>IF($T46="","",INDEX(Weekly_Inspections!$H$4:$H$996,$T46))</f>
        <v/>
      </c>
      <c r="F46" s="4">
        <f>IF($T46="","",INDEX(Weekly_Inspections!$R$4:$R$996,$T46))</f>
        <v/>
      </c>
      <c r="G46" s="4">
        <f>IF($T46="","",INDEX(Weekly_Inspections!$AQ$4:$AQ$996,$T46))</f>
        <v/>
      </c>
      <c r="H46" s="4">
        <f>IF($T46="","",INDEX(Weekly_Inspections!$AP$4:$AP$996,$T46))</f>
        <v/>
      </c>
      <c r="I46" s="4">
        <f>IF($T46="","",INDEX(Weekly_Inspections!$AR$4:$AR$996,$T46))</f>
        <v/>
      </c>
      <c r="J46" s="4">
        <f>IF($T46="","",INDEX(Weekly_Inspections!$AS$4:$AS$996,$T46))</f>
        <v/>
      </c>
      <c r="K46" s="4">
        <f>IF($T46="","",INDEX(Weekly_Inspections!$AU$4:$AU$996,$T46))</f>
        <v/>
      </c>
      <c r="L46" s="17">
        <f>IF($T46="","",INDEX(Weekly_Inspections!$AV$4:$AV$996,$T46))</f>
        <v/>
      </c>
      <c r="M46" s="9">
        <f>IF($T46="","","Open")</f>
        <v/>
      </c>
      <c r="N46" s="8" t="n"/>
      <c r="O46" s="4">
        <f>IF(A46="","",IF(N46&lt;&gt;"",N46-B46,TODAY()-B46))</f>
        <v/>
      </c>
      <c r="P46" s="4">
        <f>IF(A46="","",IF(AND(M46&lt;&gt;"Closed",L46&lt;TODAY()),"YES","NO"))</f>
        <v/>
      </c>
      <c r="Q46" s="4">
        <f>IF($T46="","",INDEX(Weekly_Inspections!$AW$4:$AW$996,$T46))</f>
        <v/>
      </c>
      <c r="T46" s="2">
        <f>IFERROR(AGGREGATE(15,6,(ROW(Weekly_Inspections!$AS$4:$AS$996)-ROW(Weekly_Inspections!$AS$4)+1)/(((Weekly_Inspections!$AS$4:$AS$996&lt;&gt;"")+(Weekly_Inspections!$AQ$4:$AQ$996&lt;&gt;""))&gt;0),ROWS($T$4:T46)),"")</f>
        <v/>
      </c>
    </row>
    <row r="47">
      <c r="A47" s="4">
        <f>IF($T47="","","CAPA-"&amp;TEXT($T47,"000"))</f>
        <v/>
      </c>
      <c r="B47" s="17">
        <f>IF($T47="","",INDEX(Weekly_Inspections!$B$4:$B$996,$T47))</f>
        <v/>
      </c>
      <c r="C47" s="4">
        <f>IF($T47="","",INDEX(Weekly_Inspections!$E$4:$E$996,$T47))</f>
        <v/>
      </c>
      <c r="D47" s="4">
        <f>IF($T47="","",INDEX(Weekly_Inspections!$F$4:$F$996,$T47))</f>
        <v/>
      </c>
      <c r="E47" s="4">
        <f>IF($T47="","",INDEX(Weekly_Inspections!$H$4:$H$996,$T47))</f>
        <v/>
      </c>
      <c r="F47" s="4">
        <f>IF($T47="","",INDEX(Weekly_Inspections!$R$4:$R$996,$T47))</f>
        <v/>
      </c>
      <c r="G47" s="4">
        <f>IF($T47="","",INDEX(Weekly_Inspections!$AQ$4:$AQ$996,$T47))</f>
        <v/>
      </c>
      <c r="H47" s="4">
        <f>IF($T47="","",INDEX(Weekly_Inspections!$AP$4:$AP$996,$T47))</f>
        <v/>
      </c>
      <c r="I47" s="4">
        <f>IF($T47="","",INDEX(Weekly_Inspections!$AR$4:$AR$996,$T47))</f>
        <v/>
      </c>
      <c r="J47" s="4">
        <f>IF($T47="","",INDEX(Weekly_Inspections!$AS$4:$AS$996,$T47))</f>
        <v/>
      </c>
      <c r="K47" s="4">
        <f>IF($T47="","",INDEX(Weekly_Inspections!$AU$4:$AU$996,$T47))</f>
        <v/>
      </c>
      <c r="L47" s="17">
        <f>IF($T47="","",INDEX(Weekly_Inspections!$AV$4:$AV$996,$T47))</f>
        <v/>
      </c>
      <c r="M47" s="9">
        <f>IF($T47="","","Open")</f>
        <v/>
      </c>
      <c r="N47" s="8" t="n"/>
      <c r="O47" s="4">
        <f>IF(A47="","",IF(N47&lt;&gt;"",N47-B47,TODAY()-B47))</f>
        <v/>
      </c>
      <c r="P47" s="4">
        <f>IF(A47="","",IF(AND(M47&lt;&gt;"Closed",L47&lt;TODAY()),"YES","NO"))</f>
        <v/>
      </c>
      <c r="Q47" s="4">
        <f>IF($T47="","",INDEX(Weekly_Inspections!$AW$4:$AW$996,$T47))</f>
        <v/>
      </c>
      <c r="T47" s="2">
        <f>IFERROR(AGGREGATE(15,6,(ROW(Weekly_Inspections!$AS$4:$AS$996)-ROW(Weekly_Inspections!$AS$4)+1)/(((Weekly_Inspections!$AS$4:$AS$996&lt;&gt;"")+(Weekly_Inspections!$AQ$4:$AQ$996&lt;&gt;""))&gt;0),ROWS($T$4:T47)),"")</f>
        <v/>
      </c>
    </row>
    <row r="48">
      <c r="A48" s="4">
        <f>IF($T48="","","CAPA-"&amp;TEXT($T48,"000"))</f>
        <v/>
      </c>
      <c r="B48" s="17">
        <f>IF($T48="","",INDEX(Weekly_Inspections!$B$4:$B$996,$T48))</f>
        <v/>
      </c>
      <c r="C48" s="4">
        <f>IF($T48="","",INDEX(Weekly_Inspections!$E$4:$E$996,$T48))</f>
        <v/>
      </c>
      <c r="D48" s="4">
        <f>IF($T48="","",INDEX(Weekly_Inspections!$F$4:$F$996,$T48))</f>
        <v/>
      </c>
      <c r="E48" s="4">
        <f>IF($T48="","",INDEX(Weekly_Inspections!$H$4:$H$996,$T48))</f>
        <v/>
      </c>
      <c r="F48" s="4">
        <f>IF($T48="","",INDEX(Weekly_Inspections!$R$4:$R$996,$T48))</f>
        <v/>
      </c>
      <c r="G48" s="4">
        <f>IF($T48="","",INDEX(Weekly_Inspections!$AQ$4:$AQ$996,$T48))</f>
        <v/>
      </c>
      <c r="H48" s="4">
        <f>IF($T48="","",INDEX(Weekly_Inspections!$AP$4:$AP$996,$T48))</f>
        <v/>
      </c>
      <c r="I48" s="4">
        <f>IF($T48="","",INDEX(Weekly_Inspections!$AR$4:$AR$996,$T48))</f>
        <v/>
      </c>
      <c r="J48" s="4">
        <f>IF($T48="","",INDEX(Weekly_Inspections!$AS$4:$AS$996,$T48))</f>
        <v/>
      </c>
      <c r="K48" s="4">
        <f>IF($T48="","",INDEX(Weekly_Inspections!$AU$4:$AU$996,$T48))</f>
        <v/>
      </c>
      <c r="L48" s="17">
        <f>IF($T48="","",INDEX(Weekly_Inspections!$AV$4:$AV$996,$T48))</f>
        <v/>
      </c>
      <c r="M48" s="9">
        <f>IF($T48="","","Open")</f>
        <v/>
      </c>
      <c r="N48" s="8" t="n"/>
      <c r="O48" s="4">
        <f>IF(A48="","",IF(N48&lt;&gt;"",N48-B48,TODAY()-B48))</f>
        <v/>
      </c>
      <c r="P48" s="4">
        <f>IF(A48="","",IF(AND(M48&lt;&gt;"Closed",L48&lt;TODAY()),"YES","NO"))</f>
        <v/>
      </c>
      <c r="Q48" s="4">
        <f>IF($T48="","",INDEX(Weekly_Inspections!$AW$4:$AW$996,$T48))</f>
        <v/>
      </c>
      <c r="T48" s="2">
        <f>IFERROR(AGGREGATE(15,6,(ROW(Weekly_Inspections!$AS$4:$AS$996)-ROW(Weekly_Inspections!$AS$4)+1)/(((Weekly_Inspections!$AS$4:$AS$996&lt;&gt;"")+(Weekly_Inspections!$AQ$4:$AQ$996&lt;&gt;""))&gt;0),ROWS($T$4:T48)),"")</f>
        <v/>
      </c>
    </row>
    <row r="49">
      <c r="A49" s="4">
        <f>IF($T49="","","CAPA-"&amp;TEXT($T49,"000"))</f>
        <v/>
      </c>
      <c r="B49" s="17">
        <f>IF($T49="","",INDEX(Weekly_Inspections!$B$4:$B$996,$T49))</f>
        <v/>
      </c>
      <c r="C49" s="4">
        <f>IF($T49="","",INDEX(Weekly_Inspections!$E$4:$E$996,$T49))</f>
        <v/>
      </c>
      <c r="D49" s="4">
        <f>IF($T49="","",INDEX(Weekly_Inspections!$F$4:$F$996,$T49))</f>
        <v/>
      </c>
      <c r="E49" s="4">
        <f>IF($T49="","",INDEX(Weekly_Inspections!$H$4:$H$996,$T49))</f>
        <v/>
      </c>
      <c r="F49" s="4">
        <f>IF($T49="","",INDEX(Weekly_Inspections!$R$4:$R$996,$T49))</f>
        <v/>
      </c>
      <c r="G49" s="4">
        <f>IF($T49="","",INDEX(Weekly_Inspections!$AQ$4:$AQ$996,$T49))</f>
        <v/>
      </c>
      <c r="H49" s="4">
        <f>IF($T49="","",INDEX(Weekly_Inspections!$AP$4:$AP$996,$T49))</f>
        <v/>
      </c>
      <c r="I49" s="4">
        <f>IF($T49="","",INDEX(Weekly_Inspections!$AR$4:$AR$996,$T49))</f>
        <v/>
      </c>
      <c r="J49" s="4">
        <f>IF($T49="","",INDEX(Weekly_Inspections!$AS$4:$AS$996,$T49))</f>
        <v/>
      </c>
      <c r="K49" s="4">
        <f>IF($T49="","",INDEX(Weekly_Inspections!$AU$4:$AU$996,$T49))</f>
        <v/>
      </c>
      <c r="L49" s="17">
        <f>IF($T49="","",INDEX(Weekly_Inspections!$AV$4:$AV$996,$T49))</f>
        <v/>
      </c>
      <c r="M49" s="9">
        <f>IF($T49="","","Open")</f>
        <v/>
      </c>
      <c r="N49" s="8" t="n"/>
      <c r="O49" s="4">
        <f>IF(A49="","",IF(N49&lt;&gt;"",N49-B49,TODAY()-B49))</f>
        <v/>
      </c>
      <c r="P49" s="4">
        <f>IF(A49="","",IF(AND(M49&lt;&gt;"Closed",L49&lt;TODAY()),"YES","NO"))</f>
        <v/>
      </c>
      <c r="Q49" s="4">
        <f>IF($T49="","",INDEX(Weekly_Inspections!$AW$4:$AW$996,$T49))</f>
        <v/>
      </c>
      <c r="T49" s="2">
        <f>IFERROR(AGGREGATE(15,6,(ROW(Weekly_Inspections!$AS$4:$AS$996)-ROW(Weekly_Inspections!$AS$4)+1)/(((Weekly_Inspections!$AS$4:$AS$996&lt;&gt;"")+(Weekly_Inspections!$AQ$4:$AQ$996&lt;&gt;""))&gt;0),ROWS($T$4:T49)),"")</f>
        <v/>
      </c>
    </row>
    <row r="50">
      <c r="A50" s="4">
        <f>IF($T50="","","CAPA-"&amp;TEXT($T50,"000"))</f>
        <v/>
      </c>
      <c r="B50" s="17">
        <f>IF($T50="","",INDEX(Weekly_Inspections!$B$4:$B$996,$T50))</f>
        <v/>
      </c>
      <c r="C50" s="4">
        <f>IF($T50="","",INDEX(Weekly_Inspections!$E$4:$E$996,$T50))</f>
        <v/>
      </c>
      <c r="D50" s="4">
        <f>IF($T50="","",INDEX(Weekly_Inspections!$F$4:$F$996,$T50))</f>
        <v/>
      </c>
      <c r="E50" s="4">
        <f>IF($T50="","",INDEX(Weekly_Inspections!$H$4:$H$996,$T50))</f>
        <v/>
      </c>
      <c r="F50" s="4">
        <f>IF($T50="","",INDEX(Weekly_Inspections!$R$4:$R$996,$T50))</f>
        <v/>
      </c>
      <c r="G50" s="4">
        <f>IF($T50="","",INDEX(Weekly_Inspections!$AQ$4:$AQ$996,$T50))</f>
        <v/>
      </c>
      <c r="H50" s="4">
        <f>IF($T50="","",INDEX(Weekly_Inspections!$AP$4:$AP$996,$T50))</f>
        <v/>
      </c>
      <c r="I50" s="4">
        <f>IF($T50="","",INDEX(Weekly_Inspections!$AR$4:$AR$996,$T50))</f>
        <v/>
      </c>
      <c r="J50" s="4">
        <f>IF($T50="","",INDEX(Weekly_Inspections!$AS$4:$AS$996,$T50))</f>
        <v/>
      </c>
      <c r="K50" s="4">
        <f>IF($T50="","",INDEX(Weekly_Inspections!$AU$4:$AU$996,$T50))</f>
        <v/>
      </c>
      <c r="L50" s="17">
        <f>IF($T50="","",INDEX(Weekly_Inspections!$AV$4:$AV$996,$T50))</f>
        <v/>
      </c>
      <c r="M50" s="9">
        <f>IF($T50="","","Open")</f>
        <v/>
      </c>
      <c r="N50" s="8" t="n"/>
      <c r="O50" s="4">
        <f>IF(A50="","",IF(N50&lt;&gt;"",N50-B50,TODAY()-B50))</f>
        <v/>
      </c>
      <c r="P50" s="4">
        <f>IF(A50="","",IF(AND(M50&lt;&gt;"Closed",L50&lt;TODAY()),"YES","NO"))</f>
        <v/>
      </c>
      <c r="Q50" s="4">
        <f>IF($T50="","",INDEX(Weekly_Inspections!$AW$4:$AW$996,$T50))</f>
        <v/>
      </c>
      <c r="T50" s="2">
        <f>IFERROR(AGGREGATE(15,6,(ROW(Weekly_Inspections!$AS$4:$AS$996)-ROW(Weekly_Inspections!$AS$4)+1)/(((Weekly_Inspections!$AS$4:$AS$996&lt;&gt;"")+(Weekly_Inspections!$AQ$4:$AQ$996&lt;&gt;""))&gt;0),ROWS($T$4:T50)),"")</f>
        <v/>
      </c>
    </row>
    <row r="51">
      <c r="A51" s="4">
        <f>IF($T51="","","CAPA-"&amp;TEXT($T51,"000"))</f>
        <v/>
      </c>
      <c r="B51" s="17">
        <f>IF($T51="","",INDEX(Weekly_Inspections!$B$4:$B$996,$T51))</f>
        <v/>
      </c>
      <c r="C51" s="4">
        <f>IF($T51="","",INDEX(Weekly_Inspections!$E$4:$E$996,$T51))</f>
        <v/>
      </c>
      <c r="D51" s="4">
        <f>IF($T51="","",INDEX(Weekly_Inspections!$F$4:$F$996,$T51))</f>
        <v/>
      </c>
      <c r="E51" s="4">
        <f>IF($T51="","",INDEX(Weekly_Inspections!$H$4:$H$996,$T51))</f>
        <v/>
      </c>
      <c r="F51" s="4">
        <f>IF($T51="","",INDEX(Weekly_Inspections!$R$4:$R$996,$T51))</f>
        <v/>
      </c>
      <c r="G51" s="4">
        <f>IF($T51="","",INDEX(Weekly_Inspections!$AQ$4:$AQ$996,$T51))</f>
        <v/>
      </c>
      <c r="H51" s="4">
        <f>IF($T51="","",INDEX(Weekly_Inspections!$AP$4:$AP$996,$T51))</f>
        <v/>
      </c>
      <c r="I51" s="4">
        <f>IF($T51="","",INDEX(Weekly_Inspections!$AR$4:$AR$996,$T51))</f>
        <v/>
      </c>
      <c r="J51" s="4">
        <f>IF($T51="","",INDEX(Weekly_Inspections!$AS$4:$AS$996,$T51))</f>
        <v/>
      </c>
      <c r="K51" s="4">
        <f>IF($T51="","",INDEX(Weekly_Inspections!$AU$4:$AU$996,$T51))</f>
        <v/>
      </c>
      <c r="L51" s="17">
        <f>IF($T51="","",INDEX(Weekly_Inspections!$AV$4:$AV$996,$T51))</f>
        <v/>
      </c>
      <c r="M51" s="9">
        <f>IF($T51="","","Open")</f>
        <v/>
      </c>
      <c r="N51" s="8" t="n"/>
      <c r="O51" s="4">
        <f>IF(A51="","",IF(N51&lt;&gt;"",N51-B51,TODAY()-B51))</f>
        <v/>
      </c>
      <c r="P51" s="4">
        <f>IF(A51="","",IF(AND(M51&lt;&gt;"Closed",L51&lt;TODAY()),"YES","NO"))</f>
        <v/>
      </c>
      <c r="Q51" s="4">
        <f>IF($T51="","",INDEX(Weekly_Inspections!$AW$4:$AW$996,$T51))</f>
        <v/>
      </c>
      <c r="T51" s="2">
        <f>IFERROR(AGGREGATE(15,6,(ROW(Weekly_Inspections!$AS$4:$AS$996)-ROW(Weekly_Inspections!$AS$4)+1)/(((Weekly_Inspections!$AS$4:$AS$996&lt;&gt;"")+(Weekly_Inspections!$AQ$4:$AQ$996&lt;&gt;""))&gt;0),ROWS($T$4:T51)),"")</f>
        <v/>
      </c>
    </row>
    <row r="52">
      <c r="A52" s="4">
        <f>IF($T52="","","CAPA-"&amp;TEXT($T52,"000"))</f>
        <v/>
      </c>
      <c r="B52" s="17">
        <f>IF($T52="","",INDEX(Weekly_Inspections!$B$4:$B$996,$T52))</f>
        <v/>
      </c>
      <c r="C52" s="4">
        <f>IF($T52="","",INDEX(Weekly_Inspections!$E$4:$E$996,$T52))</f>
        <v/>
      </c>
      <c r="D52" s="4">
        <f>IF($T52="","",INDEX(Weekly_Inspections!$F$4:$F$996,$T52))</f>
        <v/>
      </c>
      <c r="E52" s="4">
        <f>IF($T52="","",INDEX(Weekly_Inspections!$H$4:$H$996,$T52))</f>
        <v/>
      </c>
      <c r="F52" s="4">
        <f>IF($T52="","",INDEX(Weekly_Inspections!$R$4:$R$996,$T52))</f>
        <v/>
      </c>
      <c r="G52" s="4">
        <f>IF($T52="","",INDEX(Weekly_Inspections!$AQ$4:$AQ$996,$T52))</f>
        <v/>
      </c>
      <c r="H52" s="4">
        <f>IF($T52="","",INDEX(Weekly_Inspections!$AP$4:$AP$996,$T52))</f>
        <v/>
      </c>
      <c r="I52" s="4">
        <f>IF($T52="","",INDEX(Weekly_Inspections!$AR$4:$AR$996,$T52))</f>
        <v/>
      </c>
      <c r="J52" s="4">
        <f>IF($T52="","",INDEX(Weekly_Inspections!$AS$4:$AS$996,$T52))</f>
        <v/>
      </c>
      <c r="K52" s="4">
        <f>IF($T52="","",INDEX(Weekly_Inspections!$AU$4:$AU$996,$T52))</f>
        <v/>
      </c>
      <c r="L52" s="17">
        <f>IF($T52="","",INDEX(Weekly_Inspections!$AV$4:$AV$996,$T52))</f>
        <v/>
      </c>
      <c r="M52" s="9">
        <f>IF($T52="","","Open")</f>
        <v/>
      </c>
      <c r="N52" s="8" t="n"/>
      <c r="O52" s="4">
        <f>IF(A52="","",IF(N52&lt;&gt;"",N52-B52,TODAY()-B52))</f>
        <v/>
      </c>
      <c r="P52" s="4">
        <f>IF(A52="","",IF(AND(M52&lt;&gt;"Closed",L52&lt;TODAY()),"YES","NO"))</f>
        <v/>
      </c>
      <c r="Q52" s="4">
        <f>IF($T52="","",INDEX(Weekly_Inspections!$AW$4:$AW$996,$T52))</f>
        <v/>
      </c>
      <c r="T52" s="2">
        <f>IFERROR(AGGREGATE(15,6,(ROW(Weekly_Inspections!$AS$4:$AS$996)-ROW(Weekly_Inspections!$AS$4)+1)/(((Weekly_Inspections!$AS$4:$AS$996&lt;&gt;"")+(Weekly_Inspections!$AQ$4:$AQ$996&lt;&gt;""))&gt;0),ROWS($T$4:T52)),"")</f>
        <v/>
      </c>
    </row>
    <row r="53">
      <c r="A53" s="4">
        <f>IF($T53="","","CAPA-"&amp;TEXT($T53,"000"))</f>
        <v/>
      </c>
      <c r="B53" s="17">
        <f>IF($T53="","",INDEX(Weekly_Inspections!$B$4:$B$996,$T53))</f>
        <v/>
      </c>
      <c r="C53" s="4">
        <f>IF($T53="","",INDEX(Weekly_Inspections!$E$4:$E$996,$T53))</f>
        <v/>
      </c>
      <c r="D53" s="4">
        <f>IF($T53="","",INDEX(Weekly_Inspections!$F$4:$F$996,$T53))</f>
        <v/>
      </c>
      <c r="E53" s="4">
        <f>IF($T53="","",INDEX(Weekly_Inspections!$H$4:$H$996,$T53))</f>
        <v/>
      </c>
      <c r="F53" s="4">
        <f>IF($T53="","",INDEX(Weekly_Inspections!$R$4:$R$996,$T53))</f>
        <v/>
      </c>
      <c r="G53" s="4">
        <f>IF($T53="","",INDEX(Weekly_Inspections!$AQ$4:$AQ$996,$T53))</f>
        <v/>
      </c>
      <c r="H53" s="4">
        <f>IF($T53="","",INDEX(Weekly_Inspections!$AP$4:$AP$996,$T53))</f>
        <v/>
      </c>
      <c r="I53" s="4">
        <f>IF($T53="","",INDEX(Weekly_Inspections!$AR$4:$AR$996,$T53))</f>
        <v/>
      </c>
      <c r="J53" s="4">
        <f>IF($T53="","",INDEX(Weekly_Inspections!$AS$4:$AS$996,$T53))</f>
        <v/>
      </c>
      <c r="K53" s="4">
        <f>IF($T53="","",INDEX(Weekly_Inspections!$AU$4:$AU$996,$T53))</f>
        <v/>
      </c>
      <c r="L53" s="17">
        <f>IF($T53="","",INDEX(Weekly_Inspections!$AV$4:$AV$996,$T53))</f>
        <v/>
      </c>
      <c r="M53" s="9">
        <f>IF($T53="","","Open")</f>
        <v/>
      </c>
      <c r="N53" s="8" t="n"/>
      <c r="O53" s="4">
        <f>IF(A53="","",IF(N53&lt;&gt;"",N53-B53,TODAY()-B53))</f>
        <v/>
      </c>
      <c r="P53" s="4">
        <f>IF(A53="","",IF(AND(M53&lt;&gt;"Closed",L53&lt;TODAY()),"YES","NO"))</f>
        <v/>
      </c>
      <c r="Q53" s="4">
        <f>IF($T53="","",INDEX(Weekly_Inspections!$AW$4:$AW$996,$T53))</f>
        <v/>
      </c>
      <c r="T53" s="2">
        <f>IFERROR(AGGREGATE(15,6,(ROW(Weekly_Inspections!$AS$4:$AS$996)-ROW(Weekly_Inspections!$AS$4)+1)/(((Weekly_Inspections!$AS$4:$AS$996&lt;&gt;"")+(Weekly_Inspections!$AQ$4:$AQ$996&lt;&gt;""))&gt;0),ROWS($T$4:T53)),"")</f>
        <v/>
      </c>
    </row>
    <row r="54">
      <c r="A54" s="4">
        <f>IF($T54="","","CAPA-"&amp;TEXT($T54,"000"))</f>
        <v/>
      </c>
      <c r="B54" s="17">
        <f>IF($T54="","",INDEX(Weekly_Inspections!$B$4:$B$996,$T54))</f>
        <v/>
      </c>
      <c r="C54" s="4">
        <f>IF($T54="","",INDEX(Weekly_Inspections!$E$4:$E$996,$T54))</f>
        <v/>
      </c>
      <c r="D54" s="4">
        <f>IF($T54="","",INDEX(Weekly_Inspections!$F$4:$F$996,$T54))</f>
        <v/>
      </c>
      <c r="E54" s="4">
        <f>IF($T54="","",INDEX(Weekly_Inspections!$H$4:$H$996,$T54))</f>
        <v/>
      </c>
      <c r="F54" s="4">
        <f>IF($T54="","",INDEX(Weekly_Inspections!$R$4:$R$996,$T54))</f>
        <v/>
      </c>
      <c r="G54" s="4">
        <f>IF($T54="","",INDEX(Weekly_Inspections!$AQ$4:$AQ$996,$T54))</f>
        <v/>
      </c>
      <c r="H54" s="4">
        <f>IF($T54="","",INDEX(Weekly_Inspections!$AP$4:$AP$996,$T54))</f>
        <v/>
      </c>
      <c r="I54" s="4">
        <f>IF($T54="","",INDEX(Weekly_Inspections!$AR$4:$AR$996,$T54))</f>
        <v/>
      </c>
      <c r="J54" s="4">
        <f>IF($T54="","",INDEX(Weekly_Inspections!$AS$4:$AS$996,$T54))</f>
        <v/>
      </c>
      <c r="K54" s="4">
        <f>IF($T54="","",INDEX(Weekly_Inspections!$AU$4:$AU$996,$T54))</f>
        <v/>
      </c>
      <c r="L54" s="17">
        <f>IF($T54="","",INDEX(Weekly_Inspections!$AV$4:$AV$996,$T54))</f>
        <v/>
      </c>
      <c r="M54" s="9">
        <f>IF($T54="","","Open")</f>
        <v/>
      </c>
      <c r="N54" s="8" t="n"/>
      <c r="O54" s="4">
        <f>IF(A54="","",IF(N54&lt;&gt;"",N54-B54,TODAY()-B54))</f>
        <v/>
      </c>
      <c r="P54" s="4">
        <f>IF(A54="","",IF(AND(M54&lt;&gt;"Closed",L54&lt;TODAY()),"YES","NO"))</f>
        <v/>
      </c>
      <c r="Q54" s="4">
        <f>IF($T54="","",INDEX(Weekly_Inspections!$AW$4:$AW$996,$T54))</f>
        <v/>
      </c>
      <c r="T54" s="2">
        <f>IFERROR(AGGREGATE(15,6,(ROW(Weekly_Inspections!$AS$4:$AS$996)-ROW(Weekly_Inspections!$AS$4)+1)/(((Weekly_Inspections!$AS$4:$AS$996&lt;&gt;"")+(Weekly_Inspections!$AQ$4:$AQ$996&lt;&gt;""))&gt;0),ROWS($T$4:T54)),"")</f>
        <v/>
      </c>
    </row>
    <row r="55">
      <c r="A55" s="4">
        <f>IF($T55="","","CAPA-"&amp;TEXT($T55,"000"))</f>
        <v/>
      </c>
      <c r="B55" s="17">
        <f>IF($T55="","",INDEX(Weekly_Inspections!$B$4:$B$996,$T55))</f>
        <v/>
      </c>
      <c r="C55" s="4">
        <f>IF($T55="","",INDEX(Weekly_Inspections!$E$4:$E$996,$T55))</f>
        <v/>
      </c>
      <c r="D55" s="4">
        <f>IF($T55="","",INDEX(Weekly_Inspections!$F$4:$F$996,$T55))</f>
        <v/>
      </c>
      <c r="E55" s="4">
        <f>IF($T55="","",INDEX(Weekly_Inspections!$H$4:$H$996,$T55))</f>
        <v/>
      </c>
      <c r="F55" s="4">
        <f>IF($T55="","",INDEX(Weekly_Inspections!$R$4:$R$996,$T55))</f>
        <v/>
      </c>
      <c r="G55" s="4">
        <f>IF($T55="","",INDEX(Weekly_Inspections!$AQ$4:$AQ$996,$T55))</f>
        <v/>
      </c>
      <c r="H55" s="4">
        <f>IF($T55="","",INDEX(Weekly_Inspections!$AP$4:$AP$996,$T55))</f>
        <v/>
      </c>
      <c r="I55" s="4">
        <f>IF($T55="","",INDEX(Weekly_Inspections!$AR$4:$AR$996,$T55))</f>
        <v/>
      </c>
      <c r="J55" s="4">
        <f>IF($T55="","",INDEX(Weekly_Inspections!$AS$4:$AS$996,$T55))</f>
        <v/>
      </c>
      <c r="K55" s="4">
        <f>IF($T55="","",INDEX(Weekly_Inspections!$AU$4:$AU$996,$T55))</f>
        <v/>
      </c>
      <c r="L55" s="17">
        <f>IF($T55="","",INDEX(Weekly_Inspections!$AV$4:$AV$996,$T55))</f>
        <v/>
      </c>
      <c r="M55" s="9">
        <f>IF($T55="","","Open")</f>
        <v/>
      </c>
      <c r="N55" s="8" t="n"/>
      <c r="O55" s="4">
        <f>IF(A55="","",IF(N55&lt;&gt;"",N55-B55,TODAY()-B55))</f>
        <v/>
      </c>
      <c r="P55" s="4">
        <f>IF(A55="","",IF(AND(M55&lt;&gt;"Closed",L55&lt;TODAY()),"YES","NO"))</f>
        <v/>
      </c>
      <c r="Q55" s="4">
        <f>IF($T55="","",INDEX(Weekly_Inspections!$AW$4:$AW$996,$T55))</f>
        <v/>
      </c>
      <c r="T55" s="2">
        <f>IFERROR(AGGREGATE(15,6,(ROW(Weekly_Inspections!$AS$4:$AS$996)-ROW(Weekly_Inspections!$AS$4)+1)/(((Weekly_Inspections!$AS$4:$AS$996&lt;&gt;"")+(Weekly_Inspections!$AQ$4:$AQ$996&lt;&gt;""))&gt;0),ROWS($T$4:T55)),"")</f>
        <v/>
      </c>
    </row>
    <row r="56">
      <c r="A56" s="4">
        <f>IF($T56="","","CAPA-"&amp;TEXT($T56,"000"))</f>
        <v/>
      </c>
      <c r="B56" s="17">
        <f>IF($T56="","",INDEX(Weekly_Inspections!$B$4:$B$996,$T56))</f>
        <v/>
      </c>
      <c r="C56" s="4">
        <f>IF($T56="","",INDEX(Weekly_Inspections!$E$4:$E$996,$T56))</f>
        <v/>
      </c>
      <c r="D56" s="4">
        <f>IF($T56="","",INDEX(Weekly_Inspections!$F$4:$F$996,$T56))</f>
        <v/>
      </c>
      <c r="E56" s="4">
        <f>IF($T56="","",INDEX(Weekly_Inspections!$H$4:$H$996,$T56))</f>
        <v/>
      </c>
      <c r="F56" s="4">
        <f>IF($T56="","",INDEX(Weekly_Inspections!$R$4:$R$996,$T56))</f>
        <v/>
      </c>
      <c r="G56" s="4">
        <f>IF($T56="","",INDEX(Weekly_Inspections!$AQ$4:$AQ$996,$T56))</f>
        <v/>
      </c>
      <c r="H56" s="4">
        <f>IF($T56="","",INDEX(Weekly_Inspections!$AP$4:$AP$996,$T56))</f>
        <v/>
      </c>
      <c r="I56" s="4">
        <f>IF($T56="","",INDEX(Weekly_Inspections!$AR$4:$AR$996,$T56))</f>
        <v/>
      </c>
      <c r="J56" s="4">
        <f>IF($T56="","",INDEX(Weekly_Inspections!$AS$4:$AS$996,$T56))</f>
        <v/>
      </c>
      <c r="K56" s="4">
        <f>IF($T56="","",INDEX(Weekly_Inspections!$AU$4:$AU$996,$T56))</f>
        <v/>
      </c>
      <c r="L56" s="17">
        <f>IF($T56="","",INDEX(Weekly_Inspections!$AV$4:$AV$996,$T56))</f>
        <v/>
      </c>
      <c r="M56" s="9">
        <f>IF($T56="","","Open")</f>
        <v/>
      </c>
      <c r="N56" s="8" t="n"/>
      <c r="O56" s="4">
        <f>IF(A56="","",IF(N56&lt;&gt;"",N56-B56,TODAY()-B56))</f>
        <v/>
      </c>
      <c r="P56" s="4">
        <f>IF(A56="","",IF(AND(M56&lt;&gt;"Closed",L56&lt;TODAY()),"YES","NO"))</f>
        <v/>
      </c>
      <c r="Q56" s="4">
        <f>IF($T56="","",INDEX(Weekly_Inspections!$AW$4:$AW$996,$T56))</f>
        <v/>
      </c>
      <c r="T56" s="2">
        <f>IFERROR(AGGREGATE(15,6,(ROW(Weekly_Inspections!$AS$4:$AS$996)-ROW(Weekly_Inspections!$AS$4)+1)/(((Weekly_Inspections!$AS$4:$AS$996&lt;&gt;"")+(Weekly_Inspections!$AQ$4:$AQ$996&lt;&gt;""))&gt;0),ROWS($T$4:T56)),"")</f>
        <v/>
      </c>
    </row>
    <row r="57">
      <c r="A57" s="4">
        <f>IF($T57="","","CAPA-"&amp;TEXT($T57,"000"))</f>
        <v/>
      </c>
      <c r="B57" s="17">
        <f>IF($T57="","",INDEX(Weekly_Inspections!$B$4:$B$996,$T57))</f>
        <v/>
      </c>
      <c r="C57" s="4">
        <f>IF($T57="","",INDEX(Weekly_Inspections!$E$4:$E$996,$T57))</f>
        <v/>
      </c>
      <c r="D57" s="4">
        <f>IF($T57="","",INDEX(Weekly_Inspections!$F$4:$F$996,$T57))</f>
        <v/>
      </c>
      <c r="E57" s="4">
        <f>IF($T57="","",INDEX(Weekly_Inspections!$H$4:$H$996,$T57))</f>
        <v/>
      </c>
      <c r="F57" s="4">
        <f>IF($T57="","",INDEX(Weekly_Inspections!$R$4:$R$996,$T57))</f>
        <v/>
      </c>
      <c r="G57" s="4">
        <f>IF($T57="","",INDEX(Weekly_Inspections!$AQ$4:$AQ$996,$T57))</f>
        <v/>
      </c>
      <c r="H57" s="4">
        <f>IF($T57="","",INDEX(Weekly_Inspections!$AP$4:$AP$996,$T57))</f>
        <v/>
      </c>
      <c r="I57" s="4">
        <f>IF($T57="","",INDEX(Weekly_Inspections!$AR$4:$AR$996,$T57))</f>
        <v/>
      </c>
      <c r="J57" s="4">
        <f>IF($T57="","",INDEX(Weekly_Inspections!$AS$4:$AS$996,$T57))</f>
        <v/>
      </c>
      <c r="K57" s="4">
        <f>IF($T57="","",INDEX(Weekly_Inspections!$AU$4:$AU$996,$T57))</f>
        <v/>
      </c>
      <c r="L57" s="17">
        <f>IF($T57="","",INDEX(Weekly_Inspections!$AV$4:$AV$996,$T57))</f>
        <v/>
      </c>
      <c r="M57" s="9">
        <f>IF($T57="","","Open")</f>
        <v/>
      </c>
      <c r="N57" s="8" t="n"/>
      <c r="O57" s="4">
        <f>IF(A57="","",IF(N57&lt;&gt;"",N57-B57,TODAY()-B57))</f>
        <v/>
      </c>
      <c r="P57" s="4">
        <f>IF(A57="","",IF(AND(M57&lt;&gt;"Closed",L57&lt;TODAY()),"YES","NO"))</f>
        <v/>
      </c>
      <c r="Q57" s="4">
        <f>IF($T57="","",INDEX(Weekly_Inspections!$AW$4:$AW$996,$T57))</f>
        <v/>
      </c>
      <c r="T57" s="2">
        <f>IFERROR(AGGREGATE(15,6,(ROW(Weekly_Inspections!$AS$4:$AS$996)-ROW(Weekly_Inspections!$AS$4)+1)/(((Weekly_Inspections!$AS$4:$AS$996&lt;&gt;"")+(Weekly_Inspections!$AQ$4:$AQ$996&lt;&gt;""))&gt;0),ROWS($T$4:T57)),"")</f>
        <v/>
      </c>
    </row>
    <row r="58">
      <c r="A58" s="4">
        <f>IF($T58="","","CAPA-"&amp;TEXT($T58,"000"))</f>
        <v/>
      </c>
      <c r="B58" s="17">
        <f>IF($T58="","",INDEX(Weekly_Inspections!$B$4:$B$996,$T58))</f>
        <v/>
      </c>
      <c r="C58" s="4">
        <f>IF($T58="","",INDEX(Weekly_Inspections!$E$4:$E$996,$T58))</f>
        <v/>
      </c>
      <c r="D58" s="4">
        <f>IF($T58="","",INDEX(Weekly_Inspections!$F$4:$F$996,$T58))</f>
        <v/>
      </c>
      <c r="E58" s="4">
        <f>IF($T58="","",INDEX(Weekly_Inspections!$H$4:$H$996,$T58))</f>
        <v/>
      </c>
      <c r="F58" s="4">
        <f>IF($T58="","",INDEX(Weekly_Inspections!$R$4:$R$996,$T58))</f>
        <v/>
      </c>
      <c r="G58" s="4">
        <f>IF($T58="","",INDEX(Weekly_Inspections!$AQ$4:$AQ$996,$T58))</f>
        <v/>
      </c>
      <c r="H58" s="4">
        <f>IF($T58="","",INDEX(Weekly_Inspections!$AP$4:$AP$996,$T58))</f>
        <v/>
      </c>
      <c r="I58" s="4">
        <f>IF($T58="","",INDEX(Weekly_Inspections!$AR$4:$AR$996,$T58))</f>
        <v/>
      </c>
      <c r="J58" s="4">
        <f>IF($T58="","",INDEX(Weekly_Inspections!$AS$4:$AS$996,$T58))</f>
        <v/>
      </c>
      <c r="K58" s="4">
        <f>IF($T58="","",INDEX(Weekly_Inspections!$AU$4:$AU$996,$T58))</f>
        <v/>
      </c>
      <c r="L58" s="17">
        <f>IF($T58="","",INDEX(Weekly_Inspections!$AV$4:$AV$996,$T58))</f>
        <v/>
      </c>
      <c r="M58" s="9">
        <f>IF($T58="","","Open")</f>
        <v/>
      </c>
      <c r="N58" s="8" t="n"/>
      <c r="O58" s="4">
        <f>IF(A58="","",IF(N58&lt;&gt;"",N58-B58,TODAY()-B58))</f>
        <v/>
      </c>
      <c r="P58" s="4">
        <f>IF(A58="","",IF(AND(M58&lt;&gt;"Closed",L58&lt;TODAY()),"YES","NO"))</f>
        <v/>
      </c>
      <c r="Q58" s="4">
        <f>IF($T58="","",INDEX(Weekly_Inspections!$AW$4:$AW$996,$T58))</f>
        <v/>
      </c>
      <c r="T58" s="2">
        <f>IFERROR(AGGREGATE(15,6,(ROW(Weekly_Inspections!$AS$4:$AS$996)-ROW(Weekly_Inspections!$AS$4)+1)/(((Weekly_Inspections!$AS$4:$AS$996&lt;&gt;"")+(Weekly_Inspections!$AQ$4:$AQ$996&lt;&gt;""))&gt;0),ROWS($T$4:T58)),"")</f>
        <v/>
      </c>
    </row>
    <row r="59">
      <c r="A59" s="4">
        <f>IF($T59="","","CAPA-"&amp;TEXT($T59,"000"))</f>
        <v/>
      </c>
      <c r="B59" s="17">
        <f>IF($T59="","",INDEX(Weekly_Inspections!$B$4:$B$996,$T59))</f>
        <v/>
      </c>
      <c r="C59" s="4">
        <f>IF($T59="","",INDEX(Weekly_Inspections!$E$4:$E$996,$T59))</f>
        <v/>
      </c>
      <c r="D59" s="4">
        <f>IF($T59="","",INDEX(Weekly_Inspections!$F$4:$F$996,$T59))</f>
        <v/>
      </c>
      <c r="E59" s="4">
        <f>IF($T59="","",INDEX(Weekly_Inspections!$H$4:$H$996,$T59))</f>
        <v/>
      </c>
      <c r="F59" s="4">
        <f>IF($T59="","",INDEX(Weekly_Inspections!$R$4:$R$996,$T59))</f>
        <v/>
      </c>
      <c r="G59" s="4">
        <f>IF($T59="","",INDEX(Weekly_Inspections!$AQ$4:$AQ$996,$T59))</f>
        <v/>
      </c>
      <c r="H59" s="4">
        <f>IF($T59="","",INDEX(Weekly_Inspections!$AP$4:$AP$996,$T59))</f>
        <v/>
      </c>
      <c r="I59" s="4">
        <f>IF($T59="","",INDEX(Weekly_Inspections!$AR$4:$AR$996,$T59))</f>
        <v/>
      </c>
      <c r="J59" s="4">
        <f>IF($T59="","",INDEX(Weekly_Inspections!$AS$4:$AS$996,$T59))</f>
        <v/>
      </c>
      <c r="K59" s="4">
        <f>IF($T59="","",INDEX(Weekly_Inspections!$AU$4:$AU$996,$T59))</f>
        <v/>
      </c>
      <c r="L59" s="17">
        <f>IF($T59="","",INDEX(Weekly_Inspections!$AV$4:$AV$996,$T59))</f>
        <v/>
      </c>
      <c r="M59" s="9">
        <f>IF($T59="","","Open")</f>
        <v/>
      </c>
      <c r="N59" s="8" t="n"/>
      <c r="O59" s="4">
        <f>IF(A59="","",IF(N59&lt;&gt;"",N59-B59,TODAY()-B59))</f>
        <v/>
      </c>
      <c r="P59" s="4">
        <f>IF(A59="","",IF(AND(M59&lt;&gt;"Closed",L59&lt;TODAY()),"YES","NO"))</f>
        <v/>
      </c>
      <c r="Q59" s="4">
        <f>IF($T59="","",INDEX(Weekly_Inspections!$AW$4:$AW$996,$T59))</f>
        <v/>
      </c>
      <c r="T59" s="2">
        <f>IFERROR(AGGREGATE(15,6,(ROW(Weekly_Inspections!$AS$4:$AS$996)-ROW(Weekly_Inspections!$AS$4)+1)/(((Weekly_Inspections!$AS$4:$AS$996&lt;&gt;"")+(Weekly_Inspections!$AQ$4:$AQ$996&lt;&gt;""))&gt;0),ROWS($T$4:T59)),"")</f>
        <v/>
      </c>
    </row>
    <row r="60">
      <c r="A60" s="4">
        <f>IF($T60="","","CAPA-"&amp;TEXT($T60,"000"))</f>
        <v/>
      </c>
      <c r="B60" s="17">
        <f>IF($T60="","",INDEX(Weekly_Inspections!$B$4:$B$996,$T60))</f>
        <v/>
      </c>
      <c r="C60" s="4">
        <f>IF($T60="","",INDEX(Weekly_Inspections!$E$4:$E$996,$T60))</f>
        <v/>
      </c>
      <c r="D60" s="4">
        <f>IF($T60="","",INDEX(Weekly_Inspections!$F$4:$F$996,$T60))</f>
        <v/>
      </c>
      <c r="E60" s="4">
        <f>IF($T60="","",INDEX(Weekly_Inspections!$H$4:$H$996,$T60))</f>
        <v/>
      </c>
      <c r="F60" s="4">
        <f>IF($T60="","",INDEX(Weekly_Inspections!$R$4:$R$996,$T60))</f>
        <v/>
      </c>
      <c r="G60" s="4">
        <f>IF($T60="","",INDEX(Weekly_Inspections!$AQ$4:$AQ$996,$T60))</f>
        <v/>
      </c>
      <c r="H60" s="4">
        <f>IF($T60="","",INDEX(Weekly_Inspections!$AP$4:$AP$996,$T60))</f>
        <v/>
      </c>
      <c r="I60" s="4">
        <f>IF($T60="","",INDEX(Weekly_Inspections!$AR$4:$AR$996,$T60))</f>
        <v/>
      </c>
      <c r="J60" s="4">
        <f>IF($T60="","",INDEX(Weekly_Inspections!$AS$4:$AS$996,$T60))</f>
        <v/>
      </c>
      <c r="K60" s="4">
        <f>IF($T60="","",INDEX(Weekly_Inspections!$AU$4:$AU$996,$T60))</f>
        <v/>
      </c>
      <c r="L60" s="17">
        <f>IF($T60="","",INDEX(Weekly_Inspections!$AV$4:$AV$996,$T60))</f>
        <v/>
      </c>
      <c r="M60" s="9">
        <f>IF($T60="","","Open")</f>
        <v/>
      </c>
      <c r="N60" s="8" t="n"/>
      <c r="O60" s="4">
        <f>IF(A60="","",IF(N60&lt;&gt;"",N60-B60,TODAY()-B60))</f>
        <v/>
      </c>
      <c r="P60" s="4">
        <f>IF(A60="","",IF(AND(M60&lt;&gt;"Closed",L60&lt;TODAY()),"YES","NO"))</f>
        <v/>
      </c>
      <c r="Q60" s="4">
        <f>IF($T60="","",INDEX(Weekly_Inspections!$AW$4:$AW$996,$T60))</f>
        <v/>
      </c>
      <c r="T60" s="2">
        <f>IFERROR(AGGREGATE(15,6,(ROW(Weekly_Inspections!$AS$4:$AS$996)-ROW(Weekly_Inspections!$AS$4)+1)/(((Weekly_Inspections!$AS$4:$AS$996&lt;&gt;"")+(Weekly_Inspections!$AQ$4:$AQ$996&lt;&gt;""))&gt;0),ROWS($T$4:T60)),"")</f>
        <v/>
      </c>
    </row>
    <row r="61">
      <c r="A61" s="4">
        <f>IF($T61="","","CAPA-"&amp;TEXT($T61,"000"))</f>
        <v/>
      </c>
      <c r="B61" s="17">
        <f>IF($T61="","",INDEX(Weekly_Inspections!$B$4:$B$996,$T61))</f>
        <v/>
      </c>
      <c r="C61" s="4">
        <f>IF($T61="","",INDEX(Weekly_Inspections!$E$4:$E$996,$T61))</f>
        <v/>
      </c>
      <c r="D61" s="4">
        <f>IF($T61="","",INDEX(Weekly_Inspections!$F$4:$F$996,$T61))</f>
        <v/>
      </c>
      <c r="E61" s="4">
        <f>IF($T61="","",INDEX(Weekly_Inspections!$H$4:$H$996,$T61))</f>
        <v/>
      </c>
      <c r="F61" s="4">
        <f>IF($T61="","",INDEX(Weekly_Inspections!$R$4:$R$996,$T61))</f>
        <v/>
      </c>
      <c r="G61" s="4">
        <f>IF($T61="","",INDEX(Weekly_Inspections!$AQ$4:$AQ$996,$T61))</f>
        <v/>
      </c>
      <c r="H61" s="4">
        <f>IF($T61="","",INDEX(Weekly_Inspections!$AP$4:$AP$996,$T61))</f>
        <v/>
      </c>
      <c r="I61" s="4">
        <f>IF($T61="","",INDEX(Weekly_Inspections!$AR$4:$AR$996,$T61))</f>
        <v/>
      </c>
      <c r="J61" s="4">
        <f>IF($T61="","",INDEX(Weekly_Inspections!$AS$4:$AS$996,$T61))</f>
        <v/>
      </c>
      <c r="K61" s="4">
        <f>IF($T61="","",INDEX(Weekly_Inspections!$AU$4:$AU$996,$T61))</f>
        <v/>
      </c>
      <c r="L61" s="17">
        <f>IF($T61="","",INDEX(Weekly_Inspections!$AV$4:$AV$996,$T61))</f>
        <v/>
      </c>
      <c r="M61" s="9">
        <f>IF($T61="","","Open")</f>
        <v/>
      </c>
      <c r="N61" s="8" t="n"/>
      <c r="O61" s="4">
        <f>IF(A61="","",IF(N61&lt;&gt;"",N61-B61,TODAY()-B61))</f>
        <v/>
      </c>
      <c r="P61" s="4">
        <f>IF(A61="","",IF(AND(M61&lt;&gt;"Closed",L61&lt;TODAY()),"YES","NO"))</f>
        <v/>
      </c>
      <c r="Q61" s="4">
        <f>IF($T61="","",INDEX(Weekly_Inspections!$AW$4:$AW$996,$T61))</f>
        <v/>
      </c>
      <c r="T61" s="2">
        <f>IFERROR(AGGREGATE(15,6,(ROW(Weekly_Inspections!$AS$4:$AS$996)-ROW(Weekly_Inspections!$AS$4)+1)/(((Weekly_Inspections!$AS$4:$AS$996&lt;&gt;"")+(Weekly_Inspections!$AQ$4:$AQ$996&lt;&gt;""))&gt;0),ROWS($T$4:T61)),"")</f>
        <v/>
      </c>
    </row>
    <row r="62">
      <c r="A62" s="4">
        <f>IF($T62="","","CAPA-"&amp;TEXT($T62,"000"))</f>
        <v/>
      </c>
      <c r="B62" s="17">
        <f>IF($T62="","",INDEX(Weekly_Inspections!$B$4:$B$996,$T62))</f>
        <v/>
      </c>
      <c r="C62" s="4">
        <f>IF($T62="","",INDEX(Weekly_Inspections!$E$4:$E$996,$T62))</f>
        <v/>
      </c>
      <c r="D62" s="4">
        <f>IF($T62="","",INDEX(Weekly_Inspections!$F$4:$F$996,$T62))</f>
        <v/>
      </c>
      <c r="E62" s="4">
        <f>IF($T62="","",INDEX(Weekly_Inspections!$H$4:$H$996,$T62))</f>
        <v/>
      </c>
      <c r="F62" s="4">
        <f>IF($T62="","",INDEX(Weekly_Inspections!$R$4:$R$996,$T62))</f>
        <v/>
      </c>
      <c r="G62" s="4">
        <f>IF($T62="","",INDEX(Weekly_Inspections!$AQ$4:$AQ$996,$T62))</f>
        <v/>
      </c>
      <c r="H62" s="4">
        <f>IF($T62="","",INDEX(Weekly_Inspections!$AP$4:$AP$996,$T62))</f>
        <v/>
      </c>
      <c r="I62" s="4">
        <f>IF($T62="","",INDEX(Weekly_Inspections!$AR$4:$AR$996,$T62))</f>
        <v/>
      </c>
      <c r="J62" s="4">
        <f>IF($T62="","",INDEX(Weekly_Inspections!$AS$4:$AS$996,$T62))</f>
        <v/>
      </c>
      <c r="K62" s="4">
        <f>IF($T62="","",INDEX(Weekly_Inspections!$AU$4:$AU$996,$T62))</f>
        <v/>
      </c>
      <c r="L62" s="17">
        <f>IF($T62="","",INDEX(Weekly_Inspections!$AV$4:$AV$996,$T62))</f>
        <v/>
      </c>
      <c r="M62" s="9">
        <f>IF($T62="","","Open")</f>
        <v/>
      </c>
      <c r="N62" s="8" t="n"/>
      <c r="O62" s="4">
        <f>IF(A62="","",IF(N62&lt;&gt;"",N62-B62,TODAY()-B62))</f>
        <v/>
      </c>
      <c r="P62" s="4">
        <f>IF(A62="","",IF(AND(M62&lt;&gt;"Closed",L62&lt;TODAY()),"YES","NO"))</f>
        <v/>
      </c>
      <c r="Q62" s="4">
        <f>IF($T62="","",INDEX(Weekly_Inspections!$AW$4:$AW$996,$T62))</f>
        <v/>
      </c>
      <c r="T62" s="2">
        <f>IFERROR(AGGREGATE(15,6,(ROW(Weekly_Inspections!$AS$4:$AS$996)-ROW(Weekly_Inspections!$AS$4)+1)/(((Weekly_Inspections!$AS$4:$AS$996&lt;&gt;"")+(Weekly_Inspections!$AQ$4:$AQ$996&lt;&gt;""))&gt;0),ROWS($T$4:T62)),"")</f>
        <v/>
      </c>
    </row>
    <row r="63">
      <c r="A63" s="4">
        <f>IF($T63="","","CAPA-"&amp;TEXT($T63,"000"))</f>
        <v/>
      </c>
      <c r="B63" s="17">
        <f>IF($T63="","",INDEX(Weekly_Inspections!$B$4:$B$996,$T63))</f>
        <v/>
      </c>
      <c r="C63" s="4">
        <f>IF($T63="","",INDEX(Weekly_Inspections!$E$4:$E$996,$T63))</f>
        <v/>
      </c>
      <c r="D63" s="4">
        <f>IF($T63="","",INDEX(Weekly_Inspections!$F$4:$F$996,$T63))</f>
        <v/>
      </c>
      <c r="E63" s="4">
        <f>IF($T63="","",INDEX(Weekly_Inspections!$H$4:$H$996,$T63))</f>
        <v/>
      </c>
      <c r="F63" s="4">
        <f>IF($T63="","",INDEX(Weekly_Inspections!$R$4:$R$996,$T63))</f>
        <v/>
      </c>
      <c r="G63" s="4">
        <f>IF($T63="","",INDEX(Weekly_Inspections!$AQ$4:$AQ$996,$T63))</f>
        <v/>
      </c>
      <c r="H63" s="4">
        <f>IF($T63="","",INDEX(Weekly_Inspections!$AP$4:$AP$996,$T63))</f>
        <v/>
      </c>
      <c r="I63" s="4">
        <f>IF($T63="","",INDEX(Weekly_Inspections!$AR$4:$AR$996,$T63))</f>
        <v/>
      </c>
      <c r="J63" s="4">
        <f>IF($T63="","",INDEX(Weekly_Inspections!$AS$4:$AS$996,$T63))</f>
        <v/>
      </c>
      <c r="K63" s="4">
        <f>IF($T63="","",INDEX(Weekly_Inspections!$AU$4:$AU$996,$T63))</f>
        <v/>
      </c>
      <c r="L63" s="17">
        <f>IF($T63="","",INDEX(Weekly_Inspections!$AV$4:$AV$996,$T63))</f>
        <v/>
      </c>
      <c r="M63" s="9">
        <f>IF($T63="","","Open")</f>
        <v/>
      </c>
      <c r="N63" s="8" t="n"/>
      <c r="O63" s="4">
        <f>IF(A63="","",IF(N63&lt;&gt;"",N63-B63,TODAY()-B63))</f>
        <v/>
      </c>
      <c r="P63" s="4">
        <f>IF(A63="","",IF(AND(M63&lt;&gt;"Closed",L63&lt;TODAY()),"YES","NO"))</f>
        <v/>
      </c>
      <c r="Q63" s="4">
        <f>IF($T63="","",INDEX(Weekly_Inspections!$AW$4:$AW$996,$T63))</f>
        <v/>
      </c>
      <c r="T63" s="2">
        <f>IFERROR(AGGREGATE(15,6,(ROW(Weekly_Inspections!$AS$4:$AS$996)-ROW(Weekly_Inspections!$AS$4)+1)/(((Weekly_Inspections!$AS$4:$AS$996&lt;&gt;"")+(Weekly_Inspections!$AQ$4:$AQ$996&lt;&gt;""))&gt;0),ROWS($T$4:T63)),"")</f>
        <v/>
      </c>
    </row>
    <row r="64">
      <c r="A64" s="4">
        <f>IF($T64="","","CAPA-"&amp;TEXT($T64,"000"))</f>
        <v/>
      </c>
      <c r="B64" s="17">
        <f>IF($T64="","",INDEX(Weekly_Inspections!$B$4:$B$996,$T64))</f>
        <v/>
      </c>
      <c r="C64" s="4">
        <f>IF($T64="","",INDEX(Weekly_Inspections!$E$4:$E$996,$T64))</f>
        <v/>
      </c>
      <c r="D64" s="4">
        <f>IF($T64="","",INDEX(Weekly_Inspections!$F$4:$F$996,$T64))</f>
        <v/>
      </c>
      <c r="E64" s="4">
        <f>IF($T64="","",INDEX(Weekly_Inspections!$H$4:$H$996,$T64))</f>
        <v/>
      </c>
      <c r="F64" s="4">
        <f>IF($T64="","",INDEX(Weekly_Inspections!$R$4:$R$996,$T64))</f>
        <v/>
      </c>
      <c r="G64" s="4">
        <f>IF($T64="","",INDEX(Weekly_Inspections!$AQ$4:$AQ$996,$T64))</f>
        <v/>
      </c>
      <c r="H64" s="4">
        <f>IF($T64="","",INDEX(Weekly_Inspections!$AP$4:$AP$996,$T64))</f>
        <v/>
      </c>
      <c r="I64" s="4">
        <f>IF($T64="","",INDEX(Weekly_Inspections!$AR$4:$AR$996,$T64))</f>
        <v/>
      </c>
      <c r="J64" s="4">
        <f>IF($T64="","",INDEX(Weekly_Inspections!$AS$4:$AS$996,$T64))</f>
        <v/>
      </c>
      <c r="K64" s="4">
        <f>IF($T64="","",INDEX(Weekly_Inspections!$AU$4:$AU$996,$T64))</f>
        <v/>
      </c>
      <c r="L64" s="17">
        <f>IF($T64="","",INDEX(Weekly_Inspections!$AV$4:$AV$996,$T64))</f>
        <v/>
      </c>
      <c r="M64" s="9">
        <f>IF($T64="","","Open")</f>
        <v/>
      </c>
      <c r="N64" s="8" t="n"/>
      <c r="O64" s="4">
        <f>IF(A64="","",IF(N64&lt;&gt;"",N64-B64,TODAY()-B64))</f>
        <v/>
      </c>
      <c r="P64" s="4">
        <f>IF(A64="","",IF(AND(M64&lt;&gt;"Closed",L64&lt;TODAY()),"YES","NO"))</f>
        <v/>
      </c>
      <c r="Q64" s="4">
        <f>IF($T64="","",INDEX(Weekly_Inspections!$AW$4:$AW$996,$T64))</f>
        <v/>
      </c>
      <c r="T64" s="2">
        <f>IFERROR(AGGREGATE(15,6,(ROW(Weekly_Inspections!$AS$4:$AS$996)-ROW(Weekly_Inspections!$AS$4)+1)/(((Weekly_Inspections!$AS$4:$AS$996&lt;&gt;"")+(Weekly_Inspections!$AQ$4:$AQ$996&lt;&gt;""))&gt;0),ROWS($T$4:T64)),"")</f>
        <v/>
      </c>
    </row>
    <row r="65">
      <c r="A65" s="4">
        <f>IF($T65="","","CAPA-"&amp;TEXT($T65,"000"))</f>
        <v/>
      </c>
      <c r="B65" s="17">
        <f>IF($T65="","",INDEX(Weekly_Inspections!$B$4:$B$996,$T65))</f>
        <v/>
      </c>
      <c r="C65" s="4">
        <f>IF($T65="","",INDEX(Weekly_Inspections!$E$4:$E$996,$T65))</f>
        <v/>
      </c>
      <c r="D65" s="4">
        <f>IF($T65="","",INDEX(Weekly_Inspections!$F$4:$F$996,$T65))</f>
        <v/>
      </c>
      <c r="E65" s="4">
        <f>IF($T65="","",INDEX(Weekly_Inspections!$H$4:$H$996,$T65))</f>
        <v/>
      </c>
      <c r="F65" s="4">
        <f>IF($T65="","",INDEX(Weekly_Inspections!$R$4:$R$996,$T65))</f>
        <v/>
      </c>
      <c r="G65" s="4">
        <f>IF($T65="","",INDEX(Weekly_Inspections!$AQ$4:$AQ$996,$T65))</f>
        <v/>
      </c>
      <c r="H65" s="4">
        <f>IF($T65="","",INDEX(Weekly_Inspections!$AP$4:$AP$996,$T65))</f>
        <v/>
      </c>
      <c r="I65" s="4">
        <f>IF($T65="","",INDEX(Weekly_Inspections!$AR$4:$AR$996,$T65))</f>
        <v/>
      </c>
      <c r="J65" s="4">
        <f>IF($T65="","",INDEX(Weekly_Inspections!$AS$4:$AS$996,$T65))</f>
        <v/>
      </c>
      <c r="K65" s="4">
        <f>IF($T65="","",INDEX(Weekly_Inspections!$AU$4:$AU$996,$T65))</f>
        <v/>
      </c>
      <c r="L65" s="17">
        <f>IF($T65="","",INDEX(Weekly_Inspections!$AV$4:$AV$996,$T65))</f>
        <v/>
      </c>
      <c r="M65" s="9">
        <f>IF($T65="","","Open")</f>
        <v/>
      </c>
      <c r="N65" s="8" t="n"/>
      <c r="O65" s="4">
        <f>IF(A65="","",IF(N65&lt;&gt;"",N65-B65,TODAY()-B65))</f>
        <v/>
      </c>
      <c r="P65" s="4">
        <f>IF(A65="","",IF(AND(M65&lt;&gt;"Closed",L65&lt;TODAY()),"YES","NO"))</f>
        <v/>
      </c>
      <c r="Q65" s="4">
        <f>IF($T65="","",INDEX(Weekly_Inspections!$AW$4:$AW$996,$T65))</f>
        <v/>
      </c>
      <c r="T65" s="2">
        <f>IFERROR(AGGREGATE(15,6,(ROW(Weekly_Inspections!$AS$4:$AS$996)-ROW(Weekly_Inspections!$AS$4)+1)/(((Weekly_Inspections!$AS$4:$AS$996&lt;&gt;"")+(Weekly_Inspections!$AQ$4:$AQ$996&lt;&gt;""))&gt;0),ROWS($T$4:T65)),"")</f>
        <v/>
      </c>
    </row>
    <row r="66">
      <c r="A66" s="4">
        <f>IF($T66="","","CAPA-"&amp;TEXT($T66,"000"))</f>
        <v/>
      </c>
      <c r="B66" s="17">
        <f>IF($T66="","",INDEX(Weekly_Inspections!$B$4:$B$996,$T66))</f>
        <v/>
      </c>
      <c r="C66" s="4">
        <f>IF($T66="","",INDEX(Weekly_Inspections!$E$4:$E$996,$T66))</f>
        <v/>
      </c>
      <c r="D66" s="4">
        <f>IF($T66="","",INDEX(Weekly_Inspections!$F$4:$F$996,$T66))</f>
        <v/>
      </c>
      <c r="E66" s="4">
        <f>IF($T66="","",INDEX(Weekly_Inspections!$H$4:$H$996,$T66))</f>
        <v/>
      </c>
      <c r="F66" s="4">
        <f>IF($T66="","",INDEX(Weekly_Inspections!$R$4:$R$996,$T66))</f>
        <v/>
      </c>
      <c r="G66" s="4">
        <f>IF($T66="","",INDEX(Weekly_Inspections!$AQ$4:$AQ$996,$T66))</f>
        <v/>
      </c>
      <c r="H66" s="4">
        <f>IF($T66="","",INDEX(Weekly_Inspections!$AP$4:$AP$996,$T66))</f>
        <v/>
      </c>
      <c r="I66" s="4">
        <f>IF($T66="","",INDEX(Weekly_Inspections!$AR$4:$AR$996,$T66))</f>
        <v/>
      </c>
      <c r="J66" s="4">
        <f>IF($T66="","",INDEX(Weekly_Inspections!$AS$4:$AS$996,$T66))</f>
        <v/>
      </c>
      <c r="K66" s="4">
        <f>IF($T66="","",INDEX(Weekly_Inspections!$AU$4:$AU$996,$T66))</f>
        <v/>
      </c>
      <c r="L66" s="17">
        <f>IF($T66="","",INDEX(Weekly_Inspections!$AV$4:$AV$996,$T66))</f>
        <v/>
      </c>
      <c r="M66" s="9">
        <f>IF($T66="","","Open")</f>
        <v/>
      </c>
      <c r="N66" s="8" t="n"/>
      <c r="O66" s="4">
        <f>IF(A66="","",IF(N66&lt;&gt;"",N66-B66,TODAY()-B66))</f>
        <v/>
      </c>
      <c r="P66" s="4">
        <f>IF(A66="","",IF(AND(M66&lt;&gt;"Closed",L66&lt;TODAY()),"YES","NO"))</f>
        <v/>
      </c>
      <c r="Q66" s="4">
        <f>IF($T66="","",INDEX(Weekly_Inspections!$AW$4:$AW$996,$T66))</f>
        <v/>
      </c>
      <c r="T66" s="2">
        <f>IFERROR(AGGREGATE(15,6,(ROW(Weekly_Inspections!$AS$4:$AS$996)-ROW(Weekly_Inspections!$AS$4)+1)/(((Weekly_Inspections!$AS$4:$AS$996&lt;&gt;"")+(Weekly_Inspections!$AQ$4:$AQ$996&lt;&gt;""))&gt;0),ROWS($T$4:T66)),"")</f>
        <v/>
      </c>
    </row>
    <row r="67">
      <c r="A67" s="4">
        <f>IF($T67="","","CAPA-"&amp;TEXT($T67,"000"))</f>
        <v/>
      </c>
      <c r="B67" s="17">
        <f>IF($T67="","",INDEX(Weekly_Inspections!$B$4:$B$996,$T67))</f>
        <v/>
      </c>
      <c r="C67" s="4">
        <f>IF($T67="","",INDEX(Weekly_Inspections!$E$4:$E$996,$T67))</f>
        <v/>
      </c>
      <c r="D67" s="4">
        <f>IF($T67="","",INDEX(Weekly_Inspections!$F$4:$F$996,$T67))</f>
        <v/>
      </c>
      <c r="E67" s="4">
        <f>IF($T67="","",INDEX(Weekly_Inspections!$H$4:$H$996,$T67))</f>
        <v/>
      </c>
      <c r="F67" s="4">
        <f>IF($T67="","",INDEX(Weekly_Inspections!$R$4:$R$996,$T67))</f>
        <v/>
      </c>
      <c r="G67" s="4">
        <f>IF($T67="","",INDEX(Weekly_Inspections!$AQ$4:$AQ$996,$T67))</f>
        <v/>
      </c>
      <c r="H67" s="4">
        <f>IF($T67="","",INDEX(Weekly_Inspections!$AP$4:$AP$996,$T67))</f>
        <v/>
      </c>
      <c r="I67" s="4">
        <f>IF($T67="","",INDEX(Weekly_Inspections!$AR$4:$AR$996,$T67))</f>
        <v/>
      </c>
      <c r="J67" s="4">
        <f>IF($T67="","",INDEX(Weekly_Inspections!$AS$4:$AS$996,$T67))</f>
        <v/>
      </c>
      <c r="K67" s="4">
        <f>IF($T67="","",INDEX(Weekly_Inspections!$AU$4:$AU$996,$T67))</f>
        <v/>
      </c>
      <c r="L67" s="17">
        <f>IF($T67="","",INDEX(Weekly_Inspections!$AV$4:$AV$996,$T67))</f>
        <v/>
      </c>
      <c r="M67" s="9">
        <f>IF($T67="","","Open")</f>
        <v/>
      </c>
      <c r="N67" s="8" t="n"/>
      <c r="O67" s="4">
        <f>IF(A67="","",IF(N67&lt;&gt;"",N67-B67,TODAY()-B67))</f>
        <v/>
      </c>
      <c r="P67" s="4">
        <f>IF(A67="","",IF(AND(M67&lt;&gt;"Closed",L67&lt;TODAY()),"YES","NO"))</f>
        <v/>
      </c>
      <c r="Q67" s="4">
        <f>IF($T67="","",INDEX(Weekly_Inspections!$AW$4:$AW$996,$T67))</f>
        <v/>
      </c>
      <c r="T67" s="2">
        <f>IFERROR(AGGREGATE(15,6,(ROW(Weekly_Inspections!$AS$4:$AS$996)-ROW(Weekly_Inspections!$AS$4)+1)/(((Weekly_Inspections!$AS$4:$AS$996&lt;&gt;"")+(Weekly_Inspections!$AQ$4:$AQ$996&lt;&gt;""))&gt;0),ROWS($T$4:T67)),"")</f>
        <v/>
      </c>
    </row>
    <row r="68">
      <c r="A68" s="4">
        <f>IF($T68="","","CAPA-"&amp;TEXT($T68,"000"))</f>
        <v/>
      </c>
      <c r="B68" s="17">
        <f>IF($T68="","",INDEX(Weekly_Inspections!$B$4:$B$996,$T68))</f>
        <v/>
      </c>
      <c r="C68" s="4">
        <f>IF($T68="","",INDEX(Weekly_Inspections!$E$4:$E$996,$T68))</f>
        <v/>
      </c>
      <c r="D68" s="4">
        <f>IF($T68="","",INDEX(Weekly_Inspections!$F$4:$F$996,$T68))</f>
        <v/>
      </c>
      <c r="E68" s="4">
        <f>IF($T68="","",INDEX(Weekly_Inspections!$H$4:$H$996,$T68))</f>
        <v/>
      </c>
      <c r="F68" s="4">
        <f>IF($T68="","",INDEX(Weekly_Inspections!$R$4:$R$996,$T68))</f>
        <v/>
      </c>
      <c r="G68" s="4">
        <f>IF($T68="","",INDEX(Weekly_Inspections!$AQ$4:$AQ$996,$T68))</f>
        <v/>
      </c>
      <c r="H68" s="4">
        <f>IF($T68="","",INDEX(Weekly_Inspections!$AP$4:$AP$996,$T68))</f>
        <v/>
      </c>
      <c r="I68" s="4">
        <f>IF($T68="","",INDEX(Weekly_Inspections!$AR$4:$AR$996,$T68))</f>
        <v/>
      </c>
      <c r="J68" s="4">
        <f>IF($T68="","",INDEX(Weekly_Inspections!$AS$4:$AS$996,$T68))</f>
        <v/>
      </c>
      <c r="K68" s="4">
        <f>IF($T68="","",INDEX(Weekly_Inspections!$AU$4:$AU$996,$T68))</f>
        <v/>
      </c>
      <c r="L68" s="17">
        <f>IF($T68="","",INDEX(Weekly_Inspections!$AV$4:$AV$996,$T68))</f>
        <v/>
      </c>
      <c r="M68" s="9">
        <f>IF($T68="","","Open")</f>
        <v/>
      </c>
      <c r="N68" s="8" t="n"/>
      <c r="O68" s="4">
        <f>IF(A68="","",IF(N68&lt;&gt;"",N68-B68,TODAY()-B68))</f>
        <v/>
      </c>
      <c r="P68" s="4">
        <f>IF(A68="","",IF(AND(M68&lt;&gt;"Closed",L68&lt;TODAY()),"YES","NO"))</f>
        <v/>
      </c>
      <c r="Q68" s="4">
        <f>IF($T68="","",INDEX(Weekly_Inspections!$AW$4:$AW$996,$T68))</f>
        <v/>
      </c>
      <c r="T68" s="2">
        <f>IFERROR(AGGREGATE(15,6,(ROW(Weekly_Inspections!$AS$4:$AS$996)-ROW(Weekly_Inspections!$AS$4)+1)/(((Weekly_Inspections!$AS$4:$AS$996&lt;&gt;"")+(Weekly_Inspections!$AQ$4:$AQ$996&lt;&gt;""))&gt;0),ROWS($T$4:T68)),"")</f>
        <v/>
      </c>
    </row>
    <row r="69">
      <c r="A69" s="4">
        <f>IF($T69="","","CAPA-"&amp;TEXT($T69,"000"))</f>
        <v/>
      </c>
      <c r="B69" s="17">
        <f>IF($T69="","",INDEX(Weekly_Inspections!$B$4:$B$996,$T69))</f>
        <v/>
      </c>
      <c r="C69" s="4">
        <f>IF($T69="","",INDEX(Weekly_Inspections!$E$4:$E$996,$T69))</f>
        <v/>
      </c>
      <c r="D69" s="4">
        <f>IF($T69="","",INDEX(Weekly_Inspections!$F$4:$F$996,$T69))</f>
        <v/>
      </c>
      <c r="E69" s="4">
        <f>IF($T69="","",INDEX(Weekly_Inspections!$H$4:$H$996,$T69))</f>
        <v/>
      </c>
      <c r="F69" s="4">
        <f>IF($T69="","",INDEX(Weekly_Inspections!$R$4:$R$996,$T69))</f>
        <v/>
      </c>
      <c r="G69" s="4">
        <f>IF($T69="","",INDEX(Weekly_Inspections!$AQ$4:$AQ$996,$T69))</f>
        <v/>
      </c>
      <c r="H69" s="4">
        <f>IF($T69="","",INDEX(Weekly_Inspections!$AP$4:$AP$996,$T69))</f>
        <v/>
      </c>
      <c r="I69" s="4">
        <f>IF($T69="","",INDEX(Weekly_Inspections!$AR$4:$AR$996,$T69))</f>
        <v/>
      </c>
      <c r="J69" s="4">
        <f>IF($T69="","",INDEX(Weekly_Inspections!$AS$4:$AS$996,$T69))</f>
        <v/>
      </c>
      <c r="K69" s="4">
        <f>IF($T69="","",INDEX(Weekly_Inspections!$AU$4:$AU$996,$T69))</f>
        <v/>
      </c>
      <c r="L69" s="17">
        <f>IF($T69="","",INDEX(Weekly_Inspections!$AV$4:$AV$996,$T69))</f>
        <v/>
      </c>
      <c r="M69" s="9">
        <f>IF($T69="","","Open")</f>
        <v/>
      </c>
      <c r="N69" s="8" t="n"/>
      <c r="O69" s="4">
        <f>IF(A69="","",IF(N69&lt;&gt;"",N69-B69,TODAY()-B69))</f>
        <v/>
      </c>
      <c r="P69" s="4">
        <f>IF(A69="","",IF(AND(M69&lt;&gt;"Closed",L69&lt;TODAY()),"YES","NO"))</f>
        <v/>
      </c>
      <c r="Q69" s="4">
        <f>IF($T69="","",INDEX(Weekly_Inspections!$AW$4:$AW$996,$T69))</f>
        <v/>
      </c>
      <c r="T69" s="2">
        <f>IFERROR(AGGREGATE(15,6,(ROW(Weekly_Inspections!$AS$4:$AS$996)-ROW(Weekly_Inspections!$AS$4)+1)/(((Weekly_Inspections!$AS$4:$AS$996&lt;&gt;"")+(Weekly_Inspections!$AQ$4:$AQ$996&lt;&gt;""))&gt;0),ROWS($T$4:T69)),"")</f>
        <v/>
      </c>
    </row>
    <row r="70">
      <c r="A70" s="4">
        <f>IF($T70="","","CAPA-"&amp;TEXT($T70,"000"))</f>
        <v/>
      </c>
      <c r="B70" s="17">
        <f>IF($T70="","",INDEX(Weekly_Inspections!$B$4:$B$996,$T70))</f>
        <v/>
      </c>
      <c r="C70" s="4">
        <f>IF($T70="","",INDEX(Weekly_Inspections!$E$4:$E$996,$T70))</f>
        <v/>
      </c>
      <c r="D70" s="4">
        <f>IF($T70="","",INDEX(Weekly_Inspections!$F$4:$F$996,$T70))</f>
        <v/>
      </c>
      <c r="E70" s="4">
        <f>IF($T70="","",INDEX(Weekly_Inspections!$H$4:$H$996,$T70))</f>
        <v/>
      </c>
      <c r="F70" s="4">
        <f>IF($T70="","",INDEX(Weekly_Inspections!$R$4:$R$996,$T70))</f>
        <v/>
      </c>
      <c r="G70" s="4">
        <f>IF($T70="","",INDEX(Weekly_Inspections!$AQ$4:$AQ$996,$T70))</f>
        <v/>
      </c>
      <c r="H70" s="4">
        <f>IF($T70="","",INDEX(Weekly_Inspections!$AP$4:$AP$996,$T70))</f>
        <v/>
      </c>
      <c r="I70" s="4">
        <f>IF($T70="","",INDEX(Weekly_Inspections!$AR$4:$AR$996,$T70))</f>
        <v/>
      </c>
      <c r="J70" s="4">
        <f>IF($T70="","",INDEX(Weekly_Inspections!$AS$4:$AS$996,$T70))</f>
        <v/>
      </c>
      <c r="K70" s="4">
        <f>IF($T70="","",INDEX(Weekly_Inspections!$AU$4:$AU$996,$T70))</f>
        <v/>
      </c>
      <c r="L70" s="17">
        <f>IF($T70="","",INDEX(Weekly_Inspections!$AV$4:$AV$996,$T70))</f>
        <v/>
      </c>
      <c r="M70" s="9">
        <f>IF($T70="","","Open")</f>
        <v/>
      </c>
      <c r="N70" s="8" t="n"/>
      <c r="O70" s="4">
        <f>IF(A70="","",IF(N70&lt;&gt;"",N70-B70,TODAY()-B70))</f>
        <v/>
      </c>
      <c r="P70" s="4">
        <f>IF(A70="","",IF(AND(M70&lt;&gt;"Closed",L70&lt;TODAY()),"YES","NO"))</f>
        <v/>
      </c>
      <c r="Q70" s="4">
        <f>IF($T70="","",INDEX(Weekly_Inspections!$AW$4:$AW$996,$T70))</f>
        <v/>
      </c>
      <c r="T70" s="2">
        <f>IFERROR(AGGREGATE(15,6,(ROW(Weekly_Inspections!$AS$4:$AS$996)-ROW(Weekly_Inspections!$AS$4)+1)/(((Weekly_Inspections!$AS$4:$AS$996&lt;&gt;"")+(Weekly_Inspections!$AQ$4:$AQ$996&lt;&gt;""))&gt;0),ROWS($T$4:T70)),"")</f>
        <v/>
      </c>
    </row>
    <row r="71">
      <c r="A71" s="4">
        <f>IF($T71="","","CAPA-"&amp;TEXT($T71,"000"))</f>
        <v/>
      </c>
      <c r="B71" s="17">
        <f>IF($T71="","",INDEX(Weekly_Inspections!$B$4:$B$996,$T71))</f>
        <v/>
      </c>
      <c r="C71" s="4">
        <f>IF($T71="","",INDEX(Weekly_Inspections!$E$4:$E$996,$T71))</f>
        <v/>
      </c>
      <c r="D71" s="4">
        <f>IF($T71="","",INDEX(Weekly_Inspections!$F$4:$F$996,$T71))</f>
        <v/>
      </c>
      <c r="E71" s="4">
        <f>IF($T71="","",INDEX(Weekly_Inspections!$H$4:$H$996,$T71))</f>
        <v/>
      </c>
      <c r="F71" s="4">
        <f>IF($T71="","",INDEX(Weekly_Inspections!$R$4:$R$996,$T71))</f>
        <v/>
      </c>
      <c r="G71" s="4">
        <f>IF($T71="","",INDEX(Weekly_Inspections!$AQ$4:$AQ$996,$T71))</f>
        <v/>
      </c>
      <c r="H71" s="4">
        <f>IF($T71="","",INDEX(Weekly_Inspections!$AP$4:$AP$996,$T71))</f>
        <v/>
      </c>
      <c r="I71" s="4">
        <f>IF($T71="","",INDEX(Weekly_Inspections!$AR$4:$AR$996,$T71))</f>
        <v/>
      </c>
      <c r="J71" s="4">
        <f>IF($T71="","",INDEX(Weekly_Inspections!$AS$4:$AS$996,$T71))</f>
        <v/>
      </c>
      <c r="K71" s="4">
        <f>IF($T71="","",INDEX(Weekly_Inspections!$AU$4:$AU$996,$T71))</f>
        <v/>
      </c>
      <c r="L71" s="17">
        <f>IF($T71="","",INDEX(Weekly_Inspections!$AV$4:$AV$996,$T71))</f>
        <v/>
      </c>
      <c r="M71" s="9">
        <f>IF($T71="","","Open")</f>
        <v/>
      </c>
      <c r="N71" s="8" t="n"/>
      <c r="O71" s="4">
        <f>IF(A71="","",IF(N71&lt;&gt;"",N71-B71,TODAY()-B71))</f>
        <v/>
      </c>
      <c r="P71" s="4">
        <f>IF(A71="","",IF(AND(M71&lt;&gt;"Closed",L71&lt;TODAY()),"YES","NO"))</f>
        <v/>
      </c>
      <c r="Q71" s="4">
        <f>IF($T71="","",INDEX(Weekly_Inspections!$AW$4:$AW$996,$T71))</f>
        <v/>
      </c>
      <c r="T71" s="2">
        <f>IFERROR(AGGREGATE(15,6,(ROW(Weekly_Inspections!$AS$4:$AS$996)-ROW(Weekly_Inspections!$AS$4)+1)/(((Weekly_Inspections!$AS$4:$AS$996&lt;&gt;"")+(Weekly_Inspections!$AQ$4:$AQ$996&lt;&gt;""))&gt;0),ROWS($T$4:T71)),"")</f>
        <v/>
      </c>
    </row>
    <row r="72">
      <c r="A72" s="4">
        <f>IF($T72="","","CAPA-"&amp;TEXT($T72,"000"))</f>
        <v/>
      </c>
      <c r="B72" s="17">
        <f>IF($T72="","",INDEX(Weekly_Inspections!$B$4:$B$996,$T72))</f>
        <v/>
      </c>
      <c r="C72" s="4">
        <f>IF($T72="","",INDEX(Weekly_Inspections!$E$4:$E$996,$T72))</f>
        <v/>
      </c>
      <c r="D72" s="4">
        <f>IF($T72="","",INDEX(Weekly_Inspections!$F$4:$F$996,$T72))</f>
        <v/>
      </c>
      <c r="E72" s="4">
        <f>IF($T72="","",INDEX(Weekly_Inspections!$H$4:$H$996,$T72))</f>
        <v/>
      </c>
      <c r="F72" s="4">
        <f>IF($T72="","",INDEX(Weekly_Inspections!$R$4:$R$996,$T72))</f>
        <v/>
      </c>
      <c r="G72" s="4">
        <f>IF($T72="","",INDEX(Weekly_Inspections!$AQ$4:$AQ$996,$T72))</f>
        <v/>
      </c>
      <c r="H72" s="4">
        <f>IF($T72="","",INDEX(Weekly_Inspections!$AP$4:$AP$996,$T72))</f>
        <v/>
      </c>
      <c r="I72" s="4">
        <f>IF($T72="","",INDEX(Weekly_Inspections!$AR$4:$AR$996,$T72))</f>
        <v/>
      </c>
      <c r="J72" s="4">
        <f>IF($T72="","",INDEX(Weekly_Inspections!$AS$4:$AS$996,$T72))</f>
        <v/>
      </c>
      <c r="K72" s="4">
        <f>IF($T72="","",INDEX(Weekly_Inspections!$AU$4:$AU$996,$T72))</f>
        <v/>
      </c>
      <c r="L72" s="17">
        <f>IF($T72="","",INDEX(Weekly_Inspections!$AV$4:$AV$996,$T72))</f>
        <v/>
      </c>
      <c r="M72" s="9">
        <f>IF($T72="","","Open")</f>
        <v/>
      </c>
      <c r="N72" s="8" t="n"/>
      <c r="O72" s="4">
        <f>IF(A72="","",IF(N72&lt;&gt;"",N72-B72,TODAY()-B72))</f>
        <v/>
      </c>
      <c r="P72" s="4">
        <f>IF(A72="","",IF(AND(M72&lt;&gt;"Closed",L72&lt;TODAY()),"YES","NO"))</f>
        <v/>
      </c>
      <c r="Q72" s="4">
        <f>IF($T72="","",INDEX(Weekly_Inspections!$AW$4:$AW$996,$T72))</f>
        <v/>
      </c>
      <c r="T72" s="2">
        <f>IFERROR(AGGREGATE(15,6,(ROW(Weekly_Inspections!$AS$4:$AS$996)-ROW(Weekly_Inspections!$AS$4)+1)/(((Weekly_Inspections!$AS$4:$AS$996&lt;&gt;"")+(Weekly_Inspections!$AQ$4:$AQ$996&lt;&gt;""))&gt;0),ROWS($T$4:T72)),"")</f>
        <v/>
      </c>
    </row>
    <row r="73">
      <c r="A73" s="4">
        <f>IF($T73="","","CAPA-"&amp;TEXT($T73,"000"))</f>
        <v/>
      </c>
      <c r="B73" s="17">
        <f>IF($T73="","",INDEX(Weekly_Inspections!$B$4:$B$996,$T73))</f>
        <v/>
      </c>
      <c r="C73" s="4">
        <f>IF($T73="","",INDEX(Weekly_Inspections!$E$4:$E$996,$T73))</f>
        <v/>
      </c>
      <c r="D73" s="4">
        <f>IF($T73="","",INDEX(Weekly_Inspections!$F$4:$F$996,$T73))</f>
        <v/>
      </c>
      <c r="E73" s="4">
        <f>IF($T73="","",INDEX(Weekly_Inspections!$H$4:$H$996,$T73))</f>
        <v/>
      </c>
      <c r="F73" s="4">
        <f>IF($T73="","",INDEX(Weekly_Inspections!$R$4:$R$996,$T73))</f>
        <v/>
      </c>
      <c r="G73" s="4">
        <f>IF($T73="","",INDEX(Weekly_Inspections!$AQ$4:$AQ$996,$T73))</f>
        <v/>
      </c>
      <c r="H73" s="4">
        <f>IF($T73="","",INDEX(Weekly_Inspections!$AP$4:$AP$996,$T73))</f>
        <v/>
      </c>
      <c r="I73" s="4">
        <f>IF($T73="","",INDEX(Weekly_Inspections!$AR$4:$AR$996,$T73))</f>
        <v/>
      </c>
      <c r="J73" s="4">
        <f>IF($T73="","",INDEX(Weekly_Inspections!$AS$4:$AS$996,$T73))</f>
        <v/>
      </c>
      <c r="K73" s="4">
        <f>IF($T73="","",INDEX(Weekly_Inspections!$AU$4:$AU$996,$T73))</f>
        <v/>
      </c>
      <c r="L73" s="17">
        <f>IF($T73="","",INDEX(Weekly_Inspections!$AV$4:$AV$996,$T73))</f>
        <v/>
      </c>
      <c r="M73" s="9">
        <f>IF($T73="","","Open")</f>
        <v/>
      </c>
      <c r="N73" s="8" t="n"/>
      <c r="O73" s="4">
        <f>IF(A73="","",IF(N73&lt;&gt;"",N73-B73,TODAY()-B73))</f>
        <v/>
      </c>
      <c r="P73" s="4">
        <f>IF(A73="","",IF(AND(M73&lt;&gt;"Closed",L73&lt;TODAY()),"YES","NO"))</f>
        <v/>
      </c>
      <c r="Q73" s="4">
        <f>IF($T73="","",INDEX(Weekly_Inspections!$AW$4:$AW$996,$T73))</f>
        <v/>
      </c>
      <c r="T73" s="2">
        <f>IFERROR(AGGREGATE(15,6,(ROW(Weekly_Inspections!$AS$4:$AS$996)-ROW(Weekly_Inspections!$AS$4)+1)/(((Weekly_Inspections!$AS$4:$AS$996&lt;&gt;"")+(Weekly_Inspections!$AQ$4:$AQ$996&lt;&gt;""))&gt;0),ROWS($T$4:T73)),"")</f>
        <v/>
      </c>
    </row>
    <row r="74">
      <c r="A74" s="4">
        <f>IF($T74="","","CAPA-"&amp;TEXT($T74,"000"))</f>
        <v/>
      </c>
      <c r="B74" s="17">
        <f>IF($T74="","",INDEX(Weekly_Inspections!$B$4:$B$996,$T74))</f>
        <v/>
      </c>
      <c r="C74" s="4">
        <f>IF($T74="","",INDEX(Weekly_Inspections!$E$4:$E$996,$T74))</f>
        <v/>
      </c>
      <c r="D74" s="4">
        <f>IF($T74="","",INDEX(Weekly_Inspections!$F$4:$F$996,$T74))</f>
        <v/>
      </c>
      <c r="E74" s="4">
        <f>IF($T74="","",INDEX(Weekly_Inspections!$H$4:$H$996,$T74))</f>
        <v/>
      </c>
      <c r="F74" s="4">
        <f>IF($T74="","",INDEX(Weekly_Inspections!$R$4:$R$996,$T74))</f>
        <v/>
      </c>
      <c r="G74" s="4">
        <f>IF($T74="","",INDEX(Weekly_Inspections!$AQ$4:$AQ$996,$T74))</f>
        <v/>
      </c>
      <c r="H74" s="4">
        <f>IF($T74="","",INDEX(Weekly_Inspections!$AP$4:$AP$996,$T74))</f>
        <v/>
      </c>
      <c r="I74" s="4">
        <f>IF($T74="","",INDEX(Weekly_Inspections!$AR$4:$AR$996,$T74))</f>
        <v/>
      </c>
      <c r="J74" s="4">
        <f>IF($T74="","",INDEX(Weekly_Inspections!$AS$4:$AS$996,$T74))</f>
        <v/>
      </c>
      <c r="K74" s="4">
        <f>IF($T74="","",INDEX(Weekly_Inspections!$AU$4:$AU$996,$T74))</f>
        <v/>
      </c>
      <c r="L74" s="17">
        <f>IF($T74="","",INDEX(Weekly_Inspections!$AV$4:$AV$996,$T74))</f>
        <v/>
      </c>
      <c r="M74" s="9">
        <f>IF($T74="","","Open")</f>
        <v/>
      </c>
      <c r="N74" s="8" t="n"/>
      <c r="O74" s="4">
        <f>IF(A74="","",IF(N74&lt;&gt;"",N74-B74,TODAY()-B74))</f>
        <v/>
      </c>
      <c r="P74" s="4">
        <f>IF(A74="","",IF(AND(M74&lt;&gt;"Closed",L74&lt;TODAY()),"YES","NO"))</f>
        <v/>
      </c>
      <c r="Q74" s="4">
        <f>IF($T74="","",INDEX(Weekly_Inspections!$AW$4:$AW$996,$T74))</f>
        <v/>
      </c>
      <c r="T74" s="2">
        <f>IFERROR(AGGREGATE(15,6,(ROW(Weekly_Inspections!$AS$4:$AS$996)-ROW(Weekly_Inspections!$AS$4)+1)/(((Weekly_Inspections!$AS$4:$AS$996&lt;&gt;"")+(Weekly_Inspections!$AQ$4:$AQ$996&lt;&gt;""))&gt;0),ROWS($T$4:T74)),"")</f>
        <v/>
      </c>
    </row>
    <row r="75">
      <c r="A75" s="4">
        <f>IF($T75="","","CAPA-"&amp;TEXT($T75,"000"))</f>
        <v/>
      </c>
      <c r="B75" s="17">
        <f>IF($T75="","",INDEX(Weekly_Inspections!$B$4:$B$996,$T75))</f>
        <v/>
      </c>
      <c r="C75" s="4">
        <f>IF($T75="","",INDEX(Weekly_Inspections!$E$4:$E$996,$T75))</f>
        <v/>
      </c>
      <c r="D75" s="4">
        <f>IF($T75="","",INDEX(Weekly_Inspections!$F$4:$F$996,$T75))</f>
        <v/>
      </c>
      <c r="E75" s="4">
        <f>IF($T75="","",INDEX(Weekly_Inspections!$H$4:$H$996,$T75))</f>
        <v/>
      </c>
      <c r="F75" s="4">
        <f>IF($T75="","",INDEX(Weekly_Inspections!$R$4:$R$996,$T75))</f>
        <v/>
      </c>
      <c r="G75" s="4">
        <f>IF($T75="","",INDEX(Weekly_Inspections!$AQ$4:$AQ$996,$T75))</f>
        <v/>
      </c>
      <c r="H75" s="4">
        <f>IF($T75="","",INDEX(Weekly_Inspections!$AP$4:$AP$996,$T75))</f>
        <v/>
      </c>
      <c r="I75" s="4">
        <f>IF($T75="","",INDEX(Weekly_Inspections!$AR$4:$AR$996,$T75))</f>
        <v/>
      </c>
      <c r="J75" s="4">
        <f>IF($T75="","",INDEX(Weekly_Inspections!$AS$4:$AS$996,$T75))</f>
        <v/>
      </c>
      <c r="K75" s="4">
        <f>IF($T75="","",INDEX(Weekly_Inspections!$AU$4:$AU$996,$T75))</f>
        <v/>
      </c>
      <c r="L75" s="17">
        <f>IF($T75="","",INDEX(Weekly_Inspections!$AV$4:$AV$996,$T75))</f>
        <v/>
      </c>
      <c r="M75" s="9">
        <f>IF($T75="","","Open")</f>
        <v/>
      </c>
      <c r="N75" s="8" t="n"/>
      <c r="O75" s="4">
        <f>IF(A75="","",IF(N75&lt;&gt;"",N75-B75,TODAY()-B75))</f>
        <v/>
      </c>
      <c r="P75" s="4">
        <f>IF(A75="","",IF(AND(M75&lt;&gt;"Closed",L75&lt;TODAY()),"YES","NO"))</f>
        <v/>
      </c>
      <c r="Q75" s="4">
        <f>IF($T75="","",INDEX(Weekly_Inspections!$AW$4:$AW$996,$T75))</f>
        <v/>
      </c>
      <c r="T75" s="2">
        <f>IFERROR(AGGREGATE(15,6,(ROW(Weekly_Inspections!$AS$4:$AS$996)-ROW(Weekly_Inspections!$AS$4)+1)/(((Weekly_Inspections!$AS$4:$AS$996&lt;&gt;"")+(Weekly_Inspections!$AQ$4:$AQ$996&lt;&gt;""))&gt;0),ROWS($T$4:T75)),"")</f>
        <v/>
      </c>
    </row>
    <row r="76">
      <c r="A76" s="4">
        <f>IF($T76="","","CAPA-"&amp;TEXT($T76,"000"))</f>
        <v/>
      </c>
      <c r="B76" s="17">
        <f>IF($T76="","",INDEX(Weekly_Inspections!$B$4:$B$996,$T76))</f>
        <v/>
      </c>
      <c r="C76" s="4">
        <f>IF($T76="","",INDEX(Weekly_Inspections!$E$4:$E$996,$T76))</f>
        <v/>
      </c>
      <c r="D76" s="4">
        <f>IF($T76="","",INDEX(Weekly_Inspections!$F$4:$F$996,$T76))</f>
        <v/>
      </c>
      <c r="E76" s="4">
        <f>IF($T76="","",INDEX(Weekly_Inspections!$H$4:$H$996,$T76))</f>
        <v/>
      </c>
      <c r="F76" s="4">
        <f>IF($T76="","",INDEX(Weekly_Inspections!$R$4:$R$996,$T76))</f>
        <v/>
      </c>
      <c r="G76" s="4">
        <f>IF($T76="","",INDEX(Weekly_Inspections!$AQ$4:$AQ$996,$T76))</f>
        <v/>
      </c>
      <c r="H76" s="4">
        <f>IF($T76="","",INDEX(Weekly_Inspections!$AP$4:$AP$996,$T76))</f>
        <v/>
      </c>
      <c r="I76" s="4">
        <f>IF($T76="","",INDEX(Weekly_Inspections!$AR$4:$AR$996,$T76))</f>
        <v/>
      </c>
      <c r="J76" s="4">
        <f>IF($T76="","",INDEX(Weekly_Inspections!$AS$4:$AS$996,$T76))</f>
        <v/>
      </c>
      <c r="K76" s="4">
        <f>IF($T76="","",INDEX(Weekly_Inspections!$AU$4:$AU$996,$T76))</f>
        <v/>
      </c>
      <c r="L76" s="17">
        <f>IF($T76="","",INDEX(Weekly_Inspections!$AV$4:$AV$996,$T76))</f>
        <v/>
      </c>
      <c r="M76" s="9">
        <f>IF($T76="","","Open")</f>
        <v/>
      </c>
      <c r="N76" s="8" t="n"/>
      <c r="O76" s="4">
        <f>IF(A76="","",IF(N76&lt;&gt;"",N76-B76,TODAY()-B76))</f>
        <v/>
      </c>
      <c r="P76" s="4">
        <f>IF(A76="","",IF(AND(M76&lt;&gt;"Closed",L76&lt;TODAY()),"YES","NO"))</f>
        <v/>
      </c>
      <c r="Q76" s="4">
        <f>IF($T76="","",INDEX(Weekly_Inspections!$AW$4:$AW$996,$T76))</f>
        <v/>
      </c>
      <c r="T76" s="2">
        <f>IFERROR(AGGREGATE(15,6,(ROW(Weekly_Inspections!$AS$4:$AS$996)-ROW(Weekly_Inspections!$AS$4)+1)/(((Weekly_Inspections!$AS$4:$AS$996&lt;&gt;"")+(Weekly_Inspections!$AQ$4:$AQ$996&lt;&gt;""))&gt;0),ROWS($T$4:T76)),"")</f>
        <v/>
      </c>
    </row>
    <row r="77">
      <c r="A77" s="4">
        <f>IF($T77="","","CAPA-"&amp;TEXT($T77,"000"))</f>
        <v/>
      </c>
      <c r="B77" s="17">
        <f>IF($T77="","",INDEX(Weekly_Inspections!$B$4:$B$996,$T77))</f>
        <v/>
      </c>
      <c r="C77" s="4">
        <f>IF($T77="","",INDEX(Weekly_Inspections!$E$4:$E$996,$T77))</f>
        <v/>
      </c>
      <c r="D77" s="4">
        <f>IF($T77="","",INDEX(Weekly_Inspections!$F$4:$F$996,$T77))</f>
        <v/>
      </c>
      <c r="E77" s="4">
        <f>IF($T77="","",INDEX(Weekly_Inspections!$H$4:$H$996,$T77))</f>
        <v/>
      </c>
      <c r="F77" s="4">
        <f>IF($T77="","",INDEX(Weekly_Inspections!$R$4:$R$996,$T77))</f>
        <v/>
      </c>
      <c r="G77" s="4">
        <f>IF($T77="","",INDEX(Weekly_Inspections!$AQ$4:$AQ$996,$T77))</f>
        <v/>
      </c>
      <c r="H77" s="4">
        <f>IF($T77="","",INDEX(Weekly_Inspections!$AP$4:$AP$996,$T77))</f>
        <v/>
      </c>
      <c r="I77" s="4">
        <f>IF($T77="","",INDEX(Weekly_Inspections!$AR$4:$AR$996,$T77))</f>
        <v/>
      </c>
      <c r="J77" s="4">
        <f>IF($T77="","",INDEX(Weekly_Inspections!$AS$4:$AS$996,$T77))</f>
        <v/>
      </c>
      <c r="K77" s="4">
        <f>IF($T77="","",INDEX(Weekly_Inspections!$AU$4:$AU$996,$T77))</f>
        <v/>
      </c>
      <c r="L77" s="17">
        <f>IF($T77="","",INDEX(Weekly_Inspections!$AV$4:$AV$996,$T77))</f>
        <v/>
      </c>
      <c r="M77" s="9">
        <f>IF($T77="","","Open")</f>
        <v/>
      </c>
      <c r="N77" s="8" t="n"/>
      <c r="O77" s="4">
        <f>IF(A77="","",IF(N77&lt;&gt;"",N77-B77,TODAY()-B77))</f>
        <v/>
      </c>
      <c r="P77" s="4">
        <f>IF(A77="","",IF(AND(M77&lt;&gt;"Closed",L77&lt;TODAY()),"YES","NO"))</f>
        <v/>
      </c>
      <c r="Q77" s="4">
        <f>IF($T77="","",INDEX(Weekly_Inspections!$AW$4:$AW$996,$T77))</f>
        <v/>
      </c>
      <c r="T77" s="2">
        <f>IFERROR(AGGREGATE(15,6,(ROW(Weekly_Inspections!$AS$4:$AS$996)-ROW(Weekly_Inspections!$AS$4)+1)/(((Weekly_Inspections!$AS$4:$AS$996&lt;&gt;"")+(Weekly_Inspections!$AQ$4:$AQ$996&lt;&gt;""))&gt;0),ROWS($T$4:T77)),"")</f>
        <v/>
      </c>
    </row>
    <row r="78">
      <c r="A78" s="4">
        <f>IF($T78="","","CAPA-"&amp;TEXT($T78,"000"))</f>
        <v/>
      </c>
      <c r="B78" s="17">
        <f>IF($T78="","",INDEX(Weekly_Inspections!$B$4:$B$996,$T78))</f>
        <v/>
      </c>
      <c r="C78" s="4">
        <f>IF($T78="","",INDEX(Weekly_Inspections!$E$4:$E$996,$T78))</f>
        <v/>
      </c>
      <c r="D78" s="4">
        <f>IF($T78="","",INDEX(Weekly_Inspections!$F$4:$F$996,$T78))</f>
        <v/>
      </c>
      <c r="E78" s="4">
        <f>IF($T78="","",INDEX(Weekly_Inspections!$H$4:$H$996,$T78))</f>
        <v/>
      </c>
      <c r="F78" s="4">
        <f>IF($T78="","",INDEX(Weekly_Inspections!$R$4:$R$996,$T78))</f>
        <v/>
      </c>
      <c r="G78" s="4">
        <f>IF($T78="","",INDEX(Weekly_Inspections!$AQ$4:$AQ$996,$T78))</f>
        <v/>
      </c>
      <c r="H78" s="4">
        <f>IF($T78="","",INDEX(Weekly_Inspections!$AP$4:$AP$996,$T78))</f>
        <v/>
      </c>
      <c r="I78" s="4">
        <f>IF($T78="","",INDEX(Weekly_Inspections!$AR$4:$AR$996,$T78))</f>
        <v/>
      </c>
      <c r="J78" s="4">
        <f>IF($T78="","",INDEX(Weekly_Inspections!$AS$4:$AS$996,$T78))</f>
        <v/>
      </c>
      <c r="K78" s="4">
        <f>IF($T78="","",INDEX(Weekly_Inspections!$AU$4:$AU$996,$T78))</f>
        <v/>
      </c>
      <c r="L78" s="17">
        <f>IF($T78="","",INDEX(Weekly_Inspections!$AV$4:$AV$996,$T78))</f>
        <v/>
      </c>
      <c r="M78" s="9">
        <f>IF($T78="","","Open")</f>
        <v/>
      </c>
      <c r="N78" s="8" t="n"/>
      <c r="O78" s="4">
        <f>IF(A78="","",IF(N78&lt;&gt;"",N78-B78,TODAY()-B78))</f>
        <v/>
      </c>
      <c r="P78" s="4">
        <f>IF(A78="","",IF(AND(M78&lt;&gt;"Closed",L78&lt;TODAY()),"YES","NO"))</f>
        <v/>
      </c>
      <c r="Q78" s="4">
        <f>IF($T78="","",INDEX(Weekly_Inspections!$AW$4:$AW$996,$T78))</f>
        <v/>
      </c>
      <c r="T78" s="2">
        <f>IFERROR(AGGREGATE(15,6,(ROW(Weekly_Inspections!$AS$4:$AS$996)-ROW(Weekly_Inspections!$AS$4)+1)/(((Weekly_Inspections!$AS$4:$AS$996&lt;&gt;"")+(Weekly_Inspections!$AQ$4:$AQ$996&lt;&gt;""))&gt;0),ROWS($T$4:T78)),"")</f>
        <v/>
      </c>
    </row>
    <row r="79">
      <c r="A79" s="4">
        <f>IF($T79="","","CAPA-"&amp;TEXT($T79,"000"))</f>
        <v/>
      </c>
      <c r="B79" s="17">
        <f>IF($T79="","",INDEX(Weekly_Inspections!$B$4:$B$996,$T79))</f>
        <v/>
      </c>
      <c r="C79" s="4">
        <f>IF($T79="","",INDEX(Weekly_Inspections!$E$4:$E$996,$T79))</f>
        <v/>
      </c>
      <c r="D79" s="4">
        <f>IF($T79="","",INDEX(Weekly_Inspections!$F$4:$F$996,$T79))</f>
        <v/>
      </c>
      <c r="E79" s="4">
        <f>IF($T79="","",INDEX(Weekly_Inspections!$H$4:$H$996,$T79))</f>
        <v/>
      </c>
      <c r="F79" s="4">
        <f>IF($T79="","",INDEX(Weekly_Inspections!$R$4:$R$996,$T79))</f>
        <v/>
      </c>
      <c r="G79" s="4">
        <f>IF($T79="","",INDEX(Weekly_Inspections!$AQ$4:$AQ$996,$T79))</f>
        <v/>
      </c>
      <c r="H79" s="4">
        <f>IF($T79="","",INDEX(Weekly_Inspections!$AP$4:$AP$996,$T79))</f>
        <v/>
      </c>
      <c r="I79" s="4">
        <f>IF($T79="","",INDEX(Weekly_Inspections!$AR$4:$AR$996,$T79))</f>
        <v/>
      </c>
      <c r="J79" s="4">
        <f>IF($T79="","",INDEX(Weekly_Inspections!$AS$4:$AS$996,$T79))</f>
        <v/>
      </c>
      <c r="K79" s="4">
        <f>IF($T79="","",INDEX(Weekly_Inspections!$AU$4:$AU$996,$T79))</f>
        <v/>
      </c>
      <c r="L79" s="17">
        <f>IF($T79="","",INDEX(Weekly_Inspections!$AV$4:$AV$996,$T79))</f>
        <v/>
      </c>
      <c r="M79" s="9">
        <f>IF($T79="","","Open")</f>
        <v/>
      </c>
      <c r="N79" s="8" t="n"/>
      <c r="O79" s="4">
        <f>IF(A79="","",IF(N79&lt;&gt;"",N79-B79,TODAY()-B79))</f>
        <v/>
      </c>
      <c r="P79" s="4">
        <f>IF(A79="","",IF(AND(M79&lt;&gt;"Closed",L79&lt;TODAY()),"YES","NO"))</f>
        <v/>
      </c>
      <c r="Q79" s="4">
        <f>IF($T79="","",INDEX(Weekly_Inspections!$AW$4:$AW$996,$T79))</f>
        <v/>
      </c>
      <c r="T79" s="2">
        <f>IFERROR(AGGREGATE(15,6,(ROW(Weekly_Inspections!$AS$4:$AS$996)-ROW(Weekly_Inspections!$AS$4)+1)/(((Weekly_Inspections!$AS$4:$AS$996&lt;&gt;"")+(Weekly_Inspections!$AQ$4:$AQ$996&lt;&gt;""))&gt;0),ROWS($T$4:T79)),"")</f>
        <v/>
      </c>
    </row>
    <row r="80">
      <c r="A80" s="4">
        <f>IF($T80="","","CAPA-"&amp;TEXT($T80,"000"))</f>
        <v/>
      </c>
      <c r="B80" s="17">
        <f>IF($T80="","",INDEX(Weekly_Inspections!$B$4:$B$996,$T80))</f>
        <v/>
      </c>
      <c r="C80" s="4">
        <f>IF($T80="","",INDEX(Weekly_Inspections!$E$4:$E$996,$T80))</f>
        <v/>
      </c>
      <c r="D80" s="4">
        <f>IF($T80="","",INDEX(Weekly_Inspections!$F$4:$F$996,$T80))</f>
        <v/>
      </c>
      <c r="E80" s="4">
        <f>IF($T80="","",INDEX(Weekly_Inspections!$H$4:$H$996,$T80))</f>
        <v/>
      </c>
      <c r="F80" s="4">
        <f>IF($T80="","",INDEX(Weekly_Inspections!$R$4:$R$996,$T80))</f>
        <v/>
      </c>
      <c r="G80" s="4">
        <f>IF($T80="","",INDEX(Weekly_Inspections!$AQ$4:$AQ$996,$T80))</f>
        <v/>
      </c>
      <c r="H80" s="4">
        <f>IF($T80="","",INDEX(Weekly_Inspections!$AP$4:$AP$996,$T80))</f>
        <v/>
      </c>
      <c r="I80" s="4">
        <f>IF($T80="","",INDEX(Weekly_Inspections!$AR$4:$AR$996,$T80))</f>
        <v/>
      </c>
      <c r="J80" s="4">
        <f>IF($T80="","",INDEX(Weekly_Inspections!$AS$4:$AS$996,$T80))</f>
        <v/>
      </c>
      <c r="K80" s="4">
        <f>IF($T80="","",INDEX(Weekly_Inspections!$AU$4:$AU$996,$T80))</f>
        <v/>
      </c>
      <c r="L80" s="17">
        <f>IF($T80="","",INDEX(Weekly_Inspections!$AV$4:$AV$996,$T80))</f>
        <v/>
      </c>
      <c r="M80" s="9">
        <f>IF($T80="","","Open")</f>
        <v/>
      </c>
      <c r="N80" s="8" t="n"/>
      <c r="O80" s="4">
        <f>IF(A80="","",IF(N80&lt;&gt;"",N80-B80,TODAY()-B80))</f>
        <v/>
      </c>
      <c r="P80" s="4">
        <f>IF(A80="","",IF(AND(M80&lt;&gt;"Closed",L80&lt;TODAY()),"YES","NO"))</f>
        <v/>
      </c>
      <c r="Q80" s="4">
        <f>IF($T80="","",INDEX(Weekly_Inspections!$AW$4:$AW$996,$T80))</f>
        <v/>
      </c>
      <c r="T80" s="2">
        <f>IFERROR(AGGREGATE(15,6,(ROW(Weekly_Inspections!$AS$4:$AS$996)-ROW(Weekly_Inspections!$AS$4)+1)/(((Weekly_Inspections!$AS$4:$AS$996&lt;&gt;"")+(Weekly_Inspections!$AQ$4:$AQ$996&lt;&gt;""))&gt;0),ROWS($T$4:T80)),"")</f>
        <v/>
      </c>
    </row>
    <row r="81">
      <c r="A81" s="4">
        <f>IF($T81="","","CAPA-"&amp;TEXT($T81,"000"))</f>
        <v/>
      </c>
      <c r="B81" s="17">
        <f>IF($T81="","",INDEX(Weekly_Inspections!$B$4:$B$996,$T81))</f>
        <v/>
      </c>
      <c r="C81" s="4">
        <f>IF($T81="","",INDEX(Weekly_Inspections!$E$4:$E$996,$T81))</f>
        <v/>
      </c>
      <c r="D81" s="4">
        <f>IF($T81="","",INDEX(Weekly_Inspections!$F$4:$F$996,$T81))</f>
        <v/>
      </c>
      <c r="E81" s="4">
        <f>IF($T81="","",INDEX(Weekly_Inspections!$H$4:$H$996,$T81))</f>
        <v/>
      </c>
      <c r="F81" s="4">
        <f>IF($T81="","",INDEX(Weekly_Inspections!$R$4:$R$996,$T81))</f>
        <v/>
      </c>
      <c r="G81" s="4">
        <f>IF($T81="","",INDEX(Weekly_Inspections!$AQ$4:$AQ$996,$T81))</f>
        <v/>
      </c>
      <c r="H81" s="4">
        <f>IF($T81="","",INDEX(Weekly_Inspections!$AP$4:$AP$996,$T81))</f>
        <v/>
      </c>
      <c r="I81" s="4">
        <f>IF($T81="","",INDEX(Weekly_Inspections!$AR$4:$AR$996,$T81))</f>
        <v/>
      </c>
      <c r="J81" s="4">
        <f>IF($T81="","",INDEX(Weekly_Inspections!$AS$4:$AS$996,$T81))</f>
        <v/>
      </c>
      <c r="K81" s="4">
        <f>IF($T81="","",INDEX(Weekly_Inspections!$AU$4:$AU$996,$T81))</f>
        <v/>
      </c>
      <c r="L81" s="17">
        <f>IF($T81="","",INDEX(Weekly_Inspections!$AV$4:$AV$996,$T81))</f>
        <v/>
      </c>
      <c r="M81" s="9">
        <f>IF($T81="","","Open")</f>
        <v/>
      </c>
      <c r="N81" s="8" t="n"/>
      <c r="O81" s="4">
        <f>IF(A81="","",IF(N81&lt;&gt;"",N81-B81,TODAY()-B81))</f>
        <v/>
      </c>
      <c r="P81" s="4">
        <f>IF(A81="","",IF(AND(M81&lt;&gt;"Closed",L81&lt;TODAY()),"YES","NO"))</f>
        <v/>
      </c>
      <c r="Q81" s="4">
        <f>IF($T81="","",INDEX(Weekly_Inspections!$AW$4:$AW$996,$T81))</f>
        <v/>
      </c>
      <c r="T81" s="2">
        <f>IFERROR(AGGREGATE(15,6,(ROW(Weekly_Inspections!$AS$4:$AS$996)-ROW(Weekly_Inspections!$AS$4)+1)/(((Weekly_Inspections!$AS$4:$AS$996&lt;&gt;"")+(Weekly_Inspections!$AQ$4:$AQ$996&lt;&gt;""))&gt;0),ROWS($T$4:T81)),"")</f>
        <v/>
      </c>
    </row>
    <row r="82">
      <c r="A82" s="4">
        <f>IF($T82="","","CAPA-"&amp;TEXT($T82,"000"))</f>
        <v/>
      </c>
      <c r="B82" s="17">
        <f>IF($T82="","",INDEX(Weekly_Inspections!$B$4:$B$996,$T82))</f>
        <v/>
      </c>
      <c r="C82" s="4">
        <f>IF($T82="","",INDEX(Weekly_Inspections!$E$4:$E$996,$T82))</f>
        <v/>
      </c>
      <c r="D82" s="4">
        <f>IF($T82="","",INDEX(Weekly_Inspections!$F$4:$F$996,$T82))</f>
        <v/>
      </c>
      <c r="E82" s="4">
        <f>IF($T82="","",INDEX(Weekly_Inspections!$H$4:$H$996,$T82))</f>
        <v/>
      </c>
      <c r="F82" s="4">
        <f>IF($T82="","",INDEX(Weekly_Inspections!$R$4:$R$996,$T82))</f>
        <v/>
      </c>
      <c r="G82" s="4">
        <f>IF($T82="","",INDEX(Weekly_Inspections!$AQ$4:$AQ$996,$T82))</f>
        <v/>
      </c>
      <c r="H82" s="4">
        <f>IF($T82="","",INDEX(Weekly_Inspections!$AP$4:$AP$996,$T82))</f>
        <v/>
      </c>
      <c r="I82" s="4">
        <f>IF($T82="","",INDEX(Weekly_Inspections!$AR$4:$AR$996,$T82))</f>
        <v/>
      </c>
      <c r="J82" s="4">
        <f>IF($T82="","",INDEX(Weekly_Inspections!$AS$4:$AS$996,$T82))</f>
        <v/>
      </c>
      <c r="K82" s="4">
        <f>IF($T82="","",INDEX(Weekly_Inspections!$AU$4:$AU$996,$T82))</f>
        <v/>
      </c>
      <c r="L82" s="17">
        <f>IF($T82="","",INDEX(Weekly_Inspections!$AV$4:$AV$996,$T82))</f>
        <v/>
      </c>
      <c r="M82" s="9">
        <f>IF($T82="","","Open")</f>
        <v/>
      </c>
      <c r="N82" s="8" t="n"/>
      <c r="O82" s="4">
        <f>IF(A82="","",IF(N82&lt;&gt;"",N82-B82,TODAY()-B82))</f>
        <v/>
      </c>
      <c r="P82" s="4">
        <f>IF(A82="","",IF(AND(M82&lt;&gt;"Closed",L82&lt;TODAY()),"YES","NO"))</f>
        <v/>
      </c>
      <c r="Q82" s="4">
        <f>IF($T82="","",INDEX(Weekly_Inspections!$AW$4:$AW$996,$T82))</f>
        <v/>
      </c>
      <c r="T82" s="2">
        <f>IFERROR(AGGREGATE(15,6,(ROW(Weekly_Inspections!$AS$4:$AS$996)-ROW(Weekly_Inspections!$AS$4)+1)/(((Weekly_Inspections!$AS$4:$AS$996&lt;&gt;"")+(Weekly_Inspections!$AQ$4:$AQ$996&lt;&gt;""))&gt;0),ROWS($T$4:T82)),"")</f>
        <v/>
      </c>
    </row>
    <row r="83">
      <c r="A83" s="4">
        <f>IF($T83="","","CAPA-"&amp;TEXT($T83,"000"))</f>
        <v/>
      </c>
      <c r="B83" s="17">
        <f>IF($T83="","",INDEX(Weekly_Inspections!$B$4:$B$996,$T83))</f>
        <v/>
      </c>
      <c r="C83" s="4">
        <f>IF($T83="","",INDEX(Weekly_Inspections!$E$4:$E$996,$T83))</f>
        <v/>
      </c>
      <c r="D83" s="4">
        <f>IF($T83="","",INDEX(Weekly_Inspections!$F$4:$F$996,$T83))</f>
        <v/>
      </c>
      <c r="E83" s="4">
        <f>IF($T83="","",INDEX(Weekly_Inspections!$H$4:$H$996,$T83))</f>
        <v/>
      </c>
      <c r="F83" s="4">
        <f>IF($T83="","",INDEX(Weekly_Inspections!$R$4:$R$996,$T83))</f>
        <v/>
      </c>
      <c r="G83" s="4">
        <f>IF($T83="","",INDEX(Weekly_Inspections!$AQ$4:$AQ$996,$T83))</f>
        <v/>
      </c>
      <c r="H83" s="4">
        <f>IF($T83="","",INDEX(Weekly_Inspections!$AP$4:$AP$996,$T83))</f>
        <v/>
      </c>
      <c r="I83" s="4">
        <f>IF($T83="","",INDEX(Weekly_Inspections!$AR$4:$AR$996,$T83))</f>
        <v/>
      </c>
      <c r="J83" s="4">
        <f>IF($T83="","",INDEX(Weekly_Inspections!$AS$4:$AS$996,$T83))</f>
        <v/>
      </c>
      <c r="K83" s="4">
        <f>IF($T83="","",INDEX(Weekly_Inspections!$AU$4:$AU$996,$T83))</f>
        <v/>
      </c>
      <c r="L83" s="17">
        <f>IF($T83="","",INDEX(Weekly_Inspections!$AV$4:$AV$996,$T83))</f>
        <v/>
      </c>
      <c r="M83" s="9">
        <f>IF($T83="","","Open")</f>
        <v/>
      </c>
      <c r="N83" s="8" t="n"/>
      <c r="O83" s="4">
        <f>IF(A83="","",IF(N83&lt;&gt;"",N83-B83,TODAY()-B83))</f>
        <v/>
      </c>
      <c r="P83" s="4">
        <f>IF(A83="","",IF(AND(M83&lt;&gt;"Closed",L83&lt;TODAY()),"YES","NO"))</f>
        <v/>
      </c>
      <c r="Q83" s="4">
        <f>IF($T83="","",INDEX(Weekly_Inspections!$AW$4:$AW$996,$T83))</f>
        <v/>
      </c>
      <c r="T83" s="2">
        <f>IFERROR(AGGREGATE(15,6,(ROW(Weekly_Inspections!$AS$4:$AS$996)-ROW(Weekly_Inspections!$AS$4)+1)/(((Weekly_Inspections!$AS$4:$AS$996&lt;&gt;"")+(Weekly_Inspections!$AQ$4:$AQ$996&lt;&gt;""))&gt;0),ROWS($T$4:T83)),"")</f>
        <v/>
      </c>
    </row>
    <row r="84">
      <c r="A84" s="4">
        <f>IF($T84="","","CAPA-"&amp;TEXT($T84,"000"))</f>
        <v/>
      </c>
      <c r="B84" s="17">
        <f>IF($T84="","",INDEX(Weekly_Inspections!$B$4:$B$996,$T84))</f>
        <v/>
      </c>
      <c r="C84" s="4">
        <f>IF($T84="","",INDEX(Weekly_Inspections!$E$4:$E$996,$T84))</f>
        <v/>
      </c>
      <c r="D84" s="4">
        <f>IF($T84="","",INDEX(Weekly_Inspections!$F$4:$F$996,$T84))</f>
        <v/>
      </c>
      <c r="E84" s="4">
        <f>IF($T84="","",INDEX(Weekly_Inspections!$H$4:$H$996,$T84))</f>
        <v/>
      </c>
      <c r="F84" s="4">
        <f>IF($T84="","",INDEX(Weekly_Inspections!$R$4:$R$996,$T84))</f>
        <v/>
      </c>
      <c r="G84" s="4">
        <f>IF($T84="","",INDEX(Weekly_Inspections!$AQ$4:$AQ$996,$T84))</f>
        <v/>
      </c>
      <c r="H84" s="4">
        <f>IF($T84="","",INDEX(Weekly_Inspections!$AP$4:$AP$996,$T84))</f>
        <v/>
      </c>
      <c r="I84" s="4">
        <f>IF($T84="","",INDEX(Weekly_Inspections!$AR$4:$AR$996,$T84))</f>
        <v/>
      </c>
      <c r="J84" s="4">
        <f>IF($T84="","",INDEX(Weekly_Inspections!$AS$4:$AS$996,$T84))</f>
        <v/>
      </c>
      <c r="K84" s="4">
        <f>IF($T84="","",INDEX(Weekly_Inspections!$AU$4:$AU$996,$T84))</f>
        <v/>
      </c>
      <c r="L84" s="17">
        <f>IF($T84="","",INDEX(Weekly_Inspections!$AV$4:$AV$996,$T84))</f>
        <v/>
      </c>
      <c r="M84" s="9">
        <f>IF($T84="","","Open")</f>
        <v/>
      </c>
      <c r="N84" s="8" t="n"/>
      <c r="O84" s="4">
        <f>IF(A84="","",IF(N84&lt;&gt;"",N84-B84,TODAY()-B84))</f>
        <v/>
      </c>
      <c r="P84" s="4">
        <f>IF(A84="","",IF(AND(M84&lt;&gt;"Closed",L84&lt;TODAY()),"YES","NO"))</f>
        <v/>
      </c>
      <c r="Q84" s="4">
        <f>IF($T84="","",INDEX(Weekly_Inspections!$AW$4:$AW$996,$T84))</f>
        <v/>
      </c>
      <c r="T84" s="2">
        <f>IFERROR(AGGREGATE(15,6,(ROW(Weekly_Inspections!$AS$4:$AS$996)-ROW(Weekly_Inspections!$AS$4)+1)/(((Weekly_Inspections!$AS$4:$AS$996&lt;&gt;"")+(Weekly_Inspections!$AQ$4:$AQ$996&lt;&gt;""))&gt;0),ROWS($T$4:T84)),"")</f>
        <v/>
      </c>
    </row>
    <row r="85">
      <c r="A85" s="4">
        <f>IF($T85="","","CAPA-"&amp;TEXT($T85,"000"))</f>
        <v/>
      </c>
      <c r="B85" s="17">
        <f>IF($T85="","",INDEX(Weekly_Inspections!$B$4:$B$996,$T85))</f>
        <v/>
      </c>
      <c r="C85" s="4">
        <f>IF($T85="","",INDEX(Weekly_Inspections!$E$4:$E$996,$T85))</f>
        <v/>
      </c>
      <c r="D85" s="4">
        <f>IF($T85="","",INDEX(Weekly_Inspections!$F$4:$F$996,$T85))</f>
        <v/>
      </c>
      <c r="E85" s="4">
        <f>IF($T85="","",INDEX(Weekly_Inspections!$H$4:$H$996,$T85))</f>
        <v/>
      </c>
      <c r="F85" s="4">
        <f>IF($T85="","",INDEX(Weekly_Inspections!$R$4:$R$996,$T85))</f>
        <v/>
      </c>
      <c r="G85" s="4">
        <f>IF($T85="","",INDEX(Weekly_Inspections!$AQ$4:$AQ$996,$T85))</f>
        <v/>
      </c>
      <c r="H85" s="4">
        <f>IF($T85="","",INDEX(Weekly_Inspections!$AP$4:$AP$996,$T85))</f>
        <v/>
      </c>
      <c r="I85" s="4">
        <f>IF($T85="","",INDEX(Weekly_Inspections!$AR$4:$AR$996,$T85))</f>
        <v/>
      </c>
      <c r="J85" s="4">
        <f>IF($T85="","",INDEX(Weekly_Inspections!$AS$4:$AS$996,$T85))</f>
        <v/>
      </c>
      <c r="K85" s="4">
        <f>IF($T85="","",INDEX(Weekly_Inspections!$AU$4:$AU$996,$T85))</f>
        <v/>
      </c>
      <c r="L85" s="17">
        <f>IF($T85="","",INDEX(Weekly_Inspections!$AV$4:$AV$996,$T85))</f>
        <v/>
      </c>
      <c r="M85" s="9">
        <f>IF($T85="","","Open")</f>
        <v/>
      </c>
      <c r="N85" s="8" t="n"/>
      <c r="O85" s="4">
        <f>IF(A85="","",IF(N85&lt;&gt;"",N85-B85,TODAY()-B85))</f>
        <v/>
      </c>
      <c r="P85" s="4">
        <f>IF(A85="","",IF(AND(M85&lt;&gt;"Closed",L85&lt;TODAY()),"YES","NO"))</f>
        <v/>
      </c>
      <c r="Q85" s="4">
        <f>IF($T85="","",INDEX(Weekly_Inspections!$AW$4:$AW$996,$T85))</f>
        <v/>
      </c>
      <c r="T85" s="2">
        <f>IFERROR(AGGREGATE(15,6,(ROW(Weekly_Inspections!$AS$4:$AS$996)-ROW(Weekly_Inspections!$AS$4)+1)/(((Weekly_Inspections!$AS$4:$AS$996&lt;&gt;"")+(Weekly_Inspections!$AQ$4:$AQ$996&lt;&gt;""))&gt;0),ROWS($T$4:T85)),"")</f>
        <v/>
      </c>
    </row>
    <row r="86">
      <c r="A86" s="4">
        <f>IF($T86="","","CAPA-"&amp;TEXT($T86,"000"))</f>
        <v/>
      </c>
      <c r="B86" s="17">
        <f>IF($T86="","",INDEX(Weekly_Inspections!$B$4:$B$996,$T86))</f>
        <v/>
      </c>
      <c r="C86" s="4">
        <f>IF($T86="","",INDEX(Weekly_Inspections!$E$4:$E$996,$T86))</f>
        <v/>
      </c>
      <c r="D86" s="4">
        <f>IF($T86="","",INDEX(Weekly_Inspections!$F$4:$F$996,$T86))</f>
        <v/>
      </c>
      <c r="E86" s="4">
        <f>IF($T86="","",INDEX(Weekly_Inspections!$H$4:$H$996,$T86))</f>
        <v/>
      </c>
      <c r="F86" s="4">
        <f>IF($T86="","",INDEX(Weekly_Inspections!$R$4:$R$996,$T86))</f>
        <v/>
      </c>
      <c r="G86" s="4">
        <f>IF($T86="","",INDEX(Weekly_Inspections!$AQ$4:$AQ$996,$T86))</f>
        <v/>
      </c>
      <c r="H86" s="4">
        <f>IF($T86="","",INDEX(Weekly_Inspections!$AP$4:$AP$996,$T86))</f>
        <v/>
      </c>
      <c r="I86" s="4">
        <f>IF($T86="","",INDEX(Weekly_Inspections!$AR$4:$AR$996,$T86))</f>
        <v/>
      </c>
      <c r="J86" s="4">
        <f>IF($T86="","",INDEX(Weekly_Inspections!$AS$4:$AS$996,$T86))</f>
        <v/>
      </c>
      <c r="K86" s="4">
        <f>IF($T86="","",INDEX(Weekly_Inspections!$AU$4:$AU$996,$T86))</f>
        <v/>
      </c>
      <c r="L86" s="17">
        <f>IF($T86="","",INDEX(Weekly_Inspections!$AV$4:$AV$996,$T86))</f>
        <v/>
      </c>
      <c r="M86" s="9">
        <f>IF($T86="","","Open")</f>
        <v/>
      </c>
      <c r="N86" s="8" t="n"/>
      <c r="O86" s="4">
        <f>IF(A86="","",IF(N86&lt;&gt;"",N86-B86,TODAY()-B86))</f>
        <v/>
      </c>
      <c r="P86" s="4">
        <f>IF(A86="","",IF(AND(M86&lt;&gt;"Closed",L86&lt;TODAY()),"YES","NO"))</f>
        <v/>
      </c>
      <c r="Q86" s="4">
        <f>IF($T86="","",INDEX(Weekly_Inspections!$AW$4:$AW$996,$T86))</f>
        <v/>
      </c>
      <c r="T86" s="2">
        <f>IFERROR(AGGREGATE(15,6,(ROW(Weekly_Inspections!$AS$4:$AS$996)-ROW(Weekly_Inspections!$AS$4)+1)/(((Weekly_Inspections!$AS$4:$AS$996&lt;&gt;"")+(Weekly_Inspections!$AQ$4:$AQ$996&lt;&gt;""))&gt;0),ROWS($T$4:T86)),"")</f>
        <v/>
      </c>
    </row>
    <row r="87">
      <c r="A87" s="4">
        <f>IF($T87="","","CAPA-"&amp;TEXT($T87,"000"))</f>
        <v/>
      </c>
      <c r="B87" s="17">
        <f>IF($T87="","",INDEX(Weekly_Inspections!$B$4:$B$996,$T87))</f>
        <v/>
      </c>
      <c r="C87" s="4">
        <f>IF($T87="","",INDEX(Weekly_Inspections!$E$4:$E$996,$T87))</f>
        <v/>
      </c>
      <c r="D87" s="4">
        <f>IF($T87="","",INDEX(Weekly_Inspections!$F$4:$F$996,$T87))</f>
        <v/>
      </c>
      <c r="E87" s="4">
        <f>IF($T87="","",INDEX(Weekly_Inspections!$H$4:$H$996,$T87))</f>
        <v/>
      </c>
      <c r="F87" s="4">
        <f>IF($T87="","",INDEX(Weekly_Inspections!$R$4:$R$996,$T87))</f>
        <v/>
      </c>
      <c r="G87" s="4">
        <f>IF($T87="","",INDEX(Weekly_Inspections!$AQ$4:$AQ$996,$T87))</f>
        <v/>
      </c>
      <c r="H87" s="4">
        <f>IF($T87="","",INDEX(Weekly_Inspections!$AP$4:$AP$996,$T87))</f>
        <v/>
      </c>
      <c r="I87" s="4">
        <f>IF($T87="","",INDEX(Weekly_Inspections!$AR$4:$AR$996,$T87))</f>
        <v/>
      </c>
      <c r="J87" s="4">
        <f>IF($T87="","",INDEX(Weekly_Inspections!$AS$4:$AS$996,$T87))</f>
        <v/>
      </c>
      <c r="K87" s="4">
        <f>IF($T87="","",INDEX(Weekly_Inspections!$AU$4:$AU$996,$T87))</f>
        <v/>
      </c>
      <c r="L87" s="17">
        <f>IF($T87="","",INDEX(Weekly_Inspections!$AV$4:$AV$996,$T87))</f>
        <v/>
      </c>
      <c r="M87" s="9">
        <f>IF($T87="","","Open")</f>
        <v/>
      </c>
      <c r="N87" s="8" t="n"/>
      <c r="O87" s="4">
        <f>IF(A87="","",IF(N87&lt;&gt;"",N87-B87,TODAY()-B87))</f>
        <v/>
      </c>
      <c r="P87" s="4">
        <f>IF(A87="","",IF(AND(M87&lt;&gt;"Closed",L87&lt;TODAY()),"YES","NO"))</f>
        <v/>
      </c>
      <c r="Q87" s="4">
        <f>IF($T87="","",INDEX(Weekly_Inspections!$AW$4:$AW$996,$T87))</f>
        <v/>
      </c>
      <c r="T87" s="2">
        <f>IFERROR(AGGREGATE(15,6,(ROW(Weekly_Inspections!$AS$4:$AS$996)-ROW(Weekly_Inspections!$AS$4)+1)/(((Weekly_Inspections!$AS$4:$AS$996&lt;&gt;"")+(Weekly_Inspections!$AQ$4:$AQ$996&lt;&gt;""))&gt;0),ROWS($T$4:T87)),"")</f>
        <v/>
      </c>
    </row>
    <row r="88">
      <c r="A88" s="4">
        <f>IF($T88="","","CAPA-"&amp;TEXT($T88,"000"))</f>
        <v/>
      </c>
      <c r="B88" s="17">
        <f>IF($T88="","",INDEX(Weekly_Inspections!$B$4:$B$996,$T88))</f>
        <v/>
      </c>
      <c r="C88" s="4">
        <f>IF($T88="","",INDEX(Weekly_Inspections!$E$4:$E$996,$T88))</f>
        <v/>
      </c>
      <c r="D88" s="4">
        <f>IF($T88="","",INDEX(Weekly_Inspections!$F$4:$F$996,$T88))</f>
        <v/>
      </c>
      <c r="E88" s="4">
        <f>IF($T88="","",INDEX(Weekly_Inspections!$H$4:$H$996,$T88))</f>
        <v/>
      </c>
      <c r="F88" s="4">
        <f>IF($T88="","",INDEX(Weekly_Inspections!$R$4:$R$996,$T88))</f>
        <v/>
      </c>
      <c r="G88" s="4">
        <f>IF($T88="","",INDEX(Weekly_Inspections!$AQ$4:$AQ$996,$T88))</f>
        <v/>
      </c>
      <c r="H88" s="4">
        <f>IF($T88="","",INDEX(Weekly_Inspections!$AP$4:$AP$996,$T88))</f>
        <v/>
      </c>
      <c r="I88" s="4">
        <f>IF($T88="","",INDEX(Weekly_Inspections!$AR$4:$AR$996,$T88))</f>
        <v/>
      </c>
      <c r="J88" s="4">
        <f>IF($T88="","",INDEX(Weekly_Inspections!$AS$4:$AS$996,$T88))</f>
        <v/>
      </c>
      <c r="K88" s="4">
        <f>IF($T88="","",INDEX(Weekly_Inspections!$AU$4:$AU$996,$T88))</f>
        <v/>
      </c>
      <c r="L88" s="17">
        <f>IF($T88="","",INDEX(Weekly_Inspections!$AV$4:$AV$996,$T88))</f>
        <v/>
      </c>
      <c r="M88" s="9">
        <f>IF($T88="","","Open")</f>
        <v/>
      </c>
      <c r="N88" s="8" t="n"/>
      <c r="O88" s="4">
        <f>IF(A88="","",IF(N88&lt;&gt;"",N88-B88,TODAY()-B88))</f>
        <v/>
      </c>
      <c r="P88" s="4">
        <f>IF(A88="","",IF(AND(M88&lt;&gt;"Closed",L88&lt;TODAY()),"YES","NO"))</f>
        <v/>
      </c>
      <c r="Q88" s="4">
        <f>IF($T88="","",INDEX(Weekly_Inspections!$AW$4:$AW$996,$T88))</f>
        <v/>
      </c>
      <c r="T88" s="2">
        <f>IFERROR(AGGREGATE(15,6,(ROW(Weekly_Inspections!$AS$4:$AS$996)-ROW(Weekly_Inspections!$AS$4)+1)/(((Weekly_Inspections!$AS$4:$AS$996&lt;&gt;"")+(Weekly_Inspections!$AQ$4:$AQ$996&lt;&gt;""))&gt;0),ROWS($T$4:T88)),"")</f>
        <v/>
      </c>
    </row>
    <row r="89">
      <c r="A89" s="4">
        <f>IF($T89="","","CAPA-"&amp;TEXT($T89,"000"))</f>
        <v/>
      </c>
      <c r="B89" s="17">
        <f>IF($T89="","",INDEX(Weekly_Inspections!$B$4:$B$996,$T89))</f>
        <v/>
      </c>
      <c r="C89" s="4">
        <f>IF($T89="","",INDEX(Weekly_Inspections!$E$4:$E$996,$T89))</f>
        <v/>
      </c>
      <c r="D89" s="4">
        <f>IF($T89="","",INDEX(Weekly_Inspections!$F$4:$F$996,$T89))</f>
        <v/>
      </c>
      <c r="E89" s="4">
        <f>IF($T89="","",INDEX(Weekly_Inspections!$H$4:$H$996,$T89))</f>
        <v/>
      </c>
      <c r="F89" s="4">
        <f>IF($T89="","",INDEX(Weekly_Inspections!$R$4:$R$996,$T89))</f>
        <v/>
      </c>
      <c r="G89" s="4">
        <f>IF($T89="","",INDEX(Weekly_Inspections!$AQ$4:$AQ$996,$T89))</f>
        <v/>
      </c>
      <c r="H89" s="4">
        <f>IF($T89="","",INDEX(Weekly_Inspections!$AP$4:$AP$996,$T89))</f>
        <v/>
      </c>
      <c r="I89" s="4">
        <f>IF($T89="","",INDEX(Weekly_Inspections!$AR$4:$AR$996,$T89))</f>
        <v/>
      </c>
      <c r="J89" s="4">
        <f>IF($T89="","",INDEX(Weekly_Inspections!$AS$4:$AS$996,$T89))</f>
        <v/>
      </c>
      <c r="K89" s="4">
        <f>IF($T89="","",INDEX(Weekly_Inspections!$AU$4:$AU$996,$T89))</f>
        <v/>
      </c>
      <c r="L89" s="17">
        <f>IF($T89="","",INDEX(Weekly_Inspections!$AV$4:$AV$996,$T89))</f>
        <v/>
      </c>
      <c r="M89" s="9">
        <f>IF($T89="","","Open")</f>
        <v/>
      </c>
      <c r="N89" s="8" t="n"/>
      <c r="O89" s="4">
        <f>IF(A89="","",IF(N89&lt;&gt;"",N89-B89,TODAY()-B89))</f>
        <v/>
      </c>
      <c r="P89" s="4">
        <f>IF(A89="","",IF(AND(M89&lt;&gt;"Closed",L89&lt;TODAY()),"YES","NO"))</f>
        <v/>
      </c>
      <c r="Q89" s="4">
        <f>IF($T89="","",INDEX(Weekly_Inspections!$AW$4:$AW$996,$T89))</f>
        <v/>
      </c>
      <c r="T89" s="2">
        <f>IFERROR(AGGREGATE(15,6,(ROW(Weekly_Inspections!$AS$4:$AS$996)-ROW(Weekly_Inspections!$AS$4)+1)/(((Weekly_Inspections!$AS$4:$AS$996&lt;&gt;"")+(Weekly_Inspections!$AQ$4:$AQ$996&lt;&gt;""))&gt;0),ROWS($T$4:T89)),"")</f>
        <v/>
      </c>
    </row>
    <row r="90">
      <c r="A90" s="4">
        <f>IF($T90="","","CAPA-"&amp;TEXT($T90,"000"))</f>
        <v/>
      </c>
      <c r="B90" s="17">
        <f>IF($T90="","",INDEX(Weekly_Inspections!$B$4:$B$996,$T90))</f>
        <v/>
      </c>
      <c r="C90" s="4">
        <f>IF($T90="","",INDEX(Weekly_Inspections!$E$4:$E$996,$T90))</f>
        <v/>
      </c>
      <c r="D90" s="4">
        <f>IF($T90="","",INDEX(Weekly_Inspections!$F$4:$F$996,$T90))</f>
        <v/>
      </c>
      <c r="E90" s="4">
        <f>IF($T90="","",INDEX(Weekly_Inspections!$H$4:$H$996,$T90))</f>
        <v/>
      </c>
      <c r="F90" s="4">
        <f>IF($T90="","",INDEX(Weekly_Inspections!$R$4:$R$996,$T90))</f>
        <v/>
      </c>
      <c r="G90" s="4">
        <f>IF($T90="","",INDEX(Weekly_Inspections!$AQ$4:$AQ$996,$T90))</f>
        <v/>
      </c>
      <c r="H90" s="4">
        <f>IF($T90="","",INDEX(Weekly_Inspections!$AP$4:$AP$996,$T90))</f>
        <v/>
      </c>
      <c r="I90" s="4">
        <f>IF($T90="","",INDEX(Weekly_Inspections!$AR$4:$AR$996,$T90))</f>
        <v/>
      </c>
      <c r="J90" s="4">
        <f>IF($T90="","",INDEX(Weekly_Inspections!$AS$4:$AS$996,$T90))</f>
        <v/>
      </c>
      <c r="K90" s="4">
        <f>IF($T90="","",INDEX(Weekly_Inspections!$AU$4:$AU$996,$T90))</f>
        <v/>
      </c>
      <c r="L90" s="17">
        <f>IF($T90="","",INDEX(Weekly_Inspections!$AV$4:$AV$996,$T90))</f>
        <v/>
      </c>
      <c r="M90" s="9">
        <f>IF($T90="","","Open")</f>
        <v/>
      </c>
      <c r="N90" s="8" t="n"/>
      <c r="O90" s="4">
        <f>IF(A90="","",IF(N90&lt;&gt;"",N90-B90,TODAY()-B90))</f>
        <v/>
      </c>
      <c r="P90" s="4">
        <f>IF(A90="","",IF(AND(M90&lt;&gt;"Closed",L90&lt;TODAY()),"YES","NO"))</f>
        <v/>
      </c>
      <c r="Q90" s="4">
        <f>IF($T90="","",INDEX(Weekly_Inspections!$AW$4:$AW$996,$T90))</f>
        <v/>
      </c>
      <c r="T90" s="2">
        <f>IFERROR(AGGREGATE(15,6,(ROW(Weekly_Inspections!$AS$4:$AS$996)-ROW(Weekly_Inspections!$AS$4)+1)/(((Weekly_Inspections!$AS$4:$AS$996&lt;&gt;"")+(Weekly_Inspections!$AQ$4:$AQ$996&lt;&gt;""))&gt;0),ROWS($T$4:T90)),"")</f>
        <v/>
      </c>
    </row>
    <row r="91">
      <c r="A91" s="4">
        <f>IF($T91="","","CAPA-"&amp;TEXT($T91,"000"))</f>
        <v/>
      </c>
      <c r="B91" s="17">
        <f>IF($T91="","",INDEX(Weekly_Inspections!$B$4:$B$996,$T91))</f>
        <v/>
      </c>
      <c r="C91" s="4">
        <f>IF($T91="","",INDEX(Weekly_Inspections!$E$4:$E$996,$T91))</f>
        <v/>
      </c>
      <c r="D91" s="4">
        <f>IF($T91="","",INDEX(Weekly_Inspections!$F$4:$F$996,$T91))</f>
        <v/>
      </c>
      <c r="E91" s="4">
        <f>IF($T91="","",INDEX(Weekly_Inspections!$H$4:$H$996,$T91))</f>
        <v/>
      </c>
      <c r="F91" s="4">
        <f>IF($T91="","",INDEX(Weekly_Inspections!$R$4:$R$996,$T91))</f>
        <v/>
      </c>
      <c r="G91" s="4">
        <f>IF($T91="","",INDEX(Weekly_Inspections!$AQ$4:$AQ$996,$T91))</f>
        <v/>
      </c>
      <c r="H91" s="4">
        <f>IF($T91="","",INDEX(Weekly_Inspections!$AP$4:$AP$996,$T91))</f>
        <v/>
      </c>
      <c r="I91" s="4">
        <f>IF($T91="","",INDEX(Weekly_Inspections!$AR$4:$AR$996,$T91))</f>
        <v/>
      </c>
      <c r="J91" s="4">
        <f>IF($T91="","",INDEX(Weekly_Inspections!$AS$4:$AS$996,$T91))</f>
        <v/>
      </c>
      <c r="K91" s="4">
        <f>IF($T91="","",INDEX(Weekly_Inspections!$AU$4:$AU$996,$T91))</f>
        <v/>
      </c>
      <c r="L91" s="17">
        <f>IF($T91="","",INDEX(Weekly_Inspections!$AV$4:$AV$996,$T91))</f>
        <v/>
      </c>
      <c r="M91" s="9">
        <f>IF($T91="","","Open")</f>
        <v/>
      </c>
      <c r="N91" s="8" t="n"/>
      <c r="O91" s="4">
        <f>IF(A91="","",IF(N91&lt;&gt;"",N91-B91,TODAY()-B91))</f>
        <v/>
      </c>
      <c r="P91" s="4">
        <f>IF(A91="","",IF(AND(M91&lt;&gt;"Closed",L91&lt;TODAY()),"YES","NO"))</f>
        <v/>
      </c>
      <c r="Q91" s="4">
        <f>IF($T91="","",INDEX(Weekly_Inspections!$AW$4:$AW$996,$T91))</f>
        <v/>
      </c>
      <c r="T91" s="2">
        <f>IFERROR(AGGREGATE(15,6,(ROW(Weekly_Inspections!$AS$4:$AS$996)-ROW(Weekly_Inspections!$AS$4)+1)/(((Weekly_Inspections!$AS$4:$AS$996&lt;&gt;"")+(Weekly_Inspections!$AQ$4:$AQ$996&lt;&gt;""))&gt;0),ROWS($T$4:T91)),"")</f>
        <v/>
      </c>
    </row>
    <row r="92">
      <c r="A92" s="4">
        <f>IF($T92="","","CAPA-"&amp;TEXT($T92,"000"))</f>
        <v/>
      </c>
      <c r="B92" s="17">
        <f>IF($T92="","",INDEX(Weekly_Inspections!$B$4:$B$996,$T92))</f>
        <v/>
      </c>
      <c r="C92" s="4">
        <f>IF($T92="","",INDEX(Weekly_Inspections!$E$4:$E$996,$T92))</f>
        <v/>
      </c>
      <c r="D92" s="4">
        <f>IF($T92="","",INDEX(Weekly_Inspections!$F$4:$F$996,$T92))</f>
        <v/>
      </c>
      <c r="E92" s="4">
        <f>IF($T92="","",INDEX(Weekly_Inspections!$H$4:$H$996,$T92))</f>
        <v/>
      </c>
      <c r="F92" s="4">
        <f>IF($T92="","",INDEX(Weekly_Inspections!$R$4:$R$996,$T92))</f>
        <v/>
      </c>
      <c r="G92" s="4">
        <f>IF($T92="","",INDEX(Weekly_Inspections!$AQ$4:$AQ$996,$T92))</f>
        <v/>
      </c>
      <c r="H92" s="4">
        <f>IF($T92="","",INDEX(Weekly_Inspections!$AP$4:$AP$996,$T92))</f>
        <v/>
      </c>
      <c r="I92" s="4">
        <f>IF($T92="","",INDEX(Weekly_Inspections!$AR$4:$AR$996,$T92))</f>
        <v/>
      </c>
      <c r="J92" s="4">
        <f>IF($T92="","",INDEX(Weekly_Inspections!$AS$4:$AS$996,$T92))</f>
        <v/>
      </c>
      <c r="K92" s="4">
        <f>IF($T92="","",INDEX(Weekly_Inspections!$AU$4:$AU$996,$T92))</f>
        <v/>
      </c>
      <c r="L92" s="17">
        <f>IF($T92="","",INDEX(Weekly_Inspections!$AV$4:$AV$996,$T92))</f>
        <v/>
      </c>
      <c r="M92" s="9">
        <f>IF($T92="","","Open")</f>
        <v/>
      </c>
      <c r="N92" s="8" t="n"/>
      <c r="O92" s="4">
        <f>IF(A92="","",IF(N92&lt;&gt;"",N92-B92,TODAY()-B92))</f>
        <v/>
      </c>
      <c r="P92" s="4">
        <f>IF(A92="","",IF(AND(M92&lt;&gt;"Closed",L92&lt;TODAY()),"YES","NO"))</f>
        <v/>
      </c>
      <c r="Q92" s="4">
        <f>IF($T92="","",INDEX(Weekly_Inspections!$AW$4:$AW$996,$T92))</f>
        <v/>
      </c>
      <c r="T92" s="2">
        <f>IFERROR(AGGREGATE(15,6,(ROW(Weekly_Inspections!$AS$4:$AS$996)-ROW(Weekly_Inspections!$AS$4)+1)/(((Weekly_Inspections!$AS$4:$AS$996&lt;&gt;"")+(Weekly_Inspections!$AQ$4:$AQ$996&lt;&gt;""))&gt;0),ROWS($T$4:T92)),"")</f>
        <v/>
      </c>
    </row>
    <row r="93">
      <c r="A93" s="4">
        <f>IF($T93="","","CAPA-"&amp;TEXT($T93,"000"))</f>
        <v/>
      </c>
      <c r="B93" s="17">
        <f>IF($T93="","",INDEX(Weekly_Inspections!$B$4:$B$996,$T93))</f>
        <v/>
      </c>
      <c r="C93" s="4">
        <f>IF($T93="","",INDEX(Weekly_Inspections!$E$4:$E$996,$T93))</f>
        <v/>
      </c>
      <c r="D93" s="4">
        <f>IF($T93="","",INDEX(Weekly_Inspections!$F$4:$F$996,$T93))</f>
        <v/>
      </c>
      <c r="E93" s="4">
        <f>IF($T93="","",INDEX(Weekly_Inspections!$H$4:$H$996,$T93))</f>
        <v/>
      </c>
      <c r="F93" s="4">
        <f>IF($T93="","",INDEX(Weekly_Inspections!$R$4:$R$996,$T93))</f>
        <v/>
      </c>
      <c r="G93" s="4">
        <f>IF($T93="","",INDEX(Weekly_Inspections!$AQ$4:$AQ$996,$T93))</f>
        <v/>
      </c>
      <c r="H93" s="4">
        <f>IF($T93="","",INDEX(Weekly_Inspections!$AP$4:$AP$996,$T93))</f>
        <v/>
      </c>
      <c r="I93" s="4">
        <f>IF($T93="","",INDEX(Weekly_Inspections!$AR$4:$AR$996,$T93))</f>
        <v/>
      </c>
      <c r="J93" s="4">
        <f>IF($T93="","",INDEX(Weekly_Inspections!$AS$4:$AS$996,$T93))</f>
        <v/>
      </c>
      <c r="K93" s="4">
        <f>IF($T93="","",INDEX(Weekly_Inspections!$AU$4:$AU$996,$T93))</f>
        <v/>
      </c>
      <c r="L93" s="17">
        <f>IF($T93="","",INDEX(Weekly_Inspections!$AV$4:$AV$996,$T93))</f>
        <v/>
      </c>
      <c r="M93" s="9">
        <f>IF($T93="","","Open")</f>
        <v/>
      </c>
      <c r="N93" s="8" t="n"/>
      <c r="O93" s="4">
        <f>IF(A93="","",IF(N93&lt;&gt;"",N93-B93,TODAY()-B93))</f>
        <v/>
      </c>
      <c r="P93" s="4">
        <f>IF(A93="","",IF(AND(M93&lt;&gt;"Closed",L93&lt;TODAY()),"YES","NO"))</f>
        <v/>
      </c>
      <c r="Q93" s="4">
        <f>IF($T93="","",INDEX(Weekly_Inspections!$AW$4:$AW$996,$T93))</f>
        <v/>
      </c>
      <c r="T93" s="2">
        <f>IFERROR(AGGREGATE(15,6,(ROW(Weekly_Inspections!$AS$4:$AS$996)-ROW(Weekly_Inspections!$AS$4)+1)/(((Weekly_Inspections!$AS$4:$AS$996&lt;&gt;"")+(Weekly_Inspections!$AQ$4:$AQ$996&lt;&gt;""))&gt;0),ROWS($T$4:T93)),"")</f>
        <v/>
      </c>
    </row>
    <row r="94">
      <c r="A94" s="4">
        <f>IF($T94="","","CAPA-"&amp;TEXT($T94,"000"))</f>
        <v/>
      </c>
      <c r="B94" s="17">
        <f>IF($T94="","",INDEX(Weekly_Inspections!$B$4:$B$996,$T94))</f>
        <v/>
      </c>
      <c r="C94" s="4">
        <f>IF($T94="","",INDEX(Weekly_Inspections!$E$4:$E$996,$T94))</f>
        <v/>
      </c>
      <c r="D94" s="4">
        <f>IF($T94="","",INDEX(Weekly_Inspections!$F$4:$F$996,$T94))</f>
        <v/>
      </c>
      <c r="E94" s="4">
        <f>IF($T94="","",INDEX(Weekly_Inspections!$H$4:$H$996,$T94))</f>
        <v/>
      </c>
      <c r="F94" s="4">
        <f>IF($T94="","",INDEX(Weekly_Inspections!$R$4:$R$996,$T94))</f>
        <v/>
      </c>
      <c r="G94" s="4">
        <f>IF($T94="","",INDEX(Weekly_Inspections!$AQ$4:$AQ$996,$T94))</f>
        <v/>
      </c>
      <c r="H94" s="4">
        <f>IF($T94="","",INDEX(Weekly_Inspections!$AP$4:$AP$996,$T94))</f>
        <v/>
      </c>
      <c r="I94" s="4">
        <f>IF($T94="","",INDEX(Weekly_Inspections!$AR$4:$AR$996,$T94))</f>
        <v/>
      </c>
      <c r="J94" s="4">
        <f>IF($T94="","",INDEX(Weekly_Inspections!$AS$4:$AS$996,$T94))</f>
        <v/>
      </c>
      <c r="K94" s="4">
        <f>IF($T94="","",INDEX(Weekly_Inspections!$AU$4:$AU$996,$T94))</f>
        <v/>
      </c>
      <c r="L94" s="17">
        <f>IF($T94="","",INDEX(Weekly_Inspections!$AV$4:$AV$996,$T94))</f>
        <v/>
      </c>
      <c r="M94" s="9">
        <f>IF($T94="","","Open")</f>
        <v/>
      </c>
      <c r="N94" s="8" t="n"/>
      <c r="O94" s="4">
        <f>IF(A94="","",IF(N94&lt;&gt;"",N94-B94,TODAY()-B94))</f>
        <v/>
      </c>
      <c r="P94" s="4">
        <f>IF(A94="","",IF(AND(M94&lt;&gt;"Closed",L94&lt;TODAY()),"YES","NO"))</f>
        <v/>
      </c>
      <c r="Q94" s="4">
        <f>IF($T94="","",INDEX(Weekly_Inspections!$AW$4:$AW$996,$T94))</f>
        <v/>
      </c>
      <c r="T94" s="2">
        <f>IFERROR(AGGREGATE(15,6,(ROW(Weekly_Inspections!$AS$4:$AS$996)-ROW(Weekly_Inspections!$AS$4)+1)/(((Weekly_Inspections!$AS$4:$AS$996&lt;&gt;"")+(Weekly_Inspections!$AQ$4:$AQ$996&lt;&gt;""))&gt;0),ROWS($T$4:T94)),"")</f>
        <v/>
      </c>
    </row>
    <row r="95">
      <c r="A95" s="4">
        <f>IF($T95="","","CAPA-"&amp;TEXT($T95,"000"))</f>
        <v/>
      </c>
      <c r="B95" s="17">
        <f>IF($T95="","",INDEX(Weekly_Inspections!$B$4:$B$996,$T95))</f>
        <v/>
      </c>
      <c r="C95" s="4">
        <f>IF($T95="","",INDEX(Weekly_Inspections!$E$4:$E$996,$T95))</f>
        <v/>
      </c>
      <c r="D95" s="4">
        <f>IF($T95="","",INDEX(Weekly_Inspections!$F$4:$F$996,$T95))</f>
        <v/>
      </c>
      <c r="E95" s="4">
        <f>IF($T95="","",INDEX(Weekly_Inspections!$H$4:$H$996,$T95))</f>
        <v/>
      </c>
      <c r="F95" s="4">
        <f>IF($T95="","",INDEX(Weekly_Inspections!$R$4:$R$996,$T95))</f>
        <v/>
      </c>
      <c r="G95" s="4">
        <f>IF($T95="","",INDEX(Weekly_Inspections!$AQ$4:$AQ$996,$T95))</f>
        <v/>
      </c>
      <c r="H95" s="4">
        <f>IF($T95="","",INDEX(Weekly_Inspections!$AP$4:$AP$996,$T95))</f>
        <v/>
      </c>
      <c r="I95" s="4">
        <f>IF($T95="","",INDEX(Weekly_Inspections!$AR$4:$AR$996,$T95))</f>
        <v/>
      </c>
      <c r="J95" s="4">
        <f>IF($T95="","",INDEX(Weekly_Inspections!$AS$4:$AS$996,$T95))</f>
        <v/>
      </c>
      <c r="K95" s="4">
        <f>IF($T95="","",INDEX(Weekly_Inspections!$AU$4:$AU$996,$T95))</f>
        <v/>
      </c>
      <c r="L95" s="17">
        <f>IF($T95="","",INDEX(Weekly_Inspections!$AV$4:$AV$996,$T95))</f>
        <v/>
      </c>
      <c r="M95" s="9">
        <f>IF($T95="","","Open")</f>
        <v/>
      </c>
      <c r="N95" s="8" t="n"/>
      <c r="O95" s="4">
        <f>IF(A95="","",IF(N95&lt;&gt;"",N95-B95,TODAY()-B95))</f>
        <v/>
      </c>
      <c r="P95" s="4">
        <f>IF(A95="","",IF(AND(M95&lt;&gt;"Closed",L95&lt;TODAY()),"YES","NO"))</f>
        <v/>
      </c>
      <c r="Q95" s="4">
        <f>IF($T95="","",INDEX(Weekly_Inspections!$AW$4:$AW$996,$T95))</f>
        <v/>
      </c>
      <c r="T95" s="2">
        <f>IFERROR(AGGREGATE(15,6,(ROW(Weekly_Inspections!$AS$4:$AS$996)-ROW(Weekly_Inspections!$AS$4)+1)/(((Weekly_Inspections!$AS$4:$AS$996&lt;&gt;"")+(Weekly_Inspections!$AQ$4:$AQ$996&lt;&gt;""))&gt;0),ROWS($T$4:T95)),"")</f>
        <v/>
      </c>
    </row>
    <row r="96">
      <c r="A96" s="4">
        <f>IF($T96="","","CAPA-"&amp;TEXT($T96,"000"))</f>
        <v/>
      </c>
      <c r="B96" s="17">
        <f>IF($T96="","",INDEX(Weekly_Inspections!$B$4:$B$996,$T96))</f>
        <v/>
      </c>
      <c r="C96" s="4">
        <f>IF($T96="","",INDEX(Weekly_Inspections!$E$4:$E$996,$T96))</f>
        <v/>
      </c>
      <c r="D96" s="4">
        <f>IF($T96="","",INDEX(Weekly_Inspections!$F$4:$F$996,$T96))</f>
        <v/>
      </c>
      <c r="E96" s="4">
        <f>IF($T96="","",INDEX(Weekly_Inspections!$H$4:$H$996,$T96))</f>
        <v/>
      </c>
      <c r="F96" s="4">
        <f>IF($T96="","",INDEX(Weekly_Inspections!$R$4:$R$996,$T96))</f>
        <v/>
      </c>
      <c r="G96" s="4">
        <f>IF($T96="","",INDEX(Weekly_Inspections!$AQ$4:$AQ$996,$T96))</f>
        <v/>
      </c>
      <c r="H96" s="4">
        <f>IF($T96="","",INDEX(Weekly_Inspections!$AP$4:$AP$996,$T96))</f>
        <v/>
      </c>
      <c r="I96" s="4">
        <f>IF($T96="","",INDEX(Weekly_Inspections!$AR$4:$AR$996,$T96))</f>
        <v/>
      </c>
      <c r="J96" s="4">
        <f>IF($T96="","",INDEX(Weekly_Inspections!$AS$4:$AS$996,$T96))</f>
        <v/>
      </c>
      <c r="K96" s="4">
        <f>IF($T96="","",INDEX(Weekly_Inspections!$AU$4:$AU$996,$T96))</f>
        <v/>
      </c>
      <c r="L96" s="17">
        <f>IF($T96="","",INDEX(Weekly_Inspections!$AV$4:$AV$996,$T96))</f>
        <v/>
      </c>
      <c r="M96" s="9">
        <f>IF($T96="","","Open")</f>
        <v/>
      </c>
      <c r="N96" s="8" t="n"/>
      <c r="O96" s="4">
        <f>IF(A96="","",IF(N96&lt;&gt;"",N96-B96,TODAY()-B96))</f>
        <v/>
      </c>
      <c r="P96" s="4">
        <f>IF(A96="","",IF(AND(M96&lt;&gt;"Closed",L96&lt;TODAY()),"YES","NO"))</f>
        <v/>
      </c>
      <c r="Q96" s="4">
        <f>IF($T96="","",INDEX(Weekly_Inspections!$AW$4:$AW$996,$T96))</f>
        <v/>
      </c>
      <c r="T96" s="2">
        <f>IFERROR(AGGREGATE(15,6,(ROW(Weekly_Inspections!$AS$4:$AS$996)-ROW(Weekly_Inspections!$AS$4)+1)/(((Weekly_Inspections!$AS$4:$AS$996&lt;&gt;"")+(Weekly_Inspections!$AQ$4:$AQ$996&lt;&gt;""))&gt;0),ROWS($T$4:T96)),"")</f>
        <v/>
      </c>
    </row>
    <row r="97">
      <c r="A97" s="4">
        <f>IF($T97="","","CAPA-"&amp;TEXT($T97,"000"))</f>
        <v/>
      </c>
      <c r="B97" s="17">
        <f>IF($T97="","",INDEX(Weekly_Inspections!$B$4:$B$996,$T97))</f>
        <v/>
      </c>
      <c r="C97" s="4">
        <f>IF($T97="","",INDEX(Weekly_Inspections!$E$4:$E$996,$T97))</f>
        <v/>
      </c>
      <c r="D97" s="4">
        <f>IF($T97="","",INDEX(Weekly_Inspections!$F$4:$F$996,$T97))</f>
        <v/>
      </c>
      <c r="E97" s="4">
        <f>IF($T97="","",INDEX(Weekly_Inspections!$H$4:$H$996,$T97))</f>
        <v/>
      </c>
      <c r="F97" s="4">
        <f>IF($T97="","",INDEX(Weekly_Inspections!$R$4:$R$996,$T97))</f>
        <v/>
      </c>
      <c r="G97" s="4">
        <f>IF($T97="","",INDEX(Weekly_Inspections!$AQ$4:$AQ$996,$T97))</f>
        <v/>
      </c>
      <c r="H97" s="4">
        <f>IF($T97="","",INDEX(Weekly_Inspections!$AP$4:$AP$996,$T97))</f>
        <v/>
      </c>
      <c r="I97" s="4">
        <f>IF($T97="","",INDEX(Weekly_Inspections!$AR$4:$AR$996,$T97))</f>
        <v/>
      </c>
      <c r="J97" s="4">
        <f>IF($T97="","",INDEX(Weekly_Inspections!$AS$4:$AS$996,$T97))</f>
        <v/>
      </c>
      <c r="K97" s="4">
        <f>IF($T97="","",INDEX(Weekly_Inspections!$AU$4:$AU$996,$T97))</f>
        <v/>
      </c>
      <c r="L97" s="17">
        <f>IF($T97="","",INDEX(Weekly_Inspections!$AV$4:$AV$996,$T97))</f>
        <v/>
      </c>
      <c r="M97" s="9">
        <f>IF($T97="","","Open")</f>
        <v/>
      </c>
      <c r="N97" s="8" t="n"/>
      <c r="O97" s="4">
        <f>IF(A97="","",IF(N97&lt;&gt;"",N97-B97,TODAY()-B97))</f>
        <v/>
      </c>
      <c r="P97" s="4">
        <f>IF(A97="","",IF(AND(M97&lt;&gt;"Closed",L97&lt;TODAY()),"YES","NO"))</f>
        <v/>
      </c>
      <c r="Q97" s="4">
        <f>IF($T97="","",INDEX(Weekly_Inspections!$AW$4:$AW$996,$T97))</f>
        <v/>
      </c>
      <c r="T97" s="2">
        <f>IFERROR(AGGREGATE(15,6,(ROW(Weekly_Inspections!$AS$4:$AS$996)-ROW(Weekly_Inspections!$AS$4)+1)/(((Weekly_Inspections!$AS$4:$AS$996&lt;&gt;"")+(Weekly_Inspections!$AQ$4:$AQ$996&lt;&gt;""))&gt;0),ROWS($T$4:T97)),"")</f>
        <v/>
      </c>
    </row>
    <row r="98">
      <c r="A98" s="4">
        <f>IF($T98="","","CAPA-"&amp;TEXT($T98,"000"))</f>
        <v/>
      </c>
      <c r="B98" s="17">
        <f>IF($T98="","",INDEX(Weekly_Inspections!$B$4:$B$996,$T98))</f>
        <v/>
      </c>
      <c r="C98" s="4">
        <f>IF($T98="","",INDEX(Weekly_Inspections!$E$4:$E$996,$T98))</f>
        <v/>
      </c>
      <c r="D98" s="4">
        <f>IF($T98="","",INDEX(Weekly_Inspections!$F$4:$F$996,$T98))</f>
        <v/>
      </c>
      <c r="E98" s="4">
        <f>IF($T98="","",INDEX(Weekly_Inspections!$H$4:$H$996,$T98))</f>
        <v/>
      </c>
      <c r="F98" s="4">
        <f>IF($T98="","",INDEX(Weekly_Inspections!$R$4:$R$996,$T98))</f>
        <v/>
      </c>
      <c r="G98" s="4">
        <f>IF($T98="","",INDEX(Weekly_Inspections!$AQ$4:$AQ$996,$T98))</f>
        <v/>
      </c>
      <c r="H98" s="4">
        <f>IF($T98="","",INDEX(Weekly_Inspections!$AP$4:$AP$996,$T98))</f>
        <v/>
      </c>
      <c r="I98" s="4">
        <f>IF($T98="","",INDEX(Weekly_Inspections!$AR$4:$AR$996,$T98))</f>
        <v/>
      </c>
      <c r="J98" s="4">
        <f>IF($T98="","",INDEX(Weekly_Inspections!$AS$4:$AS$996,$T98))</f>
        <v/>
      </c>
      <c r="K98" s="4">
        <f>IF($T98="","",INDEX(Weekly_Inspections!$AU$4:$AU$996,$T98))</f>
        <v/>
      </c>
      <c r="L98" s="17">
        <f>IF($T98="","",INDEX(Weekly_Inspections!$AV$4:$AV$996,$T98))</f>
        <v/>
      </c>
      <c r="M98" s="9">
        <f>IF($T98="","","Open")</f>
        <v/>
      </c>
      <c r="N98" s="8" t="n"/>
      <c r="O98" s="4">
        <f>IF(A98="","",IF(N98&lt;&gt;"",N98-B98,TODAY()-B98))</f>
        <v/>
      </c>
      <c r="P98" s="4">
        <f>IF(A98="","",IF(AND(M98&lt;&gt;"Closed",L98&lt;TODAY()),"YES","NO"))</f>
        <v/>
      </c>
      <c r="Q98" s="4">
        <f>IF($T98="","",INDEX(Weekly_Inspections!$AW$4:$AW$996,$T98))</f>
        <v/>
      </c>
      <c r="T98" s="2">
        <f>IFERROR(AGGREGATE(15,6,(ROW(Weekly_Inspections!$AS$4:$AS$996)-ROW(Weekly_Inspections!$AS$4)+1)/(((Weekly_Inspections!$AS$4:$AS$996&lt;&gt;"")+(Weekly_Inspections!$AQ$4:$AQ$996&lt;&gt;""))&gt;0),ROWS($T$4:T98)),"")</f>
        <v/>
      </c>
    </row>
    <row r="99">
      <c r="A99" s="4">
        <f>IF($T99="","","CAPA-"&amp;TEXT($T99,"000"))</f>
        <v/>
      </c>
      <c r="B99" s="17">
        <f>IF($T99="","",INDEX(Weekly_Inspections!$B$4:$B$996,$T99))</f>
        <v/>
      </c>
      <c r="C99" s="4">
        <f>IF($T99="","",INDEX(Weekly_Inspections!$E$4:$E$996,$T99))</f>
        <v/>
      </c>
      <c r="D99" s="4">
        <f>IF($T99="","",INDEX(Weekly_Inspections!$F$4:$F$996,$T99))</f>
        <v/>
      </c>
      <c r="E99" s="4">
        <f>IF($T99="","",INDEX(Weekly_Inspections!$H$4:$H$996,$T99))</f>
        <v/>
      </c>
      <c r="F99" s="4">
        <f>IF($T99="","",INDEX(Weekly_Inspections!$R$4:$R$996,$T99))</f>
        <v/>
      </c>
      <c r="G99" s="4">
        <f>IF($T99="","",INDEX(Weekly_Inspections!$AQ$4:$AQ$996,$T99))</f>
        <v/>
      </c>
      <c r="H99" s="4">
        <f>IF($T99="","",INDEX(Weekly_Inspections!$AP$4:$AP$996,$T99))</f>
        <v/>
      </c>
      <c r="I99" s="4">
        <f>IF($T99="","",INDEX(Weekly_Inspections!$AR$4:$AR$996,$T99))</f>
        <v/>
      </c>
      <c r="J99" s="4">
        <f>IF($T99="","",INDEX(Weekly_Inspections!$AS$4:$AS$996,$T99))</f>
        <v/>
      </c>
      <c r="K99" s="4">
        <f>IF($T99="","",INDEX(Weekly_Inspections!$AU$4:$AU$996,$T99))</f>
        <v/>
      </c>
      <c r="L99" s="17">
        <f>IF($T99="","",INDEX(Weekly_Inspections!$AV$4:$AV$996,$T99))</f>
        <v/>
      </c>
      <c r="M99" s="9">
        <f>IF($T99="","","Open")</f>
        <v/>
      </c>
      <c r="N99" s="8" t="n"/>
      <c r="O99" s="4">
        <f>IF(A99="","",IF(N99&lt;&gt;"",N99-B99,TODAY()-B99))</f>
        <v/>
      </c>
      <c r="P99" s="4">
        <f>IF(A99="","",IF(AND(M99&lt;&gt;"Closed",L99&lt;TODAY()),"YES","NO"))</f>
        <v/>
      </c>
      <c r="Q99" s="4">
        <f>IF($T99="","",INDEX(Weekly_Inspections!$AW$4:$AW$996,$T99))</f>
        <v/>
      </c>
      <c r="T99" s="2">
        <f>IFERROR(AGGREGATE(15,6,(ROW(Weekly_Inspections!$AS$4:$AS$996)-ROW(Weekly_Inspections!$AS$4)+1)/(((Weekly_Inspections!$AS$4:$AS$996&lt;&gt;"")+(Weekly_Inspections!$AQ$4:$AQ$996&lt;&gt;""))&gt;0),ROWS($T$4:T99)),"")</f>
        <v/>
      </c>
    </row>
    <row r="100">
      <c r="A100" s="4">
        <f>IF($T100="","","CAPA-"&amp;TEXT($T100,"000"))</f>
        <v/>
      </c>
      <c r="B100" s="17">
        <f>IF($T100="","",INDEX(Weekly_Inspections!$B$4:$B$996,$T100))</f>
        <v/>
      </c>
      <c r="C100" s="4">
        <f>IF($T100="","",INDEX(Weekly_Inspections!$E$4:$E$996,$T100))</f>
        <v/>
      </c>
      <c r="D100" s="4">
        <f>IF($T100="","",INDEX(Weekly_Inspections!$F$4:$F$996,$T100))</f>
        <v/>
      </c>
      <c r="E100" s="4">
        <f>IF($T100="","",INDEX(Weekly_Inspections!$H$4:$H$996,$T100))</f>
        <v/>
      </c>
      <c r="F100" s="4">
        <f>IF($T100="","",INDEX(Weekly_Inspections!$R$4:$R$996,$T100))</f>
        <v/>
      </c>
      <c r="G100" s="4">
        <f>IF($T100="","",INDEX(Weekly_Inspections!$AQ$4:$AQ$996,$T100))</f>
        <v/>
      </c>
      <c r="H100" s="4">
        <f>IF($T100="","",INDEX(Weekly_Inspections!$AP$4:$AP$996,$T100))</f>
        <v/>
      </c>
      <c r="I100" s="4">
        <f>IF($T100="","",INDEX(Weekly_Inspections!$AR$4:$AR$996,$T100))</f>
        <v/>
      </c>
      <c r="J100" s="4">
        <f>IF($T100="","",INDEX(Weekly_Inspections!$AS$4:$AS$996,$T100))</f>
        <v/>
      </c>
      <c r="K100" s="4">
        <f>IF($T100="","",INDEX(Weekly_Inspections!$AU$4:$AU$996,$T100))</f>
        <v/>
      </c>
      <c r="L100" s="17">
        <f>IF($T100="","",INDEX(Weekly_Inspections!$AV$4:$AV$996,$T100))</f>
        <v/>
      </c>
      <c r="M100" s="9">
        <f>IF($T100="","","Open")</f>
        <v/>
      </c>
      <c r="N100" s="8" t="n"/>
      <c r="O100" s="4">
        <f>IF(A100="","",IF(N100&lt;&gt;"",N100-B100,TODAY()-B100))</f>
        <v/>
      </c>
      <c r="P100" s="4">
        <f>IF(A100="","",IF(AND(M100&lt;&gt;"Closed",L100&lt;TODAY()),"YES","NO"))</f>
        <v/>
      </c>
      <c r="Q100" s="4">
        <f>IF($T100="","",INDEX(Weekly_Inspections!$AW$4:$AW$996,$T100))</f>
        <v/>
      </c>
      <c r="T100" s="2">
        <f>IFERROR(AGGREGATE(15,6,(ROW(Weekly_Inspections!$AS$4:$AS$996)-ROW(Weekly_Inspections!$AS$4)+1)/(((Weekly_Inspections!$AS$4:$AS$996&lt;&gt;"")+(Weekly_Inspections!$AQ$4:$AQ$996&lt;&gt;""))&gt;0),ROWS($T$4:T100)),"")</f>
        <v/>
      </c>
    </row>
    <row r="101">
      <c r="A101" s="4">
        <f>IF($T101="","","CAPA-"&amp;TEXT($T101,"000"))</f>
        <v/>
      </c>
      <c r="B101" s="17">
        <f>IF($T101="","",INDEX(Weekly_Inspections!$B$4:$B$996,$T101))</f>
        <v/>
      </c>
      <c r="C101" s="4">
        <f>IF($T101="","",INDEX(Weekly_Inspections!$E$4:$E$996,$T101))</f>
        <v/>
      </c>
      <c r="D101" s="4">
        <f>IF($T101="","",INDEX(Weekly_Inspections!$F$4:$F$996,$T101))</f>
        <v/>
      </c>
      <c r="E101" s="4">
        <f>IF($T101="","",INDEX(Weekly_Inspections!$H$4:$H$996,$T101))</f>
        <v/>
      </c>
      <c r="F101" s="4">
        <f>IF($T101="","",INDEX(Weekly_Inspections!$R$4:$R$996,$T101))</f>
        <v/>
      </c>
      <c r="G101" s="4">
        <f>IF($T101="","",INDEX(Weekly_Inspections!$AQ$4:$AQ$996,$T101))</f>
        <v/>
      </c>
      <c r="H101" s="4">
        <f>IF($T101="","",INDEX(Weekly_Inspections!$AP$4:$AP$996,$T101))</f>
        <v/>
      </c>
      <c r="I101" s="4">
        <f>IF($T101="","",INDEX(Weekly_Inspections!$AR$4:$AR$996,$T101))</f>
        <v/>
      </c>
      <c r="J101" s="4">
        <f>IF($T101="","",INDEX(Weekly_Inspections!$AS$4:$AS$996,$T101))</f>
        <v/>
      </c>
      <c r="K101" s="4">
        <f>IF($T101="","",INDEX(Weekly_Inspections!$AU$4:$AU$996,$T101))</f>
        <v/>
      </c>
      <c r="L101" s="17">
        <f>IF($T101="","",INDEX(Weekly_Inspections!$AV$4:$AV$996,$T101))</f>
        <v/>
      </c>
      <c r="M101" s="9">
        <f>IF($T101="","","Open")</f>
        <v/>
      </c>
      <c r="N101" s="8" t="n"/>
      <c r="O101" s="4">
        <f>IF(A101="","",IF(N101&lt;&gt;"",N101-B101,TODAY()-B101))</f>
        <v/>
      </c>
      <c r="P101" s="4">
        <f>IF(A101="","",IF(AND(M101&lt;&gt;"Closed",L101&lt;TODAY()),"YES","NO"))</f>
        <v/>
      </c>
      <c r="Q101" s="4">
        <f>IF($T101="","",INDEX(Weekly_Inspections!$AW$4:$AW$996,$T101))</f>
        <v/>
      </c>
      <c r="T101" s="2">
        <f>IFERROR(AGGREGATE(15,6,(ROW(Weekly_Inspections!$AS$4:$AS$996)-ROW(Weekly_Inspections!$AS$4)+1)/(((Weekly_Inspections!$AS$4:$AS$996&lt;&gt;"")+(Weekly_Inspections!$AQ$4:$AQ$996&lt;&gt;""))&gt;0),ROWS($T$4:T101)),"")</f>
        <v/>
      </c>
    </row>
    <row r="102">
      <c r="A102" s="4">
        <f>IF($T102="","","CAPA-"&amp;TEXT($T102,"000"))</f>
        <v/>
      </c>
      <c r="B102" s="17">
        <f>IF($T102="","",INDEX(Weekly_Inspections!$B$4:$B$996,$T102))</f>
        <v/>
      </c>
      <c r="C102" s="4">
        <f>IF($T102="","",INDEX(Weekly_Inspections!$E$4:$E$996,$T102))</f>
        <v/>
      </c>
      <c r="D102" s="4">
        <f>IF($T102="","",INDEX(Weekly_Inspections!$F$4:$F$996,$T102))</f>
        <v/>
      </c>
      <c r="E102" s="4">
        <f>IF($T102="","",INDEX(Weekly_Inspections!$H$4:$H$996,$T102))</f>
        <v/>
      </c>
      <c r="F102" s="4">
        <f>IF($T102="","",INDEX(Weekly_Inspections!$R$4:$R$996,$T102))</f>
        <v/>
      </c>
      <c r="G102" s="4">
        <f>IF($T102="","",INDEX(Weekly_Inspections!$AQ$4:$AQ$996,$T102))</f>
        <v/>
      </c>
      <c r="H102" s="4">
        <f>IF($T102="","",INDEX(Weekly_Inspections!$AP$4:$AP$996,$T102))</f>
        <v/>
      </c>
      <c r="I102" s="4">
        <f>IF($T102="","",INDEX(Weekly_Inspections!$AR$4:$AR$996,$T102))</f>
        <v/>
      </c>
      <c r="J102" s="4">
        <f>IF($T102="","",INDEX(Weekly_Inspections!$AS$4:$AS$996,$T102))</f>
        <v/>
      </c>
      <c r="K102" s="4">
        <f>IF($T102="","",INDEX(Weekly_Inspections!$AU$4:$AU$996,$T102))</f>
        <v/>
      </c>
      <c r="L102" s="17">
        <f>IF($T102="","",INDEX(Weekly_Inspections!$AV$4:$AV$996,$T102))</f>
        <v/>
      </c>
      <c r="M102" s="9">
        <f>IF($T102="","","Open")</f>
        <v/>
      </c>
      <c r="N102" s="8" t="n"/>
      <c r="O102" s="4">
        <f>IF(A102="","",IF(N102&lt;&gt;"",N102-B102,TODAY()-B102))</f>
        <v/>
      </c>
      <c r="P102" s="4">
        <f>IF(A102="","",IF(AND(M102&lt;&gt;"Closed",L102&lt;TODAY()),"YES","NO"))</f>
        <v/>
      </c>
      <c r="Q102" s="4">
        <f>IF($T102="","",INDEX(Weekly_Inspections!$AW$4:$AW$996,$T102))</f>
        <v/>
      </c>
      <c r="T102" s="2">
        <f>IFERROR(AGGREGATE(15,6,(ROW(Weekly_Inspections!$AS$4:$AS$996)-ROW(Weekly_Inspections!$AS$4)+1)/(((Weekly_Inspections!$AS$4:$AS$996&lt;&gt;"")+(Weekly_Inspections!$AQ$4:$AQ$996&lt;&gt;""))&gt;0),ROWS($T$4:T102)),"")</f>
        <v/>
      </c>
    </row>
    <row r="103">
      <c r="A103" s="4">
        <f>IF($T103="","","CAPA-"&amp;TEXT($T103,"000"))</f>
        <v/>
      </c>
      <c r="B103" s="17">
        <f>IF($T103="","",INDEX(Weekly_Inspections!$B$4:$B$996,$T103))</f>
        <v/>
      </c>
      <c r="C103" s="4">
        <f>IF($T103="","",INDEX(Weekly_Inspections!$E$4:$E$996,$T103))</f>
        <v/>
      </c>
      <c r="D103" s="4">
        <f>IF($T103="","",INDEX(Weekly_Inspections!$F$4:$F$996,$T103))</f>
        <v/>
      </c>
      <c r="E103" s="4">
        <f>IF($T103="","",INDEX(Weekly_Inspections!$H$4:$H$996,$T103))</f>
        <v/>
      </c>
      <c r="F103" s="4">
        <f>IF($T103="","",INDEX(Weekly_Inspections!$R$4:$R$996,$T103))</f>
        <v/>
      </c>
      <c r="G103" s="4">
        <f>IF($T103="","",INDEX(Weekly_Inspections!$AQ$4:$AQ$996,$T103))</f>
        <v/>
      </c>
      <c r="H103" s="4">
        <f>IF($T103="","",INDEX(Weekly_Inspections!$AP$4:$AP$996,$T103))</f>
        <v/>
      </c>
      <c r="I103" s="4">
        <f>IF($T103="","",INDEX(Weekly_Inspections!$AR$4:$AR$996,$T103))</f>
        <v/>
      </c>
      <c r="J103" s="4">
        <f>IF($T103="","",INDEX(Weekly_Inspections!$AS$4:$AS$996,$T103))</f>
        <v/>
      </c>
      <c r="K103" s="4">
        <f>IF($T103="","",INDEX(Weekly_Inspections!$AU$4:$AU$996,$T103))</f>
        <v/>
      </c>
      <c r="L103" s="17">
        <f>IF($T103="","",INDEX(Weekly_Inspections!$AV$4:$AV$996,$T103))</f>
        <v/>
      </c>
      <c r="M103" s="9">
        <f>IF($T103="","","Open")</f>
        <v/>
      </c>
      <c r="N103" s="8" t="n"/>
      <c r="O103" s="4">
        <f>IF(A103="","",IF(N103&lt;&gt;"",N103-B103,TODAY()-B103))</f>
        <v/>
      </c>
      <c r="P103" s="4">
        <f>IF(A103="","",IF(AND(M103&lt;&gt;"Closed",L103&lt;TODAY()),"YES","NO"))</f>
        <v/>
      </c>
      <c r="Q103" s="4">
        <f>IF($T103="","",INDEX(Weekly_Inspections!$AW$4:$AW$996,$T103))</f>
        <v/>
      </c>
      <c r="T103" s="2">
        <f>IFERROR(AGGREGATE(15,6,(ROW(Weekly_Inspections!$AS$4:$AS$996)-ROW(Weekly_Inspections!$AS$4)+1)/(((Weekly_Inspections!$AS$4:$AS$996&lt;&gt;"")+(Weekly_Inspections!$AQ$4:$AQ$996&lt;&gt;""))&gt;0),ROWS($T$4:T103)),"")</f>
        <v/>
      </c>
    </row>
    <row r="104">
      <c r="A104" s="4">
        <f>IF($T104="","","CAPA-"&amp;TEXT($T104,"000"))</f>
        <v/>
      </c>
      <c r="B104" s="17">
        <f>IF($T104="","",INDEX(Weekly_Inspections!$B$4:$B$996,$T104))</f>
        <v/>
      </c>
      <c r="C104" s="4">
        <f>IF($T104="","",INDEX(Weekly_Inspections!$E$4:$E$996,$T104))</f>
        <v/>
      </c>
      <c r="D104" s="4">
        <f>IF($T104="","",INDEX(Weekly_Inspections!$F$4:$F$996,$T104))</f>
        <v/>
      </c>
      <c r="E104" s="4">
        <f>IF($T104="","",INDEX(Weekly_Inspections!$H$4:$H$996,$T104))</f>
        <v/>
      </c>
      <c r="F104" s="4">
        <f>IF($T104="","",INDEX(Weekly_Inspections!$R$4:$R$996,$T104))</f>
        <v/>
      </c>
      <c r="G104" s="4">
        <f>IF($T104="","",INDEX(Weekly_Inspections!$AQ$4:$AQ$996,$T104))</f>
        <v/>
      </c>
      <c r="H104" s="4">
        <f>IF($T104="","",INDEX(Weekly_Inspections!$AP$4:$AP$996,$T104))</f>
        <v/>
      </c>
      <c r="I104" s="4">
        <f>IF($T104="","",INDEX(Weekly_Inspections!$AR$4:$AR$996,$T104))</f>
        <v/>
      </c>
      <c r="J104" s="4">
        <f>IF($T104="","",INDEX(Weekly_Inspections!$AS$4:$AS$996,$T104))</f>
        <v/>
      </c>
      <c r="K104" s="4">
        <f>IF($T104="","",INDEX(Weekly_Inspections!$AU$4:$AU$996,$T104))</f>
        <v/>
      </c>
      <c r="L104" s="17">
        <f>IF($T104="","",INDEX(Weekly_Inspections!$AV$4:$AV$996,$T104))</f>
        <v/>
      </c>
      <c r="M104" s="9">
        <f>IF($T104="","","Open")</f>
        <v/>
      </c>
      <c r="N104" s="8" t="n"/>
      <c r="O104" s="4">
        <f>IF(A104="","",IF(N104&lt;&gt;"",N104-B104,TODAY()-B104))</f>
        <v/>
      </c>
      <c r="P104" s="4">
        <f>IF(A104="","",IF(AND(M104&lt;&gt;"Closed",L104&lt;TODAY()),"YES","NO"))</f>
        <v/>
      </c>
      <c r="Q104" s="4">
        <f>IF($T104="","",INDEX(Weekly_Inspections!$AW$4:$AW$996,$T104))</f>
        <v/>
      </c>
      <c r="T104" s="2">
        <f>IFERROR(AGGREGATE(15,6,(ROW(Weekly_Inspections!$AS$4:$AS$996)-ROW(Weekly_Inspections!$AS$4)+1)/(((Weekly_Inspections!$AS$4:$AS$996&lt;&gt;"")+(Weekly_Inspections!$AQ$4:$AQ$996&lt;&gt;""))&gt;0),ROWS($T$4:T104)),"")</f>
        <v/>
      </c>
    </row>
    <row r="105">
      <c r="A105" s="4">
        <f>IF($T105="","","CAPA-"&amp;TEXT($T105,"000"))</f>
        <v/>
      </c>
      <c r="B105" s="17">
        <f>IF($T105="","",INDEX(Weekly_Inspections!$B$4:$B$996,$T105))</f>
        <v/>
      </c>
      <c r="C105" s="4">
        <f>IF($T105="","",INDEX(Weekly_Inspections!$E$4:$E$996,$T105))</f>
        <v/>
      </c>
      <c r="D105" s="4">
        <f>IF($T105="","",INDEX(Weekly_Inspections!$F$4:$F$996,$T105))</f>
        <v/>
      </c>
      <c r="E105" s="4">
        <f>IF($T105="","",INDEX(Weekly_Inspections!$H$4:$H$996,$T105))</f>
        <v/>
      </c>
      <c r="F105" s="4">
        <f>IF($T105="","",INDEX(Weekly_Inspections!$R$4:$R$996,$T105))</f>
        <v/>
      </c>
      <c r="G105" s="4">
        <f>IF($T105="","",INDEX(Weekly_Inspections!$AQ$4:$AQ$996,$T105))</f>
        <v/>
      </c>
      <c r="H105" s="4">
        <f>IF($T105="","",INDEX(Weekly_Inspections!$AP$4:$AP$996,$T105))</f>
        <v/>
      </c>
      <c r="I105" s="4">
        <f>IF($T105="","",INDEX(Weekly_Inspections!$AR$4:$AR$996,$T105))</f>
        <v/>
      </c>
      <c r="J105" s="4">
        <f>IF($T105="","",INDEX(Weekly_Inspections!$AS$4:$AS$996,$T105))</f>
        <v/>
      </c>
      <c r="K105" s="4">
        <f>IF($T105="","",INDEX(Weekly_Inspections!$AU$4:$AU$996,$T105))</f>
        <v/>
      </c>
      <c r="L105" s="17">
        <f>IF($T105="","",INDEX(Weekly_Inspections!$AV$4:$AV$996,$T105))</f>
        <v/>
      </c>
      <c r="M105" s="9">
        <f>IF($T105="","","Open")</f>
        <v/>
      </c>
      <c r="N105" s="8" t="n"/>
      <c r="O105" s="4">
        <f>IF(A105="","",IF(N105&lt;&gt;"",N105-B105,TODAY()-B105))</f>
        <v/>
      </c>
      <c r="P105" s="4">
        <f>IF(A105="","",IF(AND(M105&lt;&gt;"Closed",L105&lt;TODAY()),"YES","NO"))</f>
        <v/>
      </c>
      <c r="Q105" s="4">
        <f>IF($T105="","",INDEX(Weekly_Inspections!$AW$4:$AW$996,$T105))</f>
        <v/>
      </c>
      <c r="T105" s="2">
        <f>IFERROR(AGGREGATE(15,6,(ROW(Weekly_Inspections!$AS$4:$AS$996)-ROW(Weekly_Inspections!$AS$4)+1)/(((Weekly_Inspections!$AS$4:$AS$996&lt;&gt;"")+(Weekly_Inspections!$AQ$4:$AQ$996&lt;&gt;""))&gt;0),ROWS($T$4:T105)),"")</f>
        <v/>
      </c>
    </row>
    <row r="106">
      <c r="A106" s="4">
        <f>IF($T106="","","CAPA-"&amp;TEXT($T106,"000"))</f>
        <v/>
      </c>
      <c r="B106" s="17">
        <f>IF($T106="","",INDEX(Weekly_Inspections!$B$4:$B$996,$T106))</f>
        <v/>
      </c>
      <c r="C106" s="4">
        <f>IF($T106="","",INDEX(Weekly_Inspections!$E$4:$E$996,$T106))</f>
        <v/>
      </c>
      <c r="D106" s="4">
        <f>IF($T106="","",INDEX(Weekly_Inspections!$F$4:$F$996,$T106))</f>
        <v/>
      </c>
      <c r="E106" s="4">
        <f>IF($T106="","",INDEX(Weekly_Inspections!$H$4:$H$996,$T106))</f>
        <v/>
      </c>
      <c r="F106" s="4">
        <f>IF($T106="","",INDEX(Weekly_Inspections!$R$4:$R$996,$T106))</f>
        <v/>
      </c>
      <c r="G106" s="4">
        <f>IF($T106="","",INDEX(Weekly_Inspections!$AQ$4:$AQ$996,$T106))</f>
        <v/>
      </c>
      <c r="H106" s="4">
        <f>IF($T106="","",INDEX(Weekly_Inspections!$AP$4:$AP$996,$T106))</f>
        <v/>
      </c>
      <c r="I106" s="4">
        <f>IF($T106="","",INDEX(Weekly_Inspections!$AR$4:$AR$996,$T106))</f>
        <v/>
      </c>
      <c r="J106" s="4">
        <f>IF($T106="","",INDEX(Weekly_Inspections!$AS$4:$AS$996,$T106))</f>
        <v/>
      </c>
      <c r="K106" s="4">
        <f>IF($T106="","",INDEX(Weekly_Inspections!$AU$4:$AU$996,$T106))</f>
        <v/>
      </c>
      <c r="L106" s="17">
        <f>IF($T106="","",INDEX(Weekly_Inspections!$AV$4:$AV$996,$T106))</f>
        <v/>
      </c>
      <c r="M106" s="9">
        <f>IF($T106="","","Open")</f>
        <v/>
      </c>
      <c r="N106" s="8" t="n"/>
      <c r="O106" s="4">
        <f>IF(A106="","",IF(N106&lt;&gt;"",N106-B106,TODAY()-B106))</f>
        <v/>
      </c>
      <c r="P106" s="4">
        <f>IF(A106="","",IF(AND(M106&lt;&gt;"Closed",L106&lt;TODAY()),"YES","NO"))</f>
        <v/>
      </c>
      <c r="Q106" s="4">
        <f>IF($T106="","",INDEX(Weekly_Inspections!$AW$4:$AW$996,$T106))</f>
        <v/>
      </c>
      <c r="T106" s="2">
        <f>IFERROR(AGGREGATE(15,6,(ROW(Weekly_Inspections!$AS$4:$AS$996)-ROW(Weekly_Inspections!$AS$4)+1)/(((Weekly_Inspections!$AS$4:$AS$996&lt;&gt;"")+(Weekly_Inspections!$AQ$4:$AQ$996&lt;&gt;""))&gt;0),ROWS($T$4:T106)),"")</f>
        <v/>
      </c>
    </row>
    <row r="107">
      <c r="A107" s="4">
        <f>IF($T107="","","CAPA-"&amp;TEXT($T107,"000"))</f>
        <v/>
      </c>
      <c r="B107" s="17">
        <f>IF($T107="","",INDEX(Weekly_Inspections!$B$4:$B$996,$T107))</f>
        <v/>
      </c>
      <c r="C107" s="4">
        <f>IF($T107="","",INDEX(Weekly_Inspections!$E$4:$E$996,$T107))</f>
        <v/>
      </c>
      <c r="D107" s="4">
        <f>IF($T107="","",INDEX(Weekly_Inspections!$F$4:$F$996,$T107))</f>
        <v/>
      </c>
      <c r="E107" s="4">
        <f>IF($T107="","",INDEX(Weekly_Inspections!$H$4:$H$996,$T107))</f>
        <v/>
      </c>
      <c r="F107" s="4">
        <f>IF($T107="","",INDEX(Weekly_Inspections!$R$4:$R$996,$T107))</f>
        <v/>
      </c>
      <c r="G107" s="4">
        <f>IF($T107="","",INDEX(Weekly_Inspections!$AQ$4:$AQ$996,$T107))</f>
        <v/>
      </c>
      <c r="H107" s="4">
        <f>IF($T107="","",INDEX(Weekly_Inspections!$AP$4:$AP$996,$T107))</f>
        <v/>
      </c>
      <c r="I107" s="4">
        <f>IF($T107="","",INDEX(Weekly_Inspections!$AR$4:$AR$996,$T107))</f>
        <v/>
      </c>
      <c r="J107" s="4">
        <f>IF($T107="","",INDEX(Weekly_Inspections!$AS$4:$AS$996,$T107))</f>
        <v/>
      </c>
      <c r="K107" s="4">
        <f>IF($T107="","",INDEX(Weekly_Inspections!$AU$4:$AU$996,$T107))</f>
        <v/>
      </c>
      <c r="L107" s="17">
        <f>IF($T107="","",INDEX(Weekly_Inspections!$AV$4:$AV$996,$T107))</f>
        <v/>
      </c>
      <c r="M107" s="9">
        <f>IF($T107="","","Open")</f>
        <v/>
      </c>
      <c r="N107" s="8" t="n"/>
      <c r="O107" s="4">
        <f>IF(A107="","",IF(N107&lt;&gt;"",N107-B107,TODAY()-B107))</f>
        <v/>
      </c>
      <c r="P107" s="4">
        <f>IF(A107="","",IF(AND(M107&lt;&gt;"Closed",L107&lt;TODAY()),"YES","NO"))</f>
        <v/>
      </c>
      <c r="Q107" s="4">
        <f>IF($T107="","",INDEX(Weekly_Inspections!$AW$4:$AW$996,$T107))</f>
        <v/>
      </c>
      <c r="T107" s="2">
        <f>IFERROR(AGGREGATE(15,6,(ROW(Weekly_Inspections!$AS$4:$AS$996)-ROW(Weekly_Inspections!$AS$4)+1)/(((Weekly_Inspections!$AS$4:$AS$996&lt;&gt;"")+(Weekly_Inspections!$AQ$4:$AQ$996&lt;&gt;""))&gt;0),ROWS($T$4:T107)),"")</f>
        <v/>
      </c>
    </row>
    <row r="108">
      <c r="A108" s="4">
        <f>IF($T108="","","CAPA-"&amp;TEXT($T108,"000"))</f>
        <v/>
      </c>
      <c r="B108" s="17">
        <f>IF($T108="","",INDEX(Weekly_Inspections!$B$4:$B$996,$T108))</f>
        <v/>
      </c>
      <c r="C108" s="4">
        <f>IF($T108="","",INDEX(Weekly_Inspections!$E$4:$E$996,$T108))</f>
        <v/>
      </c>
      <c r="D108" s="4">
        <f>IF($T108="","",INDEX(Weekly_Inspections!$F$4:$F$996,$T108))</f>
        <v/>
      </c>
      <c r="E108" s="4">
        <f>IF($T108="","",INDEX(Weekly_Inspections!$H$4:$H$996,$T108))</f>
        <v/>
      </c>
      <c r="F108" s="4">
        <f>IF($T108="","",INDEX(Weekly_Inspections!$R$4:$R$996,$T108))</f>
        <v/>
      </c>
      <c r="G108" s="4">
        <f>IF($T108="","",INDEX(Weekly_Inspections!$AQ$4:$AQ$996,$T108))</f>
        <v/>
      </c>
      <c r="H108" s="4">
        <f>IF($T108="","",INDEX(Weekly_Inspections!$AP$4:$AP$996,$T108))</f>
        <v/>
      </c>
      <c r="I108" s="4">
        <f>IF($T108="","",INDEX(Weekly_Inspections!$AR$4:$AR$996,$T108))</f>
        <v/>
      </c>
      <c r="J108" s="4">
        <f>IF($T108="","",INDEX(Weekly_Inspections!$AS$4:$AS$996,$T108))</f>
        <v/>
      </c>
      <c r="K108" s="4">
        <f>IF($T108="","",INDEX(Weekly_Inspections!$AU$4:$AU$996,$T108))</f>
        <v/>
      </c>
      <c r="L108" s="17">
        <f>IF($T108="","",INDEX(Weekly_Inspections!$AV$4:$AV$996,$T108))</f>
        <v/>
      </c>
      <c r="M108" s="9">
        <f>IF($T108="","","Open")</f>
        <v/>
      </c>
      <c r="N108" s="8" t="n"/>
      <c r="O108" s="4">
        <f>IF(A108="","",IF(N108&lt;&gt;"",N108-B108,TODAY()-B108))</f>
        <v/>
      </c>
      <c r="P108" s="4">
        <f>IF(A108="","",IF(AND(M108&lt;&gt;"Closed",L108&lt;TODAY()),"YES","NO"))</f>
        <v/>
      </c>
      <c r="Q108" s="4">
        <f>IF($T108="","",INDEX(Weekly_Inspections!$AW$4:$AW$996,$T108))</f>
        <v/>
      </c>
      <c r="T108" s="2">
        <f>IFERROR(AGGREGATE(15,6,(ROW(Weekly_Inspections!$AS$4:$AS$996)-ROW(Weekly_Inspections!$AS$4)+1)/(((Weekly_Inspections!$AS$4:$AS$996&lt;&gt;"")+(Weekly_Inspections!$AQ$4:$AQ$996&lt;&gt;""))&gt;0),ROWS($T$4:T108)),"")</f>
        <v/>
      </c>
    </row>
    <row r="109">
      <c r="A109" s="4">
        <f>IF($T109="","","CAPA-"&amp;TEXT($T109,"000"))</f>
        <v/>
      </c>
      <c r="B109" s="17">
        <f>IF($T109="","",INDEX(Weekly_Inspections!$B$4:$B$996,$T109))</f>
        <v/>
      </c>
      <c r="C109" s="4">
        <f>IF($T109="","",INDEX(Weekly_Inspections!$E$4:$E$996,$T109))</f>
        <v/>
      </c>
      <c r="D109" s="4">
        <f>IF($T109="","",INDEX(Weekly_Inspections!$F$4:$F$996,$T109))</f>
        <v/>
      </c>
      <c r="E109" s="4">
        <f>IF($T109="","",INDEX(Weekly_Inspections!$H$4:$H$996,$T109))</f>
        <v/>
      </c>
      <c r="F109" s="4">
        <f>IF($T109="","",INDEX(Weekly_Inspections!$R$4:$R$996,$T109))</f>
        <v/>
      </c>
      <c r="G109" s="4">
        <f>IF($T109="","",INDEX(Weekly_Inspections!$AQ$4:$AQ$996,$T109))</f>
        <v/>
      </c>
      <c r="H109" s="4">
        <f>IF($T109="","",INDEX(Weekly_Inspections!$AP$4:$AP$996,$T109))</f>
        <v/>
      </c>
      <c r="I109" s="4">
        <f>IF($T109="","",INDEX(Weekly_Inspections!$AR$4:$AR$996,$T109))</f>
        <v/>
      </c>
      <c r="J109" s="4">
        <f>IF($T109="","",INDEX(Weekly_Inspections!$AS$4:$AS$996,$T109))</f>
        <v/>
      </c>
      <c r="K109" s="4">
        <f>IF($T109="","",INDEX(Weekly_Inspections!$AU$4:$AU$996,$T109))</f>
        <v/>
      </c>
      <c r="L109" s="17">
        <f>IF($T109="","",INDEX(Weekly_Inspections!$AV$4:$AV$996,$T109))</f>
        <v/>
      </c>
      <c r="M109" s="9">
        <f>IF($T109="","","Open")</f>
        <v/>
      </c>
      <c r="N109" s="8" t="n"/>
      <c r="O109" s="4">
        <f>IF(A109="","",IF(N109&lt;&gt;"",N109-B109,TODAY()-B109))</f>
        <v/>
      </c>
      <c r="P109" s="4">
        <f>IF(A109="","",IF(AND(M109&lt;&gt;"Closed",L109&lt;TODAY()),"YES","NO"))</f>
        <v/>
      </c>
      <c r="Q109" s="4">
        <f>IF($T109="","",INDEX(Weekly_Inspections!$AW$4:$AW$996,$T109))</f>
        <v/>
      </c>
      <c r="T109" s="2">
        <f>IFERROR(AGGREGATE(15,6,(ROW(Weekly_Inspections!$AS$4:$AS$996)-ROW(Weekly_Inspections!$AS$4)+1)/(((Weekly_Inspections!$AS$4:$AS$996&lt;&gt;"")+(Weekly_Inspections!$AQ$4:$AQ$996&lt;&gt;""))&gt;0),ROWS($T$4:T109)),"")</f>
        <v/>
      </c>
    </row>
    <row r="110">
      <c r="A110" s="4">
        <f>IF($T110="","","CAPA-"&amp;TEXT($T110,"000"))</f>
        <v/>
      </c>
      <c r="B110" s="17">
        <f>IF($T110="","",INDEX(Weekly_Inspections!$B$4:$B$996,$T110))</f>
        <v/>
      </c>
      <c r="C110" s="4">
        <f>IF($T110="","",INDEX(Weekly_Inspections!$E$4:$E$996,$T110))</f>
        <v/>
      </c>
      <c r="D110" s="4">
        <f>IF($T110="","",INDEX(Weekly_Inspections!$F$4:$F$996,$T110))</f>
        <v/>
      </c>
      <c r="E110" s="4">
        <f>IF($T110="","",INDEX(Weekly_Inspections!$H$4:$H$996,$T110))</f>
        <v/>
      </c>
      <c r="F110" s="4">
        <f>IF($T110="","",INDEX(Weekly_Inspections!$R$4:$R$996,$T110))</f>
        <v/>
      </c>
      <c r="G110" s="4">
        <f>IF($T110="","",INDEX(Weekly_Inspections!$AQ$4:$AQ$996,$T110))</f>
        <v/>
      </c>
      <c r="H110" s="4">
        <f>IF($T110="","",INDEX(Weekly_Inspections!$AP$4:$AP$996,$T110))</f>
        <v/>
      </c>
      <c r="I110" s="4">
        <f>IF($T110="","",INDEX(Weekly_Inspections!$AR$4:$AR$996,$T110))</f>
        <v/>
      </c>
      <c r="J110" s="4">
        <f>IF($T110="","",INDEX(Weekly_Inspections!$AS$4:$AS$996,$T110))</f>
        <v/>
      </c>
      <c r="K110" s="4">
        <f>IF($T110="","",INDEX(Weekly_Inspections!$AU$4:$AU$996,$T110))</f>
        <v/>
      </c>
      <c r="L110" s="17">
        <f>IF($T110="","",INDEX(Weekly_Inspections!$AV$4:$AV$996,$T110))</f>
        <v/>
      </c>
      <c r="M110" s="9">
        <f>IF($T110="","","Open")</f>
        <v/>
      </c>
      <c r="N110" s="8" t="n"/>
      <c r="O110" s="4">
        <f>IF(A110="","",IF(N110&lt;&gt;"",N110-B110,TODAY()-B110))</f>
        <v/>
      </c>
      <c r="P110" s="4">
        <f>IF(A110="","",IF(AND(M110&lt;&gt;"Closed",L110&lt;TODAY()),"YES","NO"))</f>
        <v/>
      </c>
      <c r="Q110" s="4">
        <f>IF($T110="","",INDEX(Weekly_Inspections!$AW$4:$AW$996,$T110))</f>
        <v/>
      </c>
      <c r="T110" s="2">
        <f>IFERROR(AGGREGATE(15,6,(ROW(Weekly_Inspections!$AS$4:$AS$996)-ROW(Weekly_Inspections!$AS$4)+1)/(((Weekly_Inspections!$AS$4:$AS$996&lt;&gt;"")+(Weekly_Inspections!$AQ$4:$AQ$996&lt;&gt;""))&gt;0),ROWS($T$4:T110)),"")</f>
        <v/>
      </c>
    </row>
    <row r="111">
      <c r="A111" s="4">
        <f>IF($T111="","","CAPA-"&amp;TEXT($T111,"000"))</f>
        <v/>
      </c>
      <c r="B111" s="17">
        <f>IF($T111="","",INDEX(Weekly_Inspections!$B$4:$B$996,$T111))</f>
        <v/>
      </c>
      <c r="C111" s="4">
        <f>IF($T111="","",INDEX(Weekly_Inspections!$E$4:$E$996,$T111))</f>
        <v/>
      </c>
      <c r="D111" s="4">
        <f>IF($T111="","",INDEX(Weekly_Inspections!$F$4:$F$996,$T111))</f>
        <v/>
      </c>
      <c r="E111" s="4">
        <f>IF($T111="","",INDEX(Weekly_Inspections!$H$4:$H$996,$T111))</f>
        <v/>
      </c>
      <c r="F111" s="4">
        <f>IF($T111="","",INDEX(Weekly_Inspections!$R$4:$R$996,$T111))</f>
        <v/>
      </c>
      <c r="G111" s="4">
        <f>IF($T111="","",INDEX(Weekly_Inspections!$AQ$4:$AQ$996,$T111))</f>
        <v/>
      </c>
      <c r="H111" s="4">
        <f>IF($T111="","",INDEX(Weekly_Inspections!$AP$4:$AP$996,$T111))</f>
        <v/>
      </c>
      <c r="I111" s="4">
        <f>IF($T111="","",INDEX(Weekly_Inspections!$AR$4:$AR$996,$T111))</f>
        <v/>
      </c>
      <c r="J111" s="4">
        <f>IF($T111="","",INDEX(Weekly_Inspections!$AS$4:$AS$996,$T111))</f>
        <v/>
      </c>
      <c r="K111" s="4">
        <f>IF($T111="","",INDEX(Weekly_Inspections!$AU$4:$AU$996,$T111))</f>
        <v/>
      </c>
      <c r="L111" s="17">
        <f>IF($T111="","",INDEX(Weekly_Inspections!$AV$4:$AV$996,$T111))</f>
        <v/>
      </c>
      <c r="M111" s="9">
        <f>IF($T111="","","Open")</f>
        <v/>
      </c>
      <c r="N111" s="8" t="n"/>
      <c r="O111" s="4">
        <f>IF(A111="","",IF(N111&lt;&gt;"",N111-B111,TODAY()-B111))</f>
        <v/>
      </c>
      <c r="P111" s="4">
        <f>IF(A111="","",IF(AND(M111&lt;&gt;"Closed",L111&lt;TODAY()),"YES","NO"))</f>
        <v/>
      </c>
      <c r="Q111" s="4">
        <f>IF($T111="","",INDEX(Weekly_Inspections!$AW$4:$AW$996,$T111))</f>
        <v/>
      </c>
      <c r="T111" s="2">
        <f>IFERROR(AGGREGATE(15,6,(ROW(Weekly_Inspections!$AS$4:$AS$996)-ROW(Weekly_Inspections!$AS$4)+1)/(((Weekly_Inspections!$AS$4:$AS$996&lt;&gt;"")+(Weekly_Inspections!$AQ$4:$AQ$996&lt;&gt;""))&gt;0),ROWS($T$4:T111)),"")</f>
        <v/>
      </c>
    </row>
    <row r="112">
      <c r="A112" s="4">
        <f>IF($T112="","","CAPA-"&amp;TEXT($T112,"000"))</f>
        <v/>
      </c>
      <c r="B112" s="17">
        <f>IF($T112="","",INDEX(Weekly_Inspections!$B$4:$B$996,$T112))</f>
        <v/>
      </c>
      <c r="C112" s="4">
        <f>IF($T112="","",INDEX(Weekly_Inspections!$E$4:$E$996,$T112))</f>
        <v/>
      </c>
      <c r="D112" s="4">
        <f>IF($T112="","",INDEX(Weekly_Inspections!$F$4:$F$996,$T112))</f>
        <v/>
      </c>
      <c r="E112" s="4">
        <f>IF($T112="","",INDEX(Weekly_Inspections!$H$4:$H$996,$T112))</f>
        <v/>
      </c>
      <c r="F112" s="4">
        <f>IF($T112="","",INDEX(Weekly_Inspections!$R$4:$R$996,$T112))</f>
        <v/>
      </c>
      <c r="G112" s="4">
        <f>IF($T112="","",INDEX(Weekly_Inspections!$AQ$4:$AQ$996,$T112))</f>
        <v/>
      </c>
      <c r="H112" s="4">
        <f>IF($T112="","",INDEX(Weekly_Inspections!$AP$4:$AP$996,$T112))</f>
        <v/>
      </c>
      <c r="I112" s="4">
        <f>IF($T112="","",INDEX(Weekly_Inspections!$AR$4:$AR$996,$T112))</f>
        <v/>
      </c>
      <c r="J112" s="4">
        <f>IF($T112="","",INDEX(Weekly_Inspections!$AS$4:$AS$996,$T112))</f>
        <v/>
      </c>
      <c r="K112" s="4">
        <f>IF($T112="","",INDEX(Weekly_Inspections!$AU$4:$AU$996,$T112))</f>
        <v/>
      </c>
      <c r="L112" s="17">
        <f>IF($T112="","",INDEX(Weekly_Inspections!$AV$4:$AV$996,$T112))</f>
        <v/>
      </c>
      <c r="M112" s="9">
        <f>IF($T112="","","Open")</f>
        <v/>
      </c>
      <c r="N112" s="8" t="n"/>
      <c r="O112" s="4">
        <f>IF(A112="","",IF(N112&lt;&gt;"",N112-B112,TODAY()-B112))</f>
        <v/>
      </c>
      <c r="P112" s="4">
        <f>IF(A112="","",IF(AND(M112&lt;&gt;"Closed",L112&lt;TODAY()),"YES","NO"))</f>
        <v/>
      </c>
      <c r="Q112" s="4">
        <f>IF($T112="","",INDEX(Weekly_Inspections!$AW$4:$AW$996,$T112))</f>
        <v/>
      </c>
      <c r="T112" s="2">
        <f>IFERROR(AGGREGATE(15,6,(ROW(Weekly_Inspections!$AS$4:$AS$996)-ROW(Weekly_Inspections!$AS$4)+1)/(((Weekly_Inspections!$AS$4:$AS$996&lt;&gt;"")+(Weekly_Inspections!$AQ$4:$AQ$996&lt;&gt;""))&gt;0),ROWS($T$4:T112)),"")</f>
        <v/>
      </c>
    </row>
    <row r="113">
      <c r="A113" s="4">
        <f>IF($T113="","","CAPA-"&amp;TEXT($T113,"000"))</f>
        <v/>
      </c>
      <c r="B113" s="17">
        <f>IF($T113="","",INDEX(Weekly_Inspections!$B$4:$B$996,$T113))</f>
        <v/>
      </c>
      <c r="C113" s="4">
        <f>IF($T113="","",INDEX(Weekly_Inspections!$E$4:$E$996,$T113))</f>
        <v/>
      </c>
      <c r="D113" s="4">
        <f>IF($T113="","",INDEX(Weekly_Inspections!$F$4:$F$996,$T113))</f>
        <v/>
      </c>
      <c r="E113" s="4">
        <f>IF($T113="","",INDEX(Weekly_Inspections!$H$4:$H$996,$T113))</f>
        <v/>
      </c>
      <c r="F113" s="4">
        <f>IF($T113="","",INDEX(Weekly_Inspections!$R$4:$R$996,$T113))</f>
        <v/>
      </c>
      <c r="G113" s="4">
        <f>IF($T113="","",INDEX(Weekly_Inspections!$AQ$4:$AQ$996,$T113))</f>
        <v/>
      </c>
      <c r="H113" s="4">
        <f>IF($T113="","",INDEX(Weekly_Inspections!$AP$4:$AP$996,$T113))</f>
        <v/>
      </c>
      <c r="I113" s="4">
        <f>IF($T113="","",INDEX(Weekly_Inspections!$AR$4:$AR$996,$T113))</f>
        <v/>
      </c>
      <c r="J113" s="4">
        <f>IF($T113="","",INDEX(Weekly_Inspections!$AS$4:$AS$996,$T113))</f>
        <v/>
      </c>
      <c r="K113" s="4">
        <f>IF($T113="","",INDEX(Weekly_Inspections!$AU$4:$AU$996,$T113))</f>
        <v/>
      </c>
      <c r="L113" s="17">
        <f>IF($T113="","",INDEX(Weekly_Inspections!$AV$4:$AV$996,$T113))</f>
        <v/>
      </c>
      <c r="M113" s="9">
        <f>IF($T113="","","Open")</f>
        <v/>
      </c>
      <c r="N113" s="8" t="n"/>
      <c r="O113" s="4">
        <f>IF(A113="","",IF(N113&lt;&gt;"",N113-B113,TODAY()-B113))</f>
        <v/>
      </c>
      <c r="P113" s="4">
        <f>IF(A113="","",IF(AND(M113&lt;&gt;"Closed",L113&lt;TODAY()),"YES","NO"))</f>
        <v/>
      </c>
      <c r="Q113" s="4">
        <f>IF($T113="","",INDEX(Weekly_Inspections!$AW$4:$AW$996,$T113))</f>
        <v/>
      </c>
      <c r="T113" s="2">
        <f>IFERROR(AGGREGATE(15,6,(ROW(Weekly_Inspections!$AS$4:$AS$996)-ROW(Weekly_Inspections!$AS$4)+1)/(((Weekly_Inspections!$AS$4:$AS$996&lt;&gt;"")+(Weekly_Inspections!$AQ$4:$AQ$996&lt;&gt;""))&gt;0),ROWS($T$4:T113)),"")</f>
        <v/>
      </c>
    </row>
    <row r="114">
      <c r="A114" s="4">
        <f>IF($T114="","","CAPA-"&amp;TEXT($T114,"000"))</f>
        <v/>
      </c>
      <c r="B114" s="17">
        <f>IF($T114="","",INDEX(Weekly_Inspections!$B$4:$B$996,$T114))</f>
        <v/>
      </c>
      <c r="C114" s="4">
        <f>IF($T114="","",INDEX(Weekly_Inspections!$E$4:$E$996,$T114))</f>
        <v/>
      </c>
      <c r="D114" s="4">
        <f>IF($T114="","",INDEX(Weekly_Inspections!$F$4:$F$996,$T114))</f>
        <v/>
      </c>
      <c r="E114" s="4">
        <f>IF($T114="","",INDEX(Weekly_Inspections!$H$4:$H$996,$T114))</f>
        <v/>
      </c>
      <c r="F114" s="4">
        <f>IF($T114="","",INDEX(Weekly_Inspections!$R$4:$R$996,$T114))</f>
        <v/>
      </c>
      <c r="G114" s="4">
        <f>IF($T114="","",INDEX(Weekly_Inspections!$AQ$4:$AQ$996,$T114))</f>
        <v/>
      </c>
      <c r="H114" s="4">
        <f>IF($T114="","",INDEX(Weekly_Inspections!$AP$4:$AP$996,$T114))</f>
        <v/>
      </c>
      <c r="I114" s="4">
        <f>IF($T114="","",INDEX(Weekly_Inspections!$AR$4:$AR$996,$T114))</f>
        <v/>
      </c>
      <c r="J114" s="4">
        <f>IF($T114="","",INDEX(Weekly_Inspections!$AS$4:$AS$996,$T114))</f>
        <v/>
      </c>
      <c r="K114" s="4">
        <f>IF($T114="","",INDEX(Weekly_Inspections!$AU$4:$AU$996,$T114))</f>
        <v/>
      </c>
      <c r="L114" s="17">
        <f>IF($T114="","",INDEX(Weekly_Inspections!$AV$4:$AV$996,$T114))</f>
        <v/>
      </c>
      <c r="M114" s="9">
        <f>IF($T114="","","Open")</f>
        <v/>
      </c>
      <c r="N114" s="8" t="n"/>
      <c r="O114" s="4">
        <f>IF(A114="","",IF(N114&lt;&gt;"",N114-B114,TODAY()-B114))</f>
        <v/>
      </c>
      <c r="P114" s="4">
        <f>IF(A114="","",IF(AND(M114&lt;&gt;"Closed",L114&lt;TODAY()),"YES","NO"))</f>
        <v/>
      </c>
      <c r="Q114" s="4">
        <f>IF($T114="","",INDEX(Weekly_Inspections!$AW$4:$AW$996,$T114))</f>
        <v/>
      </c>
      <c r="T114" s="2">
        <f>IFERROR(AGGREGATE(15,6,(ROW(Weekly_Inspections!$AS$4:$AS$996)-ROW(Weekly_Inspections!$AS$4)+1)/(((Weekly_Inspections!$AS$4:$AS$996&lt;&gt;"")+(Weekly_Inspections!$AQ$4:$AQ$996&lt;&gt;""))&gt;0),ROWS($T$4:T114)),"")</f>
        <v/>
      </c>
    </row>
    <row r="115">
      <c r="A115" s="4">
        <f>IF($T115="","","CAPA-"&amp;TEXT($T115,"000"))</f>
        <v/>
      </c>
      <c r="B115" s="17">
        <f>IF($T115="","",INDEX(Weekly_Inspections!$B$4:$B$996,$T115))</f>
        <v/>
      </c>
      <c r="C115" s="4">
        <f>IF($T115="","",INDEX(Weekly_Inspections!$E$4:$E$996,$T115))</f>
        <v/>
      </c>
      <c r="D115" s="4">
        <f>IF($T115="","",INDEX(Weekly_Inspections!$F$4:$F$996,$T115))</f>
        <v/>
      </c>
      <c r="E115" s="4">
        <f>IF($T115="","",INDEX(Weekly_Inspections!$H$4:$H$996,$T115))</f>
        <v/>
      </c>
      <c r="F115" s="4">
        <f>IF($T115="","",INDEX(Weekly_Inspections!$R$4:$R$996,$T115))</f>
        <v/>
      </c>
      <c r="G115" s="4">
        <f>IF($T115="","",INDEX(Weekly_Inspections!$AQ$4:$AQ$996,$T115))</f>
        <v/>
      </c>
      <c r="H115" s="4">
        <f>IF($T115="","",INDEX(Weekly_Inspections!$AP$4:$AP$996,$T115))</f>
        <v/>
      </c>
      <c r="I115" s="4">
        <f>IF($T115="","",INDEX(Weekly_Inspections!$AR$4:$AR$996,$T115))</f>
        <v/>
      </c>
      <c r="J115" s="4">
        <f>IF($T115="","",INDEX(Weekly_Inspections!$AS$4:$AS$996,$T115))</f>
        <v/>
      </c>
      <c r="K115" s="4">
        <f>IF($T115="","",INDEX(Weekly_Inspections!$AU$4:$AU$996,$T115))</f>
        <v/>
      </c>
      <c r="L115" s="17">
        <f>IF($T115="","",INDEX(Weekly_Inspections!$AV$4:$AV$996,$T115))</f>
        <v/>
      </c>
      <c r="M115" s="9">
        <f>IF($T115="","","Open")</f>
        <v/>
      </c>
      <c r="N115" s="8" t="n"/>
      <c r="O115" s="4">
        <f>IF(A115="","",IF(N115&lt;&gt;"",N115-B115,TODAY()-B115))</f>
        <v/>
      </c>
      <c r="P115" s="4">
        <f>IF(A115="","",IF(AND(M115&lt;&gt;"Closed",L115&lt;TODAY()),"YES","NO"))</f>
        <v/>
      </c>
      <c r="Q115" s="4">
        <f>IF($T115="","",INDEX(Weekly_Inspections!$AW$4:$AW$996,$T115))</f>
        <v/>
      </c>
      <c r="T115" s="2">
        <f>IFERROR(AGGREGATE(15,6,(ROW(Weekly_Inspections!$AS$4:$AS$996)-ROW(Weekly_Inspections!$AS$4)+1)/(((Weekly_Inspections!$AS$4:$AS$996&lt;&gt;"")+(Weekly_Inspections!$AQ$4:$AQ$996&lt;&gt;""))&gt;0),ROWS($T$4:T115)),"")</f>
        <v/>
      </c>
    </row>
    <row r="116">
      <c r="A116" s="4">
        <f>IF($T116="","","CAPA-"&amp;TEXT($T116,"000"))</f>
        <v/>
      </c>
      <c r="B116" s="17">
        <f>IF($T116="","",INDEX(Weekly_Inspections!$B$4:$B$996,$T116))</f>
        <v/>
      </c>
      <c r="C116" s="4">
        <f>IF($T116="","",INDEX(Weekly_Inspections!$E$4:$E$996,$T116))</f>
        <v/>
      </c>
      <c r="D116" s="4">
        <f>IF($T116="","",INDEX(Weekly_Inspections!$F$4:$F$996,$T116))</f>
        <v/>
      </c>
      <c r="E116" s="4">
        <f>IF($T116="","",INDEX(Weekly_Inspections!$H$4:$H$996,$T116))</f>
        <v/>
      </c>
      <c r="F116" s="4">
        <f>IF($T116="","",INDEX(Weekly_Inspections!$R$4:$R$996,$T116))</f>
        <v/>
      </c>
      <c r="G116" s="4">
        <f>IF($T116="","",INDEX(Weekly_Inspections!$AQ$4:$AQ$996,$T116))</f>
        <v/>
      </c>
      <c r="H116" s="4">
        <f>IF($T116="","",INDEX(Weekly_Inspections!$AP$4:$AP$996,$T116))</f>
        <v/>
      </c>
      <c r="I116" s="4">
        <f>IF($T116="","",INDEX(Weekly_Inspections!$AR$4:$AR$996,$T116))</f>
        <v/>
      </c>
      <c r="J116" s="4">
        <f>IF($T116="","",INDEX(Weekly_Inspections!$AS$4:$AS$996,$T116))</f>
        <v/>
      </c>
      <c r="K116" s="4">
        <f>IF($T116="","",INDEX(Weekly_Inspections!$AU$4:$AU$996,$T116))</f>
        <v/>
      </c>
      <c r="L116" s="17">
        <f>IF($T116="","",INDEX(Weekly_Inspections!$AV$4:$AV$996,$T116))</f>
        <v/>
      </c>
      <c r="M116" s="9">
        <f>IF($T116="","","Open")</f>
        <v/>
      </c>
      <c r="N116" s="8" t="n"/>
      <c r="O116" s="4">
        <f>IF(A116="","",IF(N116&lt;&gt;"",N116-B116,TODAY()-B116))</f>
        <v/>
      </c>
      <c r="P116" s="4">
        <f>IF(A116="","",IF(AND(M116&lt;&gt;"Closed",L116&lt;TODAY()),"YES","NO"))</f>
        <v/>
      </c>
      <c r="Q116" s="4">
        <f>IF($T116="","",INDEX(Weekly_Inspections!$AW$4:$AW$996,$T116))</f>
        <v/>
      </c>
      <c r="T116" s="2">
        <f>IFERROR(AGGREGATE(15,6,(ROW(Weekly_Inspections!$AS$4:$AS$996)-ROW(Weekly_Inspections!$AS$4)+1)/(((Weekly_Inspections!$AS$4:$AS$996&lt;&gt;"")+(Weekly_Inspections!$AQ$4:$AQ$996&lt;&gt;""))&gt;0),ROWS($T$4:T116)),"")</f>
        <v/>
      </c>
    </row>
    <row r="117">
      <c r="A117" s="4">
        <f>IF($T117="","","CAPA-"&amp;TEXT($T117,"000"))</f>
        <v/>
      </c>
      <c r="B117" s="17">
        <f>IF($T117="","",INDEX(Weekly_Inspections!$B$4:$B$996,$T117))</f>
        <v/>
      </c>
      <c r="C117" s="4">
        <f>IF($T117="","",INDEX(Weekly_Inspections!$E$4:$E$996,$T117))</f>
        <v/>
      </c>
      <c r="D117" s="4">
        <f>IF($T117="","",INDEX(Weekly_Inspections!$F$4:$F$996,$T117))</f>
        <v/>
      </c>
      <c r="E117" s="4">
        <f>IF($T117="","",INDEX(Weekly_Inspections!$H$4:$H$996,$T117))</f>
        <v/>
      </c>
      <c r="F117" s="4">
        <f>IF($T117="","",INDEX(Weekly_Inspections!$R$4:$R$996,$T117))</f>
        <v/>
      </c>
      <c r="G117" s="4">
        <f>IF($T117="","",INDEX(Weekly_Inspections!$AQ$4:$AQ$996,$T117))</f>
        <v/>
      </c>
      <c r="H117" s="4">
        <f>IF($T117="","",INDEX(Weekly_Inspections!$AP$4:$AP$996,$T117))</f>
        <v/>
      </c>
      <c r="I117" s="4">
        <f>IF($T117="","",INDEX(Weekly_Inspections!$AR$4:$AR$996,$T117))</f>
        <v/>
      </c>
      <c r="J117" s="4">
        <f>IF($T117="","",INDEX(Weekly_Inspections!$AS$4:$AS$996,$T117))</f>
        <v/>
      </c>
      <c r="K117" s="4">
        <f>IF($T117="","",INDEX(Weekly_Inspections!$AU$4:$AU$996,$T117))</f>
        <v/>
      </c>
      <c r="L117" s="17">
        <f>IF($T117="","",INDEX(Weekly_Inspections!$AV$4:$AV$996,$T117))</f>
        <v/>
      </c>
      <c r="M117" s="9">
        <f>IF($T117="","","Open")</f>
        <v/>
      </c>
      <c r="N117" s="8" t="n"/>
      <c r="O117" s="4">
        <f>IF(A117="","",IF(N117&lt;&gt;"",N117-B117,TODAY()-B117))</f>
        <v/>
      </c>
      <c r="P117" s="4">
        <f>IF(A117="","",IF(AND(M117&lt;&gt;"Closed",L117&lt;TODAY()),"YES","NO"))</f>
        <v/>
      </c>
      <c r="Q117" s="4">
        <f>IF($T117="","",INDEX(Weekly_Inspections!$AW$4:$AW$996,$T117))</f>
        <v/>
      </c>
      <c r="T117" s="2">
        <f>IFERROR(AGGREGATE(15,6,(ROW(Weekly_Inspections!$AS$4:$AS$996)-ROW(Weekly_Inspections!$AS$4)+1)/(((Weekly_Inspections!$AS$4:$AS$996&lt;&gt;"")+(Weekly_Inspections!$AQ$4:$AQ$996&lt;&gt;""))&gt;0),ROWS($T$4:T117)),"")</f>
        <v/>
      </c>
    </row>
    <row r="118">
      <c r="A118" s="4">
        <f>IF($T118="","","CAPA-"&amp;TEXT($T118,"000"))</f>
        <v/>
      </c>
      <c r="B118" s="17">
        <f>IF($T118="","",INDEX(Weekly_Inspections!$B$4:$B$996,$T118))</f>
        <v/>
      </c>
      <c r="C118" s="4">
        <f>IF($T118="","",INDEX(Weekly_Inspections!$E$4:$E$996,$T118))</f>
        <v/>
      </c>
      <c r="D118" s="4">
        <f>IF($T118="","",INDEX(Weekly_Inspections!$F$4:$F$996,$T118))</f>
        <v/>
      </c>
      <c r="E118" s="4">
        <f>IF($T118="","",INDEX(Weekly_Inspections!$H$4:$H$996,$T118))</f>
        <v/>
      </c>
      <c r="F118" s="4">
        <f>IF($T118="","",INDEX(Weekly_Inspections!$R$4:$R$996,$T118))</f>
        <v/>
      </c>
      <c r="G118" s="4">
        <f>IF($T118="","",INDEX(Weekly_Inspections!$AQ$4:$AQ$996,$T118))</f>
        <v/>
      </c>
      <c r="H118" s="4">
        <f>IF($T118="","",INDEX(Weekly_Inspections!$AP$4:$AP$996,$T118))</f>
        <v/>
      </c>
      <c r="I118" s="4">
        <f>IF($T118="","",INDEX(Weekly_Inspections!$AR$4:$AR$996,$T118))</f>
        <v/>
      </c>
      <c r="J118" s="4">
        <f>IF($T118="","",INDEX(Weekly_Inspections!$AS$4:$AS$996,$T118))</f>
        <v/>
      </c>
      <c r="K118" s="4">
        <f>IF($T118="","",INDEX(Weekly_Inspections!$AU$4:$AU$996,$T118))</f>
        <v/>
      </c>
      <c r="L118" s="17">
        <f>IF($T118="","",INDEX(Weekly_Inspections!$AV$4:$AV$996,$T118))</f>
        <v/>
      </c>
      <c r="M118" s="9">
        <f>IF($T118="","","Open")</f>
        <v/>
      </c>
      <c r="N118" s="8" t="n"/>
      <c r="O118" s="4">
        <f>IF(A118="","",IF(N118&lt;&gt;"",N118-B118,TODAY()-B118))</f>
        <v/>
      </c>
      <c r="P118" s="4">
        <f>IF(A118="","",IF(AND(M118&lt;&gt;"Closed",L118&lt;TODAY()),"YES","NO"))</f>
        <v/>
      </c>
      <c r="Q118" s="4">
        <f>IF($T118="","",INDEX(Weekly_Inspections!$AW$4:$AW$996,$T118))</f>
        <v/>
      </c>
      <c r="T118" s="2">
        <f>IFERROR(AGGREGATE(15,6,(ROW(Weekly_Inspections!$AS$4:$AS$996)-ROW(Weekly_Inspections!$AS$4)+1)/(((Weekly_Inspections!$AS$4:$AS$996&lt;&gt;"")+(Weekly_Inspections!$AQ$4:$AQ$996&lt;&gt;""))&gt;0),ROWS($T$4:T118)),"")</f>
        <v/>
      </c>
    </row>
    <row r="119">
      <c r="A119" s="4">
        <f>IF($T119="","","CAPA-"&amp;TEXT($T119,"000"))</f>
        <v/>
      </c>
      <c r="B119" s="17">
        <f>IF($T119="","",INDEX(Weekly_Inspections!$B$4:$B$996,$T119))</f>
        <v/>
      </c>
      <c r="C119" s="4">
        <f>IF($T119="","",INDEX(Weekly_Inspections!$E$4:$E$996,$T119))</f>
        <v/>
      </c>
      <c r="D119" s="4">
        <f>IF($T119="","",INDEX(Weekly_Inspections!$F$4:$F$996,$T119))</f>
        <v/>
      </c>
      <c r="E119" s="4">
        <f>IF($T119="","",INDEX(Weekly_Inspections!$H$4:$H$996,$T119))</f>
        <v/>
      </c>
      <c r="F119" s="4">
        <f>IF($T119="","",INDEX(Weekly_Inspections!$R$4:$R$996,$T119))</f>
        <v/>
      </c>
      <c r="G119" s="4">
        <f>IF($T119="","",INDEX(Weekly_Inspections!$AQ$4:$AQ$996,$T119))</f>
        <v/>
      </c>
      <c r="H119" s="4">
        <f>IF($T119="","",INDEX(Weekly_Inspections!$AP$4:$AP$996,$T119))</f>
        <v/>
      </c>
      <c r="I119" s="4">
        <f>IF($T119="","",INDEX(Weekly_Inspections!$AR$4:$AR$996,$T119))</f>
        <v/>
      </c>
      <c r="J119" s="4">
        <f>IF($T119="","",INDEX(Weekly_Inspections!$AS$4:$AS$996,$T119))</f>
        <v/>
      </c>
      <c r="K119" s="4">
        <f>IF($T119="","",INDEX(Weekly_Inspections!$AU$4:$AU$996,$T119))</f>
        <v/>
      </c>
      <c r="L119" s="17">
        <f>IF($T119="","",INDEX(Weekly_Inspections!$AV$4:$AV$996,$T119))</f>
        <v/>
      </c>
      <c r="M119" s="9">
        <f>IF($T119="","","Open")</f>
        <v/>
      </c>
      <c r="N119" s="8" t="n"/>
      <c r="O119" s="4">
        <f>IF(A119="","",IF(N119&lt;&gt;"",N119-B119,TODAY()-B119))</f>
        <v/>
      </c>
      <c r="P119" s="4">
        <f>IF(A119="","",IF(AND(M119&lt;&gt;"Closed",L119&lt;TODAY()),"YES","NO"))</f>
        <v/>
      </c>
      <c r="Q119" s="4">
        <f>IF($T119="","",INDEX(Weekly_Inspections!$AW$4:$AW$996,$T119))</f>
        <v/>
      </c>
      <c r="T119" s="2">
        <f>IFERROR(AGGREGATE(15,6,(ROW(Weekly_Inspections!$AS$4:$AS$996)-ROW(Weekly_Inspections!$AS$4)+1)/(((Weekly_Inspections!$AS$4:$AS$996&lt;&gt;"")+(Weekly_Inspections!$AQ$4:$AQ$996&lt;&gt;""))&gt;0),ROWS($T$4:T119)),"")</f>
        <v/>
      </c>
    </row>
    <row r="120">
      <c r="A120" s="4">
        <f>IF($T120="","","CAPA-"&amp;TEXT($T120,"000"))</f>
        <v/>
      </c>
      <c r="B120" s="17">
        <f>IF($T120="","",INDEX(Weekly_Inspections!$B$4:$B$996,$T120))</f>
        <v/>
      </c>
      <c r="C120" s="4">
        <f>IF($T120="","",INDEX(Weekly_Inspections!$E$4:$E$996,$T120))</f>
        <v/>
      </c>
      <c r="D120" s="4">
        <f>IF($T120="","",INDEX(Weekly_Inspections!$F$4:$F$996,$T120))</f>
        <v/>
      </c>
      <c r="E120" s="4">
        <f>IF($T120="","",INDEX(Weekly_Inspections!$H$4:$H$996,$T120))</f>
        <v/>
      </c>
      <c r="F120" s="4">
        <f>IF($T120="","",INDEX(Weekly_Inspections!$R$4:$R$996,$T120))</f>
        <v/>
      </c>
      <c r="G120" s="4">
        <f>IF($T120="","",INDEX(Weekly_Inspections!$AQ$4:$AQ$996,$T120))</f>
        <v/>
      </c>
      <c r="H120" s="4">
        <f>IF($T120="","",INDEX(Weekly_Inspections!$AP$4:$AP$996,$T120))</f>
        <v/>
      </c>
      <c r="I120" s="4">
        <f>IF($T120="","",INDEX(Weekly_Inspections!$AR$4:$AR$996,$T120))</f>
        <v/>
      </c>
      <c r="J120" s="4">
        <f>IF($T120="","",INDEX(Weekly_Inspections!$AS$4:$AS$996,$T120))</f>
        <v/>
      </c>
      <c r="K120" s="4">
        <f>IF($T120="","",INDEX(Weekly_Inspections!$AU$4:$AU$996,$T120))</f>
        <v/>
      </c>
      <c r="L120" s="17">
        <f>IF($T120="","",INDEX(Weekly_Inspections!$AV$4:$AV$996,$T120))</f>
        <v/>
      </c>
      <c r="M120" s="9">
        <f>IF($T120="","","Open")</f>
        <v/>
      </c>
      <c r="N120" s="8" t="n"/>
      <c r="O120" s="4">
        <f>IF(A120="","",IF(N120&lt;&gt;"",N120-B120,TODAY()-B120))</f>
        <v/>
      </c>
      <c r="P120" s="4">
        <f>IF(A120="","",IF(AND(M120&lt;&gt;"Closed",L120&lt;TODAY()),"YES","NO"))</f>
        <v/>
      </c>
      <c r="Q120" s="4">
        <f>IF($T120="","",INDEX(Weekly_Inspections!$AW$4:$AW$996,$T120))</f>
        <v/>
      </c>
      <c r="T120" s="2">
        <f>IFERROR(AGGREGATE(15,6,(ROW(Weekly_Inspections!$AS$4:$AS$996)-ROW(Weekly_Inspections!$AS$4)+1)/(((Weekly_Inspections!$AS$4:$AS$996&lt;&gt;"")+(Weekly_Inspections!$AQ$4:$AQ$996&lt;&gt;""))&gt;0),ROWS($T$4:T120)),"")</f>
        <v/>
      </c>
    </row>
    <row r="121">
      <c r="A121" s="4">
        <f>IF($T121="","","CAPA-"&amp;TEXT($T121,"000"))</f>
        <v/>
      </c>
      <c r="B121" s="17">
        <f>IF($T121="","",INDEX(Weekly_Inspections!$B$4:$B$996,$T121))</f>
        <v/>
      </c>
      <c r="C121" s="4">
        <f>IF($T121="","",INDEX(Weekly_Inspections!$E$4:$E$996,$T121))</f>
        <v/>
      </c>
      <c r="D121" s="4">
        <f>IF($T121="","",INDEX(Weekly_Inspections!$F$4:$F$996,$T121))</f>
        <v/>
      </c>
      <c r="E121" s="4">
        <f>IF($T121="","",INDEX(Weekly_Inspections!$H$4:$H$996,$T121))</f>
        <v/>
      </c>
      <c r="F121" s="4">
        <f>IF($T121="","",INDEX(Weekly_Inspections!$R$4:$R$996,$T121))</f>
        <v/>
      </c>
      <c r="G121" s="4">
        <f>IF($T121="","",INDEX(Weekly_Inspections!$AQ$4:$AQ$996,$T121))</f>
        <v/>
      </c>
      <c r="H121" s="4">
        <f>IF($T121="","",INDEX(Weekly_Inspections!$AP$4:$AP$996,$T121))</f>
        <v/>
      </c>
      <c r="I121" s="4">
        <f>IF($T121="","",INDEX(Weekly_Inspections!$AR$4:$AR$996,$T121))</f>
        <v/>
      </c>
      <c r="J121" s="4">
        <f>IF($T121="","",INDEX(Weekly_Inspections!$AS$4:$AS$996,$T121))</f>
        <v/>
      </c>
      <c r="K121" s="4">
        <f>IF($T121="","",INDEX(Weekly_Inspections!$AU$4:$AU$996,$T121))</f>
        <v/>
      </c>
      <c r="L121" s="17">
        <f>IF($T121="","",INDEX(Weekly_Inspections!$AV$4:$AV$996,$T121))</f>
        <v/>
      </c>
      <c r="M121" s="9">
        <f>IF($T121="","","Open")</f>
        <v/>
      </c>
      <c r="N121" s="8" t="n"/>
      <c r="O121" s="4">
        <f>IF(A121="","",IF(N121&lt;&gt;"",N121-B121,TODAY()-B121))</f>
        <v/>
      </c>
      <c r="P121" s="4">
        <f>IF(A121="","",IF(AND(M121&lt;&gt;"Closed",L121&lt;TODAY()),"YES","NO"))</f>
        <v/>
      </c>
      <c r="Q121" s="4">
        <f>IF($T121="","",INDEX(Weekly_Inspections!$AW$4:$AW$996,$T121))</f>
        <v/>
      </c>
      <c r="T121" s="2">
        <f>IFERROR(AGGREGATE(15,6,(ROW(Weekly_Inspections!$AS$4:$AS$996)-ROW(Weekly_Inspections!$AS$4)+1)/(((Weekly_Inspections!$AS$4:$AS$996&lt;&gt;"")+(Weekly_Inspections!$AQ$4:$AQ$996&lt;&gt;""))&gt;0),ROWS($T$4:T121)),"")</f>
        <v/>
      </c>
    </row>
    <row r="122">
      <c r="A122" s="4">
        <f>IF($T122="","","CAPA-"&amp;TEXT($T122,"000"))</f>
        <v/>
      </c>
      <c r="B122" s="17">
        <f>IF($T122="","",INDEX(Weekly_Inspections!$B$4:$B$996,$T122))</f>
        <v/>
      </c>
      <c r="C122" s="4">
        <f>IF($T122="","",INDEX(Weekly_Inspections!$E$4:$E$996,$T122))</f>
        <v/>
      </c>
      <c r="D122" s="4">
        <f>IF($T122="","",INDEX(Weekly_Inspections!$F$4:$F$996,$T122))</f>
        <v/>
      </c>
      <c r="E122" s="4">
        <f>IF($T122="","",INDEX(Weekly_Inspections!$H$4:$H$996,$T122))</f>
        <v/>
      </c>
      <c r="F122" s="4">
        <f>IF($T122="","",INDEX(Weekly_Inspections!$R$4:$R$996,$T122))</f>
        <v/>
      </c>
      <c r="G122" s="4">
        <f>IF($T122="","",INDEX(Weekly_Inspections!$AQ$4:$AQ$996,$T122))</f>
        <v/>
      </c>
      <c r="H122" s="4">
        <f>IF($T122="","",INDEX(Weekly_Inspections!$AP$4:$AP$996,$T122))</f>
        <v/>
      </c>
      <c r="I122" s="4">
        <f>IF($T122="","",INDEX(Weekly_Inspections!$AR$4:$AR$996,$T122))</f>
        <v/>
      </c>
      <c r="J122" s="4">
        <f>IF($T122="","",INDEX(Weekly_Inspections!$AS$4:$AS$996,$T122))</f>
        <v/>
      </c>
      <c r="K122" s="4">
        <f>IF($T122="","",INDEX(Weekly_Inspections!$AU$4:$AU$996,$T122))</f>
        <v/>
      </c>
      <c r="L122" s="17">
        <f>IF($T122="","",INDEX(Weekly_Inspections!$AV$4:$AV$996,$T122))</f>
        <v/>
      </c>
      <c r="M122" s="9">
        <f>IF($T122="","","Open")</f>
        <v/>
      </c>
      <c r="N122" s="8" t="n"/>
      <c r="O122" s="4">
        <f>IF(A122="","",IF(N122&lt;&gt;"",N122-B122,TODAY()-B122))</f>
        <v/>
      </c>
      <c r="P122" s="4">
        <f>IF(A122="","",IF(AND(M122&lt;&gt;"Closed",L122&lt;TODAY()),"YES","NO"))</f>
        <v/>
      </c>
      <c r="Q122" s="4">
        <f>IF($T122="","",INDEX(Weekly_Inspections!$AW$4:$AW$996,$T122))</f>
        <v/>
      </c>
      <c r="T122" s="2">
        <f>IFERROR(AGGREGATE(15,6,(ROW(Weekly_Inspections!$AS$4:$AS$996)-ROW(Weekly_Inspections!$AS$4)+1)/(((Weekly_Inspections!$AS$4:$AS$996&lt;&gt;"")+(Weekly_Inspections!$AQ$4:$AQ$996&lt;&gt;""))&gt;0),ROWS($T$4:T122)),"")</f>
        <v/>
      </c>
    </row>
    <row r="123">
      <c r="A123" s="4">
        <f>IF($T123="","","CAPA-"&amp;TEXT($T123,"000"))</f>
        <v/>
      </c>
      <c r="B123" s="17">
        <f>IF($T123="","",INDEX(Weekly_Inspections!$B$4:$B$996,$T123))</f>
        <v/>
      </c>
      <c r="C123" s="4">
        <f>IF($T123="","",INDEX(Weekly_Inspections!$E$4:$E$996,$T123))</f>
        <v/>
      </c>
      <c r="D123" s="4">
        <f>IF($T123="","",INDEX(Weekly_Inspections!$F$4:$F$996,$T123))</f>
        <v/>
      </c>
      <c r="E123" s="4">
        <f>IF($T123="","",INDEX(Weekly_Inspections!$H$4:$H$996,$T123))</f>
        <v/>
      </c>
      <c r="F123" s="4">
        <f>IF($T123="","",INDEX(Weekly_Inspections!$R$4:$R$996,$T123))</f>
        <v/>
      </c>
      <c r="G123" s="4">
        <f>IF($T123="","",INDEX(Weekly_Inspections!$AQ$4:$AQ$996,$T123))</f>
        <v/>
      </c>
      <c r="H123" s="4">
        <f>IF($T123="","",INDEX(Weekly_Inspections!$AP$4:$AP$996,$T123))</f>
        <v/>
      </c>
      <c r="I123" s="4">
        <f>IF($T123="","",INDEX(Weekly_Inspections!$AR$4:$AR$996,$T123))</f>
        <v/>
      </c>
      <c r="J123" s="4">
        <f>IF($T123="","",INDEX(Weekly_Inspections!$AS$4:$AS$996,$T123))</f>
        <v/>
      </c>
      <c r="K123" s="4">
        <f>IF($T123="","",INDEX(Weekly_Inspections!$AU$4:$AU$996,$T123))</f>
        <v/>
      </c>
      <c r="L123" s="17">
        <f>IF($T123="","",INDEX(Weekly_Inspections!$AV$4:$AV$996,$T123))</f>
        <v/>
      </c>
      <c r="M123" s="9">
        <f>IF($T123="","","Open")</f>
        <v/>
      </c>
      <c r="N123" s="8" t="n"/>
      <c r="O123" s="4">
        <f>IF(A123="","",IF(N123&lt;&gt;"",N123-B123,TODAY()-B123))</f>
        <v/>
      </c>
      <c r="P123" s="4">
        <f>IF(A123="","",IF(AND(M123&lt;&gt;"Closed",L123&lt;TODAY()),"YES","NO"))</f>
        <v/>
      </c>
      <c r="Q123" s="4">
        <f>IF($T123="","",INDEX(Weekly_Inspections!$AW$4:$AW$996,$T123))</f>
        <v/>
      </c>
      <c r="T123" s="2">
        <f>IFERROR(AGGREGATE(15,6,(ROW(Weekly_Inspections!$AS$4:$AS$996)-ROW(Weekly_Inspections!$AS$4)+1)/(((Weekly_Inspections!$AS$4:$AS$996&lt;&gt;"")+(Weekly_Inspections!$AQ$4:$AQ$996&lt;&gt;""))&gt;0),ROWS($T$4:T123)),"")</f>
        <v/>
      </c>
    </row>
    <row r="124">
      <c r="A124" s="4">
        <f>IF($T124="","","CAPA-"&amp;TEXT($T124,"000"))</f>
        <v/>
      </c>
      <c r="B124" s="17">
        <f>IF($T124="","",INDEX(Weekly_Inspections!$B$4:$B$996,$T124))</f>
        <v/>
      </c>
      <c r="C124" s="4">
        <f>IF($T124="","",INDEX(Weekly_Inspections!$E$4:$E$996,$T124))</f>
        <v/>
      </c>
      <c r="D124" s="4">
        <f>IF($T124="","",INDEX(Weekly_Inspections!$F$4:$F$996,$T124))</f>
        <v/>
      </c>
      <c r="E124" s="4">
        <f>IF($T124="","",INDEX(Weekly_Inspections!$H$4:$H$996,$T124))</f>
        <v/>
      </c>
      <c r="F124" s="4">
        <f>IF($T124="","",INDEX(Weekly_Inspections!$R$4:$R$996,$T124))</f>
        <v/>
      </c>
      <c r="G124" s="4">
        <f>IF($T124="","",INDEX(Weekly_Inspections!$AQ$4:$AQ$996,$T124))</f>
        <v/>
      </c>
      <c r="H124" s="4">
        <f>IF($T124="","",INDEX(Weekly_Inspections!$AP$4:$AP$996,$T124))</f>
        <v/>
      </c>
      <c r="I124" s="4">
        <f>IF($T124="","",INDEX(Weekly_Inspections!$AR$4:$AR$996,$T124))</f>
        <v/>
      </c>
      <c r="J124" s="4">
        <f>IF($T124="","",INDEX(Weekly_Inspections!$AS$4:$AS$996,$T124))</f>
        <v/>
      </c>
      <c r="K124" s="4">
        <f>IF($T124="","",INDEX(Weekly_Inspections!$AU$4:$AU$996,$T124))</f>
        <v/>
      </c>
      <c r="L124" s="17">
        <f>IF($T124="","",INDEX(Weekly_Inspections!$AV$4:$AV$996,$T124))</f>
        <v/>
      </c>
      <c r="M124" s="9">
        <f>IF($T124="","","Open")</f>
        <v/>
      </c>
      <c r="N124" s="8" t="n"/>
      <c r="O124" s="4">
        <f>IF(A124="","",IF(N124&lt;&gt;"",N124-B124,TODAY()-B124))</f>
        <v/>
      </c>
      <c r="P124" s="4">
        <f>IF(A124="","",IF(AND(M124&lt;&gt;"Closed",L124&lt;TODAY()),"YES","NO"))</f>
        <v/>
      </c>
      <c r="Q124" s="4">
        <f>IF($T124="","",INDEX(Weekly_Inspections!$AW$4:$AW$996,$T124))</f>
        <v/>
      </c>
      <c r="T124" s="2">
        <f>IFERROR(AGGREGATE(15,6,(ROW(Weekly_Inspections!$AS$4:$AS$996)-ROW(Weekly_Inspections!$AS$4)+1)/(((Weekly_Inspections!$AS$4:$AS$996&lt;&gt;"")+(Weekly_Inspections!$AQ$4:$AQ$996&lt;&gt;""))&gt;0),ROWS($T$4:T124)),"")</f>
        <v/>
      </c>
    </row>
    <row r="125">
      <c r="A125" s="4">
        <f>IF($T125="","","CAPA-"&amp;TEXT($T125,"000"))</f>
        <v/>
      </c>
      <c r="B125" s="17">
        <f>IF($T125="","",INDEX(Weekly_Inspections!$B$4:$B$996,$T125))</f>
        <v/>
      </c>
      <c r="C125" s="4">
        <f>IF($T125="","",INDEX(Weekly_Inspections!$E$4:$E$996,$T125))</f>
        <v/>
      </c>
      <c r="D125" s="4">
        <f>IF($T125="","",INDEX(Weekly_Inspections!$F$4:$F$996,$T125))</f>
        <v/>
      </c>
      <c r="E125" s="4">
        <f>IF($T125="","",INDEX(Weekly_Inspections!$H$4:$H$996,$T125))</f>
        <v/>
      </c>
      <c r="F125" s="4">
        <f>IF($T125="","",INDEX(Weekly_Inspections!$R$4:$R$996,$T125))</f>
        <v/>
      </c>
      <c r="G125" s="4">
        <f>IF($T125="","",INDEX(Weekly_Inspections!$AQ$4:$AQ$996,$T125))</f>
        <v/>
      </c>
      <c r="H125" s="4">
        <f>IF($T125="","",INDEX(Weekly_Inspections!$AP$4:$AP$996,$T125))</f>
        <v/>
      </c>
      <c r="I125" s="4">
        <f>IF($T125="","",INDEX(Weekly_Inspections!$AR$4:$AR$996,$T125))</f>
        <v/>
      </c>
      <c r="J125" s="4">
        <f>IF($T125="","",INDEX(Weekly_Inspections!$AS$4:$AS$996,$T125))</f>
        <v/>
      </c>
      <c r="K125" s="4">
        <f>IF($T125="","",INDEX(Weekly_Inspections!$AU$4:$AU$996,$T125))</f>
        <v/>
      </c>
      <c r="L125" s="17">
        <f>IF($T125="","",INDEX(Weekly_Inspections!$AV$4:$AV$996,$T125))</f>
        <v/>
      </c>
      <c r="M125" s="9">
        <f>IF($T125="","","Open")</f>
        <v/>
      </c>
      <c r="N125" s="8" t="n"/>
      <c r="O125" s="4">
        <f>IF(A125="","",IF(N125&lt;&gt;"",N125-B125,TODAY()-B125))</f>
        <v/>
      </c>
      <c r="P125" s="4">
        <f>IF(A125="","",IF(AND(M125&lt;&gt;"Closed",L125&lt;TODAY()),"YES","NO"))</f>
        <v/>
      </c>
      <c r="Q125" s="4">
        <f>IF($T125="","",INDEX(Weekly_Inspections!$AW$4:$AW$996,$T125))</f>
        <v/>
      </c>
      <c r="T125" s="2">
        <f>IFERROR(AGGREGATE(15,6,(ROW(Weekly_Inspections!$AS$4:$AS$996)-ROW(Weekly_Inspections!$AS$4)+1)/(((Weekly_Inspections!$AS$4:$AS$996&lt;&gt;"")+(Weekly_Inspections!$AQ$4:$AQ$996&lt;&gt;""))&gt;0),ROWS($T$4:T125)),"")</f>
        <v/>
      </c>
    </row>
    <row r="126">
      <c r="A126" s="4">
        <f>IF($T126="","","CAPA-"&amp;TEXT($T126,"000"))</f>
        <v/>
      </c>
      <c r="B126" s="17">
        <f>IF($T126="","",INDEX(Weekly_Inspections!$B$4:$B$996,$T126))</f>
        <v/>
      </c>
      <c r="C126" s="4">
        <f>IF($T126="","",INDEX(Weekly_Inspections!$E$4:$E$996,$T126))</f>
        <v/>
      </c>
      <c r="D126" s="4">
        <f>IF($T126="","",INDEX(Weekly_Inspections!$F$4:$F$996,$T126))</f>
        <v/>
      </c>
      <c r="E126" s="4">
        <f>IF($T126="","",INDEX(Weekly_Inspections!$H$4:$H$996,$T126))</f>
        <v/>
      </c>
      <c r="F126" s="4">
        <f>IF($T126="","",INDEX(Weekly_Inspections!$R$4:$R$996,$T126))</f>
        <v/>
      </c>
      <c r="G126" s="4">
        <f>IF($T126="","",INDEX(Weekly_Inspections!$AQ$4:$AQ$996,$T126))</f>
        <v/>
      </c>
      <c r="H126" s="4">
        <f>IF($T126="","",INDEX(Weekly_Inspections!$AP$4:$AP$996,$T126))</f>
        <v/>
      </c>
      <c r="I126" s="4">
        <f>IF($T126="","",INDEX(Weekly_Inspections!$AR$4:$AR$996,$T126))</f>
        <v/>
      </c>
      <c r="J126" s="4">
        <f>IF($T126="","",INDEX(Weekly_Inspections!$AS$4:$AS$996,$T126))</f>
        <v/>
      </c>
      <c r="K126" s="4">
        <f>IF($T126="","",INDEX(Weekly_Inspections!$AU$4:$AU$996,$T126))</f>
        <v/>
      </c>
      <c r="L126" s="17">
        <f>IF($T126="","",INDEX(Weekly_Inspections!$AV$4:$AV$996,$T126))</f>
        <v/>
      </c>
      <c r="M126" s="9">
        <f>IF($T126="","","Open")</f>
        <v/>
      </c>
      <c r="N126" s="8" t="n"/>
      <c r="O126" s="4">
        <f>IF(A126="","",IF(N126&lt;&gt;"",N126-B126,TODAY()-B126))</f>
        <v/>
      </c>
      <c r="P126" s="4">
        <f>IF(A126="","",IF(AND(M126&lt;&gt;"Closed",L126&lt;TODAY()),"YES","NO"))</f>
        <v/>
      </c>
      <c r="Q126" s="4">
        <f>IF($T126="","",INDEX(Weekly_Inspections!$AW$4:$AW$996,$T126))</f>
        <v/>
      </c>
      <c r="T126" s="2">
        <f>IFERROR(AGGREGATE(15,6,(ROW(Weekly_Inspections!$AS$4:$AS$996)-ROW(Weekly_Inspections!$AS$4)+1)/(((Weekly_Inspections!$AS$4:$AS$996&lt;&gt;"")+(Weekly_Inspections!$AQ$4:$AQ$996&lt;&gt;""))&gt;0),ROWS($T$4:T126)),"")</f>
        <v/>
      </c>
    </row>
    <row r="127">
      <c r="A127" s="4">
        <f>IF($T127="","","CAPA-"&amp;TEXT($T127,"000"))</f>
        <v/>
      </c>
      <c r="B127" s="17">
        <f>IF($T127="","",INDEX(Weekly_Inspections!$B$4:$B$996,$T127))</f>
        <v/>
      </c>
      <c r="C127" s="4">
        <f>IF($T127="","",INDEX(Weekly_Inspections!$E$4:$E$996,$T127))</f>
        <v/>
      </c>
      <c r="D127" s="4">
        <f>IF($T127="","",INDEX(Weekly_Inspections!$F$4:$F$996,$T127))</f>
        <v/>
      </c>
      <c r="E127" s="4">
        <f>IF($T127="","",INDEX(Weekly_Inspections!$H$4:$H$996,$T127))</f>
        <v/>
      </c>
      <c r="F127" s="4">
        <f>IF($T127="","",INDEX(Weekly_Inspections!$R$4:$R$996,$T127))</f>
        <v/>
      </c>
      <c r="G127" s="4">
        <f>IF($T127="","",INDEX(Weekly_Inspections!$AQ$4:$AQ$996,$T127))</f>
        <v/>
      </c>
      <c r="H127" s="4">
        <f>IF($T127="","",INDEX(Weekly_Inspections!$AP$4:$AP$996,$T127))</f>
        <v/>
      </c>
      <c r="I127" s="4">
        <f>IF($T127="","",INDEX(Weekly_Inspections!$AR$4:$AR$996,$T127))</f>
        <v/>
      </c>
      <c r="J127" s="4">
        <f>IF($T127="","",INDEX(Weekly_Inspections!$AS$4:$AS$996,$T127))</f>
        <v/>
      </c>
      <c r="K127" s="4">
        <f>IF($T127="","",INDEX(Weekly_Inspections!$AU$4:$AU$996,$T127))</f>
        <v/>
      </c>
      <c r="L127" s="17">
        <f>IF($T127="","",INDEX(Weekly_Inspections!$AV$4:$AV$996,$T127))</f>
        <v/>
      </c>
      <c r="M127" s="9">
        <f>IF($T127="","","Open")</f>
        <v/>
      </c>
      <c r="N127" s="8" t="n"/>
      <c r="O127" s="4">
        <f>IF(A127="","",IF(N127&lt;&gt;"",N127-B127,TODAY()-B127))</f>
        <v/>
      </c>
      <c r="P127" s="4">
        <f>IF(A127="","",IF(AND(M127&lt;&gt;"Closed",L127&lt;TODAY()),"YES","NO"))</f>
        <v/>
      </c>
      <c r="Q127" s="4">
        <f>IF($T127="","",INDEX(Weekly_Inspections!$AW$4:$AW$996,$T127))</f>
        <v/>
      </c>
      <c r="T127" s="2">
        <f>IFERROR(AGGREGATE(15,6,(ROW(Weekly_Inspections!$AS$4:$AS$996)-ROW(Weekly_Inspections!$AS$4)+1)/(((Weekly_Inspections!$AS$4:$AS$996&lt;&gt;"")+(Weekly_Inspections!$AQ$4:$AQ$996&lt;&gt;""))&gt;0),ROWS($T$4:T127)),"")</f>
        <v/>
      </c>
    </row>
    <row r="128">
      <c r="A128" s="4">
        <f>IF($T128="","","CAPA-"&amp;TEXT($T128,"000"))</f>
        <v/>
      </c>
      <c r="B128" s="17">
        <f>IF($T128="","",INDEX(Weekly_Inspections!$B$4:$B$996,$T128))</f>
        <v/>
      </c>
      <c r="C128" s="4">
        <f>IF($T128="","",INDEX(Weekly_Inspections!$E$4:$E$996,$T128))</f>
        <v/>
      </c>
      <c r="D128" s="4">
        <f>IF($T128="","",INDEX(Weekly_Inspections!$F$4:$F$996,$T128))</f>
        <v/>
      </c>
      <c r="E128" s="4">
        <f>IF($T128="","",INDEX(Weekly_Inspections!$H$4:$H$996,$T128))</f>
        <v/>
      </c>
      <c r="F128" s="4">
        <f>IF($T128="","",INDEX(Weekly_Inspections!$R$4:$R$996,$T128))</f>
        <v/>
      </c>
      <c r="G128" s="4">
        <f>IF($T128="","",INDEX(Weekly_Inspections!$AQ$4:$AQ$996,$T128))</f>
        <v/>
      </c>
      <c r="H128" s="4">
        <f>IF($T128="","",INDEX(Weekly_Inspections!$AP$4:$AP$996,$T128))</f>
        <v/>
      </c>
      <c r="I128" s="4">
        <f>IF($T128="","",INDEX(Weekly_Inspections!$AR$4:$AR$996,$T128))</f>
        <v/>
      </c>
      <c r="J128" s="4">
        <f>IF($T128="","",INDEX(Weekly_Inspections!$AS$4:$AS$996,$T128))</f>
        <v/>
      </c>
      <c r="K128" s="4">
        <f>IF($T128="","",INDEX(Weekly_Inspections!$AU$4:$AU$996,$T128))</f>
        <v/>
      </c>
      <c r="L128" s="17">
        <f>IF($T128="","",INDEX(Weekly_Inspections!$AV$4:$AV$996,$T128))</f>
        <v/>
      </c>
      <c r="M128" s="9">
        <f>IF($T128="","","Open")</f>
        <v/>
      </c>
      <c r="N128" s="8" t="n"/>
      <c r="O128" s="4">
        <f>IF(A128="","",IF(N128&lt;&gt;"",N128-B128,TODAY()-B128))</f>
        <v/>
      </c>
      <c r="P128" s="4">
        <f>IF(A128="","",IF(AND(M128&lt;&gt;"Closed",L128&lt;TODAY()),"YES","NO"))</f>
        <v/>
      </c>
      <c r="Q128" s="4">
        <f>IF($T128="","",INDEX(Weekly_Inspections!$AW$4:$AW$996,$T128))</f>
        <v/>
      </c>
      <c r="T128" s="2">
        <f>IFERROR(AGGREGATE(15,6,(ROW(Weekly_Inspections!$AS$4:$AS$996)-ROW(Weekly_Inspections!$AS$4)+1)/(((Weekly_Inspections!$AS$4:$AS$996&lt;&gt;"")+(Weekly_Inspections!$AQ$4:$AQ$996&lt;&gt;""))&gt;0),ROWS($T$4:T128)),"")</f>
        <v/>
      </c>
    </row>
    <row r="129">
      <c r="A129" s="4">
        <f>IF($T129="","","CAPA-"&amp;TEXT($T129,"000"))</f>
        <v/>
      </c>
      <c r="B129" s="17">
        <f>IF($T129="","",INDEX(Weekly_Inspections!$B$4:$B$996,$T129))</f>
        <v/>
      </c>
      <c r="C129" s="4">
        <f>IF($T129="","",INDEX(Weekly_Inspections!$E$4:$E$996,$T129))</f>
        <v/>
      </c>
      <c r="D129" s="4">
        <f>IF($T129="","",INDEX(Weekly_Inspections!$F$4:$F$996,$T129))</f>
        <v/>
      </c>
      <c r="E129" s="4">
        <f>IF($T129="","",INDEX(Weekly_Inspections!$H$4:$H$996,$T129))</f>
        <v/>
      </c>
      <c r="F129" s="4">
        <f>IF($T129="","",INDEX(Weekly_Inspections!$R$4:$R$996,$T129))</f>
        <v/>
      </c>
      <c r="G129" s="4">
        <f>IF($T129="","",INDEX(Weekly_Inspections!$AQ$4:$AQ$996,$T129))</f>
        <v/>
      </c>
      <c r="H129" s="4">
        <f>IF($T129="","",INDEX(Weekly_Inspections!$AP$4:$AP$996,$T129))</f>
        <v/>
      </c>
      <c r="I129" s="4">
        <f>IF($T129="","",INDEX(Weekly_Inspections!$AR$4:$AR$996,$T129))</f>
        <v/>
      </c>
      <c r="J129" s="4">
        <f>IF($T129="","",INDEX(Weekly_Inspections!$AS$4:$AS$996,$T129))</f>
        <v/>
      </c>
      <c r="K129" s="4">
        <f>IF($T129="","",INDEX(Weekly_Inspections!$AU$4:$AU$996,$T129))</f>
        <v/>
      </c>
      <c r="L129" s="17">
        <f>IF($T129="","",INDEX(Weekly_Inspections!$AV$4:$AV$996,$T129))</f>
        <v/>
      </c>
      <c r="M129" s="9">
        <f>IF($T129="","","Open")</f>
        <v/>
      </c>
      <c r="N129" s="8" t="n"/>
      <c r="O129" s="4">
        <f>IF(A129="","",IF(N129&lt;&gt;"",N129-B129,TODAY()-B129))</f>
        <v/>
      </c>
      <c r="P129" s="4">
        <f>IF(A129="","",IF(AND(M129&lt;&gt;"Closed",L129&lt;TODAY()),"YES","NO"))</f>
        <v/>
      </c>
      <c r="Q129" s="4">
        <f>IF($T129="","",INDEX(Weekly_Inspections!$AW$4:$AW$996,$T129))</f>
        <v/>
      </c>
      <c r="T129" s="2">
        <f>IFERROR(AGGREGATE(15,6,(ROW(Weekly_Inspections!$AS$4:$AS$996)-ROW(Weekly_Inspections!$AS$4)+1)/(((Weekly_Inspections!$AS$4:$AS$996&lt;&gt;"")+(Weekly_Inspections!$AQ$4:$AQ$996&lt;&gt;""))&gt;0),ROWS($T$4:T129)),"")</f>
        <v/>
      </c>
    </row>
    <row r="130">
      <c r="A130" s="4">
        <f>IF($T130="","","CAPA-"&amp;TEXT($T130,"000"))</f>
        <v/>
      </c>
      <c r="B130" s="17">
        <f>IF($T130="","",INDEX(Weekly_Inspections!$B$4:$B$996,$T130))</f>
        <v/>
      </c>
      <c r="C130" s="4">
        <f>IF($T130="","",INDEX(Weekly_Inspections!$E$4:$E$996,$T130))</f>
        <v/>
      </c>
      <c r="D130" s="4">
        <f>IF($T130="","",INDEX(Weekly_Inspections!$F$4:$F$996,$T130))</f>
        <v/>
      </c>
      <c r="E130" s="4">
        <f>IF($T130="","",INDEX(Weekly_Inspections!$H$4:$H$996,$T130))</f>
        <v/>
      </c>
      <c r="F130" s="4">
        <f>IF($T130="","",INDEX(Weekly_Inspections!$R$4:$R$996,$T130))</f>
        <v/>
      </c>
      <c r="G130" s="4">
        <f>IF($T130="","",INDEX(Weekly_Inspections!$AQ$4:$AQ$996,$T130))</f>
        <v/>
      </c>
      <c r="H130" s="4">
        <f>IF($T130="","",INDEX(Weekly_Inspections!$AP$4:$AP$996,$T130))</f>
        <v/>
      </c>
      <c r="I130" s="4">
        <f>IF($T130="","",INDEX(Weekly_Inspections!$AR$4:$AR$996,$T130))</f>
        <v/>
      </c>
      <c r="J130" s="4">
        <f>IF($T130="","",INDEX(Weekly_Inspections!$AS$4:$AS$996,$T130))</f>
        <v/>
      </c>
      <c r="K130" s="4">
        <f>IF($T130="","",INDEX(Weekly_Inspections!$AU$4:$AU$996,$T130))</f>
        <v/>
      </c>
      <c r="L130" s="17">
        <f>IF($T130="","",INDEX(Weekly_Inspections!$AV$4:$AV$996,$T130))</f>
        <v/>
      </c>
      <c r="M130" s="9">
        <f>IF($T130="","","Open")</f>
        <v/>
      </c>
      <c r="N130" s="8" t="n"/>
      <c r="O130" s="4">
        <f>IF(A130="","",IF(N130&lt;&gt;"",N130-B130,TODAY()-B130))</f>
        <v/>
      </c>
      <c r="P130" s="4">
        <f>IF(A130="","",IF(AND(M130&lt;&gt;"Closed",L130&lt;TODAY()),"YES","NO"))</f>
        <v/>
      </c>
      <c r="Q130" s="4">
        <f>IF($T130="","",INDEX(Weekly_Inspections!$AW$4:$AW$996,$T130))</f>
        <v/>
      </c>
      <c r="T130" s="2">
        <f>IFERROR(AGGREGATE(15,6,(ROW(Weekly_Inspections!$AS$4:$AS$996)-ROW(Weekly_Inspections!$AS$4)+1)/(((Weekly_Inspections!$AS$4:$AS$996&lt;&gt;"")+(Weekly_Inspections!$AQ$4:$AQ$996&lt;&gt;""))&gt;0),ROWS($T$4:T130)),"")</f>
        <v/>
      </c>
    </row>
    <row r="131">
      <c r="A131" s="4">
        <f>IF($T131="","","CAPA-"&amp;TEXT($T131,"000"))</f>
        <v/>
      </c>
      <c r="B131" s="17">
        <f>IF($T131="","",INDEX(Weekly_Inspections!$B$4:$B$996,$T131))</f>
        <v/>
      </c>
      <c r="C131" s="4">
        <f>IF($T131="","",INDEX(Weekly_Inspections!$E$4:$E$996,$T131))</f>
        <v/>
      </c>
      <c r="D131" s="4">
        <f>IF($T131="","",INDEX(Weekly_Inspections!$F$4:$F$996,$T131))</f>
        <v/>
      </c>
      <c r="E131" s="4">
        <f>IF($T131="","",INDEX(Weekly_Inspections!$H$4:$H$996,$T131))</f>
        <v/>
      </c>
      <c r="F131" s="4">
        <f>IF($T131="","",INDEX(Weekly_Inspections!$R$4:$R$996,$T131))</f>
        <v/>
      </c>
      <c r="G131" s="4">
        <f>IF($T131="","",INDEX(Weekly_Inspections!$AQ$4:$AQ$996,$T131))</f>
        <v/>
      </c>
      <c r="H131" s="4">
        <f>IF($T131="","",INDEX(Weekly_Inspections!$AP$4:$AP$996,$T131))</f>
        <v/>
      </c>
      <c r="I131" s="4">
        <f>IF($T131="","",INDEX(Weekly_Inspections!$AR$4:$AR$996,$T131))</f>
        <v/>
      </c>
      <c r="J131" s="4">
        <f>IF($T131="","",INDEX(Weekly_Inspections!$AS$4:$AS$996,$T131))</f>
        <v/>
      </c>
      <c r="K131" s="4">
        <f>IF($T131="","",INDEX(Weekly_Inspections!$AU$4:$AU$996,$T131))</f>
        <v/>
      </c>
      <c r="L131" s="17">
        <f>IF($T131="","",INDEX(Weekly_Inspections!$AV$4:$AV$996,$T131))</f>
        <v/>
      </c>
      <c r="M131" s="9">
        <f>IF($T131="","","Open")</f>
        <v/>
      </c>
      <c r="N131" s="8" t="n"/>
      <c r="O131" s="4">
        <f>IF(A131="","",IF(N131&lt;&gt;"",N131-B131,TODAY()-B131))</f>
        <v/>
      </c>
      <c r="P131" s="4">
        <f>IF(A131="","",IF(AND(M131&lt;&gt;"Closed",L131&lt;TODAY()),"YES","NO"))</f>
        <v/>
      </c>
      <c r="Q131" s="4">
        <f>IF($T131="","",INDEX(Weekly_Inspections!$AW$4:$AW$996,$T131))</f>
        <v/>
      </c>
      <c r="T131" s="2">
        <f>IFERROR(AGGREGATE(15,6,(ROW(Weekly_Inspections!$AS$4:$AS$996)-ROW(Weekly_Inspections!$AS$4)+1)/(((Weekly_Inspections!$AS$4:$AS$996&lt;&gt;"")+(Weekly_Inspections!$AQ$4:$AQ$996&lt;&gt;""))&gt;0),ROWS($T$4:T131)),"")</f>
        <v/>
      </c>
    </row>
    <row r="132">
      <c r="A132" s="4">
        <f>IF($T132="","","CAPA-"&amp;TEXT($T132,"000"))</f>
        <v/>
      </c>
      <c r="B132" s="17">
        <f>IF($T132="","",INDEX(Weekly_Inspections!$B$4:$B$996,$T132))</f>
        <v/>
      </c>
      <c r="C132" s="4">
        <f>IF($T132="","",INDEX(Weekly_Inspections!$E$4:$E$996,$T132))</f>
        <v/>
      </c>
      <c r="D132" s="4">
        <f>IF($T132="","",INDEX(Weekly_Inspections!$F$4:$F$996,$T132))</f>
        <v/>
      </c>
      <c r="E132" s="4">
        <f>IF($T132="","",INDEX(Weekly_Inspections!$H$4:$H$996,$T132))</f>
        <v/>
      </c>
      <c r="F132" s="4">
        <f>IF($T132="","",INDEX(Weekly_Inspections!$R$4:$R$996,$T132))</f>
        <v/>
      </c>
      <c r="G132" s="4">
        <f>IF($T132="","",INDEX(Weekly_Inspections!$AQ$4:$AQ$996,$T132))</f>
        <v/>
      </c>
      <c r="H132" s="4">
        <f>IF($T132="","",INDEX(Weekly_Inspections!$AP$4:$AP$996,$T132))</f>
        <v/>
      </c>
      <c r="I132" s="4">
        <f>IF($T132="","",INDEX(Weekly_Inspections!$AR$4:$AR$996,$T132))</f>
        <v/>
      </c>
      <c r="J132" s="4">
        <f>IF($T132="","",INDEX(Weekly_Inspections!$AS$4:$AS$996,$T132))</f>
        <v/>
      </c>
      <c r="K132" s="4">
        <f>IF($T132="","",INDEX(Weekly_Inspections!$AU$4:$AU$996,$T132))</f>
        <v/>
      </c>
      <c r="L132" s="17">
        <f>IF($T132="","",INDEX(Weekly_Inspections!$AV$4:$AV$996,$T132))</f>
        <v/>
      </c>
      <c r="M132" s="9">
        <f>IF($T132="","","Open")</f>
        <v/>
      </c>
      <c r="N132" s="8" t="n"/>
      <c r="O132" s="4">
        <f>IF(A132="","",IF(N132&lt;&gt;"",N132-B132,TODAY()-B132))</f>
        <v/>
      </c>
      <c r="P132" s="4">
        <f>IF(A132="","",IF(AND(M132&lt;&gt;"Closed",L132&lt;TODAY()),"YES","NO"))</f>
        <v/>
      </c>
      <c r="Q132" s="4">
        <f>IF($T132="","",INDEX(Weekly_Inspections!$AW$4:$AW$996,$T132))</f>
        <v/>
      </c>
      <c r="T132" s="2">
        <f>IFERROR(AGGREGATE(15,6,(ROW(Weekly_Inspections!$AS$4:$AS$996)-ROW(Weekly_Inspections!$AS$4)+1)/(((Weekly_Inspections!$AS$4:$AS$996&lt;&gt;"")+(Weekly_Inspections!$AQ$4:$AQ$996&lt;&gt;""))&gt;0),ROWS($T$4:T132)),"")</f>
        <v/>
      </c>
    </row>
    <row r="133">
      <c r="A133" s="4">
        <f>IF($T133="","","CAPA-"&amp;TEXT($T133,"000"))</f>
        <v/>
      </c>
      <c r="B133" s="17">
        <f>IF($T133="","",INDEX(Weekly_Inspections!$B$4:$B$996,$T133))</f>
        <v/>
      </c>
      <c r="C133" s="4">
        <f>IF($T133="","",INDEX(Weekly_Inspections!$E$4:$E$996,$T133))</f>
        <v/>
      </c>
      <c r="D133" s="4">
        <f>IF($T133="","",INDEX(Weekly_Inspections!$F$4:$F$996,$T133))</f>
        <v/>
      </c>
      <c r="E133" s="4">
        <f>IF($T133="","",INDEX(Weekly_Inspections!$H$4:$H$996,$T133))</f>
        <v/>
      </c>
      <c r="F133" s="4">
        <f>IF($T133="","",INDEX(Weekly_Inspections!$R$4:$R$996,$T133))</f>
        <v/>
      </c>
      <c r="G133" s="4">
        <f>IF($T133="","",INDEX(Weekly_Inspections!$AQ$4:$AQ$996,$T133))</f>
        <v/>
      </c>
      <c r="H133" s="4">
        <f>IF($T133="","",INDEX(Weekly_Inspections!$AP$4:$AP$996,$T133))</f>
        <v/>
      </c>
      <c r="I133" s="4">
        <f>IF($T133="","",INDEX(Weekly_Inspections!$AR$4:$AR$996,$T133))</f>
        <v/>
      </c>
      <c r="J133" s="4">
        <f>IF($T133="","",INDEX(Weekly_Inspections!$AS$4:$AS$996,$T133))</f>
        <v/>
      </c>
      <c r="K133" s="4">
        <f>IF($T133="","",INDEX(Weekly_Inspections!$AU$4:$AU$996,$T133))</f>
        <v/>
      </c>
      <c r="L133" s="17">
        <f>IF($T133="","",INDEX(Weekly_Inspections!$AV$4:$AV$996,$T133))</f>
        <v/>
      </c>
      <c r="M133" s="9">
        <f>IF($T133="","","Open")</f>
        <v/>
      </c>
      <c r="N133" s="8" t="n"/>
      <c r="O133" s="4">
        <f>IF(A133="","",IF(N133&lt;&gt;"",N133-B133,TODAY()-B133))</f>
        <v/>
      </c>
      <c r="P133" s="4">
        <f>IF(A133="","",IF(AND(M133&lt;&gt;"Closed",L133&lt;TODAY()),"YES","NO"))</f>
        <v/>
      </c>
      <c r="Q133" s="4">
        <f>IF($T133="","",INDEX(Weekly_Inspections!$AW$4:$AW$996,$T133))</f>
        <v/>
      </c>
      <c r="T133" s="2">
        <f>IFERROR(AGGREGATE(15,6,(ROW(Weekly_Inspections!$AS$4:$AS$996)-ROW(Weekly_Inspections!$AS$4)+1)/(((Weekly_Inspections!$AS$4:$AS$996&lt;&gt;"")+(Weekly_Inspections!$AQ$4:$AQ$996&lt;&gt;""))&gt;0),ROWS($T$4:T133)),"")</f>
        <v/>
      </c>
    </row>
    <row r="134">
      <c r="A134" s="4">
        <f>IF($T134="","","CAPA-"&amp;TEXT($T134,"000"))</f>
        <v/>
      </c>
      <c r="B134" s="17">
        <f>IF($T134="","",INDEX(Weekly_Inspections!$B$4:$B$996,$T134))</f>
        <v/>
      </c>
      <c r="C134" s="4">
        <f>IF($T134="","",INDEX(Weekly_Inspections!$E$4:$E$996,$T134))</f>
        <v/>
      </c>
      <c r="D134" s="4">
        <f>IF($T134="","",INDEX(Weekly_Inspections!$F$4:$F$996,$T134))</f>
        <v/>
      </c>
      <c r="E134" s="4">
        <f>IF($T134="","",INDEX(Weekly_Inspections!$H$4:$H$996,$T134))</f>
        <v/>
      </c>
      <c r="F134" s="4">
        <f>IF($T134="","",INDEX(Weekly_Inspections!$R$4:$R$996,$T134))</f>
        <v/>
      </c>
      <c r="G134" s="4">
        <f>IF($T134="","",INDEX(Weekly_Inspections!$AQ$4:$AQ$996,$T134))</f>
        <v/>
      </c>
      <c r="H134" s="4">
        <f>IF($T134="","",INDEX(Weekly_Inspections!$AP$4:$AP$996,$T134))</f>
        <v/>
      </c>
      <c r="I134" s="4">
        <f>IF($T134="","",INDEX(Weekly_Inspections!$AR$4:$AR$996,$T134))</f>
        <v/>
      </c>
      <c r="J134" s="4">
        <f>IF($T134="","",INDEX(Weekly_Inspections!$AS$4:$AS$996,$T134))</f>
        <v/>
      </c>
      <c r="K134" s="4">
        <f>IF($T134="","",INDEX(Weekly_Inspections!$AU$4:$AU$996,$T134))</f>
        <v/>
      </c>
      <c r="L134" s="17">
        <f>IF($T134="","",INDEX(Weekly_Inspections!$AV$4:$AV$996,$T134))</f>
        <v/>
      </c>
      <c r="M134" s="9">
        <f>IF($T134="","","Open")</f>
        <v/>
      </c>
      <c r="N134" s="8" t="n"/>
      <c r="O134" s="4">
        <f>IF(A134="","",IF(N134&lt;&gt;"",N134-B134,TODAY()-B134))</f>
        <v/>
      </c>
      <c r="P134" s="4">
        <f>IF(A134="","",IF(AND(M134&lt;&gt;"Closed",L134&lt;TODAY()),"YES","NO"))</f>
        <v/>
      </c>
      <c r="Q134" s="4">
        <f>IF($T134="","",INDEX(Weekly_Inspections!$AW$4:$AW$996,$T134))</f>
        <v/>
      </c>
      <c r="T134" s="2">
        <f>IFERROR(AGGREGATE(15,6,(ROW(Weekly_Inspections!$AS$4:$AS$996)-ROW(Weekly_Inspections!$AS$4)+1)/(((Weekly_Inspections!$AS$4:$AS$996&lt;&gt;"")+(Weekly_Inspections!$AQ$4:$AQ$996&lt;&gt;""))&gt;0),ROWS($T$4:T134)),"")</f>
        <v/>
      </c>
    </row>
    <row r="135">
      <c r="A135" s="4">
        <f>IF($T135="","","CAPA-"&amp;TEXT($T135,"000"))</f>
        <v/>
      </c>
      <c r="B135" s="17">
        <f>IF($T135="","",INDEX(Weekly_Inspections!$B$4:$B$996,$T135))</f>
        <v/>
      </c>
      <c r="C135" s="4">
        <f>IF($T135="","",INDEX(Weekly_Inspections!$E$4:$E$996,$T135))</f>
        <v/>
      </c>
      <c r="D135" s="4">
        <f>IF($T135="","",INDEX(Weekly_Inspections!$F$4:$F$996,$T135))</f>
        <v/>
      </c>
      <c r="E135" s="4">
        <f>IF($T135="","",INDEX(Weekly_Inspections!$H$4:$H$996,$T135))</f>
        <v/>
      </c>
      <c r="F135" s="4">
        <f>IF($T135="","",INDEX(Weekly_Inspections!$R$4:$R$996,$T135))</f>
        <v/>
      </c>
      <c r="G135" s="4">
        <f>IF($T135="","",INDEX(Weekly_Inspections!$AQ$4:$AQ$996,$T135))</f>
        <v/>
      </c>
      <c r="H135" s="4">
        <f>IF($T135="","",INDEX(Weekly_Inspections!$AP$4:$AP$996,$T135))</f>
        <v/>
      </c>
      <c r="I135" s="4">
        <f>IF($T135="","",INDEX(Weekly_Inspections!$AR$4:$AR$996,$T135))</f>
        <v/>
      </c>
      <c r="J135" s="4">
        <f>IF($T135="","",INDEX(Weekly_Inspections!$AS$4:$AS$996,$T135))</f>
        <v/>
      </c>
      <c r="K135" s="4">
        <f>IF($T135="","",INDEX(Weekly_Inspections!$AU$4:$AU$996,$T135))</f>
        <v/>
      </c>
      <c r="L135" s="17">
        <f>IF($T135="","",INDEX(Weekly_Inspections!$AV$4:$AV$996,$T135))</f>
        <v/>
      </c>
      <c r="M135" s="9">
        <f>IF($T135="","","Open")</f>
        <v/>
      </c>
      <c r="N135" s="8" t="n"/>
      <c r="O135" s="4">
        <f>IF(A135="","",IF(N135&lt;&gt;"",N135-B135,TODAY()-B135))</f>
        <v/>
      </c>
      <c r="P135" s="4">
        <f>IF(A135="","",IF(AND(M135&lt;&gt;"Closed",L135&lt;TODAY()),"YES","NO"))</f>
        <v/>
      </c>
      <c r="Q135" s="4">
        <f>IF($T135="","",INDEX(Weekly_Inspections!$AW$4:$AW$996,$T135))</f>
        <v/>
      </c>
      <c r="T135" s="2">
        <f>IFERROR(AGGREGATE(15,6,(ROW(Weekly_Inspections!$AS$4:$AS$996)-ROW(Weekly_Inspections!$AS$4)+1)/(((Weekly_Inspections!$AS$4:$AS$996&lt;&gt;"")+(Weekly_Inspections!$AQ$4:$AQ$996&lt;&gt;""))&gt;0),ROWS($T$4:T135)),"")</f>
        <v/>
      </c>
    </row>
    <row r="136">
      <c r="A136" s="4">
        <f>IF($T136="","","CAPA-"&amp;TEXT($T136,"000"))</f>
        <v/>
      </c>
      <c r="B136" s="17">
        <f>IF($T136="","",INDEX(Weekly_Inspections!$B$4:$B$996,$T136))</f>
        <v/>
      </c>
      <c r="C136" s="4">
        <f>IF($T136="","",INDEX(Weekly_Inspections!$E$4:$E$996,$T136))</f>
        <v/>
      </c>
      <c r="D136" s="4">
        <f>IF($T136="","",INDEX(Weekly_Inspections!$F$4:$F$996,$T136))</f>
        <v/>
      </c>
      <c r="E136" s="4">
        <f>IF($T136="","",INDEX(Weekly_Inspections!$H$4:$H$996,$T136))</f>
        <v/>
      </c>
      <c r="F136" s="4">
        <f>IF($T136="","",INDEX(Weekly_Inspections!$R$4:$R$996,$T136))</f>
        <v/>
      </c>
      <c r="G136" s="4">
        <f>IF($T136="","",INDEX(Weekly_Inspections!$AQ$4:$AQ$996,$T136))</f>
        <v/>
      </c>
      <c r="H136" s="4">
        <f>IF($T136="","",INDEX(Weekly_Inspections!$AP$4:$AP$996,$T136))</f>
        <v/>
      </c>
      <c r="I136" s="4">
        <f>IF($T136="","",INDEX(Weekly_Inspections!$AR$4:$AR$996,$T136))</f>
        <v/>
      </c>
      <c r="J136" s="4">
        <f>IF($T136="","",INDEX(Weekly_Inspections!$AS$4:$AS$996,$T136))</f>
        <v/>
      </c>
      <c r="K136" s="4">
        <f>IF($T136="","",INDEX(Weekly_Inspections!$AU$4:$AU$996,$T136))</f>
        <v/>
      </c>
      <c r="L136" s="17">
        <f>IF($T136="","",INDEX(Weekly_Inspections!$AV$4:$AV$996,$T136))</f>
        <v/>
      </c>
      <c r="M136" s="9">
        <f>IF($T136="","","Open")</f>
        <v/>
      </c>
      <c r="N136" s="8" t="n"/>
      <c r="O136" s="4">
        <f>IF(A136="","",IF(N136&lt;&gt;"",N136-B136,TODAY()-B136))</f>
        <v/>
      </c>
      <c r="P136" s="4">
        <f>IF(A136="","",IF(AND(M136&lt;&gt;"Closed",L136&lt;TODAY()),"YES","NO"))</f>
        <v/>
      </c>
      <c r="Q136" s="4">
        <f>IF($T136="","",INDEX(Weekly_Inspections!$AW$4:$AW$996,$T136))</f>
        <v/>
      </c>
      <c r="T136" s="2">
        <f>IFERROR(AGGREGATE(15,6,(ROW(Weekly_Inspections!$AS$4:$AS$996)-ROW(Weekly_Inspections!$AS$4)+1)/(((Weekly_Inspections!$AS$4:$AS$996&lt;&gt;"")+(Weekly_Inspections!$AQ$4:$AQ$996&lt;&gt;""))&gt;0),ROWS($T$4:T136)),"")</f>
        <v/>
      </c>
    </row>
    <row r="137">
      <c r="A137" s="4">
        <f>IF($T137="","","CAPA-"&amp;TEXT($T137,"000"))</f>
        <v/>
      </c>
      <c r="B137" s="17">
        <f>IF($T137="","",INDEX(Weekly_Inspections!$B$4:$B$996,$T137))</f>
        <v/>
      </c>
      <c r="C137" s="4">
        <f>IF($T137="","",INDEX(Weekly_Inspections!$E$4:$E$996,$T137))</f>
        <v/>
      </c>
      <c r="D137" s="4">
        <f>IF($T137="","",INDEX(Weekly_Inspections!$F$4:$F$996,$T137))</f>
        <v/>
      </c>
      <c r="E137" s="4">
        <f>IF($T137="","",INDEX(Weekly_Inspections!$H$4:$H$996,$T137))</f>
        <v/>
      </c>
      <c r="F137" s="4">
        <f>IF($T137="","",INDEX(Weekly_Inspections!$R$4:$R$996,$T137))</f>
        <v/>
      </c>
      <c r="G137" s="4">
        <f>IF($T137="","",INDEX(Weekly_Inspections!$AQ$4:$AQ$996,$T137))</f>
        <v/>
      </c>
      <c r="H137" s="4">
        <f>IF($T137="","",INDEX(Weekly_Inspections!$AP$4:$AP$996,$T137))</f>
        <v/>
      </c>
      <c r="I137" s="4">
        <f>IF($T137="","",INDEX(Weekly_Inspections!$AR$4:$AR$996,$T137))</f>
        <v/>
      </c>
      <c r="J137" s="4">
        <f>IF($T137="","",INDEX(Weekly_Inspections!$AS$4:$AS$996,$T137))</f>
        <v/>
      </c>
      <c r="K137" s="4">
        <f>IF($T137="","",INDEX(Weekly_Inspections!$AU$4:$AU$996,$T137))</f>
        <v/>
      </c>
      <c r="L137" s="17">
        <f>IF($T137="","",INDEX(Weekly_Inspections!$AV$4:$AV$996,$T137))</f>
        <v/>
      </c>
      <c r="M137" s="9">
        <f>IF($T137="","","Open")</f>
        <v/>
      </c>
      <c r="N137" s="8" t="n"/>
      <c r="O137" s="4">
        <f>IF(A137="","",IF(N137&lt;&gt;"",N137-B137,TODAY()-B137))</f>
        <v/>
      </c>
      <c r="P137" s="4">
        <f>IF(A137="","",IF(AND(M137&lt;&gt;"Closed",L137&lt;TODAY()),"YES","NO"))</f>
        <v/>
      </c>
      <c r="Q137" s="4">
        <f>IF($T137="","",INDEX(Weekly_Inspections!$AW$4:$AW$996,$T137))</f>
        <v/>
      </c>
      <c r="T137" s="2">
        <f>IFERROR(AGGREGATE(15,6,(ROW(Weekly_Inspections!$AS$4:$AS$996)-ROW(Weekly_Inspections!$AS$4)+1)/(((Weekly_Inspections!$AS$4:$AS$996&lt;&gt;"")+(Weekly_Inspections!$AQ$4:$AQ$996&lt;&gt;""))&gt;0),ROWS($T$4:T137)),"")</f>
        <v/>
      </c>
    </row>
    <row r="138">
      <c r="A138" s="4">
        <f>IF($T138="","","CAPA-"&amp;TEXT($T138,"000"))</f>
        <v/>
      </c>
      <c r="B138" s="17">
        <f>IF($T138="","",INDEX(Weekly_Inspections!$B$4:$B$996,$T138))</f>
        <v/>
      </c>
      <c r="C138" s="4">
        <f>IF($T138="","",INDEX(Weekly_Inspections!$E$4:$E$996,$T138))</f>
        <v/>
      </c>
      <c r="D138" s="4">
        <f>IF($T138="","",INDEX(Weekly_Inspections!$F$4:$F$996,$T138))</f>
        <v/>
      </c>
      <c r="E138" s="4">
        <f>IF($T138="","",INDEX(Weekly_Inspections!$H$4:$H$996,$T138))</f>
        <v/>
      </c>
      <c r="F138" s="4">
        <f>IF($T138="","",INDEX(Weekly_Inspections!$R$4:$R$996,$T138))</f>
        <v/>
      </c>
      <c r="G138" s="4">
        <f>IF($T138="","",INDEX(Weekly_Inspections!$AQ$4:$AQ$996,$T138))</f>
        <v/>
      </c>
      <c r="H138" s="4">
        <f>IF($T138="","",INDEX(Weekly_Inspections!$AP$4:$AP$996,$T138))</f>
        <v/>
      </c>
      <c r="I138" s="4">
        <f>IF($T138="","",INDEX(Weekly_Inspections!$AR$4:$AR$996,$T138))</f>
        <v/>
      </c>
      <c r="J138" s="4">
        <f>IF($T138="","",INDEX(Weekly_Inspections!$AS$4:$AS$996,$T138))</f>
        <v/>
      </c>
      <c r="K138" s="4">
        <f>IF($T138="","",INDEX(Weekly_Inspections!$AU$4:$AU$996,$T138))</f>
        <v/>
      </c>
      <c r="L138" s="17">
        <f>IF($T138="","",INDEX(Weekly_Inspections!$AV$4:$AV$996,$T138))</f>
        <v/>
      </c>
      <c r="M138" s="9">
        <f>IF($T138="","","Open")</f>
        <v/>
      </c>
      <c r="N138" s="8" t="n"/>
      <c r="O138" s="4">
        <f>IF(A138="","",IF(N138&lt;&gt;"",N138-B138,TODAY()-B138))</f>
        <v/>
      </c>
      <c r="P138" s="4">
        <f>IF(A138="","",IF(AND(M138&lt;&gt;"Closed",L138&lt;TODAY()),"YES","NO"))</f>
        <v/>
      </c>
      <c r="Q138" s="4">
        <f>IF($T138="","",INDEX(Weekly_Inspections!$AW$4:$AW$996,$T138))</f>
        <v/>
      </c>
      <c r="T138" s="2">
        <f>IFERROR(AGGREGATE(15,6,(ROW(Weekly_Inspections!$AS$4:$AS$996)-ROW(Weekly_Inspections!$AS$4)+1)/(((Weekly_Inspections!$AS$4:$AS$996&lt;&gt;"")+(Weekly_Inspections!$AQ$4:$AQ$996&lt;&gt;""))&gt;0),ROWS($T$4:T138)),"")</f>
        <v/>
      </c>
    </row>
    <row r="139">
      <c r="A139" s="4">
        <f>IF($T139="","","CAPA-"&amp;TEXT($T139,"000"))</f>
        <v/>
      </c>
      <c r="B139" s="17">
        <f>IF($T139="","",INDEX(Weekly_Inspections!$B$4:$B$996,$T139))</f>
        <v/>
      </c>
      <c r="C139" s="4">
        <f>IF($T139="","",INDEX(Weekly_Inspections!$E$4:$E$996,$T139))</f>
        <v/>
      </c>
      <c r="D139" s="4">
        <f>IF($T139="","",INDEX(Weekly_Inspections!$F$4:$F$996,$T139))</f>
        <v/>
      </c>
      <c r="E139" s="4">
        <f>IF($T139="","",INDEX(Weekly_Inspections!$H$4:$H$996,$T139))</f>
        <v/>
      </c>
      <c r="F139" s="4">
        <f>IF($T139="","",INDEX(Weekly_Inspections!$R$4:$R$996,$T139))</f>
        <v/>
      </c>
      <c r="G139" s="4">
        <f>IF($T139="","",INDEX(Weekly_Inspections!$AQ$4:$AQ$996,$T139))</f>
        <v/>
      </c>
      <c r="H139" s="4">
        <f>IF($T139="","",INDEX(Weekly_Inspections!$AP$4:$AP$996,$T139))</f>
        <v/>
      </c>
      <c r="I139" s="4">
        <f>IF($T139="","",INDEX(Weekly_Inspections!$AR$4:$AR$996,$T139))</f>
        <v/>
      </c>
      <c r="J139" s="4">
        <f>IF($T139="","",INDEX(Weekly_Inspections!$AS$4:$AS$996,$T139))</f>
        <v/>
      </c>
      <c r="K139" s="4">
        <f>IF($T139="","",INDEX(Weekly_Inspections!$AU$4:$AU$996,$T139))</f>
        <v/>
      </c>
      <c r="L139" s="17">
        <f>IF($T139="","",INDEX(Weekly_Inspections!$AV$4:$AV$996,$T139))</f>
        <v/>
      </c>
      <c r="M139" s="9">
        <f>IF($T139="","","Open")</f>
        <v/>
      </c>
      <c r="N139" s="8" t="n"/>
      <c r="O139" s="4">
        <f>IF(A139="","",IF(N139&lt;&gt;"",N139-B139,TODAY()-B139))</f>
        <v/>
      </c>
      <c r="P139" s="4">
        <f>IF(A139="","",IF(AND(M139&lt;&gt;"Closed",L139&lt;TODAY()),"YES","NO"))</f>
        <v/>
      </c>
      <c r="Q139" s="4">
        <f>IF($T139="","",INDEX(Weekly_Inspections!$AW$4:$AW$996,$T139))</f>
        <v/>
      </c>
      <c r="T139" s="2">
        <f>IFERROR(AGGREGATE(15,6,(ROW(Weekly_Inspections!$AS$4:$AS$996)-ROW(Weekly_Inspections!$AS$4)+1)/(((Weekly_Inspections!$AS$4:$AS$996&lt;&gt;"")+(Weekly_Inspections!$AQ$4:$AQ$996&lt;&gt;""))&gt;0),ROWS($T$4:T139)),"")</f>
        <v/>
      </c>
    </row>
    <row r="140">
      <c r="A140" s="4">
        <f>IF($T140="","","CAPA-"&amp;TEXT($T140,"000"))</f>
        <v/>
      </c>
      <c r="B140" s="17">
        <f>IF($T140="","",INDEX(Weekly_Inspections!$B$4:$B$996,$T140))</f>
        <v/>
      </c>
      <c r="C140" s="4">
        <f>IF($T140="","",INDEX(Weekly_Inspections!$E$4:$E$996,$T140))</f>
        <v/>
      </c>
      <c r="D140" s="4">
        <f>IF($T140="","",INDEX(Weekly_Inspections!$F$4:$F$996,$T140))</f>
        <v/>
      </c>
      <c r="E140" s="4">
        <f>IF($T140="","",INDEX(Weekly_Inspections!$H$4:$H$996,$T140))</f>
        <v/>
      </c>
      <c r="F140" s="4">
        <f>IF($T140="","",INDEX(Weekly_Inspections!$R$4:$R$996,$T140))</f>
        <v/>
      </c>
      <c r="G140" s="4">
        <f>IF($T140="","",INDEX(Weekly_Inspections!$AQ$4:$AQ$996,$T140))</f>
        <v/>
      </c>
      <c r="H140" s="4">
        <f>IF($T140="","",INDEX(Weekly_Inspections!$AP$4:$AP$996,$T140))</f>
        <v/>
      </c>
      <c r="I140" s="4">
        <f>IF($T140="","",INDEX(Weekly_Inspections!$AR$4:$AR$996,$T140))</f>
        <v/>
      </c>
      <c r="J140" s="4">
        <f>IF($T140="","",INDEX(Weekly_Inspections!$AS$4:$AS$996,$T140))</f>
        <v/>
      </c>
      <c r="K140" s="4">
        <f>IF($T140="","",INDEX(Weekly_Inspections!$AU$4:$AU$996,$T140))</f>
        <v/>
      </c>
      <c r="L140" s="17">
        <f>IF($T140="","",INDEX(Weekly_Inspections!$AV$4:$AV$996,$T140))</f>
        <v/>
      </c>
      <c r="M140" s="9">
        <f>IF($T140="","","Open")</f>
        <v/>
      </c>
      <c r="N140" s="8" t="n"/>
      <c r="O140" s="4">
        <f>IF(A140="","",IF(N140&lt;&gt;"",N140-B140,TODAY()-B140))</f>
        <v/>
      </c>
      <c r="P140" s="4">
        <f>IF(A140="","",IF(AND(M140&lt;&gt;"Closed",L140&lt;TODAY()),"YES","NO"))</f>
        <v/>
      </c>
      <c r="Q140" s="4">
        <f>IF($T140="","",INDEX(Weekly_Inspections!$AW$4:$AW$996,$T140))</f>
        <v/>
      </c>
      <c r="T140" s="2">
        <f>IFERROR(AGGREGATE(15,6,(ROW(Weekly_Inspections!$AS$4:$AS$996)-ROW(Weekly_Inspections!$AS$4)+1)/(((Weekly_Inspections!$AS$4:$AS$996&lt;&gt;"")+(Weekly_Inspections!$AQ$4:$AQ$996&lt;&gt;""))&gt;0),ROWS($T$4:T140)),"")</f>
        <v/>
      </c>
    </row>
    <row r="141">
      <c r="A141" s="4">
        <f>IF($T141="","","CAPA-"&amp;TEXT($T141,"000"))</f>
        <v/>
      </c>
      <c r="B141" s="17">
        <f>IF($T141="","",INDEX(Weekly_Inspections!$B$4:$B$996,$T141))</f>
        <v/>
      </c>
      <c r="C141" s="4">
        <f>IF($T141="","",INDEX(Weekly_Inspections!$E$4:$E$996,$T141))</f>
        <v/>
      </c>
      <c r="D141" s="4">
        <f>IF($T141="","",INDEX(Weekly_Inspections!$F$4:$F$996,$T141))</f>
        <v/>
      </c>
      <c r="E141" s="4">
        <f>IF($T141="","",INDEX(Weekly_Inspections!$H$4:$H$996,$T141))</f>
        <v/>
      </c>
      <c r="F141" s="4">
        <f>IF($T141="","",INDEX(Weekly_Inspections!$R$4:$R$996,$T141))</f>
        <v/>
      </c>
      <c r="G141" s="4">
        <f>IF($T141="","",INDEX(Weekly_Inspections!$AQ$4:$AQ$996,$T141))</f>
        <v/>
      </c>
      <c r="H141" s="4">
        <f>IF($T141="","",INDEX(Weekly_Inspections!$AP$4:$AP$996,$T141))</f>
        <v/>
      </c>
      <c r="I141" s="4">
        <f>IF($T141="","",INDEX(Weekly_Inspections!$AR$4:$AR$996,$T141))</f>
        <v/>
      </c>
      <c r="J141" s="4">
        <f>IF($T141="","",INDEX(Weekly_Inspections!$AS$4:$AS$996,$T141))</f>
        <v/>
      </c>
      <c r="K141" s="4">
        <f>IF($T141="","",INDEX(Weekly_Inspections!$AU$4:$AU$996,$T141))</f>
        <v/>
      </c>
      <c r="L141" s="17">
        <f>IF($T141="","",INDEX(Weekly_Inspections!$AV$4:$AV$996,$T141))</f>
        <v/>
      </c>
      <c r="M141" s="9">
        <f>IF($T141="","","Open")</f>
        <v/>
      </c>
      <c r="N141" s="8" t="n"/>
      <c r="O141" s="4">
        <f>IF(A141="","",IF(N141&lt;&gt;"",N141-B141,TODAY()-B141))</f>
        <v/>
      </c>
      <c r="P141" s="4">
        <f>IF(A141="","",IF(AND(M141&lt;&gt;"Closed",L141&lt;TODAY()),"YES","NO"))</f>
        <v/>
      </c>
      <c r="Q141" s="4">
        <f>IF($T141="","",INDEX(Weekly_Inspections!$AW$4:$AW$996,$T141))</f>
        <v/>
      </c>
      <c r="T141" s="2">
        <f>IFERROR(AGGREGATE(15,6,(ROW(Weekly_Inspections!$AS$4:$AS$996)-ROW(Weekly_Inspections!$AS$4)+1)/(((Weekly_Inspections!$AS$4:$AS$996&lt;&gt;"")+(Weekly_Inspections!$AQ$4:$AQ$996&lt;&gt;""))&gt;0),ROWS($T$4:T141)),"")</f>
        <v/>
      </c>
    </row>
    <row r="142">
      <c r="A142" s="4">
        <f>IF($T142="","","CAPA-"&amp;TEXT($T142,"000"))</f>
        <v/>
      </c>
      <c r="B142" s="17">
        <f>IF($T142="","",INDEX(Weekly_Inspections!$B$4:$B$996,$T142))</f>
        <v/>
      </c>
      <c r="C142" s="4">
        <f>IF($T142="","",INDEX(Weekly_Inspections!$E$4:$E$996,$T142))</f>
        <v/>
      </c>
      <c r="D142" s="4">
        <f>IF($T142="","",INDEX(Weekly_Inspections!$F$4:$F$996,$T142))</f>
        <v/>
      </c>
      <c r="E142" s="4">
        <f>IF($T142="","",INDEX(Weekly_Inspections!$H$4:$H$996,$T142))</f>
        <v/>
      </c>
      <c r="F142" s="4">
        <f>IF($T142="","",INDEX(Weekly_Inspections!$R$4:$R$996,$T142))</f>
        <v/>
      </c>
      <c r="G142" s="4">
        <f>IF($T142="","",INDEX(Weekly_Inspections!$AQ$4:$AQ$996,$T142))</f>
        <v/>
      </c>
      <c r="H142" s="4">
        <f>IF($T142="","",INDEX(Weekly_Inspections!$AP$4:$AP$996,$T142))</f>
        <v/>
      </c>
      <c r="I142" s="4">
        <f>IF($T142="","",INDEX(Weekly_Inspections!$AR$4:$AR$996,$T142))</f>
        <v/>
      </c>
      <c r="J142" s="4">
        <f>IF($T142="","",INDEX(Weekly_Inspections!$AS$4:$AS$996,$T142))</f>
        <v/>
      </c>
      <c r="K142" s="4">
        <f>IF($T142="","",INDEX(Weekly_Inspections!$AU$4:$AU$996,$T142))</f>
        <v/>
      </c>
      <c r="L142" s="17">
        <f>IF($T142="","",INDEX(Weekly_Inspections!$AV$4:$AV$996,$T142))</f>
        <v/>
      </c>
      <c r="M142" s="9">
        <f>IF($T142="","","Open")</f>
        <v/>
      </c>
      <c r="N142" s="8" t="n"/>
      <c r="O142" s="4">
        <f>IF(A142="","",IF(N142&lt;&gt;"",N142-B142,TODAY()-B142))</f>
        <v/>
      </c>
      <c r="P142" s="4">
        <f>IF(A142="","",IF(AND(M142&lt;&gt;"Closed",L142&lt;TODAY()),"YES","NO"))</f>
        <v/>
      </c>
      <c r="Q142" s="4">
        <f>IF($T142="","",INDEX(Weekly_Inspections!$AW$4:$AW$996,$T142))</f>
        <v/>
      </c>
      <c r="T142" s="2">
        <f>IFERROR(AGGREGATE(15,6,(ROW(Weekly_Inspections!$AS$4:$AS$996)-ROW(Weekly_Inspections!$AS$4)+1)/(((Weekly_Inspections!$AS$4:$AS$996&lt;&gt;"")+(Weekly_Inspections!$AQ$4:$AQ$996&lt;&gt;""))&gt;0),ROWS($T$4:T142)),"")</f>
        <v/>
      </c>
    </row>
    <row r="143">
      <c r="A143" s="4">
        <f>IF($T143="","","CAPA-"&amp;TEXT($T143,"000"))</f>
        <v/>
      </c>
      <c r="B143" s="17">
        <f>IF($T143="","",INDEX(Weekly_Inspections!$B$4:$B$996,$T143))</f>
        <v/>
      </c>
      <c r="C143" s="4">
        <f>IF($T143="","",INDEX(Weekly_Inspections!$E$4:$E$996,$T143))</f>
        <v/>
      </c>
      <c r="D143" s="4">
        <f>IF($T143="","",INDEX(Weekly_Inspections!$F$4:$F$996,$T143))</f>
        <v/>
      </c>
      <c r="E143" s="4">
        <f>IF($T143="","",INDEX(Weekly_Inspections!$H$4:$H$996,$T143))</f>
        <v/>
      </c>
      <c r="F143" s="4">
        <f>IF($T143="","",INDEX(Weekly_Inspections!$R$4:$R$996,$T143))</f>
        <v/>
      </c>
      <c r="G143" s="4">
        <f>IF($T143="","",INDEX(Weekly_Inspections!$AQ$4:$AQ$996,$T143))</f>
        <v/>
      </c>
      <c r="H143" s="4">
        <f>IF($T143="","",INDEX(Weekly_Inspections!$AP$4:$AP$996,$T143))</f>
        <v/>
      </c>
      <c r="I143" s="4">
        <f>IF($T143="","",INDEX(Weekly_Inspections!$AR$4:$AR$996,$T143))</f>
        <v/>
      </c>
      <c r="J143" s="4">
        <f>IF($T143="","",INDEX(Weekly_Inspections!$AS$4:$AS$996,$T143))</f>
        <v/>
      </c>
      <c r="K143" s="4">
        <f>IF($T143="","",INDEX(Weekly_Inspections!$AU$4:$AU$996,$T143))</f>
        <v/>
      </c>
      <c r="L143" s="17">
        <f>IF($T143="","",INDEX(Weekly_Inspections!$AV$4:$AV$996,$T143))</f>
        <v/>
      </c>
      <c r="M143" s="9">
        <f>IF($T143="","","Open")</f>
        <v/>
      </c>
      <c r="N143" s="8" t="n"/>
      <c r="O143" s="4">
        <f>IF(A143="","",IF(N143&lt;&gt;"",N143-B143,TODAY()-B143))</f>
        <v/>
      </c>
      <c r="P143" s="4">
        <f>IF(A143="","",IF(AND(M143&lt;&gt;"Closed",L143&lt;TODAY()),"YES","NO"))</f>
        <v/>
      </c>
      <c r="Q143" s="4">
        <f>IF($T143="","",INDEX(Weekly_Inspections!$AW$4:$AW$996,$T143))</f>
        <v/>
      </c>
      <c r="T143" s="2">
        <f>IFERROR(AGGREGATE(15,6,(ROW(Weekly_Inspections!$AS$4:$AS$996)-ROW(Weekly_Inspections!$AS$4)+1)/(((Weekly_Inspections!$AS$4:$AS$996&lt;&gt;"")+(Weekly_Inspections!$AQ$4:$AQ$996&lt;&gt;""))&gt;0),ROWS($T$4:T143)),"")</f>
        <v/>
      </c>
    </row>
    <row r="144">
      <c r="A144" s="4">
        <f>IF($T144="","","CAPA-"&amp;TEXT($T144,"000"))</f>
        <v/>
      </c>
      <c r="B144" s="17">
        <f>IF($T144="","",INDEX(Weekly_Inspections!$B$4:$B$996,$T144))</f>
        <v/>
      </c>
      <c r="C144" s="4">
        <f>IF($T144="","",INDEX(Weekly_Inspections!$E$4:$E$996,$T144))</f>
        <v/>
      </c>
      <c r="D144" s="4">
        <f>IF($T144="","",INDEX(Weekly_Inspections!$F$4:$F$996,$T144))</f>
        <v/>
      </c>
      <c r="E144" s="4">
        <f>IF($T144="","",INDEX(Weekly_Inspections!$H$4:$H$996,$T144))</f>
        <v/>
      </c>
      <c r="F144" s="4">
        <f>IF($T144="","",INDEX(Weekly_Inspections!$R$4:$R$996,$T144))</f>
        <v/>
      </c>
      <c r="G144" s="4">
        <f>IF($T144="","",INDEX(Weekly_Inspections!$AQ$4:$AQ$996,$T144))</f>
        <v/>
      </c>
      <c r="H144" s="4">
        <f>IF($T144="","",INDEX(Weekly_Inspections!$AP$4:$AP$996,$T144))</f>
        <v/>
      </c>
      <c r="I144" s="4">
        <f>IF($T144="","",INDEX(Weekly_Inspections!$AR$4:$AR$996,$T144))</f>
        <v/>
      </c>
      <c r="J144" s="4">
        <f>IF($T144="","",INDEX(Weekly_Inspections!$AS$4:$AS$996,$T144))</f>
        <v/>
      </c>
      <c r="K144" s="4">
        <f>IF($T144="","",INDEX(Weekly_Inspections!$AU$4:$AU$996,$T144))</f>
        <v/>
      </c>
      <c r="L144" s="17">
        <f>IF($T144="","",INDEX(Weekly_Inspections!$AV$4:$AV$996,$T144))</f>
        <v/>
      </c>
      <c r="M144" s="9">
        <f>IF($T144="","","Open")</f>
        <v/>
      </c>
      <c r="N144" s="8" t="n"/>
      <c r="O144" s="4">
        <f>IF(A144="","",IF(N144&lt;&gt;"",N144-B144,TODAY()-B144))</f>
        <v/>
      </c>
      <c r="P144" s="4">
        <f>IF(A144="","",IF(AND(M144&lt;&gt;"Closed",L144&lt;TODAY()),"YES","NO"))</f>
        <v/>
      </c>
      <c r="Q144" s="4">
        <f>IF($T144="","",INDEX(Weekly_Inspections!$AW$4:$AW$996,$T144))</f>
        <v/>
      </c>
      <c r="T144" s="2">
        <f>IFERROR(AGGREGATE(15,6,(ROW(Weekly_Inspections!$AS$4:$AS$996)-ROW(Weekly_Inspections!$AS$4)+1)/(((Weekly_Inspections!$AS$4:$AS$996&lt;&gt;"")+(Weekly_Inspections!$AQ$4:$AQ$996&lt;&gt;""))&gt;0),ROWS($T$4:T144)),"")</f>
        <v/>
      </c>
    </row>
    <row r="145">
      <c r="A145" s="4">
        <f>IF($T145="","","CAPA-"&amp;TEXT($T145,"000"))</f>
        <v/>
      </c>
      <c r="B145" s="17">
        <f>IF($T145="","",INDEX(Weekly_Inspections!$B$4:$B$996,$T145))</f>
        <v/>
      </c>
      <c r="C145" s="4">
        <f>IF($T145="","",INDEX(Weekly_Inspections!$E$4:$E$996,$T145))</f>
        <v/>
      </c>
      <c r="D145" s="4">
        <f>IF($T145="","",INDEX(Weekly_Inspections!$F$4:$F$996,$T145))</f>
        <v/>
      </c>
      <c r="E145" s="4">
        <f>IF($T145="","",INDEX(Weekly_Inspections!$H$4:$H$996,$T145))</f>
        <v/>
      </c>
      <c r="F145" s="4">
        <f>IF($T145="","",INDEX(Weekly_Inspections!$R$4:$R$996,$T145))</f>
        <v/>
      </c>
      <c r="G145" s="4">
        <f>IF($T145="","",INDEX(Weekly_Inspections!$AQ$4:$AQ$996,$T145))</f>
        <v/>
      </c>
      <c r="H145" s="4">
        <f>IF($T145="","",INDEX(Weekly_Inspections!$AP$4:$AP$996,$T145))</f>
        <v/>
      </c>
      <c r="I145" s="4">
        <f>IF($T145="","",INDEX(Weekly_Inspections!$AR$4:$AR$996,$T145))</f>
        <v/>
      </c>
      <c r="J145" s="4">
        <f>IF($T145="","",INDEX(Weekly_Inspections!$AS$4:$AS$996,$T145))</f>
        <v/>
      </c>
      <c r="K145" s="4">
        <f>IF($T145="","",INDEX(Weekly_Inspections!$AU$4:$AU$996,$T145))</f>
        <v/>
      </c>
      <c r="L145" s="17">
        <f>IF($T145="","",INDEX(Weekly_Inspections!$AV$4:$AV$996,$T145))</f>
        <v/>
      </c>
      <c r="M145" s="9">
        <f>IF($T145="","","Open")</f>
        <v/>
      </c>
      <c r="N145" s="8" t="n"/>
      <c r="O145" s="4">
        <f>IF(A145="","",IF(N145&lt;&gt;"",N145-B145,TODAY()-B145))</f>
        <v/>
      </c>
      <c r="P145" s="4">
        <f>IF(A145="","",IF(AND(M145&lt;&gt;"Closed",L145&lt;TODAY()),"YES","NO"))</f>
        <v/>
      </c>
      <c r="Q145" s="4">
        <f>IF($T145="","",INDEX(Weekly_Inspections!$AW$4:$AW$996,$T145))</f>
        <v/>
      </c>
      <c r="T145" s="2">
        <f>IFERROR(AGGREGATE(15,6,(ROW(Weekly_Inspections!$AS$4:$AS$996)-ROW(Weekly_Inspections!$AS$4)+1)/(((Weekly_Inspections!$AS$4:$AS$996&lt;&gt;"")+(Weekly_Inspections!$AQ$4:$AQ$996&lt;&gt;""))&gt;0),ROWS($T$4:T145)),"")</f>
        <v/>
      </c>
    </row>
    <row r="146">
      <c r="A146" s="4">
        <f>IF($T146="","","CAPA-"&amp;TEXT($T146,"000"))</f>
        <v/>
      </c>
      <c r="B146" s="17">
        <f>IF($T146="","",INDEX(Weekly_Inspections!$B$4:$B$996,$T146))</f>
        <v/>
      </c>
      <c r="C146" s="4">
        <f>IF($T146="","",INDEX(Weekly_Inspections!$E$4:$E$996,$T146))</f>
        <v/>
      </c>
      <c r="D146" s="4">
        <f>IF($T146="","",INDEX(Weekly_Inspections!$F$4:$F$996,$T146))</f>
        <v/>
      </c>
      <c r="E146" s="4">
        <f>IF($T146="","",INDEX(Weekly_Inspections!$H$4:$H$996,$T146))</f>
        <v/>
      </c>
      <c r="F146" s="4">
        <f>IF($T146="","",INDEX(Weekly_Inspections!$R$4:$R$996,$T146))</f>
        <v/>
      </c>
      <c r="G146" s="4">
        <f>IF($T146="","",INDEX(Weekly_Inspections!$AQ$4:$AQ$996,$T146))</f>
        <v/>
      </c>
      <c r="H146" s="4">
        <f>IF($T146="","",INDEX(Weekly_Inspections!$AP$4:$AP$996,$T146))</f>
        <v/>
      </c>
      <c r="I146" s="4">
        <f>IF($T146="","",INDEX(Weekly_Inspections!$AR$4:$AR$996,$T146))</f>
        <v/>
      </c>
      <c r="J146" s="4">
        <f>IF($T146="","",INDEX(Weekly_Inspections!$AS$4:$AS$996,$T146))</f>
        <v/>
      </c>
      <c r="K146" s="4">
        <f>IF($T146="","",INDEX(Weekly_Inspections!$AU$4:$AU$996,$T146))</f>
        <v/>
      </c>
      <c r="L146" s="17">
        <f>IF($T146="","",INDEX(Weekly_Inspections!$AV$4:$AV$996,$T146))</f>
        <v/>
      </c>
      <c r="M146" s="9">
        <f>IF($T146="","","Open")</f>
        <v/>
      </c>
      <c r="N146" s="8" t="n"/>
      <c r="O146" s="4">
        <f>IF(A146="","",IF(N146&lt;&gt;"",N146-B146,TODAY()-B146))</f>
        <v/>
      </c>
      <c r="P146" s="4">
        <f>IF(A146="","",IF(AND(M146&lt;&gt;"Closed",L146&lt;TODAY()),"YES","NO"))</f>
        <v/>
      </c>
      <c r="Q146" s="4">
        <f>IF($T146="","",INDEX(Weekly_Inspections!$AW$4:$AW$996,$T146))</f>
        <v/>
      </c>
      <c r="T146" s="2">
        <f>IFERROR(AGGREGATE(15,6,(ROW(Weekly_Inspections!$AS$4:$AS$996)-ROW(Weekly_Inspections!$AS$4)+1)/(((Weekly_Inspections!$AS$4:$AS$996&lt;&gt;"")+(Weekly_Inspections!$AQ$4:$AQ$996&lt;&gt;""))&gt;0),ROWS($T$4:T146)),"")</f>
        <v/>
      </c>
    </row>
    <row r="147">
      <c r="A147" s="4">
        <f>IF($T147="","","CAPA-"&amp;TEXT($T147,"000"))</f>
        <v/>
      </c>
      <c r="B147" s="17">
        <f>IF($T147="","",INDEX(Weekly_Inspections!$B$4:$B$996,$T147))</f>
        <v/>
      </c>
      <c r="C147" s="4">
        <f>IF($T147="","",INDEX(Weekly_Inspections!$E$4:$E$996,$T147))</f>
        <v/>
      </c>
      <c r="D147" s="4">
        <f>IF($T147="","",INDEX(Weekly_Inspections!$F$4:$F$996,$T147))</f>
        <v/>
      </c>
      <c r="E147" s="4">
        <f>IF($T147="","",INDEX(Weekly_Inspections!$H$4:$H$996,$T147))</f>
        <v/>
      </c>
      <c r="F147" s="4">
        <f>IF($T147="","",INDEX(Weekly_Inspections!$R$4:$R$996,$T147))</f>
        <v/>
      </c>
      <c r="G147" s="4">
        <f>IF($T147="","",INDEX(Weekly_Inspections!$AQ$4:$AQ$996,$T147))</f>
        <v/>
      </c>
      <c r="H147" s="4">
        <f>IF($T147="","",INDEX(Weekly_Inspections!$AP$4:$AP$996,$T147))</f>
        <v/>
      </c>
      <c r="I147" s="4">
        <f>IF($T147="","",INDEX(Weekly_Inspections!$AR$4:$AR$996,$T147))</f>
        <v/>
      </c>
      <c r="J147" s="4">
        <f>IF($T147="","",INDEX(Weekly_Inspections!$AS$4:$AS$996,$T147))</f>
        <v/>
      </c>
      <c r="K147" s="4">
        <f>IF($T147="","",INDEX(Weekly_Inspections!$AU$4:$AU$996,$T147))</f>
        <v/>
      </c>
      <c r="L147" s="17">
        <f>IF($T147="","",INDEX(Weekly_Inspections!$AV$4:$AV$996,$T147))</f>
        <v/>
      </c>
      <c r="M147" s="9">
        <f>IF($T147="","","Open")</f>
        <v/>
      </c>
      <c r="N147" s="8" t="n"/>
      <c r="O147" s="4">
        <f>IF(A147="","",IF(N147&lt;&gt;"",N147-B147,TODAY()-B147))</f>
        <v/>
      </c>
      <c r="P147" s="4">
        <f>IF(A147="","",IF(AND(M147&lt;&gt;"Closed",L147&lt;TODAY()),"YES","NO"))</f>
        <v/>
      </c>
      <c r="Q147" s="4">
        <f>IF($T147="","",INDEX(Weekly_Inspections!$AW$4:$AW$996,$T147))</f>
        <v/>
      </c>
      <c r="T147" s="2">
        <f>IFERROR(AGGREGATE(15,6,(ROW(Weekly_Inspections!$AS$4:$AS$996)-ROW(Weekly_Inspections!$AS$4)+1)/(((Weekly_Inspections!$AS$4:$AS$996&lt;&gt;"")+(Weekly_Inspections!$AQ$4:$AQ$996&lt;&gt;""))&gt;0),ROWS($T$4:T147)),"")</f>
        <v/>
      </c>
    </row>
    <row r="148">
      <c r="A148" s="4">
        <f>IF($T148="","","CAPA-"&amp;TEXT($T148,"000"))</f>
        <v/>
      </c>
      <c r="B148" s="17">
        <f>IF($T148="","",INDEX(Weekly_Inspections!$B$4:$B$996,$T148))</f>
        <v/>
      </c>
      <c r="C148" s="4">
        <f>IF($T148="","",INDEX(Weekly_Inspections!$E$4:$E$996,$T148))</f>
        <v/>
      </c>
      <c r="D148" s="4">
        <f>IF($T148="","",INDEX(Weekly_Inspections!$F$4:$F$996,$T148))</f>
        <v/>
      </c>
      <c r="E148" s="4">
        <f>IF($T148="","",INDEX(Weekly_Inspections!$H$4:$H$996,$T148))</f>
        <v/>
      </c>
      <c r="F148" s="4">
        <f>IF($T148="","",INDEX(Weekly_Inspections!$R$4:$R$996,$T148))</f>
        <v/>
      </c>
      <c r="G148" s="4">
        <f>IF($T148="","",INDEX(Weekly_Inspections!$AQ$4:$AQ$996,$T148))</f>
        <v/>
      </c>
      <c r="H148" s="4">
        <f>IF($T148="","",INDEX(Weekly_Inspections!$AP$4:$AP$996,$T148))</f>
        <v/>
      </c>
      <c r="I148" s="4">
        <f>IF($T148="","",INDEX(Weekly_Inspections!$AR$4:$AR$996,$T148))</f>
        <v/>
      </c>
      <c r="J148" s="4">
        <f>IF($T148="","",INDEX(Weekly_Inspections!$AS$4:$AS$996,$T148))</f>
        <v/>
      </c>
      <c r="K148" s="4">
        <f>IF($T148="","",INDEX(Weekly_Inspections!$AU$4:$AU$996,$T148))</f>
        <v/>
      </c>
      <c r="L148" s="17">
        <f>IF($T148="","",INDEX(Weekly_Inspections!$AV$4:$AV$996,$T148))</f>
        <v/>
      </c>
      <c r="M148" s="9">
        <f>IF($T148="","","Open")</f>
        <v/>
      </c>
      <c r="N148" s="8" t="n"/>
      <c r="O148" s="4">
        <f>IF(A148="","",IF(N148&lt;&gt;"",N148-B148,TODAY()-B148))</f>
        <v/>
      </c>
      <c r="P148" s="4">
        <f>IF(A148="","",IF(AND(M148&lt;&gt;"Closed",L148&lt;TODAY()),"YES","NO"))</f>
        <v/>
      </c>
      <c r="Q148" s="4">
        <f>IF($T148="","",INDEX(Weekly_Inspections!$AW$4:$AW$996,$T148))</f>
        <v/>
      </c>
      <c r="T148" s="2">
        <f>IFERROR(AGGREGATE(15,6,(ROW(Weekly_Inspections!$AS$4:$AS$996)-ROW(Weekly_Inspections!$AS$4)+1)/(((Weekly_Inspections!$AS$4:$AS$996&lt;&gt;"")+(Weekly_Inspections!$AQ$4:$AQ$996&lt;&gt;""))&gt;0),ROWS($T$4:T148)),"")</f>
        <v/>
      </c>
    </row>
    <row r="149">
      <c r="A149" s="4">
        <f>IF($T149="","","CAPA-"&amp;TEXT($T149,"000"))</f>
        <v/>
      </c>
      <c r="B149" s="17">
        <f>IF($T149="","",INDEX(Weekly_Inspections!$B$4:$B$996,$T149))</f>
        <v/>
      </c>
      <c r="C149" s="4">
        <f>IF($T149="","",INDEX(Weekly_Inspections!$E$4:$E$996,$T149))</f>
        <v/>
      </c>
      <c r="D149" s="4">
        <f>IF($T149="","",INDEX(Weekly_Inspections!$F$4:$F$996,$T149))</f>
        <v/>
      </c>
      <c r="E149" s="4">
        <f>IF($T149="","",INDEX(Weekly_Inspections!$H$4:$H$996,$T149))</f>
        <v/>
      </c>
      <c r="F149" s="4">
        <f>IF($T149="","",INDEX(Weekly_Inspections!$R$4:$R$996,$T149))</f>
        <v/>
      </c>
      <c r="G149" s="4">
        <f>IF($T149="","",INDEX(Weekly_Inspections!$AQ$4:$AQ$996,$T149))</f>
        <v/>
      </c>
      <c r="H149" s="4">
        <f>IF($T149="","",INDEX(Weekly_Inspections!$AP$4:$AP$996,$T149))</f>
        <v/>
      </c>
      <c r="I149" s="4">
        <f>IF($T149="","",INDEX(Weekly_Inspections!$AR$4:$AR$996,$T149))</f>
        <v/>
      </c>
      <c r="J149" s="4">
        <f>IF($T149="","",INDEX(Weekly_Inspections!$AS$4:$AS$996,$T149))</f>
        <v/>
      </c>
      <c r="K149" s="4">
        <f>IF($T149="","",INDEX(Weekly_Inspections!$AU$4:$AU$996,$T149))</f>
        <v/>
      </c>
      <c r="L149" s="17">
        <f>IF($T149="","",INDEX(Weekly_Inspections!$AV$4:$AV$996,$T149))</f>
        <v/>
      </c>
      <c r="M149" s="9">
        <f>IF($T149="","","Open")</f>
        <v/>
      </c>
      <c r="N149" s="8" t="n"/>
      <c r="O149" s="4">
        <f>IF(A149="","",IF(N149&lt;&gt;"",N149-B149,TODAY()-B149))</f>
        <v/>
      </c>
      <c r="P149" s="4">
        <f>IF(A149="","",IF(AND(M149&lt;&gt;"Closed",L149&lt;TODAY()),"YES","NO"))</f>
        <v/>
      </c>
      <c r="Q149" s="4">
        <f>IF($T149="","",INDEX(Weekly_Inspections!$AW$4:$AW$996,$T149))</f>
        <v/>
      </c>
      <c r="T149" s="2">
        <f>IFERROR(AGGREGATE(15,6,(ROW(Weekly_Inspections!$AS$4:$AS$996)-ROW(Weekly_Inspections!$AS$4)+1)/(((Weekly_Inspections!$AS$4:$AS$996&lt;&gt;"")+(Weekly_Inspections!$AQ$4:$AQ$996&lt;&gt;""))&gt;0),ROWS($T$4:T149)),"")</f>
        <v/>
      </c>
    </row>
    <row r="150">
      <c r="A150" s="4">
        <f>IF($T150="","","CAPA-"&amp;TEXT($T150,"000"))</f>
        <v/>
      </c>
      <c r="B150" s="17">
        <f>IF($T150="","",INDEX(Weekly_Inspections!$B$4:$B$996,$T150))</f>
        <v/>
      </c>
      <c r="C150" s="4">
        <f>IF($T150="","",INDEX(Weekly_Inspections!$E$4:$E$996,$T150))</f>
        <v/>
      </c>
      <c r="D150" s="4">
        <f>IF($T150="","",INDEX(Weekly_Inspections!$F$4:$F$996,$T150))</f>
        <v/>
      </c>
      <c r="E150" s="4">
        <f>IF($T150="","",INDEX(Weekly_Inspections!$H$4:$H$996,$T150))</f>
        <v/>
      </c>
      <c r="F150" s="4">
        <f>IF($T150="","",INDEX(Weekly_Inspections!$R$4:$R$996,$T150))</f>
        <v/>
      </c>
      <c r="G150" s="4">
        <f>IF($T150="","",INDEX(Weekly_Inspections!$AQ$4:$AQ$996,$T150))</f>
        <v/>
      </c>
      <c r="H150" s="4">
        <f>IF($T150="","",INDEX(Weekly_Inspections!$AP$4:$AP$996,$T150))</f>
        <v/>
      </c>
      <c r="I150" s="4">
        <f>IF($T150="","",INDEX(Weekly_Inspections!$AR$4:$AR$996,$T150))</f>
        <v/>
      </c>
      <c r="J150" s="4">
        <f>IF($T150="","",INDEX(Weekly_Inspections!$AS$4:$AS$996,$T150))</f>
        <v/>
      </c>
      <c r="K150" s="4">
        <f>IF($T150="","",INDEX(Weekly_Inspections!$AU$4:$AU$996,$T150))</f>
        <v/>
      </c>
      <c r="L150" s="17">
        <f>IF($T150="","",INDEX(Weekly_Inspections!$AV$4:$AV$996,$T150))</f>
        <v/>
      </c>
      <c r="M150" s="9">
        <f>IF($T150="","","Open")</f>
        <v/>
      </c>
      <c r="N150" s="8" t="n"/>
      <c r="O150" s="4">
        <f>IF(A150="","",IF(N150&lt;&gt;"",N150-B150,TODAY()-B150))</f>
        <v/>
      </c>
      <c r="P150" s="4">
        <f>IF(A150="","",IF(AND(M150&lt;&gt;"Closed",L150&lt;TODAY()),"YES","NO"))</f>
        <v/>
      </c>
      <c r="Q150" s="4">
        <f>IF($T150="","",INDEX(Weekly_Inspections!$AW$4:$AW$996,$T150))</f>
        <v/>
      </c>
      <c r="T150" s="2">
        <f>IFERROR(AGGREGATE(15,6,(ROW(Weekly_Inspections!$AS$4:$AS$996)-ROW(Weekly_Inspections!$AS$4)+1)/(((Weekly_Inspections!$AS$4:$AS$996&lt;&gt;"")+(Weekly_Inspections!$AQ$4:$AQ$996&lt;&gt;""))&gt;0),ROWS($T$4:T150)),"")</f>
        <v/>
      </c>
    </row>
    <row r="151">
      <c r="A151" s="4">
        <f>IF($T151="","","CAPA-"&amp;TEXT($T151,"000"))</f>
        <v/>
      </c>
      <c r="B151" s="17">
        <f>IF($T151="","",INDEX(Weekly_Inspections!$B$4:$B$996,$T151))</f>
        <v/>
      </c>
      <c r="C151" s="4">
        <f>IF($T151="","",INDEX(Weekly_Inspections!$E$4:$E$996,$T151))</f>
        <v/>
      </c>
      <c r="D151" s="4">
        <f>IF($T151="","",INDEX(Weekly_Inspections!$F$4:$F$996,$T151))</f>
        <v/>
      </c>
      <c r="E151" s="4">
        <f>IF($T151="","",INDEX(Weekly_Inspections!$H$4:$H$996,$T151))</f>
        <v/>
      </c>
      <c r="F151" s="4">
        <f>IF($T151="","",INDEX(Weekly_Inspections!$R$4:$R$996,$T151))</f>
        <v/>
      </c>
      <c r="G151" s="4">
        <f>IF($T151="","",INDEX(Weekly_Inspections!$AQ$4:$AQ$996,$T151))</f>
        <v/>
      </c>
      <c r="H151" s="4">
        <f>IF($T151="","",INDEX(Weekly_Inspections!$AP$4:$AP$996,$T151))</f>
        <v/>
      </c>
      <c r="I151" s="4">
        <f>IF($T151="","",INDEX(Weekly_Inspections!$AR$4:$AR$996,$T151))</f>
        <v/>
      </c>
      <c r="J151" s="4">
        <f>IF($T151="","",INDEX(Weekly_Inspections!$AS$4:$AS$996,$T151))</f>
        <v/>
      </c>
      <c r="K151" s="4">
        <f>IF($T151="","",INDEX(Weekly_Inspections!$AU$4:$AU$996,$T151))</f>
        <v/>
      </c>
      <c r="L151" s="17">
        <f>IF($T151="","",INDEX(Weekly_Inspections!$AV$4:$AV$996,$T151))</f>
        <v/>
      </c>
      <c r="M151" s="9">
        <f>IF($T151="","","Open")</f>
        <v/>
      </c>
      <c r="N151" s="8" t="n"/>
      <c r="O151" s="4">
        <f>IF(A151="","",IF(N151&lt;&gt;"",N151-B151,TODAY()-B151))</f>
        <v/>
      </c>
      <c r="P151" s="4">
        <f>IF(A151="","",IF(AND(M151&lt;&gt;"Closed",L151&lt;TODAY()),"YES","NO"))</f>
        <v/>
      </c>
      <c r="Q151" s="4">
        <f>IF($T151="","",INDEX(Weekly_Inspections!$AW$4:$AW$996,$T151))</f>
        <v/>
      </c>
      <c r="T151" s="2">
        <f>IFERROR(AGGREGATE(15,6,(ROW(Weekly_Inspections!$AS$4:$AS$996)-ROW(Weekly_Inspections!$AS$4)+1)/(((Weekly_Inspections!$AS$4:$AS$996&lt;&gt;"")+(Weekly_Inspections!$AQ$4:$AQ$996&lt;&gt;""))&gt;0),ROWS($T$4:T151)),"")</f>
        <v/>
      </c>
    </row>
    <row r="152">
      <c r="A152" s="4">
        <f>IF($T152="","","CAPA-"&amp;TEXT($T152,"000"))</f>
        <v/>
      </c>
      <c r="B152" s="17">
        <f>IF($T152="","",INDEX(Weekly_Inspections!$B$4:$B$996,$T152))</f>
        <v/>
      </c>
      <c r="C152" s="4">
        <f>IF($T152="","",INDEX(Weekly_Inspections!$E$4:$E$996,$T152))</f>
        <v/>
      </c>
      <c r="D152" s="4">
        <f>IF($T152="","",INDEX(Weekly_Inspections!$F$4:$F$996,$T152))</f>
        <v/>
      </c>
      <c r="E152" s="4">
        <f>IF($T152="","",INDEX(Weekly_Inspections!$H$4:$H$996,$T152))</f>
        <v/>
      </c>
      <c r="F152" s="4">
        <f>IF($T152="","",INDEX(Weekly_Inspections!$R$4:$R$996,$T152))</f>
        <v/>
      </c>
      <c r="G152" s="4">
        <f>IF($T152="","",INDEX(Weekly_Inspections!$AQ$4:$AQ$996,$T152))</f>
        <v/>
      </c>
      <c r="H152" s="4">
        <f>IF($T152="","",INDEX(Weekly_Inspections!$AP$4:$AP$996,$T152))</f>
        <v/>
      </c>
      <c r="I152" s="4">
        <f>IF($T152="","",INDEX(Weekly_Inspections!$AR$4:$AR$996,$T152))</f>
        <v/>
      </c>
      <c r="J152" s="4">
        <f>IF($T152="","",INDEX(Weekly_Inspections!$AS$4:$AS$996,$T152))</f>
        <v/>
      </c>
      <c r="K152" s="4">
        <f>IF($T152="","",INDEX(Weekly_Inspections!$AU$4:$AU$996,$T152))</f>
        <v/>
      </c>
      <c r="L152" s="17">
        <f>IF($T152="","",INDEX(Weekly_Inspections!$AV$4:$AV$996,$T152))</f>
        <v/>
      </c>
      <c r="M152" s="9">
        <f>IF($T152="","","Open")</f>
        <v/>
      </c>
      <c r="N152" s="8" t="n"/>
      <c r="O152" s="4">
        <f>IF(A152="","",IF(N152&lt;&gt;"",N152-B152,TODAY()-B152))</f>
        <v/>
      </c>
      <c r="P152" s="4">
        <f>IF(A152="","",IF(AND(M152&lt;&gt;"Closed",L152&lt;TODAY()),"YES","NO"))</f>
        <v/>
      </c>
      <c r="Q152" s="4">
        <f>IF($T152="","",INDEX(Weekly_Inspections!$AW$4:$AW$996,$T152))</f>
        <v/>
      </c>
      <c r="T152" s="2">
        <f>IFERROR(AGGREGATE(15,6,(ROW(Weekly_Inspections!$AS$4:$AS$996)-ROW(Weekly_Inspections!$AS$4)+1)/(((Weekly_Inspections!$AS$4:$AS$996&lt;&gt;"")+(Weekly_Inspections!$AQ$4:$AQ$996&lt;&gt;""))&gt;0),ROWS($T$4:T152)),"")</f>
        <v/>
      </c>
    </row>
    <row r="153">
      <c r="A153" s="4">
        <f>IF($T153="","","CAPA-"&amp;TEXT($T153,"000"))</f>
        <v/>
      </c>
      <c r="B153" s="17">
        <f>IF($T153="","",INDEX(Weekly_Inspections!$B$4:$B$996,$T153))</f>
        <v/>
      </c>
      <c r="C153" s="4">
        <f>IF($T153="","",INDEX(Weekly_Inspections!$E$4:$E$996,$T153))</f>
        <v/>
      </c>
      <c r="D153" s="4">
        <f>IF($T153="","",INDEX(Weekly_Inspections!$F$4:$F$996,$T153))</f>
        <v/>
      </c>
      <c r="E153" s="4">
        <f>IF($T153="","",INDEX(Weekly_Inspections!$H$4:$H$996,$T153))</f>
        <v/>
      </c>
      <c r="F153" s="4">
        <f>IF($T153="","",INDEX(Weekly_Inspections!$R$4:$R$996,$T153))</f>
        <v/>
      </c>
      <c r="G153" s="4">
        <f>IF($T153="","",INDEX(Weekly_Inspections!$AQ$4:$AQ$996,$T153))</f>
        <v/>
      </c>
      <c r="H153" s="4">
        <f>IF($T153="","",INDEX(Weekly_Inspections!$AP$4:$AP$996,$T153))</f>
        <v/>
      </c>
      <c r="I153" s="4">
        <f>IF($T153="","",INDEX(Weekly_Inspections!$AR$4:$AR$996,$T153))</f>
        <v/>
      </c>
      <c r="J153" s="4">
        <f>IF($T153="","",INDEX(Weekly_Inspections!$AS$4:$AS$996,$T153))</f>
        <v/>
      </c>
      <c r="K153" s="4">
        <f>IF($T153="","",INDEX(Weekly_Inspections!$AU$4:$AU$996,$T153))</f>
        <v/>
      </c>
      <c r="L153" s="17">
        <f>IF($T153="","",INDEX(Weekly_Inspections!$AV$4:$AV$996,$T153))</f>
        <v/>
      </c>
      <c r="M153" s="9">
        <f>IF($T153="","","Open")</f>
        <v/>
      </c>
      <c r="N153" s="8" t="n"/>
      <c r="O153" s="4">
        <f>IF(A153="","",IF(N153&lt;&gt;"",N153-B153,TODAY()-B153))</f>
        <v/>
      </c>
      <c r="P153" s="4">
        <f>IF(A153="","",IF(AND(M153&lt;&gt;"Closed",L153&lt;TODAY()),"YES","NO"))</f>
        <v/>
      </c>
      <c r="Q153" s="4">
        <f>IF($T153="","",INDEX(Weekly_Inspections!$AW$4:$AW$996,$T153))</f>
        <v/>
      </c>
      <c r="T153" s="2">
        <f>IFERROR(AGGREGATE(15,6,(ROW(Weekly_Inspections!$AS$4:$AS$996)-ROW(Weekly_Inspections!$AS$4)+1)/(((Weekly_Inspections!$AS$4:$AS$996&lt;&gt;"")+(Weekly_Inspections!$AQ$4:$AQ$996&lt;&gt;""))&gt;0),ROWS($T$4:T153)),"")</f>
        <v/>
      </c>
    </row>
    <row r="154">
      <c r="A154" s="4">
        <f>IF($T154="","","CAPA-"&amp;TEXT($T154,"000"))</f>
        <v/>
      </c>
      <c r="B154" s="17">
        <f>IF($T154="","",INDEX(Weekly_Inspections!$B$4:$B$996,$T154))</f>
        <v/>
      </c>
      <c r="C154" s="4">
        <f>IF($T154="","",INDEX(Weekly_Inspections!$E$4:$E$996,$T154))</f>
        <v/>
      </c>
      <c r="D154" s="4">
        <f>IF($T154="","",INDEX(Weekly_Inspections!$F$4:$F$996,$T154))</f>
        <v/>
      </c>
      <c r="E154" s="4">
        <f>IF($T154="","",INDEX(Weekly_Inspections!$H$4:$H$996,$T154))</f>
        <v/>
      </c>
      <c r="F154" s="4">
        <f>IF($T154="","",INDEX(Weekly_Inspections!$R$4:$R$996,$T154))</f>
        <v/>
      </c>
      <c r="G154" s="4">
        <f>IF($T154="","",INDEX(Weekly_Inspections!$AQ$4:$AQ$996,$T154))</f>
        <v/>
      </c>
      <c r="H154" s="4">
        <f>IF($T154="","",INDEX(Weekly_Inspections!$AP$4:$AP$996,$T154))</f>
        <v/>
      </c>
      <c r="I154" s="4">
        <f>IF($T154="","",INDEX(Weekly_Inspections!$AR$4:$AR$996,$T154))</f>
        <v/>
      </c>
      <c r="J154" s="4">
        <f>IF($T154="","",INDEX(Weekly_Inspections!$AS$4:$AS$996,$T154))</f>
        <v/>
      </c>
      <c r="K154" s="4">
        <f>IF($T154="","",INDEX(Weekly_Inspections!$AU$4:$AU$996,$T154))</f>
        <v/>
      </c>
      <c r="L154" s="17">
        <f>IF($T154="","",INDEX(Weekly_Inspections!$AV$4:$AV$996,$T154))</f>
        <v/>
      </c>
      <c r="M154" s="9">
        <f>IF($T154="","","Open")</f>
        <v/>
      </c>
      <c r="N154" s="8" t="n"/>
      <c r="O154" s="4">
        <f>IF(A154="","",IF(N154&lt;&gt;"",N154-B154,TODAY()-B154))</f>
        <v/>
      </c>
      <c r="P154" s="4">
        <f>IF(A154="","",IF(AND(M154&lt;&gt;"Closed",L154&lt;TODAY()),"YES","NO"))</f>
        <v/>
      </c>
      <c r="Q154" s="4">
        <f>IF($T154="","",INDEX(Weekly_Inspections!$AW$4:$AW$996,$T154))</f>
        <v/>
      </c>
      <c r="T154" s="2">
        <f>IFERROR(AGGREGATE(15,6,(ROW(Weekly_Inspections!$AS$4:$AS$996)-ROW(Weekly_Inspections!$AS$4)+1)/(((Weekly_Inspections!$AS$4:$AS$996&lt;&gt;"")+(Weekly_Inspections!$AQ$4:$AQ$996&lt;&gt;""))&gt;0),ROWS($T$4:T154)),"")</f>
        <v/>
      </c>
    </row>
    <row r="155">
      <c r="A155" s="4">
        <f>IF($T155="","","CAPA-"&amp;TEXT($T155,"000"))</f>
        <v/>
      </c>
      <c r="B155" s="17">
        <f>IF($T155="","",INDEX(Weekly_Inspections!$B$4:$B$996,$T155))</f>
        <v/>
      </c>
      <c r="C155" s="4">
        <f>IF($T155="","",INDEX(Weekly_Inspections!$E$4:$E$996,$T155))</f>
        <v/>
      </c>
      <c r="D155" s="4">
        <f>IF($T155="","",INDEX(Weekly_Inspections!$F$4:$F$996,$T155))</f>
        <v/>
      </c>
      <c r="E155" s="4">
        <f>IF($T155="","",INDEX(Weekly_Inspections!$H$4:$H$996,$T155))</f>
        <v/>
      </c>
      <c r="F155" s="4">
        <f>IF($T155="","",INDEX(Weekly_Inspections!$R$4:$R$996,$T155))</f>
        <v/>
      </c>
      <c r="G155" s="4">
        <f>IF($T155="","",INDEX(Weekly_Inspections!$AQ$4:$AQ$996,$T155))</f>
        <v/>
      </c>
      <c r="H155" s="4">
        <f>IF($T155="","",INDEX(Weekly_Inspections!$AP$4:$AP$996,$T155))</f>
        <v/>
      </c>
      <c r="I155" s="4">
        <f>IF($T155="","",INDEX(Weekly_Inspections!$AR$4:$AR$996,$T155))</f>
        <v/>
      </c>
      <c r="J155" s="4">
        <f>IF($T155="","",INDEX(Weekly_Inspections!$AS$4:$AS$996,$T155))</f>
        <v/>
      </c>
      <c r="K155" s="4">
        <f>IF($T155="","",INDEX(Weekly_Inspections!$AU$4:$AU$996,$T155))</f>
        <v/>
      </c>
      <c r="L155" s="17">
        <f>IF($T155="","",INDEX(Weekly_Inspections!$AV$4:$AV$996,$T155))</f>
        <v/>
      </c>
      <c r="M155" s="9">
        <f>IF($T155="","","Open")</f>
        <v/>
      </c>
      <c r="N155" s="8" t="n"/>
      <c r="O155" s="4">
        <f>IF(A155="","",IF(N155&lt;&gt;"",N155-B155,TODAY()-B155))</f>
        <v/>
      </c>
      <c r="P155" s="4">
        <f>IF(A155="","",IF(AND(M155&lt;&gt;"Closed",L155&lt;TODAY()),"YES","NO"))</f>
        <v/>
      </c>
      <c r="Q155" s="4">
        <f>IF($T155="","",INDEX(Weekly_Inspections!$AW$4:$AW$996,$T155))</f>
        <v/>
      </c>
      <c r="T155" s="2">
        <f>IFERROR(AGGREGATE(15,6,(ROW(Weekly_Inspections!$AS$4:$AS$996)-ROW(Weekly_Inspections!$AS$4)+1)/(((Weekly_Inspections!$AS$4:$AS$996&lt;&gt;"")+(Weekly_Inspections!$AQ$4:$AQ$996&lt;&gt;""))&gt;0),ROWS($T$4:T155)),"")</f>
        <v/>
      </c>
    </row>
    <row r="156">
      <c r="A156" s="4">
        <f>IF($T156="","","CAPA-"&amp;TEXT($T156,"000"))</f>
        <v/>
      </c>
      <c r="B156" s="17">
        <f>IF($T156="","",INDEX(Weekly_Inspections!$B$4:$B$996,$T156))</f>
        <v/>
      </c>
      <c r="C156" s="4">
        <f>IF($T156="","",INDEX(Weekly_Inspections!$E$4:$E$996,$T156))</f>
        <v/>
      </c>
      <c r="D156" s="4">
        <f>IF($T156="","",INDEX(Weekly_Inspections!$F$4:$F$996,$T156))</f>
        <v/>
      </c>
      <c r="E156" s="4">
        <f>IF($T156="","",INDEX(Weekly_Inspections!$H$4:$H$996,$T156))</f>
        <v/>
      </c>
      <c r="F156" s="4">
        <f>IF($T156="","",INDEX(Weekly_Inspections!$R$4:$R$996,$T156))</f>
        <v/>
      </c>
      <c r="G156" s="4">
        <f>IF($T156="","",INDEX(Weekly_Inspections!$AQ$4:$AQ$996,$T156))</f>
        <v/>
      </c>
      <c r="H156" s="4">
        <f>IF($T156="","",INDEX(Weekly_Inspections!$AP$4:$AP$996,$T156))</f>
        <v/>
      </c>
      <c r="I156" s="4">
        <f>IF($T156="","",INDEX(Weekly_Inspections!$AR$4:$AR$996,$T156))</f>
        <v/>
      </c>
      <c r="J156" s="4">
        <f>IF($T156="","",INDEX(Weekly_Inspections!$AS$4:$AS$996,$T156))</f>
        <v/>
      </c>
      <c r="K156" s="4">
        <f>IF($T156="","",INDEX(Weekly_Inspections!$AU$4:$AU$996,$T156))</f>
        <v/>
      </c>
      <c r="L156" s="17">
        <f>IF($T156="","",INDEX(Weekly_Inspections!$AV$4:$AV$996,$T156))</f>
        <v/>
      </c>
      <c r="M156" s="9">
        <f>IF($T156="","","Open")</f>
        <v/>
      </c>
      <c r="N156" s="8" t="n"/>
      <c r="O156" s="4">
        <f>IF(A156="","",IF(N156&lt;&gt;"",N156-B156,TODAY()-B156))</f>
        <v/>
      </c>
      <c r="P156" s="4">
        <f>IF(A156="","",IF(AND(M156&lt;&gt;"Closed",L156&lt;TODAY()),"YES","NO"))</f>
        <v/>
      </c>
      <c r="Q156" s="4">
        <f>IF($T156="","",INDEX(Weekly_Inspections!$AW$4:$AW$996,$T156))</f>
        <v/>
      </c>
      <c r="T156" s="2">
        <f>IFERROR(AGGREGATE(15,6,(ROW(Weekly_Inspections!$AS$4:$AS$996)-ROW(Weekly_Inspections!$AS$4)+1)/(((Weekly_Inspections!$AS$4:$AS$996&lt;&gt;"")+(Weekly_Inspections!$AQ$4:$AQ$996&lt;&gt;""))&gt;0),ROWS($T$4:T156)),"")</f>
        <v/>
      </c>
    </row>
    <row r="157">
      <c r="A157" s="4">
        <f>IF($T157="","","CAPA-"&amp;TEXT($T157,"000"))</f>
        <v/>
      </c>
      <c r="B157" s="17">
        <f>IF($T157="","",INDEX(Weekly_Inspections!$B$4:$B$996,$T157))</f>
        <v/>
      </c>
      <c r="C157" s="4">
        <f>IF($T157="","",INDEX(Weekly_Inspections!$E$4:$E$996,$T157))</f>
        <v/>
      </c>
      <c r="D157" s="4">
        <f>IF($T157="","",INDEX(Weekly_Inspections!$F$4:$F$996,$T157))</f>
        <v/>
      </c>
      <c r="E157" s="4">
        <f>IF($T157="","",INDEX(Weekly_Inspections!$H$4:$H$996,$T157))</f>
        <v/>
      </c>
      <c r="F157" s="4">
        <f>IF($T157="","",INDEX(Weekly_Inspections!$R$4:$R$996,$T157))</f>
        <v/>
      </c>
      <c r="G157" s="4">
        <f>IF($T157="","",INDEX(Weekly_Inspections!$AQ$4:$AQ$996,$T157))</f>
        <v/>
      </c>
      <c r="H157" s="4">
        <f>IF($T157="","",INDEX(Weekly_Inspections!$AP$4:$AP$996,$T157))</f>
        <v/>
      </c>
      <c r="I157" s="4">
        <f>IF($T157="","",INDEX(Weekly_Inspections!$AR$4:$AR$996,$T157))</f>
        <v/>
      </c>
      <c r="J157" s="4">
        <f>IF($T157="","",INDEX(Weekly_Inspections!$AS$4:$AS$996,$T157))</f>
        <v/>
      </c>
      <c r="K157" s="4">
        <f>IF($T157="","",INDEX(Weekly_Inspections!$AU$4:$AU$996,$T157))</f>
        <v/>
      </c>
      <c r="L157" s="17">
        <f>IF($T157="","",INDEX(Weekly_Inspections!$AV$4:$AV$996,$T157))</f>
        <v/>
      </c>
      <c r="M157" s="9">
        <f>IF($T157="","","Open")</f>
        <v/>
      </c>
      <c r="N157" s="8" t="n"/>
      <c r="O157" s="4">
        <f>IF(A157="","",IF(N157&lt;&gt;"",N157-B157,TODAY()-B157))</f>
        <v/>
      </c>
      <c r="P157" s="4">
        <f>IF(A157="","",IF(AND(M157&lt;&gt;"Closed",L157&lt;TODAY()),"YES","NO"))</f>
        <v/>
      </c>
      <c r="Q157" s="4">
        <f>IF($T157="","",INDEX(Weekly_Inspections!$AW$4:$AW$996,$T157))</f>
        <v/>
      </c>
      <c r="T157" s="2">
        <f>IFERROR(AGGREGATE(15,6,(ROW(Weekly_Inspections!$AS$4:$AS$996)-ROW(Weekly_Inspections!$AS$4)+1)/(((Weekly_Inspections!$AS$4:$AS$996&lt;&gt;"")+(Weekly_Inspections!$AQ$4:$AQ$996&lt;&gt;""))&gt;0),ROWS($T$4:T157)),"")</f>
        <v/>
      </c>
    </row>
    <row r="158">
      <c r="A158" s="4">
        <f>IF($T158="","","CAPA-"&amp;TEXT($T158,"000"))</f>
        <v/>
      </c>
      <c r="B158" s="17">
        <f>IF($T158="","",INDEX(Weekly_Inspections!$B$4:$B$996,$T158))</f>
        <v/>
      </c>
      <c r="C158" s="4">
        <f>IF($T158="","",INDEX(Weekly_Inspections!$E$4:$E$996,$T158))</f>
        <v/>
      </c>
      <c r="D158" s="4">
        <f>IF($T158="","",INDEX(Weekly_Inspections!$F$4:$F$996,$T158))</f>
        <v/>
      </c>
      <c r="E158" s="4">
        <f>IF($T158="","",INDEX(Weekly_Inspections!$H$4:$H$996,$T158))</f>
        <v/>
      </c>
      <c r="F158" s="4">
        <f>IF($T158="","",INDEX(Weekly_Inspections!$R$4:$R$996,$T158))</f>
        <v/>
      </c>
      <c r="G158" s="4">
        <f>IF($T158="","",INDEX(Weekly_Inspections!$AQ$4:$AQ$996,$T158))</f>
        <v/>
      </c>
      <c r="H158" s="4">
        <f>IF($T158="","",INDEX(Weekly_Inspections!$AP$4:$AP$996,$T158))</f>
        <v/>
      </c>
      <c r="I158" s="4">
        <f>IF($T158="","",INDEX(Weekly_Inspections!$AR$4:$AR$996,$T158))</f>
        <v/>
      </c>
      <c r="J158" s="4">
        <f>IF($T158="","",INDEX(Weekly_Inspections!$AS$4:$AS$996,$T158))</f>
        <v/>
      </c>
      <c r="K158" s="4">
        <f>IF($T158="","",INDEX(Weekly_Inspections!$AU$4:$AU$996,$T158))</f>
        <v/>
      </c>
      <c r="L158" s="17">
        <f>IF($T158="","",INDEX(Weekly_Inspections!$AV$4:$AV$996,$T158))</f>
        <v/>
      </c>
      <c r="M158" s="9">
        <f>IF($T158="","","Open")</f>
        <v/>
      </c>
      <c r="N158" s="8" t="n"/>
      <c r="O158" s="4">
        <f>IF(A158="","",IF(N158&lt;&gt;"",N158-B158,TODAY()-B158))</f>
        <v/>
      </c>
      <c r="P158" s="4">
        <f>IF(A158="","",IF(AND(M158&lt;&gt;"Closed",L158&lt;TODAY()),"YES","NO"))</f>
        <v/>
      </c>
      <c r="Q158" s="4">
        <f>IF($T158="","",INDEX(Weekly_Inspections!$AW$4:$AW$996,$T158))</f>
        <v/>
      </c>
      <c r="T158" s="2">
        <f>IFERROR(AGGREGATE(15,6,(ROW(Weekly_Inspections!$AS$4:$AS$996)-ROW(Weekly_Inspections!$AS$4)+1)/(((Weekly_Inspections!$AS$4:$AS$996&lt;&gt;"")+(Weekly_Inspections!$AQ$4:$AQ$996&lt;&gt;""))&gt;0),ROWS($T$4:T158)),"")</f>
        <v/>
      </c>
    </row>
    <row r="159">
      <c r="A159" s="4">
        <f>IF($T159="","","CAPA-"&amp;TEXT($T159,"000"))</f>
        <v/>
      </c>
      <c r="B159" s="17">
        <f>IF($T159="","",INDEX(Weekly_Inspections!$B$4:$B$996,$T159))</f>
        <v/>
      </c>
      <c r="C159" s="4">
        <f>IF($T159="","",INDEX(Weekly_Inspections!$E$4:$E$996,$T159))</f>
        <v/>
      </c>
      <c r="D159" s="4">
        <f>IF($T159="","",INDEX(Weekly_Inspections!$F$4:$F$996,$T159))</f>
        <v/>
      </c>
      <c r="E159" s="4">
        <f>IF($T159="","",INDEX(Weekly_Inspections!$H$4:$H$996,$T159))</f>
        <v/>
      </c>
      <c r="F159" s="4">
        <f>IF($T159="","",INDEX(Weekly_Inspections!$R$4:$R$996,$T159))</f>
        <v/>
      </c>
      <c r="G159" s="4">
        <f>IF($T159="","",INDEX(Weekly_Inspections!$AQ$4:$AQ$996,$T159))</f>
        <v/>
      </c>
      <c r="H159" s="4">
        <f>IF($T159="","",INDEX(Weekly_Inspections!$AP$4:$AP$996,$T159))</f>
        <v/>
      </c>
      <c r="I159" s="4">
        <f>IF($T159="","",INDEX(Weekly_Inspections!$AR$4:$AR$996,$T159))</f>
        <v/>
      </c>
      <c r="J159" s="4">
        <f>IF($T159="","",INDEX(Weekly_Inspections!$AS$4:$AS$996,$T159))</f>
        <v/>
      </c>
      <c r="K159" s="4">
        <f>IF($T159="","",INDEX(Weekly_Inspections!$AU$4:$AU$996,$T159))</f>
        <v/>
      </c>
      <c r="L159" s="17">
        <f>IF($T159="","",INDEX(Weekly_Inspections!$AV$4:$AV$996,$T159))</f>
        <v/>
      </c>
      <c r="M159" s="9">
        <f>IF($T159="","","Open")</f>
        <v/>
      </c>
      <c r="N159" s="8" t="n"/>
      <c r="O159" s="4">
        <f>IF(A159="","",IF(N159&lt;&gt;"",N159-B159,TODAY()-B159))</f>
        <v/>
      </c>
      <c r="P159" s="4">
        <f>IF(A159="","",IF(AND(M159&lt;&gt;"Closed",L159&lt;TODAY()),"YES","NO"))</f>
        <v/>
      </c>
      <c r="Q159" s="4">
        <f>IF($T159="","",INDEX(Weekly_Inspections!$AW$4:$AW$996,$T159))</f>
        <v/>
      </c>
      <c r="T159" s="2">
        <f>IFERROR(AGGREGATE(15,6,(ROW(Weekly_Inspections!$AS$4:$AS$996)-ROW(Weekly_Inspections!$AS$4)+1)/(((Weekly_Inspections!$AS$4:$AS$996&lt;&gt;"")+(Weekly_Inspections!$AQ$4:$AQ$996&lt;&gt;""))&gt;0),ROWS($T$4:T159)),"")</f>
        <v/>
      </c>
    </row>
    <row r="160">
      <c r="A160" s="4">
        <f>IF($T160="","","CAPA-"&amp;TEXT($T160,"000"))</f>
        <v/>
      </c>
      <c r="B160" s="17">
        <f>IF($T160="","",INDEX(Weekly_Inspections!$B$4:$B$996,$T160))</f>
        <v/>
      </c>
      <c r="C160" s="4">
        <f>IF($T160="","",INDEX(Weekly_Inspections!$E$4:$E$996,$T160))</f>
        <v/>
      </c>
      <c r="D160" s="4">
        <f>IF($T160="","",INDEX(Weekly_Inspections!$F$4:$F$996,$T160))</f>
        <v/>
      </c>
      <c r="E160" s="4">
        <f>IF($T160="","",INDEX(Weekly_Inspections!$H$4:$H$996,$T160))</f>
        <v/>
      </c>
      <c r="F160" s="4">
        <f>IF($T160="","",INDEX(Weekly_Inspections!$R$4:$R$996,$T160))</f>
        <v/>
      </c>
      <c r="G160" s="4">
        <f>IF($T160="","",INDEX(Weekly_Inspections!$AQ$4:$AQ$996,$T160))</f>
        <v/>
      </c>
      <c r="H160" s="4">
        <f>IF($T160="","",INDEX(Weekly_Inspections!$AP$4:$AP$996,$T160))</f>
        <v/>
      </c>
      <c r="I160" s="4">
        <f>IF($T160="","",INDEX(Weekly_Inspections!$AR$4:$AR$996,$T160))</f>
        <v/>
      </c>
      <c r="J160" s="4">
        <f>IF($T160="","",INDEX(Weekly_Inspections!$AS$4:$AS$996,$T160))</f>
        <v/>
      </c>
      <c r="K160" s="4">
        <f>IF($T160="","",INDEX(Weekly_Inspections!$AU$4:$AU$996,$T160))</f>
        <v/>
      </c>
      <c r="L160" s="17">
        <f>IF($T160="","",INDEX(Weekly_Inspections!$AV$4:$AV$996,$T160))</f>
        <v/>
      </c>
      <c r="M160" s="9">
        <f>IF($T160="","","Open")</f>
        <v/>
      </c>
      <c r="N160" s="8" t="n"/>
      <c r="O160" s="4">
        <f>IF(A160="","",IF(N160&lt;&gt;"",N160-B160,TODAY()-B160))</f>
        <v/>
      </c>
      <c r="P160" s="4">
        <f>IF(A160="","",IF(AND(M160&lt;&gt;"Closed",L160&lt;TODAY()),"YES","NO"))</f>
        <v/>
      </c>
      <c r="Q160" s="4">
        <f>IF($T160="","",INDEX(Weekly_Inspections!$AW$4:$AW$996,$T160))</f>
        <v/>
      </c>
      <c r="T160" s="2">
        <f>IFERROR(AGGREGATE(15,6,(ROW(Weekly_Inspections!$AS$4:$AS$996)-ROW(Weekly_Inspections!$AS$4)+1)/(((Weekly_Inspections!$AS$4:$AS$996&lt;&gt;"")+(Weekly_Inspections!$AQ$4:$AQ$996&lt;&gt;""))&gt;0),ROWS($T$4:T160)),"")</f>
        <v/>
      </c>
    </row>
    <row r="161">
      <c r="A161" s="4">
        <f>IF($T161="","","CAPA-"&amp;TEXT($T161,"000"))</f>
        <v/>
      </c>
      <c r="B161" s="17">
        <f>IF($T161="","",INDEX(Weekly_Inspections!$B$4:$B$996,$T161))</f>
        <v/>
      </c>
      <c r="C161" s="4">
        <f>IF($T161="","",INDEX(Weekly_Inspections!$E$4:$E$996,$T161))</f>
        <v/>
      </c>
      <c r="D161" s="4">
        <f>IF($T161="","",INDEX(Weekly_Inspections!$F$4:$F$996,$T161))</f>
        <v/>
      </c>
      <c r="E161" s="4">
        <f>IF($T161="","",INDEX(Weekly_Inspections!$H$4:$H$996,$T161))</f>
        <v/>
      </c>
      <c r="F161" s="4">
        <f>IF($T161="","",INDEX(Weekly_Inspections!$R$4:$R$996,$T161))</f>
        <v/>
      </c>
      <c r="G161" s="4">
        <f>IF($T161="","",INDEX(Weekly_Inspections!$AQ$4:$AQ$996,$T161))</f>
        <v/>
      </c>
      <c r="H161" s="4">
        <f>IF($T161="","",INDEX(Weekly_Inspections!$AP$4:$AP$996,$T161))</f>
        <v/>
      </c>
      <c r="I161" s="4">
        <f>IF($T161="","",INDEX(Weekly_Inspections!$AR$4:$AR$996,$T161))</f>
        <v/>
      </c>
      <c r="J161" s="4">
        <f>IF($T161="","",INDEX(Weekly_Inspections!$AS$4:$AS$996,$T161))</f>
        <v/>
      </c>
      <c r="K161" s="4">
        <f>IF($T161="","",INDEX(Weekly_Inspections!$AU$4:$AU$996,$T161))</f>
        <v/>
      </c>
      <c r="L161" s="17">
        <f>IF($T161="","",INDEX(Weekly_Inspections!$AV$4:$AV$996,$T161))</f>
        <v/>
      </c>
      <c r="M161" s="9">
        <f>IF($T161="","","Open")</f>
        <v/>
      </c>
      <c r="N161" s="8" t="n"/>
      <c r="O161" s="4">
        <f>IF(A161="","",IF(N161&lt;&gt;"",N161-B161,TODAY()-B161))</f>
        <v/>
      </c>
      <c r="P161" s="4">
        <f>IF(A161="","",IF(AND(M161&lt;&gt;"Closed",L161&lt;TODAY()),"YES","NO"))</f>
        <v/>
      </c>
      <c r="Q161" s="4">
        <f>IF($T161="","",INDEX(Weekly_Inspections!$AW$4:$AW$996,$T161))</f>
        <v/>
      </c>
      <c r="T161" s="2">
        <f>IFERROR(AGGREGATE(15,6,(ROW(Weekly_Inspections!$AS$4:$AS$996)-ROW(Weekly_Inspections!$AS$4)+1)/(((Weekly_Inspections!$AS$4:$AS$996&lt;&gt;"")+(Weekly_Inspections!$AQ$4:$AQ$996&lt;&gt;""))&gt;0),ROWS($T$4:T161)),"")</f>
        <v/>
      </c>
    </row>
    <row r="162">
      <c r="A162" s="4">
        <f>IF($T162="","","CAPA-"&amp;TEXT($T162,"000"))</f>
        <v/>
      </c>
      <c r="B162" s="17">
        <f>IF($T162="","",INDEX(Weekly_Inspections!$B$4:$B$996,$T162))</f>
        <v/>
      </c>
      <c r="C162" s="4">
        <f>IF($T162="","",INDEX(Weekly_Inspections!$E$4:$E$996,$T162))</f>
        <v/>
      </c>
      <c r="D162" s="4">
        <f>IF($T162="","",INDEX(Weekly_Inspections!$F$4:$F$996,$T162))</f>
        <v/>
      </c>
      <c r="E162" s="4">
        <f>IF($T162="","",INDEX(Weekly_Inspections!$H$4:$H$996,$T162))</f>
        <v/>
      </c>
      <c r="F162" s="4">
        <f>IF($T162="","",INDEX(Weekly_Inspections!$R$4:$R$996,$T162))</f>
        <v/>
      </c>
      <c r="G162" s="4">
        <f>IF($T162="","",INDEX(Weekly_Inspections!$AQ$4:$AQ$996,$T162))</f>
        <v/>
      </c>
      <c r="H162" s="4">
        <f>IF($T162="","",INDEX(Weekly_Inspections!$AP$4:$AP$996,$T162))</f>
        <v/>
      </c>
      <c r="I162" s="4">
        <f>IF($T162="","",INDEX(Weekly_Inspections!$AR$4:$AR$996,$T162))</f>
        <v/>
      </c>
      <c r="J162" s="4">
        <f>IF($T162="","",INDEX(Weekly_Inspections!$AS$4:$AS$996,$T162))</f>
        <v/>
      </c>
      <c r="K162" s="4">
        <f>IF($T162="","",INDEX(Weekly_Inspections!$AU$4:$AU$996,$T162))</f>
        <v/>
      </c>
      <c r="L162" s="17">
        <f>IF($T162="","",INDEX(Weekly_Inspections!$AV$4:$AV$996,$T162))</f>
        <v/>
      </c>
      <c r="M162" s="9">
        <f>IF($T162="","","Open")</f>
        <v/>
      </c>
      <c r="N162" s="8" t="n"/>
      <c r="O162" s="4">
        <f>IF(A162="","",IF(N162&lt;&gt;"",N162-B162,TODAY()-B162))</f>
        <v/>
      </c>
      <c r="P162" s="4">
        <f>IF(A162="","",IF(AND(M162&lt;&gt;"Closed",L162&lt;TODAY()),"YES","NO"))</f>
        <v/>
      </c>
      <c r="Q162" s="4">
        <f>IF($T162="","",INDEX(Weekly_Inspections!$AW$4:$AW$996,$T162))</f>
        <v/>
      </c>
      <c r="T162" s="2">
        <f>IFERROR(AGGREGATE(15,6,(ROW(Weekly_Inspections!$AS$4:$AS$996)-ROW(Weekly_Inspections!$AS$4)+1)/(((Weekly_Inspections!$AS$4:$AS$996&lt;&gt;"")+(Weekly_Inspections!$AQ$4:$AQ$996&lt;&gt;""))&gt;0),ROWS($T$4:T162)),"")</f>
        <v/>
      </c>
    </row>
    <row r="163">
      <c r="A163" s="4">
        <f>IF($T163="","","CAPA-"&amp;TEXT($T163,"000"))</f>
        <v/>
      </c>
      <c r="B163" s="17">
        <f>IF($T163="","",INDEX(Weekly_Inspections!$B$4:$B$996,$T163))</f>
        <v/>
      </c>
      <c r="C163" s="4">
        <f>IF($T163="","",INDEX(Weekly_Inspections!$E$4:$E$996,$T163))</f>
        <v/>
      </c>
      <c r="D163" s="4">
        <f>IF($T163="","",INDEX(Weekly_Inspections!$F$4:$F$996,$T163))</f>
        <v/>
      </c>
      <c r="E163" s="4">
        <f>IF($T163="","",INDEX(Weekly_Inspections!$H$4:$H$996,$T163))</f>
        <v/>
      </c>
      <c r="F163" s="4">
        <f>IF($T163="","",INDEX(Weekly_Inspections!$R$4:$R$996,$T163))</f>
        <v/>
      </c>
      <c r="G163" s="4">
        <f>IF($T163="","",INDEX(Weekly_Inspections!$AQ$4:$AQ$996,$T163))</f>
        <v/>
      </c>
      <c r="H163" s="4">
        <f>IF($T163="","",INDEX(Weekly_Inspections!$AP$4:$AP$996,$T163))</f>
        <v/>
      </c>
      <c r="I163" s="4">
        <f>IF($T163="","",INDEX(Weekly_Inspections!$AR$4:$AR$996,$T163))</f>
        <v/>
      </c>
      <c r="J163" s="4">
        <f>IF($T163="","",INDEX(Weekly_Inspections!$AS$4:$AS$996,$T163))</f>
        <v/>
      </c>
      <c r="K163" s="4">
        <f>IF($T163="","",INDEX(Weekly_Inspections!$AU$4:$AU$996,$T163))</f>
        <v/>
      </c>
      <c r="L163" s="17">
        <f>IF($T163="","",INDEX(Weekly_Inspections!$AV$4:$AV$996,$T163))</f>
        <v/>
      </c>
      <c r="M163" s="9">
        <f>IF($T163="","","Open")</f>
        <v/>
      </c>
      <c r="N163" s="8" t="n"/>
      <c r="O163" s="4">
        <f>IF(A163="","",IF(N163&lt;&gt;"",N163-B163,TODAY()-B163))</f>
        <v/>
      </c>
      <c r="P163" s="4">
        <f>IF(A163="","",IF(AND(M163&lt;&gt;"Closed",L163&lt;TODAY()),"YES","NO"))</f>
        <v/>
      </c>
      <c r="Q163" s="4">
        <f>IF($T163="","",INDEX(Weekly_Inspections!$AW$4:$AW$996,$T163))</f>
        <v/>
      </c>
      <c r="T163" s="2">
        <f>IFERROR(AGGREGATE(15,6,(ROW(Weekly_Inspections!$AS$4:$AS$996)-ROW(Weekly_Inspections!$AS$4)+1)/(((Weekly_Inspections!$AS$4:$AS$996&lt;&gt;"")+(Weekly_Inspections!$AQ$4:$AQ$996&lt;&gt;""))&gt;0),ROWS($T$4:T163)),"")</f>
        <v/>
      </c>
    </row>
    <row r="164">
      <c r="A164" s="4">
        <f>IF($T164="","","CAPA-"&amp;TEXT($T164,"000"))</f>
        <v/>
      </c>
      <c r="B164" s="17">
        <f>IF($T164="","",INDEX(Weekly_Inspections!$B$4:$B$996,$T164))</f>
        <v/>
      </c>
      <c r="C164" s="4">
        <f>IF($T164="","",INDEX(Weekly_Inspections!$E$4:$E$996,$T164))</f>
        <v/>
      </c>
      <c r="D164" s="4">
        <f>IF($T164="","",INDEX(Weekly_Inspections!$F$4:$F$996,$T164))</f>
        <v/>
      </c>
      <c r="E164" s="4">
        <f>IF($T164="","",INDEX(Weekly_Inspections!$H$4:$H$996,$T164))</f>
        <v/>
      </c>
      <c r="F164" s="4">
        <f>IF($T164="","",INDEX(Weekly_Inspections!$R$4:$R$996,$T164))</f>
        <v/>
      </c>
      <c r="G164" s="4">
        <f>IF($T164="","",INDEX(Weekly_Inspections!$AQ$4:$AQ$996,$T164))</f>
        <v/>
      </c>
      <c r="H164" s="4">
        <f>IF($T164="","",INDEX(Weekly_Inspections!$AP$4:$AP$996,$T164))</f>
        <v/>
      </c>
      <c r="I164" s="4">
        <f>IF($T164="","",INDEX(Weekly_Inspections!$AR$4:$AR$996,$T164))</f>
        <v/>
      </c>
      <c r="J164" s="4">
        <f>IF($T164="","",INDEX(Weekly_Inspections!$AS$4:$AS$996,$T164))</f>
        <v/>
      </c>
      <c r="K164" s="4">
        <f>IF($T164="","",INDEX(Weekly_Inspections!$AU$4:$AU$996,$T164))</f>
        <v/>
      </c>
      <c r="L164" s="17">
        <f>IF($T164="","",INDEX(Weekly_Inspections!$AV$4:$AV$996,$T164))</f>
        <v/>
      </c>
      <c r="M164" s="9">
        <f>IF($T164="","","Open")</f>
        <v/>
      </c>
      <c r="N164" s="8" t="n"/>
      <c r="O164" s="4">
        <f>IF(A164="","",IF(N164&lt;&gt;"",N164-B164,TODAY()-B164))</f>
        <v/>
      </c>
      <c r="P164" s="4">
        <f>IF(A164="","",IF(AND(M164&lt;&gt;"Closed",L164&lt;TODAY()),"YES","NO"))</f>
        <v/>
      </c>
      <c r="Q164" s="4">
        <f>IF($T164="","",INDEX(Weekly_Inspections!$AW$4:$AW$996,$T164))</f>
        <v/>
      </c>
      <c r="T164" s="2">
        <f>IFERROR(AGGREGATE(15,6,(ROW(Weekly_Inspections!$AS$4:$AS$996)-ROW(Weekly_Inspections!$AS$4)+1)/(((Weekly_Inspections!$AS$4:$AS$996&lt;&gt;"")+(Weekly_Inspections!$AQ$4:$AQ$996&lt;&gt;""))&gt;0),ROWS($T$4:T164)),"")</f>
        <v/>
      </c>
    </row>
    <row r="165">
      <c r="A165" s="4">
        <f>IF($T165="","","CAPA-"&amp;TEXT($T165,"000"))</f>
        <v/>
      </c>
      <c r="B165" s="17">
        <f>IF($T165="","",INDEX(Weekly_Inspections!$B$4:$B$996,$T165))</f>
        <v/>
      </c>
      <c r="C165" s="4">
        <f>IF($T165="","",INDEX(Weekly_Inspections!$E$4:$E$996,$T165))</f>
        <v/>
      </c>
      <c r="D165" s="4">
        <f>IF($T165="","",INDEX(Weekly_Inspections!$F$4:$F$996,$T165))</f>
        <v/>
      </c>
      <c r="E165" s="4">
        <f>IF($T165="","",INDEX(Weekly_Inspections!$H$4:$H$996,$T165))</f>
        <v/>
      </c>
      <c r="F165" s="4">
        <f>IF($T165="","",INDEX(Weekly_Inspections!$R$4:$R$996,$T165))</f>
        <v/>
      </c>
      <c r="G165" s="4">
        <f>IF($T165="","",INDEX(Weekly_Inspections!$AQ$4:$AQ$996,$T165))</f>
        <v/>
      </c>
      <c r="H165" s="4">
        <f>IF($T165="","",INDEX(Weekly_Inspections!$AP$4:$AP$996,$T165))</f>
        <v/>
      </c>
      <c r="I165" s="4">
        <f>IF($T165="","",INDEX(Weekly_Inspections!$AR$4:$AR$996,$T165))</f>
        <v/>
      </c>
      <c r="J165" s="4">
        <f>IF($T165="","",INDEX(Weekly_Inspections!$AS$4:$AS$996,$T165))</f>
        <v/>
      </c>
      <c r="K165" s="4">
        <f>IF($T165="","",INDEX(Weekly_Inspections!$AU$4:$AU$996,$T165))</f>
        <v/>
      </c>
      <c r="L165" s="17">
        <f>IF($T165="","",INDEX(Weekly_Inspections!$AV$4:$AV$996,$T165))</f>
        <v/>
      </c>
      <c r="M165" s="9">
        <f>IF($T165="","","Open")</f>
        <v/>
      </c>
      <c r="N165" s="8" t="n"/>
      <c r="O165" s="4">
        <f>IF(A165="","",IF(N165&lt;&gt;"",N165-B165,TODAY()-B165))</f>
        <v/>
      </c>
      <c r="P165" s="4">
        <f>IF(A165="","",IF(AND(M165&lt;&gt;"Closed",L165&lt;TODAY()),"YES","NO"))</f>
        <v/>
      </c>
      <c r="Q165" s="4">
        <f>IF($T165="","",INDEX(Weekly_Inspections!$AW$4:$AW$996,$T165))</f>
        <v/>
      </c>
      <c r="T165" s="2">
        <f>IFERROR(AGGREGATE(15,6,(ROW(Weekly_Inspections!$AS$4:$AS$996)-ROW(Weekly_Inspections!$AS$4)+1)/(((Weekly_Inspections!$AS$4:$AS$996&lt;&gt;"")+(Weekly_Inspections!$AQ$4:$AQ$996&lt;&gt;""))&gt;0),ROWS($T$4:T165)),"")</f>
        <v/>
      </c>
    </row>
    <row r="166">
      <c r="A166" s="4">
        <f>IF($T166="","","CAPA-"&amp;TEXT($T166,"000"))</f>
        <v/>
      </c>
      <c r="B166" s="17">
        <f>IF($T166="","",INDEX(Weekly_Inspections!$B$4:$B$996,$T166))</f>
        <v/>
      </c>
      <c r="C166" s="4">
        <f>IF($T166="","",INDEX(Weekly_Inspections!$E$4:$E$996,$T166))</f>
        <v/>
      </c>
      <c r="D166" s="4">
        <f>IF($T166="","",INDEX(Weekly_Inspections!$F$4:$F$996,$T166))</f>
        <v/>
      </c>
      <c r="E166" s="4">
        <f>IF($T166="","",INDEX(Weekly_Inspections!$H$4:$H$996,$T166))</f>
        <v/>
      </c>
      <c r="F166" s="4">
        <f>IF($T166="","",INDEX(Weekly_Inspections!$R$4:$R$996,$T166))</f>
        <v/>
      </c>
      <c r="G166" s="4">
        <f>IF($T166="","",INDEX(Weekly_Inspections!$AQ$4:$AQ$996,$T166))</f>
        <v/>
      </c>
      <c r="H166" s="4">
        <f>IF($T166="","",INDEX(Weekly_Inspections!$AP$4:$AP$996,$T166))</f>
        <v/>
      </c>
      <c r="I166" s="4">
        <f>IF($T166="","",INDEX(Weekly_Inspections!$AR$4:$AR$996,$T166))</f>
        <v/>
      </c>
      <c r="J166" s="4">
        <f>IF($T166="","",INDEX(Weekly_Inspections!$AS$4:$AS$996,$T166))</f>
        <v/>
      </c>
      <c r="K166" s="4">
        <f>IF($T166="","",INDEX(Weekly_Inspections!$AU$4:$AU$996,$T166))</f>
        <v/>
      </c>
      <c r="L166" s="17">
        <f>IF($T166="","",INDEX(Weekly_Inspections!$AV$4:$AV$996,$T166))</f>
        <v/>
      </c>
      <c r="M166" s="9">
        <f>IF($T166="","","Open")</f>
        <v/>
      </c>
      <c r="N166" s="8" t="n"/>
      <c r="O166" s="4">
        <f>IF(A166="","",IF(N166&lt;&gt;"",N166-B166,TODAY()-B166))</f>
        <v/>
      </c>
      <c r="P166" s="4">
        <f>IF(A166="","",IF(AND(M166&lt;&gt;"Closed",L166&lt;TODAY()),"YES","NO"))</f>
        <v/>
      </c>
      <c r="Q166" s="4">
        <f>IF($T166="","",INDEX(Weekly_Inspections!$AW$4:$AW$996,$T166))</f>
        <v/>
      </c>
      <c r="T166" s="2">
        <f>IFERROR(AGGREGATE(15,6,(ROW(Weekly_Inspections!$AS$4:$AS$996)-ROW(Weekly_Inspections!$AS$4)+1)/(((Weekly_Inspections!$AS$4:$AS$996&lt;&gt;"")+(Weekly_Inspections!$AQ$4:$AQ$996&lt;&gt;""))&gt;0),ROWS($T$4:T166)),"")</f>
        <v/>
      </c>
    </row>
    <row r="167">
      <c r="A167" s="4">
        <f>IF($T167="","","CAPA-"&amp;TEXT($T167,"000"))</f>
        <v/>
      </c>
      <c r="B167" s="17">
        <f>IF($T167="","",INDEX(Weekly_Inspections!$B$4:$B$996,$T167))</f>
        <v/>
      </c>
      <c r="C167" s="4">
        <f>IF($T167="","",INDEX(Weekly_Inspections!$E$4:$E$996,$T167))</f>
        <v/>
      </c>
      <c r="D167" s="4">
        <f>IF($T167="","",INDEX(Weekly_Inspections!$F$4:$F$996,$T167))</f>
        <v/>
      </c>
      <c r="E167" s="4">
        <f>IF($T167="","",INDEX(Weekly_Inspections!$H$4:$H$996,$T167))</f>
        <v/>
      </c>
      <c r="F167" s="4">
        <f>IF($T167="","",INDEX(Weekly_Inspections!$R$4:$R$996,$T167))</f>
        <v/>
      </c>
      <c r="G167" s="4">
        <f>IF($T167="","",INDEX(Weekly_Inspections!$AQ$4:$AQ$996,$T167))</f>
        <v/>
      </c>
      <c r="H167" s="4">
        <f>IF($T167="","",INDEX(Weekly_Inspections!$AP$4:$AP$996,$T167))</f>
        <v/>
      </c>
      <c r="I167" s="4">
        <f>IF($T167="","",INDEX(Weekly_Inspections!$AR$4:$AR$996,$T167))</f>
        <v/>
      </c>
      <c r="J167" s="4">
        <f>IF($T167="","",INDEX(Weekly_Inspections!$AS$4:$AS$996,$T167))</f>
        <v/>
      </c>
      <c r="K167" s="4">
        <f>IF($T167="","",INDEX(Weekly_Inspections!$AU$4:$AU$996,$T167))</f>
        <v/>
      </c>
      <c r="L167" s="17">
        <f>IF($T167="","",INDEX(Weekly_Inspections!$AV$4:$AV$996,$T167))</f>
        <v/>
      </c>
      <c r="M167" s="9">
        <f>IF($T167="","","Open")</f>
        <v/>
      </c>
      <c r="N167" s="8" t="n"/>
      <c r="O167" s="4">
        <f>IF(A167="","",IF(N167&lt;&gt;"",N167-B167,TODAY()-B167))</f>
        <v/>
      </c>
      <c r="P167" s="4">
        <f>IF(A167="","",IF(AND(M167&lt;&gt;"Closed",L167&lt;TODAY()),"YES","NO"))</f>
        <v/>
      </c>
      <c r="Q167" s="4">
        <f>IF($T167="","",INDEX(Weekly_Inspections!$AW$4:$AW$996,$T167))</f>
        <v/>
      </c>
      <c r="T167" s="2">
        <f>IFERROR(AGGREGATE(15,6,(ROW(Weekly_Inspections!$AS$4:$AS$996)-ROW(Weekly_Inspections!$AS$4)+1)/(((Weekly_Inspections!$AS$4:$AS$996&lt;&gt;"")+(Weekly_Inspections!$AQ$4:$AQ$996&lt;&gt;""))&gt;0),ROWS($T$4:T167)),"")</f>
        <v/>
      </c>
    </row>
    <row r="168">
      <c r="A168" s="4">
        <f>IF($T168="","","CAPA-"&amp;TEXT($T168,"000"))</f>
        <v/>
      </c>
      <c r="B168" s="17">
        <f>IF($T168="","",INDEX(Weekly_Inspections!$B$4:$B$996,$T168))</f>
        <v/>
      </c>
      <c r="C168" s="4">
        <f>IF($T168="","",INDEX(Weekly_Inspections!$E$4:$E$996,$T168))</f>
        <v/>
      </c>
      <c r="D168" s="4">
        <f>IF($T168="","",INDEX(Weekly_Inspections!$F$4:$F$996,$T168))</f>
        <v/>
      </c>
      <c r="E168" s="4">
        <f>IF($T168="","",INDEX(Weekly_Inspections!$H$4:$H$996,$T168))</f>
        <v/>
      </c>
      <c r="F168" s="4">
        <f>IF($T168="","",INDEX(Weekly_Inspections!$R$4:$R$996,$T168))</f>
        <v/>
      </c>
      <c r="G168" s="4">
        <f>IF($T168="","",INDEX(Weekly_Inspections!$AQ$4:$AQ$996,$T168))</f>
        <v/>
      </c>
      <c r="H168" s="4">
        <f>IF($T168="","",INDEX(Weekly_Inspections!$AP$4:$AP$996,$T168))</f>
        <v/>
      </c>
      <c r="I168" s="4">
        <f>IF($T168="","",INDEX(Weekly_Inspections!$AR$4:$AR$996,$T168))</f>
        <v/>
      </c>
      <c r="J168" s="4">
        <f>IF($T168="","",INDEX(Weekly_Inspections!$AS$4:$AS$996,$T168))</f>
        <v/>
      </c>
      <c r="K168" s="4">
        <f>IF($T168="","",INDEX(Weekly_Inspections!$AU$4:$AU$996,$T168))</f>
        <v/>
      </c>
      <c r="L168" s="17">
        <f>IF($T168="","",INDEX(Weekly_Inspections!$AV$4:$AV$996,$T168))</f>
        <v/>
      </c>
      <c r="M168" s="9">
        <f>IF($T168="","","Open")</f>
        <v/>
      </c>
      <c r="N168" s="8" t="n"/>
      <c r="O168" s="4">
        <f>IF(A168="","",IF(N168&lt;&gt;"",N168-B168,TODAY()-B168))</f>
        <v/>
      </c>
      <c r="P168" s="4">
        <f>IF(A168="","",IF(AND(M168&lt;&gt;"Closed",L168&lt;TODAY()),"YES","NO"))</f>
        <v/>
      </c>
      <c r="Q168" s="4">
        <f>IF($T168="","",INDEX(Weekly_Inspections!$AW$4:$AW$996,$T168))</f>
        <v/>
      </c>
      <c r="T168" s="2">
        <f>IFERROR(AGGREGATE(15,6,(ROW(Weekly_Inspections!$AS$4:$AS$996)-ROW(Weekly_Inspections!$AS$4)+1)/(((Weekly_Inspections!$AS$4:$AS$996&lt;&gt;"")+(Weekly_Inspections!$AQ$4:$AQ$996&lt;&gt;""))&gt;0),ROWS($T$4:T168)),"")</f>
        <v/>
      </c>
    </row>
    <row r="169">
      <c r="A169" s="4">
        <f>IF($T169="","","CAPA-"&amp;TEXT($T169,"000"))</f>
        <v/>
      </c>
      <c r="B169" s="17">
        <f>IF($T169="","",INDEX(Weekly_Inspections!$B$4:$B$996,$T169))</f>
        <v/>
      </c>
      <c r="C169" s="4">
        <f>IF($T169="","",INDEX(Weekly_Inspections!$E$4:$E$996,$T169))</f>
        <v/>
      </c>
      <c r="D169" s="4">
        <f>IF($T169="","",INDEX(Weekly_Inspections!$F$4:$F$996,$T169))</f>
        <v/>
      </c>
      <c r="E169" s="4">
        <f>IF($T169="","",INDEX(Weekly_Inspections!$H$4:$H$996,$T169))</f>
        <v/>
      </c>
      <c r="F169" s="4">
        <f>IF($T169="","",INDEX(Weekly_Inspections!$R$4:$R$996,$T169))</f>
        <v/>
      </c>
      <c r="G169" s="4">
        <f>IF($T169="","",INDEX(Weekly_Inspections!$AQ$4:$AQ$996,$T169))</f>
        <v/>
      </c>
      <c r="H169" s="4">
        <f>IF($T169="","",INDEX(Weekly_Inspections!$AP$4:$AP$996,$T169))</f>
        <v/>
      </c>
      <c r="I169" s="4">
        <f>IF($T169="","",INDEX(Weekly_Inspections!$AR$4:$AR$996,$T169))</f>
        <v/>
      </c>
      <c r="J169" s="4">
        <f>IF($T169="","",INDEX(Weekly_Inspections!$AS$4:$AS$996,$T169))</f>
        <v/>
      </c>
      <c r="K169" s="4">
        <f>IF($T169="","",INDEX(Weekly_Inspections!$AU$4:$AU$996,$T169))</f>
        <v/>
      </c>
      <c r="L169" s="17">
        <f>IF($T169="","",INDEX(Weekly_Inspections!$AV$4:$AV$996,$T169))</f>
        <v/>
      </c>
      <c r="M169" s="9">
        <f>IF($T169="","","Open")</f>
        <v/>
      </c>
      <c r="N169" s="8" t="n"/>
      <c r="O169" s="4">
        <f>IF(A169="","",IF(N169&lt;&gt;"",N169-B169,TODAY()-B169))</f>
        <v/>
      </c>
      <c r="P169" s="4">
        <f>IF(A169="","",IF(AND(M169&lt;&gt;"Closed",L169&lt;TODAY()),"YES","NO"))</f>
        <v/>
      </c>
      <c r="Q169" s="4">
        <f>IF($T169="","",INDEX(Weekly_Inspections!$AW$4:$AW$996,$T169))</f>
        <v/>
      </c>
      <c r="T169" s="2">
        <f>IFERROR(AGGREGATE(15,6,(ROW(Weekly_Inspections!$AS$4:$AS$996)-ROW(Weekly_Inspections!$AS$4)+1)/(((Weekly_Inspections!$AS$4:$AS$996&lt;&gt;"")+(Weekly_Inspections!$AQ$4:$AQ$996&lt;&gt;""))&gt;0),ROWS($T$4:T169)),"")</f>
        <v/>
      </c>
    </row>
    <row r="170">
      <c r="A170" s="4">
        <f>IF($T170="","","CAPA-"&amp;TEXT($T170,"000"))</f>
        <v/>
      </c>
      <c r="B170" s="17">
        <f>IF($T170="","",INDEX(Weekly_Inspections!$B$4:$B$996,$T170))</f>
        <v/>
      </c>
      <c r="C170" s="4">
        <f>IF($T170="","",INDEX(Weekly_Inspections!$E$4:$E$996,$T170))</f>
        <v/>
      </c>
      <c r="D170" s="4">
        <f>IF($T170="","",INDEX(Weekly_Inspections!$F$4:$F$996,$T170))</f>
        <v/>
      </c>
      <c r="E170" s="4">
        <f>IF($T170="","",INDEX(Weekly_Inspections!$H$4:$H$996,$T170))</f>
        <v/>
      </c>
      <c r="F170" s="4">
        <f>IF($T170="","",INDEX(Weekly_Inspections!$R$4:$R$996,$T170))</f>
        <v/>
      </c>
      <c r="G170" s="4">
        <f>IF($T170="","",INDEX(Weekly_Inspections!$AQ$4:$AQ$996,$T170))</f>
        <v/>
      </c>
      <c r="H170" s="4">
        <f>IF($T170="","",INDEX(Weekly_Inspections!$AP$4:$AP$996,$T170))</f>
        <v/>
      </c>
      <c r="I170" s="4">
        <f>IF($T170="","",INDEX(Weekly_Inspections!$AR$4:$AR$996,$T170))</f>
        <v/>
      </c>
      <c r="J170" s="4">
        <f>IF($T170="","",INDEX(Weekly_Inspections!$AS$4:$AS$996,$T170))</f>
        <v/>
      </c>
      <c r="K170" s="4">
        <f>IF($T170="","",INDEX(Weekly_Inspections!$AU$4:$AU$996,$T170))</f>
        <v/>
      </c>
      <c r="L170" s="17">
        <f>IF($T170="","",INDEX(Weekly_Inspections!$AV$4:$AV$996,$T170))</f>
        <v/>
      </c>
      <c r="M170" s="9">
        <f>IF($T170="","","Open")</f>
        <v/>
      </c>
      <c r="N170" s="8" t="n"/>
      <c r="O170" s="4">
        <f>IF(A170="","",IF(N170&lt;&gt;"",N170-B170,TODAY()-B170))</f>
        <v/>
      </c>
      <c r="P170" s="4">
        <f>IF(A170="","",IF(AND(M170&lt;&gt;"Closed",L170&lt;TODAY()),"YES","NO"))</f>
        <v/>
      </c>
      <c r="Q170" s="4">
        <f>IF($T170="","",INDEX(Weekly_Inspections!$AW$4:$AW$996,$T170))</f>
        <v/>
      </c>
      <c r="T170" s="2">
        <f>IFERROR(AGGREGATE(15,6,(ROW(Weekly_Inspections!$AS$4:$AS$996)-ROW(Weekly_Inspections!$AS$4)+1)/(((Weekly_Inspections!$AS$4:$AS$996&lt;&gt;"")+(Weekly_Inspections!$AQ$4:$AQ$996&lt;&gt;""))&gt;0),ROWS($T$4:T170)),"")</f>
        <v/>
      </c>
    </row>
    <row r="171">
      <c r="A171" s="4">
        <f>IF($T171="","","CAPA-"&amp;TEXT($T171,"000"))</f>
        <v/>
      </c>
      <c r="B171" s="17">
        <f>IF($T171="","",INDEX(Weekly_Inspections!$B$4:$B$996,$T171))</f>
        <v/>
      </c>
      <c r="C171" s="4">
        <f>IF($T171="","",INDEX(Weekly_Inspections!$E$4:$E$996,$T171))</f>
        <v/>
      </c>
      <c r="D171" s="4">
        <f>IF($T171="","",INDEX(Weekly_Inspections!$F$4:$F$996,$T171))</f>
        <v/>
      </c>
      <c r="E171" s="4">
        <f>IF($T171="","",INDEX(Weekly_Inspections!$H$4:$H$996,$T171))</f>
        <v/>
      </c>
      <c r="F171" s="4">
        <f>IF($T171="","",INDEX(Weekly_Inspections!$R$4:$R$996,$T171))</f>
        <v/>
      </c>
      <c r="G171" s="4">
        <f>IF($T171="","",INDEX(Weekly_Inspections!$AQ$4:$AQ$996,$T171))</f>
        <v/>
      </c>
      <c r="H171" s="4">
        <f>IF($T171="","",INDEX(Weekly_Inspections!$AP$4:$AP$996,$T171))</f>
        <v/>
      </c>
      <c r="I171" s="4">
        <f>IF($T171="","",INDEX(Weekly_Inspections!$AR$4:$AR$996,$T171))</f>
        <v/>
      </c>
      <c r="J171" s="4">
        <f>IF($T171="","",INDEX(Weekly_Inspections!$AS$4:$AS$996,$T171))</f>
        <v/>
      </c>
      <c r="K171" s="4">
        <f>IF($T171="","",INDEX(Weekly_Inspections!$AU$4:$AU$996,$T171))</f>
        <v/>
      </c>
      <c r="L171" s="17">
        <f>IF($T171="","",INDEX(Weekly_Inspections!$AV$4:$AV$996,$T171))</f>
        <v/>
      </c>
      <c r="M171" s="9">
        <f>IF($T171="","","Open")</f>
        <v/>
      </c>
      <c r="N171" s="8" t="n"/>
      <c r="O171" s="4">
        <f>IF(A171="","",IF(N171&lt;&gt;"",N171-B171,TODAY()-B171))</f>
        <v/>
      </c>
      <c r="P171" s="4">
        <f>IF(A171="","",IF(AND(M171&lt;&gt;"Closed",L171&lt;TODAY()),"YES","NO"))</f>
        <v/>
      </c>
      <c r="Q171" s="4">
        <f>IF($T171="","",INDEX(Weekly_Inspections!$AW$4:$AW$996,$T171))</f>
        <v/>
      </c>
      <c r="T171" s="2">
        <f>IFERROR(AGGREGATE(15,6,(ROW(Weekly_Inspections!$AS$4:$AS$996)-ROW(Weekly_Inspections!$AS$4)+1)/(((Weekly_Inspections!$AS$4:$AS$996&lt;&gt;"")+(Weekly_Inspections!$AQ$4:$AQ$996&lt;&gt;""))&gt;0),ROWS($T$4:T171)),"")</f>
        <v/>
      </c>
    </row>
    <row r="172">
      <c r="A172" s="4">
        <f>IF($T172="","","CAPA-"&amp;TEXT($T172,"000"))</f>
        <v/>
      </c>
      <c r="B172" s="17">
        <f>IF($T172="","",INDEX(Weekly_Inspections!$B$4:$B$996,$T172))</f>
        <v/>
      </c>
      <c r="C172" s="4">
        <f>IF($T172="","",INDEX(Weekly_Inspections!$E$4:$E$996,$T172))</f>
        <v/>
      </c>
      <c r="D172" s="4">
        <f>IF($T172="","",INDEX(Weekly_Inspections!$F$4:$F$996,$T172))</f>
        <v/>
      </c>
      <c r="E172" s="4">
        <f>IF($T172="","",INDEX(Weekly_Inspections!$H$4:$H$996,$T172))</f>
        <v/>
      </c>
      <c r="F172" s="4">
        <f>IF($T172="","",INDEX(Weekly_Inspections!$R$4:$R$996,$T172))</f>
        <v/>
      </c>
      <c r="G172" s="4">
        <f>IF($T172="","",INDEX(Weekly_Inspections!$AQ$4:$AQ$996,$T172))</f>
        <v/>
      </c>
      <c r="H172" s="4">
        <f>IF($T172="","",INDEX(Weekly_Inspections!$AP$4:$AP$996,$T172))</f>
        <v/>
      </c>
      <c r="I172" s="4">
        <f>IF($T172="","",INDEX(Weekly_Inspections!$AR$4:$AR$996,$T172))</f>
        <v/>
      </c>
      <c r="J172" s="4">
        <f>IF($T172="","",INDEX(Weekly_Inspections!$AS$4:$AS$996,$T172))</f>
        <v/>
      </c>
      <c r="K172" s="4">
        <f>IF($T172="","",INDEX(Weekly_Inspections!$AU$4:$AU$996,$T172))</f>
        <v/>
      </c>
      <c r="L172" s="17">
        <f>IF($T172="","",INDEX(Weekly_Inspections!$AV$4:$AV$996,$T172))</f>
        <v/>
      </c>
      <c r="M172" s="9">
        <f>IF($T172="","","Open")</f>
        <v/>
      </c>
      <c r="N172" s="8" t="n"/>
      <c r="O172" s="4">
        <f>IF(A172="","",IF(N172&lt;&gt;"",N172-B172,TODAY()-B172))</f>
        <v/>
      </c>
      <c r="P172" s="4">
        <f>IF(A172="","",IF(AND(M172&lt;&gt;"Closed",L172&lt;TODAY()),"YES","NO"))</f>
        <v/>
      </c>
      <c r="Q172" s="4">
        <f>IF($T172="","",INDEX(Weekly_Inspections!$AW$4:$AW$996,$T172))</f>
        <v/>
      </c>
      <c r="T172" s="2">
        <f>IFERROR(AGGREGATE(15,6,(ROW(Weekly_Inspections!$AS$4:$AS$996)-ROW(Weekly_Inspections!$AS$4)+1)/(((Weekly_Inspections!$AS$4:$AS$996&lt;&gt;"")+(Weekly_Inspections!$AQ$4:$AQ$996&lt;&gt;""))&gt;0),ROWS($T$4:T172)),"")</f>
        <v/>
      </c>
    </row>
    <row r="173">
      <c r="A173" s="4">
        <f>IF($T173="","","CAPA-"&amp;TEXT($T173,"000"))</f>
        <v/>
      </c>
      <c r="B173" s="17">
        <f>IF($T173="","",INDEX(Weekly_Inspections!$B$4:$B$996,$T173))</f>
        <v/>
      </c>
      <c r="C173" s="4">
        <f>IF($T173="","",INDEX(Weekly_Inspections!$E$4:$E$996,$T173))</f>
        <v/>
      </c>
      <c r="D173" s="4">
        <f>IF($T173="","",INDEX(Weekly_Inspections!$F$4:$F$996,$T173))</f>
        <v/>
      </c>
      <c r="E173" s="4">
        <f>IF($T173="","",INDEX(Weekly_Inspections!$H$4:$H$996,$T173))</f>
        <v/>
      </c>
      <c r="F173" s="4">
        <f>IF($T173="","",INDEX(Weekly_Inspections!$R$4:$R$996,$T173))</f>
        <v/>
      </c>
      <c r="G173" s="4">
        <f>IF($T173="","",INDEX(Weekly_Inspections!$AQ$4:$AQ$996,$T173))</f>
        <v/>
      </c>
      <c r="H173" s="4">
        <f>IF($T173="","",INDEX(Weekly_Inspections!$AP$4:$AP$996,$T173))</f>
        <v/>
      </c>
      <c r="I173" s="4">
        <f>IF($T173="","",INDEX(Weekly_Inspections!$AR$4:$AR$996,$T173))</f>
        <v/>
      </c>
      <c r="J173" s="4">
        <f>IF($T173="","",INDEX(Weekly_Inspections!$AS$4:$AS$996,$T173))</f>
        <v/>
      </c>
      <c r="K173" s="4">
        <f>IF($T173="","",INDEX(Weekly_Inspections!$AU$4:$AU$996,$T173))</f>
        <v/>
      </c>
      <c r="L173" s="17">
        <f>IF($T173="","",INDEX(Weekly_Inspections!$AV$4:$AV$996,$T173))</f>
        <v/>
      </c>
      <c r="M173" s="9">
        <f>IF($T173="","","Open")</f>
        <v/>
      </c>
      <c r="N173" s="8" t="n"/>
      <c r="O173" s="4">
        <f>IF(A173="","",IF(N173&lt;&gt;"",N173-B173,TODAY()-B173))</f>
        <v/>
      </c>
      <c r="P173" s="4">
        <f>IF(A173="","",IF(AND(M173&lt;&gt;"Closed",L173&lt;TODAY()),"YES","NO"))</f>
        <v/>
      </c>
      <c r="Q173" s="4">
        <f>IF($T173="","",INDEX(Weekly_Inspections!$AW$4:$AW$996,$T173))</f>
        <v/>
      </c>
      <c r="T173" s="2">
        <f>IFERROR(AGGREGATE(15,6,(ROW(Weekly_Inspections!$AS$4:$AS$996)-ROW(Weekly_Inspections!$AS$4)+1)/(((Weekly_Inspections!$AS$4:$AS$996&lt;&gt;"")+(Weekly_Inspections!$AQ$4:$AQ$996&lt;&gt;""))&gt;0),ROWS($T$4:T173)),"")</f>
        <v/>
      </c>
    </row>
    <row r="174">
      <c r="A174" s="4">
        <f>IF($T174="","","CAPA-"&amp;TEXT($T174,"000"))</f>
        <v/>
      </c>
      <c r="B174" s="17">
        <f>IF($T174="","",INDEX(Weekly_Inspections!$B$4:$B$996,$T174))</f>
        <v/>
      </c>
      <c r="C174" s="4">
        <f>IF($T174="","",INDEX(Weekly_Inspections!$E$4:$E$996,$T174))</f>
        <v/>
      </c>
      <c r="D174" s="4">
        <f>IF($T174="","",INDEX(Weekly_Inspections!$F$4:$F$996,$T174))</f>
        <v/>
      </c>
      <c r="E174" s="4">
        <f>IF($T174="","",INDEX(Weekly_Inspections!$H$4:$H$996,$T174))</f>
        <v/>
      </c>
      <c r="F174" s="4">
        <f>IF($T174="","",INDEX(Weekly_Inspections!$R$4:$R$996,$T174))</f>
        <v/>
      </c>
      <c r="G174" s="4">
        <f>IF($T174="","",INDEX(Weekly_Inspections!$AQ$4:$AQ$996,$T174))</f>
        <v/>
      </c>
      <c r="H174" s="4">
        <f>IF($T174="","",INDEX(Weekly_Inspections!$AP$4:$AP$996,$T174))</f>
        <v/>
      </c>
      <c r="I174" s="4">
        <f>IF($T174="","",INDEX(Weekly_Inspections!$AR$4:$AR$996,$T174))</f>
        <v/>
      </c>
      <c r="J174" s="4">
        <f>IF($T174="","",INDEX(Weekly_Inspections!$AS$4:$AS$996,$T174))</f>
        <v/>
      </c>
      <c r="K174" s="4">
        <f>IF($T174="","",INDEX(Weekly_Inspections!$AU$4:$AU$996,$T174))</f>
        <v/>
      </c>
      <c r="L174" s="17">
        <f>IF($T174="","",INDEX(Weekly_Inspections!$AV$4:$AV$996,$T174))</f>
        <v/>
      </c>
      <c r="M174" s="9">
        <f>IF($T174="","","Open")</f>
        <v/>
      </c>
      <c r="N174" s="8" t="n"/>
      <c r="O174" s="4">
        <f>IF(A174="","",IF(N174&lt;&gt;"",N174-B174,TODAY()-B174))</f>
        <v/>
      </c>
      <c r="P174" s="4">
        <f>IF(A174="","",IF(AND(M174&lt;&gt;"Closed",L174&lt;TODAY()),"YES","NO"))</f>
        <v/>
      </c>
      <c r="Q174" s="4">
        <f>IF($T174="","",INDEX(Weekly_Inspections!$AW$4:$AW$996,$T174))</f>
        <v/>
      </c>
      <c r="T174" s="2">
        <f>IFERROR(AGGREGATE(15,6,(ROW(Weekly_Inspections!$AS$4:$AS$996)-ROW(Weekly_Inspections!$AS$4)+1)/(((Weekly_Inspections!$AS$4:$AS$996&lt;&gt;"")+(Weekly_Inspections!$AQ$4:$AQ$996&lt;&gt;""))&gt;0),ROWS($T$4:T174)),"")</f>
        <v/>
      </c>
    </row>
    <row r="175">
      <c r="A175" s="4">
        <f>IF($T175="","","CAPA-"&amp;TEXT($T175,"000"))</f>
        <v/>
      </c>
      <c r="B175" s="17">
        <f>IF($T175="","",INDEX(Weekly_Inspections!$B$4:$B$996,$T175))</f>
        <v/>
      </c>
      <c r="C175" s="4">
        <f>IF($T175="","",INDEX(Weekly_Inspections!$E$4:$E$996,$T175))</f>
        <v/>
      </c>
      <c r="D175" s="4">
        <f>IF($T175="","",INDEX(Weekly_Inspections!$F$4:$F$996,$T175))</f>
        <v/>
      </c>
      <c r="E175" s="4">
        <f>IF($T175="","",INDEX(Weekly_Inspections!$H$4:$H$996,$T175))</f>
        <v/>
      </c>
      <c r="F175" s="4">
        <f>IF($T175="","",INDEX(Weekly_Inspections!$R$4:$R$996,$T175))</f>
        <v/>
      </c>
      <c r="G175" s="4">
        <f>IF($T175="","",INDEX(Weekly_Inspections!$AQ$4:$AQ$996,$T175))</f>
        <v/>
      </c>
      <c r="H175" s="4">
        <f>IF($T175="","",INDEX(Weekly_Inspections!$AP$4:$AP$996,$T175))</f>
        <v/>
      </c>
      <c r="I175" s="4">
        <f>IF($T175="","",INDEX(Weekly_Inspections!$AR$4:$AR$996,$T175))</f>
        <v/>
      </c>
      <c r="J175" s="4">
        <f>IF($T175="","",INDEX(Weekly_Inspections!$AS$4:$AS$996,$T175))</f>
        <v/>
      </c>
      <c r="K175" s="4">
        <f>IF($T175="","",INDEX(Weekly_Inspections!$AU$4:$AU$996,$T175))</f>
        <v/>
      </c>
      <c r="L175" s="17">
        <f>IF($T175="","",INDEX(Weekly_Inspections!$AV$4:$AV$996,$T175))</f>
        <v/>
      </c>
      <c r="M175" s="9">
        <f>IF($T175="","","Open")</f>
        <v/>
      </c>
      <c r="N175" s="8" t="n"/>
      <c r="O175" s="4">
        <f>IF(A175="","",IF(N175&lt;&gt;"",N175-B175,TODAY()-B175))</f>
        <v/>
      </c>
      <c r="P175" s="4">
        <f>IF(A175="","",IF(AND(M175&lt;&gt;"Closed",L175&lt;TODAY()),"YES","NO"))</f>
        <v/>
      </c>
      <c r="Q175" s="4">
        <f>IF($T175="","",INDEX(Weekly_Inspections!$AW$4:$AW$996,$T175))</f>
        <v/>
      </c>
      <c r="T175" s="2">
        <f>IFERROR(AGGREGATE(15,6,(ROW(Weekly_Inspections!$AS$4:$AS$996)-ROW(Weekly_Inspections!$AS$4)+1)/(((Weekly_Inspections!$AS$4:$AS$996&lt;&gt;"")+(Weekly_Inspections!$AQ$4:$AQ$996&lt;&gt;""))&gt;0),ROWS($T$4:T175)),"")</f>
        <v/>
      </c>
    </row>
    <row r="176">
      <c r="A176" s="4">
        <f>IF($T176="","","CAPA-"&amp;TEXT($T176,"000"))</f>
        <v/>
      </c>
      <c r="B176" s="17">
        <f>IF($T176="","",INDEX(Weekly_Inspections!$B$4:$B$996,$T176))</f>
        <v/>
      </c>
      <c r="C176" s="4">
        <f>IF($T176="","",INDEX(Weekly_Inspections!$E$4:$E$996,$T176))</f>
        <v/>
      </c>
      <c r="D176" s="4">
        <f>IF($T176="","",INDEX(Weekly_Inspections!$F$4:$F$996,$T176))</f>
        <v/>
      </c>
      <c r="E176" s="4">
        <f>IF($T176="","",INDEX(Weekly_Inspections!$H$4:$H$996,$T176))</f>
        <v/>
      </c>
      <c r="F176" s="4">
        <f>IF($T176="","",INDEX(Weekly_Inspections!$R$4:$R$996,$T176))</f>
        <v/>
      </c>
      <c r="G176" s="4">
        <f>IF($T176="","",INDEX(Weekly_Inspections!$AQ$4:$AQ$996,$T176))</f>
        <v/>
      </c>
      <c r="H176" s="4">
        <f>IF($T176="","",INDEX(Weekly_Inspections!$AP$4:$AP$996,$T176))</f>
        <v/>
      </c>
      <c r="I176" s="4">
        <f>IF($T176="","",INDEX(Weekly_Inspections!$AR$4:$AR$996,$T176))</f>
        <v/>
      </c>
      <c r="J176" s="4">
        <f>IF($T176="","",INDEX(Weekly_Inspections!$AS$4:$AS$996,$T176))</f>
        <v/>
      </c>
      <c r="K176" s="4">
        <f>IF($T176="","",INDEX(Weekly_Inspections!$AU$4:$AU$996,$T176))</f>
        <v/>
      </c>
      <c r="L176" s="17">
        <f>IF($T176="","",INDEX(Weekly_Inspections!$AV$4:$AV$996,$T176))</f>
        <v/>
      </c>
      <c r="M176" s="9">
        <f>IF($T176="","","Open")</f>
        <v/>
      </c>
      <c r="N176" s="8" t="n"/>
      <c r="O176" s="4">
        <f>IF(A176="","",IF(N176&lt;&gt;"",N176-B176,TODAY()-B176))</f>
        <v/>
      </c>
      <c r="P176" s="4">
        <f>IF(A176="","",IF(AND(M176&lt;&gt;"Closed",L176&lt;TODAY()),"YES","NO"))</f>
        <v/>
      </c>
      <c r="Q176" s="4">
        <f>IF($T176="","",INDEX(Weekly_Inspections!$AW$4:$AW$996,$T176))</f>
        <v/>
      </c>
      <c r="T176" s="2">
        <f>IFERROR(AGGREGATE(15,6,(ROW(Weekly_Inspections!$AS$4:$AS$996)-ROW(Weekly_Inspections!$AS$4)+1)/(((Weekly_Inspections!$AS$4:$AS$996&lt;&gt;"")+(Weekly_Inspections!$AQ$4:$AQ$996&lt;&gt;""))&gt;0),ROWS($T$4:T176)),"")</f>
        <v/>
      </c>
    </row>
    <row r="177">
      <c r="A177" s="4">
        <f>IF($T177="","","CAPA-"&amp;TEXT($T177,"000"))</f>
        <v/>
      </c>
      <c r="B177" s="17">
        <f>IF($T177="","",INDEX(Weekly_Inspections!$B$4:$B$996,$T177))</f>
        <v/>
      </c>
      <c r="C177" s="4">
        <f>IF($T177="","",INDEX(Weekly_Inspections!$E$4:$E$996,$T177))</f>
        <v/>
      </c>
      <c r="D177" s="4">
        <f>IF($T177="","",INDEX(Weekly_Inspections!$F$4:$F$996,$T177))</f>
        <v/>
      </c>
      <c r="E177" s="4">
        <f>IF($T177="","",INDEX(Weekly_Inspections!$H$4:$H$996,$T177))</f>
        <v/>
      </c>
      <c r="F177" s="4">
        <f>IF($T177="","",INDEX(Weekly_Inspections!$R$4:$R$996,$T177))</f>
        <v/>
      </c>
      <c r="G177" s="4">
        <f>IF($T177="","",INDEX(Weekly_Inspections!$AQ$4:$AQ$996,$T177))</f>
        <v/>
      </c>
      <c r="H177" s="4">
        <f>IF($T177="","",INDEX(Weekly_Inspections!$AP$4:$AP$996,$T177))</f>
        <v/>
      </c>
      <c r="I177" s="4">
        <f>IF($T177="","",INDEX(Weekly_Inspections!$AR$4:$AR$996,$T177))</f>
        <v/>
      </c>
      <c r="J177" s="4">
        <f>IF($T177="","",INDEX(Weekly_Inspections!$AS$4:$AS$996,$T177))</f>
        <v/>
      </c>
      <c r="K177" s="4">
        <f>IF($T177="","",INDEX(Weekly_Inspections!$AU$4:$AU$996,$T177))</f>
        <v/>
      </c>
      <c r="L177" s="17">
        <f>IF($T177="","",INDEX(Weekly_Inspections!$AV$4:$AV$996,$T177))</f>
        <v/>
      </c>
      <c r="M177" s="9">
        <f>IF($T177="","","Open")</f>
        <v/>
      </c>
      <c r="N177" s="8" t="n"/>
      <c r="O177" s="4">
        <f>IF(A177="","",IF(N177&lt;&gt;"",N177-B177,TODAY()-B177))</f>
        <v/>
      </c>
      <c r="P177" s="4">
        <f>IF(A177="","",IF(AND(M177&lt;&gt;"Closed",L177&lt;TODAY()),"YES","NO"))</f>
        <v/>
      </c>
      <c r="Q177" s="4">
        <f>IF($T177="","",INDEX(Weekly_Inspections!$AW$4:$AW$996,$T177))</f>
        <v/>
      </c>
      <c r="T177" s="2">
        <f>IFERROR(AGGREGATE(15,6,(ROW(Weekly_Inspections!$AS$4:$AS$996)-ROW(Weekly_Inspections!$AS$4)+1)/(((Weekly_Inspections!$AS$4:$AS$996&lt;&gt;"")+(Weekly_Inspections!$AQ$4:$AQ$996&lt;&gt;""))&gt;0),ROWS($T$4:T177)),"")</f>
        <v/>
      </c>
    </row>
    <row r="178">
      <c r="A178" s="4">
        <f>IF($T178="","","CAPA-"&amp;TEXT($T178,"000"))</f>
        <v/>
      </c>
      <c r="B178" s="17">
        <f>IF($T178="","",INDEX(Weekly_Inspections!$B$4:$B$996,$T178))</f>
        <v/>
      </c>
      <c r="C178" s="4">
        <f>IF($T178="","",INDEX(Weekly_Inspections!$E$4:$E$996,$T178))</f>
        <v/>
      </c>
      <c r="D178" s="4">
        <f>IF($T178="","",INDEX(Weekly_Inspections!$F$4:$F$996,$T178))</f>
        <v/>
      </c>
      <c r="E178" s="4">
        <f>IF($T178="","",INDEX(Weekly_Inspections!$H$4:$H$996,$T178))</f>
        <v/>
      </c>
      <c r="F178" s="4">
        <f>IF($T178="","",INDEX(Weekly_Inspections!$R$4:$R$996,$T178))</f>
        <v/>
      </c>
      <c r="G178" s="4">
        <f>IF($T178="","",INDEX(Weekly_Inspections!$AQ$4:$AQ$996,$T178))</f>
        <v/>
      </c>
      <c r="H178" s="4">
        <f>IF($T178="","",INDEX(Weekly_Inspections!$AP$4:$AP$996,$T178))</f>
        <v/>
      </c>
      <c r="I178" s="4">
        <f>IF($T178="","",INDEX(Weekly_Inspections!$AR$4:$AR$996,$T178))</f>
        <v/>
      </c>
      <c r="J178" s="4">
        <f>IF($T178="","",INDEX(Weekly_Inspections!$AS$4:$AS$996,$T178))</f>
        <v/>
      </c>
      <c r="K178" s="4">
        <f>IF($T178="","",INDEX(Weekly_Inspections!$AU$4:$AU$996,$T178))</f>
        <v/>
      </c>
      <c r="L178" s="17">
        <f>IF($T178="","",INDEX(Weekly_Inspections!$AV$4:$AV$996,$T178))</f>
        <v/>
      </c>
      <c r="M178" s="9">
        <f>IF($T178="","","Open")</f>
        <v/>
      </c>
      <c r="N178" s="8" t="n"/>
      <c r="O178" s="4">
        <f>IF(A178="","",IF(N178&lt;&gt;"",N178-B178,TODAY()-B178))</f>
        <v/>
      </c>
      <c r="P178" s="4">
        <f>IF(A178="","",IF(AND(M178&lt;&gt;"Closed",L178&lt;TODAY()),"YES","NO"))</f>
        <v/>
      </c>
      <c r="Q178" s="4">
        <f>IF($T178="","",INDEX(Weekly_Inspections!$AW$4:$AW$996,$T178))</f>
        <v/>
      </c>
      <c r="T178" s="2">
        <f>IFERROR(AGGREGATE(15,6,(ROW(Weekly_Inspections!$AS$4:$AS$996)-ROW(Weekly_Inspections!$AS$4)+1)/(((Weekly_Inspections!$AS$4:$AS$996&lt;&gt;"")+(Weekly_Inspections!$AQ$4:$AQ$996&lt;&gt;""))&gt;0),ROWS($T$4:T178)),"")</f>
        <v/>
      </c>
    </row>
    <row r="179">
      <c r="A179" s="4">
        <f>IF($T179="","","CAPA-"&amp;TEXT($T179,"000"))</f>
        <v/>
      </c>
      <c r="B179" s="17">
        <f>IF($T179="","",INDEX(Weekly_Inspections!$B$4:$B$996,$T179))</f>
        <v/>
      </c>
      <c r="C179" s="4">
        <f>IF($T179="","",INDEX(Weekly_Inspections!$E$4:$E$996,$T179))</f>
        <v/>
      </c>
      <c r="D179" s="4">
        <f>IF($T179="","",INDEX(Weekly_Inspections!$F$4:$F$996,$T179))</f>
        <v/>
      </c>
      <c r="E179" s="4">
        <f>IF($T179="","",INDEX(Weekly_Inspections!$H$4:$H$996,$T179))</f>
        <v/>
      </c>
      <c r="F179" s="4">
        <f>IF($T179="","",INDEX(Weekly_Inspections!$R$4:$R$996,$T179))</f>
        <v/>
      </c>
      <c r="G179" s="4">
        <f>IF($T179="","",INDEX(Weekly_Inspections!$AQ$4:$AQ$996,$T179))</f>
        <v/>
      </c>
      <c r="H179" s="4">
        <f>IF($T179="","",INDEX(Weekly_Inspections!$AP$4:$AP$996,$T179))</f>
        <v/>
      </c>
      <c r="I179" s="4">
        <f>IF($T179="","",INDEX(Weekly_Inspections!$AR$4:$AR$996,$T179))</f>
        <v/>
      </c>
      <c r="J179" s="4">
        <f>IF($T179="","",INDEX(Weekly_Inspections!$AS$4:$AS$996,$T179))</f>
        <v/>
      </c>
      <c r="K179" s="4">
        <f>IF($T179="","",INDEX(Weekly_Inspections!$AU$4:$AU$996,$T179))</f>
        <v/>
      </c>
      <c r="L179" s="17">
        <f>IF($T179="","",INDEX(Weekly_Inspections!$AV$4:$AV$996,$T179))</f>
        <v/>
      </c>
      <c r="M179" s="9">
        <f>IF($T179="","","Open")</f>
        <v/>
      </c>
      <c r="N179" s="8" t="n"/>
      <c r="O179" s="4">
        <f>IF(A179="","",IF(N179&lt;&gt;"",N179-B179,TODAY()-B179))</f>
        <v/>
      </c>
      <c r="P179" s="4">
        <f>IF(A179="","",IF(AND(M179&lt;&gt;"Closed",L179&lt;TODAY()),"YES","NO"))</f>
        <v/>
      </c>
      <c r="Q179" s="4">
        <f>IF($T179="","",INDEX(Weekly_Inspections!$AW$4:$AW$996,$T179))</f>
        <v/>
      </c>
      <c r="T179" s="2">
        <f>IFERROR(AGGREGATE(15,6,(ROW(Weekly_Inspections!$AS$4:$AS$996)-ROW(Weekly_Inspections!$AS$4)+1)/(((Weekly_Inspections!$AS$4:$AS$996&lt;&gt;"")+(Weekly_Inspections!$AQ$4:$AQ$996&lt;&gt;""))&gt;0),ROWS($T$4:T179)),"")</f>
        <v/>
      </c>
    </row>
    <row r="180">
      <c r="A180" s="4">
        <f>IF($T180="","","CAPA-"&amp;TEXT($T180,"000"))</f>
        <v/>
      </c>
      <c r="B180" s="17">
        <f>IF($T180="","",INDEX(Weekly_Inspections!$B$4:$B$996,$T180))</f>
        <v/>
      </c>
      <c r="C180" s="4">
        <f>IF($T180="","",INDEX(Weekly_Inspections!$E$4:$E$996,$T180))</f>
        <v/>
      </c>
      <c r="D180" s="4">
        <f>IF($T180="","",INDEX(Weekly_Inspections!$F$4:$F$996,$T180))</f>
        <v/>
      </c>
      <c r="E180" s="4">
        <f>IF($T180="","",INDEX(Weekly_Inspections!$H$4:$H$996,$T180))</f>
        <v/>
      </c>
      <c r="F180" s="4">
        <f>IF($T180="","",INDEX(Weekly_Inspections!$R$4:$R$996,$T180))</f>
        <v/>
      </c>
      <c r="G180" s="4">
        <f>IF($T180="","",INDEX(Weekly_Inspections!$AQ$4:$AQ$996,$T180))</f>
        <v/>
      </c>
      <c r="H180" s="4">
        <f>IF($T180="","",INDEX(Weekly_Inspections!$AP$4:$AP$996,$T180))</f>
        <v/>
      </c>
      <c r="I180" s="4">
        <f>IF($T180="","",INDEX(Weekly_Inspections!$AR$4:$AR$996,$T180))</f>
        <v/>
      </c>
      <c r="J180" s="4">
        <f>IF($T180="","",INDEX(Weekly_Inspections!$AS$4:$AS$996,$T180))</f>
        <v/>
      </c>
      <c r="K180" s="4">
        <f>IF($T180="","",INDEX(Weekly_Inspections!$AU$4:$AU$996,$T180))</f>
        <v/>
      </c>
      <c r="L180" s="17">
        <f>IF($T180="","",INDEX(Weekly_Inspections!$AV$4:$AV$996,$T180))</f>
        <v/>
      </c>
      <c r="M180" s="9">
        <f>IF($T180="","","Open")</f>
        <v/>
      </c>
      <c r="N180" s="8" t="n"/>
      <c r="O180" s="4">
        <f>IF(A180="","",IF(N180&lt;&gt;"",N180-B180,TODAY()-B180))</f>
        <v/>
      </c>
      <c r="P180" s="4">
        <f>IF(A180="","",IF(AND(M180&lt;&gt;"Closed",L180&lt;TODAY()),"YES","NO"))</f>
        <v/>
      </c>
      <c r="Q180" s="4">
        <f>IF($T180="","",INDEX(Weekly_Inspections!$AW$4:$AW$996,$T180))</f>
        <v/>
      </c>
      <c r="T180" s="2">
        <f>IFERROR(AGGREGATE(15,6,(ROW(Weekly_Inspections!$AS$4:$AS$996)-ROW(Weekly_Inspections!$AS$4)+1)/(((Weekly_Inspections!$AS$4:$AS$996&lt;&gt;"")+(Weekly_Inspections!$AQ$4:$AQ$996&lt;&gt;""))&gt;0),ROWS($T$4:T180)),"")</f>
        <v/>
      </c>
    </row>
    <row r="181">
      <c r="A181" s="4">
        <f>IF($T181="","","CAPA-"&amp;TEXT($T181,"000"))</f>
        <v/>
      </c>
      <c r="B181" s="17">
        <f>IF($T181="","",INDEX(Weekly_Inspections!$B$4:$B$996,$T181))</f>
        <v/>
      </c>
      <c r="C181" s="4">
        <f>IF($T181="","",INDEX(Weekly_Inspections!$E$4:$E$996,$T181))</f>
        <v/>
      </c>
      <c r="D181" s="4">
        <f>IF($T181="","",INDEX(Weekly_Inspections!$F$4:$F$996,$T181))</f>
        <v/>
      </c>
      <c r="E181" s="4">
        <f>IF($T181="","",INDEX(Weekly_Inspections!$H$4:$H$996,$T181))</f>
        <v/>
      </c>
      <c r="F181" s="4">
        <f>IF($T181="","",INDEX(Weekly_Inspections!$R$4:$R$996,$T181))</f>
        <v/>
      </c>
      <c r="G181" s="4">
        <f>IF($T181="","",INDEX(Weekly_Inspections!$AQ$4:$AQ$996,$T181))</f>
        <v/>
      </c>
      <c r="H181" s="4">
        <f>IF($T181="","",INDEX(Weekly_Inspections!$AP$4:$AP$996,$T181))</f>
        <v/>
      </c>
      <c r="I181" s="4">
        <f>IF($T181="","",INDEX(Weekly_Inspections!$AR$4:$AR$996,$T181))</f>
        <v/>
      </c>
      <c r="J181" s="4">
        <f>IF($T181="","",INDEX(Weekly_Inspections!$AS$4:$AS$996,$T181))</f>
        <v/>
      </c>
      <c r="K181" s="4">
        <f>IF($T181="","",INDEX(Weekly_Inspections!$AU$4:$AU$996,$T181))</f>
        <v/>
      </c>
      <c r="L181" s="17">
        <f>IF($T181="","",INDEX(Weekly_Inspections!$AV$4:$AV$996,$T181))</f>
        <v/>
      </c>
      <c r="M181" s="9">
        <f>IF($T181="","","Open")</f>
        <v/>
      </c>
      <c r="N181" s="8" t="n"/>
      <c r="O181" s="4">
        <f>IF(A181="","",IF(N181&lt;&gt;"",N181-B181,TODAY()-B181))</f>
        <v/>
      </c>
      <c r="P181" s="4">
        <f>IF(A181="","",IF(AND(M181&lt;&gt;"Closed",L181&lt;TODAY()),"YES","NO"))</f>
        <v/>
      </c>
      <c r="Q181" s="4">
        <f>IF($T181="","",INDEX(Weekly_Inspections!$AW$4:$AW$996,$T181))</f>
        <v/>
      </c>
      <c r="T181" s="2">
        <f>IFERROR(AGGREGATE(15,6,(ROW(Weekly_Inspections!$AS$4:$AS$996)-ROW(Weekly_Inspections!$AS$4)+1)/(((Weekly_Inspections!$AS$4:$AS$996&lt;&gt;"")+(Weekly_Inspections!$AQ$4:$AQ$996&lt;&gt;""))&gt;0),ROWS($T$4:T181)),"")</f>
        <v/>
      </c>
    </row>
    <row r="182">
      <c r="A182" s="4">
        <f>IF($T182="","","CAPA-"&amp;TEXT($T182,"000"))</f>
        <v/>
      </c>
      <c r="B182" s="17">
        <f>IF($T182="","",INDEX(Weekly_Inspections!$B$4:$B$996,$T182))</f>
        <v/>
      </c>
      <c r="C182" s="4">
        <f>IF($T182="","",INDEX(Weekly_Inspections!$E$4:$E$996,$T182))</f>
        <v/>
      </c>
      <c r="D182" s="4">
        <f>IF($T182="","",INDEX(Weekly_Inspections!$F$4:$F$996,$T182))</f>
        <v/>
      </c>
      <c r="E182" s="4">
        <f>IF($T182="","",INDEX(Weekly_Inspections!$H$4:$H$996,$T182))</f>
        <v/>
      </c>
      <c r="F182" s="4">
        <f>IF($T182="","",INDEX(Weekly_Inspections!$R$4:$R$996,$T182))</f>
        <v/>
      </c>
      <c r="G182" s="4">
        <f>IF($T182="","",INDEX(Weekly_Inspections!$AQ$4:$AQ$996,$T182))</f>
        <v/>
      </c>
      <c r="H182" s="4">
        <f>IF($T182="","",INDEX(Weekly_Inspections!$AP$4:$AP$996,$T182))</f>
        <v/>
      </c>
      <c r="I182" s="4">
        <f>IF($T182="","",INDEX(Weekly_Inspections!$AR$4:$AR$996,$T182))</f>
        <v/>
      </c>
      <c r="J182" s="4">
        <f>IF($T182="","",INDEX(Weekly_Inspections!$AS$4:$AS$996,$T182))</f>
        <v/>
      </c>
      <c r="K182" s="4">
        <f>IF($T182="","",INDEX(Weekly_Inspections!$AU$4:$AU$996,$T182))</f>
        <v/>
      </c>
      <c r="L182" s="17">
        <f>IF($T182="","",INDEX(Weekly_Inspections!$AV$4:$AV$996,$T182))</f>
        <v/>
      </c>
      <c r="M182" s="9">
        <f>IF($T182="","","Open")</f>
        <v/>
      </c>
      <c r="N182" s="8" t="n"/>
      <c r="O182" s="4">
        <f>IF(A182="","",IF(N182&lt;&gt;"",N182-B182,TODAY()-B182))</f>
        <v/>
      </c>
      <c r="P182" s="4">
        <f>IF(A182="","",IF(AND(M182&lt;&gt;"Closed",L182&lt;TODAY()),"YES","NO"))</f>
        <v/>
      </c>
      <c r="Q182" s="4">
        <f>IF($T182="","",INDEX(Weekly_Inspections!$AW$4:$AW$996,$T182))</f>
        <v/>
      </c>
      <c r="T182" s="2">
        <f>IFERROR(AGGREGATE(15,6,(ROW(Weekly_Inspections!$AS$4:$AS$996)-ROW(Weekly_Inspections!$AS$4)+1)/(((Weekly_Inspections!$AS$4:$AS$996&lt;&gt;"")+(Weekly_Inspections!$AQ$4:$AQ$996&lt;&gt;""))&gt;0),ROWS($T$4:T182)),"")</f>
        <v/>
      </c>
    </row>
    <row r="183">
      <c r="A183" s="4">
        <f>IF($T183="","","CAPA-"&amp;TEXT($T183,"000"))</f>
        <v/>
      </c>
      <c r="B183" s="17">
        <f>IF($T183="","",INDEX(Weekly_Inspections!$B$4:$B$996,$T183))</f>
        <v/>
      </c>
      <c r="C183" s="4">
        <f>IF($T183="","",INDEX(Weekly_Inspections!$E$4:$E$996,$T183))</f>
        <v/>
      </c>
      <c r="D183" s="4">
        <f>IF($T183="","",INDEX(Weekly_Inspections!$F$4:$F$996,$T183))</f>
        <v/>
      </c>
      <c r="E183" s="4">
        <f>IF($T183="","",INDEX(Weekly_Inspections!$H$4:$H$996,$T183))</f>
        <v/>
      </c>
      <c r="F183" s="4">
        <f>IF($T183="","",INDEX(Weekly_Inspections!$R$4:$R$996,$T183))</f>
        <v/>
      </c>
      <c r="G183" s="4">
        <f>IF($T183="","",INDEX(Weekly_Inspections!$AQ$4:$AQ$996,$T183))</f>
        <v/>
      </c>
      <c r="H183" s="4">
        <f>IF($T183="","",INDEX(Weekly_Inspections!$AP$4:$AP$996,$T183))</f>
        <v/>
      </c>
      <c r="I183" s="4">
        <f>IF($T183="","",INDEX(Weekly_Inspections!$AR$4:$AR$996,$T183))</f>
        <v/>
      </c>
      <c r="J183" s="4">
        <f>IF($T183="","",INDEX(Weekly_Inspections!$AS$4:$AS$996,$T183))</f>
        <v/>
      </c>
      <c r="K183" s="4">
        <f>IF($T183="","",INDEX(Weekly_Inspections!$AU$4:$AU$996,$T183))</f>
        <v/>
      </c>
      <c r="L183" s="17">
        <f>IF($T183="","",INDEX(Weekly_Inspections!$AV$4:$AV$996,$T183))</f>
        <v/>
      </c>
      <c r="M183" s="9">
        <f>IF($T183="","","Open")</f>
        <v/>
      </c>
      <c r="N183" s="8" t="n"/>
      <c r="O183" s="4">
        <f>IF(A183="","",IF(N183&lt;&gt;"",N183-B183,TODAY()-B183))</f>
        <v/>
      </c>
      <c r="P183" s="4">
        <f>IF(A183="","",IF(AND(M183&lt;&gt;"Closed",L183&lt;TODAY()),"YES","NO"))</f>
        <v/>
      </c>
      <c r="Q183" s="4">
        <f>IF($T183="","",INDEX(Weekly_Inspections!$AW$4:$AW$996,$T183))</f>
        <v/>
      </c>
      <c r="T183" s="2">
        <f>IFERROR(AGGREGATE(15,6,(ROW(Weekly_Inspections!$AS$4:$AS$996)-ROW(Weekly_Inspections!$AS$4)+1)/(((Weekly_Inspections!$AS$4:$AS$996&lt;&gt;"")+(Weekly_Inspections!$AQ$4:$AQ$996&lt;&gt;""))&gt;0),ROWS($T$4:T183)),"")</f>
        <v/>
      </c>
    </row>
    <row r="184">
      <c r="A184" s="4">
        <f>IF($T184="","","CAPA-"&amp;TEXT($T184,"000"))</f>
        <v/>
      </c>
      <c r="B184" s="17">
        <f>IF($T184="","",INDEX(Weekly_Inspections!$B$4:$B$996,$T184))</f>
        <v/>
      </c>
      <c r="C184" s="4">
        <f>IF($T184="","",INDEX(Weekly_Inspections!$E$4:$E$996,$T184))</f>
        <v/>
      </c>
      <c r="D184" s="4">
        <f>IF($T184="","",INDEX(Weekly_Inspections!$F$4:$F$996,$T184))</f>
        <v/>
      </c>
      <c r="E184" s="4">
        <f>IF($T184="","",INDEX(Weekly_Inspections!$H$4:$H$996,$T184))</f>
        <v/>
      </c>
      <c r="F184" s="4">
        <f>IF($T184="","",INDEX(Weekly_Inspections!$R$4:$R$996,$T184))</f>
        <v/>
      </c>
      <c r="G184" s="4">
        <f>IF($T184="","",INDEX(Weekly_Inspections!$AQ$4:$AQ$996,$T184))</f>
        <v/>
      </c>
      <c r="H184" s="4">
        <f>IF($T184="","",INDEX(Weekly_Inspections!$AP$4:$AP$996,$T184))</f>
        <v/>
      </c>
      <c r="I184" s="4">
        <f>IF($T184="","",INDEX(Weekly_Inspections!$AR$4:$AR$996,$T184))</f>
        <v/>
      </c>
      <c r="J184" s="4">
        <f>IF($T184="","",INDEX(Weekly_Inspections!$AS$4:$AS$996,$T184))</f>
        <v/>
      </c>
      <c r="K184" s="4">
        <f>IF($T184="","",INDEX(Weekly_Inspections!$AU$4:$AU$996,$T184))</f>
        <v/>
      </c>
      <c r="L184" s="17">
        <f>IF($T184="","",INDEX(Weekly_Inspections!$AV$4:$AV$996,$T184))</f>
        <v/>
      </c>
      <c r="M184" s="9">
        <f>IF($T184="","","Open")</f>
        <v/>
      </c>
      <c r="N184" s="8" t="n"/>
      <c r="O184" s="4">
        <f>IF(A184="","",IF(N184&lt;&gt;"",N184-B184,TODAY()-B184))</f>
        <v/>
      </c>
      <c r="P184" s="4">
        <f>IF(A184="","",IF(AND(M184&lt;&gt;"Closed",L184&lt;TODAY()),"YES","NO"))</f>
        <v/>
      </c>
      <c r="Q184" s="4">
        <f>IF($T184="","",INDEX(Weekly_Inspections!$AW$4:$AW$996,$T184))</f>
        <v/>
      </c>
      <c r="T184" s="2">
        <f>IFERROR(AGGREGATE(15,6,(ROW(Weekly_Inspections!$AS$4:$AS$996)-ROW(Weekly_Inspections!$AS$4)+1)/(((Weekly_Inspections!$AS$4:$AS$996&lt;&gt;"")+(Weekly_Inspections!$AQ$4:$AQ$996&lt;&gt;""))&gt;0),ROWS($T$4:T184)),"")</f>
        <v/>
      </c>
    </row>
    <row r="185">
      <c r="A185" s="4">
        <f>IF($T185="","","CAPA-"&amp;TEXT($T185,"000"))</f>
        <v/>
      </c>
      <c r="B185" s="17">
        <f>IF($T185="","",INDEX(Weekly_Inspections!$B$4:$B$996,$T185))</f>
        <v/>
      </c>
      <c r="C185" s="4">
        <f>IF($T185="","",INDEX(Weekly_Inspections!$E$4:$E$996,$T185))</f>
        <v/>
      </c>
      <c r="D185" s="4">
        <f>IF($T185="","",INDEX(Weekly_Inspections!$F$4:$F$996,$T185))</f>
        <v/>
      </c>
      <c r="E185" s="4">
        <f>IF($T185="","",INDEX(Weekly_Inspections!$H$4:$H$996,$T185))</f>
        <v/>
      </c>
      <c r="F185" s="4">
        <f>IF($T185="","",INDEX(Weekly_Inspections!$R$4:$R$996,$T185))</f>
        <v/>
      </c>
      <c r="G185" s="4">
        <f>IF($T185="","",INDEX(Weekly_Inspections!$AQ$4:$AQ$996,$T185))</f>
        <v/>
      </c>
      <c r="H185" s="4">
        <f>IF($T185="","",INDEX(Weekly_Inspections!$AP$4:$AP$996,$T185))</f>
        <v/>
      </c>
      <c r="I185" s="4">
        <f>IF($T185="","",INDEX(Weekly_Inspections!$AR$4:$AR$996,$T185))</f>
        <v/>
      </c>
      <c r="J185" s="4">
        <f>IF($T185="","",INDEX(Weekly_Inspections!$AS$4:$AS$996,$T185))</f>
        <v/>
      </c>
      <c r="K185" s="4">
        <f>IF($T185="","",INDEX(Weekly_Inspections!$AU$4:$AU$996,$T185))</f>
        <v/>
      </c>
      <c r="L185" s="17">
        <f>IF($T185="","",INDEX(Weekly_Inspections!$AV$4:$AV$996,$T185))</f>
        <v/>
      </c>
      <c r="M185" s="9">
        <f>IF($T185="","","Open")</f>
        <v/>
      </c>
      <c r="N185" s="8" t="n"/>
      <c r="O185" s="4">
        <f>IF(A185="","",IF(N185&lt;&gt;"",N185-B185,TODAY()-B185))</f>
        <v/>
      </c>
      <c r="P185" s="4">
        <f>IF(A185="","",IF(AND(M185&lt;&gt;"Closed",L185&lt;TODAY()),"YES","NO"))</f>
        <v/>
      </c>
      <c r="Q185" s="4">
        <f>IF($T185="","",INDEX(Weekly_Inspections!$AW$4:$AW$996,$T185))</f>
        <v/>
      </c>
      <c r="T185" s="2">
        <f>IFERROR(AGGREGATE(15,6,(ROW(Weekly_Inspections!$AS$4:$AS$996)-ROW(Weekly_Inspections!$AS$4)+1)/(((Weekly_Inspections!$AS$4:$AS$996&lt;&gt;"")+(Weekly_Inspections!$AQ$4:$AQ$996&lt;&gt;""))&gt;0),ROWS($T$4:T185)),"")</f>
        <v/>
      </c>
    </row>
    <row r="186">
      <c r="A186" s="4">
        <f>IF($T186="","","CAPA-"&amp;TEXT($T186,"000"))</f>
        <v/>
      </c>
      <c r="B186" s="17">
        <f>IF($T186="","",INDEX(Weekly_Inspections!$B$4:$B$996,$T186))</f>
        <v/>
      </c>
      <c r="C186" s="4">
        <f>IF($T186="","",INDEX(Weekly_Inspections!$E$4:$E$996,$T186))</f>
        <v/>
      </c>
      <c r="D186" s="4">
        <f>IF($T186="","",INDEX(Weekly_Inspections!$F$4:$F$996,$T186))</f>
        <v/>
      </c>
      <c r="E186" s="4">
        <f>IF($T186="","",INDEX(Weekly_Inspections!$H$4:$H$996,$T186))</f>
        <v/>
      </c>
      <c r="F186" s="4">
        <f>IF($T186="","",INDEX(Weekly_Inspections!$R$4:$R$996,$T186))</f>
        <v/>
      </c>
      <c r="G186" s="4">
        <f>IF($T186="","",INDEX(Weekly_Inspections!$AQ$4:$AQ$996,$T186))</f>
        <v/>
      </c>
      <c r="H186" s="4">
        <f>IF($T186="","",INDEX(Weekly_Inspections!$AP$4:$AP$996,$T186))</f>
        <v/>
      </c>
      <c r="I186" s="4">
        <f>IF($T186="","",INDEX(Weekly_Inspections!$AR$4:$AR$996,$T186))</f>
        <v/>
      </c>
      <c r="J186" s="4">
        <f>IF($T186="","",INDEX(Weekly_Inspections!$AS$4:$AS$996,$T186))</f>
        <v/>
      </c>
      <c r="K186" s="4">
        <f>IF($T186="","",INDEX(Weekly_Inspections!$AU$4:$AU$996,$T186))</f>
        <v/>
      </c>
      <c r="L186" s="17">
        <f>IF($T186="","",INDEX(Weekly_Inspections!$AV$4:$AV$996,$T186))</f>
        <v/>
      </c>
      <c r="M186" s="9">
        <f>IF($T186="","","Open")</f>
        <v/>
      </c>
      <c r="N186" s="8" t="n"/>
      <c r="O186" s="4">
        <f>IF(A186="","",IF(N186&lt;&gt;"",N186-B186,TODAY()-B186))</f>
        <v/>
      </c>
      <c r="P186" s="4">
        <f>IF(A186="","",IF(AND(M186&lt;&gt;"Closed",L186&lt;TODAY()),"YES","NO"))</f>
        <v/>
      </c>
      <c r="Q186" s="4">
        <f>IF($T186="","",INDEX(Weekly_Inspections!$AW$4:$AW$996,$T186))</f>
        <v/>
      </c>
      <c r="T186" s="2">
        <f>IFERROR(AGGREGATE(15,6,(ROW(Weekly_Inspections!$AS$4:$AS$996)-ROW(Weekly_Inspections!$AS$4)+1)/(((Weekly_Inspections!$AS$4:$AS$996&lt;&gt;"")+(Weekly_Inspections!$AQ$4:$AQ$996&lt;&gt;""))&gt;0),ROWS($T$4:T186)),"")</f>
        <v/>
      </c>
    </row>
    <row r="187">
      <c r="A187" s="4">
        <f>IF($T187="","","CAPA-"&amp;TEXT($T187,"000"))</f>
        <v/>
      </c>
      <c r="B187" s="17">
        <f>IF($T187="","",INDEX(Weekly_Inspections!$B$4:$B$996,$T187))</f>
        <v/>
      </c>
      <c r="C187" s="4">
        <f>IF($T187="","",INDEX(Weekly_Inspections!$E$4:$E$996,$T187))</f>
        <v/>
      </c>
      <c r="D187" s="4">
        <f>IF($T187="","",INDEX(Weekly_Inspections!$F$4:$F$996,$T187))</f>
        <v/>
      </c>
      <c r="E187" s="4">
        <f>IF($T187="","",INDEX(Weekly_Inspections!$H$4:$H$996,$T187))</f>
        <v/>
      </c>
      <c r="F187" s="4">
        <f>IF($T187="","",INDEX(Weekly_Inspections!$R$4:$R$996,$T187))</f>
        <v/>
      </c>
      <c r="G187" s="4">
        <f>IF($T187="","",INDEX(Weekly_Inspections!$AQ$4:$AQ$996,$T187))</f>
        <v/>
      </c>
      <c r="H187" s="4">
        <f>IF($T187="","",INDEX(Weekly_Inspections!$AP$4:$AP$996,$T187))</f>
        <v/>
      </c>
      <c r="I187" s="4">
        <f>IF($T187="","",INDEX(Weekly_Inspections!$AR$4:$AR$996,$T187))</f>
        <v/>
      </c>
      <c r="J187" s="4">
        <f>IF($T187="","",INDEX(Weekly_Inspections!$AS$4:$AS$996,$T187))</f>
        <v/>
      </c>
      <c r="K187" s="4">
        <f>IF($T187="","",INDEX(Weekly_Inspections!$AU$4:$AU$996,$T187))</f>
        <v/>
      </c>
      <c r="L187" s="17">
        <f>IF($T187="","",INDEX(Weekly_Inspections!$AV$4:$AV$996,$T187))</f>
        <v/>
      </c>
      <c r="M187" s="9">
        <f>IF($T187="","","Open")</f>
        <v/>
      </c>
      <c r="N187" s="8" t="n"/>
      <c r="O187" s="4">
        <f>IF(A187="","",IF(N187&lt;&gt;"",N187-B187,TODAY()-B187))</f>
        <v/>
      </c>
      <c r="P187" s="4">
        <f>IF(A187="","",IF(AND(M187&lt;&gt;"Closed",L187&lt;TODAY()),"YES","NO"))</f>
        <v/>
      </c>
      <c r="Q187" s="4">
        <f>IF($T187="","",INDEX(Weekly_Inspections!$AW$4:$AW$996,$T187))</f>
        <v/>
      </c>
      <c r="T187" s="2">
        <f>IFERROR(AGGREGATE(15,6,(ROW(Weekly_Inspections!$AS$4:$AS$996)-ROW(Weekly_Inspections!$AS$4)+1)/(((Weekly_Inspections!$AS$4:$AS$996&lt;&gt;"")+(Weekly_Inspections!$AQ$4:$AQ$996&lt;&gt;""))&gt;0),ROWS($T$4:T187)),"")</f>
        <v/>
      </c>
    </row>
    <row r="188">
      <c r="A188" s="4">
        <f>IF($T188="","","CAPA-"&amp;TEXT($T188,"000"))</f>
        <v/>
      </c>
      <c r="B188" s="17">
        <f>IF($T188="","",INDEX(Weekly_Inspections!$B$4:$B$996,$T188))</f>
        <v/>
      </c>
      <c r="C188" s="4">
        <f>IF($T188="","",INDEX(Weekly_Inspections!$E$4:$E$996,$T188))</f>
        <v/>
      </c>
      <c r="D188" s="4">
        <f>IF($T188="","",INDEX(Weekly_Inspections!$F$4:$F$996,$T188))</f>
        <v/>
      </c>
      <c r="E188" s="4">
        <f>IF($T188="","",INDEX(Weekly_Inspections!$H$4:$H$996,$T188))</f>
        <v/>
      </c>
      <c r="F188" s="4">
        <f>IF($T188="","",INDEX(Weekly_Inspections!$R$4:$R$996,$T188))</f>
        <v/>
      </c>
      <c r="G188" s="4">
        <f>IF($T188="","",INDEX(Weekly_Inspections!$AQ$4:$AQ$996,$T188))</f>
        <v/>
      </c>
      <c r="H188" s="4">
        <f>IF($T188="","",INDEX(Weekly_Inspections!$AP$4:$AP$996,$T188))</f>
        <v/>
      </c>
      <c r="I188" s="4">
        <f>IF($T188="","",INDEX(Weekly_Inspections!$AR$4:$AR$996,$T188))</f>
        <v/>
      </c>
      <c r="J188" s="4">
        <f>IF($T188="","",INDEX(Weekly_Inspections!$AS$4:$AS$996,$T188))</f>
        <v/>
      </c>
      <c r="K188" s="4">
        <f>IF($T188="","",INDEX(Weekly_Inspections!$AU$4:$AU$996,$T188))</f>
        <v/>
      </c>
      <c r="L188" s="17">
        <f>IF($T188="","",INDEX(Weekly_Inspections!$AV$4:$AV$996,$T188))</f>
        <v/>
      </c>
      <c r="M188" s="9">
        <f>IF($T188="","","Open")</f>
        <v/>
      </c>
      <c r="N188" s="8" t="n"/>
      <c r="O188" s="4">
        <f>IF(A188="","",IF(N188&lt;&gt;"",N188-B188,TODAY()-B188))</f>
        <v/>
      </c>
      <c r="P188" s="4">
        <f>IF(A188="","",IF(AND(M188&lt;&gt;"Closed",L188&lt;TODAY()),"YES","NO"))</f>
        <v/>
      </c>
      <c r="Q188" s="4">
        <f>IF($T188="","",INDEX(Weekly_Inspections!$AW$4:$AW$996,$T188))</f>
        <v/>
      </c>
      <c r="T188" s="2">
        <f>IFERROR(AGGREGATE(15,6,(ROW(Weekly_Inspections!$AS$4:$AS$996)-ROW(Weekly_Inspections!$AS$4)+1)/(((Weekly_Inspections!$AS$4:$AS$996&lt;&gt;"")+(Weekly_Inspections!$AQ$4:$AQ$996&lt;&gt;""))&gt;0),ROWS($T$4:T188)),"")</f>
        <v/>
      </c>
    </row>
    <row r="189">
      <c r="A189" s="4">
        <f>IF($T189="","","CAPA-"&amp;TEXT($T189,"000"))</f>
        <v/>
      </c>
      <c r="B189" s="17">
        <f>IF($T189="","",INDEX(Weekly_Inspections!$B$4:$B$996,$T189))</f>
        <v/>
      </c>
      <c r="C189" s="4">
        <f>IF($T189="","",INDEX(Weekly_Inspections!$E$4:$E$996,$T189))</f>
        <v/>
      </c>
      <c r="D189" s="4">
        <f>IF($T189="","",INDEX(Weekly_Inspections!$F$4:$F$996,$T189))</f>
        <v/>
      </c>
      <c r="E189" s="4">
        <f>IF($T189="","",INDEX(Weekly_Inspections!$H$4:$H$996,$T189))</f>
        <v/>
      </c>
      <c r="F189" s="4">
        <f>IF($T189="","",INDEX(Weekly_Inspections!$R$4:$R$996,$T189))</f>
        <v/>
      </c>
      <c r="G189" s="4">
        <f>IF($T189="","",INDEX(Weekly_Inspections!$AQ$4:$AQ$996,$T189))</f>
        <v/>
      </c>
      <c r="H189" s="4">
        <f>IF($T189="","",INDEX(Weekly_Inspections!$AP$4:$AP$996,$T189))</f>
        <v/>
      </c>
      <c r="I189" s="4">
        <f>IF($T189="","",INDEX(Weekly_Inspections!$AR$4:$AR$996,$T189))</f>
        <v/>
      </c>
      <c r="J189" s="4">
        <f>IF($T189="","",INDEX(Weekly_Inspections!$AS$4:$AS$996,$T189))</f>
        <v/>
      </c>
      <c r="K189" s="4">
        <f>IF($T189="","",INDEX(Weekly_Inspections!$AU$4:$AU$996,$T189))</f>
        <v/>
      </c>
      <c r="L189" s="17">
        <f>IF($T189="","",INDEX(Weekly_Inspections!$AV$4:$AV$996,$T189))</f>
        <v/>
      </c>
      <c r="M189" s="9">
        <f>IF($T189="","","Open")</f>
        <v/>
      </c>
      <c r="N189" s="8" t="n"/>
      <c r="O189" s="4">
        <f>IF(A189="","",IF(N189&lt;&gt;"",N189-B189,TODAY()-B189))</f>
        <v/>
      </c>
      <c r="P189" s="4">
        <f>IF(A189="","",IF(AND(M189&lt;&gt;"Closed",L189&lt;TODAY()),"YES","NO"))</f>
        <v/>
      </c>
      <c r="Q189" s="4">
        <f>IF($T189="","",INDEX(Weekly_Inspections!$AW$4:$AW$996,$T189))</f>
        <v/>
      </c>
      <c r="T189" s="2">
        <f>IFERROR(AGGREGATE(15,6,(ROW(Weekly_Inspections!$AS$4:$AS$996)-ROW(Weekly_Inspections!$AS$4)+1)/(((Weekly_Inspections!$AS$4:$AS$996&lt;&gt;"")+(Weekly_Inspections!$AQ$4:$AQ$996&lt;&gt;""))&gt;0),ROWS($T$4:T189)),"")</f>
        <v/>
      </c>
    </row>
    <row r="190">
      <c r="A190" s="4">
        <f>IF($T190="","","CAPA-"&amp;TEXT($T190,"000"))</f>
        <v/>
      </c>
      <c r="B190" s="17">
        <f>IF($T190="","",INDEX(Weekly_Inspections!$B$4:$B$996,$T190))</f>
        <v/>
      </c>
      <c r="C190" s="4">
        <f>IF($T190="","",INDEX(Weekly_Inspections!$E$4:$E$996,$T190))</f>
        <v/>
      </c>
      <c r="D190" s="4">
        <f>IF($T190="","",INDEX(Weekly_Inspections!$F$4:$F$996,$T190))</f>
        <v/>
      </c>
      <c r="E190" s="4">
        <f>IF($T190="","",INDEX(Weekly_Inspections!$H$4:$H$996,$T190))</f>
        <v/>
      </c>
      <c r="F190" s="4">
        <f>IF($T190="","",INDEX(Weekly_Inspections!$R$4:$R$996,$T190))</f>
        <v/>
      </c>
      <c r="G190" s="4">
        <f>IF($T190="","",INDEX(Weekly_Inspections!$AQ$4:$AQ$996,$T190))</f>
        <v/>
      </c>
      <c r="H190" s="4">
        <f>IF($T190="","",INDEX(Weekly_Inspections!$AP$4:$AP$996,$T190))</f>
        <v/>
      </c>
      <c r="I190" s="4">
        <f>IF($T190="","",INDEX(Weekly_Inspections!$AR$4:$AR$996,$T190))</f>
        <v/>
      </c>
      <c r="J190" s="4">
        <f>IF($T190="","",INDEX(Weekly_Inspections!$AS$4:$AS$996,$T190))</f>
        <v/>
      </c>
      <c r="K190" s="4">
        <f>IF($T190="","",INDEX(Weekly_Inspections!$AU$4:$AU$996,$T190))</f>
        <v/>
      </c>
      <c r="L190" s="17">
        <f>IF($T190="","",INDEX(Weekly_Inspections!$AV$4:$AV$996,$T190))</f>
        <v/>
      </c>
      <c r="M190" s="9">
        <f>IF($T190="","","Open")</f>
        <v/>
      </c>
      <c r="N190" s="8" t="n"/>
      <c r="O190" s="4">
        <f>IF(A190="","",IF(N190&lt;&gt;"",N190-B190,TODAY()-B190))</f>
        <v/>
      </c>
      <c r="P190" s="4">
        <f>IF(A190="","",IF(AND(M190&lt;&gt;"Closed",L190&lt;TODAY()),"YES","NO"))</f>
        <v/>
      </c>
      <c r="Q190" s="4">
        <f>IF($T190="","",INDEX(Weekly_Inspections!$AW$4:$AW$996,$T190))</f>
        <v/>
      </c>
      <c r="T190" s="2">
        <f>IFERROR(AGGREGATE(15,6,(ROW(Weekly_Inspections!$AS$4:$AS$996)-ROW(Weekly_Inspections!$AS$4)+1)/(((Weekly_Inspections!$AS$4:$AS$996&lt;&gt;"")+(Weekly_Inspections!$AQ$4:$AQ$996&lt;&gt;""))&gt;0),ROWS($T$4:T190)),"")</f>
        <v/>
      </c>
    </row>
    <row r="191">
      <c r="A191" s="4">
        <f>IF($T191="","","CAPA-"&amp;TEXT($T191,"000"))</f>
        <v/>
      </c>
      <c r="B191" s="17">
        <f>IF($T191="","",INDEX(Weekly_Inspections!$B$4:$B$996,$T191))</f>
        <v/>
      </c>
      <c r="C191" s="4">
        <f>IF($T191="","",INDEX(Weekly_Inspections!$E$4:$E$996,$T191))</f>
        <v/>
      </c>
      <c r="D191" s="4">
        <f>IF($T191="","",INDEX(Weekly_Inspections!$F$4:$F$996,$T191))</f>
        <v/>
      </c>
      <c r="E191" s="4">
        <f>IF($T191="","",INDEX(Weekly_Inspections!$H$4:$H$996,$T191))</f>
        <v/>
      </c>
      <c r="F191" s="4">
        <f>IF($T191="","",INDEX(Weekly_Inspections!$R$4:$R$996,$T191))</f>
        <v/>
      </c>
      <c r="G191" s="4">
        <f>IF($T191="","",INDEX(Weekly_Inspections!$AQ$4:$AQ$996,$T191))</f>
        <v/>
      </c>
      <c r="H191" s="4">
        <f>IF($T191="","",INDEX(Weekly_Inspections!$AP$4:$AP$996,$T191))</f>
        <v/>
      </c>
      <c r="I191" s="4">
        <f>IF($T191="","",INDEX(Weekly_Inspections!$AR$4:$AR$996,$T191))</f>
        <v/>
      </c>
      <c r="J191" s="4">
        <f>IF($T191="","",INDEX(Weekly_Inspections!$AS$4:$AS$996,$T191))</f>
        <v/>
      </c>
      <c r="K191" s="4">
        <f>IF($T191="","",INDEX(Weekly_Inspections!$AU$4:$AU$996,$T191))</f>
        <v/>
      </c>
      <c r="L191" s="17">
        <f>IF($T191="","",INDEX(Weekly_Inspections!$AV$4:$AV$996,$T191))</f>
        <v/>
      </c>
      <c r="M191" s="9">
        <f>IF($T191="","","Open")</f>
        <v/>
      </c>
      <c r="N191" s="8" t="n"/>
      <c r="O191" s="4">
        <f>IF(A191="","",IF(N191&lt;&gt;"",N191-B191,TODAY()-B191))</f>
        <v/>
      </c>
      <c r="P191" s="4">
        <f>IF(A191="","",IF(AND(M191&lt;&gt;"Closed",L191&lt;TODAY()),"YES","NO"))</f>
        <v/>
      </c>
      <c r="Q191" s="4">
        <f>IF($T191="","",INDEX(Weekly_Inspections!$AW$4:$AW$996,$T191))</f>
        <v/>
      </c>
      <c r="T191" s="2">
        <f>IFERROR(AGGREGATE(15,6,(ROW(Weekly_Inspections!$AS$4:$AS$996)-ROW(Weekly_Inspections!$AS$4)+1)/(((Weekly_Inspections!$AS$4:$AS$996&lt;&gt;"")+(Weekly_Inspections!$AQ$4:$AQ$996&lt;&gt;""))&gt;0),ROWS($T$4:T191)),"")</f>
        <v/>
      </c>
    </row>
    <row r="192">
      <c r="A192" s="4">
        <f>IF($T192="","","CAPA-"&amp;TEXT($T192,"000"))</f>
        <v/>
      </c>
      <c r="B192" s="17">
        <f>IF($T192="","",INDEX(Weekly_Inspections!$B$4:$B$996,$T192))</f>
        <v/>
      </c>
      <c r="C192" s="4">
        <f>IF($T192="","",INDEX(Weekly_Inspections!$E$4:$E$996,$T192))</f>
        <v/>
      </c>
      <c r="D192" s="4">
        <f>IF($T192="","",INDEX(Weekly_Inspections!$F$4:$F$996,$T192))</f>
        <v/>
      </c>
      <c r="E192" s="4">
        <f>IF($T192="","",INDEX(Weekly_Inspections!$H$4:$H$996,$T192))</f>
        <v/>
      </c>
      <c r="F192" s="4">
        <f>IF($T192="","",INDEX(Weekly_Inspections!$R$4:$R$996,$T192))</f>
        <v/>
      </c>
      <c r="G192" s="4">
        <f>IF($T192="","",INDEX(Weekly_Inspections!$AQ$4:$AQ$996,$T192))</f>
        <v/>
      </c>
      <c r="H192" s="4">
        <f>IF($T192="","",INDEX(Weekly_Inspections!$AP$4:$AP$996,$T192))</f>
        <v/>
      </c>
      <c r="I192" s="4">
        <f>IF($T192="","",INDEX(Weekly_Inspections!$AR$4:$AR$996,$T192))</f>
        <v/>
      </c>
      <c r="J192" s="4">
        <f>IF($T192="","",INDEX(Weekly_Inspections!$AS$4:$AS$996,$T192))</f>
        <v/>
      </c>
      <c r="K192" s="4">
        <f>IF($T192="","",INDEX(Weekly_Inspections!$AU$4:$AU$996,$T192))</f>
        <v/>
      </c>
      <c r="L192" s="17">
        <f>IF($T192="","",INDEX(Weekly_Inspections!$AV$4:$AV$996,$T192))</f>
        <v/>
      </c>
      <c r="M192" s="9">
        <f>IF($T192="","","Open")</f>
        <v/>
      </c>
      <c r="N192" s="8" t="n"/>
      <c r="O192" s="4">
        <f>IF(A192="","",IF(N192&lt;&gt;"",N192-B192,TODAY()-B192))</f>
        <v/>
      </c>
      <c r="P192" s="4">
        <f>IF(A192="","",IF(AND(M192&lt;&gt;"Closed",L192&lt;TODAY()),"YES","NO"))</f>
        <v/>
      </c>
      <c r="Q192" s="4">
        <f>IF($T192="","",INDEX(Weekly_Inspections!$AW$4:$AW$996,$T192))</f>
        <v/>
      </c>
      <c r="T192" s="2">
        <f>IFERROR(AGGREGATE(15,6,(ROW(Weekly_Inspections!$AS$4:$AS$996)-ROW(Weekly_Inspections!$AS$4)+1)/(((Weekly_Inspections!$AS$4:$AS$996&lt;&gt;"")+(Weekly_Inspections!$AQ$4:$AQ$996&lt;&gt;""))&gt;0),ROWS($T$4:T192)),"")</f>
        <v/>
      </c>
    </row>
    <row r="193">
      <c r="A193" s="4">
        <f>IF($T193="","","CAPA-"&amp;TEXT($T193,"000"))</f>
        <v/>
      </c>
      <c r="B193" s="17">
        <f>IF($T193="","",INDEX(Weekly_Inspections!$B$4:$B$996,$T193))</f>
        <v/>
      </c>
      <c r="C193" s="4">
        <f>IF($T193="","",INDEX(Weekly_Inspections!$E$4:$E$996,$T193))</f>
        <v/>
      </c>
      <c r="D193" s="4">
        <f>IF($T193="","",INDEX(Weekly_Inspections!$F$4:$F$996,$T193))</f>
        <v/>
      </c>
      <c r="E193" s="4">
        <f>IF($T193="","",INDEX(Weekly_Inspections!$H$4:$H$996,$T193))</f>
        <v/>
      </c>
      <c r="F193" s="4">
        <f>IF($T193="","",INDEX(Weekly_Inspections!$R$4:$R$996,$T193))</f>
        <v/>
      </c>
      <c r="G193" s="4">
        <f>IF($T193="","",INDEX(Weekly_Inspections!$AQ$4:$AQ$996,$T193))</f>
        <v/>
      </c>
      <c r="H193" s="4">
        <f>IF($T193="","",INDEX(Weekly_Inspections!$AP$4:$AP$996,$T193))</f>
        <v/>
      </c>
      <c r="I193" s="4">
        <f>IF($T193="","",INDEX(Weekly_Inspections!$AR$4:$AR$996,$T193))</f>
        <v/>
      </c>
      <c r="J193" s="4">
        <f>IF($T193="","",INDEX(Weekly_Inspections!$AS$4:$AS$996,$T193))</f>
        <v/>
      </c>
      <c r="K193" s="4">
        <f>IF($T193="","",INDEX(Weekly_Inspections!$AU$4:$AU$996,$T193))</f>
        <v/>
      </c>
      <c r="L193" s="17">
        <f>IF($T193="","",INDEX(Weekly_Inspections!$AV$4:$AV$996,$T193))</f>
        <v/>
      </c>
      <c r="M193" s="9">
        <f>IF($T193="","","Open")</f>
        <v/>
      </c>
      <c r="N193" s="8" t="n"/>
      <c r="O193" s="4">
        <f>IF(A193="","",IF(N193&lt;&gt;"",N193-B193,TODAY()-B193))</f>
        <v/>
      </c>
      <c r="P193" s="4">
        <f>IF(A193="","",IF(AND(M193&lt;&gt;"Closed",L193&lt;TODAY()),"YES","NO"))</f>
        <v/>
      </c>
      <c r="Q193" s="4">
        <f>IF($T193="","",INDEX(Weekly_Inspections!$AW$4:$AW$996,$T193))</f>
        <v/>
      </c>
      <c r="T193" s="2">
        <f>IFERROR(AGGREGATE(15,6,(ROW(Weekly_Inspections!$AS$4:$AS$996)-ROW(Weekly_Inspections!$AS$4)+1)/(((Weekly_Inspections!$AS$4:$AS$996&lt;&gt;"")+(Weekly_Inspections!$AQ$4:$AQ$996&lt;&gt;""))&gt;0),ROWS($T$4:T193)),"")</f>
        <v/>
      </c>
    </row>
    <row r="194">
      <c r="A194" s="4">
        <f>IF($T194="","","CAPA-"&amp;TEXT($T194,"000"))</f>
        <v/>
      </c>
      <c r="B194" s="17">
        <f>IF($T194="","",INDEX(Weekly_Inspections!$B$4:$B$996,$T194))</f>
        <v/>
      </c>
      <c r="C194" s="4">
        <f>IF($T194="","",INDEX(Weekly_Inspections!$E$4:$E$996,$T194))</f>
        <v/>
      </c>
      <c r="D194" s="4">
        <f>IF($T194="","",INDEX(Weekly_Inspections!$F$4:$F$996,$T194))</f>
        <v/>
      </c>
      <c r="E194" s="4">
        <f>IF($T194="","",INDEX(Weekly_Inspections!$H$4:$H$996,$T194))</f>
        <v/>
      </c>
      <c r="F194" s="4">
        <f>IF($T194="","",INDEX(Weekly_Inspections!$R$4:$R$996,$T194))</f>
        <v/>
      </c>
      <c r="G194" s="4">
        <f>IF($T194="","",INDEX(Weekly_Inspections!$AQ$4:$AQ$996,$T194))</f>
        <v/>
      </c>
      <c r="H194" s="4">
        <f>IF($T194="","",INDEX(Weekly_Inspections!$AP$4:$AP$996,$T194))</f>
        <v/>
      </c>
      <c r="I194" s="4">
        <f>IF($T194="","",INDEX(Weekly_Inspections!$AR$4:$AR$996,$T194))</f>
        <v/>
      </c>
      <c r="J194" s="4">
        <f>IF($T194="","",INDEX(Weekly_Inspections!$AS$4:$AS$996,$T194))</f>
        <v/>
      </c>
      <c r="K194" s="4">
        <f>IF($T194="","",INDEX(Weekly_Inspections!$AU$4:$AU$996,$T194))</f>
        <v/>
      </c>
      <c r="L194" s="17">
        <f>IF($T194="","",INDEX(Weekly_Inspections!$AV$4:$AV$996,$T194))</f>
        <v/>
      </c>
      <c r="M194" s="9">
        <f>IF($T194="","","Open")</f>
        <v/>
      </c>
      <c r="N194" s="8" t="n"/>
      <c r="O194" s="4">
        <f>IF(A194="","",IF(N194&lt;&gt;"",N194-B194,TODAY()-B194))</f>
        <v/>
      </c>
      <c r="P194" s="4">
        <f>IF(A194="","",IF(AND(M194&lt;&gt;"Closed",L194&lt;TODAY()),"YES","NO"))</f>
        <v/>
      </c>
      <c r="Q194" s="4">
        <f>IF($T194="","",INDEX(Weekly_Inspections!$AW$4:$AW$996,$T194))</f>
        <v/>
      </c>
      <c r="T194" s="2">
        <f>IFERROR(AGGREGATE(15,6,(ROW(Weekly_Inspections!$AS$4:$AS$996)-ROW(Weekly_Inspections!$AS$4)+1)/(((Weekly_Inspections!$AS$4:$AS$996&lt;&gt;"")+(Weekly_Inspections!$AQ$4:$AQ$996&lt;&gt;""))&gt;0),ROWS($T$4:T194)),"")</f>
        <v/>
      </c>
    </row>
    <row r="195">
      <c r="A195" s="4">
        <f>IF($T195="","","CAPA-"&amp;TEXT($T195,"000"))</f>
        <v/>
      </c>
      <c r="B195" s="17">
        <f>IF($T195="","",INDEX(Weekly_Inspections!$B$4:$B$996,$T195))</f>
        <v/>
      </c>
      <c r="C195" s="4">
        <f>IF($T195="","",INDEX(Weekly_Inspections!$E$4:$E$996,$T195))</f>
        <v/>
      </c>
      <c r="D195" s="4">
        <f>IF($T195="","",INDEX(Weekly_Inspections!$F$4:$F$996,$T195))</f>
        <v/>
      </c>
      <c r="E195" s="4">
        <f>IF($T195="","",INDEX(Weekly_Inspections!$H$4:$H$996,$T195))</f>
        <v/>
      </c>
      <c r="F195" s="4">
        <f>IF($T195="","",INDEX(Weekly_Inspections!$R$4:$R$996,$T195))</f>
        <v/>
      </c>
      <c r="G195" s="4">
        <f>IF($T195="","",INDEX(Weekly_Inspections!$AQ$4:$AQ$996,$T195))</f>
        <v/>
      </c>
      <c r="H195" s="4">
        <f>IF($T195="","",INDEX(Weekly_Inspections!$AP$4:$AP$996,$T195))</f>
        <v/>
      </c>
      <c r="I195" s="4">
        <f>IF($T195="","",INDEX(Weekly_Inspections!$AR$4:$AR$996,$T195))</f>
        <v/>
      </c>
      <c r="J195" s="4">
        <f>IF($T195="","",INDEX(Weekly_Inspections!$AS$4:$AS$996,$T195))</f>
        <v/>
      </c>
      <c r="K195" s="4">
        <f>IF($T195="","",INDEX(Weekly_Inspections!$AU$4:$AU$996,$T195))</f>
        <v/>
      </c>
      <c r="L195" s="17">
        <f>IF($T195="","",INDEX(Weekly_Inspections!$AV$4:$AV$996,$T195))</f>
        <v/>
      </c>
      <c r="M195" s="9">
        <f>IF($T195="","","Open")</f>
        <v/>
      </c>
      <c r="N195" s="8" t="n"/>
      <c r="O195" s="4">
        <f>IF(A195="","",IF(N195&lt;&gt;"",N195-B195,TODAY()-B195))</f>
        <v/>
      </c>
      <c r="P195" s="4">
        <f>IF(A195="","",IF(AND(M195&lt;&gt;"Closed",L195&lt;TODAY()),"YES","NO"))</f>
        <v/>
      </c>
      <c r="Q195" s="4">
        <f>IF($T195="","",INDEX(Weekly_Inspections!$AW$4:$AW$996,$T195))</f>
        <v/>
      </c>
      <c r="T195" s="2">
        <f>IFERROR(AGGREGATE(15,6,(ROW(Weekly_Inspections!$AS$4:$AS$996)-ROW(Weekly_Inspections!$AS$4)+1)/(((Weekly_Inspections!$AS$4:$AS$996&lt;&gt;"")+(Weekly_Inspections!$AQ$4:$AQ$996&lt;&gt;""))&gt;0),ROWS($T$4:T195)),"")</f>
        <v/>
      </c>
    </row>
    <row r="196">
      <c r="A196" s="4">
        <f>IF($T196="","","CAPA-"&amp;TEXT($T196,"000"))</f>
        <v/>
      </c>
      <c r="B196" s="17">
        <f>IF($T196="","",INDEX(Weekly_Inspections!$B$4:$B$996,$T196))</f>
        <v/>
      </c>
      <c r="C196" s="4">
        <f>IF($T196="","",INDEX(Weekly_Inspections!$E$4:$E$996,$T196))</f>
        <v/>
      </c>
      <c r="D196" s="4">
        <f>IF($T196="","",INDEX(Weekly_Inspections!$F$4:$F$996,$T196))</f>
        <v/>
      </c>
      <c r="E196" s="4">
        <f>IF($T196="","",INDEX(Weekly_Inspections!$H$4:$H$996,$T196))</f>
        <v/>
      </c>
      <c r="F196" s="4">
        <f>IF($T196="","",INDEX(Weekly_Inspections!$R$4:$R$996,$T196))</f>
        <v/>
      </c>
      <c r="G196" s="4">
        <f>IF($T196="","",INDEX(Weekly_Inspections!$AQ$4:$AQ$996,$T196))</f>
        <v/>
      </c>
      <c r="H196" s="4">
        <f>IF($T196="","",INDEX(Weekly_Inspections!$AP$4:$AP$996,$T196))</f>
        <v/>
      </c>
      <c r="I196" s="4">
        <f>IF($T196="","",INDEX(Weekly_Inspections!$AR$4:$AR$996,$T196))</f>
        <v/>
      </c>
      <c r="J196" s="4">
        <f>IF($T196="","",INDEX(Weekly_Inspections!$AS$4:$AS$996,$T196))</f>
        <v/>
      </c>
      <c r="K196" s="4">
        <f>IF($T196="","",INDEX(Weekly_Inspections!$AU$4:$AU$996,$T196))</f>
        <v/>
      </c>
      <c r="L196" s="17">
        <f>IF($T196="","",INDEX(Weekly_Inspections!$AV$4:$AV$996,$T196))</f>
        <v/>
      </c>
      <c r="M196" s="9">
        <f>IF($T196="","","Open")</f>
        <v/>
      </c>
      <c r="N196" s="8" t="n"/>
      <c r="O196" s="4">
        <f>IF(A196="","",IF(N196&lt;&gt;"",N196-B196,TODAY()-B196))</f>
        <v/>
      </c>
      <c r="P196" s="4">
        <f>IF(A196="","",IF(AND(M196&lt;&gt;"Closed",L196&lt;TODAY()),"YES","NO"))</f>
        <v/>
      </c>
      <c r="Q196" s="4">
        <f>IF($T196="","",INDEX(Weekly_Inspections!$AW$4:$AW$996,$T196))</f>
        <v/>
      </c>
      <c r="T196" s="2">
        <f>IFERROR(AGGREGATE(15,6,(ROW(Weekly_Inspections!$AS$4:$AS$996)-ROW(Weekly_Inspections!$AS$4)+1)/(((Weekly_Inspections!$AS$4:$AS$996&lt;&gt;"")+(Weekly_Inspections!$AQ$4:$AQ$996&lt;&gt;""))&gt;0),ROWS($T$4:T196)),"")</f>
        <v/>
      </c>
    </row>
    <row r="197">
      <c r="A197" s="4">
        <f>IF($T197="","","CAPA-"&amp;TEXT($T197,"000"))</f>
        <v/>
      </c>
      <c r="B197" s="17">
        <f>IF($T197="","",INDEX(Weekly_Inspections!$B$4:$B$996,$T197))</f>
        <v/>
      </c>
      <c r="C197" s="4">
        <f>IF($T197="","",INDEX(Weekly_Inspections!$E$4:$E$996,$T197))</f>
        <v/>
      </c>
      <c r="D197" s="4">
        <f>IF($T197="","",INDEX(Weekly_Inspections!$F$4:$F$996,$T197))</f>
        <v/>
      </c>
      <c r="E197" s="4">
        <f>IF($T197="","",INDEX(Weekly_Inspections!$H$4:$H$996,$T197))</f>
        <v/>
      </c>
      <c r="F197" s="4">
        <f>IF($T197="","",INDEX(Weekly_Inspections!$R$4:$R$996,$T197))</f>
        <v/>
      </c>
      <c r="G197" s="4">
        <f>IF($T197="","",INDEX(Weekly_Inspections!$AQ$4:$AQ$996,$T197))</f>
        <v/>
      </c>
      <c r="H197" s="4">
        <f>IF($T197="","",INDEX(Weekly_Inspections!$AP$4:$AP$996,$T197))</f>
        <v/>
      </c>
      <c r="I197" s="4">
        <f>IF($T197="","",INDEX(Weekly_Inspections!$AR$4:$AR$996,$T197))</f>
        <v/>
      </c>
      <c r="J197" s="4">
        <f>IF($T197="","",INDEX(Weekly_Inspections!$AS$4:$AS$996,$T197))</f>
        <v/>
      </c>
      <c r="K197" s="4">
        <f>IF($T197="","",INDEX(Weekly_Inspections!$AU$4:$AU$996,$T197))</f>
        <v/>
      </c>
      <c r="L197" s="17">
        <f>IF($T197="","",INDEX(Weekly_Inspections!$AV$4:$AV$996,$T197))</f>
        <v/>
      </c>
      <c r="M197" s="9">
        <f>IF($T197="","","Open")</f>
        <v/>
      </c>
      <c r="N197" s="8" t="n"/>
      <c r="O197" s="4">
        <f>IF(A197="","",IF(N197&lt;&gt;"",N197-B197,TODAY()-B197))</f>
        <v/>
      </c>
      <c r="P197" s="4">
        <f>IF(A197="","",IF(AND(M197&lt;&gt;"Closed",L197&lt;TODAY()),"YES","NO"))</f>
        <v/>
      </c>
      <c r="Q197" s="4">
        <f>IF($T197="","",INDEX(Weekly_Inspections!$AW$4:$AW$996,$T197))</f>
        <v/>
      </c>
      <c r="T197" s="2">
        <f>IFERROR(AGGREGATE(15,6,(ROW(Weekly_Inspections!$AS$4:$AS$996)-ROW(Weekly_Inspections!$AS$4)+1)/(((Weekly_Inspections!$AS$4:$AS$996&lt;&gt;"")+(Weekly_Inspections!$AQ$4:$AQ$996&lt;&gt;""))&gt;0),ROWS($T$4:T197)),"")</f>
        <v/>
      </c>
    </row>
    <row r="198">
      <c r="A198" s="4">
        <f>IF($T198="","","CAPA-"&amp;TEXT($T198,"000"))</f>
        <v/>
      </c>
      <c r="B198" s="17">
        <f>IF($T198="","",INDEX(Weekly_Inspections!$B$4:$B$996,$T198))</f>
        <v/>
      </c>
      <c r="C198" s="4">
        <f>IF($T198="","",INDEX(Weekly_Inspections!$E$4:$E$996,$T198))</f>
        <v/>
      </c>
      <c r="D198" s="4">
        <f>IF($T198="","",INDEX(Weekly_Inspections!$F$4:$F$996,$T198))</f>
        <v/>
      </c>
      <c r="E198" s="4">
        <f>IF($T198="","",INDEX(Weekly_Inspections!$H$4:$H$996,$T198))</f>
        <v/>
      </c>
      <c r="F198" s="4">
        <f>IF($T198="","",INDEX(Weekly_Inspections!$R$4:$R$996,$T198))</f>
        <v/>
      </c>
      <c r="G198" s="4">
        <f>IF($T198="","",INDEX(Weekly_Inspections!$AQ$4:$AQ$996,$T198))</f>
        <v/>
      </c>
      <c r="H198" s="4">
        <f>IF($T198="","",INDEX(Weekly_Inspections!$AP$4:$AP$996,$T198))</f>
        <v/>
      </c>
      <c r="I198" s="4">
        <f>IF($T198="","",INDEX(Weekly_Inspections!$AR$4:$AR$996,$T198))</f>
        <v/>
      </c>
      <c r="J198" s="4">
        <f>IF($T198="","",INDEX(Weekly_Inspections!$AS$4:$AS$996,$T198))</f>
        <v/>
      </c>
      <c r="K198" s="4">
        <f>IF($T198="","",INDEX(Weekly_Inspections!$AU$4:$AU$996,$T198))</f>
        <v/>
      </c>
      <c r="L198" s="17">
        <f>IF($T198="","",INDEX(Weekly_Inspections!$AV$4:$AV$996,$T198))</f>
        <v/>
      </c>
      <c r="M198" s="9">
        <f>IF($T198="","","Open")</f>
        <v/>
      </c>
      <c r="N198" s="8" t="n"/>
      <c r="O198" s="4">
        <f>IF(A198="","",IF(N198&lt;&gt;"",N198-B198,TODAY()-B198))</f>
        <v/>
      </c>
      <c r="P198" s="4">
        <f>IF(A198="","",IF(AND(M198&lt;&gt;"Closed",L198&lt;TODAY()),"YES","NO"))</f>
        <v/>
      </c>
      <c r="Q198" s="4">
        <f>IF($T198="","",INDEX(Weekly_Inspections!$AW$4:$AW$996,$T198))</f>
        <v/>
      </c>
      <c r="T198" s="2">
        <f>IFERROR(AGGREGATE(15,6,(ROW(Weekly_Inspections!$AS$4:$AS$996)-ROW(Weekly_Inspections!$AS$4)+1)/(((Weekly_Inspections!$AS$4:$AS$996&lt;&gt;"")+(Weekly_Inspections!$AQ$4:$AQ$996&lt;&gt;""))&gt;0),ROWS($T$4:T198)),"")</f>
        <v/>
      </c>
    </row>
    <row r="199">
      <c r="A199" s="4">
        <f>IF($T199="","","CAPA-"&amp;TEXT($T199,"000"))</f>
        <v/>
      </c>
      <c r="B199" s="17">
        <f>IF($T199="","",INDEX(Weekly_Inspections!$B$4:$B$996,$T199))</f>
        <v/>
      </c>
      <c r="C199" s="4">
        <f>IF($T199="","",INDEX(Weekly_Inspections!$E$4:$E$996,$T199))</f>
        <v/>
      </c>
      <c r="D199" s="4">
        <f>IF($T199="","",INDEX(Weekly_Inspections!$F$4:$F$996,$T199))</f>
        <v/>
      </c>
      <c r="E199" s="4">
        <f>IF($T199="","",INDEX(Weekly_Inspections!$H$4:$H$996,$T199))</f>
        <v/>
      </c>
      <c r="F199" s="4">
        <f>IF($T199="","",INDEX(Weekly_Inspections!$R$4:$R$996,$T199))</f>
        <v/>
      </c>
      <c r="G199" s="4">
        <f>IF($T199="","",INDEX(Weekly_Inspections!$AQ$4:$AQ$996,$T199))</f>
        <v/>
      </c>
      <c r="H199" s="4">
        <f>IF($T199="","",INDEX(Weekly_Inspections!$AP$4:$AP$996,$T199))</f>
        <v/>
      </c>
      <c r="I199" s="4">
        <f>IF($T199="","",INDEX(Weekly_Inspections!$AR$4:$AR$996,$T199))</f>
        <v/>
      </c>
      <c r="J199" s="4">
        <f>IF($T199="","",INDEX(Weekly_Inspections!$AS$4:$AS$996,$T199))</f>
        <v/>
      </c>
      <c r="K199" s="4">
        <f>IF($T199="","",INDEX(Weekly_Inspections!$AU$4:$AU$996,$T199))</f>
        <v/>
      </c>
      <c r="L199" s="17">
        <f>IF($T199="","",INDEX(Weekly_Inspections!$AV$4:$AV$996,$T199))</f>
        <v/>
      </c>
      <c r="M199" s="9">
        <f>IF($T199="","","Open")</f>
        <v/>
      </c>
      <c r="N199" s="8" t="n"/>
      <c r="O199" s="4">
        <f>IF(A199="","",IF(N199&lt;&gt;"",N199-B199,TODAY()-B199))</f>
        <v/>
      </c>
      <c r="P199" s="4">
        <f>IF(A199="","",IF(AND(M199&lt;&gt;"Closed",L199&lt;TODAY()),"YES","NO"))</f>
        <v/>
      </c>
      <c r="Q199" s="4">
        <f>IF($T199="","",INDEX(Weekly_Inspections!$AW$4:$AW$996,$T199))</f>
        <v/>
      </c>
      <c r="T199" s="2">
        <f>IFERROR(AGGREGATE(15,6,(ROW(Weekly_Inspections!$AS$4:$AS$996)-ROW(Weekly_Inspections!$AS$4)+1)/(((Weekly_Inspections!$AS$4:$AS$996&lt;&gt;"")+(Weekly_Inspections!$AQ$4:$AQ$996&lt;&gt;""))&gt;0),ROWS($T$4:T199)),"")</f>
        <v/>
      </c>
    </row>
    <row r="200">
      <c r="A200" s="4">
        <f>IF($T200="","","CAPA-"&amp;TEXT($T200,"000"))</f>
        <v/>
      </c>
      <c r="B200" s="17">
        <f>IF($T200="","",INDEX(Weekly_Inspections!$B$4:$B$996,$T200))</f>
        <v/>
      </c>
      <c r="C200" s="4">
        <f>IF($T200="","",INDEX(Weekly_Inspections!$E$4:$E$996,$T200))</f>
        <v/>
      </c>
      <c r="D200" s="4">
        <f>IF($T200="","",INDEX(Weekly_Inspections!$F$4:$F$996,$T200))</f>
        <v/>
      </c>
      <c r="E200" s="4">
        <f>IF($T200="","",INDEX(Weekly_Inspections!$H$4:$H$996,$T200))</f>
        <v/>
      </c>
      <c r="F200" s="4">
        <f>IF($T200="","",INDEX(Weekly_Inspections!$R$4:$R$996,$T200))</f>
        <v/>
      </c>
      <c r="G200" s="4">
        <f>IF($T200="","",INDEX(Weekly_Inspections!$AQ$4:$AQ$996,$T200))</f>
        <v/>
      </c>
      <c r="H200" s="4">
        <f>IF($T200="","",INDEX(Weekly_Inspections!$AP$4:$AP$996,$T200))</f>
        <v/>
      </c>
      <c r="I200" s="4">
        <f>IF($T200="","",INDEX(Weekly_Inspections!$AR$4:$AR$996,$T200))</f>
        <v/>
      </c>
      <c r="J200" s="4">
        <f>IF($T200="","",INDEX(Weekly_Inspections!$AS$4:$AS$996,$T200))</f>
        <v/>
      </c>
      <c r="K200" s="4">
        <f>IF($T200="","",INDEX(Weekly_Inspections!$AU$4:$AU$996,$T200))</f>
        <v/>
      </c>
      <c r="L200" s="17">
        <f>IF($T200="","",INDEX(Weekly_Inspections!$AV$4:$AV$996,$T200))</f>
        <v/>
      </c>
      <c r="M200" s="9">
        <f>IF($T200="","","Open")</f>
        <v/>
      </c>
      <c r="N200" s="8" t="n"/>
      <c r="O200" s="4">
        <f>IF(A200="","",IF(N200&lt;&gt;"",N200-B200,TODAY()-B200))</f>
        <v/>
      </c>
      <c r="P200" s="4">
        <f>IF(A200="","",IF(AND(M200&lt;&gt;"Closed",L200&lt;TODAY()),"YES","NO"))</f>
        <v/>
      </c>
      <c r="Q200" s="4">
        <f>IF($T200="","",INDEX(Weekly_Inspections!$AW$4:$AW$996,$T200))</f>
        <v/>
      </c>
      <c r="T200" s="2">
        <f>IFERROR(AGGREGATE(15,6,(ROW(Weekly_Inspections!$AS$4:$AS$996)-ROW(Weekly_Inspections!$AS$4)+1)/(((Weekly_Inspections!$AS$4:$AS$996&lt;&gt;"")+(Weekly_Inspections!$AQ$4:$AQ$996&lt;&gt;""))&gt;0),ROWS($T$4:T200)),"")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3:Q200"/>
  <dataValidations count="1">
    <dataValidation sqref="M4:M200" showDropDown="0" showInputMessage="0" showErrorMessage="0" allowBlank="1" type="list">
      <formula1>=Status_List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2026-03-31T03:54:05Z</dcterms:created>
  <dcterms:modified xmlns:dcterms="http://purl.org/dc/terms/" xmlns:xsi="http://www.w3.org/2001/XMLSchema-instance" xsi:type="dcterms:W3CDTF">2026-03-31T03:54:08Z</dcterms:modified>
</cp:coreProperties>
</file>
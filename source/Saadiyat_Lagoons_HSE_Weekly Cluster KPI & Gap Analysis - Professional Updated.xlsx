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luster_Mast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KPI_Weights" sheetId="4" state="visible" r:id="rId4"/>
    <sheet xmlns:r="http://schemas.openxmlformats.org/officeDocument/2006/relationships" name="Weekly_Inspections" sheetId="5" state="visible" r:id="rId5"/>
    <sheet xmlns:r="http://schemas.openxmlformats.org/officeDocument/2006/relationships" name="Weekly_Dashboard" sheetId="6" state="visible" r:id="rId6"/>
    <sheet xmlns:r="http://schemas.openxmlformats.org/officeDocument/2006/relationships" name="Monthly_Dashboard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CAPA_Tracker" sheetId="9" state="visible" r:id="rId9"/>
  </sheets>
  <definedNames>
    <definedName name="Cluster_List">Lookups!$B$4:$B$18</definedName>
    <definedName name="Evaluator_Role_List">Lookups!$C$4:$C$12</definedName>
    <definedName name="High_Risk_Activity_List">Lookups!$D$4:$D$19</definedName>
    <definedName name="KPI_List">Lookups!$H$4:$H$18</definedName>
    <definedName name="Package_List">Lookups!$A$4:$A$6</definedName>
    <definedName name="Root_Cause_List">Lookups!$F$4:$F$14</definedName>
    <definedName name="Score_List">Lookups!$I$2:$I$7</definedName>
    <definedName name="Status_List">Lookups!$G$4:$G$7</definedName>
    <definedName name="Yes_No_List">Lookups!$E$4:$E$5</definedName>
  </definedNames>
</workbook>
</file>

<file path=xl/styles.xml><?xml version="1.0" encoding="utf-8"?>
<styleSheet xmlns="http://schemas.openxmlformats.org/spreadsheetml/2006/main">
  <numFmts count="2">
    <numFmt numFmtId="164" formatCode="0.0%"/>
    <numFmt numFmtId="165" formatCode="dd\-mmm\-yyyy"/>
  </numFmts>
  <fonts count="13">
    <font>
      <name val="Arial"/>
      <family val="2"/>
      <sz val="10"/>
    </font>
    <font>
      <name val="Cambria"/>
      <family val="1"/>
      <b val="1"/>
      <color rgb="FFFFFFFF"/>
      <sz val="14"/>
    </font>
    <font>
      <name val="Cambria"/>
      <family val="1"/>
      <sz val="11"/>
    </font>
    <font>
      <name val="Calibri"/>
      <family val="2"/>
      <color rgb="FF000000"/>
      <sz val="10"/>
    </font>
    <font>
      <name val="Cambria"/>
      <family val="1"/>
      <b val="1"/>
      <sz val="12"/>
    </font>
    <font>
      <name val="Calibri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Calibri"/>
      <family val="2"/>
      <i val="1"/>
      <color rgb="FF404040"/>
      <sz val="11"/>
    </font>
    <font>
      <name val="Calibri"/>
      <family val="2"/>
      <b val="1"/>
      <color rgb="FF000000"/>
      <sz val="10"/>
    </font>
    <font>
      <name val="Calibri"/>
      <family val="2"/>
      <color theme="1"/>
      <sz val="11"/>
    </font>
    <font>
      <name val="Cambria"/>
      <family val="1"/>
      <b val="1"/>
      <sz val="14"/>
    </font>
    <font>
      <name val="Cambria"/>
      <family val="1"/>
      <i val="1"/>
      <color rgb="FF666666"/>
      <sz val="11"/>
    </font>
    <font>
      <name val="Calibri"/>
      <family val="2"/>
      <color rgb="FF0000FF"/>
      <sz val="10"/>
    </font>
  </fonts>
  <fills count="1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DE9E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DF3F8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EAF3FF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9" fillId="0" borderId="0"/>
  </cellStyleXfs>
  <cellXfs count="48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4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  <xf numFmtId="0" fontId="8" fillId="10" borderId="1" pivotButton="0" quotePrefix="0" xfId="0"/>
    <xf numFmtId="164" fontId="9" fillId="10" borderId="1" pivotButton="0" quotePrefix="0" xfId="0"/>
    <xf numFmtId="0" fontId="6" fillId="2" borderId="3" applyAlignment="1" pivotButton="0" quotePrefix="0" xfId="0">
      <alignment horizontal="center" vertical="center" wrapText="1"/>
    </xf>
    <xf numFmtId="0" fontId="3" fillId="11" borderId="2" applyAlignment="1" pivotButton="0" quotePrefix="0" xfId="0">
      <alignment vertical="top" wrapText="1"/>
    </xf>
    <xf numFmtId="165" fontId="3" fillId="12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3" fillId="11" borderId="4" applyAlignment="1" pivotButton="0" quotePrefix="0" xfId="0">
      <alignment vertical="center"/>
    </xf>
    <xf numFmtId="0" fontId="12" fillId="12" borderId="4" applyAlignment="1" pivotButton="0" quotePrefix="0" xfId="0">
      <alignment vertical="center" wrapText="1"/>
    </xf>
    <xf numFmtId="0" fontId="12" fillId="12" borderId="4" applyAlignment="1" pivotButton="0" quotePrefix="0" xfId="0">
      <alignment horizontal="center" vertical="center"/>
    </xf>
    <xf numFmtId="164" fontId="3" fillId="11" borderId="2" applyAlignment="1" pivotButton="0" quotePrefix="0" xfId="0">
      <alignment vertical="top" wrapText="1"/>
    </xf>
    <xf numFmtId="0" fontId="12" fillId="13" borderId="2" applyAlignment="1" pivotButton="0" quotePrefix="0" xfId="0">
      <alignment vertical="top" wrapText="1"/>
    </xf>
    <xf numFmtId="165" fontId="12" fillId="12" borderId="4" applyAlignment="1" pivotButton="0" quotePrefix="0" xfId="0">
      <alignment vertical="center" wrapText="1"/>
    </xf>
    <xf numFmtId="0" fontId="8" fillId="0" borderId="0" pivotButton="0" quotePrefix="0" xfId="0"/>
    <xf numFmtId="0" fontId="12" fillId="13" borderId="2" pivotButton="0" quotePrefix="0" xfId="0"/>
    <xf numFmtId="0" fontId="8" fillId="0" borderId="2" applyAlignment="1" pivotButton="0" quotePrefix="0" xfId="0">
      <alignment vertical="top" wrapText="1"/>
    </xf>
    <xf numFmtId="0" fontId="12" fillId="0" borderId="2" pivotButton="0" quotePrefix="0" xfId="0"/>
    <xf numFmtId="0" fontId="3" fillId="14" borderId="2" applyAlignment="1" pivotButton="0" quotePrefix="0" xfId="0">
      <alignment vertical="top" wrapText="1"/>
    </xf>
    <xf numFmtId="165" fontId="12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165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 wrapText="1"/>
    </xf>
    <xf numFmtId="0" fontId="3" fillId="15" borderId="2" applyAlignment="1" pivotButton="0" quotePrefix="0" xfId="0">
      <alignment vertical="top" wrapText="1"/>
    </xf>
    <xf numFmtId="165" fontId="3" fillId="12" borderId="4" applyAlignment="1" pivotButton="0" quotePrefix="0" xfId="0">
      <alignment vertical="center" wrapText="1"/>
    </xf>
    <xf numFmtId="0" fontId="3" fillId="12" borderId="4" applyAlignment="1" pivotButton="0" quotePrefix="0" xfId="0">
      <alignment vertical="center" wrapText="1"/>
    </xf>
    <xf numFmtId="0" fontId="12" fillId="12" borderId="4" applyAlignment="1" pivotButton="0" quotePrefix="0" xfId="0">
      <alignment vertical="center" wrapText="1"/>
    </xf>
    <xf numFmtId="0" fontId="12" fillId="12" borderId="4" applyAlignment="1" pivotButton="0" quotePrefix="0" xfId="0">
      <alignment horizontal="center" vertical="center"/>
    </xf>
    <xf numFmtId="165" fontId="12" fillId="12" borderId="4" applyAlignment="1" pivotButton="0" quotePrefix="0" xfId="0">
      <alignment vertical="center" wrapText="1"/>
    </xf>
    <xf numFmtId="0" fontId="12" fillId="13" borderId="2" applyAlignment="1" pivotButton="0" quotePrefix="0" xfId="0">
      <alignment vertical="top" wrapText="1"/>
    </xf>
    <xf numFmtId="0" fontId="0" fillId="0" borderId="0" pivotButton="0" quotePrefix="0" xfId="0"/>
    <xf numFmtId="165" fontId="12" fillId="0" borderId="2" applyAlignment="1" pivotButton="0" quotePrefix="0" xfId="0">
      <alignment vertical="top" wrapText="1"/>
    </xf>
    <xf numFmtId="165" fontId="0" fillId="0" borderId="0" pivotButton="0" quotePrefix="0" xfId="0"/>
  </cellXfs>
  <cellStyles count="2">
    <cellStyle name="Normal" xfId="0"/>
    <cellStyle name="Normal 2" xfId="1"/>
  </cellStyles>
  <dxfs count="16"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DE9E7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EAF3FF"/>
      <rgbColor rgb="FFAB4744"/>
      <rgbColor rgb="FFFFF2CC"/>
      <rgbColor rgb="FFD9EAF7"/>
      <rgbColor rgb="FF660066"/>
      <rgbColor rgb="FFD09493"/>
      <rgbColor rgb="FF0066CC"/>
      <rgbColor rgb="FFD9D9D9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D9EAD3"/>
      <rgbColor rgb="FFE7E6E6"/>
      <rgbColor rgb="FFFDE9E7"/>
      <rgbColor rgb="FFF4CCCC"/>
      <rgbColor rgb="FF3366FF"/>
      <rgbColor rgb="FF33CCCC"/>
      <rgbColor rgb="FF99CC00"/>
      <rgbColor rgb="FFEDF3F8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Weekly Cluster Raw Score %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Weekly_Dashboard!$D$9</f>
              <strCache>
                <ptCount val="1"/>
                <pt idx="0">
                  <v>Week Avg Raw 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Weekly_Dashboard!$A$10:$A$24</f>
              <strCache>
                <ptCount val="15"/>
                <pt idx="0">
                  <v>Cluster 7A</v>
                </pt>
                <pt idx="1">
                  <v>Cluster 7B</v>
                </pt>
                <pt idx="2">
                  <v>Cluster 8A</v>
                </pt>
                <pt idx="3">
                  <v>Cluster 8B</v>
                </pt>
                <pt idx="4">
                  <v>Cluster 8C</v>
                </pt>
                <pt idx="5">
                  <v>Cluster 8D</v>
                </pt>
                <pt idx="6">
                  <v>Cluster 3</v>
                </pt>
                <pt idx="7">
                  <v>Cluster 4</v>
                </pt>
                <pt idx="8">
                  <v>Cluster 5</v>
                </pt>
                <pt idx="9">
                  <v>Cluster 6</v>
                </pt>
                <pt idx="10">
                  <v>Cluster 1A</v>
                </pt>
                <pt idx="11">
                  <v>Cluster 1B</v>
                </pt>
                <pt idx="12">
                  <v>Cluster 2A</v>
                </pt>
                <pt idx="13">
                  <v>Cluster 2B</v>
                </pt>
                <pt idx="14">
                  <v>Cluster 2C</v>
                </pt>
              </strCache>
            </strRef>
          </cat>
          <val>
            <numRef>
              <f>Weekly_Dashboard!$D$10:$D$24</f>
              <numCache>
                <formatCode>0.0%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0.5466666666666666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Score %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r>
                <a:t/>
              </a:r>
            </a:p>
          </tx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Cluster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r>
                <a:t/>
              </a:r>
            </a:p>
          </txPr>
        </title>
        <numFmt formatCode="0.0%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Month Red Flags by Cluster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Weekly_Dashboard!$I$9</f>
              <strCache>
                <ptCount val="1"/>
                <pt idx="0">
                  <v>Month Red Flags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Weekly_Dashboard!$A$10:$A$24</f>
              <strCache>
                <ptCount val="15"/>
                <pt idx="0">
                  <v>Cluster 7A</v>
                </pt>
                <pt idx="1">
                  <v>Cluster 7B</v>
                </pt>
                <pt idx="2">
                  <v>Cluster 8A</v>
                </pt>
                <pt idx="3">
                  <v>Cluster 8B</v>
                </pt>
                <pt idx="4">
                  <v>Cluster 8C</v>
                </pt>
                <pt idx="5">
                  <v>Cluster 8D</v>
                </pt>
                <pt idx="6">
                  <v>Cluster 3</v>
                </pt>
                <pt idx="7">
                  <v>Cluster 4</v>
                </pt>
                <pt idx="8">
                  <v>Cluster 5</v>
                </pt>
                <pt idx="9">
                  <v>Cluster 6</v>
                </pt>
                <pt idx="10">
                  <v>Cluster 1A</v>
                </pt>
                <pt idx="11">
                  <v>Cluster 1B</v>
                </pt>
                <pt idx="12">
                  <v>Cluster 2A</v>
                </pt>
                <pt idx="13">
                  <v>Cluster 2B</v>
                </pt>
                <pt idx="14">
                  <v>Cluster 2C</v>
                </pt>
              </strCache>
            </strRef>
          </cat>
          <val>
            <numRef>
              <f>Weekly_Dashboard!$I$10:$I$24</f>
              <numCache>
                <formatCode>General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1</v>
                </pt>
                <pt idx="13">
                  <v>0</v>
                </pt>
                <pt idx="1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Count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r>
                <a:t/>
              </a:r>
            </a:p>
          </tx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Monthly Cluster Raw Score %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Monthly_Dashboard!$D$7</f>
              <strCache>
                <ptCount val="1"/>
                <pt idx="0">
                  <v>Month Avg Raw 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Monthly_Dashboard!$A$8:$A$22</f>
              <strCache>
                <ptCount val="15"/>
                <pt idx="0">
                  <v>Cluster 7A</v>
                </pt>
                <pt idx="1">
                  <v>Cluster 7B</v>
                </pt>
                <pt idx="2">
                  <v>Cluster 8A</v>
                </pt>
                <pt idx="3">
                  <v>Cluster 8B</v>
                </pt>
                <pt idx="4">
                  <v>Cluster 8C</v>
                </pt>
                <pt idx="5">
                  <v>Cluster 8D</v>
                </pt>
                <pt idx="6">
                  <v>Cluster 3</v>
                </pt>
                <pt idx="7">
                  <v>Cluster 4</v>
                </pt>
                <pt idx="8">
                  <v>Cluster 5</v>
                </pt>
                <pt idx="9">
                  <v>Cluster 6</v>
                </pt>
                <pt idx="10">
                  <v>Cluster 1A</v>
                </pt>
                <pt idx="11">
                  <v>Cluster 1B</v>
                </pt>
                <pt idx="12">
                  <v>Cluster 2A</v>
                </pt>
                <pt idx="13">
                  <v>Cluster 2B</v>
                </pt>
                <pt idx="14">
                  <v>Cluster 2C</v>
                </pt>
              </strCache>
            </strRef>
          </cat>
          <val>
            <numRef>
              <f>Monthly_Dashboard!$D$8:$D$22</f>
              <numCache>
                <formatCode>0.0%</formatCode>
                <ptCount val="15"/>
                <pt idx="0">
                  <v>0</v>
                </pt>
                <pt idx="1">
                  <v>0</v>
                </pt>
                <pt idx="2">
                  <v>0.7866666666666666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0.5466666666666666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0.3866666666666667</v>
                </pt>
                <pt idx="13">
                  <v>0</v>
                </pt>
                <pt idx="1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Score %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r>
                <a:t/>
              </a:r>
            </a:p>
          </tx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b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Cluster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r>
                <a:t/>
              </a:r>
            </a:p>
          </txPr>
        </title>
        <numFmt formatCode="0.0%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Open vs Overdue Actions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Monthly_Dashboard!$J$7</f>
              <strCache>
                <ptCount val="1"/>
                <pt idx="0">
                  <v>Open Actions</v>
                </pt>
              </strCache>
            </strRef>
          </tx>
          <spPr>
            <a:solidFill xmlns:a="http://schemas.openxmlformats.org/drawingml/2006/main">
              <a:srgbClr val="AB4744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Monthly_Dashboard!$A$8:$A$22</f>
              <strCache>
                <ptCount val="15"/>
                <pt idx="0">
                  <v>Cluster 7A</v>
                </pt>
                <pt idx="1">
                  <v>Cluster 7B</v>
                </pt>
                <pt idx="2">
                  <v>Cluster 8A</v>
                </pt>
                <pt idx="3">
                  <v>Cluster 8B</v>
                </pt>
                <pt idx="4">
                  <v>Cluster 8C</v>
                </pt>
                <pt idx="5">
                  <v>Cluster 8D</v>
                </pt>
                <pt idx="6">
                  <v>Cluster 3</v>
                </pt>
                <pt idx="7">
                  <v>Cluster 4</v>
                </pt>
                <pt idx="8">
                  <v>Cluster 5</v>
                </pt>
                <pt idx="9">
                  <v>Cluster 6</v>
                </pt>
                <pt idx="10">
                  <v>Cluster 1A</v>
                </pt>
                <pt idx="11">
                  <v>Cluster 1B</v>
                </pt>
                <pt idx="12">
                  <v>Cluster 2A</v>
                </pt>
                <pt idx="13">
                  <v>Cluster 2B</v>
                </pt>
                <pt idx="14">
                  <v>Cluster 2C</v>
                </pt>
              </strCache>
            </strRef>
          </cat>
          <val>
            <numRef>
              <f>Monthly_Dashboard!$J$8:$J$22</f>
              <numCache>
                <formatCode>General</formatCode>
                <ptCount val="15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1</v>
                </pt>
                <pt idx="13">
                  <v>0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Monthly_Dashboard!$K$7</f>
              <strCache>
                <ptCount val="1"/>
                <pt idx="0">
                  <v>Overdue Actions</v>
                </pt>
              </strCache>
            </strRef>
          </tx>
          <spPr>
            <a:solidFill xmlns:a="http://schemas.openxmlformats.org/drawingml/2006/main">
              <a:srgbClr val="D09493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BubbleSize val="1"/>
            <showLeaderLines val="0"/>
          </dLbls>
          <cat>
            <strRef>
              <f>Monthly_Dashboard!$A$8:$A$22</f>
              <strCache>
                <ptCount val="15"/>
                <pt idx="0">
                  <v>Cluster 7A</v>
                </pt>
                <pt idx="1">
                  <v>Cluster 7B</v>
                </pt>
                <pt idx="2">
                  <v>Cluster 8A</v>
                </pt>
                <pt idx="3">
                  <v>Cluster 8B</v>
                </pt>
                <pt idx="4">
                  <v>Cluster 8C</v>
                </pt>
                <pt idx="5">
                  <v>Cluster 8D</v>
                </pt>
                <pt idx="6">
                  <v>Cluster 3</v>
                </pt>
                <pt idx="7">
                  <v>Cluster 4</v>
                </pt>
                <pt idx="8">
                  <v>Cluster 5</v>
                </pt>
                <pt idx="9">
                  <v>Cluster 6</v>
                </pt>
                <pt idx="10">
                  <v>Cluster 1A</v>
                </pt>
                <pt idx="11">
                  <v>Cluster 1B</v>
                </pt>
                <pt idx="12">
                  <v>Cluster 2A</v>
                </pt>
                <pt idx="13">
                  <v>Cluster 2B</v>
                </pt>
                <pt idx="14">
                  <v>Cluster 2C</v>
                </pt>
              </strCache>
            </strRef>
          </cat>
          <val>
            <numRef>
              <f>Monthly_Dashboard!$K$8:$K$22</f>
              <numCache>
                <formatCode>General</formatCode>
                <ptCount val="1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Actions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r>
                <a:t/>
              </a:r>
            </a:p>
          </tx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/>
            </a:r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13</col>
      <colOff>103415</colOff>
      <row>3</row>
      <rowOff>133350</rowOff>
    </from>
    <to>
      <col>23</col>
      <colOff>1815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272142</colOff>
      <row>28</row>
      <rowOff>48079</rowOff>
    </from>
    <to>
      <col>18</col>
      <colOff>907143</colOff>
      <row>41</row>
      <rowOff>272143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12</col>
      <colOff>0</colOff>
      <row>3</row>
      <rowOff>0</rowOff>
    </from>
    <to>
      <col>23</col>
      <colOff>234950</colOff>
      <row>18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0</colOff>
      <row>21</row>
      <rowOff>0</rowOff>
    </from>
    <to>
      <col>25</col>
      <colOff>146050</colOff>
      <row>40</row>
      <rowOff>38100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ColWidth="8.6328125" defaultRowHeight="15"/>
  <cols>
    <col width="110" customWidth="1" style="45" min="1" max="1"/>
    <col width="48" customWidth="1" style="45" min="2" max="2"/>
    <col width="2" customWidth="1" style="45" min="3" max="3"/>
    <col width="18" customWidth="1" style="45" min="4" max="4"/>
    <col width="14" customWidth="1" style="45" min="5" max="5"/>
    <col width="34" customWidth="1" style="45" min="6" max="6"/>
    <col width="2" customWidth="1" style="45" min="7" max="8"/>
  </cols>
  <sheetData>
    <row r="1" ht="27.75" customHeight="1" s="45">
      <c r="A1" s="32" t="inlineStr">
        <is>
          <t>Saadiyat Lagoons HSE Scoring Template - Google Form Ready</t>
        </is>
      </c>
    </row>
    <row r="2" ht="24" customHeight="1" s="45">
      <c r="A2" s="33" t="inlineStr">
        <is>
          <t>This workbook is now structured as a live HSE weekly KPI, dashboard, gap analysis, and CAPA control file. Complete only blue-font input cells or unlocked input fields.</t>
        </is>
      </c>
    </row>
    <row r="3" ht="24" customHeight="1" s="45">
      <c r="A3" s="33" t="inlineStr">
        <is>
          <t>2. Complete the visible input columns only. Hidden columns calculate automatically.</t>
        </is>
      </c>
    </row>
    <row r="4" ht="24" customHeight="1" s="45">
      <c r="A4" s="2" t="inlineStr">
        <is>
          <t>3. Score each KPI from 0 to 5. 0 = collapse of control, 5 = excellent sustained control.</t>
        </is>
      </c>
    </row>
    <row r="5" ht="24" customHeight="1" s="45">
      <c r="A5" s="33" t="inlineStr">
        <is>
          <t>4. Package and Cluster are mandatory. Contractor and responsible team auto-populate.</t>
        </is>
      </c>
    </row>
    <row r="6" ht="24" customHeight="1" s="45">
      <c r="A6" s="33" t="inlineStr">
        <is>
          <t>5. Weekly_Dashboard is for top management review. Monthly_Dashboard tracks recognition trend.</t>
        </is>
      </c>
    </row>
    <row r="7" ht="24" customHeight="1" s="45">
      <c r="A7" s="33" t="inlineStr">
        <is>
          <t>6. Gap_Analysis and CAPA_Tracker are for close-out management.</t>
        </is>
      </c>
    </row>
    <row r="8" ht="15" customHeight="1" s="45">
      <c r="A8" s="3" t="n"/>
    </row>
    <row r="9" ht="15" customHeight="1" s="45">
      <c r="A9" s="3" t="n"/>
    </row>
    <row r="10" ht="15" customHeight="1" s="45">
      <c r="A10" s="3" t="n"/>
    </row>
    <row r="11" ht="15" customHeight="1" s="45">
      <c r="A11" s="3" t="n"/>
    </row>
    <row r="12" ht="15" customHeight="1" s="45">
      <c r="A12" s="3" t="n"/>
    </row>
    <row r="14" ht="15" customHeight="1" s="45">
      <c r="A14" s="4" t="n"/>
      <c r="D14" s="4" t="n"/>
    </row>
    <row r="15" ht="33.75" customHeight="1" s="45">
      <c r="A15" s="5" t="n"/>
      <c r="B15" s="5" t="n"/>
      <c r="C15" s="5" t="n"/>
      <c r="D15" s="5" t="n"/>
      <c r="E15" s="5" t="n"/>
      <c r="F15" s="5" t="n"/>
    </row>
    <row r="16" ht="15" customHeight="1" s="45">
      <c r="A16" s="6" t="n"/>
      <c r="B16" s="6" t="n"/>
      <c r="D16" s="7" t="n"/>
      <c r="E16" s="7" t="n"/>
      <c r="F16" s="7" t="n"/>
    </row>
    <row r="17" ht="15" customHeight="1" s="45">
      <c r="A17" s="6" t="n"/>
      <c r="B17" s="6" t="n"/>
      <c r="D17" s="7" t="n"/>
      <c r="E17" s="7" t="n"/>
      <c r="F17" s="7" t="n"/>
    </row>
    <row r="18" ht="15" customHeight="1" s="45">
      <c r="A18" s="8" t="inlineStr">
        <is>
          <t>Weekly operating method</t>
        </is>
      </c>
      <c r="B18" s="8" t="n"/>
      <c r="D18" s="7" t="n"/>
      <c r="E18" s="7" t="n"/>
      <c r="F18" s="7" t="n"/>
    </row>
    <row r="19" ht="15" customHeight="1" s="45">
      <c r="A19" s="9" t="inlineStr">
        <is>
          <t>1. Enter one line per completed site walk in Weekly_Inspections.</t>
        </is>
      </c>
      <c r="B19" s="9" t="n"/>
      <c r="D19" s="7" t="n"/>
      <c r="E19" s="7" t="n"/>
      <c r="F19" s="7" t="n"/>
    </row>
    <row r="20" ht="15" customHeight="1" s="45">
      <c r="A20" s="10" t="inlineStr">
        <is>
          <t>2. Select Package, Cluster, role, high risk activity, and KPI-for-attention fields from dropdown lists only.</t>
        </is>
      </c>
      <c r="B20" s="10" t="n"/>
      <c r="D20" s="7" t="n"/>
      <c r="E20" s="7" t="n"/>
      <c r="F20" s="7" t="n"/>
    </row>
    <row r="21" ht="15" customHeight="1" s="45">
      <c r="A21" s="10" t="inlineStr">
        <is>
          <t>3. Score every KPI from 0 to 5. Red flag logic now reads the Critical Gate KPI list directly from KPI_Weights.</t>
        </is>
      </c>
      <c r="B21" s="10" t="n"/>
    </row>
    <row r="22">
      <c r="A22" t="inlineStr">
        <is>
          <t>4. Use Weekly_Dashboard for current week review, Monthly_Dashboard for recognition/improvement review, Gap_Analysis for weak KPI focus, and CAPA_Tracker for closeout status.</t>
        </is>
      </c>
    </row>
    <row r="23">
      <c r="A23" t="inlineStr">
        <is>
          <t>5. Update Close_Date in CAPA_Tracker once the action is fully verified closed. Overdue status updates automatically.</t>
        </is>
      </c>
    </row>
    <row r="24" ht="15" customHeight="1" s="45">
      <c r="A24" s="4" t="inlineStr">
        <is>
          <t>6. Keep Cluster_Master, Lookups, and KPI_Weights protected unless you are formally revising the system.</t>
        </is>
      </c>
    </row>
    <row r="25" ht="33.75" customHeight="1" s="45">
      <c r="A25" s="5" t="n"/>
      <c r="B25" s="5" t="n"/>
    </row>
    <row r="26" ht="15" customHeight="1" s="45">
      <c r="A26" s="7" t="inlineStr">
        <is>
          <t>System improvements applied</t>
        </is>
      </c>
      <c r="B26" s="7" t="n"/>
    </row>
    <row r="27" ht="15" customHeight="1" s="45">
      <c r="A27" s="7" t="inlineStr">
        <is>
          <t>• Validation ranges extended through row 996 in Weekly_Inspections and CAPA_Tracker.</t>
        </is>
      </c>
      <c r="B27" s="7" t="n"/>
    </row>
    <row r="28" ht="15" customHeight="1" s="45">
      <c r="A28" s="7" t="inlineStr">
        <is>
          <t>• Internal naming cleaned up for KPI lists and leadership master data.</t>
        </is>
      </c>
      <c r="B28" s="7" t="n"/>
    </row>
    <row r="29" ht="15" customHeight="1" s="45">
      <c r="A29" s="7" t="inlineStr">
        <is>
          <t>• Core scoring formulas made more robust and critical gate logic made dynamic from KPI_Weights.</t>
        </is>
      </c>
      <c r="B29" s="7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ColWidth="8.6328125" defaultRowHeight="15"/>
  <cols>
    <col width="10" customWidth="1" style="45" min="1" max="1"/>
    <col width="16" customWidth="1" style="45" min="2" max="2"/>
    <col width="12" customWidth="1" style="45" min="3" max="3"/>
    <col width="24" customWidth="1" style="45" min="4" max="4"/>
    <col width="22" customWidth="1" style="45" min="5" max="5"/>
    <col width="28" customWidth="1" style="45" min="6" max="6"/>
    <col width="24" customWidth="1" style="45" min="7" max="8"/>
  </cols>
  <sheetData>
    <row r="1" ht="24" customHeight="1" s="45">
      <c r="A1" s="34" t="inlineStr">
        <is>
          <t>Cluster Master Register</t>
        </is>
      </c>
    </row>
    <row r="2" ht="36" customHeight="1" s="45">
      <c r="A2" s="35" t="inlineStr">
        <is>
          <t>Reference data used for package/cluster selection and automatic population of contractor and leadership accountability details.</t>
        </is>
      </c>
    </row>
    <row r="3" ht="33.75" customHeight="1" s="45">
      <c r="A3" s="5" t="inlineStr">
        <is>
          <t>Package</t>
        </is>
      </c>
      <c r="B3" s="5" t="inlineStr">
        <is>
          <t>Cluster</t>
        </is>
      </c>
      <c r="C3" s="5" t="inlineStr">
        <is>
          <t>Contractor</t>
        </is>
      </c>
      <c r="D3" s="5" t="inlineStr">
        <is>
          <t>Project Director (PD)</t>
        </is>
      </c>
      <c r="E3" s="5" t="inlineStr">
        <is>
          <t>Project Manager (PM)</t>
        </is>
      </c>
      <c r="F3" s="5" t="inlineStr">
        <is>
          <t>Construction Manager (CM)</t>
        </is>
      </c>
      <c r="G3" s="5" t="inlineStr">
        <is>
          <t>HSE Manager (HSEM)</t>
        </is>
      </c>
      <c r="H3" s="5" t="inlineStr">
        <is>
          <t>Section Engineer (SE)</t>
        </is>
      </c>
    </row>
    <row r="4" ht="15" customHeight="1" s="45">
      <c r="A4" s="7" t="n">
        <v>2</v>
      </c>
      <c r="B4" s="7" t="inlineStr">
        <is>
          <t>Cluster 7A</t>
        </is>
      </c>
      <c r="C4" s="7" t="inlineStr">
        <is>
          <t>TAJV</t>
        </is>
      </c>
      <c r="D4" s="7" t="inlineStr">
        <is>
          <t>Hicham Adel Narch</t>
        </is>
      </c>
      <c r="E4" s="7" t="inlineStr">
        <is>
          <t>Ghaidh Alfaour</t>
        </is>
      </c>
      <c r="F4" s="7" t="inlineStr">
        <is>
          <t>George Deeb</t>
        </is>
      </c>
      <c r="G4" s="7" t="inlineStr">
        <is>
          <t>Timur Terakopov</t>
        </is>
      </c>
      <c r="H4" s="7" t="inlineStr">
        <is>
          <t>Liqat</t>
        </is>
      </c>
    </row>
    <row r="5" ht="15" customHeight="1" s="45">
      <c r="A5" s="7" t="n">
        <v>2</v>
      </c>
      <c r="B5" s="7" t="inlineStr">
        <is>
          <t>Cluster 7B</t>
        </is>
      </c>
      <c r="C5" s="7" t="inlineStr">
        <is>
          <t>TAJV</t>
        </is>
      </c>
      <c r="D5" s="7" t="inlineStr">
        <is>
          <t>Hicham Adel Narch</t>
        </is>
      </c>
      <c r="E5" s="7" t="inlineStr">
        <is>
          <t>Ghaidh Alfaour</t>
        </is>
      </c>
      <c r="F5" s="7" t="inlineStr">
        <is>
          <t>George Deeb</t>
        </is>
      </c>
      <c r="G5" s="7" t="inlineStr">
        <is>
          <t>Timur Terakopov</t>
        </is>
      </c>
      <c r="H5" s="7" t="inlineStr">
        <is>
          <t>Eyad</t>
        </is>
      </c>
    </row>
    <row r="6" ht="15" customHeight="1" s="45">
      <c r="A6" s="7" t="n">
        <v>2</v>
      </c>
      <c r="B6" s="7" t="inlineStr">
        <is>
          <t>Cluster 8A</t>
        </is>
      </c>
      <c r="C6" s="7" t="inlineStr">
        <is>
          <t>TAJV</t>
        </is>
      </c>
      <c r="D6" s="7" t="inlineStr">
        <is>
          <t>Hicham Adel Narch</t>
        </is>
      </c>
      <c r="E6" s="7" t="inlineStr">
        <is>
          <t>Ghaidh Alfaour</t>
        </is>
      </c>
      <c r="F6" s="7" t="inlineStr">
        <is>
          <t>Mohamed Salama</t>
        </is>
      </c>
      <c r="G6" s="7" t="inlineStr">
        <is>
          <t>Timur Terakopov</t>
        </is>
      </c>
      <c r="H6" s="7" t="inlineStr">
        <is>
          <t>Ahmad Adel</t>
        </is>
      </c>
    </row>
    <row r="7" ht="15" customHeight="1" s="45">
      <c r="A7" s="7" t="n">
        <v>2</v>
      </c>
      <c r="B7" s="7" t="inlineStr">
        <is>
          <t>Cluster 8B</t>
        </is>
      </c>
      <c r="C7" s="7" t="inlineStr">
        <is>
          <t>TAJV</t>
        </is>
      </c>
      <c r="D7" s="7" t="inlineStr">
        <is>
          <t>Hicham Adel Narch</t>
        </is>
      </c>
      <c r="E7" s="7" t="inlineStr">
        <is>
          <t>Ghaidh Alfaour</t>
        </is>
      </c>
      <c r="F7" s="7" t="inlineStr">
        <is>
          <t>Mohamed Salama</t>
        </is>
      </c>
      <c r="G7" s="7" t="inlineStr">
        <is>
          <t>Timur Terakopov</t>
        </is>
      </c>
      <c r="H7" s="7" t="inlineStr">
        <is>
          <t>Ahmad Adel</t>
        </is>
      </c>
    </row>
    <row r="8" ht="15" customHeight="1" s="45">
      <c r="A8" s="7" t="n">
        <v>2</v>
      </c>
      <c r="B8" s="7" t="inlineStr">
        <is>
          <t>Cluster 8C</t>
        </is>
      </c>
      <c r="C8" s="7" t="inlineStr">
        <is>
          <t>TAJV</t>
        </is>
      </c>
      <c r="D8" s="7" t="inlineStr">
        <is>
          <t>Hicham Adel Narch</t>
        </is>
      </c>
      <c r="E8" s="7" t="inlineStr">
        <is>
          <t>Ghaidh Alfaour</t>
        </is>
      </c>
      <c r="F8" s="7" t="inlineStr">
        <is>
          <t>George Deeb</t>
        </is>
      </c>
      <c r="G8" s="7" t="inlineStr">
        <is>
          <t>Timur Terakopov</t>
        </is>
      </c>
      <c r="H8" s="7" t="inlineStr">
        <is>
          <t>Ahmad Adel</t>
        </is>
      </c>
    </row>
    <row r="9" ht="15" customHeight="1" s="45">
      <c r="A9" s="7" t="n">
        <v>2</v>
      </c>
      <c r="B9" s="7" t="inlineStr">
        <is>
          <t>Cluster 8D</t>
        </is>
      </c>
      <c r="C9" s="7" t="inlineStr">
        <is>
          <t>TAJV</t>
        </is>
      </c>
      <c r="D9" s="7" t="inlineStr">
        <is>
          <t>Hicham Adel Narch</t>
        </is>
      </c>
      <c r="E9" s="7" t="inlineStr">
        <is>
          <t>Ghaidh Alfaour</t>
        </is>
      </c>
      <c r="F9" s="7" t="inlineStr">
        <is>
          <t>George Deeb</t>
        </is>
      </c>
      <c r="G9" s="7" t="inlineStr">
        <is>
          <t>Timur Terakopov</t>
        </is>
      </c>
      <c r="H9" s="7" t="inlineStr">
        <is>
          <t>Ahmad Adel</t>
        </is>
      </c>
    </row>
    <row r="10" ht="15" customHeight="1" s="45">
      <c r="A10" s="7" t="n">
        <v>3</v>
      </c>
      <c r="B10" s="7" t="inlineStr">
        <is>
          <t>Cluster 3</t>
        </is>
      </c>
      <c r="C10" s="7" t="inlineStr">
        <is>
          <t>INNOVO</t>
        </is>
      </c>
      <c r="D10" s="7" t="inlineStr">
        <is>
          <t>Kahtan Tikriti</t>
        </is>
      </c>
      <c r="E10" s="7" t="inlineStr">
        <is>
          <t>Aiman Abdullah</t>
        </is>
      </c>
      <c r="F10" s="7" t="inlineStr">
        <is>
          <t>Salama Al Samdy</t>
        </is>
      </c>
      <c r="G10" s="7" t="inlineStr">
        <is>
          <t>Mazen Al Atwani</t>
        </is>
      </c>
      <c r="H10" s="38" t="inlineStr">
        <is>
          <t>TBD - Update Section Engineer</t>
        </is>
      </c>
    </row>
    <row r="11" ht="15" customHeight="1" s="45">
      <c r="A11" s="7" t="n">
        <v>3</v>
      </c>
      <c r="B11" s="7" t="inlineStr">
        <is>
          <t>Cluster 4</t>
        </is>
      </c>
      <c r="C11" s="7" t="inlineStr">
        <is>
          <t>INNOVO</t>
        </is>
      </c>
      <c r="D11" s="7" t="inlineStr">
        <is>
          <t>Kahtan Tikriti</t>
        </is>
      </c>
      <c r="E11" s="7" t="inlineStr">
        <is>
          <t>Aiman Abdullah</t>
        </is>
      </c>
      <c r="F11" s="7" t="inlineStr">
        <is>
          <t>Baha Basheer</t>
        </is>
      </c>
      <c r="G11" s="7" t="inlineStr">
        <is>
          <t>Mazen Al Atwani</t>
        </is>
      </c>
      <c r="H11" s="38" t="inlineStr">
        <is>
          <t>TBD - Update Section Engineer</t>
        </is>
      </c>
    </row>
    <row r="12" ht="15" customHeight="1" s="45">
      <c r="A12" s="7" t="n">
        <v>3</v>
      </c>
      <c r="B12" s="7" t="inlineStr">
        <is>
          <t>Cluster 5</t>
        </is>
      </c>
      <c r="C12" s="7" t="inlineStr">
        <is>
          <t>INNOVO</t>
        </is>
      </c>
      <c r="D12" s="7" t="inlineStr">
        <is>
          <t>Kahtan Tikriti</t>
        </is>
      </c>
      <c r="E12" s="7" t="inlineStr">
        <is>
          <t>Michael Ghali</t>
        </is>
      </c>
      <c r="F12" s="7" t="inlineStr">
        <is>
          <t>Robair Louies</t>
        </is>
      </c>
      <c r="G12" s="7" t="inlineStr">
        <is>
          <t>Mazen Al Atwani</t>
        </is>
      </c>
      <c r="H12" s="38" t="inlineStr">
        <is>
          <t>TBD - Update Section Engineer</t>
        </is>
      </c>
    </row>
    <row r="13" ht="15" customHeight="1" s="45">
      <c r="A13" s="7" t="n">
        <v>3</v>
      </c>
      <c r="B13" s="7" t="inlineStr">
        <is>
          <t>Cluster 6</t>
        </is>
      </c>
      <c r="C13" s="7" t="inlineStr">
        <is>
          <t>INNOVO</t>
        </is>
      </c>
      <c r="D13" s="7" t="inlineStr">
        <is>
          <t>Kahtan Tikriti</t>
        </is>
      </c>
      <c r="E13" s="7" t="inlineStr">
        <is>
          <t>Michael Ghali</t>
        </is>
      </c>
      <c r="F13" s="7" t="inlineStr">
        <is>
          <t>Remon Karas</t>
        </is>
      </c>
      <c r="G13" s="7" t="inlineStr">
        <is>
          <t>Mazen Al Atwani</t>
        </is>
      </c>
      <c r="H13" s="38" t="inlineStr">
        <is>
          <t>TBD - Update Section Engineer</t>
        </is>
      </c>
    </row>
    <row r="14" ht="15" customHeight="1" s="45">
      <c r="A14" s="7" t="n">
        <v>4</v>
      </c>
      <c r="B14" s="7" t="inlineStr">
        <is>
          <t>Cluster 1A</t>
        </is>
      </c>
      <c r="C14" s="7" t="inlineStr">
        <is>
          <t>TAJV</t>
        </is>
      </c>
      <c r="D14" s="7" t="inlineStr">
        <is>
          <t>Hicham Adel Narch</t>
        </is>
      </c>
      <c r="E14" s="7" t="inlineStr">
        <is>
          <t>Ghaidh Alfaour</t>
        </is>
      </c>
      <c r="F14" s="7" t="inlineStr">
        <is>
          <t>Alaa Hegab</t>
        </is>
      </c>
      <c r="G14" s="7" t="inlineStr">
        <is>
          <t>Timur Terakopov</t>
        </is>
      </c>
      <c r="H14" s="7" t="inlineStr">
        <is>
          <t>Amr Taha</t>
        </is>
      </c>
    </row>
    <row r="15" ht="15" customHeight="1" s="45">
      <c r="A15" s="7" t="n">
        <v>4</v>
      </c>
      <c r="B15" s="7" t="inlineStr">
        <is>
          <t>Cluster 1B</t>
        </is>
      </c>
      <c r="C15" s="7" t="inlineStr">
        <is>
          <t>TAJV</t>
        </is>
      </c>
      <c r="D15" s="7" t="inlineStr">
        <is>
          <t>Hicham Adel Narch</t>
        </is>
      </c>
      <c r="E15" s="7" t="inlineStr">
        <is>
          <t>Ghaidh Alfaour</t>
        </is>
      </c>
      <c r="F15" s="7" t="inlineStr">
        <is>
          <t>Hossam Ali Maher</t>
        </is>
      </c>
      <c r="G15" s="7" t="inlineStr">
        <is>
          <t>Timur Terakopov</t>
        </is>
      </c>
      <c r="H15" s="7" t="inlineStr">
        <is>
          <t>Md Ramadan / Osama Said</t>
        </is>
      </c>
    </row>
    <row r="16" ht="15" customHeight="1" s="45">
      <c r="A16" s="7" t="n">
        <v>4</v>
      </c>
      <c r="B16" s="7" t="inlineStr">
        <is>
          <t>Cluster 2A</t>
        </is>
      </c>
      <c r="C16" s="7" t="inlineStr">
        <is>
          <t>TAJV</t>
        </is>
      </c>
      <c r="D16" s="7" t="inlineStr">
        <is>
          <t>Hicham Adel Narch</t>
        </is>
      </c>
      <c r="E16" s="7" t="inlineStr">
        <is>
          <t>Ghaidh Alfaour</t>
        </is>
      </c>
      <c r="F16" s="7" t="inlineStr">
        <is>
          <t>Ahmed Salah Hassan Dewidar</t>
        </is>
      </c>
      <c r="G16" s="7" t="inlineStr">
        <is>
          <t>Timur Terakopov</t>
        </is>
      </c>
      <c r="H16" s="7" t="inlineStr">
        <is>
          <t>Rami Issa</t>
        </is>
      </c>
    </row>
    <row r="17" ht="15" customHeight="1" s="45">
      <c r="A17" s="7" t="n">
        <v>4</v>
      </c>
      <c r="B17" s="7" t="inlineStr">
        <is>
          <t>Cluster 2B</t>
        </is>
      </c>
      <c r="C17" s="7" t="inlineStr">
        <is>
          <t>TAJV</t>
        </is>
      </c>
      <c r="D17" s="7" t="inlineStr">
        <is>
          <t>Hicham Adel Narch</t>
        </is>
      </c>
      <c r="E17" s="7" t="inlineStr">
        <is>
          <t>Ghaidh Alfaour</t>
        </is>
      </c>
      <c r="F17" s="7" t="inlineStr">
        <is>
          <t>Ahmed Salah Hassan Dewidar</t>
        </is>
      </c>
      <c r="G17" s="7" t="inlineStr">
        <is>
          <t>Timur Terakopov</t>
        </is>
      </c>
      <c r="H17" s="7" t="inlineStr">
        <is>
          <t>Rami Issa</t>
        </is>
      </c>
    </row>
    <row r="18" ht="15" customHeight="1" s="45">
      <c r="A18" s="7" t="n">
        <v>4</v>
      </c>
      <c r="B18" s="7" t="inlineStr">
        <is>
          <t>Cluster 2C</t>
        </is>
      </c>
      <c r="C18" s="7" t="inlineStr">
        <is>
          <t>TAJV</t>
        </is>
      </c>
      <c r="D18" s="7" t="inlineStr">
        <is>
          <t>Hicham Adel Narch</t>
        </is>
      </c>
      <c r="E18" s="7" t="inlineStr">
        <is>
          <t>Ghaidh Alfaour</t>
        </is>
      </c>
      <c r="F18" s="7" t="inlineStr">
        <is>
          <t>Ahmed Salah Hassan Dewidar</t>
        </is>
      </c>
      <c r="G18" s="7" t="inlineStr">
        <is>
          <t>Timur Terakopov</t>
        </is>
      </c>
      <c r="H18" s="7" t="inlineStr">
        <is>
          <t>Salah Nayef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ColWidth="8.6328125" defaultRowHeight="15"/>
  <cols>
    <col width="14" customWidth="1" style="45" min="1" max="1"/>
    <col width="18" customWidth="1" style="45" min="2" max="2"/>
    <col width="24" customWidth="1" style="45" min="3" max="4"/>
    <col width="12" customWidth="1" style="45" min="5" max="5"/>
    <col width="32" customWidth="1" style="45" min="6" max="6"/>
    <col width="14" customWidth="1" style="45" min="7" max="7"/>
    <col width="32" customWidth="1" style="45" min="8" max="8"/>
  </cols>
  <sheetData>
    <row r="1" ht="24" customHeight="1" s="45">
      <c r="A1" s="34" t="inlineStr">
        <is>
          <t>Lookup Lists</t>
        </is>
      </c>
      <c r="I1" t="inlineStr">
        <is>
          <t>Score_List</t>
        </is>
      </c>
    </row>
    <row r="2" ht="36" customHeight="1" s="45">
      <c r="A2" s="35" t="inlineStr">
        <is>
          <t>Lists used for dropdowns in the Weekly_Inspections and CAPA_Tracker sheets.</t>
        </is>
      </c>
      <c r="I2" t="n">
        <v>0</v>
      </c>
    </row>
    <row r="3" ht="33.75" customHeight="1" s="45">
      <c r="A3" s="5" t="inlineStr">
        <is>
          <t>Package_List</t>
        </is>
      </c>
      <c r="B3" s="5" t="inlineStr">
        <is>
          <t>Cluster_List</t>
        </is>
      </c>
      <c r="C3" s="5" t="inlineStr">
        <is>
          <t>Evaluator_Role_List</t>
        </is>
      </c>
      <c r="D3" s="5" t="inlineStr">
        <is>
          <t>High_Risk_Activity_List</t>
        </is>
      </c>
      <c r="E3" s="5" t="inlineStr">
        <is>
          <t>Yes_No_List</t>
        </is>
      </c>
      <c r="F3" s="5" t="inlineStr">
        <is>
          <t>Root_Cause_List</t>
        </is>
      </c>
      <c r="G3" s="5" t="inlineStr">
        <is>
          <t>Status_List</t>
        </is>
      </c>
      <c r="H3" s="5" t="inlineStr">
        <is>
          <t>KPI_List</t>
        </is>
      </c>
      <c r="I3" t="n">
        <v>1</v>
      </c>
    </row>
    <row r="4" ht="15" customHeight="1" s="45">
      <c r="A4" s="7" t="n">
        <v>2</v>
      </c>
      <c r="B4" s="7" t="inlineStr">
        <is>
          <t>Cluster 7A</t>
        </is>
      </c>
      <c r="C4" s="7" t="inlineStr">
        <is>
          <t>Project Director</t>
        </is>
      </c>
      <c r="D4" s="7" t="inlineStr">
        <is>
          <t>Work at Height</t>
        </is>
      </c>
      <c r="E4" s="7" t="inlineStr">
        <is>
          <t>YES</t>
        </is>
      </c>
      <c r="F4" s="7" t="inlineStr">
        <is>
          <t>Leadership failure</t>
        </is>
      </c>
      <c r="G4" s="7" t="inlineStr">
        <is>
          <t>Open</t>
        </is>
      </c>
      <c r="H4" s="7" t="inlineStr">
        <is>
          <t>Work at Height Control</t>
        </is>
      </c>
      <c r="I4" t="n">
        <v>2</v>
      </c>
    </row>
    <row r="5" ht="15" customHeight="1" s="45">
      <c r="A5" s="7" t="n">
        <v>3</v>
      </c>
      <c r="B5" s="7" t="inlineStr">
        <is>
          <t>Cluster 7B</t>
        </is>
      </c>
      <c r="C5" s="7" t="inlineStr">
        <is>
          <t>Project Manager</t>
        </is>
      </c>
      <c r="D5" s="7" t="inlineStr">
        <is>
          <t>Edge Protection</t>
        </is>
      </c>
      <c r="E5" s="7" t="inlineStr">
        <is>
          <t>NO</t>
        </is>
      </c>
      <c r="F5" s="7" t="inlineStr">
        <is>
          <t>Poor supervision</t>
        </is>
      </c>
      <c r="G5" s="7" t="inlineStr">
        <is>
          <t>In Progress</t>
        </is>
      </c>
      <c r="H5" s="7" t="inlineStr">
        <is>
          <t>Edge Protection</t>
        </is>
      </c>
      <c r="I5" t="n">
        <v>3</v>
      </c>
    </row>
    <row r="6" ht="15" customHeight="1" s="45">
      <c r="A6" s="7" t="n">
        <v>4</v>
      </c>
      <c r="B6" s="7" t="inlineStr">
        <is>
          <t>Cluster 8A</t>
        </is>
      </c>
      <c r="C6" s="7" t="inlineStr">
        <is>
          <t>Construction Manager</t>
        </is>
      </c>
      <c r="D6" s="7" t="inlineStr">
        <is>
          <t>Falling Objects</t>
        </is>
      </c>
      <c r="F6" s="7" t="inlineStr">
        <is>
          <t>Poor planning</t>
        </is>
      </c>
      <c r="G6" s="7" t="inlineStr">
        <is>
          <t>Closed</t>
        </is>
      </c>
      <c r="H6" s="7" t="inlineStr">
        <is>
          <t>Falling Object Prevention</t>
        </is>
      </c>
      <c r="I6" t="n">
        <v>4</v>
      </c>
    </row>
    <row r="7" ht="15" customHeight="1" s="45">
      <c r="B7" s="7" t="inlineStr">
        <is>
          <t>Cluster 8B</t>
        </is>
      </c>
      <c r="C7" s="7" t="inlineStr">
        <is>
          <t>HSE Manager</t>
        </is>
      </c>
      <c r="D7" s="7" t="inlineStr">
        <is>
          <t>Excavation</t>
        </is>
      </c>
      <c r="F7" s="7" t="inlineStr">
        <is>
          <t>PTW failure</t>
        </is>
      </c>
      <c r="G7" s="7" t="inlineStr">
        <is>
          <t>On Hold</t>
        </is>
      </c>
      <c r="H7" s="7" t="inlineStr">
        <is>
          <t>Excavation Safety</t>
        </is>
      </c>
      <c r="I7" t="n">
        <v>5</v>
      </c>
    </row>
    <row r="8" ht="15" customHeight="1" s="45">
      <c r="B8" s="7" t="inlineStr">
        <is>
          <t>Cluster 8C</t>
        </is>
      </c>
      <c r="C8" s="7" t="inlineStr">
        <is>
          <t>Section Engineer</t>
        </is>
      </c>
      <c r="D8" s="7" t="inlineStr">
        <is>
          <t>Scaffolding</t>
        </is>
      </c>
      <c r="F8" s="7" t="inlineStr">
        <is>
          <t>Weak MSRA</t>
        </is>
      </c>
      <c r="H8" s="7" t="inlineStr">
        <is>
          <t>Scaffolding Compliance</t>
        </is>
      </c>
    </row>
    <row r="9" ht="15" customHeight="1" s="45">
      <c r="B9" s="7" t="inlineStr">
        <is>
          <t>Cluster 8D</t>
        </is>
      </c>
      <c r="C9" s="7" t="inlineStr">
        <is>
          <t>QA/QC</t>
        </is>
      </c>
      <c r="D9" s="7" t="inlineStr">
        <is>
          <t>Permit to Work</t>
        </is>
      </c>
      <c r="F9" s="7" t="inlineStr">
        <is>
          <t>Poor subcontractor control</t>
        </is>
      </c>
      <c r="H9" s="7" t="inlineStr">
        <is>
          <t>PTW Implementation</t>
        </is>
      </c>
    </row>
    <row r="10" ht="15" customHeight="1" s="45">
      <c r="B10" s="7" t="inlineStr">
        <is>
          <t>Cluster 3</t>
        </is>
      </c>
      <c r="C10" s="7" t="inlineStr">
        <is>
          <t>KEO</t>
        </is>
      </c>
      <c r="D10" s="7" t="inlineStr">
        <is>
          <t>MSRA / Risk Assessment</t>
        </is>
      </c>
      <c r="F10" s="7" t="inlineStr">
        <is>
          <t>Resource constraint</t>
        </is>
      </c>
      <c r="H10" s="7" t="inlineStr">
        <is>
          <t>PTW Field Verification</t>
        </is>
      </c>
    </row>
    <row r="11" ht="15" customHeight="1" s="45">
      <c r="B11" s="7" t="inlineStr">
        <is>
          <t>Cluster 4</t>
        </is>
      </c>
      <c r="C11" s="7" t="inlineStr">
        <is>
          <t>Client</t>
        </is>
      </c>
      <c r="D11" s="7" t="inlineStr">
        <is>
          <t>Lifting Operations</t>
        </is>
      </c>
      <c r="F11" s="7" t="inlineStr">
        <is>
          <t>Inadequate competence</t>
        </is>
      </c>
      <c r="H11" s="7" t="inlineStr">
        <is>
          <t>MSRA Quality</t>
        </is>
      </c>
    </row>
    <row r="12" ht="15" customHeight="1" s="45">
      <c r="B12" s="7" t="inlineStr">
        <is>
          <t>Cluster 5</t>
        </is>
      </c>
      <c r="C12" s="7" t="inlineStr">
        <is>
          <t>Other</t>
        </is>
      </c>
      <c r="D12" s="7" t="inlineStr">
        <is>
          <t>Traffic Management</t>
        </is>
      </c>
      <c r="F12" s="7" t="inlineStr">
        <is>
          <t>Poor housekeeping culture</t>
        </is>
      </c>
      <c r="H12" s="7" t="inlineStr">
        <is>
          <t>Lifting/Precast Installation</t>
        </is>
      </c>
    </row>
    <row r="13" ht="15" customHeight="1" s="45">
      <c r="B13" s="7" t="inlineStr">
        <is>
          <t>Cluster 6</t>
        </is>
      </c>
      <c r="D13" s="7" t="inlineStr">
        <is>
          <t>Housekeeping</t>
        </is>
      </c>
      <c r="F13" s="7" t="inlineStr">
        <is>
          <t>Interface / simultaneous activity conflict</t>
        </is>
      </c>
      <c r="H13" s="7" t="inlineStr">
        <is>
          <t>Traffic &amp; Man-Machine Interface</t>
        </is>
      </c>
    </row>
    <row r="14" ht="15" customHeight="1" s="45">
      <c r="B14" s="7" t="inlineStr">
        <is>
          <t>Cluster 1A</t>
        </is>
      </c>
      <c r="D14" s="7" t="inlineStr">
        <is>
          <t>Waste Management</t>
        </is>
      </c>
      <c r="F14" s="7" t="inlineStr">
        <is>
          <t>Other</t>
        </is>
      </c>
      <c r="H14" s="7" t="inlineStr">
        <is>
          <t>Housekeeping/Waste Management</t>
        </is>
      </c>
    </row>
    <row r="15" ht="15" customHeight="1" s="45">
      <c r="B15" s="7" t="inlineStr">
        <is>
          <t>Cluster 1B</t>
        </is>
      </c>
      <c r="D15" s="7" t="inlineStr">
        <is>
          <t>Fire Readiness</t>
        </is>
      </c>
      <c r="H15" s="7" t="inlineStr">
        <is>
          <t>Welfare Arrangement</t>
        </is>
      </c>
    </row>
    <row r="16" ht="15" customHeight="1" s="45">
      <c r="B16" s="7" t="inlineStr">
        <is>
          <t>Cluster 2A</t>
        </is>
      </c>
      <c r="D16" s="7" t="inlineStr">
        <is>
          <t>Electrical Safety</t>
        </is>
      </c>
      <c r="H16" s="7" t="inlineStr">
        <is>
          <t>Fire Readiness</t>
        </is>
      </c>
    </row>
    <row r="17" ht="15" customHeight="1" s="45">
      <c r="B17" s="7" t="inlineStr">
        <is>
          <t>Cluster 2B</t>
        </is>
      </c>
      <c r="D17" s="7" t="inlineStr">
        <is>
          <t>Portable Power Tools</t>
        </is>
      </c>
      <c r="H17" s="7" t="inlineStr">
        <is>
          <t>Supervision &amp; Subcontractor Control</t>
        </is>
      </c>
    </row>
    <row r="18" ht="15" customHeight="1" s="45">
      <c r="B18" s="7" t="inlineStr">
        <is>
          <t>Cluster 2C</t>
        </is>
      </c>
      <c r="D18" s="7" t="inlineStr">
        <is>
          <t>Heat Stress</t>
        </is>
      </c>
      <c r="H18" s="7" t="inlineStr">
        <is>
          <t>Temporary Electrical &amp; Tool Safety</t>
        </is>
      </c>
    </row>
    <row r="19" ht="15" customHeight="1" s="45">
      <c r="D19" s="7" t="inlineStr">
        <is>
          <t>Other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ColWidth="8.6328125" defaultRowHeight="15"/>
  <cols>
    <col width="34" customWidth="1" style="45" min="1" max="1"/>
    <col width="12" customWidth="1" style="45" min="2" max="2"/>
    <col width="16" customWidth="1" style="45" min="3" max="3"/>
    <col width="48" customWidth="1" style="45" min="4" max="4"/>
  </cols>
  <sheetData>
    <row r="1" ht="24" customHeight="1" s="45">
      <c r="A1" s="34" t="inlineStr">
        <is>
          <t>KPI Weights and Gate Rules</t>
        </is>
      </c>
    </row>
    <row r="2" ht="36" customHeight="1" s="45">
      <c r="A2" s="35" t="inlineStr">
        <is>
          <t>Weights sum to 100%. Critical gate KPIs trigger a red flag if scored 0 or 1 in any inspection.</t>
        </is>
      </c>
    </row>
    <row r="3" ht="33.75" customHeight="1" s="45">
      <c r="A3" s="5" t="inlineStr">
        <is>
          <t>KPI</t>
        </is>
      </c>
      <c r="B3" s="5" t="inlineStr">
        <is>
          <t>Weight</t>
        </is>
      </c>
      <c r="C3" s="5" t="inlineStr">
        <is>
          <t>Critical Gate KPI?</t>
        </is>
      </c>
      <c r="D3" s="5" t="inlineStr">
        <is>
          <t>Notes</t>
        </is>
      </c>
    </row>
    <row r="4" ht="15" customHeight="1" s="45">
      <c r="A4" s="7" t="inlineStr">
        <is>
          <t>Work at Height Control</t>
        </is>
      </c>
      <c r="B4" s="11" t="n">
        <v>0.12</v>
      </c>
      <c r="C4" s="7" t="inlineStr">
        <is>
          <t>YES</t>
        </is>
      </c>
      <c r="D4" s="7" t="inlineStr">
        <is>
          <t>Primary fall prevention and work at height control</t>
        </is>
      </c>
    </row>
    <row r="5" ht="15" customHeight="1" s="45">
      <c r="A5" s="7" t="inlineStr">
        <is>
          <t>Edge Protection</t>
        </is>
      </c>
      <c r="B5" s="11" t="n">
        <v>0.12</v>
      </c>
      <c r="C5" s="7" t="inlineStr">
        <is>
          <t>NO</t>
        </is>
      </c>
      <c r="D5" s="7" t="inlineStr">
        <is>
          <t>Continuity and quality of edge protection</t>
        </is>
      </c>
    </row>
    <row r="6" ht="15" customHeight="1" s="45">
      <c r="A6" s="7" t="inlineStr">
        <is>
          <t>Falling Object Prevention</t>
        </is>
      </c>
      <c r="B6" s="11" t="n">
        <v>0.05</v>
      </c>
      <c r="C6" s="7" t="inlineStr">
        <is>
          <t>NO</t>
        </is>
      </c>
      <c r="D6" s="7" t="inlineStr">
        <is>
          <t>Exclusion zones, toe boards, debris/tool control</t>
        </is>
      </c>
    </row>
    <row r="7" ht="15" customHeight="1" s="45">
      <c r="A7" s="7" t="inlineStr">
        <is>
          <t>Excavation Safety</t>
        </is>
      </c>
      <c r="B7" s="11" t="n">
        <v>0.08</v>
      </c>
      <c r="C7" s="7" t="inlineStr">
        <is>
          <t>YES</t>
        </is>
      </c>
      <c r="D7" s="7" t="inlineStr">
        <is>
          <t>Barricading, access, services, support, spoil setback</t>
        </is>
      </c>
    </row>
    <row r="8" ht="15" customHeight="1" s="45">
      <c r="A8" s="7" t="inlineStr">
        <is>
          <t>Scaffolding Compliance</t>
        </is>
      </c>
      <c r="B8" s="11" t="n">
        <v>0.1</v>
      </c>
      <c r="C8" s="7" t="inlineStr">
        <is>
          <t>YES</t>
        </is>
      </c>
      <c r="D8" s="7" t="inlineStr">
        <is>
          <t>Tagging, inspection, full planking, access, stability</t>
        </is>
      </c>
    </row>
    <row r="9" ht="15" customHeight="1" s="45">
      <c r="A9" s="7" t="inlineStr">
        <is>
          <t>PTW Implementation</t>
        </is>
      </c>
      <c r="B9" s="11" t="n">
        <v>0.08</v>
      </c>
      <c r="C9" s="7" t="inlineStr">
        <is>
          <t>YES</t>
        </is>
      </c>
      <c r="D9" s="7" t="inlineStr">
        <is>
          <t>Valid PTW, correct scope, signatories, controls</t>
        </is>
      </c>
    </row>
    <row r="10" ht="15" customHeight="1" s="45">
      <c r="A10" s="7" t="inlineStr">
        <is>
          <t>PTW Field Verification</t>
        </is>
      </c>
      <c r="B10" s="11" t="n">
        <v>0.06</v>
      </c>
      <c r="C10" s="7" t="inlineStr">
        <is>
          <t>NO</t>
        </is>
      </c>
      <c r="D10" s="7" t="inlineStr">
        <is>
          <t>Physical field verification before permit approval</t>
        </is>
      </c>
    </row>
    <row r="11" ht="15" customHeight="1" s="45">
      <c r="A11" s="7" t="inlineStr">
        <is>
          <t>MSRA Quality</t>
        </is>
      </c>
      <c r="B11" s="11" t="n">
        <v>0.03</v>
      </c>
      <c r="C11" s="7" t="inlineStr">
        <is>
          <t>NO</t>
        </is>
      </c>
      <c r="D11" s="7" t="inlineStr">
        <is>
          <t>Task-specific risk assessment and understanding</t>
        </is>
      </c>
    </row>
    <row r="12" ht="15" customHeight="1" s="45">
      <c r="A12" s="7" t="inlineStr">
        <is>
          <t>Lifting/Precast Installation</t>
        </is>
      </c>
      <c r="B12" s="11" t="n">
        <v>0.1</v>
      </c>
      <c r="C12" s="7" t="inlineStr">
        <is>
          <t>YES</t>
        </is>
      </c>
      <c r="D12" s="7" t="inlineStr">
        <is>
          <t>Lift plan, appointed person, exclusion, rigging</t>
        </is>
      </c>
    </row>
    <row r="13" ht="15" customHeight="1" s="45">
      <c r="A13" s="7" t="inlineStr">
        <is>
          <t>Traffic &amp; Man-Machine Interface</t>
        </is>
      </c>
      <c r="B13" s="11" t="n">
        <v>0.06</v>
      </c>
      <c r="C13" s="7" t="inlineStr">
        <is>
          <t>NO</t>
        </is>
      </c>
      <c r="D13" s="7" t="inlineStr">
        <is>
          <t>Pedestrian segregation, routes, signage, reversing</t>
        </is>
      </c>
    </row>
    <row r="14" ht="15" customHeight="1" s="45">
      <c r="A14" s="7" t="inlineStr">
        <is>
          <t>Housekeeping/Waste Management</t>
        </is>
      </c>
      <c r="B14" s="11" t="n">
        <v>0.03</v>
      </c>
      <c r="C14" s="7" t="inlineStr">
        <is>
          <t>NO</t>
        </is>
      </c>
      <c r="D14" s="7" t="inlineStr">
        <is>
          <t>Cleanliness, stacking, access routes, slip/trip control</t>
        </is>
      </c>
    </row>
    <row r="15" ht="15" customHeight="1" s="45">
      <c r="A15" s="7" t="inlineStr">
        <is>
          <t>Welfare Arrangement</t>
        </is>
      </c>
      <c r="B15" s="11" t="n">
        <v>0.03</v>
      </c>
      <c r="C15" s="7" t="inlineStr">
        <is>
          <t>NO</t>
        </is>
      </c>
      <c r="D15" s="7" t="inlineStr">
        <is>
          <t>Segregation, storage, transfer/disposal control</t>
        </is>
      </c>
    </row>
    <row r="16" ht="15" customHeight="1" s="45">
      <c r="A16" s="7" t="inlineStr">
        <is>
          <t>Fire Readiness</t>
        </is>
      </c>
      <c r="B16" s="11" t="n">
        <v>0.05</v>
      </c>
      <c r="C16" s="7" t="inlineStr">
        <is>
          <t>NO</t>
        </is>
      </c>
      <c r="D16" s="7" t="inlineStr">
        <is>
          <t>Fire points, extinguishers, hot work readiness</t>
        </is>
      </c>
    </row>
    <row r="17" ht="15" customHeight="1" s="45">
      <c r="A17" s="7" t="inlineStr">
        <is>
          <t>Supervision &amp; Subcontractor Control</t>
        </is>
      </c>
      <c r="B17" s="11" t="n">
        <v>0.03</v>
      </c>
      <c r="C17" s="7" t="inlineStr">
        <is>
          <t>NO</t>
        </is>
      </c>
      <c r="D17" s="7" t="inlineStr">
        <is>
          <t>Visible supervision and subcontractor control</t>
        </is>
      </c>
    </row>
    <row r="18" ht="15" customHeight="1" s="45">
      <c r="A18" s="7" t="inlineStr">
        <is>
          <t>Temporary Electrical &amp; Tool Safety</t>
        </is>
      </c>
      <c r="B18" s="11" t="n">
        <v>0.06</v>
      </c>
      <c r="C18" s="7" t="inlineStr">
        <is>
          <t>NO</t>
        </is>
      </c>
      <c r="D18" s="7" t="inlineStr">
        <is>
          <t>Temporary power, RCD, condition of tools/cables</t>
        </is>
      </c>
    </row>
    <row r="20" ht="15" customHeight="1" s="45">
      <c r="A20" s="12" t="inlineStr">
        <is>
          <t>Total</t>
        </is>
      </c>
      <c r="B20" s="13">
        <f>SUM(B4:B18)</f>
        <v/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996"/>
  <sheetViews>
    <sheetView showGridLines="0" workbookViewId="0">
      <selection activeCell="A1" sqref="A1"/>
    </sheetView>
  </sheetViews>
  <sheetFormatPr baseColWidth="8" defaultColWidth="8.6328125" defaultRowHeight="15"/>
  <cols>
    <col width="20.81640625" customWidth="1" style="45" min="1" max="1"/>
    <col width="12" customWidth="1" style="45" min="2" max="2"/>
    <col width="9" customWidth="1" style="45" min="3" max="3"/>
    <col width="10" customWidth="1" style="45" min="4" max="4"/>
    <col width="9" customWidth="1" style="45" min="5" max="5"/>
    <col width="14" customWidth="1" style="45" min="6" max="6"/>
    <col hidden="1" width="18" customWidth="1" style="45" min="7" max="7"/>
    <col hidden="1" width="12" customWidth="1" style="45" min="8" max="8"/>
    <col hidden="1" width="24" customWidth="1" style="45" min="9" max="9"/>
    <col hidden="1" width="22" customWidth="1" style="45" min="10" max="10"/>
    <col hidden="1" width="28" customWidth="1" style="45" min="11" max="11"/>
    <col hidden="1" width="22" customWidth="1" style="45" min="12" max="12"/>
    <col hidden="1" width="24" customWidth="1" style="45" min="13" max="13"/>
    <col width="16" customWidth="1" style="45" min="14" max="14"/>
    <col width="15" customWidth="1" style="45" min="15" max="15"/>
    <col width="16" customWidth="1" style="45" min="16" max="16"/>
    <col width="10" customWidth="1" style="45" min="17" max="17"/>
    <col width="18" customWidth="1" style="45" min="18" max="18"/>
    <col width="11" customWidth="1" style="45" min="19" max="19"/>
    <col width="10" customWidth="1" style="45" min="20" max="21"/>
    <col width="12" customWidth="1" style="45" min="22" max="22"/>
    <col width="11" customWidth="1" style="45" min="23" max="23"/>
    <col width="12" customWidth="1" style="45" min="24" max="24"/>
    <col width="10" customWidth="1" style="45" min="25" max="30"/>
    <col width="9" customWidth="1" style="45" min="31" max="32"/>
    <col width="16" customWidth="1" style="45" min="33" max="33"/>
    <col width="11" customWidth="1" style="45" min="34" max="34"/>
    <col hidden="1" width="11" customWidth="1" style="45" min="35" max="36"/>
    <col hidden="1" width="13" customWidth="1" style="45" min="37" max="37"/>
    <col hidden="1" width="12" customWidth="1" style="45" min="38" max="39"/>
    <col hidden="1" width="16" customWidth="1" style="45" min="40" max="40"/>
    <col width="12" customWidth="1" style="45" min="41" max="41"/>
    <col width="18" customWidth="1" style="45" min="42" max="42"/>
    <col width="28" customWidth="1" style="45" min="43" max="43"/>
    <col width="24" customWidth="1" style="45" min="44" max="45"/>
    <col hidden="1" width="24" customWidth="1" style="45" min="46" max="46"/>
    <col width="18" customWidth="1" style="45" min="47" max="47"/>
    <col width="14" customWidth="1" style="45" min="48" max="48"/>
    <col width="24" customWidth="1" style="45" min="49" max="49"/>
    <col hidden="1" width="18" customWidth="1" style="45" min="50" max="54"/>
    <col hidden="1" width="16" customWidth="1" style="45" min="55" max="55"/>
    <col hidden="1" width="18" customWidth="1" style="45" min="56" max="58"/>
  </cols>
  <sheetData>
    <row r="1" ht="24" customHeight="1" s="45">
      <c r="A1" s="36" t="inlineStr">
        <is>
          <t>Weekly Inspection Entry Sheet - Google Form Ready</t>
        </is>
      </c>
    </row>
    <row r="2" ht="33.75" customHeight="1" s="45">
      <c r="A2" s="37" t="inlineStr">
        <is>
          <t>Complete only visible fields. Use the 0-5 dropdown for each KPI. Package and Cluster auto-fill contractor leadership and the dashboard updates automatically.</t>
        </is>
      </c>
    </row>
    <row r="3" ht="39.75" customHeight="1" s="45">
      <c r="A3" s="14" t="inlineStr">
        <is>
          <t>Inspection_ID</t>
        </is>
      </c>
      <c r="B3" s="14" t="inlineStr">
        <is>
          <t>Inspection_Date</t>
        </is>
      </c>
      <c r="C3" s="14" t="inlineStr">
        <is>
          <t>Week_No</t>
        </is>
      </c>
      <c r="D3" s="14" t="inlineStr">
        <is>
          <t>Month</t>
        </is>
      </c>
      <c r="E3" s="14" t="inlineStr">
        <is>
          <t>Package</t>
        </is>
      </c>
      <c r="F3" s="14" t="inlineStr">
        <is>
          <t>Cluster</t>
        </is>
      </c>
      <c r="G3" s="14" t="inlineStr">
        <is>
          <t>Package_Cluster_Check</t>
        </is>
      </c>
      <c r="H3" s="14" t="inlineStr">
        <is>
          <t>Contractor</t>
        </is>
      </c>
      <c r="I3" s="14" t="inlineStr">
        <is>
          <t>Project Director (PD)</t>
        </is>
      </c>
      <c r="J3" s="14" t="inlineStr">
        <is>
          <t>Project Manager (PM)</t>
        </is>
      </c>
      <c r="K3" s="14" t="inlineStr">
        <is>
          <t>Construction Manager (CM)</t>
        </is>
      </c>
      <c r="L3" s="14" t="inlineStr">
        <is>
          <t>HSE Manager (HSEM)</t>
        </is>
      </c>
      <c r="M3" s="14" t="inlineStr">
        <is>
          <t>Section Engineer (SE)</t>
        </is>
      </c>
      <c r="N3" s="14" t="inlineStr">
        <is>
          <t>Your_Name</t>
        </is>
      </c>
      <c r="O3" s="14" t="inlineStr">
        <is>
          <t>Your_Role</t>
        </is>
      </c>
      <c r="P3" s="14" t="inlineStr">
        <is>
          <t>Area_or_Villa</t>
        </is>
      </c>
      <c r="Q3" s="14" t="inlineStr">
        <is>
          <t>Workers_Observed</t>
        </is>
      </c>
      <c r="R3" s="14" t="inlineStr">
        <is>
          <t>Main_High_Risk_Activity</t>
        </is>
      </c>
      <c r="S3" s="14" t="inlineStr">
        <is>
          <t>Stop_Work</t>
        </is>
      </c>
      <c r="T3" s="14" t="inlineStr">
        <is>
          <t>Work_at_Height</t>
        </is>
      </c>
      <c r="U3" s="14" t="inlineStr">
        <is>
          <t>Edge_Protection</t>
        </is>
      </c>
      <c r="V3" s="14" t="inlineStr">
        <is>
          <t>Falling_Object_Prevention</t>
        </is>
      </c>
      <c r="W3" s="14" t="inlineStr">
        <is>
          <t>Excavation_Safety</t>
        </is>
      </c>
      <c r="X3" s="14" t="inlineStr">
        <is>
          <t>Scaffolding_Compliance</t>
        </is>
      </c>
      <c r="Y3" s="14" t="inlineStr">
        <is>
          <t>PTW_Implementation</t>
        </is>
      </c>
      <c r="Z3" s="14" t="inlineStr">
        <is>
          <t>PTW_Field_Verification</t>
        </is>
      </c>
      <c r="AA3" s="14" t="inlineStr">
        <is>
          <t>MSRA_Quality</t>
        </is>
      </c>
      <c r="AB3" s="14" t="inlineStr">
        <is>
          <t>Lifting/Precast Installation</t>
        </is>
      </c>
      <c r="AC3" s="14" t="inlineStr">
        <is>
          <t>Traffic_Interface</t>
        </is>
      </c>
      <c r="AD3" s="14" t="inlineStr">
        <is>
          <t>Housekeeping/Waste Management</t>
        </is>
      </c>
      <c r="AE3" s="14" t="inlineStr">
        <is>
          <t>Welfare Arrangement</t>
        </is>
      </c>
      <c r="AF3" s="14" t="inlineStr">
        <is>
          <t>Fire_Readiness</t>
        </is>
      </c>
      <c r="AG3" s="14" t="inlineStr">
        <is>
          <t>Supervision_Subcontractor</t>
        </is>
      </c>
      <c r="AH3" s="14" t="inlineStr">
        <is>
          <t>Electrical_Tool_Safety</t>
        </is>
      </c>
      <c r="AI3" s="14" t="inlineStr">
        <is>
          <t>Total_Score</t>
        </is>
      </c>
      <c r="AJ3" s="14" t="inlineStr">
        <is>
          <t>Raw_Score_%</t>
        </is>
      </c>
      <c r="AK3" s="14" t="inlineStr">
        <is>
          <t>Weighted_Score_%</t>
        </is>
      </c>
      <c r="AL3" s="14" t="inlineStr">
        <is>
          <t>Critical_Red_Flag</t>
        </is>
      </c>
      <c r="AM3" s="14" t="inlineStr">
        <is>
          <t>Award_Eligible</t>
        </is>
      </c>
      <c r="AN3" s="14" t="inlineStr">
        <is>
          <t>Rating_Band</t>
        </is>
      </c>
      <c r="AO3" s="14" t="inlineStr">
        <is>
          <t>Repeat_Issue_Seen</t>
        </is>
      </c>
      <c r="AP3" s="14" t="inlineStr">
        <is>
          <t>Likely_Root_Cause</t>
        </is>
      </c>
      <c r="AQ3" s="14" t="inlineStr">
        <is>
          <t>Top_3_Gaps_Observed</t>
        </is>
      </c>
      <c r="AR3" s="14" t="inlineStr">
        <is>
          <t>Immediate_Action_Taken</t>
        </is>
      </c>
      <c r="AS3" s="14" t="inlineStr">
        <is>
          <t>Preventive_Action_Required</t>
        </is>
      </c>
      <c r="AT3" s="14" t="inlineStr">
        <is>
          <t>Positive_Observations</t>
        </is>
      </c>
      <c r="AU3" s="14" t="inlineStr">
        <is>
          <t>Action_Owner</t>
        </is>
      </c>
      <c r="AV3" s="14" t="inlineStr">
        <is>
          <t>Target_Closeout_Date</t>
        </is>
      </c>
      <c r="AW3" s="14" t="inlineStr">
        <is>
          <t>Evidence_Link_or_Photo</t>
        </is>
      </c>
      <c r="AX3" s="14" t="inlineStr">
        <is>
          <t>KPI_for_PD_Attention</t>
        </is>
      </c>
      <c r="AY3" s="14" t="inlineStr">
        <is>
          <t>KPI_for_PM_Attention</t>
        </is>
      </c>
      <c r="AZ3" s="14" t="inlineStr">
        <is>
          <t>KPI_for_CM_Attention</t>
        </is>
      </c>
      <c r="BA3" s="14" t="inlineStr">
        <is>
          <t>KPI_for_HSEM_Followup</t>
        </is>
      </c>
      <c r="BB3" s="14" t="inlineStr">
        <is>
          <t>KPI_for_SE_Supervision</t>
        </is>
      </c>
      <c r="BC3" s="14" t="inlineStr">
        <is>
          <t>Leadership_Visible_Effective</t>
        </is>
      </c>
      <c r="BD3" s="14" t="inlineStr">
        <is>
          <t>Unsafe_Work_Corrected_Immediately</t>
        </is>
      </c>
      <c r="BE3" s="14" t="inlineStr">
        <is>
          <t>Best_Improved_Cluster_this_Week</t>
        </is>
      </c>
      <c r="BF3" s="14" t="inlineStr">
        <is>
          <t>Cluster_Needing_Immediate_Intervention</t>
        </is>
      </c>
    </row>
    <row r="4" ht="19.5" customHeight="1" s="45">
      <c r="A4" s="15">
        <f>IF($B4="","",TEXT($B4,"yyyymmdd")&amp;"-"&amp;SUBSTITUTE($F4," ","")&amp;"-"&amp;TEXT(COUNTIF($F$4:F4,$F4),"00"))</f>
        <v/>
      </c>
      <c r="B4" s="39" t="n">
        <v>46107</v>
      </c>
      <c r="C4" s="15">
        <f>IF($B4="","",WEEKNUM($B4,2))</f>
        <v/>
      </c>
      <c r="D4" s="15">
        <f>IF($B4="","",TEXT($B4,"yyyy-mm"))</f>
        <v/>
      </c>
      <c r="E4" s="40" t="n">
        <v>4</v>
      </c>
      <c r="F4" s="40" t="inlineStr">
        <is>
          <t>Cluster 2A</t>
        </is>
      </c>
      <c r="G4" s="15">
        <f>IF(OR($E4="",$F4=""),"",IFERROR(IF($E4=INDEX(Cluster_Master!$A$4:$A$18,MATCH($F4,Cluster_Master!$B$4:$B$18,0)),"OK","CHECK"),"CHECK"))</f>
        <v/>
      </c>
      <c r="H4" s="18">
        <f>IFERROR(INDEX(Cluster_Master!$C$4:$C$18,MATCH($F4,Cluster_Master!$B$4:$B$18,0)),"")</f>
        <v/>
      </c>
      <c r="I4" s="15">
        <f>IFERROR(INDEX(Cluster_Master!$D$4:$D$18,MATCH($F4,Cluster_Master!$B$4:$B$18,0)),"")</f>
        <v/>
      </c>
      <c r="J4" s="15">
        <f>IFERROR(INDEX(Cluster_Master!$E$4:$E$18,MATCH($F4,Cluster_Master!$B$4:$B$18,0)),"")</f>
        <v/>
      </c>
      <c r="K4" s="15">
        <f>IFERROR(INDEX(Cluster_Master!$F$4:$F$18,MATCH($F4,Cluster_Master!$B$4:$B$18,0)),"")</f>
        <v/>
      </c>
      <c r="L4" s="15">
        <f>IFERROR(INDEX(Cluster_Master!$G$4:$G$18,MATCH($F4,Cluster_Master!$B$4:$B$18,0)),"")</f>
        <v/>
      </c>
      <c r="M4" s="15">
        <f>IFERROR(INDEX(Cluster_Master!$H$4:$H$18,MATCH($F4,Cluster_Master!$B$4:$B$18,0)),"")</f>
        <v/>
      </c>
      <c r="N4" s="41" t="inlineStr">
        <is>
          <t>Godwin</t>
        </is>
      </c>
      <c r="O4" s="41" t="inlineStr">
        <is>
          <t>KEO</t>
        </is>
      </c>
      <c r="P4" s="41" t="inlineStr">
        <is>
          <t>Villa 8 to 16</t>
        </is>
      </c>
      <c r="Q4" s="41" t="n"/>
      <c r="R4" s="41" t="inlineStr">
        <is>
          <t>Work at Height</t>
        </is>
      </c>
      <c r="S4" s="41" t="inlineStr">
        <is>
          <t>YES</t>
        </is>
      </c>
      <c r="T4" s="42" t="n">
        <v>2</v>
      </c>
      <c r="U4" s="42" t="n">
        <v>2</v>
      </c>
      <c r="V4" s="42" t="n">
        <v>3</v>
      </c>
      <c r="W4" s="42" t="n">
        <v>3</v>
      </c>
      <c r="X4" s="42" t="n">
        <v>2</v>
      </c>
      <c r="Y4" s="42" t="n">
        <v>3</v>
      </c>
      <c r="Z4" s="42" t="n">
        <v>1</v>
      </c>
      <c r="AA4" s="42" t="n">
        <v>3</v>
      </c>
      <c r="AB4" s="42" t="n"/>
      <c r="AC4" s="42" t="n">
        <v>3</v>
      </c>
      <c r="AD4" s="42" t="n">
        <v>1</v>
      </c>
      <c r="AE4" s="42" t="n">
        <v>1</v>
      </c>
      <c r="AF4" s="42" t="n">
        <v>2</v>
      </c>
      <c r="AG4" s="42" t="n">
        <v>1</v>
      </c>
      <c r="AH4" s="42" t="n">
        <v>2</v>
      </c>
      <c r="AI4" s="15">
        <f>IF(COUNTA(T4:AH4)=0,"",SUM(T4:AH4))</f>
        <v/>
      </c>
      <c r="AJ4" s="21">
        <f>IF(COUNTA(T4:AH4)=0,"",AI4/(COUNT(KPI_Weights!$A$4:$A$18)*5))</f>
        <v/>
      </c>
      <c r="AK4" s="21">
        <f>IF(COUNTA(T4:AH4)=0,"",SUMPRODUCT(T4:AH4,KPI_Weights!$B$4:$B$18)/5)</f>
        <v/>
      </c>
      <c r="AL4" s="15">
        <f>IF(COUNTA(T4:AH4)=0,"",IF(SUMPRODUCT(--(T4:AH4&lt;=1),--(KPI_Weights!$C$4:$C$18="YES"))&gt;0,"YES","NO"))</f>
        <v/>
      </c>
      <c r="AM4" s="15">
        <f>IF(AJ4="","",IF(AND(AL4="NO",AJ4&gt;=0.75),"YES","NO"))</f>
        <v/>
      </c>
      <c r="AN4" s="15">
        <f>IF(AJ4="","",IF(AJ4&lt;0.4,"Critical",IF(AJ4&lt;0.6,"Poor",IF(AJ4&lt;0.75,"Needs Improvement",IF(AJ4&lt;0.9,"Good","Excellent")))))</f>
        <v/>
      </c>
      <c r="AO4" s="41" t="inlineStr">
        <is>
          <t>YES</t>
        </is>
      </c>
      <c r="AP4" s="41" t="inlineStr">
        <is>
          <t>Leadership failure</t>
        </is>
      </c>
      <c r="AQ4" s="41" t="inlineStr">
        <is>
          <t>1. Leadership failure
2. Poor supervision
3. Poor sub-contractor control
4. PTW failure</t>
        </is>
      </c>
      <c r="AR4" s="41" t="inlineStr">
        <is>
          <t>Unsafe work practices were suspended immediately. The CM of the cluster was called but he refused to visit the location.</t>
        </is>
      </c>
      <c r="AS4" s="41" t="inlineStr">
        <is>
          <t>1. PTW must be controlled by the main contractor.
2. Close supervision of sub-contractors by main contractor shall be ensured.
3. Non-performing subcontractors shall not be paid and shall be removed from project.
4. Non-performing construction team shall be replaced without delays</t>
        </is>
      </c>
      <c r="AT4" s="44" t="n"/>
      <c r="AU4" s="41" t="inlineStr">
        <is>
          <t>1-3rd recommendation by the cluster CM
4th recommendation by the PD.</t>
        </is>
      </c>
      <c r="AV4" s="43" t="n">
        <v>46114</v>
      </c>
      <c r="AW4" s="41" t="n"/>
      <c r="AX4" s="44" t="n"/>
      <c r="AY4" s="44" t="n"/>
      <c r="AZ4" s="44" t="n"/>
      <c r="BA4" s="44" t="n"/>
      <c r="BB4" s="44" t="n"/>
      <c r="BC4" s="44" t="n"/>
      <c r="BD4" s="44" t="n"/>
      <c r="BE4" s="44" t="n"/>
      <c r="BF4" s="44" t="n"/>
    </row>
    <row r="5" ht="19.5" customHeight="1" s="45">
      <c r="A5" s="15">
        <f>IF($B5="","",TEXT($B5,"yyyymmdd")&amp;"-"&amp;SUBSTITUTE($F5," ","")&amp;"-"&amp;TEXT(COUNTIF($F$4:F5,$F5),"00"))</f>
        <v/>
      </c>
      <c r="B5" s="39" t="n">
        <v>46107</v>
      </c>
      <c r="C5" s="15">
        <f>IF($B5="","",WEEKNUM($B5,2))</f>
        <v/>
      </c>
      <c r="D5" s="15">
        <f>IF($B5="","",TEXT($B5,"yyyy-mm"))</f>
        <v/>
      </c>
      <c r="E5" s="40" t="n">
        <v>2</v>
      </c>
      <c r="F5" s="40" t="inlineStr">
        <is>
          <t>Cluster 8A</t>
        </is>
      </c>
      <c r="G5" s="15">
        <f>IF(OR($E5="",$F5=""),"",IFERROR(IF($E5=INDEX(Cluster_Master!$A$4:$A$18,MATCH($F5,Cluster_Master!$B$4:$B$18,0)),"OK","CHECK"),"CHECK"))</f>
        <v/>
      </c>
      <c r="H5" s="18">
        <f>IFERROR(INDEX(Cluster_Master!$C$4:$C$18,MATCH($F5,Cluster_Master!$B$4:$B$18,0)),"")</f>
        <v/>
      </c>
      <c r="I5" s="15">
        <f>IFERROR(INDEX(Cluster_Master!$D$4:$D$18,MATCH($F5,Cluster_Master!$B$4:$B$18,0)),"")</f>
        <v/>
      </c>
      <c r="J5" s="15">
        <f>IFERROR(INDEX(Cluster_Master!$E$4:$E$18,MATCH($F5,Cluster_Master!$B$4:$B$18,0)),"")</f>
        <v/>
      </c>
      <c r="K5" s="15">
        <f>IFERROR(INDEX(Cluster_Master!$F$4:$F$18,MATCH($F5,Cluster_Master!$B$4:$B$18,0)),"")</f>
        <v/>
      </c>
      <c r="L5" s="15">
        <f>IFERROR(INDEX(Cluster_Master!$G$4:$G$18,MATCH($F5,Cluster_Master!$B$4:$B$18,0)),"")</f>
        <v/>
      </c>
      <c r="M5" s="15">
        <f>IFERROR(INDEX(Cluster_Master!$H$4:$H$18,MATCH($F5,Cluster_Master!$B$4:$B$18,0)),"")</f>
        <v/>
      </c>
      <c r="N5" s="41" t="inlineStr">
        <is>
          <t>Godwin</t>
        </is>
      </c>
      <c r="O5" s="41" t="inlineStr">
        <is>
          <t>KEO</t>
        </is>
      </c>
      <c r="P5" s="41" t="inlineStr">
        <is>
          <t xml:space="preserve">General </t>
        </is>
      </c>
      <c r="Q5" s="41" t="n"/>
      <c r="R5" s="41" t="inlineStr">
        <is>
          <t>Scaffolding</t>
        </is>
      </c>
      <c r="S5" s="41" t="inlineStr">
        <is>
          <t>NO</t>
        </is>
      </c>
      <c r="T5" s="42" t="n">
        <v>4</v>
      </c>
      <c r="U5" s="42" t="n">
        <v>4</v>
      </c>
      <c r="V5" s="42" t="n">
        <v>4</v>
      </c>
      <c r="W5" s="42" t="n">
        <v>4</v>
      </c>
      <c r="X5" s="42" t="n">
        <v>4</v>
      </c>
      <c r="Y5" s="42" t="n">
        <v>4</v>
      </c>
      <c r="Z5" s="42" t="n">
        <v>4</v>
      </c>
      <c r="AA5" s="42" t="n">
        <v>4</v>
      </c>
      <c r="AB5" s="42" t="n">
        <v>4</v>
      </c>
      <c r="AC5" s="42" t="n">
        <v>4</v>
      </c>
      <c r="AD5" s="42" t="n">
        <v>4</v>
      </c>
      <c r="AE5" s="42" t="n">
        <v>3</v>
      </c>
      <c r="AF5" s="42" t="n">
        <v>4</v>
      </c>
      <c r="AG5" s="42" t="n">
        <v>4</v>
      </c>
      <c r="AH5" s="42" t="n">
        <v>4</v>
      </c>
      <c r="AI5" s="15">
        <f>IF(COUNTA(T5:AH5)=0,"",SUM(T5:AH5))</f>
        <v/>
      </c>
      <c r="AJ5" s="21">
        <f>IF(COUNTA(T5:AH5)=0,"",AI5/(COUNT(KPI_Weights!$A$4:$A$18)*5))</f>
        <v/>
      </c>
      <c r="AK5" s="21">
        <f>IF(COUNTA(T5:AH5)=0,"",SUMPRODUCT(T5:AH5,KPI_Weights!$B$4:$B$18)/5)</f>
        <v/>
      </c>
      <c r="AL5" s="15">
        <f>IF(COUNTA(T5:AH5)=0,"",IF(SUMPRODUCT(--(T5:AH5&lt;=1),--(KPI_Weights!$C$4:$C$18="YES"))&gt;0,"YES","NO"))</f>
        <v/>
      </c>
      <c r="AM5" s="15">
        <f>IF(AJ5="","",IF(AND(AL5="NO",AJ5&gt;=0.75),"YES","NO"))</f>
        <v/>
      </c>
      <c r="AN5" s="15">
        <f>IF(AJ5="","",IF(AJ5&lt;0.4,"Critical",IF(AJ5&lt;0.6,"Poor",IF(AJ5&lt;0.75,"Needs Improvement",IF(AJ5&lt;0.9,"Good","Excellent")))))</f>
        <v/>
      </c>
      <c r="AO5" s="41" t="inlineStr">
        <is>
          <t>NO</t>
        </is>
      </c>
      <c r="AP5" s="41" t="inlineStr">
        <is>
          <t>Other</t>
        </is>
      </c>
      <c r="AQ5" s="41" t="inlineStr">
        <is>
          <t>No significant gap observed</t>
        </is>
      </c>
      <c r="AR5" s="41" t="inlineStr">
        <is>
          <t>The team was commended for their visible leadership in driving transformation at Cluster 8A.</t>
        </is>
      </c>
      <c r="AS5" s="41" t="inlineStr">
        <is>
          <t>The Construction Manager and his team were advised to ensure that sub-contractors do not mess up with their site. The following advise was given:
1. No payment for work if site condition is below the acceptable standard.
2. Close supervision of sub-contractors by the construction team of the main contractor.
3. Housekeeping shall be maintined for all shift.
4. Provide a temporary storage area for waste for each villa.
5. PTW shall remain under the control of the main contractor.</t>
        </is>
      </c>
      <c r="AT5" s="44" t="n"/>
      <c r="AU5" s="41" t="inlineStr">
        <is>
          <t>Construction Manager of Cluster 8A 
HSE Manager of TAJV</t>
        </is>
      </c>
      <c r="AV5" s="43" t="inlineStr">
        <is>
          <t>Always</t>
        </is>
      </c>
      <c r="AW5" s="41" t="n"/>
      <c r="AX5" s="44" t="n"/>
      <c r="AY5" s="44" t="n"/>
      <c r="AZ5" s="44" t="n"/>
      <c r="BA5" s="44" t="n"/>
      <c r="BB5" s="44" t="n"/>
      <c r="BC5" s="44" t="n"/>
      <c r="BD5" s="44" t="n"/>
      <c r="BE5" s="44" t="n"/>
      <c r="BF5" s="44" t="n"/>
    </row>
    <row r="6" ht="19.5" customHeight="1" s="45">
      <c r="A6" s="15">
        <f>IF($B6="","",TEXT($B6,"yyyymmdd")&amp;"-"&amp;SUBSTITUTE($F6," ","")&amp;"-"&amp;TEXT(COUNTIF($F$4:F6,$F6),"00"))</f>
        <v/>
      </c>
      <c r="B6" s="39" t="n">
        <v>46111</v>
      </c>
      <c r="C6" s="15">
        <f>IF($B6="","",WEEKNUM($B6,2))</f>
        <v/>
      </c>
      <c r="D6" s="15">
        <f>IF($B6="","",TEXT($B6,"yyyy-mm"))</f>
        <v/>
      </c>
      <c r="E6" s="40" t="n">
        <v>3</v>
      </c>
      <c r="F6" s="40" t="inlineStr">
        <is>
          <t>Cluster 4</t>
        </is>
      </c>
      <c r="G6" s="15">
        <f>IF(OR($E6="",$F6=""),"",IFERROR(IF($E6=INDEX(Cluster_Master!$A$4:$A$18,MATCH($F6,Cluster_Master!$B$4:$B$18,0)),"OK","CHECK"),"CHECK"))</f>
        <v/>
      </c>
      <c r="H6" s="18">
        <f>IFERROR(INDEX(Cluster_Master!$C$4:$C$18,MATCH($F6,Cluster_Master!$B$4:$B$18,0)),"")</f>
        <v/>
      </c>
      <c r="I6" s="15">
        <f>IFERROR(INDEX(Cluster_Master!$D$4:$D$18,MATCH($F6,Cluster_Master!$B$4:$B$18,0)),"")</f>
        <v/>
      </c>
      <c r="J6" s="15">
        <f>IFERROR(INDEX(Cluster_Master!$E$4:$E$18,MATCH($F6,Cluster_Master!$B$4:$B$18,0)),"")</f>
        <v/>
      </c>
      <c r="K6" s="15">
        <f>IFERROR(INDEX(Cluster_Master!$F$4:$F$18,MATCH($F6,Cluster_Master!$B$4:$B$18,0)),"")</f>
        <v/>
      </c>
      <c r="L6" s="15">
        <f>IFERROR(INDEX(Cluster_Master!$G$4:$G$18,MATCH($F6,Cluster_Master!$B$4:$B$18,0)),"")</f>
        <v/>
      </c>
      <c r="M6" s="15">
        <f>IFERROR(INDEX(Cluster_Master!$H$4:$H$18,MATCH($F6,Cluster_Master!$B$4:$B$18,0)),"")</f>
        <v/>
      </c>
      <c r="N6" s="41" t="inlineStr">
        <is>
          <t>Shinoj</t>
        </is>
      </c>
      <c r="O6" s="41" t="inlineStr">
        <is>
          <t>KEO</t>
        </is>
      </c>
      <c r="P6" s="41" t="inlineStr">
        <is>
          <t>Villa 8 to 16</t>
        </is>
      </c>
      <c r="Q6" s="41" t="inlineStr">
        <is>
          <t>Block work</t>
        </is>
      </c>
      <c r="R6" s="41" t="inlineStr">
        <is>
          <t>Edge Protection</t>
        </is>
      </c>
      <c r="S6" s="41" t="inlineStr">
        <is>
          <t>NO</t>
        </is>
      </c>
      <c r="T6" s="42" t="n">
        <v>3</v>
      </c>
      <c r="U6" s="42" t="n">
        <v>2</v>
      </c>
      <c r="V6" s="42" t="n">
        <v>3</v>
      </c>
      <c r="W6" s="42" t="n">
        <v>3</v>
      </c>
      <c r="X6" s="42" t="n">
        <v>2</v>
      </c>
      <c r="Y6" s="42" t="n">
        <v>4</v>
      </c>
      <c r="Z6" s="42" t="n">
        <v>3</v>
      </c>
      <c r="AA6" s="42" t="n">
        <v>5</v>
      </c>
      <c r="AB6" s="42" t="n">
        <v>1</v>
      </c>
      <c r="AC6" s="42" t="n">
        <v>2</v>
      </c>
      <c r="AD6" s="42" t="n">
        <v>4</v>
      </c>
      <c r="AE6" s="42" t="n">
        <v>2</v>
      </c>
      <c r="AF6" s="42" t="n">
        <v>3</v>
      </c>
      <c r="AG6" s="42" t="n">
        <v>1</v>
      </c>
      <c r="AH6" s="42" t="n">
        <v>3</v>
      </c>
      <c r="AI6" s="15">
        <f>IF(COUNTA(T6:AH6)=0,"",SUM(T6:AH6))</f>
        <v/>
      </c>
      <c r="AJ6" s="21">
        <f>IF(COUNTA(T6:AH6)=0,"",AI6/(COUNT(KPI_Weights!$A$4:$A$18)*5))</f>
        <v/>
      </c>
      <c r="AK6" s="21">
        <f>IF(COUNTA(T6:AH6)=0,"",SUMPRODUCT(T6:AH6,KPI_Weights!$B$4:$B$18)/5)</f>
        <v/>
      </c>
      <c r="AL6" s="15">
        <f>IF(COUNTA(T6:AH6)=0,"",IF(SUMPRODUCT(--(T6:AH6&lt;=1),--(KPI_Weights!$C$4:$C$18="YES"))&gt;0,"YES","NO"))</f>
        <v/>
      </c>
      <c r="AM6" s="15">
        <f>IF(AJ6="","",IF(AND(AL6="NO",AJ6&gt;=0.75),"YES","NO"))</f>
        <v/>
      </c>
      <c r="AN6" s="15">
        <f>IF(AJ6="","",IF(AJ6&lt;0.4,"Critical",IF(AJ6&lt;0.6,"Poor",IF(AJ6&lt;0.75,"Needs Improvement",IF(AJ6&lt;0.9,"Good","Excellent")))))</f>
        <v/>
      </c>
      <c r="AO6" s="41" t="inlineStr">
        <is>
          <t>NO</t>
        </is>
      </c>
      <c r="AP6" s="41" t="inlineStr">
        <is>
          <t>Poor supervision</t>
        </is>
      </c>
      <c r="AQ6" s="41" t="n"/>
      <c r="AR6" s="41" t="inlineStr">
        <is>
          <t>sretybhy</t>
        </is>
      </c>
      <c r="AS6" s="41" t="inlineStr">
        <is>
          <t>hfidjdgkjdfkdfgb</t>
        </is>
      </c>
      <c r="AT6" s="44" t="n"/>
      <c r="AU6" s="41" t="n"/>
      <c r="AV6" s="43" t="n">
        <v>46112</v>
      </c>
      <c r="AW6" s="41" t="n"/>
      <c r="AX6" s="44" t="n"/>
      <c r="AY6" s="44" t="n"/>
      <c r="AZ6" s="44" t="n"/>
      <c r="BA6" s="44" t="n"/>
      <c r="BB6" s="44" t="n"/>
      <c r="BC6" s="44" t="n"/>
      <c r="BD6" s="44" t="n"/>
      <c r="BE6" s="44" t="n"/>
      <c r="BF6" s="44" t="n"/>
    </row>
    <row r="7" ht="19.5" customHeight="1" s="45">
      <c r="A7" s="15">
        <f>IF($B7="","",TEXT($B7,"yyyymmdd")&amp;"-"&amp;SUBSTITUTE($F7," ","")&amp;"-"&amp;TEXT(COUNTIF($F$4:F7,$F7),"00"))</f>
        <v/>
      </c>
      <c r="B7" s="39" t="n"/>
      <c r="C7" s="15">
        <f>IF($B7="","",WEEKNUM($B7,2))</f>
        <v/>
      </c>
      <c r="D7" s="15">
        <f>IF($B7="","",TEXT($B7,"yyyy-mm"))</f>
        <v/>
      </c>
      <c r="E7" s="40" t="n"/>
      <c r="F7" s="40" t="n"/>
      <c r="G7" s="15">
        <f>IF(OR($E7="",$F7=""),"",IFERROR(IF($E7=INDEX(Cluster_Master!$A$4:$A$18,MATCH($F7,Cluster_Master!$B$4:$B$18,0)),"OK","CHECK"),"CHECK"))</f>
        <v/>
      </c>
      <c r="H7" s="18">
        <f>IFERROR(INDEX(Cluster_Master!$C$4:$C$18,MATCH($F7,Cluster_Master!$B$4:$B$18,0)),"")</f>
        <v/>
      </c>
      <c r="I7" s="15">
        <f>IFERROR(INDEX(Cluster_Master!$D$4:$D$18,MATCH($F7,Cluster_Master!$B$4:$B$18,0)),"")</f>
        <v/>
      </c>
      <c r="J7" s="15">
        <f>IFERROR(INDEX(Cluster_Master!$E$4:$E$18,MATCH($F7,Cluster_Master!$B$4:$B$18,0)),"")</f>
        <v/>
      </c>
      <c r="K7" s="15">
        <f>IFERROR(INDEX(Cluster_Master!$F$4:$F$18,MATCH($F7,Cluster_Master!$B$4:$B$18,0)),"")</f>
        <v/>
      </c>
      <c r="L7" s="15">
        <f>IFERROR(INDEX(Cluster_Master!$G$4:$G$18,MATCH($F7,Cluster_Master!$B$4:$B$18,0)),"")</f>
        <v/>
      </c>
      <c r="M7" s="15">
        <f>IFERROR(INDEX(Cluster_Master!$H$4:$H$18,MATCH($F7,Cluster_Master!$B$4:$B$18,0)),"")</f>
        <v/>
      </c>
      <c r="N7" s="41" t="n"/>
      <c r="O7" s="41" t="n"/>
      <c r="P7" s="41" t="n"/>
      <c r="Q7" s="41" t="n"/>
      <c r="R7" s="41" t="n"/>
      <c r="S7" s="41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15">
        <f>IF(COUNTA(T7:AH7)=0,"",SUM(T7:AH7))</f>
        <v/>
      </c>
      <c r="AJ7" s="21">
        <f>IF(COUNTA(T7:AH7)=0,"",AI7/(COUNT(KPI_Weights!$A$4:$A$18)*5))</f>
        <v/>
      </c>
      <c r="AK7" s="21">
        <f>IF(COUNTA(T7:AH7)=0,"",SUMPRODUCT(T7:AH7,KPI_Weights!$B$4:$B$18)/5)</f>
        <v/>
      </c>
      <c r="AL7" s="15">
        <f>IF(COUNTA(T7:AH7)=0,"",IF(SUMPRODUCT(--(T7:AH7&lt;=1),--(KPI_Weights!$C$4:$C$18="YES"))&gt;0,"YES","NO"))</f>
        <v/>
      </c>
      <c r="AM7" s="15">
        <f>IF(AJ7="","",IF(AND(AL7="NO",AJ7&gt;=0.75),"YES","NO"))</f>
        <v/>
      </c>
      <c r="AN7" s="15">
        <f>IF(AJ7="","",IF(AJ7&lt;0.4,"Critical",IF(AJ7&lt;0.6,"Poor",IF(AJ7&lt;0.75,"Needs Improvement",IF(AJ7&lt;0.9,"Good","Excellent")))))</f>
        <v/>
      </c>
      <c r="AO7" s="41" t="n"/>
      <c r="AP7" s="41" t="n"/>
      <c r="AQ7" s="41" t="n"/>
      <c r="AR7" s="41" t="n"/>
      <c r="AS7" s="41" t="n"/>
      <c r="AT7" s="44" t="n"/>
      <c r="AU7" s="41" t="n"/>
      <c r="AV7" s="43" t="n"/>
      <c r="AW7" s="41" t="n"/>
      <c r="AX7" s="44" t="n"/>
      <c r="AY7" s="44" t="n"/>
      <c r="AZ7" s="44" t="n"/>
      <c r="BA7" s="44" t="n"/>
      <c r="BB7" s="44" t="n"/>
      <c r="BC7" s="44" t="n"/>
      <c r="BD7" s="44" t="n"/>
      <c r="BE7" s="44" t="n"/>
      <c r="BF7" s="44" t="n"/>
    </row>
    <row r="8" ht="19.5" customHeight="1" s="45">
      <c r="A8" s="15">
        <f>IF($B8="","",TEXT($B8,"yyyymmdd")&amp;"-"&amp;SUBSTITUTE($F8," ","")&amp;"-"&amp;TEXT(COUNTIF($F$4:F8,$F8),"00"))</f>
        <v/>
      </c>
      <c r="B8" s="39" t="n"/>
      <c r="C8" s="15">
        <f>IF($B8="","",WEEKNUM($B8,2))</f>
        <v/>
      </c>
      <c r="D8" s="15">
        <f>IF($B8="","",TEXT($B8,"yyyy-mm"))</f>
        <v/>
      </c>
      <c r="E8" s="40" t="n"/>
      <c r="F8" s="40" t="n"/>
      <c r="G8" s="15">
        <f>IF(OR($E8="",$F8=""),"",IFERROR(IF($E8=INDEX(Cluster_Master!$A$4:$A$18,MATCH($F8,Cluster_Master!$B$4:$B$18,0)),"OK","CHECK"),"CHECK"))</f>
        <v/>
      </c>
      <c r="H8" s="18">
        <f>IFERROR(INDEX(Cluster_Master!$C$4:$C$18,MATCH($F8,Cluster_Master!$B$4:$B$18,0)),"")</f>
        <v/>
      </c>
      <c r="I8" s="15">
        <f>IFERROR(INDEX(Cluster_Master!$D$4:$D$18,MATCH($F8,Cluster_Master!$B$4:$B$18,0)),"")</f>
        <v/>
      </c>
      <c r="J8" s="15">
        <f>IFERROR(INDEX(Cluster_Master!$E$4:$E$18,MATCH($F8,Cluster_Master!$B$4:$B$18,0)),"")</f>
        <v/>
      </c>
      <c r="K8" s="15">
        <f>IFERROR(INDEX(Cluster_Master!$F$4:$F$18,MATCH($F8,Cluster_Master!$B$4:$B$18,0)),"")</f>
        <v/>
      </c>
      <c r="L8" s="15">
        <f>IFERROR(INDEX(Cluster_Master!$G$4:$G$18,MATCH($F8,Cluster_Master!$B$4:$B$18,0)),"")</f>
        <v/>
      </c>
      <c r="M8" s="15">
        <f>IFERROR(INDEX(Cluster_Master!$H$4:$H$18,MATCH($F8,Cluster_Master!$B$4:$B$18,0)),"")</f>
        <v/>
      </c>
      <c r="N8" s="41" t="n"/>
      <c r="O8" s="41" t="n"/>
      <c r="P8" s="41" t="n"/>
      <c r="Q8" s="41" t="n"/>
      <c r="R8" s="41" t="n"/>
      <c r="S8" s="41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15">
        <f>IF(COUNTA(T8:AH8)=0,"",SUM(T8:AH8))</f>
        <v/>
      </c>
      <c r="AJ8" s="21">
        <f>IF(COUNTA(T8:AH8)=0,"",AI8/(COUNT(KPI_Weights!$A$4:$A$18)*5))</f>
        <v/>
      </c>
      <c r="AK8" s="21">
        <f>IF(COUNTA(T8:AH8)=0,"",SUMPRODUCT(T8:AH8,KPI_Weights!$B$4:$B$18)/5)</f>
        <v/>
      </c>
      <c r="AL8" s="15">
        <f>IF(COUNTA(T8:AH8)=0,"",IF(SUMPRODUCT(--(T8:AH8&lt;=1),--(KPI_Weights!$C$4:$C$18="YES"))&gt;0,"YES","NO"))</f>
        <v/>
      </c>
      <c r="AM8" s="15">
        <f>IF(AJ8="","",IF(AND(AL8="NO",AJ8&gt;=0.75),"YES","NO"))</f>
        <v/>
      </c>
      <c r="AN8" s="15">
        <f>IF(AJ8="","",IF(AJ8&lt;0.4,"Critical",IF(AJ8&lt;0.6,"Poor",IF(AJ8&lt;0.75,"Needs Improvement",IF(AJ8&lt;0.9,"Good","Excellent")))))</f>
        <v/>
      </c>
      <c r="AO8" s="41" t="n"/>
      <c r="AP8" s="41" t="n"/>
      <c r="AQ8" s="41" t="n"/>
      <c r="AR8" s="41" t="n"/>
      <c r="AS8" s="41" t="n"/>
      <c r="AT8" s="44" t="n"/>
      <c r="AU8" s="41" t="n"/>
      <c r="AV8" s="43" t="n"/>
      <c r="AW8" s="41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</row>
    <row r="9" ht="19.5" customHeight="1" s="45">
      <c r="A9" s="15">
        <f>IF($B9="","",TEXT($B9,"yyyymmdd")&amp;"-"&amp;SUBSTITUTE($F9," ","")&amp;"-"&amp;TEXT(COUNTIF($F$4:F9,$F9),"00"))</f>
        <v/>
      </c>
      <c r="B9" s="39" t="n"/>
      <c r="C9" s="15">
        <f>IF($B9="","",WEEKNUM($B9,2))</f>
        <v/>
      </c>
      <c r="D9" s="15">
        <f>IF($B9="","",TEXT($B9,"yyyy-mm"))</f>
        <v/>
      </c>
      <c r="E9" s="40" t="n"/>
      <c r="F9" s="40" t="n"/>
      <c r="G9" s="15">
        <f>IF(OR($E9="",$F9=""),"",IFERROR(IF($E9=INDEX(Cluster_Master!$A$4:$A$18,MATCH($F9,Cluster_Master!$B$4:$B$18,0)),"OK","CHECK"),"CHECK"))</f>
        <v/>
      </c>
      <c r="H9" s="18">
        <f>IFERROR(INDEX(Cluster_Master!$C$4:$C$18,MATCH($F9,Cluster_Master!$B$4:$B$18,0)),"")</f>
        <v/>
      </c>
      <c r="I9" s="15">
        <f>IFERROR(INDEX(Cluster_Master!$D$4:$D$18,MATCH($F9,Cluster_Master!$B$4:$B$18,0)),"")</f>
        <v/>
      </c>
      <c r="J9" s="15">
        <f>IFERROR(INDEX(Cluster_Master!$E$4:$E$18,MATCH($F9,Cluster_Master!$B$4:$B$18,0)),"")</f>
        <v/>
      </c>
      <c r="K9" s="15">
        <f>IFERROR(INDEX(Cluster_Master!$F$4:$F$18,MATCH($F9,Cluster_Master!$B$4:$B$18,0)),"")</f>
        <v/>
      </c>
      <c r="L9" s="15">
        <f>IFERROR(INDEX(Cluster_Master!$G$4:$G$18,MATCH($F9,Cluster_Master!$B$4:$B$18,0)),"")</f>
        <v/>
      </c>
      <c r="M9" s="15">
        <f>IFERROR(INDEX(Cluster_Master!$H$4:$H$18,MATCH($F9,Cluster_Master!$B$4:$B$18,0)),"")</f>
        <v/>
      </c>
      <c r="N9" s="41" t="n"/>
      <c r="O9" s="41" t="n"/>
      <c r="P9" s="41" t="n"/>
      <c r="Q9" s="41" t="n"/>
      <c r="R9" s="41" t="n"/>
      <c r="S9" s="41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15">
        <f>IF(COUNTA(T9:AH9)=0,"",SUM(T9:AH9))</f>
        <v/>
      </c>
      <c r="AJ9" s="21">
        <f>IF(COUNTA(T9:AH9)=0,"",AI9/(COUNT(KPI_Weights!$A$4:$A$18)*5))</f>
        <v/>
      </c>
      <c r="AK9" s="21">
        <f>IF(COUNTA(T9:AH9)=0,"",SUMPRODUCT(T9:AH9,KPI_Weights!$B$4:$B$18)/5)</f>
        <v/>
      </c>
      <c r="AL9" s="15">
        <f>IF(COUNTA(T9:AH9)=0,"",IF(SUMPRODUCT(--(T9:AH9&lt;=1),--(KPI_Weights!$C$4:$C$18="YES"))&gt;0,"YES","NO"))</f>
        <v/>
      </c>
      <c r="AM9" s="15">
        <f>IF(AJ9="","",IF(AND(AL9="NO",AJ9&gt;=0.75),"YES","NO"))</f>
        <v/>
      </c>
      <c r="AN9" s="15">
        <f>IF(AJ9="","",IF(AJ9&lt;0.4,"Critical",IF(AJ9&lt;0.6,"Poor",IF(AJ9&lt;0.75,"Needs Improvement",IF(AJ9&lt;0.9,"Good","Excellent")))))</f>
        <v/>
      </c>
      <c r="AO9" s="41" t="n"/>
      <c r="AP9" s="41" t="n"/>
      <c r="AQ9" s="41" t="n"/>
      <c r="AR9" s="41" t="n"/>
      <c r="AS9" s="41" t="n"/>
      <c r="AT9" s="44" t="n"/>
      <c r="AU9" s="41" t="n"/>
      <c r="AV9" s="43" t="n"/>
      <c r="AW9" s="41" t="n"/>
      <c r="AX9" s="44" t="n"/>
      <c r="AY9" s="44" t="n"/>
      <c r="AZ9" s="44" t="n"/>
      <c r="BA9" s="44" t="n"/>
      <c r="BB9" s="44" t="n"/>
      <c r="BC9" s="44" t="n"/>
      <c r="BD9" s="44" t="n"/>
      <c r="BE9" s="44" t="n"/>
      <c r="BF9" s="44" t="n"/>
    </row>
    <row r="10" ht="19.5" customHeight="1" s="45">
      <c r="A10" s="15">
        <f>IF($B10="","",TEXT($B10,"yyyymmdd")&amp;"-"&amp;SUBSTITUTE($F10," ","")&amp;"-"&amp;TEXT(COUNTIF($F$4:F10,$F10),"00"))</f>
        <v/>
      </c>
      <c r="B10" s="39" t="n"/>
      <c r="C10" s="15">
        <f>IF($B10="","",WEEKNUM($B10,2))</f>
        <v/>
      </c>
      <c r="D10" s="15">
        <f>IF($B10="","",TEXT($B10,"yyyy-mm"))</f>
        <v/>
      </c>
      <c r="E10" s="40" t="n"/>
      <c r="F10" s="40" t="n"/>
      <c r="G10" s="15">
        <f>IF(OR($E10="",$F10=""),"",IFERROR(IF($E10=INDEX(Cluster_Master!$A$4:$A$18,MATCH($F10,Cluster_Master!$B$4:$B$18,0)),"OK","CHECK"),"CHECK"))</f>
        <v/>
      </c>
      <c r="H10" s="18">
        <f>IFERROR(INDEX(Cluster_Master!$C$4:$C$18,MATCH($F10,Cluster_Master!$B$4:$B$18,0)),"")</f>
        <v/>
      </c>
      <c r="I10" s="15">
        <f>IFERROR(INDEX(Cluster_Master!$D$4:$D$18,MATCH($F10,Cluster_Master!$B$4:$B$18,0)),"")</f>
        <v/>
      </c>
      <c r="J10" s="15">
        <f>IFERROR(INDEX(Cluster_Master!$E$4:$E$18,MATCH($F10,Cluster_Master!$B$4:$B$18,0)),"")</f>
        <v/>
      </c>
      <c r="K10" s="15">
        <f>IFERROR(INDEX(Cluster_Master!$F$4:$F$18,MATCH($F10,Cluster_Master!$B$4:$B$18,0)),"")</f>
        <v/>
      </c>
      <c r="L10" s="15">
        <f>IFERROR(INDEX(Cluster_Master!$G$4:$G$18,MATCH($F10,Cluster_Master!$B$4:$B$18,0)),"")</f>
        <v/>
      </c>
      <c r="M10" s="15">
        <f>IFERROR(INDEX(Cluster_Master!$H$4:$H$18,MATCH($F10,Cluster_Master!$B$4:$B$18,0)),"")</f>
        <v/>
      </c>
      <c r="N10" s="41" t="n"/>
      <c r="O10" s="41" t="n"/>
      <c r="P10" s="41" t="n"/>
      <c r="Q10" s="41" t="n"/>
      <c r="R10" s="41" t="n"/>
      <c r="S10" s="41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15">
        <f>IF(COUNTA(T10:AH10)=0,"",SUM(T10:AH10))</f>
        <v/>
      </c>
      <c r="AJ10" s="21">
        <f>IF(COUNTA(T10:AH10)=0,"",AI10/(COUNT(KPI_Weights!$A$4:$A$18)*5))</f>
        <v/>
      </c>
      <c r="AK10" s="21">
        <f>IF(COUNTA(T10:AH10)=0,"",SUMPRODUCT(T10:AH10,KPI_Weights!$B$4:$B$18)/5)</f>
        <v/>
      </c>
      <c r="AL10" s="15">
        <f>IF(COUNTA(T10:AH10)=0,"",IF(SUMPRODUCT(--(T10:AH10&lt;=1),--(KPI_Weights!$C$4:$C$18="YES"))&gt;0,"YES","NO"))</f>
        <v/>
      </c>
      <c r="AM10" s="15">
        <f>IF(AJ10="","",IF(AND(AL10="NO",AJ10&gt;=0.75),"YES","NO"))</f>
        <v/>
      </c>
      <c r="AN10" s="15">
        <f>IF(AJ10="","",IF(AJ10&lt;0.4,"Critical",IF(AJ10&lt;0.6,"Poor",IF(AJ10&lt;0.75,"Needs Improvement",IF(AJ10&lt;0.9,"Good","Excellent")))))</f>
        <v/>
      </c>
      <c r="AO10" s="41" t="n"/>
      <c r="AP10" s="41" t="n"/>
      <c r="AQ10" s="41" t="n"/>
      <c r="AR10" s="41" t="n"/>
      <c r="AS10" s="41" t="n"/>
      <c r="AT10" s="44" t="n"/>
      <c r="AU10" s="41" t="n"/>
      <c r="AV10" s="43" t="n"/>
      <c r="AW10" s="41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</row>
    <row r="11" ht="19.5" customHeight="1" s="45">
      <c r="A11" s="15">
        <f>IF($B11="","",TEXT($B11,"yyyymmdd")&amp;"-"&amp;SUBSTITUTE($F11," ","")&amp;"-"&amp;TEXT(COUNTIF($F$4:F11,$F11),"00"))</f>
        <v/>
      </c>
      <c r="B11" s="39" t="n"/>
      <c r="C11" s="15">
        <f>IF($B11="","",WEEKNUM($B11,2))</f>
        <v/>
      </c>
      <c r="D11" s="15">
        <f>IF($B11="","",TEXT($B11,"yyyy-mm"))</f>
        <v/>
      </c>
      <c r="E11" s="40" t="n"/>
      <c r="F11" s="40" t="n"/>
      <c r="G11" s="15">
        <f>IF(OR($E11="",$F11=""),"",IFERROR(IF($E11=INDEX(Cluster_Master!$A$4:$A$18,MATCH($F11,Cluster_Master!$B$4:$B$18,0)),"OK","CHECK"),"CHECK"))</f>
        <v/>
      </c>
      <c r="H11" s="18">
        <f>IFERROR(INDEX(Cluster_Master!$C$4:$C$18,MATCH($F11,Cluster_Master!$B$4:$B$18,0)),"")</f>
        <v/>
      </c>
      <c r="I11" s="15">
        <f>IFERROR(INDEX(Cluster_Master!$D$4:$D$18,MATCH($F11,Cluster_Master!$B$4:$B$18,0)),"")</f>
        <v/>
      </c>
      <c r="J11" s="15">
        <f>IFERROR(INDEX(Cluster_Master!$E$4:$E$18,MATCH($F11,Cluster_Master!$B$4:$B$18,0)),"")</f>
        <v/>
      </c>
      <c r="K11" s="15">
        <f>IFERROR(INDEX(Cluster_Master!$F$4:$F$18,MATCH($F11,Cluster_Master!$B$4:$B$18,0)),"")</f>
        <v/>
      </c>
      <c r="L11" s="15">
        <f>IFERROR(INDEX(Cluster_Master!$G$4:$G$18,MATCH($F11,Cluster_Master!$B$4:$B$18,0)),"")</f>
        <v/>
      </c>
      <c r="M11" s="15">
        <f>IFERROR(INDEX(Cluster_Master!$H$4:$H$18,MATCH($F11,Cluster_Master!$B$4:$B$18,0)),"")</f>
        <v/>
      </c>
      <c r="N11" s="41" t="n"/>
      <c r="O11" s="41" t="n"/>
      <c r="P11" s="41" t="n"/>
      <c r="Q11" s="41" t="n"/>
      <c r="R11" s="41" t="n"/>
      <c r="S11" s="41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15">
        <f>IF(COUNTA(T11:AH11)=0,"",SUM(T11:AH11))</f>
        <v/>
      </c>
      <c r="AJ11" s="21">
        <f>IF(COUNTA(T11:AH11)=0,"",AI11/(COUNT(KPI_Weights!$A$4:$A$18)*5))</f>
        <v/>
      </c>
      <c r="AK11" s="21">
        <f>IF(COUNTA(T11:AH11)=0,"",SUMPRODUCT(T11:AH11,KPI_Weights!$B$4:$B$18)/5)</f>
        <v/>
      </c>
      <c r="AL11" s="15">
        <f>IF(COUNTA(T11:AH11)=0,"",IF(SUMPRODUCT(--(T11:AH11&lt;=1),--(KPI_Weights!$C$4:$C$18="YES"))&gt;0,"YES","NO"))</f>
        <v/>
      </c>
      <c r="AM11" s="15">
        <f>IF(AJ11="","",IF(AND(AL11="NO",AJ11&gt;=0.75),"YES","NO"))</f>
        <v/>
      </c>
      <c r="AN11" s="15">
        <f>IF(AJ11="","",IF(AJ11&lt;0.4,"Critical",IF(AJ11&lt;0.6,"Poor",IF(AJ11&lt;0.75,"Needs Improvement",IF(AJ11&lt;0.9,"Good","Excellent")))))</f>
        <v/>
      </c>
      <c r="AO11" s="41" t="n"/>
      <c r="AP11" s="41" t="n"/>
      <c r="AQ11" s="41" t="n"/>
      <c r="AR11" s="41" t="n"/>
      <c r="AS11" s="41" t="n"/>
      <c r="AT11" s="44" t="n"/>
      <c r="AU11" s="41" t="n"/>
      <c r="AV11" s="43" t="n"/>
      <c r="AW11" s="41" t="n"/>
      <c r="AX11" s="44" t="n"/>
      <c r="AY11" s="44" t="n"/>
      <c r="AZ11" s="44" t="n"/>
      <c r="BA11" s="44" t="n"/>
      <c r="BB11" s="44" t="n"/>
      <c r="BC11" s="44" t="n"/>
      <c r="BD11" s="44" t="n"/>
      <c r="BE11" s="44" t="n"/>
      <c r="BF11" s="44" t="n"/>
    </row>
    <row r="12" ht="19.5" customHeight="1" s="45">
      <c r="A12" s="15">
        <f>IF($B12="","",TEXT($B12,"yyyymmdd")&amp;"-"&amp;SUBSTITUTE($F12," ","")&amp;"-"&amp;TEXT(COUNTIF($F$4:F12,$F12),"00"))</f>
        <v/>
      </c>
      <c r="B12" s="39" t="n"/>
      <c r="C12" s="15">
        <f>IF($B12="","",WEEKNUM($B12,2))</f>
        <v/>
      </c>
      <c r="D12" s="15">
        <f>IF($B12="","",TEXT($B12,"yyyy-mm"))</f>
        <v/>
      </c>
      <c r="E12" s="40" t="n"/>
      <c r="F12" s="40" t="n"/>
      <c r="G12" s="15">
        <f>IF(OR($E12="",$F12=""),"",IFERROR(IF($E12=INDEX(Cluster_Master!$A$4:$A$18,MATCH($F12,Cluster_Master!$B$4:$B$18,0)),"OK","CHECK"),"CHECK"))</f>
        <v/>
      </c>
      <c r="H12" s="18">
        <f>IFERROR(INDEX(Cluster_Master!$C$4:$C$18,MATCH($F12,Cluster_Master!$B$4:$B$18,0)),"")</f>
        <v/>
      </c>
      <c r="I12" s="15">
        <f>IFERROR(INDEX(Cluster_Master!$D$4:$D$18,MATCH($F12,Cluster_Master!$B$4:$B$18,0)),"")</f>
        <v/>
      </c>
      <c r="J12" s="15">
        <f>IFERROR(INDEX(Cluster_Master!$E$4:$E$18,MATCH($F12,Cluster_Master!$B$4:$B$18,0)),"")</f>
        <v/>
      </c>
      <c r="K12" s="15">
        <f>IFERROR(INDEX(Cluster_Master!$F$4:$F$18,MATCH($F12,Cluster_Master!$B$4:$B$18,0)),"")</f>
        <v/>
      </c>
      <c r="L12" s="15">
        <f>IFERROR(INDEX(Cluster_Master!$G$4:$G$18,MATCH($F12,Cluster_Master!$B$4:$B$18,0)),"")</f>
        <v/>
      </c>
      <c r="M12" s="15">
        <f>IFERROR(INDEX(Cluster_Master!$H$4:$H$18,MATCH($F12,Cluster_Master!$B$4:$B$18,0)),"")</f>
        <v/>
      </c>
      <c r="N12" s="41" t="n"/>
      <c r="O12" s="41" t="n"/>
      <c r="P12" s="41" t="n"/>
      <c r="Q12" s="41" t="n"/>
      <c r="R12" s="41" t="n"/>
      <c r="S12" s="41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15">
        <f>IF(COUNTA(T12:AH12)=0,"",SUM(T12:AH12))</f>
        <v/>
      </c>
      <c r="AJ12" s="21">
        <f>IF(COUNTA(T12:AH12)=0,"",AI12/(COUNT(KPI_Weights!$A$4:$A$18)*5))</f>
        <v/>
      </c>
      <c r="AK12" s="21">
        <f>IF(COUNTA(T12:AH12)=0,"",SUMPRODUCT(T12:AH12,KPI_Weights!$B$4:$B$18)/5)</f>
        <v/>
      </c>
      <c r="AL12" s="15">
        <f>IF(COUNTA(T12:AH12)=0,"",IF(SUMPRODUCT(--(T12:AH12&lt;=1),--(KPI_Weights!$C$4:$C$18="YES"))&gt;0,"YES","NO"))</f>
        <v/>
      </c>
      <c r="AM12" s="15">
        <f>IF(AJ12="","",IF(AND(AL12="NO",AJ12&gt;=0.75),"YES","NO"))</f>
        <v/>
      </c>
      <c r="AN12" s="15">
        <f>IF(AJ12="","",IF(AJ12&lt;0.4,"Critical",IF(AJ12&lt;0.6,"Poor",IF(AJ12&lt;0.75,"Needs Improvement",IF(AJ12&lt;0.9,"Good","Excellent")))))</f>
        <v/>
      </c>
      <c r="AO12" s="41" t="n"/>
      <c r="AP12" s="41" t="n"/>
      <c r="AQ12" s="41" t="n"/>
      <c r="AR12" s="41" t="n"/>
      <c r="AS12" s="41" t="n"/>
      <c r="AT12" s="44" t="n"/>
      <c r="AU12" s="41" t="n"/>
      <c r="AV12" s="43" t="n"/>
      <c r="AW12" s="41" t="n"/>
      <c r="AX12" s="44" t="n"/>
      <c r="AY12" s="44" t="n"/>
      <c r="AZ12" s="44" t="n"/>
      <c r="BA12" s="44" t="n"/>
      <c r="BB12" s="44" t="n"/>
      <c r="BC12" s="44" t="n"/>
      <c r="BD12" s="44" t="n"/>
      <c r="BE12" s="44" t="n"/>
      <c r="BF12" s="44" t="n"/>
    </row>
    <row r="13" ht="19.5" customHeight="1" s="45">
      <c r="A13" s="15">
        <f>IF($B13="","",TEXT($B13,"yyyymmdd")&amp;"-"&amp;SUBSTITUTE($F13," ","")&amp;"-"&amp;TEXT(COUNTIF($F$4:F13,$F13),"00"))</f>
        <v/>
      </c>
      <c r="B13" s="39" t="n"/>
      <c r="C13" s="15">
        <f>IF($B13="","",WEEKNUM($B13,2))</f>
        <v/>
      </c>
      <c r="D13" s="15">
        <f>IF($B13="","",TEXT($B13,"yyyy-mm"))</f>
        <v/>
      </c>
      <c r="E13" s="40" t="n"/>
      <c r="F13" s="40" t="n"/>
      <c r="G13" s="15">
        <f>IF(OR($E13="",$F13=""),"",IFERROR(IF($E13=INDEX(Cluster_Master!$A$4:$A$18,MATCH($F13,Cluster_Master!$B$4:$B$18,0)),"OK","CHECK"),"CHECK"))</f>
        <v/>
      </c>
      <c r="H13" s="18">
        <f>IFERROR(INDEX(Cluster_Master!$C$4:$C$18,MATCH($F13,Cluster_Master!$B$4:$B$18,0)),"")</f>
        <v/>
      </c>
      <c r="I13" s="15">
        <f>IFERROR(INDEX(Cluster_Master!$D$4:$D$18,MATCH($F13,Cluster_Master!$B$4:$B$18,0)),"")</f>
        <v/>
      </c>
      <c r="J13" s="15">
        <f>IFERROR(INDEX(Cluster_Master!$E$4:$E$18,MATCH($F13,Cluster_Master!$B$4:$B$18,0)),"")</f>
        <v/>
      </c>
      <c r="K13" s="15">
        <f>IFERROR(INDEX(Cluster_Master!$F$4:$F$18,MATCH($F13,Cluster_Master!$B$4:$B$18,0)),"")</f>
        <v/>
      </c>
      <c r="L13" s="15">
        <f>IFERROR(INDEX(Cluster_Master!$G$4:$G$18,MATCH($F13,Cluster_Master!$B$4:$B$18,0)),"")</f>
        <v/>
      </c>
      <c r="M13" s="15">
        <f>IFERROR(INDEX(Cluster_Master!$H$4:$H$18,MATCH($F13,Cluster_Master!$B$4:$B$18,0)),"")</f>
        <v/>
      </c>
      <c r="N13" s="41" t="n"/>
      <c r="O13" s="41" t="n"/>
      <c r="P13" s="41" t="n"/>
      <c r="Q13" s="41" t="n"/>
      <c r="R13" s="41" t="n"/>
      <c r="S13" s="41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  <c r="AE13" s="42" t="n"/>
      <c r="AF13" s="42" t="n"/>
      <c r="AG13" s="42" t="n"/>
      <c r="AH13" s="42" t="n"/>
      <c r="AI13" s="15">
        <f>IF(COUNTA(T13:AH13)=0,"",SUM(T13:AH13))</f>
        <v/>
      </c>
      <c r="AJ13" s="21">
        <f>IF(COUNTA(T13:AH13)=0,"",AI13/(COUNT(KPI_Weights!$A$4:$A$18)*5))</f>
        <v/>
      </c>
      <c r="AK13" s="21">
        <f>IF(COUNTA(T13:AH13)=0,"",SUMPRODUCT(T13:AH13,KPI_Weights!$B$4:$B$18)/5)</f>
        <v/>
      </c>
      <c r="AL13" s="15">
        <f>IF(COUNTA(T13:AH13)=0,"",IF(SUMPRODUCT(--(T13:AH13&lt;=1),--(KPI_Weights!$C$4:$C$18="YES"))&gt;0,"YES","NO"))</f>
        <v/>
      </c>
      <c r="AM13" s="15">
        <f>IF(AJ13="","",IF(AND(AL13="NO",AJ13&gt;=0.75),"YES","NO"))</f>
        <v/>
      </c>
      <c r="AN13" s="15">
        <f>IF(AJ13="","",IF(AJ13&lt;0.4,"Critical",IF(AJ13&lt;0.6,"Poor",IF(AJ13&lt;0.75,"Needs Improvement",IF(AJ13&lt;0.9,"Good","Excellent")))))</f>
        <v/>
      </c>
      <c r="AO13" s="41" t="n"/>
      <c r="AP13" s="41" t="n"/>
      <c r="AQ13" s="41" t="n"/>
      <c r="AR13" s="41" t="n"/>
      <c r="AS13" s="41" t="n"/>
      <c r="AT13" s="44" t="n"/>
      <c r="AU13" s="41" t="n"/>
      <c r="AV13" s="43" t="n"/>
      <c r="AW13" s="41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</row>
    <row r="14" ht="19.5" customHeight="1" s="45">
      <c r="A14" s="15">
        <f>IF($B14="","",TEXT($B14,"yyyymmdd")&amp;"-"&amp;SUBSTITUTE($F14," ","")&amp;"-"&amp;TEXT(COUNTIF($F$4:F14,$F14),"00"))</f>
        <v/>
      </c>
      <c r="B14" s="39" t="n"/>
      <c r="C14" s="15">
        <f>IF($B14="","",WEEKNUM($B14,2))</f>
        <v/>
      </c>
      <c r="D14" s="15">
        <f>IF($B14="","",TEXT($B14,"yyyy-mm"))</f>
        <v/>
      </c>
      <c r="E14" s="40" t="n"/>
      <c r="F14" s="40" t="n"/>
      <c r="G14" s="15">
        <f>IF(OR($E14="",$F14=""),"",IFERROR(IF($E14=INDEX(Cluster_Master!$A$4:$A$18,MATCH($F14,Cluster_Master!$B$4:$B$18,0)),"OK","CHECK"),"CHECK"))</f>
        <v/>
      </c>
      <c r="H14" s="18">
        <f>IFERROR(INDEX(Cluster_Master!$C$4:$C$18,MATCH($F14,Cluster_Master!$B$4:$B$18,0)),"")</f>
        <v/>
      </c>
      <c r="I14" s="15">
        <f>IFERROR(INDEX(Cluster_Master!$D$4:$D$18,MATCH($F14,Cluster_Master!$B$4:$B$18,0)),"")</f>
        <v/>
      </c>
      <c r="J14" s="15">
        <f>IFERROR(INDEX(Cluster_Master!$E$4:$E$18,MATCH($F14,Cluster_Master!$B$4:$B$18,0)),"")</f>
        <v/>
      </c>
      <c r="K14" s="15">
        <f>IFERROR(INDEX(Cluster_Master!$F$4:$F$18,MATCH($F14,Cluster_Master!$B$4:$B$18,0)),"")</f>
        <v/>
      </c>
      <c r="L14" s="15">
        <f>IFERROR(INDEX(Cluster_Master!$G$4:$G$18,MATCH($F14,Cluster_Master!$B$4:$B$18,0)),"")</f>
        <v/>
      </c>
      <c r="M14" s="15">
        <f>IFERROR(INDEX(Cluster_Master!$H$4:$H$18,MATCH($F14,Cluster_Master!$B$4:$B$18,0)),"")</f>
        <v/>
      </c>
      <c r="N14" s="41" t="n"/>
      <c r="O14" s="41" t="n"/>
      <c r="P14" s="41" t="n"/>
      <c r="Q14" s="41" t="n"/>
      <c r="R14" s="41" t="n"/>
      <c r="S14" s="41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15">
        <f>IF(COUNTA(T14:AH14)=0,"",SUM(T14:AH14))</f>
        <v/>
      </c>
      <c r="AJ14" s="21">
        <f>IF(COUNTA(T14:AH14)=0,"",AI14/(COUNT(KPI_Weights!$A$4:$A$18)*5))</f>
        <v/>
      </c>
      <c r="AK14" s="21">
        <f>IF(COUNTA(T14:AH14)=0,"",SUMPRODUCT(T14:AH14,KPI_Weights!$B$4:$B$18)/5)</f>
        <v/>
      </c>
      <c r="AL14" s="15">
        <f>IF(COUNTA(T14:AH14)=0,"",IF(SUMPRODUCT(--(T14:AH14&lt;=1),--(KPI_Weights!$C$4:$C$18="YES"))&gt;0,"YES","NO"))</f>
        <v/>
      </c>
      <c r="AM14" s="15">
        <f>IF(AJ14="","",IF(AND(AL14="NO",AJ14&gt;=0.75),"YES","NO"))</f>
        <v/>
      </c>
      <c r="AN14" s="15">
        <f>IF(AJ14="","",IF(AJ14&lt;0.4,"Critical",IF(AJ14&lt;0.6,"Poor",IF(AJ14&lt;0.75,"Needs Improvement",IF(AJ14&lt;0.9,"Good","Excellent")))))</f>
        <v/>
      </c>
      <c r="AO14" s="41" t="n"/>
      <c r="AP14" s="41" t="n"/>
      <c r="AQ14" s="41" t="n"/>
      <c r="AR14" s="41" t="n"/>
      <c r="AS14" s="41" t="n"/>
      <c r="AT14" s="44" t="n"/>
      <c r="AU14" s="41" t="n"/>
      <c r="AV14" s="43" t="n"/>
      <c r="AW14" s="41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</row>
    <row r="15" ht="19.5" customHeight="1" s="45">
      <c r="A15" s="15">
        <f>IF($B15="","",TEXT($B15,"yyyymmdd")&amp;"-"&amp;SUBSTITUTE($F15," ","")&amp;"-"&amp;TEXT(COUNTIF($F$4:F15,$F15),"00"))</f>
        <v/>
      </c>
      <c r="B15" s="39" t="n"/>
      <c r="C15" s="15">
        <f>IF($B15="","",WEEKNUM($B15,2))</f>
        <v/>
      </c>
      <c r="D15" s="15">
        <f>IF($B15="","",TEXT($B15,"yyyy-mm"))</f>
        <v/>
      </c>
      <c r="E15" s="40" t="n"/>
      <c r="F15" s="40" t="n"/>
      <c r="G15" s="15">
        <f>IF(OR($E15="",$F15=""),"",IFERROR(IF($E15=INDEX(Cluster_Master!$A$4:$A$18,MATCH($F15,Cluster_Master!$B$4:$B$18,0)),"OK","CHECK"),"CHECK"))</f>
        <v/>
      </c>
      <c r="H15" s="18">
        <f>IFERROR(INDEX(Cluster_Master!$C$4:$C$18,MATCH($F15,Cluster_Master!$B$4:$B$18,0)),"")</f>
        <v/>
      </c>
      <c r="I15" s="15">
        <f>IFERROR(INDEX(Cluster_Master!$D$4:$D$18,MATCH($F15,Cluster_Master!$B$4:$B$18,0)),"")</f>
        <v/>
      </c>
      <c r="J15" s="15">
        <f>IFERROR(INDEX(Cluster_Master!$E$4:$E$18,MATCH($F15,Cluster_Master!$B$4:$B$18,0)),"")</f>
        <v/>
      </c>
      <c r="K15" s="15">
        <f>IFERROR(INDEX(Cluster_Master!$F$4:$F$18,MATCH($F15,Cluster_Master!$B$4:$B$18,0)),"")</f>
        <v/>
      </c>
      <c r="L15" s="15">
        <f>IFERROR(INDEX(Cluster_Master!$G$4:$G$18,MATCH($F15,Cluster_Master!$B$4:$B$18,0)),"")</f>
        <v/>
      </c>
      <c r="M15" s="15">
        <f>IFERROR(INDEX(Cluster_Master!$H$4:$H$18,MATCH($F15,Cluster_Master!$B$4:$B$18,0)),"")</f>
        <v/>
      </c>
      <c r="N15" s="41" t="n"/>
      <c r="O15" s="41" t="n"/>
      <c r="P15" s="41" t="n"/>
      <c r="Q15" s="41" t="n"/>
      <c r="R15" s="41" t="n"/>
      <c r="S15" s="41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2" t="n"/>
      <c r="AH15" s="42" t="n"/>
      <c r="AI15" s="15">
        <f>IF(COUNTA(T15:AH15)=0,"",SUM(T15:AH15))</f>
        <v/>
      </c>
      <c r="AJ15" s="21">
        <f>IF(COUNTA(T15:AH15)=0,"",AI15/(COUNT(KPI_Weights!$A$4:$A$18)*5))</f>
        <v/>
      </c>
      <c r="AK15" s="21">
        <f>IF(COUNTA(T15:AH15)=0,"",SUMPRODUCT(T15:AH15,KPI_Weights!$B$4:$B$18)/5)</f>
        <v/>
      </c>
      <c r="AL15" s="15">
        <f>IF(COUNTA(T15:AH15)=0,"",IF(SUMPRODUCT(--(T15:AH15&lt;=1),--(KPI_Weights!$C$4:$C$18="YES"))&gt;0,"YES","NO"))</f>
        <v/>
      </c>
      <c r="AM15" s="15">
        <f>IF(AJ15="","",IF(AND(AL15="NO",AJ15&gt;=0.75),"YES","NO"))</f>
        <v/>
      </c>
      <c r="AN15" s="15">
        <f>IF(AJ15="","",IF(AJ15&lt;0.4,"Critical",IF(AJ15&lt;0.6,"Poor",IF(AJ15&lt;0.75,"Needs Improvement",IF(AJ15&lt;0.9,"Good","Excellent")))))</f>
        <v/>
      </c>
      <c r="AO15" s="41" t="n"/>
      <c r="AP15" s="41" t="n"/>
      <c r="AQ15" s="41" t="n"/>
      <c r="AR15" s="41" t="n"/>
      <c r="AS15" s="41" t="n"/>
      <c r="AT15" s="44" t="n"/>
      <c r="AU15" s="41" t="n"/>
      <c r="AV15" s="43" t="n"/>
      <c r="AW15" s="41" t="n"/>
      <c r="AX15" s="44" t="n"/>
      <c r="AY15" s="44" t="n"/>
      <c r="AZ15" s="44" t="n"/>
      <c r="BA15" s="44" t="n"/>
      <c r="BB15" s="44" t="n"/>
      <c r="BC15" s="44" t="n"/>
      <c r="BD15" s="44" t="n"/>
      <c r="BE15" s="44" t="n"/>
      <c r="BF15" s="44" t="n"/>
    </row>
    <row r="16" ht="19.5" customHeight="1" s="45">
      <c r="A16" s="15">
        <f>IF($B16="","",TEXT($B16,"yyyymmdd")&amp;"-"&amp;SUBSTITUTE($F16," ","")&amp;"-"&amp;TEXT(COUNTIF($F$4:F16,$F16),"00"))</f>
        <v/>
      </c>
      <c r="B16" s="39" t="n"/>
      <c r="C16" s="15">
        <f>IF($B16="","",WEEKNUM($B16,2))</f>
        <v/>
      </c>
      <c r="D16" s="15">
        <f>IF($B16="","",TEXT($B16,"yyyy-mm"))</f>
        <v/>
      </c>
      <c r="E16" s="40" t="n"/>
      <c r="F16" s="40" t="n"/>
      <c r="G16" s="15">
        <f>IF(OR($E16="",$F16=""),"",IFERROR(IF($E16=INDEX(Cluster_Master!$A$4:$A$18,MATCH($F16,Cluster_Master!$B$4:$B$18,0)),"OK","CHECK"),"CHECK"))</f>
        <v/>
      </c>
      <c r="H16" s="18">
        <f>IFERROR(INDEX(Cluster_Master!$C$4:$C$18,MATCH($F16,Cluster_Master!$B$4:$B$18,0)),"")</f>
        <v/>
      </c>
      <c r="I16" s="15">
        <f>IFERROR(INDEX(Cluster_Master!$D$4:$D$18,MATCH($F16,Cluster_Master!$B$4:$B$18,0)),"")</f>
        <v/>
      </c>
      <c r="J16" s="15">
        <f>IFERROR(INDEX(Cluster_Master!$E$4:$E$18,MATCH($F16,Cluster_Master!$B$4:$B$18,0)),"")</f>
        <v/>
      </c>
      <c r="K16" s="15">
        <f>IFERROR(INDEX(Cluster_Master!$F$4:$F$18,MATCH($F16,Cluster_Master!$B$4:$B$18,0)),"")</f>
        <v/>
      </c>
      <c r="L16" s="15">
        <f>IFERROR(INDEX(Cluster_Master!$G$4:$G$18,MATCH($F16,Cluster_Master!$B$4:$B$18,0)),"")</f>
        <v/>
      </c>
      <c r="M16" s="15">
        <f>IFERROR(INDEX(Cluster_Master!$H$4:$H$18,MATCH($F16,Cluster_Master!$B$4:$B$18,0)),"")</f>
        <v/>
      </c>
      <c r="N16" s="41" t="n"/>
      <c r="O16" s="41" t="n"/>
      <c r="P16" s="41" t="n"/>
      <c r="Q16" s="41" t="n"/>
      <c r="R16" s="41" t="n"/>
      <c r="S16" s="41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15">
        <f>IF(COUNTA(T16:AH16)=0,"",SUM(T16:AH16))</f>
        <v/>
      </c>
      <c r="AJ16" s="21">
        <f>IF(COUNTA(T16:AH16)=0,"",AI16/(COUNT(KPI_Weights!$A$4:$A$18)*5))</f>
        <v/>
      </c>
      <c r="AK16" s="21">
        <f>IF(COUNTA(T16:AH16)=0,"",SUMPRODUCT(T16:AH16,KPI_Weights!$B$4:$B$18)/5)</f>
        <v/>
      </c>
      <c r="AL16" s="15">
        <f>IF(COUNTA(T16:AH16)=0,"",IF(SUMPRODUCT(--(T16:AH16&lt;=1),--(KPI_Weights!$C$4:$C$18="YES"))&gt;0,"YES","NO"))</f>
        <v/>
      </c>
      <c r="AM16" s="15">
        <f>IF(AJ16="","",IF(AND(AL16="NO",AJ16&gt;=0.75),"YES","NO"))</f>
        <v/>
      </c>
      <c r="AN16" s="15">
        <f>IF(AJ16="","",IF(AJ16&lt;0.4,"Critical",IF(AJ16&lt;0.6,"Poor",IF(AJ16&lt;0.75,"Needs Improvement",IF(AJ16&lt;0.9,"Good","Excellent")))))</f>
        <v/>
      </c>
      <c r="AO16" s="41" t="n"/>
      <c r="AP16" s="41" t="n"/>
      <c r="AQ16" s="41" t="n"/>
      <c r="AR16" s="41" t="n"/>
      <c r="AS16" s="41" t="n"/>
      <c r="AT16" s="44" t="n"/>
      <c r="AU16" s="41" t="n"/>
      <c r="AV16" s="43" t="n"/>
      <c r="AW16" s="41" t="n"/>
      <c r="AX16" s="44" t="n"/>
      <c r="AY16" s="44" t="n"/>
      <c r="AZ16" s="44" t="n"/>
      <c r="BA16" s="44" t="n"/>
      <c r="BB16" s="44" t="n"/>
      <c r="BC16" s="44" t="n"/>
      <c r="BD16" s="44" t="n"/>
      <c r="BE16" s="44" t="n"/>
      <c r="BF16" s="44" t="n"/>
    </row>
    <row r="17" ht="19.5" customHeight="1" s="45">
      <c r="A17" s="15">
        <f>IF($B17="","",TEXT($B17,"yyyymmdd")&amp;"-"&amp;SUBSTITUTE($F17," ","")&amp;"-"&amp;TEXT(COUNTIF($F$4:F17,$F17),"00"))</f>
        <v/>
      </c>
      <c r="B17" s="39" t="n"/>
      <c r="C17" s="15">
        <f>IF($B17="","",WEEKNUM($B17,2))</f>
        <v/>
      </c>
      <c r="D17" s="15">
        <f>IF($B17="","",TEXT($B17,"yyyy-mm"))</f>
        <v/>
      </c>
      <c r="E17" s="40" t="n"/>
      <c r="F17" s="40" t="n"/>
      <c r="G17" s="15">
        <f>IF(OR($E17="",$F17=""),"",IFERROR(IF($E17=INDEX(Cluster_Master!$A$4:$A$18,MATCH($F17,Cluster_Master!$B$4:$B$18,0)),"OK","CHECK"),"CHECK"))</f>
        <v/>
      </c>
      <c r="H17" s="18">
        <f>IFERROR(INDEX(Cluster_Master!$C$4:$C$18,MATCH($F17,Cluster_Master!$B$4:$B$18,0)),"")</f>
        <v/>
      </c>
      <c r="I17" s="15">
        <f>IFERROR(INDEX(Cluster_Master!$D$4:$D$18,MATCH($F17,Cluster_Master!$B$4:$B$18,0)),"")</f>
        <v/>
      </c>
      <c r="J17" s="15">
        <f>IFERROR(INDEX(Cluster_Master!$E$4:$E$18,MATCH($F17,Cluster_Master!$B$4:$B$18,0)),"")</f>
        <v/>
      </c>
      <c r="K17" s="15">
        <f>IFERROR(INDEX(Cluster_Master!$F$4:$F$18,MATCH($F17,Cluster_Master!$B$4:$B$18,0)),"")</f>
        <v/>
      </c>
      <c r="L17" s="15">
        <f>IFERROR(INDEX(Cluster_Master!$G$4:$G$18,MATCH($F17,Cluster_Master!$B$4:$B$18,0)),"")</f>
        <v/>
      </c>
      <c r="M17" s="15">
        <f>IFERROR(INDEX(Cluster_Master!$H$4:$H$18,MATCH($F17,Cluster_Master!$B$4:$B$18,0)),"")</f>
        <v/>
      </c>
      <c r="N17" s="41" t="n"/>
      <c r="O17" s="41" t="n"/>
      <c r="P17" s="41" t="n"/>
      <c r="Q17" s="41" t="n"/>
      <c r="R17" s="41" t="n"/>
      <c r="S17" s="41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15">
        <f>IF(COUNTA(T17:AH17)=0,"",SUM(T17:AH17))</f>
        <v/>
      </c>
      <c r="AJ17" s="21">
        <f>IF(COUNTA(T17:AH17)=0,"",AI17/(COUNT(KPI_Weights!$A$4:$A$18)*5))</f>
        <v/>
      </c>
      <c r="AK17" s="21">
        <f>IF(COUNTA(T17:AH17)=0,"",SUMPRODUCT(T17:AH17,KPI_Weights!$B$4:$B$18)/5)</f>
        <v/>
      </c>
      <c r="AL17" s="15">
        <f>IF(COUNTA(T17:AH17)=0,"",IF(SUMPRODUCT(--(T17:AH17&lt;=1),--(KPI_Weights!$C$4:$C$18="YES"))&gt;0,"YES","NO"))</f>
        <v/>
      </c>
      <c r="AM17" s="15">
        <f>IF(AJ17="","",IF(AND(AL17="NO",AJ17&gt;=0.75),"YES","NO"))</f>
        <v/>
      </c>
      <c r="AN17" s="15">
        <f>IF(AJ17="","",IF(AJ17&lt;0.4,"Critical",IF(AJ17&lt;0.6,"Poor",IF(AJ17&lt;0.75,"Needs Improvement",IF(AJ17&lt;0.9,"Good","Excellent")))))</f>
        <v/>
      </c>
      <c r="AO17" s="41" t="n"/>
      <c r="AP17" s="41" t="n"/>
      <c r="AQ17" s="41" t="n"/>
      <c r="AR17" s="41" t="n"/>
      <c r="AS17" s="41" t="n"/>
      <c r="AT17" s="44" t="n"/>
      <c r="AU17" s="41" t="n"/>
      <c r="AV17" s="43" t="n"/>
      <c r="AW17" s="41" t="n"/>
      <c r="AX17" s="44" t="n"/>
      <c r="AY17" s="44" t="n"/>
      <c r="AZ17" s="44" t="n"/>
      <c r="BA17" s="44" t="n"/>
      <c r="BB17" s="44" t="n"/>
      <c r="BC17" s="44" t="n"/>
      <c r="BD17" s="44" t="n"/>
      <c r="BE17" s="44" t="n"/>
      <c r="BF17" s="44" t="n"/>
    </row>
    <row r="18" ht="19.5" customHeight="1" s="45">
      <c r="A18" s="15">
        <f>IF($B18="","",TEXT($B18,"yyyymmdd")&amp;"-"&amp;SUBSTITUTE($F18," ","")&amp;"-"&amp;TEXT(COUNTIF($F$4:F18,$F18),"00"))</f>
        <v/>
      </c>
      <c r="B18" s="39" t="n"/>
      <c r="C18" s="15">
        <f>IF($B18="","",WEEKNUM($B18,2))</f>
        <v/>
      </c>
      <c r="D18" s="15">
        <f>IF($B18="","",TEXT($B18,"yyyy-mm"))</f>
        <v/>
      </c>
      <c r="E18" s="40" t="n"/>
      <c r="F18" s="40" t="n"/>
      <c r="G18" s="15">
        <f>IF(OR($E18="",$F18=""),"",IFERROR(IF($E18=INDEX(Cluster_Master!$A$4:$A$18,MATCH($F18,Cluster_Master!$B$4:$B$18,0)),"OK","CHECK"),"CHECK"))</f>
        <v/>
      </c>
      <c r="H18" s="18">
        <f>IFERROR(INDEX(Cluster_Master!$C$4:$C$18,MATCH($F18,Cluster_Master!$B$4:$B$18,0)),"")</f>
        <v/>
      </c>
      <c r="I18" s="15">
        <f>IFERROR(INDEX(Cluster_Master!$D$4:$D$18,MATCH($F18,Cluster_Master!$B$4:$B$18,0)),"")</f>
        <v/>
      </c>
      <c r="J18" s="15">
        <f>IFERROR(INDEX(Cluster_Master!$E$4:$E$18,MATCH($F18,Cluster_Master!$B$4:$B$18,0)),"")</f>
        <v/>
      </c>
      <c r="K18" s="15">
        <f>IFERROR(INDEX(Cluster_Master!$F$4:$F$18,MATCH($F18,Cluster_Master!$B$4:$B$18,0)),"")</f>
        <v/>
      </c>
      <c r="L18" s="15">
        <f>IFERROR(INDEX(Cluster_Master!$G$4:$G$18,MATCH($F18,Cluster_Master!$B$4:$B$18,0)),"")</f>
        <v/>
      </c>
      <c r="M18" s="15">
        <f>IFERROR(INDEX(Cluster_Master!$H$4:$H$18,MATCH($F18,Cluster_Master!$B$4:$B$18,0)),"")</f>
        <v/>
      </c>
      <c r="N18" s="41" t="n"/>
      <c r="O18" s="41" t="n"/>
      <c r="P18" s="41" t="n"/>
      <c r="Q18" s="41" t="n"/>
      <c r="R18" s="41" t="n"/>
      <c r="S18" s="41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15">
        <f>IF(COUNTA(T18:AH18)=0,"",SUM(T18:AH18))</f>
        <v/>
      </c>
      <c r="AJ18" s="21">
        <f>IF(COUNTA(T18:AH18)=0,"",AI18/(COUNT(KPI_Weights!$A$4:$A$18)*5))</f>
        <v/>
      </c>
      <c r="AK18" s="21">
        <f>IF(COUNTA(T18:AH18)=0,"",SUMPRODUCT(T18:AH18,KPI_Weights!$B$4:$B$18)/5)</f>
        <v/>
      </c>
      <c r="AL18" s="15">
        <f>IF(COUNTA(T18:AH18)=0,"",IF(SUMPRODUCT(--(T18:AH18&lt;=1),--(KPI_Weights!$C$4:$C$18="YES"))&gt;0,"YES","NO"))</f>
        <v/>
      </c>
      <c r="AM18" s="15">
        <f>IF(AJ18="","",IF(AND(AL18="NO",AJ18&gt;=0.75),"YES","NO"))</f>
        <v/>
      </c>
      <c r="AN18" s="15">
        <f>IF(AJ18="","",IF(AJ18&lt;0.4,"Critical",IF(AJ18&lt;0.6,"Poor",IF(AJ18&lt;0.75,"Needs Improvement",IF(AJ18&lt;0.9,"Good","Excellent")))))</f>
        <v/>
      </c>
      <c r="AO18" s="41" t="n"/>
      <c r="AP18" s="41" t="n"/>
      <c r="AQ18" s="41" t="n"/>
      <c r="AR18" s="41" t="n"/>
      <c r="AS18" s="41" t="n"/>
      <c r="AT18" s="44" t="n"/>
      <c r="AU18" s="41" t="n"/>
      <c r="AV18" s="43" t="n"/>
      <c r="AW18" s="41" t="n"/>
      <c r="AX18" s="44" t="n"/>
      <c r="AY18" s="44" t="n"/>
      <c r="AZ18" s="44" t="n"/>
      <c r="BA18" s="44" t="n"/>
      <c r="BB18" s="44" t="n"/>
      <c r="BC18" s="44" t="n"/>
      <c r="BD18" s="44" t="n"/>
      <c r="BE18" s="44" t="n"/>
      <c r="BF18" s="44" t="n"/>
    </row>
    <row r="19" ht="19.5" customHeight="1" s="45">
      <c r="A19" s="15">
        <f>IF($B19="","",TEXT($B19,"yyyymmdd")&amp;"-"&amp;SUBSTITUTE($F19," ","")&amp;"-"&amp;TEXT(COUNTIF($F$4:F19,$F19),"00"))</f>
        <v/>
      </c>
      <c r="B19" s="39" t="n"/>
      <c r="C19" s="15">
        <f>IF($B19="","",WEEKNUM($B19,2))</f>
        <v/>
      </c>
      <c r="D19" s="15">
        <f>IF($B19="","",TEXT($B19,"yyyy-mm"))</f>
        <v/>
      </c>
      <c r="E19" s="40" t="n"/>
      <c r="F19" s="40" t="n"/>
      <c r="G19" s="15">
        <f>IF(OR($E19="",$F19=""),"",IFERROR(IF($E19=INDEX(Cluster_Master!$A$4:$A$18,MATCH($F19,Cluster_Master!$B$4:$B$18,0)),"OK","CHECK"),"CHECK"))</f>
        <v/>
      </c>
      <c r="H19" s="18">
        <f>IFERROR(INDEX(Cluster_Master!$C$4:$C$18,MATCH($F19,Cluster_Master!$B$4:$B$18,0)),"")</f>
        <v/>
      </c>
      <c r="I19" s="15">
        <f>IFERROR(INDEX(Cluster_Master!$D$4:$D$18,MATCH($F19,Cluster_Master!$B$4:$B$18,0)),"")</f>
        <v/>
      </c>
      <c r="J19" s="15">
        <f>IFERROR(INDEX(Cluster_Master!$E$4:$E$18,MATCH($F19,Cluster_Master!$B$4:$B$18,0)),"")</f>
        <v/>
      </c>
      <c r="K19" s="15">
        <f>IFERROR(INDEX(Cluster_Master!$F$4:$F$18,MATCH($F19,Cluster_Master!$B$4:$B$18,0)),"")</f>
        <v/>
      </c>
      <c r="L19" s="15">
        <f>IFERROR(INDEX(Cluster_Master!$G$4:$G$18,MATCH($F19,Cluster_Master!$B$4:$B$18,0)),"")</f>
        <v/>
      </c>
      <c r="M19" s="15">
        <f>IFERROR(INDEX(Cluster_Master!$H$4:$H$18,MATCH($F19,Cluster_Master!$B$4:$B$18,0)),"")</f>
        <v/>
      </c>
      <c r="N19" s="41" t="n"/>
      <c r="O19" s="41" t="n"/>
      <c r="P19" s="41" t="n"/>
      <c r="Q19" s="41" t="n"/>
      <c r="R19" s="41" t="n"/>
      <c r="S19" s="41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15">
        <f>IF(COUNTA(T19:AH19)=0,"",SUM(T19:AH19))</f>
        <v/>
      </c>
      <c r="AJ19" s="21">
        <f>IF(COUNTA(T19:AH19)=0,"",AI19/(COUNT(KPI_Weights!$A$4:$A$18)*5))</f>
        <v/>
      </c>
      <c r="AK19" s="21">
        <f>IF(COUNTA(T19:AH19)=0,"",SUMPRODUCT(T19:AH19,KPI_Weights!$B$4:$B$18)/5)</f>
        <v/>
      </c>
      <c r="AL19" s="15">
        <f>IF(COUNTA(T19:AH19)=0,"",IF(SUMPRODUCT(--(T19:AH19&lt;=1),--(KPI_Weights!$C$4:$C$18="YES"))&gt;0,"YES","NO"))</f>
        <v/>
      </c>
      <c r="AM19" s="15">
        <f>IF(AJ19="","",IF(AND(AL19="NO",AJ19&gt;=0.75),"YES","NO"))</f>
        <v/>
      </c>
      <c r="AN19" s="15">
        <f>IF(AJ19="","",IF(AJ19&lt;0.4,"Critical",IF(AJ19&lt;0.6,"Poor",IF(AJ19&lt;0.75,"Needs Improvement",IF(AJ19&lt;0.9,"Good","Excellent")))))</f>
        <v/>
      </c>
      <c r="AO19" s="41" t="n"/>
      <c r="AP19" s="41" t="n"/>
      <c r="AQ19" s="41" t="n"/>
      <c r="AR19" s="41" t="n"/>
      <c r="AS19" s="41" t="n"/>
      <c r="AT19" s="44" t="n"/>
      <c r="AU19" s="41" t="n"/>
      <c r="AV19" s="43" t="n"/>
      <c r="AW19" s="41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</row>
    <row r="20" ht="19.5" customHeight="1" s="45">
      <c r="A20" s="15">
        <f>IF($B20="","",TEXT($B20,"yyyymmdd")&amp;"-"&amp;SUBSTITUTE($F20," ","")&amp;"-"&amp;TEXT(COUNTIF($F$4:F20,$F20),"00"))</f>
        <v/>
      </c>
      <c r="B20" s="39" t="n"/>
      <c r="C20" s="15">
        <f>IF($B20="","",WEEKNUM($B20,2))</f>
        <v/>
      </c>
      <c r="D20" s="15">
        <f>IF($B20="","",TEXT($B20,"yyyy-mm"))</f>
        <v/>
      </c>
      <c r="E20" s="40" t="n"/>
      <c r="F20" s="40" t="n"/>
      <c r="G20" s="15">
        <f>IF(OR($E20="",$F20=""),"",IFERROR(IF($E20=INDEX(Cluster_Master!$A$4:$A$18,MATCH($F20,Cluster_Master!$B$4:$B$18,0)),"OK","CHECK"),"CHECK"))</f>
        <v/>
      </c>
      <c r="H20" s="18">
        <f>IFERROR(INDEX(Cluster_Master!$C$4:$C$18,MATCH($F20,Cluster_Master!$B$4:$B$18,0)),"")</f>
        <v/>
      </c>
      <c r="I20" s="15">
        <f>IFERROR(INDEX(Cluster_Master!$D$4:$D$18,MATCH($F20,Cluster_Master!$B$4:$B$18,0)),"")</f>
        <v/>
      </c>
      <c r="J20" s="15">
        <f>IFERROR(INDEX(Cluster_Master!$E$4:$E$18,MATCH($F20,Cluster_Master!$B$4:$B$18,0)),"")</f>
        <v/>
      </c>
      <c r="K20" s="15">
        <f>IFERROR(INDEX(Cluster_Master!$F$4:$F$18,MATCH($F20,Cluster_Master!$B$4:$B$18,0)),"")</f>
        <v/>
      </c>
      <c r="L20" s="15">
        <f>IFERROR(INDEX(Cluster_Master!$G$4:$G$18,MATCH($F20,Cluster_Master!$B$4:$B$18,0)),"")</f>
        <v/>
      </c>
      <c r="M20" s="15">
        <f>IFERROR(INDEX(Cluster_Master!$H$4:$H$18,MATCH($F20,Cluster_Master!$B$4:$B$18,0)),"")</f>
        <v/>
      </c>
      <c r="N20" s="41" t="n"/>
      <c r="O20" s="41" t="n"/>
      <c r="P20" s="41" t="n"/>
      <c r="Q20" s="41" t="n"/>
      <c r="R20" s="41" t="n"/>
      <c r="S20" s="41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15">
        <f>IF(COUNTA(T20:AH20)=0,"",SUM(T20:AH20))</f>
        <v/>
      </c>
      <c r="AJ20" s="21">
        <f>IF(COUNTA(T20:AH20)=0,"",AI20/(COUNT(KPI_Weights!$A$4:$A$18)*5))</f>
        <v/>
      </c>
      <c r="AK20" s="21">
        <f>IF(COUNTA(T20:AH20)=0,"",SUMPRODUCT(T20:AH20,KPI_Weights!$B$4:$B$18)/5)</f>
        <v/>
      </c>
      <c r="AL20" s="15">
        <f>IF(COUNTA(T20:AH20)=0,"",IF(SUMPRODUCT(--(T20:AH20&lt;=1),--(KPI_Weights!$C$4:$C$18="YES"))&gt;0,"YES","NO"))</f>
        <v/>
      </c>
      <c r="AM20" s="15">
        <f>IF(AJ20="","",IF(AND(AL20="NO",AJ20&gt;=0.75),"YES","NO"))</f>
        <v/>
      </c>
      <c r="AN20" s="15">
        <f>IF(AJ20="","",IF(AJ20&lt;0.4,"Critical",IF(AJ20&lt;0.6,"Poor",IF(AJ20&lt;0.75,"Needs Improvement",IF(AJ20&lt;0.9,"Good","Excellent")))))</f>
        <v/>
      </c>
      <c r="AO20" s="41" t="n"/>
      <c r="AP20" s="41" t="n"/>
      <c r="AQ20" s="41" t="n"/>
      <c r="AR20" s="41" t="n"/>
      <c r="AS20" s="41" t="n"/>
      <c r="AT20" s="44" t="n"/>
      <c r="AU20" s="41" t="n"/>
      <c r="AV20" s="43" t="n"/>
      <c r="AW20" s="41" t="n"/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</row>
    <row r="21" ht="19.5" customHeight="1" s="45">
      <c r="A21" s="15">
        <f>IF($B21="","",TEXT($B21,"yyyymmdd")&amp;"-"&amp;SUBSTITUTE($F21," ","")&amp;"-"&amp;TEXT(COUNTIF($F$4:F21,$F21),"00"))</f>
        <v/>
      </c>
      <c r="B21" s="39" t="n"/>
      <c r="C21" s="15">
        <f>IF($B21="","",WEEKNUM($B21,2))</f>
        <v/>
      </c>
      <c r="D21" s="15">
        <f>IF($B21="","",TEXT($B21,"yyyy-mm"))</f>
        <v/>
      </c>
      <c r="E21" s="40" t="n"/>
      <c r="F21" s="40" t="n"/>
      <c r="G21" s="15">
        <f>IF(OR($E21="",$F21=""),"",IFERROR(IF($E21=INDEX(Cluster_Master!$A$4:$A$18,MATCH($F21,Cluster_Master!$B$4:$B$18,0)),"OK","CHECK"),"CHECK"))</f>
        <v/>
      </c>
      <c r="H21" s="18">
        <f>IFERROR(INDEX(Cluster_Master!$C$4:$C$18,MATCH($F21,Cluster_Master!$B$4:$B$18,0)),"")</f>
        <v/>
      </c>
      <c r="I21" s="15">
        <f>IFERROR(INDEX(Cluster_Master!$D$4:$D$18,MATCH($F21,Cluster_Master!$B$4:$B$18,0)),"")</f>
        <v/>
      </c>
      <c r="J21" s="15">
        <f>IFERROR(INDEX(Cluster_Master!$E$4:$E$18,MATCH($F21,Cluster_Master!$B$4:$B$18,0)),"")</f>
        <v/>
      </c>
      <c r="K21" s="15">
        <f>IFERROR(INDEX(Cluster_Master!$F$4:$F$18,MATCH($F21,Cluster_Master!$B$4:$B$18,0)),"")</f>
        <v/>
      </c>
      <c r="L21" s="15">
        <f>IFERROR(INDEX(Cluster_Master!$G$4:$G$18,MATCH($F21,Cluster_Master!$B$4:$B$18,0)),"")</f>
        <v/>
      </c>
      <c r="M21" s="15">
        <f>IFERROR(INDEX(Cluster_Master!$H$4:$H$18,MATCH($F21,Cluster_Master!$B$4:$B$18,0)),"")</f>
        <v/>
      </c>
      <c r="N21" s="41" t="n"/>
      <c r="O21" s="41" t="n"/>
      <c r="P21" s="41" t="n"/>
      <c r="Q21" s="41" t="n"/>
      <c r="R21" s="41" t="n"/>
      <c r="S21" s="41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15">
        <f>IF(COUNTA(T21:AH21)=0,"",SUM(T21:AH21))</f>
        <v/>
      </c>
      <c r="AJ21" s="21">
        <f>IF(COUNTA(T21:AH21)=0,"",AI21/(COUNT(KPI_Weights!$A$4:$A$18)*5))</f>
        <v/>
      </c>
      <c r="AK21" s="21">
        <f>IF(COUNTA(T21:AH21)=0,"",SUMPRODUCT(T21:AH21,KPI_Weights!$B$4:$B$18)/5)</f>
        <v/>
      </c>
      <c r="AL21" s="15">
        <f>IF(COUNTA(T21:AH21)=0,"",IF(SUMPRODUCT(--(T21:AH21&lt;=1),--(KPI_Weights!$C$4:$C$18="YES"))&gt;0,"YES","NO"))</f>
        <v/>
      </c>
      <c r="AM21" s="15">
        <f>IF(AJ21="","",IF(AND(AL21="NO",AJ21&gt;=0.75),"YES","NO"))</f>
        <v/>
      </c>
      <c r="AN21" s="15">
        <f>IF(AJ21="","",IF(AJ21&lt;0.4,"Critical",IF(AJ21&lt;0.6,"Poor",IF(AJ21&lt;0.75,"Needs Improvement",IF(AJ21&lt;0.9,"Good","Excellent")))))</f>
        <v/>
      </c>
      <c r="AO21" s="41" t="n"/>
      <c r="AP21" s="41" t="n"/>
      <c r="AQ21" s="41" t="n"/>
      <c r="AR21" s="41" t="n"/>
      <c r="AS21" s="41" t="n"/>
      <c r="AT21" s="44" t="n"/>
      <c r="AU21" s="41" t="n"/>
      <c r="AV21" s="43" t="n"/>
      <c r="AW21" s="41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</row>
    <row r="22" ht="19.5" customHeight="1" s="45">
      <c r="A22" s="15">
        <f>IF($B22="","",TEXT($B22,"yyyymmdd")&amp;"-"&amp;SUBSTITUTE($F22," ","")&amp;"-"&amp;TEXT(COUNTIF($F$4:F22,$F22),"00"))</f>
        <v/>
      </c>
      <c r="B22" s="39" t="n"/>
      <c r="C22" s="15">
        <f>IF($B22="","",WEEKNUM($B22,2))</f>
        <v/>
      </c>
      <c r="D22" s="15">
        <f>IF($B22="","",TEXT($B22,"yyyy-mm"))</f>
        <v/>
      </c>
      <c r="E22" s="40" t="n"/>
      <c r="F22" s="40" t="n"/>
      <c r="G22" s="15">
        <f>IF(OR($E22="",$F22=""),"",IFERROR(IF($E22=INDEX(Cluster_Master!$A$4:$A$18,MATCH($F22,Cluster_Master!$B$4:$B$18,0)),"OK","CHECK"),"CHECK"))</f>
        <v/>
      </c>
      <c r="H22" s="18">
        <f>IFERROR(INDEX(Cluster_Master!$C$4:$C$18,MATCH($F22,Cluster_Master!$B$4:$B$18,0)),"")</f>
        <v/>
      </c>
      <c r="I22" s="15">
        <f>IFERROR(INDEX(Cluster_Master!$D$4:$D$18,MATCH($F22,Cluster_Master!$B$4:$B$18,0)),"")</f>
        <v/>
      </c>
      <c r="J22" s="15">
        <f>IFERROR(INDEX(Cluster_Master!$E$4:$E$18,MATCH($F22,Cluster_Master!$B$4:$B$18,0)),"")</f>
        <v/>
      </c>
      <c r="K22" s="15">
        <f>IFERROR(INDEX(Cluster_Master!$F$4:$F$18,MATCH($F22,Cluster_Master!$B$4:$B$18,0)),"")</f>
        <v/>
      </c>
      <c r="L22" s="15">
        <f>IFERROR(INDEX(Cluster_Master!$G$4:$G$18,MATCH($F22,Cluster_Master!$B$4:$B$18,0)),"")</f>
        <v/>
      </c>
      <c r="M22" s="15">
        <f>IFERROR(INDEX(Cluster_Master!$H$4:$H$18,MATCH($F22,Cluster_Master!$B$4:$B$18,0)),"")</f>
        <v/>
      </c>
      <c r="N22" s="41" t="n"/>
      <c r="O22" s="41" t="n"/>
      <c r="P22" s="41" t="n"/>
      <c r="Q22" s="41" t="n"/>
      <c r="R22" s="41" t="n"/>
      <c r="S22" s="41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15">
        <f>IF(COUNTA(T22:AH22)=0,"",SUM(T22:AH22))</f>
        <v/>
      </c>
      <c r="AJ22" s="21">
        <f>IF(COUNTA(T22:AH22)=0,"",AI22/(COUNT(KPI_Weights!$A$4:$A$18)*5))</f>
        <v/>
      </c>
      <c r="AK22" s="21">
        <f>IF(COUNTA(T22:AH22)=0,"",SUMPRODUCT(T22:AH22,KPI_Weights!$B$4:$B$18)/5)</f>
        <v/>
      </c>
      <c r="AL22" s="15">
        <f>IF(COUNTA(T22:AH22)=0,"",IF(SUMPRODUCT(--(T22:AH22&lt;=1),--(KPI_Weights!$C$4:$C$18="YES"))&gt;0,"YES","NO"))</f>
        <v/>
      </c>
      <c r="AM22" s="15">
        <f>IF(AJ22="","",IF(AND(AL22="NO",AJ22&gt;=0.75),"YES","NO"))</f>
        <v/>
      </c>
      <c r="AN22" s="15">
        <f>IF(AJ22="","",IF(AJ22&lt;0.4,"Critical",IF(AJ22&lt;0.6,"Poor",IF(AJ22&lt;0.75,"Needs Improvement",IF(AJ22&lt;0.9,"Good","Excellent")))))</f>
        <v/>
      </c>
      <c r="AO22" s="41" t="n"/>
      <c r="AP22" s="41" t="n"/>
      <c r="AQ22" s="41" t="n"/>
      <c r="AR22" s="41" t="n"/>
      <c r="AS22" s="41" t="n"/>
      <c r="AT22" s="44" t="n"/>
      <c r="AU22" s="41" t="n"/>
      <c r="AV22" s="43" t="n"/>
      <c r="AW22" s="41" t="n"/>
      <c r="AX22" s="44" t="n"/>
      <c r="AY22" s="44" t="n"/>
      <c r="AZ22" s="44" t="n"/>
      <c r="BA22" s="44" t="n"/>
      <c r="BB22" s="44" t="n"/>
      <c r="BC22" s="44" t="n"/>
      <c r="BD22" s="44" t="n"/>
      <c r="BE22" s="44" t="n"/>
      <c r="BF22" s="44" t="n"/>
    </row>
    <row r="23" ht="19.5" customHeight="1" s="45">
      <c r="A23" s="15">
        <f>IF($B23="","",TEXT($B23,"yyyymmdd")&amp;"-"&amp;SUBSTITUTE($F23," ","")&amp;"-"&amp;TEXT(COUNTIF($F$4:F23,$F23),"00"))</f>
        <v/>
      </c>
      <c r="B23" s="39" t="n"/>
      <c r="C23" s="15">
        <f>IF($B23="","",WEEKNUM($B23,2))</f>
        <v/>
      </c>
      <c r="D23" s="15">
        <f>IF($B23="","",TEXT($B23,"yyyy-mm"))</f>
        <v/>
      </c>
      <c r="E23" s="40" t="n"/>
      <c r="F23" s="40" t="n"/>
      <c r="G23" s="15">
        <f>IF(OR($E23="",$F23=""),"",IFERROR(IF($E23=INDEX(Cluster_Master!$A$4:$A$18,MATCH($F23,Cluster_Master!$B$4:$B$18,0)),"OK","CHECK"),"CHECK"))</f>
        <v/>
      </c>
      <c r="H23" s="18">
        <f>IFERROR(INDEX(Cluster_Master!$C$4:$C$18,MATCH($F23,Cluster_Master!$B$4:$B$18,0)),"")</f>
        <v/>
      </c>
      <c r="I23" s="15">
        <f>IFERROR(INDEX(Cluster_Master!$D$4:$D$18,MATCH($F23,Cluster_Master!$B$4:$B$18,0)),"")</f>
        <v/>
      </c>
      <c r="J23" s="15">
        <f>IFERROR(INDEX(Cluster_Master!$E$4:$E$18,MATCH($F23,Cluster_Master!$B$4:$B$18,0)),"")</f>
        <v/>
      </c>
      <c r="K23" s="15">
        <f>IFERROR(INDEX(Cluster_Master!$F$4:$F$18,MATCH($F23,Cluster_Master!$B$4:$B$18,0)),"")</f>
        <v/>
      </c>
      <c r="L23" s="15">
        <f>IFERROR(INDEX(Cluster_Master!$G$4:$G$18,MATCH($F23,Cluster_Master!$B$4:$B$18,0)),"")</f>
        <v/>
      </c>
      <c r="M23" s="15">
        <f>IFERROR(INDEX(Cluster_Master!$H$4:$H$18,MATCH($F23,Cluster_Master!$B$4:$B$18,0)),"")</f>
        <v/>
      </c>
      <c r="N23" s="41" t="n"/>
      <c r="O23" s="41" t="n"/>
      <c r="P23" s="41" t="n"/>
      <c r="Q23" s="41" t="n"/>
      <c r="R23" s="41" t="n"/>
      <c r="S23" s="41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15">
        <f>IF(COUNTA(T23:AH23)=0,"",SUM(T23:AH23))</f>
        <v/>
      </c>
      <c r="AJ23" s="21">
        <f>IF(COUNTA(T23:AH23)=0,"",AI23/(COUNT(KPI_Weights!$A$4:$A$18)*5))</f>
        <v/>
      </c>
      <c r="AK23" s="21">
        <f>IF(COUNTA(T23:AH23)=0,"",SUMPRODUCT(T23:AH23,KPI_Weights!$B$4:$B$18)/5)</f>
        <v/>
      </c>
      <c r="AL23" s="15">
        <f>IF(COUNTA(T23:AH23)=0,"",IF(SUMPRODUCT(--(T23:AH23&lt;=1),--(KPI_Weights!$C$4:$C$18="YES"))&gt;0,"YES","NO"))</f>
        <v/>
      </c>
      <c r="AM23" s="15">
        <f>IF(AJ23="","",IF(AND(AL23="NO",AJ23&gt;=0.75),"YES","NO"))</f>
        <v/>
      </c>
      <c r="AN23" s="15">
        <f>IF(AJ23="","",IF(AJ23&lt;0.4,"Critical",IF(AJ23&lt;0.6,"Poor",IF(AJ23&lt;0.75,"Needs Improvement",IF(AJ23&lt;0.9,"Good","Excellent")))))</f>
        <v/>
      </c>
      <c r="AO23" s="41" t="n"/>
      <c r="AP23" s="41" t="n"/>
      <c r="AQ23" s="41" t="n"/>
      <c r="AR23" s="41" t="n"/>
      <c r="AS23" s="41" t="n"/>
      <c r="AT23" s="44" t="n"/>
      <c r="AU23" s="41" t="n"/>
      <c r="AV23" s="43" t="n"/>
      <c r="AW23" s="41" t="n"/>
      <c r="AX23" s="44" t="n"/>
      <c r="AY23" s="44" t="n"/>
      <c r="AZ23" s="44" t="n"/>
      <c r="BA23" s="44" t="n"/>
      <c r="BB23" s="44" t="n"/>
      <c r="BC23" s="44" t="n"/>
      <c r="BD23" s="44" t="n"/>
      <c r="BE23" s="44" t="n"/>
      <c r="BF23" s="44" t="n"/>
    </row>
    <row r="24" ht="19.5" customHeight="1" s="45">
      <c r="A24" s="15">
        <f>IF($B24="","",TEXT($B24,"yyyymmdd")&amp;"-"&amp;SUBSTITUTE($F24," ","")&amp;"-"&amp;TEXT(COUNTIF($F$4:F24,$F24),"00"))</f>
        <v/>
      </c>
      <c r="B24" s="39" t="n"/>
      <c r="C24" s="15">
        <f>IF($B24="","",WEEKNUM($B24,2))</f>
        <v/>
      </c>
      <c r="D24" s="15">
        <f>IF($B24="","",TEXT($B24,"yyyy-mm"))</f>
        <v/>
      </c>
      <c r="E24" s="40" t="n"/>
      <c r="F24" s="40" t="n"/>
      <c r="G24" s="15">
        <f>IF(OR($E24="",$F24=""),"",IFERROR(IF($E24=INDEX(Cluster_Master!$A$4:$A$18,MATCH($F24,Cluster_Master!$B$4:$B$18,0)),"OK","CHECK"),"CHECK"))</f>
        <v/>
      </c>
      <c r="H24" s="18">
        <f>IFERROR(INDEX(Cluster_Master!$C$4:$C$18,MATCH($F24,Cluster_Master!$B$4:$B$18,0)),"")</f>
        <v/>
      </c>
      <c r="I24" s="15">
        <f>IFERROR(INDEX(Cluster_Master!$D$4:$D$18,MATCH($F24,Cluster_Master!$B$4:$B$18,0)),"")</f>
        <v/>
      </c>
      <c r="J24" s="15">
        <f>IFERROR(INDEX(Cluster_Master!$E$4:$E$18,MATCH($F24,Cluster_Master!$B$4:$B$18,0)),"")</f>
        <v/>
      </c>
      <c r="K24" s="15">
        <f>IFERROR(INDEX(Cluster_Master!$F$4:$F$18,MATCH($F24,Cluster_Master!$B$4:$B$18,0)),"")</f>
        <v/>
      </c>
      <c r="L24" s="15">
        <f>IFERROR(INDEX(Cluster_Master!$G$4:$G$18,MATCH($F24,Cluster_Master!$B$4:$B$18,0)),"")</f>
        <v/>
      </c>
      <c r="M24" s="15">
        <f>IFERROR(INDEX(Cluster_Master!$H$4:$H$18,MATCH($F24,Cluster_Master!$B$4:$B$18,0)),"")</f>
        <v/>
      </c>
      <c r="N24" s="41" t="n"/>
      <c r="O24" s="41" t="n"/>
      <c r="P24" s="41" t="n"/>
      <c r="Q24" s="41" t="n"/>
      <c r="R24" s="41" t="n"/>
      <c r="S24" s="41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15">
        <f>IF(COUNTA(T24:AH24)=0,"",SUM(T24:AH24))</f>
        <v/>
      </c>
      <c r="AJ24" s="21">
        <f>IF(COUNTA(T24:AH24)=0,"",AI24/(COUNT(KPI_Weights!$A$4:$A$18)*5))</f>
        <v/>
      </c>
      <c r="AK24" s="21">
        <f>IF(COUNTA(T24:AH24)=0,"",SUMPRODUCT(T24:AH24,KPI_Weights!$B$4:$B$18)/5)</f>
        <v/>
      </c>
      <c r="AL24" s="15">
        <f>IF(COUNTA(T24:AH24)=0,"",IF(SUMPRODUCT(--(T24:AH24&lt;=1),--(KPI_Weights!$C$4:$C$18="YES"))&gt;0,"YES","NO"))</f>
        <v/>
      </c>
      <c r="AM24" s="15">
        <f>IF(AJ24="","",IF(AND(AL24="NO",AJ24&gt;=0.75),"YES","NO"))</f>
        <v/>
      </c>
      <c r="AN24" s="15">
        <f>IF(AJ24="","",IF(AJ24&lt;0.4,"Critical",IF(AJ24&lt;0.6,"Poor",IF(AJ24&lt;0.75,"Needs Improvement",IF(AJ24&lt;0.9,"Good","Excellent")))))</f>
        <v/>
      </c>
      <c r="AO24" s="41" t="n"/>
      <c r="AP24" s="41" t="n"/>
      <c r="AQ24" s="41" t="n"/>
      <c r="AR24" s="41" t="n"/>
      <c r="AS24" s="41" t="n"/>
      <c r="AT24" s="44" t="n"/>
      <c r="AU24" s="41" t="n"/>
      <c r="AV24" s="43" t="n"/>
      <c r="AW24" s="41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</row>
    <row r="25" ht="19.5" customHeight="1" s="45">
      <c r="A25" s="15">
        <f>IF($B25="","",TEXT($B25,"yyyymmdd")&amp;"-"&amp;SUBSTITUTE($F25," ","")&amp;"-"&amp;TEXT(COUNTIF($F$4:F25,$F25),"00"))</f>
        <v/>
      </c>
      <c r="B25" s="39" t="n"/>
      <c r="C25" s="15">
        <f>IF($B25="","",WEEKNUM($B25,2))</f>
        <v/>
      </c>
      <c r="D25" s="15">
        <f>IF($B25="","",TEXT($B25,"yyyy-mm"))</f>
        <v/>
      </c>
      <c r="E25" s="40" t="n"/>
      <c r="F25" s="40" t="n"/>
      <c r="G25" s="15">
        <f>IF(OR($E25="",$F25=""),"",IFERROR(IF($E25=INDEX(Cluster_Master!$A$4:$A$18,MATCH($F25,Cluster_Master!$B$4:$B$18,0)),"OK","CHECK"),"CHECK"))</f>
        <v/>
      </c>
      <c r="H25" s="18">
        <f>IFERROR(INDEX(Cluster_Master!$C$4:$C$18,MATCH($F25,Cluster_Master!$B$4:$B$18,0)),"")</f>
        <v/>
      </c>
      <c r="I25" s="15">
        <f>IFERROR(INDEX(Cluster_Master!$D$4:$D$18,MATCH($F25,Cluster_Master!$B$4:$B$18,0)),"")</f>
        <v/>
      </c>
      <c r="J25" s="15">
        <f>IFERROR(INDEX(Cluster_Master!$E$4:$E$18,MATCH($F25,Cluster_Master!$B$4:$B$18,0)),"")</f>
        <v/>
      </c>
      <c r="K25" s="15">
        <f>IFERROR(INDEX(Cluster_Master!$F$4:$F$18,MATCH($F25,Cluster_Master!$B$4:$B$18,0)),"")</f>
        <v/>
      </c>
      <c r="L25" s="15">
        <f>IFERROR(INDEX(Cluster_Master!$G$4:$G$18,MATCH($F25,Cluster_Master!$B$4:$B$18,0)),"")</f>
        <v/>
      </c>
      <c r="M25" s="15">
        <f>IFERROR(INDEX(Cluster_Master!$H$4:$H$18,MATCH($F25,Cluster_Master!$B$4:$B$18,0)),"")</f>
        <v/>
      </c>
      <c r="N25" s="41" t="n"/>
      <c r="O25" s="41" t="n"/>
      <c r="P25" s="41" t="n"/>
      <c r="Q25" s="41" t="n"/>
      <c r="R25" s="41" t="n"/>
      <c r="S25" s="41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15">
        <f>IF(COUNTA(T25:AH25)=0,"",SUM(T25:AH25))</f>
        <v/>
      </c>
      <c r="AJ25" s="21">
        <f>IF(COUNTA(T25:AH25)=0,"",AI25/(COUNT(KPI_Weights!$A$4:$A$18)*5))</f>
        <v/>
      </c>
      <c r="AK25" s="21">
        <f>IF(COUNTA(T25:AH25)=0,"",SUMPRODUCT(T25:AH25,KPI_Weights!$B$4:$B$18)/5)</f>
        <v/>
      </c>
      <c r="AL25" s="15">
        <f>IF(COUNTA(T25:AH25)=0,"",IF(SUMPRODUCT(--(T25:AH25&lt;=1),--(KPI_Weights!$C$4:$C$18="YES"))&gt;0,"YES","NO"))</f>
        <v/>
      </c>
      <c r="AM25" s="15">
        <f>IF(AJ25="","",IF(AND(AL25="NO",AJ25&gt;=0.75),"YES","NO"))</f>
        <v/>
      </c>
      <c r="AN25" s="15">
        <f>IF(AJ25="","",IF(AJ25&lt;0.4,"Critical",IF(AJ25&lt;0.6,"Poor",IF(AJ25&lt;0.75,"Needs Improvement",IF(AJ25&lt;0.9,"Good","Excellent")))))</f>
        <v/>
      </c>
      <c r="AO25" s="41" t="n"/>
      <c r="AP25" s="41" t="n"/>
      <c r="AQ25" s="41" t="n"/>
      <c r="AR25" s="41" t="n"/>
      <c r="AS25" s="41" t="n"/>
      <c r="AT25" s="44" t="n"/>
      <c r="AU25" s="41" t="n"/>
      <c r="AV25" s="43" t="n"/>
      <c r="AW25" s="41" t="n"/>
      <c r="AX25" s="44" t="n"/>
      <c r="AY25" s="44" t="n"/>
      <c r="AZ25" s="44" t="n"/>
      <c r="BA25" s="44" t="n"/>
      <c r="BB25" s="44" t="n"/>
      <c r="BC25" s="44" t="n"/>
      <c r="BD25" s="44" t="n"/>
      <c r="BE25" s="44" t="n"/>
      <c r="BF25" s="44" t="n"/>
    </row>
    <row r="26" ht="19.5" customHeight="1" s="45">
      <c r="A26" s="15">
        <f>IF($B26="","",TEXT($B26,"yyyymmdd")&amp;"-"&amp;SUBSTITUTE($F26," ","")&amp;"-"&amp;TEXT(COUNTIF($F$4:F26,$F26),"00"))</f>
        <v/>
      </c>
      <c r="B26" s="39" t="n"/>
      <c r="C26" s="15">
        <f>IF($B26="","",WEEKNUM($B26,2))</f>
        <v/>
      </c>
      <c r="D26" s="15">
        <f>IF($B26="","",TEXT($B26,"yyyy-mm"))</f>
        <v/>
      </c>
      <c r="E26" s="40" t="n"/>
      <c r="F26" s="40" t="n"/>
      <c r="G26" s="15">
        <f>IF(OR($E26="",$F26=""),"",IFERROR(IF($E26=INDEX(Cluster_Master!$A$4:$A$18,MATCH($F26,Cluster_Master!$B$4:$B$18,0)),"OK","CHECK"),"CHECK"))</f>
        <v/>
      </c>
      <c r="H26" s="18">
        <f>IFERROR(INDEX(Cluster_Master!$C$4:$C$18,MATCH($F26,Cluster_Master!$B$4:$B$18,0)),"")</f>
        <v/>
      </c>
      <c r="I26" s="15">
        <f>IFERROR(INDEX(Cluster_Master!$D$4:$D$18,MATCH($F26,Cluster_Master!$B$4:$B$18,0)),"")</f>
        <v/>
      </c>
      <c r="J26" s="15">
        <f>IFERROR(INDEX(Cluster_Master!$E$4:$E$18,MATCH($F26,Cluster_Master!$B$4:$B$18,0)),"")</f>
        <v/>
      </c>
      <c r="K26" s="15">
        <f>IFERROR(INDEX(Cluster_Master!$F$4:$F$18,MATCH($F26,Cluster_Master!$B$4:$B$18,0)),"")</f>
        <v/>
      </c>
      <c r="L26" s="15">
        <f>IFERROR(INDEX(Cluster_Master!$G$4:$G$18,MATCH($F26,Cluster_Master!$B$4:$B$18,0)),"")</f>
        <v/>
      </c>
      <c r="M26" s="15">
        <f>IFERROR(INDEX(Cluster_Master!$H$4:$H$18,MATCH($F26,Cluster_Master!$B$4:$B$18,0)),"")</f>
        <v/>
      </c>
      <c r="N26" s="41" t="n"/>
      <c r="O26" s="41" t="n"/>
      <c r="P26" s="41" t="n"/>
      <c r="Q26" s="41" t="n"/>
      <c r="R26" s="41" t="n"/>
      <c r="S26" s="41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15">
        <f>IF(COUNTA(T26:AH26)=0,"",SUM(T26:AH26))</f>
        <v/>
      </c>
      <c r="AJ26" s="21">
        <f>IF(COUNTA(T26:AH26)=0,"",AI26/(COUNT(KPI_Weights!$A$4:$A$18)*5))</f>
        <v/>
      </c>
      <c r="AK26" s="21">
        <f>IF(COUNTA(T26:AH26)=0,"",SUMPRODUCT(T26:AH26,KPI_Weights!$B$4:$B$18)/5)</f>
        <v/>
      </c>
      <c r="AL26" s="15">
        <f>IF(COUNTA(T26:AH26)=0,"",IF(SUMPRODUCT(--(T26:AH26&lt;=1),--(KPI_Weights!$C$4:$C$18="YES"))&gt;0,"YES","NO"))</f>
        <v/>
      </c>
      <c r="AM26" s="15">
        <f>IF(AJ26="","",IF(AND(AL26="NO",AJ26&gt;=0.75),"YES","NO"))</f>
        <v/>
      </c>
      <c r="AN26" s="15">
        <f>IF(AJ26="","",IF(AJ26&lt;0.4,"Critical",IF(AJ26&lt;0.6,"Poor",IF(AJ26&lt;0.75,"Needs Improvement",IF(AJ26&lt;0.9,"Good","Excellent")))))</f>
        <v/>
      </c>
      <c r="AO26" s="41" t="n"/>
      <c r="AP26" s="41" t="n"/>
      <c r="AQ26" s="41" t="n"/>
      <c r="AR26" s="41" t="n"/>
      <c r="AS26" s="41" t="n"/>
      <c r="AT26" s="44" t="n"/>
      <c r="AU26" s="41" t="n"/>
      <c r="AV26" s="43" t="n"/>
      <c r="AW26" s="41" t="n"/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</row>
    <row r="27" ht="19.5" customHeight="1" s="45">
      <c r="A27" s="15">
        <f>IF($B27="","",TEXT($B27,"yyyymmdd")&amp;"-"&amp;SUBSTITUTE($F27," ","")&amp;"-"&amp;TEXT(COUNTIF($F$4:F27,$F27),"00"))</f>
        <v/>
      </c>
      <c r="B27" s="39" t="n"/>
      <c r="C27" s="15">
        <f>IF($B27="","",WEEKNUM($B27,2))</f>
        <v/>
      </c>
      <c r="D27" s="15">
        <f>IF($B27="","",TEXT($B27,"yyyy-mm"))</f>
        <v/>
      </c>
      <c r="E27" s="40" t="n"/>
      <c r="F27" s="40" t="n"/>
      <c r="G27" s="15">
        <f>IF(OR($E27="",$F27=""),"",IFERROR(IF($E27=INDEX(Cluster_Master!$A$4:$A$18,MATCH($F27,Cluster_Master!$B$4:$B$18,0)),"OK","CHECK"),"CHECK"))</f>
        <v/>
      </c>
      <c r="H27" s="18">
        <f>IFERROR(INDEX(Cluster_Master!$C$4:$C$18,MATCH($F27,Cluster_Master!$B$4:$B$18,0)),"")</f>
        <v/>
      </c>
      <c r="I27" s="15">
        <f>IFERROR(INDEX(Cluster_Master!$D$4:$D$18,MATCH($F27,Cluster_Master!$B$4:$B$18,0)),"")</f>
        <v/>
      </c>
      <c r="J27" s="15">
        <f>IFERROR(INDEX(Cluster_Master!$E$4:$E$18,MATCH($F27,Cluster_Master!$B$4:$B$18,0)),"")</f>
        <v/>
      </c>
      <c r="K27" s="15">
        <f>IFERROR(INDEX(Cluster_Master!$F$4:$F$18,MATCH($F27,Cluster_Master!$B$4:$B$18,0)),"")</f>
        <v/>
      </c>
      <c r="L27" s="15">
        <f>IFERROR(INDEX(Cluster_Master!$G$4:$G$18,MATCH($F27,Cluster_Master!$B$4:$B$18,0)),"")</f>
        <v/>
      </c>
      <c r="M27" s="15">
        <f>IFERROR(INDEX(Cluster_Master!$H$4:$H$18,MATCH($F27,Cluster_Master!$B$4:$B$18,0)),"")</f>
        <v/>
      </c>
      <c r="N27" s="41" t="n"/>
      <c r="O27" s="41" t="n"/>
      <c r="P27" s="41" t="n"/>
      <c r="Q27" s="41" t="n"/>
      <c r="R27" s="41" t="n"/>
      <c r="S27" s="41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15">
        <f>IF(COUNTA(T27:AH27)=0,"",SUM(T27:AH27))</f>
        <v/>
      </c>
      <c r="AJ27" s="21">
        <f>IF(COUNTA(T27:AH27)=0,"",AI27/(COUNT(KPI_Weights!$A$4:$A$18)*5))</f>
        <v/>
      </c>
      <c r="AK27" s="21">
        <f>IF(COUNTA(T27:AH27)=0,"",SUMPRODUCT(T27:AH27,KPI_Weights!$B$4:$B$18)/5)</f>
        <v/>
      </c>
      <c r="AL27" s="15">
        <f>IF(COUNTA(T27:AH27)=0,"",IF(SUMPRODUCT(--(T27:AH27&lt;=1),--(KPI_Weights!$C$4:$C$18="YES"))&gt;0,"YES","NO"))</f>
        <v/>
      </c>
      <c r="AM27" s="15">
        <f>IF(AJ27="","",IF(AND(AL27="NO",AJ27&gt;=0.75),"YES","NO"))</f>
        <v/>
      </c>
      <c r="AN27" s="15">
        <f>IF(AJ27="","",IF(AJ27&lt;0.4,"Critical",IF(AJ27&lt;0.6,"Poor",IF(AJ27&lt;0.75,"Needs Improvement",IF(AJ27&lt;0.9,"Good","Excellent")))))</f>
        <v/>
      </c>
      <c r="AO27" s="41" t="n"/>
      <c r="AP27" s="41" t="n"/>
      <c r="AQ27" s="41" t="n"/>
      <c r="AR27" s="41" t="n"/>
      <c r="AS27" s="41" t="n"/>
      <c r="AT27" s="44" t="n"/>
      <c r="AU27" s="41" t="n"/>
      <c r="AV27" s="43" t="n"/>
      <c r="AW27" s="41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</row>
    <row r="28" ht="19.5" customHeight="1" s="45">
      <c r="A28" s="15">
        <f>IF($B28="","",TEXT($B28,"yyyymmdd")&amp;"-"&amp;SUBSTITUTE($F28," ","")&amp;"-"&amp;TEXT(COUNTIF($F$4:F28,$F28),"00"))</f>
        <v/>
      </c>
      <c r="B28" s="39" t="n"/>
      <c r="C28" s="15">
        <f>IF($B28="","",WEEKNUM($B28,2))</f>
        <v/>
      </c>
      <c r="D28" s="15">
        <f>IF($B28="","",TEXT($B28,"yyyy-mm"))</f>
        <v/>
      </c>
      <c r="E28" s="40" t="n"/>
      <c r="F28" s="40" t="n"/>
      <c r="G28" s="15">
        <f>IF(OR($E28="",$F28=""),"",IFERROR(IF($E28=INDEX(Cluster_Master!$A$4:$A$18,MATCH($F28,Cluster_Master!$B$4:$B$18,0)),"OK","CHECK"),"CHECK"))</f>
        <v/>
      </c>
      <c r="H28" s="18">
        <f>IFERROR(INDEX(Cluster_Master!$C$4:$C$18,MATCH($F28,Cluster_Master!$B$4:$B$18,0)),"")</f>
        <v/>
      </c>
      <c r="I28" s="15">
        <f>IFERROR(INDEX(Cluster_Master!$D$4:$D$18,MATCH($F28,Cluster_Master!$B$4:$B$18,0)),"")</f>
        <v/>
      </c>
      <c r="J28" s="15">
        <f>IFERROR(INDEX(Cluster_Master!$E$4:$E$18,MATCH($F28,Cluster_Master!$B$4:$B$18,0)),"")</f>
        <v/>
      </c>
      <c r="K28" s="15">
        <f>IFERROR(INDEX(Cluster_Master!$F$4:$F$18,MATCH($F28,Cluster_Master!$B$4:$B$18,0)),"")</f>
        <v/>
      </c>
      <c r="L28" s="15">
        <f>IFERROR(INDEX(Cluster_Master!$G$4:$G$18,MATCH($F28,Cluster_Master!$B$4:$B$18,0)),"")</f>
        <v/>
      </c>
      <c r="M28" s="15">
        <f>IFERROR(INDEX(Cluster_Master!$H$4:$H$18,MATCH($F28,Cluster_Master!$B$4:$B$18,0)),"")</f>
        <v/>
      </c>
      <c r="N28" s="41" t="n"/>
      <c r="O28" s="41" t="n"/>
      <c r="P28" s="41" t="n"/>
      <c r="Q28" s="41" t="n"/>
      <c r="R28" s="41" t="n"/>
      <c r="S28" s="41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15">
        <f>IF(COUNTA(T28:AH28)=0,"",SUM(T28:AH28))</f>
        <v/>
      </c>
      <c r="AJ28" s="21">
        <f>IF(COUNTA(T28:AH28)=0,"",AI28/(COUNT(KPI_Weights!$A$4:$A$18)*5))</f>
        <v/>
      </c>
      <c r="AK28" s="21">
        <f>IF(COUNTA(T28:AH28)=0,"",SUMPRODUCT(T28:AH28,KPI_Weights!$B$4:$B$18)/5)</f>
        <v/>
      </c>
      <c r="AL28" s="15">
        <f>IF(COUNTA(T28:AH28)=0,"",IF(SUMPRODUCT(--(T28:AH28&lt;=1),--(KPI_Weights!$C$4:$C$18="YES"))&gt;0,"YES","NO"))</f>
        <v/>
      </c>
      <c r="AM28" s="15">
        <f>IF(AJ28="","",IF(AND(AL28="NO",AJ28&gt;=0.75),"YES","NO"))</f>
        <v/>
      </c>
      <c r="AN28" s="15">
        <f>IF(AJ28="","",IF(AJ28&lt;0.4,"Critical",IF(AJ28&lt;0.6,"Poor",IF(AJ28&lt;0.75,"Needs Improvement",IF(AJ28&lt;0.9,"Good","Excellent")))))</f>
        <v/>
      </c>
      <c r="AO28" s="41" t="n"/>
      <c r="AP28" s="41" t="n"/>
      <c r="AQ28" s="41" t="n"/>
      <c r="AR28" s="41" t="n"/>
      <c r="AS28" s="41" t="n"/>
      <c r="AT28" s="44" t="n"/>
      <c r="AU28" s="41" t="n"/>
      <c r="AV28" s="43" t="n"/>
      <c r="AW28" s="41" t="n"/>
      <c r="AX28" s="44" t="n"/>
      <c r="AY28" s="44" t="n"/>
      <c r="AZ28" s="44" t="n"/>
      <c r="BA28" s="44" t="n"/>
      <c r="BB28" s="44" t="n"/>
      <c r="BC28" s="44" t="n"/>
      <c r="BD28" s="44" t="n"/>
      <c r="BE28" s="44" t="n"/>
      <c r="BF28" s="44" t="n"/>
    </row>
    <row r="29" ht="19.5" customHeight="1" s="45">
      <c r="A29" s="15">
        <f>IF($B29="","",TEXT($B29,"yyyymmdd")&amp;"-"&amp;SUBSTITUTE($F29," ","")&amp;"-"&amp;TEXT(COUNTIF($F$4:F29,$F29),"00"))</f>
        <v/>
      </c>
      <c r="B29" s="39" t="n"/>
      <c r="C29" s="15">
        <f>IF($B29="","",WEEKNUM($B29,2))</f>
        <v/>
      </c>
      <c r="D29" s="15">
        <f>IF($B29="","",TEXT($B29,"yyyy-mm"))</f>
        <v/>
      </c>
      <c r="E29" s="40" t="n"/>
      <c r="F29" s="40" t="n"/>
      <c r="G29" s="15">
        <f>IF(OR($E29="",$F29=""),"",IFERROR(IF($E29=INDEX(Cluster_Master!$A$4:$A$18,MATCH($F29,Cluster_Master!$B$4:$B$18,0)),"OK","CHECK"),"CHECK"))</f>
        <v/>
      </c>
      <c r="H29" s="18">
        <f>IFERROR(INDEX(Cluster_Master!$C$4:$C$18,MATCH($F29,Cluster_Master!$B$4:$B$18,0)),"")</f>
        <v/>
      </c>
      <c r="I29" s="15">
        <f>IFERROR(INDEX(Cluster_Master!$D$4:$D$18,MATCH($F29,Cluster_Master!$B$4:$B$18,0)),"")</f>
        <v/>
      </c>
      <c r="J29" s="15">
        <f>IFERROR(INDEX(Cluster_Master!$E$4:$E$18,MATCH($F29,Cluster_Master!$B$4:$B$18,0)),"")</f>
        <v/>
      </c>
      <c r="K29" s="15">
        <f>IFERROR(INDEX(Cluster_Master!$F$4:$F$18,MATCH($F29,Cluster_Master!$B$4:$B$18,0)),"")</f>
        <v/>
      </c>
      <c r="L29" s="15">
        <f>IFERROR(INDEX(Cluster_Master!$G$4:$G$18,MATCH($F29,Cluster_Master!$B$4:$B$18,0)),"")</f>
        <v/>
      </c>
      <c r="M29" s="15">
        <f>IFERROR(INDEX(Cluster_Master!$H$4:$H$18,MATCH($F29,Cluster_Master!$B$4:$B$18,0)),"")</f>
        <v/>
      </c>
      <c r="N29" s="41" t="n"/>
      <c r="O29" s="41" t="n"/>
      <c r="P29" s="41" t="n"/>
      <c r="Q29" s="41" t="n"/>
      <c r="R29" s="41" t="n"/>
      <c r="S29" s="41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15">
        <f>IF(COUNTA(T29:AH29)=0,"",SUM(T29:AH29))</f>
        <v/>
      </c>
      <c r="AJ29" s="21">
        <f>IF(COUNTA(T29:AH29)=0,"",AI29/(COUNT(KPI_Weights!$A$4:$A$18)*5))</f>
        <v/>
      </c>
      <c r="AK29" s="21">
        <f>IF(COUNTA(T29:AH29)=0,"",SUMPRODUCT(T29:AH29,KPI_Weights!$B$4:$B$18)/5)</f>
        <v/>
      </c>
      <c r="AL29" s="15">
        <f>IF(COUNTA(T29:AH29)=0,"",IF(SUMPRODUCT(--(T29:AH29&lt;=1),--(KPI_Weights!$C$4:$C$18="YES"))&gt;0,"YES","NO"))</f>
        <v/>
      </c>
      <c r="AM29" s="15">
        <f>IF(AJ29="","",IF(AND(AL29="NO",AJ29&gt;=0.75),"YES","NO"))</f>
        <v/>
      </c>
      <c r="AN29" s="15">
        <f>IF(AJ29="","",IF(AJ29&lt;0.4,"Critical",IF(AJ29&lt;0.6,"Poor",IF(AJ29&lt;0.75,"Needs Improvement",IF(AJ29&lt;0.9,"Good","Excellent")))))</f>
        <v/>
      </c>
      <c r="AO29" s="41" t="n"/>
      <c r="AP29" s="41" t="n"/>
      <c r="AQ29" s="41" t="n"/>
      <c r="AR29" s="41" t="n"/>
      <c r="AS29" s="41" t="n"/>
      <c r="AT29" s="44" t="n"/>
      <c r="AU29" s="41" t="n"/>
      <c r="AV29" s="43" t="n"/>
      <c r="AW29" s="41" t="n"/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/>
    </row>
    <row r="30" ht="19.5" customHeight="1" s="45">
      <c r="A30" s="15">
        <f>IF($B30="","",TEXT($B30,"yyyymmdd")&amp;"-"&amp;SUBSTITUTE($F30," ","")&amp;"-"&amp;TEXT(COUNTIF($F$4:F30,$F30),"00"))</f>
        <v/>
      </c>
      <c r="B30" s="39" t="n"/>
      <c r="C30" s="15">
        <f>IF($B30="","",WEEKNUM($B30,2))</f>
        <v/>
      </c>
      <c r="D30" s="15">
        <f>IF($B30="","",TEXT($B30,"yyyy-mm"))</f>
        <v/>
      </c>
      <c r="E30" s="40" t="n"/>
      <c r="F30" s="40" t="n"/>
      <c r="G30" s="15">
        <f>IF(OR($E30="",$F30=""),"",IFERROR(IF($E30=INDEX(Cluster_Master!$A$4:$A$18,MATCH($F30,Cluster_Master!$B$4:$B$18,0)),"OK","CHECK"),"CHECK"))</f>
        <v/>
      </c>
      <c r="H30" s="18">
        <f>IFERROR(INDEX(Cluster_Master!$C$4:$C$18,MATCH($F30,Cluster_Master!$B$4:$B$18,0)),"")</f>
        <v/>
      </c>
      <c r="I30" s="15">
        <f>IFERROR(INDEX(Cluster_Master!$D$4:$D$18,MATCH($F30,Cluster_Master!$B$4:$B$18,0)),"")</f>
        <v/>
      </c>
      <c r="J30" s="15">
        <f>IFERROR(INDEX(Cluster_Master!$E$4:$E$18,MATCH($F30,Cluster_Master!$B$4:$B$18,0)),"")</f>
        <v/>
      </c>
      <c r="K30" s="15">
        <f>IFERROR(INDEX(Cluster_Master!$F$4:$F$18,MATCH($F30,Cluster_Master!$B$4:$B$18,0)),"")</f>
        <v/>
      </c>
      <c r="L30" s="15">
        <f>IFERROR(INDEX(Cluster_Master!$G$4:$G$18,MATCH($F30,Cluster_Master!$B$4:$B$18,0)),"")</f>
        <v/>
      </c>
      <c r="M30" s="15">
        <f>IFERROR(INDEX(Cluster_Master!$H$4:$H$18,MATCH($F30,Cluster_Master!$B$4:$B$18,0)),"")</f>
        <v/>
      </c>
      <c r="N30" s="41" t="n"/>
      <c r="O30" s="41" t="n"/>
      <c r="P30" s="41" t="n"/>
      <c r="Q30" s="41" t="n"/>
      <c r="R30" s="41" t="n"/>
      <c r="S30" s="41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15">
        <f>IF(COUNTA(T30:AH30)=0,"",SUM(T30:AH30))</f>
        <v/>
      </c>
      <c r="AJ30" s="21">
        <f>IF(COUNTA(T30:AH30)=0,"",AI30/(COUNT(KPI_Weights!$A$4:$A$18)*5))</f>
        <v/>
      </c>
      <c r="AK30" s="21">
        <f>IF(COUNTA(T30:AH30)=0,"",SUMPRODUCT(T30:AH30,KPI_Weights!$B$4:$B$18)/5)</f>
        <v/>
      </c>
      <c r="AL30" s="15">
        <f>IF(COUNTA(T30:AH30)=0,"",IF(SUMPRODUCT(--(T30:AH30&lt;=1),--(KPI_Weights!$C$4:$C$18="YES"))&gt;0,"YES","NO"))</f>
        <v/>
      </c>
      <c r="AM30" s="15">
        <f>IF(AJ30="","",IF(AND(AL30="NO",AJ30&gt;=0.75),"YES","NO"))</f>
        <v/>
      </c>
      <c r="AN30" s="15">
        <f>IF(AJ30="","",IF(AJ30&lt;0.4,"Critical",IF(AJ30&lt;0.6,"Poor",IF(AJ30&lt;0.75,"Needs Improvement",IF(AJ30&lt;0.9,"Good","Excellent")))))</f>
        <v/>
      </c>
      <c r="AO30" s="41" t="n"/>
      <c r="AP30" s="41" t="n"/>
      <c r="AQ30" s="41" t="n"/>
      <c r="AR30" s="41" t="n"/>
      <c r="AS30" s="41" t="n"/>
      <c r="AT30" s="44" t="n"/>
      <c r="AU30" s="41" t="n"/>
      <c r="AV30" s="43" t="n"/>
      <c r="AW30" s="41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</row>
    <row r="31" ht="19.5" customHeight="1" s="45">
      <c r="A31" s="15">
        <f>IF($B31="","",TEXT($B31,"yyyymmdd")&amp;"-"&amp;SUBSTITUTE($F31," ","")&amp;"-"&amp;TEXT(COUNTIF($F$4:F31,$F31),"00"))</f>
        <v/>
      </c>
      <c r="B31" s="39" t="n"/>
      <c r="C31" s="15">
        <f>IF($B31="","",WEEKNUM($B31,2))</f>
        <v/>
      </c>
      <c r="D31" s="15">
        <f>IF($B31="","",TEXT($B31,"yyyy-mm"))</f>
        <v/>
      </c>
      <c r="E31" s="40" t="n"/>
      <c r="F31" s="40" t="n"/>
      <c r="G31" s="15">
        <f>IF(OR($E31="",$F31=""),"",IFERROR(IF($E31=INDEX(Cluster_Master!$A$4:$A$18,MATCH($F31,Cluster_Master!$B$4:$B$18,0)),"OK","CHECK"),"CHECK"))</f>
        <v/>
      </c>
      <c r="H31" s="18">
        <f>IFERROR(INDEX(Cluster_Master!$C$4:$C$18,MATCH($F31,Cluster_Master!$B$4:$B$18,0)),"")</f>
        <v/>
      </c>
      <c r="I31" s="15">
        <f>IFERROR(INDEX(Cluster_Master!$D$4:$D$18,MATCH($F31,Cluster_Master!$B$4:$B$18,0)),"")</f>
        <v/>
      </c>
      <c r="J31" s="15">
        <f>IFERROR(INDEX(Cluster_Master!$E$4:$E$18,MATCH($F31,Cluster_Master!$B$4:$B$18,0)),"")</f>
        <v/>
      </c>
      <c r="K31" s="15">
        <f>IFERROR(INDEX(Cluster_Master!$F$4:$F$18,MATCH($F31,Cluster_Master!$B$4:$B$18,0)),"")</f>
        <v/>
      </c>
      <c r="L31" s="15">
        <f>IFERROR(INDEX(Cluster_Master!$G$4:$G$18,MATCH($F31,Cluster_Master!$B$4:$B$18,0)),"")</f>
        <v/>
      </c>
      <c r="M31" s="15">
        <f>IFERROR(INDEX(Cluster_Master!$H$4:$H$18,MATCH($F31,Cluster_Master!$B$4:$B$18,0)),"")</f>
        <v/>
      </c>
      <c r="N31" s="41" t="n"/>
      <c r="O31" s="41" t="n"/>
      <c r="P31" s="41" t="n"/>
      <c r="Q31" s="41" t="n"/>
      <c r="R31" s="41" t="n"/>
      <c r="S31" s="41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15">
        <f>IF(COUNTA(T31:AH31)=0,"",SUM(T31:AH31))</f>
        <v/>
      </c>
      <c r="AJ31" s="21">
        <f>IF(COUNTA(T31:AH31)=0,"",AI31/(COUNT(KPI_Weights!$A$4:$A$18)*5))</f>
        <v/>
      </c>
      <c r="AK31" s="21">
        <f>IF(COUNTA(T31:AH31)=0,"",SUMPRODUCT(T31:AH31,KPI_Weights!$B$4:$B$18)/5)</f>
        <v/>
      </c>
      <c r="AL31" s="15">
        <f>IF(COUNTA(T31:AH31)=0,"",IF(SUMPRODUCT(--(T31:AH31&lt;=1),--(KPI_Weights!$C$4:$C$18="YES"))&gt;0,"YES","NO"))</f>
        <v/>
      </c>
      <c r="AM31" s="15">
        <f>IF(AJ31="","",IF(AND(AL31="NO",AJ31&gt;=0.75),"YES","NO"))</f>
        <v/>
      </c>
      <c r="AN31" s="15">
        <f>IF(AJ31="","",IF(AJ31&lt;0.4,"Critical",IF(AJ31&lt;0.6,"Poor",IF(AJ31&lt;0.75,"Needs Improvement",IF(AJ31&lt;0.9,"Good","Excellent")))))</f>
        <v/>
      </c>
      <c r="AO31" s="41" t="n"/>
      <c r="AP31" s="41" t="n"/>
      <c r="AQ31" s="41" t="n"/>
      <c r="AR31" s="41" t="n"/>
      <c r="AS31" s="41" t="n"/>
      <c r="AT31" s="44" t="n"/>
      <c r="AU31" s="41" t="n"/>
      <c r="AV31" s="43" t="n"/>
      <c r="AW31" s="41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</row>
    <row r="32" ht="19.5" customHeight="1" s="45">
      <c r="A32" s="15">
        <f>IF($B32="","",TEXT($B32,"yyyymmdd")&amp;"-"&amp;SUBSTITUTE($F32," ","")&amp;"-"&amp;TEXT(COUNTIF($F$4:F32,$F32),"00"))</f>
        <v/>
      </c>
      <c r="B32" s="39" t="n"/>
      <c r="C32" s="15">
        <f>IF($B32="","",WEEKNUM($B32,2))</f>
        <v/>
      </c>
      <c r="D32" s="15">
        <f>IF($B32="","",TEXT($B32,"yyyy-mm"))</f>
        <v/>
      </c>
      <c r="E32" s="40" t="n"/>
      <c r="F32" s="40" t="n"/>
      <c r="G32" s="15">
        <f>IF(OR($E32="",$F32=""),"",IFERROR(IF($E32=INDEX(Cluster_Master!$A$4:$A$18,MATCH($F32,Cluster_Master!$B$4:$B$18,0)),"OK","CHECK"),"CHECK"))</f>
        <v/>
      </c>
      <c r="H32" s="18">
        <f>IFERROR(INDEX(Cluster_Master!$C$4:$C$18,MATCH($F32,Cluster_Master!$B$4:$B$18,0)),"")</f>
        <v/>
      </c>
      <c r="I32" s="15">
        <f>IFERROR(INDEX(Cluster_Master!$D$4:$D$18,MATCH($F32,Cluster_Master!$B$4:$B$18,0)),"")</f>
        <v/>
      </c>
      <c r="J32" s="15">
        <f>IFERROR(INDEX(Cluster_Master!$E$4:$E$18,MATCH($F32,Cluster_Master!$B$4:$B$18,0)),"")</f>
        <v/>
      </c>
      <c r="K32" s="15">
        <f>IFERROR(INDEX(Cluster_Master!$F$4:$F$18,MATCH($F32,Cluster_Master!$B$4:$B$18,0)),"")</f>
        <v/>
      </c>
      <c r="L32" s="15">
        <f>IFERROR(INDEX(Cluster_Master!$G$4:$G$18,MATCH($F32,Cluster_Master!$B$4:$B$18,0)),"")</f>
        <v/>
      </c>
      <c r="M32" s="15">
        <f>IFERROR(INDEX(Cluster_Master!$H$4:$H$18,MATCH($F32,Cluster_Master!$B$4:$B$18,0)),"")</f>
        <v/>
      </c>
      <c r="N32" s="41" t="n"/>
      <c r="O32" s="41" t="n"/>
      <c r="P32" s="41" t="n"/>
      <c r="Q32" s="41" t="n"/>
      <c r="R32" s="41" t="n"/>
      <c r="S32" s="41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15">
        <f>IF(COUNTA(T32:AH32)=0,"",SUM(T32:AH32))</f>
        <v/>
      </c>
      <c r="AJ32" s="21">
        <f>IF(COUNTA(T32:AH32)=0,"",AI32/(COUNT(KPI_Weights!$A$4:$A$18)*5))</f>
        <v/>
      </c>
      <c r="AK32" s="21">
        <f>IF(COUNTA(T32:AH32)=0,"",SUMPRODUCT(T32:AH32,KPI_Weights!$B$4:$B$18)/5)</f>
        <v/>
      </c>
      <c r="AL32" s="15">
        <f>IF(COUNTA(T32:AH32)=0,"",IF(SUMPRODUCT(--(T32:AH32&lt;=1),--(KPI_Weights!$C$4:$C$18="YES"))&gt;0,"YES","NO"))</f>
        <v/>
      </c>
      <c r="AM32" s="15">
        <f>IF(AJ32="","",IF(AND(AL32="NO",AJ32&gt;=0.75),"YES","NO"))</f>
        <v/>
      </c>
      <c r="AN32" s="15">
        <f>IF(AJ32="","",IF(AJ32&lt;0.4,"Critical",IF(AJ32&lt;0.6,"Poor",IF(AJ32&lt;0.75,"Needs Improvement",IF(AJ32&lt;0.9,"Good","Excellent")))))</f>
        <v/>
      </c>
      <c r="AO32" s="41" t="n"/>
      <c r="AP32" s="41" t="n"/>
      <c r="AQ32" s="41" t="n"/>
      <c r="AR32" s="41" t="n"/>
      <c r="AS32" s="41" t="n"/>
      <c r="AT32" s="44" t="n"/>
      <c r="AU32" s="41" t="n"/>
      <c r="AV32" s="43" t="n"/>
      <c r="AW32" s="41" t="n"/>
      <c r="AX32" s="44" t="n"/>
      <c r="AY32" s="44" t="n"/>
      <c r="AZ32" s="44" t="n"/>
      <c r="BA32" s="44" t="n"/>
      <c r="BB32" s="44" t="n"/>
      <c r="BC32" s="44" t="n"/>
      <c r="BD32" s="44" t="n"/>
      <c r="BE32" s="44" t="n"/>
      <c r="BF32" s="44" t="n"/>
    </row>
    <row r="33" ht="19.5" customHeight="1" s="45">
      <c r="A33" s="15">
        <f>IF($B33="","",TEXT($B33,"yyyymmdd")&amp;"-"&amp;SUBSTITUTE($F33," ","")&amp;"-"&amp;TEXT(COUNTIF($F$4:F33,$F33),"00"))</f>
        <v/>
      </c>
      <c r="B33" s="39" t="n"/>
      <c r="C33" s="15">
        <f>IF($B33="","",WEEKNUM($B33,2))</f>
        <v/>
      </c>
      <c r="D33" s="15">
        <f>IF($B33="","",TEXT($B33,"yyyy-mm"))</f>
        <v/>
      </c>
      <c r="E33" s="40" t="n"/>
      <c r="F33" s="40" t="n"/>
      <c r="G33" s="15">
        <f>IF(OR($E33="",$F33=""),"",IFERROR(IF($E33=INDEX(Cluster_Master!$A$4:$A$18,MATCH($F33,Cluster_Master!$B$4:$B$18,0)),"OK","CHECK"),"CHECK"))</f>
        <v/>
      </c>
      <c r="H33" s="18">
        <f>IFERROR(INDEX(Cluster_Master!$C$4:$C$18,MATCH($F33,Cluster_Master!$B$4:$B$18,0)),"")</f>
        <v/>
      </c>
      <c r="I33" s="15">
        <f>IFERROR(INDEX(Cluster_Master!$D$4:$D$18,MATCH($F33,Cluster_Master!$B$4:$B$18,0)),"")</f>
        <v/>
      </c>
      <c r="J33" s="15">
        <f>IFERROR(INDEX(Cluster_Master!$E$4:$E$18,MATCH($F33,Cluster_Master!$B$4:$B$18,0)),"")</f>
        <v/>
      </c>
      <c r="K33" s="15">
        <f>IFERROR(INDEX(Cluster_Master!$F$4:$F$18,MATCH($F33,Cluster_Master!$B$4:$B$18,0)),"")</f>
        <v/>
      </c>
      <c r="L33" s="15">
        <f>IFERROR(INDEX(Cluster_Master!$G$4:$G$18,MATCH($F33,Cluster_Master!$B$4:$B$18,0)),"")</f>
        <v/>
      </c>
      <c r="M33" s="15">
        <f>IFERROR(INDEX(Cluster_Master!$H$4:$H$18,MATCH($F33,Cluster_Master!$B$4:$B$18,0)),"")</f>
        <v/>
      </c>
      <c r="N33" s="41" t="n"/>
      <c r="O33" s="41" t="n"/>
      <c r="P33" s="41" t="n"/>
      <c r="Q33" s="41" t="n"/>
      <c r="R33" s="41" t="n"/>
      <c r="S33" s="41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15">
        <f>IF(COUNTA(T33:AH33)=0,"",SUM(T33:AH33))</f>
        <v/>
      </c>
      <c r="AJ33" s="21">
        <f>IF(COUNTA(T33:AH33)=0,"",AI33/(COUNT(KPI_Weights!$A$4:$A$18)*5))</f>
        <v/>
      </c>
      <c r="AK33" s="21">
        <f>IF(COUNTA(T33:AH33)=0,"",SUMPRODUCT(T33:AH33,KPI_Weights!$B$4:$B$18)/5)</f>
        <v/>
      </c>
      <c r="AL33" s="15">
        <f>IF(COUNTA(T33:AH33)=0,"",IF(SUMPRODUCT(--(T33:AH33&lt;=1),--(KPI_Weights!$C$4:$C$18="YES"))&gt;0,"YES","NO"))</f>
        <v/>
      </c>
      <c r="AM33" s="15">
        <f>IF(AJ33="","",IF(AND(AL33="NO",AJ33&gt;=0.75),"YES","NO"))</f>
        <v/>
      </c>
      <c r="AN33" s="15">
        <f>IF(AJ33="","",IF(AJ33&lt;0.4,"Critical",IF(AJ33&lt;0.6,"Poor",IF(AJ33&lt;0.75,"Needs Improvement",IF(AJ33&lt;0.9,"Good","Excellent")))))</f>
        <v/>
      </c>
      <c r="AO33" s="41" t="n"/>
      <c r="AP33" s="41" t="n"/>
      <c r="AQ33" s="41" t="n"/>
      <c r="AR33" s="41" t="n"/>
      <c r="AS33" s="41" t="n"/>
      <c r="AT33" s="44" t="n"/>
      <c r="AU33" s="41" t="n"/>
      <c r="AV33" s="43" t="n"/>
      <c r="AW33" s="41" t="n"/>
      <c r="AX33" s="44" t="n"/>
      <c r="AY33" s="44" t="n"/>
      <c r="AZ33" s="44" t="n"/>
      <c r="BA33" s="44" t="n"/>
      <c r="BB33" s="44" t="n"/>
      <c r="BC33" s="44" t="n"/>
      <c r="BD33" s="44" t="n"/>
      <c r="BE33" s="44" t="n"/>
      <c r="BF33" s="44" t="n"/>
    </row>
    <row r="34" ht="19.5" customHeight="1" s="45">
      <c r="A34" s="15">
        <f>IF($B34="","",TEXT($B34,"yyyymmdd")&amp;"-"&amp;SUBSTITUTE($F34," ","")&amp;"-"&amp;TEXT(COUNTIF($F$4:F34,$F34),"00"))</f>
        <v/>
      </c>
      <c r="B34" s="39" t="n"/>
      <c r="C34" s="15">
        <f>IF($B34="","",WEEKNUM($B34,2))</f>
        <v/>
      </c>
      <c r="D34" s="15">
        <f>IF($B34="","",TEXT($B34,"yyyy-mm"))</f>
        <v/>
      </c>
      <c r="E34" s="40" t="n"/>
      <c r="F34" s="40" t="n"/>
      <c r="G34" s="15">
        <f>IF(OR($E34="",$F34=""),"",IFERROR(IF($E34=INDEX(Cluster_Master!$A$4:$A$18,MATCH($F34,Cluster_Master!$B$4:$B$18,0)),"OK","CHECK"),"CHECK"))</f>
        <v/>
      </c>
      <c r="H34" s="18">
        <f>IFERROR(INDEX(Cluster_Master!$C$4:$C$18,MATCH($F34,Cluster_Master!$B$4:$B$18,0)),"")</f>
        <v/>
      </c>
      <c r="I34" s="15">
        <f>IFERROR(INDEX(Cluster_Master!$D$4:$D$18,MATCH($F34,Cluster_Master!$B$4:$B$18,0)),"")</f>
        <v/>
      </c>
      <c r="J34" s="15">
        <f>IFERROR(INDEX(Cluster_Master!$E$4:$E$18,MATCH($F34,Cluster_Master!$B$4:$B$18,0)),"")</f>
        <v/>
      </c>
      <c r="K34" s="15">
        <f>IFERROR(INDEX(Cluster_Master!$F$4:$F$18,MATCH($F34,Cluster_Master!$B$4:$B$18,0)),"")</f>
        <v/>
      </c>
      <c r="L34" s="15">
        <f>IFERROR(INDEX(Cluster_Master!$G$4:$G$18,MATCH($F34,Cluster_Master!$B$4:$B$18,0)),"")</f>
        <v/>
      </c>
      <c r="M34" s="15">
        <f>IFERROR(INDEX(Cluster_Master!$H$4:$H$18,MATCH($F34,Cluster_Master!$B$4:$B$18,0)),"")</f>
        <v/>
      </c>
      <c r="N34" s="41" t="n"/>
      <c r="O34" s="41" t="n"/>
      <c r="P34" s="41" t="n"/>
      <c r="Q34" s="41" t="n"/>
      <c r="R34" s="41" t="n"/>
      <c r="S34" s="41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15">
        <f>IF(COUNTA(T34:AH34)=0,"",SUM(T34:AH34))</f>
        <v/>
      </c>
      <c r="AJ34" s="21">
        <f>IF(COUNTA(T34:AH34)=0,"",AI34/(COUNT(KPI_Weights!$A$4:$A$18)*5))</f>
        <v/>
      </c>
      <c r="AK34" s="21">
        <f>IF(COUNTA(T34:AH34)=0,"",SUMPRODUCT(T34:AH34,KPI_Weights!$B$4:$B$18)/5)</f>
        <v/>
      </c>
      <c r="AL34" s="15">
        <f>IF(COUNTA(T34:AH34)=0,"",IF(SUMPRODUCT(--(T34:AH34&lt;=1),--(KPI_Weights!$C$4:$C$18="YES"))&gt;0,"YES","NO"))</f>
        <v/>
      </c>
      <c r="AM34" s="15">
        <f>IF(AJ34="","",IF(AND(AL34="NO",AJ34&gt;=0.75),"YES","NO"))</f>
        <v/>
      </c>
      <c r="AN34" s="15">
        <f>IF(AJ34="","",IF(AJ34&lt;0.4,"Critical",IF(AJ34&lt;0.6,"Poor",IF(AJ34&lt;0.75,"Needs Improvement",IF(AJ34&lt;0.9,"Good","Excellent")))))</f>
        <v/>
      </c>
      <c r="AO34" s="41" t="n"/>
      <c r="AP34" s="41" t="n"/>
      <c r="AQ34" s="41" t="n"/>
      <c r="AR34" s="41" t="n"/>
      <c r="AS34" s="41" t="n"/>
      <c r="AT34" s="44" t="n"/>
      <c r="AU34" s="41" t="n"/>
      <c r="AV34" s="43" t="n"/>
      <c r="AW34" s="41" t="n"/>
      <c r="AX34" s="44" t="n"/>
      <c r="AY34" s="44" t="n"/>
      <c r="AZ34" s="44" t="n"/>
      <c r="BA34" s="44" t="n"/>
      <c r="BB34" s="44" t="n"/>
      <c r="BC34" s="44" t="n"/>
      <c r="BD34" s="44" t="n"/>
      <c r="BE34" s="44" t="n"/>
      <c r="BF34" s="44" t="n"/>
    </row>
    <row r="35" ht="19.5" customHeight="1" s="45">
      <c r="A35" s="15">
        <f>IF($B35="","",TEXT($B35,"yyyymmdd")&amp;"-"&amp;SUBSTITUTE($F35," ","")&amp;"-"&amp;TEXT(COUNTIF($F$4:F35,$F35),"00"))</f>
        <v/>
      </c>
      <c r="B35" s="39" t="n"/>
      <c r="C35" s="15">
        <f>IF($B35="","",WEEKNUM($B35,2))</f>
        <v/>
      </c>
      <c r="D35" s="15">
        <f>IF($B35="","",TEXT($B35,"yyyy-mm"))</f>
        <v/>
      </c>
      <c r="E35" s="40" t="n"/>
      <c r="F35" s="40" t="n"/>
      <c r="G35" s="15">
        <f>IF(OR($E35="",$F35=""),"",IFERROR(IF($E35=INDEX(Cluster_Master!$A$4:$A$18,MATCH($F35,Cluster_Master!$B$4:$B$18,0)),"OK","CHECK"),"CHECK"))</f>
        <v/>
      </c>
      <c r="H35" s="18">
        <f>IFERROR(INDEX(Cluster_Master!$C$4:$C$18,MATCH($F35,Cluster_Master!$B$4:$B$18,0)),"")</f>
        <v/>
      </c>
      <c r="I35" s="15">
        <f>IFERROR(INDEX(Cluster_Master!$D$4:$D$18,MATCH($F35,Cluster_Master!$B$4:$B$18,0)),"")</f>
        <v/>
      </c>
      <c r="J35" s="15">
        <f>IFERROR(INDEX(Cluster_Master!$E$4:$E$18,MATCH($F35,Cluster_Master!$B$4:$B$18,0)),"")</f>
        <v/>
      </c>
      <c r="K35" s="15">
        <f>IFERROR(INDEX(Cluster_Master!$F$4:$F$18,MATCH($F35,Cluster_Master!$B$4:$B$18,0)),"")</f>
        <v/>
      </c>
      <c r="L35" s="15">
        <f>IFERROR(INDEX(Cluster_Master!$G$4:$G$18,MATCH($F35,Cluster_Master!$B$4:$B$18,0)),"")</f>
        <v/>
      </c>
      <c r="M35" s="15">
        <f>IFERROR(INDEX(Cluster_Master!$H$4:$H$18,MATCH($F35,Cluster_Master!$B$4:$B$18,0)),"")</f>
        <v/>
      </c>
      <c r="N35" s="41" t="n"/>
      <c r="O35" s="41" t="n"/>
      <c r="P35" s="41" t="n"/>
      <c r="Q35" s="41" t="n"/>
      <c r="R35" s="41" t="n"/>
      <c r="S35" s="41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15">
        <f>IF(COUNTA(T35:AH35)=0,"",SUM(T35:AH35))</f>
        <v/>
      </c>
      <c r="AJ35" s="21">
        <f>IF(COUNTA(T35:AH35)=0,"",AI35/(COUNT(KPI_Weights!$A$4:$A$18)*5))</f>
        <v/>
      </c>
      <c r="AK35" s="21">
        <f>IF(COUNTA(T35:AH35)=0,"",SUMPRODUCT(T35:AH35,KPI_Weights!$B$4:$B$18)/5)</f>
        <v/>
      </c>
      <c r="AL35" s="15">
        <f>IF(COUNTA(T35:AH35)=0,"",IF(SUMPRODUCT(--(T35:AH35&lt;=1),--(KPI_Weights!$C$4:$C$18="YES"))&gt;0,"YES","NO"))</f>
        <v/>
      </c>
      <c r="AM35" s="15">
        <f>IF(AJ35="","",IF(AND(AL35="NO",AJ35&gt;=0.75),"YES","NO"))</f>
        <v/>
      </c>
      <c r="AN35" s="15">
        <f>IF(AJ35="","",IF(AJ35&lt;0.4,"Critical",IF(AJ35&lt;0.6,"Poor",IF(AJ35&lt;0.75,"Needs Improvement",IF(AJ35&lt;0.9,"Good","Excellent")))))</f>
        <v/>
      </c>
      <c r="AO35" s="41" t="n"/>
      <c r="AP35" s="41" t="n"/>
      <c r="AQ35" s="41" t="n"/>
      <c r="AR35" s="41" t="n"/>
      <c r="AS35" s="41" t="n"/>
      <c r="AT35" s="44" t="n"/>
      <c r="AU35" s="41" t="n"/>
      <c r="AV35" s="43" t="n"/>
      <c r="AW35" s="41" t="n"/>
      <c r="AX35" s="44" t="n"/>
      <c r="AY35" s="44" t="n"/>
      <c r="AZ35" s="44" t="n"/>
      <c r="BA35" s="44" t="n"/>
      <c r="BB35" s="44" t="n"/>
      <c r="BC35" s="44" t="n"/>
      <c r="BD35" s="44" t="n"/>
      <c r="BE35" s="44" t="n"/>
      <c r="BF35" s="44" t="n"/>
    </row>
    <row r="36" ht="19.5" customHeight="1" s="45">
      <c r="A36" s="15">
        <f>IF($B36="","",TEXT($B36,"yyyymmdd")&amp;"-"&amp;SUBSTITUTE($F36," ","")&amp;"-"&amp;TEXT(COUNTIF($F$4:F36,$F36),"00"))</f>
        <v/>
      </c>
      <c r="B36" s="39" t="n"/>
      <c r="C36" s="15">
        <f>IF($B36="","",WEEKNUM($B36,2))</f>
        <v/>
      </c>
      <c r="D36" s="15">
        <f>IF($B36="","",TEXT($B36,"yyyy-mm"))</f>
        <v/>
      </c>
      <c r="E36" s="40" t="n"/>
      <c r="F36" s="40" t="n"/>
      <c r="G36" s="15">
        <f>IF(OR($E36="",$F36=""),"",IFERROR(IF($E36=INDEX(Cluster_Master!$A$4:$A$18,MATCH($F36,Cluster_Master!$B$4:$B$18,0)),"OK","CHECK"),"CHECK"))</f>
        <v/>
      </c>
      <c r="H36" s="18">
        <f>IFERROR(INDEX(Cluster_Master!$C$4:$C$18,MATCH($F36,Cluster_Master!$B$4:$B$18,0)),"")</f>
        <v/>
      </c>
      <c r="I36" s="15">
        <f>IFERROR(INDEX(Cluster_Master!$D$4:$D$18,MATCH($F36,Cluster_Master!$B$4:$B$18,0)),"")</f>
        <v/>
      </c>
      <c r="J36" s="15">
        <f>IFERROR(INDEX(Cluster_Master!$E$4:$E$18,MATCH($F36,Cluster_Master!$B$4:$B$18,0)),"")</f>
        <v/>
      </c>
      <c r="K36" s="15">
        <f>IFERROR(INDEX(Cluster_Master!$F$4:$F$18,MATCH($F36,Cluster_Master!$B$4:$B$18,0)),"")</f>
        <v/>
      </c>
      <c r="L36" s="15">
        <f>IFERROR(INDEX(Cluster_Master!$G$4:$G$18,MATCH($F36,Cluster_Master!$B$4:$B$18,0)),"")</f>
        <v/>
      </c>
      <c r="M36" s="15">
        <f>IFERROR(INDEX(Cluster_Master!$H$4:$H$18,MATCH($F36,Cluster_Master!$B$4:$B$18,0)),"")</f>
        <v/>
      </c>
      <c r="N36" s="41" t="n"/>
      <c r="O36" s="41" t="n"/>
      <c r="P36" s="41" t="n"/>
      <c r="Q36" s="41" t="n"/>
      <c r="R36" s="41" t="n"/>
      <c r="S36" s="41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  <c r="AH36" s="42" t="n"/>
      <c r="AI36" s="15">
        <f>IF(COUNTA(T36:AH36)=0,"",SUM(T36:AH36))</f>
        <v/>
      </c>
      <c r="AJ36" s="21">
        <f>IF(COUNTA(T36:AH36)=0,"",AI36/(COUNT(KPI_Weights!$A$4:$A$18)*5))</f>
        <v/>
      </c>
      <c r="AK36" s="21">
        <f>IF(COUNTA(T36:AH36)=0,"",SUMPRODUCT(T36:AH36,KPI_Weights!$B$4:$B$18)/5)</f>
        <v/>
      </c>
      <c r="AL36" s="15">
        <f>IF(COUNTA(T36:AH36)=0,"",IF(SUMPRODUCT(--(T36:AH36&lt;=1),--(KPI_Weights!$C$4:$C$18="YES"))&gt;0,"YES","NO"))</f>
        <v/>
      </c>
      <c r="AM36" s="15">
        <f>IF(AJ36="","",IF(AND(AL36="NO",AJ36&gt;=0.75),"YES","NO"))</f>
        <v/>
      </c>
      <c r="AN36" s="15">
        <f>IF(AJ36="","",IF(AJ36&lt;0.4,"Critical",IF(AJ36&lt;0.6,"Poor",IF(AJ36&lt;0.75,"Needs Improvement",IF(AJ36&lt;0.9,"Good","Excellent")))))</f>
        <v/>
      </c>
      <c r="AO36" s="41" t="n"/>
      <c r="AP36" s="41" t="n"/>
      <c r="AQ36" s="41" t="n"/>
      <c r="AR36" s="41" t="n"/>
      <c r="AS36" s="41" t="n"/>
      <c r="AT36" s="44" t="n"/>
      <c r="AU36" s="41" t="n"/>
      <c r="AV36" s="43" t="n"/>
      <c r="AW36" s="41" t="n"/>
      <c r="AX36" s="44" t="n"/>
      <c r="AY36" s="44" t="n"/>
      <c r="AZ36" s="44" t="n"/>
      <c r="BA36" s="44" t="n"/>
      <c r="BB36" s="44" t="n"/>
      <c r="BC36" s="44" t="n"/>
      <c r="BD36" s="44" t="n"/>
      <c r="BE36" s="44" t="n"/>
      <c r="BF36" s="44" t="n"/>
    </row>
    <row r="37" ht="19.5" customHeight="1" s="45">
      <c r="A37" s="15">
        <f>IF($B37="","",TEXT($B37,"yyyymmdd")&amp;"-"&amp;SUBSTITUTE($F37," ","")&amp;"-"&amp;TEXT(COUNTIF($F$4:F37,$F37),"00"))</f>
        <v/>
      </c>
      <c r="B37" s="39" t="n"/>
      <c r="C37" s="15">
        <f>IF($B37="","",WEEKNUM($B37,2))</f>
        <v/>
      </c>
      <c r="D37" s="15">
        <f>IF($B37="","",TEXT($B37,"yyyy-mm"))</f>
        <v/>
      </c>
      <c r="E37" s="40" t="n"/>
      <c r="F37" s="40" t="n"/>
      <c r="G37" s="15">
        <f>IF(OR($E37="",$F37=""),"",IFERROR(IF($E37=INDEX(Cluster_Master!$A$4:$A$18,MATCH($F37,Cluster_Master!$B$4:$B$18,0)),"OK","CHECK"),"CHECK"))</f>
        <v/>
      </c>
      <c r="H37" s="18">
        <f>IFERROR(INDEX(Cluster_Master!$C$4:$C$18,MATCH($F37,Cluster_Master!$B$4:$B$18,0)),"")</f>
        <v/>
      </c>
      <c r="I37" s="15">
        <f>IFERROR(INDEX(Cluster_Master!$D$4:$D$18,MATCH($F37,Cluster_Master!$B$4:$B$18,0)),"")</f>
        <v/>
      </c>
      <c r="J37" s="15">
        <f>IFERROR(INDEX(Cluster_Master!$E$4:$E$18,MATCH($F37,Cluster_Master!$B$4:$B$18,0)),"")</f>
        <v/>
      </c>
      <c r="K37" s="15">
        <f>IFERROR(INDEX(Cluster_Master!$F$4:$F$18,MATCH($F37,Cluster_Master!$B$4:$B$18,0)),"")</f>
        <v/>
      </c>
      <c r="L37" s="15">
        <f>IFERROR(INDEX(Cluster_Master!$G$4:$G$18,MATCH($F37,Cluster_Master!$B$4:$B$18,0)),"")</f>
        <v/>
      </c>
      <c r="M37" s="15">
        <f>IFERROR(INDEX(Cluster_Master!$H$4:$H$18,MATCH($F37,Cluster_Master!$B$4:$B$18,0)),"")</f>
        <v/>
      </c>
      <c r="N37" s="41" t="n"/>
      <c r="O37" s="41" t="n"/>
      <c r="P37" s="41" t="n"/>
      <c r="Q37" s="41" t="n"/>
      <c r="R37" s="41" t="n"/>
      <c r="S37" s="41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15">
        <f>IF(COUNTA(T37:AH37)=0,"",SUM(T37:AH37))</f>
        <v/>
      </c>
      <c r="AJ37" s="21">
        <f>IF(COUNTA(T37:AH37)=0,"",AI37/(COUNT(KPI_Weights!$A$4:$A$18)*5))</f>
        <v/>
      </c>
      <c r="AK37" s="21">
        <f>IF(COUNTA(T37:AH37)=0,"",SUMPRODUCT(T37:AH37,KPI_Weights!$B$4:$B$18)/5)</f>
        <v/>
      </c>
      <c r="AL37" s="15">
        <f>IF(COUNTA(T37:AH37)=0,"",IF(SUMPRODUCT(--(T37:AH37&lt;=1),--(KPI_Weights!$C$4:$C$18="YES"))&gt;0,"YES","NO"))</f>
        <v/>
      </c>
      <c r="AM37" s="15">
        <f>IF(AJ37="","",IF(AND(AL37="NO",AJ37&gt;=0.75),"YES","NO"))</f>
        <v/>
      </c>
      <c r="AN37" s="15">
        <f>IF(AJ37="","",IF(AJ37&lt;0.4,"Critical",IF(AJ37&lt;0.6,"Poor",IF(AJ37&lt;0.75,"Needs Improvement",IF(AJ37&lt;0.9,"Good","Excellent")))))</f>
        <v/>
      </c>
      <c r="AO37" s="41" t="n"/>
      <c r="AP37" s="41" t="n"/>
      <c r="AQ37" s="41" t="n"/>
      <c r="AR37" s="41" t="n"/>
      <c r="AS37" s="41" t="n"/>
      <c r="AT37" s="44" t="n"/>
      <c r="AU37" s="41" t="n"/>
      <c r="AV37" s="43" t="n"/>
      <c r="AW37" s="41" t="n"/>
      <c r="AX37" s="44" t="n"/>
      <c r="AY37" s="44" t="n"/>
      <c r="AZ37" s="44" t="n"/>
      <c r="BA37" s="44" t="n"/>
      <c r="BB37" s="44" t="n"/>
      <c r="BC37" s="44" t="n"/>
      <c r="BD37" s="44" t="n"/>
      <c r="BE37" s="44" t="n"/>
      <c r="BF37" s="44" t="n"/>
    </row>
    <row r="38" ht="19.5" customHeight="1" s="45">
      <c r="A38" s="15">
        <f>IF($B38="","",TEXT($B38,"yyyymmdd")&amp;"-"&amp;SUBSTITUTE($F38," ","")&amp;"-"&amp;TEXT(COUNTIF($F$4:F38,$F38),"00"))</f>
        <v/>
      </c>
      <c r="B38" s="39" t="n"/>
      <c r="C38" s="15">
        <f>IF($B38="","",WEEKNUM($B38,2))</f>
        <v/>
      </c>
      <c r="D38" s="15">
        <f>IF($B38="","",TEXT($B38,"yyyy-mm"))</f>
        <v/>
      </c>
      <c r="E38" s="40" t="n"/>
      <c r="F38" s="40" t="n"/>
      <c r="G38" s="15">
        <f>IF(OR($E38="",$F38=""),"",IFERROR(IF($E38=INDEX(Cluster_Master!$A$4:$A$18,MATCH($F38,Cluster_Master!$B$4:$B$18,0)),"OK","CHECK"),"CHECK"))</f>
        <v/>
      </c>
      <c r="H38" s="18">
        <f>IFERROR(INDEX(Cluster_Master!$C$4:$C$18,MATCH($F38,Cluster_Master!$B$4:$B$18,0)),"")</f>
        <v/>
      </c>
      <c r="I38" s="15">
        <f>IFERROR(INDEX(Cluster_Master!$D$4:$D$18,MATCH($F38,Cluster_Master!$B$4:$B$18,0)),"")</f>
        <v/>
      </c>
      <c r="J38" s="15">
        <f>IFERROR(INDEX(Cluster_Master!$E$4:$E$18,MATCH($F38,Cluster_Master!$B$4:$B$18,0)),"")</f>
        <v/>
      </c>
      <c r="K38" s="15">
        <f>IFERROR(INDEX(Cluster_Master!$F$4:$F$18,MATCH($F38,Cluster_Master!$B$4:$B$18,0)),"")</f>
        <v/>
      </c>
      <c r="L38" s="15">
        <f>IFERROR(INDEX(Cluster_Master!$G$4:$G$18,MATCH($F38,Cluster_Master!$B$4:$B$18,0)),"")</f>
        <v/>
      </c>
      <c r="M38" s="15">
        <f>IFERROR(INDEX(Cluster_Master!$H$4:$H$18,MATCH($F38,Cluster_Master!$B$4:$B$18,0)),"")</f>
        <v/>
      </c>
      <c r="N38" s="41" t="n"/>
      <c r="O38" s="41" t="n"/>
      <c r="P38" s="41" t="n"/>
      <c r="Q38" s="41" t="n"/>
      <c r="R38" s="41" t="n"/>
      <c r="S38" s="41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15">
        <f>IF(COUNTA(T38:AH38)=0,"",SUM(T38:AH38))</f>
        <v/>
      </c>
      <c r="AJ38" s="21">
        <f>IF(COUNTA(T38:AH38)=0,"",AI38/(COUNT(KPI_Weights!$A$4:$A$18)*5))</f>
        <v/>
      </c>
      <c r="AK38" s="21">
        <f>IF(COUNTA(T38:AH38)=0,"",SUMPRODUCT(T38:AH38,KPI_Weights!$B$4:$B$18)/5)</f>
        <v/>
      </c>
      <c r="AL38" s="15">
        <f>IF(COUNTA(T38:AH38)=0,"",IF(SUMPRODUCT(--(T38:AH38&lt;=1),--(KPI_Weights!$C$4:$C$18="YES"))&gt;0,"YES","NO"))</f>
        <v/>
      </c>
      <c r="AM38" s="15">
        <f>IF(AJ38="","",IF(AND(AL38="NO",AJ38&gt;=0.75),"YES","NO"))</f>
        <v/>
      </c>
      <c r="AN38" s="15">
        <f>IF(AJ38="","",IF(AJ38&lt;0.4,"Critical",IF(AJ38&lt;0.6,"Poor",IF(AJ38&lt;0.75,"Needs Improvement",IF(AJ38&lt;0.9,"Good","Excellent")))))</f>
        <v/>
      </c>
      <c r="AO38" s="41" t="n"/>
      <c r="AP38" s="41" t="n"/>
      <c r="AQ38" s="41" t="n"/>
      <c r="AR38" s="41" t="n"/>
      <c r="AS38" s="41" t="n"/>
      <c r="AT38" s="44" t="n"/>
      <c r="AU38" s="41" t="n"/>
      <c r="AV38" s="43" t="n"/>
      <c r="AW38" s="41" t="n"/>
      <c r="AX38" s="44" t="n"/>
      <c r="AY38" s="44" t="n"/>
      <c r="AZ38" s="44" t="n"/>
      <c r="BA38" s="44" t="n"/>
      <c r="BB38" s="44" t="n"/>
      <c r="BC38" s="44" t="n"/>
      <c r="BD38" s="44" t="n"/>
      <c r="BE38" s="44" t="n"/>
      <c r="BF38" s="44" t="n"/>
    </row>
    <row r="39" ht="19.5" customHeight="1" s="45">
      <c r="A39" s="15">
        <f>IF($B39="","",TEXT($B39,"yyyymmdd")&amp;"-"&amp;SUBSTITUTE($F39," ","")&amp;"-"&amp;TEXT(COUNTIF($F$4:F39,$F39),"00"))</f>
        <v/>
      </c>
      <c r="B39" s="39" t="n"/>
      <c r="C39" s="15">
        <f>IF($B39="","",WEEKNUM($B39,2))</f>
        <v/>
      </c>
      <c r="D39" s="15">
        <f>IF($B39="","",TEXT($B39,"yyyy-mm"))</f>
        <v/>
      </c>
      <c r="E39" s="40" t="n"/>
      <c r="F39" s="40" t="n"/>
      <c r="G39" s="15">
        <f>IF(OR($E39="",$F39=""),"",IFERROR(IF($E39=INDEX(Cluster_Master!$A$4:$A$18,MATCH($F39,Cluster_Master!$B$4:$B$18,0)),"OK","CHECK"),"CHECK"))</f>
        <v/>
      </c>
      <c r="H39" s="18">
        <f>IFERROR(INDEX(Cluster_Master!$C$4:$C$18,MATCH($F39,Cluster_Master!$B$4:$B$18,0)),"")</f>
        <v/>
      </c>
      <c r="I39" s="15">
        <f>IFERROR(INDEX(Cluster_Master!$D$4:$D$18,MATCH($F39,Cluster_Master!$B$4:$B$18,0)),"")</f>
        <v/>
      </c>
      <c r="J39" s="15">
        <f>IFERROR(INDEX(Cluster_Master!$E$4:$E$18,MATCH($F39,Cluster_Master!$B$4:$B$18,0)),"")</f>
        <v/>
      </c>
      <c r="K39" s="15">
        <f>IFERROR(INDEX(Cluster_Master!$F$4:$F$18,MATCH($F39,Cluster_Master!$B$4:$B$18,0)),"")</f>
        <v/>
      </c>
      <c r="L39" s="15">
        <f>IFERROR(INDEX(Cluster_Master!$G$4:$G$18,MATCH($F39,Cluster_Master!$B$4:$B$18,0)),"")</f>
        <v/>
      </c>
      <c r="M39" s="15">
        <f>IFERROR(INDEX(Cluster_Master!$H$4:$H$18,MATCH($F39,Cluster_Master!$B$4:$B$18,0)),"")</f>
        <v/>
      </c>
      <c r="N39" s="41" t="n"/>
      <c r="O39" s="41" t="n"/>
      <c r="P39" s="41" t="n"/>
      <c r="Q39" s="41" t="n"/>
      <c r="R39" s="41" t="n"/>
      <c r="S39" s="41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15">
        <f>IF(COUNTA(T39:AH39)=0,"",SUM(T39:AH39))</f>
        <v/>
      </c>
      <c r="AJ39" s="21">
        <f>IF(COUNTA(T39:AH39)=0,"",AI39/(COUNT(KPI_Weights!$A$4:$A$18)*5))</f>
        <v/>
      </c>
      <c r="AK39" s="21">
        <f>IF(COUNTA(T39:AH39)=0,"",SUMPRODUCT(T39:AH39,KPI_Weights!$B$4:$B$18)/5)</f>
        <v/>
      </c>
      <c r="AL39" s="15">
        <f>IF(COUNTA(T39:AH39)=0,"",IF(SUMPRODUCT(--(T39:AH39&lt;=1),--(KPI_Weights!$C$4:$C$18="YES"))&gt;0,"YES","NO"))</f>
        <v/>
      </c>
      <c r="AM39" s="15">
        <f>IF(AJ39="","",IF(AND(AL39="NO",AJ39&gt;=0.75),"YES","NO"))</f>
        <v/>
      </c>
      <c r="AN39" s="15">
        <f>IF(AJ39="","",IF(AJ39&lt;0.4,"Critical",IF(AJ39&lt;0.6,"Poor",IF(AJ39&lt;0.75,"Needs Improvement",IF(AJ39&lt;0.9,"Good","Excellent")))))</f>
        <v/>
      </c>
      <c r="AO39" s="41" t="n"/>
      <c r="AP39" s="41" t="n"/>
      <c r="AQ39" s="41" t="n"/>
      <c r="AR39" s="41" t="n"/>
      <c r="AS39" s="41" t="n"/>
      <c r="AT39" s="44" t="n"/>
      <c r="AU39" s="41" t="n"/>
      <c r="AV39" s="43" t="n"/>
      <c r="AW39" s="41" t="n"/>
      <c r="AX39" s="44" t="n"/>
      <c r="AY39" s="44" t="n"/>
      <c r="AZ39" s="44" t="n"/>
      <c r="BA39" s="44" t="n"/>
      <c r="BB39" s="44" t="n"/>
      <c r="BC39" s="44" t="n"/>
      <c r="BD39" s="44" t="n"/>
      <c r="BE39" s="44" t="n"/>
      <c r="BF39" s="44" t="n"/>
    </row>
    <row r="40" ht="19.5" customHeight="1" s="45">
      <c r="A40" s="15">
        <f>IF($B40="","",TEXT($B40,"yyyymmdd")&amp;"-"&amp;SUBSTITUTE($F40," ","")&amp;"-"&amp;TEXT(COUNTIF($F$4:F40,$F40),"00"))</f>
        <v/>
      </c>
      <c r="B40" s="39" t="n"/>
      <c r="C40" s="15">
        <f>IF($B40="","",WEEKNUM($B40,2))</f>
        <v/>
      </c>
      <c r="D40" s="15">
        <f>IF($B40="","",TEXT($B40,"yyyy-mm"))</f>
        <v/>
      </c>
      <c r="E40" s="40" t="n"/>
      <c r="F40" s="40" t="n"/>
      <c r="G40" s="15">
        <f>IF(OR($E40="",$F40=""),"",IFERROR(IF($E40=INDEX(Cluster_Master!$A$4:$A$18,MATCH($F40,Cluster_Master!$B$4:$B$18,0)),"OK","CHECK"),"CHECK"))</f>
        <v/>
      </c>
      <c r="H40" s="18">
        <f>IFERROR(INDEX(Cluster_Master!$C$4:$C$18,MATCH($F40,Cluster_Master!$B$4:$B$18,0)),"")</f>
        <v/>
      </c>
      <c r="I40" s="15">
        <f>IFERROR(INDEX(Cluster_Master!$D$4:$D$18,MATCH($F40,Cluster_Master!$B$4:$B$18,0)),"")</f>
        <v/>
      </c>
      <c r="J40" s="15">
        <f>IFERROR(INDEX(Cluster_Master!$E$4:$E$18,MATCH($F40,Cluster_Master!$B$4:$B$18,0)),"")</f>
        <v/>
      </c>
      <c r="K40" s="15">
        <f>IFERROR(INDEX(Cluster_Master!$F$4:$F$18,MATCH($F40,Cluster_Master!$B$4:$B$18,0)),"")</f>
        <v/>
      </c>
      <c r="L40" s="15">
        <f>IFERROR(INDEX(Cluster_Master!$G$4:$G$18,MATCH($F40,Cluster_Master!$B$4:$B$18,0)),"")</f>
        <v/>
      </c>
      <c r="M40" s="15">
        <f>IFERROR(INDEX(Cluster_Master!$H$4:$H$18,MATCH($F40,Cluster_Master!$B$4:$B$18,0)),"")</f>
        <v/>
      </c>
      <c r="N40" s="41" t="n"/>
      <c r="O40" s="41" t="n"/>
      <c r="P40" s="41" t="n"/>
      <c r="Q40" s="41" t="n"/>
      <c r="R40" s="41" t="n"/>
      <c r="S40" s="41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15">
        <f>IF(COUNTA(T40:AH40)=0,"",SUM(T40:AH40))</f>
        <v/>
      </c>
      <c r="AJ40" s="21">
        <f>IF(COUNTA(T40:AH40)=0,"",AI40/(COUNT(KPI_Weights!$A$4:$A$18)*5))</f>
        <v/>
      </c>
      <c r="AK40" s="21">
        <f>IF(COUNTA(T40:AH40)=0,"",SUMPRODUCT(T40:AH40,KPI_Weights!$B$4:$B$18)/5)</f>
        <v/>
      </c>
      <c r="AL40" s="15">
        <f>IF(COUNTA(T40:AH40)=0,"",IF(SUMPRODUCT(--(T40:AH40&lt;=1),--(KPI_Weights!$C$4:$C$18="YES"))&gt;0,"YES","NO"))</f>
        <v/>
      </c>
      <c r="AM40" s="15">
        <f>IF(AJ40="","",IF(AND(AL40="NO",AJ40&gt;=0.75),"YES","NO"))</f>
        <v/>
      </c>
      <c r="AN40" s="15">
        <f>IF(AJ40="","",IF(AJ40&lt;0.4,"Critical",IF(AJ40&lt;0.6,"Poor",IF(AJ40&lt;0.75,"Needs Improvement",IF(AJ40&lt;0.9,"Good","Excellent")))))</f>
        <v/>
      </c>
      <c r="AO40" s="41" t="n"/>
      <c r="AP40" s="41" t="n"/>
      <c r="AQ40" s="41" t="n"/>
      <c r="AR40" s="41" t="n"/>
      <c r="AS40" s="41" t="n"/>
      <c r="AT40" s="44" t="n"/>
      <c r="AU40" s="41" t="n"/>
      <c r="AV40" s="43" t="n"/>
      <c r="AW40" s="41" t="n"/>
      <c r="AX40" s="44" t="n"/>
      <c r="AY40" s="44" t="n"/>
      <c r="AZ40" s="44" t="n"/>
      <c r="BA40" s="44" t="n"/>
      <c r="BB40" s="44" t="n"/>
      <c r="BC40" s="44" t="n"/>
      <c r="BD40" s="44" t="n"/>
      <c r="BE40" s="44" t="n"/>
      <c r="BF40" s="44" t="n"/>
    </row>
    <row r="41" ht="19.5" customHeight="1" s="45">
      <c r="A41" s="15">
        <f>IF($B41="","",TEXT($B41,"yyyymmdd")&amp;"-"&amp;SUBSTITUTE($F41," ","")&amp;"-"&amp;TEXT(COUNTIF($F$4:F41,$F41),"00"))</f>
        <v/>
      </c>
      <c r="B41" s="39" t="n"/>
      <c r="C41" s="15">
        <f>IF($B41="","",WEEKNUM($B41,2))</f>
        <v/>
      </c>
      <c r="D41" s="15">
        <f>IF($B41="","",TEXT($B41,"yyyy-mm"))</f>
        <v/>
      </c>
      <c r="E41" s="40" t="n"/>
      <c r="F41" s="40" t="n"/>
      <c r="G41" s="15">
        <f>IF(OR($E41="",$F41=""),"",IFERROR(IF($E41=INDEX(Cluster_Master!$A$4:$A$18,MATCH($F41,Cluster_Master!$B$4:$B$18,0)),"OK","CHECK"),"CHECK"))</f>
        <v/>
      </c>
      <c r="H41" s="18">
        <f>IFERROR(INDEX(Cluster_Master!$C$4:$C$18,MATCH($F41,Cluster_Master!$B$4:$B$18,0)),"")</f>
        <v/>
      </c>
      <c r="I41" s="15">
        <f>IFERROR(INDEX(Cluster_Master!$D$4:$D$18,MATCH($F41,Cluster_Master!$B$4:$B$18,0)),"")</f>
        <v/>
      </c>
      <c r="J41" s="15">
        <f>IFERROR(INDEX(Cluster_Master!$E$4:$E$18,MATCH($F41,Cluster_Master!$B$4:$B$18,0)),"")</f>
        <v/>
      </c>
      <c r="K41" s="15">
        <f>IFERROR(INDEX(Cluster_Master!$F$4:$F$18,MATCH($F41,Cluster_Master!$B$4:$B$18,0)),"")</f>
        <v/>
      </c>
      <c r="L41" s="15">
        <f>IFERROR(INDEX(Cluster_Master!$G$4:$G$18,MATCH($F41,Cluster_Master!$B$4:$B$18,0)),"")</f>
        <v/>
      </c>
      <c r="M41" s="15">
        <f>IFERROR(INDEX(Cluster_Master!$H$4:$H$18,MATCH($F41,Cluster_Master!$B$4:$B$18,0)),"")</f>
        <v/>
      </c>
      <c r="N41" s="41" t="n"/>
      <c r="O41" s="41" t="n"/>
      <c r="P41" s="41" t="n"/>
      <c r="Q41" s="41" t="n"/>
      <c r="R41" s="41" t="n"/>
      <c r="S41" s="41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15">
        <f>IF(COUNTA(T41:AH41)=0,"",SUM(T41:AH41))</f>
        <v/>
      </c>
      <c r="AJ41" s="21">
        <f>IF(COUNTA(T41:AH41)=0,"",AI41/(COUNT(KPI_Weights!$A$4:$A$18)*5))</f>
        <v/>
      </c>
      <c r="AK41" s="21">
        <f>IF(COUNTA(T41:AH41)=0,"",SUMPRODUCT(T41:AH41,KPI_Weights!$B$4:$B$18)/5)</f>
        <v/>
      </c>
      <c r="AL41" s="15">
        <f>IF(COUNTA(T41:AH41)=0,"",IF(SUMPRODUCT(--(T41:AH41&lt;=1),--(KPI_Weights!$C$4:$C$18="YES"))&gt;0,"YES","NO"))</f>
        <v/>
      </c>
      <c r="AM41" s="15">
        <f>IF(AJ41="","",IF(AND(AL41="NO",AJ41&gt;=0.75),"YES","NO"))</f>
        <v/>
      </c>
      <c r="AN41" s="15">
        <f>IF(AJ41="","",IF(AJ41&lt;0.4,"Critical",IF(AJ41&lt;0.6,"Poor",IF(AJ41&lt;0.75,"Needs Improvement",IF(AJ41&lt;0.9,"Good","Excellent")))))</f>
        <v/>
      </c>
      <c r="AO41" s="41" t="n"/>
      <c r="AP41" s="41" t="n"/>
      <c r="AQ41" s="41" t="n"/>
      <c r="AR41" s="41" t="n"/>
      <c r="AS41" s="41" t="n"/>
      <c r="AT41" s="44" t="n"/>
      <c r="AU41" s="41" t="n"/>
      <c r="AV41" s="43" t="n"/>
      <c r="AW41" s="41" t="n"/>
      <c r="AX41" s="44" t="n"/>
      <c r="AY41" s="44" t="n"/>
      <c r="AZ41" s="44" t="n"/>
      <c r="BA41" s="44" t="n"/>
      <c r="BB41" s="44" t="n"/>
      <c r="BC41" s="44" t="n"/>
      <c r="BD41" s="44" t="n"/>
      <c r="BE41" s="44" t="n"/>
      <c r="BF41" s="44" t="n"/>
    </row>
    <row r="42" ht="19.5" customHeight="1" s="45">
      <c r="A42" s="15">
        <f>IF($B42="","",TEXT($B42,"yyyymmdd")&amp;"-"&amp;SUBSTITUTE($F42," ","")&amp;"-"&amp;TEXT(COUNTIF($F$4:F42,$F42),"00"))</f>
        <v/>
      </c>
      <c r="B42" s="39" t="n"/>
      <c r="C42" s="15">
        <f>IF($B42="","",WEEKNUM($B42,2))</f>
        <v/>
      </c>
      <c r="D42" s="15">
        <f>IF($B42="","",TEXT($B42,"yyyy-mm"))</f>
        <v/>
      </c>
      <c r="E42" s="40" t="n"/>
      <c r="F42" s="40" t="n"/>
      <c r="G42" s="15">
        <f>IF(OR($E42="",$F42=""),"",IFERROR(IF($E42=INDEX(Cluster_Master!$A$4:$A$18,MATCH($F42,Cluster_Master!$B$4:$B$18,0)),"OK","CHECK"),"CHECK"))</f>
        <v/>
      </c>
      <c r="H42" s="18">
        <f>IFERROR(INDEX(Cluster_Master!$C$4:$C$18,MATCH($F42,Cluster_Master!$B$4:$B$18,0)),"")</f>
        <v/>
      </c>
      <c r="I42" s="15">
        <f>IFERROR(INDEX(Cluster_Master!$D$4:$D$18,MATCH($F42,Cluster_Master!$B$4:$B$18,0)),"")</f>
        <v/>
      </c>
      <c r="J42" s="15">
        <f>IFERROR(INDEX(Cluster_Master!$E$4:$E$18,MATCH($F42,Cluster_Master!$B$4:$B$18,0)),"")</f>
        <v/>
      </c>
      <c r="K42" s="15">
        <f>IFERROR(INDEX(Cluster_Master!$F$4:$F$18,MATCH($F42,Cluster_Master!$B$4:$B$18,0)),"")</f>
        <v/>
      </c>
      <c r="L42" s="15">
        <f>IFERROR(INDEX(Cluster_Master!$G$4:$G$18,MATCH($F42,Cluster_Master!$B$4:$B$18,0)),"")</f>
        <v/>
      </c>
      <c r="M42" s="15">
        <f>IFERROR(INDEX(Cluster_Master!$H$4:$H$18,MATCH($F42,Cluster_Master!$B$4:$B$18,0)),"")</f>
        <v/>
      </c>
      <c r="N42" s="41" t="n"/>
      <c r="O42" s="41" t="n"/>
      <c r="P42" s="41" t="n"/>
      <c r="Q42" s="41" t="n"/>
      <c r="R42" s="41" t="n"/>
      <c r="S42" s="41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15">
        <f>IF(COUNTA(T42:AH42)=0,"",SUM(T42:AH42))</f>
        <v/>
      </c>
      <c r="AJ42" s="21">
        <f>IF(COUNTA(T42:AH42)=0,"",AI42/(COUNT(KPI_Weights!$A$4:$A$18)*5))</f>
        <v/>
      </c>
      <c r="AK42" s="21">
        <f>IF(COUNTA(T42:AH42)=0,"",SUMPRODUCT(T42:AH42,KPI_Weights!$B$4:$B$18)/5)</f>
        <v/>
      </c>
      <c r="AL42" s="15">
        <f>IF(COUNTA(T42:AH42)=0,"",IF(SUMPRODUCT(--(T42:AH42&lt;=1),--(KPI_Weights!$C$4:$C$18="YES"))&gt;0,"YES","NO"))</f>
        <v/>
      </c>
      <c r="AM42" s="15">
        <f>IF(AJ42="","",IF(AND(AL42="NO",AJ42&gt;=0.75),"YES","NO"))</f>
        <v/>
      </c>
      <c r="AN42" s="15">
        <f>IF(AJ42="","",IF(AJ42&lt;0.4,"Critical",IF(AJ42&lt;0.6,"Poor",IF(AJ42&lt;0.75,"Needs Improvement",IF(AJ42&lt;0.9,"Good","Excellent")))))</f>
        <v/>
      </c>
      <c r="AO42" s="41" t="n"/>
      <c r="AP42" s="41" t="n"/>
      <c r="AQ42" s="41" t="n"/>
      <c r="AR42" s="41" t="n"/>
      <c r="AS42" s="41" t="n"/>
      <c r="AT42" s="44" t="n"/>
      <c r="AU42" s="41" t="n"/>
      <c r="AV42" s="43" t="n"/>
      <c r="AW42" s="41" t="n"/>
      <c r="AX42" s="44" t="n"/>
      <c r="AY42" s="44" t="n"/>
      <c r="AZ42" s="44" t="n"/>
      <c r="BA42" s="44" t="n"/>
      <c r="BB42" s="44" t="n"/>
      <c r="BC42" s="44" t="n"/>
      <c r="BD42" s="44" t="n"/>
      <c r="BE42" s="44" t="n"/>
      <c r="BF42" s="44" t="n"/>
    </row>
    <row r="43" ht="19.5" customHeight="1" s="45">
      <c r="A43" s="15">
        <f>IF($B43="","",TEXT($B43,"yyyymmdd")&amp;"-"&amp;SUBSTITUTE($F43," ","")&amp;"-"&amp;TEXT(COUNTIF($F$4:F43,$F43),"00"))</f>
        <v/>
      </c>
      <c r="B43" s="39" t="n"/>
      <c r="C43" s="15">
        <f>IF($B43="","",WEEKNUM($B43,2))</f>
        <v/>
      </c>
      <c r="D43" s="15">
        <f>IF($B43="","",TEXT($B43,"yyyy-mm"))</f>
        <v/>
      </c>
      <c r="E43" s="40" t="n"/>
      <c r="F43" s="40" t="n"/>
      <c r="G43" s="15">
        <f>IF(OR($E43="",$F43=""),"",IFERROR(IF($E43=INDEX(Cluster_Master!$A$4:$A$18,MATCH($F43,Cluster_Master!$B$4:$B$18,0)),"OK","CHECK"),"CHECK"))</f>
        <v/>
      </c>
      <c r="H43" s="18">
        <f>IFERROR(INDEX(Cluster_Master!$C$4:$C$18,MATCH($F43,Cluster_Master!$B$4:$B$18,0)),"")</f>
        <v/>
      </c>
      <c r="I43" s="15">
        <f>IFERROR(INDEX(Cluster_Master!$D$4:$D$18,MATCH($F43,Cluster_Master!$B$4:$B$18,0)),"")</f>
        <v/>
      </c>
      <c r="J43" s="15">
        <f>IFERROR(INDEX(Cluster_Master!$E$4:$E$18,MATCH($F43,Cluster_Master!$B$4:$B$18,0)),"")</f>
        <v/>
      </c>
      <c r="K43" s="15">
        <f>IFERROR(INDEX(Cluster_Master!$F$4:$F$18,MATCH($F43,Cluster_Master!$B$4:$B$18,0)),"")</f>
        <v/>
      </c>
      <c r="L43" s="15">
        <f>IFERROR(INDEX(Cluster_Master!$G$4:$G$18,MATCH($F43,Cluster_Master!$B$4:$B$18,0)),"")</f>
        <v/>
      </c>
      <c r="M43" s="15">
        <f>IFERROR(INDEX(Cluster_Master!$H$4:$H$18,MATCH($F43,Cluster_Master!$B$4:$B$18,0)),"")</f>
        <v/>
      </c>
      <c r="N43" s="41" t="n"/>
      <c r="O43" s="41" t="n"/>
      <c r="P43" s="41" t="n"/>
      <c r="Q43" s="41" t="n"/>
      <c r="R43" s="41" t="n"/>
      <c r="S43" s="41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15">
        <f>IF(COUNTA(T43:AH43)=0,"",SUM(T43:AH43))</f>
        <v/>
      </c>
      <c r="AJ43" s="21">
        <f>IF(COUNTA(T43:AH43)=0,"",AI43/(COUNT(KPI_Weights!$A$4:$A$18)*5))</f>
        <v/>
      </c>
      <c r="AK43" s="21">
        <f>IF(COUNTA(T43:AH43)=0,"",SUMPRODUCT(T43:AH43,KPI_Weights!$B$4:$B$18)/5)</f>
        <v/>
      </c>
      <c r="AL43" s="15">
        <f>IF(COUNTA(T43:AH43)=0,"",IF(SUMPRODUCT(--(T43:AH43&lt;=1),--(KPI_Weights!$C$4:$C$18="YES"))&gt;0,"YES","NO"))</f>
        <v/>
      </c>
      <c r="AM43" s="15">
        <f>IF(AJ43="","",IF(AND(AL43="NO",AJ43&gt;=0.75),"YES","NO"))</f>
        <v/>
      </c>
      <c r="AN43" s="15">
        <f>IF(AJ43="","",IF(AJ43&lt;0.4,"Critical",IF(AJ43&lt;0.6,"Poor",IF(AJ43&lt;0.75,"Needs Improvement",IF(AJ43&lt;0.9,"Good","Excellent")))))</f>
        <v/>
      </c>
      <c r="AO43" s="41" t="n"/>
      <c r="AP43" s="41" t="n"/>
      <c r="AQ43" s="41" t="n"/>
      <c r="AR43" s="41" t="n"/>
      <c r="AS43" s="41" t="n"/>
      <c r="AT43" s="44" t="n"/>
      <c r="AU43" s="41" t="n"/>
      <c r="AV43" s="43" t="n"/>
      <c r="AW43" s="41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</row>
    <row r="44" ht="19.5" customHeight="1" s="45">
      <c r="A44" s="15">
        <f>IF($B44="","",TEXT($B44,"yyyymmdd")&amp;"-"&amp;SUBSTITUTE($F44," ","")&amp;"-"&amp;TEXT(COUNTIF($F$4:F44,$F44),"00"))</f>
        <v/>
      </c>
      <c r="B44" s="39" t="n"/>
      <c r="C44" s="15">
        <f>IF($B44="","",WEEKNUM($B44,2))</f>
        <v/>
      </c>
      <c r="D44" s="15">
        <f>IF($B44="","",TEXT($B44,"yyyy-mm"))</f>
        <v/>
      </c>
      <c r="E44" s="40" t="n"/>
      <c r="F44" s="40" t="n"/>
      <c r="G44" s="15">
        <f>IF(OR($E44="",$F44=""),"",IFERROR(IF($E44=INDEX(Cluster_Master!$A$4:$A$18,MATCH($F44,Cluster_Master!$B$4:$B$18,0)),"OK","CHECK"),"CHECK"))</f>
        <v/>
      </c>
      <c r="H44" s="18">
        <f>IFERROR(INDEX(Cluster_Master!$C$4:$C$18,MATCH($F44,Cluster_Master!$B$4:$B$18,0)),"")</f>
        <v/>
      </c>
      <c r="I44" s="15">
        <f>IFERROR(INDEX(Cluster_Master!$D$4:$D$18,MATCH($F44,Cluster_Master!$B$4:$B$18,0)),"")</f>
        <v/>
      </c>
      <c r="J44" s="15">
        <f>IFERROR(INDEX(Cluster_Master!$E$4:$E$18,MATCH($F44,Cluster_Master!$B$4:$B$18,0)),"")</f>
        <v/>
      </c>
      <c r="K44" s="15">
        <f>IFERROR(INDEX(Cluster_Master!$F$4:$F$18,MATCH($F44,Cluster_Master!$B$4:$B$18,0)),"")</f>
        <v/>
      </c>
      <c r="L44" s="15">
        <f>IFERROR(INDEX(Cluster_Master!$G$4:$G$18,MATCH($F44,Cluster_Master!$B$4:$B$18,0)),"")</f>
        <v/>
      </c>
      <c r="M44" s="15">
        <f>IFERROR(INDEX(Cluster_Master!$H$4:$H$18,MATCH($F44,Cluster_Master!$B$4:$B$18,0)),"")</f>
        <v/>
      </c>
      <c r="N44" s="41" t="n"/>
      <c r="O44" s="41" t="n"/>
      <c r="P44" s="41" t="n"/>
      <c r="Q44" s="41" t="n"/>
      <c r="R44" s="41" t="n"/>
      <c r="S44" s="41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15">
        <f>IF(COUNTA(T44:AH44)=0,"",SUM(T44:AH44))</f>
        <v/>
      </c>
      <c r="AJ44" s="21">
        <f>IF(COUNTA(T44:AH44)=0,"",AI44/(COUNT(KPI_Weights!$A$4:$A$18)*5))</f>
        <v/>
      </c>
      <c r="AK44" s="21">
        <f>IF(COUNTA(T44:AH44)=0,"",SUMPRODUCT(T44:AH44,KPI_Weights!$B$4:$B$18)/5)</f>
        <v/>
      </c>
      <c r="AL44" s="15">
        <f>IF(COUNTA(T44:AH44)=0,"",IF(SUMPRODUCT(--(T44:AH44&lt;=1),--(KPI_Weights!$C$4:$C$18="YES"))&gt;0,"YES","NO"))</f>
        <v/>
      </c>
      <c r="AM44" s="15">
        <f>IF(AJ44="","",IF(AND(AL44="NO",AJ44&gt;=0.75),"YES","NO"))</f>
        <v/>
      </c>
      <c r="AN44" s="15">
        <f>IF(AJ44="","",IF(AJ44&lt;0.4,"Critical",IF(AJ44&lt;0.6,"Poor",IF(AJ44&lt;0.75,"Needs Improvement",IF(AJ44&lt;0.9,"Good","Excellent")))))</f>
        <v/>
      </c>
      <c r="AO44" s="41" t="n"/>
      <c r="AP44" s="41" t="n"/>
      <c r="AQ44" s="41" t="n"/>
      <c r="AR44" s="41" t="n"/>
      <c r="AS44" s="41" t="n"/>
      <c r="AT44" s="44" t="n"/>
      <c r="AU44" s="41" t="n"/>
      <c r="AV44" s="43" t="n"/>
      <c r="AW44" s="41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</row>
    <row r="45" ht="19.5" customHeight="1" s="45">
      <c r="A45" s="15">
        <f>IF($B45="","",TEXT($B45,"yyyymmdd")&amp;"-"&amp;SUBSTITUTE($F45," ","")&amp;"-"&amp;TEXT(COUNTIF($F$4:F45,$F45),"00"))</f>
        <v/>
      </c>
      <c r="B45" s="39" t="n"/>
      <c r="C45" s="15">
        <f>IF($B45="","",WEEKNUM($B45,2))</f>
        <v/>
      </c>
      <c r="D45" s="15">
        <f>IF($B45="","",TEXT($B45,"yyyy-mm"))</f>
        <v/>
      </c>
      <c r="E45" s="40" t="n"/>
      <c r="F45" s="40" t="n"/>
      <c r="G45" s="15">
        <f>IF(OR($E45="",$F45=""),"",IFERROR(IF($E45=INDEX(Cluster_Master!$A$4:$A$18,MATCH($F45,Cluster_Master!$B$4:$B$18,0)),"OK","CHECK"),"CHECK"))</f>
        <v/>
      </c>
      <c r="H45" s="18">
        <f>IFERROR(INDEX(Cluster_Master!$C$4:$C$18,MATCH($F45,Cluster_Master!$B$4:$B$18,0)),"")</f>
        <v/>
      </c>
      <c r="I45" s="15">
        <f>IFERROR(INDEX(Cluster_Master!$D$4:$D$18,MATCH($F45,Cluster_Master!$B$4:$B$18,0)),"")</f>
        <v/>
      </c>
      <c r="J45" s="15">
        <f>IFERROR(INDEX(Cluster_Master!$E$4:$E$18,MATCH($F45,Cluster_Master!$B$4:$B$18,0)),"")</f>
        <v/>
      </c>
      <c r="K45" s="15">
        <f>IFERROR(INDEX(Cluster_Master!$F$4:$F$18,MATCH($F45,Cluster_Master!$B$4:$B$18,0)),"")</f>
        <v/>
      </c>
      <c r="L45" s="15">
        <f>IFERROR(INDEX(Cluster_Master!$G$4:$G$18,MATCH($F45,Cluster_Master!$B$4:$B$18,0)),"")</f>
        <v/>
      </c>
      <c r="M45" s="15">
        <f>IFERROR(INDEX(Cluster_Master!$H$4:$H$18,MATCH($F45,Cluster_Master!$B$4:$B$18,0)),"")</f>
        <v/>
      </c>
      <c r="N45" s="41" t="n"/>
      <c r="O45" s="41" t="n"/>
      <c r="P45" s="41" t="n"/>
      <c r="Q45" s="41" t="n"/>
      <c r="R45" s="41" t="n"/>
      <c r="S45" s="41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15">
        <f>IF(COUNTA(T45:AH45)=0,"",SUM(T45:AH45))</f>
        <v/>
      </c>
      <c r="AJ45" s="21">
        <f>IF(COUNTA(T45:AH45)=0,"",AI45/(COUNT(KPI_Weights!$A$4:$A$18)*5))</f>
        <v/>
      </c>
      <c r="AK45" s="21">
        <f>IF(COUNTA(T45:AH45)=0,"",SUMPRODUCT(T45:AH45,KPI_Weights!$B$4:$B$18)/5)</f>
        <v/>
      </c>
      <c r="AL45" s="15">
        <f>IF(COUNTA(T45:AH45)=0,"",IF(SUMPRODUCT(--(T45:AH45&lt;=1),--(KPI_Weights!$C$4:$C$18="YES"))&gt;0,"YES","NO"))</f>
        <v/>
      </c>
      <c r="AM45" s="15">
        <f>IF(AJ45="","",IF(AND(AL45="NO",AJ45&gt;=0.75),"YES","NO"))</f>
        <v/>
      </c>
      <c r="AN45" s="15">
        <f>IF(AJ45="","",IF(AJ45&lt;0.4,"Critical",IF(AJ45&lt;0.6,"Poor",IF(AJ45&lt;0.75,"Needs Improvement",IF(AJ45&lt;0.9,"Good","Excellent")))))</f>
        <v/>
      </c>
      <c r="AO45" s="41" t="n"/>
      <c r="AP45" s="41" t="n"/>
      <c r="AQ45" s="41" t="n"/>
      <c r="AR45" s="41" t="n"/>
      <c r="AS45" s="41" t="n"/>
      <c r="AT45" s="44" t="n"/>
      <c r="AU45" s="41" t="n"/>
      <c r="AV45" s="43" t="n"/>
      <c r="AW45" s="41" t="n"/>
      <c r="AX45" s="44" t="n"/>
      <c r="AY45" s="44" t="n"/>
      <c r="AZ45" s="44" t="n"/>
      <c r="BA45" s="44" t="n"/>
      <c r="BB45" s="44" t="n"/>
      <c r="BC45" s="44" t="n"/>
      <c r="BD45" s="44" t="n"/>
      <c r="BE45" s="44" t="n"/>
      <c r="BF45" s="44" t="n"/>
    </row>
    <row r="46" ht="19.5" customHeight="1" s="45">
      <c r="A46" s="15">
        <f>IF($B46="","",TEXT($B46,"yyyymmdd")&amp;"-"&amp;SUBSTITUTE($F46," ","")&amp;"-"&amp;TEXT(COUNTIF($F$4:F46,$F46),"00"))</f>
        <v/>
      </c>
      <c r="B46" s="39" t="n"/>
      <c r="C46" s="15">
        <f>IF($B46="","",WEEKNUM($B46,2))</f>
        <v/>
      </c>
      <c r="D46" s="15">
        <f>IF($B46="","",TEXT($B46,"yyyy-mm"))</f>
        <v/>
      </c>
      <c r="E46" s="40" t="n"/>
      <c r="F46" s="40" t="n"/>
      <c r="G46" s="15">
        <f>IF(OR($E46="",$F46=""),"",IFERROR(IF($E46=INDEX(Cluster_Master!$A$4:$A$18,MATCH($F46,Cluster_Master!$B$4:$B$18,0)),"OK","CHECK"),"CHECK"))</f>
        <v/>
      </c>
      <c r="H46" s="18">
        <f>IFERROR(INDEX(Cluster_Master!$C$4:$C$18,MATCH($F46,Cluster_Master!$B$4:$B$18,0)),"")</f>
        <v/>
      </c>
      <c r="I46" s="15">
        <f>IFERROR(INDEX(Cluster_Master!$D$4:$D$18,MATCH($F46,Cluster_Master!$B$4:$B$18,0)),"")</f>
        <v/>
      </c>
      <c r="J46" s="15">
        <f>IFERROR(INDEX(Cluster_Master!$E$4:$E$18,MATCH($F46,Cluster_Master!$B$4:$B$18,0)),"")</f>
        <v/>
      </c>
      <c r="K46" s="15">
        <f>IFERROR(INDEX(Cluster_Master!$F$4:$F$18,MATCH($F46,Cluster_Master!$B$4:$B$18,0)),"")</f>
        <v/>
      </c>
      <c r="L46" s="15">
        <f>IFERROR(INDEX(Cluster_Master!$G$4:$G$18,MATCH($F46,Cluster_Master!$B$4:$B$18,0)),"")</f>
        <v/>
      </c>
      <c r="M46" s="15">
        <f>IFERROR(INDEX(Cluster_Master!$H$4:$H$18,MATCH($F46,Cluster_Master!$B$4:$B$18,0)),"")</f>
        <v/>
      </c>
      <c r="N46" s="41" t="n"/>
      <c r="O46" s="41" t="n"/>
      <c r="P46" s="41" t="n"/>
      <c r="Q46" s="41" t="n"/>
      <c r="R46" s="41" t="n"/>
      <c r="S46" s="41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15">
        <f>IF(COUNTA(T46:AH46)=0,"",SUM(T46:AH46))</f>
        <v/>
      </c>
      <c r="AJ46" s="21">
        <f>IF(COUNTA(T46:AH46)=0,"",AI46/(COUNT(KPI_Weights!$A$4:$A$18)*5))</f>
        <v/>
      </c>
      <c r="AK46" s="21">
        <f>IF(COUNTA(T46:AH46)=0,"",SUMPRODUCT(T46:AH46,KPI_Weights!$B$4:$B$18)/5)</f>
        <v/>
      </c>
      <c r="AL46" s="15">
        <f>IF(COUNTA(T46:AH46)=0,"",IF(SUMPRODUCT(--(T46:AH46&lt;=1),--(KPI_Weights!$C$4:$C$18="YES"))&gt;0,"YES","NO"))</f>
        <v/>
      </c>
      <c r="AM46" s="15">
        <f>IF(AJ46="","",IF(AND(AL46="NO",AJ46&gt;=0.75),"YES","NO"))</f>
        <v/>
      </c>
      <c r="AN46" s="15">
        <f>IF(AJ46="","",IF(AJ46&lt;0.4,"Critical",IF(AJ46&lt;0.6,"Poor",IF(AJ46&lt;0.75,"Needs Improvement",IF(AJ46&lt;0.9,"Good","Excellent")))))</f>
        <v/>
      </c>
      <c r="AO46" s="41" t="n"/>
      <c r="AP46" s="41" t="n"/>
      <c r="AQ46" s="41" t="n"/>
      <c r="AR46" s="41" t="n"/>
      <c r="AS46" s="41" t="n"/>
      <c r="AT46" s="44" t="n"/>
      <c r="AU46" s="41" t="n"/>
      <c r="AV46" s="43" t="n"/>
      <c r="AW46" s="41" t="n"/>
      <c r="AX46" s="44" t="n"/>
      <c r="AY46" s="44" t="n"/>
      <c r="AZ46" s="44" t="n"/>
      <c r="BA46" s="44" t="n"/>
      <c r="BB46" s="44" t="n"/>
      <c r="BC46" s="44" t="n"/>
      <c r="BD46" s="44" t="n"/>
      <c r="BE46" s="44" t="n"/>
      <c r="BF46" s="44" t="n"/>
    </row>
    <row r="47" ht="19.5" customHeight="1" s="45">
      <c r="A47" s="15">
        <f>IF($B47="","",TEXT($B47,"yyyymmdd")&amp;"-"&amp;SUBSTITUTE($F47," ","")&amp;"-"&amp;TEXT(COUNTIF($F$4:F47,$F47),"00"))</f>
        <v/>
      </c>
      <c r="B47" s="39" t="n"/>
      <c r="C47" s="15">
        <f>IF($B47="","",WEEKNUM($B47,2))</f>
        <v/>
      </c>
      <c r="D47" s="15">
        <f>IF($B47="","",TEXT($B47,"yyyy-mm"))</f>
        <v/>
      </c>
      <c r="E47" s="40" t="n"/>
      <c r="F47" s="40" t="n"/>
      <c r="G47" s="15">
        <f>IF(OR($E47="",$F47=""),"",IFERROR(IF($E47=INDEX(Cluster_Master!$A$4:$A$18,MATCH($F47,Cluster_Master!$B$4:$B$18,0)),"OK","CHECK"),"CHECK"))</f>
        <v/>
      </c>
      <c r="H47" s="18">
        <f>IFERROR(INDEX(Cluster_Master!$C$4:$C$18,MATCH($F47,Cluster_Master!$B$4:$B$18,0)),"")</f>
        <v/>
      </c>
      <c r="I47" s="15">
        <f>IFERROR(INDEX(Cluster_Master!$D$4:$D$18,MATCH($F47,Cluster_Master!$B$4:$B$18,0)),"")</f>
        <v/>
      </c>
      <c r="J47" s="15">
        <f>IFERROR(INDEX(Cluster_Master!$E$4:$E$18,MATCH($F47,Cluster_Master!$B$4:$B$18,0)),"")</f>
        <v/>
      </c>
      <c r="K47" s="15">
        <f>IFERROR(INDEX(Cluster_Master!$F$4:$F$18,MATCH($F47,Cluster_Master!$B$4:$B$18,0)),"")</f>
        <v/>
      </c>
      <c r="L47" s="15">
        <f>IFERROR(INDEX(Cluster_Master!$G$4:$G$18,MATCH($F47,Cluster_Master!$B$4:$B$18,0)),"")</f>
        <v/>
      </c>
      <c r="M47" s="15">
        <f>IFERROR(INDEX(Cluster_Master!$H$4:$H$18,MATCH($F47,Cluster_Master!$B$4:$B$18,0)),"")</f>
        <v/>
      </c>
      <c r="N47" s="41" t="n"/>
      <c r="O47" s="41" t="n"/>
      <c r="P47" s="41" t="n"/>
      <c r="Q47" s="41" t="n"/>
      <c r="R47" s="41" t="n"/>
      <c r="S47" s="41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15">
        <f>IF(COUNTA(T47:AH47)=0,"",SUM(T47:AH47))</f>
        <v/>
      </c>
      <c r="AJ47" s="21">
        <f>IF(COUNTA(T47:AH47)=0,"",AI47/(COUNT(KPI_Weights!$A$4:$A$18)*5))</f>
        <v/>
      </c>
      <c r="AK47" s="21">
        <f>IF(COUNTA(T47:AH47)=0,"",SUMPRODUCT(T47:AH47,KPI_Weights!$B$4:$B$18)/5)</f>
        <v/>
      </c>
      <c r="AL47" s="15">
        <f>IF(COUNTA(T47:AH47)=0,"",IF(SUMPRODUCT(--(T47:AH47&lt;=1),--(KPI_Weights!$C$4:$C$18="YES"))&gt;0,"YES","NO"))</f>
        <v/>
      </c>
      <c r="AM47" s="15">
        <f>IF(AJ47="","",IF(AND(AL47="NO",AJ47&gt;=0.75),"YES","NO"))</f>
        <v/>
      </c>
      <c r="AN47" s="15">
        <f>IF(AJ47="","",IF(AJ47&lt;0.4,"Critical",IF(AJ47&lt;0.6,"Poor",IF(AJ47&lt;0.75,"Needs Improvement",IF(AJ47&lt;0.9,"Good","Excellent")))))</f>
        <v/>
      </c>
      <c r="AO47" s="41" t="n"/>
      <c r="AP47" s="41" t="n"/>
      <c r="AQ47" s="41" t="n"/>
      <c r="AR47" s="41" t="n"/>
      <c r="AS47" s="41" t="n"/>
      <c r="AT47" s="44" t="n"/>
      <c r="AU47" s="41" t="n"/>
      <c r="AV47" s="43" t="n"/>
      <c r="AW47" s="41" t="n"/>
      <c r="AX47" s="44" t="n"/>
      <c r="AY47" s="44" t="n"/>
      <c r="AZ47" s="44" t="n"/>
      <c r="BA47" s="44" t="n"/>
      <c r="BB47" s="44" t="n"/>
      <c r="BC47" s="44" t="n"/>
      <c r="BD47" s="44" t="n"/>
      <c r="BE47" s="44" t="n"/>
      <c r="BF47" s="44" t="n"/>
    </row>
    <row r="48" ht="19.5" customHeight="1" s="45">
      <c r="A48" s="15">
        <f>IF($B48="","",TEXT($B48,"yyyymmdd")&amp;"-"&amp;SUBSTITUTE($F48," ","")&amp;"-"&amp;TEXT(COUNTIF($F$4:F48,$F48),"00"))</f>
        <v/>
      </c>
      <c r="B48" s="39" t="n"/>
      <c r="C48" s="15">
        <f>IF($B48="","",WEEKNUM($B48,2))</f>
        <v/>
      </c>
      <c r="D48" s="15">
        <f>IF($B48="","",TEXT($B48,"yyyy-mm"))</f>
        <v/>
      </c>
      <c r="E48" s="40" t="n"/>
      <c r="F48" s="40" t="n"/>
      <c r="G48" s="15">
        <f>IF(OR($E48="",$F48=""),"",IFERROR(IF($E48=INDEX(Cluster_Master!$A$4:$A$18,MATCH($F48,Cluster_Master!$B$4:$B$18,0)),"OK","CHECK"),"CHECK"))</f>
        <v/>
      </c>
      <c r="H48" s="18">
        <f>IFERROR(INDEX(Cluster_Master!$C$4:$C$18,MATCH($F48,Cluster_Master!$B$4:$B$18,0)),"")</f>
        <v/>
      </c>
      <c r="I48" s="15">
        <f>IFERROR(INDEX(Cluster_Master!$D$4:$D$18,MATCH($F48,Cluster_Master!$B$4:$B$18,0)),"")</f>
        <v/>
      </c>
      <c r="J48" s="15">
        <f>IFERROR(INDEX(Cluster_Master!$E$4:$E$18,MATCH($F48,Cluster_Master!$B$4:$B$18,0)),"")</f>
        <v/>
      </c>
      <c r="K48" s="15">
        <f>IFERROR(INDEX(Cluster_Master!$F$4:$F$18,MATCH($F48,Cluster_Master!$B$4:$B$18,0)),"")</f>
        <v/>
      </c>
      <c r="L48" s="15">
        <f>IFERROR(INDEX(Cluster_Master!$G$4:$G$18,MATCH($F48,Cluster_Master!$B$4:$B$18,0)),"")</f>
        <v/>
      </c>
      <c r="M48" s="15">
        <f>IFERROR(INDEX(Cluster_Master!$H$4:$H$18,MATCH($F48,Cluster_Master!$B$4:$B$18,0)),"")</f>
        <v/>
      </c>
      <c r="N48" s="41" t="n"/>
      <c r="O48" s="41" t="n"/>
      <c r="P48" s="41" t="n"/>
      <c r="Q48" s="41" t="n"/>
      <c r="R48" s="41" t="n"/>
      <c r="S48" s="41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15">
        <f>IF(COUNTA(T48:AH48)=0,"",SUM(T48:AH48))</f>
        <v/>
      </c>
      <c r="AJ48" s="21">
        <f>IF(COUNTA(T48:AH48)=0,"",AI48/(COUNT(KPI_Weights!$A$4:$A$18)*5))</f>
        <v/>
      </c>
      <c r="AK48" s="21">
        <f>IF(COUNTA(T48:AH48)=0,"",SUMPRODUCT(T48:AH48,KPI_Weights!$B$4:$B$18)/5)</f>
        <v/>
      </c>
      <c r="AL48" s="15">
        <f>IF(COUNTA(T48:AH48)=0,"",IF(SUMPRODUCT(--(T48:AH48&lt;=1),--(KPI_Weights!$C$4:$C$18="YES"))&gt;0,"YES","NO"))</f>
        <v/>
      </c>
      <c r="AM48" s="15">
        <f>IF(AJ48="","",IF(AND(AL48="NO",AJ48&gt;=0.75),"YES","NO"))</f>
        <v/>
      </c>
      <c r="AN48" s="15">
        <f>IF(AJ48="","",IF(AJ48&lt;0.4,"Critical",IF(AJ48&lt;0.6,"Poor",IF(AJ48&lt;0.75,"Needs Improvement",IF(AJ48&lt;0.9,"Good","Excellent")))))</f>
        <v/>
      </c>
      <c r="AO48" s="41" t="n"/>
      <c r="AP48" s="41" t="n"/>
      <c r="AQ48" s="41" t="n"/>
      <c r="AR48" s="41" t="n"/>
      <c r="AS48" s="41" t="n"/>
      <c r="AT48" s="44" t="n"/>
      <c r="AU48" s="41" t="n"/>
      <c r="AV48" s="43" t="n"/>
      <c r="AW48" s="41" t="n"/>
      <c r="AX48" s="44" t="n"/>
      <c r="AY48" s="44" t="n"/>
      <c r="AZ48" s="44" t="n"/>
      <c r="BA48" s="44" t="n"/>
      <c r="BB48" s="44" t="n"/>
      <c r="BC48" s="44" t="n"/>
      <c r="BD48" s="44" t="n"/>
      <c r="BE48" s="44" t="n"/>
      <c r="BF48" s="44" t="n"/>
    </row>
    <row r="49" ht="19.5" customHeight="1" s="45">
      <c r="A49" s="15">
        <f>IF($B49="","",TEXT($B49,"yyyymmdd")&amp;"-"&amp;SUBSTITUTE($F49," ","")&amp;"-"&amp;TEXT(COUNTIF($F$4:F49,$F49),"00"))</f>
        <v/>
      </c>
      <c r="B49" s="39" t="n"/>
      <c r="C49" s="15">
        <f>IF($B49="","",WEEKNUM($B49,2))</f>
        <v/>
      </c>
      <c r="D49" s="15">
        <f>IF($B49="","",TEXT($B49,"yyyy-mm"))</f>
        <v/>
      </c>
      <c r="E49" s="40" t="n"/>
      <c r="F49" s="40" t="n"/>
      <c r="G49" s="15">
        <f>IF(OR($E49="",$F49=""),"",IFERROR(IF($E49=INDEX(Cluster_Master!$A$4:$A$18,MATCH($F49,Cluster_Master!$B$4:$B$18,0)),"OK","CHECK"),"CHECK"))</f>
        <v/>
      </c>
      <c r="H49" s="18">
        <f>IFERROR(INDEX(Cluster_Master!$C$4:$C$18,MATCH($F49,Cluster_Master!$B$4:$B$18,0)),"")</f>
        <v/>
      </c>
      <c r="I49" s="15">
        <f>IFERROR(INDEX(Cluster_Master!$D$4:$D$18,MATCH($F49,Cluster_Master!$B$4:$B$18,0)),"")</f>
        <v/>
      </c>
      <c r="J49" s="15">
        <f>IFERROR(INDEX(Cluster_Master!$E$4:$E$18,MATCH($F49,Cluster_Master!$B$4:$B$18,0)),"")</f>
        <v/>
      </c>
      <c r="K49" s="15">
        <f>IFERROR(INDEX(Cluster_Master!$F$4:$F$18,MATCH($F49,Cluster_Master!$B$4:$B$18,0)),"")</f>
        <v/>
      </c>
      <c r="L49" s="15">
        <f>IFERROR(INDEX(Cluster_Master!$G$4:$G$18,MATCH($F49,Cluster_Master!$B$4:$B$18,0)),"")</f>
        <v/>
      </c>
      <c r="M49" s="15">
        <f>IFERROR(INDEX(Cluster_Master!$H$4:$H$18,MATCH($F49,Cluster_Master!$B$4:$B$18,0)),"")</f>
        <v/>
      </c>
      <c r="N49" s="41" t="n"/>
      <c r="O49" s="41" t="n"/>
      <c r="P49" s="41" t="n"/>
      <c r="Q49" s="41" t="n"/>
      <c r="R49" s="41" t="n"/>
      <c r="S49" s="41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15">
        <f>IF(COUNTA(T49:AH49)=0,"",SUM(T49:AH49))</f>
        <v/>
      </c>
      <c r="AJ49" s="21">
        <f>IF(COUNTA(T49:AH49)=0,"",AI49/(COUNT(KPI_Weights!$A$4:$A$18)*5))</f>
        <v/>
      </c>
      <c r="AK49" s="21">
        <f>IF(COUNTA(T49:AH49)=0,"",SUMPRODUCT(T49:AH49,KPI_Weights!$B$4:$B$18)/5)</f>
        <v/>
      </c>
      <c r="AL49" s="15">
        <f>IF(COUNTA(T49:AH49)=0,"",IF(SUMPRODUCT(--(T49:AH49&lt;=1),--(KPI_Weights!$C$4:$C$18="YES"))&gt;0,"YES","NO"))</f>
        <v/>
      </c>
      <c r="AM49" s="15">
        <f>IF(AJ49="","",IF(AND(AL49="NO",AJ49&gt;=0.75),"YES","NO"))</f>
        <v/>
      </c>
      <c r="AN49" s="15">
        <f>IF(AJ49="","",IF(AJ49&lt;0.4,"Critical",IF(AJ49&lt;0.6,"Poor",IF(AJ49&lt;0.75,"Needs Improvement",IF(AJ49&lt;0.9,"Good","Excellent")))))</f>
        <v/>
      </c>
      <c r="AO49" s="41" t="n"/>
      <c r="AP49" s="41" t="n"/>
      <c r="AQ49" s="41" t="n"/>
      <c r="AR49" s="41" t="n"/>
      <c r="AS49" s="41" t="n"/>
      <c r="AT49" s="44" t="n"/>
      <c r="AU49" s="41" t="n"/>
      <c r="AV49" s="43" t="n"/>
      <c r="AW49" s="41" t="n"/>
      <c r="AX49" s="44" t="n"/>
      <c r="AY49" s="44" t="n"/>
      <c r="AZ49" s="44" t="n"/>
      <c r="BA49" s="44" t="n"/>
      <c r="BB49" s="44" t="n"/>
      <c r="BC49" s="44" t="n"/>
      <c r="BD49" s="44" t="n"/>
      <c r="BE49" s="44" t="n"/>
      <c r="BF49" s="44" t="n"/>
    </row>
    <row r="50" ht="19.5" customHeight="1" s="45">
      <c r="A50" s="15">
        <f>IF($B50="","",TEXT($B50,"yyyymmdd")&amp;"-"&amp;SUBSTITUTE($F50," ","")&amp;"-"&amp;TEXT(COUNTIF($F$4:F50,$F50),"00"))</f>
        <v/>
      </c>
      <c r="B50" s="39" t="n"/>
      <c r="C50" s="15">
        <f>IF($B50="","",WEEKNUM($B50,2))</f>
        <v/>
      </c>
      <c r="D50" s="15">
        <f>IF($B50="","",TEXT($B50,"yyyy-mm"))</f>
        <v/>
      </c>
      <c r="E50" s="40" t="n"/>
      <c r="F50" s="40" t="n"/>
      <c r="G50" s="15">
        <f>IF(OR($E50="",$F50=""),"",IFERROR(IF($E50=INDEX(Cluster_Master!$A$4:$A$18,MATCH($F50,Cluster_Master!$B$4:$B$18,0)),"OK","CHECK"),"CHECK"))</f>
        <v/>
      </c>
      <c r="H50" s="18">
        <f>IFERROR(INDEX(Cluster_Master!$C$4:$C$18,MATCH($F50,Cluster_Master!$B$4:$B$18,0)),"")</f>
        <v/>
      </c>
      <c r="I50" s="15">
        <f>IFERROR(INDEX(Cluster_Master!$D$4:$D$18,MATCH($F50,Cluster_Master!$B$4:$B$18,0)),"")</f>
        <v/>
      </c>
      <c r="J50" s="15">
        <f>IFERROR(INDEX(Cluster_Master!$E$4:$E$18,MATCH($F50,Cluster_Master!$B$4:$B$18,0)),"")</f>
        <v/>
      </c>
      <c r="K50" s="15">
        <f>IFERROR(INDEX(Cluster_Master!$F$4:$F$18,MATCH($F50,Cluster_Master!$B$4:$B$18,0)),"")</f>
        <v/>
      </c>
      <c r="L50" s="15">
        <f>IFERROR(INDEX(Cluster_Master!$G$4:$G$18,MATCH($F50,Cluster_Master!$B$4:$B$18,0)),"")</f>
        <v/>
      </c>
      <c r="M50" s="15">
        <f>IFERROR(INDEX(Cluster_Master!$H$4:$H$18,MATCH($F50,Cluster_Master!$B$4:$B$18,0)),"")</f>
        <v/>
      </c>
      <c r="N50" s="41" t="n"/>
      <c r="O50" s="41" t="n"/>
      <c r="P50" s="41" t="n"/>
      <c r="Q50" s="41" t="n"/>
      <c r="R50" s="41" t="n"/>
      <c r="S50" s="41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15">
        <f>IF(COUNTA(T50:AH50)=0,"",SUM(T50:AH50))</f>
        <v/>
      </c>
      <c r="AJ50" s="21">
        <f>IF(COUNTA(T50:AH50)=0,"",AI50/(COUNT(KPI_Weights!$A$4:$A$18)*5))</f>
        <v/>
      </c>
      <c r="AK50" s="21">
        <f>IF(COUNTA(T50:AH50)=0,"",SUMPRODUCT(T50:AH50,KPI_Weights!$B$4:$B$18)/5)</f>
        <v/>
      </c>
      <c r="AL50" s="15">
        <f>IF(COUNTA(T50:AH50)=0,"",IF(SUMPRODUCT(--(T50:AH50&lt;=1),--(KPI_Weights!$C$4:$C$18="YES"))&gt;0,"YES","NO"))</f>
        <v/>
      </c>
      <c r="AM50" s="15">
        <f>IF(AJ50="","",IF(AND(AL50="NO",AJ50&gt;=0.75),"YES","NO"))</f>
        <v/>
      </c>
      <c r="AN50" s="15">
        <f>IF(AJ50="","",IF(AJ50&lt;0.4,"Critical",IF(AJ50&lt;0.6,"Poor",IF(AJ50&lt;0.75,"Needs Improvement",IF(AJ50&lt;0.9,"Good","Excellent")))))</f>
        <v/>
      </c>
      <c r="AO50" s="41" t="n"/>
      <c r="AP50" s="41" t="n"/>
      <c r="AQ50" s="41" t="n"/>
      <c r="AR50" s="41" t="n"/>
      <c r="AS50" s="41" t="n"/>
      <c r="AT50" s="44" t="n"/>
      <c r="AU50" s="41" t="n"/>
      <c r="AV50" s="43" t="n"/>
      <c r="AW50" s="41" t="n"/>
      <c r="AX50" s="44" t="n"/>
      <c r="AY50" s="44" t="n"/>
      <c r="AZ50" s="44" t="n"/>
      <c r="BA50" s="44" t="n"/>
      <c r="BB50" s="44" t="n"/>
      <c r="BC50" s="44" t="n"/>
      <c r="BD50" s="44" t="n"/>
      <c r="BE50" s="44" t="n"/>
      <c r="BF50" s="44" t="n"/>
    </row>
    <row r="51" ht="19.5" customHeight="1" s="45">
      <c r="A51" s="15">
        <f>IF($B51="","",TEXT($B51,"yyyymmdd")&amp;"-"&amp;SUBSTITUTE($F51," ","")&amp;"-"&amp;TEXT(COUNTIF($F$4:F51,$F51),"00"))</f>
        <v/>
      </c>
      <c r="B51" s="39" t="n"/>
      <c r="C51" s="15">
        <f>IF($B51="","",WEEKNUM($B51,2))</f>
        <v/>
      </c>
      <c r="D51" s="15">
        <f>IF($B51="","",TEXT($B51,"yyyy-mm"))</f>
        <v/>
      </c>
      <c r="E51" s="40" t="n"/>
      <c r="F51" s="40" t="n"/>
      <c r="G51" s="15">
        <f>IF(OR($E51="",$F51=""),"",IFERROR(IF($E51=INDEX(Cluster_Master!$A$4:$A$18,MATCH($F51,Cluster_Master!$B$4:$B$18,0)),"OK","CHECK"),"CHECK"))</f>
        <v/>
      </c>
      <c r="H51" s="18">
        <f>IFERROR(INDEX(Cluster_Master!$C$4:$C$18,MATCH($F51,Cluster_Master!$B$4:$B$18,0)),"")</f>
        <v/>
      </c>
      <c r="I51" s="15">
        <f>IFERROR(INDEX(Cluster_Master!$D$4:$D$18,MATCH($F51,Cluster_Master!$B$4:$B$18,0)),"")</f>
        <v/>
      </c>
      <c r="J51" s="15">
        <f>IFERROR(INDEX(Cluster_Master!$E$4:$E$18,MATCH($F51,Cluster_Master!$B$4:$B$18,0)),"")</f>
        <v/>
      </c>
      <c r="K51" s="15">
        <f>IFERROR(INDEX(Cluster_Master!$F$4:$F$18,MATCH($F51,Cluster_Master!$B$4:$B$18,0)),"")</f>
        <v/>
      </c>
      <c r="L51" s="15">
        <f>IFERROR(INDEX(Cluster_Master!$G$4:$G$18,MATCH($F51,Cluster_Master!$B$4:$B$18,0)),"")</f>
        <v/>
      </c>
      <c r="M51" s="15">
        <f>IFERROR(INDEX(Cluster_Master!$H$4:$H$18,MATCH($F51,Cluster_Master!$B$4:$B$18,0)),"")</f>
        <v/>
      </c>
      <c r="N51" s="41" t="n"/>
      <c r="O51" s="41" t="n"/>
      <c r="P51" s="41" t="n"/>
      <c r="Q51" s="41" t="n"/>
      <c r="R51" s="41" t="n"/>
      <c r="S51" s="41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15">
        <f>IF(COUNTA(T51:AH51)=0,"",SUM(T51:AH51))</f>
        <v/>
      </c>
      <c r="AJ51" s="21">
        <f>IF(COUNTA(T51:AH51)=0,"",AI51/(COUNT(KPI_Weights!$A$4:$A$18)*5))</f>
        <v/>
      </c>
      <c r="AK51" s="21">
        <f>IF(COUNTA(T51:AH51)=0,"",SUMPRODUCT(T51:AH51,KPI_Weights!$B$4:$B$18)/5)</f>
        <v/>
      </c>
      <c r="AL51" s="15">
        <f>IF(COUNTA(T51:AH51)=0,"",IF(SUMPRODUCT(--(T51:AH51&lt;=1),--(KPI_Weights!$C$4:$C$18="YES"))&gt;0,"YES","NO"))</f>
        <v/>
      </c>
      <c r="AM51" s="15">
        <f>IF(AJ51="","",IF(AND(AL51="NO",AJ51&gt;=0.75),"YES","NO"))</f>
        <v/>
      </c>
      <c r="AN51" s="15">
        <f>IF(AJ51="","",IF(AJ51&lt;0.4,"Critical",IF(AJ51&lt;0.6,"Poor",IF(AJ51&lt;0.75,"Needs Improvement",IF(AJ51&lt;0.9,"Good","Excellent")))))</f>
        <v/>
      </c>
      <c r="AO51" s="41" t="n"/>
      <c r="AP51" s="41" t="n"/>
      <c r="AQ51" s="41" t="n"/>
      <c r="AR51" s="41" t="n"/>
      <c r="AS51" s="41" t="n"/>
      <c r="AT51" s="44" t="n"/>
      <c r="AU51" s="41" t="n"/>
      <c r="AV51" s="43" t="n"/>
      <c r="AW51" s="41" t="n"/>
      <c r="AX51" s="44" t="n"/>
      <c r="AY51" s="44" t="n"/>
      <c r="AZ51" s="44" t="n"/>
      <c r="BA51" s="44" t="n"/>
      <c r="BB51" s="44" t="n"/>
      <c r="BC51" s="44" t="n"/>
      <c r="BD51" s="44" t="n"/>
      <c r="BE51" s="44" t="n"/>
      <c r="BF51" s="44" t="n"/>
    </row>
    <row r="52" ht="19.5" customHeight="1" s="45">
      <c r="A52" s="15">
        <f>IF($B52="","",TEXT($B52,"yyyymmdd")&amp;"-"&amp;SUBSTITUTE($F52," ","")&amp;"-"&amp;TEXT(COUNTIF($F$4:F52,$F52),"00"))</f>
        <v/>
      </c>
      <c r="B52" s="39" t="n"/>
      <c r="C52" s="15">
        <f>IF($B52="","",WEEKNUM($B52,2))</f>
        <v/>
      </c>
      <c r="D52" s="15">
        <f>IF($B52="","",TEXT($B52,"yyyy-mm"))</f>
        <v/>
      </c>
      <c r="E52" s="40" t="n"/>
      <c r="F52" s="40" t="n"/>
      <c r="G52" s="15">
        <f>IF(OR($E52="",$F52=""),"",IFERROR(IF($E52=INDEX(Cluster_Master!$A$4:$A$18,MATCH($F52,Cluster_Master!$B$4:$B$18,0)),"OK","CHECK"),"CHECK"))</f>
        <v/>
      </c>
      <c r="H52" s="18">
        <f>IFERROR(INDEX(Cluster_Master!$C$4:$C$18,MATCH($F52,Cluster_Master!$B$4:$B$18,0)),"")</f>
        <v/>
      </c>
      <c r="I52" s="15">
        <f>IFERROR(INDEX(Cluster_Master!$D$4:$D$18,MATCH($F52,Cluster_Master!$B$4:$B$18,0)),"")</f>
        <v/>
      </c>
      <c r="J52" s="15">
        <f>IFERROR(INDEX(Cluster_Master!$E$4:$E$18,MATCH($F52,Cluster_Master!$B$4:$B$18,0)),"")</f>
        <v/>
      </c>
      <c r="K52" s="15">
        <f>IFERROR(INDEX(Cluster_Master!$F$4:$F$18,MATCH($F52,Cluster_Master!$B$4:$B$18,0)),"")</f>
        <v/>
      </c>
      <c r="L52" s="15">
        <f>IFERROR(INDEX(Cluster_Master!$G$4:$G$18,MATCH($F52,Cluster_Master!$B$4:$B$18,0)),"")</f>
        <v/>
      </c>
      <c r="M52" s="15">
        <f>IFERROR(INDEX(Cluster_Master!$H$4:$H$18,MATCH($F52,Cluster_Master!$B$4:$B$18,0)),"")</f>
        <v/>
      </c>
      <c r="N52" s="41" t="n"/>
      <c r="O52" s="41" t="n"/>
      <c r="P52" s="41" t="n"/>
      <c r="Q52" s="41" t="n"/>
      <c r="R52" s="41" t="n"/>
      <c r="S52" s="41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15">
        <f>IF(COUNTA(T52:AH52)=0,"",SUM(T52:AH52))</f>
        <v/>
      </c>
      <c r="AJ52" s="21">
        <f>IF(COUNTA(T52:AH52)=0,"",AI52/(COUNT(KPI_Weights!$A$4:$A$18)*5))</f>
        <v/>
      </c>
      <c r="AK52" s="21">
        <f>IF(COUNTA(T52:AH52)=0,"",SUMPRODUCT(T52:AH52,KPI_Weights!$B$4:$B$18)/5)</f>
        <v/>
      </c>
      <c r="AL52" s="15">
        <f>IF(COUNTA(T52:AH52)=0,"",IF(SUMPRODUCT(--(T52:AH52&lt;=1),--(KPI_Weights!$C$4:$C$18="YES"))&gt;0,"YES","NO"))</f>
        <v/>
      </c>
      <c r="AM52" s="15">
        <f>IF(AJ52="","",IF(AND(AL52="NO",AJ52&gt;=0.75),"YES","NO"))</f>
        <v/>
      </c>
      <c r="AN52" s="15">
        <f>IF(AJ52="","",IF(AJ52&lt;0.4,"Critical",IF(AJ52&lt;0.6,"Poor",IF(AJ52&lt;0.75,"Needs Improvement",IF(AJ52&lt;0.9,"Good","Excellent")))))</f>
        <v/>
      </c>
      <c r="AO52" s="41" t="n"/>
      <c r="AP52" s="41" t="n"/>
      <c r="AQ52" s="41" t="n"/>
      <c r="AR52" s="41" t="n"/>
      <c r="AS52" s="41" t="n"/>
      <c r="AT52" s="44" t="n"/>
      <c r="AU52" s="41" t="n"/>
      <c r="AV52" s="43" t="n"/>
      <c r="AW52" s="41" t="n"/>
      <c r="AX52" s="44" t="n"/>
      <c r="AY52" s="44" t="n"/>
      <c r="AZ52" s="44" t="n"/>
      <c r="BA52" s="44" t="n"/>
      <c r="BB52" s="44" t="n"/>
      <c r="BC52" s="44" t="n"/>
      <c r="BD52" s="44" t="n"/>
      <c r="BE52" s="44" t="n"/>
      <c r="BF52" s="44" t="n"/>
    </row>
    <row r="53" ht="19.5" customHeight="1" s="45">
      <c r="A53" s="15">
        <f>IF($B53="","",TEXT($B53,"yyyymmdd")&amp;"-"&amp;SUBSTITUTE($F53," ","")&amp;"-"&amp;TEXT(COUNTIF($F$4:F53,$F53),"00"))</f>
        <v/>
      </c>
      <c r="B53" s="39" t="n"/>
      <c r="C53" s="15">
        <f>IF($B53="","",WEEKNUM($B53,2))</f>
        <v/>
      </c>
      <c r="D53" s="15">
        <f>IF($B53="","",TEXT($B53,"yyyy-mm"))</f>
        <v/>
      </c>
      <c r="E53" s="40" t="n"/>
      <c r="F53" s="40" t="n"/>
      <c r="G53" s="15">
        <f>IF(OR($E53="",$F53=""),"",IFERROR(IF($E53=INDEX(Cluster_Master!$A$4:$A$18,MATCH($F53,Cluster_Master!$B$4:$B$18,0)),"OK","CHECK"),"CHECK"))</f>
        <v/>
      </c>
      <c r="H53" s="18">
        <f>IFERROR(INDEX(Cluster_Master!$C$4:$C$18,MATCH($F53,Cluster_Master!$B$4:$B$18,0)),"")</f>
        <v/>
      </c>
      <c r="I53" s="15">
        <f>IFERROR(INDEX(Cluster_Master!$D$4:$D$18,MATCH($F53,Cluster_Master!$B$4:$B$18,0)),"")</f>
        <v/>
      </c>
      <c r="J53" s="15">
        <f>IFERROR(INDEX(Cluster_Master!$E$4:$E$18,MATCH($F53,Cluster_Master!$B$4:$B$18,0)),"")</f>
        <v/>
      </c>
      <c r="K53" s="15">
        <f>IFERROR(INDEX(Cluster_Master!$F$4:$F$18,MATCH($F53,Cluster_Master!$B$4:$B$18,0)),"")</f>
        <v/>
      </c>
      <c r="L53" s="15">
        <f>IFERROR(INDEX(Cluster_Master!$G$4:$G$18,MATCH($F53,Cluster_Master!$B$4:$B$18,0)),"")</f>
        <v/>
      </c>
      <c r="M53" s="15">
        <f>IFERROR(INDEX(Cluster_Master!$H$4:$H$18,MATCH($F53,Cluster_Master!$B$4:$B$18,0)),"")</f>
        <v/>
      </c>
      <c r="N53" s="41" t="n"/>
      <c r="O53" s="41" t="n"/>
      <c r="P53" s="41" t="n"/>
      <c r="Q53" s="41" t="n"/>
      <c r="R53" s="41" t="n"/>
      <c r="S53" s="41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15">
        <f>IF(COUNTA(T53:AH53)=0,"",SUM(T53:AH53))</f>
        <v/>
      </c>
      <c r="AJ53" s="21">
        <f>IF(COUNTA(T53:AH53)=0,"",AI53/(COUNT(KPI_Weights!$A$4:$A$18)*5))</f>
        <v/>
      </c>
      <c r="AK53" s="21">
        <f>IF(COUNTA(T53:AH53)=0,"",SUMPRODUCT(T53:AH53,KPI_Weights!$B$4:$B$18)/5)</f>
        <v/>
      </c>
      <c r="AL53" s="15">
        <f>IF(COUNTA(T53:AH53)=0,"",IF(SUMPRODUCT(--(T53:AH53&lt;=1),--(KPI_Weights!$C$4:$C$18="YES"))&gt;0,"YES","NO"))</f>
        <v/>
      </c>
      <c r="AM53" s="15">
        <f>IF(AJ53="","",IF(AND(AL53="NO",AJ53&gt;=0.75),"YES","NO"))</f>
        <v/>
      </c>
      <c r="AN53" s="15">
        <f>IF(AJ53="","",IF(AJ53&lt;0.4,"Critical",IF(AJ53&lt;0.6,"Poor",IF(AJ53&lt;0.75,"Needs Improvement",IF(AJ53&lt;0.9,"Good","Excellent")))))</f>
        <v/>
      </c>
      <c r="AO53" s="41" t="n"/>
      <c r="AP53" s="41" t="n"/>
      <c r="AQ53" s="41" t="n"/>
      <c r="AR53" s="41" t="n"/>
      <c r="AS53" s="41" t="n"/>
      <c r="AT53" s="44" t="n"/>
      <c r="AU53" s="41" t="n"/>
      <c r="AV53" s="43" t="n"/>
      <c r="AW53" s="41" t="n"/>
      <c r="AX53" s="44" t="n"/>
      <c r="AY53" s="44" t="n"/>
      <c r="AZ53" s="44" t="n"/>
      <c r="BA53" s="44" t="n"/>
      <c r="BB53" s="44" t="n"/>
      <c r="BC53" s="44" t="n"/>
      <c r="BD53" s="44" t="n"/>
      <c r="BE53" s="44" t="n"/>
      <c r="BF53" s="44" t="n"/>
    </row>
    <row r="54" ht="19.5" customHeight="1" s="45">
      <c r="A54" s="15">
        <f>IF($B54="","",TEXT($B54,"yyyymmdd")&amp;"-"&amp;SUBSTITUTE($F54," ","")&amp;"-"&amp;TEXT(COUNTIF($F$4:F54,$F54),"00"))</f>
        <v/>
      </c>
      <c r="B54" s="39" t="n"/>
      <c r="C54" s="15">
        <f>IF($B54="","",WEEKNUM($B54,2))</f>
        <v/>
      </c>
      <c r="D54" s="15">
        <f>IF($B54="","",TEXT($B54,"yyyy-mm"))</f>
        <v/>
      </c>
      <c r="E54" s="40" t="n"/>
      <c r="F54" s="40" t="n"/>
      <c r="G54" s="15">
        <f>IF(OR($E54="",$F54=""),"",IFERROR(IF($E54=INDEX(Cluster_Master!$A$4:$A$18,MATCH($F54,Cluster_Master!$B$4:$B$18,0)),"OK","CHECK"),"CHECK"))</f>
        <v/>
      </c>
      <c r="H54" s="18">
        <f>IFERROR(INDEX(Cluster_Master!$C$4:$C$18,MATCH($F54,Cluster_Master!$B$4:$B$18,0)),"")</f>
        <v/>
      </c>
      <c r="I54" s="15">
        <f>IFERROR(INDEX(Cluster_Master!$D$4:$D$18,MATCH($F54,Cluster_Master!$B$4:$B$18,0)),"")</f>
        <v/>
      </c>
      <c r="J54" s="15">
        <f>IFERROR(INDEX(Cluster_Master!$E$4:$E$18,MATCH($F54,Cluster_Master!$B$4:$B$18,0)),"")</f>
        <v/>
      </c>
      <c r="K54" s="15">
        <f>IFERROR(INDEX(Cluster_Master!$F$4:$F$18,MATCH($F54,Cluster_Master!$B$4:$B$18,0)),"")</f>
        <v/>
      </c>
      <c r="L54" s="15">
        <f>IFERROR(INDEX(Cluster_Master!$G$4:$G$18,MATCH($F54,Cluster_Master!$B$4:$B$18,0)),"")</f>
        <v/>
      </c>
      <c r="M54" s="15">
        <f>IFERROR(INDEX(Cluster_Master!$H$4:$H$18,MATCH($F54,Cluster_Master!$B$4:$B$18,0)),"")</f>
        <v/>
      </c>
      <c r="N54" s="41" t="n"/>
      <c r="O54" s="41" t="n"/>
      <c r="P54" s="41" t="n"/>
      <c r="Q54" s="41" t="n"/>
      <c r="R54" s="41" t="n"/>
      <c r="S54" s="41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  <c r="AD54" s="42" t="n"/>
      <c r="AE54" s="42" t="n"/>
      <c r="AF54" s="42" t="n"/>
      <c r="AG54" s="42" t="n"/>
      <c r="AH54" s="42" t="n"/>
      <c r="AI54" s="15">
        <f>IF(COUNTA(T54:AH54)=0,"",SUM(T54:AH54))</f>
        <v/>
      </c>
      <c r="AJ54" s="21">
        <f>IF(COUNTA(T54:AH54)=0,"",AI54/(COUNT(KPI_Weights!$A$4:$A$18)*5))</f>
        <v/>
      </c>
      <c r="AK54" s="21">
        <f>IF(COUNTA(T54:AH54)=0,"",SUMPRODUCT(T54:AH54,KPI_Weights!$B$4:$B$18)/5)</f>
        <v/>
      </c>
      <c r="AL54" s="15">
        <f>IF(COUNTA(T54:AH54)=0,"",IF(SUMPRODUCT(--(T54:AH54&lt;=1),--(KPI_Weights!$C$4:$C$18="YES"))&gt;0,"YES","NO"))</f>
        <v/>
      </c>
      <c r="AM54" s="15">
        <f>IF(AJ54="","",IF(AND(AL54="NO",AJ54&gt;=0.75),"YES","NO"))</f>
        <v/>
      </c>
      <c r="AN54" s="15">
        <f>IF(AJ54="","",IF(AJ54&lt;0.4,"Critical",IF(AJ54&lt;0.6,"Poor",IF(AJ54&lt;0.75,"Needs Improvement",IF(AJ54&lt;0.9,"Good","Excellent")))))</f>
        <v/>
      </c>
      <c r="AO54" s="41" t="n"/>
      <c r="AP54" s="41" t="n"/>
      <c r="AQ54" s="41" t="n"/>
      <c r="AR54" s="41" t="n"/>
      <c r="AS54" s="41" t="n"/>
      <c r="AT54" s="44" t="n"/>
      <c r="AU54" s="41" t="n"/>
      <c r="AV54" s="43" t="n"/>
      <c r="AW54" s="41" t="n"/>
      <c r="AX54" s="44" t="n"/>
      <c r="AY54" s="44" t="n"/>
      <c r="AZ54" s="44" t="n"/>
      <c r="BA54" s="44" t="n"/>
      <c r="BB54" s="44" t="n"/>
      <c r="BC54" s="44" t="n"/>
      <c r="BD54" s="44" t="n"/>
      <c r="BE54" s="44" t="n"/>
      <c r="BF54" s="44" t="n"/>
    </row>
    <row r="55" ht="19.5" customHeight="1" s="45">
      <c r="A55" s="15">
        <f>IF($B55="","",TEXT($B55,"yyyymmdd")&amp;"-"&amp;SUBSTITUTE($F55," ","")&amp;"-"&amp;TEXT(COUNTIF($F$4:F55,$F55),"00"))</f>
        <v/>
      </c>
      <c r="B55" s="39" t="n"/>
      <c r="C55" s="15">
        <f>IF($B55="","",WEEKNUM($B55,2))</f>
        <v/>
      </c>
      <c r="D55" s="15">
        <f>IF($B55="","",TEXT($B55,"yyyy-mm"))</f>
        <v/>
      </c>
      <c r="E55" s="40" t="n"/>
      <c r="F55" s="40" t="n"/>
      <c r="G55" s="15">
        <f>IF(OR($E55="",$F55=""),"",IFERROR(IF($E55=INDEX(Cluster_Master!$A$4:$A$18,MATCH($F55,Cluster_Master!$B$4:$B$18,0)),"OK","CHECK"),"CHECK"))</f>
        <v/>
      </c>
      <c r="H55" s="18">
        <f>IFERROR(INDEX(Cluster_Master!$C$4:$C$18,MATCH($F55,Cluster_Master!$B$4:$B$18,0)),"")</f>
        <v/>
      </c>
      <c r="I55" s="15">
        <f>IFERROR(INDEX(Cluster_Master!$D$4:$D$18,MATCH($F55,Cluster_Master!$B$4:$B$18,0)),"")</f>
        <v/>
      </c>
      <c r="J55" s="15">
        <f>IFERROR(INDEX(Cluster_Master!$E$4:$E$18,MATCH($F55,Cluster_Master!$B$4:$B$18,0)),"")</f>
        <v/>
      </c>
      <c r="K55" s="15">
        <f>IFERROR(INDEX(Cluster_Master!$F$4:$F$18,MATCH($F55,Cluster_Master!$B$4:$B$18,0)),"")</f>
        <v/>
      </c>
      <c r="L55" s="15">
        <f>IFERROR(INDEX(Cluster_Master!$G$4:$G$18,MATCH($F55,Cluster_Master!$B$4:$B$18,0)),"")</f>
        <v/>
      </c>
      <c r="M55" s="15">
        <f>IFERROR(INDEX(Cluster_Master!$H$4:$H$18,MATCH($F55,Cluster_Master!$B$4:$B$18,0)),"")</f>
        <v/>
      </c>
      <c r="N55" s="41" t="n"/>
      <c r="O55" s="41" t="n"/>
      <c r="P55" s="41" t="n"/>
      <c r="Q55" s="41" t="n"/>
      <c r="R55" s="41" t="n"/>
      <c r="S55" s="41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  <c r="AD55" s="42" t="n"/>
      <c r="AE55" s="42" t="n"/>
      <c r="AF55" s="42" t="n"/>
      <c r="AG55" s="42" t="n"/>
      <c r="AH55" s="42" t="n"/>
      <c r="AI55" s="15">
        <f>IF(COUNTA(T55:AH55)=0,"",SUM(T55:AH55))</f>
        <v/>
      </c>
      <c r="AJ55" s="21">
        <f>IF(COUNTA(T55:AH55)=0,"",AI55/(COUNT(KPI_Weights!$A$4:$A$18)*5))</f>
        <v/>
      </c>
      <c r="AK55" s="21">
        <f>IF(COUNTA(T55:AH55)=0,"",SUMPRODUCT(T55:AH55,KPI_Weights!$B$4:$B$18)/5)</f>
        <v/>
      </c>
      <c r="AL55" s="15">
        <f>IF(COUNTA(T55:AH55)=0,"",IF(SUMPRODUCT(--(T55:AH55&lt;=1),--(KPI_Weights!$C$4:$C$18="YES"))&gt;0,"YES","NO"))</f>
        <v/>
      </c>
      <c r="AM55" s="15">
        <f>IF(AJ55="","",IF(AND(AL55="NO",AJ55&gt;=0.75),"YES","NO"))</f>
        <v/>
      </c>
      <c r="AN55" s="15">
        <f>IF(AJ55="","",IF(AJ55&lt;0.4,"Critical",IF(AJ55&lt;0.6,"Poor",IF(AJ55&lt;0.75,"Needs Improvement",IF(AJ55&lt;0.9,"Good","Excellent")))))</f>
        <v/>
      </c>
      <c r="AO55" s="41" t="n"/>
      <c r="AP55" s="41" t="n"/>
      <c r="AQ55" s="41" t="n"/>
      <c r="AR55" s="41" t="n"/>
      <c r="AS55" s="41" t="n"/>
      <c r="AT55" s="44" t="n"/>
      <c r="AU55" s="41" t="n"/>
      <c r="AV55" s="43" t="n"/>
      <c r="AW55" s="41" t="n"/>
      <c r="AX55" s="44" t="n"/>
      <c r="AY55" s="44" t="n"/>
      <c r="AZ55" s="44" t="n"/>
      <c r="BA55" s="44" t="n"/>
      <c r="BB55" s="44" t="n"/>
      <c r="BC55" s="44" t="n"/>
      <c r="BD55" s="44" t="n"/>
      <c r="BE55" s="44" t="n"/>
      <c r="BF55" s="44" t="n"/>
    </row>
    <row r="56" ht="19.5" customHeight="1" s="45">
      <c r="A56" s="15">
        <f>IF($B56="","",TEXT($B56,"yyyymmdd")&amp;"-"&amp;SUBSTITUTE($F56," ","")&amp;"-"&amp;TEXT(COUNTIF($F$4:F56,$F56),"00"))</f>
        <v/>
      </c>
      <c r="B56" s="39" t="n"/>
      <c r="C56" s="15">
        <f>IF($B56="","",WEEKNUM($B56,2))</f>
        <v/>
      </c>
      <c r="D56" s="15">
        <f>IF($B56="","",TEXT($B56,"yyyy-mm"))</f>
        <v/>
      </c>
      <c r="E56" s="40" t="n"/>
      <c r="F56" s="40" t="n"/>
      <c r="G56" s="15">
        <f>IF(OR($E56="",$F56=""),"",IFERROR(IF($E56=INDEX(Cluster_Master!$A$4:$A$18,MATCH($F56,Cluster_Master!$B$4:$B$18,0)),"OK","CHECK"),"CHECK"))</f>
        <v/>
      </c>
      <c r="H56" s="18">
        <f>IFERROR(INDEX(Cluster_Master!$C$4:$C$18,MATCH($F56,Cluster_Master!$B$4:$B$18,0)),"")</f>
        <v/>
      </c>
      <c r="I56" s="15">
        <f>IFERROR(INDEX(Cluster_Master!$D$4:$D$18,MATCH($F56,Cluster_Master!$B$4:$B$18,0)),"")</f>
        <v/>
      </c>
      <c r="J56" s="15">
        <f>IFERROR(INDEX(Cluster_Master!$E$4:$E$18,MATCH($F56,Cluster_Master!$B$4:$B$18,0)),"")</f>
        <v/>
      </c>
      <c r="K56" s="15">
        <f>IFERROR(INDEX(Cluster_Master!$F$4:$F$18,MATCH($F56,Cluster_Master!$B$4:$B$18,0)),"")</f>
        <v/>
      </c>
      <c r="L56" s="15">
        <f>IFERROR(INDEX(Cluster_Master!$G$4:$G$18,MATCH($F56,Cluster_Master!$B$4:$B$18,0)),"")</f>
        <v/>
      </c>
      <c r="M56" s="15">
        <f>IFERROR(INDEX(Cluster_Master!$H$4:$H$18,MATCH($F56,Cluster_Master!$B$4:$B$18,0)),"")</f>
        <v/>
      </c>
      <c r="N56" s="41" t="n"/>
      <c r="O56" s="41" t="n"/>
      <c r="P56" s="41" t="n"/>
      <c r="Q56" s="41" t="n"/>
      <c r="R56" s="41" t="n"/>
      <c r="S56" s="41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  <c r="AD56" s="42" t="n"/>
      <c r="AE56" s="42" t="n"/>
      <c r="AF56" s="42" t="n"/>
      <c r="AG56" s="42" t="n"/>
      <c r="AH56" s="42" t="n"/>
      <c r="AI56" s="15">
        <f>IF(COUNTA(T56:AH56)=0,"",SUM(T56:AH56))</f>
        <v/>
      </c>
      <c r="AJ56" s="21">
        <f>IF(COUNTA(T56:AH56)=0,"",AI56/(COUNT(KPI_Weights!$A$4:$A$18)*5))</f>
        <v/>
      </c>
      <c r="AK56" s="21">
        <f>IF(COUNTA(T56:AH56)=0,"",SUMPRODUCT(T56:AH56,KPI_Weights!$B$4:$B$18)/5)</f>
        <v/>
      </c>
      <c r="AL56" s="15">
        <f>IF(COUNTA(T56:AH56)=0,"",IF(SUMPRODUCT(--(T56:AH56&lt;=1),--(KPI_Weights!$C$4:$C$18="YES"))&gt;0,"YES","NO"))</f>
        <v/>
      </c>
      <c r="AM56" s="15">
        <f>IF(AJ56="","",IF(AND(AL56="NO",AJ56&gt;=0.75),"YES","NO"))</f>
        <v/>
      </c>
      <c r="AN56" s="15">
        <f>IF(AJ56="","",IF(AJ56&lt;0.4,"Critical",IF(AJ56&lt;0.6,"Poor",IF(AJ56&lt;0.75,"Needs Improvement",IF(AJ56&lt;0.9,"Good","Excellent")))))</f>
        <v/>
      </c>
      <c r="AO56" s="41" t="n"/>
      <c r="AP56" s="41" t="n"/>
      <c r="AQ56" s="41" t="n"/>
      <c r="AR56" s="41" t="n"/>
      <c r="AS56" s="41" t="n"/>
      <c r="AT56" s="44" t="n"/>
      <c r="AU56" s="41" t="n"/>
      <c r="AV56" s="43" t="n"/>
      <c r="AW56" s="41" t="n"/>
      <c r="AX56" s="44" t="n"/>
      <c r="AY56" s="44" t="n"/>
      <c r="AZ56" s="44" t="n"/>
      <c r="BA56" s="44" t="n"/>
      <c r="BB56" s="44" t="n"/>
      <c r="BC56" s="44" t="n"/>
      <c r="BD56" s="44" t="n"/>
      <c r="BE56" s="44" t="n"/>
      <c r="BF56" s="44" t="n"/>
    </row>
    <row r="57" ht="19.5" customHeight="1" s="45">
      <c r="A57" s="15">
        <f>IF($B57="","",TEXT($B57,"yyyymmdd")&amp;"-"&amp;SUBSTITUTE($F57," ","")&amp;"-"&amp;TEXT(COUNTIF($F$4:F57,$F57),"00"))</f>
        <v/>
      </c>
      <c r="B57" s="39" t="n"/>
      <c r="C57" s="15">
        <f>IF($B57="","",WEEKNUM($B57,2))</f>
        <v/>
      </c>
      <c r="D57" s="15">
        <f>IF($B57="","",TEXT($B57,"yyyy-mm"))</f>
        <v/>
      </c>
      <c r="E57" s="40" t="n"/>
      <c r="F57" s="40" t="n"/>
      <c r="G57" s="15">
        <f>IF(OR($E57="",$F57=""),"",IFERROR(IF($E57=INDEX(Cluster_Master!$A$4:$A$18,MATCH($F57,Cluster_Master!$B$4:$B$18,0)),"OK","CHECK"),"CHECK"))</f>
        <v/>
      </c>
      <c r="H57" s="18">
        <f>IFERROR(INDEX(Cluster_Master!$C$4:$C$18,MATCH($F57,Cluster_Master!$B$4:$B$18,0)),"")</f>
        <v/>
      </c>
      <c r="I57" s="15">
        <f>IFERROR(INDEX(Cluster_Master!$D$4:$D$18,MATCH($F57,Cluster_Master!$B$4:$B$18,0)),"")</f>
        <v/>
      </c>
      <c r="J57" s="15">
        <f>IFERROR(INDEX(Cluster_Master!$E$4:$E$18,MATCH($F57,Cluster_Master!$B$4:$B$18,0)),"")</f>
        <v/>
      </c>
      <c r="K57" s="15">
        <f>IFERROR(INDEX(Cluster_Master!$F$4:$F$18,MATCH($F57,Cluster_Master!$B$4:$B$18,0)),"")</f>
        <v/>
      </c>
      <c r="L57" s="15">
        <f>IFERROR(INDEX(Cluster_Master!$G$4:$G$18,MATCH($F57,Cluster_Master!$B$4:$B$18,0)),"")</f>
        <v/>
      </c>
      <c r="M57" s="15">
        <f>IFERROR(INDEX(Cluster_Master!$H$4:$H$18,MATCH($F57,Cluster_Master!$B$4:$B$18,0)),"")</f>
        <v/>
      </c>
      <c r="N57" s="41" t="n"/>
      <c r="O57" s="41" t="n"/>
      <c r="P57" s="41" t="n"/>
      <c r="Q57" s="41" t="n"/>
      <c r="R57" s="41" t="n"/>
      <c r="S57" s="41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  <c r="AD57" s="42" t="n"/>
      <c r="AE57" s="42" t="n"/>
      <c r="AF57" s="42" t="n"/>
      <c r="AG57" s="42" t="n"/>
      <c r="AH57" s="42" t="n"/>
      <c r="AI57" s="15">
        <f>IF(COUNTA(T57:AH57)=0,"",SUM(T57:AH57))</f>
        <v/>
      </c>
      <c r="AJ57" s="21">
        <f>IF(COUNTA(T57:AH57)=0,"",AI57/(COUNT(KPI_Weights!$A$4:$A$18)*5))</f>
        <v/>
      </c>
      <c r="AK57" s="21">
        <f>IF(COUNTA(T57:AH57)=0,"",SUMPRODUCT(T57:AH57,KPI_Weights!$B$4:$B$18)/5)</f>
        <v/>
      </c>
      <c r="AL57" s="15">
        <f>IF(COUNTA(T57:AH57)=0,"",IF(SUMPRODUCT(--(T57:AH57&lt;=1),--(KPI_Weights!$C$4:$C$18="YES"))&gt;0,"YES","NO"))</f>
        <v/>
      </c>
      <c r="AM57" s="15">
        <f>IF(AJ57="","",IF(AND(AL57="NO",AJ57&gt;=0.75),"YES","NO"))</f>
        <v/>
      </c>
      <c r="AN57" s="15">
        <f>IF(AJ57="","",IF(AJ57&lt;0.4,"Critical",IF(AJ57&lt;0.6,"Poor",IF(AJ57&lt;0.75,"Needs Improvement",IF(AJ57&lt;0.9,"Good","Excellent")))))</f>
        <v/>
      </c>
      <c r="AO57" s="41" t="n"/>
      <c r="AP57" s="41" t="n"/>
      <c r="AQ57" s="41" t="n"/>
      <c r="AR57" s="41" t="n"/>
      <c r="AS57" s="41" t="n"/>
      <c r="AT57" s="44" t="n"/>
      <c r="AU57" s="41" t="n"/>
      <c r="AV57" s="43" t="n"/>
      <c r="AW57" s="41" t="n"/>
      <c r="AX57" s="44" t="n"/>
      <c r="AY57" s="44" t="n"/>
      <c r="AZ57" s="44" t="n"/>
      <c r="BA57" s="44" t="n"/>
      <c r="BB57" s="44" t="n"/>
      <c r="BC57" s="44" t="n"/>
      <c r="BD57" s="44" t="n"/>
      <c r="BE57" s="44" t="n"/>
      <c r="BF57" s="44" t="n"/>
    </row>
    <row r="58" ht="19.5" customHeight="1" s="45">
      <c r="A58" s="15">
        <f>IF($B58="","",TEXT($B58,"yyyymmdd")&amp;"-"&amp;SUBSTITUTE($F58," ","")&amp;"-"&amp;TEXT(COUNTIF($F$4:F58,$F58),"00"))</f>
        <v/>
      </c>
      <c r="B58" s="39" t="n"/>
      <c r="C58" s="15">
        <f>IF($B58="","",WEEKNUM($B58,2))</f>
        <v/>
      </c>
      <c r="D58" s="15">
        <f>IF($B58="","",TEXT($B58,"yyyy-mm"))</f>
        <v/>
      </c>
      <c r="E58" s="40" t="n"/>
      <c r="F58" s="40" t="n"/>
      <c r="G58" s="15">
        <f>IF(OR($E58="",$F58=""),"",IFERROR(IF($E58=INDEX(Cluster_Master!$A$4:$A$18,MATCH($F58,Cluster_Master!$B$4:$B$18,0)),"OK","CHECK"),"CHECK"))</f>
        <v/>
      </c>
      <c r="H58" s="18">
        <f>IFERROR(INDEX(Cluster_Master!$C$4:$C$18,MATCH($F58,Cluster_Master!$B$4:$B$18,0)),"")</f>
        <v/>
      </c>
      <c r="I58" s="15">
        <f>IFERROR(INDEX(Cluster_Master!$D$4:$D$18,MATCH($F58,Cluster_Master!$B$4:$B$18,0)),"")</f>
        <v/>
      </c>
      <c r="J58" s="15">
        <f>IFERROR(INDEX(Cluster_Master!$E$4:$E$18,MATCH($F58,Cluster_Master!$B$4:$B$18,0)),"")</f>
        <v/>
      </c>
      <c r="K58" s="15">
        <f>IFERROR(INDEX(Cluster_Master!$F$4:$F$18,MATCH($F58,Cluster_Master!$B$4:$B$18,0)),"")</f>
        <v/>
      </c>
      <c r="L58" s="15">
        <f>IFERROR(INDEX(Cluster_Master!$G$4:$G$18,MATCH($F58,Cluster_Master!$B$4:$B$18,0)),"")</f>
        <v/>
      </c>
      <c r="M58" s="15">
        <f>IFERROR(INDEX(Cluster_Master!$H$4:$H$18,MATCH($F58,Cluster_Master!$B$4:$B$18,0)),"")</f>
        <v/>
      </c>
      <c r="N58" s="41" t="n"/>
      <c r="O58" s="41" t="n"/>
      <c r="P58" s="41" t="n"/>
      <c r="Q58" s="41" t="n"/>
      <c r="R58" s="41" t="n"/>
      <c r="S58" s="41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15">
        <f>IF(COUNTA(T58:AH58)=0,"",SUM(T58:AH58))</f>
        <v/>
      </c>
      <c r="AJ58" s="21">
        <f>IF(COUNTA(T58:AH58)=0,"",AI58/(COUNT(KPI_Weights!$A$4:$A$18)*5))</f>
        <v/>
      </c>
      <c r="AK58" s="21">
        <f>IF(COUNTA(T58:AH58)=0,"",SUMPRODUCT(T58:AH58,KPI_Weights!$B$4:$B$18)/5)</f>
        <v/>
      </c>
      <c r="AL58" s="15">
        <f>IF(COUNTA(T58:AH58)=0,"",IF(SUMPRODUCT(--(T58:AH58&lt;=1),--(KPI_Weights!$C$4:$C$18="YES"))&gt;0,"YES","NO"))</f>
        <v/>
      </c>
      <c r="AM58" s="15">
        <f>IF(AJ58="","",IF(AND(AL58="NO",AJ58&gt;=0.75),"YES","NO"))</f>
        <v/>
      </c>
      <c r="AN58" s="15">
        <f>IF(AJ58="","",IF(AJ58&lt;0.4,"Critical",IF(AJ58&lt;0.6,"Poor",IF(AJ58&lt;0.75,"Needs Improvement",IF(AJ58&lt;0.9,"Good","Excellent")))))</f>
        <v/>
      </c>
      <c r="AO58" s="41" t="n"/>
      <c r="AP58" s="41" t="n"/>
      <c r="AQ58" s="41" t="n"/>
      <c r="AR58" s="41" t="n"/>
      <c r="AS58" s="41" t="n"/>
      <c r="AT58" s="44" t="n"/>
      <c r="AU58" s="41" t="n"/>
      <c r="AV58" s="43" t="n"/>
      <c r="AW58" s="41" t="n"/>
      <c r="AX58" s="44" t="n"/>
      <c r="AY58" s="44" t="n"/>
      <c r="AZ58" s="44" t="n"/>
      <c r="BA58" s="44" t="n"/>
      <c r="BB58" s="44" t="n"/>
      <c r="BC58" s="44" t="n"/>
      <c r="BD58" s="44" t="n"/>
      <c r="BE58" s="44" t="n"/>
      <c r="BF58" s="44" t="n"/>
    </row>
    <row r="59" ht="19.5" customHeight="1" s="45">
      <c r="A59" s="15">
        <f>IF($B59="","",TEXT($B59,"yyyymmdd")&amp;"-"&amp;SUBSTITUTE($F59," ","")&amp;"-"&amp;TEXT(COUNTIF($F$4:F59,$F59),"00"))</f>
        <v/>
      </c>
      <c r="B59" s="39" t="n"/>
      <c r="C59" s="15">
        <f>IF($B59="","",WEEKNUM($B59,2))</f>
        <v/>
      </c>
      <c r="D59" s="15">
        <f>IF($B59="","",TEXT($B59,"yyyy-mm"))</f>
        <v/>
      </c>
      <c r="E59" s="40" t="n"/>
      <c r="F59" s="40" t="n"/>
      <c r="G59" s="15">
        <f>IF(OR($E59="",$F59=""),"",IFERROR(IF($E59=INDEX(Cluster_Master!$A$4:$A$18,MATCH($F59,Cluster_Master!$B$4:$B$18,0)),"OK","CHECK"),"CHECK"))</f>
        <v/>
      </c>
      <c r="H59" s="18">
        <f>IFERROR(INDEX(Cluster_Master!$C$4:$C$18,MATCH($F59,Cluster_Master!$B$4:$B$18,0)),"")</f>
        <v/>
      </c>
      <c r="I59" s="15">
        <f>IFERROR(INDEX(Cluster_Master!$D$4:$D$18,MATCH($F59,Cluster_Master!$B$4:$B$18,0)),"")</f>
        <v/>
      </c>
      <c r="J59" s="15">
        <f>IFERROR(INDEX(Cluster_Master!$E$4:$E$18,MATCH($F59,Cluster_Master!$B$4:$B$18,0)),"")</f>
        <v/>
      </c>
      <c r="K59" s="15">
        <f>IFERROR(INDEX(Cluster_Master!$F$4:$F$18,MATCH($F59,Cluster_Master!$B$4:$B$18,0)),"")</f>
        <v/>
      </c>
      <c r="L59" s="15">
        <f>IFERROR(INDEX(Cluster_Master!$G$4:$G$18,MATCH($F59,Cluster_Master!$B$4:$B$18,0)),"")</f>
        <v/>
      </c>
      <c r="M59" s="15">
        <f>IFERROR(INDEX(Cluster_Master!$H$4:$H$18,MATCH($F59,Cluster_Master!$B$4:$B$18,0)),"")</f>
        <v/>
      </c>
      <c r="N59" s="41" t="n"/>
      <c r="O59" s="41" t="n"/>
      <c r="P59" s="41" t="n"/>
      <c r="Q59" s="41" t="n"/>
      <c r="R59" s="41" t="n"/>
      <c r="S59" s="41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  <c r="AD59" s="42" t="n"/>
      <c r="AE59" s="42" t="n"/>
      <c r="AF59" s="42" t="n"/>
      <c r="AG59" s="42" t="n"/>
      <c r="AH59" s="42" t="n"/>
      <c r="AI59" s="15">
        <f>IF(COUNTA(T59:AH59)=0,"",SUM(T59:AH59))</f>
        <v/>
      </c>
      <c r="AJ59" s="21">
        <f>IF(COUNTA(T59:AH59)=0,"",AI59/(COUNT(KPI_Weights!$A$4:$A$18)*5))</f>
        <v/>
      </c>
      <c r="AK59" s="21">
        <f>IF(COUNTA(T59:AH59)=0,"",SUMPRODUCT(T59:AH59,KPI_Weights!$B$4:$B$18)/5)</f>
        <v/>
      </c>
      <c r="AL59" s="15">
        <f>IF(COUNTA(T59:AH59)=0,"",IF(SUMPRODUCT(--(T59:AH59&lt;=1),--(KPI_Weights!$C$4:$C$18="YES"))&gt;0,"YES","NO"))</f>
        <v/>
      </c>
      <c r="AM59" s="15">
        <f>IF(AJ59="","",IF(AND(AL59="NO",AJ59&gt;=0.75),"YES","NO"))</f>
        <v/>
      </c>
      <c r="AN59" s="15">
        <f>IF(AJ59="","",IF(AJ59&lt;0.4,"Critical",IF(AJ59&lt;0.6,"Poor",IF(AJ59&lt;0.75,"Needs Improvement",IF(AJ59&lt;0.9,"Good","Excellent")))))</f>
        <v/>
      </c>
      <c r="AO59" s="41" t="n"/>
      <c r="AP59" s="41" t="n"/>
      <c r="AQ59" s="41" t="n"/>
      <c r="AR59" s="41" t="n"/>
      <c r="AS59" s="41" t="n"/>
      <c r="AT59" s="44" t="n"/>
      <c r="AU59" s="41" t="n"/>
      <c r="AV59" s="43" t="n"/>
      <c r="AW59" s="41" t="n"/>
      <c r="AX59" s="44" t="n"/>
      <c r="AY59" s="44" t="n"/>
      <c r="AZ59" s="44" t="n"/>
      <c r="BA59" s="44" t="n"/>
      <c r="BB59" s="44" t="n"/>
      <c r="BC59" s="44" t="n"/>
      <c r="BD59" s="44" t="n"/>
      <c r="BE59" s="44" t="n"/>
      <c r="BF59" s="44" t="n"/>
    </row>
    <row r="60" ht="19.5" customHeight="1" s="45">
      <c r="A60" s="15">
        <f>IF($B60="","",TEXT($B60,"yyyymmdd")&amp;"-"&amp;SUBSTITUTE($F60," ","")&amp;"-"&amp;TEXT(COUNTIF($F$4:F60,$F60),"00"))</f>
        <v/>
      </c>
      <c r="B60" s="39" t="n"/>
      <c r="C60" s="15">
        <f>IF($B60="","",WEEKNUM($B60,2))</f>
        <v/>
      </c>
      <c r="D60" s="15">
        <f>IF($B60="","",TEXT($B60,"yyyy-mm"))</f>
        <v/>
      </c>
      <c r="E60" s="40" t="n"/>
      <c r="F60" s="40" t="n"/>
      <c r="G60" s="15">
        <f>IF(OR($E60="",$F60=""),"",IFERROR(IF($E60=INDEX(Cluster_Master!$A$4:$A$18,MATCH($F60,Cluster_Master!$B$4:$B$18,0)),"OK","CHECK"),"CHECK"))</f>
        <v/>
      </c>
      <c r="H60" s="18">
        <f>IFERROR(INDEX(Cluster_Master!$C$4:$C$18,MATCH($F60,Cluster_Master!$B$4:$B$18,0)),"")</f>
        <v/>
      </c>
      <c r="I60" s="15">
        <f>IFERROR(INDEX(Cluster_Master!$D$4:$D$18,MATCH($F60,Cluster_Master!$B$4:$B$18,0)),"")</f>
        <v/>
      </c>
      <c r="J60" s="15">
        <f>IFERROR(INDEX(Cluster_Master!$E$4:$E$18,MATCH($F60,Cluster_Master!$B$4:$B$18,0)),"")</f>
        <v/>
      </c>
      <c r="K60" s="15">
        <f>IFERROR(INDEX(Cluster_Master!$F$4:$F$18,MATCH($F60,Cluster_Master!$B$4:$B$18,0)),"")</f>
        <v/>
      </c>
      <c r="L60" s="15">
        <f>IFERROR(INDEX(Cluster_Master!$G$4:$G$18,MATCH($F60,Cluster_Master!$B$4:$B$18,0)),"")</f>
        <v/>
      </c>
      <c r="M60" s="15">
        <f>IFERROR(INDEX(Cluster_Master!$H$4:$H$18,MATCH($F60,Cluster_Master!$B$4:$B$18,0)),"")</f>
        <v/>
      </c>
      <c r="N60" s="41" t="n"/>
      <c r="O60" s="41" t="n"/>
      <c r="P60" s="41" t="n"/>
      <c r="Q60" s="41" t="n"/>
      <c r="R60" s="41" t="n"/>
      <c r="S60" s="41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  <c r="AD60" s="42" t="n"/>
      <c r="AE60" s="42" t="n"/>
      <c r="AF60" s="42" t="n"/>
      <c r="AG60" s="42" t="n"/>
      <c r="AH60" s="42" t="n"/>
      <c r="AI60" s="15">
        <f>IF(COUNTA(T60:AH60)=0,"",SUM(T60:AH60))</f>
        <v/>
      </c>
      <c r="AJ60" s="21">
        <f>IF(COUNTA(T60:AH60)=0,"",AI60/(COUNT(KPI_Weights!$A$4:$A$18)*5))</f>
        <v/>
      </c>
      <c r="AK60" s="21">
        <f>IF(COUNTA(T60:AH60)=0,"",SUMPRODUCT(T60:AH60,KPI_Weights!$B$4:$B$18)/5)</f>
        <v/>
      </c>
      <c r="AL60" s="15">
        <f>IF(COUNTA(T60:AH60)=0,"",IF(SUMPRODUCT(--(T60:AH60&lt;=1),--(KPI_Weights!$C$4:$C$18="YES"))&gt;0,"YES","NO"))</f>
        <v/>
      </c>
      <c r="AM60" s="15">
        <f>IF(AJ60="","",IF(AND(AL60="NO",AJ60&gt;=0.75),"YES","NO"))</f>
        <v/>
      </c>
      <c r="AN60" s="15">
        <f>IF(AJ60="","",IF(AJ60&lt;0.4,"Critical",IF(AJ60&lt;0.6,"Poor",IF(AJ60&lt;0.75,"Needs Improvement",IF(AJ60&lt;0.9,"Good","Excellent")))))</f>
        <v/>
      </c>
      <c r="AO60" s="41" t="n"/>
      <c r="AP60" s="41" t="n"/>
      <c r="AQ60" s="41" t="n"/>
      <c r="AR60" s="41" t="n"/>
      <c r="AS60" s="41" t="n"/>
      <c r="AT60" s="44" t="n"/>
      <c r="AU60" s="41" t="n"/>
      <c r="AV60" s="43" t="n"/>
      <c r="AW60" s="41" t="n"/>
      <c r="AX60" s="44" t="n"/>
      <c r="AY60" s="44" t="n"/>
      <c r="AZ60" s="44" t="n"/>
      <c r="BA60" s="44" t="n"/>
      <c r="BB60" s="44" t="n"/>
      <c r="BC60" s="44" t="n"/>
      <c r="BD60" s="44" t="n"/>
      <c r="BE60" s="44" t="n"/>
      <c r="BF60" s="44" t="n"/>
    </row>
    <row r="61" ht="19.5" customHeight="1" s="45">
      <c r="A61" s="15">
        <f>IF($B61="","",TEXT($B61,"yyyymmdd")&amp;"-"&amp;SUBSTITUTE($F61," ","")&amp;"-"&amp;TEXT(COUNTIF($F$4:F61,$F61),"00"))</f>
        <v/>
      </c>
      <c r="B61" s="39" t="n"/>
      <c r="C61" s="15">
        <f>IF($B61="","",WEEKNUM($B61,2))</f>
        <v/>
      </c>
      <c r="D61" s="15">
        <f>IF($B61="","",TEXT($B61,"yyyy-mm"))</f>
        <v/>
      </c>
      <c r="E61" s="40" t="n"/>
      <c r="F61" s="40" t="n"/>
      <c r="G61" s="15">
        <f>IF(OR($E61="",$F61=""),"",IFERROR(IF($E61=INDEX(Cluster_Master!$A$4:$A$18,MATCH($F61,Cluster_Master!$B$4:$B$18,0)),"OK","CHECK"),"CHECK"))</f>
        <v/>
      </c>
      <c r="H61" s="18">
        <f>IFERROR(INDEX(Cluster_Master!$C$4:$C$18,MATCH($F61,Cluster_Master!$B$4:$B$18,0)),"")</f>
        <v/>
      </c>
      <c r="I61" s="15">
        <f>IFERROR(INDEX(Cluster_Master!$D$4:$D$18,MATCH($F61,Cluster_Master!$B$4:$B$18,0)),"")</f>
        <v/>
      </c>
      <c r="J61" s="15">
        <f>IFERROR(INDEX(Cluster_Master!$E$4:$E$18,MATCH($F61,Cluster_Master!$B$4:$B$18,0)),"")</f>
        <v/>
      </c>
      <c r="K61" s="15">
        <f>IFERROR(INDEX(Cluster_Master!$F$4:$F$18,MATCH($F61,Cluster_Master!$B$4:$B$18,0)),"")</f>
        <v/>
      </c>
      <c r="L61" s="15">
        <f>IFERROR(INDEX(Cluster_Master!$G$4:$G$18,MATCH($F61,Cluster_Master!$B$4:$B$18,0)),"")</f>
        <v/>
      </c>
      <c r="M61" s="15">
        <f>IFERROR(INDEX(Cluster_Master!$H$4:$H$18,MATCH($F61,Cluster_Master!$B$4:$B$18,0)),"")</f>
        <v/>
      </c>
      <c r="N61" s="41" t="n"/>
      <c r="O61" s="41" t="n"/>
      <c r="P61" s="41" t="n"/>
      <c r="Q61" s="41" t="n"/>
      <c r="R61" s="41" t="n"/>
      <c r="S61" s="41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  <c r="AD61" s="42" t="n"/>
      <c r="AE61" s="42" t="n"/>
      <c r="AF61" s="42" t="n"/>
      <c r="AG61" s="42" t="n"/>
      <c r="AH61" s="42" t="n"/>
      <c r="AI61" s="15">
        <f>IF(COUNTA(T61:AH61)=0,"",SUM(T61:AH61))</f>
        <v/>
      </c>
      <c r="AJ61" s="21">
        <f>IF(COUNTA(T61:AH61)=0,"",AI61/(COUNT(KPI_Weights!$A$4:$A$18)*5))</f>
        <v/>
      </c>
      <c r="AK61" s="21">
        <f>IF(COUNTA(T61:AH61)=0,"",SUMPRODUCT(T61:AH61,KPI_Weights!$B$4:$B$18)/5)</f>
        <v/>
      </c>
      <c r="AL61" s="15">
        <f>IF(COUNTA(T61:AH61)=0,"",IF(SUMPRODUCT(--(T61:AH61&lt;=1),--(KPI_Weights!$C$4:$C$18="YES"))&gt;0,"YES","NO"))</f>
        <v/>
      </c>
      <c r="AM61" s="15">
        <f>IF(AJ61="","",IF(AND(AL61="NO",AJ61&gt;=0.75),"YES","NO"))</f>
        <v/>
      </c>
      <c r="AN61" s="15">
        <f>IF(AJ61="","",IF(AJ61&lt;0.4,"Critical",IF(AJ61&lt;0.6,"Poor",IF(AJ61&lt;0.75,"Needs Improvement",IF(AJ61&lt;0.9,"Good","Excellent")))))</f>
        <v/>
      </c>
      <c r="AO61" s="41" t="n"/>
      <c r="AP61" s="41" t="n"/>
      <c r="AQ61" s="41" t="n"/>
      <c r="AR61" s="41" t="n"/>
      <c r="AS61" s="41" t="n"/>
      <c r="AT61" s="44" t="n"/>
      <c r="AU61" s="41" t="n"/>
      <c r="AV61" s="43" t="n"/>
      <c r="AW61" s="41" t="n"/>
      <c r="AX61" s="44" t="n"/>
      <c r="AY61" s="44" t="n"/>
      <c r="AZ61" s="44" t="n"/>
      <c r="BA61" s="44" t="n"/>
      <c r="BB61" s="44" t="n"/>
      <c r="BC61" s="44" t="n"/>
      <c r="BD61" s="44" t="n"/>
      <c r="BE61" s="44" t="n"/>
      <c r="BF61" s="44" t="n"/>
    </row>
    <row r="62" ht="19.5" customHeight="1" s="45">
      <c r="A62" s="15">
        <f>IF($B62="","",TEXT($B62,"yyyymmdd")&amp;"-"&amp;SUBSTITUTE($F62," ","")&amp;"-"&amp;TEXT(COUNTIF($F$4:F62,$F62),"00"))</f>
        <v/>
      </c>
      <c r="B62" s="39" t="n"/>
      <c r="C62" s="15">
        <f>IF($B62="","",WEEKNUM($B62,2))</f>
        <v/>
      </c>
      <c r="D62" s="15">
        <f>IF($B62="","",TEXT($B62,"yyyy-mm"))</f>
        <v/>
      </c>
      <c r="E62" s="40" t="n"/>
      <c r="F62" s="40" t="n"/>
      <c r="G62" s="15">
        <f>IF(OR($E62="",$F62=""),"",IFERROR(IF($E62=INDEX(Cluster_Master!$A$4:$A$18,MATCH($F62,Cluster_Master!$B$4:$B$18,0)),"OK","CHECK"),"CHECK"))</f>
        <v/>
      </c>
      <c r="H62" s="18">
        <f>IFERROR(INDEX(Cluster_Master!$C$4:$C$18,MATCH($F62,Cluster_Master!$B$4:$B$18,0)),"")</f>
        <v/>
      </c>
      <c r="I62" s="15">
        <f>IFERROR(INDEX(Cluster_Master!$D$4:$D$18,MATCH($F62,Cluster_Master!$B$4:$B$18,0)),"")</f>
        <v/>
      </c>
      <c r="J62" s="15">
        <f>IFERROR(INDEX(Cluster_Master!$E$4:$E$18,MATCH($F62,Cluster_Master!$B$4:$B$18,0)),"")</f>
        <v/>
      </c>
      <c r="K62" s="15">
        <f>IFERROR(INDEX(Cluster_Master!$F$4:$F$18,MATCH($F62,Cluster_Master!$B$4:$B$18,0)),"")</f>
        <v/>
      </c>
      <c r="L62" s="15">
        <f>IFERROR(INDEX(Cluster_Master!$G$4:$G$18,MATCH($F62,Cluster_Master!$B$4:$B$18,0)),"")</f>
        <v/>
      </c>
      <c r="M62" s="15">
        <f>IFERROR(INDEX(Cluster_Master!$H$4:$H$18,MATCH($F62,Cluster_Master!$B$4:$B$18,0)),"")</f>
        <v/>
      </c>
      <c r="N62" s="41" t="n"/>
      <c r="O62" s="41" t="n"/>
      <c r="P62" s="41" t="n"/>
      <c r="Q62" s="41" t="n"/>
      <c r="R62" s="41" t="n"/>
      <c r="S62" s="41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  <c r="AD62" s="42" t="n"/>
      <c r="AE62" s="42" t="n"/>
      <c r="AF62" s="42" t="n"/>
      <c r="AG62" s="42" t="n"/>
      <c r="AH62" s="42" t="n"/>
      <c r="AI62" s="15">
        <f>IF(COUNTA(T62:AH62)=0,"",SUM(T62:AH62))</f>
        <v/>
      </c>
      <c r="AJ62" s="21">
        <f>IF(COUNTA(T62:AH62)=0,"",AI62/(COUNT(KPI_Weights!$A$4:$A$18)*5))</f>
        <v/>
      </c>
      <c r="AK62" s="21">
        <f>IF(COUNTA(T62:AH62)=0,"",SUMPRODUCT(T62:AH62,KPI_Weights!$B$4:$B$18)/5)</f>
        <v/>
      </c>
      <c r="AL62" s="15">
        <f>IF(COUNTA(T62:AH62)=0,"",IF(SUMPRODUCT(--(T62:AH62&lt;=1),--(KPI_Weights!$C$4:$C$18="YES"))&gt;0,"YES","NO"))</f>
        <v/>
      </c>
      <c r="AM62" s="15">
        <f>IF(AJ62="","",IF(AND(AL62="NO",AJ62&gt;=0.75),"YES","NO"))</f>
        <v/>
      </c>
      <c r="AN62" s="15">
        <f>IF(AJ62="","",IF(AJ62&lt;0.4,"Critical",IF(AJ62&lt;0.6,"Poor",IF(AJ62&lt;0.75,"Needs Improvement",IF(AJ62&lt;0.9,"Good","Excellent")))))</f>
        <v/>
      </c>
      <c r="AO62" s="41" t="n"/>
      <c r="AP62" s="41" t="n"/>
      <c r="AQ62" s="41" t="n"/>
      <c r="AR62" s="41" t="n"/>
      <c r="AS62" s="41" t="n"/>
      <c r="AT62" s="44" t="n"/>
      <c r="AU62" s="41" t="n"/>
      <c r="AV62" s="43" t="n"/>
      <c r="AW62" s="41" t="n"/>
      <c r="AX62" s="44" t="n"/>
      <c r="AY62" s="44" t="n"/>
      <c r="AZ62" s="44" t="n"/>
      <c r="BA62" s="44" t="n"/>
      <c r="BB62" s="44" t="n"/>
      <c r="BC62" s="44" t="n"/>
      <c r="BD62" s="44" t="n"/>
      <c r="BE62" s="44" t="n"/>
      <c r="BF62" s="44" t="n"/>
    </row>
    <row r="63" ht="19.5" customHeight="1" s="45">
      <c r="A63" s="15">
        <f>IF($B63="","",TEXT($B63,"yyyymmdd")&amp;"-"&amp;SUBSTITUTE($F63," ","")&amp;"-"&amp;TEXT(COUNTIF($F$4:F63,$F63),"00"))</f>
        <v/>
      </c>
      <c r="B63" s="39" t="n"/>
      <c r="C63" s="15">
        <f>IF($B63="","",WEEKNUM($B63,2))</f>
        <v/>
      </c>
      <c r="D63" s="15">
        <f>IF($B63="","",TEXT($B63,"yyyy-mm"))</f>
        <v/>
      </c>
      <c r="E63" s="40" t="n"/>
      <c r="F63" s="40" t="n"/>
      <c r="G63" s="15">
        <f>IF(OR($E63="",$F63=""),"",IFERROR(IF($E63=INDEX(Cluster_Master!$A$4:$A$18,MATCH($F63,Cluster_Master!$B$4:$B$18,0)),"OK","CHECK"),"CHECK"))</f>
        <v/>
      </c>
      <c r="H63" s="18">
        <f>IFERROR(INDEX(Cluster_Master!$C$4:$C$18,MATCH($F63,Cluster_Master!$B$4:$B$18,0)),"")</f>
        <v/>
      </c>
      <c r="I63" s="15">
        <f>IFERROR(INDEX(Cluster_Master!$D$4:$D$18,MATCH($F63,Cluster_Master!$B$4:$B$18,0)),"")</f>
        <v/>
      </c>
      <c r="J63" s="15">
        <f>IFERROR(INDEX(Cluster_Master!$E$4:$E$18,MATCH($F63,Cluster_Master!$B$4:$B$18,0)),"")</f>
        <v/>
      </c>
      <c r="K63" s="15">
        <f>IFERROR(INDEX(Cluster_Master!$F$4:$F$18,MATCH($F63,Cluster_Master!$B$4:$B$18,0)),"")</f>
        <v/>
      </c>
      <c r="L63" s="15">
        <f>IFERROR(INDEX(Cluster_Master!$G$4:$G$18,MATCH($F63,Cluster_Master!$B$4:$B$18,0)),"")</f>
        <v/>
      </c>
      <c r="M63" s="15">
        <f>IFERROR(INDEX(Cluster_Master!$H$4:$H$18,MATCH($F63,Cluster_Master!$B$4:$B$18,0)),"")</f>
        <v/>
      </c>
      <c r="N63" s="41" t="n"/>
      <c r="O63" s="41" t="n"/>
      <c r="P63" s="41" t="n"/>
      <c r="Q63" s="41" t="n"/>
      <c r="R63" s="41" t="n"/>
      <c r="S63" s="41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  <c r="AD63" s="42" t="n"/>
      <c r="AE63" s="42" t="n"/>
      <c r="AF63" s="42" t="n"/>
      <c r="AG63" s="42" t="n"/>
      <c r="AH63" s="42" t="n"/>
      <c r="AI63" s="15">
        <f>IF(COUNTA(T63:AH63)=0,"",SUM(T63:AH63))</f>
        <v/>
      </c>
      <c r="AJ63" s="21">
        <f>IF(COUNTA(T63:AH63)=0,"",AI63/(COUNT(KPI_Weights!$A$4:$A$18)*5))</f>
        <v/>
      </c>
      <c r="AK63" s="21">
        <f>IF(COUNTA(T63:AH63)=0,"",SUMPRODUCT(T63:AH63,KPI_Weights!$B$4:$B$18)/5)</f>
        <v/>
      </c>
      <c r="AL63" s="15">
        <f>IF(COUNTA(T63:AH63)=0,"",IF(SUMPRODUCT(--(T63:AH63&lt;=1),--(KPI_Weights!$C$4:$C$18="YES"))&gt;0,"YES","NO"))</f>
        <v/>
      </c>
      <c r="AM63" s="15">
        <f>IF(AJ63="","",IF(AND(AL63="NO",AJ63&gt;=0.75),"YES","NO"))</f>
        <v/>
      </c>
      <c r="AN63" s="15">
        <f>IF(AJ63="","",IF(AJ63&lt;0.4,"Critical",IF(AJ63&lt;0.6,"Poor",IF(AJ63&lt;0.75,"Needs Improvement",IF(AJ63&lt;0.9,"Good","Excellent")))))</f>
        <v/>
      </c>
      <c r="AO63" s="41" t="n"/>
      <c r="AP63" s="41" t="n"/>
      <c r="AQ63" s="41" t="n"/>
      <c r="AR63" s="41" t="n"/>
      <c r="AS63" s="41" t="n"/>
      <c r="AT63" s="44" t="n"/>
      <c r="AU63" s="41" t="n"/>
      <c r="AV63" s="43" t="n"/>
      <c r="AW63" s="41" t="n"/>
      <c r="AX63" s="44" t="n"/>
      <c r="AY63" s="44" t="n"/>
      <c r="AZ63" s="44" t="n"/>
      <c r="BA63" s="44" t="n"/>
      <c r="BB63" s="44" t="n"/>
      <c r="BC63" s="44" t="n"/>
      <c r="BD63" s="44" t="n"/>
      <c r="BE63" s="44" t="n"/>
      <c r="BF63" s="44" t="n"/>
    </row>
    <row r="64" ht="19.5" customHeight="1" s="45">
      <c r="A64" s="15">
        <f>IF($B64="","",TEXT($B64,"yyyymmdd")&amp;"-"&amp;SUBSTITUTE($F64," ","")&amp;"-"&amp;TEXT(COUNTIF($F$4:F64,$F64),"00"))</f>
        <v/>
      </c>
      <c r="B64" s="39" t="n"/>
      <c r="C64" s="15">
        <f>IF($B64="","",WEEKNUM($B64,2))</f>
        <v/>
      </c>
      <c r="D64" s="15">
        <f>IF($B64="","",TEXT($B64,"yyyy-mm"))</f>
        <v/>
      </c>
      <c r="E64" s="40" t="n"/>
      <c r="F64" s="40" t="n"/>
      <c r="G64" s="15">
        <f>IF(OR($E64="",$F64=""),"",IFERROR(IF($E64=INDEX(Cluster_Master!$A$4:$A$18,MATCH($F64,Cluster_Master!$B$4:$B$18,0)),"OK","CHECK"),"CHECK"))</f>
        <v/>
      </c>
      <c r="H64" s="18">
        <f>IFERROR(INDEX(Cluster_Master!$C$4:$C$18,MATCH($F64,Cluster_Master!$B$4:$B$18,0)),"")</f>
        <v/>
      </c>
      <c r="I64" s="15">
        <f>IFERROR(INDEX(Cluster_Master!$D$4:$D$18,MATCH($F64,Cluster_Master!$B$4:$B$18,0)),"")</f>
        <v/>
      </c>
      <c r="J64" s="15">
        <f>IFERROR(INDEX(Cluster_Master!$E$4:$E$18,MATCH($F64,Cluster_Master!$B$4:$B$18,0)),"")</f>
        <v/>
      </c>
      <c r="K64" s="15">
        <f>IFERROR(INDEX(Cluster_Master!$F$4:$F$18,MATCH($F64,Cluster_Master!$B$4:$B$18,0)),"")</f>
        <v/>
      </c>
      <c r="L64" s="15">
        <f>IFERROR(INDEX(Cluster_Master!$G$4:$G$18,MATCH($F64,Cluster_Master!$B$4:$B$18,0)),"")</f>
        <v/>
      </c>
      <c r="M64" s="15">
        <f>IFERROR(INDEX(Cluster_Master!$H$4:$H$18,MATCH($F64,Cluster_Master!$B$4:$B$18,0)),"")</f>
        <v/>
      </c>
      <c r="N64" s="41" t="n"/>
      <c r="O64" s="41" t="n"/>
      <c r="P64" s="41" t="n"/>
      <c r="Q64" s="41" t="n"/>
      <c r="R64" s="41" t="n"/>
      <c r="S64" s="41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15">
        <f>IF(COUNTA(T64:AH64)=0,"",SUM(T64:AH64))</f>
        <v/>
      </c>
      <c r="AJ64" s="21">
        <f>IF(COUNTA(T64:AH64)=0,"",AI64/(COUNT(KPI_Weights!$A$4:$A$18)*5))</f>
        <v/>
      </c>
      <c r="AK64" s="21">
        <f>IF(COUNTA(T64:AH64)=0,"",SUMPRODUCT(T64:AH64,KPI_Weights!$B$4:$B$18)/5)</f>
        <v/>
      </c>
      <c r="AL64" s="15">
        <f>IF(COUNTA(T64:AH64)=0,"",IF(SUMPRODUCT(--(T64:AH64&lt;=1),--(KPI_Weights!$C$4:$C$18="YES"))&gt;0,"YES","NO"))</f>
        <v/>
      </c>
      <c r="AM64" s="15">
        <f>IF(AJ64="","",IF(AND(AL64="NO",AJ64&gt;=0.75),"YES","NO"))</f>
        <v/>
      </c>
      <c r="AN64" s="15">
        <f>IF(AJ64="","",IF(AJ64&lt;0.4,"Critical",IF(AJ64&lt;0.6,"Poor",IF(AJ64&lt;0.75,"Needs Improvement",IF(AJ64&lt;0.9,"Good","Excellent")))))</f>
        <v/>
      </c>
      <c r="AO64" s="41" t="n"/>
      <c r="AP64" s="41" t="n"/>
      <c r="AQ64" s="41" t="n"/>
      <c r="AR64" s="41" t="n"/>
      <c r="AS64" s="41" t="n"/>
      <c r="AT64" s="44" t="n"/>
      <c r="AU64" s="41" t="n"/>
      <c r="AV64" s="43" t="n"/>
      <c r="AW64" s="41" t="n"/>
      <c r="AX64" s="44" t="n"/>
      <c r="AY64" s="44" t="n"/>
      <c r="AZ64" s="44" t="n"/>
      <c r="BA64" s="44" t="n"/>
      <c r="BB64" s="44" t="n"/>
      <c r="BC64" s="44" t="n"/>
      <c r="BD64" s="44" t="n"/>
      <c r="BE64" s="44" t="n"/>
      <c r="BF64" s="44" t="n"/>
    </row>
    <row r="65" ht="19.5" customHeight="1" s="45">
      <c r="A65" s="15">
        <f>IF($B65="","",TEXT($B65,"yyyymmdd")&amp;"-"&amp;SUBSTITUTE($F65," ","")&amp;"-"&amp;TEXT(COUNTIF($F$4:F65,$F65),"00"))</f>
        <v/>
      </c>
      <c r="B65" s="39" t="n"/>
      <c r="C65" s="15">
        <f>IF($B65="","",WEEKNUM($B65,2))</f>
        <v/>
      </c>
      <c r="D65" s="15">
        <f>IF($B65="","",TEXT($B65,"yyyy-mm"))</f>
        <v/>
      </c>
      <c r="E65" s="40" t="n"/>
      <c r="F65" s="40" t="n"/>
      <c r="G65" s="15">
        <f>IF(OR($E65="",$F65=""),"",IFERROR(IF($E65=INDEX(Cluster_Master!$A$4:$A$18,MATCH($F65,Cluster_Master!$B$4:$B$18,0)),"OK","CHECK"),"CHECK"))</f>
        <v/>
      </c>
      <c r="H65" s="18">
        <f>IFERROR(INDEX(Cluster_Master!$C$4:$C$18,MATCH($F65,Cluster_Master!$B$4:$B$18,0)),"")</f>
        <v/>
      </c>
      <c r="I65" s="15">
        <f>IFERROR(INDEX(Cluster_Master!$D$4:$D$18,MATCH($F65,Cluster_Master!$B$4:$B$18,0)),"")</f>
        <v/>
      </c>
      <c r="J65" s="15">
        <f>IFERROR(INDEX(Cluster_Master!$E$4:$E$18,MATCH($F65,Cluster_Master!$B$4:$B$18,0)),"")</f>
        <v/>
      </c>
      <c r="K65" s="15">
        <f>IFERROR(INDEX(Cluster_Master!$F$4:$F$18,MATCH($F65,Cluster_Master!$B$4:$B$18,0)),"")</f>
        <v/>
      </c>
      <c r="L65" s="15">
        <f>IFERROR(INDEX(Cluster_Master!$G$4:$G$18,MATCH($F65,Cluster_Master!$B$4:$B$18,0)),"")</f>
        <v/>
      </c>
      <c r="M65" s="15">
        <f>IFERROR(INDEX(Cluster_Master!$H$4:$H$18,MATCH($F65,Cluster_Master!$B$4:$B$18,0)),"")</f>
        <v/>
      </c>
      <c r="N65" s="41" t="n"/>
      <c r="O65" s="41" t="n"/>
      <c r="P65" s="41" t="n"/>
      <c r="Q65" s="41" t="n"/>
      <c r="R65" s="41" t="n"/>
      <c r="S65" s="41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15">
        <f>IF(COUNTA(T65:AH65)=0,"",SUM(T65:AH65))</f>
        <v/>
      </c>
      <c r="AJ65" s="21">
        <f>IF(COUNTA(T65:AH65)=0,"",AI65/(COUNT(KPI_Weights!$A$4:$A$18)*5))</f>
        <v/>
      </c>
      <c r="AK65" s="21">
        <f>IF(COUNTA(T65:AH65)=0,"",SUMPRODUCT(T65:AH65,KPI_Weights!$B$4:$B$18)/5)</f>
        <v/>
      </c>
      <c r="AL65" s="15">
        <f>IF(COUNTA(T65:AH65)=0,"",IF(SUMPRODUCT(--(T65:AH65&lt;=1),--(KPI_Weights!$C$4:$C$18="YES"))&gt;0,"YES","NO"))</f>
        <v/>
      </c>
      <c r="AM65" s="15">
        <f>IF(AJ65="","",IF(AND(AL65="NO",AJ65&gt;=0.75),"YES","NO"))</f>
        <v/>
      </c>
      <c r="AN65" s="15">
        <f>IF(AJ65="","",IF(AJ65&lt;0.4,"Critical",IF(AJ65&lt;0.6,"Poor",IF(AJ65&lt;0.75,"Needs Improvement",IF(AJ65&lt;0.9,"Good","Excellent")))))</f>
        <v/>
      </c>
      <c r="AO65" s="41" t="n"/>
      <c r="AP65" s="41" t="n"/>
      <c r="AQ65" s="41" t="n"/>
      <c r="AR65" s="41" t="n"/>
      <c r="AS65" s="41" t="n"/>
      <c r="AT65" s="44" t="n"/>
      <c r="AU65" s="41" t="n"/>
      <c r="AV65" s="43" t="n"/>
      <c r="AW65" s="41" t="n"/>
      <c r="AX65" s="44" t="n"/>
      <c r="AY65" s="44" t="n"/>
      <c r="AZ65" s="44" t="n"/>
      <c r="BA65" s="44" t="n"/>
      <c r="BB65" s="44" t="n"/>
      <c r="BC65" s="44" t="n"/>
      <c r="BD65" s="44" t="n"/>
      <c r="BE65" s="44" t="n"/>
      <c r="BF65" s="44" t="n"/>
    </row>
    <row r="66" ht="19.5" customHeight="1" s="45">
      <c r="A66" s="15">
        <f>IF($B66="","",TEXT($B66,"yyyymmdd")&amp;"-"&amp;SUBSTITUTE($F66," ","")&amp;"-"&amp;TEXT(COUNTIF($F$4:F66,$F66),"00"))</f>
        <v/>
      </c>
      <c r="B66" s="39" t="n"/>
      <c r="C66" s="15">
        <f>IF($B66="","",WEEKNUM($B66,2))</f>
        <v/>
      </c>
      <c r="D66" s="15">
        <f>IF($B66="","",TEXT($B66,"yyyy-mm"))</f>
        <v/>
      </c>
      <c r="E66" s="40" t="n"/>
      <c r="F66" s="40" t="n"/>
      <c r="G66" s="15">
        <f>IF(OR($E66="",$F66=""),"",IFERROR(IF($E66=INDEX(Cluster_Master!$A$4:$A$18,MATCH($F66,Cluster_Master!$B$4:$B$18,0)),"OK","CHECK"),"CHECK"))</f>
        <v/>
      </c>
      <c r="H66" s="18">
        <f>IFERROR(INDEX(Cluster_Master!$C$4:$C$18,MATCH($F66,Cluster_Master!$B$4:$B$18,0)),"")</f>
        <v/>
      </c>
      <c r="I66" s="15">
        <f>IFERROR(INDEX(Cluster_Master!$D$4:$D$18,MATCH($F66,Cluster_Master!$B$4:$B$18,0)),"")</f>
        <v/>
      </c>
      <c r="J66" s="15">
        <f>IFERROR(INDEX(Cluster_Master!$E$4:$E$18,MATCH($F66,Cluster_Master!$B$4:$B$18,0)),"")</f>
        <v/>
      </c>
      <c r="K66" s="15">
        <f>IFERROR(INDEX(Cluster_Master!$F$4:$F$18,MATCH($F66,Cluster_Master!$B$4:$B$18,0)),"")</f>
        <v/>
      </c>
      <c r="L66" s="15">
        <f>IFERROR(INDEX(Cluster_Master!$G$4:$G$18,MATCH($F66,Cluster_Master!$B$4:$B$18,0)),"")</f>
        <v/>
      </c>
      <c r="M66" s="15">
        <f>IFERROR(INDEX(Cluster_Master!$H$4:$H$18,MATCH($F66,Cluster_Master!$B$4:$B$18,0)),"")</f>
        <v/>
      </c>
      <c r="N66" s="41" t="n"/>
      <c r="O66" s="41" t="n"/>
      <c r="P66" s="41" t="n"/>
      <c r="Q66" s="41" t="n"/>
      <c r="R66" s="41" t="n"/>
      <c r="S66" s="41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15">
        <f>IF(COUNTA(T66:AH66)=0,"",SUM(T66:AH66))</f>
        <v/>
      </c>
      <c r="AJ66" s="21">
        <f>IF(COUNTA(T66:AH66)=0,"",AI66/(COUNT(KPI_Weights!$A$4:$A$18)*5))</f>
        <v/>
      </c>
      <c r="AK66" s="21">
        <f>IF(COUNTA(T66:AH66)=0,"",SUMPRODUCT(T66:AH66,KPI_Weights!$B$4:$B$18)/5)</f>
        <v/>
      </c>
      <c r="AL66" s="15">
        <f>IF(COUNTA(T66:AH66)=0,"",IF(SUMPRODUCT(--(T66:AH66&lt;=1),--(KPI_Weights!$C$4:$C$18="YES"))&gt;0,"YES","NO"))</f>
        <v/>
      </c>
      <c r="AM66" s="15">
        <f>IF(AJ66="","",IF(AND(AL66="NO",AJ66&gt;=0.75),"YES","NO"))</f>
        <v/>
      </c>
      <c r="AN66" s="15">
        <f>IF(AJ66="","",IF(AJ66&lt;0.4,"Critical",IF(AJ66&lt;0.6,"Poor",IF(AJ66&lt;0.75,"Needs Improvement",IF(AJ66&lt;0.9,"Good","Excellent")))))</f>
        <v/>
      </c>
      <c r="AO66" s="41" t="n"/>
      <c r="AP66" s="41" t="n"/>
      <c r="AQ66" s="41" t="n"/>
      <c r="AR66" s="41" t="n"/>
      <c r="AS66" s="41" t="n"/>
      <c r="AT66" s="44" t="n"/>
      <c r="AU66" s="41" t="n"/>
      <c r="AV66" s="43" t="n"/>
      <c r="AW66" s="41" t="n"/>
      <c r="AX66" s="44" t="n"/>
      <c r="AY66" s="44" t="n"/>
      <c r="AZ66" s="44" t="n"/>
      <c r="BA66" s="44" t="n"/>
      <c r="BB66" s="44" t="n"/>
      <c r="BC66" s="44" t="n"/>
      <c r="BD66" s="44" t="n"/>
      <c r="BE66" s="44" t="n"/>
      <c r="BF66" s="44" t="n"/>
    </row>
    <row r="67" ht="19.5" customHeight="1" s="45">
      <c r="A67" s="15">
        <f>IF($B67="","",TEXT($B67,"yyyymmdd")&amp;"-"&amp;SUBSTITUTE($F67," ","")&amp;"-"&amp;TEXT(COUNTIF($F$4:F67,$F67),"00"))</f>
        <v/>
      </c>
      <c r="B67" s="39" t="n"/>
      <c r="C67" s="15">
        <f>IF($B67="","",WEEKNUM($B67,2))</f>
        <v/>
      </c>
      <c r="D67" s="15">
        <f>IF($B67="","",TEXT($B67,"yyyy-mm"))</f>
        <v/>
      </c>
      <c r="E67" s="40" t="n"/>
      <c r="F67" s="40" t="n"/>
      <c r="G67" s="15">
        <f>IF(OR($E67="",$F67=""),"",IFERROR(IF($E67=INDEX(Cluster_Master!$A$4:$A$18,MATCH($F67,Cluster_Master!$B$4:$B$18,0)),"OK","CHECK"),"CHECK"))</f>
        <v/>
      </c>
      <c r="H67" s="18">
        <f>IFERROR(INDEX(Cluster_Master!$C$4:$C$18,MATCH($F67,Cluster_Master!$B$4:$B$18,0)),"")</f>
        <v/>
      </c>
      <c r="I67" s="15">
        <f>IFERROR(INDEX(Cluster_Master!$D$4:$D$18,MATCH($F67,Cluster_Master!$B$4:$B$18,0)),"")</f>
        <v/>
      </c>
      <c r="J67" s="15">
        <f>IFERROR(INDEX(Cluster_Master!$E$4:$E$18,MATCH($F67,Cluster_Master!$B$4:$B$18,0)),"")</f>
        <v/>
      </c>
      <c r="K67" s="15">
        <f>IFERROR(INDEX(Cluster_Master!$F$4:$F$18,MATCH($F67,Cluster_Master!$B$4:$B$18,0)),"")</f>
        <v/>
      </c>
      <c r="L67" s="15">
        <f>IFERROR(INDEX(Cluster_Master!$G$4:$G$18,MATCH($F67,Cluster_Master!$B$4:$B$18,0)),"")</f>
        <v/>
      </c>
      <c r="M67" s="15">
        <f>IFERROR(INDEX(Cluster_Master!$H$4:$H$18,MATCH($F67,Cluster_Master!$B$4:$B$18,0)),"")</f>
        <v/>
      </c>
      <c r="N67" s="41" t="n"/>
      <c r="O67" s="41" t="n"/>
      <c r="P67" s="41" t="n"/>
      <c r="Q67" s="41" t="n"/>
      <c r="R67" s="41" t="n"/>
      <c r="S67" s="41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15">
        <f>IF(COUNTA(T67:AH67)=0,"",SUM(T67:AH67))</f>
        <v/>
      </c>
      <c r="AJ67" s="21">
        <f>IF(COUNTA(T67:AH67)=0,"",AI67/(COUNT(KPI_Weights!$A$4:$A$18)*5))</f>
        <v/>
      </c>
      <c r="AK67" s="21">
        <f>IF(COUNTA(T67:AH67)=0,"",SUMPRODUCT(T67:AH67,KPI_Weights!$B$4:$B$18)/5)</f>
        <v/>
      </c>
      <c r="AL67" s="15">
        <f>IF(COUNTA(T67:AH67)=0,"",IF(SUMPRODUCT(--(T67:AH67&lt;=1),--(KPI_Weights!$C$4:$C$18="YES"))&gt;0,"YES","NO"))</f>
        <v/>
      </c>
      <c r="AM67" s="15">
        <f>IF(AJ67="","",IF(AND(AL67="NO",AJ67&gt;=0.75),"YES","NO"))</f>
        <v/>
      </c>
      <c r="AN67" s="15">
        <f>IF(AJ67="","",IF(AJ67&lt;0.4,"Critical",IF(AJ67&lt;0.6,"Poor",IF(AJ67&lt;0.75,"Needs Improvement",IF(AJ67&lt;0.9,"Good","Excellent")))))</f>
        <v/>
      </c>
      <c r="AO67" s="41" t="n"/>
      <c r="AP67" s="41" t="n"/>
      <c r="AQ67" s="41" t="n"/>
      <c r="AR67" s="41" t="n"/>
      <c r="AS67" s="41" t="n"/>
      <c r="AT67" s="44" t="n"/>
      <c r="AU67" s="41" t="n"/>
      <c r="AV67" s="43" t="n"/>
      <c r="AW67" s="41" t="n"/>
      <c r="AX67" s="44" t="n"/>
      <c r="AY67" s="44" t="n"/>
      <c r="AZ67" s="44" t="n"/>
      <c r="BA67" s="44" t="n"/>
      <c r="BB67" s="44" t="n"/>
      <c r="BC67" s="44" t="n"/>
      <c r="BD67" s="44" t="n"/>
      <c r="BE67" s="44" t="n"/>
      <c r="BF67" s="44" t="n"/>
    </row>
    <row r="68" ht="19.5" customHeight="1" s="45">
      <c r="A68" s="15">
        <f>IF($B68="","",TEXT($B68,"yyyymmdd")&amp;"-"&amp;SUBSTITUTE($F68," ","")&amp;"-"&amp;TEXT(COUNTIF($F$4:F68,$F68),"00"))</f>
        <v/>
      </c>
      <c r="B68" s="39" t="n"/>
      <c r="C68" s="15">
        <f>IF($B68="","",WEEKNUM($B68,2))</f>
        <v/>
      </c>
      <c r="D68" s="15">
        <f>IF($B68="","",TEXT($B68,"yyyy-mm"))</f>
        <v/>
      </c>
      <c r="E68" s="40" t="n"/>
      <c r="F68" s="40" t="n"/>
      <c r="G68" s="15">
        <f>IF(OR($E68="",$F68=""),"",IFERROR(IF($E68=INDEX(Cluster_Master!$A$4:$A$18,MATCH($F68,Cluster_Master!$B$4:$B$18,0)),"OK","CHECK"),"CHECK"))</f>
        <v/>
      </c>
      <c r="H68" s="18">
        <f>IFERROR(INDEX(Cluster_Master!$C$4:$C$18,MATCH($F68,Cluster_Master!$B$4:$B$18,0)),"")</f>
        <v/>
      </c>
      <c r="I68" s="15">
        <f>IFERROR(INDEX(Cluster_Master!$D$4:$D$18,MATCH($F68,Cluster_Master!$B$4:$B$18,0)),"")</f>
        <v/>
      </c>
      <c r="J68" s="15">
        <f>IFERROR(INDEX(Cluster_Master!$E$4:$E$18,MATCH($F68,Cluster_Master!$B$4:$B$18,0)),"")</f>
        <v/>
      </c>
      <c r="K68" s="15">
        <f>IFERROR(INDEX(Cluster_Master!$F$4:$F$18,MATCH($F68,Cluster_Master!$B$4:$B$18,0)),"")</f>
        <v/>
      </c>
      <c r="L68" s="15">
        <f>IFERROR(INDEX(Cluster_Master!$G$4:$G$18,MATCH($F68,Cluster_Master!$B$4:$B$18,0)),"")</f>
        <v/>
      </c>
      <c r="M68" s="15">
        <f>IFERROR(INDEX(Cluster_Master!$H$4:$H$18,MATCH($F68,Cluster_Master!$B$4:$B$18,0)),"")</f>
        <v/>
      </c>
      <c r="N68" s="41" t="n"/>
      <c r="O68" s="41" t="n"/>
      <c r="P68" s="41" t="n"/>
      <c r="Q68" s="41" t="n"/>
      <c r="R68" s="41" t="n"/>
      <c r="S68" s="41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15">
        <f>IF(COUNTA(T68:AH68)=0,"",SUM(T68:AH68))</f>
        <v/>
      </c>
      <c r="AJ68" s="21">
        <f>IF(COUNTA(T68:AH68)=0,"",AI68/(COUNT(KPI_Weights!$A$4:$A$18)*5))</f>
        <v/>
      </c>
      <c r="AK68" s="21">
        <f>IF(COUNTA(T68:AH68)=0,"",SUMPRODUCT(T68:AH68,KPI_Weights!$B$4:$B$18)/5)</f>
        <v/>
      </c>
      <c r="AL68" s="15">
        <f>IF(COUNTA(T68:AH68)=0,"",IF(SUMPRODUCT(--(T68:AH68&lt;=1),--(KPI_Weights!$C$4:$C$18="YES"))&gt;0,"YES","NO"))</f>
        <v/>
      </c>
      <c r="AM68" s="15">
        <f>IF(AJ68="","",IF(AND(AL68="NO",AJ68&gt;=0.75),"YES","NO"))</f>
        <v/>
      </c>
      <c r="AN68" s="15">
        <f>IF(AJ68="","",IF(AJ68&lt;0.4,"Critical",IF(AJ68&lt;0.6,"Poor",IF(AJ68&lt;0.75,"Needs Improvement",IF(AJ68&lt;0.9,"Good","Excellent")))))</f>
        <v/>
      </c>
      <c r="AO68" s="41" t="n"/>
      <c r="AP68" s="41" t="n"/>
      <c r="AQ68" s="41" t="n"/>
      <c r="AR68" s="41" t="n"/>
      <c r="AS68" s="41" t="n"/>
      <c r="AT68" s="44" t="n"/>
      <c r="AU68" s="41" t="n"/>
      <c r="AV68" s="43" t="n"/>
      <c r="AW68" s="41" t="n"/>
      <c r="AX68" s="44" t="n"/>
      <c r="AY68" s="44" t="n"/>
      <c r="AZ68" s="44" t="n"/>
      <c r="BA68" s="44" t="n"/>
      <c r="BB68" s="44" t="n"/>
      <c r="BC68" s="44" t="n"/>
      <c r="BD68" s="44" t="n"/>
      <c r="BE68" s="44" t="n"/>
      <c r="BF68" s="44" t="n"/>
    </row>
    <row r="69" ht="19.5" customHeight="1" s="45">
      <c r="A69" s="15">
        <f>IF($B69="","",TEXT($B69,"yyyymmdd")&amp;"-"&amp;SUBSTITUTE($F69," ","")&amp;"-"&amp;TEXT(COUNTIF($F$4:F69,$F69),"00"))</f>
        <v/>
      </c>
      <c r="B69" s="39" t="n"/>
      <c r="C69" s="15">
        <f>IF($B69="","",WEEKNUM($B69,2))</f>
        <v/>
      </c>
      <c r="D69" s="15">
        <f>IF($B69="","",TEXT($B69,"yyyy-mm"))</f>
        <v/>
      </c>
      <c r="E69" s="40" t="n"/>
      <c r="F69" s="40" t="n"/>
      <c r="G69" s="15">
        <f>IF(OR($E69="",$F69=""),"",IFERROR(IF($E69=INDEX(Cluster_Master!$A$4:$A$18,MATCH($F69,Cluster_Master!$B$4:$B$18,0)),"OK","CHECK"),"CHECK"))</f>
        <v/>
      </c>
      <c r="H69" s="18">
        <f>IFERROR(INDEX(Cluster_Master!$C$4:$C$18,MATCH($F69,Cluster_Master!$B$4:$B$18,0)),"")</f>
        <v/>
      </c>
      <c r="I69" s="15">
        <f>IFERROR(INDEX(Cluster_Master!$D$4:$D$18,MATCH($F69,Cluster_Master!$B$4:$B$18,0)),"")</f>
        <v/>
      </c>
      <c r="J69" s="15">
        <f>IFERROR(INDEX(Cluster_Master!$E$4:$E$18,MATCH($F69,Cluster_Master!$B$4:$B$18,0)),"")</f>
        <v/>
      </c>
      <c r="K69" s="15">
        <f>IFERROR(INDEX(Cluster_Master!$F$4:$F$18,MATCH($F69,Cluster_Master!$B$4:$B$18,0)),"")</f>
        <v/>
      </c>
      <c r="L69" s="15">
        <f>IFERROR(INDEX(Cluster_Master!$G$4:$G$18,MATCH($F69,Cluster_Master!$B$4:$B$18,0)),"")</f>
        <v/>
      </c>
      <c r="M69" s="15">
        <f>IFERROR(INDEX(Cluster_Master!$H$4:$H$18,MATCH($F69,Cluster_Master!$B$4:$B$18,0)),"")</f>
        <v/>
      </c>
      <c r="N69" s="41" t="n"/>
      <c r="O69" s="41" t="n"/>
      <c r="P69" s="41" t="n"/>
      <c r="Q69" s="41" t="n"/>
      <c r="R69" s="41" t="n"/>
      <c r="S69" s="41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15">
        <f>IF(COUNTA(T69:AH69)=0,"",SUM(T69:AH69))</f>
        <v/>
      </c>
      <c r="AJ69" s="21">
        <f>IF(COUNTA(T69:AH69)=0,"",AI69/(COUNT(KPI_Weights!$A$4:$A$18)*5))</f>
        <v/>
      </c>
      <c r="AK69" s="21">
        <f>IF(COUNTA(T69:AH69)=0,"",SUMPRODUCT(T69:AH69,KPI_Weights!$B$4:$B$18)/5)</f>
        <v/>
      </c>
      <c r="AL69" s="15">
        <f>IF(COUNTA(T69:AH69)=0,"",IF(SUMPRODUCT(--(T69:AH69&lt;=1),--(KPI_Weights!$C$4:$C$18="YES"))&gt;0,"YES","NO"))</f>
        <v/>
      </c>
      <c r="AM69" s="15">
        <f>IF(AJ69="","",IF(AND(AL69="NO",AJ69&gt;=0.75),"YES","NO"))</f>
        <v/>
      </c>
      <c r="AN69" s="15">
        <f>IF(AJ69="","",IF(AJ69&lt;0.4,"Critical",IF(AJ69&lt;0.6,"Poor",IF(AJ69&lt;0.75,"Needs Improvement",IF(AJ69&lt;0.9,"Good","Excellent")))))</f>
        <v/>
      </c>
      <c r="AO69" s="41" t="n"/>
      <c r="AP69" s="41" t="n"/>
      <c r="AQ69" s="41" t="n"/>
      <c r="AR69" s="41" t="n"/>
      <c r="AS69" s="41" t="n"/>
      <c r="AT69" s="44" t="n"/>
      <c r="AU69" s="41" t="n"/>
      <c r="AV69" s="43" t="n"/>
      <c r="AW69" s="41" t="n"/>
      <c r="AX69" s="44" t="n"/>
      <c r="AY69" s="44" t="n"/>
      <c r="AZ69" s="44" t="n"/>
      <c r="BA69" s="44" t="n"/>
      <c r="BB69" s="44" t="n"/>
      <c r="BC69" s="44" t="n"/>
      <c r="BD69" s="44" t="n"/>
      <c r="BE69" s="44" t="n"/>
      <c r="BF69" s="44" t="n"/>
    </row>
    <row r="70" ht="19.5" customHeight="1" s="45">
      <c r="A70" s="15">
        <f>IF($B70="","",TEXT($B70,"yyyymmdd")&amp;"-"&amp;SUBSTITUTE($F70," ","")&amp;"-"&amp;TEXT(COUNTIF($F$4:F70,$F70),"00"))</f>
        <v/>
      </c>
      <c r="B70" s="39" t="n"/>
      <c r="C70" s="15">
        <f>IF($B70="","",WEEKNUM($B70,2))</f>
        <v/>
      </c>
      <c r="D70" s="15">
        <f>IF($B70="","",TEXT($B70,"yyyy-mm"))</f>
        <v/>
      </c>
      <c r="E70" s="40" t="n"/>
      <c r="F70" s="40" t="n"/>
      <c r="G70" s="15">
        <f>IF(OR($E70="",$F70=""),"",IFERROR(IF($E70=INDEX(Cluster_Master!$A$4:$A$18,MATCH($F70,Cluster_Master!$B$4:$B$18,0)),"OK","CHECK"),"CHECK"))</f>
        <v/>
      </c>
      <c r="H70" s="18">
        <f>IFERROR(INDEX(Cluster_Master!$C$4:$C$18,MATCH($F70,Cluster_Master!$B$4:$B$18,0)),"")</f>
        <v/>
      </c>
      <c r="I70" s="15">
        <f>IFERROR(INDEX(Cluster_Master!$D$4:$D$18,MATCH($F70,Cluster_Master!$B$4:$B$18,0)),"")</f>
        <v/>
      </c>
      <c r="J70" s="15">
        <f>IFERROR(INDEX(Cluster_Master!$E$4:$E$18,MATCH($F70,Cluster_Master!$B$4:$B$18,0)),"")</f>
        <v/>
      </c>
      <c r="K70" s="15">
        <f>IFERROR(INDEX(Cluster_Master!$F$4:$F$18,MATCH($F70,Cluster_Master!$B$4:$B$18,0)),"")</f>
        <v/>
      </c>
      <c r="L70" s="15">
        <f>IFERROR(INDEX(Cluster_Master!$G$4:$G$18,MATCH($F70,Cluster_Master!$B$4:$B$18,0)),"")</f>
        <v/>
      </c>
      <c r="M70" s="15">
        <f>IFERROR(INDEX(Cluster_Master!$H$4:$H$18,MATCH($F70,Cluster_Master!$B$4:$B$18,0)),"")</f>
        <v/>
      </c>
      <c r="N70" s="41" t="n"/>
      <c r="O70" s="41" t="n"/>
      <c r="P70" s="41" t="n"/>
      <c r="Q70" s="41" t="n"/>
      <c r="R70" s="41" t="n"/>
      <c r="S70" s="41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15">
        <f>IF(COUNTA(T70:AH70)=0,"",SUM(T70:AH70))</f>
        <v/>
      </c>
      <c r="AJ70" s="21">
        <f>IF(COUNTA(T70:AH70)=0,"",AI70/(COUNT(KPI_Weights!$A$4:$A$18)*5))</f>
        <v/>
      </c>
      <c r="AK70" s="21">
        <f>IF(COUNTA(T70:AH70)=0,"",SUMPRODUCT(T70:AH70,KPI_Weights!$B$4:$B$18)/5)</f>
        <v/>
      </c>
      <c r="AL70" s="15">
        <f>IF(COUNTA(T70:AH70)=0,"",IF(SUMPRODUCT(--(T70:AH70&lt;=1),--(KPI_Weights!$C$4:$C$18="YES"))&gt;0,"YES","NO"))</f>
        <v/>
      </c>
      <c r="AM70" s="15">
        <f>IF(AJ70="","",IF(AND(AL70="NO",AJ70&gt;=0.75),"YES","NO"))</f>
        <v/>
      </c>
      <c r="AN70" s="15">
        <f>IF(AJ70="","",IF(AJ70&lt;0.4,"Critical",IF(AJ70&lt;0.6,"Poor",IF(AJ70&lt;0.75,"Needs Improvement",IF(AJ70&lt;0.9,"Good","Excellent")))))</f>
        <v/>
      </c>
      <c r="AO70" s="41" t="n"/>
      <c r="AP70" s="41" t="n"/>
      <c r="AQ70" s="41" t="n"/>
      <c r="AR70" s="41" t="n"/>
      <c r="AS70" s="41" t="n"/>
      <c r="AT70" s="44" t="n"/>
      <c r="AU70" s="41" t="n"/>
      <c r="AV70" s="43" t="n"/>
      <c r="AW70" s="41" t="n"/>
      <c r="AX70" s="44" t="n"/>
      <c r="AY70" s="44" t="n"/>
      <c r="AZ70" s="44" t="n"/>
      <c r="BA70" s="44" t="n"/>
      <c r="BB70" s="44" t="n"/>
      <c r="BC70" s="44" t="n"/>
      <c r="BD70" s="44" t="n"/>
      <c r="BE70" s="44" t="n"/>
      <c r="BF70" s="44" t="n"/>
    </row>
    <row r="71" ht="19.5" customHeight="1" s="45">
      <c r="A71" s="15">
        <f>IF($B71="","",TEXT($B71,"yyyymmdd")&amp;"-"&amp;SUBSTITUTE($F71," ","")&amp;"-"&amp;TEXT(COUNTIF($F$4:F71,$F71),"00"))</f>
        <v/>
      </c>
      <c r="B71" s="39" t="n"/>
      <c r="C71" s="15">
        <f>IF($B71="","",WEEKNUM($B71,2))</f>
        <v/>
      </c>
      <c r="D71" s="15">
        <f>IF($B71="","",TEXT($B71,"yyyy-mm"))</f>
        <v/>
      </c>
      <c r="E71" s="40" t="n"/>
      <c r="F71" s="40" t="n"/>
      <c r="G71" s="15">
        <f>IF(OR($E71="",$F71=""),"",IFERROR(IF($E71=INDEX(Cluster_Master!$A$4:$A$18,MATCH($F71,Cluster_Master!$B$4:$B$18,0)),"OK","CHECK"),"CHECK"))</f>
        <v/>
      </c>
      <c r="H71" s="18">
        <f>IFERROR(INDEX(Cluster_Master!$C$4:$C$18,MATCH($F71,Cluster_Master!$B$4:$B$18,0)),"")</f>
        <v/>
      </c>
      <c r="I71" s="15">
        <f>IFERROR(INDEX(Cluster_Master!$D$4:$D$18,MATCH($F71,Cluster_Master!$B$4:$B$18,0)),"")</f>
        <v/>
      </c>
      <c r="J71" s="15">
        <f>IFERROR(INDEX(Cluster_Master!$E$4:$E$18,MATCH($F71,Cluster_Master!$B$4:$B$18,0)),"")</f>
        <v/>
      </c>
      <c r="K71" s="15">
        <f>IFERROR(INDEX(Cluster_Master!$F$4:$F$18,MATCH($F71,Cluster_Master!$B$4:$B$18,0)),"")</f>
        <v/>
      </c>
      <c r="L71" s="15">
        <f>IFERROR(INDEX(Cluster_Master!$G$4:$G$18,MATCH($F71,Cluster_Master!$B$4:$B$18,0)),"")</f>
        <v/>
      </c>
      <c r="M71" s="15">
        <f>IFERROR(INDEX(Cluster_Master!$H$4:$H$18,MATCH($F71,Cluster_Master!$B$4:$B$18,0)),"")</f>
        <v/>
      </c>
      <c r="N71" s="41" t="n"/>
      <c r="O71" s="41" t="n"/>
      <c r="P71" s="41" t="n"/>
      <c r="Q71" s="41" t="n"/>
      <c r="R71" s="41" t="n"/>
      <c r="S71" s="41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15">
        <f>IF(COUNTA(T71:AH71)=0,"",SUM(T71:AH71))</f>
        <v/>
      </c>
      <c r="AJ71" s="21">
        <f>IF(COUNTA(T71:AH71)=0,"",AI71/(COUNT(KPI_Weights!$A$4:$A$18)*5))</f>
        <v/>
      </c>
      <c r="AK71" s="21">
        <f>IF(COUNTA(T71:AH71)=0,"",SUMPRODUCT(T71:AH71,KPI_Weights!$B$4:$B$18)/5)</f>
        <v/>
      </c>
      <c r="AL71" s="15">
        <f>IF(COUNTA(T71:AH71)=0,"",IF(SUMPRODUCT(--(T71:AH71&lt;=1),--(KPI_Weights!$C$4:$C$18="YES"))&gt;0,"YES","NO"))</f>
        <v/>
      </c>
      <c r="AM71" s="15">
        <f>IF(AJ71="","",IF(AND(AL71="NO",AJ71&gt;=0.75),"YES","NO"))</f>
        <v/>
      </c>
      <c r="AN71" s="15">
        <f>IF(AJ71="","",IF(AJ71&lt;0.4,"Critical",IF(AJ71&lt;0.6,"Poor",IF(AJ71&lt;0.75,"Needs Improvement",IF(AJ71&lt;0.9,"Good","Excellent")))))</f>
        <v/>
      </c>
      <c r="AO71" s="41" t="n"/>
      <c r="AP71" s="41" t="n"/>
      <c r="AQ71" s="41" t="n"/>
      <c r="AR71" s="41" t="n"/>
      <c r="AS71" s="41" t="n"/>
      <c r="AT71" s="44" t="n"/>
      <c r="AU71" s="41" t="n"/>
      <c r="AV71" s="43" t="n"/>
      <c r="AW71" s="41" t="n"/>
      <c r="AX71" s="44" t="n"/>
      <c r="AY71" s="44" t="n"/>
      <c r="AZ71" s="44" t="n"/>
      <c r="BA71" s="44" t="n"/>
      <c r="BB71" s="44" t="n"/>
      <c r="BC71" s="44" t="n"/>
      <c r="BD71" s="44" t="n"/>
      <c r="BE71" s="44" t="n"/>
      <c r="BF71" s="44" t="n"/>
    </row>
    <row r="72" ht="19.5" customHeight="1" s="45">
      <c r="A72" s="15">
        <f>IF($B72="","",TEXT($B72,"yyyymmdd")&amp;"-"&amp;SUBSTITUTE($F72," ","")&amp;"-"&amp;TEXT(COUNTIF($F$4:F72,$F72),"00"))</f>
        <v/>
      </c>
      <c r="B72" s="39" t="n"/>
      <c r="C72" s="15">
        <f>IF($B72="","",WEEKNUM($B72,2))</f>
        <v/>
      </c>
      <c r="D72" s="15">
        <f>IF($B72="","",TEXT($B72,"yyyy-mm"))</f>
        <v/>
      </c>
      <c r="E72" s="40" t="n"/>
      <c r="F72" s="40" t="n"/>
      <c r="G72" s="15">
        <f>IF(OR($E72="",$F72=""),"",IFERROR(IF($E72=INDEX(Cluster_Master!$A$4:$A$18,MATCH($F72,Cluster_Master!$B$4:$B$18,0)),"OK","CHECK"),"CHECK"))</f>
        <v/>
      </c>
      <c r="H72" s="18">
        <f>IFERROR(INDEX(Cluster_Master!$C$4:$C$18,MATCH($F72,Cluster_Master!$B$4:$B$18,0)),"")</f>
        <v/>
      </c>
      <c r="I72" s="15">
        <f>IFERROR(INDEX(Cluster_Master!$D$4:$D$18,MATCH($F72,Cluster_Master!$B$4:$B$18,0)),"")</f>
        <v/>
      </c>
      <c r="J72" s="15">
        <f>IFERROR(INDEX(Cluster_Master!$E$4:$E$18,MATCH($F72,Cluster_Master!$B$4:$B$18,0)),"")</f>
        <v/>
      </c>
      <c r="K72" s="15">
        <f>IFERROR(INDEX(Cluster_Master!$F$4:$F$18,MATCH($F72,Cluster_Master!$B$4:$B$18,0)),"")</f>
        <v/>
      </c>
      <c r="L72" s="15">
        <f>IFERROR(INDEX(Cluster_Master!$G$4:$G$18,MATCH($F72,Cluster_Master!$B$4:$B$18,0)),"")</f>
        <v/>
      </c>
      <c r="M72" s="15">
        <f>IFERROR(INDEX(Cluster_Master!$H$4:$H$18,MATCH($F72,Cluster_Master!$B$4:$B$18,0)),"")</f>
        <v/>
      </c>
      <c r="N72" s="41" t="n"/>
      <c r="O72" s="41" t="n"/>
      <c r="P72" s="41" t="n"/>
      <c r="Q72" s="41" t="n"/>
      <c r="R72" s="41" t="n"/>
      <c r="S72" s="41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15">
        <f>IF(COUNTA(T72:AH72)=0,"",SUM(T72:AH72))</f>
        <v/>
      </c>
      <c r="AJ72" s="21">
        <f>IF(COUNTA(T72:AH72)=0,"",AI72/(COUNT(KPI_Weights!$A$4:$A$18)*5))</f>
        <v/>
      </c>
      <c r="AK72" s="21">
        <f>IF(COUNTA(T72:AH72)=0,"",SUMPRODUCT(T72:AH72,KPI_Weights!$B$4:$B$18)/5)</f>
        <v/>
      </c>
      <c r="AL72" s="15">
        <f>IF(COUNTA(T72:AH72)=0,"",IF(SUMPRODUCT(--(T72:AH72&lt;=1),--(KPI_Weights!$C$4:$C$18="YES"))&gt;0,"YES","NO"))</f>
        <v/>
      </c>
      <c r="AM72" s="15">
        <f>IF(AJ72="","",IF(AND(AL72="NO",AJ72&gt;=0.75),"YES","NO"))</f>
        <v/>
      </c>
      <c r="AN72" s="15">
        <f>IF(AJ72="","",IF(AJ72&lt;0.4,"Critical",IF(AJ72&lt;0.6,"Poor",IF(AJ72&lt;0.75,"Needs Improvement",IF(AJ72&lt;0.9,"Good","Excellent")))))</f>
        <v/>
      </c>
      <c r="AO72" s="41" t="n"/>
      <c r="AP72" s="41" t="n"/>
      <c r="AQ72" s="41" t="n"/>
      <c r="AR72" s="41" t="n"/>
      <c r="AS72" s="41" t="n"/>
      <c r="AT72" s="44" t="n"/>
      <c r="AU72" s="41" t="n"/>
      <c r="AV72" s="43" t="n"/>
      <c r="AW72" s="41" t="n"/>
      <c r="AX72" s="44" t="n"/>
      <c r="AY72" s="44" t="n"/>
      <c r="AZ72" s="44" t="n"/>
      <c r="BA72" s="44" t="n"/>
      <c r="BB72" s="44" t="n"/>
      <c r="BC72" s="44" t="n"/>
      <c r="BD72" s="44" t="n"/>
      <c r="BE72" s="44" t="n"/>
      <c r="BF72" s="44" t="n"/>
    </row>
    <row r="73" ht="19.5" customHeight="1" s="45">
      <c r="A73" s="15">
        <f>IF($B73="","",TEXT($B73,"yyyymmdd")&amp;"-"&amp;SUBSTITUTE($F73," ","")&amp;"-"&amp;TEXT(COUNTIF($F$4:F73,$F73),"00"))</f>
        <v/>
      </c>
      <c r="B73" s="39" t="n"/>
      <c r="C73" s="15">
        <f>IF($B73="","",WEEKNUM($B73,2))</f>
        <v/>
      </c>
      <c r="D73" s="15">
        <f>IF($B73="","",TEXT($B73,"yyyy-mm"))</f>
        <v/>
      </c>
      <c r="E73" s="40" t="n"/>
      <c r="F73" s="40" t="n"/>
      <c r="G73" s="15">
        <f>IF(OR($E73="",$F73=""),"",IFERROR(IF($E73=INDEX(Cluster_Master!$A$4:$A$18,MATCH($F73,Cluster_Master!$B$4:$B$18,0)),"OK","CHECK"),"CHECK"))</f>
        <v/>
      </c>
      <c r="H73" s="18">
        <f>IFERROR(INDEX(Cluster_Master!$C$4:$C$18,MATCH($F73,Cluster_Master!$B$4:$B$18,0)),"")</f>
        <v/>
      </c>
      <c r="I73" s="15">
        <f>IFERROR(INDEX(Cluster_Master!$D$4:$D$18,MATCH($F73,Cluster_Master!$B$4:$B$18,0)),"")</f>
        <v/>
      </c>
      <c r="J73" s="15">
        <f>IFERROR(INDEX(Cluster_Master!$E$4:$E$18,MATCH($F73,Cluster_Master!$B$4:$B$18,0)),"")</f>
        <v/>
      </c>
      <c r="K73" s="15">
        <f>IFERROR(INDEX(Cluster_Master!$F$4:$F$18,MATCH($F73,Cluster_Master!$B$4:$B$18,0)),"")</f>
        <v/>
      </c>
      <c r="L73" s="15">
        <f>IFERROR(INDEX(Cluster_Master!$G$4:$G$18,MATCH($F73,Cluster_Master!$B$4:$B$18,0)),"")</f>
        <v/>
      </c>
      <c r="M73" s="15">
        <f>IFERROR(INDEX(Cluster_Master!$H$4:$H$18,MATCH($F73,Cluster_Master!$B$4:$B$18,0)),"")</f>
        <v/>
      </c>
      <c r="N73" s="41" t="n"/>
      <c r="O73" s="41" t="n"/>
      <c r="P73" s="41" t="n"/>
      <c r="Q73" s="41" t="n"/>
      <c r="R73" s="41" t="n"/>
      <c r="S73" s="41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15">
        <f>IF(COUNTA(T73:AH73)=0,"",SUM(T73:AH73))</f>
        <v/>
      </c>
      <c r="AJ73" s="21">
        <f>IF(COUNTA(T73:AH73)=0,"",AI73/(COUNT(KPI_Weights!$A$4:$A$18)*5))</f>
        <v/>
      </c>
      <c r="AK73" s="21">
        <f>IF(COUNTA(T73:AH73)=0,"",SUMPRODUCT(T73:AH73,KPI_Weights!$B$4:$B$18)/5)</f>
        <v/>
      </c>
      <c r="AL73" s="15">
        <f>IF(COUNTA(T73:AH73)=0,"",IF(SUMPRODUCT(--(T73:AH73&lt;=1),--(KPI_Weights!$C$4:$C$18="YES"))&gt;0,"YES","NO"))</f>
        <v/>
      </c>
      <c r="AM73" s="15">
        <f>IF(AJ73="","",IF(AND(AL73="NO",AJ73&gt;=0.75),"YES","NO"))</f>
        <v/>
      </c>
      <c r="AN73" s="15">
        <f>IF(AJ73="","",IF(AJ73&lt;0.4,"Critical",IF(AJ73&lt;0.6,"Poor",IF(AJ73&lt;0.75,"Needs Improvement",IF(AJ73&lt;0.9,"Good","Excellent")))))</f>
        <v/>
      </c>
      <c r="AO73" s="41" t="n"/>
      <c r="AP73" s="41" t="n"/>
      <c r="AQ73" s="41" t="n"/>
      <c r="AR73" s="41" t="n"/>
      <c r="AS73" s="41" t="n"/>
      <c r="AT73" s="44" t="n"/>
      <c r="AU73" s="41" t="n"/>
      <c r="AV73" s="43" t="n"/>
      <c r="AW73" s="41" t="n"/>
      <c r="AX73" s="44" t="n"/>
      <c r="AY73" s="44" t="n"/>
      <c r="AZ73" s="44" t="n"/>
      <c r="BA73" s="44" t="n"/>
      <c r="BB73" s="44" t="n"/>
      <c r="BC73" s="44" t="n"/>
      <c r="BD73" s="44" t="n"/>
      <c r="BE73" s="44" t="n"/>
      <c r="BF73" s="44" t="n"/>
    </row>
    <row r="74" ht="19.5" customHeight="1" s="45">
      <c r="A74" s="15">
        <f>IF($B74="","",TEXT($B74,"yyyymmdd")&amp;"-"&amp;SUBSTITUTE($F74," ","")&amp;"-"&amp;TEXT(COUNTIF($F$4:F74,$F74),"00"))</f>
        <v/>
      </c>
      <c r="B74" s="39" t="n"/>
      <c r="C74" s="15">
        <f>IF($B74="","",WEEKNUM($B74,2))</f>
        <v/>
      </c>
      <c r="D74" s="15">
        <f>IF($B74="","",TEXT($B74,"yyyy-mm"))</f>
        <v/>
      </c>
      <c r="E74" s="40" t="n"/>
      <c r="F74" s="40" t="n"/>
      <c r="G74" s="15">
        <f>IF(OR($E74="",$F74=""),"",IFERROR(IF($E74=INDEX(Cluster_Master!$A$4:$A$18,MATCH($F74,Cluster_Master!$B$4:$B$18,0)),"OK","CHECK"),"CHECK"))</f>
        <v/>
      </c>
      <c r="H74" s="18">
        <f>IFERROR(INDEX(Cluster_Master!$C$4:$C$18,MATCH($F74,Cluster_Master!$B$4:$B$18,0)),"")</f>
        <v/>
      </c>
      <c r="I74" s="15">
        <f>IFERROR(INDEX(Cluster_Master!$D$4:$D$18,MATCH($F74,Cluster_Master!$B$4:$B$18,0)),"")</f>
        <v/>
      </c>
      <c r="J74" s="15">
        <f>IFERROR(INDEX(Cluster_Master!$E$4:$E$18,MATCH($F74,Cluster_Master!$B$4:$B$18,0)),"")</f>
        <v/>
      </c>
      <c r="K74" s="15">
        <f>IFERROR(INDEX(Cluster_Master!$F$4:$F$18,MATCH($F74,Cluster_Master!$B$4:$B$18,0)),"")</f>
        <v/>
      </c>
      <c r="L74" s="15">
        <f>IFERROR(INDEX(Cluster_Master!$G$4:$G$18,MATCH($F74,Cluster_Master!$B$4:$B$18,0)),"")</f>
        <v/>
      </c>
      <c r="M74" s="15">
        <f>IFERROR(INDEX(Cluster_Master!$H$4:$H$18,MATCH($F74,Cluster_Master!$B$4:$B$18,0)),"")</f>
        <v/>
      </c>
      <c r="N74" s="41" t="n"/>
      <c r="O74" s="41" t="n"/>
      <c r="P74" s="41" t="n"/>
      <c r="Q74" s="41" t="n"/>
      <c r="R74" s="41" t="n"/>
      <c r="S74" s="41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15">
        <f>IF(COUNTA(T74:AH74)=0,"",SUM(T74:AH74))</f>
        <v/>
      </c>
      <c r="AJ74" s="21">
        <f>IF(COUNTA(T74:AH74)=0,"",AI74/(COUNT(KPI_Weights!$A$4:$A$18)*5))</f>
        <v/>
      </c>
      <c r="AK74" s="21">
        <f>IF(COUNTA(T74:AH74)=0,"",SUMPRODUCT(T74:AH74,KPI_Weights!$B$4:$B$18)/5)</f>
        <v/>
      </c>
      <c r="AL74" s="15">
        <f>IF(COUNTA(T74:AH74)=0,"",IF(SUMPRODUCT(--(T74:AH74&lt;=1),--(KPI_Weights!$C$4:$C$18="YES"))&gt;0,"YES","NO"))</f>
        <v/>
      </c>
      <c r="AM74" s="15">
        <f>IF(AJ74="","",IF(AND(AL74="NO",AJ74&gt;=0.75),"YES","NO"))</f>
        <v/>
      </c>
      <c r="AN74" s="15">
        <f>IF(AJ74="","",IF(AJ74&lt;0.4,"Critical",IF(AJ74&lt;0.6,"Poor",IF(AJ74&lt;0.75,"Needs Improvement",IF(AJ74&lt;0.9,"Good","Excellent")))))</f>
        <v/>
      </c>
      <c r="AO74" s="41" t="n"/>
      <c r="AP74" s="41" t="n"/>
      <c r="AQ74" s="41" t="n"/>
      <c r="AR74" s="41" t="n"/>
      <c r="AS74" s="41" t="n"/>
      <c r="AT74" s="44" t="n"/>
      <c r="AU74" s="41" t="n"/>
      <c r="AV74" s="43" t="n"/>
      <c r="AW74" s="41" t="n"/>
      <c r="AX74" s="44" t="n"/>
      <c r="AY74" s="44" t="n"/>
      <c r="AZ74" s="44" t="n"/>
      <c r="BA74" s="44" t="n"/>
      <c r="BB74" s="44" t="n"/>
      <c r="BC74" s="44" t="n"/>
      <c r="BD74" s="44" t="n"/>
      <c r="BE74" s="44" t="n"/>
      <c r="BF74" s="44" t="n"/>
    </row>
    <row r="75" ht="19.5" customHeight="1" s="45">
      <c r="A75" s="15">
        <f>IF($B75="","",TEXT($B75,"yyyymmdd")&amp;"-"&amp;SUBSTITUTE($F75," ","")&amp;"-"&amp;TEXT(COUNTIF($F$4:F75,$F75),"00"))</f>
        <v/>
      </c>
      <c r="B75" s="39" t="n"/>
      <c r="C75" s="15">
        <f>IF($B75="","",WEEKNUM($B75,2))</f>
        <v/>
      </c>
      <c r="D75" s="15">
        <f>IF($B75="","",TEXT($B75,"yyyy-mm"))</f>
        <v/>
      </c>
      <c r="E75" s="40" t="n"/>
      <c r="F75" s="40" t="n"/>
      <c r="G75" s="15">
        <f>IF(OR($E75="",$F75=""),"",IFERROR(IF($E75=INDEX(Cluster_Master!$A$4:$A$18,MATCH($F75,Cluster_Master!$B$4:$B$18,0)),"OK","CHECK"),"CHECK"))</f>
        <v/>
      </c>
      <c r="H75" s="18">
        <f>IFERROR(INDEX(Cluster_Master!$C$4:$C$18,MATCH($F75,Cluster_Master!$B$4:$B$18,0)),"")</f>
        <v/>
      </c>
      <c r="I75" s="15">
        <f>IFERROR(INDEX(Cluster_Master!$D$4:$D$18,MATCH($F75,Cluster_Master!$B$4:$B$18,0)),"")</f>
        <v/>
      </c>
      <c r="J75" s="15">
        <f>IFERROR(INDEX(Cluster_Master!$E$4:$E$18,MATCH($F75,Cluster_Master!$B$4:$B$18,0)),"")</f>
        <v/>
      </c>
      <c r="K75" s="15">
        <f>IFERROR(INDEX(Cluster_Master!$F$4:$F$18,MATCH($F75,Cluster_Master!$B$4:$B$18,0)),"")</f>
        <v/>
      </c>
      <c r="L75" s="15">
        <f>IFERROR(INDEX(Cluster_Master!$G$4:$G$18,MATCH($F75,Cluster_Master!$B$4:$B$18,0)),"")</f>
        <v/>
      </c>
      <c r="M75" s="15">
        <f>IFERROR(INDEX(Cluster_Master!$H$4:$H$18,MATCH($F75,Cluster_Master!$B$4:$B$18,0)),"")</f>
        <v/>
      </c>
      <c r="N75" s="41" t="n"/>
      <c r="O75" s="41" t="n"/>
      <c r="P75" s="41" t="n"/>
      <c r="Q75" s="41" t="n"/>
      <c r="R75" s="41" t="n"/>
      <c r="S75" s="41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15">
        <f>IF(COUNTA(T75:AH75)=0,"",SUM(T75:AH75))</f>
        <v/>
      </c>
      <c r="AJ75" s="21">
        <f>IF(COUNTA(T75:AH75)=0,"",AI75/(COUNT(KPI_Weights!$A$4:$A$18)*5))</f>
        <v/>
      </c>
      <c r="AK75" s="21">
        <f>IF(COUNTA(T75:AH75)=0,"",SUMPRODUCT(T75:AH75,KPI_Weights!$B$4:$B$18)/5)</f>
        <v/>
      </c>
      <c r="AL75" s="15">
        <f>IF(COUNTA(T75:AH75)=0,"",IF(SUMPRODUCT(--(T75:AH75&lt;=1),--(KPI_Weights!$C$4:$C$18="YES"))&gt;0,"YES","NO"))</f>
        <v/>
      </c>
      <c r="AM75" s="15">
        <f>IF(AJ75="","",IF(AND(AL75="NO",AJ75&gt;=0.75),"YES","NO"))</f>
        <v/>
      </c>
      <c r="AN75" s="15">
        <f>IF(AJ75="","",IF(AJ75&lt;0.4,"Critical",IF(AJ75&lt;0.6,"Poor",IF(AJ75&lt;0.75,"Needs Improvement",IF(AJ75&lt;0.9,"Good","Excellent")))))</f>
        <v/>
      </c>
      <c r="AO75" s="41" t="n"/>
      <c r="AP75" s="41" t="n"/>
      <c r="AQ75" s="41" t="n"/>
      <c r="AR75" s="41" t="n"/>
      <c r="AS75" s="41" t="n"/>
      <c r="AT75" s="44" t="n"/>
      <c r="AU75" s="41" t="n"/>
      <c r="AV75" s="43" t="n"/>
      <c r="AW75" s="41" t="n"/>
      <c r="AX75" s="44" t="n"/>
      <c r="AY75" s="44" t="n"/>
      <c r="AZ75" s="44" t="n"/>
      <c r="BA75" s="44" t="n"/>
      <c r="BB75" s="44" t="n"/>
      <c r="BC75" s="44" t="n"/>
      <c r="BD75" s="44" t="n"/>
      <c r="BE75" s="44" t="n"/>
      <c r="BF75" s="44" t="n"/>
    </row>
    <row r="76" ht="19.5" customHeight="1" s="45">
      <c r="A76" s="15">
        <f>IF($B76="","",TEXT($B76,"yyyymmdd")&amp;"-"&amp;SUBSTITUTE($F76," ","")&amp;"-"&amp;TEXT(COUNTIF($F$4:F76,$F76),"00"))</f>
        <v/>
      </c>
      <c r="B76" s="39" t="n"/>
      <c r="C76" s="15">
        <f>IF($B76="","",WEEKNUM($B76,2))</f>
        <v/>
      </c>
      <c r="D76" s="15">
        <f>IF($B76="","",TEXT($B76,"yyyy-mm"))</f>
        <v/>
      </c>
      <c r="E76" s="40" t="n"/>
      <c r="F76" s="40" t="n"/>
      <c r="G76" s="15">
        <f>IF(OR($E76="",$F76=""),"",IFERROR(IF($E76=INDEX(Cluster_Master!$A$4:$A$18,MATCH($F76,Cluster_Master!$B$4:$B$18,0)),"OK","CHECK"),"CHECK"))</f>
        <v/>
      </c>
      <c r="H76" s="18">
        <f>IFERROR(INDEX(Cluster_Master!$C$4:$C$18,MATCH($F76,Cluster_Master!$B$4:$B$18,0)),"")</f>
        <v/>
      </c>
      <c r="I76" s="15">
        <f>IFERROR(INDEX(Cluster_Master!$D$4:$D$18,MATCH($F76,Cluster_Master!$B$4:$B$18,0)),"")</f>
        <v/>
      </c>
      <c r="J76" s="15">
        <f>IFERROR(INDEX(Cluster_Master!$E$4:$E$18,MATCH($F76,Cluster_Master!$B$4:$B$18,0)),"")</f>
        <v/>
      </c>
      <c r="K76" s="15">
        <f>IFERROR(INDEX(Cluster_Master!$F$4:$F$18,MATCH($F76,Cluster_Master!$B$4:$B$18,0)),"")</f>
        <v/>
      </c>
      <c r="L76" s="15">
        <f>IFERROR(INDEX(Cluster_Master!$G$4:$G$18,MATCH($F76,Cluster_Master!$B$4:$B$18,0)),"")</f>
        <v/>
      </c>
      <c r="M76" s="15">
        <f>IFERROR(INDEX(Cluster_Master!$H$4:$H$18,MATCH($F76,Cluster_Master!$B$4:$B$18,0)),"")</f>
        <v/>
      </c>
      <c r="N76" s="41" t="n"/>
      <c r="O76" s="41" t="n"/>
      <c r="P76" s="41" t="n"/>
      <c r="Q76" s="41" t="n"/>
      <c r="R76" s="41" t="n"/>
      <c r="S76" s="41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15">
        <f>IF(COUNTA(T76:AH76)=0,"",SUM(T76:AH76))</f>
        <v/>
      </c>
      <c r="AJ76" s="21">
        <f>IF(COUNTA(T76:AH76)=0,"",AI76/(COUNT(KPI_Weights!$A$4:$A$18)*5))</f>
        <v/>
      </c>
      <c r="AK76" s="21">
        <f>IF(COUNTA(T76:AH76)=0,"",SUMPRODUCT(T76:AH76,KPI_Weights!$B$4:$B$18)/5)</f>
        <v/>
      </c>
      <c r="AL76" s="15">
        <f>IF(COUNTA(T76:AH76)=0,"",IF(SUMPRODUCT(--(T76:AH76&lt;=1),--(KPI_Weights!$C$4:$C$18="YES"))&gt;0,"YES","NO"))</f>
        <v/>
      </c>
      <c r="AM76" s="15">
        <f>IF(AJ76="","",IF(AND(AL76="NO",AJ76&gt;=0.75),"YES","NO"))</f>
        <v/>
      </c>
      <c r="AN76" s="15">
        <f>IF(AJ76="","",IF(AJ76&lt;0.4,"Critical",IF(AJ76&lt;0.6,"Poor",IF(AJ76&lt;0.75,"Needs Improvement",IF(AJ76&lt;0.9,"Good","Excellent")))))</f>
        <v/>
      </c>
      <c r="AO76" s="41" t="n"/>
      <c r="AP76" s="41" t="n"/>
      <c r="AQ76" s="41" t="n"/>
      <c r="AR76" s="41" t="n"/>
      <c r="AS76" s="41" t="n"/>
      <c r="AT76" s="44" t="n"/>
      <c r="AU76" s="41" t="n"/>
      <c r="AV76" s="43" t="n"/>
      <c r="AW76" s="41" t="n"/>
      <c r="AX76" s="44" t="n"/>
      <c r="AY76" s="44" t="n"/>
      <c r="AZ76" s="44" t="n"/>
      <c r="BA76" s="44" t="n"/>
      <c r="BB76" s="44" t="n"/>
      <c r="BC76" s="44" t="n"/>
      <c r="BD76" s="44" t="n"/>
      <c r="BE76" s="44" t="n"/>
      <c r="BF76" s="44" t="n"/>
    </row>
    <row r="77" ht="19.5" customHeight="1" s="45">
      <c r="A77" s="15">
        <f>IF($B77="","",TEXT($B77,"yyyymmdd")&amp;"-"&amp;SUBSTITUTE($F77," ","")&amp;"-"&amp;TEXT(COUNTIF($F$4:F77,$F77),"00"))</f>
        <v/>
      </c>
      <c r="B77" s="39" t="n"/>
      <c r="C77" s="15">
        <f>IF($B77="","",WEEKNUM($B77,2))</f>
        <v/>
      </c>
      <c r="D77" s="15">
        <f>IF($B77="","",TEXT($B77,"yyyy-mm"))</f>
        <v/>
      </c>
      <c r="E77" s="40" t="n"/>
      <c r="F77" s="40" t="n"/>
      <c r="G77" s="15">
        <f>IF(OR($E77="",$F77=""),"",IFERROR(IF($E77=INDEX(Cluster_Master!$A$4:$A$18,MATCH($F77,Cluster_Master!$B$4:$B$18,0)),"OK","CHECK"),"CHECK"))</f>
        <v/>
      </c>
      <c r="H77" s="18">
        <f>IFERROR(INDEX(Cluster_Master!$C$4:$C$18,MATCH($F77,Cluster_Master!$B$4:$B$18,0)),"")</f>
        <v/>
      </c>
      <c r="I77" s="15">
        <f>IFERROR(INDEX(Cluster_Master!$D$4:$D$18,MATCH($F77,Cluster_Master!$B$4:$B$18,0)),"")</f>
        <v/>
      </c>
      <c r="J77" s="15">
        <f>IFERROR(INDEX(Cluster_Master!$E$4:$E$18,MATCH($F77,Cluster_Master!$B$4:$B$18,0)),"")</f>
        <v/>
      </c>
      <c r="K77" s="15">
        <f>IFERROR(INDEX(Cluster_Master!$F$4:$F$18,MATCH($F77,Cluster_Master!$B$4:$B$18,0)),"")</f>
        <v/>
      </c>
      <c r="L77" s="15">
        <f>IFERROR(INDEX(Cluster_Master!$G$4:$G$18,MATCH($F77,Cluster_Master!$B$4:$B$18,0)),"")</f>
        <v/>
      </c>
      <c r="M77" s="15">
        <f>IFERROR(INDEX(Cluster_Master!$H$4:$H$18,MATCH($F77,Cluster_Master!$B$4:$B$18,0)),"")</f>
        <v/>
      </c>
      <c r="N77" s="41" t="n"/>
      <c r="O77" s="41" t="n"/>
      <c r="P77" s="41" t="n"/>
      <c r="Q77" s="41" t="n"/>
      <c r="R77" s="41" t="n"/>
      <c r="S77" s="41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15">
        <f>IF(COUNTA(T77:AH77)=0,"",SUM(T77:AH77))</f>
        <v/>
      </c>
      <c r="AJ77" s="21">
        <f>IF(COUNTA(T77:AH77)=0,"",AI77/(COUNT(KPI_Weights!$A$4:$A$18)*5))</f>
        <v/>
      </c>
      <c r="AK77" s="21">
        <f>IF(COUNTA(T77:AH77)=0,"",SUMPRODUCT(T77:AH77,KPI_Weights!$B$4:$B$18)/5)</f>
        <v/>
      </c>
      <c r="AL77" s="15">
        <f>IF(COUNTA(T77:AH77)=0,"",IF(SUMPRODUCT(--(T77:AH77&lt;=1),--(KPI_Weights!$C$4:$C$18="YES"))&gt;0,"YES","NO"))</f>
        <v/>
      </c>
      <c r="AM77" s="15">
        <f>IF(AJ77="","",IF(AND(AL77="NO",AJ77&gt;=0.75),"YES","NO"))</f>
        <v/>
      </c>
      <c r="AN77" s="15">
        <f>IF(AJ77="","",IF(AJ77&lt;0.4,"Critical",IF(AJ77&lt;0.6,"Poor",IF(AJ77&lt;0.75,"Needs Improvement",IF(AJ77&lt;0.9,"Good","Excellent")))))</f>
        <v/>
      </c>
      <c r="AO77" s="41" t="n"/>
      <c r="AP77" s="41" t="n"/>
      <c r="AQ77" s="41" t="n"/>
      <c r="AR77" s="41" t="n"/>
      <c r="AS77" s="41" t="n"/>
      <c r="AT77" s="44" t="n"/>
      <c r="AU77" s="41" t="n"/>
      <c r="AV77" s="43" t="n"/>
      <c r="AW77" s="41" t="n"/>
      <c r="AX77" s="44" t="n"/>
      <c r="AY77" s="44" t="n"/>
      <c r="AZ77" s="44" t="n"/>
      <c r="BA77" s="44" t="n"/>
      <c r="BB77" s="44" t="n"/>
      <c r="BC77" s="44" t="n"/>
      <c r="BD77" s="44" t="n"/>
      <c r="BE77" s="44" t="n"/>
      <c r="BF77" s="44" t="n"/>
    </row>
    <row r="78" ht="19.5" customHeight="1" s="45">
      <c r="A78" s="15">
        <f>IF($B78="","",TEXT($B78,"yyyymmdd")&amp;"-"&amp;SUBSTITUTE($F78," ","")&amp;"-"&amp;TEXT(COUNTIF($F$4:F78,$F78),"00"))</f>
        <v/>
      </c>
      <c r="B78" s="39" t="n"/>
      <c r="C78" s="15">
        <f>IF($B78="","",WEEKNUM($B78,2))</f>
        <v/>
      </c>
      <c r="D78" s="15">
        <f>IF($B78="","",TEXT($B78,"yyyy-mm"))</f>
        <v/>
      </c>
      <c r="E78" s="40" t="n"/>
      <c r="F78" s="40" t="n"/>
      <c r="G78" s="15">
        <f>IF(OR($E78="",$F78=""),"",IFERROR(IF($E78=INDEX(Cluster_Master!$A$4:$A$18,MATCH($F78,Cluster_Master!$B$4:$B$18,0)),"OK","CHECK"),"CHECK"))</f>
        <v/>
      </c>
      <c r="H78" s="18">
        <f>IFERROR(INDEX(Cluster_Master!$C$4:$C$18,MATCH($F78,Cluster_Master!$B$4:$B$18,0)),"")</f>
        <v/>
      </c>
      <c r="I78" s="15">
        <f>IFERROR(INDEX(Cluster_Master!$D$4:$D$18,MATCH($F78,Cluster_Master!$B$4:$B$18,0)),"")</f>
        <v/>
      </c>
      <c r="J78" s="15">
        <f>IFERROR(INDEX(Cluster_Master!$E$4:$E$18,MATCH($F78,Cluster_Master!$B$4:$B$18,0)),"")</f>
        <v/>
      </c>
      <c r="K78" s="15">
        <f>IFERROR(INDEX(Cluster_Master!$F$4:$F$18,MATCH($F78,Cluster_Master!$B$4:$B$18,0)),"")</f>
        <v/>
      </c>
      <c r="L78" s="15">
        <f>IFERROR(INDEX(Cluster_Master!$G$4:$G$18,MATCH($F78,Cluster_Master!$B$4:$B$18,0)),"")</f>
        <v/>
      </c>
      <c r="M78" s="15">
        <f>IFERROR(INDEX(Cluster_Master!$H$4:$H$18,MATCH($F78,Cluster_Master!$B$4:$B$18,0)),"")</f>
        <v/>
      </c>
      <c r="N78" s="41" t="n"/>
      <c r="O78" s="41" t="n"/>
      <c r="P78" s="41" t="n"/>
      <c r="Q78" s="41" t="n"/>
      <c r="R78" s="41" t="n"/>
      <c r="S78" s="41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15">
        <f>IF(COUNTA(T78:AH78)=0,"",SUM(T78:AH78))</f>
        <v/>
      </c>
      <c r="AJ78" s="21">
        <f>IF(COUNTA(T78:AH78)=0,"",AI78/(COUNT(KPI_Weights!$A$4:$A$18)*5))</f>
        <v/>
      </c>
      <c r="AK78" s="21">
        <f>IF(COUNTA(T78:AH78)=0,"",SUMPRODUCT(T78:AH78,KPI_Weights!$B$4:$B$18)/5)</f>
        <v/>
      </c>
      <c r="AL78" s="15">
        <f>IF(COUNTA(T78:AH78)=0,"",IF(SUMPRODUCT(--(T78:AH78&lt;=1),--(KPI_Weights!$C$4:$C$18="YES"))&gt;0,"YES","NO"))</f>
        <v/>
      </c>
      <c r="AM78" s="15">
        <f>IF(AJ78="","",IF(AND(AL78="NO",AJ78&gt;=0.75),"YES","NO"))</f>
        <v/>
      </c>
      <c r="AN78" s="15">
        <f>IF(AJ78="","",IF(AJ78&lt;0.4,"Critical",IF(AJ78&lt;0.6,"Poor",IF(AJ78&lt;0.75,"Needs Improvement",IF(AJ78&lt;0.9,"Good","Excellent")))))</f>
        <v/>
      </c>
      <c r="AO78" s="41" t="n"/>
      <c r="AP78" s="41" t="n"/>
      <c r="AQ78" s="41" t="n"/>
      <c r="AR78" s="41" t="n"/>
      <c r="AS78" s="41" t="n"/>
      <c r="AT78" s="44" t="n"/>
      <c r="AU78" s="41" t="n"/>
      <c r="AV78" s="43" t="n"/>
      <c r="AW78" s="41" t="n"/>
      <c r="AX78" s="44" t="n"/>
      <c r="AY78" s="44" t="n"/>
      <c r="AZ78" s="44" t="n"/>
      <c r="BA78" s="44" t="n"/>
      <c r="BB78" s="44" t="n"/>
      <c r="BC78" s="44" t="n"/>
      <c r="BD78" s="44" t="n"/>
      <c r="BE78" s="44" t="n"/>
      <c r="BF78" s="44" t="n"/>
    </row>
    <row r="79" ht="19.5" customHeight="1" s="45">
      <c r="A79" s="15">
        <f>IF($B79="","",TEXT($B79,"yyyymmdd")&amp;"-"&amp;SUBSTITUTE($F79," ","")&amp;"-"&amp;TEXT(COUNTIF($F$4:F79,$F79),"00"))</f>
        <v/>
      </c>
      <c r="B79" s="39" t="n"/>
      <c r="C79" s="15">
        <f>IF($B79="","",WEEKNUM($B79,2))</f>
        <v/>
      </c>
      <c r="D79" s="15">
        <f>IF($B79="","",TEXT($B79,"yyyy-mm"))</f>
        <v/>
      </c>
      <c r="E79" s="40" t="n"/>
      <c r="F79" s="40" t="n"/>
      <c r="G79" s="15">
        <f>IF(OR($E79="",$F79=""),"",IFERROR(IF($E79=INDEX(Cluster_Master!$A$4:$A$18,MATCH($F79,Cluster_Master!$B$4:$B$18,0)),"OK","CHECK"),"CHECK"))</f>
        <v/>
      </c>
      <c r="H79" s="18">
        <f>IFERROR(INDEX(Cluster_Master!$C$4:$C$18,MATCH($F79,Cluster_Master!$B$4:$B$18,0)),"")</f>
        <v/>
      </c>
      <c r="I79" s="15">
        <f>IFERROR(INDEX(Cluster_Master!$D$4:$D$18,MATCH($F79,Cluster_Master!$B$4:$B$18,0)),"")</f>
        <v/>
      </c>
      <c r="J79" s="15">
        <f>IFERROR(INDEX(Cluster_Master!$E$4:$E$18,MATCH($F79,Cluster_Master!$B$4:$B$18,0)),"")</f>
        <v/>
      </c>
      <c r="K79" s="15">
        <f>IFERROR(INDEX(Cluster_Master!$F$4:$F$18,MATCH($F79,Cluster_Master!$B$4:$B$18,0)),"")</f>
        <v/>
      </c>
      <c r="L79" s="15">
        <f>IFERROR(INDEX(Cluster_Master!$G$4:$G$18,MATCH($F79,Cluster_Master!$B$4:$B$18,0)),"")</f>
        <v/>
      </c>
      <c r="M79" s="15">
        <f>IFERROR(INDEX(Cluster_Master!$H$4:$H$18,MATCH($F79,Cluster_Master!$B$4:$B$18,0)),"")</f>
        <v/>
      </c>
      <c r="N79" s="41" t="n"/>
      <c r="O79" s="41" t="n"/>
      <c r="P79" s="41" t="n"/>
      <c r="Q79" s="41" t="n"/>
      <c r="R79" s="41" t="n"/>
      <c r="S79" s="41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15">
        <f>IF(COUNTA(T79:AH79)=0,"",SUM(T79:AH79))</f>
        <v/>
      </c>
      <c r="AJ79" s="21">
        <f>IF(COUNTA(T79:AH79)=0,"",AI79/(COUNT(KPI_Weights!$A$4:$A$18)*5))</f>
        <v/>
      </c>
      <c r="AK79" s="21">
        <f>IF(COUNTA(T79:AH79)=0,"",SUMPRODUCT(T79:AH79,KPI_Weights!$B$4:$B$18)/5)</f>
        <v/>
      </c>
      <c r="AL79" s="15">
        <f>IF(COUNTA(T79:AH79)=0,"",IF(SUMPRODUCT(--(T79:AH79&lt;=1),--(KPI_Weights!$C$4:$C$18="YES"))&gt;0,"YES","NO"))</f>
        <v/>
      </c>
      <c r="AM79" s="15">
        <f>IF(AJ79="","",IF(AND(AL79="NO",AJ79&gt;=0.75),"YES","NO"))</f>
        <v/>
      </c>
      <c r="AN79" s="15">
        <f>IF(AJ79="","",IF(AJ79&lt;0.4,"Critical",IF(AJ79&lt;0.6,"Poor",IF(AJ79&lt;0.75,"Needs Improvement",IF(AJ79&lt;0.9,"Good","Excellent")))))</f>
        <v/>
      </c>
      <c r="AO79" s="41" t="n"/>
      <c r="AP79" s="41" t="n"/>
      <c r="AQ79" s="41" t="n"/>
      <c r="AR79" s="41" t="n"/>
      <c r="AS79" s="41" t="n"/>
      <c r="AT79" s="44" t="n"/>
      <c r="AU79" s="41" t="n"/>
      <c r="AV79" s="43" t="n"/>
      <c r="AW79" s="41" t="n"/>
      <c r="AX79" s="44" t="n"/>
      <c r="AY79" s="44" t="n"/>
      <c r="AZ79" s="44" t="n"/>
      <c r="BA79" s="44" t="n"/>
      <c r="BB79" s="44" t="n"/>
      <c r="BC79" s="44" t="n"/>
      <c r="BD79" s="44" t="n"/>
      <c r="BE79" s="44" t="n"/>
      <c r="BF79" s="44" t="n"/>
    </row>
    <row r="80" ht="19.5" customHeight="1" s="45">
      <c r="A80" s="15">
        <f>IF($B80="","",TEXT($B80,"yyyymmdd")&amp;"-"&amp;SUBSTITUTE($F80," ","")&amp;"-"&amp;TEXT(COUNTIF($F$4:F80,$F80),"00"))</f>
        <v/>
      </c>
      <c r="B80" s="39" t="n"/>
      <c r="C80" s="15">
        <f>IF($B80="","",WEEKNUM($B80,2))</f>
        <v/>
      </c>
      <c r="D80" s="15">
        <f>IF($B80="","",TEXT($B80,"yyyy-mm"))</f>
        <v/>
      </c>
      <c r="E80" s="40" t="n"/>
      <c r="F80" s="40" t="n"/>
      <c r="G80" s="15">
        <f>IF(OR($E80="",$F80=""),"",IFERROR(IF($E80=INDEX(Cluster_Master!$A$4:$A$18,MATCH($F80,Cluster_Master!$B$4:$B$18,0)),"OK","CHECK"),"CHECK"))</f>
        <v/>
      </c>
      <c r="H80" s="18">
        <f>IFERROR(INDEX(Cluster_Master!$C$4:$C$18,MATCH($F80,Cluster_Master!$B$4:$B$18,0)),"")</f>
        <v/>
      </c>
      <c r="I80" s="15">
        <f>IFERROR(INDEX(Cluster_Master!$D$4:$D$18,MATCH($F80,Cluster_Master!$B$4:$B$18,0)),"")</f>
        <v/>
      </c>
      <c r="J80" s="15">
        <f>IFERROR(INDEX(Cluster_Master!$E$4:$E$18,MATCH($F80,Cluster_Master!$B$4:$B$18,0)),"")</f>
        <v/>
      </c>
      <c r="K80" s="15">
        <f>IFERROR(INDEX(Cluster_Master!$F$4:$F$18,MATCH($F80,Cluster_Master!$B$4:$B$18,0)),"")</f>
        <v/>
      </c>
      <c r="L80" s="15">
        <f>IFERROR(INDEX(Cluster_Master!$G$4:$G$18,MATCH($F80,Cluster_Master!$B$4:$B$18,0)),"")</f>
        <v/>
      </c>
      <c r="M80" s="15">
        <f>IFERROR(INDEX(Cluster_Master!$H$4:$H$18,MATCH($F80,Cluster_Master!$B$4:$B$18,0)),"")</f>
        <v/>
      </c>
      <c r="N80" s="41" t="n"/>
      <c r="O80" s="41" t="n"/>
      <c r="P80" s="41" t="n"/>
      <c r="Q80" s="41" t="n"/>
      <c r="R80" s="41" t="n"/>
      <c r="S80" s="41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15">
        <f>IF(COUNTA(T80:AH80)=0,"",SUM(T80:AH80))</f>
        <v/>
      </c>
      <c r="AJ80" s="21">
        <f>IF(COUNTA(T80:AH80)=0,"",AI80/(COUNT(KPI_Weights!$A$4:$A$18)*5))</f>
        <v/>
      </c>
      <c r="AK80" s="21">
        <f>IF(COUNTA(T80:AH80)=0,"",SUMPRODUCT(T80:AH80,KPI_Weights!$B$4:$B$18)/5)</f>
        <v/>
      </c>
      <c r="AL80" s="15">
        <f>IF(COUNTA(T80:AH80)=0,"",IF(SUMPRODUCT(--(T80:AH80&lt;=1),--(KPI_Weights!$C$4:$C$18="YES"))&gt;0,"YES","NO"))</f>
        <v/>
      </c>
      <c r="AM80" s="15">
        <f>IF(AJ80="","",IF(AND(AL80="NO",AJ80&gt;=0.75),"YES","NO"))</f>
        <v/>
      </c>
      <c r="AN80" s="15">
        <f>IF(AJ80="","",IF(AJ80&lt;0.4,"Critical",IF(AJ80&lt;0.6,"Poor",IF(AJ80&lt;0.75,"Needs Improvement",IF(AJ80&lt;0.9,"Good","Excellent")))))</f>
        <v/>
      </c>
      <c r="AO80" s="41" t="n"/>
      <c r="AP80" s="41" t="n"/>
      <c r="AQ80" s="41" t="n"/>
      <c r="AR80" s="41" t="n"/>
      <c r="AS80" s="41" t="n"/>
      <c r="AT80" s="44" t="n"/>
      <c r="AU80" s="41" t="n"/>
      <c r="AV80" s="43" t="n"/>
      <c r="AW80" s="41" t="n"/>
      <c r="AX80" s="44" t="n"/>
      <c r="AY80" s="44" t="n"/>
      <c r="AZ80" s="44" t="n"/>
      <c r="BA80" s="44" t="n"/>
      <c r="BB80" s="44" t="n"/>
      <c r="BC80" s="44" t="n"/>
      <c r="BD80" s="44" t="n"/>
      <c r="BE80" s="44" t="n"/>
      <c r="BF80" s="44" t="n"/>
    </row>
    <row r="81" ht="19.5" customHeight="1" s="45">
      <c r="A81" s="15">
        <f>IF($B81="","",TEXT($B81,"yyyymmdd")&amp;"-"&amp;SUBSTITUTE($F81," ","")&amp;"-"&amp;TEXT(COUNTIF($F$4:F81,$F81),"00"))</f>
        <v/>
      </c>
      <c r="B81" s="39" t="n"/>
      <c r="C81" s="15">
        <f>IF($B81="","",WEEKNUM($B81,2))</f>
        <v/>
      </c>
      <c r="D81" s="15">
        <f>IF($B81="","",TEXT($B81,"yyyy-mm"))</f>
        <v/>
      </c>
      <c r="E81" s="40" t="n"/>
      <c r="F81" s="40" t="n"/>
      <c r="G81" s="15">
        <f>IF(OR($E81="",$F81=""),"",IFERROR(IF($E81=INDEX(Cluster_Master!$A$4:$A$18,MATCH($F81,Cluster_Master!$B$4:$B$18,0)),"OK","CHECK"),"CHECK"))</f>
        <v/>
      </c>
      <c r="H81" s="18">
        <f>IFERROR(INDEX(Cluster_Master!$C$4:$C$18,MATCH($F81,Cluster_Master!$B$4:$B$18,0)),"")</f>
        <v/>
      </c>
      <c r="I81" s="15">
        <f>IFERROR(INDEX(Cluster_Master!$D$4:$D$18,MATCH($F81,Cluster_Master!$B$4:$B$18,0)),"")</f>
        <v/>
      </c>
      <c r="J81" s="15">
        <f>IFERROR(INDEX(Cluster_Master!$E$4:$E$18,MATCH($F81,Cluster_Master!$B$4:$B$18,0)),"")</f>
        <v/>
      </c>
      <c r="K81" s="15">
        <f>IFERROR(INDEX(Cluster_Master!$F$4:$F$18,MATCH($F81,Cluster_Master!$B$4:$B$18,0)),"")</f>
        <v/>
      </c>
      <c r="L81" s="15">
        <f>IFERROR(INDEX(Cluster_Master!$G$4:$G$18,MATCH($F81,Cluster_Master!$B$4:$B$18,0)),"")</f>
        <v/>
      </c>
      <c r="M81" s="15">
        <f>IFERROR(INDEX(Cluster_Master!$H$4:$H$18,MATCH($F81,Cluster_Master!$B$4:$B$18,0)),"")</f>
        <v/>
      </c>
      <c r="N81" s="41" t="n"/>
      <c r="O81" s="41" t="n"/>
      <c r="P81" s="41" t="n"/>
      <c r="Q81" s="41" t="n"/>
      <c r="R81" s="41" t="n"/>
      <c r="S81" s="41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15">
        <f>IF(COUNTA(T81:AH81)=0,"",SUM(T81:AH81))</f>
        <v/>
      </c>
      <c r="AJ81" s="21">
        <f>IF(COUNTA(T81:AH81)=0,"",AI81/(COUNT(KPI_Weights!$A$4:$A$18)*5))</f>
        <v/>
      </c>
      <c r="AK81" s="21">
        <f>IF(COUNTA(T81:AH81)=0,"",SUMPRODUCT(T81:AH81,KPI_Weights!$B$4:$B$18)/5)</f>
        <v/>
      </c>
      <c r="AL81" s="15">
        <f>IF(COUNTA(T81:AH81)=0,"",IF(SUMPRODUCT(--(T81:AH81&lt;=1),--(KPI_Weights!$C$4:$C$18="YES"))&gt;0,"YES","NO"))</f>
        <v/>
      </c>
      <c r="AM81" s="15">
        <f>IF(AJ81="","",IF(AND(AL81="NO",AJ81&gt;=0.75),"YES","NO"))</f>
        <v/>
      </c>
      <c r="AN81" s="15">
        <f>IF(AJ81="","",IF(AJ81&lt;0.4,"Critical",IF(AJ81&lt;0.6,"Poor",IF(AJ81&lt;0.75,"Needs Improvement",IF(AJ81&lt;0.9,"Good","Excellent")))))</f>
        <v/>
      </c>
      <c r="AO81" s="41" t="n"/>
      <c r="AP81" s="41" t="n"/>
      <c r="AQ81" s="41" t="n"/>
      <c r="AR81" s="41" t="n"/>
      <c r="AS81" s="41" t="n"/>
      <c r="AT81" s="44" t="n"/>
      <c r="AU81" s="41" t="n"/>
      <c r="AV81" s="43" t="n"/>
      <c r="AW81" s="41" t="n"/>
      <c r="AX81" s="44" t="n"/>
      <c r="AY81" s="44" t="n"/>
      <c r="AZ81" s="44" t="n"/>
      <c r="BA81" s="44" t="n"/>
      <c r="BB81" s="44" t="n"/>
      <c r="BC81" s="44" t="n"/>
      <c r="BD81" s="44" t="n"/>
      <c r="BE81" s="44" t="n"/>
      <c r="BF81" s="44" t="n"/>
    </row>
    <row r="82" ht="19.5" customHeight="1" s="45">
      <c r="A82" s="15">
        <f>IF($B82="","",TEXT($B82,"yyyymmdd")&amp;"-"&amp;SUBSTITUTE($F82," ","")&amp;"-"&amp;TEXT(COUNTIF($F$4:F82,$F82),"00"))</f>
        <v/>
      </c>
      <c r="B82" s="39" t="n"/>
      <c r="C82" s="15">
        <f>IF($B82="","",WEEKNUM($B82,2))</f>
        <v/>
      </c>
      <c r="D82" s="15">
        <f>IF($B82="","",TEXT($B82,"yyyy-mm"))</f>
        <v/>
      </c>
      <c r="E82" s="40" t="n"/>
      <c r="F82" s="40" t="n"/>
      <c r="G82" s="15">
        <f>IF(OR($E82="",$F82=""),"",IFERROR(IF($E82=INDEX(Cluster_Master!$A$4:$A$18,MATCH($F82,Cluster_Master!$B$4:$B$18,0)),"OK","CHECK"),"CHECK"))</f>
        <v/>
      </c>
      <c r="H82" s="18">
        <f>IFERROR(INDEX(Cluster_Master!$C$4:$C$18,MATCH($F82,Cluster_Master!$B$4:$B$18,0)),"")</f>
        <v/>
      </c>
      <c r="I82" s="15">
        <f>IFERROR(INDEX(Cluster_Master!$D$4:$D$18,MATCH($F82,Cluster_Master!$B$4:$B$18,0)),"")</f>
        <v/>
      </c>
      <c r="J82" s="15">
        <f>IFERROR(INDEX(Cluster_Master!$E$4:$E$18,MATCH($F82,Cluster_Master!$B$4:$B$18,0)),"")</f>
        <v/>
      </c>
      <c r="K82" s="15">
        <f>IFERROR(INDEX(Cluster_Master!$F$4:$F$18,MATCH($F82,Cluster_Master!$B$4:$B$18,0)),"")</f>
        <v/>
      </c>
      <c r="L82" s="15">
        <f>IFERROR(INDEX(Cluster_Master!$G$4:$G$18,MATCH($F82,Cluster_Master!$B$4:$B$18,0)),"")</f>
        <v/>
      </c>
      <c r="M82" s="15">
        <f>IFERROR(INDEX(Cluster_Master!$H$4:$H$18,MATCH($F82,Cluster_Master!$B$4:$B$18,0)),"")</f>
        <v/>
      </c>
      <c r="N82" s="41" t="n"/>
      <c r="O82" s="41" t="n"/>
      <c r="P82" s="41" t="n"/>
      <c r="Q82" s="41" t="n"/>
      <c r="R82" s="41" t="n"/>
      <c r="S82" s="41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15">
        <f>IF(COUNTA(T82:AH82)=0,"",SUM(T82:AH82))</f>
        <v/>
      </c>
      <c r="AJ82" s="21">
        <f>IF(COUNTA(T82:AH82)=0,"",AI82/(COUNT(KPI_Weights!$A$4:$A$18)*5))</f>
        <v/>
      </c>
      <c r="AK82" s="21">
        <f>IF(COUNTA(T82:AH82)=0,"",SUMPRODUCT(T82:AH82,KPI_Weights!$B$4:$B$18)/5)</f>
        <v/>
      </c>
      <c r="AL82" s="15">
        <f>IF(COUNTA(T82:AH82)=0,"",IF(SUMPRODUCT(--(T82:AH82&lt;=1),--(KPI_Weights!$C$4:$C$18="YES"))&gt;0,"YES","NO"))</f>
        <v/>
      </c>
      <c r="AM82" s="15">
        <f>IF(AJ82="","",IF(AND(AL82="NO",AJ82&gt;=0.75),"YES","NO"))</f>
        <v/>
      </c>
      <c r="AN82" s="15">
        <f>IF(AJ82="","",IF(AJ82&lt;0.4,"Critical",IF(AJ82&lt;0.6,"Poor",IF(AJ82&lt;0.75,"Needs Improvement",IF(AJ82&lt;0.9,"Good","Excellent")))))</f>
        <v/>
      </c>
      <c r="AO82" s="41" t="n"/>
      <c r="AP82" s="41" t="n"/>
      <c r="AQ82" s="41" t="n"/>
      <c r="AR82" s="41" t="n"/>
      <c r="AS82" s="41" t="n"/>
      <c r="AT82" s="44" t="n"/>
      <c r="AU82" s="41" t="n"/>
      <c r="AV82" s="43" t="n"/>
      <c r="AW82" s="41" t="n"/>
      <c r="AX82" s="44" t="n"/>
      <c r="AY82" s="44" t="n"/>
      <c r="AZ82" s="44" t="n"/>
      <c r="BA82" s="44" t="n"/>
      <c r="BB82" s="44" t="n"/>
      <c r="BC82" s="44" t="n"/>
      <c r="BD82" s="44" t="n"/>
      <c r="BE82" s="44" t="n"/>
      <c r="BF82" s="44" t="n"/>
    </row>
    <row r="83" ht="19.5" customHeight="1" s="45">
      <c r="A83" s="15">
        <f>IF($B83="","",TEXT($B83,"yyyymmdd")&amp;"-"&amp;SUBSTITUTE($F83," ","")&amp;"-"&amp;TEXT(COUNTIF($F$4:F83,$F83),"00"))</f>
        <v/>
      </c>
      <c r="B83" s="39" t="n"/>
      <c r="C83" s="15">
        <f>IF($B83="","",WEEKNUM($B83,2))</f>
        <v/>
      </c>
      <c r="D83" s="15">
        <f>IF($B83="","",TEXT($B83,"yyyy-mm"))</f>
        <v/>
      </c>
      <c r="E83" s="40" t="n"/>
      <c r="F83" s="40" t="n"/>
      <c r="G83" s="15">
        <f>IF(OR($E83="",$F83=""),"",IFERROR(IF($E83=INDEX(Cluster_Master!$A$4:$A$18,MATCH($F83,Cluster_Master!$B$4:$B$18,0)),"OK","CHECK"),"CHECK"))</f>
        <v/>
      </c>
      <c r="H83" s="18">
        <f>IFERROR(INDEX(Cluster_Master!$C$4:$C$18,MATCH($F83,Cluster_Master!$B$4:$B$18,0)),"")</f>
        <v/>
      </c>
      <c r="I83" s="15">
        <f>IFERROR(INDEX(Cluster_Master!$D$4:$D$18,MATCH($F83,Cluster_Master!$B$4:$B$18,0)),"")</f>
        <v/>
      </c>
      <c r="J83" s="15">
        <f>IFERROR(INDEX(Cluster_Master!$E$4:$E$18,MATCH($F83,Cluster_Master!$B$4:$B$18,0)),"")</f>
        <v/>
      </c>
      <c r="K83" s="15">
        <f>IFERROR(INDEX(Cluster_Master!$F$4:$F$18,MATCH($F83,Cluster_Master!$B$4:$B$18,0)),"")</f>
        <v/>
      </c>
      <c r="L83" s="15">
        <f>IFERROR(INDEX(Cluster_Master!$G$4:$G$18,MATCH($F83,Cluster_Master!$B$4:$B$18,0)),"")</f>
        <v/>
      </c>
      <c r="M83" s="15">
        <f>IFERROR(INDEX(Cluster_Master!$H$4:$H$18,MATCH($F83,Cluster_Master!$B$4:$B$18,0)),"")</f>
        <v/>
      </c>
      <c r="N83" s="41" t="n"/>
      <c r="O83" s="41" t="n"/>
      <c r="P83" s="41" t="n"/>
      <c r="Q83" s="41" t="n"/>
      <c r="R83" s="41" t="n"/>
      <c r="S83" s="41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15">
        <f>IF(COUNTA(T83:AH83)=0,"",SUM(T83:AH83))</f>
        <v/>
      </c>
      <c r="AJ83" s="21">
        <f>IF(COUNTA(T83:AH83)=0,"",AI83/(COUNT(KPI_Weights!$A$4:$A$18)*5))</f>
        <v/>
      </c>
      <c r="AK83" s="21">
        <f>IF(COUNTA(T83:AH83)=0,"",SUMPRODUCT(T83:AH83,KPI_Weights!$B$4:$B$18)/5)</f>
        <v/>
      </c>
      <c r="AL83" s="15">
        <f>IF(COUNTA(T83:AH83)=0,"",IF(SUMPRODUCT(--(T83:AH83&lt;=1),--(KPI_Weights!$C$4:$C$18="YES"))&gt;0,"YES","NO"))</f>
        <v/>
      </c>
      <c r="AM83" s="15">
        <f>IF(AJ83="","",IF(AND(AL83="NO",AJ83&gt;=0.75),"YES","NO"))</f>
        <v/>
      </c>
      <c r="AN83" s="15">
        <f>IF(AJ83="","",IF(AJ83&lt;0.4,"Critical",IF(AJ83&lt;0.6,"Poor",IF(AJ83&lt;0.75,"Needs Improvement",IF(AJ83&lt;0.9,"Good","Excellent")))))</f>
        <v/>
      </c>
      <c r="AO83" s="41" t="n"/>
      <c r="AP83" s="41" t="n"/>
      <c r="AQ83" s="41" t="n"/>
      <c r="AR83" s="41" t="n"/>
      <c r="AS83" s="41" t="n"/>
      <c r="AT83" s="44" t="n"/>
      <c r="AU83" s="41" t="n"/>
      <c r="AV83" s="43" t="n"/>
      <c r="AW83" s="41" t="n"/>
      <c r="AX83" s="44" t="n"/>
      <c r="AY83" s="44" t="n"/>
      <c r="AZ83" s="44" t="n"/>
      <c r="BA83" s="44" t="n"/>
      <c r="BB83" s="44" t="n"/>
      <c r="BC83" s="44" t="n"/>
      <c r="BD83" s="44" t="n"/>
      <c r="BE83" s="44" t="n"/>
      <c r="BF83" s="44" t="n"/>
    </row>
    <row r="84" ht="19.5" customHeight="1" s="45">
      <c r="A84" s="15">
        <f>IF($B84="","",TEXT($B84,"yyyymmdd")&amp;"-"&amp;SUBSTITUTE($F84," ","")&amp;"-"&amp;TEXT(COUNTIF($F$4:F84,$F84),"00"))</f>
        <v/>
      </c>
      <c r="B84" s="39" t="n"/>
      <c r="C84" s="15">
        <f>IF($B84="","",WEEKNUM($B84,2))</f>
        <v/>
      </c>
      <c r="D84" s="15">
        <f>IF($B84="","",TEXT($B84,"yyyy-mm"))</f>
        <v/>
      </c>
      <c r="E84" s="40" t="n"/>
      <c r="F84" s="40" t="n"/>
      <c r="G84" s="15">
        <f>IF(OR($E84="",$F84=""),"",IFERROR(IF($E84=INDEX(Cluster_Master!$A$4:$A$18,MATCH($F84,Cluster_Master!$B$4:$B$18,0)),"OK","CHECK"),"CHECK"))</f>
        <v/>
      </c>
      <c r="H84" s="18">
        <f>IFERROR(INDEX(Cluster_Master!$C$4:$C$18,MATCH($F84,Cluster_Master!$B$4:$B$18,0)),"")</f>
        <v/>
      </c>
      <c r="I84" s="15">
        <f>IFERROR(INDEX(Cluster_Master!$D$4:$D$18,MATCH($F84,Cluster_Master!$B$4:$B$18,0)),"")</f>
        <v/>
      </c>
      <c r="J84" s="15">
        <f>IFERROR(INDEX(Cluster_Master!$E$4:$E$18,MATCH($F84,Cluster_Master!$B$4:$B$18,0)),"")</f>
        <v/>
      </c>
      <c r="K84" s="15">
        <f>IFERROR(INDEX(Cluster_Master!$F$4:$F$18,MATCH($F84,Cluster_Master!$B$4:$B$18,0)),"")</f>
        <v/>
      </c>
      <c r="L84" s="15">
        <f>IFERROR(INDEX(Cluster_Master!$G$4:$G$18,MATCH($F84,Cluster_Master!$B$4:$B$18,0)),"")</f>
        <v/>
      </c>
      <c r="M84" s="15">
        <f>IFERROR(INDEX(Cluster_Master!$H$4:$H$18,MATCH($F84,Cluster_Master!$B$4:$B$18,0)),"")</f>
        <v/>
      </c>
      <c r="N84" s="41" t="n"/>
      <c r="O84" s="41" t="n"/>
      <c r="P84" s="41" t="n"/>
      <c r="Q84" s="41" t="n"/>
      <c r="R84" s="41" t="n"/>
      <c r="S84" s="41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15">
        <f>IF(COUNTA(T84:AH84)=0,"",SUM(T84:AH84))</f>
        <v/>
      </c>
      <c r="AJ84" s="21">
        <f>IF(COUNTA(T84:AH84)=0,"",AI84/(COUNT(KPI_Weights!$A$4:$A$18)*5))</f>
        <v/>
      </c>
      <c r="AK84" s="21">
        <f>IF(COUNTA(T84:AH84)=0,"",SUMPRODUCT(T84:AH84,KPI_Weights!$B$4:$B$18)/5)</f>
        <v/>
      </c>
      <c r="AL84" s="15">
        <f>IF(COUNTA(T84:AH84)=0,"",IF(SUMPRODUCT(--(T84:AH84&lt;=1),--(KPI_Weights!$C$4:$C$18="YES"))&gt;0,"YES","NO"))</f>
        <v/>
      </c>
      <c r="AM84" s="15">
        <f>IF(AJ84="","",IF(AND(AL84="NO",AJ84&gt;=0.75),"YES","NO"))</f>
        <v/>
      </c>
      <c r="AN84" s="15">
        <f>IF(AJ84="","",IF(AJ84&lt;0.4,"Critical",IF(AJ84&lt;0.6,"Poor",IF(AJ84&lt;0.75,"Needs Improvement",IF(AJ84&lt;0.9,"Good","Excellent")))))</f>
        <v/>
      </c>
      <c r="AO84" s="41" t="n"/>
      <c r="AP84" s="41" t="n"/>
      <c r="AQ84" s="41" t="n"/>
      <c r="AR84" s="41" t="n"/>
      <c r="AS84" s="41" t="n"/>
      <c r="AT84" s="44" t="n"/>
      <c r="AU84" s="41" t="n"/>
      <c r="AV84" s="43" t="n"/>
      <c r="AW84" s="41" t="n"/>
      <c r="AX84" s="44" t="n"/>
      <c r="AY84" s="44" t="n"/>
      <c r="AZ84" s="44" t="n"/>
      <c r="BA84" s="44" t="n"/>
      <c r="BB84" s="44" t="n"/>
      <c r="BC84" s="44" t="n"/>
      <c r="BD84" s="44" t="n"/>
      <c r="BE84" s="44" t="n"/>
      <c r="BF84" s="44" t="n"/>
    </row>
    <row r="85" ht="19.5" customHeight="1" s="45">
      <c r="A85" s="15">
        <f>IF($B85="","",TEXT($B85,"yyyymmdd")&amp;"-"&amp;SUBSTITUTE($F85," ","")&amp;"-"&amp;TEXT(COUNTIF($F$4:F85,$F85),"00"))</f>
        <v/>
      </c>
      <c r="B85" s="39" t="n"/>
      <c r="C85" s="15">
        <f>IF($B85="","",WEEKNUM($B85,2))</f>
        <v/>
      </c>
      <c r="D85" s="15">
        <f>IF($B85="","",TEXT($B85,"yyyy-mm"))</f>
        <v/>
      </c>
      <c r="E85" s="40" t="n"/>
      <c r="F85" s="40" t="n"/>
      <c r="G85" s="15">
        <f>IF(OR($E85="",$F85=""),"",IFERROR(IF($E85=INDEX(Cluster_Master!$A$4:$A$18,MATCH($F85,Cluster_Master!$B$4:$B$18,0)),"OK","CHECK"),"CHECK"))</f>
        <v/>
      </c>
      <c r="H85" s="18">
        <f>IFERROR(INDEX(Cluster_Master!$C$4:$C$18,MATCH($F85,Cluster_Master!$B$4:$B$18,0)),"")</f>
        <v/>
      </c>
      <c r="I85" s="15">
        <f>IFERROR(INDEX(Cluster_Master!$D$4:$D$18,MATCH($F85,Cluster_Master!$B$4:$B$18,0)),"")</f>
        <v/>
      </c>
      <c r="J85" s="15">
        <f>IFERROR(INDEX(Cluster_Master!$E$4:$E$18,MATCH($F85,Cluster_Master!$B$4:$B$18,0)),"")</f>
        <v/>
      </c>
      <c r="K85" s="15">
        <f>IFERROR(INDEX(Cluster_Master!$F$4:$F$18,MATCH($F85,Cluster_Master!$B$4:$B$18,0)),"")</f>
        <v/>
      </c>
      <c r="L85" s="15">
        <f>IFERROR(INDEX(Cluster_Master!$G$4:$G$18,MATCH($F85,Cluster_Master!$B$4:$B$18,0)),"")</f>
        <v/>
      </c>
      <c r="M85" s="15">
        <f>IFERROR(INDEX(Cluster_Master!$H$4:$H$18,MATCH($F85,Cluster_Master!$B$4:$B$18,0)),"")</f>
        <v/>
      </c>
      <c r="N85" s="41" t="n"/>
      <c r="O85" s="41" t="n"/>
      <c r="P85" s="41" t="n"/>
      <c r="Q85" s="41" t="n"/>
      <c r="R85" s="41" t="n"/>
      <c r="S85" s="41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15">
        <f>IF(COUNTA(T85:AH85)=0,"",SUM(T85:AH85))</f>
        <v/>
      </c>
      <c r="AJ85" s="21">
        <f>IF(COUNTA(T85:AH85)=0,"",AI85/(COUNT(KPI_Weights!$A$4:$A$18)*5))</f>
        <v/>
      </c>
      <c r="AK85" s="21">
        <f>IF(COUNTA(T85:AH85)=0,"",SUMPRODUCT(T85:AH85,KPI_Weights!$B$4:$B$18)/5)</f>
        <v/>
      </c>
      <c r="AL85" s="15">
        <f>IF(COUNTA(T85:AH85)=0,"",IF(SUMPRODUCT(--(T85:AH85&lt;=1),--(KPI_Weights!$C$4:$C$18="YES"))&gt;0,"YES","NO"))</f>
        <v/>
      </c>
      <c r="AM85" s="15">
        <f>IF(AJ85="","",IF(AND(AL85="NO",AJ85&gt;=0.75),"YES","NO"))</f>
        <v/>
      </c>
      <c r="AN85" s="15">
        <f>IF(AJ85="","",IF(AJ85&lt;0.4,"Critical",IF(AJ85&lt;0.6,"Poor",IF(AJ85&lt;0.75,"Needs Improvement",IF(AJ85&lt;0.9,"Good","Excellent")))))</f>
        <v/>
      </c>
      <c r="AO85" s="41" t="n"/>
      <c r="AP85" s="41" t="n"/>
      <c r="AQ85" s="41" t="n"/>
      <c r="AR85" s="41" t="n"/>
      <c r="AS85" s="41" t="n"/>
      <c r="AT85" s="44" t="n"/>
      <c r="AU85" s="41" t="n"/>
      <c r="AV85" s="43" t="n"/>
      <c r="AW85" s="41" t="n"/>
      <c r="AX85" s="44" t="n"/>
      <c r="AY85" s="44" t="n"/>
      <c r="AZ85" s="44" t="n"/>
      <c r="BA85" s="44" t="n"/>
      <c r="BB85" s="44" t="n"/>
      <c r="BC85" s="44" t="n"/>
      <c r="BD85" s="44" t="n"/>
      <c r="BE85" s="44" t="n"/>
      <c r="BF85" s="44" t="n"/>
    </row>
    <row r="86" ht="19.5" customHeight="1" s="45">
      <c r="A86" s="15">
        <f>IF($B86="","",TEXT($B86,"yyyymmdd")&amp;"-"&amp;SUBSTITUTE($F86," ","")&amp;"-"&amp;TEXT(COUNTIF($F$4:F86,$F86),"00"))</f>
        <v/>
      </c>
      <c r="B86" s="39" t="n"/>
      <c r="C86" s="15">
        <f>IF($B86="","",WEEKNUM($B86,2))</f>
        <v/>
      </c>
      <c r="D86" s="15">
        <f>IF($B86="","",TEXT($B86,"yyyy-mm"))</f>
        <v/>
      </c>
      <c r="E86" s="40" t="n"/>
      <c r="F86" s="40" t="n"/>
      <c r="G86" s="15">
        <f>IF(OR($E86="",$F86=""),"",IFERROR(IF($E86=INDEX(Cluster_Master!$A$4:$A$18,MATCH($F86,Cluster_Master!$B$4:$B$18,0)),"OK","CHECK"),"CHECK"))</f>
        <v/>
      </c>
      <c r="H86" s="18">
        <f>IFERROR(INDEX(Cluster_Master!$C$4:$C$18,MATCH($F86,Cluster_Master!$B$4:$B$18,0)),"")</f>
        <v/>
      </c>
      <c r="I86" s="15">
        <f>IFERROR(INDEX(Cluster_Master!$D$4:$D$18,MATCH($F86,Cluster_Master!$B$4:$B$18,0)),"")</f>
        <v/>
      </c>
      <c r="J86" s="15">
        <f>IFERROR(INDEX(Cluster_Master!$E$4:$E$18,MATCH($F86,Cluster_Master!$B$4:$B$18,0)),"")</f>
        <v/>
      </c>
      <c r="K86" s="15">
        <f>IFERROR(INDEX(Cluster_Master!$F$4:$F$18,MATCH($F86,Cluster_Master!$B$4:$B$18,0)),"")</f>
        <v/>
      </c>
      <c r="L86" s="15">
        <f>IFERROR(INDEX(Cluster_Master!$G$4:$G$18,MATCH($F86,Cluster_Master!$B$4:$B$18,0)),"")</f>
        <v/>
      </c>
      <c r="M86" s="15">
        <f>IFERROR(INDEX(Cluster_Master!$H$4:$H$18,MATCH($F86,Cluster_Master!$B$4:$B$18,0)),"")</f>
        <v/>
      </c>
      <c r="N86" s="41" t="n"/>
      <c r="O86" s="41" t="n"/>
      <c r="P86" s="41" t="n"/>
      <c r="Q86" s="41" t="n"/>
      <c r="R86" s="41" t="n"/>
      <c r="S86" s="41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15">
        <f>IF(COUNTA(T86:AH86)=0,"",SUM(T86:AH86))</f>
        <v/>
      </c>
      <c r="AJ86" s="21">
        <f>IF(COUNTA(T86:AH86)=0,"",AI86/(COUNT(KPI_Weights!$A$4:$A$18)*5))</f>
        <v/>
      </c>
      <c r="AK86" s="21">
        <f>IF(COUNTA(T86:AH86)=0,"",SUMPRODUCT(T86:AH86,KPI_Weights!$B$4:$B$18)/5)</f>
        <v/>
      </c>
      <c r="AL86" s="15">
        <f>IF(COUNTA(T86:AH86)=0,"",IF(SUMPRODUCT(--(T86:AH86&lt;=1),--(KPI_Weights!$C$4:$C$18="YES"))&gt;0,"YES","NO"))</f>
        <v/>
      </c>
      <c r="AM86" s="15">
        <f>IF(AJ86="","",IF(AND(AL86="NO",AJ86&gt;=0.75),"YES","NO"))</f>
        <v/>
      </c>
      <c r="AN86" s="15">
        <f>IF(AJ86="","",IF(AJ86&lt;0.4,"Critical",IF(AJ86&lt;0.6,"Poor",IF(AJ86&lt;0.75,"Needs Improvement",IF(AJ86&lt;0.9,"Good","Excellent")))))</f>
        <v/>
      </c>
      <c r="AO86" s="41" t="n"/>
      <c r="AP86" s="41" t="n"/>
      <c r="AQ86" s="41" t="n"/>
      <c r="AR86" s="41" t="n"/>
      <c r="AS86" s="41" t="n"/>
      <c r="AT86" s="44" t="n"/>
      <c r="AU86" s="41" t="n"/>
      <c r="AV86" s="43" t="n"/>
      <c r="AW86" s="41" t="n"/>
      <c r="AX86" s="44" t="n"/>
      <c r="AY86" s="44" t="n"/>
      <c r="AZ86" s="44" t="n"/>
      <c r="BA86" s="44" t="n"/>
      <c r="BB86" s="44" t="n"/>
      <c r="BC86" s="44" t="n"/>
      <c r="BD86" s="44" t="n"/>
      <c r="BE86" s="44" t="n"/>
      <c r="BF86" s="44" t="n"/>
    </row>
    <row r="87" ht="19.5" customHeight="1" s="45">
      <c r="A87" s="15">
        <f>IF($B87="","",TEXT($B87,"yyyymmdd")&amp;"-"&amp;SUBSTITUTE($F87," ","")&amp;"-"&amp;TEXT(COUNTIF($F$4:F87,$F87),"00"))</f>
        <v/>
      </c>
      <c r="B87" s="39" t="n"/>
      <c r="C87" s="15">
        <f>IF($B87="","",WEEKNUM($B87,2))</f>
        <v/>
      </c>
      <c r="D87" s="15">
        <f>IF($B87="","",TEXT($B87,"yyyy-mm"))</f>
        <v/>
      </c>
      <c r="E87" s="40" t="n"/>
      <c r="F87" s="40" t="n"/>
      <c r="G87" s="15">
        <f>IF(OR($E87="",$F87=""),"",IFERROR(IF($E87=INDEX(Cluster_Master!$A$4:$A$18,MATCH($F87,Cluster_Master!$B$4:$B$18,0)),"OK","CHECK"),"CHECK"))</f>
        <v/>
      </c>
      <c r="H87" s="18">
        <f>IFERROR(INDEX(Cluster_Master!$C$4:$C$18,MATCH($F87,Cluster_Master!$B$4:$B$18,0)),"")</f>
        <v/>
      </c>
      <c r="I87" s="15">
        <f>IFERROR(INDEX(Cluster_Master!$D$4:$D$18,MATCH($F87,Cluster_Master!$B$4:$B$18,0)),"")</f>
        <v/>
      </c>
      <c r="J87" s="15">
        <f>IFERROR(INDEX(Cluster_Master!$E$4:$E$18,MATCH($F87,Cluster_Master!$B$4:$B$18,0)),"")</f>
        <v/>
      </c>
      <c r="K87" s="15">
        <f>IFERROR(INDEX(Cluster_Master!$F$4:$F$18,MATCH($F87,Cluster_Master!$B$4:$B$18,0)),"")</f>
        <v/>
      </c>
      <c r="L87" s="15">
        <f>IFERROR(INDEX(Cluster_Master!$G$4:$G$18,MATCH($F87,Cluster_Master!$B$4:$B$18,0)),"")</f>
        <v/>
      </c>
      <c r="M87" s="15">
        <f>IFERROR(INDEX(Cluster_Master!$H$4:$H$18,MATCH($F87,Cluster_Master!$B$4:$B$18,0)),"")</f>
        <v/>
      </c>
      <c r="N87" s="41" t="n"/>
      <c r="O87" s="41" t="n"/>
      <c r="P87" s="41" t="n"/>
      <c r="Q87" s="41" t="n"/>
      <c r="R87" s="41" t="n"/>
      <c r="S87" s="41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15">
        <f>IF(COUNTA(T87:AH87)=0,"",SUM(T87:AH87))</f>
        <v/>
      </c>
      <c r="AJ87" s="21">
        <f>IF(COUNTA(T87:AH87)=0,"",AI87/(COUNT(KPI_Weights!$A$4:$A$18)*5))</f>
        <v/>
      </c>
      <c r="AK87" s="21">
        <f>IF(COUNTA(T87:AH87)=0,"",SUMPRODUCT(T87:AH87,KPI_Weights!$B$4:$B$18)/5)</f>
        <v/>
      </c>
      <c r="AL87" s="15">
        <f>IF(COUNTA(T87:AH87)=0,"",IF(SUMPRODUCT(--(T87:AH87&lt;=1),--(KPI_Weights!$C$4:$C$18="YES"))&gt;0,"YES","NO"))</f>
        <v/>
      </c>
      <c r="AM87" s="15">
        <f>IF(AJ87="","",IF(AND(AL87="NO",AJ87&gt;=0.75),"YES","NO"))</f>
        <v/>
      </c>
      <c r="AN87" s="15">
        <f>IF(AJ87="","",IF(AJ87&lt;0.4,"Critical",IF(AJ87&lt;0.6,"Poor",IF(AJ87&lt;0.75,"Needs Improvement",IF(AJ87&lt;0.9,"Good","Excellent")))))</f>
        <v/>
      </c>
      <c r="AO87" s="41" t="n"/>
      <c r="AP87" s="41" t="n"/>
      <c r="AQ87" s="41" t="n"/>
      <c r="AR87" s="41" t="n"/>
      <c r="AS87" s="41" t="n"/>
      <c r="AT87" s="44" t="n"/>
      <c r="AU87" s="41" t="n"/>
      <c r="AV87" s="43" t="n"/>
      <c r="AW87" s="41" t="n"/>
      <c r="AX87" s="44" t="n"/>
      <c r="AY87" s="44" t="n"/>
      <c r="AZ87" s="44" t="n"/>
      <c r="BA87" s="44" t="n"/>
      <c r="BB87" s="44" t="n"/>
      <c r="BC87" s="44" t="n"/>
      <c r="BD87" s="44" t="n"/>
      <c r="BE87" s="44" t="n"/>
      <c r="BF87" s="44" t="n"/>
    </row>
    <row r="88" ht="19.5" customHeight="1" s="45">
      <c r="A88" s="15">
        <f>IF($B88="","",TEXT($B88,"yyyymmdd")&amp;"-"&amp;SUBSTITUTE($F88," ","")&amp;"-"&amp;TEXT(COUNTIF($F$4:F88,$F88),"00"))</f>
        <v/>
      </c>
      <c r="B88" s="39" t="n"/>
      <c r="C88" s="15">
        <f>IF($B88="","",WEEKNUM($B88,2))</f>
        <v/>
      </c>
      <c r="D88" s="15">
        <f>IF($B88="","",TEXT($B88,"yyyy-mm"))</f>
        <v/>
      </c>
      <c r="E88" s="40" t="n"/>
      <c r="F88" s="40" t="n"/>
      <c r="G88" s="15">
        <f>IF(OR($E88="",$F88=""),"",IFERROR(IF($E88=INDEX(Cluster_Master!$A$4:$A$18,MATCH($F88,Cluster_Master!$B$4:$B$18,0)),"OK","CHECK"),"CHECK"))</f>
        <v/>
      </c>
      <c r="H88" s="18">
        <f>IFERROR(INDEX(Cluster_Master!$C$4:$C$18,MATCH($F88,Cluster_Master!$B$4:$B$18,0)),"")</f>
        <v/>
      </c>
      <c r="I88" s="15">
        <f>IFERROR(INDEX(Cluster_Master!$D$4:$D$18,MATCH($F88,Cluster_Master!$B$4:$B$18,0)),"")</f>
        <v/>
      </c>
      <c r="J88" s="15">
        <f>IFERROR(INDEX(Cluster_Master!$E$4:$E$18,MATCH($F88,Cluster_Master!$B$4:$B$18,0)),"")</f>
        <v/>
      </c>
      <c r="K88" s="15">
        <f>IFERROR(INDEX(Cluster_Master!$F$4:$F$18,MATCH($F88,Cluster_Master!$B$4:$B$18,0)),"")</f>
        <v/>
      </c>
      <c r="L88" s="15">
        <f>IFERROR(INDEX(Cluster_Master!$G$4:$G$18,MATCH($F88,Cluster_Master!$B$4:$B$18,0)),"")</f>
        <v/>
      </c>
      <c r="M88" s="15">
        <f>IFERROR(INDEX(Cluster_Master!$H$4:$H$18,MATCH($F88,Cluster_Master!$B$4:$B$18,0)),"")</f>
        <v/>
      </c>
      <c r="N88" s="41" t="n"/>
      <c r="O88" s="41" t="n"/>
      <c r="P88" s="41" t="n"/>
      <c r="Q88" s="41" t="n"/>
      <c r="R88" s="41" t="n"/>
      <c r="S88" s="41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15">
        <f>IF(COUNTA(T88:AH88)=0,"",SUM(T88:AH88))</f>
        <v/>
      </c>
      <c r="AJ88" s="21">
        <f>IF(COUNTA(T88:AH88)=0,"",AI88/(COUNT(KPI_Weights!$A$4:$A$18)*5))</f>
        <v/>
      </c>
      <c r="AK88" s="21">
        <f>IF(COUNTA(T88:AH88)=0,"",SUMPRODUCT(T88:AH88,KPI_Weights!$B$4:$B$18)/5)</f>
        <v/>
      </c>
      <c r="AL88" s="15">
        <f>IF(COUNTA(T88:AH88)=0,"",IF(SUMPRODUCT(--(T88:AH88&lt;=1),--(KPI_Weights!$C$4:$C$18="YES"))&gt;0,"YES","NO"))</f>
        <v/>
      </c>
      <c r="AM88" s="15">
        <f>IF(AJ88="","",IF(AND(AL88="NO",AJ88&gt;=0.75),"YES","NO"))</f>
        <v/>
      </c>
      <c r="AN88" s="15">
        <f>IF(AJ88="","",IF(AJ88&lt;0.4,"Critical",IF(AJ88&lt;0.6,"Poor",IF(AJ88&lt;0.75,"Needs Improvement",IF(AJ88&lt;0.9,"Good","Excellent")))))</f>
        <v/>
      </c>
      <c r="AO88" s="41" t="n"/>
      <c r="AP88" s="41" t="n"/>
      <c r="AQ88" s="41" t="n"/>
      <c r="AR88" s="41" t="n"/>
      <c r="AS88" s="41" t="n"/>
      <c r="AT88" s="44" t="n"/>
      <c r="AU88" s="41" t="n"/>
      <c r="AV88" s="43" t="n"/>
      <c r="AW88" s="41" t="n"/>
      <c r="AX88" s="44" t="n"/>
      <c r="AY88" s="44" t="n"/>
      <c r="AZ88" s="44" t="n"/>
      <c r="BA88" s="44" t="n"/>
      <c r="BB88" s="44" t="n"/>
      <c r="BC88" s="44" t="n"/>
      <c r="BD88" s="44" t="n"/>
      <c r="BE88" s="44" t="n"/>
      <c r="BF88" s="44" t="n"/>
    </row>
    <row r="89" ht="19.5" customHeight="1" s="45">
      <c r="A89" s="15">
        <f>IF($B89="","",TEXT($B89,"yyyymmdd")&amp;"-"&amp;SUBSTITUTE($F89," ","")&amp;"-"&amp;TEXT(COUNTIF($F$4:F89,$F89),"00"))</f>
        <v/>
      </c>
      <c r="B89" s="39" t="n"/>
      <c r="C89" s="15">
        <f>IF($B89="","",WEEKNUM($B89,2))</f>
        <v/>
      </c>
      <c r="D89" s="15">
        <f>IF($B89="","",TEXT($B89,"yyyy-mm"))</f>
        <v/>
      </c>
      <c r="E89" s="40" t="n"/>
      <c r="F89" s="40" t="n"/>
      <c r="G89" s="15">
        <f>IF(OR($E89="",$F89=""),"",IFERROR(IF($E89=INDEX(Cluster_Master!$A$4:$A$18,MATCH($F89,Cluster_Master!$B$4:$B$18,0)),"OK","CHECK"),"CHECK"))</f>
        <v/>
      </c>
      <c r="H89" s="18">
        <f>IFERROR(INDEX(Cluster_Master!$C$4:$C$18,MATCH($F89,Cluster_Master!$B$4:$B$18,0)),"")</f>
        <v/>
      </c>
      <c r="I89" s="15">
        <f>IFERROR(INDEX(Cluster_Master!$D$4:$D$18,MATCH($F89,Cluster_Master!$B$4:$B$18,0)),"")</f>
        <v/>
      </c>
      <c r="J89" s="15">
        <f>IFERROR(INDEX(Cluster_Master!$E$4:$E$18,MATCH($F89,Cluster_Master!$B$4:$B$18,0)),"")</f>
        <v/>
      </c>
      <c r="K89" s="15">
        <f>IFERROR(INDEX(Cluster_Master!$F$4:$F$18,MATCH($F89,Cluster_Master!$B$4:$B$18,0)),"")</f>
        <v/>
      </c>
      <c r="L89" s="15">
        <f>IFERROR(INDEX(Cluster_Master!$G$4:$G$18,MATCH($F89,Cluster_Master!$B$4:$B$18,0)),"")</f>
        <v/>
      </c>
      <c r="M89" s="15">
        <f>IFERROR(INDEX(Cluster_Master!$H$4:$H$18,MATCH($F89,Cluster_Master!$B$4:$B$18,0)),"")</f>
        <v/>
      </c>
      <c r="N89" s="41" t="n"/>
      <c r="O89" s="41" t="n"/>
      <c r="P89" s="41" t="n"/>
      <c r="Q89" s="41" t="n"/>
      <c r="R89" s="41" t="n"/>
      <c r="S89" s="41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15">
        <f>IF(COUNTA(T89:AH89)=0,"",SUM(T89:AH89))</f>
        <v/>
      </c>
      <c r="AJ89" s="21">
        <f>IF(COUNTA(T89:AH89)=0,"",AI89/(COUNT(KPI_Weights!$A$4:$A$18)*5))</f>
        <v/>
      </c>
      <c r="AK89" s="21">
        <f>IF(COUNTA(T89:AH89)=0,"",SUMPRODUCT(T89:AH89,KPI_Weights!$B$4:$B$18)/5)</f>
        <v/>
      </c>
      <c r="AL89" s="15">
        <f>IF(COUNTA(T89:AH89)=0,"",IF(SUMPRODUCT(--(T89:AH89&lt;=1),--(KPI_Weights!$C$4:$C$18="YES"))&gt;0,"YES","NO"))</f>
        <v/>
      </c>
      <c r="AM89" s="15">
        <f>IF(AJ89="","",IF(AND(AL89="NO",AJ89&gt;=0.75),"YES","NO"))</f>
        <v/>
      </c>
      <c r="AN89" s="15">
        <f>IF(AJ89="","",IF(AJ89&lt;0.4,"Critical",IF(AJ89&lt;0.6,"Poor",IF(AJ89&lt;0.75,"Needs Improvement",IF(AJ89&lt;0.9,"Good","Excellent")))))</f>
        <v/>
      </c>
      <c r="AO89" s="41" t="n"/>
      <c r="AP89" s="41" t="n"/>
      <c r="AQ89" s="41" t="n"/>
      <c r="AR89" s="41" t="n"/>
      <c r="AS89" s="41" t="n"/>
      <c r="AT89" s="44" t="n"/>
      <c r="AU89" s="41" t="n"/>
      <c r="AV89" s="43" t="n"/>
      <c r="AW89" s="41" t="n"/>
      <c r="AX89" s="44" t="n"/>
      <c r="AY89" s="44" t="n"/>
      <c r="AZ89" s="44" t="n"/>
      <c r="BA89" s="44" t="n"/>
      <c r="BB89" s="44" t="n"/>
      <c r="BC89" s="44" t="n"/>
      <c r="BD89" s="44" t="n"/>
      <c r="BE89" s="44" t="n"/>
      <c r="BF89" s="44" t="n"/>
    </row>
    <row r="90" ht="19.5" customHeight="1" s="45">
      <c r="A90" s="15">
        <f>IF($B90="","",TEXT($B90,"yyyymmdd")&amp;"-"&amp;SUBSTITUTE($F90," ","")&amp;"-"&amp;TEXT(COUNTIF($F$4:F90,$F90),"00"))</f>
        <v/>
      </c>
      <c r="B90" s="39" t="n"/>
      <c r="C90" s="15">
        <f>IF($B90="","",WEEKNUM($B90,2))</f>
        <v/>
      </c>
      <c r="D90" s="15">
        <f>IF($B90="","",TEXT($B90,"yyyy-mm"))</f>
        <v/>
      </c>
      <c r="E90" s="40" t="n"/>
      <c r="F90" s="40" t="n"/>
      <c r="G90" s="15">
        <f>IF(OR($E90="",$F90=""),"",IFERROR(IF($E90=INDEX(Cluster_Master!$A$4:$A$18,MATCH($F90,Cluster_Master!$B$4:$B$18,0)),"OK","CHECK"),"CHECK"))</f>
        <v/>
      </c>
      <c r="H90" s="18">
        <f>IFERROR(INDEX(Cluster_Master!$C$4:$C$18,MATCH($F90,Cluster_Master!$B$4:$B$18,0)),"")</f>
        <v/>
      </c>
      <c r="I90" s="15">
        <f>IFERROR(INDEX(Cluster_Master!$D$4:$D$18,MATCH($F90,Cluster_Master!$B$4:$B$18,0)),"")</f>
        <v/>
      </c>
      <c r="J90" s="15">
        <f>IFERROR(INDEX(Cluster_Master!$E$4:$E$18,MATCH($F90,Cluster_Master!$B$4:$B$18,0)),"")</f>
        <v/>
      </c>
      <c r="K90" s="15">
        <f>IFERROR(INDEX(Cluster_Master!$F$4:$F$18,MATCH($F90,Cluster_Master!$B$4:$B$18,0)),"")</f>
        <v/>
      </c>
      <c r="L90" s="15">
        <f>IFERROR(INDEX(Cluster_Master!$G$4:$G$18,MATCH($F90,Cluster_Master!$B$4:$B$18,0)),"")</f>
        <v/>
      </c>
      <c r="M90" s="15">
        <f>IFERROR(INDEX(Cluster_Master!$H$4:$H$18,MATCH($F90,Cluster_Master!$B$4:$B$18,0)),"")</f>
        <v/>
      </c>
      <c r="N90" s="41" t="n"/>
      <c r="O90" s="41" t="n"/>
      <c r="P90" s="41" t="n"/>
      <c r="Q90" s="41" t="n"/>
      <c r="R90" s="41" t="n"/>
      <c r="S90" s="41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15">
        <f>IF(COUNTA(T90:AH90)=0,"",SUM(T90:AH90))</f>
        <v/>
      </c>
      <c r="AJ90" s="21">
        <f>IF(COUNTA(T90:AH90)=0,"",AI90/(COUNT(KPI_Weights!$A$4:$A$18)*5))</f>
        <v/>
      </c>
      <c r="AK90" s="21">
        <f>IF(COUNTA(T90:AH90)=0,"",SUMPRODUCT(T90:AH90,KPI_Weights!$B$4:$B$18)/5)</f>
        <v/>
      </c>
      <c r="AL90" s="15">
        <f>IF(COUNTA(T90:AH90)=0,"",IF(SUMPRODUCT(--(T90:AH90&lt;=1),--(KPI_Weights!$C$4:$C$18="YES"))&gt;0,"YES","NO"))</f>
        <v/>
      </c>
      <c r="AM90" s="15">
        <f>IF(AJ90="","",IF(AND(AL90="NO",AJ90&gt;=0.75),"YES","NO"))</f>
        <v/>
      </c>
      <c r="AN90" s="15">
        <f>IF(AJ90="","",IF(AJ90&lt;0.4,"Critical",IF(AJ90&lt;0.6,"Poor",IF(AJ90&lt;0.75,"Needs Improvement",IF(AJ90&lt;0.9,"Good","Excellent")))))</f>
        <v/>
      </c>
      <c r="AO90" s="41" t="n"/>
      <c r="AP90" s="41" t="n"/>
      <c r="AQ90" s="41" t="n"/>
      <c r="AR90" s="41" t="n"/>
      <c r="AS90" s="41" t="n"/>
      <c r="AT90" s="44" t="n"/>
      <c r="AU90" s="41" t="n"/>
      <c r="AV90" s="43" t="n"/>
      <c r="AW90" s="41" t="n"/>
      <c r="AX90" s="44" t="n"/>
      <c r="AY90" s="44" t="n"/>
      <c r="AZ90" s="44" t="n"/>
      <c r="BA90" s="44" t="n"/>
      <c r="BB90" s="44" t="n"/>
      <c r="BC90" s="44" t="n"/>
      <c r="BD90" s="44" t="n"/>
      <c r="BE90" s="44" t="n"/>
      <c r="BF90" s="44" t="n"/>
    </row>
    <row r="91" ht="19.5" customHeight="1" s="45">
      <c r="A91" s="15">
        <f>IF($B91="","",TEXT($B91,"yyyymmdd")&amp;"-"&amp;SUBSTITUTE($F91," ","")&amp;"-"&amp;TEXT(COUNTIF($F$4:F91,$F91),"00"))</f>
        <v/>
      </c>
      <c r="B91" s="39" t="n"/>
      <c r="C91" s="15">
        <f>IF($B91="","",WEEKNUM($B91,2))</f>
        <v/>
      </c>
      <c r="D91" s="15">
        <f>IF($B91="","",TEXT($B91,"yyyy-mm"))</f>
        <v/>
      </c>
      <c r="E91" s="40" t="n"/>
      <c r="F91" s="40" t="n"/>
      <c r="G91" s="15">
        <f>IF(OR($E91="",$F91=""),"",IFERROR(IF($E91=INDEX(Cluster_Master!$A$4:$A$18,MATCH($F91,Cluster_Master!$B$4:$B$18,0)),"OK","CHECK"),"CHECK"))</f>
        <v/>
      </c>
      <c r="H91" s="18">
        <f>IFERROR(INDEX(Cluster_Master!$C$4:$C$18,MATCH($F91,Cluster_Master!$B$4:$B$18,0)),"")</f>
        <v/>
      </c>
      <c r="I91" s="15">
        <f>IFERROR(INDEX(Cluster_Master!$D$4:$D$18,MATCH($F91,Cluster_Master!$B$4:$B$18,0)),"")</f>
        <v/>
      </c>
      <c r="J91" s="15">
        <f>IFERROR(INDEX(Cluster_Master!$E$4:$E$18,MATCH($F91,Cluster_Master!$B$4:$B$18,0)),"")</f>
        <v/>
      </c>
      <c r="K91" s="15">
        <f>IFERROR(INDEX(Cluster_Master!$F$4:$F$18,MATCH($F91,Cluster_Master!$B$4:$B$18,0)),"")</f>
        <v/>
      </c>
      <c r="L91" s="15">
        <f>IFERROR(INDEX(Cluster_Master!$G$4:$G$18,MATCH($F91,Cluster_Master!$B$4:$B$18,0)),"")</f>
        <v/>
      </c>
      <c r="M91" s="15">
        <f>IFERROR(INDEX(Cluster_Master!$H$4:$H$18,MATCH($F91,Cluster_Master!$B$4:$B$18,0)),"")</f>
        <v/>
      </c>
      <c r="N91" s="41" t="n"/>
      <c r="O91" s="41" t="n"/>
      <c r="P91" s="41" t="n"/>
      <c r="Q91" s="41" t="n"/>
      <c r="R91" s="41" t="n"/>
      <c r="S91" s="41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15">
        <f>IF(COUNTA(T91:AH91)=0,"",SUM(T91:AH91))</f>
        <v/>
      </c>
      <c r="AJ91" s="21">
        <f>IF(COUNTA(T91:AH91)=0,"",AI91/(COUNT(KPI_Weights!$A$4:$A$18)*5))</f>
        <v/>
      </c>
      <c r="AK91" s="21">
        <f>IF(COUNTA(T91:AH91)=0,"",SUMPRODUCT(T91:AH91,KPI_Weights!$B$4:$B$18)/5)</f>
        <v/>
      </c>
      <c r="AL91" s="15">
        <f>IF(COUNTA(T91:AH91)=0,"",IF(SUMPRODUCT(--(T91:AH91&lt;=1),--(KPI_Weights!$C$4:$C$18="YES"))&gt;0,"YES","NO"))</f>
        <v/>
      </c>
      <c r="AM91" s="15">
        <f>IF(AJ91="","",IF(AND(AL91="NO",AJ91&gt;=0.75),"YES","NO"))</f>
        <v/>
      </c>
      <c r="AN91" s="15">
        <f>IF(AJ91="","",IF(AJ91&lt;0.4,"Critical",IF(AJ91&lt;0.6,"Poor",IF(AJ91&lt;0.75,"Needs Improvement",IF(AJ91&lt;0.9,"Good","Excellent")))))</f>
        <v/>
      </c>
      <c r="AO91" s="41" t="n"/>
      <c r="AP91" s="41" t="n"/>
      <c r="AQ91" s="41" t="n"/>
      <c r="AR91" s="41" t="n"/>
      <c r="AS91" s="41" t="n"/>
      <c r="AT91" s="44" t="n"/>
      <c r="AU91" s="41" t="n"/>
      <c r="AV91" s="43" t="n"/>
      <c r="AW91" s="41" t="n"/>
      <c r="AX91" s="44" t="n"/>
      <c r="AY91" s="44" t="n"/>
      <c r="AZ91" s="44" t="n"/>
      <c r="BA91" s="44" t="n"/>
      <c r="BB91" s="44" t="n"/>
      <c r="BC91" s="44" t="n"/>
      <c r="BD91" s="44" t="n"/>
      <c r="BE91" s="44" t="n"/>
      <c r="BF91" s="44" t="n"/>
    </row>
    <row r="92" ht="19.5" customHeight="1" s="45">
      <c r="A92" s="15">
        <f>IF($B92="","",TEXT($B92,"yyyymmdd")&amp;"-"&amp;SUBSTITUTE($F92," ","")&amp;"-"&amp;TEXT(COUNTIF($F$4:F92,$F92),"00"))</f>
        <v/>
      </c>
      <c r="B92" s="39" t="n"/>
      <c r="C92" s="15">
        <f>IF($B92="","",WEEKNUM($B92,2))</f>
        <v/>
      </c>
      <c r="D92" s="15">
        <f>IF($B92="","",TEXT($B92,"yyyy-mm"))</f>
        <v/>
      </c>
      <c r="E92" s="40" t="n"/>
      <c r="F92" s="40" t="n"/>
      <c r="G92" s="15">
        <f>IF(OR($E92="",$F92=""),"",IFERROR(IF($E92=INDEX(Cluster_Master!$A$4:$A$18,MATCH($F92,Cluster_Master!$B$4:$B$18,0)),"OK","CHECK"),"CHECK"))</f>
        <v/>
      </c>
      <c r="H92" s="18">
        <f>IFERROR(INDEX(Cluster_Master!$C$4:$C$18,MATCH($F92,Cluster_Master!$B$4:$B$18,0)),"")</f>
        <v/>
      </c>
      <c r="I92" s="15">
        <f>IFERROR(INDEX(Cluster_Master!$D$4:$D$18,MATCH($F92,Cluster_Master!$B$4:$B$18,0)),"")</f>
        <v/>
      </c>
      <c r="J92" s="15">
        <f>IFERROR(INDEX(Cluster_Master!$E$4:$E$18,MATCH($F92,Cluster_Master!$B$4:$B$18,0)),"")</f>
        <v/>
      </c>
      <c r="K92" s="15">
        <f>IFERROR(INDEX(Cluster_Master!$F$4:$F$18,MATCH($F92,Cluster_Master!$B$4:$B$18,0)),"")</f>
        <v/>
      </c>
      <c r="L92" s="15">
        <f>IFERROR(INDEX(Cluster_Master!$G$4:$G$18,MATCH($F92,Cluster_Master!$B$4:$B$18,0)),"")</f>
        <v/>
      </c>
      <c r="M92" s="15">
        <f>IFERROR(INDEX(Cluster_Master!$H$4:$H$18,MATCH($F92,Cluster_Master!$B$4:$B$18,0)),"")</f>
        <v/>
      </c>
      <c r="N92" s="41" t="n"/>
      <c r="O92" s="41" t="n"/>
      <c r="P92" s="41" t="n"/>
      <c r="Q92" s="41" t="n"/>
      <c r="R92" s="41" t="n"/>
      <c r="S92" s="41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15">
        <f>IF(COUNTA(T92:AH92)=0,"",SUM(T92:AH92))</f>
        <v/>
      </c>
      <c r="AJ92" s="21">
        <f>IF(COUNTA(T92:AH92)=0,"",AI92/(COUNT(KPI_Weights!$A$4:$A$18)*5))</f>
        <v/>
      </c>
      <c r="AK92" s="21">
        <f>IF(COUNTA(T92:AH92)=0,"",SUMPRODUCT(T92:AH92,KPI_Weights!$B$4:$B$18)/5)</f>
        <v/>
      </c>
      <c r="AL92" s="15">
        <f>IF(COUNTA(T92:AH92)=0,"",IF(SUMPRODUCT(--(T92:AH92&lt;=1),--(KPI_Weights!$C$4:$C$18="YES"))&gt;0,"YES","NO"))</f>
        <v/>
      </c>
      <c r="AM92" s="15">
        <f>IF(AJ92="","",IF(AND(AL92="NO",AJ92&gt;=0.75),"YES","NO"))</f>
        <v/>
      </c>
      <c r="AN92" s="15">
        <f>IF(AJ92="","",IF(AJ92&lt;0.4,"Critical",IF(AJ92&lt;0.6,"Poor",IF(AJ92&lt;0.75,"Needs Improvement",IF(AJ92&lt;0.9,"Good","Excellent")))))</f>
        <v/>
      </c>
      <c r="AO92" s="41" t="n"/>
      <c r="AP92" s="41" t="n"/>
      <c r="AQ92" s="41" t="n"/>
      <c r="AR92" s="41" t="n"/>
      <c r="AS92" s="41" t="n"/>
      <c r="AT92" s="44" t="n"/>
      <c r="AU92" s="41" t="n"/>
      <c r="AV92" s="43" t="n"/>
      <c r="AW92" s="41" t="n"/>
      <c r="AX92" s="44" t="n"/>
      <c r="AY92" s="44" t="n"/>
      <c r="AZ92" s="44" t="n"/>
      <c r="BA92" s="44" t="n"/>
      <c r="BB92" s="44" t="n"/>
      <c r="BC92" s="44" t="n"/>
      <c r="BD92" s="44" t="n"/>
      <c r="BE92" s="44" t="n"/>
      <c r="BF92" s="44" t="n"/>
    </row>
    <row r="93" ht="19.5" customHeight="1" s="45">
      <c r="A93" s="15">
        <f>IF($B93="","",TEXT($B93,"yyyymmdd")&amp;"-"&amp;SUBSTITUTE($F93," ","")&amp;"-"&amp;TEXT(COUNTIF($F$4:F93,$F93),"00"))</f>
        <v/>
      </c>
      <c r="B93" s="39" t="n"/>
      <c r="C93" s="15">
        <f>IF($B93="","",WEEKNUM($B93,2))</f>
        <v/>
      </c>
      <c r="D93" s="15">
        <f>IF($B93="","",TEXT($B93,"yyyy-mm"))</f>
        <v/>
      </c>
      <c r="E93" s="40" t="n"/>
      <c r="F93" s="40" t="n"/>
      <c r="G93" s="15">
        <f>IF(OR($E93="",$F93=""),"",IFERROR(IF($E93=INDEX(Cluster_Master!$A$4:$A$18,MATCH($F93,Cluster_Master!$B$4:$B$18,0)),"OK","CHECK"),"CHECK"))</f>
        <v/>
      </c>
      <c r="H93" s="18">
        <f>IFERROR(INDEX(Cluster_Master!$C$4:$C$18,MATCH($F93,Cluster_Master!$B$4:$B$18,0)),"")</f>
        <v/>
      </c>
      <c r="I93" s="15">
        <f>IFERROR(INDEX(Cluster_Master!$D$4:$D$18,MATCH($F93,Cluster_Master!$B$4:$B$18,0)),"")</f>
        <v/>
      </c>
      <c r="J93" s="15">
        <f>IFERROR(INDEX(Cluster_Master!$E$4:$E$18,MATCH($F93,Cluster_Master!$B$4:$B$18,0)),"")</f>
        <v/>
      </c>
      <c r="K93" s="15">
        <f>IFERROR(INDEX(Cluster_Master!$F$4:$F$18,MATCH($F93,Cluster_Master!$B$4:$B$18,0)),"")</f>
        <v/>
      </c>
      <c r="L93" s="15">
        <f>IFERROR(INDEX(Cluster_Master!$G$4:$G$18,MATCH($F93,Cluster_Master!$B$4:$B$18,0)),"")</f>
        <v/>
      </c>
      <c r="M93" s="15">
        <f>IFERROR(INDEX(Cluster_Master!$H$4:$H$18,MATCH($F93,Cluster_Master!$B$4:$B$18,0)),"")</f>
        <v/>
      </c>
      <c r="N93" s="41" t="n"/>
      <c r="O93" s="41" t="n"/>
      <c r="P93" s="41" t="n"/>
      <c r="Q93" s="41" t="n"/>
      <c r="R93" s="41" t="n"/>
      <c r="S93" s="41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15">
        <f>IF(COUNTA(T93:AH93)=0,"",SUM(T93:AH93))</f>
        <v/>
      </c>
      <c r="AJ93" s="21">
        <f>IF(COUNTA(T93:AH93)=0,"",AI93/(COUNT(KPI_Weights!$A$4:$A$18)*5))</f>
        <v/>
      </c>
      <c r="AK93" s="21">
        <f>IF(COUNTA(T93:AH93)=0,"",SUMPRODUCT(T93:AH93,KPI_Weights!$B$4:$B$18)/5)</f>
        <v/>
      </c>
      <c r="AL93" s="15">
        <f>IF(COUNTA(T93:AH93)=0,"",IF(SUMPRODUCT(--(T93:AH93&lt;=1),--(KPI_Weights!$C$4:$C$18="YES"))&gt;0,"YES","NO"))</f>
        <v/>
      </c>
      <c r="AM93" s="15">
        <f>IF(AJ93="","",IF(AND(AL93="NO",AJ93&gt;=0.75),"YES","NO"))</f>
        <v/>
      </c>
      <c r="AN93" s="15">
        <f>IF(AJ93="","",IF(AJ93&lt;0.4,"Critical",IF(AJ93&lt;0.6,"Poor",IF(AJ93&lt;0.75,"Needs Improvement",IF(AJ93&lt;0.9,"Good","Excellent")))))</f>
        <v/>
      </c>
      <c r="AO93" s="41" t="n"/>
      <c r="AP93" s="41" t="n"/>
      <c r="AQ93" s="41" t="n"/>
      <c r="AR93" s="41" t="n"/>
      <c r="AS93" s="41" t="n"/>
      <c r="AT93" s="44" t="n"/>
      <c r="AU93" s="41" t="n"/>
      <c r="AV93" s="43" t="n"/>
      <c r="AW93" s="41" t="n"/>
      <c r="AX93" s="44" t="n"/>
      <c r="AY93" s="44" t="n"/>
      <c r="AZ93" s="44" t="n"/>
      <c r="BA93" s="44" t="n"/>
      <c r="BB93" s="44" t="n"/>
      <c r="BC93" s="44" t="n"/>
      <c r="BD93" s="44" t="n"/>
      <c r="BE93" s="44" t="n"/>
      <c r="BF93" s="44" t="n"/>
    </row>
    <row r="94" ht="19.5" customHeight="1" s="45">
      <c r="A94" s="15">
        <f>IF($B94="","",TEXT($B94,"yyyymmdd")&amp;"-"&amp;SUBSTITUTE($F94," ","")&amp;"-"&amp;TEXT(COUNTIF($F$4:F94,$F94),"00"))</f>
        <v/>
      </c>
      <c r="B94" s="39" t="n"/>
      <c r="C94" s="15">
        <f>IF($B94="","",WEEKNUM($B94,2))</f>
        <v/>
      </c>
      <c r="D94" s="15">
        <f>IF($B94="","",TEXT($B94,"yyyy-mm"))</f>
        <v/>
      </c>
      <c r="E94" s="40" t="n"/>
      <c r="F94" s="40" t="n"/>
      <c r="G94" s="15">
        <f>IF(OR($E94="",$F94=""),"",IFERROR(IF($E94=INDEX(Cluster_Master!$A$4:$A$18,MATCH($F94,Cluster_Master!$B$4:$B$18,0)),"OK","CHECK"),"CHECK"))</f>
        <v/>
      </c>
      <c r="H94" s="18">
        <f>IFERROR(INDEX(Cluster_Master!$C$4:$C$18,MATCH($F94,Cluster_Master!$B$4:$B$18,0)),"")</f>
        <v/>
      </c>
      <c r="I94" s="15">
        <f>IFERROR(INDEX(Cluster_Master!$D$4:$D$18,MATCH($F94,Cluster_Master!$B$4:$B$18,0)),"")</f>
        <v/>
      </c>
      <c r="J94" s="15">
        <f>IFERROR(INDEX(Cluster_Master!$E$4:$E$18,MATCH($F94,Cluster_Master!$B$4:$B$18,0)),"")</f>
        <v/>
      </c>
      <c r="K94" s="15">
        <f>IFERROR(INDEX(Cluster_Master!$F$4:$F$18,MATCH($F94,Cluster_Master!$B$4:$B$18,0)),"")</f>
        <v/>
      </c>
      <c r="L94" s="15">
        <f>IFERROR(INDEX(Cluster_Master!$G$4:$G$18,MATCH($F94,Cluster_Master!$B$4:$B$18,0)),"")</f>
        <v/>
      </c>
      <c r="M94" s="15">
        <f>IFERROR(INDEX(Cluster_Master!$H$4:$H$18,MATCH($F94,Cluster_Master!$B$4:$B$18,0)),"")</f>
        <v/>
      </c>
      <c r="N94" s="41" t="n"/>
      <c r="O94" s="41" t="n"/>
      <c r="P94" s="41" t="n"/>
      <c r="Q94" s="41" t="n"/>
      <c r="R94" s="41" t="n"/>
      <c r="S94" s="41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15">
        <f>IF(COUNTA(T94:AH94)=0,"",SUM(T94:AH94))</f>
        <v/>
      </c>
      <c r="AJ94" s="21">
        <f>IF(COUNTA(T94:AH94)=0,"",AI94/(COUNT(KPI_Weights!$A$4:$A$18)*5))</f>
        <v/>
      </c>
      <c r="AK94" s="21">
        <f>IF(COUNTA(T94:AH94)=0,"",SUMPRODUCT(T94:AH94,KPI_Weights!$B$4:$B$18)/5)</f>
        <v/>
      </c>
      <c r="AL94" s="15">
        <f>IF(COUNTA(T94:AH94)=0,"",IF(SUMPRODUCT(--(T94:AH94&lt;=1),--(KPI_Weights!$C$4:$C$18="YES"))&gt;0,"YES","NO"))</f>
        <v/>
      </c>
      <c r="AM94" s="15">
        <f>IF(AJ94="","",IF(AND(AL94="NO",AJ94&gt;=0.75),"YES","NO"))</f>
        <v/>
      </c>
      <c r="AN94" s="15">
        <f>IF(AJ94="","",IF(AJ94&lt;0.4,"Critical",IF(AJ94&lt;0.6,"Poor",IF(AJ94&lt;0.75,"Needs Improvement",IF(AJ94&lt;0.9,"Good","Excellent")))))</f>
        <v/>
      </c>
      <c r="AO94" s="41" t="n"/>
      <c r="AP94" s="41" t="n"/>
      <c r="AQ94" s="41" t="n"/>
      <c r="AR94" s="41" t="n"/>
      <c r="AS94" s="41" t="n"/>
      <c r="AT94" s="44" t="n"/>
      <c r="AU94" s="41" t="n"/>
      <c r="AV94" s="43" t="n"/>
      <c r="AW94" s="41" t="n"/>
      <c r="AX94" s="44" t="n"/>
      <c r="AY94" s="44" t="n"/>
      <c r="AZ94" s="44" t="n"/>
      <c r="BA94" s="44" t="n"/>
      <c r="BB94" s="44" t="n"/>
      <c r="BC94" s="44" t="n"/>
      <c r="BD94" s="44" t="n"/>
      <c r="BE94" s="44" t="n"/>
      <c r="BF94" s="44" t="n"/>
    </row>
    <row r="95" ht="19.5" customHeight="1" s="45">
      <c r="A95" s="15">
        <f>IF($B95="","",TEXT($B95,"yyyymmdd")&amp;"-"&amp;SUBSTITUTE($F95," ","")&amp;"-"&amp;TEXT(COUNTIF($F$4:F95,$F95),"00"))</f>
        <v/>
      </c>
      <c r="B95" s="39" t="n"/>
      <c r="C95" s="15">
        <f>IF($B95="","",WEEKNUM($B95,2))</f>
        <v/>
      </c>
      <c r="D95" s="15">
        <f>IF($B95="","",TEXT($B95,"yyyy-mm"))</f>
        <v/>
      </c>
      <c r="E95" s="40" t="n"/>
      <c r="F95" s="40" t="n"/>
      <c r="G95" s="15">
        <f>IF(OR($E95="",$F95=""),"",IFERROR(IF($E95=INDEX(Cluster_Master!$A$4:$A$18,MATCH($F95,Cluster_Master!$B$4:$B$18,0)),"OK","CHECK"),"CHECK"))</f>
        <v/>
      </c>
      <c r="H95" s="18">
        <f>IFERROR(INDEX(Cluster_Master!$C$4:$C$18,MATCH($F95,Cluster_Master!$B$4:$B$18,0)),"")</f>
        <v/>
      </c>
      <c r="I95" s="15">
        <f>IFERROR(INDEX(Cluster_Master!$D$4:$D$18,MATCH($F95,Cluster_Master!$B$4:$B$18,0)),"")</f>
        <v/>
      </c>
      <c r="J95" s="15">
        <f>IFERROR(INDEX(Cluster_Master!$E$4:$E$18,MATCH($F95,Cluster_Master!$B$4:$B$18,0)),"")</f>
        <v/>
      </c>
      <c r="K95" s="15">
        <f>IFERROR(INDEX(Cluster_Master!$F$4:$F$18,MATCH($F95,Cluster_Master!$B$4:$B$18,0)),"")</f>
        <v/>
      </c>
      <c r="L95" s="15">
        <f>IFERROR(INDEX(Cluster_Master!$G$4:$G$18,MATCH($F95,Cluster_Master!$B$4:$B$18,0)),"")</f>
        <v/>
      </c>
      <c r="M95" s="15">
        <f>IFERROR(INDEX(Cluster_Master!$H$4:$H$18,MATCH($F95,Cluster_Master!$B$4:$B$18,0)),"")</f>
        <v/>
      </c>
      <c r="N95" s="41" t="n"/>
      <c r="O95" s="41" t="n"/>
      <c r="P95" s="41" t="n"/>
      <c r="Q95" s="41" t="n"/>
      <c r="R95" s="41" t="n"/>
      <c r="S95" s="41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15">
        <f>IF(COUNTA(T95:AH95)=0,"",SUM(T95:AH95))</f>
        <v/>
      </c>
      <c r="AJ95" s="21">
        <f>IF(COUNTA(T95:AH95)=0,"",AI95/(COUNT(KPI_Weights!$A$4:$A$18)*5))</f>
        <v/>
      </c>
      <c r="AK95" s="21">
        <f>IF(COUNTA(T95:AH95)=0,"",SUMPRODUCT(T95:AH95,KPI_Weights!$B$4:$B$18)/5)</f>
        <v/>
      </c>
      <c r="AL95" s="15">
        <f>IF(COUNTA(T95:AH95)=0,"",IF(SUMPRODUCT(--(T95:AH95&lt;=1),--(KPI_Weights!$C$4:$C$18="YES"))&gt;0,"YES","NO"))</f>
        <v/>
      </c>
      <c r="AM95" s="15">
        <f>IF(AJ95="","",IF(AND(AL95="NO",AJ95&gt;=0.75),"YES","NO"))</f>
        <v/>
      </c>
      <c r="AN95" s="15">
        <f>IF(AJ95="","",IF(AJ95&lt;0.4,"Critical",IF(AJ95&lt;0.6,"Poor",IF(AJ95&lt;0.75,"Needs Improvement",IF(AJ95&lt;0.9,"Good","Excellent")))))</f>
        <v/>
      </c>
      <c r="AO95" s="41" t="n"/>
      <c r="AP95" s="41" t="n"/>
      <c r="AQ95" s="41" t="n"/>
      <c r="AR95" s="41" t="n"/>
      <c r="AS95" s="41" t="n"/>
      <c r="AT95" s="44" t="n"/>
      <c r="AU95" s="41" t="n"/>
      <c r="AV95" s="43" t="n"/>
      <c r="AW95" s="41" t="n"/>
      <c r="AX95" s="44" t="n"/>
      <c r="AY95" s="44" t="n"/>
      <c r="AZ95" s="44" t="n"/>
      <c r="BA95" s="44" t="n"/>
      <c r="BB95" s="44" t="n"/>
      <c r="BC95" s="44" t="n"/>
      <c r="BD95" s="44" t="n"/>
      <c r="BE95" s="44" t="n"/>
      <c r="BF95" s="44" t="n"/>
    </row>
    <row r="96" ht="19.5" customHeight="1" s="45">
      <c r="A96" s="15">
        <f>IF($B96="","",TEXT($B96,"yyyymmdd")&amp;"-"&amp;SUBSTITUTE($F96," ","")&amp;"-"&amp;TEXT(COUNTIF($F$4:F96,$F96),"00"))</f>
        <v/>
      </c>
      <c r="B96" s="39" t="n"/>
      <c r="C96" s="15">
        <f>IF($B96="","",WEEKNUM($B96,2))</f>
        <v/>
      </c>
      <c r="D96" s="15">
        <f>IF($B96="","",TEXT($B96,"yyyy-mm"))</f>
        <v/>
      </c>
      <c r="E96" s="40" t="n"/>
      <c r="F96" s="40" t="n"/>
      <c r="G96" s="15">
        <f>IF(OR($E96="",$F96=""),"",IFERROR(IF($E96=INDEX(Cluster_Master!$A$4:$A$18,MATCH($F96,Cluster_Master!$B$4:$B$18,0)),"OK","CHECK"),"CHECK"))</f>
        <v/>
      </c>
      <c r="H96" s="18">
        <f>IFERROR(INDEX(Cluster_Master!$C$4:$C$18,MATCH($F96,Cluster_Master!$B$4:$B$18,0)),"")</f>
        <v/>
      </c>
      <c r="I96" s="15">
        <f>IFERROR(INDEX(Cluster_Master!$D$4:$D$18,MATCH($F96,Cluster_Master!$B$4:$B$18,0)),"")</f>
        <v/>
      </c>
      <c r="J96" s="15">
        <f>IFERROR(INDEX(Cluster_Master!$E$4:$E$18,MATCH($F96,Cluster_Master!$B$4:$B$18,0)),"")</f>
        <v/>
      </c>
      <c r="K96" s="15">
        <f>IFERROR(INDEX(Cluster_Master!$F$4:$F$18,MATCH($F96,Cluster_Master!$B$4:$B$18,0)),"")</f>
        <v/>
      </c>
      <c r="L96" s="15">
        <f>IFERROR(INDEX(Cluster_Master!$G$4:$G$18,MATCH($F96,Cluster_Master!$B$4:$B$18,0)),"")</f>
        <v/>
      </c>
      <c r="M96" s="15">
        <f>IFERROR(INDEX(Cluster_Master!$H$4:$H$18,MATCH($F96,Cluster_Master!$B$4:$B$18,0)),"")</f>
        <v/>
      </c>
      <c r="N96" s="41" t="n"/>
      <c r="O96" s="41" t="n"/>
      <c r="P96" s="41" t="n"/>
      <c r="Q96" s="41" t="n"/>
      <c r="R96" s="41" t="n"/>
      <c r="S96" s="41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15">
        <f>IF(COUNTA(T96:AH96)=0,"",SUM(T96:AH96))</f>
        <v/>
      </c>
      <c r="AJ96" s="21">
        <f>IF(COUNTA(T96:AH96)=0,"",AI96/(COUNT(KPI_Weights!$A$4:$A$18)*5))</f>
        <v/>
      </c>
      <c r="AK96" s="21">
        <f>IF(COUNTA(T96:AH96)=0,"",SUMPRODUCT(T96:AH96,KPI_Weights!$B$4:$B$18)/5)</f>
        <v/>
      </c>
      <c r="AL96" s="15">
        <f>IF(COUNTA(T96:AH96)=0,"",IF(SUMPRODUCT(--(T96:AH96&lt;=1),--(KPI_Weights!$C$4:$C$18="YES"))&gt;0,"YES","NO"))</f>
        <v/>
      </c>
      <c r="AM96" s="15">
        <f>IF(AJ96="","",IF(AND(AL96="NO",AJ96&gt;=0.75),"YES","NO"))</f>
        <v/>
      </c>
      <c r="AN96" s="15">
        <f>IF(AJ96="","",IF(AJ96&lt;0.4,"Critical",IF(AJ96&lt;0.6,"Poor",IF(AJ96&lt;0.75,"Needs Improvement",IF(AJ96&lt;0.9,"Good","Excellent")))))</f>
        <v/>
      </c>
      <c r="AO96" s="41" t="n"/>
      <c r="AP96" s="41" t="n"/>
      <c r="AQ96" s="41" t="n"/>
      <c r="AR96" s="41" t="n"/>
      <c r="AS96" s="41" t="n"/>
      <c r="AT96" s="44" t="n"/>
      <c r="AU96" s="41" t="n"/>
      <c r="AV96" s="43" t="n"/>
      <c r="AW96" s="41" t="n"/>
      <c r="AX96" s="44" t="n"/>
      <c r="AY96" s="44" t="n"/>
      <c r="AZ96" s="44" t="n"/>
      <c r="BA96" s="44" t="n"/>
      <c r="BB96" s="44" t="n"/>
      <c r="BC96" s="44" t="n"/>
      <c r="BD96" s="44" t="n"/>
      <c r="BE96" s="44" t="n"/>
      <c r="BF96" s="44" t="n"/>
    </row>
    <row r="97" ht="19.5" customHeight="1" s="45">
      <c r="A97" s="15">
        <f>IF($B97="","",TEXT($B97,"yyyymmdd")&amp;"-"&amp;SUBSTITUTE($F97," ","")&amp;"-"&amp;TEXT(COUNTIF($F$4:F97,$F97),"00"))</f>
        <v/>
      </c>
      <c r="B97" s="39" t="n"/>
      <c r="C97" s="15">
        <f>IF($B97="","",WEEKNUM($B97,2))</f>
        <v/>
      </c>
      <c r="D97" s="15">
        <f>IF($B97="","",TEXT($B97,"yyyy-mm"))</f>
        <v/>
      </c>
      <c r="E97" s="40" t="n"/>
      <c r="F97" s="40" t="n"/>
      <c r="G97" s="15">
        <f>IF(OR($E97="",$F97=""),"",IFERROR(IF($E97=INDEX(Cluster_Master!$A$4:$A$18,MATCH($F97,Cluster_Master!$B$4:$B$18,0)),"OK","CHECK"),"CHECK"))</f>
        <v/>
      </c>
      <c r="H97" s="18">
        <f>IFERROR(INDEX(Cluster_Master!$C$4:$C$18,MATCH($F97,Cluster_Master!$B$4:$B$18,0)),"")</f>
        <v/>
      </c>
      <c r="I97" s="15">
        <f>IFERROR(INDEX(Cluster_Master!$D$4:$D$18,MATCH($F97,Cluster_Master!$B$4:$B$18,0)),"")</f>
        <v/>
      </c>
      <c r="J97" s="15">
        <f>IFERROR(INDEX(Cluster_Master!$E$4:$E$18,MATCH($F97,Cluster_Master!$B$4:$B$18,0)),"")</f>
        <v/>
      </c>
      <c r="K97" s="15">
        <f>IFERROR(INDEX(Cluster_Master!$F$4:$F$18,MATCH($F97,Cluster_Master!$B$4:$B$18,0)),"")</f>
        <v/>
      </c>
      <c r="L97" s="15">
        <f>IFERROR(INDEX(Cluster_Master!$G$4:$G$18,MATCH($F97,Cluster_Master!$B$4:$B$18,0)),"")</f>
        <v/>
      </c>
      <c r="M97" s="15">
        <f>IFERROR(INDEX(Cluster_Master!$H$4:$H$18,MATCH($F97,Cluster_Master!$B$4:$B$18,0)),"")</f>
        <v/>
      </c>
      <c r="N97" s="41" t="n"/>
      <c r="O97" s="41" t="n"/>
      <c r="P97" s="41" t="n"/>
      <c r="Q97" s="41" t="n"/>
      <c r="R97" s="41" t="n"/>
      <c r="S97" s="41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15">
        <f>IF(COUNTA(T97:AH97)=0,"",SUM(T97:AH97))</f>
        <v/>
      </c>
      <c r="AJ97" s="21">
        <f>IF(COUNTA(T97:AH97)=0,"",AI97/(COUNT(KPI_Weights!$A$4:$A$18)*5))</f>
        <v/>
      </c>
      <c r="AK97" s="21">
        <f>IF(COUNTA(T97:AH97)=0,"",SUMPRODUCT(T97:AH97,KPI_Weights!$B$4:$B$18)/5)</f>
        <v/>
      </c>
      <c r="AL97" s="15">
        <f>IF(COUNTA(T97:AH97)=0,"",IF(SUMPRODUCT(--(T97:AH97&lt;=1),--(KPI_Weights!$C$4:$C$18="YES"))&gt;0,"YES","NO"))</f>
        <v/>
      </c>
      <c r="AM97" s="15">
        <f>IF(AJ97="","",IF(AND(AL97="NO",AJ97&gt;=0.75),"YES","NO"))</f>
        <v/>
      </c>
      <c r="AN97" s="15">
        <f>IF(AJ97="","",IF(AJ97&lt;0.4,"Critical",IF(AJ97&lt;0.6,"Poor",IF(AJ97&lt;0.75,"Needs Improvement",IF(AJ97&lt;0.9,"Good","Excellent")))))</f>
        <v/>
      </c>
      <c r="AO97" s="41" t="n"/>
      <c r="AP97" s="41" t="n"/>
      <c r="AQ97" s="41" t="n"/>
      <c r="AR97" s="41" t="n"/>
      <c r="AS97" s="41" t="n"/>
      <c r="AT97" s="44" t="n"/>
      <c r="AU97" s="41" t="n"/>
      <c r="AV97" s="43" t="n"/>
      <c r="AW97" s="41" t="n"/>
      <c r="AX97" s="44" t="n"/>
      <c r="AY97" s="44" t="n"/>
      <c r="AZ97" s="44" t="n"/>
      <c r="BA97" s="44" t="n"/>
      <c r="BB97" s="44" t="n"/>
      <c r="BC97" s="44" t="n"/>
      <c r="BD97" s="44" t="n"/>
      <c r="BE97" s="44" t="n"/>
      <c r="BF97" s="44" t="n"/>
    </row>
    <row r="98" ht="19.5" customHeight="1" s="45">
      <c r="A98" s="15">
        <f>IF($B98="","",TEXT($B98,"yyyymmdd")&amp;"-"&amp;SUBSTITUTE($F98," ","")&amp;"-"&amp;TEXT(COUNTIF($F$4:F98,$F98),"00"))</f>
        <v/>
      </c>
      <c r="B98" s="39" t="n"/>
      <c r="C98" s="15">
        <f>IF($B98="","",WEEKNUM($B98,2))</f>
        <v/>
      </c>
      <c r="D98" s="15">
        <f>IF($B98="","",TEXT($B98,"yyyy-mm"))</f>
        <v/>
      </c>
      <c r="E98" s="40" t="n"/>
      <c r="F98" s="40" t="n"/>
      <c r="G98" s="15">
        <f>IF(OR($E98="",$F98=""),"",IFERROR(IF($E98=INDEX(Cluster_Master!$A$4:$A$18,MATCH($F98,Cluster_Master!$B$4:$B$18,0)),"OK","CHECK"),"CHECK"))</f>
        <v/>
      </c>
      <c r="H98" s="18">
        <f>IFERROR(INDEX(Cluster_Master!$C$4:$C$18,MATCH($F98,Cluster_Master!$B$4:$B$18,0)),"")</f>
        <v/>
      </c>
      <c r="I98" s="15">
        <f>IFERROR(INDEX(Cluster_Master!$D$4:$D$18,MATCH($F98,Cluster_Master!$B$4:$B$18,0)),"")</f>
        <v/>
      </c>
      <c r="J98" s="15">
        <f>IFERROR(INDEX(Cluster_Master!$E$4:$E$18,MATCH($F98,Cluster_Master!$B$4:$B$18,0)),"")</f>
        <v/>
      </c>
      <c r="K98" s="15">
        <f>IFERROR(INDEX(Cluster_Master!$F$4:$F$18,MATCH($F98,Cluster_Master!$B$4:$B$18,0)),"")</f>
        <v/>
      </c>
      <c r="L98" s="15">
        <f>IFERROR(INDEX(Cluster_Master!$G$4:$G$18,MATCH($F98,Cluster_Master!$B$4:$B$18,0)),"")</f>
        <v/>
      </c>
      <c r="M98" s="15">
        <f>IFERROR(INDEX(Cluster_Master!$H$4:$H$18,MATCH($F98,Cluster_Master!$B$4:$B$18,0)),"")</f>
        <v/>
      </c>
      <c r="N98" s="41" t="n"/>
      <c r="O98" s="41" t="n"/>
      <c r="P98" s="41" t="n"/>
      <c r="Q98" s="41" t="n"/>
      <c r="R98" s="41" t="n"/>
      <c r="S98" s="41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15">
        <f>IF(COUNTA(T98:AH98)=0,"",SUM(T98:AH98))</f>
        <v/>
      </c>
      <c r="AJ98" s="21">
        <f>IF(COUNTA(T98:AH98)=0,"",AI98/(COUNT(KPI_Weights!$A$4:$A$18)*5))</f>
        <v/>
      </c>
      <c r="AK98" s="21">
        <f>IF(COUNTA(T98:AH98)=0,"",SUMPRODUCT(T98:AH98,KPI_Weights!$B$4:$B$18)/5)</f>
        <v/>
      </c>
      <c r="AL98" s="15">
        <f>IF(COUNTA(T98:AH98)=0,"",IF(SUMPRODUCT(--(T98:AH98&lt;=1),--(KPI_Weights!$C$4:$C$18="YES"))&gt;0,"YES","NO"))</f>
        <v/>
      </c>
      <c r="AM98" s="15">
        <f>IF(AJ98="","",IF(AND(AL98="NO",AJ98&gt;=0.75),"YES","NO"))</f>
        <v/>
      </c>
      <c r="AN98" s="15">
        <f>IF(AJ98="","",IF(AJ98&lt;0.4,"Critical",IF(AJ98&lt;0.6,"Poor",IF(AJ98&lt;0.75,"Needs Improvement",IF(AJ98&lt;0.9,"Good","Excellent")))))</f>
        <v/>
      </c>
      <c r="AO98" s="41" t="n"/>
      <c r="AP98" s="41" t="n"/>
      <c r="AQ98" s="41" t="n"/>
      <c r="AR98" s="41" t="n"/>
      <c r="AS98" s="41" t="n"/>
      <c r="AT98" s="44" t="n"/>
      <c r="AU98" s="41" t="n"/>
      <c r="AV98" s="43" t="n"/>
      <c r="AW98" s="41" t="n"/>
      <c r="AX98" s="44" t="n"/>
      <c r="AY98" s="44" t="n"/>
      <c r="AZ98" s="44" t="n"/>
      <c r="BA98" s="44" t="n"/>
      <c r="BB98" s="44" t="n"/>
      <c r="BC98" s="44" t="n"/>
      <c r="BD98" s="44" t="n"/>
      <c r="BE98" s="44" t="n"/>
      <c r="BF98" s="44" t="n"/>
    </row>
    <row r="99" ht="19.5" customHeight="1" s="45">
      <c r="A99" s="15">
        <f>IF($B99="","",TEXT($B99,"yyyymmdd")&amp;"-"&amp;SUBSTITUTE($F99," ","")&amp;"-"&amp;TEXT(COUNTIF($F$4:F99,$F99),"00"))</f>
        <v/>
      </c>
      <c r="B99" s="39" t="n"/>
      <c r="C99" s="15">
        <f>IF($B99="","",WEEKNUM($B99,2))</f>
        <v/>
      </c>
      <c r="D99" s="15">
        <f>IF($B99="","",TEXT($B99,"yyyy-mm"))</f>
        <v/>
      </c>
      <c r="E99" s="40" t="n"/>
      <c r="F99" s="40" t="n"/>
      <c r="G99" s="15">
        <f>IF(OR($E99="",$F99=""),"",IFERROR(IF($E99=INDEX(Cluster_Master!$A$4:$A$18,MATCH($F99,Cluster_Master!$B$4:$B$18,0)),"OK","CHECK"),"CHECK"))</f>
        <v/>
      </c>
      <c r="H99" s="18">
        <f>IFERROR(INDEX(Cluster_Master!$C$4:$C$18,MATCH($F99,Cluster_Master!$B$4:$B$18,0)),"")</f>
        <v/>
      </c>
      <c r="I99" s="15">
        <f>IFERROR(INDEX(Cluster_Master!$D$4:$D$18,MATCH($F99,Cluster_Master!$B$4:$B$18,0)),"")</f>
        <v/>
      </c>
      <c r="J99" s="15">
        <f>IFERROR(INDEX(Cluster_Master!$E$4:$E$18,MATCH($F99,Cluster_Master!$B$4:$B$18,0)),"")</f>
        <v/>
      </c>
      <c r="K99" s="15">
        <f>IFERROR(INDEX(Cluster_Master!$F$4:$F$18,MATCH($F99,Cluster_Master!$B$4:$B$18,0)),"")</f>
        <v/>
      </c>
      <c r="L99" s="15">
        <f>IFERROR(INDEX(Cluster_Master!$G$4:$G$18,MATCH($F99,Cluster_Master!$B$4:$B$18,0)),"")</f>
        <v/>
      </c>
      <c r="M99" s="15">
        <f>IFERROR(INDEX(Cluster_Master!$H$4:$H$18,MATCH($F99,Cluster_Master!$B$4:$B$18,0)),"")</f>
        <v/>
      </c>
      <c r="N99" s="41" t="n"/>
      <c r="O99" s="41" t="n"/>
      <c r="P99" s="41" t="n"/>
      <c r="Q99" s="41" t="n"/>
      <c r="R99" s="41" t="n"/>
      <c r="S99" s="41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15">
        <f>IF(COUNTA(T99:AH99)=0,"",SUM(T99:AH99))</f>
        <v/>
      </c>
      <c r="AJ99" s="21">
        <f>IF(COUNTA(T99:AH99)=0,"",AI99/(COUNT(KPI_Weights!$A$4:$A$18)*5))</f>
        <v/>
      </c>
      <c r="AK99" s="21">
        <f>IF(COUNTA(T99:AH99)=0,"",SUMPRODUCT(T99:AH99,KPI_Weights!$B$4:$B$18)/5)</f>
        <v/>
      </c>
      <c r="AL99" s="15">
        <f>IF(COUNTA(T99:AH99)=0,"",IF(SUMPRODUCT(--(T99:AH99&lt;=1),--(KPI_Weights!$C$4:$C$18="YES"))&gt;0,"YES","NO"))</f>
        <v/>
      </c>
      <c r="AM99" s="15">
        <f>IF(AJ99="","",IF(AND(AL99="NO",AJ99&gt;=0.75),"YES","NO"))</f>
        <v/>
      </c>
      <c r="AN99" s="15">
        <f>IF(AJ99="","",IF(AJ99&lt;0.4,"Critical",IF(AJ99&lt;0.6,"Poor",IF(AJ99&lt;0.75,"Needs Improvement",IF(AJ99&lt;0.9,"Good","Excellent")))))</f>
        <v/>
      </c>
      <c r="AO99" s="41" t="n"/>
      <c r="AP99" s="41" t="n"/>
      <c r="AQ99" s="41" t="n"/>
      <c r="AR99" s="41" t="n"/>
      <c r="AS99" s="41" t="n"/>
      <c r="AT99" s="44" t="n"/>
      <c r="AU99" s="41" t="n"/>
      <c r="AV99" s="43" t="n"/>
      <c r="AW99" s="41" t="n"/>
      <c r="AX99" s="44" t="n"/>
      <c r="AY99" s="44" t="n"/>
      <c r="AZ99" s="44" t="n"/>
      <c r="BA99" s="44" t="n"/>
      <c r="BB99" s="44" t="n"/>
      <c r="BC99" s="44" t="n"/>
      <c r="BD99" s="44" t="n"/>
      <c r="BE99" s="44" t="n"/>
      <c r="BF99" s="44" t="n"/>
    </row>
    <row r="100" ht="19.5" customHeight="1" s="45">
      <c r="A100" s="15">
        <f>IF($B100="","",TEXT($B100,"yyyymmdd")&amp;"-"&amp;SUBSTITUTE($F100," ","")&amp;"-"&amp;TEXT(COUNTIF($F$4:F100,$F100),"00"))</f>
        <v/>
      </c>
      <c r="B100" s="39" t="n"/>
      <c r="C100" s="15">
        <f>IF($B100="","",WEEKNUM($B100,2))</f>
        <v/>
      </c>
      <c r="D100" s="15">
        <f>IF($B100="","",TEXT($B100,"yyyy-mm"))</f>
        <v/>
      </c>
      <c r="E100" s="40" t="n"/>
      <c r="F100" s="40" t="n"/>
      <c r="G100" s="15">
        <f>IF(OR($E100="",$F100=""),"",IFERROR(IF($E100=INDEX(Cluster_Master!$A$4:$A$18,MATCH($F100,Cluster_Master!$B$4:$B$18,0)),"OK","CHECK"),"CHECK"))</f>
        <v/>
      </c>
      <c r="H100" s="18">
        <f>IFERROR(INDEX(Cluster_Master!$C$4:$C$18,MATCH($F100,Cluster_Master!$B$4:$B$18,0)),"")</f>
        <v/>
      </c>
      <c r="I100" s="15">
        <f>IFERROR(INDEX(Cluster_Master!$D$4:$D$18,MATCH($F100,Cluster_Master!$B$4:$B$18,0)),"")</f>
        <v/>
      </c>
      <c r="J100" s="15">
        <f>IFERROR(INDEX(Cluster_Master!$E$4:$E$18,MATCH($F100,Cluster_Master!$B$4:$B$18,0)),"")</f>
        <v/>
      </c>
      <c r="K100" s="15">
        <f>IFERROR(INDEX(Cluster_Master!$F$4:$F$18,MATCH($F100,Cluster_Master!$B$4:$B$18,0)),"")</f>
        <v/>
      </c>
      <c r="L100" s="15">
        <f>IFERROR(INDEX(Cluster_Master!$G$4:$G$18,MATCH($F100,Cluster_Master!$B$4:$B$18,0)),"")</f>
        <v/>
      </c>
      <c r="M100" s="15">
        <f>IFERROR(INDEX(Cluster_Master!$H$4:$H$18,MATCH($F100,Cluster_Master!$B$4:$B$18,0)),"")</f>
        <v/>
      </c>
      <c r="N100" s="41" t="n"/>
      <c r="O100" s="41" t="n"/>
      <c r="P100" s="41" t="n"/>
      <c r="Q100" s="41" t="n"/>
      <c r="R100" s="41" t="n"/>
      <c r="S100" s="41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15">
        <f>IF(COUNTA(T100:AH100)=0,"",SUM(T100:AH100))</f>
        <v/>
      </c>
      <c r="AJ100" s="21">
        <f>IF(COUNTA(T100:AH100)=0,"",AI100/(COUNT(KPI_Weights!$A$4:$A$18)*5))</f>
        <v/>
      </c>
      <c r="AK100" s="21">
        <f>IF(COUNTA(T100:AH100)=0,"",SUMPRODUCT(T100:AH100,KPI_Weights!$B$4:$B$18)/5)</f>
        <v/>
      </c>
      <c r="AL100" s="15">
        <f>IF(COUNTA(T100:AH100)=0,"",IF(SUMPRODUCT(--(T100:AH100&lt;=1),--(KPI_Weights!$C$4:$C$18="YES"))&gt;0,"YES","NO"))</f>
        <v/>
      </c>
      <c r="AM100" s="15">
        <f>IF(AJ100="","",IF(AND(AL100="NO",AJ100&gt;=0.75),"YES","NO"))</f>
        <v/>
      </c>
      <c r="AN100" s="15">
        <f>IF(AJ100="","",IF(AJ100&lt;0.4,"Critical",IF(AJ100&lt;0.6,"Poor",IF(AJ100&lt;0.75,"Needs Improvement",IF(AJ100&lt;0.9,"Good","Excellent")))))</f>
        <v/>
      </c>
      <c r="AO100" s="41" t="n"/>
      <c r="AP100" s="41" t="n"/>
      <c r="AQ100" s="41" t="n"/>
      <c r="AR100" s="41" t="n"/>
      <c r="AS100" s="41" t="n"/>
      <c r="AT100" s="44" t="n"/>
      <c r="AU100" s="41" t="n"/>
      <c r="AV100" s="43" t="n"/>
      <c r="AW100" s="41" t="n"/>
      <c r="AX100" s="44" t="n"/>
      <c r="AY100" s="44" t="n"/>
      <c r="AZ100" s="44" t="n"/>
      <c r="BA100" s="44" t="n"/>
      <c r="BB100" s="44" t="n"/>
      <c r="BC100" s="44" t="n"/>
      <c r="BD100" s="44" t="n"/>
      <c r="BE100" s="44" t="n"/>
      <c r="BF100" s="44" t="n"/>
    </row>
    <row r="101" ht="19.5" customHeight="1" s="45">
      <c r="A101" s="15">
        <f>IF($B101="","",TEXT($B101,"yyyymmdd")&amp;"-"&amp;SUBSTITUTE($F101," ","")&amp;"-"&amp;TEXT(COUNTIF($F$4:F101,$F101),"00"))</f>
        <v/>
      </c>
      <c r="B101" s="39" t="n"/>
      <c r="C101" s="15">
        <f>IF($B101="","",WEEKNUM($B101,2))</f>
        <v/>
      </c>
      <c r="D101" s="15">
        <f>IF($B101="","",TEXT($B101,"yyyy-mm"))</f>
        <v/>
      </c>
      <c r="E101" s="40" t="n"/>
      <c r="F101" s="40" t="n"/>
      <c r="G101" s="15">
        <f>IF(OR($E101="",$F101=""),"",IFERROR(IF($E101=INDEX(Cluster_Master!$A$4:$A$18,MATCH($F101,Cluster_Master!$B$4:$B$18,0)),"OK","CHECK"),"CHECK"))</f>
        <v/>
      </c>
      <c r="H101" s="18">
        <f>IFERROR(INDEX(Cluster_Master!$C$4:$C$18,MATCH($F101,Cluster_Master!$B$4:$B$18,0)),"")</f>
        <v/>
      </c>
      <c r="I101" s="15">
        <f>IFERROR(INDEX(Cluster_Master!$D$4:$D$18,MATCH($F101,Cluster_Master!$B$4:$B$18,0)),"")</f>
        <v/>
      </c>
      <c r="J101" s="15">
        <f>IFERROR(INDEX(Cluster_Master!$E$4:$E$18,MATCH($F101,Cluster_Master!$B$4:$B$18,0)),"")</f>
        <v/>
      </c>
      <c r="K101" s="15">
        <f>IFERROR(INDEX(Cluster_Master!$F$4:$F$18,MATCH($F101,Cluster_Master!$B$4:$B$18,0)),"")</f>
        <v/>
      </c>
      <c r="L101" s="15">
        <f>IFERROR(INDEX(Cluster_Master!$G$4:$G$18,MATCH($F101,Cluster_Master!$B$4:$B$18,0)),"")</f>
        <v/>
      </c>
      <c r="M101" s="15">
        <f>IFERROR(INDEX(Cluster_Master!$H$4:$H$18,MATCH($F101,Cluster_Master!$B$4:$B$18,0)),"")</f>
        <v/>
      </c>
      <c r="N101" s="41" t="n"/>
      <c r="O101" s="41" t="n"/>
      <c r="P101" s="41" t="n"/>
      <c r="Q101" s="41" t="n"/>
      <c r="R101" s="41" t="n"/>
      <c r="S101" s="41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15">
        <f>IF(COUNTA(T101:AH101)=0,"",SUM(T101:AH101))</f>
        <v/>
      </c>
      <c r="AJ101" s="21">
        <f>IF(COUNTA(T101:AH101)=0,"",AI101/(COUNT(KPI_Weights!$A$4:$A$18)*5))</f>
        <v/>
      </c>
      <c r="AK101" s="21">
        <f>IF(COUNTA(T101:AH101)=0,"",SUMPRODUCT(T101:AH101,KPI_Weights!$B$4:$B$18)/5)</f>
        <v/>
      </c>
      <c r="AL101" s="15">
        <f>IF(COUNTA(T101:AH101)=0,"",IF(SUMPRODUCT(--(T101:AH101&lt;=1),--(KPI_Weights!$C$4:$C$18="YES"))&gt;0,"YES","NO"))</f>
        <v/>
      </c>
      <c r="AM101" s="15">
        <f>IF(AJ101="","",IF(AND(AL101="NO",AJ101&gt;=0.75),"YES","NO"))</f>
        <v/>
      </c>
      <c r="AN101" s="15">
        <f>IF(AJ101="","",IF(AJ101&lt;0.4,"Critical",IF(AJ101&lt;0.6,"Poor",IF(AJ101&lt;0.75,"Needs Improvement",IF(AJ101&lt;0.9,"Good","Excellent")))))</f>
        <v/>
      </c>
      <c r="AO101" s="41" t="n"/>
      <c r="AP101" s="41" t="n"/>
      <c r="AQ101" s="41" t="n"/>
      <c r="AR101" s="41" t="n"/>
      <c r="AS101" s="41" t="n"/>
      <c r="AT101" s="44" t="n"/>
      <c r="AU101" s="41" t="n"/>
      <c r="AV101" s="43" t="n"/>
      <c r="AW101" s="41" t="n"/>
      <c r="AX101" s="44" t="n"/>
      <c r="AY101" s="44" t="n"/>
      <c r="AZ101" s="44" t="n"/>
      <c r="BA101" s="44" t="n"/>
      <c r="BB101" s="44" t="n"/>
      <c r="BC101" s="44" t="n"/>
      <c r="BD101" s="44" t="n"/>
      <c r="BE101" s="44" t="n"/>
      <c r="BF101" s="44" t="n"/>
    </row>
    <row r="102" ht="19.5" customHeight="1" s="45">
      <c r="A102" s="15">
        <f>IF($B102="","",TEXT($B102,"yyyymmdd")&amp;"-"&amp;SUBSTITUTE($F102," ","")&amp;"-"&amp;TEXT(COUNTIF($F$4:F102,$F102),"00"))</f>
        <v/>
      </c>
      <c r="B102" s="39" t="n"/>
      <c r="C102" s="15">
        <f>IF($B102="","",WEEKNUM($B102,2))</f>
        <v/>
      </c>
      <c r="D102" s="15">
        <f>IF($B102="","",TEXT($B102,"yyyy-mm"))</f>
        <v/>
      </c>
      <c r="E102" s="40" t="n"/>
      <c r="F102" s="40" t="n"/>
      <c r="G102" s="15">
        <f>IF(OR($E102="",$F102=""),"",IFERROR(IF($E102=INDEX(Cluster_Master!$A$4:$A$18,MATCH($F102,Cluster_Master!$B$4:$B$18,0)),"OK","CHECK"),"CHECK"))</f>
        <v/>
      </c>
      <c r="H102" s="18">
        <f>IFERROR(INDEX(Cluster_Master!$C$4:$C$18,MATCH($F102,Cluster_Master!$B$4:$B$18,0)),"")</f>
        <v/>
      </c>
      <c r="I102" s="15">
        <f>IFERROR(INDEX(Cluster_Master!$D$4:$D$18,MATCH($F102,Cluster_Master!$B$4:$B$18,0)),"")</f>
        <v/>
      </c>
      <c r="J102" s="15">
        <f>IFERROR(INDEX(Cluster_Master!$E$4:$E$18,MATCH($F102,Cluster_Master!$B$4:$B$18,0)),"")</f>
        <v/>
      </c>
      <c r="K102" s="15">
        <f>IFERROR(INDEX(Cluster_Master!$F$4:$F$18,MATCH($F102,Cluster_Master!$B$4:$B$18,0)),"")</f>
        <v/>
      </c>
      <c r="L102" s="15">
        <f>IFERROR(INDEX(Cluster_Master!$G$4:$G$18,MATCH($F102,Cluster_Master!$B$4:$B$18,0)),"")</f>
        <v/>
      </c>
      <c r="M102" s="15">
        <f>IFERROR(INDEX(Cluster_Master!$H$4:$H$18,MATCH($F102,Cluster_Master!$B$4:$B$18,0)),"")</f>
        <v/>
      </c>
      <c r="N102" s="41" t="n"/>
      <c r="O102" s="41" t="n"/>
      <c r="P102" s="41" t="n"/>
      <c r="Q102" s="41" t="n"/>
      <c r="R102" s="41" t="n"/>
      <c r="S102" s="41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15">
        <f>IF(COUNTA(T102:AH102)=0,"",SUM(T102:AH102))</f>
        <v/>
      </c>
      <c r="AJ102" s="21">
        <f>IF(COUNTA(T102:AH102)=0,"",AI102/(COUNT(KPI_Weights!$A$4:$A$18)*5))</f>
        <v/>
      </c>
      <c r="AK102" s="21">
        <f>IF(COUNTA(T102:AH102)=0,"",SUMPRODUCT(T102:AH102,KPI_Weights!$B$4:$B$18)/5)</f>
        <v/>
      </c>
      <c r="AL102" s="15">
        <f>IF(COUNTA(T102:AH102)=0,"",IF(SUMPRODUCT(--(T102:AH102&lt;=1),--(KPI_Weights!$C$4:$C$18="YES"))&gt;0,"YES","NO"))</f>
        <v/>
      </c>
      <c r="AM102" s="15">
        <f>IF(AJ102="","",IF(AND(AL102="NO",AJ102&gt;=0.75),"YES","NO"))</f>
        <v/>
      </c>
      <c r="AN102" s="15">
        <f>IF(AJ102="","",IF(AJ102&lt;0.4,"Critical",IF(AJ102&lt;0.6,"Poor",IF(AJ102&lt;0.75,"Needs Improvement",IF(AJ102&lt;0.9,"Good","Excellent")))))</f>
        <v/>
      </c>
      <c r="AO102" s="41" t="n"/>
      <c r="AP102" s="41" t="n"/>
      <c r="AQ102" s="41" t="n"/>
      <c r="AR102" s="41" t="n"/>
      <c r="AS102" s="41" t="n"/>
      <c r="AT102" s="44" t="n"/>
      <c r="AU102" s="41" t="n"/>
      <c r="AV102" s="43" t="n"/>
      <c r="AW102" s="41" t="n"/>
      <c r="AX102" s="44" t="n"/>
      <c r="AY102" s="44" t="n"/>
      <c r="AZ102" s="44" t="n"/>
      <c r="BA102" s="44" t="n"/>
      <c r="BB102" s="44" t="n"/>
      <c r="BC102" s="44" t="n"/>
      <c r="BD102" s="44" t="n"/>
      <c r="BE102" s="44" t="n"/>
      <c r="BF102" s="44" t="n"/>
    </row>
    <row r="103" ht="19.5" customHeight="1" s="45">
      <c r="A103" s="15">
        <f>IF($B103="","",TEXT($B103,"yyyymmdd")&amp;"-"&amp;SUBSTITUTE($F103," ","")&amp;"-"&amp;TEXT(COUNTIF($F$4:F103,$F103),"00"))</f>
        <v/>
      </c>
      <c r="B103" s="39" t="n"/>
      <c r="C103" s="15">
        <f>IF($B103="","",WEEKNUM($B103,2))</f>
        <v/>
      </c>
      <c r="D103" s="15">
        <f>IF($B103="","",TEXT($B103,"yyyy-mm"))</f>
        <v/>
      </c>
      <c r="E103" s="40" t="n"/>
      <c r="F103" s="40" t="n"/>
      <c r="G103" s="15">
        <f>IF(OR($E103="",$F103=""),"",IFERROR(IF($E103=INDEX(Cluster_Master!$A$4:$A$18,MATCH($F103,Cluster_Master!$B$4:$B$18,0)),"OK","CHECK"),"CHECK"))</f>
        <v/>
      </c>
      <c r="H103" s="18">
        <f>IFERROR(INDEX(Cluster_Master!$C$4:$C$18,MATCH($F103,Cluster_Master!$B$4:$B$18,0)),"")</f>
        <v/>
      </c>
      <c r="I103" s="15">
        <f>IFERROR(INDEX(Cluster_Master!$D$4:$D$18,MATCH($F103,Cluster_Master!$B$4:$B$18,0)),"")</f>
        <v/>
      </c>
      <c r="J103" s="15">
        <f>IFERROR(INDEX(Cluster_Master!$E$4:$E$18,MATCH($F103,Cluster_Master!$B$4:$B$18,0)),"")</f>
        <v/>
      </c>
      <c r="K103" s="15">
        <f>IFERROR(INDEX(Cluster_Master!$F$4:$F$18,MATCH($F103,Cluster_Master!$B$4:$B$18,0)),"")</f>
        <v/>
      </c>
      <c r="L103" s="15">
        <f>IFERROR(INDEX(Cluster_Master!$G$4:$G$18,MATCH($F103,Cluster_Master!$B$4:$B$18,0)),"")</f>
        <v/>
      </c>
      <c r="M103" s="15">
        <f>IFERROR(INDEX(Cluster_Master!$H$4:$H$18,MATCH($F103,Cluster_Master!$B$4:$B$18,0)),"")</f>
        <v/>
      </c>
      <c r="N103" s="41" t="n"/>
      <c r="O103" s="41" t="n"/>
      <c r="P103" s="41" t="n"/>
      <c r="Q103" s="41" t="n"/>
      <c r="R103" s="41" t="n"/>
      <c r="S103" s="41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15">
        <f>IF(COUNTA(T103:AH103)=0,"",SUM(T103:AH103))</f>
        <v/>
      </c>
      <c r="AJ103" s="21">
        <f>IF(COUNTA(T103:AH103)=0,"",AI103/(COUNT(KPI_Weights!$A$4:$A$18)*5))</f>
        <v/>
      </c>
      <c r="AK103" s="21">
        <f>IF(COUNTA(T103:AH103)=0,"",SUMPRODUCT(T103:AH103,KPI_Weights!$B$4:$B$18)/5)</f>
        <v/>
      </c>
      <c r="AL103" s="15">
        <f>IF(COUNTA(T103:AH103)=0,"",IF(SUMPRODUCT(--(T103:AH103&lt;=1),--(KPI_Weights!$C$4:$C$18="YES"))&gt;0,"YES","NO"))</f>
        <v/>
      </c>
      <c r="AM103" s="15">
        <f>IF(AJ103="","",IF(AND(AL103="NO",AJ103&gt;=0.75),"YES","NO"))</f>
        <v/>
      </c>
      <c r="AN103" s="15">
        <f>IF(AJ103="","",IF(AJ103&lt;0.4,"Critical",IF(AJ103&lt;0.6,"Poor",IF(AJ103&lt;0.75,"Needs Improvement",IF(AJ103&lt;0.9,"Good","Excellent")))))</f>
        <v/>
      </c>
      <c r="AO103" s="41" t="n"/>
      <c r="AP103" s="41" t="n"/>
      <c r="AQ103" s="41" t="n"/>
      <c r="AR103" s="41" t="n"/>
      <c r="AS103" s="41" t="n"/>
      <c r="AT103" s="44" t="n"/>
      <c r="AU103" s="41" t="n"/>
      <c r="AV103" s="43" t="n"/>
      <c r="AW103" s="41" t="n"/>
      <c r="AX103" s="44" t="n"/>
      <c r="AY103" s="44" t="n"/>
      <c r="AZ103" s="44" t="n"/>
      <c r="BA103" s="44" t="n"/>
      <c r="BB103" s="44" t="n"/>
      <c r="BC103" s="44" t="n"/>
      <c r="BD103" s="44" t="n"/>
      <c r="BE103" s="44" t="n"/>
      <c r="BF103" s="44" t="n"/>
    </row>
    <row r="104" ht="19.5" customHeight="1" s="45">
      <c r="A104" s="15">
        <f>IF($B104="","",TEXT($B104,"yyyymmdd")&amp;"-"&amp;SUBSTITUTE($F104," ","")&amp;"-"&amp;TEXT(COUNTIF($F$4:F104,$F104),"00"))</f>
        <v/>
      </c>
      <c r="B104" s="39" t="n"/>
      <c r="C104" s="15">
        <f>IF($B104="","",WEEKNUM($B104,2))</f>
        <v/>
      </c>
      <c r="D104" s="15">
        <f>IF($B104="","",TEXT($B104,"yyyy-mm"))</f>
        <v/>
      </c>
      <c r="E104" s="40" t="n"/>
      <c r="F104" s="40" t="n"/>
      <c r="G104" s="15">
        <f>IF(OR($E104="",$F104=""),"",IFERROR(IF($E104=INDEX(Cluster_Master!$A$4:$A$18,MATCH($F104,Cluster_Master!$B$4:$B$18,0)),"OK","CHECK"),"CHECK"))</f>
        <v/>
      </c>
      <c r="H104" s="18">
        <f>IFERROR(INDEX(Cluster_Master!$C$4:$C$18,MATCH($F104,Cluster_Master!$B$4:$B$18,0)),"")</f>
        <v/>
      </c>
      <c r="I104" s="15">
        <f>IFERROR(INDEX(Cluster_Master!$D$4:$D$18,MATCH($F104,Cluster_Master!$B$4:$B$18,0)),"")</f>
        <v/>
      </c>
      <c r="J104" s="15">
        <f>IFERROR(INDEX(Cluster_Master!$E$4:$E$18,MATCH($F104,Cluster_Master!$B$4:$B$18,0)),"")</f>
        <v/>
      </c>
      <c r="K104" s="15">
        <f>IFERROR(INDEX(Cluster_Master!$F$4:$F$18,MATCH($F104,Cluster_Master!$B$4:$B$18,0)),"")</f>
        <v/>
      </c>
      <c r="L104" s="15">
        <f>IFERROR(INDEX(Cluster_Master!$G$4:$G$18,MATCH($F104,Cluster_Master!$B$4:$B$18,0)),"")</f>
        <v/>
      </c>
      <c r="M104" s="15">
        <f>IFERROR(INDEX(Cluster_Master!$H$4:$H$18,MATCH($F104,Cluster_Master!$B$4:$B$18,0)),"")</f>
        <v/>
      </c>
      <c r="N104" s="41" t="n"/>
      <c r="O104" s="41" t="n"/>
      <c r="P104" s="41" t="n"/>
      <c r="Q104" s="41" t="n"/>
      <c r="R104" s="41" t="n"/>
      <c r="S104" s="41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15">
        <f>IF(COUNTA(T104:AH104)=0,"",SUM(T104:AH104))</f>
        <v/>
      </c>
      <c r="AJ104" s="21">
        <f>IF(COUNTA(T104:AH104)=0,"",AI104/(COUNT(KPI_Weights!$A$4:$A$18)*5))</f>
        <v/>
      </c>
      <c r="AK104" s="21">
        <f>IF(COUNTA(T104:AH104)=0,"",SUMPRODUCT(T104:AH104,KPI_Weights!$B$4:$B$18)/5)</f>
        <v/>
      </c>
      <c r="AL104" s="15">
        <f>IF(COUNTA(T104:AH104)=0,"",IF(SUMPRODUCT(--(T104:AH104&lt;=1),--(KPI_Weights!$C$4:$C$18="YES"))&gt;0,"YES","NO"))</f>
        <v/>
      </c>
      <c r="AM104" s="15">
        <f>IF(AJ104="","",IF(AND(AL104="NO",AJ104&gt;=0.75),"YES","NO"))</f>
        <v/>
      </c>
      <c r="AN104" s="15">
        <f>IF(AJ104="","",IF(AJ104&lt;0.4,"Critical",IF(AJ104&lt;0.6,"Poor",IF(AJ104&lt;0.75,"Needs Improvement",IF(AJ104&lt;0.9,"Good","Excellent")))))</f>
        <v/>
      </c>
      <c r="AO104" s="41" t="n"/>
      <c r="AP104" s="41" t="n"/>
      <c r="AQ104" s="41" t="n"/>
      <c r="AR104" s="41" t="n"/>
      <c r="AS104" s="41" t="n"/>
      <c r="AT104" s="44" t="n"/>
      <c r="AU104" s="41" t="n"/>
      <c r="AV104" s="43" t="n"/>
      <c r="AW104" s="41" t="n"/>
      <c r="AX104" s="44" t="n"/>
      <c r="AY104" s="44" t="n"/>
      <c r="AZ104" s="44" t="n"/>
      <c r="BA104" s="44" t="n"/>
      <c r="BB104" s="44" t="n"/>
      <c r="BC104" s="44" t="n"/>
      <c r="BD104" s="44" t="n"/>
      <c r="BE104" s="44" t="n"/>
      <c r="BF104" s="44" t="n"/>
    </row>
    <row r="105" ht="19.5" customHeight="1" s="45">
      <c r="A105" s="15">
        <f>IF($B105="","",TEXT($B105,"yyyymmdd")&amp;"-"&amp;SUBSTITUTE($F105," ","")&amp;"-"&amp;TEXT(COUNTIF($F$4:F105,$F105),"00"))</f>
        <v/>
      </c>
      <c r="B105" s="39" t="n"/>
      <c r="C105" s="15">
        <f>IF($B105="","",WEEKNUM($B105,2))</f>
        <v/>
      </c>
      <c r="D105" s="15">
        <f>IF($B105="","",TEXT($B105,"yyyy-mm"))</f>
        <v/>
      </c>
      <c r="E105" s="40" t="n"/>
      <c r="F105" s="40" t="n"/>
      <c r="G105" s="15">
        <f>IF(OR($E105="",$F105=""),"",IFERROR(IF($E105=INDEX(Cluster_Master!$A$4:$A$18,MATCH($F105,Cluster_Master!$B$4:$B$18,0)),"OK","CHECK"),"CHECK"))</f>
        <v/>
      </c>
      <c r="H105" s="18">
        <f>IFERROR(INDEX(Cluster_Master!$C$4:$C$18,MATCH($F105,Cluster_Master!$B$4:$B$18,0)),"")</f>
        <v/>
      </c>
      <c r="I105" s="15">
        <f>IFERROR(INDEX(Cluster_Master!$D$4:$D$18,MATCH($F105,Cluster_Master!$B$4:$B$18,0)),"")</f>
        <v/>
      </c>
      <c r="J105" s="15">
        <f>IFERROR(INDEX(Cluster_Master!$E$4:$E$18,MATCH($F105,Cluster_Master!$B$4:$B$18,0)),"")</f>
        <v/>
      </c>
      <c r="K105" s="15">
        <f>IFERROR(INDEX(Cluster_Master!$F$4:$F$18,MATCH($F105,Cluster_Master!$B$4:$B$18,0)),"")</f>
        <v/>
      </c>
      <c r="L105" s="15">
        <f>IFERROR(INDEX(Cluster_Master!$G$4:$G$18,MATCH($F105,Cluster_Master!$B$4:$B$18,0)),"")</f>
        <v/>
      </c>
      <c r="M105" s="15">
        <f>IFERROR(INDEX(Cluster_Master!$H$4:$H$18,MATCH($F105,Cluster_Master!$B$4:$B$18,0)),"")</f>
        <v/>
      </c>
      <c r="N105" s="41" t="n"/>
      <c r="O105" s="41" t="n"/>
      <c r="P105" s="41" t="n"/>
      <c r="Q105" s="41" t="n"/>
      <c r="R105" s="41" t="n"/>
      <c r="S105" s="41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15">
        <f>IF(COUNTA(T105:AH105)=0,"",SUM(T105:AH105))</f>
        <v/>
      </c>
      <c r="AJ105" s="21">
        <f>IF(COUNTA(T105:AH105)=0,"",AI105/(COUNT(KPI_Weights!$A$4:$A$18)*5))</f>
        <v/>
      </c>
      <c r="AK105" s="21">
        <f>IF(COUNTA(T105:AH105)=0,"",SUMPRODUCT(T105:AH105,KPI_Weights!$B$4:$B$18)/5)</f>
        <v/>
      </c>
      <c r="AL105" s="15">
        <f>IF(COUNTA(T105:AH105)=0,"",IF(SUMPRODUCT(--(T105:AH105&lt;=1),--(KPI_Weights!$C$4:$C$18="YES"))&gt;0,"YES","NO"))</f>
        <v/>
      </c>
      <c r="AM105" s="15">
        <f>IF(AJ105="","",IF(AND(AL105="NO",AJ105&gt;=0.75),"YES","NO"))</f>
        <v/>
      </c>
      <c r="AN105" s="15">
        <f>IF(AJ105="","",IF(AJ105&lt;0.4,"Critical",IF(AJ105&lt;0.6,"Poor",IF(AJ105&lt;0.75,"Needs Improvement",IF(AJ105&lt;0.9,"Good","Excellent")))))</f>
        <v/>
      </c>
      <c r="AO105" s="41" t="n"/>
      <c r="AP105" s="41" t="n"/>
      <c r="AQ105" s="41" t="n"/>
      <c r="AR105" s="41" t="n"/>
      <c r="AS105" s="41" t="n"/>
      <c r="AT105" s="44" t="n"/>
      <c r="AU105" s="41" t="n"/>
      <c r="AV105" s="43" t="n"/>
      <c r="AW105" s="41" t="n"/>
      <c r="AX105" s="44" t="n"/>
      <c r="AY105" s="44" t="n"/>
      <c r="AZ105" s="44" t="n"/>
      <c r="BA105" s="44" t="n"/>
      <c r="BB105" s="44" t="n"/>
      <c r="BC105" s="44" t="n"/>
      <c r="BD105" s="44" t="n"/>
      <c r="BE105" s="44" t="n"/>
      <c r="BF105" s="44" t="n"/>
    </row>
    <row r="106" ht="19.5" customHeight="1" s="45">
      <c r="A106" s="15">
        <f>IF($B106="","",TEXT($B106,"yyyymmdd")&amp;"-"&amp;SUBSTITUTE($F106," ","")&amp;"-"&amp;TEXT(COUNTIF($F$4:F106,$F106),"00"))</f>
        <v/>
      </c>
      <c r="B106" s="39" t="n"/>
      <c r="C106" s="15">
        <f>IF($B106="","",WEEKNUM($B106,2))</f>
        <v/>
      </c>
      <c r="D106" s="15">
        <f>IF($B106="","",TEXT($B106,"yyyy-mm"))</f>
        <v/>
      </c>
      <c r="E106" s="40" t="n"/>
      <c r="F106" s="40" t="n"/>
      <c r="G106" s="15">
        <f>IF(OR($E106="",$F106=""),"",IFERROR(IF($E106=INDEX(Cluster_Master!$A$4:$A$18,MATCH($F106,Cluster_Master!$B$4:$B$18,0)),"OK","CHECK"),"CHECK"))</f>
        <v/>
      </c>
      <c r="H106" s="18">
        <f>IFERROR(INDEX(Cluster_Master!$C$4:$C$18,MATCH($F106,Cluster_Master!$B$4:$B$18,0)),"")</f>
        <v/>
      </c>
      <c r="I106" s="15">
        <f>IFERROR(INDEX(Cluster_Master!$D$4:$D$18,MATCH($F106,Cluster_Master!$B$4:$B$18,0)),"")</f>
        <v/>
      </c>
      <c r="J106" s="15">
        <f>IFERROR(INDEX(Cluster_Master!$E$4:$E$18,MATCH($F106,Cluster_Master!$B$4:$B$18,0)),"")</f>
        <v/>
      </c>
      <c r="K106" s="15">
        <f>IFERROR(INDEX(Cluster_Master!$F$4:$F$18,MATCH($F106,Cluster_Master!$B$4:$B$18,0)),"")</f>
        <v/>
      </c>
      <c r="L106" s="15">
        <f>IFERROR(INDEX(Cluster_Master!$G$4:$G$18,MATCH($F106,Cluster_Master!$B$4:$B$18,0)),"")</f>
        <v/>
      </c>
      <c r="M106" s="15">
        <f>IFERROR(INDEX(Cluster_Master!$H$4:$H$18,MATCH($F106,Cluster_Master!$B$4:$B$18,0)),"")</f>
        <v/>
      </c>
      <c r="N106" s="41" t="n"/>
      <c r="O106" s="41" t="n"/>
      <c r="P106" s="41" t="n"/>
      <c r="Q106" s="41" t="n"/>
      <c r="R106" s="41" t="n"/>
      <c r="S106" s="41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15">
        <f>IF(COUNTA(T106:AH106)=0,"",SUM(T106:AH106))</f>
        <v/>
      </c>
      <c r="AJ106" s="21">
        <f>IF(COUNTA(T106:AH106)=0,"",AI106/(COUNT(KPI_Weights!$A$4:$A$18)*5))</f>
        <v/>
      </c>
      <c r="AK106" s="21">
        <f>IF(COUNTA(T106:AH106)=0,"",SUMPRODUCT(T106:AH106,KPI_Weights!$B$4:$B$18)/5)</f>
        <v/>
      </c>
      <c r="AL106" s="15">
        <f>IF(COUNTA(T106:AH106)=0,"",IF(SUMPRODUCT(--(T106:AH106&lt;=1),--(KPI_Weights!$C$4:$C$18="YES"))&gt;0,"YES","NO"))</f>
        <v/>
      </c>
      <c r="AM106" s="15">
        <f>IF(AJ106="","",IF(AND(AL106="NO",AJ106&gt;=0.75),"YES","NO"))</f>
        <v/>
      </c>
      <c r="AN106" s="15">
        <f>IF(AJ106="","",IF(AJ106&lt;0.4,"Critical",IF(AJ106&lt;0.6,"Poor",IF(AJ106&lt;0.75,"Needs Improvement",IF(AJ106&lt;0.9,"Good","Excellent")))))</f>
        <v/>
      </c>
      <c r="AO106" s="41" t="n"/>
      <c r="AP106" s="41" t="n"/>
      <c r="AQ106" s="41" t="n"/>
      <c r="AR106" s="41" t="n"/>
      <c r="AS106" s="41" t="n"/>
      <c r="AT106" s="44" t="n"/>
      <c r="AU106" s="41" t="n"/>
      <c r="AV106" s="43" t="n"/>
      <c r="AW106" s="41" t="n"/>
      <c r="AX106" s="44" t="n"/>
      <c r="AY106" s="44" t="n"/>
      <c r="AZ106" s="44" t="n"/>
      <c r="BA106" s="44" t="n"/>
      <c r="BB106" s="44" t="n"/>
      <c r="BC106" s="44" t="n"/>
      <c r="BD106" s="44" t="n"/>
      <c r="BE106" s="44" t="n"/>
      <c r="BF106" s="44" t="n"/>
    </row>
    <row r="107" ht="19.5" customHeight="1" s="45">
      <c r="A107" s="15">
        <f>IF($B107="","",TEXT($B107,"yyyymmdd")&amp;"-"&amp;SUBSTITUTE($F107," ","")&amp;"-"&amp;TEXT(COUNTIF($F$4:F107,$F107),"00"))</f>
        <v/>
      </c>
      <c r="B107" s="39" t="n"/>
      <c r="C107" s="15">
        <f>IF($B107="","",WEEKNUM($B107,2))</f>
        <v/>
      </c>
      <c r="D107" s="15">
        <f>IF($B107="","",TEXT($B107,"yyyy-mm"))</f>
        <v/>
      </c>
      <c r="E107" s="40" t="n"/>
      <c r="F107" s="40" t="n"/>
      <c r="G107" s="15">
        <f>IF(OR($E107="",$F107=""),"",IFERROR(IF($E107=INDEX(Cluster_Master!$A$4:$A$18,MATCH($F107,Cluster_Master!$B$4:$B$18,0)),"OK","CHECK"),"CHECK"))</f>
        <v/>
      </c>
      <c r="H107" s="18">
        <f>IFERROR(INDEX(Cluster_Master!$C$4:$C$18,MATCH($F107,Cluster_Master!$B$4:$B$18,0)),"")</f>
        <v/>
      </c>
      <c r="I107" s="15">
        <f>IFERROR(INDEX(Cluster_Master!$D$4:$D$18,MATCH($F107,Cluster_Master!$B$4:$B$18,0)),"")</f>
        <v/>
      </c>
      <c r="J107" s="15">
        <f>IFERROR(INDEX(Cluster_Master!$E$4:$E$18,MATCH($F107,Cluster_Master!$B$4:$B$18,0)),"")</f>
        <v/>
      </c>
      <c r="K107" s="15">
        <f>IFERROR(INDEX(Cluster_Master!$F$4:$F$18,MATCH($F107,Cluster_Master!$B$4:$B$18,0)),"")</f>
        <v/>
      </c>
      <c r="L107" s="15">
        <f>IFERROR(INDEX(Cluster_Master!$G$4:$G$18,MATCH($F107,Cluster_Master!$B$4:$B$18,0)),"")</f>
        <v/>
      </c>
      <c r="M107" s="15">
        <f>IFERROR(INDEX(Cluster_Master!$H$4:$H$18,MATCH($F107,Cluster_Master!$B$4:$B$18,0)),"")</f>
        <v/>
      </c>
      <c r="N107" s="41" t="n"/>
      <c r="O107" s="41" t="n"/>
      <c r="P107" s="41" t="n"/>
      <c r="Q107" s="41" t="n"/>
      <c r="R107" s="41" t="n"/>
      <c r="S107" s="41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15">
        <f>IF(COUNTA(T107:AH107)=0,"",SUM(T107:AH107))</f>
        <v/>
      </c>
      <c r="AJ107" s="21">
        <f>IF(COUNTA(T107:AH107)=0,"",AI107/(COUNT(KPI_Weights!$A$4:$A$18)*5))</f>
        <v/>
      </c>
      <c r="AK107" s="21">
        <f>IF(COUNTA(T107:AH107)=0,"",SUMPRODUCT(T107:AH107,KPI_Weights!$B$4:$B$18)/5)</f>
        <v/>
      </c>
      <c r="AL107" s="15">
        <f>IF(COUNTA(T107:AH107)=0,"",IF(SUMPRODUCT(--(T107:AH107&lt;=1),--(KPI_Weights!$C$4:$C$18="YES"))&gt;0,"YES","NO"))</f>
        <v/>
      </c>
      <c r="AM107" s="15">
        <f>IF(AJ107="","",IF(AND(AL107="NO",AJ107&gt;=0.75),"YES","NO"))</f>
        <v/>
      </c>
      <c r="AN107" s="15">
        <f>IF(AJ107="","",IF(AJ107&lt;0.4,"Critical",IF(AJ107&lt;0.6,"Poor",IF(AJ107&lt;0.75,"Needs Improvement",IF(AJ107&lt;0.9,"Good","Excellent")))))</f>
        <v/>
      </c>
      <c r="AO107" s="41" t="n"/>
      <c r="AP107" s="41" t="n"/>
      <c r="AQ107" s="41" t="n"/>
      <c r="AR107" s="41" t="n"/>
      <c r="AS107" s="41" t="n"/>
      <c r="AT107" s="44" t="n"/>
      <c r="AU107" s="41" t="n"/>
      <c r="AV107" s="43" t="n"/>
      <c r="AW107" s="41" t="n"/>
      <c r="AX107" s="44" t="n"/>
      <c r="AY107" s="44" t="n"/>
      <c r="AZ107" s="44" t="n"/>
      <c r="BA107" s="44" t="n"/>
      <c r="BB107" s="44" t="n"/>
      <c r="BC107" s="44" t="n"/>
      <c r="BD107" s="44" t="n"/>
      <c r="BE107" s="44" t="n"/>
      <c r="BF107" s="44" t="n"/>
    </row>
    <row r="108" ht="19.5" customHeight="1" s="45">
      <c r="A108" s="15">
        <f>IF($B108="","",TEXT($B108,"yyyymmdd")&amp;"-"&amp;SUBSTITUTE($F108," ","")&amp;"-"&amp;TEXT(COUNTIF($F$4:F108,$F108),"00"))</f>
        <v/>
      </c>
      <c r="B108" s="39" t="n"/>
      <c r="C108" s="15">
        <f>IF($B108="","",WEEKNUM($B108,2))</f>
        <v/>
      </c>
      <c r="D108" s="15">
        <f>IF($B108="","",TEXT($B108,"yyyy-mm"))</f>
        <v/>
      </c>
      <c r="E108" s="40" t="n"/>
      <c r="F108" s="40" t="n"/>
      <c r="G108" s="15">
        <f>IF(OR($E108="",$F108=""),"",IFERROR(IF($E108=INDEX(Cluster_Master!$A$4:$A$18,MATCH($F108,Cluster_Master!$B$4:$B$18,0)),"OK","CHECK"),"CHECK"))</f>
        <v/>
      </c>
      <c r="H108" s="18">
        <f>IFERROR(INDEX(Cluster_Master!$C$4:$C$18,MATCH($F108,Cluster_Master!$B$4:$B$18,0)),"")</f>
        <v/>
      </c>
      <c r="I108" s="15">
        <f>IFERROR(INDEX(Cluster_Master!$D$4:$D$18,MATCH($F108,Cluster_Master!$B$4:$B$18,0)),"")</f>
        <v/>
      </c>
      <c r="J108" s="15">
        <f>IFERROR(INDEX(Cluster_Master!$E$4:$E$18,MATCH($F108,Cluster_Master!$B$4:$B$18,0)),"")</f>
        <v/>
      </c>
      <c r="K108" s="15">
        <f>IFERROR(INDEX(Cluster_Master!$F$4:$F$18,MATCH($F108,Cluster_Master!$B$4:$B$18,0)),"")</f>
        <v/>
      </c>
      <c r="L108" s="15">
        <f>IFERROR(INDEX(Cluster_Master!$G$4:$G$18,MATCH($F108,Cluster_Master!$B$4:$B$18,0)),"")</f>
        <v/>
      </c>
      <c r="M108" s="15">
        <f>IFERROR(INDEX(Cluster_Master!$H$4:$H$18,MATCH($F108,Cluster_Master!$B$4:$B$18,0)),"")</f>
        <v/>
      </c>
      <c r="N108" s="41" t="n"/>
      <c r="O108" s="41" t="n"/>
      <c r="P108" s="41" t="n"/>
      <c r="Q108" s="41" t="n"/>
      <c r="R108" s="41" t="n"/>
      <c r="S108" s="41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15">
        <f>IF(COUNTA(T108:AH108)=0,"",SUM(T108:AH108))</f>
        <v/>
      </c>
      <c r="AJ108" s="21">
        <f>IF(COUNTA(T108:AH108)=0,"",AI108/(COUNT(KPI_Weights!$A$4:$A$18)*5))</f>
        <v/>
      </c>
      <c r="AK108" s="21">
        <f>IF(COUNTA(T108:AH108)=0,"",SUMPRODUCT(T108:AH108,KPI_Weights!$B$4:$B$18)/5)</f>
        <v/>
      </c>
      <c r="AL108" s="15">
        <f>IF(COUNTA(T108:AH108)=0,"",IF(SUMPRODUCT(--(T108:AH108&lt;=1),--(KPI_Weights!$C$4:$C$18="YES"))&gt;0,"YES","NO"))</f>
        <v/>
      </c>
      <c r="AM108" s="15">
        <f>IF(AJ108="","",IF(AND(AL108="NO",AJ108&gt;=0.75),"YES","NO"))</f>
        <v/>
      </c>
      <c r="AN108" s="15">
        <f>IF(AJ108="","",IF(AJ108&lt;0.4,"Critical",IF(AJ108&lt;0.6,"Poor",IF(AJ108&lt;0.75,"Needs Improvement",IF(AJ108&lt;0.9,"Good","Excellent")))))</f>
        <v/>
      </c>
      <c r="AO108" s="41" t="n"/>
      <c r="AP108" s="41" t="n"/>
      <c r="AQ108" s="41" t="n"/>
      <c r="AR108" s="41" t="n"/>
      <c r="AS108" s="41" t="n"/>
      <c r="AT108" s="44" t="n"/>
      <c r="AU108" s="41" t="n"/>
      <c r="AV108" s="43" t="n"/>
      <c r="AW108" s="41" t="n"/>
      <c r="AX108" s="44" t="n"/>
      <c r="AY108" s="44" t="n"/>
      <c r="AZ108" s="44" t="n"/>
      <c r="BA108" s="44" t="n"/>
      <c r="BB108" s="44" t="n"/>
      <c r="BC108" s="44" t="n"/>
      <c r="BD108" s="44" t="n"/>
      <c r="BE108" s="44" t="n"/>
      <c r="BF108" s="44" t="n"/>
    </row>
    <row r="109" ht="19.5" customHeight="1" s="45">
      <c r="A109" s="15">
        <f>IF($B109="","",TEXT($B109,"yyyymmdd")&amp;"-"&amp;SUBSTITUTE($F109," ","")&amp;"-"&amp;TEXT(COUNTIF($F$4:F109,$F109),"00"))</f>
        <v/>
      </c>
      <c r="B109" s="39" t="n"/>
      <c r="C109" s="15">
        <f>IF($B109="","",WEEKNUM($B109,2))</f>
        <v/>
      </c>
      <c r="D109" s="15">
        <f>IF($B109="","",TEXT($B109,"yyyy-mm"))</f>
        <v/>
      </c>
      <c r="E109" s="40" t="n"/>
      <c r="F109" s="40" t="n"/>
      <c r="G109" s="15">
        <f>IF(OR($E109="",$F109=""),"",IFERROR(IF($E109=INDEX(Cluster_Master!$A$4:$A$18,MATCH($F109,Cluster_Master!$B$4:$B$18,0)),"OK","CHECK"),"CHECK"))</f>
        <v/>
      </c>
      <c r="H109" s="18">
        <f>IFERROR(INDEX(Cluster_Master!$C$4:$C$18,MATCH($F109,Cluster_Master!$B$4:$B$18,0)),"")</f>
        <v/>
      </c>
      <c r="I109" s="15">
        <f>IFERROR(INDEX(Cluster_Master!$D$4:$D$18,MATCH($F109,Cluster_Master!$B$4:$B$18,0)),"")</f>
        <v/>
      </c>
      <c r="J109" s="15">
        <f>IFERROR(INDEX(Cluster_Master!$E$4:$E$18,MATCH($F109,Cluster_Master!$B$4:$B$18,0)),"")</f>
        <v/>
      </c>
      <c r="K109" s="15">
        <f>IFERROR(INDEX(Cluster_Master!$F$4:$F$18,MATCH($F109,Cluster_Master!$B$4:$B$18,0)),"")</f>
        <v/>
      </c>
      <c r="L109" s="15">
        <f>IFERROR(INDEX(Cluster_Master!$G$4:$G$18,MATCH($F109,Cluster_Master!$B$4:$B$18,0)),"")</f>
        <v/>
      </c>
      <c r="M109" s="15">
        <f>IFERROR(INDEX(Cluster_Master!$H$4:$H$18,MATCH($F109,Cluster_Master!$B$4:$B$18,0)),"")</f>
        <v/>
      </c>
      <c r="N109" s="41" t="n"/>
      <c r="O109" s="41" t="n"/>
      <c r="P109" s="41" t="n"/>
      <c r="Q109" s="41" t="n"/>
      <c r="R109" s="41" t="n"/>
      <c r="S109" s="41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15">
        <f>IF(COUNTA(T109:AH109)=0,"",SUM(T109:AH109))</f>
        <v/>
      </c>
      <c r="AJ109" s="21">
        <f>IF(COUNTA(T109:AH109)=0,"",AI109/(COUNT(KPI_Weights!$A$4:$A$18)*5))</f>
        <v/>
      </c>
      <c r="AK109" s="21">
        <f>IF(COUNTA(T109:AH109)=0,"",SUMPRODUCT(T109:AH109,KPI_Weights!$B$4:$B$18)/5)</f>
        <v/>
      </c>
      <c r="AL109" s="15">
        <f>IF(COUNTA(T109:AH109)=0,"",IF(SUMPRODUCT(--(T109:AH109&lt;=1),--(KPI_Weights!$C$4:$C$18="YES"))&gt;0,"YES","NO"))</f>
        <v/>
      </c>
      <c r="AM109" s="15">
        <f>IF(AJ109="","",IF(AND(AL109="NO",AJ109&gt;=0.75),"YES","NO"))</f>
        <v/>
      </c>
      <c r="AN109" s="15">
        <f>IF(AJ109="","",IF(AJ109&lt;0.4,"Critical",IF(AJ109&lt;0.6,"Poor",IF(AJ109&lt;0.75,"Needs Improvement",IF(AJ109&lt;0.9,"Good","Excellent")))))</f>
        <v/>
      </c>
      <c r="AO109" s="41" t="n"/>
      <c r="AP109" s="41" t="n"/>
      <c r="AQ109" s="41" t="n"/>
      <c r="AR109" s="41" t="n"/>
      <c r="AS109" s="41" t="n"/>
      <c r="AT109" s="44" t="n"/>
      <c r="AU109" s="41" t="n"/>
      <c r="AV109" s="43" t="n"/>
      <c r="AW109" s="41" t="n"/>
      <c r="AX109" s="44" t="n"/>
      <c r="AY109" s="44" t="n"/>
      <c r="AZ109" s="44" t="n"/>
      <c r="BA109" s="44" t="n"/>
      <c r="BB109" s="44" t="n"/>
      <c r="BC109" s="44" t="n"/>
      <c r="BD109" s="44" t="n"/>
      <c r="BE109" s="44" t="n"/>
      <c r="BF109" s="44" t="n"/>
    </row>
    <row r="110" ht="19.5" customHeight="1" s="45">
      <c r="A110" s="15">
        <f>IF($B110="","",TEXT($B110,"yyyymmdd")&amp;"-"&amp;SUBSTITUTE($F110," ","")&amp;"-"&amp;TEXT(COUNTIF($F$4:F110,$F110),"00"))</f>
        <v/>
      </c>
      <c r="B110" s="39" t="n"/>
      <c r="C110" s="15">
        <f>IF($B110="","",WEEKNUM($B110,2))</f>
        <v/>
      </c>
      <c r="D110" s="15">
        <f>IF($B110="","",TEXT($B110,"yyyy-mm"))</f>
        <v/>
      </c>
      <c r="E110" s="40" t="n"/>
      <c r="F110" s="40" t="n"/>
      <c r="G110" s="15">
        <f>IF(OR($E110="",$F110=""),"",IFERROR(IF($E110=INDEX(Cluster_Master!$A$4:$A$18,MATCH($F110,Cluster_Master!$B$4:$B$18,0)),"OK","CHECK"),"CHECK"))</f>
        <v/>
      </c>
      <c r="H110" s="18">
        <f>IFERROR(INDEX(Cluster_Master!$C$4:$C$18,MATCH($F110,Cluster_Master!$B$4:$B$18,0)),"")</f>
        <v/>
      </c>
      <c r="I110" s="15">
        <f>IFERROR(INDEX(Cluster_Master!$D$4:$D$18,MATCH($F110,Cluster_Master!$B$4:$B$18,0)),"")</f>
        <v/>
      </c>
      <c r="J110" s="15">
        <f>IFERROR(INDEX(Cluster_Master!$E$4:$E$18,MATCH($F110,Cluster_Master!$B$4:$B$18,0)),"")</f>
        <v/>
      </c>
      <c r="K110" s="15">
        <f>IFERROR(INDEX(Cluster_Master!$F$4:$F$18,MATCH($F110,Cluster_Master!$B$4:$B$18,0)),"")</f>
        <v/>
      </c>
      <c r="L110" s="15">
        <f>IFERROR(INDEX(Cluster_Master!$G$4:$G$18,MATCH($F110,Cluster_Master!$B$4:$B$18,0)),"")</f>
        <v/>
      </c>
      <c r="M110" s="15">
        <f>IFERROR(INDEX(Cluster_Master!$H$4:$H$18,MATCH($F110,Cluster_Master!$B$4:$B$18,0)),"")</f>
        <v/>
      </c>
      <c r="N110" s="41" t="n"/>
      <c r="O110" s="41" t="n"/>
      <c r="P110" s="41" t="n"/>
      <c r="Q110" s="41" t="n"/>
      <c r="R110" s="41" t="n"/>
      <c r="S110" s="41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15">
        <f>IF(COUNTA(T110:AH110)=0,"",SUM(T110:AH110))</f>
        <v/>
      </c>
      <c r="AJ110" s="21">
        <f>IF(COUNTA(T110:AH110)=0,"",AI110/(COUNT(KPI_Weights!$A$4:$A$18)*5))</f>
        <v/>
      </c>
      <c r="AK110" s="21">
        <f>IF(COUNTA(T110:AH110)=0,"",SUMPRODUCT(T110:AH110,KPI_Weights!$B$4:$B$18)/5)</f>
        <v/>
      </c>
      <c r="AL110" s="15">
        <f>IF(COUNTA(T110:AH110)=0,"",IF(SUMPRODUCT(--(T110:AH110&lt;=1),--(KPI_Weights!$C$4:$C$18="YES"))&gt;0,"YES","NO"))</f>
        <v/>
      </c>
      <c r="AM110" s="15">
        <f>IF(AJ110="","",IF(AND(AL110="NO",AJ110&gt;=0.75),"YES","NO"))</f>
        <v/>
      </c>
      <c r="AN110" s="15">
        <f>IF(AJ110="","",IF(AJ110&lt;0.4,"Critical",IF(AJ110&lt;0.6,"Poor",IF(AJ110&lt;0.75,"Needs Improvement",IF(AJ110&lt;0.9,"Good","Excellent")))))</f>
        <v/>
      </c>
      <c r="AO110" s="41" t="n"/>
      <c r="AP110" s="41" t="n"/>
      <c r="AQ110" s="41" t="n"/>
      <c r="AR110" s="41" t="n"/>
      <c r="AS110" s="41" t="n"/>
      <c r="AT110" s="44" t="n"/>
      <c r="AU110" s="41" t="n"/>
      <c r="AV110" s="43" t="n"/>
      <c r="AW110" s="41" t="n"/>
      <c r="AX110" s="44" t="n"/>
      <c r="AY110" s="44" t="n"/>
      <c r="AZ110" s="44" t="n"/>
      <c r="BA110" s="44" t="n"/>
      <c r="BB110" s="44" t="n"/>
      <c r="BC110" s="44" t="n"/>
      <c r="BD110" s="44" t="n"/>
      <c r="BE110" s="44" t="n"/>
      <c r="BF110" s="44" t="n"/>
    </row>
    <row r="111" ht="19.5" customHeight="1" s="45">
      <c r="A111" s="15">
        <f>IF($B111="","",TEXT($B111,"yyyymmdd")&amp;"-"&amp;SUBSTITUTE($F111," ","")&amp;"-"&amp;TEXT(COUNTIF($F$4:F111,$F111),"00"))</f>
        <v/>
      </c>
      <c r="B111" s="39" t="n"/>
      <c r="C111" s="15">
        <f>IF($B111="","",WEEKNUM($B111,2))</f>
        <v/>
      </c>
      <c r="D111" s="15">
        <f>IF($B111="","",TEXT($B111,"yyyy-mm"))</f>
        <v/>
      </c>
      <c r="E111" s="40" t="n"/>
      <c r="F111" s="40" t="n"/>
      <c r="G111" s="15">
        <f>IF(OR($E111="",$F111=""),"",IFERROR(IF($E111=INDEX(Cluster_Master!$A$4:$A$18,MATCH($F111,Cluster_Master!$B$4:$B$18,0)),"OK","CHECK"),"CHECK"))</f>
        <v/>
      </c>
      <c r="H111" s="18">
        <f>IFERROR(INDEX(Cluster_Master!$C$4:$C$18,MATCH($F111,Cluster_Master!$B$4:$B$18,0)),"")</f>
        <v/>
      </c>
      <c r="I111" s="15">
        <f>IFERROR(INDEX(Cluster_Master!$D$4:$D$18,MATCH($F111,Cluster_Master!$B$4:$B$18,0)),"")</f>
        <v/>
      </c>
      <c r="J111" s="15">
        <f>IFERROR(INDEX(Cluster_Master!$E$4:$E$18,MATCH($F111,Cluster_Master!$B$4:$B$18,0)),"")</f>
        <v/>
      </c>
      <c r="K111" s="15">
        <f>IFERROR(INDEX(Cluster_Master!$F$4:$F$18,MATCH($F111,Cluster_Master!$B$4:$B$18,0)),"")</f>
        <v/>
      </c>
      <c r="L111" s="15">
        <f>IFERROR(INDEX(Cluster_Master!$G$4:$G$18,MATCH($F111,Cluster_Master!$B$4:$B$18,0)),"")</f>
        <v/>
      </c>
      <c r="M111" s="15">
        <f>IFERROR(INDEX(Cluster_Master!$H$4:$H$18,MATCH($F111,Cluster_Master!$B$4:$B$18,0)),"")</f>
        <v/>
      </c>
      <c r="N111" s="41" t="n"/>
      <c r="O111" s="41" t="n"/>
      <c r="P111" s="41" t="n"/>
      <c r="Q111" s="41" t="n"/>
      <c r="R111" s="41" t="n"/>
      <c r="S111" s="41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15">
        <f>IF(COUNTA(T111:AH111)=0,"",SUM(T111:AH111))</f>
        <v/>
      </c>
      <c r="AJ111" s="21">
        <f>IF(COUNTA(T111:AH111)=0,"",AI111/(COUNT(KPI_Weights!$A$4:$A$18)*5))</f>
        <v/>
      </c>
      <c r="AK111" s="21">
        <f>IF(COUNTA(T111:AH111)=0,"",SUMPRODUCT(T111:AH111,KPI_Weights!$B$4:$B$18)/5)</f>
        <v/>
      </c>
      <c r="AL111" s="15">
        <f>IF(COUNTA(T111:AH111)=0,"",IF(SUMPRODUCT(--(T111:AH111&lt;=1),--(KPI_Weights!$C$4:$C$18="YES"))&gt;0,"YES","NO"))</f>
        <v/>
      </c>
      <c r="AM111" s="15">
        <f>IF(AJ111="","",IF(AND(AL111="NO",AJ111&gt;=0.75),"YES","NO"))</f>
        <v/>
      </c>
      <c r="AN111" s="15">
        <f>IF(AJ111="","",IF(AJ111&lt;0.4,"Critical",IF(AJ111&lt;0.6,"Poor",IF(AJ111&lt;0.75,"Needs Improvement",IF(AJ111&lt;0.9,"Good","Excellent")))))</f>
        <v/>
      </c>
      <c r="AO111" s="41" t="n"/>
      <c r="AP111" s="41" t="n"/>
      <c r="AQ111" s="41" t="n"/>
      <c r="AR111" s="41" t="n"/>
      <c r="AS111" s="41" t="n"/>
      <c r="AT111" s="44" t="n"/>
      <c r="AU111" s="41" t="n"/>
      <c r="AV111" s="43" t="n"/>
      <c r="AW111" s="41" t="n"/>
      <c r="AX111" s="44" t="n"/>
      <c r="AY111" s="44" t="n"/>
      <c r="AZ111" s="44" t="n"/>
      <c r="BA111" s="44" t="n"/>
      <c r="BB111" s="44" t="n"/>
      <c r="BC111" s="44" t="n"/>
      <c r="BD111" s="44" t="n"/>
      <c r="BE111" s="44" t="n"/>
      <c r="BF111" s="44" t="n"/>
    </row>
    <row r="112" ht="19.5" customHeight="1" s="45">
      <c r="A112" s="15">
        <f>IF($B112="","",TEXT($B112,"yyyymmdd")&amp;"-"&amp;SUBSTITUTE($F112," ","")&amp;"-"&amp;TEXT(COUNTIF($F$4:F112,$F112),"00"))</f>
        <v/>
      </c>
      <c r="B112" s="39" t="n"/>
      <c r="C112" s="15">
        <f>IF($B112="","",WEEKNUM($B112,2))</f>
        <v/>
      </c>
      <c r="D112" s="15">
        <f>IF($B112="","",TEXT($B112,"yyyy-mm"))</f>
        <v/>
      </c>
      <c r="E112" s="40" t="n"/>
      <c r="F112" s="40" t="n"/>
      <c r="G112" s="15">
        <f>IF(OR($E112="",$F112=""),"",IFERROR(IF($E112=INDEX(Cluster_Master!$A$4:$A$18,MATCH($F112,Cluster_Master!$B$4:$B$18,0)),"OK","CHECK"),"CHECK"))</f>
        <v/>
      </c>
      <c r="H112" s="18">
        <f>IFERROR(INDEX(Cluster_Master!$C$4:$C$18,MATCH($F112,Cluster_Master!$B$4:$B$18,0)),"")</f>
        <v/>
      </c>
      <c r="I112" s="15">
        <f>IFERROR(INDEX(Cluster_Master!$D$4:$D$18,MATCH($F112,Cluster_Master!$B$4:$B$18,0)),"")</f>
        <v/>
      </c>
      <c r="J112" s="15">
        <f>IFERROR(INDEX(Cluster_Master!$E$4:$E$18,MATCH($F112,Cluster_Master!$B$4:$B$18,0)),"")</f>
        <v/>
      </c>
      <c r="K112" s="15">
        <f>IFERROR(INDEX(Cluster_Master!$F$4:$F$18,MATCH($F112,Cluster_Master!$B$4:$B$18,0)),"")</f>
        <v/>
      </c>
      <c r="L112" s="15">
        <f>IFERROR(INDEX(Cluster_Master!$G$4:$G$18,MATCH($F112,Cluster_Master!$B$4:$B$18,0)),"")</f>
        <v/>
      </c>
      <c r="M112" s="15">
        <f>IFERROR(INDEX(Cluster_Master!$H$4:$H$18,MATCH($F112,Cluster_Master!$B$4:$B$18,0)),"")</f>
        <v/>
      </c>
      <c r="N112" s="41" t="n"/>
      <c r="O112" s="41" t="n"/>
      <c r="P112" s="41" t="n"/>
      <c r="Q112" s="41" t="n"/>
      <c r="R112" s="41" t="n"/>
      <c r="S112" s="41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15">
        <f>IF(COUNTA(T112:AH112)=0,"",SUM(T112:AH112))</f>
        <v/>
      </c>
      <c r="AJ112" s="21">
        <f>IF(COUNTA(T112:AH112)=0,"",AI112/(COUNT(KPI_Weights!$A$4:$A$18)*5))</f>
        <v/>
      </c>
      <c r="AK112" s="21">
        <f>IF(COUNTA(T112:AH112)=0,"",SUMPRODUCT(T112:AH112,KPI_Weights!$B$4:$B$18)/5)</f>
        <v/>
      </c>
      <c r="AL112" s="15">
        <f>IF(COUNTA(T112:AH112)=0,"",IF(SUMPRODUCT(--(T112:AH112&lt;=1),--(KPI_Weights!$C$4:$C$18="YES"))&gt;0,"YES","NO"))</f>
        <v/>
      </c>
      <c r="AM112" s="15">
        <f>IF(AJ112="","",IF(AND(AL112="NO",AJ112&gt;=0.75),"YES","NO"))</f>
        <v/>
      </c>
      <c r="AN112" s="15">
        <f>IF(AJ112="","",IF(AJ112&lt;0.4,"Critical",IF(AJ112&lt;0.6,"Poor",IF(AJ112&lt;0.75,"Needs Improvement",IF(AJ112&lt;0.9,"Good","Excellent")))))</f>
        <v/>
      </c>
      <c r="AO112" s="41" t="n"/>
      <c r="AP112" s="41" t="n"/>
      <c r="AQ112" s="41" t="n"/>
      <c r="AR112" s="41" t="n"/>
      <c r="AS112" s="41" t="n"/>
      <c r="AT112" s="44" t="n"/>
      <c r="AU112" s="41" t="n"/>
      <c r="AV112" s="43" t="n"/>
      <c r="AW112" s="41" t="n"/>
      <c r="AX112" s="44" t="n"/>
      <c r="AY112" s="44" t="n"/>
      <c r="AZ112" s="44" t="n"/>
      <c r="BA112" s="44" t="n"/>
      <c r="BB112" s="44" t="n"/>
      <c r="BC112" s="44" t="n"/>
      <c r="BD112" s="44" t="n"/>
      <c r="BE112" s="44" t="n"/>
      <c r="BF112" s="44" t="n"/>
    </row>
    <row r="113" ht="19.5" customHeight="1" s="45">
      <c r="A113" s="15">
        <f>IF($B113="","",TEXT($B113,"yyyymmdd")&amp;"-"&amp;SUBSTITUTE($F113," ","")&amp;"-"&amp;TEXT(COUNTIF($F$4:F113,$F113),"00"))</f>
        <v/>
      </c>
      <c r="B113" s="39" t="n"/>
      <c r="C113" s="15">
        <f>IF($B113="","",WEEKNUM($B113,2))</f>
        <v/>
      </c>
      <c r="D113" s="15">
        <f>IF($B113="","",TEXT($B113,"yyyy-mm"))</f>
        <v/>
      </c>
      <c r="E113" s="40" t="n"/>
      <c r="F113" s="40" t="n"/>
      <c r="G113" s="15">
        <f>IF(OR($E113="",$F113=""),"",IFERROR(IF($E113=INDEX(Cluster_Master!$A$4:$A$18,MATCH($F113,Cluster_Master!$B$4:$B$18,0)),"OK","CHECK"),"CHECK"))</f>
        <v/>
      </c>
      <c r="H113" s="18">
        <f>IFERROR(INDEX(Cluster_Master!$C$4:$C$18,MATCH($F113,Cluster_Master!$B$4:$B$18,0)),"")</f>
        <v/>
      </c>
      <c r="I113" s="15">
        <f>IFERROR(INDEX(Cluster_Master!$D$4:$D$18,MATCH($F113,Cluster_Master!$B$4:$B$18,0)),"")</f>
        <v/>
      </c>
      <c r="J113" s="15">
        <f>IFERROR(INDEX(Cluster_Master!$E$4:$E$18,MATCH($F113,Cluster_Master!$B$4:$B$18,0)),"")</f>
        <v/>
      </c>
      <c r="K113" s="15">
        <f>IFERROR(INDEX(Cluster_Master!$F$4:$F$18,MATCH($F113,Cluster_Master!$B$4:$B$18,0)),"")</f>
        <v/>
      </c>
      <c r="L113" s="15">
        <f>IFERROR(INDEX(Cluster_Master!$G$4:$G$18,MATCH($F113,Cluster_Master!$B$4:$B$18,0)),"")</f>
        <v/>
      </c>
      <c r="M113" s="15">
        <f>IFERROR(INDEX(Cluster_Master!$H$4:$H$18,MATCH($F113,Cluster_Master!$B$4:$B$18,0)),"")</f>
        <v/>
      </c>
      <c r="N113" s="41" t="n"/>
      <c r="O113" s="41" t="n"/>
      <c r="P113" s="41" t="n"/>
      <c r="Q113" s="41" t="n"/>
      <c r="R113" s="41" t="n"/>
      <c r="S113" s="41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15">
        <f>IF(COUNTA(T113:AH113)=0,"",SUM(T113:AH113))</f>
        <v/>
      </c>
      <c r="AJ113" s="21">
        <f>IF(COUNTA(T113:AH113)=0,"",AI113/(COUNT(KPI_Weights!$A$4:$A$18)*5))</f>
        <v/>
      </c>
      <c r="AK113" s="21">
        <f>IF(COUNTA(T113:AH113)=0,"",SUMPRODUCT(T113:AH113,KPI_Weights!$B$4:$B$18)/5)</f>
        <v/>
      </c>
      <c r="AL113" s="15">
        <f>IF(COUNTA(T113:AH113)=0,"",IF(SUMPRODUCT(--(T113:AH113&lt;=1),--(KPI_Weights!$C$4:$C$18="YES"))&gt;0,"YES","NO"))</f>
        <v/>
      </c>
      <c r="AM113" s="15">
        <f>IF(AJ113="","",IF(AND(AL113="NO",AJ113&gt;=0.75),"YES","NO"))</f>
        <v/>
      </c>
      <c r="AN113" s="15">
        <f>IF(AJ113="","",IF(AJ113&lt;0.4,"Critical",IF(AJ113&lt;0.6,"Poor",IF(AJ113&lt;0.75,"Needs Improvement",IF(AJ113&lt;0.9,"Good","Excellent")))))</f>
        <v/>
      </c>
      <c r="AO113" s="41" t="n"/>
      <c r="AP113" s="41" t="n"/>
      <c r="AQ113" s="41" t="n"/>
      <c r="AR113" s="41" t="n"/>
      <c r="AS113" s="41" t="n"/>
      <c r="AT113" s="44" t="n"/>
      <c r="AU113" s="41" t="n"/>
      <c r="AV113" s="43" t="n"/>
      <c r="AW113" s="41" t="n"/>
      <c r="AX113" s="44" t="n"/>
      <c r="AY113" s="44" t="n"/>
      <c r="AZ113" s="44" t="n"/>
      <c r="BA113" s="44" t="n"/>
      <c r="BB113" s="44" t="n"/>
      <c r="BC113" s="44" t="n"/>
      <c r="BD113" s="44" t="n"/>
      <c r="BE113" s="44" t="n"/>
      <c r="BF113" s="44" t="n"/>
    </row>
    <row r="114" ht="19.5" customHeight="1" s="45">
      <c r="A114" s="15">
        <f>IF($B114="","",TEXT($B114,"yyyymmdd")&amp;"-"&amp;SUBSTITUTE($F114," ","")&amp;"-"&amp;TEXT(COUNTIF($F$4:F114,$F114),"00"))</f>
        <v/>
      </c>
      <c r="B114" s="39" t="n"/>
      <c r="C114" s="15">
        <f>IF($B114="","",WEEKNUM($B114,2))</f>
        <v/>
      </c>
      <c r="D114" s="15">
        <f>IF($B114="","",TEXT($B114,"yyyy-mm"))</f>
        <v/>
      </c>
      <c r="E114" s="40" t="n"/>
      <c r="F114" s="40" t="n"/>
      <c r="G114" s="15">
        <f>IF(OR($E114="",$F114=""),"",IFERROR(IF($E114=INDEX(Cluster_Master!$A$4:$A$18,MATCH($F114,Cluster_Master!$B$4:$B$18,0)),"OK","CHECK"),"CHECK"))</f>
        <v/>
      </c>
      <c r="H114" s="18">
        <f>IFERROR(INDEX(Cluster_Master!$C$4:$C$18,MATCH($F114,Cluster_Master!$B$4:$B$18,0)),"")</f>
        <v/>
      </c>
      <c r="I114" s="15">
        <f>IFERROR(INDEX(Cluster_Master!$D$4:$D$18,MATCH($F114,Cluster_Master!$B$4:$B$18,0)),"")</f>
        <v/>
      </c>
      <c r="J114" s="15">
        <f>IFERROR(INDEX(Cluster_Master!$E$4:$E$18,MATCH($F114,Cluster_Master!$B$4:$B$18,0)),"")</f>
        <v/>
      </c>
      <c r="K114" s="15">
        <f>IFERROR(INDEX(Cluster_Master!$F$4:$F$18,MATCH($F114,Cluster_Master!$B$4:$B$18,0)),"")</f>
        <v/>
      </c>
      <c r="L114" s="15">
        <f>IFERROR(INDEX(Cluster_Master!$G$4:$G$18,MATCH($F114,Cluster_Master!$B$4:$B$18,0)),"")</f>
        <v/>
      </c>
      <c r="M114" s="15">
        <f>IFERROR(INDEX(Cluster_Master!$H$4:$H$18,MATCH($F114,Cluster_Master!$B$4:$B$18,0)),"")</f>
        <v/>
      </c>
      <c r="N114" s="41" t="n"/>
      <c r="O114" s="41" t="n"/>
      <c r="P114" s="41" t="n"/>
      <c r="Q114" s="41" t="n"/>
      <c r="R114" s="41" t="n"/>
      <c r="S114" s="41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15">
        <f>IF(COUNTA(T114:AH114)=0,"",SUM(T114:AH114))</f>
        <v/>
      </c>
      <c r="AJ114" s="21">
        <f>IF(COUNTA(T114:AH114)=0,"",AI114/(COUNT(KPI_Weights!$A$4:$A$18)*5))</f>
        <v/>
      </c>
      <c r="AK114" s="21">
        <f>IF(COUNTA(T114:AH114)=0,"",SUMPRODUCT(T114:AH114,KPI_Weights!$B$4:$B$18)/5)</f>
        <v/>
      </c>
      <c r="AL114" s="15">
        <f>IF(COUNTA(T114:AH114)=0,"",IF(SUMPRODUCT(--(T114:AH114&lt;=1),--(KPI_Weights!$C$4:$C$18="YES"))&gt;0,"YES","NO"))</f>
        <v/>
      </c>
      <c r="AM114" s="15">
        <f>IF(AJ114="","",IF(AND(AL114="NO",AJ114&gt;=0.75),"YES","NO"))</f>
        <v/>
      </c>
      <c r="AN114" s="15">
        <f>IF(AJ114="","",IF(AJ114&lt;0.4,"Critical",IF(AJ114&lt;0.6,"Poor",IF(AJ114&lt;0.75,"Needs Improvement",IF(AJ114&lt;0.9,"Good","Excellent")))))</f>
        <v/>
      </c>
      <c r="AO114" s="41" t="n"/>
      <c r="AP114" s="41" t="n"/>
      <c r="AQ114" s="41" t="n"/>
      <c r="AR114" s="41" t="n"/>
      <c r="AS114" s="41" t="n"/>
      <c r="AT114" s="44" t="n"/>
      <c r="AU114" s="41" t="n"/>
      <c r="AV114" s="43" t="n"/>
      <c r="AW114" s="41" t="n"/>
      <c r="AX114" s="44" t="n"/>
      <c r="AY114" s="44" t="n"/>
      <c r="AZ114" s="44" t="n"/>
      <c r="BA114" s="44" t="n"/>
      <c r="BB114" s="44" t="n"/>
      <c r="BC114" s="44" t="n"/>
      <c r="BD114" s="44" t="n"/>
      <c r="BE114" s="44" t="n"/>
      <c r="BF114" s="44" t="n"/>
    </row>
    <row r="115" ht="19.5" customHeight="1" s="45">
      <c r="A115" s="15">
        <f>IF($B115="","",TEXT($B115,"yyyymmdd")&amp;"-"&amp;SUBSTITUTE($F115," ","")&amp;"-"&amp;TEXT(COUNTIF($F$4:F115,$F115),"00"))</f>
        <v/>
      </c>
      <c r="B115" s="39" t="n"/>
      <c r="C115" s="15">
        <f>IF($B115="","",WEEKNUM($B115,2))</f>
        <v/>
      </c>
      <c r="D115" s="15">
        <f>IF($B115="","",TEXT($B115,"yyyy-mm"))</f>
        <v/>
      </c>
      <c r="E115" s="40" t="n"/>
      <c r="F115" s="40" t="n"/>
      <c r="G115" s="15">
        <f>IF(OR($E115="",$F115=""),"",IFERROR(IF($E115=INDEX(Cluster_Master!$A$4:$A$18,MATCH($F115,Cluster_Master!$B$4:$B$18,0)),"OK","CHECK"),"CHECK"))</f>
        <v/>
      </c>
      <c r="H115" s="18">
        <f>IFERROR(INDEX(Cluster_Master!$C$4:$C$18,MATCH($F115,Cluster_Master!$B$4:$B$18,0)),"")</f>
        <v/>
      </c>
      <c r="I115" s="15">
        <f>IFERROR(INDEX(Cluster_Master!$D$4:$D$18,MATCH($F115,Cluster_Master!$B$4:$B$18,0)),"")</f>
        <v/>
      </c>
      <c r="J115" s="15">
        <f>IFERROR(INDEX(Cluster_Master!$E$4:$E$18,MATCH($F115,Cluster_Master!$B$4:$B$18,0)),"")</f>
        <v/>
      </c>
      <c r="K115" s="15">
        <f>IFERROR(INDEX(Cluster_Master!$F$4:$F$18,MATCH($F115,Cluster_Master!$B$4:$B$18,0)),"")</f>
        <v/>
      </c>
      <c r="L115" s="15">
        <f>IFERROR(INDEX(Cluster_Master!$G$4:$G$18,MATCH($F115,Cluster_Master!$B$4:$B$18,0)),"")</f>
        <v/>
      </c>
      <c r="M115" s="15">
        <f>IFERROR(INDEX(Cluster_Master!$H$4:$H$18,MATCH($F115,Cluster_Master!$B$4:$B$18,0)),"")</f>
        <v/>
      </c>
      <c r="N115" s="41" t="n"/>
      <c r="O115" s="41" t="n"/>
      <c r="P115" s="41" t="n"/>
      <c r="Q115" s="41" t="n"/>
      <c r="R115" s="41" t="n"/>
      <c r="S115" s="41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15">
        <f>IF(COUNTA(T115:AH115)=0,"",SUM(T115:AH115))</f>
        <v/>
      </c>
      <c r="AJ115" s="21">
        <f>IF(COUNTA(T115:AH115)=0,"",AI115/(COUNT(KPI_Weights!$A$4:$A$18)*5))</f>
        <v/>
      </c>
      <c r="AK115" s="21">
        <f>IF(COUNTA(T115:AH115)=0,"",SUMPRODUCT(T115:AH115,KPI_Weights!$B$4:$B$18)/5)</f>
        <v/>
      </c>
      <c r="AL115" s="15">
        <f>IF(COUNTA(T115:AH115)=0,"",IF(SUMPRODUCT(--(T115:AH115&lt;=1),--(KPI_Weights!$C$4:$C$18="YES"))&gt;0,"YES","NO"))</f>
        <v/>
      </c>
      <c r="AM115" s="15">
        <f>IF(AJ115="","",IF(AND(AL115="NO",AJ115&gt;=0.75),"YES","NO"))</f>
        <v/>
      </c>
      <c r="AN115" s="15">
        <f>IF(AJ115="","",IF(AJ115&lt;0.4,"Critical",IF(AJ115&lt;0.6,"Poor",IF(AJ115&lt;0.75,"Needs Improvement",IF(AJ115&lt;0.9,"Good","Excellent")))))</f>
        <v/>
      </c>
      <c r="AO115" s="41" t="n"/>
      <c r="AP115" s="41" t="n"/>
      <c r="AQ115" s="41" t="n"/>
      <c r="AR115" s="41" t="n"/>
      <c r="AS115" s="41" t="n"/>
      <c r="AT115" s="44" t="n"/>
      <c r="AU115" s="41" t="n"/>
      <c r="AV115" s="43" t="n"/>
      <c r="AW115" s="41" t="n"/>
      <c r="AX115" s="44" t="n"/>
      <c r="AY115" s="44" t="n"/>
      <c r="AZ115" s="44" t="n"/>
      <c r="BA115" s="44" t="n"/>
      <c r="BB115" s="44" t="n"/>
      <c r="BC115" s="44" t="n"/>
      <c r="BD115" s="44" t="n"/>
      <c r="BE115" s="44" t="n"/>
      <c r="BF115" s="44" t="n"/>
    </row>
    <row r="116" ht="19.5" customHeight="1" s="45">
      <c r="A116" s="15">
        <f>IF($B116="","",TEXT($B116,"yyyymmdd")&amp;"-"&amp;SUBSTITUTE($F116," ","")&amp;"-"&amp;TEXT(COUNTIF($F$4:F116,$F116),"00"))</f>
        <v/>
      </c>
      <c r="B116" s="39" t="n"/>
      <c r="C116" s="15">
        <f>IF($B116="","",WEEKNUM($B116,2))</f>
        <v/>
      </c>
      <c r="D116" s="15">
        <f>IF($B116="","",TEXT($B116,"yyyy-mm"))</f>
        <v/>
      </c>
      <c r="E116" s="40" t="n"/>
      <c r="F116" s="40" t="n"/>
      <c r="G116" s="15">
        <f>IF(OR($E116="",$F116=""),"",IFERROR(IF($E116=INDEX(Cluster_Master!$A$4:$A$18,MATCH($F116,Cluster_Master!$B$4:$B$18,0)),"OK","CHECK"),"CHECK"))</f>
        <v/>
      </c>
      <c r="H116" s="18">
        <f>IFERROR(INDEX(Cluster_Master!$C$4:$C$18,MATCH($F116,Cluster_Master!$B$4:$B$18,0)),"")</f>
        <v/>
      </c>
      <c r="I116" s="15">
        <f>IFERROR(INDEX(Cluster_Master!$D$4:$D$18,MATCH($F116,Cluster_Master!$B$4:$B$18,0)),"")</f>
        <v/>
      </c>
      <c r="J116" s="15">
        <f>IFERROR(INDEX(Cluster_Master!$E$4:$E$18,MATCH($F116,Cluster_Master!$B$4:$B$18,0)),"")</f>
        <v/>
      </c>
      <c r="K116" s="15">
        <f>IFERROR(INDEX(Cluster_Master!$F$4:$F$18,MATCH($F116,Cluster_Master!$B$4:$B$18,0)),"")</f>
        <v/>
      </c>
      <c r="L116" s="15">
        <f>IFERROR(INDEX(Cluster_Master!$G$4:$G$18,MATCH($F116,Cluster_Master!$B$4:$B$18,0)),"")</f>
        <v/>
      </c>
      <c r="M116" s="15">
        <f>IFERROR(INDEX(Cluster_Master!$H$4:$H$18,MATCH($F116,Cluster_Master!$B$4:$B$18,0)),"")</f>
        <v/>
      </c>
      <c r="N116" s="41" t="n"/>
      <c r="O116" s="41" t="n"/>
      <c r="P116" s="41" t="n"/>
      <c r="Q116" s="41" t="n"/>
      <c r="R116" s="41" t="n"/>
      <c r="S116" s="41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15">
        <f>IF(COUNTA(T116:AH116)=0,"",SUM(T116:AH116))</f>
        <v/>
      </c>
      <c r="AJ116" s="21">
        <f>IF(COUNTA(T116:AH116)=0,"",AI116/(COUNT(KPI_Weights!$A$4:$A$18)*5))</f>
        <v/>
      </c>
      <c r="AK116" s="21">
        <f>IF(COUNTA(T116:AH116)=0,"",SUMPRODUCT(T116:AH116,KPI_Weights!$B$4:$B$18)/5)</f>
        <v/>
      </c>
      <c r="AL116" s="15">
        <f>IF(COUNTA(T116:AH116)=0,"",IF(SUMPRODUCT(--(T116:AH116&lt;=1),--(KPI_Weights!$C$4:$C$18="YES"))&gt;0,"YES","NO"))</f>
        <v/>
      </c>
      <c r="AM116" s="15">
        <f>IF(AJ116="","",IF(AND(AL116="NO",AJ116&gt;=0.75),"YES","NO"))</f>
        <v/>
      </c>
      <c r="AN116" s="15">
        <f>IF(AJ116="","",IF(AJ116&lt;0.4,"Critical",IF(AJ116&lt;0.6,"Poor",IF(AJ116&lt;0.75,"Needs Improvement",IF(AJ116&lt;0.9,"Good","Excellent")))))</f>
        <v/>
      </c>
      <c r="AO116" s="41" t="n"/>
      <c r="AP116" s="41" t="n"/>
      <c r="AQ116" s="41" t="n"/>
      <c r="AR116" s="41" t="n"/>
      <c r="AS116" s="41" t="n"/>
      <c r="AT116" s="44" t="n"/>
      <c r="AU116" s="41" t="n"/>
      <c r="AV116" s="43" t="n"/>
      <c r="AW116" s="41" t="n"/>
      <c r="AX116" s="44" t="n"/>
      <c r="AY116" s="44" t="n"/>
      <c r="AZ116" s="44" t="n"/>
      <c r="BA116" s="44" t="n"/>
      <c r="BB116" s="44" t="n"/>
      <c r="BC116" s="44" t="n"/>
      <c r="BD116" s="44" t="n"/>
      <c r="BE116" s="44" t="n"/>
      <c r="BF116" s="44" t="n"/>
    </row>
    <row r="117" ht="19.5" customHeight="1" s="45">
      <c r="A117" s="15">
        <f>IF($B117="","",TEXT($B117,"yyyymmdd")&amp;"-"&amp;SUBSTITUTE($F117," ","")&amp;"-"&amp;TEXT(COUNTIF($F$4:F117,$F117),"00"))</f>
        <v/>
      </c>
      <c r="B117" s="39" t="n"/>
      <c r="C117" s="15">
        <f>IF($B117="","",WEEKNUM($B117,2))</f>
        <v/>
      </c>
      <c r="D117" s="15">
        <f>IF($B117="","",TEXT($B117,"yyyy-mm"))</f>
        <v/>
      </c>
      <c r="E117" s="40" t="n"/>
      <c r="F117" s="40" t="n"/>
      <c r="G117" s="15">
        <f>IF(OR($E117="",$F117=""),"",IFERROR(IF($E117=INDEX(Cluster_Master!$A$4:$A$18,MATCH($F117,Cluster_Master!$B$4:$B$18,0)),"OK","CHECK"),"CHECK"))</f>
        <v/>
      </c>
      <c r="H117" s="18">
        <f>IFERROR(INDEX(Cluster_Master!$C$4:$C$18,MATCH($F117,Cluster_Master!$B$4:$B$18,0)),"")</f>
        <v/>
      </c>
      <c r="I117" s="15">
        <f>IFERROR(INDEX(Cluster_Master!$D$4:$D$18,MATCH($F117,Cluster_Master!$B$4:$B$18,0)),"")</f>
        <v/>
      </c>
      <c r="J117" s="15">
        <f>IFERROR(INDEX(Cluster_Master!$E$4:$E$18,MATCH($F117,Cluster_Master!$B$4:$B$18,0)),"")</f>
        <v/>
      </c>
      <c r="K117" s="15">
        <f>IFERROR(INDEX(Cluster_Master!$F$4:$F$18,MATCH($F117,Cluster_Master!$B$4:$B$18,0)),"")</f>
        <v/>
      </c>
      <c r="L117" s="15">
        <f>IFERROR(INDEX(Cluster_Master!$G$4:$G$18,MATCH($F117,Cluster_Master!$B$4:$B$18,0)),"")</f>
        <v/>
      </c>
      <c r="M117" s="15">
        <f>IFERROR(INDEX(Cluster_Master!$H$4:$H$18,MATCH($F117,Cluster_Master!$B$4:$B$18,0)),"")</f>
        <v/>
      </c>
      <c r="N117" s="41" t="n"/>
      <c r="O117" s="41" t="n"/>
      <c r="P117" s="41" t="n"/>
      <c r="Q117" s="41" t="n"/>
      <c r="R117" s="41" t="n"/>
      <c r="S117" s="41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15">
        <f>IF(COUNTA(T117:AH117)=0,"",SUM(T117:AH117))</f>
        <v/>
      </c>
      <c r="AJ117" s="21">
        <f>IF(COUNTA(T117:AH117)=0,"",AI117/(COUNT(KPI_Weights!$A$4:$A$18)*5))</f>
        <v/>
      </c>
      <c r="AK117" s="21">
        <f>IF(COUNTA(T117:AH117)=0,"",SUMPRODUCT(T117:AH117,KPI_Weights!$B$4:$B$18)/5)</f>
        <v/>
      </c>
      <c r="AL117" s="15">
        <f>IF(COUNTA(T117:AH117)=0,"",IF(SUMPRODUCT(--(T117:AH117&lt;=1),--(KPI_Weights!$C$4:$C$18="YES"))&gt;0,"YES","NO"))</f>
        <v/>
      </c>
      <c r="AM117" s="15">
        <f>IF(AJ117="","",IF(AND(AL117="NO",AJ117&gt;=0.75),"YES","NO"))</f>
        <v/>
      </c>
      <c r="AN117" s="15">
        <f>IF(AJ117="","",IF(AJ117&lt;0.4,"Critical",IF(AJ117&lt;0.6,"Poor",IF(AJ117&lt;0.75,"Needs Improvement",IF(AJ117&lt;0.9,"Good","Excellent")))))</f>
        <v/>
      </c>
      <c r="AO117" s="41" t="n"/>
      <c r="AP117" s="41" t="n"/>
      <c r="AQ117" s="41" t="n"/>
      <c r="AR117" s="41" t="n"/>
      <c r="AS117" s="41" t="n"/>
      <c r="AT117" s="44" t="n"/>
      <c r="AU117" s="41" t="n"/>
      <c r="AV117" s="43" t="n"/>
      <c r="AW117" s="41" t="n"/>
      <c r="AX117" s="44" t="n"/>
      <c r="AY117" s="44" t="n"/>
      <c r="AZ117" s="44" t="n"/>
      <c r="BA117" s="44" t="n"/>
      <c r="BB117" s="44" t="n"/>
      <c r="BC117" s="44" t="n"/>
      <c r="BD117" s="44" t="n"/>
      <c r="BE117" s="44" t="n"/>
      <c r="BF117" s="44" t="n"/>
    </row>
    <row r="118" ht="19.5" customHeight="1" s="45">
      <c r="A118" s="15">
        <f>IF($B118="","",TEXT($B118,"yyyymmdd")&amp;"-"&amp;SUBSTITUTE($F118," ","")&amp;"-"&amp;TEXT(COUNTIF($F$4:F118,$F118),"00"))</f>
        <v/>
      </c>
      <c r="B118" s="39" t="n"/>
      <c r="C118" s="15">
        <f>IF($B118="","",WEEKNUM($B118,2))</f>
        <v/>
      </c>
      <c r="D118" s="15">
        <f>IF($B118="","",TEXT($B118,"yyyy-mm"))</f>
        <v/>
      </c>
      <c r="E118" s="40" t="n"/>
      <c r="F118" s="40" t="n"/>
      <c r="G118" s="15">
        <f>IF(OR($E118="",$F118=""),"",IFERROR(IF($E118=INDEX(Cluster_Master!$A$4:$A$18,MATCH($F118,Cluster_Master!$B$4:$B$18,0)),"OK","CHECK"),"CHECK"))</f>
        <v/>
      </c>
      <c r="H118" s="18">
        <f>IFERROR(INDEX(Cluster_Master!$C$4:$C$18,MATCH($F118,Cluster_Master!$B$4:$B$18,0)),"")</f>
        <v/>
      </c>
      <c r="I118" s="15">
        <f>IFERROR(INDEX(Cluster_Master!$D$4:$D$18,MATCH($F118,Cluster_Master!$B$4:$B$18,0)),"")</f>
        <v/>
      </c>
      <c r="J118" s="15">
        <f>IFERROR(INDEX(Cluster_Master!$E$4:$E$18,MATCH($F118,Cluster_Master!$B$4:$B$18,0)),"")</f>
        <v/>
      </c>
      <c r="K118" s="15">
        <f>IFERROR(INDEX(Cluster_Master!$F$4:$F$18,MATCH($F118,Cluster_Master!$B$4:$B$18,0)),"")</f>
        <v/>
      </c>
      <c r="L118" s="15">
        <f>IFERROR(INDEX(Cluster_Master!$G$4:$G$18,MATCH($F118,Cluster_Master!$B$4:$B$18,0)),"")</f>
        <v/>
      </c>
      <c r="M118" s="15">
        <f>IFERROR(INDEX(Cluster_Master!$H$4:$H$18,MATCH($F118,Cluster_Master!$B$4:$B$18,0)),"")</f>
        <v/>
      </c>
      <c r="N118" s="41" t="n"/>
      <c r="O118" s="41" t="n"/>
      <c r="P118" s="41" t="n"/>
      <c r="Q118" s="41" t="n"/>
      <c r="R118" s="41" t="n"/>
      <c r="S118" s="41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15">
        <f>IF(COUNTA(T118:AH118)=0,"",SUM(T118:AH118))</f>
        <v/>
      </c>
      <c r="AJ118" s="21">
        <f>IF(COUNTA(T118:AH118)=0,"",AI118/(COUNT(KPI_Weights!$A$4:$A$18)*5))</f>
        <v/>
      </c>
      <c r="AK118" s="21">
        <f>IF(COUNTA(T118:AH118)=0,"",SUMPRODUCT(T118:AH118,KPI_Weights!$B$4:$B$18)/5)</f>
        <v/>
      </c>
      <c r="AL118" s="15">
        <f>IF(COUNTA(T118:AH118)=0,"",IF(SUMPRODUCT(--(T118:AH118&lt;=1),--(KPI_Weights!$C$4:$C$18="YES"))&gt;0,"YES","NO"))</f>
        <v/>
      </c>
      <c r="AM118" s="15">
        <f>IF(AJ118="","",IF(AND(AL118="NO",AJ118&gt;=0.75),"YES","NO"))</f>
        <v/>
      </c>
      <c r="AN118" s="15">
        <f>IF(AJ118="","",IF(AJ118&lt;0.4,"Critical",IF(AJ118&lt;0.6,"Poor",IF(AJ118&lt;0.75,"Needs Improvement",IF(AJ118&lt;0.9,"Good","Excellent")))))</f>
        <v/>
      </c>
      <c r="AO118" s="41" t="n"/>
      <c r="AP118" s="41" t="n"/>
      <c r="AQ118" s="41" t="n"/>
      <c r="AR118" s="41" t="n"/>
      <c r="AS118" s="41" t="n"/>
      <c r="AT118" s="44" t="n"/>
      <c r="AU118" s="41" t="n"/>
      <c r="AV118" s="43" t="n"/>
      <c r="AW118" s="41" t="n"/>
      <c r="AX118" s="44" t="n"/>
      <c r="AY118" s="44" t="n"/>
      <c r="AZ118" s="44" t="n"/>
      <c r="BA118" s="44" t="n"/>
      <c r="BB118" s="44" t="n"/>
      <c r="BC118" s="44" t="n"/>
      <c r="BD118" s="44" t="n"/>
      <c r="BE118" s="44" t="n"/>
      <c r="BF118" s="44" t="n"/>
    </row>
    <row r="119" ht="19.5" customHeight="1" s="45">
      <c r="A119" s="15">
        <f>IF($B119="","",TEXT($B119,"yyyymmdd")&amp;"-"&amp;SUBSTITUTE($F119," ","")&amp;"-"&amp;TEXT(COUNTIF($F$4:F119,$F119),"00"))</f>
        <v/>
      </c>
      <c r="B119" s="39" t="n"/>
      <c r="C119" s="15">
        <f>IF($B119="","",WEEKNUM($B119,2))</f>
        <v/>
      </c>
      <c r="D119" s="15">
        <f>IF($B119="","",TEXT($B119,"yyyy-mm"))</f>
        <v/>
      </c>
      <c r="E119" s="40" t="n"/>
      <c r="F119" s="40" t="n"/>
      <c r="G119" s="15">
        <f>IF(OR($E119="",$F119=""),"",IFERROR(IF($E119=INDEX(Cluster_Master!$A$4:$A$18,MATCH($F119,Cluster_Master!$B$4:$B$18,0)),"OK","CHECK"),"CHECK"))</f>
        <v/>
      </c>
      <c r="H119" s="18">
        <f>IFERROR(INDEX(Cluster_Master!$C$4:$C$18,MATCH($F119,Cluster_Master!$B$4:$B$18,0)),"")</f>
        <v/>
      </c>
      <c r="I119" s="15">
        <f>IFERROR(INDEX(Cluster_Master!$D$4:$D$18,MATCH($F119,Cluster_Master!$B$4:$B$18,0)),"")</f>
        <v/>
      </c>
      <c r="J119" s="15">
        <f>IFERROR(INDEX(Cluster_Master!$E$4:$E$18,MATCH($F119,Cluster_Master!$B$4:$B$18,0)),"")</f>
        <v/>
      </c>
      <c r="K119" s="15">
        <f>IFERROR(INDEX(Cluster_Master!$F$4:$F$18,MATCH($F119,Cluster_Master!$B$4:$B$18,0)),"")</f>
        <v/>
      </c>
      <c r="L119" s="15">
        <f>IFERROR(INDEX(Cluster_Master!$G$4:$G$18,MATCH($F119,Cluster_Master!$B$4:$B$18,0)),"")</f>
        <v/>
      </c>
      <c r="M119" s="15">
        <f>IFERROR(INDEX(Cluster_Master!$H$4:$H$18,MATCH($F119,Cluster_Master!$B$4:$B$18,0)),"")</f>
        <v/>
      </c>
      <c r="N119" s="41" t="n"/>
      <c r="O119" s="41" t="n"/>
      <c r="P119" s="41" t="n"/>
      <c r="Q119" s="41" t="n"/>
      <c r="R119" s="41" t="n"/>
      <c r="S119" s="41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15">
        <f>IF(COUNTA(T119:AH119)=0,"",SUM(T119:AH119))</f>
        <v/>
      </c>
      <c r="AJ119" s="21">
        <f>IF(COUNTA(T119:AH119)=0,"",AI119/(COUNT(KPI_Weights!$A$4:$A$18)*5))</f>
        <v/>
      </c>
      <c r="AK119" s="21">
        <f>IF(COUNTA(T119:AH119)=0,"",SUMPRODUCT(T119:AH119,KPI_Weights!$B$4:$B$18)/5)</f>
        <v/>
      </c>
      <c r="AL119" s="15">
        <f>IF(COUNTA(T119:AH119)=0,"",IF(SUMPRODUCT(--(T119:AH119&lt;=1),--(KPI_Weights!$C$4:$C$18="YES"))&gt;0,"YES","NO"))</f>
        <v/>
      </c>
      <c r="AM119" s="15">
        <f>IF(AJ119="","",IF(AND(AL119="NO",AJ119&gt;=0.75),"YES","NO"))</f>
        <v/>
      </c>
      <c r="AN119" s="15">
        <f>IF(AJ119="","",IF(AJ119&lt;0.4,"Critical",IF(AJ119&lt;0.6,"Poor",IF(AJ119&lt;0.75,"Needs Improvement",IF(AJ119&lt;0.9,"Good","Excellent")))))</f>
        <v/>
      </c>
      <c r="AO119" s="41" t="n"/>
      <c r="AP119" s="41" t="n"/>
      <c r="AQ119" s="41" t="n"/>
      <c r="AR119" s="41" t="n"/>
      <c r="AS119" s="41" t="n"/>
      <c r="AT119" s="44" t="n"/>
      <c r="AU119" s="41" t="n"/>
      <c r="AV119" s="43" t="n"/>
      <c r="AW119" s="41" t="n"/>
      <c r="AX119" s="44" t="n"/>
      <c r="AY119" s="44" t="n"/>
      <c r="AZ119" s="44" t="n"/>
      <c r="BA119" s="44" t="n"/>
      <c r="BB119" s="44" t="n"/>
      <c r="BC119" s="44" t="n"/>
      <c r="BD119" s="44" t="n"/>
      <c r="BE119" s="44" t="n"/>
      <c r="BF119" s="44" t="n"/>
    </row>
    <row r="120" ht="19.5" customHeight="1" s="45">
      <c r="A120" s="15">
        <f>IF($B120="","",TEXT($B120,"yyyymmdd")&amp;"-"&amp;SUBSTITUTE($F120," ","")&amp;"-"&amp;TEXT(COUNTIF($F$4:F120,$F120),"00"))</f>
        <v/>
      </c>
      <c r="B120" s="39" t="n"/>
      <c r="C120" s="15">
        <f>IF($B120="","",WEEKNUM($B120,2))</f>
        <v/>
      </c>
      <c r="D120" s="15">
        <f>IF($B120="","",TEXT($B120,"yyyy-mm"))</f>
        <v/>
      </c>
      <c r="E120" s="40" t="n"/>
      <c r="F120" s="40" t="n"/>
      <c r="G120" s="15">
        <f>IF(OR($E120="",$F120=""),"",IFERROR(IF($E120=INDEX(Cluster_Master!$A$4:$A$18,MATCH($F120,Cluster_Master!$B$4:$B$18,0)),"OK","CHECK"),"CHECK"))</f>
        <v/>
      </c>
      <c r="H120" s="18">
        <f>IFERROR(INDEX(Cluster_Master!$C$4:$C$18,MATCH($F120,Cluster_Master!$B$4:$B$18,0)),"")</f>
        <v/>
      </c>
      <c r="I120" s="15">
        <f>IFERROR(INDEX(Cluster_Master!$D$4:$D$18,MATCH($F120,Cluster_Master!$B$4:$B$18,0)),"")</f>
        <v/>
      </c>
      <c r="J120" s="15">
        <f>IFERROR(INDEX(Cluster_Master!$E$4:$E$18,MATCH($F120,Cluster_Master!$B$4:$B$18,0)),"")</f>
        <v/>
      </c>
      <c r="K120" s="15">
        <f>IFERROR(INDEX(Cluster_Master!$F$4:$F$18,MATCH($F120,Cluster_Master!$B$4:$B$18,0)),"")</f>
        <v/>
      </c>
      <c r="L120" s="15">
        <f>IFERROR(INDEX(Cluster_Master!$G$4:$G$18,MATCH($F120,Cluster_Master!$B$4:$B$18,0)),"")</f>
        <v/>
      </c>
      <c r="M120" s="15">
        <f>IFERROR(INDEX(Cluster_Master!$H$4:$H$18,MATCH($F120,Cluster_Master!$B$4:$B$18,0)),"")</f>
        <v/>
      </c>
      <c r="N120" s="41" t="n"/>
      <c r="O120" s="41" t="n"/>
      <c r="P120" s="41" t="n"/>
      <c r="Q120" s="41" t="n"/>
      <c r="R120" s="41" t="n"/>
      <c r="S120" s="41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15">
        <f>IF(COUNTA(T120:AH120)=0,"",SUM(T120:AH120))</f>
        <v/>
      </c>
      <c r="AJ120" s="21">
        <f>IF(COUNTA(T120:AH120)=0,"",AI120/(COUNT(KPI_Weights!$A$4:$A$18)*5))</f>
        <v/>
      </c>
      <c r="AK120" s="21">
        <f>IF(COUNTA(T120:AH120)=0,"",SUMPRODUCT(T120:AH120,KPI_Weights!$B$4:$B$18)/5)</f>
        <v/>
      </c>
      <c r="AL120" s="15">
        <f>IF(COUNTA(T120:AH120)=0,"",IF(SUMPRODUCT(--(T120:AH120&lt;=1),--(KPI_Weights!$C$4:$C$18="YES"))&gt;0,"YES","NO"))</f>
        <v/>
      </c>
      <c r="AM120" s="15">
        <f>IF(AJ120="","",IF(AND(AL120="NO",AJ120&gt;=0.75),"YES","NO"))</f>
        <v/>
      </c>
      <c r="AN120" s="15">
        <f>IF(AJ120="","",IF(AJ120&lt;0.4,"Critical",IF(AJ120&lt;0.6,"Poor",IF(AJ120&lt;0.75,"Needs Improvement",IF(AJ120&lt;0.9,"Good","Excellent")))))</f>
        <v/>
      </c>
      <c r="AO120" s="41" t="n"/>
      <c r="AP120" s="41" t="n"/>
      <c r="AQ120" s="41" t="n"/>
      <c r="AR120" s="41" t="n"/>
      <c r="AS120" s="41" t="n"/>
      <c r="AT120" s="44" t="n"/>
      <c r="AU120" s="41" t="n"/>
      <c r="AV120" s="43" t="n"/>
      <c r="AW120" s="41" t="n"/>
      <c r="AX120" s="44" t="n"/>
      <c r="AY120" s="44" t="n"/>
      <c r="AZ120" s="44" t="n"/>
      <c r="BA120" s="44" t="n"/>
      <c r="BB120" s="44" t="n"/>
      <c r="BC120" s="44" t="n"/>
      <c r="BD120" s="44" t="n"/>
      <c r="BE120" s="44" t="n"/>
      <c r="BF120" s="44" t="n"/>
    </row>
    <row r="121" ht="19.5" customHeight="1" s="45">
      <c r="A121" s="15">
        <f>IF($B121="","",TEXT($B121,"yyyymmdd")&amp;"-"&amp;SUBSTITUTE($F121," ","")&amp;"-"&amp;TEXT(COUNTIF($F$4:F121,$F121),"00"))</f>
        <v/>
      </c>
      <c r="B121" s="39" t="n"/>
      <c r="C121" s="15">
        <f>IF($B121="","",WEEKNUM($B121,2))</f>
        <v/>
      </c>
      <c r="D121" s="15">
        <f>IF($B121="","",TEXT($B121,"yyyy-mm"))</f>
        <v/>
      </c>
      <c r="E121" s="40" t="n"/>
      <c r="F121" s="40" t="n"/>
      <c r="G121" s="15">
        <f>IF(OR($E121="",$F121=""),"",IFERROR(IF($E121=INDEX(Cluster_Master!$A$4:$A$18,MATCH($F121,Cluster_Master!$B$4:$B$18,0)),"OK","CHECK"),"CHECK"))</f>
        <v/>
      </c>
      <c r="H121" s="18">
        <f>IFERROR(INDEX(Cluster_Master!$C$4:$C$18,MATCH($F121,Cluster_Master!$B$4:$B$18,0)),"")</f>
        <v/>
      </c>
      <c r="I121" s="15">
        <f>IFERROR(INDEX(Cluster_Master!$D$4:$D$18,MATCH($F121,Cluster_Master!$B$4:$B$18,0)),"")</f>
        <v/>
      </c>
      <c r="J121" s="15">
        <f>IFERROR(INDEX(Cluster_Master!$E$4:$E$18,MATCH($F121,Cluster_Master!$B$4:$B$18,0)),"")</f>
        <v/>
      </c>
      <c r="K121" s="15">
        <f>IFERROR(INDEX(Cluster_Master!$F$4:$F$18,MATCH($F121,Cluster_Master!$B$4:$B$18,0)),"")</f>
        <v/>
      </c>
      <c r="L121" s="15">
        <f>IFERROR(INDEX(Cluster_Master!$G$4:$G$18,MATCH($F121,Cluster_Master!$B$4:$B$18,0)),"")</f>
        <v/>
      </c>
      <c r="M121" s="15">
        <f>IFERROR(INDEX(Cluster_Master!$H$4:$H$18,MATCH($F121,Cluster_Master!$B$4:$B$18,0)),"")</f>
        <v/>
      </c>
      <c r="N121" s="41" t="n"/>
      <c r="O121" s="41" t="n"/>
      <c r="P121" s="41" t="n"/>
      <c r="Q121" s="41" t="n"/>
      <c r="R121" s="41" t="n"/>
      <c r="S121" s="41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15">
        <f>IF(COUNTA(T121:AH121)=0,"",SUM(T121:AH121))</f>
        <v/>
      </c>
      <c r="AJ121" s="21">
        <f>IF(COUNTA(T121:AH121)=0,"",AI121/(COUNT(KPI_Weights!$A$4:$A$18)*5))</f>
        <v/>
      </c>
      <c r="AK121" s="21">
        <f>IF(COUNTA(T121:AH121)=0,"",SUMPRODUCT(T121:AH121,KPI_Weights!$B$4:$B$18)/5)</f>
        <v/>
      </c>
      <c r="AL121" s="15">
        <f>IF(COUNTA(T121:AH121)=0,"",IF(SUMPRODUCT(--(T121:AH121&lt;=1),--(KPI_Weights!$C$4:$C$18="YES"))&gt;0,"YES","NO"))</f>
        <v/>
      </c>
      <c r="AM121" s="15">
        <f>IF(AJ121="","",IF(AND(AL121="NO",AJ121&gt;=0.75),"YES","NO"))</f>
        <v/>
      </c>
      <c r="AN121" s="15">
        <f>IF(AJ121="","",IF(AJ121&lt;0.4,"Critical",IF(AJ121&lt;0.6,"Poor",IF(AJ121&lt;0.75,"Needs Improvement",IF(AJ121&lt;0.9,"Good","Excellent")))))</f>
        <v/>
      </c>
      <c r="AO121" s="41" t="n"/>
      <c r="AP121" s="41" t="n"/>
      <c r="AQ121" s="41" t="n"/>
      <c r="AR121" s="41" t="n"/>
      <c r="AS121" s="41" t="n"/>
      <c r="AT121" s="44" t="n"/>
      <c r="AU121" s="41" t="n"/>
      <c r="AV121" s="43" t="n"/>
      <c r="AW121" s="41" t="n"/>
      <c r="AX121" s="44" t="n"/>
      <c r="AY121" s="44" t="n"/>
      <c r="AZ121" s="44" t="n"/>
      <c r="BA121" s="44" t="n"/>
      <c r="BB121" s="44" t="n"/>
      <c r="BC121" s="44" t="n"/>
      <c r="BD121" s="44" t="n"/>
      <c r="BE121" s="44" t="n"/>
      <c r="BF121" s="44" t="n"/>
    </row>
    <row r="122" ht="19.5" customHeight="1" s="45">
      <c r="A122" s="15">
        <f>IF($B122="","",TEXT($B122,"yyyymmdd")&amp;"-"&amp;SUBSTITUTE($F122," ","")&amp;"-"&amp;TEXT(COUNTIF($F$4:F122,$F122),"00"))</f>
        <v/>
      </c>
      <c r="B122" s="39" t="n"/>
      <c r="C122" s="15">
        <f>IF($B122="","",WEEKNUM($B122,2))</f>
        <v/>
      </c>
      <c r="D122" s="15">
        <f>IF($B122="","",TEXT($B122,"yyyy-mm"))</f>
        <v/>
      </c>
      <c r="E122" s="40" t="n"/>
      <c r="F122" s="40" t="n"/>
      <c r="G122" s="15">
        <f>IF(OR($E122="",$F122=""),"",IFERROR(IF($E122=INDEX(Cluster_Master!$A$4:$A$18,MATCH($F122,Cluster_Master!$B$4:$B$18,0)),"OK","CHECK"),"CHECK"))</f>
        <v/>
      </c>
      <c r="H122" s="18">
        <f>IFERROR(INDEX(Cluster_Master!$C$4:$C$18,MATCH($F122,Cluster_Master!$B$4:$B$18,0)),"")</f>
        <v/>
      </c>
      <c r="I122" s="15">
        <f>IFERROR(INDEX(Cluster_Master!$D$4:$D$18,MATCH($F122,Cluster_Master!$B$4:$B$18,0)),"")</f>
        <v/>
      </c>
      <c r="J122" s="15">
        <f>IFERROR(INDEX(Cluster_Master!$E$4:$E$18,MATCH($F122,Cluster_Master!$B$4:$B$18,0)),"")</f>
        <v/>
      </c>
      <c r="K122" s="15">
        <f>IFERROR(INDEX(Cluster_Master!$F$4:$F$18,MATCH($F122,Cluster_Master!$B$4:$B$18,0)),"")</f>
        <v/>
      </c>
      <c r="L122" s="15">
        <f>IFERROR(INDEX(Cluster_Master!$G$4:$G$18,MATCH($F122,Cluster_Master!$B$4:$B$18,0)),"")</f>
        <v/>
      </c>
      <c r="M122" s="15">
        <f>IFERROR(INDEX(Cluster_Master!$H$4:$H$18,MATCH($F122,Cluster_Master!$B$4:$B$18,0)),"")</f>
        <v/>
      </c>
      <c r="N122" s="41" t="n"/>
      <c r="O122" s="41" t="n"/>
      <c r="P122" s="41" t="n"/>
      <c r="Q122" s="41" t="n"/>
      <c r="R122" s="41" t="n"/>
      <c r="S122" s="41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15">
        <f>IF(COUNTA(T122:AH122)=0,"",SUM(T122:AH122))</f>
        <v/>
      </c>
      <c r="AJ122" s="21">
        <f>IF(COUNTA(T122:AH122)=0,"",AI122/(COUNT(KPI_Weights!$A$4:$A$18)*5))</f>
        <v/>
      </c>
      <c r="AK122" s="21">
        <f>IF(COUNTA(T122:AH122)=0,"",SUMPRODUCT(T122:AH122,KPI_Weights!$B$4:$B$18)/5)</f>
        <v/>
      </c>
      <c r="AL122" s="15">
        <f>IF(COUNTA(T122:AH122)=0,"",IF(SUMPRODUCT(--(T122:AH122&lt;=1),--(KPI_Weights!$C$4:$C$18="YES"))&gt;0,"YES","NO"))</f>
        <v/>
      </c>
      <c r="AM122" s="15">
        <f>IF(AJ122="","",IF(AND(AL122="NO",AJ122&gt;=0.75),"YES","NO"))</f>
        <v/>
      </c>
      <c r="AN122" s="15">
        <f>IF(AJ122="","",IF(AJ122&lt;0.4,"Critical",IF(AJ122&lt;0.6,"Poor",IF(AJ122&lt;0.75,"Needs Improvement",IF(AJ122&lt;0.9,"Good","Excellent")))))</f>
        <v/>
      </c>
      <c r="AO122" s="41" t="n"/>
      <c r="AP122" s="41" t="n"/>
      <c r="AQ122" s="41" t="n"/>
      <c r="AR122" s="41" t="n"/>
      <c r="AS122" s="41" t="n"/>
      <c r="AT122" s="44" t="n"/>
      <c r="AU122" s="41" t="n"/>
      <c r="AV122" s="43" t="n"/>
      <c r="AW122" s="41" t="n"/>
      <c r="AX122" s="44" t="n"/>
      <c r="AY122" s="44" t="n"/>
      <c r="AZ122" s="44" t="n"/>
      <c r="BA122" s="44" t="n"/>
      <c r="BB122" s="44" t="n"/>
      <c r="BC122" s="44" t="n"/>
      <c r="BD122" s="44" t="n"/>
      <c r="BE122" s="44" t="n"/>
      <c r="BF122" s="44" t="n"/>
    </row>
    <row r="123" ht="19.5" customHeight="1" s="45">
      <c r="A123" s="15">
        <f>IF($B123="","",TEXT($B123,"yyyymmdd")&amp;"-"&amp;SUBSTITUTE($F123," ","")&amp;"-"&amp;TEXT(COUNTIF($F$4:F123,$F123),"00"))</f>
        <v/>
      </c>
      <c r="B123" s="39" t="n"/>
      <c r="C123" s="15">
        <f>IF($B123="","",WEEKNUM($B123,2))</f>
        <v/>
      </c>
      <c r="D123" s="15">
        <f>IF($B123="","",TEXT($B123,"yyyy-mm"))</f>
        <v/>
      </c>
      <c r="E123" s="40" t="n"/>
      <c r="F123" s="40" t="n"/>
      <c r="G123" s="15">
        <f>IF(OR($E123="",$F123=""),"",IFERROR(IF($E123=INDEX(Cluster_Master!$A$4:$A$18,MATCH($F123,Cluster_Master!$B$4:$B$18,0)),"OK","CHECK"),"CHECK"))</f>
        <v/>
      </c>
      <c r="H123" s="18">
        <f>IFERROR(INDEX(Cluster_Master!$C$4:$C$18,MATCH($F123,Cluster_Master!$B$4:$B$18,0)),"")</f>
        <v/>
      </c>
      <c r="I123" s="15">
        <f>IFERROR(INDEX(Cluster_Master!$D$4:$D$18,MATCH($F123,Cluster_Master!$B$4:$B$18,0)),"")</f>
        <v/>
      </c>
      <c r="J123" s="15">
        <f>IFERROR(INDEX(Cluster_Master!$E$4:$E$18,MATCH($F123,Cluster_Master!$B$4:$B$18,0)),"")</f>
        <v/>
      </c>
      <c r="K123" s="15">
        <f>IFERROR(INDEX(Cluster_Master!$F$4:$F$18,MATCH($F123,Cluster_Master!$B$4:$B$18,0)),"")</f>
        <v/>
      </c>
      <c r="L123" s="15">
        <f>IFERROR(INDEX(Cluster_Master!$G$4:$G$18,MATCH($F123,Cluster_Master!$B$4:$B$18,0)),"")</f>
        <v/>
      </c>
      <c r="M123" s="15">
        <f>IFERROR(INDEX(Cluster_Master!$H$4:$H$18,MATCH($F123,Cluster_Master!$B$4:$B$18,0)),"")</f>
        <v/>
      </c>
      <c r="N123" s="41" t="n"/>
      <c r="O123" s="41" t="n"/>
      <c r="P123" s="41" t="n"/>
      <c r="Q123" s="41" t="n"/>
      <c r="R123" s="41" t="n"/>
      <c r="S123" s="41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15">
        <f>IF(COUNTA(T123:AH123)=0,"",SUM(T123:AH123))</f>
        <v/>
      </c>
      <c r="AJ123" s="21">
        <f>IF(COUNTA(T123:AH123)=0,"",AI123/(COUNT(KPI_Weights!$A$4:$A$18)*5))</f>
        <v/>
      </c>
      <c r="AK123" s="21">
        <f>IF(COUNTA(T123:AH123)=0,"",SUMPRODUCT(T123:AH123,KPI_Weights!$B$4:$B$18)/5)</f>
        <v/>
      </c>
      <c r="AL123" s="15">
        <f>IF(COUNTA(T123:AH123)=0,"",IF(SUMPRODUCT(--(T123:AH123&lt;=1),--(KPI_Weights!$C$4:$C$18="YES"))&gt;0,"YES","NO"))</f>
        <v/>
      </c>
      <c r="AM123" s="15">
        <f>IF(AJ123="","",IF(AND(AL123="NO",AJ123&gt;=0.75),"YES","NO"))</f>
        <v/>
      </c>
      <c r="AN123" s="15">
        <f>IF(AJ123="","",IF(AJ123&lt;0.4,"Critical",IF(AJ123&lt;0.6,"Poor",IF(AJ123&lt;0.75,"Needs Improvement",IF(AJ123&lt;0.9,"Good","Excellent")))))</f>
        <v/>
      </c>
      <c r="AO123" s="41" t="n"/>
      <c r="AP123" s="41" t="n"/>
      <c r="AQ123" s="41" t="n"/>
      <c r="AR123" s="41" t="n"/>
      <c r="AS123" s="41" t="n"/>
      <c r="AT123" s="44" t="n"/>
      <c r="AU123" s="41" t="n"/>
      <c r="AV123" s="43" t="n"/>
      <c r="AW123" s="41" t="n"/>
      <c r="AX123" s="44" t="n"/>
      <c r="AY123" s="44" t="n"/>
      <c r="AZ123" s="44" t="n"/>
      <c r="BA123" s="44" t="n"/>
      <c r="BB123" s="44" t="n"/>
      <c r="BC123" s="44" t="n"/>
      <c r="BD123" s="44" t="n"/>
      <c r="BE123" s="44" t="n"/>
      <c r="BF123" s="44" t="n"/>
    </row>
    <row r="124" ht="19.5" customHeight="1" s="45">
      <c r="A124" s="15">
        <f>IF($B124="","",TEXT($B124,"yyyymmdd")&amp;"-"&amp;SUBSTITUTE($F124," ","")&amp;"-"&amp;TEXT(COUNTIF($F$4:F124,$F124),"00"))</f>
        <v/>
      </c>
      <c r="B124" s="39" t="n"/>
      <c r="C124" s="15">
        <f>IF($B124="","",WEEKNUM($B124,2))</f>
        <v/>
      </c>
      <c r="D124" s="15">
        <f>IF($B124="","",TEXT($B124,"yyyy-mm"))</f>
        <v/>
      </c>
      <c r="E124" s="40" t="n"/>
      <c r="F124" s="40" t="n"/>
      <c r="G124" s="15">
        <f>IF(OR($E124="",$F124=""),"",IFERROR(IF($E124=INDEX(Cluster_Master!$A$4:$A$18,MATCH($F124,Cluster_Master!$B$4:$B$18,0)),"OK","CHECK"),"CHECK"))</f>
        <v/>
      </c>
      <c r="H124" s="18">
        <f>IFERROR(INDEX(Cluster_Master!$C$4:$C$18,MATCH($F124,Cluster_Master!$B$4:$B$18,0)),"")</f>
        <v/>
      </c>
      <c r="I124" s="15">
        <f>IFERROR(INDEX(Cluster_Master!$D$4:$D$18,MATCH($F124,Cluster_Master!$B$4:$B$18,0)),"")</f>
        <v/>
      </c>
      <c r="J124" s="15">
        <f>IFERROR(INDEX(Cluster_Master!$E$4:$E$18,MATCH($F124,Cluster_Master!$B$4:$B$18,0)),"")</f>
        <v/>
      </c>
      <c r="K124" s="15">
        <f>IFERROR(INDEX(Cluster_Master!$F$4:$F$18,MATCH($F124,Cluster_Master!$B$4:$B$18,0)),"")</f>
        <v/>
      </c>
      <c r="L124" s="15">
        <f>IFERROR(INDEX(Cluster_Master!$G$4:$G$18,MATCH($F124,Cluster_Master!$B$4:$B$18,0)),"")</f>
        <v/>
      </c>
      <c r="M124" s="15">
        <f>IFERROR(INDEX(Cluster_Master!$H$4:$H$18,MATCH($F124,Cluster_Master!$B$4:$B$18,0)),"")</f>
        <v/>
      </c>
      <c r="N124" s="41" t="n"/>
      <c r="O124" s="41" t="n"/>
      <c r="P124" s="41" t="n"/>
      <c r="Q124" s="41" t="n"/>
      <c r="R124" s="41" t="n"/>
      <c r="S124" s="41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15">
        <f>IF(COUNTA(T124:AH124)=0,"",SUM(T124:AH124))</f>
        <v/>
      </c>
      <c r="AJ124" s="21">
        <f>IF(COUNTA(T124:AH124)=0,"",AI124/(COUNT(KPI_Weights!$A$4:$A$18)*5))</f>
        <v/>
      </c>
      <c r="AK124" s="21">
        <f>IF(COUNTA(T124:AH124)=0,"",SUMPRODUCT(T124:AH124,KPI_Weights!$B$4:$B$18)/5)</f>
        <v/>
      </c>
      <c r="AL124" s="15">
        <f>IF(COUNTA(T124:AH124)=0,"",IF(SUMPRODUCT(--(T124:AH124&lt;=1),--(KPI_Weights!$C$4:$C$18="YES"))&gt;0,"YES","NO"))</f>
        <v/>
      </c>
      <c r="AM124" s="15">
        <f>IF(AJ124="","",IF(AND(AL124="NO",AJ124&gt;=0.75),"YES","NO"))</f>
        <v/>
      </c>
      <c r="AN124" s="15">
        <f>IF(AJ124="","",IF(AJ124&lt;0.4,"Critical",IF(AJ124&lt;0.6,"Poor",IF(AJ124&lt;0.75,"Needs Improvement",IF(AJ124&lt;0.9,"Good","Excellent")))))</f>
        <v/>
      </c>
      <c r="AO124" s="41" t="n"/>
      <c r="AP124" s="41" t="n"/>
      <c r="AQ124" s="41" t="n"/>
      <c r="AR124" s="41" t="n"/>
      <c r="AS124" s="41" t="n"/>
      <c r="AT124" s="44" t="n"/>
      <c r="AU124" s="41" t="n"/>
      <c r="AV124" s="43" t="n"/>
      <c r="AW124" s="41" t="n"/>
      <c r="AX124" s="44" t="n"/>
      <c r="AY124" s="44" t="n"/>
      <c r="AZ124" s="44" t="n"/>
      <c r="BA124" s="44" t="n"/>
      <c r="BB124" s="44" t="n"/>
      <c r="BC124" s="44" t="n"/>
      <c r="BD124" s="44" t="n"/>
      <c r="BE124" s="44" t="n"/>
      <c r="BF124" s="44" t="n"/>
    </row>
    <row r="125" ht="19.5" customHeight="1" s="45">
      <c r="A125" s="15">
        <f>IF($B125="","",TEXT($B125,"yyyymmdd")&amp;"-"&amp;SUBSTITUTE($F125," ","")&amp;"-"&amp;TEXT(COUNTIF($F$4:F125,$F125),"00"))</f>
        <v/>
      </c>
      <c r="B125" s="39" t="n"/>
      <c r="C125" s="15">
        <f>IF($B125="","",WEEKNUM($B125,2))</f>
        <v/>
      </c>
      <c r="D125" s="15">
        <f>IF($B125="","",TEXT($B125,"yyyy-mm"))</f>
        <v/>
      </c>
      <c r="E125" s="40" t="n"/>
      <c r="F125" s="40" t="n"/>
      <c r="G125" s="15">
        <f>IF(OR($E125="",$F125=""),"",IFERROR(IF($E125=INDEX(Cluster_Master!$A$4:$A$18,MATCH($F125,Cluster_Master!$B$4:$B$18,0)),"OK","CHECK"),"CHECK"))</f>
        <v/>
      </c>
      <c r="H125" s="18">
        <f>IFERROR(INDEX(Cluster_Master!$C$4:$C$18,MATCH($F125,Cluster_Master!$B$4:$B$18,0)),"")</f>
        <v/>
      </c>
      <c r="I125" s="15">
        <f>IFERROR(INDEX(Cluster_Master!$D$4:$D$18,MATCH($F125,Cluster_Master!$B$4:$B$18,0)),"")</f>
        <v/>
      </c>
      <c r="J125" s="15">
        <f>IFERROR(INDEX(Cluster_Master!$E$4:$E$18,MATCH($F125,Cluster_Master!$B$4:$B$18,0)),"")</f>
        <v/>
      </c>
      <c r="K125" s="15">
        <f>IFERROR(INDEX(Cluster_Master!$F$4:$F$18,MATCH($F125,Cluster_Master!$B$4:$B$18,0)),"")</f>
        <v/>
      </c>
      <c r="L125" s="15">
        <f>IFERROR(INDEX(Cluster_Master!$G$4:$G$18,MATCH($F125,Cluster_Master!$B$4:$B$18,0)),"")</f>
        <v/>
      </c>
      <c r="M125" s="15">
        <f>IFERROR(INDEX(Cluster_Master!$H$4:$H$18,MATCH($F125,Cluster_Master!$B$4:$B$18,0)),"")</f>
        <v/>
      </c>
      <c r="N125" s="41" t="n"/>
      <c r="O125" s="41" t="n"/>
      <c r="P125" s="41" t="n"/>
      <c r="Q125" s="41" t="n"/>
      <c r="R125" s="41" t="n"/>
      <c r="S125" s="41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15">
        <f>IF(COUNTA(T125:AH125)=0,"",SUM(T125:AH125))</f>
        <v/>
      </c>
      <c r="AJ125" s="21">
        <f>IF(COUNTA(T125:AH125)=0,"",AI125/(COUNT(KPI_Weights!$A$4:$A$18)*5))</f>
        <v/>
      </c>
      <c r="AK125" s="21">
        <f>IF(COUNTA(T125:AH125)=0,"",SUMPRODUCT(T125:AH125,KPI_Weights!$B$4:$B$18)/5)</f>
        <v/>
      </c>
      <c r="AL125" s="15">
        <f>IF(COUNTA(T125:AH125)=0,"",IF(SUMPRODUCT(--(T125:AH125&lt;=1),--(KPI_Weights!$C$4:$C$18="YES"))&gt;0,"YES","NO"))</f>
        <v/>
      </c>
      <c r="AM125" s="15">
        <f>IF(AJ125="","",IF(AND(AL125="NO",AJ125&gt;=0.75),"YES","NO"))</f>
        <v/>
      </c>
      <c r="AN125" s="15">
        <f>IF(AJ125="","",IF(AJ125&lt;0.4,"Critical",IF(AJ125&lt;0.6,"Poor",IF(AJ125&lt;0.75,"Needs Improvement",IF(AJ125&lt;0.9,"Good","Excellent")))))</f>
        <v/>
      </c>
      <c r="AO125" s="41" t="n"/>
      <c r="AP125" s="41" t="n"/>
      <c r="AQ125" s="41" t="n"/>
      <c r="AR125" s="41" t="n"/>
      <c r="AS125" s="41" t="n"/>
      <c r="AT125" s="44" t="n"/>
      <c r="AU125" s="41" t="n"/>
      <c r="AV125" s="43" t="n"/>
      <c r="AW125" s="41" t="n"/>
      <c r="AX125" s="44" t="n"/>
      <c r="AY125" s="44" t="n"/>
      <c r="AZ125" s="44" t="n"/>
      <c r="BA125" s="44" t="n"/>
      <c r="BB125" s="44" t="n"/>
      <c r="BC125" s="44" t="n"/>
      <c r="BD125" s="44" t="n"/>
      <c r="BE125" s="44" t="n"/>
      <c r="BF125" s="44" t="n"/>
    </row>
    <row r="126" ht="19.5" customHeight="1" s="45">
      <c r="A126" s="15">
        <f>IF($B126="","",TEXT($B126,"yyyymmdd")&amp;"-"&amp;SUBSTITUTE($F126," ","")&amp;"-"&amp;TEXT(COUNTIF($F$4:F126,$F126),"00"))</f>
        <v/>
      </c>
      <c r="B126" s="39" t="n"/>
      <c r="C126" s="15">
        <f>IF($B126="","",WEEKNUM($B126,2))</f>
        <v/>
      </c>
      <c r="D126" s="15">
        <f>IF($B126="","",TEXT($B126,"yyyy-mm"))</f>
        <v/>
      </c>
      <c r="E126" s="40" t="n"/>
      <c r="F126" s="40" t="n"/>
      <c r="G126" s="15">
        <f>IF(OR($E126="",$F126=""),"",IFERROR(IF($E126=INDEX(Cluster_Master!$A$4:$A$18,MATCH($F126,Cluster_Master!$B$4:$B$18,0)),"OK","CHECK"),"CHECK"))</f>
        <v/>
      </c>
      <c r="H126" s="18">
        <f>IFERROR(INDEX(Cluster_Master!$C$4:$C$18,MATCH($F126,Cluster_Master!$B$4:$B$18,0)),"")</f>
        <v/>
      </c>
      <c r="I126" s="15">
        <f>IFERROR(INDEX(Cluster_Master!$D$4:$D$18,MATCH($F126,Cluster_Master!$B$4:$B$18,0)),"")</f>
        <v/>
      </c>
      <c r="J126" s="15">
        <f>IFERROR(INDEX(Cluster_Master!$E$4:$E$18,MATCH($F126,Cluster_Master!$B$4:$B$18,0)),"")</f>
        <v/>
      </c>
      <c r="K126" s="15">
        <f>IFERROR(INDEX(Cluster_Master!$F$4:$F$18,MATCH($F126,Cluster_Master!$B$4:$B$18,0)),"")</f>
        <v/>
      </c>
      <c r="L126" s="15">
        <f>IFERROR(INDEX(Cluster_Master!$G$4:$G$18,MATCH($F126,Cluster_Master!$B$4:$B$18,0)),"")</f>
        <v/>
      </c>
      <c r="M126" s="15">
        <f>IFERROR(INDEX(Cluster_Master!$H$4:$H$18,MATCH($F126,Cluster_Master!$B$4:$B$18,0)),"")</f>
        <v/>
      </c>
      <c r="N126" s="41" t="n"/>
      <c r="O126" s="41" t="n"/>
      <c r="P126" s="41" t="n"/>
      <c r="Q126" s="41" t="n"/>
      <c r="R126" s="41" t="n"/>
      <c r="S126" s="41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15">
        <f>IF(COUNTA(T126:AH126)=0,"",SUM(T126:AH126))</f>
        <v/>
      </c>
      <c r="AJ126" s="21">
        <f>IF(COUNTA(T126:AH126)=0,"",AI126/(COUNT(KPI_Weights!$A$4:$A$18)*5))</f>
        <v/>
      </c>
      <c r="AK126" s="21">
        <f>IF(COUNTA(T126:AH126)=0,"",SUMPRODUCT(T126:AH126,KPI_Weights!$B$4:$B$18)/5)</f>
        <v/>
      </c>
      <c r="AL126" s="15">
        <f>IF(COUNTA(T126:AH126)=0,"",IF(SUMPRODUCT(--(T126:AH126&lt;=1),--(KPI_Weights!$C$4:$C$18="YES"))&gt;0,"YES","NO"))</f>
        <v/>
      </c>
      <c r="AM126" s="15">
        <f>IF(AJ126="","",IF(AND(AL126="NO",AJ126&gt;=0.75),"YES","NO"))</f>
        <v/>
      </c>
      <c r="AN126" s="15">
        <f>IF(AJ126="","",IF(AJ126&lt;0.4,"Critical",IF(AJ126&lt;0.6,"Poor",IF(AJ126&lt;0.75,"Needs Improvement",IF(AJ126&lt;0.9,"Good","Excellent")))))</f>
        <v/>
      </c>
      <c r="AO126" s="41" t="n"/>
      <c r="AP126" s="41" t="n"/>
      <c r="AQ126" s="41" t="n"/>
      <c r="AR126" s="41" t="n"/>
      <c r="AS126" s="41" t="n"/>
      <c r="AT126" s="44" t="n"/>
      <c r="AU126" s="41" t="n"/>
      <c r="AV126" s="43" t="n"/>
      <c r="AW126" s="41" t="n"/>
      <c r="AX126" s="44" t="n"/>
      <c r="AY126" s="44" t="n"/>
      <c r="AZ126" s="44" t="n"/>
      <c r="BA126" s="44" t="n"/>
      <c r="BB126" s="44" t="n"/>
      <c r="BC126" s="44" t="n"/>
      <c r="BD126" s="44" t="n"/>
      <c r="BE126" s="44" t="n"/>
      <c r="BF126" s="44" t="n"/>
    </row>
    <row r="127" ht="19.5" customHeight="1" s="45">
      <c r="A127" s="15">
        <f>IF($B127="","",TEXT($B127,"yyyymmdd")&amp;"-"&amp;SUBSTITUTE($F127," ","")&amp;"-"&amp;TEXT(COUNTIF($F$4:F127,$F127),"00"))</f>
        <v/>
      </c>
      <c r="B127" s="39" t="n"/>
      <c r="C127" s="15">
        <f>IF($B127="","",WEEKNUM($B127,2))</f>
        <v/>
      </c>
      <c r="D127" s="15">
        <f>IF($B127="","",TEXT($B127,"yyyy-mm"))</f>
        <v/>
      </c>
      <c r="E127" s="40" t="n"/>
      <c r="F127" s="40" t="n"/>
      <c r="G127" s="15">
        <f>IF(OR($E127="",$F127=""),"",IFERROR(IF($E127=INDEX(Cluster_Master!$A$4:$A$18,MATCH($F127,Cluster_Master!$B$4:$B$18,0)),"OK","CHECK"),"CHECK"))</f>
        <v/>
      </c>
      <c r="H127" s="18">
        <f>IFERROR(INDEX(Cluster_Master!$C$4:$C$18,MATCH($F127,Cluster_Master!$B$4:$B$18,0)),"")</f>
        <v/>
      </c>
      <c r="I127" s="15">
        <f>IFERROR(INDEX(Cluster_Master!$D$4:$D$18,MATCH($F127,Cluster_Master!$B$4:$B$18,0)),"")</f>
        <v/>
      </c>
      <c r="J127" s="15">
        <f>IFERROR(INDEX(Cluster_Master!$E$4:$E$18,MATCH($F127,Cluster_Master!$B$4:$B$18,0)),"")</f>
        <v/>
      </c>
      <c r="K127" s="15">
        <f>IFERROR(INDEX(Cluster_Master!$F$4:$F$18,MATCH($F127,Cluster_Master!$B$4:$B$18,0)),"")</f>
        <v/>
      </c>
      <c r="L127" s="15">
        <f>IFERROR(INDEX(Cluster_Master!$G$4:$G$18,MATCH($F127,Cluster_Master!$B$4:$B$18,0)),"")</f>
        <v/>
      </c>
      <c r="M127" s="15">
        <f>IFERROR(INDEX(Cluster_Master!$H$4:$H$18,MATCH($F127,Cluster_Master!$B$4:$B$18,0)),"")</f>
        <v/>
      </c>
      <c r="N127" s="41" t="n"/>
      <c r="O127" s="41" t="n"/>
      <c r="P127" s="41" t="n"/>
      <c r="Q127" s="41" t="n"/>
      <c r="R127" s="41" t="n"/>
      <c r="S127" s="41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15">
        <f>IF(COUNTA(T127:AH127)=0,"",SUM(T127:AH127))</f>
        <v/>
      </c>
      <c r="AJ127" s="21">
        <f>IF(COUNTA(T127:AH127)=0,"",AI127/(COUNT(KPI_Weights!$A$4:$A$18)*5))</f>
        <v/>
      </c>
      <c r="AK127" s="21">
        <f>IF(COUNTA(T127:AH127)=0,"",SUMPRODUCT(T127:AH127,KPI_Weights!$B$4:$B$18)/5)</f>
        <v/>
      </c>
      <c r="AL127" s="15">
        <f>IF(COUNTA(T127:AH127)=0,"",IF(SUMPRODUCT(--(T127:AH127&lt;=1),--(KPI_Weights!$C$4:$C$18="YES"))&gt;0,"YES","NO"))</f>
        <v/>
      </c>
      <c r="AM127" s="15">
        <f>IF(AJ127="","",IF(AND(AL127="NO",AJ127&gt;=0.75),"YES","NO"))</f>
        <v/>
      </c>
      <c r="AN127" s="15">
        <f>IF(AJ127="","",IF(AJ127&lt;0.4,"Critical",IF(AJ127&lt;0.6,"Poor",IF(AJ127&lt;0.75,"Needs Improvement",IF(AJ127&lt;0.9,"Good","Excellent")))))</f>
        <v/>
      </c>
      <c r="AO127" s="41" t="n"/>
      <c r="AP127" s="41" t="n"/>
      <c r="AQ127" s="41" t="n"/>
      <c r="AR127" s="41" t="n"/>
      <c r="AS127" s="41" t="n"/>
      <c r="AT127" s="44" t="n"/>
      <c r="AU127" s="41" t="n"/>
      <c r="AV127" s="43" t="n"/>
      <c r="AW127" s="41" t="n"/>
      <c r="AX127" s="44" t="n"/>
      <c r="AY127" s="44" t="n"/>
      <c r="AZ127" s="44" t="n"/>
      <c r="BA127" s="44" t="n"/>
      <c r="BB127" s="44" t="n"/>
      <c r="BC127" s="44" t="n"/>
      <c r="BD127" s="44" t="n"/>
      <c r="BE127" s="44" t="n"/>
      <c r="BF127" s="44" t="n"/>
    </row>
    <row r="128" ht="19.5" customHeight="1" s="45">
      <c r="A128" s="15">
        <f>IF($B128="","",TEXT($B128,"yyyymmdd")&amp;"-"&amp;SUBSTITUTE($F128," ","")&amp;"-"&amp;TEXT(COUNTIF($F$4:F128,$F128),"00"))</f>
        <v/>
      </c>
      <c r="B128" s="39" t="n"/>
      <c r="C128" s="15">
        <f>IF($B128="","",WEEKNUM($B128,2))</f>
        <v/>
      </c>
      <c r="D128" s="15">
        <f>IF($B128="","",TEXT($B128,"yyyy-mm"))</f>
        <v/>
      </c>
      <c r="E128" s="40" t="n"/>
      <c r="F128" s="40" t="n"/>
      <c r="G128" s="15">
        <f>IF(OR($E128="",$F128=""),"",IFERROR(IF($E128=INDEX(Cluster_Master!$A$4:$A$18,MATCH($F128,Cluster_Master!$B$4:$B$18,0)),"OK","CHECK"),"CHECK"))</f>
        <v/>
      </c>
      <c r="H128" s="18">
        <f>IFERROR(INDEX(Cluster_Master!$C$4:$C$18,MATCH($F128,Cluster_Master!$B$4:$B$18,0)),"")</f>
        <v/>
      </c>
      <c r="I128" s="15">
        <f>IFERROR(INDEX(Cluster_Master!$D$4:$D$18,MATCH($F128,Cluster_Master!$B$4:$B$18,0)),"")</f>
        <v/>
      </c>
      <c r="J128" s="15">
        <f>IFERROR(INDEX(Cluster_Master!$E$4:$E$18,MATCH($F128,Cluster_Master!$B$4:$B$18,0)),"")</f>
        <v/>
      </c>
      <c r="K128" s="15">
        <f>IFERROR(INDEX(Cluster_Master!$F$4:$F$18,MATCH($F128,Cluster_Master!$B$4:$B$18,0)),"")</f>
        <v/>
      </c>
      <c r="L128" s="15">
        <f>IFERROR(INDEX(Cluster_Master!$G$4:$G$18,MATCH($F128,Cluster_Master!$B$4:$B$18,0)),"")</f>
        <v/>
      </c>
      <c r="M128" s="15">
        <f>IFERROR(INDEX(Cluster_Master!$H$4:$H$18,MATCH($F128,Cluster_Master!$B$4:$B$18,0)),"")</f>
        <v/>
      </c>
      <c r="N128" s="41" t="n"/>
      <c r="O128" s="41" t="n"/>
      <c r="P128" s="41" t="n"/>
      <c r="Q128" s="41" t="n"/>
      <c r="R128" s="41" t="n"/>
      <c r="S128" s="41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15">
        <f>IF(COUNTA(T128:AH128)=0,"",SUM(T128:AH128))</f>
        <v/>
      </c>
      <c r="AJ128" s="21">
        <f>IF(COUNTA(T128:AH128)=0,"",AI128/(COUNT(KPI_Weights!$A$4:$A$18)*5))</f>
        <v/>
      </c>
      <c r="AK128" s="21">
        <f>IF(COUNTA(T128:AH128)=0,"",SUMPRODUCT(T128:AH128,KPI_Weights!$B$4:$B$18)/5)</f>
        <v/>
      </c>
      <c r="AL128" s="15">
        <f>IF(COUNTA(T128:AH128)=0,"",IF(SUMPRODUCT(--(T128:AH128&lt;=1),--(KPI_Weights!$C$4:$C$18="YES"))&gt;0,"YES","NO"))</f>
        <v/>
      </c>
      <c r="AM128" s="15">
        <f>IF(AJ128="","",IF(AND(AL128="NO",AJ128&gt;=0.75),"YES","NO"))</f>
        <v/>
      </c>
      <c r="AN128" s="15">
        <f>IF(AJ128="","",IF(AJ128&lt;0.4,"Critical",IF(AJ128&lt;0.6,"Poor",IF(AJ128&lt;0.75,"Needs Improvement",IF(AJ128&lt;0.9,"Good","Excellent")))))</f>
        <v/>
      </c>
      <c r="AO128" s="41" t="n"/>
      <c r="AP128" s="41" t="n"/>
      <c r="AQ128" s="41" t="n"/>
      <c r="AR128" s="41" t="n"/>
      <c r="AS128" s="41" t="n"/>
      <c r="AT128" s="44" t="n"/>
      <c r="AU128" s="41" t="n"/>
      <c r="AV128" s="43" t="n"/>
      <c r="AW128" s="41" t="n"/>
      <c r="AX128" s="44" t="n"/>
      <c r="AY128" s="44" t="n"/>
      <c r="AZ128" s="44" t="n"/>
      <c r="BA128" s="44" t="n"/>
      <c r="BB128" s="44" t="n"/>
      <c r="BC128" s="44" t="n"/>
      <c r="BD128" s="44" t="n"/>
      <c r="BE128" s="44" t="n"/>
      <c r="BF128" s="44" t="n"/>
    </row>
    <row r="129" ht="19.5" customHeight="1" s="45">
      <c r="A129" s="15">
        <f>IF($B129="","",TEXT($B129,"yyyymmdd")&amp;"-"&amp;SUBSTITUTE($F129," ","")&amp;"-"&amp;TEXT(COUNTIF($F$4:F129,$F129),"00"))</f>
        <v/>
      </c>
      <c r="B129" s="39" t="n"/>
      <c r="C129" s="15">
        <f>IF($B129="","",WEEKNUM($B129,2))</f>
        <v/>
      </c>
      <c r="D129" s="15">
        <f>IF($B129="","",TEXT($B129,"yyyy-mm"))</f>
        <v/>
      </c>
      <c r="E129" s="40" t="n"/>
      <c r="F129" s="40" t="n"/>
      <c r="G129" s="15">
        <f>IF(OR($E129="",$F129=""),"",IFERROR(IF($E129=INDEX(Cluster_Master!$A$4:$A$18,MATCH($F129,Cluster_Master!$B$4:$B$18,0)),"OK","CHECK"),"CHECK"))</f>
        <v/>
      </c>
      <c r="H129" s="18">
        <f>IFERROR(INDEX(Cluster_Master!$C$4:$C$18,MATCH($F129,Cluster_Master!$B$4:$B$18,0)),"")</f>
        <v/>
      </c>
      <c r="I129" s="15">
        <f>IFERROR(INDEX(Cluster_Master!$D$4:$D$18,MATCH($F129,Cluster_Master!$B$4:$B$18,0)),"")</f>
        <v/>
      </c>
      <c r="J129" s="15">
        <f>IFERROR(INDEX(Cluster_Master!$E$4:$E$18,MATCH($F129,Cluster_Master!$B$4:$B$18,0)),"")</f>
        <v/>
      </c>
      <c r="K129" s="15">
        <f>IFERROR(INDEX(Cluster_Master!$F$4:$F$18,MATCH($F129,Cluster_Master!$B$4:$B$18,0)),"")</f>
        <v/>
      </c>
      <c r="L129" s="15">
        <f>IFERROR(INDEX(Cluster_Master!$G$4:$G$18,MATCH($F129,Cluster_Master!$B$4:$B$18,0)),"")</f>
        <v/>
      </c>
      <c r="M129" s="15">
        <f>IFERROR(INDEX(Cluster_Master!$H$4:$H$18,MATCH($F129,Cluster_Master!$B$4:$B$18,0)),"")</f>
        <v/>
      </c>
      <c r="N129" s="41" t="n"/>
      <c r="O129" s="41" t="n"/>
      <c r="P129" s="41" t="n"/>
      <c r="Q129" s="41" t="n"/>
      <c r="R129" s="41" t="n"/>
      <c r="S129" s="41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15">
        <f>IF(COUNTA(T129:AH129)=0,"",SUM(T129:AH129))</f>
        <v/>
      </c>
      <c r="AJ129" s="21">
        <f>IF(COUNTA(T129:AH129)=0,"",AI129/(COUNT(KPI_Weights!$A$4:$A$18)*5))</f>
        <v/>
      </c>
      <c r="AK129" s="21">
        <f>IF(COUNTA(T129:AH129)=0,"",SUMPRODUCT(T129:AH129,KPI_Weights!$B$4:$B$18)/5)</f>
        <v/>
      </c>
      <c r="AL129" s="15">
        <f>IF(COUNTA(T129:AH129)=0,"",IF(SUMPRODUCT(--(T129:AH129&lt;=1),--(KPI_Weights!$C$4:$C$18="YES"))&gt;0,"YES","NO"))</f>
        <v/>
      </c>
      <c r="AM129" s="15">
        <f>IF(AJ129="","",IF(AND(AL129="NO",AJ129&gt;=0.75),"YES","NO"))</f>
        <v/>
      </c>
      <c r="AN129" s="15">
        <f>IF(AJ129="","",IF(AJ129&lt;0.4,"Critical",IF(AJ129&lt;0.6,"Poor",IF(AJ129&lt;0.75,"Needs Improvement",IF(AJ129&lt;0.9,"Good","Excellent")))))</f>
        <v/>
      </c>
      <c r="AO129" s="41" t="n"/>
      <c r="AP129" s="41" t="n"/>
      <c r="AQ129" s="41" t="n"/>
      <c r="AR129" s="41" t="n"/>
      <c r="AS129" s="41" t="n"/>
      <c r="AT129" s="44" t="n"/>
      <c r="AU129" s="41" t="n"/>
      <c r="AV129" s="43" t="n"/>
      <c r="AW129" s="41" t="n"/>
      <c r="AX129" s="44" t="n"/>
      <c r="AY129" s="44" t="n"/>
      <c r="AZ129" s="44" t="n"/>
      <c r="BA129" s="44" t="n"/>
      <c r="BB129" s="44" t="n"/>
      <c r="BC129" s="44" t="n"/>
      <c r="BD129" s="44" t="n"/>
      <c r="BE129" s="44" t="n"/>
      <c r="BF129" s="44" t="n"/>
    </row>
    <row r="130" ht="19.5" customHeight="1" s="45">
      <c r="A130" s="15">
        <f>IF($B130="","",TEXT($B130,"yyyymmdd")&amp;"-"&amp;SUBSTITUTE($F130," ","")&amp;"-"&amp;TEXT(COUNTIF($F$4:F130,$F130),"00"))</f>
        <v/>
      </c>
      <c r="B130" s="39" t="n"/>
      <c r="C130" s="15">
        <f>IF($B130="","",WEEKNUM($B130,2))</f>
        <v/>
      </c>
      <c r="D130" s="15">
        <f>IF($B130="","",TEXT($B130,"yyyy-mm"))</f>
        <v/>
      </c>
      <c r="E130" s="40" t="n"/>
      <c r="F130" s="40" t="n"/>
      <c r="G130" s="15">
        <f>IF(OR($E130="",$F130=""),"",IFERROR(IF($E130=INDEX(Cluster_Master!$A$4:$A$18,MATCH($F130,Cluster_Master!$B$4:$B$18,0)),"OK","CHECK"),"CHECK"))</f>
        <v/>
      </c>
      <c r="H130" s="18">
        <f>IFERROR(INDEX(Cluster_Master!$C$4:$C$18,MATCH($F130,Cluster_Master!$B$4:$B$18,0)),"")</f>
        <v/>
      </c>
      <c r="I130" s="15">
        <f>IFERROR(INDEX(Cluster_Master!$D$4:$D$18,MATCH($F130,Cluster_Master!$B$4:$B$18,0)),"")</f>
        <v/>
      </c>
      <c r="J130" s="15">
        <f>IFERROR(INDEX(Cluster_Master!$E$4:$E$18,MATCH($F130,Cluster_Master!$B$4:$B$18,0)),"")</f>
        <v/>
      </c>
      <c r="K130" s="15">
        <f>IFERROR(INDEX(Cluster_Master!$F$4:$F$18,MATCH($F130,Cluster_Master!$B$4:$B$18,0)),"")</f>
        <v/>
      </c>
      <c r="L130" s="15">
        <f>IFERROR(INDEX(Cluster_Master!$G$4:$G$18,MATCH($F130,Cluster_Master!$B$4:$B$18,0)),"")</f>
        <v/>
      </c>
      <c r="M130" s="15">
        <f>IFERROR(INDEX(Cluster_Master!$H$4:$H$18,MATCH($F130,Cluster_Master!$B$4:$B$18,0)),"")</f>
        <v/>
      </c>
      <c r="N130" s="41" t="n"/>
      <c r="O130" s="41" t="n"/>
      <c r="P130" s="41" t="n"/>
      <c r="Q130" s="41" t="n"/>
      <c r="R130" s="41" t="n"/>
      <c r="S130" s="41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15">
        <f>IF(COUNTA(T130:AH130)=0,"",SUM(T130:AH130))</f>
        <v/>
      </c>
      <c r="AJ130" s="21">
        <f>IF(COUNTA(T130:AH130)=0,"",AI130/(COUNT(KPI_Weights!$A$4:$A$18)*5))</f>
        <v/>
      </c>
      <c r="AK130" s="21">
        <f>IF(COUNTA(T130:AH130)=0,"",SUMPRODUCT(T130:AH130,KPI_Weights!$B$4:$B$18)/5)</f>
        <v/>
      </c>
      <c r="AL130" s="15">
        <f>IF(COUNTA(T130:AH130)=0,"",IF(SUMPRODUCT(--(T130:AH130&lt;=1),--(KPI_Weights!$C$4:$C$18="YES"))&gt;0,"YES","NO"))</f>
        <v/>
      </c>
      <c r="AM130" s="15">
        <f>IF(AJ130="","",IF(AND(AL130="NO",AJ130&gt;=0.75),"YES","NO"))</f>
        <v/>
      </c>
      <c r="AN130" s="15">
        <f>IF(AJ130="","",IF(AJ130&lt;0.4,"Critical",IF(AJ130&lt;0.6,"Poor",IF(AJ130&lt;0.75,"Needs Improvement",IF(AJ130&lt;0.9,"Good","Excellent")))))</f>
        <v/>
      </c>
      <c r="AO130" s="41" t="n"/>
      <c r="AP130" s="41" t="n"/>
      <c r="AQ130" s="41" t="n"/>
      <c r="AR130" s="41" t="n"/>
      <c r="AS130" s="41" t="n"/>
      <c r="AT130" s="44" t="n"/>
      <c r="AU130" s="41" t="n"/>
      <c r="AV130" s="43" t="n"/>
      <c r="AW130" s="41" t="n"/>
      <c r="AX130" s="44" t="n"/>
      <c r="AY130" s="44" t="n"/>
      <c r="AZ130" s="44" t="n"/>
      <c r="BA130" s="44" t="n"/>
      <c r="BB130" s="44" t="n"/>
      <c r="BC130" s="44" t="n"/>
      <c r="BD130" s="44" t="n"/>
      <c r="BE130" s="44" t="n"/>
      <c r="BF130" s="44" t="n"/>
    </row>
    <row r="131" ht="19.5" customHeight="1" s="45">
      <c r="A131" s="15">
        <f>IF($B131="","",TEXT($B131,"yyyymmdd")&amp;"-"&amp;SUBSTITUTE($F131," ","")&amp;"-"&amp;TEXT(COUNTIF($F$4:F131,$F131),"00"))</f>
        <v/>
      </c>
      <c r="B131" s="39" t="n"/>
      <c r="C131" s="15">
        <f>IF($B131="","",WEEKNUM($B131,2))</f>
        <v/>
      </c>
      <c r="D131" s="15">
        <f>IF($B131="","",TEXT($B131,"yyyy-mm"))</f>
        <v/>
      </c>
      <c r="E131" s="40" t="n"/>
      <c r="F131" s="40" t="n"/>
      <c r="G131" s="15">
        <f>IF(OR($E131="",$F131=""),"",IFERROR(IF($E131=INDEX(Cluster_Master!$A$4:$A$18,MATCH($F131,Cluster_Master!$B$4:$B$18,0)),"OK","CHECK"),"CHECK"))</f>
        <v/>
      </c>
      <c r="H131" s="18">
        <f>IFERROR(INDEX(Cluster_Master!$C$4:$C$18,MATCH($F131,Cluster_Master!$B$4:$B$18,0)),"")</f>
        <v/>
      </c>
      <c r="I131" s="15">
        <f>IFERROR(INDEX(Cluster_Master!$D$4:$D$18,MATCH($F131,Cluster_Master!$B$4:$B$18,0)),"")</f>
        <v/>
      </c>
      <c r="J131" s="15">
        <f>IFERROR(INDEX(Cluster_Master!$E$4:$E$18,MATCH($F131,Cluster_Master!$B$4:$B$18,0)),"")</f>
        <v/>
      </c>
      <c r="K131" s="15">
        <f>IFERROR(INDEX(Cluster_Master!$F$4:$F$18,MATCH($F131,Cluster_Master!$B$4:$B$18,0)),"")</f>
        <v/>
      </c>
      <c r="L131" s="15">
        <f>IFERROR(INDEX(Cluster_Master!$G$4:$G$18,MATCH($F131,Cluster_Master!$B$4:$B$18,0)),"")</f>
        <v/>
      </c>
      <c r="M131" s="15">
        <f>IFERROR(INDEX(Cluster_Master!$H$4:$H$18,MATCH($F131,Cluster_Master!$B$4:$B$18,0)),"")</f>
        <v/>
      </c>
      <c r="N131" s="41" t="n"/>
      <c r="O131" s="41" t="n"/>
      <c r="P131" s="41" t="n"/>
      <c r="Q131" s="41" t="n"/>
      <c r="R131" s="41" t="n"/>
      <c r="S131" s="41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15">
        <f>IF(COUNTA(T131:AH131)=0,"",SUM(T131:AH131))</f>
        <v/>
      </c>
      <c r="AJ131" s="21">
        <f>IF(COUNTA(T131:AH131)=0,"",AI131/(COUNT(KPI_Weights!$A$4:$A$18)*5))</f>
        <v/>
      </c>
      <c r="AK131" s="21">
        <f>IF(COUNTA(T131:AH131)=0,"",SUMPRODUCT(T131:AH131,KPI_Weights!$B$4:$B$18)/5)</f>
        <v/>
      </c>
      <c r="AL131" s="15">
        <f>IF(COUNTA(T131:AH131)=0,"",IF(SUMPRODUCT(--(T131:AH131&lt;=1),--(KPI_Weights!$C$4:$C$18="YES"))&gt;0,"YES","NO"))</f>
        <v/>
      </c>
      <c r="AM131" s="15">
        <f>IF(AJ131="","",IF(AND(AL131="NO",AJ131&gt;=0.75),"YES","NO"))</f>
        <v/>
      </c>
      <c r="AN131" s="15">
        <f>IF(AJ131="","",IF(AJ131&lt;0.4,"Critical",IF(AJ131&lt;0.6,"Poor",IF(AJ131&lt;0.75,"Needs Improvement",IF(AJ131&lt;0.9,"Good","Excellent")))))</f>
        <v/>
      </c>
      <c r="AO131" s="41" t="n"/>
      <c r="AP131" s="41" t="n"/>
      <c r="AQ131" s="41" t="n"/>
      <c r="AR131" s="41" t="n"/>
      <c r="AS131" s="41" t="n"/>
      <c r="AT131" s="44" t="n"/>
      <c r="AU131" s="41" t="n"/>
      <c r="AV131" s="43" t="n"/>
      <c r="AW131" s="41" t="n"/>
      <c r="AX131" s="44" t="n"/>
      <c r="AY131" s="44" t="n"/>
      <c r="AZ131" s="44" t="n"/>
      <c r="BA131" s="44" t="n"/>
      <c r="BB131" s="44" t="n"/>
      <c r="BC131" s="44" t="n"/>
      <c r="BD131" s="44" t="n"/>
      <c r="BE131" s="44" t="n"/>
      <c r="BF131" s="44" t="n"/>
    </row>
    <row r="132" ht="19.5" customHeight="1" s="45">
      <c r="A132" s="15">
        <f>IF($B132="","",TEXT($B132,"yyyymmdd")&amp;"-"&amp;SUBSTITUTE($F132," ","")&amp;"-"&amp;TEXT(COUNTIF($F$4:F132,$F132),"00"))</f>
        <v/>
      </c>
      <c r="B132" s="39" t="n"/>
      <c r="C132" s="15">
        <f>IF($B132="","",WEEKNUM($B132,2))</f>
        <v/>
      </c>
      <c r="D132" s="15">
        <f>IF($B132="","",TEXT($B132,"yyyy-mm"))</f>
        <v/>
      </c>
      <c r="E132" s="40" t="n"/>
      <c r="F132" s="40" t="n"/>
      <c r="G132" s="15">
        <f>IF(OR($E132="",$F132=""),"",IFERROR(IF($E132=INDEX(Cluster_Master!$A$4:$A$18,MATCH($F132,Cluster_Master!$B$4:$B$18,0)),"OK","CHECK"),"CHECK"))</f>
        <v/>
      </c>
      <c r="H132" s="18">
        <f>IFERROR(INDEX(Cluster_Master!$C$4:$C$18,MATCH($F132,Cluster_Master!$B$4:$B$18,0)),"")</f>
        <v/>
      </c>
      <c r="I132" s="15">
        <f>IFERROR(INDEX(Cluster_Master!$D$4:$D$18,MATCH($F132,Cluster_Master!$B$4:$B$18,0)),"")</f>
        <v/>
      </c>
      <c r="J132" s="15">
        <f>IFERROR(INDEX(Cluster_Master!$E$4:$E$18,MATCH($F132,Cluster_Master!$B$4:$B$18,0)),"")</f>
        <v/>
      </c>
      <c r="K132" s="15">
        <f>IFERROR(INDEX(Cluster_Master!$F$4:$F$18,MATCH($F132,Cluster_Master!$B$4:$B$18,0)),"")</f>
        <v/>
      </c>
      <c r="L132" s="15">
        <f>IFERROR(INDEX(Cluster_Master!$G$4:$G$18,MATCH($F132,Cluster_Master!$B$4:$B$18,0)),"")</f>
        <v/>
      </c>
      <c r="M132" s="15">
        <f>IFERROR(INDEX(Cluster_Master!$H$4:$H$18,MATCH($F132,Cluster_Master!$B$4:$B$18,0)),"")</f>
        <v/>
      </c>
      <c r="N132" s="41" t="n"/>
      <c r="O132" s="41" t="n"/>
      <c r="P132" s="41" t="n"/>
      <c r="Q132" s="41" t="n"/>
      <c r="R132" s="41" t="n"/>
      <c r="S132" s="41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15">
        <f>IF(COUNTA(T132:AH132)=0,"",SUM(T132:AH132))</f>
        <v/>
      </c>
      <c r="AJ132" s="21">
        <f>IF(COUNTA(T132:AH132)=0,"",AI132/(COUNT(KPI_Weights!$A$4:$A$18)*5))</f>
        <v/>
      </c>
      <c r="AK132" s="21">
        <f>IF(COUNTA(T132:AH132)=0,"",SUMPRODUCT(T132:AH132,KPI_Weights!$B$4:$B$18)/5)</f>
        <v/>
      </c>
      <c r="AL132" s="15">
        <f>IF(COUNTA(T132:AH132)=0,"",IF(SUMPRODUCT(--(T132:AH132&lt;=1),--(KPI_Weights!$C$4:$C$18="YES"))&gt;0,"YES","NO"))</f>
        <v/>
      </c>
      <c r="AM132" s="15">
        <f>IF(AJ132="","",IF(AND(AL132="NO",AJ132&gt;=0.75),"YES","NO"))</f>
        <v/>
      </c>
      <c r="AN132" s="15">
        <f>IF(AJ132="","",IF(AJ132&lt;0.4,"Critical",IF(AJ132&lt;0.6,"Poor",IF(AJ132&lt;0.75,"Needs Improvement",IF(AJ132&lt;0.9,"Good","Excellent")))))</f>
        <v/>
      </c>
      <c r="AO132" s="41" t="n"/>
      <c r="AP132" s="41" t="n"/>
      <c r="AQ132" s="41" t="n"/>
      <c r="AR132" s="41" t="n"/>
      <c r="AS132" s="41" t="n"/>
      <c r="AT132" s="44" t="n"/>
      <c r="AU132" s="41" t="n"/>
      <c r="AV132" s="43" t="n"/>
      <c r="AW132" s="41" t="n"/>
      <c r="AX132" s="44" t="n"/>
      <c r="AY132" s="44" t="n"/>
      <c r="AZ132" s="44" t="n"/>
      <c r="BA132" s="44" t="n"/>
      <c r="BB132" s="44" t="n"/>
      <c r="BC132" s="44" t="n"/>
      <c r="BD132" s="44" t="n"/>
      <c r="BE132" s="44" t="n"/>
      <c r="BF132" s="44" t="n"/>
    </row>
    <row r="133" ht="19.5" customHeight="1" s="45">
      <c r="A133" s="15">
        <f>IF($B133="","",TEXT($B133,"yyyymmdd")&amp;"-"&amp;SUBSTITUTE($F133," ","")&amp;"-"&amp;TEXT(COUNTIF($F$4:F133,$F133),"00"))</f>
        <v/>
      </c>
      <c r="B133" s="39" t="n"/>
      <c r="C133" s="15">
        <f>IF($B133="","",WEEKNUM($B133,2))</f>
        <v/>
      </c>
      <c r="D133" s="15">
        <f>IF($B133="","",TEXT($B133,"yyyy-mm"))</f>
        <v/>
      </c>
      <c r="E133" s="40" t="n"/>
      <c r="F133" s="40" t="n"/>
      <c r="G133" s="15">
        <f>IF(OR($E133="",$F133=""),"",IFERROR(IF($E133=INDEX(Cluster_Master!$A$4:$A$18,MATCH($F133,Cluster_Master!$B$4:$B$18,0)),"OK","CHECK"),"CHECK"))</f>
        <v/>
      </c>
      <c r="H133" s="18">
        <f>IFERROR(INDEX(Cluster_Master!$C$4:$C$18,MATCH($F133,Cluster_Master!$B$4:$B$18,0)),"")</f>
        <v/>
      </c>
      <c r="I133" s="15">
        <f>IFERROR(INDEX(Cluster_Master!$D$4:$D$18,MATCH($F133,Cluster_Master!$B$4:$B$18,0)),"")</f>
        <v/>
      </c>
      <c r="J133" s="15">
        <f>IFERROR(INDEX(Cluster_Master!$E$4:$E$18,MATCH($F133,Cluster_Master!$B$4:$B$18,0)),"")</f>
        <v/>
      </c>
      <c r="K133" s="15">
        <f>IFERROR(INDEX(Cluster_Master!$F$4:$F$18,MATCH($F133,Cluster_Master!$B$4:$B$18,0)),"")</f>
        <v/>
      </c>
      <c r="L133" s="15">
        <f>IFERROR(INDEX(Cluster_Master!$G$4:$G$18,MATCH($F133,Cluster_Master!$B$4:$B$18,0)),"")</f>
        <v/>
      </c>
      <c r="M133" s="15">
        <f>IFERROR(INDEX(Cluster_Master!$H$4:$H$18,MATCH($F133,Cluster_Master!$B$4:$B$18,0)),"")</f>
        <v/>
      </c>
      <c r="N133" s="41" t="n"/>
      <c r="O133" s="41" t="n"/>
      <c r="P133" s="41" t="n"/>
      <c r="Q133" s="41" t="n"/>
      <c r="R133" s="41" t="n"/>
      <c r="S133" s="41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15">
        <f>IF(COUNTA(T133:AH133)=0,"",SUM(T133:AH133))</f>
        <v/>
      </c>
      <c r="AJ133" s="21">
        <f>IF(COUNTA(T133:AH133)=0,"",AI133/(COUNT(KPI_Weights!$A$4:$A$18)*5))</f>
        <v/>
      </c>
      <c r="AK133" s="21">
        <f>IF(COUNTA(T133:AH133)=0,"",SUMPRODUCT(T133:AH133,KPI_Weights!$B$4:$B$18)/5)</f>
        <v/>
      </c>
      <c r="AL133" s="15">
        <f>IF(COUNTA(T133:AH133)=0,"",IF(SUMPRODUCT(--(T133:AH133&lt;=1),--(KPI_Weights!$C$4:$C$18="YES"))&gt;0,"YES","NO"))</f>
        <v/>
      </c>
      <c r="AM133" s="15">
        <f>IF(AJ133="","",IF(AND(AL133="NO",AJ133&gt;=0.75),"YES","NO"))</f>
        <v/>
      </c>
      <c r="AN133" s="15">
        <f>IF(AJ133="","",IF(AJ133&lt;0.4,"Critical",IF(AJ133&lt;0.6,"Poor",IF(AJ133&lt;0.75,"Needs Improvement",IF(AJ133&lt;0.9,"Good","Excellent")))))</f>
        <v/>
      </c>
      <c r="AO133" s="41" t="n"/>
      <c r="AP133" s="41" t="n"/>
      <c r="AQ133" s="41" t="n"/>
      <c r="AR133" s="41" t="n"/>
      <c r="AS133" s="41" t="n"/>
      <c r="AT133" s="44" t="n"/>
      <c r="AU133" s="41" t="n"/>
      <c r="AV133" s="43" t="n"/>
      <c r="AW133" s="41" t="n"/>
      <c r="AX133" s="44" t="n"/>
      <c r="AY133" s="44" t="n"/>
      <c r="AZ133" s="44" t="n"/>
      <c r="BA133" s="44" t="n"/>
      <c r="BB133" s="44" t="n"/>
      <c r="BC133" s="44" t="n"/>
      <c r="BD133" s="44" t="n"/>
      <c r="BE133" s="44" t="n"/>
      <c r="BF133" s="44" t="n"/>
    </row>
    <row r="134" ht="19.5" customHeight="1" s="45">
      <c r="A134" s="15">
        <f>IF($B134="","",TEXT($B134,"yyyymmdd")&amp;"-"&amp;SUBSTITUTE($F134," ","")&amp;"-"&amp;TEXT(COUNTIF($F$4:F134,$F134),"00"))</f>
        <v/>
      </c>
      <c r="B134" s="39" t="n"/>
      <c r="C134" s="15">
        <f>IF($B134="","",WEEKNUM($B134,2))</f>
        <v/>
      </c>
      <c r="D134" s="15">
        <f>IF($B134="","",TEXT($B134,"yyyy-mm"))</f>
        <v/>
      </c>
      <c r="E134" s="40" t="n"/>
      <c r="F134" s="40" t="n"/>
      <c r="G134" s="15">
        <f>IF(OR($E134="",$F134=""),"",IFERROR(IF($E134=INDEX(Cluster_Master!$A$4:$A$18,MATCH($F134,Cluster_Master!$B$4:$B$18,0)),"OK","CHECK"),"CHECK"))</f>
        <v/>
      </c>
      <c r="H134" s="18">
        <f>IFERROR(INDEX(Cluster_Master!$C$4:$C$18,MATCH($F134,Cluster_Master!$B$4:$B$18,0)),"")</f>
        <v/>
      </c>
      <c r="I134" s="15">
        <f>IFERROR(INDEX(Cluster_Master!$D$4:$D$18,MATCH($F134,Cluster_Master!$B$4:$B$18,0)),"")</f>
        <v/>
      </c>
      <c r="J134" s="15">
        <f>IFERROR(INDEX(Cluster_Master!$E$4:$E$18,MATCH($F134,Cluster_Master!$B$4:$B$18,0)),"")</f>
        <v/>
      </c>
      <c r="K134" s="15">
        <f>IFERROR(INDEX(Cluster_Master!$F$4:$F$18,MATCH($F134,Cluster_Master!$B$4:$B$18,0)),"")</f>
        <v/>
      </c>
      <c r="L134" s="15">
        <f>IFERROR(INDEX(Cluster_Master!$G$4:$G$18,MATCH($F134,Cluster_Master!$B$4:$B$18,0)),"")</f>
        <v/>
      </c>
      <c r="M134" s="15">
        <f>IFERROR(INDEX(Cluster_Master!$H$4:$H$18,MATCH($F134,Cluster_Master!$B$4:$B$18,0)),"")</f>
        <v/>
      </c>
      <c r="N134" s="41" t="n"/>
      <c r="O134" s="41" t="n"/>
      <c r="P134" s="41" t="n"/>
      <c r="Q134" s="41" t="n"/>
      <c r="R134" s="41" t="n"/>
      <c r="S134" s="41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15">
        <f>IF(COUNTA(T134:AH134)=0,"",SUM(T134:AH134))</f>
        <v/>
      </c>
      <c r="AJ134" s="21">
        <f>IF(COUNTA(T134:AH134)=0,"",AI134/(COUNT(KPI_Weights!$A$4:$A$18)*5))</f>
        <v/>
      </c>
      <c r="AK134" s="21">
        <f>IF(COUNTA(T134:AH134)=0,"",SUMPRODUCT(T134:AH134,KPI_Weights!$B$4:$B$18)/5)</f>
        <v/>
      </c>
      <c r="AL134" s="15">
        <f>IF(COUNTA(T134:AH134)=0,"",IF(SUMPRODUCT(--(T134:AH134&lt;=1),--(KPI_Weights!$C$4:$C$18="YES"))&gt;0,"YES","NO"))</f>
        <v/>
      </c>
      <c r="AM134" s="15">
        <f>IF(AJ134="","",IF(AND(AL134="NO",AJ134&gt;=0.75),"YES","NO"))</f>
        <v/>
      </c>
      <c r="AN134" s="15">
        <f>IF(AJ134="","",IF(AJ134&lt;0.4,"Critical",IF(AJ134&lt;0.6,"Poor",IF(AJ134&lt;0.75,"Needs Improvement",IF(AJ134&lt;0.9,"Good","Excellent")))))</f>
        <v/>
      </c>
      <c r="AO134" s="41" t="n"/>
      <c r="AP134" s="41" t="n"/>
      <c r="AQ134" s="41" t="n"/>
      <c r="AR134" s="41" t="n"/>
      <c r="AS134" s="41" t="n"/>
      <c r="AT134" s="44" t="n"/>
      <c r="AU134" s="41" t="n"/>
      <c r="AV134" s="43" t="n"/>
      <c r="AW134" s="41" t="n"/>
      <c r="AX134" s="44" t="n"/>
      <c r="AY134" s="44" t="n"/>
      <c r="AZ134" s="44" t="n"/>
      <c r="BA134" s="44" t="n"/>
      <c r="BB134" s="44" t="n"/>
      <c r="BC134" s="44" t="n"/>
      <c r="BD134" s="44" t="n"/>
      <c r="BE134" s="44" t="n"/>
      <c r="BF134" s="44" t="n"/>
    </row>
    <row r="135" ht="19.5" customHeight="1" s="45">
      <c r="A135" s="15">
        <f>IF($B135="","",TEXT($B135,"yyyymmdd")&amp;"-"&amp;SUBSTITUTE($F135," ","")&amp;"-"&amp;TEXT(COUNTIF($F$4:F135,$F135),"00"))</f>
        <v/>
      </c>
      <c r="B135" s="39" t="n"/>
      <c r="C135" s="15">
        <f>IF($B135="","",WEEKNUM($B135,2))</f>
        <v/>
      </c>
      <c r="D135" s="15">
        <f>IF($B135="","",TEXT($B135,"yyyy-mm"))</f>
        <v/>
      </c>
      <c r="E135" s="40" t="n"/>
      <c r="F135" s="40" t="n"/>
      <c r="G135" s="15">
        <f>IF(OR($E135="",$F135=""),"",IFERROR(IF($E135=INDEX(Cluster_Master!$A$4:$A$18,MATCH($F135,Cluster_Master!$B$4:$B$18,0)),"OK","CHECK"),"CHECK"))</f>
        <v/>
      </c>
      <c r="H135" s="18">
        <f>IFERROR(INDEX(Cluster_Master!$C$4:$C$18,MATCH($F135,Cluster_Master!$B$4:$B$18,0)),"")</f>
        <v/>
      </c>
      <c r="I135" s="15">
        <f>IFERROR(INDEX(Cluster_Master!$D$4:$D$18,MATCH($F135,Cluster_Master!$B$4:$B$18,0)),"")</f>
        <v/>
      </c>
      <c r="J135" s="15">
        <f>IFERROR(INDEX(Cluster_Master!$E$4:$E$18,MATCH($F135,Cluster_Master!$B$4:$B$18,0)),"")</f>
        <v/>
      </c>
      <c r="K135" s="15">
        <f>IFERROR(INDEX(Cluster_Master!$F$4:$F$18,MATCH($F135,Cluster_Master!$B$4:$B$18,0)),"")</f>
        <v/>
      </c>
      <c r="L135" s="15">
        <f>IFERROR(INDEX(Cluster_Master!$G$4:$G$18,MATCH($F135,Cluster_Master!$B$4:$B$18,0)),"")</f>
        <v/>
      </c>
      <c r="M135" s="15">
        <f>IFERROR(INDEX(Cluster_Master!$H$4:$H$18,MATCH($F135,Cluster_Master!$B$4:$B$18,0)),"")</f>
        <v/>
      </c>
      <c r="N135" s="41" t="n"/>
      <c r="O135" s="41" t="n"/>
      <c r="P135" s="41" t="n"/>
      <c r="Q135" s="41" t="n"/>
      <c r="R135" s="41" t="n"/>
      <c r="S135" s="41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15">
        <f>IF(COUNTA(T135:AH135)=0,"",SUM(T135:AH135))</f>
        <v/>
      </c>
      <c r="AJ135" s="21">
        <f>IF(COUNTA(T135:AH135)=0,"",AI135/(COUNT(KPI_Weights!$A$4:$A$18)*5))</f>
        <v/>
      </c>
      <c r="AK135" s="21">
        <f>IF(COUNTA(T135:AH135)=0,"",SUMPRODUCT(T135:AH135,KPI_Weights!$B$4:$B$18)/5)</f>
        <v/>
      </c>
      <c r="AL135" s="15">
        <f>IF(COUNTA(T135:AH135)=0,"",IF(SUMPRODUCT(--(T135:AH135&lt;=1),--(KPI_Weights!$C$4:$C$18="YES"))&gt;0,"YES","NO"))</f>
        <v/>
      </c>
      <c r="AM135" s="15">
        <f>IF(AJ135="","",IF(AND(AL135="NO",AJ135&gt;=0.75),"YES","NO"))</f>
        <v/>
      </c>
      <c r="AN135" s="15">
        <f>IF(AJ135="","",IF(AJ135&lt;0.4,"Critical",IF(AJ135&lt;0.6,"Poor",IF(AJ135&lt;0.75,"Needs Improvement",IF(AJ135&lt;0.9,"Good","Excellent")))))</f>
        <v/>
      </c>
      <c r="AO135" s="41" t="n"/>
      <c r="AP135" s="41" t="n"/>
      <c r="AQ135" s="41" t="n"/>
      <c r="AR135" s="41" t="n"/>
      <c r="AS135" s="41" t="n"/>
      <c r="AT135" s="44" t="n"/>
      <c r="AU135" s="41" t="n"/>
      <c r="AV135" s="43" t="n"/>
      <c r="AW135" s="41" t="n"/>
      <c r="AX135" s="44" t="n"/>
      <c r="AY135" s="44" t="n"/>
      <c r="AZ135" s="44" t="n"/>
      <c r="BA135" s="44" t="n"/>
      <c r="BB135" s="44" t="n"/>
      <c r="BC135" s="44" t="n"/>
      <c r="BD135" s="44" t="n"/>
      <c r="BE135" s="44" t="n"/>
      <c r="BF135" s="44" t="n"/>
    </row>
    <row r="136" ht="19.5" customHeight="1" s="45">
      <c r="A136" s="15">
        <f>IF($B136="","",TEXT($B136,"yyyymmdd")&amp;"-"&amp;SUBSTITUTE($F136," ","")&amp;"-"&amp;TEXT(COUNTIF($F$4:F136,$F136),"00"))</f>
        <v/>
      </c>
      <c r="B136" s="39" t="n"/>
      <c r="C136" s="15">
        <f>IF($B136="","",WEEKNUM($B136,2))</f>
        <v/>
      </c>
      <c r="D136" s="15">
        <f>IF($B136="","",TEXT($B136,"yyyy-mm"))</f>
        <v/>
      </c>
      <c r="E136" s="40" t="n"/>
      <c r="F136" s="40" t="n"/>
      <c r="G136" s="15">
        <f>IF(OR($E136="",$F136=""),"",IFERROR(IF($E136=INDEX(Cluster_Master!$A$4:$A$18,MATCH($F136,Cluster_Master!$B$4:$B$18,0)),"OK","CHECK"),"CHECK"))</f>
        <v/>
      </c>
      <c r="H136" s="18">
        <f>IFERROR(INDEX(Cluster_Master!$C$4:$C$18,MATCH($F136,Cluster_Master!$B$4:$B$18,0)),"")</f>
        <v/>
      </c>
      <c r="I136" s="15">
        <f>IFERROR(INDEX(Cluster_Master!$D$4:$D$18,MATCH($F136,Cluster_Master!$B$4:$B$18,0)),"")</f>
        <v/>
      </c>
      <c r="J136" s="15">
        <f>IFERROR(INDEX(Cluster_Master!$E$4:$E$18,MATCH($F136,Cluster_Master!$B$4:$B$18,0)),"")</f>
        <v/>
      </c>
      <c r="K136" s="15">
        <f>IFERROR(INDEX(Cluster_Master!$F$4:$F$18,MATCH($F136,Cluster_Master!$B$4:$B$18,0)),"")</f>
        <v/>
      </c>
      <c r="L136" s="15">
        <f>IFERROR(INDEX(Cluster_Master!$G$4:$G$18,MATCH($F136,Cluster_Master!$B$4:$B$18,0)),"")</f>
        <v/>
      </c>
      <c r="M136" s="15">
        <f>IFERROR(INDEX(Cluster_Master!$H$4:$H$18,MATCH($F136,Cluster_Master!$B$4:$B$18,0)),"")</f>
        <v/>
      </c>
      <c r="N136" s="41" t="n"/>
      <c r="O136" s="41" t="n"/>
      <c r="P136" s="41" t="n"/>
      <c r="Q136" s="41" t="n"/>
      <c r="R136" s="41" t="n"/>
      <c r="S136" s="41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15">
        <f>IF(COUNTA(T136:AH136)=0,"",SUM(T136:AH136))</f>
        <v/>
      </c>
      <c r="AJ136" s="21">
        <f>IF(COUNTA(T136:AH136)=0,"",AI136/(COUNT(KPI_Weights!$A$4:$A$18)*5))</f>
        <v/>
      </c>
      <c r="AK136" s="21">
        <f>IF(COUNTA(T136:AH136)=0,"",SUMPRODUCT(T136:AH136,KPI_Weights!$B$4:$B$18)/5)</f>
        <v/>
      </c>
      <c r="AL136" s="15">
        <f>IF(COUNTA(T136:AH136)=0,"",IF(SUMPRODUCT(--(T136:AH136&lt;=1),--(KPI_Weights!$C$4:$C$18="YES"))&gt;0,"YES","NO"))</f>
        <v/>
      </c>
      <c r="AM136" s="15">
        <f>IF(AJ136="","",IF(AND(AL136="NO",AJ136&gt;=0.75),"YES","NO"))</f>
        <v/>
      </c>
      <c r="AN136" s="15">
        <f>IF(AJ136="","",IF(AJ136&lt;0.4,"Critical",IF(AJ136&lt;0.6,"Poor",IF(AJ136&lt;0.75,"Needs Improvement",IF(AJ136&lt;0.9,"Good","Excellent")))))</f>
        <v/>
      </c>
      <c r="AO136" s="41" t="n"/>
      <c r="AP136" s="41" t="n"/>
      <c r="AQ136" s="41" t="n"/>
      <c r="AR136" s="41" t="n"/>
      <c r="AS136" s="41" t="n"/>
      <c r="AT136" s="44" t="n"/>
      <c r="AU136" s="41" t="n"/>
      <c r="AV136" s="43" t="n"/>
      <c r="AW136" s="41" t="n"/>
      <c r="AX136" s="44" t="n"/>
      <c r="AY136" s="44" t="n"/>
      <c r="AZ136" s="44" t="n"/>
      <c r="BA136" s="44" t="n"/>
      <c r="BB136" s="44" t="n"/>
      <c r="BC136" s="44" t="n"/>
      <c r="BD136" s="44" t="n"/>
      <c r="BE136" s="44" t="n"/>
      <c r="BF136" s="44" t="n"/>
    </row>
    <row r="137" ht="19.5" customHeight="1" s="45">
      <c r="A137" s="15">
        <f>IF($B137="","",TEXT($B137,"yyyymmdd")&amp;"-"&amp;SUBSTITUTE($F137," ","")&amp;"-"&amp;TEXT(COUNTIF($F$4:F137,$F137),"00"))</f>
        <v/>
      </c>
      <c r="B137" s="39" t="n"/>
      <c r="C137" s="15">
        <f>IF($B137="","",WEEKNUM($B137,2))</f>
        <v/>
      </c>
      <c r="D137" s="15">
        <f>IF($B137="","",TEXT($B137,"yyyy-mm"))</f>
        <v/>
      </c>
      <c r="E137" s="40" t="n"/>
      <c r="F137" s="40" t="n"/>
      <c r="G137" s="15">
        <f>IF(OR($E137="",$F137=""),"",IFERROR(IF($E137=INDEX(Cluster_Master!$A$4:$A$18,MATCH($F137,Cluster_Master!$B$4:$B$18,0)),"OK","CHECK"),"CHECK"))</f>
        <v/>
      </c>
      <c r="H137" s="18">
        <f>IFERROR(INDEX(Cluster_Master!$C$4:$C$18,MATCH($F137,Cluster_Master!$B$4:$B$18,0)),"")</f>
        <v/>
      </c>
      <c r="I137" s="15">
        <f>IFERROR(INDEX(Cluster_Master!$D$4:$D$18,MATCH($F137,Cluster_Master!$B$4:$B$18,0)),"")</f>
        <v/>
      </c>
      <c r="J137" s="15">
        <f>IFERROR(INDEX(Cluster_Master!$E$4:$E$18,MATCH($F137,Cluster_Master!$B$4:$B$18,0)),"")</f>
        <v/>
      </c>
      <c r="K137" s="15">
        <f>IFERROR(INDEX(Cluster_Master!$F$4:$F$18,MATCH($F137,Cluster_Master!$B$4:$B$18,0)),"")</f>
        <v/>
      </c>
      <c r="L137" s="15">
        <f>IFERROR(INDEX(Cluster_Master!$G$4:$G$18,MATCH($F137,Cluster_Master!$B$4:$B$18,0)),"")</f>
        <v/>
      </c>
      <c r="M137" s="15">
        <f>IFERROR(INDEX(Cluster_Master!$H$4:$H$18,MATCH($F137,Cluster_Master!$B$4:$B$18,0)),"")</f>
        <v/>
      </c>
      <c r="N137" s="41" t="n"/>
      <c r="O137" s="41" t="n"/>
      <c r="P137" s="41" t="n"/>
      <c r="Q137" s="41" t="n"/>
      <c r="R137" s="41" t="n"/>
      <c r="S137" s="41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15">
        <f>IF(COUNTA(T137:AH137)=0,"",SUM(T137:AH137))</f>
        <v/>
      </c>
      <c r="AJ137" s="21">
        <f>IF(COUNTA(T137:AH137)=0,"",AI137/(COUNT(KPI_Weights!$A$4:$A$18)*5))</f>
        <v/>
      </c>
      <c r="AK137" s="21">
        <f>IF(COUNTA(T137:AH137)=0,"",SUMPRODUCT(T137:AH137,KPI_Weights!$B$4:$B$18)/5)</f>
        <v/>
      </c>
      <c r="AL137" s="15">
        <f>IF(COUNTA(T137:AH137)=0,"",IF(SUMPRODUCT(--(T137:AH137&lt;=1),--(KPI_Weights!$C$4:$C$18="YES"))&gt;0,"YES","NO"))</f>
        <v/>
      </c>
      <c r="AM137" s="15">
        <f>IF(AJ137="","",IF(AND(AL137="NO",AJ137&gt;=0.75),"YES","NO"))</f>
        <v/>
      </c>
      <c r="AN137" s="15">
        <f>IF(AJ137="","",IF(AJ137&lt;0.4,"Critical",IF(AJ137&lt;0.6,"Poor",IF(AJ137&lt;0.75,"Needs Improvement",IF(AJ137&lt;0.9,"Good","Excellent")))))</f>
        <v/>
      </c>
      <c r="AO137" s="41" t="n"/>
      <c r="AP137" s="41" t="n"/>
      <c r="AQ137" s="41" t="n"/>
      <c r="AR137" s="41" t="n"/>
      <c r="AS137" s="41" t="n"/>
      <c r="AT137" s="44" t="n"/>
      <c r="AU137" s="41" t="n"/>
      <c r="AV137" s="43" t="n"/>
      <c r="AW137" s="41" t="n"/>
      <c r="AX137" s="44" t="n"/>
      <c r="AY137" s="44" t="n"/>
      <c r="AZ137" s="44" t="n"/>
      <c r="BA137" s="44" t="n"/>
      <c r="BB137" s="44" t="n"/>
      <c r="BC137" s="44" t="n"/>
      <c r="BD137" s="44" t="n"/>
      <c r="BE137" s="44" t="n"/>
      <c r="BF137" s="44" t="n"/>
    </row>
    <row r="138" ht="19.5" customHeight="1" s="45">
      <c r="A138" s="15">
        <f>IF($B138="","",TEXT($B138,"yyyymmdd")&amp;"-"&amp;SUBSTITUTE($F138," ","")&amp;"-"&amp;TEXT(COUNTIF($F$4:F138,$F138),"00"))</f>
        <v/>
      </c>
      <c r="B138" s="39" t="n"/>
      <c r="C138" s="15">
        <f>IF($B138="","",WEEKNUM($B138,2))</f>
        <v/>
      </c>
      <c r="D138" s="15">
        <f>IF($B138="","",TEXT($B138,"yyyy-mm"))</f>
        <v/>
      </c>
      <c r="E138" s="40" t="n"/>
      <c r="F138" s="40" t="n"/>
      <c r="G138" s="15">
        <f>IF(OR($E138="",$F138=""),"",IFERROR(IF($E138=INDEX(Cluster_Master!$A$4:$A$18,MATCH($F138,Cluster_Master!$B$4:$B$18,0)),"OK","CHECK"),"CHECK"))</f>
        <v/>
      </c>
      <c r="H138" s="18">
        <f>IFERROR(INDEX(Cluster_Master!$C$4:$C$18,MATCH($F138,Cluster_Master!$B$4:$B$18,0)),"")</f>
        <v/>
      </c>
      <c r="I138" s="15">
        <f>IFERROR(INDEX(Cluster_Master!$D$4:$D$18,MATCH($F138,Cluster_Master!$B$4:$B$18,0)),"")</f>
        <v/>
      </c>
      <c r="J138" s="15">
        <f>IFERROR(INDEX(Cluster_Master!$E$4:$E$18,MATCH($F138,Cluster_Master!$B$4:$B$18,0)),"")</f>
        <v/>
      </c>
      <c r="K138" s="15">
        <f>IFERROR(INDEX(Cluster_Master!$F$4:$F$18,MATCH($F138,Cluster_Master!$B$4:$B$18,0)),"")</f>
        <v/>
      </c>
      <c r="L138" s="15">
        <f>IFERROR(INDEX(Cluster_Master!$G$4:$G$18,MATCH($F138,Cluster_Master!$B$4:$B$18,0)),"")</f>
        <v/>
      </c>
      <c r="M138" s="15">
        <f>IFERROR(INDEX(Cluster_Master!$H$4:$H$18,MATCH($F138,Cluster_Master!$B$4:$B$18,0)),"")</f>
        <v/>
      </c>
      <c r="N138" s="41" t="n"/>
      <c r="O138" s="41" t="n"/>
      <c r="P138" s="41" t="n"/>
      <c r="Q138" s="41" t="n"/>
      <c r="R138" s="41" t="n"/>
      <c r="S138" s="41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15">
        <f>IF(COUNTA(T138:AH138)=0,"",SUM(T138:AH138))</f>
        <v/>
      </c>
      <c r="AJ138" s="21">
        <f>IF(COUNTA(T138:AH138)=0,"",AI138/(COUNT(KPI_Weights!$A$4:$A$18)*5))</f>
        <v/>
      </c>
      <c r="AK138" s="21">
        <f>IF(COUNTA(T138:AH138)=0,"",SUMPRODUCT(T138:AH138,KPI_Weights!$B$4:$B$18)/5)</f>
        <v/>
      </c>
      <c r="AL138" s="15">
        <f>IF(COUNTA(T138:AH138)=0,"",IF(SUMPRODUCT(--(T138:AH138&lt;=1),--(KPI_Weights!$C$4:$C$18="YES"))&gt;0,"YES","NO"))</f>
        <v/>
      </c>
      <c r="AM138" s="15">
        <f>IF(AJ138="","",IF(AND(AL138="NO",AJ138&gt;=0.75),"YES","NO"))</f>
        <v/>
      </c>
      <c r="AN138" s="15">
        <f>IF(AJ138="","",IF(AJ138&lt;0.4,"Critical",IF(AJ138&lt;0.6,"Poor",IF(AJ138&lt;0.75,"Needs Improvement",IF(AJ138&lt;0.9,"Good","Excellent")))))</f>
        <v/>
      </c>
      <c r="AO138" s="41" t="n"/>
      <c r="AP138" s="41" t="n"/>
      <c r="AQ138" s="41" t="n"/>
      <c r="AR138" s="41" t="n"/>
      <c r="AS138" s="41" t="n"/>
      <c r="AT138" s="44" t="n"/>
      <c r="AU138" s="41" t="n"/>
      <c r="AV138" s="43" t="n"/>
      <c r="AW138" s="41" t="n"/>
      <c r="AX138" s="44" t="n"/>
      <c r="AY138" s="44" t="n"/>
      <c r="AZ138" s="44" t="n"/>
      <c r="BA138" s="44" t="n"/>
      <c r="BB138" s="44" t="n"/>
      <c r="BC138" s="44" t="n"/>
      <c r="BD138" s="44" t="n"/>
      <c r="BE138" s="44" t="n"/>
      <c r="BF138" s="44" t="n"/>
    </row>
    <row r="139" ht="19.5" customHeight="1" s="45">
      <c r="A139" s="15">
        <f>IF($B139="","",TEXT($B139,"yyyymmdd")&amp;"-"&amp;SUBSTITUTE($F139," ","")&amp;"-"&amp;TEXT(COUNTIF($F$4:F139,$F139),"00"))</f>
        <v/>
      </c>
      <c r="B139" s="39" t="n"/>
      <c r="C139" s="15">
        <f>IF($B139="","",WEEKNUM($B139,2))</f>
        <v/>
      </c>
      <c r="D139" s="15">
        <f>IF($B139="","",TEXT($B139,"yyyy-mm"))</f>
        <v/>
      </c>
      <c r="E139" s="40" t="n"/>
      <c r="F139" s="40" t="n"/>
      <c r="G139" s="15">
        <f>IF(OR($E139="",$F139=""),"",IFERROR(IF($E139=INDEX(Cluster_Master!$A$4:$A$18,MATCH($F139,Cluster_Master!$B$4:$B$18,0)),"OK","CHECK"),"CHECK"))</f>
        <v/>
      </c>
      <c r="H139" s="18">
        <f>IFERROR(INDEX(Cluster_Master!$C$4:$C$18,MATCH($F139,Cluster_Master!$B$4:$B$18,0)),"")</f>
        <v/>
      </c>
      <c r="I139" s="15">
        <f>IFERROR(INDEX(Cluster_Master!$D$4:$D$18,MATCH($F139,Cluster_Master!$B$4:$B$18,0)),"")</f>
        <v/>
      </c>
      <c r="J139" s="15">
        <f>IFERROR(INDEX(Cluster_Master!$E$4:$E$18,MATCH($F139,Cluster_Master!$B$4:$B$18,0)),"")</f>
        <v/>
      </c>
      <c r="K139" s="15">
        <f>IFERROR(INDEX(Cluster_Master!$F$4:$F$18,MATCH($F139,Cluster_Master!$B$4:$B$18,0)),"")</f>
        <v/>
      </c>
      <c r="L139" s="15">
        <f>IFERROR(INDEX(Cluster_Master!$G$4:$G$18,MATCH($F139,Cluster_Master!$B$4:$B$18,0)),"")</f>
        <v/>
      </c>
      <c r="M139" s="15">
        <f>IFERROR(INDEX(Cluster_Master!$H$4:$H$18,MATCH($F139,Cluster_Master!$B$4:$B$18,0)),"")</f>
        <v/>
      </c>
      <c r="N139" s="41" t="n"/>
      <c r="O139" s="41" t="n"/>
      <c r="P139" s="41" t="n"/>
      <c r="Q139" s="41" t="n"/>
      <c r="R139" s="41" t="n"/>
      <c r="S139" s="41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15">
        <f>IF(COUNTA(T139:AH139)=0,"",SUM(T139:AH139))</f>
        <v/>
      </c>
      <c r="AJ139" s="21">
        <f>IF(COUNTA(T139:AH139)=0,"",AI139/(COUNT(KPI_Weights!$A$4:$A$18)*5))</f>
        <v/>
      </c>
      <c r="AK139" s="21">
        <f>IF(COUNTA(T139:AH139)=0,"",SUMPRODUCT(T139:AH139,KPI_Weights!$B$4:$B$18)/5)</f>
        <v/>
      </c>
      <c r="AL139" s="15">
        <f>IF(COUNTA(T139:AH139)=0,"",IF(SUMPRODUCT(--(T139:AH139&lt;=1),--(KPI_Weights!$C$4:$C$18="YES"))&gt;0,"YES","NO"))</f>
        <v/>
      </c>
      <c r="AM139" s="15">
        <f>IF(AJ139="","",IF(AND(AL139="NO",AJ139&gt;=0.75),"YES","NO"))</f>
        <v/>
      </c>
      <c r="AN139" s="15">
        <f>IF(AJ139="","",IF(AJ139&lt;0.4,"Critical",IF(AJ139&lt;0.6,"Poor",IF(AJ139&lt;0.75,"Needs Improvement",IF(AJ139&lt;0.9,"Good","Excellent")))))</f>
        <v/>
      </c>
      <c r="AO139" s="41" t="n"/>
      <c r="AP139" s="41" t="n"/>
      <c r="AQ139" s="41" t="n"/>
      <c r="AR139" s="41" t="n"/>
      <c r="AS139" s="41" t="n"/>
      <c r="AT139" s="44" t="n"/>
      <c r="AU139" s="41" t="n"/>
      <c r="AV139" s="43" t="n"/>
      <c r="AW139" s="41" t="n"/>
      <c r="AX139" s="44" t="n"/>
      <c r="AY139" s="44" t="n"/>
      <c r="AZ139" s="44" t="n"/>
      <c r="BA139" s="44" t="n"/>
      <c r="BB139" s="44" t="n"/>
      <c r="BC139" s="44" t="n"/>
      <c r="BD139" s="44" t="n"/>
      <c r="BE139" s="44" t="n"/>
      <c r="BF139" s="44" t="n"/>
    </row>
    <row r="140" ht="19.5" customHeight="1" s="45">
      <c r="A140" s="15">
        <f>IF($B140="","",TEXT($B140,"yyyymmdd")&amp;"-"&amp;SUBSTITUTE($F140," ","")&amp;"-"&amp;TEXT(COUNTIF($F$4:F140,$F140),"00"))</f>
        <v/>
      </c>
      <c r="B140" s="39" t="n"/>
      <c r="C140" s="15">
        <f>IF($B140="","",WEEKNUM($B140,2))</f>
        <v/>
      </c>
      <c r="D140" s="15">
        <f>IF($B140="","",TEXT($B140,"yyyy-mm"))</f>
        <v/>
      </c>
      <c r="E140" s="40" t="n"/>
      <c r="F140" s="40" t="n"/>
      <c r="G140" s="15">
        <f>IF(OR($E140="",$F140=""),"",IFERROR(IF($E140=INDEX(Cluster_Master!$A$4:$A$18,MATCH($F140,Cluster_Master!$B$4:$B$18,0)),"OK","CHECK"),"CHECK"))</f>
        <v/>
      </c>
      <c r="H140" s="18">
        <f>IFERROR(INDEX(Cluster_Master!$C$4:$C$18,MATCH($F140,Cluster_Master!$B$4:$B$18,0)),"")</f>
        <v/>
      </c>
      <c r="I140" s="15">
        <f>IFERROR(INDEX(Cluster_Master!$D$4:$D$18,MATCH($F140,Cluster_Master!$B$4:$B$18,0)),"")</f>
        <v/>
      </c>
      <c r="J140" s="15">
        <f>IFERROR(INDEX(Cluster_Master!$E$4:$E$18,MATCH($F140,Cluster_Master!$B$4:$B$18,0)),"")</f>
        <v/>
      </c>
      <c r="K140" s="15">
        <f>IFERROR(INDEX(Cluster_Master!$F$4:$F$18,MATCH($F140,Cluster_Master!$B$4:$B$18,0)),"")</f>
        <v/>
      </c>
      <c r="L140" s="15">
        <f>IFERROR(INDEX(Cluster_Master!$G$4:$G$18,MATCH($F140,Cluster_Master!$B$4:$B$18,0)),"")</f>
        <v/>
      </c>
      <c r="M140" s="15">
        <f>IFERROR(INDEX(Cluster_Master!$H$4:$H$18,MATCH($F140,Cluster_Master!$B$4:$B$18,0)),"")</f>
        <v/>
      </c>
      <c r="N140" s="41" t="n"/>
      <c r="O140" s="41" t="n"/>
      <c r="P140" s="41" t="n"/>
      <c r="Q140" s="41" t="n"/>
      <c r="R140" s="41" t="n"/>
      <c r="S140" s="41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15">
        <f>IF(COUNTA(T140:AH140)=0,"",SUM(T140:AH140))</f>
        <v/>
      </c>
      <c r="AJ140" s="21">
        <f>IF(COUNTA(T140:AH140)=0,"",AI140/(COUNT(KPI_Weights!$A$4:$A$18)*5))</f>
        <v/>
      </c>
      <c r="AK140" s="21">
        <f>IF(COUNTA(T140:AH140)=0,"",SUMPRODUCT(T140:AH140,KPI_Weights!$B$4:$B$18)/5)</f>
        <v/>
      </c>
      <c r="AL140" s="15">
        <f>IF(COUNTA(T140:AH140)=0,"",IF(SUMPRODUCT(--(T140:AH140&lt;=1),--(KPI_Weights!$C$4:$C$18="YES"))&gt;0,"YES","NO"))</f>
        <v/>
      </c>
      <c r="AM140" s="15">
        <f>IF(AJ140="","",IF(AND(AL140="NO",AJ140&gt;=0.75),"YES","NO"))</f>
        <v/>
      </c>
      <c r="AN140" s="15">
        <f>IF(AJ140="","",IF(AJ140&lt;0.4,"Critical",IF(AJ140&lt;0.6,"Poor",IF(AJ140&lt;0.75,"Needs Improvement",IF(AJ140&lt;0.9,"Good","Excellent")))))</f>
        <v/>
      </c>
      <c r="AO140" s="41" t="n"/>
      <c r="AP140" s="41" t="n"/>
      <c r="AQ140" s="41" t="n"/>
      <c r="AR140" s="41" t="n"/>
      <c r="AS140" s="41" t="n"/>
      <c r="AT140" s="44" t="n"/>
      <c r="AU140" s="41" t="n"/>
      <c r="AV140" s="43" t="n"/>
      <c r="AW140" s="41" t="n"/>
      <c r="AX140" s="44" t="n"/>
      <c r="AY140" s="44" t="n"/>
      <c r="AZ140" s="44" t="n"/>
      <c r="BA140" s="44" t="n"/>
      <c r="BB140" s="44" t="n"/>
      <c r="BC140" s="44" t="n"/>
      <c r="BD140" s="44" t="n"/>
      <c r="BE140" s="44" t="n"/>
      <c r="BF140" s="44" t="n"/>
    </row>
    <row r="141" ht="19.5" customHeight="1" s="45">
      <c r="A141" s="15">
        <f>IF($B141="","",TEXT($B141,"yyyymmdd")&amp;"-"&amp;SUBSTITUTE($F141," ","")&amp;"-"&amp;TEXT(COUNTIF($F$4:F141,$F141),"00"))</f>
        <v/>
      </c>
      <c r="B141" s="39" t="n"/>
      <c r="C141" s="15">
        <f>IF($B141="","",WEEKNUM($B141,2))</f>
        <v/>
      </c>
      <c r="D141" s="15">
        <f>IF($B141="","",TEXT($B141,"yyyy-mm"))</f>
        <v/>
      </c>
      <c r="E141" s="40" t="n"/>
      <c r="F141" s="40" t="n"/>
      <c r="G141" s="15">
        <f>IF(OR($E141="",$F141=""),"",IFERROR(IF($E141=INDEX(Cluster_Master!$A$4:$A$18,MATCH($F141,Cluster_Master!$B$4:$B$18,0)),"OK","CHECK"),"CHECK"))</f>
        <v/>
      </c>
      <c r="H141" s="18">
        <f>IFERROR(INDEX(Cluster_Master!$C$4:$C$18,MATCH($F141,Cluster_Master!$B$4:$B$18,0)),"")</f>
        <v/>
      </c>
      <c r="I141" s="15">
        <f>IFERROR(INDEX(Cluster_Master!$D$4:$D$18,MATCH($F141,Cluster_Master!$B$4:$B$18,0)),"")</f>
        <v/>
      </c>
      <c r="J141" s="15">
        <f>IFERROR(INDEX(Cluster_Master!$E$4:$E$18,MATCH($F141,Cluster_Master!$B$4:$B$18,0)),"")</f>
        <v/>
      </c>
      <c r="K141" s="15">
        <f>IFERROR(INDEX(Cluster_Master!$F$4:$F$18,MATCH($F141,Cluster_Master!$B$4:$B$18,0)),"")</f>
        <v/>
      </c>
      <c r="L141" s="15">
        <f>IFERROR(INDEX(Cluster_Master!$G$4:$G$18,MATCH($F141,Cluster_Master!$B$4:$B$18,0)),"")</f>
        <v/>
      </c>
      <c r="M141" s="15">
        <f>IFERROR(INDEX(Cluster_Master!$H$4:$H$18,MATCH($F141,Cluster_Master!$B$4:$B$18,0)),"")</f>
        <v/>
      </c>
      <c r="N141" s="41" t="n"/>
      <c r="O141" s="41" t="n"/>
      <c r="P141" s="41" t="n"/>
      <c r="Q141" s="41" t="n"/>
      <c r="R141" s="41" t="n"/>
      <c r="S141" s="41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15">
        <f>IF(COUNTA(T141:AH141)=0,"",SUM(T141:AH141))</f>
        <v/>
      </c>
      <c r="AJ141" s="21">
        <f>IF(COUNTA(T141:AH141)=0,"",AI141/(COUNT(KPI_Weights!$A$4:$A$18)*5))</f>
        <v/>
      </c>
      <c r="AK141" s="21">
        <f>IF(COUNTA(T141:AH141)=0,"",SUMPRODUCT(T141:AH141,KPI_Weights!$B$4:$B$18)/5)</f>
        <v/>
      </c>
      <c r="AL141" s="15">
        <f>IF(COUNTA(T141:AH141)=0,"",IF(SUMPRODUCT(--(T141:AH141&lt;=1),--(KPI_Weights!$C$4:$C$18="YES"))&gt;0,"YES","NO"))</f>
        <v/>
      </c>
      <c r="AM141" s="15">
        <f>IF(AJ141="","",IF(AND(AL141="NO",AJ141&gt;=0.75),"YES","NO"))</f>
        <v/>
      </c>
      <c r="AN141" s="15">
        <f>IF(AJ141="","",IF(AJ141&lt;0.4,"Critical",IF(AJ141&lt;0.6,"Poor",IF(AJ141&lt;0.75,"Needs Improvement",IF(AJ141&lt;0.9,"Good","Excellent")))))</f>
        <v/>
      </c>
      <c r="AO141" s="41" t="n"/>
      <c r="AP141" s="41" t="n"/>
      <c r="AQ141" s="41" t="n"/>
      <c r="AR141" s="41" t="n"/>
      <c r="AS141" s="41" t="n"/>
      <c r="AT141" s="44" t="n"/>
      <c r="AU141" s="41" t="n"/>
      <c r="AV141" s="43" t="n"/>
      <c r="AW141" s="41" t="n"/>
      <c r="AX141" s="44" t="n"/>
      <c r="AY141" s="44" t="n"/>
      <c r="AZ141" s="44" t="n"/>
      <c r="BA141" s="44" t="n"/>
      <c r="BB141" s="44" t="n"/>
      <c r="BC141" s="44" t="n"/>
      <c r="BD141" s="44" t="n"/>
      <c r="BE141" s="44" t="n"/>
      <c r="BF141" s="44" t="n"/>
    </row>
    <row r="142" ht="19.5" customHeight="1" s="45">
      <c r="A142" s="15">
        <f>IF($B142="","",TEXT($B142,"yyyymmdd")&amp;"-"&amp;SUBSTITUTE($F142," ","")&amp;"-"&amp;TEXT(COUNTIF($F$4:F142,$F142),"00"))</f>
        <v/>
      </c>
      <c r="B142" s="39" t="n"/>
      <c r="C142" s="15">
        <f>IF($B142="","",WEEKNUM($B142,2))</f>
        <v/>
      </c>
      <c r="D142" s="15">
        <f>IF($B142="","",TEXT($B142,"yyyy-mm"))</f>
        <v/>
      </c>
      <c r="E142" s="40" t="n"/>
      <c r="F142" s="40" t="n"/>
      <c r="G142" s="15">
        <f>IF(OR($E142="",$F142=""),"",IFERROR(IF($E142=INDEX(Cluster_Master!$A$4:$A$18,MATCH($F142,Cluster_Master!$B$4:$B$18,0)),"OK","CHECK"),"CHECK"))</f>
        <v/>
      </c>
      <c r="H142" s="18">
        <f>IFERROR(INDEX(Cluster_Master!$C$4:$C$18,MATCH($F142,Cluster_Master!$B$4:$B$18,0)),"")</f>
        <v/>
      </c>
      <c r="I142" s="15">
        <f>IFERROR(INDEX(Cluster_Master!$D$4:$D$18,MATCH($F142,Cluster_Master!$B$4:$B$18,0)),"")</f>
        <v/>
      </c>
      <c r="J142" s="15">
        <f>IFERROR(INDEX(Cluster_Master!$E$4:$E$18,MATCH($F142,Cluster_Master!$B$4:$B$18,0)),"")</f>
        <v/>
      </c>
      <c r="K142" s="15">
        <f>IFERROR(INDEX(Cluster_Master!$F$4:$F$18,MATCH($F142,Cluster_Master!$B$4:$B$18,0)),"")</f>
        <v/>
      </c>
      <c r="L142" s="15">
        <f>IFERROR(INDEX(Cluster_Master!$G$4:$G$18,MATCH($F142,Cluster_Master!$B$4:$B$18,0)),"")</f>
        <v/>
      </c>
      <c r="M142" s="15">
        <f>IFERROR(INDEX(Cluster_Master!$H$4:$H$18,MATCH($F142,Cluster_Master!$B$4:$B$18,0)),"")</f>
        <v/>
      </c>
      <c r="N142" s="41" t="n"/>
      <c r="O142" s="41" t="n"/>
      <c r="P142" s="41" t="n"/>
      <c r="Q142" s="41" t="n"/>
      <c r="R142" s="41" t="n"/>
      <c r="S142" s="41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15">
        <f>IF(COUNTA(T142:AH142)=0,"",SUM(T142:AH142))</f>
        <v/>
      </c>
      <c r="AJ142" s="21">
        <f>IF(COUNTA(T142:AH142)=0,"",AI142/(COUNT(KPI_Weights!$A$4:$A$18)*5))</f>
        <v/>
      </c>
      <c r="AK142" s="21">
        <f>IF(COUNTA(T142:AH142)=0,"",SUMPRODUCT(T142:AH142,KPI_Weights!$B$4:$B$18)/5)</f>
        <v/>
      </c>
      <c r="AL142" s="15">
        <f>IF(COUNTA(T142:AH142)=0,"",IF(SUMPRODUCT(--(T142:AH142&lt;=1),--(KPI_Weights!$C$4:$C$18="YES"))&gt;0,"YES","NO"))</f>
        <v/>
      </c>
      <c r="AM142" s="15">
        <f>IF(AJ142="","",IF(AND(AL142="NO",AJ142&gt;=0.75),"YES","NO"))</f>
        <v/>
      </c>
      <c r="AN142" s="15">
        <f>IF(AJ142="","",IF(AJ142&lt;0.4,"Critical",IF(AJ142&lt;0.6,"Poor",IF(AJ142&lt;0.75,"Needs Improvement",IF(AJ142&lt;0.9,"Good","Excellent")))))</f>
        <v/>
      </c>
      <c r="AO142" s="41" t="n"/>
      <c r="AP142" s="41" t="n"/>
      <c r="AQ142" s="41" t="n"/>
      <c r="AR142" s="41" t="n"/>
      <c r="AS142" s="41" t="n"/>
      <c r="AT142" s="44" t="n"/>
      <c r="AU142" s="41" t="n"/>
      <c r="AV142" s="43" t="n"/>
      <c r="AW142" s="41" t="n"/>
      <c r="AX142" s="44" t="n"/>
      <c r="AY142" s="44" t="n"/>
      <c r="AZ142" s="44" t="n"/>
      <c r="BA142" s="44" t="n"/>
      <c r="BB142" s="44" t="n"/>
      <c r="BC142" s="44" t="n"/>
      <c r="BD142" s="44" t="n"/>
      <c r="BE142" s="44" t="n"/>
      <c r="BF142" s="44" t="n"/>
    </row>
    <row r="143" ht="19.5" customHeight="1" s="45">
      <c r="A143" s="15">
        <f>IF($B143="","",TEXT($B143,"yyyymmdd")&amp;"-"&amp;SUBSTITUTE($F143," ","")&amp;"-"&amp;TEXT(COUNTIF($F$4:F143,$F143),"00"))</f>
        <v/>
      </c>
      <c r="B143" s="39" t="n"/>
      <c r="C143" s="15">
        <f>IF($B143="","",WEEKNUM($B143,2))</f>
        <v/>
      </c>
      <c r="D143" s="15">
        <f>IF($B143="","",TEXT($B143,"yyyy-mm"))</f>
        <v/>
      </c>
      <c r="E143" s="40" t="n"/>
      <c r="F143" s="40" t="n"/>
      <c r="G143" s="15">
        <f>IF(OR($E143="",$F143=""),"",IFERROR(IF($E143=INDEX(Cluster_Master!$A$4:$A$18,MATCH($F143,Cluster_Master!$B$4:$B$18,0)),"OK","CHECK"),"CHECK"))</f>
        <v/>
      </c>
      <c r="H143" s="18">
        <f>IFERROR(INDEX(Cluster_Master!$C$4:$C$18,MATCH($F143,Cluster_Master!$B$4:$B$18,0)),"")</f>
        <v/>
      </c>
      <c r="I143" s="15">
        <f>IFERROR(INDEX(Cluster_Master!$D$4:$D$18,MATCH($F143,Cluster_Master!$B$4:$B$18,0)),"")</f>
        <v/>
      </c>
      <c r="J143" s="15">
        <f>IFERROR(INDEX(Cluster_Master!$E$4:$E$18,MATCH($F143,Cluster_Master!$B$4:$B$18,0)),"")</f>
        <v/>
      </c>
      <c r="K143" s="15">
        <f>IFERROR(INDEX(Cluster_Master!$F$4:$F$18,MATCH($F143,Cluster_Master!$B$4:$B$18,0)),"")</f>
        <v/>
      </c>
      <c r="L143" s="15">
        <f>IFERROR(INDEX(Cluster_Master!$G$4:$G$18,MATCH($F143,Cluster_Master!$B$4:$B$18,0)),"")</f>
        <v/>
      </c>
      <c r="M143" s="15">
        <f>IFERROR(INDEX(Cluster_Master!$H$4:$H$18,MATCH($F143,Cluster_Master!$B$4:$B$18,0)),"")</f>
        <v/>
      </c>
      <c r="N143" s="41" t="n"/>
      <c r="O143" s="41" t="n"/>
      <c r="P143" s="41" t="n"/>
      <c r="Q143" s="41" t="n"/>
      <c r="R143" s="41" t="n"/>
      <c r="S143" s="41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15">
        <f>IF(COUNTA(T143:AH143)=0,"",SUM(T143:AH143))</f>
        <v/>
      </c>
      <c r="AJ143" s="21">
        <f>IF(COUNTA(T143:AH143)=0,"",AI143/(COUNT(KPI_Weights!$A$4:$A$18)*5))</f>
        <v/>
      </c>
      <c r="AK143" s="21">
        <f>IF(COUNTA(T143:AH143)=0,"",SUMPRODUCT(T143:AH143,KPI_Weights!$B$4:$B$18)/5)</f>
        <v/>
      </c>
      <c r="AL143" s="15">
        <f>IF(COUNTA(T143:AH143)=0,"",IF(SUMPRODUCT(--(T143:AH143&lt;=1),--(KPI_Weights!$C$4:$C$18="YES"))&gt;0,"YES","NO"))</f>
        <v/>
      </c>
      <c r="AM143" s="15">
        <f>IF(AJ143="","",IF(AND(AL143="NO",AJ143&gt;=0.75),"YES","NO"))</f>
        <v/>
      </c>
      <c r="AN143" s="15">
        <f>IF(AJ143="","",IF(AJ143&lt;0.4,"Critical",IF(AJ143&lt;0.6,"Poor",IF(AJ143&lt;0.75,"Needs Improvement",IF(AJ143&lt;0.9,"Good","Excellent")))))</f>
        <v/>
      </c>
      <c r="AO143" s="41" t="n"/>
      <c r="AP143" s="41" t="n"/>
      <c r="AQ143" s="41" t="n"/>
      <c r="AR143" s="41" t="n"/>
      <c r="AS143" s="41" t="n"/>
      <c r="AT143" s="44" t="n"/>
      <c r="AU143" s="41" t="n"/>
      <c r="AV143" s="43" t="n"/>
      <c r="AW143" s="41" t="n"/>
      <c r="AX143" s="44" t="n"/>
      <c r="AY143" s="44" t="n"/>
      <c r="AZ143" s="44" t="n"/>
      <c r="BA143" s="44" t="n"/>
      <c r="BB143" s="44" t="n"/>
      <c r="BC143" s="44" t="n"/>
      <c r="BD143" s="44" t="n"/>
      <c r="BE143" s="44" t="n"/>
      <c r="BF143" s="44" t="n"/>
    </row>
    <row r="144" ht="19.5" customHeight="1" s="45">
      <c r="A144" s="15">
        <f>IF($B144="","",TEXT($B144,"yyyymmdd")&amp;"-"&amp;SUBSTITUTE($F144," ","")&amp;"-"&amp;TEXT(COUNTIF($F$4:F144,$F144),"00"))</f>
        <v/>
      </c>
      <c r="B144" s="39" t="n"/>
      <c r="C144" s="15">
        <f>IF($B144="","",WEEKNUM($B144,2))</f>
        <v/>
      </c>
      <c r="D144" s="15">
        <f>IF($B144="","",TEXT($B144,"yyyy-mm"))</f>
        <v/>
      </c>
      <c r="E144" s="40" t="n"/>
      <c r="F144" s="40" t="n"/>
      <c r="G144" s="15">
        <f>IF(OR($E144="",$F144=""),"",IFERROR(IF($E144=INDEX(Cluster_Master!$A$4:$A$18,MATCH($F144,Cluster_Master!$B$4:$B$18,0)),"OK","CHECK"),"CHECK"))</f>
        <v/>
      </c>
      <c r="H144" s="18">
        <f>IFERROR(INDEX(Cluster_Master!$C$4:$C$18,MATCH($F144,Cluster_Master!$B$4:$B$18,0)),"")</f>
        <v/>
      </c>
      <c r="I144" s="15">
        <f>IFERROR(INDEX(Cluster_Master!$D$4:$D$18,MATCH($F144,Cluster_Master!$B$4:$B$18,0)),"")</f>
        <v/>
      </c>
      <c r="J144" s="15">
        <f>IFERROR(INDEX(Cluster_Master!$E$4:$E$18,MATCH($F144,Cluster_Master!$B$4:$B$18,0)),"")</f>
        <v/>
      </c>
      <c r="K144" s="15">
        <f>IFERROR(INDEX(Cluster_Master!$F$4:$F$18,MATCH($F144,Cluster_Master!$B$4:$B$18,0)),"")</f>
        <v/>
      </c>
      <c r="L144" s="15">
        <f>IFERROR(INDEX(Cluster_Master!$G$4:$G$18,MATCH($F144,Cluster_Master!$B$4:$B$18,0)),"")</f>
        <v/>
      </c>
      <c r="M144" s="15">
        <f>IFERROR(INDEX(Cluster_Master!$H$4:$H$18,MATCH($F144,Cluster_Master!$B$4:$B$18,0)),"")</f>
        <v/>
      </c>
      <c r="N144" s="41" t="n"/>
      <c r="O144" s="41" t="n"/>
      <c r="P144" s="41" t="n"/>
      <c r="Q144" s="41" t="n"/>
      <c r="R144" s="41" t="n"/>
      <c r="S144" s="41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15">
        <f>IF(COUNTA(T144:AH144)=0,"",SUM(T144:AH144))</f>
        <v/>
      </c>
      <c r="AJ144" s="21">
        <f>IF(COUNTA(T144:AH144)=0,"",AI144/(COUNT(KPI_Weights!$A$4:$A$18)*5))</f>
        <v/>
      </c>
      <c r="AK144" s="21">
        <f>IF(COUNTA(T144:AH144)=0,"",SUMPRODUCT(T144:AH144,KPI_Weights!$B$4:$B$18)/5)</f>
        <v/>
      </c>
      <c r="AL144" s="15">
        <f>IF(COUNTA(T144:AH144)=0,"",IF(SUMPRODUCT(--(T144:AH144&lt;=1),--(KPI_Weights!$C$4:$C$18="YES"))&gt;0,"YES","NO"))</f>
        <v/>
      </c>
      <c r="AM144" s="15">
        <f>IF(AJ144="","",IF(AND(AL144="NO",AJ144&gt;=0.75),"YES","NO"))</f>
        <v/>
      </c>
      <c r="AN144" s="15">
        <f>IF(AJ144="","",IF(AJ144&lt;0.4,"Critical",IF(AJ144&lt;0.6,"Poor",IF(AJ144&lt;0.75,"Needs Improvement",IF(AJ144&lt;0.9,"Good","Excellent")))))</f>
        <v/>
      </c>
      <c r="AO144" s="41" t="n"/>
      <c r="AP144" s="41" t="n"/>
      <c r="AQ144" s="41" t="n"/>
      <c r="AR144" s="41" t="n"/>
      <c r="AS144" s="41" t="n"/>
      <c r="AT144" s="44" t="n"/>
      <c r="AU144" s="41" t="n"/>
      <c r="AV144" s="43" t="n"/>
      <c r="AW144" s="41" t="n"/>
      <c r="AX144" s="44" t="n"/>
      <c r="AY144" s="44" t="n"/>
      <c r="AZ144" s="44" t="n"/>
      <c r="BA144" s="44" t="n"/>
      <c r="BB144" s="44" t="n"/>
      <c r="BC144" s="44" t="n"/>
      <c r="BD144" s="44" t="n"/>
      <c r="BE144" s="44" t="n"/>
      <c r="BF144" s="44" t="n"/>
    </row>
    <row r="145" ht="19.5" customHeight="1" s="45">
      <c r="A145" s="15">
        <f>IF($B145="","",TEXT($B145,"yyyymmdd")&amp;"-"&amp;SUBSTITUTE($F145," ","")&amp;"-"&amp;TEXT(COUNTIF($F$4:F145,$F145),"00"))</f>
        <v/>
      </c>
      <c r="B145" s="39" t="n"/>
      <c r="C145" s="15">
        <f>IF($B145="","",WEEKNUM($B145,2))</f>
        <v/>
      </c>
      <c r="D145" s="15">
        <f>IF($B145="","",TEXT($B145,"yyyy-mm"))</f>
        <v/>
      </c>
      <c r="E145" s="40" t="n"/>
      <c r="F145" s="40" t="n"/>
      <c r="G145" s="15">
        <f>IF(OR($E145="",$F145=""),"",IFERROR(IF($E145=INDEX(Cluster_Master!$A$4:$A$18,MATCH($F145,Cluster_Master!$B$4:$B$18,0)),"OK","CHECK"),"CHECK"))</f>
        <v/>
      </c>
      <c r="H145" s="18">
        <f>IFERROR(INDEX(Cluster_Master!$C$4:$C$18,MATCH($F145,Cluster_Master!$B$4:$B$18,0)),"")</f>
        <v/>
      </c>
      <c r="I145" s="15">
        <f>IFERROR(INDEX(Cluster_Master!$D$4:$D$18,MATCH($F145,Cluster_Master!$B$4:$B$18,0)),"")</f>
        <v/>
      </c>
      <c r="J145" s="15">
        <f>IFERROR(INDEX(Cluster_Master!$E$4:$E$18,MATCH($F145,Cluster_Master!$B$4:$B$18,0)),"")</f>
        <v/>
      </c>
      <c r="K145" s="15">
        <f>IFERROR(INDEX(Cluster_Master!$F$4:$F$18,MATCH($F145,Cluster_Master!$B$4:$B$18,0)),"")</f>
        <v/>
      </c>
      <c r="L145" s="15">
        <f>IFERROR(INDEX(Cluster_Master!$G$4:$G$18,MATCH($F145,Cluster_Master!$B$4:$B$18,0)),"")</f>
        <v/>
      </c>
      <c r="M145" s="15">
        <f>IFERROR(INDEX(Cluster_Master!$H$4:$H$18,MATCH($F145,Cluster_Master!$B$4:$B$18,0)),"")</f>
        <v/>
      </c>
      <c r="N145" s="41" t="n"/>
      <c r="O145" s="41" t="n"/>
      <c r="P145" s="41" t="n"/>
      <c r="Q145" s="41" t="n"/>
      <c r="R145" s="41" t="n"/>
      <c r="S145" s="41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15">
        <f>IF(COUNTA(T145:AH145)=0,"",SUM(T145:AH145))</f>
        <v/>
      </c>
      <c r="AJ145" s="21">
        <f>IF(COUNTA(T145:AH145)=0,"",AI145/(COUNT(KPI_Weights!$A$4:$A$18)*5))</f>
        <v/>
      </c>
      <c r="AK145" s="21">
        <f>IF(COUNTA(T145:AH145)=0,"",SUMPRODUCT(T145:AH145,KPI_Weights!$B$4:$B$18)/5)</f>
        <v/>
      </c>
      <c r="AL145" s="15">
        <f>IF(COUNTA(T145:AH145)=0,"",IF(SUMPRODUCT(--(T145:AH145&lt;=1),--(KPI_Weights!$C$4:$C$18="YES"))&gt;0,"YES","NO"))</f>
        <v/>
      </c>
      <c r="AM145" s="15">
        <f>IF(AJ145="","",IF(AND(AL145="NO",AJ145&gt;=0.75),"YES","NO"))</f>
        <v/>
      </c>
      <c r="AN145" s="15">
        <f>IF(AJ145="","",IF(AJ145&lt;0.4,"Critical",IF(AJ145&lt;0.6,"Poor",IF(AJ145&lt;0.75,"Needs Improvement",IF(AJ145&lt;0.9,"Good","Excellent")))))</f>
        <v/>
      </c>
      <c r="AO145" s="41" t="n"/>
      <c r="AP145" s="41" t="n"/>
      <c r="AQ145" s="41" t="n"/>
      <c r="AR145" s="41" t="n"/>
      <c r="AS145" s="41" t="n"/>
      <c r="AT145" s="44" t="n"/>
      <c r="AU145" s="41" t="n"/>
      <c r="AV145" s="43" t="n"/>
      <c r="AW145" s="41" t="n"/>
      <c r="AX145" s="44" t="n"/>
      <c r="AY145" s="44" t="n"/>
      <c r="AZ145" s="44" t="n"/>
      <c r="BA145" s="44" t="n"/>
      <c r="BB145" s="44" t="n"/>
      <c r="BC145" s="44" t="n"/>
      <c r="BD145" s="44" t="n"/>
      <c r="BE145" s="44" t="n"/>
      <c r="BF145" s="44" t="n"/>
    </row>
    <row r="146" ht="19.5" customHeight="1" s="45">
      <c r="A146" s="15">
        <f>IF($B146="","",TEXT($B146,"yyyymmdd")&amp;"-"&amp;SUBSTITUTE($F146," ","")&amp;"-"&amp;TEXT(COUNTIF($F$4:F146,$F146),"00"))</f>
        <v/>
      </c>
      <c r="B146" s="39" t="n"/>
      <c r="C146" s="15">
        <f>IF($B146="","",WEEKNUM($B146,2))</f>
        <v/>
      </c>
      <c r="D146" s="15">
        <f>IF($B146="","",TEXT($B146,"yyyy-mm"))</f>
        <v/>
      </c>
      <c r="E146" s="40" t="n"/>
      <c r="F146" s="40" t="n"/>
      <c r="G146" s="15">
        <f>IF(OR($E146="",$F146=""),"",IFERROR(IF($E146=INDEX(Cluster_Master!$A$4:$A$18,MATCH($F146,Cluster_Master!$B$4:$B$18,0)),"OK","CHECK"),"CHECK"))</f>
        <v/>
      </c>
      <c r="H146" s="18">
        <f>IFERROR(INDEX(Cluster_Master!$C$4:$C$18,MATCH($F146,Cluster_Master!$B$4:$B$18,0)),"")</f>
        <v/>
      </c>
      <c r="I146" s="15">
        <f>IFERROR(INDEX(Cluster_Master!$D$4:$D$18,MATCH($F146,Cluster_Master!$B$4:$B$18,0)),"")</f>
        <v/>
      </c>
      <c r="J146" s="15">
        <f>IFERROR(INDEX(Cluster_Master!$E$4:$E$18,MATCH($F146,Cluster_Master!$B$4:$B$18,0)),"")</f>
        <v/>
      </c>
      <c r="K146" s="15">
        <f>IFERROR(INDEX(Cluster_Master!$F$4:$F$18,MATCH($F146,Cluster_Master!$B$4:$B$18,0)),"")</f>
        <v/>
      </c>
      <c r="L146" s="15">
        <f>IFERROR(INDEX(Cluster_Master!$G$4:$G$18,MATCH($F146,Cluster_Master!$B$4:$B$18,0)),"")</f>
        <v/>
      </c>
      <c r="M146" s="15">
        <f>IFERROR(INDEX(Cluster_Master!$H$4:$H$18,MATCH($F146,Cluster_Master!$B$4:$B$18,0)),"")</f>
        <v/>
      </c>
      <c r="N146" s="41" t="n"/>
      <c r="O146" s="41" t="n"/>
      <c r="P146" s="41" t="n"/>
      <c r="Q146" s="41" t="n"/>
      <c r="R146" s="41" t="n"/>
      <c r="S146" s="41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15">
        <f>IF(COUNTA(T146:AH146)=0,"",SUM(T146:AH146))</f>
        <v/>
      </c>
      <c r="AJ146" s="21">
        <f>IF(COUNTA(T146:AH146)=0,"",AI146/(COUNT(KPI_Weights!$A$4:$A$18)*5))</f>
        <v/>
      </c>
      <c r="AK146" s="21">
        <f>IF(COUNTA(T146:AH146)=0,"",SUMPRODUCT(T146:AH146,KPI_Weights!$B$4:$B$18)/5)</f>
        <v/>
      </c>
      <c r="AL146" s="15">
        <f>IF(COUNTA(T146:AH146)=0,"",IF(SUMPRODUCT(--(T146:AH146&lt;=1),--(KPI_Weights!$C$4:$C$18="YES"))&gt;0,"YES","NO"))</f>
        <v/>
      </c>
      <c r="AM146" s="15">
        <f>IF(AJ146="","",IF(AND(AL146="NO",AJ146&gt;=0.75),"YES","NO"))</f>
        <v/>
      </c>
      <c r="AN146" s="15">
        <f>IF(AJ146="","",IF(AJ146&lt;0.4,"Critical",IF(AJ146&lt;0.6,"Poor",IF(AJ146&lt;0.75,"Needs Improvement",IF(AJ146&lt;0.9,"Good","Excellent")))))</f>
        <v/>
      </c>
      <c r="AO146" s="41" t="n"/>
      <c r="AP146" s="41" t="n"/>
      <c r="AQ146" s="41" t="n"/>
      <c r="AR146" s="41" t="n"/>
      <c r="AS146" s="41" t="n"/>
      <c r="AT146" s="44" t="n"/>
      <c r="AU146" s="41" t="n"/>
      <c r="AV146" s="43" t="n"/>
      <c r="AW146" s="41" t="n"/>
      <c r="AX146" s="44" t="n"/>
      <c r="AY146" s="44" t="n"/>
      <c r="AZ146" s="44" t="n"/>
      <c r="BA146" s="44" t="n"/>
      <c r="BB146" s="44" t="n"/>
      <c r="BC146" s="44" t="n"/>
      <c r="BD146" s="44" t="n"/>
      <c r="BE146" s="44" t="n"/>
      <c r="BF146" s="44" t="n"/>
    </row>
    <row r="147" ht="19.5" customHeight="1" s="45">
      <c r="A147" s="15">
        <f>IF($B147="","",TEXT($B147,"yyyymmdd")&amp;"-"&amp;SUBSTITUTE($F147," ","")&amp;"-"&amp;TEXT(COUNTIF($F$4:F147,$F147),"00"))</f>
        <v/>
      </c>
      <c r="B147" s="39" t="n"/>
      <c r="C147" s="15">
        <f>IF($B147="","",WEEKNUM($B147,2))</f>
        <v/>
      </c>
      <c r="D147" s="15">
        <f>IF($B147="","",TEXT($B147,"yyyy-mm"))</f>
        <v/>
      </c>
      <c r="E147" s="40" t="n"/>
      <c r="F147" s="40" t="n"/>
      <c r="G147" s="15">
        <f>IF(OR($E147="",$F147=""),"",IFERROR(IF($E147=INDEX(Cluster_Master!$A$4:$A$18,MATCH($F147,Cluster_Master!$B$4:$B$18,0)),"OK","CHECK"),"CHECK"))</f>
        <v/>
      </c>
      <c r="H147" s="18">
        <f>IFERROR(INDEX(Cluster_Master!$C$4:$C$18,MATCH($F147,Cluster_Master!$B$4:$B$18,0)),"")</f>
        <v/>
      </c>
      <c r="I147" s="15">
        <f>IFERROR(INDEX(Cluster_Master!$D$4:$D$18,MATCH($F147,Cluster_Master!$B$4:$B$18,0)),"")</f>
        <v/>
      </c>
      <c r="J147" s="15">
        <f>IFERROR(INDEX(Cluster_Master!$E$4:$E$18,MATCH($F147,Cluster_Master!$B$4:$B$18,0)),"")</f>
        <v/>
      </c>
      <c r="K147" s="15">
        <f>IFERROR(INDEX(Cluster_Master!$F$4:$F$18,MATCH($F147,Cluster_Master!$B$4:$B$18,0)),"")</f>
        <v/>
      </c>
      <c r="L147" s="15">
        <f>IFERROR(INDEX(Cluster_Master!$G$4:$G$18,MATCH($F147,Cluster_Master!$B$4:$B$18,0)),"")</f>
        <v/>
      </c>
      <c r="M147" s="15">
        <f>IFERROR(INDEX(Cluster_Master!$H$4:$H$18,MATCH($F147,Cluster_Master!$B$4:$B$18,0)),"")</f>
        <v/>
      </c>
      <c r="N147" s="41" t="n"/>
      <c r="O147" s="41" t="n"/>
      <c r="P147" s="41" t="n"/>
      <c r="Q147" s="41" t="n"/>
      <c r="R147" s="41" t="n"/>
      <c r="S147" s="41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15">
        <f>IF(COUNTA(T147:AH147)=0,"",SUM(T147:AH147))</f>
        <v/>
      </c>
      <c r="AJ147" s="21">
        <f>IF(COUNTA(T147:AH147)=0,"",AI147/(COUNT(KPI_Weights!$A$4:$A$18)*5))</f>
        <v/>
      </c>
      <c r="AK147" s="21">
        <f>IF(COUNTA(T147:AH147)=0,"",SUMPRODUCT(T147:AH147,KPI_Weights!$B$4:$B$18)/5)</f>
        <v/>
      </c>
      <c r="AL147" s="15">
        <f>IF(COUNTA(T147:AH147)=0,"",IF(SUMPRODUCT(--(T147:AH147&lt;=1),--(KPI_Weights!$C$4:$C$18="YES"))&gt;0,"YES","NO"))</f>
        <v/>
      </c>
      <c r="AM147" s="15">
        <f>IF(AJ147="","",IF(AND(AL147="NO",AJ147&gt;=0.75),"YES","NO"))</f>
        <v/>
      </c>
      <c r="AN147" s="15">
        <f>IF(AJ147="","",IF(AJ147&lt;0.4,"Critical",IF(AJ147&lt;0.6,"Poor",IF(AJ147&lt;0.75,"Needs Improvement",IF(AJ147&lt;0.9,"Good","Excellent")))))</f>
        <v/>
      </c>
      <c r="AO147" s="41" t="n"/>
      <c r="AP147" s="41" t="n"/>
      <c r="AQ147" s="41" t="n"/>
      <c r="AR147" s="41" t="n"/>
      <c r="AS147" s="41" t="n"/>
      <c r="AT147" s="44" t="n"/>
      <c r="AU147" s="41" t="n"/>
      <c r="AV147" s="43" t="n"/>
      <c r="AW147" s="41" t="n"/>
      <c r="AX147" s="44" t="n"/>
      <c r="AY147" s="44" t="n"/>
      <c r="AZ147" s="44" t="n"/>
      <c r="BA147" s="44" t="n"/>
      <c r="BB147" s="44" t="n"/>
      <c r="BC147" s="44" t="n"/>
      <c r="BD147" s="44" t="n"/>
      <c r="BE147" s="44" t="n"/>
      <c r="BF147" s="44" t="n"/>
    </row>
    <row r="148" ht="19.5" customHeight="1" s="45">
      <c r="A148" s="15">
        <f>IF($B148="","",TEXT($B148,"yyyymmdd")&amp;"-"&amp;SUBSTITUTE($F148," ","")&amp;"-"&amp;TEXT(COUNTIF($F$4:F148,$F148),"00"))</f>
        <v/>
      </c>
      <c r="B148" s="39" t="n"/>
      <c r="C148" s="15">
        <f>IF($B148="","",WEEKNUM($B148,2))</f>
        <v/>
      </c>
      <c r="D148" s="15">
        <f>IF($B148="","",TEXT($B148,"yyyy-mm"))</f>
        <v/>
      </c>
      <c r="E148" s="40" t="n"/>
      <c r="F148" s="40" t="n"/>
      <c r="G148" s="15">
        <f>IF(OR($E148="",$F148=""),"",IFERROR(IF($E148=INDEX(Cluster_Master!$A$4:$A$18,MATCH($F148,Cluster_Master!$B$4:$B$18,0)),"OK","CHECK"),"CHECK"))</f>
        <v/>
      </c>
      <c r="H148" s="18">
        <f>IFERROR(INDEX(Cluster_Master!$C$4:$C$18,MATCH($F148,Cluster_Master!$B$4:$B$18,0)),"")</f>
        <v/>
      </c>
      <c r="I148" s="15">
        <f>IFERROR(INDEX(Cluster_Master!$D$4:$D$18,MATCH($F148,Cluster_Master!$B$4:$B$18,0)),"")</f>
        <v/>
      </c>
      <c r="J148" s="15">
        <f>IFERROR(INDEX(Cluster_Master!$E$4:$E$18,MATCH($F148,Cluster_Master!$B$4:$B$18,0)),"")</f>
        <v/>
      </c>
      <c r="K148" s="15">
        <f>IFERROR(INDEX(Cluster_Master!$F$4:$F$18,MATCH($F148,Cluster_Master!$B$4:$B$18,0)),"")</f>
        <v/>
      </c>
      <c r="L148" s="15">
        <f>IFERROR(INDEX(Cluster_Master!$G$4:$G$18,MATCH($F148,Cluster_Master!$B$4:$B$18,0)),"")</f>
        <v/>
      </c>
      <c r="M148" s="15">
        <f>IFERROR(INDEX(Cluster_Master!$H$4:$H$18,MATCH($F148,Cluster_Master!$B$4:$B$18,0)),"")</f>
        <v/>
      </c>
      <c r="N148" s="41" t="n"/>
      <c r="O148" s="41" t="n"/>
      <c r="P148" s="41" t="n"/>
      <c r="Q148" s="41" t="n"/>
      <c r="R148" s="41" t="n"/>
      <c r="S148" s="41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15">
        <f>IF(COUNTA(T148:AH148)=0,"",SUM(T148:AH148))</f>
        <v/>
      </c>
      <c r="AJ148" s="21">
        <f>IF(COUNTA(T148:AH148)=0,"",AI148/(COUNT(KPI_Weights!$A$4:$A$18)*5))</f>
        <v/>
      </c>
      <c r="AK148" s="21">
        <f>IF(COUNTA(T148:AH148)=0,"",SUMPRODUCT(T148:AH148,KPI_Weights!$B$4:$B$18)/5)</f>
        <v/>
      </c>
      <c r="AL148" s="15">
        <f>IF(COUNTA(T148:AH148)=0,"",IF(SUMPRODUCT(--(T148:AH148&lt;=1),--(KPI_Weights!$C$4:$C$18="YES"))&gt;0,"YES","NO"))</f>
        <v/>
      </c>
      <c r="AM148" s="15">
        <f>IF(AJ148="","",IF(AND(AL148="NO",AJ148&gt;=0.75),"YES","NO"))</f>
        <v/>
      </c>
      <c r="AN148" s="15">
        <f>IF(AJ148="","",IF(AJ148&lt;0.4,"Critical",IF(AJ148&lt;0.6,"Poor",IF(AJ148&lt;0.75,"Needs Improvement",IF(AJ148&lt;0.9,"Good","Excellent")))))</f>
        <v/>
      </c>
      <c r="AO148" s="41" t="n"/>
      <c r="AP148" s="41" t="n"/>
      <c r="AQ148" s="41" t="n"/>
      <c r="AR148" s="41" t="n"/>
      <c r="AS148" s="41" t="n"/>
      <c r="AT148" s="44" t="n"/>
      <c r="AU148" s="41" t="n"/>
      <c r="AV148" s="43" t="n"/>
      <c r="AW148" s="41" t="n"/>
      <c r="AX148" s="44" t="n"/>
      <c r="AY148" s="44" t="n"/>
      <c r="AZ148" s="44" t="n"/>
      <c r="BA148" s="44" t="n"/>
      <c r="BB148" s="44" t="n"/>
      <c r="BC148" s="44" t="n"/>
      <c r="BD148" s="44" t="n"/>
      <c r="BE148" s="44" t="n"/>
      <c r="BF148" s="44" t="n"/>
    </row>
    <row r="149" ht="19.5" customHeight="1" s="45">
      <c r="A149" s="15">
        <f>IF($B149="","",TEXT($B149,"yyyymmdd")&amp;"-"&amp;SUBSTITUTE($F149," ","")&amp;"-"&amp;TEXT(COUNTIF($F$4:F149,$F149),"00"))</f>
        <v/>
      </c>
      <c r="B149" s="39" t="n"/>
      <c r="C149" s="15">
        <f>IF($B149="","",WEEKNUM($B149,2))</f>
        <v/>
      </c>
      <c r="D149" s="15">
        <f>IF($B149="","",TEXT($B149,"yyyy-mm"))</f>
        <v/>
      </c>
      <c r="E149" s="40" t="n"/>
      <c r="F149" s="40" t="n"/>
      <c r="G149" s="15">
        <f>IF(OR($E149="",$F149=""),"",IFERROR(IF($E149=INDEX(Cluster_Master!$A$4:$A$18,MATCH($F149,Cluster_Master!$B$4:$B$18,0)),"OK","CHECK"),"CHECK"))</f>
        <v/>
      </c>
      <c r="H149" s="18">
        <f>IFERROR(INDEX(Cluster_Master!$C$4:$C$18,MATCH($F149,Cluster_Master!$B$4:$B$18,0)),"")</f>
        <v/>
      </c>
      <c r="I149" s="15">
        <f>IFERROR(INDEX(Cluster_Master!$D$4:$D$18,MATCH($F149,Cluster_Master!$B$4:$B$18,0)),"")</f>
        <v/>
      </c>
      <c r="J149" s="15">
        <f>IFERROR(INDEX(Cluster_Master!$E$4:$E$18,MATCH($F149,Cluster_Master!$B$4:$B$18,0)),"")</f>
        <v/>
      </c>
      <c r="K149" s="15">
        <f>IFERROR(INDEX(Cluster_Master!$F$4:$F$18,MATCH($F149,Cluster_Master!$B$4:$B$18,0)),"")</f>
        <v/>
      </c>
      <c r="L149" s="15">
        <f>IFERROR(INDEX(Cluster_Master!$G$4:$G$18,MATCH($F149,Cluster_Master!$B$4:$B$18,0)),"")</f>
        <v/>
      </c>
      <c r="M149" s="15">
        <f>IFERROR(INDEX(Cluster_Master!$H$4:$H$18,MATCH($F149,Cluster_Master!$B$4:$B$18,0)),"")</f>
        <v/>
      </c>
      <c r="N149" s="41" t="n"/>
      <c r="O149" s="41" t="n"/>
      <c r="P149" s="41" t="n"/>
      <c r="Q149" s="41" t="n"/>
      <c r="R149" s="41" t="n"/>
      <c r="S149" s="41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15">
        <f>IF(COUNTA(T149:AH149)=0,"",SUM(T149:AH149))</f>
        <v/>
      </c>
      <c r="AJ149" s="21">
        <f>IF(COUNTA(T149:AH149)=0,"",AI149/(COUNT(KPI_Weights!$A$4:$A$18)*5))</f>
        <v/>
      </c>
      <c r="AK149" s="21">
        <f>IF(COUNTA(T149:AH149)=0,"",SUMPRODUCT(T149:AH149,KPI_Weights!$B$4:$B$18)/5)</f>
        <v/>
      </c>
      <c r="AL149" s="15">
        <f>IF(COUNTA(T149:AH149)=0,"",IF(SUMPRODUCT(--(T149:AH149&lt;=1),--(KPI_Weights!$C$4:$C$18="YES"))&gt;0,"YES","NO"))</f>
        <v/>
      </c>
      <c r="AM149" s="15">
        <f>IF(AJ149="","",IF(AND(AL149="NO",AJ149&gt;=0.75),"YES","NO"))</f>
        <v/>
      </c>
      <c r="AN149" s="15">
        <f>IF(AJ149="","",IF(AJ149&lt;0.4,"Critical",IF(AJ149&lt;0.6,"Poor",IF(AJ149&lt;0.75,"Needs Improvement",IF(AJ149&lt;0.9,"Good","Excellent")))))</f>
        <v/>
      </c>
      <c r="AO149" s="41" t="n"/>
      <c r="AP149" s="41" t="n"/>
      <c r="AQ149" s="41" t="n"/>
      <c r="AR149" s="41" t="n"/>
      <c r="AS149" s="41" t="n"/>
      <c r="AT149" s="44" t="n"/>
      <c r="AU149" s="41" t="n"/>
      <c r="AV149" s="43" t="n"/>
      <c r="AW149" s="41" t="n"/>
      <c r="AX149" s="44" t="n"/>
      <c r="AY149" s="44" t="n"/>
      <c r="AZ149" s="44" t="n"/>
      <c r="BA149" s="44" t="n"/>
      <c r="BB149" s="44" t="n"/>
      <c r="BC149" s="44" t="n"/>
      <c r="BD149" s="44" t="n"/>
      <c r="BE149" s="44" t="n"/>
      <c r="BF149" s="44" t="n"/>
    </row>
    <row r="150" ht="19.5" customHeight="1" s="45">
      <c r="A150" s="15">
        <f>IF($B150="","",TEXT($B150,"yyyymmdd")&amp;"-"&amp;SUBSTITUTE($F150," ","")&amp;"-"&amp;TEXT(COUNTIF($F$4:F150,$F150),"00"))</f>
        <v/>
      </c>
      <c r="B150" s="39" t="n"/>
      <c r="C150" s="15">
        <f>IF($B150="","",WEEKNUM($B150,2))</f>
        <v/>
      </c>
      <c r="D150" s="15">
        <f>IF($B150="","",TEXT($B150,"yyyy-mm"))</f>
        <v/>
      </c>
      <c r="E150" s="40" t="n"/>
      <c r="F150" s="40" t="n"/>
      <c r="G150" s="15">
        <f>IF(OR($E150="",$F150=""),"",IFERROR(IF($E150=INDEX(Cluster_Master!$A$4:$A$18,MATCH($F150,Cluster_Master!$B$4:$B$18,0)),"OK","CHECK"),"CHECK"))</f>
        <v/>
      </c>
      <c r="H150" s="18">
        <f>IFERROR(INDEX(Cluster_Master!$C$4:$C$18,MATCH($F150,Cluster_Master!$B$4:$B$18,0)),"")</f>
        <v/>
      </c>
      <c r="I150" s="15">
        <f>IFERROR(INDEX(Cluster_Master!$D$4:$D$18,MATCH($F150,Cluster_Master!$B$4:$B$18,0)),"")</f>
        <v/>
      </c>
      <c r="J150" s="15">
        <f>IFERROR(INDEX(Cluster_Master!$E$4:$E$18,MATCH($F150,Cluster_Master!$B$4:$B$18,0)),"")</f>
        <v/>
      </c>
      <c r="K150" s="15">
        <f>IFERROR(INDEX(Cluster_Master!$F$4:$F$18,MATCH($F150,Cluster_Master!$B$4:$B$18,0)),"")</f>
        <v/>
      </c>
      <c r="L150" s="15">
        <f>IFERROR(INDEX(Cluster_Master!$G$4:$G$18,MATCH($F150,Cluster_Master!$B$4:$B$18,0)),"")</f>
        <v/>
      </c>
      <c r="M150" s="15">
        <f>IFERROR(INDEX(Cluster_Master!$H$4:$H$18,MATCH($F150,Cluster_Master!$B$4:$B$18,0)),"")</f>
        <v/>
      </c>
      <c r="N150" s="41" t="n"/>
      <c r="O150" s="41" t="n"/>
      <c r="P150" s="41" t="n"/>
      <c r="Q150" s="41" t="n"/>
      <c r="R150" s="41" t="n"/>
      <c r="S150" s="41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15">
        <f>IF(COUNTA(T150:AH150)=0,"",SUM(T150:AH150))</f>
        <v/>
      </c>
      <c r="AJ150" s="21">
        <f>IF(COUNTA(T150:AH150)=0,"",AI150/(COUNT(KPI_Weights!$A$4:$A$18)*5))</f>
        <v/>
      </c>
      <c r="AK150" s="21">
        <f>IF(COUNTA(T150:AH150)=0,"",SUMPRODUCT(T150:AH150,KPI_Weights!$B$4:$B$18)/5)</f>
        <v/>
      </c>
      <c r="AL150" s="15">
        <f>IF(COUNTA(T150:AH150)=0,"",IF(SUMPRODUCT(--(T150:AH150&lt;=1),--(KPI_Weights!$C$4:$C$18="YES"))&gt;0,"YES","NO"))</f>
        <v/>
      </c>
      <c r="AM150" s="15">
        <f>IF(AJ150="","",IF(AND(AL150="NO",AJ150&gt;=0.75),"YES","NO"))</f>
        <v/>
      </c>
      <c r="AN150" s="15">
        <f>IF(AJ150="","",IF(AJ150&lt;0.4,"Critical",IF(AJ150&lt;0.6,"Poor",IF(AJ150&lt;0.75,"Needs Improvement",IF(AJ150&lt;0.9,"Good","Excellent")))))</f>
        <v/>
      </c>
      <c r="AO150" s="41" t="n"/>
      <c r="AP150" s="41" t="n"/>
      <c r="AQ150" s="41" t="n"/>
      <c r="AR150" s="41" t="n"/>
      <c r="AS150" s="41" t="n"/>
      <c r="AT150" s="44" t="n"/>
      <c r="AU150" s="41" t="n"/>
      <c r="AV150" s="43" t="n"/>
      <c r="AW150" s="41" t="n"/>
      <c r="AX150" s="44" t="n"/>
      <c r="AY150" s="44" t="n"/>
      <c r="AZ150" s="44" t="n"/>
      <c r="BA150" s="44" t="n"/>
      <c r="BB150" s="44" t="n"/>
      <c r="BC150" s="44" t="n"/>
      <c r="BD150" s="44" t="n"/>
      <c r="BE150" s="44" t="n"/>
      <c r="BF150" s="44" t="n"/>
    </row>
    <row r="151" ht="19.5" customHeight="1" s="45">
      <c r="A151" s="15">
        <f>IF($B151="","",TEXT($B151,"yyyymmdd")&amp;"-"&amp;SUBSTITUTE($F151," ","")&amp;"-"&amp;TEXT(COUNTIF($F$4:F151,$F151),"00"))</f>
        <v/>
      </c>
      <c r="B151" s="39" t="n"/>
      <c r="C151" s="15">
        <f>IF($B151="","",WEEKNUM($B151,2))</f>
        <v/>
      </c>
      <c r="D151" s="15">
        <f>IF($B151="","",TEXT($B151,"yyyy-mm"))</f>
        <v/>
      </c>
      <c r="E151" s="40" t="n"/>
      <c r="F151" s="40" t="n"/>
      <c r="G151" s="15">
        <f>IF(OR($E151="",$F151=""),"",IFERROR(IF($E151=INDEX(Cluster_Master!$A$4:$A$18,MATCH($F151,Cluster_Master!$B$4:$B$18,0)),"OK","CHECK"),"CHECK"))</f>
        <v/>
      </c>
      <c r="H151" s="18">
        <f>IFERROR(INDEX(Cluster_Master!$C$4:$C$18,MATCH($F151,Cluster_Master!$B$4:$B$18,0)),"")</f>
        <v/>
      </c>
      <c r="I151" s="15">
        <f>IFERROR(INDEX(Cluster_Master!$D$4:$D$18,MATCH($F151,Cluster_Master!$B$4:$B$18,0)),"")</f>
        <v/>
      </c>
      <c r="J151" s="15">
        <f>IFERROR(INDEX(Cluster_Master!$E$4:$E$18,MATCH($F151,Cluster_Master!$B$4:$B$18,0)),"")</f>
        <v/>
      </c>
      <c r="K151" s="15">
        <f>IFERROR(INDEX(Cluster_Master!$F$4:$F$18,MATCH($F151,Cluster_Master!$B$4:$B$18,0)),"")</f>
        <v/>
      </c>
      <c r="L151" s="15">
        <f>IFERROR(INDEX(Cluster_Master!$G$4:$G$18,MATCH($F151,Cluster_Master!$B$4:$B$18,0)),"")</f>
        <v/>
      </c>
      <c r="M151" s="15">
        <f>IFERROR(INDEX(Cluster_Master!$H$4:$H$18,MATCH($F151,Cluster_Master!$B$4:$B$18,0)),"")</f>
        <v/>
      </c>
      <c r="N151" s="41" t="n"/>
      <c r="O151" s="41" t="n"/>
      <c r="P151" s="41" t="n"/>
      <c r="Q151" s="41" t="n"/>
      <c r="R151" s="41" t="n"/>
      <c r="S151" s="41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15">
        <f>IF(COUNTA(T151:AH151)=0,"",SUM(T151:AH151))</f>
        <v/>
      </c>
      <c r="AJ151" s="21">
        <f>IF(COUNTA(T151:AH151)=0,"",AI151/(COUNT(KPI_Weights!$A$4:$A$18)*5))</f>
        <v/>
      </c>
      <c r="AK151" s="21">
        <f>IF(COUNTA(T151:AH151)=0,"",SUMPRODUCT(T151:AH151,KPI_Weights!$B$4:$B$18)/5)</f>
        <v/>
      </c>
      <c r="AL151" s="15">
        <f>IF(COUNTA(T151:AH151)=0,"",IF(SUMPRODUCT(--(T151:AH151&lt;=1),--(KPI_Weights!$C$4:$C$18="YES"))&gt;0,"YES","NO"))</f>
        <v/>
      </c>
      <c r="AM151" s="15">
        <f>IF(AJ151="","",IF(AND(AL151="NO",AJ151&gt;=0.75),"YES","NO"))</f>
        <v/>
      </c>
      <c r="AN151" s="15">
        <f>IF(AJ151="","",IF(AJ151&lt;0.4,"Critical",IF(AJ151&lt;0.6,"Poor",IF(AJ151&lt;0.75,"Needs Improvement",IF(AJ151&lt;0.9,"Good","Excellent")))))</f>
        <v/>
      </c>
      <c r="AO151" s="41" t="n"/>
      <c r="AP151" s="41" t="n"/>
      <c r="AQ151" s="41" t="n"/>
      <c r="AR151" s="41" t="n"/>
      <c r="AS151" s="41" t="n"/>
      <c r="AT151" s="44" t="n"/>
      <c r="AU151" s="41" t="n"/>
      <c r="AV151" s="43" t="n"/>
      <c r="AW151" s="41" t="n"/>
      <c r="AX151" s="44" t="n"/>
      <c r="AY151" s="44" t="n"/>
      <c r="AZ151" s="44" t="n"/>
      <c r="BA151" s="44" t="n"/>
      <c r="BB151" s="44" t="n"/>
      <c r="BC151" s="44" t="n"/>
      <c r="BD151" s="44" t="n"/>
      <c r="BE151" s="44" t="n"/>
      <c r="BF151" s="44" t="n"/>
    </row>
    <row r="152" ht="19.5" customHeight="1" s="45">
      <c r="A152" s="15">
        <f>IF($B152="","",TEXT($B152,"yyyymmdd")&amp;"-"&amp;SUBSTITUTE($F152," ","")&amp;"-"&amp;TEXT(COUNTIF($F$4:F152,$F152),"00"))</f>
        <v/>
      </c>
      <c r="B152" s="39" t="n"/>
      <c r="C152" s="15">
        <f>IF($B152="","",WEEKNUM($B152,2))</f>
        <v/>
      </c>
      <c r="D152" s="15">
        <f>IF($B152="","",TEXT($B152,"yyyy-mm"))</f>
        <v/>
      </c>
      <c r="E152" s="40" t="n"/>
      <c r="F152" s="40" t="n"/>
      <c r="G152" s="15">
        <f>IF(OR($E152="",$F152=""),"",IFERROR(IF($E152=INDEX(Cluster_Master!$A$4:$A$18,MATCH($F152,Cluster_Master!$B$4:$B$18,0)),"OK","CHECK"),"CHECK"))</f>
        <v/>
      </c>
      <c r="H152" s="18">
        <f>IFERROR(INDEX(Cluster_Master!$C$4:$C$18,MATCH($F152,Cluster_Master!$B$4:$B$18,0)),"")</f>
        <v/>
      </c>
      <c r="I152" s="15">
        <f>IFERROR(INDEX(Cluster_Master!$D$4:$D$18,MATCH($F152,Cluster_Master!$B$4:$B$18,0)),"")</f>
        <v/>
      </c>
      <c r="J152" s="15">
        <f>IFERROR(INDEX(Cluster_Master!$E$4:$E$18,MATCH($F152,Cluster_Master!$B$4:$B$18,0)),"")</f>
        <v/>
      </c>
      <c r="K152" s="15">
        <f>IFERROR(INDEX(Cluster_Master!$F$4:$F$18,MATCH($F152,Cluster_Master!$B$4:$B$18,0)),"")</f>
        <v/>
      </c>
      <c r="L152" s="15">
        <f>IFERROR(INDEX(Cluster_Master!$G$4:$G$18,MATCH($F152,Cluster_Master!$B$4:$B$18,0)),"")</f>
        <v/>
      </c>
      <c r="M152" s="15">
        <f>IFERROR(INDEX(Cluster_Master!$H$4:$H$18,MATCH($F152,Cluster_Master!$B$4:$B$18,0)),"")</f>
        <v/>
      </c>
      <c r="N152" s="41" t="n"/>
      <c r="O152" s="41" t="n"/>
      <c r="P152" s="41" t="n"/>
      <c r="Q152" s="41" t="n"/>
      <c r="R152" s="41" t="n"/>
      <c r="S152" s="41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15">
        <f>IF(COUNTA(T152:AH152)=0,"",SUM(T152:AH152))</f>
        <v/>
      </c>
      <c r="AJ152" s="21">
        <f>IF(COUNTA(T152:AH152)=0,"",AI152/(COUNT(KPI_Weights!$A$4:$A$18)*5))</f>
        <v/>
      </c>
      <c r="AK152" s="21">
        <f>IF(COUNTA(T152:AH152)=0,"",SUMPRODUCT(T152:AH152,KPI_Weights!$B$4:$B$18)/5)</f>
        <v/>
      </c>
      <c r="AL152" s="15">
        <f>IF(COUNTA(T152:AH152)=0,"",IF(SUMPRODUCT(--(T152:AH152&lt;=1),--(KPI_Weights!$C$4:$C$18="YES"))&gt;0,"YES","NO"))</f>
        <v/>
      </c>
      <c r="AM152" s="15">
        <f>IF(AJ152="","",IF(AND(AL152="NO",AJ152&gt;=0.75),"YES","NO"))</f>
        <v/>
      </c>
      <c r="AN152" s="15">
        <f>IF(AJ152="","",IF(AJ152&lt;0.4,"Critical",IF(AJ152&lt;0.6,"Poor",IF(AJ152&lt;0.75,"Needs Improvement",IF(AJ152&lt;0.9,"Good","Excellent")))))</f>
        <v/>
      </c>
      <c r="AO152" s="41" t="n"/>
      <c r="AP152" s="41" t="n"/>
      <c r="AQ152" s="41" t="n"/>
      <c r="AR152" s="41" t="n"/>
      <c r="AS152" s="41" t="n"/>
      <c r="AT152" s="44" t="n"/>
      <c r="AU152" s="41" t="n"/>
      <c r="AV152" s="43" t="n"/>
      <c r="AW152" s="41" t="n"/>
      <c r="AX152" s="44" t="n"/>
      <c r="AY152" s="44" t="n"/>
      <c r="AZ152" s="44" t="n"/>
      <c r="BA152" s="44" t="n"/>
      <c r="BB152" s="44" t="n"/>
      <c r="BC152" s="44" t="n"/>
      <c r="BD152" s="44" t="n"/>
      <c r="BE152" s="44" t="n"/>
      <c r="BF152" s="44" t="n"/>
    </row>
    <row r="153" ht="19.5" customHeight="1" s="45">
      <c r="A153" s="15">
        <f>IF($B153="","",TEXT($B153,"yyyymmdd")&amp;"-"&amp;SUBSTITUTE($F153," ","")&amp;"-"&amp;TEXT(COUNTIF($F$4:F153,$F153),"00"))</f>
        <v/>
      </c>
      <c r="B153" s="39" t="n"/>
      <c r="C153" s="15">
        <f>IF($B153="","",WEEKNUM($B153,2))</f>
        <v/>
      </c>
      <c r="D153" s="15">
        <f>IF($B153="","",TEXT($B153,"yyyy-mm"))</f>
        <v/>
      </c>
      <c r="E153" s="40" t="n"/>
      <c r="F153" s="40" t="n"/>
      <c r="G153" s="15">
        <f>IF(OR($E153="",$F153=""),"",IFERROR(IF($E153=INDEX(Cluster_Master!$A$4:$A$18,MATCH($F153,Cluster_Master!$B$4:$B$18,0)),"OK","CHECK"),"CHECK"))</f>
        <v/>
      </c>
      <c r="H153" s="18">
        <f>IFERROR(INDEX(Cluster_Master!$C$4:$C$18,MATCH($F153,Cluster_Master!$B$4:$B$18,0)),"")</f>
        <v/>
      </c>
      <c r="I153" s="15">
        <f>IFERROR(INDEX(Cluster_Master!$D$4:$D$18,MATCH($F153,Cluster_Master!$B$4:$B$18,0)),"")</f>
        <v/>
      </c>
      <c r="J153" s="15">
        <f>IFERROR(INDEX(Cluster_Master!$E$4:$E$18,MATCH($F153,Cluster_Master!$B$4:$B$18,0)),"")</f>
        <v/>
      </c>
      <c r="K153" s="15">
        <f>IFERROR(INDEX(Cluster_Master!$F$4:$F$18,MATCH($F153,Cluster_Master!$B$4:$B$18,0)),"")</f>
        <v/>
      </c>
      <c r="L153" s="15">
        <f>IFERROR(INDEX(Cluster_Master!$G$4:$G$18,MATCH($F153,Cluster_Master!$B$4:$B$18,0)),"")</f>
        <v/>
      </c>
      <c r="M153" s="15">
        <f>IFERROR(INDEX(Cluster_Master!$H$4:$H$18,MATCH($F153,Cluster_Master!$B$4:$B$18,0)),"")</f>
        <v/>
      </c>
      <c r="N153" s="41" t="n"/>
      <c r="O153" s="41" t="n"/>
      <c r="P153" s="41" t="n"/>
      <c r="Q153" s="41" t="n"/>
      <c r="R153" s="41" t="n"/>
      <c r="S153" s="41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15">
        <f>IF(COUNTA(T153:AH153)=0,"",SUM(T153:AH153))</f>
        <v/>
      </c>
      <c r="AJ153" s="21">
        <f>IF(COUNTA(T153:AH153)=0,"",AI153/(COUNT(KPI_Weights!$A$4:$A$18)*5))</f>
        <v/>
      </c>
      <c r="AK153" s="21">
        <f>IF(COUNTA(T153:AH153)=0,"",SUMPRODUCT(T153:AH153,KPI_Weights!$B$4:$B$18)/5)</f>
        <v/>
      </c>
      <c r="AL153" s="15">
        <f>IF(COUNTA(T153:AH153)=0,"",IF(SUMPRODUCT(--(T153:AH153&lt;=1),--(KPI_Weights!$C$4:$C$18="YES"))&gt;0,"YES","NO"))</f>
        <v/>
      </c>
      <c r="AM153" s="15">
        <f>IF(AJ153="","",IF(AND(AL153="NO",AJ153&gt;=0.75),"YES","NO"))</f>
        <v/>
      </c>
      <c r="AN153" s="15">
        <f>IF(AJ153="","",IF(AJ153&lt;0.4,"Critical",IF(AJ153&lt;0.6,"Poor",IF(AJ153&lt;0.75,"Needs Improvement",IF(AJ153&lt;0.9,"Good","Excellent")))))</f>
        <v/>
      </c>
      <c r="AO153" s="41" t="n"/>
      <c r="AP153" s="41" t="n"/>
      <c r="AQ153" s="41" t="n"/>
      <c r="AR153" s="41" t="n"/>
      <c r="AS153" s="41" t="n"/>
      <c r="AT153" s="44" t="n"/>
      <c r="AU153" s="41" t="n"/>
      <c r="AV153" s="43" t="n"/>
      <c r="AW153" s="41" t="n"/>
      <c r="AX153" s="44" t="n"/>
      <c r="AY153" s="44" t="n"/>
      <c r="AZ153" s="44" t="n"/>
      <c r="BA153" s="44" t="n"/>
      <c r="BB153" s="44" t="n"/>
      <c r="BC153" s="44" t="n"/>
      <c r="BD153" s="44" t="n"/>
      <c r="BE153" s="44" t="n"/>
      <c r="BF153" s="44" t="n"/>
    </row>
    <row r="154" ht="19.5" customHeight="1" s="45">
      <c r="A154" s="15">
        <f>IF($B154="","",TEXT($B154,"yyyymmdd")&amp;"-"&amp;SUBSTITUTE($F154," ","")&amp;"-"&amp;TEXT(COUNTIF($F$4:F154,$F154),"00"))</f>
        <v/>
      </c>
      <c r="B154" s="39" t="n"/>
      <c r="C154" s="15">
        <f>IF($B154="","",WEEKNUM($B154,2))</f>
        <v/>
      </c>
      <c r="D154" s="15">
        <f>IF($B154="","",TEXT($B154,"yyyy-mm"))</f>
        <v/>
      </c>
      <c r="E154" s="40" t="n"/>
      <c r="F154" s="40" t="n"/>
      <c r="G154" s="15">
        <f>IF(OR($E154="",$F154=""),"",IFERROR(IF($E154=INDEX(Cluster_Master!$A$4:$A$18,MATCH($F154,Cluster_Master!$B$4:$B$18,0)),"OK","CHECK"),"CHECK"))</f>
        <v/>
      </c>
      <c r="H154" s="18">
        <f>IFERROR(INDEX(Cluster_Master!$C$4:$C$18,MATCH($F154,Cluster_Master!$B$4:$B$18,0)),"")</f>
        <v/>
      </c>
      <c r="I154" s="15">
        <f>IFERROR(INDEX(Cluster_Master!$D$4:$D$18,MATCH($F154,Cluster_Master!$B$4:$B$18,0)),"")</f>
        <v/>
      </c>
      <c r="J154" s="15">
        <f>IFERROR(INDEX(Cluster_Master!$E$4:$E$18,MATCH($F154,Cluster_Master!$B$4:$B$18,0)),"")</f>
        <v/>
      </c>
      <c r="K154" s="15">
        <f>IFERROR(INDEX(Cluster_Master!$F$4:$F$18,MATCH($F154,Cluster_Master!$B$4:$B$18,0)),"")</f>
        <v/>
      </c>
      <c r="L154" s="15">
        <f>IFERROR(INDEX(Cluster_Master!$G$4:$G$18,MATCH($F154,Cluster_Master!$B$4:$B$18,0)),"")</f>
        <v/>
      </c>
      <c r="M154" s="15">
        <f>IFERROR(INDEX(Cluster_Master!$H$4:$H$18,MATCH($F154,Cluster_Master!$B$4:$B$18,0)),"")</f>
        <v/>
      </c>
      <c r="N154" s="41" t="n"/>
      <c r="O154" s="41" t="n"/>
      <c r="P154" s="41" t="n"/>
      <c r="Q154" s="41" t="n"/>
      <c r="R154" s="41" t="n"/>
      <c r="S154" s="41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15">
        <f>IF(COUNTA(T154:AH154)=0,"",SUM(T154:AH154))</f>
        <v/>
      </c>
      <c r="AJ154" s="21">
        <f>IF(COUNTA(T154:AH154)=0,"",AI154/(COUNT(KPI_Weights!$A$4:$A$18)*5))</f>
        <v/>
      </c>
      <c r="AK154" s="21">
        <f>IF(COUNTA(T154:AH154)=0,"",SUMPRODUCT(T154:AH154,KPI_Weights!$B$4:$B$18)/5)</f>
        <v/>
      </c>
      <c r="AL154" s="15">
        <f>IF(COUNTA(T154:AH154)=0,"",IF(SUMPRODUCT(--(T154:AH154&lt;=1),--(KPI_Weights!$C$4:$C$18="YES"))&gt;0,"YES","NO"))</f>
        <v/>
      </c>
      <c r="AM154" s="15">
        <f>IF(AJ154="","",IF(AND(AL154="NO",AJ154&gt;=0.75),"YES","NO"))</f>
        <v/>
      </c>
      <c r="AN154" s="15">
        <f>IF(AJ154="","",IF(AJ154&lt;0.4,"Critical",IF(AJ154&lt;0.6,"Poor",IF(AJ154&lt;0.75,"Needs Improvement",IF(AJ154&lt;0.9,"Good","Excellent")))))</f>
        <v/>
      </c>
      <c r="AO154" s="41" t="n"/>
      <c r="AP154" s="41" t="n"/>
      <c r="AQ154" s="41" t="n"/>
      <c r="AR154" s="41" t="n"/>
      <c r="AS154" s="41" t="n"/>
      <c r="AT154" s="44" t="n"/>
      <c r="AU154" s="41" t="n"/>
      <c r="AV154" s="43" t="n"/>
      <c r="AW154" s="41" t="n"/>
      <c r="AX154" s="44" t="n"/>
      <c r="AY154" s="44" t="n"/>
      <c r="AZ154" s="44" t="n"/>
      <c r="BA154" s="44" t="n"/>
      <c r="BB154" s="44" t="n"/>
      <c r="BC154" s="44" t="n"/>
      <c r="BD154" s="44" t="n"/>
      <c r="BE154" s="44" t="n"/>
      <c r="BF154" s="44" t="n"/>
    </row>
    <row r="155" ht="19.5" customHeight="1" s="45">
      <c r="A155" s="15">
        <f>IF($B155="","",TEXT($B155,"yyyymmdd")&amp;"-"&amp;SUBSTITUTE($F155," ","")&amp;"-"&amp;TEXT(COUNTIF($F$4:F155,$F155),"00"))</f>
        <v/>
      </c>
      <c r="B155" s="39" t="n"/>
      <c r="C155" s="15">
        <f>IF($B155="","",WEEKNUM($B155,2))</f>
        <v/>
      </c>
      <c r="D155" s="15">
        <f>IF($B155="","",TEXT($B155,"yyyy-mm"))</f>
        <v/>
      </c>
      <c r="E155" s="40" t="n"/>
      <c r="F155" s="40" t="n"/>
      <c r="G155" s="15">
        <f>IF(OR($E155="",$F155=""),"",IFERROR(IF($E155=INDEX(Cluster_Master!$A$4:$A$18,MATCH($F155,Cluster_Master!$B$4:$B$18,0)),"OK","CHECK"),"CHECK"))</f>
        <v/>
      </c>
      <c r="H155" s="18">
        <f>IFERROR(INDEX(Cluster_Master!$C$4:$C$18,MATCH($F155,Cluster_Master!$B$4:$B$18,0)),"")</f>
        <v/>
      </c>
      <c r="I155" s="15">
        <f>IFERROR(INDEX(Cluster_Master!$D$4:$D$18,MATCH($F155,Cluster_Master!$B$4:$B$18,0)),"")</f>
        <v/>
      </c>
      <c r="J155" s="15">
        <f>IFERROR(INDEX(Cluster_Master!$E$4:$E$18,MATCH($F155,Cluster_Master!$B$4:$B$18,0)),"")</f>
        <v/>
      </c>
      <c r="K155" s="15">
        <f>IFERROR(INDEX(Cluster_Master!$F$4:$F$18,MATCH($F155,Cluster_Master!$B$4:$B$18,0)),"")</f>
        <v/>
      </c>
      <c r="L155" s="15">
        <f>IFERROR(INDEX(Cluster_Master!$G$4:$G$18,MATCH($F155,Cluster_Master!$B$4:$B$18,0)),"")</f>
        <v/>
      </c>
      <c r="M155" s="15">
        <f>IFERROR(INDEX(Cluster_Master!$H$4:$H$18,MATCH($F155,Cluster_Master!$B$4:$B$18,0)),"")</f>
        <v/>
      </c>
      <c r="N155" s="41" t="n"/>
      <c r="O155" s="41" t="n"/>
      <c r="P155" s="41" t="n"/>
      <c r="Q155" s="41" t="n"/>
      <c r="R155" s="41" t="n"/>
      <c r="S155" s="41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15">
        <f>IF(COUNTA(T155:AH155)=0,"",SUM(T155:AH155))</f>
        <v/>
      </c>
      <c r="AJ155" s="21">
        <f>IF(COUNTA(T155:AH155)=0,"",AI155/(COUNT(KPI_Weights!$A$4:$A$18)*5))</f>
        <v/>
      </c>
      <c r="AK155" s="21">
        <f>IF(COUNTA(T155:AH155)=0,"",SUMPRODUCT(T155:AH155,KPI_Weights!$B$4:$B$18)/5)</f>
        <v/>
      </c>
      <c r="AL155" s="15">
        <f>IF(COUNTA(T155:AH155)=0,"",IF(SUMPRODUCT(--(T155:AH155&lt;=1),--(KPI_Weights!$C$4:$C$18="YES"))&gt;0,"YES","NO"))</f>
        <v/>
      </c>
      <c r="AM155" s="15">
        <f>IF(AJ155="","",IF(AND(AL155="NO",AJ155&gt;=0.75),"YES","NO"))</f>
        <v/>
      </c>
      <c r="AN155" s="15">
        <f>IF(AJ155="","",IF(AJ155&lt;0.4,"Critical",IF(AJ155&lt;0.6,"Poor",IF(AJ155&lt;0.75,"Needs Improvement",IF(AJ155&lt;0.9,"Good","Excellent")))))</f>
        <v/>
      </c>
      <c r="AO155" s="41" t="n"/>
      <c r="AP155" s="41" t="n"/>
      <c r="AQ155" s="41" t="n"/>
      <c r="AR155" s="41" t="n"/>
      <c r="AS155" s="41" t="n"/>
      <c r="AT155" s="44" t="n"/>
      <c r="AU155" s="41" t="n"/>
      <c r="AV155" s="43" t="n"/>
      <c r="AW155" s="41" t="n"/>
      <c r="AX155" s="44" t="n"/>
      <c r="AY155" s="44" t="n"/>
      <c r="AZ155" s="44" t="n"/>
      <c r="BA155" s="44" t="n"/>
      <c r="BB155" s="44" t="n"/>
      <c r="BC155" s="44" t="n"/>
      <c r="BD155" s="44" t="n"/>
      <c r="BE155" s="44" t="n"/>
      <c r="BF155" s="44" t="n"/>
    </row>
    <row r="156" ht="19.5" customHeight="1" s="45">
      <c r="A156" s="15">
        <f>IF($B156="","",TEXT($B156,"yyyymmdd")&amp;"-"&amp;SUBSTITUTE($F156," ","")&amp;"-"&amp;TEXT(COUNTIF($F$4:F156,$F156),"00"))</f>
        <v/>
      </c>
      <c r="B156" s="39" t="n"/>
      <c r="C156" s="15">
        <f>IF($B156="","",WEEKNUM($B156,2))</f>
        <v/>
      </c>
      <c r="D156" s="15">
        <f>IF($B156="","",TEXT($B156,"yyyy-mm"))</f>
        <v/>
      </c>
      <c r="E156" s="40" t="n"/>
      <c r="F156" s="40" t="n"/>
      <c r="G156" s="15">
        <f>IF(OR($E156="",$F156=""),"",IFERROR(IF($E156=INDEX(Cluster_Master!$A$4:$A$18,MATCH($F156,Cluster_Master!$B$4:$B$18,0)),"OK","CHECK"),"CHECK"))</f>
        <v/>
      </c>
      <c r="H156" s="18">
        <f>IFERROR(INDEX(Cluster_Master!$C$4:$C$18,MATCH($F156,Cluster_Master!$B$4:$B$18,0)),"")</f>
        <v/>
      </c>
      <c r="I156" s="15">
        <f>IFERROR(INDEX(Cluster_Master!$D$4:$D$18,MATCH($F156,Cluster_Master!$B$4:$B$18,0)),"")</f>
        <v/>
      </c>
      <c r="J156" s="15">
        <f>IFERROR(INDEX(Cluster_Master!$E$4:$E$18,MATCH($F156,Cluster_Master!$B$4:$B$18,0)),"")</f>
        <v/>
      </c>
      <c r="K156" s="15">
        <f>IFERROR(INDEX(Cluster_Master!$F$4:$F$18,MATCH($F156,Cluster_Master!$B$4:$B$18,0)),"")</f>
        <v/>
      </c>
      <c r="L156" s="15">
        <f>IFERROR(INDEX(Cluster_Master!$G$4:$G$18,MATCH($F156,Cluster_Master!$B$4:$B$18,0)),"")</f>
        <v/>
      </c>
      <c r="M156" s="15">
        <f>IFERROR(INDEX(Cluster_Master!$H$4:$H$18,MATCH($F156,Cluster_Master!$B$4:$B$18,0)),"")</f>
        <v/>
      </c>
      <c r="N156" s="41" t="n"/>
      <c r="O156" s="41" t="n"/>
      <c r="P156" s="41" t="n"/>
      <c r="Q156" s="41" t="n"/>
      <c r="R156" s="41" t="n"/>
      <c r="S156" s="41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15">
        <f>IF(COUNTA(T156:AH156)=0,"",SUM(T156:AH156))</f>
        <v/>
      </c>
      <c r="AJ156" s="21">
        <f>IF(COUNTA(T156:AH156)=0,"",AI156/(COUNT(KPI_Weights!$A$4:$A$18)*5))</f>
        <v/>
      </c>
      <c r="AK156" s="21">
        <f>IF(COUNTA(T156:AH156)=0,"",SUMPRODUCT(T156:AH156,KPI_Weights!$B$4:$B$18)/5)</f>
        <v/>
      </c>
      <c r="AL156" s="15">
        <f>IF(COUNTA(T156:AH156)=0,"",IF(SUMPRODUCT(--(T156:AH156&lt;=1),--(KPI_Weights!$C$4:$C$18="YES"))&gt;0,"YES","NO"))</f>
        <v/>
      </c>
      <c r="AM156" s="15">
        <f>IF(AJ156="","",IF(AND(AL156="NO",AJ156&gt;=0.75),"YES","NO"))</f>
        <v/>
      </c>
      <c r="AN156" s="15">
        <f>IF(AJ156="","",IF(AJ156&lt;0.4,"Critical",IF(AJ156&lt;0.6,"Poor",IF(AJ156&lt;0.75,"Needs Improvement",IF(AJ156&lt;0.9,"Good","Excellent")))))</f>
        <v/>
      </c>
      <c r="AO156" s="41" t="n"/>
      <c r="AP156" s="41" t="n"/>
      <c r="AQ156" s="41" t="n"/>
      <c r="AR156" s="41" t="n"/>
      <c r="AS156" s="41" t="n"/>
      <c r="AT156" s="44" t="n"/>
      <c r="AU156" s="41" t="n"/>
      <c r="AV156" s="43" t="n"/>
      <c r="AW156" s="41" t="n"/>
      <c r="AX156" s="44" t="n"/>
      <c r="AY156" s="44" t="n"/>
      <c r="AZ156" s="44" t="n"/>
      <c r="BA156" s="44" t="n"/>
      <c r="BB156" s="44" t="n"/>
      <c r="BC156" s="44" t="n"/>
      <c r="BD156" s="44" t="n"/>
      <c r="BE156" s="44" t="n"/>
      <c r="BF156" s="44" t="n"/>
    </row>
    <row r="157" ht="19.5" customHeight="1" s="45">
      <c r="A157" s="15">
        <f>IF($B157="","",TEXT($B157,"yyyymmdd")&amp;"-"&amp;SUBSTITUTE($F157," ","")&amp;"-"&amp;TEXT(COUNTIF($F$4:F157,$F157),"00"))</f>
        <v/>
      </c>
      <c r="B157" s="39" t="n"/>
      <c r="C157" s="15">
        <f>IF($B157="","",WEEKNUM($B157,2))</f>
        <v/>
      </c>
      <c r="D157" s="15">
        <f>IF($B157="","",TEXT($B157,"yyyy-mm"))</f>
        <v/>
      </c>
      <c r="E157" s="40" t="n"/>
      <c r="F157" s="40" t="n"/>
      <c r="G157" s="15">
        <f>IF(OR($E157="",$F157=""),"",IFERROR(IF($E157=INDEX(Cluster_Master!$A$4:$A$18,MATCH($F157,Cluster_Master!$B$4:$B$18,0)),"OK","CHECK"),"CHECK"))</f>
        <v/>
      </c>
      <c r="H157" s="18">
        <f>IFERROR(INDEX(Cluster_Master!$C$4:$C$18,MATCH($F157,Cluster_Master!$B$4:$B$18,0)),"")</f>
        <v/>
      </c>
      <c r="I157" s="15">
        <f>IFERROR(INDEX(Cluster_Master!$D$4:$D$18,MATCH($F157,Cluster_Master!$B$4:$B$18,0)),"")</f>
        <v/>
      </c>
      <c r="J157" s="15">
        <f>IFERROR(INDEX(Cluster_Master!$E$4:$E$18,MATCH($F157,Cluster_Master!$B$4:$B$18,0)),"")</f>
        <v/>
      </c>
      <c r="K157" s="15">
        <f>IFERROR(INDEX(Cluster_Master!$F$4:$F$18,MATCH($F157,Cluster_Master!$B$4:$B$18,0)),"")</f>
        <v/>
      </c>
      <c r="L157" s="15">
        <f>IFERROR(INDEX(Cluster_Master!$G$4:$G$18,MATCH($F157,Cluster_Master!$B$4:$B$18,0)),"")</f>
        <v/>
      </c>
      <c r="M157" s="15">
        <f>IFERROR(INDEX(Cluster_Master!$H$4:$H$18,MATCH($F157,Cluster_Master!$B$4:$B$18,0)),"")</f>
        <v/>
      </c>
      <c r="N157" s="41" t="n"/>
      <c r="O157" s="41" t="n"/>
      <c r="P157" s="41" t="n"/>
      <c r="Q157" s="41" t="n"/>
      <c r="R157" s="41" t="n"/>
      <c r="S157" s="41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15">
        <f>IF(COUNTA(T157:AH157)=0,"",SUM(T157:AH157))</f>
        <v/>
      </c>
      <c r="AJ157" s="21">
        <f>IF(COUNTA(T157:AH157)=0,"",AI157/(COUNT(KPI_Weights!$A$4:$A$18)*5))</f>
        <v/>
      </c>
      <c r="AK157" s="21">
        <f>IF(COUNTA(T157:AH157)=0,"",SUMPRODUCT(T157:AH157,KPI_Weights!$B$4:$B$18)/5)</f>
        <v/>
      </c>
      <c r="AL157" s="15">
        <f>IF(COUNTA(T157:AH157)=0,"",IF(SUMPRODUCT(--(T157:AH157&lt;=1),--(KPI_Weights!$C$4:$C$18="YES"))&gt;0,"YES","NO"))</f>
        <v/>
      </c>
      <c r="AM157" s="15">
        <f>IF(AJ157="","",IF(AND(AL157="NO",AJ157&gt;=0.75),"YES","NO"))</f>
        <v/>
      </c>
      <c r="AN157" s="15">
        <f>IF(AJ157="","",IF(AJ157&lt;0.4,"Critical",IF(AJ157&lt;0.6,"Poor",IF(AJ157&lt;0.75,"Needs Improvement",IF(AJ157&lt;0.9,"Good","Excellent")))))</f>
        <v/>
      </c>
      <c r="AO157" s="41" t="n"/>
      <c r="AP157" s="41" t="n"/>
      <c r="AQ157" s="41" t="n"/>
      <c r="AR157" s="41" t="n"/>
      <c r="AS157" s="41" t="n"/>
      <c r="AT157" s="44" t="n"/>
      <c r="AU157" s="41" t="n"/>
      <c r="AV157" s="43" t="n"/>
      <c r="AW157" s="41" t="n"/>
      <c r="AX157" s="44" t="n"/>
      <c r="AY157" s="44" t="n"/>
      <c r="AZ157" s="44" t="n"/>
      <c r="BA157" s="44" t="n"/>
      <c r="BB157" s="44" t="n"/>
      <c r="BC157" s="44" t="n"/>
      <c r="BD157" s="44" t="n"/>
      <c r="BE157" s="44" t="n"/>
      <c r="BF157" s="44" t="n"/>
    </row>
    <row r="158" ht="19.5" customHeight="1" s="45">
      <c r="A158" s="15">
        <f>IF($B158="","",TEXT($B158,"yyyymmdd")&amp;"-"&amp;SUBSTITUTE($F158," ","")&amp;"-"&amp;TEXT(COUNTIF($F$4:F158,$F158),"00"))</f>
        <v/>
      </c>
      <c r="B158" s="39" t="n"/>
      <c r="C158" s="15">
        <f>IF($B158="","",WEEKNUM($B158,2))</f>
        <v/>
      </c>
      <c r="D158" s="15">
        <f>IF($B158="","",TEXT($B158,"yyyy-mm"))</f>
        <v/>
      </c>
      <c r="E158" s="40" t="n"/>
      <c r="F158" s="40" t="n"/>
      <c r="G158" s="15">
        <f>IF(OR($E158="",$F158=""),"",IFERROR(IF($E158=INDEX(Cluster_Master!$A$4:$A$18,MATCH($F158,Cluster_Master!$B$4:$B$18,0)),"OK","CHECK"),"CHECK"))</f>
        <v/>
      </c>
      <c r="H158" s="18">
        <f>IFERROR(INDEX(Cluster_Master!$C$4:$C$18,MATCH($F158,Cluster_Master!$B$4:$B$18,0)),"")</f>
        <v/>
      </c>
      <c r="I158" s="15">
        <f>IFERROR(INDEX(Cluster_Master!$D$4:$D$18,MATCH($F158,Cluster_Master!$B$4:$B$18,0)),"")</f>
        <v/>
      </c>
      <c r="J158" s="15">
        <f>IFERROR(INDEX(Cluster_Master!$E$4:$E$18,MATCH($F158,Cluster_Master!$B$4:$B$18,0)),"")</f>
        <v/>
      </c>
      <c r="K158" s="15">
        <f>IFERROR(INDEX(Cluster_Master!$F$4:$F$18,MATCH($F158,Cluster_Master!$B$4:$B$18,0)),"")</f>
        <v/>
      </c>
      <c r="L158" s="15">
        <f>IFERROR(INDEX(Cluster_Master!$G$4:$G$18,MATCH($F158,Cluster_Master!$B$4:$B$18,0)),"")</f>
        <v/>
      </c>
      <c r="M158" s="15">
        <f>IFERROR(INDEX(Cluster_Master!$H$4:$H$18,MATCH($F158,Cluster_Master!$B$4:$B$18,0)),"")</f>
        <v/>
      </c>
      <c r="N158" s="41" t="n"/>
      <c r="O158" s="41" t="n"/>
      <c r="P158" s="41" t="n"/>
      <c r="Q158" s="41" t="n"/>
      <c r="R158" s="41" t="n"/>
      <c r="S158" s="41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15">
        <f>IF(COUNTA(T158:AH158)=0,"",SUM(T158:AH158))</f>
        <v/>
      </c>
      <c r="AJ158" s="21">
        <f>IF(COUNTA(T158:AH158)=0,"",AI158/(COUNT(KPI_Weights!$A$4:$A$18)*5))</f>
        <v/>
      </c>
      <c r="AK158" s="21">
        <f>IF(COUNTA(T158:AH158)=0,"",SUMPRODUCT(T158:AH158,KPI_Weights!$B$4:$B$18)/5)</f>
        <v/>
      </c>
      <c r="AL158" s="15">
        <f>IF(COUNTA(T158:AH158)=0,"",IF(SUMPRODUCT(--(T158:AH158&lt;=1),--(KPI_Weights!$C$4:$C$18="YES"))&gt;0,"YES","NO"))</f>
        <v/>
      </c>
      <c r="AM158" s="15">
        <f>IF(AJ158="","",IF(AND(AL158="NO",AJ158&gt;=0.75),"YES","NO"))</f>
        <v/>
      </c>
      <c r="AN158" s="15">
        <f>IF(AJ158="","",IF(AJ158&lt;0.4,"Critical",IF(AJ158&lt;0.6,"Poor",IF(AJ158&lt;0.75,"Needs Improvement",IF(AJ158&lt;0.9,"Good","Excellent")))))</f>
        <v/>
      </c>
      <c r="AO158" s="41" t="n"/>
      <c r="AP158" s="41" t="n"/>
      <c r="AQ158" s="41" t="n"/>
      <c r="AR158" s="41" t="n"/>
      <c r="AS158" s="41" t="n"/>
      <c r="AT158" s="44" t="n"/>
      <c r="AU158" s="41" t="n"/>
      <c r="AV158" s="43" t="n"/>
      <c r="AW158" s="41" t="n"/>
      <c r="AX158" s="44" t="n"/>
      <c r="AY158" s="44" t="n"/>
      <c r="AZ158" s="44" t="n"/>
      <c r="BA158" s="44" t="n"/>
      <c r="BB158" s="44" t="n"/>
      <c r="BC158" s="44" t="n"/>
      <c r="BD158" s="44" t="n"/>
      <c r="BE158" s="44" t="n"/>
      <c r="BF158" s="44" t="n"/>
    </row>
    <row r="159" ht="19.5" customHeight="1" s="45">
      <c r="A159" s="15">
        <f>IF($B159="","",TEXT($B159,"yyyymmdd")&amp;"-"&amp;SUBSTITUTE($F159," ","")&amp;"-"&amp;TEXT(COUNTIF($F$4:F159,$F159),"00"))</f>
        <v/>
      </c>
      <c r="B159" s="39" t="n"/>
      <c r="C159" s="15">
        <f>IF($B159="","",WEEKNUM($B159,2))</f>
        <v/>
      </c>
      <c r="D159" s="15">
        <f>IF($B159="","",TEXT($B159,"yyyy-mm"))</f>
        <v/>
      </c>
      <c r="E159" s="40" t="n"/>
      <c r="F159" s="40" t="n"/>
      <c r="G159" s="15">
        <f>IF(OR($E159="",$F159=""),"",IFERROR(IF($E159=INDEX(Cluster_Master!$A$4:$A$18,MATCH($F159,Cluster_Master!$B$4:$B$18,0)),"OK","CHECK"),"CHECK"))</f>
        <v/>
      </c>
      <c r="H159" s="18">
        <f>IFERROR(INDEX(Cluster_Master!$C$4:$C$18,MATCH($F159,Cluster_Master!$B$4:$B$18,0)),"")</f>
        <v/>
      </c>
      <c r="I159" s="15">
        <f>IFERROR(INDEX(Cluster_Master!$D$4:$D$18,MATCH($F159,Cluster_Master!$B$4:$B$18,0)),"")</f>
        <v/>
      </c>
      <c r="J159" s="15">
        <f>IFERROR(INDEX(Cluster_Master!$E$4:$E$18,MATCH($F159,Cluster_Master!$B$4:$B$18,0)),"")</f>
        <v/>
      </c>
      <c r="K159" s="15">
        <f>IFERROR(INDEX(Cluster_Master!$F$4:$F$18,MATCH($F159,Cluster_Master!$B$4:$B$18,0)),"")</f>
        <v/>
      </c>
      <c r="L159" s="15">
        <f>IFERROR(INDEX(Cluster_Master!$G$4:$G$18,MATCH($F159,Cluster_Master!$B$4:$B$18,0)),"")</f>
        <v/>
      </c>
      <c r="M159" s="15">
        <f>IFERROR(INDEX(Cluster_Master!$H$4:$H$18,MATCH($F159,Cluster_Master!$B$4:$B$18,0)),"")</f>
        <v/>
      </c>
      <c r="N159" s="41" t="n"/>
      <c r="O159" s="41" t="n"/>
      <c r="P159" s="41" t="n"/>
      <c r="Q159" s="41" t="n"/>
      <c r="R159" s="41" t="n"/>
      <c r="S159" s="41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15">
        <f>IF(COUNTA(T159:AH159)=0,"",SUM(T159:AH159))</f>
        <v/>
      </c>
      <c r="AJ159" s="21">
        <f>IF(COUNTA(T159:AH159)=0,"",AI159/(COUNT(KPI_Weights!$A$4:$A$18)*5))</f>
        <v/>
      </c>
      <c r="AK159" s="21">
        <f>IF(COUNTA(T159:AH159)=0,"",SUMPRODUCT(T159:AH159,KPI_Weights!$B$4:$B$18)/5)</f>
        <v/>
      </c>
      <c r="AL159" s="15">
        <f>IF(COUNTA(T159:AH159)=0,"",IF(SUMPRODUCT(--(T159:AH159&lt;=1),--(KPI_Weights!$C$4:$C$18="YES"))&gt;0,"YES","NO"))</f>
        <v/>
      </c>
      <c r="AM159" s="15">
        <f>IF(AJ159="","",IF(AND(AL159="NO",AJ159&gt;=0.75),"YES","NO"))</f>
        <v/>
      </c>
      <c r="AN159" s="15">
        <f>IF(AJ159="","",IF(AJ159&lt;0.4,"Critical",IF(AJ159&lt;0.6,"Poor",IF(AJ159&lt;0.75,"Needs Improvement",IF(AJ159&lt;0.9,"Good","Excellent")))))</f>
        <v/>
      </c>
      <c r="AO159" s="41" t="n"/>
      <c r="AP159" s="41" t="n"/>
      <c r="AQ159" s="41" t="n"/>
      <c r="AR159" s="41" t="n"/>
      <c r="AS159" s="41" t="n"/>
      <c r="AT159" s="44" t="n"/>
      <c r="AU159" s="41" t="n"/>
      <c r="AV159" s="43" t="n"/>
      <c r="AW159" s="41" t="n"/>
      <c r="AX159" s="44" t="n"/>
      <c r="AY159" s="44" t="n"/>
      <c r="AZ159" s="44" t="n"/>
      <c r="BA159" s="44" t="n"/>
      <c r="BB159" s="44" t="n"/>
      <c r="BC159" s="44" t="n"/>
      <c r="BD159" s="44" t="n"/>
      <c r="BE159" s="44" t="n"/>
      <c r="BF159" s="44" t="n"/>
    </row>
    <row r="160" ht="19.5" customHeight="1" s="45">
      <c r="A160" s="15">
        <f>IF($B160="","",TEXT($B160,"yyyymmdd")&amp;"-"&amp;SUBSTITUTE($F160," ","")&amp;"-"&amp;TEXT(COUNTIF($F$4:F160,$F160),"00"))</f>
        <v/>
      </c>
      <c r="B160" s="39" t="n"/>
      <c r="C160" s="15">
        <f>IF($B160="","",WEEKNUM($B160,2))</f>
        <v/>
      </c>
      <c r="D160" s="15">
        <f>IF($B160="","",TEXT($B160,"yyyy-mm"))</f>
        <v/>
      </c>
      <c r="E160" s="40" t="n"/>
      <c r="F160" s="40" t="n"/>
      <c r="G160" s="15">
        <f>IF(OR($E160="",$F160=""),"",IFERROR(IF($E160=INDEX(Cluster_Master!$A$4:$A$18,MATCH($F160,Cluster_Master!$B$4:$B$18,0)),"OK","CHECK"),"CHECK"))</f>
        <v/>
      </c>
      <c r="H160" s="18">
        <f>IFERROR(INDEX(Cluster_Master!$C$4:$C$18,MATCH($F160,Cluster_Master!$B$4:$B$18,0)),"")</f>
        <v/>
      </c>
      <c r="I160" s="15">
        <f>IFERROR(INDEX(Cluster_Master!$D$4:$D$18,MATCH($F160,Cluster_Master!$B$4:$B$18,0)),"")</f>
        <v/>
      </c>
      <c r="J160" s="15">
        <f>IFERROR(INDEX(Cluster_Master!$E$4:$E$18,MATCH($F160,Cluster_Master!$B$4:$B$18,0)),"")</f>
        <v/>
      </c>
      <c r="K160" s="15">
        <f>IFERROR(INDEX(Cluster_Master!$F$4:$F$18,MATCH($F160,Cluster_Master!$B$4:$B$18,0)),"")</f>
        <v/>
      </c>
      <c r="L160" s="15">
        <f>IFERROR(INDEX(Cluster_Master!$G$4:$G$18,MATCH($F160,Cluster_Master!$B$4:$B$18,0)),"")</f>
        <v/>
      </c>
      <c r="M160" s="15">
        <f>IFERROR(INDEX(Cluster_Master!$H$4:$H$18,MATCH($F160,Cluster_Master!$B$4:$B$18,0)),"")</f>
        <v/>
      </c>
      <c r="N160" s="41" t="n"/>
      <c r="O160" s="41" t="n"/>
      <c r="P160" s="41" t="n"/>
      <c r="Q160" s="41" t="n"/>
      <c r="R160" s="41" t="n"/>
      <c r="S160" s="41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15">
        <f>IF(COUNTA(T160:AH160)=0,"",SUM(T160:AH160))</f>
        <v/>
      </c>
      <c r="AJ160" s="21">
        <f>IF(COUNTA(T160:AH160)=0,"",AI160/(COUNT(KPI_Weights!$A$4:$A$18)*5))</f>
        <v/>
      </c>
      <c r="AK160" s="21">
        <f>IF(COUNTA(T160:AH160)=0,"",SUMPRODUCT(T160:AH160,KPI_Weights!$B$4:$B$18)/5)</f>
        <v/>
      </c>
      <c r="AL160" s="15">
        <f>IF(COUNTA(T160:AH160)=0,"",IF(SUMPRODUCT(--(T160:AH160&lt;=1),--(KPI_Weights!$C$4:$C$18="YES"))&gt;0,"YES","NO"))</f>
        <v/>
      </c>
      <c r="AM160" s="15">
        <f>IF(AJ160="","",IF(AND(AL160="NO",AJ160&gt;=0.75),"YES","NO"))</f>
        <v/>
      </c>
      <c r="AN160" s="15">
        <f>IF(AJ160="","",IF(AJ160&lt;0.4,"Critical",IF(AJ160&lt;0.6,"Poor",IF(AJ160&lt;0.75,"Needs Improvement",IF(AJ160&lt;0.9,"Good","Excellent")))))</f>
        <v/>
      </c>
      <c r="AO160" s="41" t="n"/>
      <c r="AP160" s="41" t="n"/>
      <c r="AQ160" s="41" t="n"/>
      <c r="AR160" s="41" t="n"/>
      <c r="AS160" s="41" t="n"/>
      <c r="AT160" s="44" t="n"/>
      <c r="AU160" s="41" t="n"/>
      <c r="AV160" s="43" t="n"/>
      <c r="AW160" s="41" t="n"/>
      <c r="AX160" s="44" t="n"/>
      <c r="AY160" s="44" t="n"/>
      <c r="AZ160" s="44" t="n"/>
      <c r="BA160" s="44" t="n"/>
      <c r="BB160" s="44" t="n"/>
      <c r="BC160" s="44" t="n"/>
      <c r="BD160" s="44" t="n"/>
      <c r="BE160" s="44" t="n"/>
      <c r="BF160" s="44" t="n"/>
    </row>
    <row r="161" ht="19.5" customHeight="1" s="45">
      <c r="A161" s="15">
        <f>IF($B161="","",TEXT($B161,"yyyymmdd")&amp;"-"&amp;SUBSTITUTE($F161," ","")&amp;"-"&amp;TEXT(COUNTIF($F$4:F161,$F161),"00"))</f>
        <v/>
      </c>
      <c r="B161" s="39" t="n"/>
      <c r="C161" s="15">
        <f>IF($B161="","",WEEKNUM($B161,2))</f>
        <v/>
      </c>
      <c r="D161" s="15">
        <f>IF($B161="","",TEXT($B161,"yyyy-mm"))</f>
        <v/>
      </c>
      <c r="E161" s="40" t="n"/>
      <c r="F161" s="40" t="n"/>
      <c r="G161" s="15">
        <f>IF(OR($E161="",$F161=""),"",IFERROR(IF($E161=INDEX(Cluster_Master!$A$4:$A$18,MATCH($F161,Cluster_Master!$B$4:$B$18,0)),"OK","CHECK"),"CHECK"))</f>
        <v/>
      </c>
      <c r="H161" s="18">
        <f>IFERROR(INDEX(Cluster_Master!$C$4:$C$18,MATCH($F161,Cluster_Master!$B$4:$B$18,0)),"")</f>
        <v/>
      </c>
      <c r="I161" s="15">
        <f>IFERROR(INDEX(Cluster_Master!$D$4:$D$18,MATCH($F161,Cluster_Master!$B$4:$B$18,0)),"")</f>
        <v/>
      </c>
      <c r="J161" s="15">
        <f>IFERROR(INDEX(Cluster_Master!$E$4:$E$18,MATCH($F161,Cluster_Master!$B$4:$B$18,0)),"")</f>
        <v/>
      </c>
      <c r="K161" s="15">
        <f>IFERROR(INDEX(Cluster_Master!$F$4:$F$18,MATCH($F161,Cluster_Master!$B$4:$B$18,0)),"")</f>
        <v/>
      </c>
      <c r="L161" s="15">
        <f>IFERROR(INDEX(Cluster_Master!$G$4:$G$18,MATCH($F161,Cluster_Master!$B$4:$B$18,0)),"")</f>
        <v/>
      </c>
      <c r="M161" s="15">
        <f>IFERROR(INDEX(Cluster_Master!$H$4:$H$18,MATCH($F161,Cluster_Master!$B$4:$B$18,0)),"")</f>
        <v/>
      </c>
      <c r="N161" s="41" t="n"/>
      <c r="O161" s="41" t="n"/>
      <c r="P161" s="41" t="n"/>
      <c r="Q161" s="41" t="n"/>
      <c r="R161" s="41" t="n"/>
      <c r="S161" s="41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15">
        <f>IF(COUNTA(T161:AH161)=0,"",SUM(T161:AH161))</f>
        <v/>
      </c>
      <c r="AJ161" s="21">
        <f>IF(COUNTA(T161:AH161)=0,"",AI161/(COUNT(KPI_Weights!$A$4:$A$18)*5))</f>
        <v/>
      </c>
      <c r="AK161" s="21">
        <f>IF(COUNTA(T161:AH161)=0,"",SUMPRODUCT(T161:AH161,KPI_Weights!$B$4:$B$18)/5)</f>
        <v/>
      </c>
      <c r="AL161" s="15">
        <f>IF(COUNTA(T161:AH161)=0,"",IF(SUMPRODUCT(--(T161:AH161&lt;=1),--(KPI_Weights!$C$4:$C$18="YES"))&gt;0,"YES","NO"))</f>
        <v/>
      </c>
      <c r="AM161" s="15">
        <f>IF(AJ161="","",IF(AND(AL161="NO",AJ161&gt;=0.75),"YES","NO"))</f>
        <v/>
      </c>
      <c r="AN161" s="15">
        <f>IF(AJ161="","",IF(AJ161&lt;0.4,"Critical",IF(AJ161&lt;0.6,"Poor",IF(AJ161&lt;0.75,"Needs Improvement",IF(AJ161&lt;0.9,"Good","Excellent")))))</f>
        <v/>
      </c>
      <c r="AO161" s="41" t="n"/>
      <c r="AP161" s="41" t="n"/>
      <c r="AQ161" s="41" t="n"/>
      <c r="AR161" s="41" t="n"/>
      <c r="AS161" s="41" t="n"/>
      <c r="AT161" s="44" t="n"/>
      <c r="AU161" s="41" t="n"/>
      <c r="AV161" s="43" t="n"/>
      <c r="AW161" s="41" t="n"/>
      <c r="AX161" s="44" t="n"/>
      <c r="AY161" s="44" t="n"/>
      <c r="AZ161" s="44" t="n"/>
      <c r="BA161" s="44" t="n"/>
      <c r="BB161" s="44" t="n"/>
      <c r="BC161" s="44" t="n"/>
      <c r="BD161" s="44" t="n"/>
      <c r="BE161" s="44" t="n"/>
      <c r="BF161" s="44" t="n"/>
    </row>
    <row r="162" ht="19.5" customHeight="1" s="45">
      <c r="A162" s="15">
        <f>IF($B162="","",TEXT($B162,"yyyymmdd")&amp;"-"&amp;SUBSTITUTE($F162," ","")&amp;"-"&amp;TEXT(COUNTIF($F$4:F162,$F162),"00"))</f>
        <v/>
      </c>
      <c r="B162" s="39" t="n"/>
      <c r="C162" s="15">
        <f>IF($B162="","",WEEKNUM($B162,2))</f>
        <v/>
      </c>
      <c r="D162" s="15">
        <f>IF($B162="","",TEXT($B162,"yyyy-mm"))</f>
        <v/>
      </c>
      <c r="E162" s="40" t="n"/>
      <c r="F162" s="40" t="n"/>
      <c r="G162" s="15">
        <f>IF(OR($E162="",$F162=""),"",IFERROR(IF($E162=INDEX(Cluster_Master!$A$4:$A$18,MATCH($F162,Cluster_Master!$B$4:$B$18,0)),"OK","CHECK"),"CHECK"))</f>
        <v/>
      </c>
      <c r="H162" s="18">
        <f>IFERROR(INDEX(Cluster_Master!$C$4:$C$18,MATCH($F162,Cluster_Master!$B$4:$B$18,0)),"")</f>
        <v/>
      </c>
      <c r="I162" s="15">
        <f>IFERROR(INDEX(Cluster_Master!$D$4:$D$18,MATCH($F162,Cluster_Master!$B$4:$B$18,0)),"")</f>
        <v/>
      </c>
      <c r="J162" s="15">
        <f>IFERROR(INDEX(Cluster_Master!$E$4:$E$18,MATCH($F162,Cluster_Master!$B$4:$B$18,0)),"")</f>
        <v/>
      </c>
      <c r="K162" s="15">
        <f>IFERROR(INDEX(Cluster_Master!$F$4:$F$18,MATCH($F162,Cluster_Master!$B$4:$B$18,0)),"")</f>
        <v/>
      </c>
      <c r="L162" s="15">
        <f>IFERROR(INDEX(Cluster_Master!$G$4:$G$18,MATCH($F162,Cluster_Master!$B$4:$B$18,0)),"")</f>
        <v/>
      </c>
      <c r="M162" s="15">
        <f>IFERROR(INDEX(Cluster_Master!$H$4:$H$18,MATCH($F162,Cluster_Master!$B$4:$B$18,0)),"")</f>
        <v/>
      </c>
      <c r="N162" s="41" t="n"/>
      <c r="O162" s="41" t="n"/>
      <c r="P162" s="41" t="n"/>
      <c r="Q162" s="41" t="n"/>
      <c r="R162" s="41" t="n"/>
      <c r="S162" s="41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15">
        <f>IF(COUNTA(T162:AH162)=0,"",SUM(T162:AH162))</f>
        <v/>
      </c>
      <c r="AJ162" s="21">
        <f>IF(COUNTA(T162:AH162)=0,"",AI162/(COUNT(KPI_Weights!$A$4:$A$18)*5))</f>
        <v/>
      </c>
      <c r="AK162" s="21">
        <f>IF(COUNTA(T162:AH162)=0,"",SUMPRODUCT(T162:AH162,KPI_Weights!$B$4:$B$18)/5)</f>
        <v/>
      </c>
      <c r="AL162" s="15">
        <f>IF(COUNTA(T162:AH162)=0,"",IF(SUMPRODUCT(--(T162:AH162&lt;=1),--(KPI_Weights!$C$4:$C$18="YES"))&gt;0,"YES","NO"))</f>
        <v/>
      </c>
      <c r="AM162" s="15">
        <f>IF(AJ162="","",IF(AND(AL162="NO",AJ162&gt;=0.75),"YES","NO"))</f>
        <v/>
      </c>
      <c r="AN162" s="15">
        <f>IF(AJ162="","",IF(AJ162&lt;0.4,"Critical",IF(AJ162&lt;0.6,"Poor",IF(AJ162&lt;0.75,"Needs Improvement",IF(AJ162&lt;0.9,"Good","Excellent")))))</f>
        <v/>
      </c>
      <c r="AO162" s="41" t="n"/>
      <c r="AP162" s="41" t="n"/>
      <c r="AQ162" s="41" t="n"/>
      <c r="AR162" s="41" t="n"/>
      <c r="AS162" s="41" t="n"/>
      <c r="AT162" s="44" t="n"/>
      <c r="AU162" s="41" t="n"/>
      <c r="AV162" s="43" t="n"/>
      <c r="AW162" s="41" t="n"/>
      <c r="AX162" s="44" t="n"/>
      <c r="AY162" s="44" t="n"/>
      <c r="AZ162" s="44" t="n"/>
      <c r="BA162" s="44" t="n"/>
      <c r="BB162" s="44" t="n"/>
      <c r="BC162" s="44" t="n"/>
      <c r="BD162" s="44" t="n"/>
      <c r="BE162" s="44" t="n"/>
      <c r="BF162" s="44" t="n"/>
    </row>
    <row r="163" ht="19.5" customHeight="1" s="45">
      <c r="A163" s="15">
        <f>IF($B163="","",TEXT($B163,"yyyymmdd")&amp;"-"&amp;SUBSTITUTE($F163," ","")&amp;"-"&amp;TEXT(COUNTIF($F$4:F163,$F163),"00"))</f>
        <v/>
      </c>
      <c r="B163" s="39" t="n"/>
      <c r="C163" s="15">
        <f>IF($B163="","",WEEKNUM($B163,2))</f>
        <v/>
      </c>
      <c r="D163" s="15">
        <f>IF($B163="","",TEXT($B163,"yyyy-mm"))</f>
        <v/>
      </c>
      <c r="E163" s="40" t="n"/>
      <c r="F163" s="40" t="n"/>
      <c r="G163" s="15">
        <f>IF(OR($E163="",$F163=""),"",IFERROR(IF($E163=INDEX(Cluster_Master!$A$4:$A$18,MATCH($F163,Cluster_Master!$B$4:$B$18,0)),"OK","CHECK"),"CHECK"))</f>
        <v/>
      </c>
      <c r="H163" s="18">
        <f>IFERROR(INDEX(Cluster_Master!$C$4:$C$18,MATCH($F163,Cluster_Master!$B$4:$B$18,0)),"")</f>
        <v/>
      </c>
      <c r="I163" s="15">
        <f>IFERROR(INDEX(Cluster_Master!$D$4:$D$18,MATCH($F163,Cluster_Master!$B$4:$B$18,0)),"")</f>
        <v/>
      </c>
      <c r="J163" s="15">
        <f>IFERROR(INDEX(Cluster_Master!$E$4:$E$18,MATCH($F163,Cluster_Master!$B$4:$B$18,0)),"")</f>
        <v/>
      </c>
      <c r="K163" s="15">
        <f>IFERROR(INDEX(Cluster_Master!$F$4:$F$18,MATCH($F163,Cluster_Master!$B$4:$B$18,0)),"")</f>
        <v/>
      </c>
      <c r="L163" s="15">
        <f>IFERROR(INDEX(Cluster_Master!$G$4:$G$18,MATCH($F163,Cluster_Master!$B$4:$B$18,0)),"")</f>
        <v/>
      </c>
      <c r="M163" s="15">
        <f>IFERROR(INDEX(Cluster_Master!$H$4:$H$18,MATCH($F163,Cluster_Master!$B$4:$B$18,0)),"")</f>
        <v/>
      </c>
      <c r="N163" s="41" t="n"/>
      <c r="O163" s="41" t="n"/>
      <c r="P163" s="41" t="n"/>
      <c r="Q163" s="41" t="n"/>
      <c r="R163" s="41" t="n"/>
      <c r="S163" s="41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15">
        <f>IF(COUNTA(T163:AH163)=0,"",SUM(T163:AH163))</f>
        <v/>
      </c>
      <c r="AJ163" s="21">
        <f>IF(COUNTA(T163:AH163)=0,"",AI163/(COUNT(KPI_Weights!$A$4:$A$18)*5))</f>
        <v/>
      </c>
      <c r="AK163" s="21">
        <f>IF(COUNTA(T163:AH163)=0,"",SUMPRODUCT(T163:AH163,KPI_Weights!$B$4:$B$18)/5)</f>
        <v/>
      </c>
      <c r="AL163" s="15">
        <f>IF(COUNTA(T163:AH163)=0,"",IF(SUMPRODUCT(--(T163:AH163&lt;=1),--(KPI_Weights!$C$4:$C$18="YES"))&gt;0,"YES","NO"))</f>
        <v/>
      </c>
      <c r="AM163" s="15">
        <f>IF(AJ163="","",IF(AND(AL163="NO",AJ163&gt;=0.75),"YES","NO"))</f>
        <v/>
      </c>
      <c r="AN163" s="15">
        <f>IF(AJ163="","",IF(AJ163&lt;0.4,"Critical",IF(AJ163&lt;0.6,"Poor",IF(AJ163&lt;0.75,"Needs Improvement",IF(AJ163&lt;0.9,"Good","Excellent")))))</f>
        <v/>
      </c>
      <c r="AO163" s="41" t="n"/>
      <c r="AP163" s="41" t="n"/>
      <c r="AQ163" s="41" t="n"/>
      <c r="AR163" s="41" t="n"/>
      <c r="AS163" s="41" t="n"/>
      <c r="AT163" s="44" t="n"/>
      <c r="AU163" s="41" t="n"/>
      <c r="AV163" s="43" t="n"/>
      <c r="AW163" s="41" t="n"/>
      <c r="AX163" s="44" t="n"/>
      <c r="AY163" s="44" t="n"/>
      <c r="AZ163" s="44" t="n"/>
      <c r="BA163" s="44" t="n"/>
      <c r="BB163" s="44" t="n"/>
      <c r="BC163" s="44" t="n"/>
      <c r="BD163" s="44" t="n"/>
      <c r="BE163" s="44" t="n"/>
      <c r="BF163" s="44" t="n"/>
    </row>
    <row r="164" ht="19.5" customHeight="1" s="45">
      <c r="A164" s="15">
        <f>IF($B164="","",TEXT($B164,"yyyymmdd")&amp;"-"&amp;SUBSTITUTE($F164," ","")&amp;"-"&amp;TEXT(COUNTIF($F$4:F164,$F164),"00"))</f>
        <v/>
      </c>
      <c r="B164" s="39" t="n"/>
      <c r="C164" s="15">
        <f>IF($B164="","",WEEKNUM($B164,2))</f>
        <v/>
      </c>
      <c r="D164" s="15">
        <f>IF($B164="","",TEXT($B164,"yyyy-mm"))</f>
        <v/>
      </c>
      <c r="E164" s="40" t="n"/>
      <c r="F164" s="40" t="n"/>
      <c r="G164" s="15">
        <f>IF(OR($E164="",$F164=""),"",IFERROR(IF($E164=INDEX(Cluster_Master!$A$4:$A$18,MATCH($F164,Cluster_Master!$B$4:$B$18,0)),"OK","CHECK"),"CHECK"))</f>
        <v/>
      </c>
      <c r="H164" s="18">
        <f>IFERROR(INDEX(Cluster_Master!$C$4:$C$18,MATCH($F164,Cluster_Master!$B$4:$B$18,0)),"")</f>
        <v/>
      </c>
      <c r="I164" s="15">
        <f>IFERROR(INDEX(Cluster_Master!$D$4:$D$18,MATCH($F164,Cluster_Master!$B$4:$B$18,0)),"")</f>
        <v/>
      </c>
      <c r="J164" s="15">
        <f>IFERROR(INDEX(Cluster_Master!$E$4:$E$18,MATCH($F164,Cluster_Master!$B$4:$B$18,0)),"")</f>
        <v/>
      </c>
      <c r="K164" s="15">
        <f>IFERROR(INDEX(Cluster_Master!$F$4:$F$18,MATCH($F164,Cluster_Master!$B$4:$B$18,0)),"")</f>
        <v/>
      </c>
      <c r="L164" s="15">
        <f>IFERROR(INDEX(Cluster_Master!$G$4:$G$18,MATCH($F164,Cluster_Master!$B$4:$B$18,0)),"")</f>
        <v/>
      </c>
      <c r="M164" s="15">
        <f>IFERROR(INDEX(Cluster_Master!$H$4:$H$18,MATCH($F164,Cluster_Master!$B$4:$B$18,0)),"")</f>
        <v/>
      </c>
      <c r="N164" s="41" t="n"/>
      <c r="O164" s="41" t="n"/>
      <c r="P164" s="41" t="n"/>
      <c r="Q164" s="41" t="n"/>
      <c r="R164" s="41" t="n"/>
      <c r="S164" s="41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15">
        <f>IF(COUNTA(T164:AH164)=0,"",SUM(T164:AH164))</f>
        <v/>
      </c>
      <c r="AJ164" s="21">
        <f>IF(COUNTA(T164:AH164)=0,"",AI164/(COUNT(KPI_Weights!$A$4:$A$18)*5))</f>
        <v/>
      </c>
      <c r="AK164" s="21">
        <f>IF(COUNTA(T164:AH164)=0,"",SUMPRODUCT(T164:AH164,KPI_Weights!$B$4:$B$18)/5)</f>
        <v/>
      </c>
      <c r="AL164" s="15">
        <f>IF(COUNTA(T164:AH164)=0,"",IF(SUMPRODUCT(--(T164:AH164&lt;=1),--(KPI_Weights!$C$4:$C$18="YES"))&gt;0,"YES","NO"))</f>
        <v/>
      </c>
      <c r="AM164" s="15">
        <f>IF(AJ164="","",IF(AND(AL164="NO",AJ164&gt;=0.75),"YES","NO"))</f>
        <v/>
      </c>
      <c r="AN164" s="15">
        <f>IF(AJ164="","",IF(AJ164&lt;0.4,"Critical",IF(AJ164&lt;0.6,"Poor",IF(AJ164&lt;0.75,"Needs Improvement",IF(AJ164&lt;0.9,"Good","Excellent")))))</f>
        <v/>
      </c>
      <c r="AO164" s="41" t="n"/>
      <c r="AP164" s="41" t="n"/>
      <c r="AQ164" s="41" t="n"/>
      <c r="AR164" s="41" t="n"/>
      <c r="AS164" s="41" t="n"/>
      <c r="AT164" s="44" t="n"/>
      <c r="AU164" s="41" t="n"/>
      <c r="AV164" s="43" t="n"/>
      <c r="AW164" s="41" t="n"/>
      <c r="AX164" s="44" t="n"/>
      <c r="AY164" s="44" t="n"/>
      <c r="AZ164" s="44" t="n"/>
      <c r="BA164" s="44" t="n"/>
      <c r="BB164" s="44" t="n"/>
      <c r="BC164" s="44" t="n"/>
      <c r="BD164" s="44" t="n"/>
      <c r="BE164" s="44" t="n"/>
      <c r="BF164" s="44" t="n"/>
    </row>
    <row r="165" ht="19.5" customHeight="1" s="45">
      <c r="A165" s="15">
        <f>IF($B165="","",TEXT($B165,"yyyymmdd")&amp;"-"&amp;SUBSTITUTE($F165," ","")&amp;"-"&amp;TEXT(COUNTIF($F$4:F165,$F165),"00"))</f>
        <v/>
      </c>
      <c r="B165" s="39" t="n"/>
      <c r="C165" s="15">
        <f>IF($B165="","",WEEKNUM($B165,2))</f>
        <v/>
      </c>
      <c r="D165" s="15">
        <f>IF($B165="","",TEXT($B165,"yyyy-mm"))</f>
        <v/>
      </c>
      <c r="E165" s="40" t="n"/>
      <c r="F165" s="40" t="n"/>
      <c r="G165" s="15">
        <f>IF(OR($E165="",$F165=""),"",IFERROR(IF($E165=INDEX(Cluster_Master!$A$4:$A$18,MATCH($F165,Cluster_Master!$B$4:$B$18,0)),"OK","CHECK"),"CHECK"))</f>
        <v/>
      </c>
      <c r="H165" s="18">
        <f>IFERROR(INDEX(Cluster_Master!$C$4:$C$18,MATCH($F165,Cluster_Master!$B$4:$B$18,0)),"")</f>
        <v/>
      </c>
      <c r="I165" s="15">
        <f>IFERROR(INDEX(Cluster_Master!$D$4:$D$18,MATCH($F165,Cluster_Master!$B$4:$B$18,0)),"")</f>
        <v/>
      </c>
      <c r="J165" s="15">
        <f>IFERROR(INDEX(Cluster_Master!$E$4:$E$18,MATCH($F165,Cluster_Master!$B$4:$B$18,0)),"")</f>
        <v/>
      </c>
      <c r="K165" s="15">
        <f>IFERROR(INDEX(Cluster_Master!$F$4:$F$18,MATCH($F165,Cluster_Master!$B$4:$B$18,0)),"")</f>
        <v/>
      </c>
      <c r="L165" s="15">
        <f>IFERROR(INDEX(Cluster_Master!$G$4:$G$18,MATCH($F165,Cluster_Master!$B$4:$B$18,0)),"")</f>
        <v/>
      </c>
      <c r="M165" s="15">
        <f>IFERROR(INDEX(Cluster_Master!$H$4:$H$18,MATCH($F165,Cluster_Master!$B$4:$B$18,0)),"")</f>
        <v/>
      </c>
      <c r="N165" s="41" t="n"/>
      <c r="O165" s="41" t="n"/>
      <c r="P165" s="41" t="n"/>
      <c r="Q165" s="41" t="n"/>
      <c r="R165" s="41" t="n"/>
      <c r="S165" s="41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15">
        <f>IF(COUNTA(T165:AH165)=0,"",SUM(T165:AH165))</f>
        <v/>
      </c>
      <c r="AJ165" s="21">
        <f>IF(COUNTA(T165:AH165)=0,"",AI165/(COUNT(KPI_Weights!$A$4:$A$18)*5))</f>
        <v/>
      </c>
      <c r="AK165" s="21">
        <f>IF(COUNTA(T165:AH165)=0,"",SUMPRODUCT(T165:AH165,KPI_Weights!$B$4:$B$18)/5)</f>
        <v/>
      </c>
      <c r="AL165" s="15">
        <f>IF(COUNTA(T165:AH165)=0,"",IF(SUMPRODUCT(--(T165:AH165&lt;=1),--(KPI_Weights!$C$4:$C$18="YES"))&gt;0,"YES","NO"))</f>
        <v/>
      </c>
      <c r="AM165" s="15">
        <f>IF(AJ165="","",IF(AND(AL165="NO",AJ165&gt;=0.75),"YES","NO"))</f>
        <v/>
      </c>
      <c r="AN165" s="15">
        <f>IF(AJ165="","",IF(AJ165&lt;0.4,"Critical",IF(AJ165&lt;0.6,"Poor",IF(AJ165&lt;0.75,"Needs Improvement",IF(AJ165&lt;0.9,"Good","Excellent")))))</f>
        <v/>
      </c>
      <c r="AO165" s="41" t="n"/>
      <c r="AP165" s="41" t="n"/>
      <c r="AQ165" s="41" t="n"/>
      <c r="AR165" s="41" t="n"/>
      <c r="AS165" s="41" t="n"/>
      <c r="AT165" s="44" t="n"/>
      <c r="AU165" s="41" t="n"/>
      <c r="AV165" s="43" t="n"/>
      <c r="AW165" s="41" t="n"/>
      <c r="AX165" s="44" t="n"/>
      <c r="AY165" s="44" t="n"/>
      <c r="AZ165" s="44" t="n"/>
      <c r="BA165" s="44" t="n"/>
      <c r="BB165" s="44" t="n"/>
      <c r="BC165" s="44" t="n"/>
      <c r="BD165" s="44" t="n"/>
      <c r="BE165" s="44" t="n"/>
      <c r="BF165" s="44" t="n"/>
    </row>
    <row r="166" ht="19.5" customHeight="1" s="45">
      <c r="A166" s="15">
        <f>IF($B166="","",TEXT($B166,"yyyymmdd")&amp;"-"&amp;SUBSTITUTE($F166," ","")&amp;"-"&amp;TEXT(COUNTIF($F$4:F166,$F166),"00"))</f>
        <v/>
      </c>
      <c r="B166" s="39" t="n"/>
      <c r="C166" s="15">
        <f>IF($B166="","",WEEKNUM($B166,2))</f>
        <v/>
      </c>
      <c r="D166" s="15">
        <f>IF($B166="","",TEXT($B166,"yyyy-mm"))</f>
        <v/>
      </c>
      <c r="E166" s="40" t="n"/>
      <c r="F166" s="40" t="n"/>
      <c r="G166" s="15">
        <f>IF(OR($E166="",$F166=""),"",IFERROR(IF($E166=INDEX(Cluster_Master!$A$4:$A$18,MATCH($F166,Cluster_Master!$B$4:$B$18,0)),"OK","CHECK"),"CHECK"))</f>
        <v/>
      </c>
      <c r="H166" s="18">
        <f>IFERROR(INDEX(Cluster_Master!$C$4:$C$18,MATCH($F166,Cluster_Master!$B$4:$B$18,0)),"")</f>
        <v/>
      </c>
      <c r="I166" s="15">
        <f>IFERROR(INDEX(Cluster_Master!$D$4:$D$18,MATCH($F166,Cluster_Master!$B$4:$B$18,0)),"")</f>
        <v/>
      </c>
      <c r="J166" s="15">
        <f>IFERROR(INDEX(Cluster_Master!$E$4:$E$18,MATCH($F166,Cluster_Master!$B$4:$B$18,0)),"")</f>
        <v/>
      </c>
      <c r="K166" s="15">
        <f>IFERROR(INDEX(Cluster_Master!$F$4:$F$18,MATCH($F166,Cluster_Master!$B$4:$B$18,0)),"")</f>
        <v/>
      </c>
      <c r="L166" s="15">
        <f>IFERROR(INDEX(Cluster_Master!$G$4:$G$18,MATCH($F166,Cluster_Master!$B$4:$B$18,0)),"")</f>
        <v/>
      </c>
      <c r="M166" s="15">
        <f>IFERROR(INDEX(Cluster_Master!$H$4:$H$18,MATCH($F166,Cluster_Master!$B$4:$B$18,0)),"")</f>
        <v/>
      </c>
      <c r="N166" s="41" t="n"/>
      <c r="O166" s="41" t="n"/>
      <c r="P166" s="41" t="n"/>
      <c r="Q166" s="41" t="n"/>
      <c r="R166" s="41" t="n"/>
      <c r="S166" s="41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15">
        <f>IF(COUNTA(T166:AH166)=0,"",SUM(T166:AH166))</f>
        <v/>
      </c>
      <c r="AJ166" s="21">
        <f>IF(COUNTA(T166:AH166)=0,"",AI166/(COUNT(KPI_Weights!$A$4:$A$18)*5))</f>
        <v/>
      </c>
      <c r="AK166" s="21">
        <f>IF(COUNTA(T166:AH166)=0,"",SUMPRODUCT(T166:AH166,KPI_Weights!$B$4:$B$18)/5)</f>
        <v/>
      </c>
      <c r="AL166" s="15">
        <f>IF(COUNTA(T166:AH166)=0,"",IF(SUMPRODUCT(--(T166:AH166&lt;=1),--(KPI_Weights!$C$4:$C$18="YES"))&gt;0,"YES","NO"))</f>
        <v/>
      </c>
      <c r="AM166" s="15">
        <f>IF(AJ166="","",IF(AND(AL166="NO",AJ166&gt;=0.75),"YES","NO"))</f>
        <v/>
      </c>
      <c r="AN166" s="15">
        <f>IF(AJ166="","",IF(AJ166&lt;0.4,"Critical",IF(AJ166&lt;0.6,"Poor",IF(AJ166&lt;0.75,"Needs Improvement",IF(AJ166&lt;0.9,"Good","Excellent")))))</f>
        <v/>
      </c>
      <c r="AO166" s="41" t="n"/>
      <c r="AP166" s="41" t="n"/>
      <c r="AQ166" s="41" t="n"/>
      <c r="AR166" s="41" t="n"/>
      <c r="AS166" s="41" t="n"/>
      <c r="AT166" s="44" t="n"/>
      <c r="AU166" s="41" t="n"/>
      <c r="AV166" s="43" t="n"/>
      <c r="AW166" s="41" t="n"/>
      <c r="AX166" s="44" t="n"/>
      <c r="AY166" s="44" t="n"/>
      <c r="AZ166" s="44" t="n"/>
      <c r="BA166" s="44" t="n"/>
      <c r="BB166" s="44" t="n"/>
      <c r="BC166" s="44" t="n"/>
      <c r="BD166" s="44" t="n"/>
      <c r="BE166" s="44" t="n"/>
      <c r="BF166" s="44" t="n"/>
    </row>
    <row r="167" ht="19.5" customHeight="1" s="45">
      <c r="A167" s="15">
        <f>IF($B167="","",TEXT($B167,"yyyymmdd")&amp;"-"&amp;SUBSTITUTE($F167," ","")&amp;"-"&amp;TEXT(COUNTIF($F$4:F167,$F167),"00"))</f>
        <v/>
      </c>
      <c r="B167" s="39" t="n"/>
      <c r="C167" s="15">
        <f>IF($B167="","",WEEKNUM($B167,2))</f>
        <v/>
      </c>
      <c r="D167" s="15">
        <f>IF($B167="","",TEXT($B167,"yyyy-mm"))</f>
        <v/>
      </c>
      <c r="E167" s="40" t="n"/>
      <c r="F167" s="40" t="n"/>
      <c r="G167" s="15">
        <f>IF(OR($E167="",$F167=""),"",IFERROR(IF($E167=INDEX(Cluster_Master!$A$4:$A$18,MATCH($F167,Cluster_Master!$B$4:$B$18,0)),"OK","CHECK"),"CHECK"))</f>
        <v/>
      </c>
      <c r="H167" s="18">
        <f>IFERROR(INDEX(Cluster_Master!$C$4:$C$18,MATCH($F167,Cluster_Master!$B$4:$B$18,0)),"")</f>
        <v/>
      </c>
      <c r="I167" s="15">
        <f>IFERROR(INDEX(Cluster_Master!$D$4:$D$18,MATCH($F167,Cluster_Master!$B$4:$B$18,0)),"")</f>
        <v/>
      </c>
      <c r="J167" s="15">
        <f>IFERROR(INDEX(Cluster_Master!$E$4:$E$18,MATCH($F167,Cluster_Master!$B$4:$B$18,0)),"")</f>
        <v/>
      </c>
      <c r="K167" s="15">
        <f>IFERROR(INDEX(Cluster_Master!$F$4:$F$18,MATCH($F167,Cluster_Master!$B$4:$B$18,0)),"")</f>
        <v/>
      </c>
      <c r="L167" s="15">
        <f>IFERROR(INDEX(Cluster_Master!$G$4:$G$18,MATCH($F167,Cluster_Master!$B$4:$B$18,0)),"")</f>
        <v/>
      </c>
      <c r="M167" s="15">
        <f>IFERROR(INDEX(Cluster_Master!$H$4:$H$18,MATCH($F167,Cluster_Master!$B$4:$B$18,0)),"")</f>
        <v/>
      </c>
      <c r="N167" s="41" t="n"/>
      <c r="O167" s="41" t="n"/>
      <c r="P167" s="41" t="n"/>
      <c r="Q167" s="41" t="n"/>
      <c r="R167" s="41" t="n"/>
      <c r="S167" s="41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15">
        <f>IF(COUNTA(T167:AH167)=0,"",SUM(T167:AH167))</f>
        <v/>
      </c>
      <c r="AJ167" s="21">
        <f>IF(COUNTA(T167:AH167)=0,"",AI167/(COUNT(KPI_Weights!$A$4:$A$18)*5))</f>
        <v/>
      </c>
      <c r="AK167" s="21">
        <f>IF(COUNTA(T167:AH167)=0,"",SUMPRODUCT(T167:AH167,KPI_Weights!$B$4:$B$18)/5)</f>
        <v/>
      </c>
      <c r="AL167" s="15">
        <f>IF(COUNTA(T167:AH167)=0,"",IF(SUMPRODUCT(--(T167:AH167&lt;=1),--(KPI_Weights!$C$4:$C$18="YES"))&gt;0,"YES","NO"))</f>
        <v/>
      </c>
      <c r="AM167" s="15">
        <f>IF(AJ167="","",IF(AND(AL167="NO",AJ167&gt;=0.75),"YES","NO"))</f>
        <v/>
      </c>
      <c r="AN167" s="15">
        <f>IF(AJ167="","",IF(AJ167&lt;0.4,"Critical",IF(AJ167&lt;0.6,"Poor",IF(AJ167&lt;0.75,"Needs Improvement",IF(AJ167&lt;0.9,"Good","Excellent")))))</f>
        <v/>
      </c>
      <c r="AO167" s="41" t="n"/>
      <c r="AP167" s="41" t="n"/>
      <c r="AQ167" s="41" t="n"/>
      <c r="AR167" s="41" t="n"/>
      <c r="AS167" s="41" t="n"/>
      <c r="AT167" s="44" t="n"/>
      <c r="AU167" s="41" t="n"/>
      <c r="AV167" s="43" t="n"/>
      <c r="AW167" s="41" t="n"/>
      <c r="AX167" s="44" t="n"/>
      <c r="AY167" s="44" t="n"/>
      <c r="AZ167" s="44" t="n"/>
      <c r="BA167" s="44" t="n"/>
      <c r="BB167" s="44" t="n"/>
      <c r="BC167" s="44" t="n"/>
      <c r="BD167" s="44" t="n"/>
      <c r="BE167" s="44" t="n"/>
      <c r="BF167" s="44" t="n"/>
    </row>
    <row r="168" ht="19.5" customHeight="1" s="45">
      <c r="A168" s="15">
        <f>IF($B168="","",TEXT($B168,"yyyymmdd")&amp;"-"&amp;SUBSTITUTE($F168," ","")&amp;"-"&amp;TEXT(COUNTIF($F$4:F168,$F168),"00"))</f>
        <v/>
      </c>
      <c r="B168" s="39" t="n"/>
      <c r="C168" s="15">
        <f>IF($B168="","",WEEKNUM($B168,2))</f>
        <v/>
      </c>
      <c r="D168" s="15">
        <f>IF($B168="","",TEXT($B168,"yyyy-mm"))</f>
        <v/>
      </c>
      <c r="E168" s="40" t="n"/>
      <c r="F168" s="40" t="n"/>
      <c r="G168" s="15">
        <f>IF(OR($E168="",$F168=""),"",IFERROR(IF($E168=INDEX(Cluster_Master!$A$4:$A$18,MATCH($F168,Cluster_Master!$B$4:$B$18,0)),"OK","CHECK"),"CHECK"))</f>
        <v/>
      </c>
      <c r="H168" s="18">
        <f>IFERROR(INDEX(Cluster_Master!$C$4:$C$18,MATCH($F168,Cluster_Master!$B$4:$B$18,0)),"")</f>
        <v/>
      </c>
      <c r="I168" s="15">
        <f>IFERROR(INDEX(Cluster_Master!$D$4:$D$18,MATCH($F168,Cluster_Master!$B$4:$B$18,0)),"")</f>
        <v/>
      </c>
      <c r="J168" s="15">
        <f>IFERROR(INDEX(Cluster_Master!$E$4:$E$18,MATCH($F168,Cluster_Master!$B$4:$B$18,0)),"")</f>
        <v/>
      </c>
      <c r="K168" s="15">
        <f>IFERROR(INDEX(Cluster_Master!$F$4:$F$18,MATCH($F168,Cluster_Master!$B$4:$B$18,0)),"")</f>
        <v/>
      </c>
      <c r="L168" s="15">
        <f>IFERROR(INDEX(Cluster_Master!$G$4:$G$18,MATCH($F168,Cluster_Master!$B$4:$B$18,0)),"")</f>
        <v/>
      </c>
      <c r="M168" s="15">
        <f>IFERROR(INDEX(Cluster_Master!$H$4:$H$18,MATCH($F168,Cluster_Master!$B$4:$B$18,0)),"")</f>
        <v/>
      </c>
      <c r="N168" s="41" t="n"/>
      <c r="O168" s="41" t="n"/>
      <c r="P168" s="41" t="n"/>
      <c r="Q168" s="41" t="n"/>
      <c r="R168" s="41" t="n"/>
      <c r="S168" s="41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15">
        <f>IF(COUNTA(T168:AH168)=0,"",SUM(T168:AH168))</f>
        <v/>
      </c>
      <c r="AJ168" s="21">
        <f>IF(COUNTA(T168:AH168)=0,"",AI168/(COUNT(KPI_Weights!$A$4:$A$18)*5))</f>
        <v/>
      </c>
      <c r="AK168" s="21">
        <f>IF(COUNTA(T168:AH168)=0,"",SUMPRODUCT(T168:AH168,KPI_Weights!$B$4:$B$18)/5)</f>
        <v/>
      </c>
      <c r="AL168" s="15">
        <f>IF(COUNTA(T168:AH168)=0,"",IF(SUMPRODUCT(--(T168:AH168&lt;=1),--(KPI_Weights!$C$4:$C$18="YES"))&gt;0,"YES","NO"))</f>
        <v/>
      </c>
      <c r="AM168" s="15">
        <f>IF(AJ168="","",IF(AND(AL168="NO",AJ168&gt;=0.75),"YES","NO"))</f>
        <v/>
      </c>
      <c r="AN168" s="15">
        <f>IF(AJ168="","",IF(AJ168&lt;0.4,"Critical",IF(AJ168&lt;0.6,"Poor",IF(AJ168&lt;0.75,"Needs Improvement",IF(AJ168&lt;0.9,"Good","Excellent")))))</f>
        <v/>
      </c>
      <c r="AO168" s="41" t="n"/>
      <c r="AP168" s="41" t="n"/>
      <c r="AQ168" s="41" t="n"/>
      <c r="AR168" s="41" t="n"/>
      <c r="AS168" s="41" t="n"/>
      <c r="AT168" s="44" t="n"/>
      <c r="AU168" s="41" t="n"/>
      <c r="AV168" s="43" t="n"/>
      <c r="AW168" s="41" t="n"/>
      <c r="AX168" s="44" t="n"/>
      <c r="AY168" s="44" t="n"/>
      <c r="AZ168" s="44" t="n"/>
      <c r="BA168" s="44" t="n"/>
      <c r="BB168" s="44" t="n"/>
      <c r="BC168" s="44" t="n"/>
      <c r="BD168" s="44" t="n"/>
      <c r="BE168" s="44" t="n"/>
      <c r="BF168" s="44" t="n"/>
    </row>
    <row r="169" ht="19.5" customHeight="1" s="45">
      <c r="A169" s="15">
        <f>IF($B169="","",TEXT($B169,"yyyymmdd")&amp;"-"&amp;SUBSTITUTE($F169," ","")&amp;"-"&amp;TEXT(COUNTIF($F$4:F169,$F169),"00"))</f>
        <v/>
      </c>
      <c r="B169" s="39" t="n"/>
      <c r="C169" s="15">
        <f>IF($B169="","",WEEKNUM($B169,2))</f>
        <v/>
      </c>
      <c r="D169" s="15">
        <f>IF($B169="","",TEXT($B169,"yyyy-mm"))</f>
        <v/>
      </c>
      <c r="E169" s="40" t="n"/>
      <c r="F169" s="40" t="n"/>
      <c r="G169" s="15">
        <f>IF(OR($E169="",$F169=""),"",IFERROR(IF($E169=INDEX(Cluster_Master!$A$4:$A$18,MATCH($F169,Cluster_Master!$B$4:$B$18,0)),"OK","CHECK"),"CHECK"))</f>
        <v/>
      </c>
      <c r="H169" s="18">
        <f>IFERROR(INDEX(Cluster_Master!$C$4:$C$18,MATCH($F169,Cluster_Master!$B$4:$B$18,0)),"")</f>
        <v/>
      </c>
      <c r="I169" s="15">
        <f>IFERROR(INDEX(Cluster_Master!$D$4:$D$18,MATCH($F169,Cluster_Master!$B$4:$B$18,0)),"")</f>
        <v/>
      </c>
      <c r="J169" s="15">
        <f>IFERROR(INDEX(Cluster_Master!$E$4:$E$18,MATCH($F169,Cluster_Master!$B$4:$B$18,0)),"")</f>
        <v/>
      </c>
      <c r="K169" s="15">
        <f>IFERROR(INDEX(Cluster_Master!$F$4:$F$18,MATCH($F169,Cluster_Master!$B$4:$B$18,0)),"")</f>
        <v/>
      </c>
      <c r="L169" s="15">
        <f>IFERROR(INDEX(Cluster_Master!$G$4:$G$18,MATCH($F169,Cluster_Master!$B$4:$B$18,0)),"")</f>
        <v/>
      </c>
      <c r="M169" s="15">
        <f>IFERROR(INDEX(Cluster_Master!$H$4:$H$18,MATCH($F169,Cluster_Master!$B$4:$B$18,0)),"")</f>
        <v/>
      </c>
      <c r="N169" s="41" t="n"/>
      <c r="O169" s="41" t="n"/>
      <c r="P169" s="41" t="n"/>
      <c r="Q169" s="41" t="n"/>
      <c r="R169" s="41" t="n"/>
      <c r="S169" s="41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15">
        <f>IF(COUNTA(T169:AH169)=0,"",SUM(T169:AH169))</f>
        <v/>
      </c>
      <c r="AJ169" s="21">
        <f>IF(COUNTA(T169:AH169)=0,"",AI169/(COUNT(KPI_Weights!$A$4:$A$18)*5))</f>
        <v/>
      </c>
      <c r="AK169" s="21">
        <f>IF(COUNTA(T169:AH169)=0,"",SUMPRODUCT(T169:AH169,KPI_Weights!$B$4:$B$18)/5)</f>
        <v/>
      </c>
      <c r="AL169" s="15">
        <f>IF(COUNTA(T169:AH169)=0,"",IF(SUMPRODUCT(--(T169:AH169&lt;=1),--(KPI_Weights!$C$4:$C$18="YES"))&gt;0,"YES","NO"))</f>
        <v/>
      </c>
      <c r="AM169" s="15">
        <f>IF(AJ169="","",IF(AND(AL169="NO",AJ169&gt;=0.75),"YES","NO"))</f>
        <v/>
      </c>
      <c r="AN169" s="15">
        <f>IF(AJ169="","",IF(AJ169&lt;0.4,"Critical",IF(AJ169&lt;0.6,"Poor",IF(AJ169&lt;0.75,"Needs Improvement",IF(AJ169&lt;0.9,"Good","Excellent")))))</f>
        <v/>
      </c>
      <c r="AO169" s="41" t="n"/>
      <c r="AP169" s="41" t="n"/>
      <c r="AQ169" s="41" t="n"/>
      <c r="AR169" s="41" t="n"/>
      <c r="AS169" s="41" t="n"/>
      <c r="AT169" s="44" t="n"/>
      <c r="AU169" s="41" t="n"/>
      <c r="AV169" s="43" t="n"/>
      <c r="AW169" s="41" t="n"/>
      <c r="AX169" s="44" t="n"/>
      <c r="AY169" s="44" t="n"/>
      <c r="AZ169" s="44" t="n"/>
      <c r="BA169" s="44" t="n"/>
      <c r="BB169" s="44" t="n"/>
      <c r="BC169" s="44" t="n"/>
      <c r="BD169" s="44" t="n"/>
      <c r="BE169" s="44" t="n"/>
      <c r="BF169" s="44" t="n"/>
    </row>
    <row r="170" ht="19.5" customHeight="1" s="45">
      <c r="A170" s="15">
        <f>IF($B170="","",TEXT($B170,"yyyymmdd")&amp;"-"&amp;SUBSTITUTE($F170," ","")&amp;"-"&amp;TEXT(COUNTIF($F$4:F170,$F170),"00"))</f>
        <v/>
      </c>
      <c r="B170" s="39" t="n"/>
      <c r="C170" s="15">
        <f>IF($B170="","",WEEKNUM($B170,2))</f>
        <v/>
      </c>
      <c r="D170" s="15">
        <f>IF($B170="","",TEXT($B170,"yyyy-mm"))</f>
        <v/>
      </c>
      <c r="E170" s="40" t="n"/>
      <c r="F170" s="40" t="n"/>
      <c r="G170" s="15">
        <f>IF(OR($E170="",$F170=""),"",IFERROR(IF($E170=INDEX(Cluster_Master!$A$4:$A$18,MATCH($F170,Cluster_Master!$B$4:$B$18,0)),"OK","CHECK"),"CHECK"))</f>
        <v/>
      </c>
      <c r="H170" s="18">
        <f>IFERROR(INDEX(Cluster_Master!$C$4:$C$18,MATCH($F170,Cluster_Master!$B$4:$B$18,0)),"")</f>
        <v/>
      </c>
      <c r="I170" s="15">
        <f>IFERROR(INDEX(Cluster_Master!$D$4:$D$18,MATCH($F170,Cluster_Master!$B$4:$B$18,0)),"")</f>
        <v/>
      </c>
      <c r="J170" s="15">
        <f>IFERROR(INDEX(Cluster_Master!$E$4:$E$18,MATCH($F170,Cluster_Master!$B$4:$B$18,0)),"")</f>
        <v/>
      </c>
      <c r="K170" s="15">
        <f>IFERROR(INDEX(Cluster_Master!$F$4:$F$18,MATCH($F170,Cluster_Master!$B$4:$B$18,0)),"")</f>
        <v/>
      </c>
      <c r="L170" s="15">
        <f>IFERROR(INDEX(Cluster_Master!$G$4:$G$18,MATCH($F170,Cluster_Master!$B$4:$B$18,0)),"")</f>
        <v/>
      </c>
      <c r="M170" s="15">
        <f>IFERROR(INDEX(Cluster_Master!$H$4:$H$18,MATCH($F170,Cluster_Master!$B$4:$B$18,0)),"")</f>
        <v/>
      </c>
      <c r="N170" s="41" t="n"/>
      <c r="O170" s="41" t="n"/>
      <c r="P170" s="41" t="n"/>
      <c r="Q170" s="41" t="n"/>
      <c r="R170" s="41" t="n"/>
      <c r="S170" s="41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15">
        <f>IF(COUNTA(T170:AH170)=0,"",SUM(T170:AH170))</f>
        <v/>
      </c>
      <c r="AJ170" s="21">
        <f>IF(COUNTA(T170:AH170)=0,"",AI170/(COUNT(KPI_Weights!$A$4:$A$18)*5))</f>
        <v/>
      </c>
      <c r="AK170" s="21">
        <f>IF(COUNTA(T170:AH170)=0,"",SUMPRODUCT(T170:AH170,KPI_Weights!$B$4:$B$18)/5)</f>
        <v/>
      </c>
      <c r="AL170" s="15">
        <f>IF(COUNTA(T170:AH170)=0,"",IF(SUMPRODUCT(--(T170:AH170&lt;=1),--(KPI_Weights!$C$4:$C$18="YES"))&gt;0,"YES","NO"))</f>
        <v/>
      </c>
      <c r="AM170" s="15">
        <f>IF(AJ170="","",IF(AND(AL170="NO",AJ170&gt;=0.75),"YES","NO"))</f>
        <v/>
      </c>
      <c r="AN170" s="15">
        <f>IF(AJ170="","",IF(AJ170&lt;0.4,"Critical",IF(AJ170&lt;0.6,"Poor",IF(AJ170&lt;0.75,"Needs Improvement",IF(AJ170&lt;0.9,"Good","Excellent")))))</f>
        <v/>
      </c>
      <c r="AO170" s="41" t="n"/>
      <c r="AP170" s="41" t="n"/>
      <c r="AQ170" s="41" t="n"/>
      <c r="AR170" s="41" t="n"/>
      <c r="AS170" s="41" t="n"/>
      <c r="AT170" s="44" t="n"/>
      <c r="AU170" s="41" t="n"/>
      <c r="AV170" s="43" t="n"/>
      <c r="AW170" s="41" t="n"/>
      <c r="AX170" s="44" t="n"/>
      <c r="AY170" s="44" t="n"/>
      <c r="AZ170" s="44" t="n"/>
      <c r="BA170" s="44" t="n"/>
      <c r="BB170" s="44" t="n"/>
      <c r="BC170" s="44" t="n"/>
      <c r="BD170" s="44" t="n"/>
      <c r="BE170" s="44" t="n"/>
      <c r="BF170" s="44" t="n"/>
    </row>
    <row r="171" ht="19.5" customHeight="1" s="45">
      <c r="A171" s="15">
        <f>IF($B171="","",TEXT($B171,"yyyymmdd")&amp;"-"&amp;SUBSTITUTE($F171," ","")&amp;"-"&amp;TEXT(COUNTIF($F$4:F171,$F171),"00"))</f>
        <v/>
      </c>
      <c r="B171" s="39" t="n"/>
      <c r="C171" s="15">
        <f>IF($B171="","",WEEKNUM($B171,2))</f>
        <v/>
      </c>
      <c r="D171" s="15">
        <f>IF($B171="","",TEXT($B171,"yyyy-mm"))</f>
        <v/>
      </c>
      <c r="E171" s="40" t="n"/>
      <c r="F171" s="40" t="n"/>
      <c r="G171" s="15">
        <f>IF(OR($E171="",$F171=""),"",IFERROR(IF($E171=INDEX(Cluster_Master!$A$4:$A$18,MATCH($F171,Cluster_Master!$B$4:$B$18,0)),"OK","CHECK"),"CHECK"))</f>
        <v/>
      </c>
      <c r="H171" s="18">
        <f>IFERROR(INDEX(Cluster_Master!$C$4:$C$18,MATCH($F171,Cluster_Master!$B$4:$B$18,0)),"")</f>
        <v/>
      </c>
      <c r="I171" s="15">
        <f>IFERROR(INDEX(Cluster_Master!$D$4:$D$18,MATCH($F171,Cluster_Master!$B$4:$B$18,0)),"")</f>
        <v/>
      </c>
      <c r="J171" s="15">
        <f>IFERROR(INDEX(Cluster_Master!$E$4:$E$18,MATCH($F171,Cluster_Master!$B$4:$B$18,0)),"")</f>
        <v/>
      </c>
      <c r="K171" s="15">
        <f>IFERROR(INDEX(Cluster_Master!$F$4:$F$18,MATCH($F171,Cluster_Master!$B$4:$B$18,0)),"")</f>
        <v/>
      </c>
      <c r="L171" s="15">
        <f>IFERROR(INDEX(Cluster_Master!$G$4:$G$18,MATCH($F171,Cluster_Master!$B$4:$B$18,0)),"")</f>
        <v/>
      </c>
      <c r="M171" s="15">
        <f>IFERROR(INDEX(Cluster_Master!$H$4:$H$18,MATCH($F171,Cluster_Master!$B$4:$B$18,0)),"")</f>
        <v/>
      </c>
      <c r="N171" s="41" t="n"/>
      <c r="O171" s="41" t="n"/>
      <c r="P171" s="41" t="n"/>
      <c r="Q171" s="41" t="n"/>
      <c r="R171" s="41" t="n"/>
      <c r="S171" s="41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15">
        <f>IF(COUNTA(T171:AH171)=0,"",SUM(T171:AH171))</f>
        <v/>
      </c>
      <c r="AJ171" s="21">
        <f>IF(COUNTA(T171:AH171)=0,"",AI171/(COUNT(KPI_Weights!$A$4:$A$18)*5))</f>
        <v/>
      </c>
      <c r="AK171" s="21">
        <f>IF(COUNTA(T171:AH171)=0,"",SUMPRODUCT(T171:AH171,KPI_Weights!$B$4:$B$18)/5)</f>
        <v/>
      </c>
      <c r="AL171" s="15">
        <f>IF(COUNTA(T171:AH171)=0,"",IF(SUMPRODUCT(--(T171:AH171&lt;=1),--(KPI_Weights!$C$4:$C$18="YES"))&gt;0,"YES","NO"))</f>
        <v/>
      </c>
      <c r="AM171" s="15">
        <f>IF(AJ171="","",IF(AND(AL171="NO",AJ171&gt;=0.75),"YES","NO"))</f>
        <v/>
      </c>
      <c r="AN171" s="15">
        <f>IF(AJ171="","",IF(AJ171&lt;0.4,"Critical",IF(AJ171&lt;0.6,"Poor",IF(AJ171&lt;0.75,"Needs Improvement",IF(AJ171&lt;0.9,"Good","Excellent")))))</f>
        <v/>
      </c>
      <c r="AO171" s="41" t="n"/>
      <c r="AP171" s="41" t="n"/>
      <c r="AQ171" s="41" t="n"/>
      <c r="AR171" s="41" t="n"/>
      <c r="AS171" s="41" t="n"/>
      <c r="AT171" s="44" t="n"/>
      <c r="AU171" s="41" t="n"/>
      <c r="AV171" s="43" t="n"/>
      <c r="AW171" s="41" t="n"/>
      <c r="AX171" s="44" t="n"/>
      <c r="AY171" s="44" t="n"/>
      <c r="AZ171" s="44" t="n"/>
      <c r="BA171" s="44" t="n"/>
      <c r="BB171" s="44" t="n"/>
      <c r="BC171" s="44" t="n"/>
      <c r="BD171" s="44" t="n"/>
      <c r="BE171" s="44" t="n"/>
      <c r="BF171" s="44" t="n"/>
    </row>
    <row r="172" ht="19.5" customHeight="1" s="45">
      <c r="A172" s="15">
        <f>IF($B172="","",TEXT($B172,"yyyymmdd")&amp;"-"&amp;SUBSTITUTE($F172," ","")&amp;"-"&amp;TEXT(COUNTIF($F$4:F172,$F172),"00"))</f>
        <v/>
      </c>
      <c r="B172" s="39" t="n"/>
      <c r="C172" s="15">
        <f>IF($B172="","",WEEKNUM($B172,2))</f>
        <v/>
      </c>
      <c r="D172" s="15">
        <f>IF($B172="","",TEXT($B172,"yyyy-mm"))</f>
        <v/>
      </c>
      <c r="E172" s="40" t="n"/>
      <c r="F172" s="40" t="n"/>
      <c r="G172" s="15">
        <f>IF(OR($E172="",$F172=""),"",IFERROR(IF($E172=INDEX(Cluster_Master!$A$4:$A$18,MATCH($F172,Cluster_Master!$B$4:$B$18,0)),"OK","CHECK"),"CHECK"))</f>
        <v/>
      </c>
      <c r="H172" s="18">
        <f>IFERROR(INDEX(Cluster_Master!$C$4:$C$18,MATCH($F172,Cluster_Master!$B$4:$B$18,0)),"")</f>
        <v/>
      </c>
      <c r="I172" s="15">
        <f>IFERROR(INDEX(Cluster_Master!$D$4:$D$18,MATCH($F172,Cluster_Master!$B$4:$B$18,0)),"")</f>
        <v/>
      </c>
      <c r="J172" s="15">
        <f>IFERROR(INDEX(Cluster_Master!$E$4:$E$18,MATCH($F172,Cluster_Master!$B$4:$B$18,0)),"")</f>
        <v/>
      </c>
      <c r="K172" s="15">
        <f>IFERROR(INDEX(Cluster_Master!$F$4:$F$18,MATCH($F172,Cluster_Master!$B$4:$B$18,0)),"")</f>
        <v/>
      </c>
      <c r="L172" s="15">
        <f>IFERROR(INDEX(Cluster_Master!$G$4:$G$18,MATCH($F172,Cluster_Master!$B$4:$B$18,0)),"")</f>
        <v/>
      </c>
      <c r="M172" s="15">
        <f>IFERROR(INDEX(Cluster_Master!$H$4:$H$18,MATCH($F172,Cluster_Master!$B$4:$B$18,0)),"")</f>
        <v/>
      </c>
      <c r="N172" s="41" t="n"/>
      <c r="O172" s="41" t="n"/>
      <c r="P172" s="41" t="n"/>
      <c r="Q172" s="41" t="n"/>
      <c r="R172" s="41" t="n"/>
      <c r="S172" s="41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15">
        <f>IF(COUNTA(T172:AH172)=0,"",SUM(T172:AH172))</f>
        <v/>
      </c>
      <c r="AJ172" s="21">
        <f>IF(COUNTA(T172:AH172)=0,"",AI172/(COUNT(KPI_Weights!$A$4:$A$18)*5))</f>
        <v/>
      </c>
      <c r="AK172" s="21">
        <f>IF(COUNTA(T172:AH172)=0,"",SUMPRODUCT(T172:AH172,KPI_Weights!$B$4:$B$18)/5)</f>
        <v/>
      </c>
      <c r="AL172" s="15">
        <f>IF(COUNTA(T172:AH172)=0,"",IF(SUMPRODUCT(--(T172:AH172&lt;=1),--(KPI_Weights!$C$4:$C$18="YES"))&gt;0,"YES","NO"))</f>
        <v/>
      </c>
      <c r="AM172" s="15">
        <f>IF(AJ172="","",IF(AND(AL172="NO",AJ172&gt;=0.75),"YES","NO"))</f>
        <v/>
      </c>
      <c r="AN172" s="15">
        <f>IF(AJ172="","",IF(AJ172&lt;0.4,"Critical",IF(AJ172&lt;0.6,"Poor",IF(AJ172&lt;0.75,"Needs Improvement",IF(AJ172&lt;0.9,"Good","Excellent")))))</f>
        <v/>
      </c>
      <c r="AO172" s="41" t="n"/>
      <c r="AP172" s="41" t="n"/>
      <c r="AQ172" s="41" t="n"/>
      <c r="AR172" s="41" t="n"/>
      <c r="AS172" s="41" t="n"/>
      <c r="AT172" s="44" t="n"/>
      <c r="AU172" s="41" t="n"/>
      <c r="AV172" s="43" t="n"/>
      <c r="AW172" s="41" t="n"/>
      <c r="AX172" s="44" t="n"/>
      <c r="AY172" s="44" t="n"/>
      <c r="AZ172" s="44" t="n"/>
      <c r="BA172" s="44" t="n"/>
      <c r="BB172" s="44" t="n"/>
      <c r="BC172" s="44" t="n"/>
      <c r="BD172" s="44" t="n"/>
      <c r="BE172" s="44" t="n"/>
      <c r="BF172" s="44" t="n"/>
    </row>
    <row r="173" ht="19.5" customHeight="1" s="45">
      <c r="A173" s="15">
        <f>IF($B173="","",TEXT($B173,"yyyymmdd")&amp;"-"&amp;SUBSTITUTE($F173," ","")&amp;"-"&amp;TEXT(COUNTIF($F$4:F173,$F173),"00"))</f>
        <v/>
      </c>
      <c r="B173" s="39" t="n"/>
      <c r="C173" s="15">
        <f>IF($B173="","",WEEKNUM($B173,2))</f>
        <v/>
      </c>
      <c r="D173" s="15">
        <f>IF($B173="","",TEXT($B173,"yyyy-mm"))</f>
        <v/>
      </c>
      <c r="E173" s="40" t="n"/>
      <c r="F173" s="40" t="n"/>
      <c r="G173" s="15">
        <f>IF(OR($E173="",$F173=""),"",IFERROR(IF($E173=INDEX(Cluster_Master!$A$4:$A$18,MATCH($F173,Cluster_Master!$B$4:$B$18,0)),"OK","CHECK"),"CHECK"))</f>
        <v/>
      </c>
      <c r="H173" s="18">
        <f>IFERROR(INDEX(Cluster_Master!$C$4:$C$18,MATCH($F173,Cluster_Master!$B$4:$B$18,0)),"")</f>
        <v/>
      </c>
      <c r="I173" s="15">
        <f>IFERROR(INDEX(Cluster_Master!$D$4:$D$18,MATCH($F173,Cluster_Master!$B$4:$B$18,0)),"")</f>
        <v/>
      </c>
      <c r="J173" s="15">
        <f>IFERROR(INDEX(Cluster_Master!$E$4:$E$18,MATCH($F173,Cluster_Master!$B$4:$B$18,0)),"")</f>
        <v/>
      </c>
      <c r="K173" s="15">
        <f>IFERROR(INDEX(Cluster_Master!$F$4:$F$18,MATCH($F173,Cluster_Master!$B$4:$B$18,0)),"")</f>
        <v/>
      </c>
      <c r="L173" s="15">
        <f>IFERROR(INDEX(Cluster_Master!$G$4:$G$18,MATCH($F173,Cluster_Master!$B$4:$B$18,0)),"")</f>
        <v/>
      </c>
      <c r="M173" s="15">
        <f>IFERROR(INDEX(Cluster_Master!$H$4:$H$18,MATCH($F173,Cluster_Master!$B$4:$B$18,0)),"")</f>
        <v/>
      </c>
      <c r="N173" s="41" t="n"/>
      <c r="O173" s="41" t="n"/>
      <c r="P173" s="41" t="n"/>
      <c r="Q173" s="41" t="n"/>
      <c r="R173" s="41" t="n"/>
      <c r="S173" s="41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15">
        <f>IF(COUNTA(T173:AH173)=0,"",SUM(T173:AH173))</f>
        <v/>
      </c>
      <c r="AJ173" s="21">
        <f>IF(COUNTA(T173:AH173)=0,"",AI173/(COUNT(KPI_Weights!$A$4:$A$18)*5))</f>
        <v/>
      </c>
      <c r="AK173" s="21">
        <f>IF(COUNTA(T173:AH173)=0,"",SUMPRODUCT(T173:AH173,KPI_Weights!$B$4:$B$18)/5)</f>
        <v/>
      </c>
      <c r="AL173" s="15">
        <f>IF(COUNTA(T173:AH173)=0,"",IF(SUMPRODUCT(--(T173:AH173&lt;=1),--(KPI_Weights!$C$4:$C$18="YES"))&gt;0,"YES","NO"))</f>
        <v/>
      </c>
      <c r="AM173" s="15">
        <f>IF(AJ173="","",IF(AND(AL173="NO",AJ173&gt;=0.75),"YES","NO"))</f>
        <v/>
      </c>
      <c r="AN173" s="15">
        <f>IF(AJ173="","",IF(AJ173&lt;0.4,"Critical",IF(AJ173&lt;0.6,"Poor",IF(AJ173&lt;0.75,"Needs Improvement",IF(AJ173&lt;0.9,"Good","Excellent")))))</f>
        <v/>
      </c>
      <c r="AO173" s="41" t="n"/>
      <c r="AP173" s="41" t="n"/>
      <c r="AQ173" s="41" t="n"/>
      <c r="AR173" s="41" t="n"/>
      <c r="AS173" s="41" t="n"/>
      <c r="AT173" s="44" t="n"/>
      <c r="AU173" s="41" t="n"/>
      <c r="AV173" s="43" t="n"/>
      <c r="AW173" s="41" t="n"/>
      <c r="AX173" s="44" t="n"/>
      <c r="AY173" s="44" t="n"/>
      <c r="AZ173" s="44" t="n"/>
      <c r="BA173" s="44" t="n"/>
      <c r="BB173" s="44" t="n"/>
      <c r="BC173" s="44" t="n"/>
      <c r="BD173" s="44" t="n"/>
      <c r="BE173" s="44" t="n"/>
      <c r="BF173" s="44" t="n"/>
    </row>
    <row r="174" ht="19.5" customHeight="1" s="45">
      <c r="A174" s="15">
        <f>IF($B174="","",TEXT($B174,"yyyymmdd")&amp;"-"&amp;SUBSTITUTE($F174," ","")&amp;"-"&amp;TEXT(COUNTIF($F$4:F174,$F174),"00"))</f>
        <v/>
      </c>
      <c r="B174" s="39" t="n"/>
      <c r="C174" s="15">
        <f>IF($B174="","",WEEKNUM($B174,2))</f>
        <v/>
      </c>
      <c r="D174" s="15">
        <f>IF($B174="","",TEXT($B174,"yyyy-mm"))</f>
        <v/>
      </c>
      <c r="E174" s="40" t="n"/>
      <c r="F174" s="40" t="n"/>
      <c r="G174" s="15">
        <f>IF(OR($E174="",$F174=""),"",IFERROR(IF($E174=INDEX(Cluster_Master!$A$4:$A$18,MATCH($F174,Cluster_Master!$B$4:$B$18,0)),"OK","CHECK"),"CHECK"))</f>
        <v/>
      </c>
      <c r="H174" s="18">
        <f>IFERROR(INDEX(Cluster_Master!$C$4:$C$18,MATCH($F174,Cluster_Master!$B$4:$B$18,0)),"")</f>
        <v/>
      </c>
      <c r="I174" s="15">
        <f>IFERROR(INDEX(Cluster_Master!$D$4:$D$18,MATCH($F174,Cluster_Master!$B$4:$B$18,0)),"")</f>
        <v/>
      </c>
      <c r="J174" s="15">
        <f>IFERROR(INDEX(Cluster_Master!$E$4:$E$18,MATCH($F174,Cluster_Master!$B$4:$B$18,0)),"")</f>
        <v/>
      </c>
      <c r="K174" s="15">
        <f>IFERROR(INDEX(Cluster_Master!$F$4:$F$18,MATCH($F174,Cluster_Master!$B$4:$B$18,0)),"")</f>
        <v/>
      </c>
      <c r="L174" s="15">
        <f>IFERROR(INDEX(Cluster_Master!$G$4:$G$18,MATCH($F174,Cluster_Master!$B$4:$B$18,0)),"")</f>
        <v/>
      </c>
      <c r="M174" s="15">
        <f>IFERROR(INDEX(Cluster_Master!$H$4:$H$18,MATCH($F174,Cluster_Master!$B$4:$B$18,0)),"")</f>
        <v/>
      </c>
      <c r="N174" s="41" t="n"/>
      <c r="O174" s="41" t="n"/>
      <c r="P174" s="41" t="n"/>
      <c r="Q174" s="41" t="n"/>
      <c r="R174" s="41" t="n"/>
      <c r="S174" s="41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15">
        <f>IF(COUNTA(T174:AH174)=0,"",SUM(T174:AH174))</f>
        <v/>
      </c>
      <c r="AJ174" s="21">
        <f>IF(COUNTA(T174:AH174)=0,"",AI174/(COUNT(KPI_Weights!$A$4:$A$18)*5))</f>
        <v/>
      </c>
      <c r="AK174" s="21">
        <f>IF(COUNTA(T174:AH174)=0,"",SUMPRODUCT(T174:AH174,KPI_Weights!$B$4:$B$18)/5)</f>
        <v/>
      </c>
      <c r="AL174" s="15">
        <f>IF(COUNTA(T174:AH174)=0,"",IF(SUMPRODUCT(--(T174:AH174&lt;=1),--(KPI_Weights!$C$4:$C$18="YES"))&gt;0,"YES","NO"))</f>
        <v/>
      </c>
      <c r="AM174" s="15">
        <f>IF(AJ174="","",IF(AND(AL174="NO",AJ174&gt;=0.75),"YES","NO"))</f>
        <v/>
      </c>
      <c r="AN174" s="15">
        <f>IF(AJ174="","",IF(AJ174&lt;0.4,"Critical",IF(AJ174&lt;0.6,"Poor",IF(AJ174&lt;0.75,"Needs Improvement",IF(AJ174&lt;0.9,"Good","Excellent")))))</f>
        <v/>
      </c>
      <c r="AO174" s="41" t="n"/>
      <c r="AP174" s="41" t="n"/>
      <c r="AQ174" s="41" t="n"/>
      <c r="AR174" s="41" t="n"/>
      <c r="AS174" s="41" t="n"/>
      <c r="AT174" s="44" t="n"/>
      <c r="AU174" s="41" t="n"/>
      <c r="AV174" s="43" t="n"/>
      <c r="AW174" s="41" t="n"/>
      <c r="AX174" s="44" t="n"/>
      <c r="AY174" s="44" t="n"/>
      <c r="AZ174" s="44" t="n"/>
      <c r="BA174" s="44" t="n"/>
      <c r="BB174" s="44" t="n"/>
      <c r="BC174" s="44" t="n"/>
      <c r="BD174" s="44" t="n"/>
      <c r="BE174" s="44" t="n"/>
      <c r="BF174" s="44" t="n"/>
    </row>
    <row r="175" ht="19.5" customHeight="1" s="45">
      <c r="A175" s="15">
        <f>IF($B175="","",TEXT($B175,"yyyymmdd")&amp;"-"&amp;SUBSTITUTE($F175," ","")&amp;"-"&amp;TEXT(COUNTIF($F$4:F175,$F175),"00"))</f>
        <v/>
      </c>
      <c r="B175" s="39" t="n"/>
      <c r="C175" s="15">
        <f>IF($B175="","",WEEKNUM($B175,2))</f>
        <v/>
      </c>
      <c r="D175" s="15">
        <f>IF($B175="","",TEXT($B175,"yyyy-mm"))</f>
        <v/>
      </c>
      <c r="E175" s="40" t="n"/>
      <c r="F175" s="40" t="n"/>
      <c r="G175" s="15">
        <f>IF(OR($E175="",$F175=""),"",IFERROR(IF($E175=INDEX(Cluster_Master!$A$4:$A$18,MATCH($F175,Cluster_Master!$B$4:$B$18,0)),"OK","CHECK"),"CHECK"))</f>
        <v/>
      </c>
      <c r="H175" s="18">
        <f>IFERROR(INDEX(Cluster_Master!$C$4:$C$18,MATCH($F175,Cluster_Master!$B$4:$B$18,0)),"")</f>
        <v/>
      </c>
      <c r="I175" s="15">
        <f>IFERROR(INDEX(Cluster_Master!$D$4:$D$18,MATCH($F175,Cluster_Master!$B$4:$B$18,0)),"")</f>
        <v/>
      </c>
      <c r="J175" s="15">
        <f>IFERROR(INDEX(Cluster_Master!$E$4:$E$18,MATCH($F175,Cluster_Master!$B$4:$B$18,0)),"")</f>
        <v/>
      </c>
      <c r="K175" s="15">
        <f>IFERROR(INDEX(Cluster_Master!$F$4:$F$18,MATCH($F175,Cluster_Master!$B$4:$B$18,0)),"")</f>
        <v/>
      </c>
      <c r="L175" s="15">
        <f>IFERROR(INDEX(Cluster_Master!$G$4:$G$18,MATCH($F175,Cluster_Master!$B$4:$B$18,0)),"")</f>
        <v/>
      </c>
      <c r="M175" s="15">
        <f>IFERROR(INDEX(Cluster_Master!$H$4:$H$18,MATCH($F175,Cluster_Master!$B$4:$B$18,0)),"")</f>
        <v/>
      </c>
      <c r="N175" s="41" t="n"/>
      <c r="O175" s="41" t="n"/>
      <c r="P175" s="41" t="n"/>
      <c r="Q175" s="41" t="n"/>
      <c r="R175" s="41" t="n"/>
      <c r="S175" s="41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15">
        <f>IF(COUNTA(T175:AH175)=0,"",SUM(T175:AH175))</f>
        <v/>
      </c>
      <c r="AJ175" s="21">
        <f>IF(COUNTA(T175:AH175)=0,"",AI175/(COUNT(KPI_Weights!$A$4:$A$18)*5))</f>
        <v/>
      </c>
      <c r="AK175" s="21">
        <f>IF(COUNTA(T175:AH175)=0,"",SUMPRODUCT(T175:AH175,KPI_Weights!$B$4:$B$18)/5)</f>
        <v/>
      </c>
      <c r="AL175" s="15">
        <f>IF(COUNTA(T175:AH175)=0,"",IF(SUMPRODUCT(--(T175:AH175&lt;=1),--(KPI_Weights!$C$4:$C$18="YES"))&gt;0,"YES","NO"))</f>
        <v/>
      </c>
      <c r="AM175" s="15">
        <f>IF(AJ175="","",IF(AND(AL175="NO",AJ175&gt;=0.75),"YES","NO"))</f>
        <v/>
      </c>
      <c r="AN175" s="15">
        <f>IF(AJ175="","",IF(AJ175&lt;0.4,"Critical",IF(AJ175&lt;0.6,"Poor",IF(AJ175&lt;0.75,"Needs Improvement",IF(AJ175&lt;0.9,"Good","Excellent")))))</f>
        <v/>
      </c>
      <c r="AO175" s="41" t="n"/>
      <c r="AP175" s="41" t="n"/>
      <c r="AQ175" s="41" t="n"/>
      <c r="AR175" s="41" t="n"/>
      <c r="AS175" s="41" t="n"/>
      <c r="AT175" s="44" t="n"/>
      <c r="AU175" s="41" t="n"/>
      <c r="AV175" s="43" t="n"/>
      <c r="AW175" s="41" t="n"/>
      <c r="AX175" s="44" t="n"/>
      <c r="AY175" s="44" t="n"/>
      <c r="AZ175" s="44" t="n"/>
      <c r="BA175" s="44" t="n"/>
      <c r="BB175" s="44" t="n"/>
      <c r="BC175" s="44" t="n"/>
      <c r="BD175" s="44" t="n"/>
      <c r="BE175" s="44" t="n"/>
      <c r="BF175" s="44" t="n"/>
    </row>
    <row r="176" ht="19.5" customHeight="1" s="45">
      <c r="A176" s="15">
        <f>IF($B176="","",TEXT($B176,"yyyymmdd")&amp;"-"&amp;SUBSTITUTE($F176," ","")&amp;"-"&amp;TEXT(COUNTIF($F$4:F176,$F176),"00"))</f>
        <v/>
      </c>
      <c r="B176" s="39" t="n"/>
      <c r="C176" s="15">
        <f>IF($B176="","",WEEKNUM($B176,2))</f>
        <v/>
      </c>
      <c r="D176" s="15">
        <f>IF($B176="","",TEXT($B176,"yyyy-mm"))</f>
        <v/>
      </c>
      <c r="E176" s="40" t="n"/>
      <c r="F176" s="40" t="n"/>
      <c r="G176" s="15">
        <f>IF(OR($E176="",$F176=""),"",IFERROR(IF($E176=INDEX(Cluster_Master!$A$4:$A$18,MATCH($F176,Cluster_Master!$B$4:$B$18,0)),"OK","CHECK"),"CHECK"))</f>
        <v/>
      </c>
      <c r="H176" s="18">
        <f>IFERROR(INDEX(Cluster_Master!$C$4:$C$18,MATCH($F176,Cluster_Master!$B$4:$B$18,0)),"")</f>
        <v/>
      </c>
      <c r="I176" s="15">
        <f>IFERROR(INDEX(Cluster_Master!$D$4:$D$18,MATCH($F176,Cluster_Master!$B$4:$B$18,0)),"")</f>
        <v/>
      </c>
      <c r="J176" s="15">
        <f>IFERROR(INDEX(Cluster_Master!$E$4:$E$18,MATCH($F176,Cluster_Master!$B$4:$B$18,0)),"")</f>
        <v/>
      </c>
      <c r="K176" s="15">
        <f>IFERROR(INDEX(Cluster_Master!$F$4:$F$18,MATCH($F176,Cluster_Master!$B$4:$B$18,0)),"")</f>
        <v/>
      </c>
      <c r="L176" s="15">
        <f>IFERROR(INDEX(Cluster_Master!$G$4:$G$18,MATCH($F176,Cluster_Master!$B$4:$B$18,0)),"")</f>
        <v/>
      </c>
      <c r="M176" s="15">
        <f>IFERROR(INDEX(Cluster_Master!$H$4:$H$18,MATCH($F176,Cluster_Master!$B$4:$B$18,0)),"")</f>
        <v/>
      </c>
      <c r="N176" s="41" t="n"/>
      <c r="O176" s="41" t="n"/>
      <c r="P176" s="41" t="n"/>
      <c r="Q176" s="41" t="n"/>
      <c r="R176" s="41" t="n"/>
      <c r="S176" s="41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15">
        <f>IF(COUNTA(T176:AH176)=0,"",SUM(T176:AH176))</f>
        <v/>
      </c>
      <c r="AJ176" s="21">
        <f>IF(COUNTA(T176:AH176)=0,"",AI176/(COUNT(KPI_Weights!$A$4:$A$18)*5))</f>
        <v/>
      </c>
      <c r="AK176" s="21">
        <f>IF(COUNTA(T176:AH176)=0,"",SUMPRODUCT(T176:AH176,KPI_Weights!$B$4:$B$18)/5)</f>
        <v/>
      </c>
      <c r="AL176" s="15">
        <f>IF(COUNTA(T176:AH176)=0,"",IF(SUMPRODUCT(--(T176:AH176&lt;=1),--(KPI_Weights!$C$4:$C$18="YES"))&gt;0,"YES","NO"))</f>
        <v/>
      </c>
      <c r="AM176" s="15">
        <f>IF(AJ176="","",IF(AND(AL176="NO",AJ176&gt;=0.75),"YES","NO"))</f>
        <v/>
      </c>
      <c r="AN176" s="15">
        <f>IF(AJ176="","",IF(AJ176&lt;0.4,"Critical",IF(AJ176&lt;0.6,"Poor",IF(AJ176&lt;0.75,"Needs Improvement",IF(AJ176&lt;0.9,"Good","Excellent")))))</f>
        <v/>
      </c>
      <c r="AO176" s="41" t="n"/>
      <c r="AP176" s="41" t="n"/>
      <c r="AQ176" s="41" t="n"/>
      <c r="AR176" s="41" t="n"/>
      <c r="AS176" s="41" t="n"/>
      <c r="AT176" s="44" t="n"/>
      <c r="AU176" s="41" t="n"/>
      <c r="AV176" s="43" t="n"/>
      <c r="AW176" s="41" t="n"/>
      <c r="AX176" s="44" t="n"/>
      <c r="AY176" s="44" t="n"/>
      <c r="AZ176" s="44" t="n"/>
      <c r="BA176" s="44" t="n"/>
      <c r="BB176" s="44" t="n"/>
      <c r="BC176" s="44" t="n"/>
      <c r="BD176" s="44" t="n"/>
      <c r="BE176" s="44" t="n"/>
      <c r="BF176" s="44" t="n"/>
    </row>
    <row r="177" ht="19.5" customHeight="1" s="45">
      <c r="A177" s="15">
        <f>IF($B177="","",TEXT($B177,"yyyymmdd")&amp;"-"&amp;SUBSTITUTE($F177," ","")&amp;"-"&amp;TEXT(COUNTIF($F$4:F177,$F177),"00"))</f>
        <v/>
      </c>
      <c r="B177" s="39" t="n"/>
      <c r="C177" s="15">
        <f>IF($B177="","",WEEKNUM($B177,2))</f>
        <v/>
      </c>
      <c r="D177" s="15">
        <f>IF($B177="","",TEXT($B177,"yyyy-mm"))</f>
        <v/>
      </c>
      <c r="E177" s="40" t="n"/>
      <c r="F177" s="40" t="n"/>
      <c r="G177" s="15">
        <f>IF(OR($E177="",$F177=""),"",IFERROR(IF($E177=INDEX(Cluster_Master!$A$4:$A$18,MATCH($F177,Cluster_Master!$B$4:$B$18,0)),"OK","CHECK"),"CHECK"))</f>
        <v/>
      </c>
      <c r="H177" s="18">
        <f>IFERROR(INDEX(Cluster_Master!$C$4:$C$18,MATCH($F177,Cluster_Master!$B$4:$B$18,0)),"")</f>
        <v/>
      </c>
      <c r="I177" s="15">
        <f>IFERROR(INDEX(Cluster_Master!$D$4:$D$18,MATCH($F177,Cluster_Master!$B$4:$B$18,0)),"")</f>
        <v/>
      </c>
      <c r="J177" s="15">
        <f>IFERROR(INDEX(Cluster_Master!$E$4:$E$18,MATCH($F177,Cluster_Master!$B$4:$B$18,0)),"")</f>
        <v/>
      </c>
      <c r="K177" s="15">
        <f>IFERROR(INDEX(Cluster_Master!$F$4:$F$18,MATCH($F177,Cluster_Master!$B$4:$B$18,0)),"")</f>
        <v/>
      </c>
      <c r="L177" s="15">
        <f>IFERROR(INDEX(Cluster_Master!$G$4:$G$18,MATCH($F177,Cluster_Master!$B$4:$B$18,0)),"")</f>
        <v/>
      </c>
      <c r="M177" s="15">
        <f>IFERROR(INDEX(Cluster_Master!$H$4:$H$18,MATCH($F177,Cluster_Master!$B$4:$B$18,0)),"")</f>
        <v/>
      </c>
      <c r="N177" s="41" t="n"/>
      <c r="O177" s="41" t="n"/>
      <c r="P177" s="41" t="n"/>
      <c r="Q177" s="41" t="n"/>
      <c r="R177" s="41" t="n"/>
      <c r="S177" s="41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15">
        <f>IF(COUNTA(T177:AH177)=0,"",SUM(T177:AH177))</f>
        <v/>
      </c>
      <c r="AJ177" s="21">
        <f>IF(COUNTA(T177:AH177)=0,"",AI177/(COUNT(KPI_Weights!$A$4:$A$18)*5))</f>
        <v/>
      </c>
      <c r="AK177" s="21">
        <f>IF(COUNTA(T177:AH177)=0,"",SUMPRODUCT(T177:AH177,KPI_Weights!$B$4:$B$18)/5)</f>
        <v/>
      </c>
      <c r="AL177" s="15">
        <f>IF(COUNTA(T177:AH177)=0,"",IF(SUMPRODUCT(--(T177:AH177&lt;=1),--(KPI_Weights!$C$4:$C$18="YES"))&gt;0,"YES","NO"))</f>
        <v/>
      </c>
      <c r="AM177" s="15">
        <f>IF(AJ177="","",IF(AND(AL177="NO",AJ177&gt;=0.75),"YES","NO"))</f>
        <v/>
      </c>
      <c r="AN177" s="15">
        <f>IF(AJ177="","",IF(AJ177&lt;0.4,"Critical",IF(AJ177&lt;0.6,"Poor",IF(AJ177&lt;0.75,"Needs Improvement",IF(AJ177&lt;0.9,"Good","Excellent")))))</f>
        <v/>
      </c>
      <c r="AO177" s="41" t="n"/>
      <c r="AP177" s="41" t="n"/>
      <c r="AQ177" s="41" t="n"/>
      <c r="AR177" s="41" t="n"/>
      <c r="AS177" s="41" t="n"/>
      <c r="AT177" s="44" t="n"/>
      <c r="AU177" s="41" t="n"/>
      <c r="AV177" s="43" t="n"/>
      <c r="AW177" s="41" t="n"/>
      <c r="AX177" s="44" t="n"/>
      <c r="AY177" s="44" t="n"/>
      <c r="AZ177" s="44" t="n"/>
      <c r="BA177" s="44" t="n"/>
      <c r="BB177" s="44" t="n"/>
      <c r="BC177" s="44" t="n"/>
      <c r="BD177" s="44" t="n"/>
      <c r="BE177" s="44" t="n"/>
      <c r="BF177" s="44" t="n"/>
    </row>
    <row r="178" ht="19.5" customHeight="1" s="45">
      <c r="A178" s="15">
        <f>IF($B178="","",TEXT($B178,"yyyymmdd")&amp;"-"&amp;SUBSTITUTE($F178," ","")&amp;"-"&amp;TEXT(COUNTIF($F$4:F178,$F178),"00"))</f>
        <v/>
      </c>
      <c r="B178" s="39" t="n"/>
      <c r="C178" s="15">
        <f>IF($B178="","",WEEKNUM($B178,2))</f>
        <v/>
      </c>
      <c r="D178" s="15">
        <f>IF($B178="","",TEXT($B178,"yyyy-mm"))</f>
        <v/>
      </c>
      <c r="E178" s="40" t="n"/>
      <c r="F178" s="40" t="n"/>
      <c r="G178" s="15">
        <f>IF(OR($E178="",$F178=""),"",IFERROR(IF($E178=INDEX(Cluster_Master!$A$4:$A$18,MATCH($F178,Cluster_Master!$B$4:$B$18,0)),"OK","CHECK"),"CHECK"))</f>
        <v/>
      </c>
      <c r="H178" s="18">
        <f>IFERROR(INDEX(Cluster_Master!$C$4:$C$18,MATCH($F178,Cluster_Master!$B$4:$B$18,0)),"")</f>
        <v/>
      </c>
      <c r="I178" s="15">
        <f>IFERROR(INDEX(Cluster_Master!$D$4:$D$18,MATCH($F178,Cluster_Master!$B$4:$B$18,0)),"")</f>
        <v/>
      </c>
      <c r="J178" s="15">
        <f>IFERROR(INDEX(Cluster_Master!$E$4:$E$18,MATCH($F178,Cluster_Master!$B$4:$B$18,0)),"")</f>
        <v/>
      </c>
      <c r="K178" s="15">
        <f>IFERROR(INDEX(Cluster_Master!$F$4:$F$18,MATCH($F178,Cluster_Master!$B$4:$B$18,0)),"")</f>
        <v/>
      </c>
      <c r="L178" s="15">
        <f>IFERROR(INDEX(Cluster_Master!$G$4:$G$18,MATCH($F178,Cluster_Master!$B$4:$B$18,0)),"")</f>
        <v/>
      </c>
      <c r="M178" s="15">
        <f>IFERROR(INDEX(Cluster_Master!$H$4:$H$18,MATCH($F178,Cluster_Master!$B$4:$B$18,0)),"")</f>
        <v/>
      </c>
      <c r="N178" s="41" t="n"/>
      <c r="O178" s="41" t="n"/>
      <c r="P178" s="41" t="n"/>
      <c r="Q178" s="41" t="n"/>
      <c r="R178" s="41" t="n"/>
      <c r="S178" s="41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15">
        <f>IF(COUNTA(T178:AH178)=0,"",SUM(T178:AH178))</f>
        <v/>
      </c>
      <c r="AJ178" s="21">
        <f>IF(COUNTA(T178:AH178)=0,"",AI178/(COUNT(KPI_Weights!$A$4:$A$18)*5))</f>
        <v/>
      </c>
      <c r="AK178" s="21">
        <f>IF(COUNTA(T178:AH178)=0,"",SUMPRODUCT(T178:AH178,KPI_Weights!$B$4:$B$18)/5)</f>
        <v/>
      </c>
      <c r="AL178" s="15">
        <f>IF(COUNTA(T178:AH178)=0,"",IF(SUMPRODUCT(--(T178:AH178&lt;=1),--(KPI_Weights!$C$4:$C$18="YES"))&gt;0,"YES","NO"))</f>
        <v/>
      </c>
      <c r="AM178" s="15">
        <f>IF(AJ178="","",IF(AND(AL178="NO",AJ178&gt;=0.75),"YES","NO"))</f>
        <v/>
      </c>
      <c r="AN178" s="15">
        <f>IF(AJ178="","",IF(AJ178&lt;0.4,"Critical",IF(AJ178&lt;0.6,"Poor",IF(AJ178&lt;0.75,"Needs Improvement",IF(AJ178&lt;0.9,"Good","Excellent")))))</f>
        <v/>
      </c>
      <c r="AO178" s="41" t="n"/>
      <c r="AP178" s="41" t="n"/>
      <c r="AQ178" s="41" t="n"/>
      <c r="AR178" s="41" t="n"/>
      <c r="AS178" s="41" t="n"/>
      <c r="AT178" s="44" t="n"/>
      <c r="AU178" s="41" t="n"/>
      <c r="AV178" s="43" t="n"/>
      <c r="AW178" s="41" t="n"/>
      <c r="AX178" s="44" t="n"/>
      <c r="AY178" s="44" t="n"/>
      <c r="AZ178" s="44" t="n"/>
      <c r="BA178" s="44" t="n"/>
      <c r="BB178" s="44" t="n"/>
      <c r="BC178" s="44" t="n"/>
      <c r="BD178" s="44" t="n"/>
      <c r="BE178" s="44" t="n"/>
      <c r="BF178" s="44" t="n"/>
    </row>
    <row r="179" ht="19.5" customHeight="1" s="45">
      <c r="A179" s="15">
        <f>IF($B179="","",TEXT($B179,"yyyymmdd")&amp;"-"&amp;SUBSTITUTE($F179," ","")&amp;"-"&amp;TEXT(COUNTIF($F$4:F179,$F179),"00"))</f>
        <v/>
      </c>
      <c r="B179" s="39" t="n"/>
      <c r="C179" s="15">
        <f>IF($B179="","",WEEKNUM($B179,2))</f>
        <v/>
      </c>
      <c r="D179" s="15">
        <f>IF($B179="","",TEXT($B179,"yyyy-mm"))</f>
        <v/>
      </c>
      <c r="E179" s="40" t="n"/>
      <c r="F179" s="40" t="n"/>
      <c r="G179" s="15">
        <f>IF(OR($E179="",$F179=""),"",IFERROR(IF($E179=INDEX(Cluster_Master!$A$4:$A$18,MATCH($F179,Cluster_Master!$B$4:$B$18,0)),"OK","CHECK"),"CHECK"))</f>
        <v/>
      </c>
      <c r="H179" s="18">
        <f>IFERROR(INDEX(Cluster_Master!$C$4:$C$18,MATCH($F179,Cluster_Master!$B$4:$B$18,0)),"")</f>
        <v/>
      </c>
      <c r="I179" s="15">
        <f>IFERROR(INDEX(Cluster_Master!$D$4:$D$18,MATCH($F179,Cluster_Master!$B$4:$B$18,0)),"")</f>
        <v/>
      </c>
      <c r="J179" s="15">
        <f>IFERROR(INDEX(Cluster_Master!$E$4:$E$18,MATCH($F179,Cluster_Master!$B$4:$B$18,0)),"")</f>
        <v/>
      </c>
      <c r="K179" s="15">
        <f>IFERROR(INDEX(Cluster_Master!$F$4:$F$18,MATCH($F179,Cluster_Master!$B$4:$B$18,0)),"")</f>
        <v/>
      </c>
      <c r="L179" s="15">
        <f>IFERROR(INDEX(Cluster_Master!$G$4:$G$18,MATCH($F179,Cluster_Master!$B$4:$B$18,0)),"")</f>
        <v/>
      </c>
      <c r="M179" s="15">
        <f>IFERROR(INDEX(Cluster_Master!$H$4:$H$18,MATCH($F179,Cluster_Master!$B$4:$B$18,0)),"")</f>
        <v/>
      </c>
      <c r="N179" s="41" t="n"/>
      <c r="O179" s="41" t="n"/>
      <c r="P179" s="41" t="n"/>
      <c r="Q179" s="41" t="n"/>
      <c r="R179" s="41" t="n"/>
      <c r="S179" s="41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15">
        <f>IF(COUNTA(T179:AH179)=0,"",SUM(T179:AH179))</f>
        <v/>
      </c>
      <c r="AJ179" s="21">
        <f>IF(COUNTA(T179:AH179)=0,"",AI179/(COUNT(KPI_Weights!$A$4:$A$18)*5))</f>
        <v/>
      </c>
      <c r="AK179" s="21">
        <f>IF(COUNTA(T179:AH179)=0,"",SUMPRODUCT(T179:AH179,KPI_Weights!$B$4:$B$18)/5)</f>
        <v/>
      </c>
      <c r="AL179" s="15">
        <f>IF(COUNTA(T179:AH179)=0,"",IF(SUMPRODUCT(--(T179:AH179&lt;=1),--(KPI_Weights!$C$4:$C$18="YES"))&gt;0,"YES","NO"))</f>
        <v/>
      </c>
      <c r="AM179" s="15">
        <f>IF(AJ179="","",IF(AND(AL179="NO",AJ179&gt;=0.75),"YES","NO"))</f>
        <v/>
      </c>
      <c r="AN179" s="15">
        <f>IF(AJ179="","",IF(AJ179&lt;0.4,"Critical",IF(AJ179&lt;0.6,"Poor",IF(AJ179&lt;0.75,"Needs Improvement",IF(AJ179&lt;0.9,"Good","Excellent")))))</f>
        <v/>
      </c>
      <c r="AO179" s="41" t="n"/>
      <c r="AP179" s="41" t="n"/>
      <c r="AQ179" s="41" t="n"/>
      <c r="AR179" s="41" t="n"/>
      <c r="AS179" s="41" t="n"/>
      <c r="AT179" s="44" t="n"/>
      <c r="AU179" s="41" t="n"/>
      <c r="AV179" s="43" t="n"/>
      <c r="AW179" s="41" t="n"/>
      <c r="AX179" s="44" t="n"/>
      <c r="AY179" s="44" t="n"/>
      <c r="AZ179" s="44" t="n"/>
      <c r="BA179" s="44" t="n"/>
      <c r="BB179" s="44" t="n"/>
      <c r="BC179" s="44" t="n"/>
      <c r="BD179" s="44" t="n"/>
      <c r="BE179" s="44" t="n"/>
      <c r="BF179" s="44" t="n"/>
    </row>
    <row r="180" ht="19.5" customHeight="1" s="45">
      <c r="A180" s="15">
        <f>IF($B180="","",TEXT($B180,"yyyymmdd")&amp;"-"&amp;SUBSTITUTE($F180," ","")&amp;"-"&amp;TEXT(COUNTIF($F$4:F180,$F180),"00"))</f>
        <v/>
      </c>
      <c r="B180" s="39" t="n"/>
      <c r="C180" s="15">
        <f>IF($B180="","",WEEKNUM($B180,2))</f>
        <v/>
      </c>
      <c r="D180" s="15">
        <f>IF($B180="","",TEXT($B180,"yyyy-mm"))</f>
        <v/>
      </c>
      <c r="E180" s="40" t="n"/>
      <c r="F180" s="40" t="n"/>
      <c r="G180" s="15">
        <f>IF(OR($E180="",$F180=""),"",IFERROR(IF($E180=INDEX(Cluster_Master!$A$4:$A$18,MATCH($F180,Cluster_Master!$B$4:$B$18,0)),"OK","CHECK"),"CHECK"))</f>
        <v/>
      </c>
      <c r="H180" s="18">
        <f>IFERROR(INDEX(Cluster_Master!$C$4:$C$18,MATCH($F180,Cluster_Master!$B$4:$B$18,0)),"")</f>
        <v/>
      </c>
      <c r="I180" s="15">
        <f>IFERROR(INDEX(Cluster_Master!$D$4:$D$18,MATCH($F180,Cluster_Master!$B$4:$B$18,0)),"")</f>
        <v/>
      </c>
      <c r="J180" s="15">
        <f>IFERROR(INDEX(Cluster_Master!$E$4:$E$18,MATCH($F180,Cluster_Master!$B$4:$B$18,0)),"")</f>
        <v/>
      </c>
      <c r="K180" s="15">
        <f>IFERROR(INDEX(Cluster_Master!$F$4:$F$18,MATCH($F180,Cluster_Master!$B$4:$B$18,0)),"")</f>
        <v/>
      </c>
      <c r="L180" s="15">
        <f>IFERROR(INDEX(Cluster_Master!$G$4:$G$18,MATCH($F180,Cluster_Master!$B$4:$B$18,0)),"")</f>
        <v/>
      </c>
      <c r="M180" s="15">
        <f>IFERROR(INDEX(Cluster_Master!$H$4:$H$18,MATCH($F180,Cluster_Master!$B$4:$B$18,0)),"")</f>
        <v/>
      </c>
      <c r="N180" s="41" t="n"/>
      <c r="O180" s="41" t="n"/>
      <c r="P180" s="41" t="n"/>
      <c r="Q180" s="41" t="n"/>
      <c r="R180" s="41" t="n"/>
      <c r="S180" s="41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15">
        <f>IF(COUNTA(T180:AH180)=0,"",SUM(T180:AH180))</f>
        <v/>
      </c>
      <c r="AJ180" s="21">
        <f>IF(COUNTA(T180:AH180)=0,"",AI180/(COUNT(KPI_Weights!$A$4:$A$18)*5))</f>
        <v/>
      </c>
      <c r="AK180" s="21">
        <f>IF(COUNTA(T180:AH180)=0,"",SUMPRODUCT(T180:AH180,KPI_Weights!$B$4:$B$18)/5)</f>
        <v/>
      </c>
      <c r="AL180" s="15">
        <f>IF(COUNTA(T180:AH180)=0,"",IF(SUMPRODUCT(--(T180:AH180&lt;=1),--(KPI_Weights!$C$4:$C$18="YES"))&gt;0,"YES","NO"))</f>
        <v/>
      </c>
      <c r="AM180" s="15">
        <f>IF(AJ180="","",IF(AND(AL180="NO",AJ180&gt;=0.75),"YES","NO"))</f>
        <v/>
      </c>
      <c r="AN180" s="15">
        <f>IF(AJ180="","",IF(AJ180&lt;0.4,"Critical",IF(AJ180&lt;0.6,"Poor",IF(AJ180&lt;0.75,"Needs Improvement",IF(AJ180&lt;0.9,"Good","Excellent")))))</f>
        <v/>
      </c>
      <c r="AO180" s="41" t="n"/>
      <c r="AP180" s="41" t="n"/>
      <c r="AQ180" s="41" t="n"/>
      <c r="AR180" s="41" t="n"/>
      <c r="AS180" s="41" t="n"/>
      <c r="AT180" s="44" t="n"/>
      <c r="AU180" s="41" t="n"/>
      <c r="AV180" s="43" t="n"/>
      <c r="AW180" s="41" t="n"/>
      <c r="AX180" s="44" t="n"/>
      <c r="AY180" s="44" t="n"/>
      <c r="AZ180" s="44" t="n"/>
      <c r="BA180" s="44" t="n"/>
      <c r="BB180" s="44" t="n"/>
      <c r="BC180" s="44" t="n"/>
      <c r="BD180" s="44" t="n"/>
      <c r="BE180" s="44" t="n"/>
      <c r="BF180" s="44" t="n"/>
    </row>
    <row r="181" ht="19.5" customHeight="1" s="45">
      <c r="A181" s="15">
        <f>IF($B181="","",TEXT($B181,"yyyymmdd")&amp;"-"&amp;SUBSTITUTE($F181," ","")&amp;"-"&amp;TEXT(COUNTIF($F$4:F181,$F181),"00"))</f>
        <v/>
      </c>
      <c r="B181" s="39" t="n"/>
      <c r="C181" s="15">
        <f>IF($B181="","",WEEKNUM($B181,2))</f>
        <v/>
      </c>
      <c r="D181" s="15">
        <f>IF($B181="","",TEXT($B181,"yyyy-mm"))</f>
        <v/>
      </c>
      <c r="E181" s="40" t="n"/>
      <c r="F181" s="40" t="n"/>
      <c r="G181" s="15">
        <f>IF(OR($E181="",$F181=""),"",IFERROR(IF($E181=INDEX(Cluster_Master!$A$4:$A$18,MATCH($F181,Cluster_Master!$B$4:$B$18,0)),"OK","CHECK"),"CHECK"))</f>
        <v/>
      </c>
      <c r="H181" s="18">
        <f>IFERROR(INDEX(Cluster_Master!$C$4:$C$18,MATCH($F181,Cluster_Master!$B$4:$B$18,0)),"")</f>
        <v/>
      </c>
      <c r="I181" s="15">
        <f>IFERROR(INDEX(Cluster_Master!$D$4:$D$18,MATCH($F181,Cluster_Master!$B$4:$B$18,0)),"")</f>
        <v/>
      </c>
      <c r="J181" s="15">
        <f>IFERROR(INDEX(Cluster_Master!$E$4:$E$18,MATCH($F181,Cluster_Master!$B$4:$B$18,0)),"")</f>
        <v/>
      </c>
      <c r="K181" s="15">
        <f>IFERROR(INDEX(Cluster_Master!$F$4:$F$18,MATCH($F181,Cluster_Master!$B$4:$B$18,0)),"")</f>
        <v/>
      </c>
      <c r="L181" s="15">
        <f>IFERROR(INDEX(Cluster_Master!$G$4:$G$18,MATCH($F181,Cluster_Master!$B$4:$B$18,0)),"")</f>
        <v/>
      </c>
      <c r="M181" s="15">
        <f>IFERROR(INDEX(Cluster_Master!$H$4:$H$18,MATCH($F181,Cluster_Master!$B$4:$B$18,0)),"")</f>
        <v/>
      </c>
      <c r="N181" s="41" t="n"/>
      <c r="O181" s="41" t="n"/>
      <c r="P181" s="41" t="n"/>
      <c r="Q181" s="41" t="n"/>
      <c r="R181" s="41" t="n"/>
      <c r="S181" s="41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15">
        <f>IF(COUNTA(T181:AH181)=0,"",SUM(T181:AH181))</f>
        <v/>
      </c>
      <c r="AJ181" s="21">
        <f>IF(COUNTA(T181:AH181)=0,"",AI181/(COUNT(KPI_Weights!$A$4:$A$18)*5))</f>
        <v/>
      </c>
      <c r="AK181" s="21">
        <f>IF(COUNTA(T181:AH181)=0,"",SUMPRODUCT(T181:AH181,KPI_Weights!$B$4:$B$18)/5)</f>
        <v/>
      </c>
      <c r="AL181" s="15">
        <f>IF(COUNTA(T181:AH181)=0,"",IF(SUMPRODUCT(--(T181:AH181&lt;=1),--(KPI_Weights!$C$4:$C$18="YES"))&gt;0,"YES","NO"))</f>
        <v/>
      </c>
      <c r="AM181" s="15">
        <f>IF(AJ181="","",IF(AND(AL181="NO",AJ181&gt;=0.75),"YES","NO"))</f>
        <v/>
      </c>
      <c r="AN181" s="15">
        <f>IF(AJ181="","",IF(AJ181&lt;0.4,"Critical",IF(AJ181&lt;0.6,"Poor",IF(AJ181&lt;0.75,"Needs Improvement",IF(AJ181&lt;0.9,"Good","Excellent")))))</f>
        <v/>
      </c>
      <c r="AO181" s="41" t="n"/>
      <c r="AP181" s="41" t="n"/>
      <c r="AQ181" s="41" t="n"/>
      <c r="AR181" s="41" t="n"/>
      <c r="AS181" s="41" t="n"/>
      <c r="AT181" s="44" t="n"/>
      <c r="AU181" s="41" t="n"/>
      <c r="AV181" s="43" t="n"/>
      <c r="AW181" s="41" t="n"/>
      <c r="AX181" s="44" t="n"/>
      <c r="AY181" s="44" t="n"/>
      <c r="AZ181" s="44" t="n"/>
      <c r="BA181" s="44" t="n"/>
      <c r="BB181" s="44" t="n"/>
      <c r="BC181" s="44" t="n"/>
      <c r="BD181" s="44" t="n"/>
      <c r="BE181" s="44" t="n"/>
      <c r="BF181" s="44" t="n"/>
    </row>
    <row r="182" ht="19.5" customHeight="1" s="45">
      <c r="A182" s="15">
        <f>IF($B182="","",TEXT($B182,"yyyymmdd")&amp;"-"&amp;SUBSTITUTE($F182," ","")&amp;"-"&amp;TEXT(COUNTIF($F$4:F182,$F182),"00"))</f>
        <v/>
      </c>
      <c r="B182" s="39" t="n"/>
      <c r="C182" s="15">
        <f>IF($B182="","",WEEKNUM($B182,2))</f>
        <v/>
      </c>
      <c r="D182" s="15">
        <f>IF($B182="","",TEXT($B182,"yyyy-mm"))</f>
        <v/>
      </c>
      <c r="E182" s="40" t="n"/>
      <c r="F182" s="40" t="n"/>
      <c r="G182" s="15">
        <f>IF(OR($E182="",$F182=""),"",IFERROR(IF($E182=INDEX(Cluster_Master!$A$4:$A$18,MATCH($F182,Cluster_Master!$B$4:$B$18,0)),"OK","CHECK"),"CHECK"))</f>
        <v/>
      </c>
      <c r="H182" s="18">
        <f>IFERROR(INDEX(Cluster_Master!$C$4:$C$18,MATCH($F182,Cluster_Master!$B$4:$B$18,0)),"")</f>
        <v/>
      </c>
      <c r="I182" s="15">
        <f>IFERROR(INDEX(Cluster_Master!$D$4:$D$18,MATCH($F182,Cluster_Master!$B$4:$B$18,0)),"")</f>
        <v/>
      </c>
      <c r="J182" s="15">
        <f>IFERROR(INDEX(Cluster_Master!$E$4:$E$18,MATCH($F182,Cluster_Master!$B$4:$B$18,0)),"")</f>
        <v/>
      </c>
      <c r="K182" s="15">
        <f>IFERROR(INDEX(Cluster_Master!$F$4:$F$18,MATCH($F182,Cluster_Master!$B$4:$B$18,0)),"")</f>
        <v/>
      </c>
      <c r="L182" s="15">
        <f>IFERROR(INDEX(Cluster_Master!$G$4:$G$18,MATCH($F182,Cluster_Master!$B$4:$B$18,0)),"")</f>
        <v/>
      </c>
      <c r="M182" s="15">
        <f>IFERROR(INDEX(Cluster_Master!$H$4:$H$18,MATCH($F182,Cluster_Master!$B$4:$B$18,0)),"")</f>
        <v/>
      </c>
      <c r="N182" s="41" t="n"/>
      <c r="O182" s="41" t="n"/>
      <c r="P182" s="41" t="n"/>
      <c r="Q182" s="41" t="n"/>
      <c r="R182" s="41" t="n"/>
      <c r="S182" s="41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15">
        <f>IF(COUNTA(T182:AH182)=0,"",SUM(T182:AH182))</f>
        <v/>
      </c>
      <c r="AJ182" s="21">
        <f>IF(COUNTA(T182:AH182)=0,"",AI182/(COUNT(KPI_Weights!$A$4:$A$18)*5))</f>
        <v/>
      </c>
      <c r="AK182" s="21">
        <f>IF(COUNTA(T182:AH182)=0,"",SUMPRODUCT(T182:AH182,KPI_Weights!$B$4:$B$18)/5)</f>
        <v/>
      </c>
      <c r="AL182" s="15">
        <f>IF(COUNTA(T182:AH182)=0,"",IF(SUMPRODUCT(--(T182:AH182&lt;=1),--(KPI_Weights!$C$4:$C$18="YES"))&gt;0,"YES","NO"))</f>
        <v/>
      </c>
      <c r="AM182" s="15">
        <f>IF(AJ182="","",IF(AND(AL182="NO",AJ182&gt;=0.75),"YES","NO"))</f>
        <v/>
      </c>
      <c r="AN182" s="15">
        <f>IF(AJ182="","",IF(AJ182&lt;0.4,"Critical",IF(AJ182&lt;0.6,"Poor",IF(AJ182&lt;0.75,"Needs Improvement",IF(AJ182&lt;0.9,"Good","Excellent")))))</f>
        <v/>
      </c>
      <c r="AO182" s="41" t="n"/>
      <c r="AP182" s="41" t="n"/>
      <c r="AQ182" s="41" t="n"/>
      <c r="AR182" s="41" t="n"/>
      <c r="AS182" s="41" t="n"/>
      <c r="AT182" s="44" t="n"/>
      <c r="AU182" s="41" t="n"/>
      <c r="AV182" s="43" t="n"/>
      <c r="AW182" s="41" t="n"/>
      <c r="AX182" s="44" t="n"/>
      <c r="AY182" s="44" t="n"/>
      <c r="AZ182" s="44" t="n"/>
      <c r="BA182" s="44" t="n"/>
      <c r="BB182" s="44" t="n"/>
      <c r="BC182" s="44" t="n"/>
      <c r="BD182" s="44" t="n"/>
      <c r="BE182" s="44" t="n"/>
      <c r="BF182" s="44" t="n"/>
    </row>
    <row r="183" ht="19.5" customHeight="1" s="45">
      <c r="A183" s="15">
        <f>IF($B183="","",TEXT($B183,"yyyymmdd")&amp;"-"&amp;SUBSTITUTE($F183," ","")&amp;"-"&amp;TEXT(COUNTIF($F$4:F183,$F183),"00"))</f>
        <v/>
      </c>
      <c r="B183" s="39" t="n"/>
      <c r="C183" s="15">
        <f>IF($B183="","",WEEKNUM($B183,2))</f>
        <v/>
      </c>
      <c r="D183" s="15">
        <f>IF($B183="","",TEXT($B183,"yyyy-mm"))</f>
        <v/>
      </c>
      <c r="E183" s="40" t="n"/>
      <c r="F183" s="40" t="n"/>
      <c r="G183" s="15">
        <f>IF(OR($E183="",$F183=""),"",IFERROR(IF($E183=INDEX(Cluster_Master!$A$4:$A$18,MATCH($F183,Cluster_Master!$B$4:$B$18,0)),"OK","CHECK"),"CHECK"))</f>
        <v/>
      </c>
      <c r="H183" s="18">
        <f>IFERROR(INDEX(Cluster_Master!$C$4:$C$18,MATCH($F183,Cluster_Master!$B$4:$B$18,0)),"")</f>
        <v/>
      </c>
      <c r="I183" s="15">
        <f>IFERROR(INDEX(Cluster_Master!$D$4:$D$18,MATCH($F183,Cluster_Master!$B$4:$B$18,0)),"")</f>
        <v/>
      </c>
      <c r="J183" s="15">
        <f>IFERROR(INDEX(Cluster_Master!$E$4:$E$18,MATCH($F183,Cluster_Master!$B$4:$B$18,0)),"")</f>
        <v/>
      </c>
      <c r="K183" s="15">
        <f>IFERROR(INDEX(Cluster_Master!$F$4:$F$18,MATCH($F183,Cluster_Master!$B$4:$B$18,0)),"")</f>
        <v/>
      </c>
      <c r="L183" s="15">
        <f>IFERROR(INDEX(Cluster_Master!$G$4:$G$18,MATCH($F183,Cluster_Master!$B$4:$B$18,0)),"")</f>
        <v/>
      </c>
      <c r="M183" s="15">
        <f>IFERROR(INDEX(Cluster_Master!$H$4:$H$18,MATCH($F183,Cluster_Master!$B$4:$B$18,0)),"")</f>
        <v/>
      </c>
      <c r="N183" s="41" t="n"/>
      <c r="O183" s="41" t="n"/>
      <c r="P183" s="41" t="n"/>
      <c r="Q183" s="41" t="n"/>
      <c r="R183" s="41" t="n"/>
      <c r="S183" s="41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15">
        <f>IF(COUNTA(T183:AH183)=0,"",SUM(T183:AH183))</f>
        <v/>
      </c>
      <c r="AJ183" s="21">
        <f>IF(COUNTA(T183:AH183)=0,"",AI183/(COUNT(KPI_Weights!$A$4:$A$18)*5))</f>
        <v/>
      </c>
      <c r="AK183" s="21">
        <f>IF(COUNTA(T183:AH183)=0,"",SUMPRODUCT(T183:AH183,KPI_Weights!$B$4:$B$18)/5)</f>
        <v/>
      </c>
      <c r="AL183" s="15">
        <f>IF(COUNTA(T183:AH183)=0,"",IF(SUMPRODUCT(--(T183:AH183&lt;=1),--(KPI_Weights!$C$4:$C$18="YES"))&gt;0,"YES","NO"))</f>
        <v/>
      </c>
      <c r="AM183" s="15">
        <f>IF(AJ183="","",IF(AND(AL183="NO",AJ183&gt;=0.75),"YES","NO"))</f>
        <v/>
      </c>
      <c r="AN183" s="15">
        <f>IF(AJ183="","",IF(AJ183&lt;0.4,"Critical",IF(AJ183&lt;0.6,"Poor",IF(AJ183&lt;0.75,"Needs Improvement",IF(AJ183&lt;0.9,"Good","Excellent")))))</f>
        <v/>
      </c>
      <c r="AO183" s="41" t="n"/>
      <c r="AP183" s="41" t="n"/>
      <c r="AQ183" s="41" t="n"/>
      <c r="AR183" s="41" t="n"/>
      <c r="AS183" s="41" t="n"/>
      <c r="AT183" s="44" t="n"/>
      <c r="AU183" s="41" t="n"/>
      <c r="AV183" s="43" t="n"/>
      <c r="AW183" s="41" t="n"/>
      <c r="AX183" s="44" t="n"/>
      <c r="AY183" s="44" t="n"/>
      <c r="AZ183" s="44" t="n"/>
      <c r="BA183" s="44" t="n"/>
      <c r="BB183" s="44" t="n"/>
      <c r="BC183" s="44" t="n"/>
      <c r="BD183" s="44" t="n"/>
      <c r="BE183" s="44" t="n"/>
      <c r="BF183" s="44" t="n"/>
    </row>
    <row r="184" ht="19.5" customHeight="1" s="45">
      <c r="A184" s="15">
        <f>IF($B184="","",TEXT($B184,"yyyymmdd")&amp;"-"&amp;SUBSTITUTE($F184," ","")&amp;"-"&amp;TEXT(COUNTIF($F$4:F184,$F184),"00"))</f>
        <v/>
      </c>
      <c r="B184" s="39" t="n"/>
      <c r="C184" s="15">
        <f>IF($B184="","",WEEKNUM($B184,2))</f>
        <v/>
      </c>
      <c r="D184" s="15">
        <f>IF($B184="","",TEXT($B184,"yyyy-mm"))</f>
        <v/>
      </c>
      <c r="E184" s="40" t="n"/>
      <c r="F184" s="40" t="n"/>
      <c r="G184" s="15">
        <f>IF(OR($E184="",$F184=""),"",IFERROR(IF($E184=INDEX(Cluster_Master!$A$4:$A$18,MATCH($F184,Cluster_Master!$B$4:$B$18,0)),"OK","CHECK"),"CHECK"))</f>
        <v/>
      </c>
      <c r="H184" s="18">
        <f>IFERROR(INDEX(Cluster_Master!$C$4:$C$18,MATCH($F184,Cluster_Master!$B$4:$B$18,0)),"")</f>
        <v/>
      </c>
      <c r="I184" s="15">
        <f>IFERROR(INDEX(Cluster_Master!$D$4:$D$18,MATCH($F184,Cluster_Master!$B$4:$B$18,0)),"")</f>
        <v/>
      </c>
      <c r="J184" s="15">
        <f>IFERROR(INDEX(Cluster_Master!$E$4:$E$18,MATCH($F184,Cluster_Master!$B$4:$B$18,0)),"")</f>
        <v/>
      </c>
      <c r="K184" s="15">
        <f>IFERROR(INDEX(Cluster_Master!$F$4:$F$18,MATCH($F184,Cluster_Master!$B$4:$B$18,0)),"")</f>
        <v/>
      </c>
      <c r="L184" s="15">
        <f>IFERROR(INDEX(Cluster_Master!$G$4:$G$18,MATCH($F184,Cluster_Master!$B$4:$B$18,0)),"")</f>
        <v/>
      </c>
      <c r="M184" s="15">
        <f>IFERROR(INDEX(Cluster_Master!$H$4:$H$18,MATCH($F184,Cluster_Master!$B$4:$B$18,0)),"")</f>
        <v/>
      </c>
      <c r="N184" s="41" t="n"/>
      <c r="O184" s="41" t="n"/>
      <c r="P184" s="41" t="n"/>
      <c r="Q184" s="41" t="n"/>
      <c r="R184" s="41" t="n"/>
      <c r="S184" s="41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15">
        <f>IF(COUNTA(T184:AH184)=0,"",SUM(T184:AH184))</f>
        <v/>
      </c>
      <c r="AJ184" s="21">
        <f>IF(COUNTA(T184:AH184)=0,"",AI184/(COUNT(KPI_Weights!$A$4:$A$18)*5))</f>
        <v/>
      </c>
      <c r="AK184" s="21">
        <f>IF(COUNTA(T184:AH184)=0,"",SUMPRODUCT(T184:AH184,KPI_Weights!$B$4:$B$18)/5)</f>
        <v/>
      </c>
      <c r="AL184" s="15">
        <f>IF(COUNTA(T184:AH184)=0,"",IF(SUMPRODUCT(--(T184:AH184&lt;=1),--(KPI_Weights!$C$4:$C$18="YES"))&gt;0,"YES","NO"))</f>
        <v/>
      </c>
      <c r="AM184" s="15">
        <f>IF(AJ184="","",IF(AND(AL184="NO",AJ184&gt;=0.75),"YES","NO"))</f>
        <v/>
      </c>
      <c r="AN184" s="15">
        <f>IF(AJ184="","",IF(AJ184&lt;0.4,"Critical",IF(AJ184&lt;0.6,"Poor",IF(AJ184&lt;0.75,"Needs Improvement",IF(AJ184&lt;0.9,"Good","Excellent")))))</f>
        <v/>
      </c>
      <c r="AO184" s="41" t="n"/>
      <c r="AP184" s="41" t="n"/>
      <c r="AQ184" s="41" t="n"/>
      <c r="AR184" s="41" t="n"/>
      <c r="AS184" s="41" t="n"/>
      <c r="AT184" s="44" t="n"/>
      <c r="AU184" s="41" t="n"/>
      <c r="AV184" s="43" t="n"/>
      <c r="AW184" s="41" t="n"/>
      <c r="AX184" s="44" t="n"/>
      <c r="AY184" s="44" t="n"/>
      <c r="AZ184" s="44" t="n"/>
      <c r="BA184" s="44" t="n"/>
      <c r="BB184" s="44" t="n"/>
      <c r="BC184" s="44" t="n"/>
      <c r="BD184" s="44" t="n"/>
      <c r="BE184" s="44" t="n"/>
      <c r="BF184" s="44" t="n"/>
    </row>
    <row r="185" ht="19.5" customHeight="1" s="45">
      <c r="A185" s="15">
        <f>IF($B185="","",TEXT($B185,"yyyymmdd")&amp;"-"&amp;SUBSTITUTE($F185," ","")&amp;"-"&amp;TEXT(COUNTIF($F$4:F185,$F185),"00"))</f>
        <v/>
      </c>
      <c r="B185" s="39" t="n"/>
      <c r="C185" s="15">
        <f>IF($B185="","",WEEKNUM($B185,2))</f>
        <v/>
      </c>
      <c r="D185" s="15">
        <f>IF($B185="","",TEXT($B185,"yyyy-mm"))</f>
        <v/>
      </c>
      <c r="E185" s="40" t="n"/>
      <c r="F185" s="40" t="n"/>
      <c r="G185" s="15">
        <f>IF(OR($E185="",$F185=""),"",IFERROR(IF($E185=INDEX(Cluster_Master!$A$4:$A$18,MATCH($F185,Cluster_Master!$B$4:$B$18,0)),"OK","CHECK"),"CHECK"))</f>
        <v/>
      </c>
      <c r="H185" s="18">
        <f>IFERROR(INDEX(Cluster_Master!$C$4:$C$18,MATCH($F185,Cluster_Master!$B$4:$B$18,0)),"")</f>
        <v/>
      </c>
      <c r="I185" s="15">
        <f>IFERROR(INDEX(Cluster_Master!$D$4:$D$18,MATCH($F185,Cluster_Master!$B$4:$B$18,0)),"")</f>
        <v/>
      </c>
      <c r="J185" s="15">
        <f>IFERROR(INDEX(Cluster_Master!$E$4:$E$18,MATCH($F185,Cluster_Master!$B$4:$B$18,0)),"")</f>
        <v/>
      </c>
      <c r="K185" s="15">
        <f>IFERROR(INDEX(Cluster_Master!$F$4:$F$18,MATCH($F185,Cluster_Master!$B$4:$B$18,0)),"")</f>
        <v/>
      </c>
      <c r="L185" s="15">
        <f>IFERROR(INDEX(Cluster_Master!$G$4:$G$18,MATCH($F185,Cluster_Master!$B$4:$B$18,0)),"")</f>
        <v/>
      </c>
      <c r="M185" s="15">
        <f>IFERROR(INDEX(Cluster_Master!$H$4:$H$18,MATCH($F185,Cluster_Master!$B$4:$B$18,0)),"")</f>
        <v/>
      </c>
      <c r="N185" s="41" t="n"/>
      <c r="O185" s="41" t="n"/>
      <c r="P185" s="41" t="n"/>
      <c r="Q185" s="41" t="n"/>
      <c r="R185" s="41" t="n"/>
      <c r="S185" s="41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15">
        <f>IF(COUNTA(T185:AH185)=0,"",SUM(T185:AH185))</f>
        <v/>
      </c>
      <c r="AJ185" s="21">
        <f>IF(COUNTA(T185:AH185)=0,"",AI185/(COUNT(KPI_Weights!$A$4:$A$18)*5))</f>
        <v/>
      </c>
      <c r="AK185" s="21">
        <f>IF(COUNTA(T185:AH185)=0,"",SUMPRODUCT(T185:AH185,KPI_Weights!$B$4:$B$18)/5)</f>
        <v/>
      </c>
      <c r="AL185" s="15">
        <f>IF(COUNTA(T185:AH185)=0,"",IF(SUMPRODUCT(--(T185:AH185&lt;=1),--(KPI_Weights!$C$4:$C$18="YES"))&gt;0,"YES","NO"))</f>
        <v/>
      </c>
      <c r="AM185" s="15">
        <f>IF(AJ185="","",IF(AND(AL185="NO",AJ185&gt;=0.75),"YES","NO"))</f>
        <v/>
      </c>
      <c r="AN185" s="15">
        <f>IF(AJ185="","",IF(AJ185&lt;0.4,"Critical",IF(AJ185&lt;0.6,"Poor",IF(AJ185&lt;0.75,"Needs Improvement",IF(AJ185&lt;0.9,"Good","Excellent")))))</f>
        <v/>
      </c>
      <c r="AO185" s="41" t="n"/>
      <c r="AP185" s="41" t="n"/>
      <c r="AQ185" s="41" t="n"/>
      <c r="AR185" s="41" t="n"/>
      <c r="AS185" s="41" t="n"/>
      <c r="AT185" s="44" t="n"/>
      <c r="AU185" s="41" t="n"/>
      <c r="AV185" s="43" t="n"/>
      <c r="AW185" s="41" t="n"/>
      <c r="AX185" s="44" t="n"/>
      <c r="AY185" s="44" t="n"/>
      <c r="AZ185" s="44" t="n"/>
      <c r="BA185" s="44" t="n"/>
      <c r="BB185" s="44" t="n"/>
      <c r="BC185" s="44" t="n"/>
      <c r="BD185" s="44" t="n"/>
      <c r="BE185" s="44" t="n"/>
      <c r="BF185" s="44" t="n"/>
    </row>
    <row r="186" ht="19.5" customHeight="1" s="45">
      <c r="A186" s="15">
        <f>IF($B186="","",TEXT($B186,"yyyymmdd")&amp;"-"&amp;SUBSTITUTE($F186," ","")&amp;"-"&amp;TEXT(COUNTIF($F$4:F186,$F186),"00"))</f>
        <v/>
      </c>
      <c r="B186" s="39" t="n"/>
      <c r="C186" s="15">
        <f>IF($B186="","",WEEKNUM($B186,2))</f>
        <v/>
      </c>
      <c r="D186" s="15">
        <f>IF($B186="","",TEXT($B186,"yyyy-mm"))</f>
        <v/>
      </c>
      <c r="E186" s="40" t="n"/>
      <c r="F186" s="40" t="n"/>
      <c r="G186" s="15">
        <f>IF(OR($E186="",$F186=""),"",IFERROR(IF($E186=INDEX(Cluster_Master!$A$4:$A$18,MATCH($F186,Cluster_Master!$B$4:$B$18,0)),"OK","CHECK"),"CHECK"))</f>
        <v/>
      </c>
      <c r="H186" s="18">
        <f>IFERROR(INDEX(Cluster_Master!$C$4:$C$18,MATCH($F186,Cluster_Master!$B$4:$B$18,0)),"")</f>
        <v/>
      </c>
      <c r="I186" s="15">
        <f>IFERROR(INDEX(Cluster_Master!$D$4:$D$18,MATCH($F186,Cluster_Master!$B$4:$B$18,0)),"")</f>
        <v/>
      </c>
      <c r="J186" s="15">
        <f>IFERROR(INDEX(Cluster_Master!$E$4:$E$18,MATCH($F186,Cluster_Master!$B$4:$B$18,0)),"")</f>
        <v/>
      </c>
      <c r="K186" s="15">
        <f>IFERROR(INDEX(Cluster_Master!$F$4:$F$18,MATCH($F186,Cluster_Master!$B$4:$B$18,0)),"")</f>
        <v/>
      </c>
      <c r="L186" s="15">
        <f>IFERROR(INDEX(Cluster_Master!$G$4:$G$18,MATCH($F186,Cluster_Master!$B$4:$B$18,0)),"")</f>
        <v/>
      </c>
      <c r="M186" s="15">
        <f>IFERROR(INDEX(Cluster_Master!$H$4:$H$18,MATCH($F186,Cluster_Master!$B$4:$B$18,0)),"")</f>
        <v/>
      </c>
      <c r="N186" s="41" t="n"/>
      <c r="O186" s="41" t="n"/>
      <c r="P186" s="41" t="n"/>
      <c r="Q186" s="41" t="n"/>
      <c r="R186" s="41" t="n"/>
      <c r="S186" s="41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15">
        <f>IF(COUNTA(T186:AH186)=0,"",SUM(T186:AH186))</f>
        <v/>
      </c>
      <c r="AJ186" s="21">
        <f>IF(COUNTA(T186:AH186)=0,"",AI186/(COUNT(KPI_Weights!$A$4:$A$18)*5))</f>
        <v/>
      </c>
      <c r="AK186" s="21">
        <f>IF(COUNTA(T186:AH186)=0,"",SUMPRODUCT(T186:AH186,KPI_Weights!$B$4:$B$18)/5)</f>
        <v/>
      </c>
      <c r="AL186" s="15">
        <f>IF(COUNTA(T186:AH186)=0,"",IF(SUMPRODUCT(--(T186:AH186&lt;=1),--(KPI_Weights!$C$4:$C$18="YES"))&gt;0,"YES","NO"))</f>
        <v/>
      </c>
      <c r="AM186" s="15">
        <f>IF(AJ186="","",IF(AND(AL186="NO",AJ186&gt;=0.75),"YES","NO"))</f>
        <v/>
      </c>
      <c r="AN186" s="15">
        <f>IF(AJ186="","",IF(AJ186&lt;0.4,"Critical",IF(AJ186&lt;0.6,"Poor",IF(AJ186&lt;0.75,"Needs Improvement",IF(AJ186&lt;0.9,"Good","Excellent")))))</f>
        <v/>
      </c>
      <c r="AO186" s="41" t="n"/>
      <c r="AP186" s="41" t="n"/>
      <c r="AQ186" s="41" t="n"/>
      <c r="AR186" s="41" t="n"/>
      <c r="AS186" s="41" t="n"/>
      <c r="AT186" s="44" t="n"/>
      <c r="AU186" s="41" t="n"/>
      <c r="AV186" s="43" t="n"/>
      <c r="AW186" s="41" t="n"/>
      <c r="AX186" s="44" t="n"/>
      <c r="AY186" s="44" t="n"/>
      <c r="AZ186" s="44" t="n"/>
      <c r="BA186" s="44" t="n"/>
      <c r="BB186" s="44" t="n"/>
      <c r="BC186" s="44" t="n"/>
      <c r="BD186" s="44" t="n"/>
      <c r="BE186" s="44" t="n"/>
      <c r="BF186" s="44" t="n"/>
    </row>
    <row r="187" ht="19.5" customHeight="1" s="45">
      <c r="A187" s="15">
        <f>IF($B187="","",TEXT($B187,"yyyymmdd")&amp;"-"&amp;SUBSTITUTE($F187," ","")&amp;"-"&amp;TEXT(COUNTIF($F$4:F187,$F187),"00"))</f>
        <v/>
      </c>
      <c r="B187" s="39" t="n"/>
      <c r="C187" s="15">
        <f>IF($B187="","",WEEKNUM($B187,2))</f>
        <v/>
      </c>
      <c r="D187" s="15">
        <f>IF($B187="","",TEXT($B187,"yyyy-mm"))</f>
        <v/>
      </c>
      <c r="E187" s="40" t="n"/>
      <c r="F187" s="40" t="n"/>
      <c r="G187" s="15">
        <f>IF(OR($E187="",$F187=""),"",IFERROR(IF($E187=INDEX(Cluster_Master!$A$4:$A$18,MATCH($F187,Cluster_Master!$B$4:$B$18,0)),"OK","CHECK"),"CHECK"))</f>
        <v/>
      </c>
      <c r="H187" s="18">
        <f>IFERROR(INDEX(Cluster_Master!$C$4:$C$18,MATCH($F187,Cluster_Master!$B$4:$B$18,0)),"")</f>
        <v/>
      </c>
      <c r="I187" s="15">
        <f>IFERROR(INDEX(Cluster_Master!$D$4:$D$18,MATCH($F187,Cluster_Master!$B$4:$B$18,0)),"")</f>
        <v/>
      </c>
      <c r="J187" s="15">
        <f>IFERROR(INDEX(Cluster_Master!$E$4:$E$18,MATCH($F187,Cluster_Master!$B$4:$B$18,0)),"")</f>
        <v/>
      </c>
      <c r="K187" s="15">
        <f>IFERROR(INDEX(Cluster_Master!$F$4:$F$18,MATCH($F187,Cluster_Master!$B$4:$B$18,0)),"")</f>
        <v/>
      </c>
      <c r="L187" s="15">
        <f>IFERROR(INDEX(Cluster_Master!$G$4:$G$18,MATCH($F187,Cluster_Master!$B$4:$B$18,0)),"")</f>
        <v/>
      </c>
      <c r="M187" s="15">
        <f>IFERROR(INDEX(Cluster_Master!$H$4:$H$18,MATCH($F187,Cluster_Master!$B$4:$B$18,0)),"")</f>
        <v/>
      </c>
      <c r="N187" s="41" t="n"/>
      <c r="O187" s="41" t="n"/>
      <c r="P187" s="41" t="n"/>
      <c r="Q187" s="41" t="n"/>
      <c r="R187" s="41" t="n"/>
      <c r="S187" s="41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15">
        <f>IF(COUNTA(T187:AH187)=0,"",SUM(T187:AH187))</f>
        <v/>
      </c>
      <c r="AJ187" s="21">
        <f>IF(COUNTA(T187:AH187)=0,"",AI187/(COUNT(KPI_Weights!$A$4:$A$18)*5))</f>
        <v/>
      </c>
      <c r="AK187" s="21">
        <f>IF(COUNTA(T187:AH187)=0,"",SUMPRODUCT(T187:AH187,KPI_Weights!$B$4:$B$18)/5)</f>
        <v/>
      </c>
      <c r="AL187" s="15">
        <f>IF(COUNTA(T187:AH187)=0,"",IF(SUMPRODUCT(--(T187:AH187&lt;=1),--(KPI_Weights!$C$4:$C$18="YES"))&gt;0,"YES","NO"))</f>
        <v/>
      </c>
      <c r="AM187" s="15">
        <f>IF(AJ187="","",IF(AND(AL187="NO",AJ187&gt;=0.75),"YES","NO"))</f>
        <v/>
      </c>
      <c r="AN187" s="15">
        <f>IF(AJ187="","",IF(AJ187&lt;0.4,"Critical",IF(AJ187&lt;0.6,"Poor",IF(AJ187&lt;0.75,"Needs Improvement",IF(AJ187&lt;0.9,"Good","Excellent")))))</f>
        <v/>
      </c>
      <c r="AO187" s="41" t="n"/>
      <c r="AP187" s="41" t="n"/>
      <c r="AQ187" s="41" t="n"/>
      <c r="AR187" s="41" t="n"/>
      <c r="AS187" s="41" t="n"/>
      <c r="AT187" s="44" t="n"/>
      <c r="AU187" s="41" t="n"/>
      <c r="AV187" s="43" t="n"/>
      <c r="AW187" s="41" t="n"/>
      <c r="AX187" s="44" t="n"/>
      <c r="AY187" s="44" t="n"/>
      <c r="AZ187" s="44" t="n"/>
      <c r="BA187" s="44" t="n"/>
      <c r="BB187" s="44" t="n"/>
      <c r="BC187" s="44" t="n"/>
      <c r="BD187" s="44" t="n"/>
      <c r="BE187" s="44" t="n"/>
      <c r="BF187" s="44" t="n"/>
    </row>
    <row r="188" ht="19.5" customHeight="1" s="45">
      <c r="A188" s="15">
        <f>IF($B188="","",TEXT($B188,"yyyymmdd")&amp;"-"&amp;SUBSTITUTE($F188," ","")&amp;"-"&amp;TEXT(COUNTIF($F$4:F188,$F188),"00"))</f>
        <v/>
      </c>
      <c r="B188" s="39" t="n"/>
      <c r="C188" s="15">
        <f>IF($B188="","",WEEKNUM($B188,2))</f>
        <v/>
      </c>
      <c r="D188" s="15">
        <f>IF($B188="","",TEXT($B188,"yyyy-mm"))</f>
        <v/>
      </c>
      <c r="E188" s="40" t="n"/>
      <c r="F188" s="40" t="n"/>
      <c r="G188" s="15">
        <f>IF(OR($E188="",$F188=""),"",IFERROR(IF($E188=INDEX(Cluster_Master!$A$4:$A$18,MATCH($F188,Cluster_Master!$B$4:$B$18,0)),"OK","CHECK"),"CHECK"))</f>
        <v/>
      </c>
      <c r="H188" s="18">
        <f>IFERROR(INDEX(Cluster_Master!$C$4:$C$18,MATCH($F188,Cluster_Master!$B$4:$B$18,0)),"")</f>
        <v/>
      </c>
      <c r="I188" s="15">
        <f>IFERROR(INDEX(Cluster_Master!$D$4:$D$18,MATCH($F188,Cluster_Master!$B$4:$B$18,0)),"")</f>
        <v/>
      </c>
      <c r="J188" s="15">
        <f>IFERROR(INDEX(Cluster_Master!$E$4:$E$18,MATCH($F188,Cluster_Master!$B$4:$B$18,0)),"")</f>
        <v/>
      </c>
      <c r="K188" s="15">
        <f>IFERROR(INDEX(Cluster_Master!$F$4:$F$18,MATCH($F188,Cluster_Master!$B$4:$B$18,0)),"")</f>
        <v/>
      </c>
      <c r="L188" s="15">
        <f>IFERROR(INDEX(Cluster_Master!$G$4:$G$18,MATCH($F188,Cluster_Master!$B$4:$B$18,0)),"")</f>
        <v/>
      </c>
      <c r="M188" s="15">
        <f>IFERROR(INDEX(Cluster_Master!$H$4:$H$18,MATCH($F188,Cluster_Master!$B$4:$B$18,0)),"")</f>
        <v/>
      </c>
      <c r="N188" s="41" t="n"/>
      <c r="O188" s="41" t="n"/>
      <c r="P188" s="41" t="n"/>
      <c r="Q188" s="41" t="n"/>
      <c r="R188" s="41" t="n"/>
      <c r="S188" s="41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15">
        <f>IF(COUNTA(T188:AH188)=0,"",SUM(T188:AH188))</f>
        <v/>
      </c>
      <c r="AJ188" s="21">
        <f>IF(COUNTA(T188:AH188)=0,"",AI188/(COUNT(KPI_Weights!$A$4:$A$18)*5))</f>
        <v/>
      </c>
      <c r="AK188" s="21">
        <f>IF(COUNTA(T188:AH188)=0,"",SUMPRODUCT(T188:AH188,KPI_Weights!$B$4:$B$18)/5)</f>
        <v/>
      </c>
      <c r="AL188" s="15">
        <f>IF(COUNTA(T188:AH188)=0,"",IF(SUMPRODUCT(--(T188:AH188&lt;=1),--(KPI_Weights!$C$4:$C$18="YES"))&gt;0,"YES","NO"))</f>
        <v/>
      </c>
      <c r="AM188" s="15">
        <f>IF(AJ188="","",IF(AND(AL188="NO",AJ188&gt;=0.75),"YES","NO"))</f>
        <v/>
      </c>
      <c r="AN188" s="15">
        <f>IF(AJ188="","",IF(AJ188&lt;0.4,"Critical",IF(AJ188&lt;0.6,"Poor",IF(AJ188&lt;0.75,"Needs Improvement",IF(AJ188&lt;0.9,"Good","Excellent")))))</f>
        <v/>
      </c>
      <c r="AO188" s="41" t="n"/>
      <c r="AP188" s="41" t="n"/>
      <c r="AQ188" s="41" t="n"/>
      <c r="AR188" s="41" t="n"/>
      <c r="AS188" s="41" t="n"/>
      <c r="AT188" s="44" t="n"/>
      <c r="AU188" s="41" t="n"/>
      <c r="AV188" s="43" t="n"/>
      <c r="AW188" s="41" t="n"/>
      <c r="AX188" s="44" t="n"/>
      <c r="AY188" s="44" t="n"/>
      <c r="AZ188" s="44" t="n"/>
      <c r="BA188" s="44" t="n"/>
      <c r="BB188" s="44" t="n"/>
      <c r="BC188" s="44" t="n"/>
      <c r="BD188" s="44" t="n"/>
      <c r="BE188" s="44" t="n"/>
      <c r="BF188" s="44" t="n"/>
    </row>
    <row r="189" ht="19.5" customHeight="1" s="45">
      <c r="A189" s="15">
        <f>IF($B189="","",TEXT($B189,"yyyymmdd")&amp;"-"&amp;SUBSTITUTE($F189," ","")&amp;"-"&amp;TEXT(COUNTIF($F$4:F189,$F189),"00"))</f>
        <v/>
      </c>
      <c r="B189" s="39" t="n"/>
      <c r="C189" s="15">
        <f>IF($B189="","",WEEKNUM($B189,2))</f>
        <v/>
      </c>
      <c r="D189" s="15">
        <f>IF($B189="","",TEXT($B189,"yyyy-mm"))</f>
        <v/>
      </c>
      <c r="E189" s="40" t="n"/>
      <c r="F189" s="40" t="n"/>
      <c r="G189" s="15">
        <f>IF(OR($E189="",$F189=""),"",IFERROR(IF($E189=INDEX(Cluster_Master!$A$4:$A$18,MATCH($F189,Cluster_Master!$B$4:$B$18,0)),"OK","CHECK"),"CHECK"))</f>
        <v/>
      </c>
      <c r="H189" s="18">
        <f>IFERROR(INDEX(Cluster_Master!$C$4:$C$18,MATCH($F189,Cluster_Master!$B$4:$B$18,0)),"")</f>
        <v/>
      </c>
      <c r="I189" s="15">
        <f>IFERROR(INDEX(Cluster_Master!$D$4:$D$18,MATCH($F189,Cluster_Master!$B$4:$B$18,0)),"")</f>
        <v/>
      </c>
      <c r="J189" s="15">
        <f>IFERROR(INDEX(Cluster_Master!$E$4:$E$18,MATCH($F189,Cluster_Master!$B$4:$B$18,0)),"")</f>
        <v/>
      </c>
      <c r="K189" s="15">
        <f>IFERROR(INDEX(Cluster_Master!$F$4:$F$18,MATCH($F189,Cluster_Master!$B$4:$B$18,0)),"")</f>
        <v/>
      </c>
      <c r="L189" s="15">
        <f>IFERROR(INDEX(Cluster_Master!$G$4:$G$18,MATCH($F189,Cluster_Master!$B$4:$B$18,0)),"")</f>
        <v/>
      </c>
      <c r="M189" s="15">
        <f>IFERROR(INDEX(Cluster_Master!$H$4:$H$18,MATCH($F189,Cluster_Master!$B$4:$B$18,0)),"")</f>
        <v/>
      </c>
      <c r="N189" s="41" t="n"/>
      <c r="O189" s="41" t="n"/>
      <c r="P189" s="41" t="n"/>
      <c r="Q189" s="41" t="n"/>
      <c r="R189" s="41" t="n"/>
      <c r="S189" s="41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15">
        <f>IF(COUNTA(T189:AH189)=0,"",SUM(T189:AH189))</f>
        <v/>
      </c>
      <c r="AJ189" s="21">
        <f>IF(COUNTA(T189:AH189)=0,"",AI189/(COUNT(KPI_Weights!$A$4:$A$18)*5))</f>
        <v/>
      </c>
      <c r="AK189" s="21">
        <f>IF(COUNTA(T189:AH189)=0,"",SUMPRODUCT(T189:AH189,KPI_Weights!$B$4:$B$18)/5)</f>
        <v/>
      </c>
      <c r="AL189" s="15">
        <f>IF(COUNTA(T189:AH189)=0,"",IF(SUMPRODUCT(--(T189:AH189&lt;=1),--(KPI_Weights!$C$4:$C$18="YES"))&gt;0,"YES","NO"))</f>
        <v/>
      </c>
      <c r="AM189" s="15">
        <f>IF(AJ189="","",IF(AND(AL189="NO",AJ189&gt;=0.75),"YES","NO"))</f>
        <v/>
      </c>
      <c r="AN189" s="15">
        <f>IF(AJ189="","",IF(AJ189&lt;0.4,"Critical",IF(AJ189&lt;0.6,"Poor",IF(AJ189&lt;0.75,"Needs Improvement",IF(AJ189&lt;0.9,"Good","Excellent")))))</f>
        <v/>
      </c>
      <c r="AO189" s="41" t="n"/>
      <c r="AP189" s="41" t="n"/>
      <c r="AQ189" s="41" t="n"/>
      <c r="AR189" s="41" t="n"/>
      <c r="AS189" s="41" t="n"/>
      <c r="AT189" s="44" t="n"/>
      <c r="AU189" s="41" t="n"/>
      <c r="AV189" s="43" t="n"/>
      <c r="AW189" s="41" t="n"/>
      <c r="AX189" s="44" t="n"/>
      <c r="AY189" s="44" t="n"/>
      <c r="AZ189" s="44" t="n"/>
      <c r="BA189" s="44" t="n"/>
      <c r="BB189" s="44" t="n"/>
      <c r="BC189" s="44" t="n"/>
      <c r="BD189" s="44" t="n"/>
      <c r="BE189" s="44" t="n"/>
      <c r="BF189" s="44" t="n"/>
    </row>
    <row r="190" ht="19.5" customHeight="1" s="45">
      <c r="A190" s="15">
        <f>IF($B190="","",TEXT($B190,"yyyymmdd")&amp;"-"&amp;SUBSTITUTE($F190," ","")&amp;"-"&amp;TEXT(COUNTIF($F$4:F190,$F190),"00"))</f>
        <v/>
      </c>
      <c r="B190" s="39" t="n"/>
      <c r="C190" s="15">
        <f>IF($B190="","",WEEKNUM($B190,2))</f>
        <v/>
      </c>
      <c r="D190" s="15">
        <f>IF($B190="","",TEXT($B190,"yyyy-mm"))</f>
        <v/>
      </c>
      <c r="E190" s="40" t="n"/>
      <c r="F190" s="40" t="n"/>
      <c r="G190" s="15">
        <f>IF(OR($E190="",$F190=""),"",IFERROR(IF($E190=INDEX(Cluster_Master!$A$4:$A$18,MATCH($F190,Cluster_Master!$B$4:$B$18,0)),"OK","CHECK"),"CHECK"))</f>
        <v/>
      </c>
      <c r="H190" s="18">
        <f>IFERROR(INDEX(Cluster_Master!$C$4:$C$18,MATCH($F190,Cluster_Master!$B$4:$B$18,0)),"")</f>
        <v/>
      </c>
      <c r="I190" s="15">
        <f>IFERROR(INDEX(Cluster_Master!$D$4:$D$18,MATCH($F190,Cluster_Master!$B$4:$B$18,0)),"")</f>
        <v/>
      </c>
      <c r="J190" s="15">
        <f>IFERROR(INDEX(Cluster_Master!$E$4:$E$18,MATCH($F190,Cluster_Master!$B$4:$B$18,0)),"")</f>
        <v/>
      </c>
      <c r="K190" s="15">
        <f>IFERROR(INDEX(Cluster_Master!$F$4:$F$18,MATCH($F190,Cluster_Master!$B$4:$B$18,0)),"")</f>
        <v/>
      </c>
      <c r="L190" s="15">
        <f>IFERROR(INDEX(Cluster_Master!$G$4:$G$18,MATCH($F190,Cluster_Master!$B$4:$B$18,0)),"")</f>
        <v/>
      </c>
      <c r="M190" s="15">
        <f>IFERROR(INDEX(Cluster_Master!$H$4:$H$18,MATCH($F190,Cluster_Master!$B$4:$B$18,0)),"")</f>
        <v/>
      </c>
      <c r="N190" s="41" t="n"/>
      <c r="O190" s="41" t="n"/>
      <c r="P190" s="41" t="n"/>
      <c r="Q190" s="41" t="n"/>
      <c r="R190" s="41" t="n"/>
      <c r="S190" s="41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15">
        <f>IF(COUNTA(T190:AH190)=0,"",SUM(T190:AH190))</f>
        <v/>
      </c>
      <c r="AJ190" s="21">
        <f>IF(COUNTA(T190:AH190)=0,"",AI190/(COUNT(KPI_Weights!$A$4:$A$18)*5))</f>
        <v/>
      </c>
      <c r="AK190" s="21">
        <f>IF(COUNTA(T190:AH190)=0,"",SUMPRODUCT(T190:AH190,KPI_Weights!$B$4:$B$18)/5)</f>
        <v/>
      </c>
      <c r="AL190" s="15">
        <f>IF(COUNTA(T190:AH190)=0,"",IF(SUMPRODUCT(--(T190:AH190&lt;=1),--(KPI_Weights!$C$4:$C$18="YES"))&gt;0,"YES","NO"))</f>
        <v/>
      </c>
      <c r="AM190" s="15">
        <f>IF(AJ190="","",IF(AND(AL190="NO",AJ190&gt;=0.75),"YES","NO"))</f>
        <v/>
      </c>
      <c r="AN190" s="15">
        <f>IF(AJ190="","",IF(AJ190&lt;0.4,"Critical",IF(AJ190&lt;0.6,"Poor",IF(AJ190&lt;0.75,"Needs Improvement",IF(AJ190&lt;0.9,"Good","Excellent")))))</f>
        <v/>
      </c>
      <c r="AO190" s="41" t="n"/>
      <c r="AP190" s="41" t="n"/>
      <c r="AQ190" s="41" t="n"/>
      <c r="AR190" s="41" t="n"/>
      <c r="AS190" s="41" t="n"/>
      <c r="AT190" s="44" t="n"/>
      <c r="AU190" s="41" t="n"/>
      <c r="AV190" s="43" t="n"/>
      <c r="AW190" s="41" t="n"/>
      <c r="AX190" s="44" t="n"/>
      <c r="AY190" s="44" t="n"/>
      <c r="AZ190" s="44" t="n"/>
      <c r="BA190" s="44" t="n"/>
      <c r="BB190" s="44" t="n"/>
      <c r="BC190" s="44" t="n"/>
      <c r="BD190" s="44" t="n"/>
      <c r="BE190" s="44" t="n"/>
      <c r="BF190" s="44" t="n"/>
    </row>
    <row r="191" ht="19.5" customHeight="1" s="45">
      <c r="A191" s="15">
        <f>IF($B191="","",TEXT($B191,"yyyymmdd")&amp;"-"&amp;SUBSTITUTE($F191," ","")&amp;"-"&amp;TEXT(COUNTIF($F$4:F191,$F191),"00"))</f>
        <v/>
      </c>
      <c r="B191" s="39" t="n"/>
      <c r="C191" s="15">
        <f>IF($B191="","",WEEKNUM($B191,2))</f>
        <v/>
      </c>
      <c r="D191" s="15">
        <f>IF($B191="","",TEXT($B191,"yyyy-mm"))</f>
        <v/>
      </c>
      <c r="E191" s="40" t="n"/>
      <c r="F191" s="40" t="n"/>
      <c r="G191" s="15">
        <f>IF(OR($E191="",$F191=""),"",IFERROR(IF($E191=INDEX(Cluster_Master!$A$4:$A$18,MATCH($F191,Cluster_Master!$B$4:$B$18,0)),"OK","CHECK"),"CHECK"))</f>
        <v/>
      </c>
      <c r="H191" s="18">
        <f>IFERROR(INDEX(Cluster_Master!$C$4:$C$18,MATCH($F191,Cluster_Master!$B$4:$B$18,0)),"")</f>
        <v/>
      </c>
      <c r="I191" s="15">
        <f>IFERROR(INDEX(Cluster_Master!$D$4:$D$18,MATCH($F191,Cluster_Master!$B$4:$B$18,0)),"")</f>
        <v/>
      </c>
      <c r="J191" s="15">
        <f>IFERROR(INDEX(Cluster_Master!$E$4:$E$18,MATCH($F191,Cluster_Master!$B$4:$B$18,0)),"")</f>
        <v/>
      </c>
      <c r="K191" s="15">
        <f>IFERROR(INDEX(Cluster_Master!$F$4:$F$18,MATCH($F191,Cluster_Master!$B$4:$B$18,0)),"")</f>
        <v/>
      </c>
      <c r="L191" s="15">
        <f>IFERROR(INDEX(Cluster_Master!$G$4:$G$18,MATCH($F191,Cluster_Master!$B$4:$B$18,0)),"")</f>
        <v/>
      </c>
      <c r="M191" s="15">
        <f>IFERROR(INDEX(Cluster_Master!$H$4:$H$18,MATCH($F191,Cluster_Master!$B$4:$B$18,0)),"")</f>
        <v/>
      </c>
      <c r="N191" s="41" t="n"/>
      <c r="O191" s="41" t="n"/>
      <c r="P191" s="41" t="n"/>
      <c r="Q191" s="41" t="n"/>
      <c r="R191" s="41" t="n"/>
      <c r="S191" s="41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15">
        <f>IF(COUNTA(T191:AH191)=0,"",SUM(T191:AH191))</f>
        <v/>
      </c>
      <c r="AJ191" s="21">
        <f>IF(COUNTA(T191:AH191)=0,"",AI191/(COUNT(KPI_Weights!$A$4:$A$18)*5))</f>
        <v/>
      </c>
      <c r="AK191" s="21">
        <f>IF(COUNTA(T191:AH191)=0,"",SUMPRODUCT(T191:AH191,KPI_Weights!$B$4:$B$18)/5)</f>
        <v/>
      </c>
      <c r="AL191" s="15">
        <f>IF(COUNTA(T191:AH191)=0,"",IF(SUMPRODUCT(--(T191:AH191&lt;=1),--(KPI_Weights!$C$4:$C$18="YES"))&gt;0,"YES","NO"))</f>
        <v/>
      </c>
      <c r="AM191" s="15">
        <f>IF(AJ191="","",IF(AND(AL191="NO",AJ191&gt;=0.75),"YES","NO"))</f>
        <v/>
      </c>
      <c r="AN191" s="15">
        <f>IF(AJ191="","",IF(AJ191&lt;0.4,"Critical",IF(AJ191&lt;0.6,"Poor",IF(AJ191&lt;0.75,"Needs Improvement",IF(AJ191&lt;0.9,"Good","Excellent")))))</f>
        <v/>
      </c>
      <c r="AO191" s="41" t="n"/>
      <c r="AP191" s="41" t="n"/>
      <c r="AQ191" s="41" t="n"/>
      <c r="AR191" s="41" t="n"/>
      <c r="AS191" s="41" t="n"/>
      <c r="AT191" s="44" t="n"/>
      <c r="AU191" s="41" t="n"/>
      <c r="AV191" s="43" t="n"/>
      <c r="AW191" s="41" t="n"/>
      <c r="AX191" s="44" t="n"/>
      <c r="AY191" s="44" t="n"/>
      <c r="AZ191" s="44" t="n"/>
      <c r="BA191" s="44" t="n"/>
      <c r="BB191" s="44" t="n"/>
      <c r="BC191" s="44" t="n"/>
      <c r="BD191" s="44" t="n"/>
      <c r="BE191" s="44" t="n"/>
      <c r="BF191" s="44" t="n"/>
    </row>
    <row r="192" ht="19.5" customHeight="1" s="45">
      <c r="A192" s="15">
        <f>IF($B192="","",TEXT($B192,"yyyymmdd")&amp;"-"&amp;SUBSTITUTE($F192," ","")&amp;"-"&amp;TEXT(COUNTIF($F$4:F192,$F192),"00"))</f>
        <v/>
      </c>
      <c r="B192" s="39" t="n"/>
      <c r="C192" s="15">
        <f>IF($B192="","",WEEKNUM($B192,2))</f>
        <v/>
      </c>
      <c r="D192" s="15">
        <f>IF($B192="","",TEXT($B192,"yyyy-mm"))</f>
        <v/>
      </c>
      <c r="E192" s="40" t="n"/>
      <c r="F192" s="40" t="n"/>
      <c r="G192" s="15">
        <f>IF(OR($E192="",$F192=""),"",IFERROR(IF($E192=INDEX(Cluster_Master!$A$4:$A$18,MATCH($F192,Cluster_Master!$B$4:$B$18,0)),"OK","CHECK"),"CHECK"))</f>
        <v/>
      </c>
      <c r="H192" s="18">
        <f>IFERROR(INDEX(Cluster_Master!$C$4:$C$18,MATCH($F192,Cluster_Master!$B$4:$B$18,0)),"")</f>
        <v/>
      </c>
      <c r="I192" s="15">
        <f>IFERROR(INDEX(Cluster_Master!$D$4:$D$18,MATCH($F192,Cluster_Master!$B$4:$B$18,0)),"")</f>
        <v/>
      </c>
      <c r="J192" s="15">
        <f>IFERROR(INDEX(Cluster_Master!$E$4:$E$18,MATCH($F192,Cluster_Master!$B$4:$B$18,0)),"")</f>
        <v/>
      </c>
      <c r="K192" s="15">
        <f>IFERROR(INDEX(Cluster_Master!$F$4:$F$18,MATCH($F192,Cluster_Master!$B$4:$B$18,0)),"")</f>
        <v/>
      </c>
      <c r="L192" s="15">
        <f>IFERROR(INDEX(Cluster_Master!$G$4:$G$18,MATCH($F192,Cluster_Master!$B$4:$B$18,0)),"")</f>
        <v/>
      </c>
      <c r="M192" s="15">
        <f>IFERROR(INDEX(Cluster_Master!$H$4:$H$18,MATCH($F192,Cluster_Master!$B$4:$B$18,0)),"")</f>
        <v/>
      </c>
      <c r="N192" s="41" t="n"/>
      <c r="O192" s="41" t="n"/>
      <c r="P192" s="41" t="n"/>
      <c r="Q192" s="41" t="n"/>
      <c r="R192" s="41" t="n"/>
      <c r="S192" s="41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15">
        <f>IF(COUNTA(T192:AH192)=0,"",SUM(T192:AH192))</f>
        <v/>
      </c>
      <c r="AJ192" s="21">
        <f>IF(COUNTA(T192:AH192)=0,"",AI192/(COUNT(KPI_Weights!$A$4:$A$18)*5))</f>
        <v/>
      </c>
      <c r="AK192" s="21">
        <f>IF(COUNTA(T192:AH192)=0,"",SUMPRODUCT(T192:AH192,KPI_Weights!$B$4:$B$18)/5)</f>
        <v/>
      </c>
      <c r="AL192" s="15">
        <f>IF(COUNTA(T192:AH192)=0,"",IF(SUMPRODUCT(--(T192:AH192&lt;=1),--(KPI_Weights!$C$4:$C$18="YES"))&gt;0,"YES","NO"))</f>
        <v/>
      </c>
      <c r="AM192" s="15">
        <f>IF(AJ192="","",IF(AND(AL192="NO",AJ192&gt;=0.75),"YES","NO"))</f>
        <v/>
      </c>
      <c r="AN192" s="15">
        <f>IF(AJ192="","",IF(AJ192&lt;0.4,"Critical",IF(AJ192&lt;0.6,"Poor",IF(AJ192&lt;0.75,"Needs Improvement",IF(AJ192&lt;0.9,"Good","Excellent")))))</f>
        <v/>
      </c>
      <c r="AO192" s="41" t="n"/>
      <c r="AP192" s="41" t="n"/>
      <c r="AQ192" s="41" t="n"/>
      <c r="AR192" s="41" t="n"/>
      <c r="AS192" s="41" t="n"/>
      <c r="AT192" s="44" t="n"/>
      <c r="AU192" s="41" t="n"/>
      <c r="AV192" s="43" t="n"/>
      <c r="AW192" s="41" t="n"/>
      <c r="AX192" s="44" t="n"/>
      <c r="AY192" s="44" t="n"/>
      <c r="AZ192" s="44" t="n"/>
      <c r="BA192" s="44" t="n"/>
      <c r="BB192" s="44" t="n"/>
      <c r="BC192" s="44" t="n"/>
      <c r="BD192" s="44" t="n"/>
      <c r="BE192" s="44" t="n"/>
      <c r="BF192" s="44" t="n"/>
    </row>
    <row r="193" ht="19.5" customHeight="1" s="45">
      <c r="A193" s="15">
        <f>IF($B193="","",TEXT($B193,"yyyymmdd")&amp;"-"&amp;SUBSTITUTE($F193," ","")&amp;"-"&amp;TEXT(COUNTIF($F$4:F193,$F193),"00"))</f>
        <v/>
      </c>
      <c r="B193" s="39" t="n"/>
      <c r="C193" s="15">
        <f>IF($B193="","",WEEKNUM($B193,2))</f>
        <v/>
      </c>
      <c r="D193" s="15">
        <f>IF($B193="","",TEXT($B193,"yyyy-mm"))</f>
        <v/>
      </c>
      <c r="E193" s="40" t="n"/>
      <c r="F193" s="40" t="n"/>
      <c r="G193" s="15">
        <f>IF(OR($E193="",$F193=""),"",IFERROR(IF($E193=INDEX(Cluster_Master!$A$4:$A$18,MATCH($F193,Cluster_Master!$B$4:$B$18,0)),"OK","CHECK"),"CHECK"))</f>
        <v/>
      </c>
      <c r="H193" s="18">
        <f>IFERROR(INDEX(Cluster_Master!$C$4:$C$18,MATCH($F193,Cluster_Master!$B$4:$B$18,0)),"")</f>
        <v/>
      </c>
      <c r="I193" s="15">
        <f>IFERROR(INDEX(Cluster_Master!$D$4:$D$18,MATCH($F193,Cluster_Master!$B$4:$B$18,0)),"")</f>
        <v/>
      </c>
      <c r="J193" s="15">
        <f>IFERROR(INDEX(Cluster_Master!$E$4:$E$18,MATCH($F193,Cluster_Master!$B$4:$B$18,0)),"")</f>
        <v/>
      </c>
      <c r="K193" s="15">
        <f>IFERROR(INDEX(Cluster_Master!$F$4:$F$18,MATCH($F193,Cluster_Master!$B$4:$B$18,0)),"")</f>
        <v/>
      </c>
      <c r="L193" s="15">
        <f>IFERROR(INDEX(Cluster_Master!$G$4:$G$18,MATCH($F193,Cluster_Master!$B$4:$B$18,0)),"")</f>
        <v/>
      </c>
      <c r="M193" s="15">
        <f>IFERROR(INDEX(Cluster_Master!$H$4:$H$18,MATCH($F193,Cluster_Master!$B$4:$B$18,0)),"")</f>
        <v/>
      </c>
      <c r="N193" s="41" t="n"/>
      <c r="O193" s="41" t="n"/>
      <c r="P193" s="41" t="n"/>
      <c r="Q193" s="41" t="n"/>
      <c r="R193" s="41" t="n"/>
      <c r="S193" s="41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15">
        <f>IF(COUNTA(T193:AH193)=0,"",SUM(T193:AH193))</f>
        <v/>
      </c>
      <c r="AJ193" s="21">
        <f>IF(COUNTA(T193:AH193)=0,"",AI193/(COUNT(KPI_Weights!$A$4:$A$18)*5))</f>
        <v/>
      </c>
      <c r="AK193" s="21">
        <f>IF(COUNTA(T193:AH193)=0,"",SUMPRODUCT(T193:AH193,KPI_Weights!$B$4:$B$18)/5)</f>
        <v/>
      </c>
      <c r="AL193" s="15">
        <f>IF(COUNTA(T193:AH193)=0,"",IF(SUMPRODUCT(--(T193:AH193&lt;=1),--(KPI_Weights!$C$4:$C$18="YES"))&gt;0,"YES","NO"))</f>
        <v/>
      </c>
      <c r="AM193" s="15">
        <f>IF(AJ193="","",IF(AND(AL193="NO",AJ193&gt;=0.75),"YES","NO"))</f>
        <v/>
      </c>
      <c r="AN193" s="15">
        <f>IF(AJ193="","",IF(AJ193&lt;0.4,"Critical",IF(AJ193&lt;0.6,"Poor",IF(AJ193&lt;0.75,"Needs Improvement",IF(AJ193&lt;0.9,"Good","Excellent")))))</f>
        <v/>
      </c>
      <c r="AO193" s="41" t="n"/>
      <c r="AP193" s="41" t="n"/>
      <c r="AQ193" s="41" t="n"/>
      <c r="AR193" s="41" t="n"/>
      <c r="AS193" s="41" t="n"/>
      <c r="AT193" s="44" t="n"/>
      <c r="AU193" s="41" t="n"/>
      <c r="AV193" s="43" t="n"/>
      <c r="AW193" s="41" t="n"/>
      <c r="AX193" s="44" t="n"/>
      <c r="AY193" s="44" t="n"/>
      <c r="AZ193" s="44" t="n"/>
      <c r="BA193" s="44" t="n"/>
      <c r="BB193" s="44" t="n"/>
      <c r="BC193" s="44" t="n"/>
      <c r="BD193" s="44" t="n"/>
      <c r="BE193" s="44" t="n"/>
      <c r="BF193" s="44" t="n"/>
    </row>
    <row r="194" ht="19.5" customHeight="1" s="45">
      <c r="A194" s="15">
        <f>IF($B194="","",TEXT($B194,"yyyymmdd")&amp;"-"&amp;SUBSTITUTE($F194," ","")&amp;"-"&amp;TEXT(COUNTIF($F$4:F194,$F194),"00"))</f>
        <v/>
      </c>
      <c r="B194" s="39" t="n"/>
      <c r="C194" s="15">
        <f>IF($B194="","",WEEKNUM($B194,2))</f>
        <v/>
      </c>
      <c r="D194" s="15">
        <f>IF($B194="","",TEXT($B194,"yyyy-mm"))</f>
        <v/>
      </c>
      <c r="E194" s="40" t="n"/>
      <c r="F194" s="40" t="n"/>
      <c r="G194" s="15">
        <f>IF(OR($E194="",$F194=""),"",IFERROR(IF($E194=INDEX(Cluster_Master!$A$4:$A$18,MATCH($F194,Cluster_Master!$B$4:$B$18,0)),"OK","CHECK"),"CHECK"))</f>
        <v/>
      </c>
      <c r="H194" s="18">
        <f>IFERROR(INDEX(Cluster_Master!$C$4:$C$18,MATCH($F194,Cluster_Master!$B$4:$B$18,0)),"")</f>
        <v/>
      </c>
      <c r="I194" s="15">
        <f>IFERROR(INDEX(Cluster_Master!$D$4:$D$18,MATCH($F194,Cluster_Master!$B$4:$B$18,0)),"")</f>
        <v/>
      </c>
      <c r="J194" s="15">
        <f>IFERROR(INDEX(Cluster_Master!$E$4:$E$18,MATCH($F194,Cluster_Master!$B$4:$B$18,0)),"")</f>
        <v/>
      </c>
      <c r="K194" s="15">
        <f>IFERROR(INDEX(Cluster_Master!$F$4:$F$18,MATCH($F194,Cluster_Master!$B$4:$B$18,0)),"")</f>
        <v/>
      </c>
      <c r="L194" s="15">
        <f>IFERROR(INDEX(Cluster_Master!$G$4:$G$18,MATCH($F194,Cluster_Master!$B$4:$B$18,0)),"")</f>
        <v/>
      </c>
      <c r="M194" s="15">
        <f>IFERROR(INDEX(Cluster_Master!$H$4:$H$18,MATCH($F194,Cluster_Master!$B$4:$B$18,0)),"")</f>
        <v/>
      </c>
      <c r="N194" s="41" t="n"/>
      <c r="O194" s="41" t="n"/>
      <c r="P194" s="41" t="n"/>
      <c r="Q194" s="41" t="n"/>
      <c r="R194" s="41" t="n"/>
      <c r="S194" s="41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15">
        <f>IF(COUNTA(T194:AH194)=0,"",SUM(T194:AH194))</f>
        <v/>
      </c>
      <c r="AJ194" s="21">
        <f>IF(COUNTA(T194:AH194)=0,"",AI194/(COUNT(KPI_Weights!$A$4:$A$18)*5))</f>
        <v/>
      </c>
      <c r="AK194" s="21">
        <f>IF(COUNTA(T194:AH194)=0,"",SUMPRODUCT(T194:AH194,KPI_Weights!$B$4:$B$18)/5)</f>
        <v/>
      </c>
      <c r="AL194" s="15">
        <f>IF(COUNTA(T194:AH194)=0,"",IF(SUMPRODUCT(--(T194:AH194&lt;=1),--(KPI_Weights!$C$4:$C$18="YES"))&gt;0,"YES","NO"))</f>
        <v/>
      </c>
      <c r="AM194" s="15">
        <f>IF(AJ194="","",IF(AND(AL194="NO",AJ194&gt;=0.75),"YES","NO"))</f>
        <v/>
      </c>
      <c r="AN194" s="15">
        <f>IF(AJ194="","",IF(AJ194&lt;0.4,"Critical",IF(AJ194&lt;0.6,"Poor",IF(AJ194&lt;0.75,"Needs Improvement",IF(AJ194&lt;0.9,"Good","Excellent")))))</f>
        <v/>
      </c>
      <c r="AO194" s="41" t="n"/>
      <c r="AP194" s="41" t="n"/>
      <c r="AQ194" s="41" t="n"/>
      <c r="AR194" s="41" t="n"/>
      <c r="AS194" s="41" t="n"/>
      <c r="AT194" s="44" t="n"/>
      <c r="AU194" s="41" t="n"/>
      <c r="AV194" s="43" t="n"/>
      <c r="AW194" s="41" t="n"/>
      <c r="AX194" s="44" t="n"/>
      <c r="AY194" s="44" t="n"/>
      <c r="AZ194" s="44" t="n"/>
      <c r="BA194" s="44" t="n"/>
      <c r="BB194" s="44" t="n"/>
      <c r="BC194" s="44" t="n"/>
      <c r="BD194" s="44" t="n"/>
      <c r="BE194" s="44" t="n"/>
      <c r="BF194" s="44" t="n"/>
    </row>
    <row r="195" ht="19.5" customHeight="1" s="45">
      <c r="A195" s="15">
        <f>IF($B195="","",TEXT($B195,"yyyymmdd")&amp;"-"&amp;SUBSTITUTE($F195," ","")&amp;"-"&amp;TEXT(COUNTIF($F$4:F195,$F195),"00"))</f>
        <v/>
      </c>
      <c r="B195" s="39" t="n"/>
      <c r="C195" s="15">
        <f>IF($B195="","",WEEKNUM($B195,2))</f>
        <v/>
      </c>
      <c r="D195" s="15">
        <f>IF($B195="","",TEXT($B195,"yyyy-mm"))</f>
        <v/>
      </c>
      <c r="E195" s="40" t="n"/>
      <c r="F195" s="40" t="n"/>
      <c r="G195" s="15">
        <f>IF(OR($E195="",$F195=""),"",IFERROR(IF($E195=INDEX(Cluster_Master!$A$4:$A$18,MATCH($F195,Cluster_Master!$B$4:$B$18,0)),"OK","CHECK"),"CHECK"))</f>
        <v/>
      </c>
      <c r="H195" s="18">
        <f>IFERROR(INDEX(Cluster_Master!$C$4:$C$18,MATCH($F195,Cluster_Master!$B$4:$B$18,0)),"")</f>
        <v/>
      </c>
      <c r="I195" s="15">
        <f>IFERROR(INDEX(Cluster_Master!$D$4:$D$18,MATCH($F195,Cluster_Master!$B$4:$B$18,0)),"")</f>
        <v/>
      </c>
      <c r="J195" s="15">
        <f>IFERROR(INDEX(Cluster_Master!$E$4:$E$18,MATCH($F195,Cluster_Master!$B$4:$B$18,0)),"")</f>
        <v/>
      </c>
      <c r="K195" s="15">
        <f>IFERROR(INDEX(Cluster_Master!$F$4:$F$18,MATCH($F195,Cluster_Master!$B$4:$B$18,0)),"")</f>
        <v/>
      </c>
      <c r="L195" s="15">
        <f>IFERROR(INDEX(Cluster_Master!$G$4:$G$18,MATCH($F195,Cluster_Master!$B$4:$B$18,0)),"")</f>
        <v/>
      </c>
      <c r="M195" s="15">
        <f>IFERROR(INDEX(Cluster_Master!$H$4:$H$18,MATCH($F195,Cluster_Master!$B$4:$B$18,0)),"")</f>
        <v/>
      </c>
      <c r="N195" s="41" t="n"/>
      <c r="O195" s="41" t="n"/>
      <c r="P195" s="41" t="n"/>
      <c r="Q195" s="41" t="n"/>
      <c r="R195" s="41" t="n"/>
      <c r="S195" s="41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15">
        <f>IF(COUNTA(T195:AH195)=0,"",SUM(T195:AH195))</f>
        <v/>
      </c>
      <c r="AJ195" s="21">
        <f>IF(COUNTA(T195:AH195)=0,"",AI195/(COUNT(KPI_Weights!$A$4:$A$18)*5))</f>
        <v/>
      </c>
      <c r="AK195" s="21">
        <f>IF(COUNTA(T195:AH195)=0,"",SUMPRODUCT(T195:AH195,KPI_Weights!$B$4:$B$18)/5)</f>
        <v/>
      </c>
      <c r="AL195" s="15">
        <f>IF(COUNTA(T195:AH195)=0,"",IF(SUMPRODUCT(--(T195:AH195&lt;=1),--(KPI_Weights!$C$4:$C$18="YES"))&gt;0,"YES","NO"))</f>
        <v/>
      </c>
      <c r="AM195" s="15">
        <f>IF(AJ195="","",IF(AND(AL195="NO",AJ195&gt;=0.75),"YES","NO"))</f>
        <v/>
      </c>
      <c r="AN195" s="15">
        <f>IF(AJ195="","",IF(AJ195&lt;0.4,"Critical",IF(AJ195&lt;0.6,"Poor",IF(AJ195&lt;0.75,"Needs Improvement",IF(AJ195&lt;0.9,"Good","Excellent")))))</f>
        <v/>
      </c>
      <c r="AO195" s="41" t="n"/>
      <c r="AP195" s="41" t="n"/>
      <c r="AQ195" s="41" t="n"/>
      <c r="AR195" s="41" t="n"/>
      <c r="AS195" s="41" t="n"/>
      <c r="AT195" s="44" t="n"/>
      <c r="AU195" s="41" t="n"/>
      <c r="AV195" s="43" t="n"/>
      <c r="AW195" s="41" t="n"/>
      <c r="AX195" s="44" t="n"/>
      <c r="AY195" s="44" t="n"/>
      <c r="AZ195" s="44" t="n"/>
      <c r="BA195" s="44" t="n"/>
      <c r="BB195" s="44" t="n"/>
      <c r="BC195" s="44" t="n"/>
      <c r="BD195" s="44" t="n"/>
      <c r="BE195" s="44" t="n"/>
      <c r="BF195" s="44" t="n"/>
    </row>
    <row r="196" ht="19.5" customHeight="1" s="45">
      <c r="A196" s="15">
        <f>IF($B196="","",TEXT($B196,"yyyymmdd")&amp;"-"&amp;SUBSTITUTE($F196," ","")&amp;"-"&amp;TEXT(COUNTIF($F$4:F196,$F196),"00"))</f>
        <v/>
      </c>
      <c r="B196" s="39" t="n"/>
      <c r="C196" s="15">
        <f>IF($B196="","",WEEKNUM($B196,2))</f>
        <v/>
      </c>
      <c r="D196" s="15">
        <f>IF($B196="","",TEXT($B196,"yyyy-mm"))</f>
        <v/>
      </c>
      <c r="E196" s="40" t="n"/>
      <c r="F196" s="40" t="n"/>
      <c r="G196" s="15">
        <f>IF(OR($E196="",$F196=""),"",IFERROR(IF($E196=INDEX(Cluster_Master!$A$4:$A$18,MATCH($F196,Cluster_Master!$B$4:$B$18,0)),"OK","CHECK"),"CHECK"))</f>
        <v/>
      </c>
      <c r="H196" s="18">
        <f>IFERROR(INDEX(Cluster_Master!$C$4:$C$18,MATCH($F196,Cluster_Master!$B$4:$B$18,0)),"")</f>
        <v/>
      </c>
      <c r="I196" s="15">
        <f>IFERROR(INDEX(Cluster_Master!$D$4:$D$18,MATCH($F196,Cluster_Master!$B$4:$B$18,0)),"")</f>
        <v/>
      </c>
      <c r="J196" s="15">
        <f>IFERROR(INDEX(Cluster_Master!$E$4:$E$18,MATCH($F196,Cluster_Master!$B$4:$B$18,0)),"")</f>
        <v/>
      </c>
      <c r="K196" s="15">
        <f>IFERROR(INDEX(Cluster_Master!$F$4:$F$18,MATCH($F196,Cluster_Master!$B$4:$B$18,0)),"")</f>
        <v/>
      </c>
      <c r="L196" s="15">
        <f>IFERROR(INDEX(Cluster_Master!$G$4:$G$18,MATCH($F196,Cluster_Master!$B$4:$B$18,0)),"")</f>
        <v/>
      </c>
      <c r="M196" s="15">
        <f>IFERROR(INDEX(Cluster_Master!$H$4:$H$18,MATCH($F196,Cluster_Master!$B$4:$B$18,0)),"")</f>
        <v/>
      </c>
      <c r="N196" s="41" t="n"/>
      <c r="O196" s="41" t="n"/>
      <c r="P196" s="41" t="n"/>
      <c r="Q196" s="41" t="n"/>
      <c r="R196" s="41" t="n"/>
      <c r="S196" s="41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15">
        <f>IF(COUNTA(T196:AH196)=0,"",SUM(T196:AH196))</f>
        <v/>
      </c>
      <c r="AJ196" s="21">
        <f>IF(COUNTA(T196:AH196)=0,"",AI196/(COUNT(KPI_Weights!$A$4:$A$18)*5))</f>
        <v/>
      </c>
      <c r="AK196" s="21">
        <f>IF(COUNTA(T196:AH196)=0,"",SUMPRODUCT(T196:AH196,KPI_Weights!$B$4:$B$18)/5)</f>
        <v/>
      </c>
      <c r="AL196" s="15">
        <f>IF(COUNTA(T196:AH196)=0,"",IF(SUMPRODUCT(--(T196:AH196&lt;=1),--(KPI_Weights!$C$4:$C$18="YES"))&gt;0,"YES","NO"))</f>
        <v/>
      </c>
      <c r="AM196" s="15">
        <f>IF(AJ196="","",IF(AND(AL196="NO",AJ196&gt;=0.75),"YES","NO"))</f>
        <v/>
      </c>
      <c r="AN196" s="15">
        <f>IF(AJ196="","",IF(AJ196&lt;0.4,"Critical",IF(AJ196&lt;0.6,"Poor",IF(AJ196&lt;0.75,"Needs Improvement",IF(AJ196&lt;0.9,"Good","Excellent")))))</f>
        <v/>
      </c>
      <c r="AO196" s="41" t="n"/>
      <c r="AP196" s="41" t="n"/>
      <c r="AQ196" s="41" t="n"/>
      <c r="AR196" s="41" t="n"/>
      <c r="AS196" s="41" t="n"/>
      <c r="AT196" s="44" t="n"/>
      <c r="AU196" s="41" t="n"/>
      <c r="AV196" s="43" t="n"/>
      <c r="AW196" s="41" t="n"/>
      <c r="AX196" s="44" t="n"/>
      <c r="AY196" s="44" t="n"/>
      <c r="AZ196" s="44" t="n"/>
      <c r="BA196" s="44" t="n"/>
      <c r="BB196" s="44" t="n"/>
      <c r="BC196" s="44" t="n"/>
      <c r="BD196" s="44" t="n"/>
      <c r="BE196" s="44" t="n"/>
      <c r="BF196" s="44" t="n"/>
    </row>
    <row r="197" ht="19.5" customHeight="1" s="45">
      <c r="A197" s="15">
        <f>IF($B197="","",TEXT($B197,"yyyymmdd")&amp;"-"&amp;SUBSTITUTE($F197," ","")&amp;"-"&amp;TEXT(COUNTIF($F$4:F197,$F197),"00"))</f>
        <v/>
      </c>
      <c r="B197" s="39" t="n"/>
      <c r="C197" s="15">
        <f>IF($B197="","",WEEKNUM($B197,2))</f>
        <v/>
      </c>
      <c r="D197" s="15">
        <f>IF($B197="","",TEXT($B197,"yyyy-mm"))</f>
        <v/>
      </c>
      <c r="E197" s="40" t="n"/>
      <c r="F197" s="40" t="n"/>
      <c r="G197" s="15">
        <f>IF(OR($E197="",$F197=""),"",IFERROR(IF($E197=INDEX(Cluster_Master!$A$4:$A$18,MATCH($F197,Cluster_Master!$B$4:$B$18,0)),"OK","CHECK"),"CHECK"))</f>
        <v/>
      </c>
      <c r="H197" s="18">
        <f>IFERROR(INDEX(Cluster_Master!$C$4:$C$18,MATCH($F197,Cluster_Master!$B$4:$B$18,0)),"")</f>
        <v/>
      </c>
      <c r="I197" s="15">
        <f>IFERROR(INDEX(Cluster_Master!$D$4:$D$18,MATCH($F197,Cluster_Master!$B$4:$B$18,0)),"")</f>
        <v/>
      </c>
      <c r="J197" s="15">
        <f>IFERROR(INDEX(Cluster_Master!$E$4:$E$18,MATCH($F197,Cluster_Master!$B$4:$B$18,0)),"")</f>
        <v/>
      </c>
      <c r="K197" s="15">
        <f>IFERROR(INDEX(Cluster_Master!$F$4:$F$18,MATCH($F197,Cluster_Master!$B$4:$B$18,0)),"")</f>
        <v/>
      </c>
      <c r="L197" s="15">
        <f>IFERROR(INDEX(Cluster_Master!$G$4:$G$18,MATCH($F197,Cluster_Master!$B$4:$B$18,0)),"")</f>
        <v/>
      </c>
      <c r="M197" s="15">
        <f>IFERROR(INDEX(Cluster_Master!$H$4:$H$18,MATCH($F197,Cluster_Master!$B$4:$B$18,0)),"")</f>
        <v/>
      </c>
      <c r="N197" s="41" t="n"/>
      <c r="O197" s="41" t="n"/>
      <c r="P197" s="41" t="n"/>
      <c r="Q197" s="41" t="n"/>
      <c r="R197" s="41" t="n"/>
      <c r="S197" s="41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15">
        <f>IF(COUNTA(T197:AH197)=0,"",SUM(T197:AH197))</f>
        <v/>
      </c>
      <c r="AJ197" s="21">
        <f>IF(COUNTA(T197:AH197)=0,"",AI197/(COUNT(KPI_Weights!$A$4:$A$18)*5))</f>
        <v/>
      </c>
      <c r="AK197" s="21">
        <f>IF(COUNTA(T197:AH197)=0,"",SUMPRODUCT(T197:AH197,KPI_Weights!$B$4:$B$18)/5)</f>
        <v/>
      </c>
      <c r="AL197" s="15">
        <f>IF(COUNTA(T197:AH197)=0,"",IF(SUMPRODUCT(--(T197:AH197&lt;=1),--(KPI_Weights!$C$4:$C$18="YES"))&gt;0,"YES","NO"))</f>
        <v/>
      </c>
      <c r="AM197" s="15">
        <f>IF(AJ197="","",IF(AND(AL197="NO",AJ197&gt;=0.75),"YES","NO"))</f>
        <v/>
      </c>
      <c r="AN197" s="15">
        <f>IF(AJ197="","",IF(AJ197&lt;0.4,"Critical",IF(AJ197&lt;0.6,"Poor",IF(AJ197&lt;0.75,"Needs Improvement",IF(AJ197&lt;0.9,"Good","Excellent")))))</f>
        <v/>
      </c>
      <c r="AO197" s="41" t="n"/>
      <c r="AP197" s="41" t="n"/>
      <c r="AQ197" s="41" t="n"/>
      <c r="AR197" s="41" t="n"/>
      <c r="AS197" s="41" t="n"/>
      <c r="AT197" s="44" t="n"/>
      <c r="AU197" s="41" t="n"/>
      <c r="AV197" s="43" t="n"/>
      <c r="AW197" s="41" t="n"/>
      <c r="AX197" s="44" t="n"/>
      <c r="AY197" s="44" t="n"/>
      <c r="AZ197" s="44" t="n"/>
      <c r="BA197" s="44" t="n"/>
      <c r="BB197" s="44" t="n"/>
      <c r="BC197" s="44" t="n"/>
      <c r="BD197" s="44" t="n"/>
      <c r="BE197" s="44" t="n"/>
      <c r="BF197" s="44" t="n"/>
    </row>
    <row r="198" ht="19.5" customHeight="1" s="45">
      <c r="A198" s="15">
        <f>IF($B198="","",TEXT($B198,"yyyymmdd")&amp;"-"&amp;SUBSTITUTE($F198," ","")&amp;"-"&amp;TEXT(COUNTIF($F$4:F198,$F198),"00"))</f>
        <v/>
      </c>
      <c r="B198" s="39" t="n"/>
      <c r="C198" s="15">
        <f>IF($B198="","",WEEKNUM($B198,2))</f>
        <v/>
      </c>
      <c r="D198" s="15">
        <f>IF($B198="","",TEXT($B198,"yyyy-mm"))</f>
        <v/>
      </c>
      <c r="E198" s="40" t="n"/>
      <c r="F198" s="40" t="n"/>
      <c r="G198" s="15">
        <f>IF(OR($E198="",$F198=""),"",IFERROR(IF($E198=INDEX(Cluster_Master!$A$4:$A$18,MATCH($F198,Cluster_Master!$B$4:$B$18,0)),"OK","CHECK"),"CHECK"))</f>
        <v/>
      </c>
      <c r="H198" s="18">
        <f>IFERROR(INDEX(Cluster_Master!$C$4:$C$18,MATCH($F198,Cluster_Master!$B$4:$B$18,0)),"")</f>
        <v/>
      </c>
      <c r="I198" s="15">
        <f>IFERROR(INDEX(Cluster_Master!$D$4:$D$18,MATCH($F198,Cluster_Master!$B$4:$B$18,0)),"")</f>
        <v/>
      </c>
      <c r="J198" s="15">
        <f>IFERROR(INDEX(Cluster_Master!$E$4:$E$18,MATCH($F198,Cluster_Master!$B$4:$B$18,0)),"")</f>
        <v/>
      </c>
      <c r="K198" s="15">
        <f>IFERROR(INDEX(Cluster_Master!$F$4:$F$18,MATCH($F198,Cluster_Master!$B$4:$B$18,0)),"")</f>
        <v/>
      </c>
      <c r="L198" s="15">
        <f>IFERROR(INDEX(Cluster_Master!$G$4:$G$18,MATCH($F198,Cluster_Master!$B$4:$B$18,0)),"")</f>
        <v/>
      </c>
      <c r="M198" s="15">
        <f>IFERROR(INDEX(Cluster_Master!$H$4:$H$18,MATCH($F198,Cluster_Master!$B$4:$B$18,0)),"")</f>
        <v/>
      </c>
      <c r="N198" s="41" t="n"/>
      <c r="O198" s="41" t="n"/>
      <c r="P198" s="41" t="n"/>
      <c r="Q198" s="41" t="n"/>
      <c r="R198" s="41" t="n"/>
      <c r="S198" s="41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15">
        <f>IF(COUNTA(T198:AH198)=0,"",SUM(T198:AH198))</f>
        <v/>
      </c>
      <c r="AJ198" s="21">
        <f>IF(COUNTA(T198:AH198)=0,"",AI198/(COUNT(KPI_Weights!$A$4:$A$18)*5))</f>
        <v/>
      </c>
      <c r="AK198" s="21">
        <f>IF(COUNTA(T198:AH198)=0,"",SUMPRODUCT(T198:AH198,KPI_Weights!$B$4:$B$18)/5)</f>
        <v/>
      </c>
      <c r="AL198" s="15">
        <f>IF(COUNTA(T198:AH198)=0,"",IF(SUMPRODUCT(--(T198:AH198&lt;=1),--(KPI_Weights!$C$4:$C$18="YES"))&gt;0,"YES","NO"))</f>
        <v/>
      </c>
      <c r="AM198" s="15">
        <f>IF(AJ198="","",IF(AND(AL198="NO",AJ198&gt;=0.75),"YES","NO"))</f>
        <v/>
      </c>
      <c r="AN198" s="15">
        <f>IF(AJ198="","",IF(AJ198&lt;0.4,"Critical",IF(AJ198&lt;0.6,"Poor",IF(AJ198&lt;0.75,"Needs Improvement",IF(AJ198&lt;0.9,"Good","Excellent")))))</f>
        <v/>
      </c>
      <c r="AO198" s="41" t="n"/>
      <c r="AP198" s="41" t="n"/>
      <c r="AQ198" s="41" t="n"/>
      <c r="AR198" s="41" t="n"/>
      <c r="AS198" s="41" t="n"/>
      <c r="AT198" s="44" t="n"/>
      <c r="AU198" s="41" t="n"/>
      <c r="AV198" s="43" t="n"/>
      <c r="AW198" s="41" t="n"/>
      <c r="AX198" s="44" t="n"/>
      <c r="AY198" s="44" t="n"/>
      <c r="AZ198" s="44" t="n"/>
      <c r="BA198" s="44" t="n"/>
      <c r="BB198" s="44" t="n"/>
      <c r="BC198" s="44" t="n"/>
      <c r="BD198" s="44" t="n"/>
      <c r="BE198" s="44" t="n"/>
      <c r="BF198" s="44" t="n"/>
    </row>
    <row r="199" ht="19.5" customHeight="1" s="45">
      <c r="A199" s="15">
        <f>IF($B199="","",TEXT($B199,"yyyymmdd")&amp;"-"&amp;SUBSTITUTE($F199," ","")&amp;"-"&amp;TEXT(COUNTIF($F$4:F199,$F199),"00"))</f>
        <v/>
      </c>
      <c r="B199" s="39" t="n"/>
      <c r="C199" s="15">
        <f>IF($B199="","",WEEKNUM($B199,2))</f>
        <v/>
      </c>
      <c r="D199" s="15">
        <f>IF($B199="","",TEXT($B199,"yyyy-mm"))</f>
        <v/>
      </c>
      <c r="E199" s="40" t="n"/>
      <c r="F199" s="40" t="n"/>
      <c r="G199" s="15">
        <f>IF(OR($E199="",$F199=""),"",IFERROR(IF($E199=INDEX(Cluster_Master!$A$4:$A$18,MATCH($F199,Cluster_Master!$B$4:$B$18,0)),"OK","CHECK"),"CHECK"))</f>
        <v/>
      </c>
      <c r="H199" s="18">
        <f>IFERROR(INDEX(Cluster_Master!$C$4:$C$18,MATCH($F199,Cluster_Master!$B$4:$B$18,0)),"")</f>
        <v/>
      </c>
      <c r="I199" s="15">
        <f>IFERROR(INDEX(Cluster_Master!$D$4:$D$18,MATCH($F199,Cluster_Master!$B$4:$B$18,0)),"")</f>
        <v/>
      </c>
      <c r="J199" s="15">
        <f>IFERROR(INDEX(Cluster_Master!$E$4:$E$18,MATCH($F199,Cluster_Master!$B$4:$B$18,0)),"")</f>
        <v/>
      </c>
      <c r="K199" s="15">
        <f>IFERROR(INDEX(Cluster_Master!$F$4:$F$18,MATCH($F199,Cluster_Master!$B$4:$B$18,0)),"")</f>
        <v/>
      </c>
      <c r="L199" s="15">
        <f>IFERROR(INDEX(Cluster_Master!$G$4:$G$18,MATCH($F199,Cluster_Master!$B$4:$B$18,0)),"")</f>
        <v/>
      </c>
      <c r="M199" s="15">
        <f>IFERROR(INDEX(Cluster_Master!$H$4:$H$18,MATCH($F199,Cluster_Master!$B$4:$B$18,0)),"")</f>
        <v/>
      </c>
      <c r="N199" s="41" t="n"/>
      <c r="O199" s="41" t="n"/>
      <c r="P199" s="41" t="n"/>
      <c r="Q199" s="41" t="n"/>
      <c r="R199" s="41" t="n"/>
      <c r="S199" s="41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15">
        <f>IF(COUNTA(T199:AH199)=0,"",SUM(T199:AH199))</f>
        <v/>
      </c>
      <c r="AJ199" s="21">
        <f>IF(COUNTA(T199:AH199)=0,"",AI199/(COUNT(KPI_Weights!$A$4:$A$18)*5))</f>
        <v/>
      </c>
      <c r="AK199" s="21">
        <f>IF(COUNTA(T199:AH199)=0,"",SUMPRODUCT(T199:AH199,KPI_Weights!$B$4:$B$18)/5)</f>
        <v/>
      </c>
      <c r="AL199" s="15">
        <f>IF(COUNTA(T199:AH199)=0,"",IF(SUMPRODUCT(--(T199:AH199&lt;=1),--(KPI_Weights!$C$4:$C$18="YES"))&gt;0,"YES","NO"))</f>
        <v/>
      </c>
      <c r="AM199" s="15">
        <f>IF(AJ199="","",IF(AND(AL199="NO",AJ199&gt;=0.75),"YES","NO"))</f>
        <v/>
      </c>
      <c r="AN199" s="15">
        <f>IF(AJ199="","",IF(AJ199&lt;0.4,"Critical",IF(AJ199&lt;0.6,"Poor",IF(AJ199&lt;0.75,"Needs Improvement",IF(AJ199&lt;0.9,"Good","Excellent")))))</f>
        <v/>
      </c>
      <c r="AO199" s="41" t="n"/>
      <c r="AP199" s="41" t="n"/>
      <c r="AQ199" s="41" t="n"/>
      <c r="AR199" s="41" t="n"/>
      <c r="AS199" s="41" t="n"/>
      <c r="AT199" s="44" t="n"/>
      <c r="AU199" s="41" t="n"/>
      <c r="AV199" s="43" t="n"/>
      <c r="AW199" s="41" t="n"/>
      <c r="AX199" s="44" t="n"/>
      <c r="AY199" s="44" t="n"/>
      <c r="AZ199" s="44" t="n"/>
      <c r="BA199" s="44" t="n"/>
      <c r="BB199" s="44" t="n"/>
      <c r="BC199" s="44" t="n"/>
      <c r="BD199" s="44" t="n"/>
      <c r="BE199" s="44" t="n"/>
      <c r="BF199" s="44" t="n"/>
    </row>
    <row r="200" ht="19.5" customHeight="1" s="45">
      <c r="A200" s="15">
        <f>IF($B200="","",TEXT($B200,"yyyymmdd")&amp;"-"&amp;SUBSTITUTE($F200," ","")&amp;"-"&amp;TEXT(COUNTIF($F$4:F200,$F200),"00"))</f>
        <v/>
      </c>
      <c r="B200" s="39" t="n"/>
      <c r="C200" s="15">
        <f>IF($B200="","",WEEKNUM($B200,2))</f>
        <v/>
      </c>
      <c r="D200" s="15">
        <f>IF($B200="","",TEXT($B200,"yyyy-mm"))</f>
        <v/>
      </c>
      <c r="E200" s="40" t="n"/>
      <c r="F200" s="40" t="n"/>
      <c r="G200" s="15">
        <f>IF(OR($E200="",$F200=""),"",IFERROR(IF($E200=INDEX(Cluster_Master!$A$4:$A$18,MATCH($F200,Cluster_Master!$B$4:$B$18,0)),"OK","CHECK"),"CHECK"))</f>
        <v/>
      </c>
      <c r="H200" s="18">
        <f>IFERROR(INDEX(Cluster_Master!$C$4:$C$18,MATCH($F200,Cluster_Master!$B$4:$B$18,0)),"")</f>
        <v/>
      </c>
      <c r="I200" s="15">
        <f>IFERROR(INDEX(Cluster_Master!$D$4:$D$18,MATCH($F200,Cluster_Master!$B$4:$B$18,0)),"")</f>
        <v/>
      </c>
      <c r="J200" s="15">
        <f>IFERROR(INDEX(Cluster_Master!$E$4:$E$18,MATCH($F200,Cluster_Master!$B$4:$B$18,0)),"")</f>
        <v/>
      </c>
      <c r="K200" s="15">
        <f>IFERROR(INDEX(Cluster_Master!$F$4:$F$18,MATCH($F200,Cluster_Master!$B$4:$B$18,0)),"")</f>
        <v/>
      </c>
      <c r="L200" s="15">
        <f>IFERROR(INDEX(Cluster_Master!$G$4:$G$18,MATCH($F200,Cluster_Master!$B$4:$B$18,0)),"")</f>
        <v/>
      </c>
      <c r="M200" s="15">
        <f>IFERROR(INDEX(Cluster_Master!$H$4:$H$18,MATCH($F200,Cluster_Master!$B$4:$B$18,0)),"")</f>
        <v/>
      </c>
      <c r="N200" s="41" t="n"/>
      <c r="O200" s="41" t="n"/>
      <c r="P200" s="41" t="n"/>
      <c r="Q200" s="41" t="n"/>
      <c r="R200" s="41" t="n"/>
      <c r="S200" s="41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15">
        <f>IF(COUNTA(T200:AH200)=0,"",SUM(T200:AH200))</f>
        <v/>
      </c>
      <c r="AJ200" s="21">
        <f>IF(COUNTA(T200:AH200)=0,"",AI200/(COUNT(KPI_Weights!$A$4:$A$18)*5))</f>
        <v/>
      </c>
      <c r="AK200" s="21">
        <f>IF(COUNTA(T200:AH200)=0,"",SUMPRODUCT(T200:AH200,KPI_Weights!$B$4:$B$18)/5)</f>
        <v/>
      </c>
      <c r="AL200" s="15">
        <f>IF(COUNTA(T200:AH200)=0,"",IF(SUMPRODUCT(--(T200:AH200&lt;=1),--(KPI_Weights!$C$4:$C$18="YES"))&gt;0,"YES","NO"))</f>
        <v/>
      </c>
      <c r="AM200" s="15">
        <f>IF(AJ200="","",IF(AND(AL200="NO",AJ200&gt;=0.75),"YES","NO"))</f>
        <v/>
      </c>
      <c r="AN200" s="15">
        <f>IF(AJ200="","",IF(AJ200&lt;0.4,"Critical",IF(AJ200&lt;0.6,"Poor",IF(AJ200&lt;0.75,"Needs Improvement",IF(AJ200&lt;0.9,"Good","Excellent")))))</f>
        <v/>
      </c>
      <c r="AO200" s="41" t="n"/>
      <c r="AP200" s="41" t="n"/>
      <c r="AQ200" s="41" t="n"/>
      <c r="AR200" s="41" t="n"/>
      <c r="AS200" s="41" t="n"/>
      <c r="AT200" s="44" t="n"/>
      <c r="AU200" s="41" t="n"/>
      <c r="AV200" s="43" t="n"/>
      <c r="AW200" s="41" t="n"/>
      <c r="AX200" s="44" t="n"/>
      <c r="AY200" s="44" t="n"/>
      <c r="AZ200" s="44" t="n"/>
      <c r="BA200" s="44" t="n"/>
      <c r="BB200" s="44" t="n"/>
      <c r="BC200" s="44" t="n"/>
      <c r="BD200" s="44" t="n"/>
      <c r="BE200" s="44" t="n"/>
      <c r="BF200" s="44" t="n"/>
    </row>
    <row r="201" ht="19.5" customHeight="1" s="45">
      <c r="A201" s="15">
        <f>IF($B201="","",TEXT($B201,"yyyymmdd")&amp;"-"&amp;SUBSTITUTE($F201," ","")&amp;"-"&amp;TEXT(COUNTIF($F$4:F201,$F201),"00"))</f>
        <v/>
      </c>
      <c r="B201" s="39" t="n"/>
      <c r="C201" s="15">
        <f>IF($B201="","",WEEKNUM($B201,2))</f>
        <v/>
      </c>
      <c r="D201" s="15">
        <f>IF($B201="","",TEXT($B201,"yyyy-mm"))</f>
        <v/>
      </c>
      <c r="E201" s="40" t="n"/>
      <c r="F201" s="40" t="n"/>
      <c r="G201" s="15">
        <f>IF(OR($E201="",$F201=""),"",IFERROR(IF($E201=INDEX(Cluster_Master!$A$4:$A$18,MATCH($F201,Cluster_Master!$B$4:$B$18,0)),"OK","CHECK"),"CHECK"))</f>
        <v/>
      </c>
      <c r="H201" s="18">
        <f>IFERROR(INDEX(Cluster_Master!$C$4:$C$18,MATCH($F201,Cluster_Master!$B$4:$B$18,0)),"")</f>
        <v/>
      </c>
      <c r="I201" s="15">
        <f>IFERROR(INDEX(Cluster_Master!$D$4:$D$18,MATCH($F201,Cluster_Master!$B$4:$B$18,0)),"")</f>
        <v/>
      </c>
      <c r="J201" s="15">
        <f>IFERROR(INDEX(Cluster_Master!$E$4:$E$18,MATCH($F201,Cluster_Master!$B$4:$B$18,0)),"")</f>
        <v/>
      </c>
      <c r="K201" s="15">
        <f>IFERROR(INDEX(Cluster_Master!$F$4:$F$18,MATCH($F201,Cluster_Master!$B$4:$B$18,0)),"")</f>
        <v/>
      </c>
      <c r="L201" s="15">
        <f>IFERROR(INDEX(Cluster_Master!$G$4:$G$18,MATCH($F201,Cluster_Master!$B$4:$B$18,0)),"")</f>
        <v/>
      </c>
      <c r="M201" s="15">
        <f>IFERROR(INDEX(Cluster_Master!$H$4:$H$18,MATCH($F201,Cluster_Master!$B$4:$B$18,0)),"")</f>
        <v/>
      </c>
      <c r="N201" s="41" t="n"/>
      <c r="O201" s="41" t="n"/>
      <c r="P201" s="41" t="n"/>
      <c r="Q201" s="41" t="n"/>
      <c r="R201" s="41" t="n"/>
      <c r="S201" s="41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15">
        <f>IF(COUNTA(T201:AH201)=0,"",SUM(T201:AH201))</f>
        <v/>
      </c>
      <c r="AJ201" s="21">
        <f>IF(COUNTA(T201:AH201)=0,"",AI201/(COUNT(KPI_Weights!$A$4:$A$18)*5))</f>
        <v/>
      </c>
      <c r="AK201" s="21">
        <f>IF(COUNTA(T201:AH201)=0,"",SUMPRODUCT(T201:AH201,KPI_Weights!$B$4:$B$18)/5)</f>
        <v/>
      </c>
      <c r="AL201" s="15">
        <f>IF(COUNTA(T201:AH201)=0,"",IF(SUMPRODUCT(--(T201:AH201&lt;=1),--(KPI_Weights!$C$4:$C$18="YES"))&gt;0,"YES","NO"))</f>
        <v/>
      </c>
      <c r="AM201" s="15">
        <f>IF(AJ201="","",IF(AND(AL201="NO",AJ201&gt;=0.75),"YES","NO"))</f>
        <v/>
      </c>
      <c r="AN201" s="15">
        <f>IF(AJ201="","",IF(AJ201&lt;0.4,"Critical",IF(AJ201&lt;0.6,"Poor",IF(AJ201&lt;0.75,"Needs Improvement",IF(AJ201&lt;0.9,"Good","Excellent")))))</f>
        <v/>
      </c>
      <c r="AO201" s="41" t="n"/>
      <c r="AP201" s="41" t="n"/>
      <c r="AQ201" s="41" t="n"/>
      <c r="AR201" s="41" t="n"/>
      <c r="AS201" s="41" t="n"/>
      <c r="AT201" s="44" t="n"/>
      <c r="AU201" s="41" t="n"/>
      <c r="AV201" s="43" t="n"/>
      <c r="AW201" s="41" t="n"/>
      <c r="AX201" s="44" t="n"/>
      <c r="AY201" s="44" t="n"/>
      <c r="AZ201" s="44" t="n"/>
      <c r="BA201" s="44" t="n"/>
      <c r="BB201" s="44" t="n"/>
      <c r="BC201" s="44" t="n"/>
      <c r="BD201" s="44" t="n"/>
      <c r="BE201" s="44" t="n"/>
      <c r="BF201" s="44" t="n"/>
    </row>
    <row r="202" ht="19.5" customHeight="1" s="45">
      <c r="A202" s="15">
        <f>IF($B202="","",TEXT($B202,"yyyymmdd")&amp;"-"&amp;SUBSTITUTE($F202," ","")&amp;"-"&amp;TEXT(COUNTIF($F$4:F202,$F202),"00"))</f>
        <v/>
      </c>
      <c r="B202" s="39" t="n"/>
      <c r="C202" s="15">
        <f>IF($B202="","",WEEKNUM($B202,2))</f>
        <v/>
      </c>
      <c r="D202" s="15">
        <f>IF($B202="","",TEXT($B202,"yyyy-mm"))</f>
        <v/>
      </c>
      <c r="E202" s="40" t="n"/>
      <c r="F202" s="40" t="n"/>
      <c r="G202" s="15">
        <f>IF(OR($E202="",$F202=""),"",IFERROR(IF($E202=INDEX(Cluster_Master!$A$4:$A$18,MATCH($F202,Cluster_Master!$B$4:$B$18,0)),"OK","CHECK"),"CHECK"))</f>
        <v/>
      </c>
      <c r="H202" s="18">
        <f>IFERROR(INDEX(Cluster_Master!$C$4:$C$18,MATCH($F202,Cluster_Master!$B$4:$B$18,0)),"")</f>
        <v/>
      </c>
      <c r="I202" s="15">
        <f>IFERROR(INDEX(Cluster_Master!$D$4:$D$18,MATCH($F202,Cluster_Master!$B$4:$B$18,0)),"")</f>
        <v/>
      </c>
      <c r="J202" s="15">
        <f>IFERROR(INDEX(Cluster_Master!$E$4:$E$18,MATCH($F202,Cluster_Master!$B$4:$B$18,0)),"")</f>
        <v/>
      </c>
      <c r="K202" s="15">
        <f>IFERROR(INDEX(Cluster_Master!$F$4:$F$18,MATCH($F202,Cluster_Master!$B$4:$B$18,0)),"")</f>
        <v/>
      </c>
      <c r="L202" s="15">
        <f>IFERROR(INDEX(Cluster_Master!$G$4:$G$18,MATCH($F202,Cluster_Master!$B$4:$B$18,0)),"")</f>
        <v/>
      </c>
      <c r="M202" s="15">
        <f>IFERROR(INDEX(Cluster_Master!$H$4:$H$18,MATCH($F202,Cluster_Master!$B$4:$B$18,0)),"")</f>
        <v/>
      </c>
      <c r="N202" s="41" t="n"/>
      <c r="O202" s="41" t="n"/>
      <c r="P202" s="41" t="n"/>
      <c r="Q202" s="41" t="n"/>
      <c r="R202" s="41" t="n"/>
      <c r="S202" s="41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15">
        <f>IF(COUNTA(T202:AH202)=0,"",SUM(T202:AH202))</f>
        <v/>
      </c>
      <c r="AJ202" s="21">
        <f>IF(COUNTA(T202:AH202)=0,"",AI202/(COUNT(KPI_Weights!$A$4:$A$18)*5))</f>
        <v/>
      </c>
      <c r="AK202" s="21">
        <f>IF(COUNTA(T202:AH202)=0,"",SUMPRODUCT(T202:AH202,KPI_Weights!$B$4:$B$18)/5)</f>
        <v/>
      </c>
      <c r="AL202" s="15">
        <f>IF(COUNTA(T202:AH202)=0,"",IF(SUMPRODUCT(--(T202:AH202&lt;=1),--(KPI_Weights!$C$4:$C$18="YES"))&gt;0,"YES","NO"))</f>
        <v/>
      </c>
      <c r="AM202" s="15">
        <f>IF(AJ202="","",IF(AND(AL202="NO",AJ202&gt;=0.75),"YES","NO"))</f>
        <v/>
      </c>
      <c r="AN202" s="15">
        <f>IF(AJ202="","",IF(AJ202&lt;0.4,"Critical",IF(AJ202&lt;0.6,"Poor",IF(AJ202&lt;0.75,"Needs Improvement",IF(AJ202&lt;0.9,"Good","Excellent")))))</f>
        <v/>
      </c>
      <c r="AO202" s="41" t="n"/>
      <c r="AP202" s="41" t="n"/>
      <c r="AQ202" s="41" t="n"/>
      <c r="AR202" s="41" t="n"/>
      <c r="AS202" s="41" t="n"/>
      <c r="AT202" s="44" t="n"/>
      <c r="AU202" s="41" t="n"/>
      <c r="AV202" s="43" t="n"/>
      <c r="AW202" s="41" t="n"/>
      <c r="AX202" s="44" t="n"/>
      <c r="AY202" s="44" t="n"/>
      <c r="AZ202" s="44" t="n"/>
      <c r="BA202" s="44" t="n"/>
      <c r="BB202" s="44" t="n"/>
      <c r="BC202" s="44" t="n"/>
      <c r="BD202" s="44" t="n"/>
      <c r="BE202" s="44" t="n"/>
      <c r="BF202" s="44" t="n"/>
    </row>
    <row r="203" ht="19.5" customHeight="1" s="45">
      <c r="A203" s="15">
        <f>IF($B203="","",TEXT($B203,"yyyymmdd")&amp;"-"&amp;SUBSTITUTE($F203," ","")&amp;"-"&amp;TEXT(COUNTIF($F$4:F203,$F203),"00"))</f>
        <v/>
      </c>
      <c r="B203" s="39" t="n"/>
      <c r="C203" s="15">
        <f>IF($B203="","",WEEKNUM($B203,2))</f>
        <v/>
      </c>
      <c r="D203" s="15">
        <f>IF($B203="","",TEXT($B203,"yyyy-mm"))</f>
        <v/>
      </c>
      <c r="E203" s="40" t="n"/>
      <c r="F203" s="40" t="n"/>
      <c r="G203" s="15">
        <f>IF(OR($E203="",$F203=""),"",IFERROR(IF($E203=INDEX(Cluster_Master!$A$4:$A$18,MATCH($F203,Cluster_Master!$B$4:$B$18,0)),"OK","CHECK"),"CHECK"))</f>
        <v/>
      </c>
      <c r="H203" s="18">
        <f>IFERROR(INDEX(Cluster_Master!$C$4:$C$18,MATCH($F203,Cluster_Master!$B$4:$B$18,0)),"")</f>
        <v/>
      </c>
      <c r="I203" s="15">
        <f>IFERROR(INDEX(Cluster_Master!$D$4:$D$18,MATCH($F203,Cluster_Master!$B$4:$B$18,0)),"")</f>
        <v/>
      </c>
      <c r="J203" s="15">
        <f>IFERROR(INDEX(Cluster_Master!$E$4:$E$18,MATCH($F203,Cluster_Master!$B$4:$B$18,0)),"")</f>
        <v/>
      </c>
      <c r="K203" s="15">
        <f>IFERROR(INDEX(Cluster_Master!$F$4:$F$18,MATCH($F203,Cluster_Master!$B$4:$B$18,0)),"")</f>
        <v/>
      </c>
      <c r="L203" s="15">
        <f>IFERROR(INDEX(Cluster_Master!$G$4:$G$18,MATCH($F203,Cluster_Master!$B$4:$B$18,0)),"")</f>
        <v/>
      </c>
      <c r="M203" s="15">
        <f>IFERROR(INDEX(Cluster_Master!$H$4:$H$18,MATCH($F203,Cluster_Master!$B$4:$B$18,0)),"")</f>
        <v/>
      </c>
      <c r="N203" s="41" t="n"/>
      <c r="O203" s="41" t="n"/>
      <c r="P203" s="41" t="n"/>
      <c r="Q203" s="41" t="n"/>
      <c r="R203" s="41" t="n"/>
      <c r="S203" s="41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15">
        <f>IF(COUNTA(T203:AH203)=0,"",SUM(T203:AH203))</f>
        <v/>
      </c>
      <c r="AJ203" s="21">
        <f>IF(COUNTA(T203:AH203)=0,"",AI203/(COUNT(KPI_Weights!$A$4:$A$18)*5))</f>
        <v/>
      </c>
      <c r="AK203" s="21">
        <f>IF(COUNTA(T203:AH203)=0,"",SUMPRODUCT(T203:AH203,KPI_Weights!$B$4:$B$18)/5)</f>
        <v/>
      </c>
      <c r="AL203" s="15">
        <f>IF(COUNTA(T203:AH203)=0,"",IF(SUMPRODUCT(--(T203:AH203&lt;=1),--(KPI_Weights!$C$4:$C$18="YES"))&gt;0,"YES","NO"))</f>
        <v/>
      </c>
      <c r="AM203" s="15">
        <f>IF(AJ203="","",IF(AND(AL203="NO",AJ203&gt;=0.75),"YES","NO"))</f>
        <v/>
      </c>
      <c r="AN203" s="15">
        <f>IF(AJ203="","",IF(AJ203&lt;0.4,"Critical",IF(AJ203&lt;0.6,"Poor",IF(AJ203&lt;0.75,"Needs Improvement",IF(AJ203&lt;0.9,"Good","Excellent")))))</f>
        <v/>
      </c>
      <c r="AO203" s="41" t="n"/>
      <c r="AP203" s="41" t="n"/>
      <c r="AQ203" s="41" t="n"/>
      <c r="AR203" s="41" t="n"/>
      <c r="AS203" s="41" t="n"/>
      <c r="AT203" s="44" t="n"/>
      <c r="AU203" s="41" t="n"/>
      <c r="AV203" s="43" t="n"/>
      <c r="AW203" s="41" t="n"/>
      <c r="AX203" s="44" t="n"/>
      <c r="AY203" s="44" t="n"/>
      <c r="AZ203" s="44" t="n"/>
      <c r="BA203" s="44" t="n"/>
      <c r="BB203" s="44" t="n"/>
      <c r="BC203" s="44" t="n"/>
      <c r="BD203" s="44" t="n"/>
      <c r="BE203" s="44" t="n"/>
      <c r="BF203" s="44" t="n"/>
    </row>
    <row r="204" ht="19.5" customHeight="1" s="45">
      <c r="A204" s="15">
        <f>IF($B204="","",TEXT($B204,"yyyymmdd")&amp;"-"&amp;SUBSTITUTE($F204," ","")&amp;"-"&amp;TEXT(COUNTIF($F$4:F204,$F204),"00"))</f>
        <v/>
      </c>
      <c r="B204" s="39" t="n"/>
      <c r="C204" s="15">
        <f>IF($B204="","",WEEKNUM($B204,2))</f>
        <v/>
      </c>
      <c r="D204" s="15">
        <f>IF($B204="","",TEXT($B204,"yyyy-mm"))</f>
        <v/>
      </c>
      <c r="E204" s="40" t="n"/>
      <c r="F204" s="40" t="n"/>
      <c r="G204" s="15">
        <f>IF(OR($E204="",$F204=""),"",IFERROR(IF($E204=INDEX(Cluster_Master!$A$4:$A$18,MATCH($F204,Cluster_Master!$B$4:$B$18,0)),"OK","CHECK"),"CHECK"))</f>
        <v/>
      </c>
      <c r="H204" s="18">
        <f>IFERROR(INDEX(Cluster_Master!$C$4:$C$18,MATCH($F204,Cluster_Master!$B$4:$B$18,0)),"")</f>
        <v/>
      </c>
      <c r="I204" s="15">
        <f>IFERROR(INDEX(Cluster_Master!$D$4:$D$18,MATCH($F204,Cluster_Master!$B$4:$B$18,0)),"")</f>
        <v/>
      </c>
      <c r="J204" s="15">
        <f>IFERROR(INDEX(Cluster_Master!$E$4:$E$18,MATCH($F204,Cluster_Master!$B$4:$B$18,0)),"")</f>
        <v/>
      </c>
      <c r="K204" s="15">
        <f>IFERROR(INDEX(Cluster_Master!$F$4:$F$18,MATCH($F204,Cluster_Master!$B$4:$B$18,0)),"")</f>
        <v/>
      </c>
      <c r="L204" s="15">
        <f>IFERROR(INDEX(Cluster_Master!$G$4:$G$18,MATCH($F204,Cluster_Master!$B$4:$B$18,0)),"")</f>
        <v/>
      </c>
      <c r="M204" s="15">
        <f>IFERROR(INDEX(Cluster_Master!$H$4:$H$18,MATCH($F204,Cluster_Master!$B$4:$B$18,0)),"")</f>
        <v/>
      </c>
      <c r="N204" s="41" t="n"/>
      <c r="O204" s="41" t="n"/>
      <c r="P204" s="41" t="n"/>
      <c r="Q204" s="41" t="n"/>
      <c r="R204" s="41" t="n"/>
      <c r="S204" s="41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15">
        <f>IF(COUNTA(T204:AH204)=0,"",SUM(T204:AH204))</f>
        <v/>
      </c>
      <c r="AJ204" s="21">
        <f>IF(COUNTA(T204:AH204)=0,"",AI204/(COUNT(KPI_Weights!$A$4:$A$18)*5))</f>
        <v/>
      </c>
      <c r="AK204" s="21">
        <f>IF(COUNTA(T204:AH204)=0,"",SUMPRODUCT(T204:AH204,KPI_Weights!$B$4:$B$18)/5)</f>
        <v/>
      </c>
      <c r="AL204" s="15">
        <f>IF(COUNTA(T204:AH204)=0,"",IF(SUMPRODUCT(--(T204:AH204&lt;=1),--(KPI_Weights!$C$4:$C$18="YES"))&gt;0,"YES","NO"))</f>
        <v/>
      </c>
      <c r="AM204" s="15">
        <f>IF(AJ204="","",IF(AND(AL204="NO",AJ204&gt;=0.75),"YES","NO"))</f>
        <v/>
      </c>
      <c r="AN204" s="15">
        <f>IF(AJ204="","",IF(AJ204&lt;0.4,"Critical",IF(AJ204&lt;0.6,"Poor",IF(AJ204&lt;0.75,"Needs Improvement",IF(AJ204&lt;0.9,"Good","Excellent")))))</f>
        <v/>
      </c>
      <c r="AO204" s="41" t="n"/>
      <c r="AP204" s="41" t="n"/>
      <c r="AQ204" s="41" t="n"/>
      <c r="AR204" s="41" t="n"/>
      <c r="AS204" s="41" t="n"/>
      <c r="AT204" s="44" t="n"/>
      <c r="AU204" s="41" t="n"/>
      <c r="AV204" s="43" t="n"/>
      <c r="AW204" s="41" t="n"/>
      <c r="AX204" s="44" t="n"/>
      <c r="AY204" s="44" t="n"/>
      <c r="AZ204" s="44" t="n"/>
      <c r="BA204" s="44" t="n"/>
      <c r="BB204" s="44" t="n"/>
      <c r="BC204" s="44" t="n"/>
      <c r="BD204" s="44" t="n"/>
      <c r="BE204" s="44" t="n"/>
      <c r="BF204" s="44" t="n"/>
    </row>
    <row r="205" ht="19.5" customHeight="1" s="45">
      <c r="A205" s="15">
        <f>IF($B205="","",TEXT($B205,"yyyymmdd")&amp;"-"&amp;SUBSTITUTE($F205," ","")&amp;"-"&amp;TEXT(COUNTIF($F$4:F205,$F205),"00"))</f>
        <v/>
      </c>
      <c r="B205" s="39" t="n"/>
      <c r="C205" s="15">
        <f>IF($B205="","",WEEKNUM($B205,2))</f>
        <v/>
      </c>
      <c r="D205" s="15">
        <f>IF($B205="","",TEXT($B205,"yyyy-mm"))</f>
        <v/>
      </c>
      <c r="E205" s="40" t="n"/>
      <c r="F205" s="40" t="n"/>
      <c r="G205" s="15">
        <f>IF(OR($E205="",$F205=""),"",IFERROR(IF($E205=INDEX(Cluster_Master!$A$4:$A$18,MATCH($F205,Cluster_Master!$B$4:$B$18,0)),"OK","CHECK"),"CHECK"))</f>
        <v/>
      </c>
      <c r="H205" s="18">
        <f>IFERROR(INDEX(Cluster_Master!$C$4:$C$18,MATCH($F205,Cluster_Master!$B$4:$B$18,0)),"")</f>
        <v/>
      </c>
      <c r="I205" s="15">
        <f>IFERROR(INDEX(Cluster_Master!$D$4:$D$18,MATCH($F205,Cluster_Master!$B$4:$B$18,0)),"")</f>
        <v/>
      </c>
      <c r="J205" s="15">
        <f>IFERROR(INDEX(Cluster_Master!$E$4:$E$18,MATCH($F205,Cluster_Master!$B$4:$B$18,0)),"")</f>
        <v/>
      </c>
      <c r="K205" s="15">
        <f>IFERROR(INDEX(Cluster_Master!$F$4:$F$18,MATCH($F205,Cluster_Master!$B$4:$B$18,0)),"")</f>
        <v/>
      </c>
      <c r="L205" s="15">
        <f>IFERROR(INDEX(Cluster_Master!$G$4:$G$18,MATCH($F205,Cluster_Master!$B$4:$B$18,0)),"")</f>
        <v/>
      </c>
      <c r="M205" s="15">
        <f>IFERROR(INDEX(Cluster_Master!$H$4:$H$18,MATCH($F205,Cluster_Master!$B$4:$B$18,0)),"")</f>
        <v/>
      </c>
      <c r="N205" s="41" t="n"/>
      <c r="O205" s="41" t="n"/>
      <c r="P205" s="41" t="n"/>
      <c r="Q205" s="41" t="n"/>
      <c r="R205" s="41" t="n"/>
      <c r="S205" s="41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15">
        <f>IF(COUNTA(T205:AH205)=0,"",SUM(T205:AH205))</f>
        <v/>
      </c>
      <c r="AJ205" s="21">
        <f>IF(COUNTA(T205:AH205)=0,"",AI205/(COUNT(KPI_Weights!$A$4:$A$18)*5))</f>
        <v/>
      </c>
      <c r="AK205" s="21">
        <f>IF(COUNTA(T205:AH205)=0,"",SUMPRODUCT(T205:AH205,KPI_Weights!$B$4:$B$18)/5)</f>
        <v/>
      </c>
      <c r="AL205" s="15">
        <f>IF(COUNTA(T205:AH205)=0,"",IF(SUMPRODUCT(--(T205:AH205&lt;=1),--(KPI_Weights!$C$4:$C$18="YES"))&gt;0,"YES","NO"))</f>
        <v/>
      </c>
      <c r="AM205" s="15">
        <f>IF(AJ205="","",IF(AND(AL205="NO",AJ205&gt;=0.75),"YES","NO"))</f>
        <v/>
      </c>
      <c r="AN205" s="15">
        <f>IF(AJ205="","",IF(AJ205&lt;0.4,"Critical",IF(AJ205&lt;0.6,"Poor",IF(AJ205&lt;0.75,"Needs Improvement",IF(AJ205&lt;0.9,"Good","Excellent")))))</f>
        <v/>
      </c>
      <c r="AO205" s="41" t="n"/>
      <c r="AP205" s="41" t="n"/>
      <c r="AQ205" s="41" t="n"/>
      <c r="AR205" s="41" t="n"/>
      <c r="AS205" s="41" t="n"/>
      <c r="AT205" s="44" t="n"/>
      <c r="AU205" s="41" t="n"/>
      <c r="AV205" s="43" t="n"/>
      <c r="AW205" s="41" t="n"/>
      <c r="AX205" s="44" t="n"/>
      <c r="AY205" s="44" t="n"/>
      <c r="AZ205" s="44" t="n"/>
      <c r="BA205" s="44" t="n"/>
      <c r="BB205" s="44" t="n"/>
      <c r="BC205" s="44" t="n"/>
      <c r="BD205" s="44" t="n"/>
      <c r="BE205" s="44" t="n"/>
      <c r="BF205" s="44" t="n"/>
    </row>
    <row r="206" ht="19.5" customHeight="1" s="45">
      <c r="A206" s="15">
        <f>IF($B206="","",TEXT($B206,"yyyymmdd")&amp;"-"&amp;SUBSTITUTE($F206," ","")&amp;"-"&amp;TEXT(COUNTIF($F$4:F206,$F206),"00"))</f>
        <v/>
      </c>
      <c r="B206" s="39" t="n"/>
      <c r="C206" s="15">
        <f>IF($B206="","",WEEKNUM($B206,2))</f>
        <v/>
      </c>
      <c r="D206" s="15">
        <f>IF($B206="","",TEXT($B206,"yyyy-mm"))</f>
        <v/>
      </c>
      <c r="E206" s="40" t="n"/>
      <c r="F206" s="40" t="n"/>
      <c r="G206" s="15">
        <f>IF(OR($E206="",$F206=""),"",IFERROR(IF($E206=INDEX(Cluster_Master!$A$4:$A$18,MATCH($F206,Cluster_Master!$B$4:$B$18,0)),"OK","CHECK"),"CHECK"))</f>
        <v/>
      </c>
      <c r="H206" s="18">
        <f>IFERROR(INDEX(Cluster_Master!$C$4:$C$18,MATCH($F206,Cluster_Master!$B$4:$B$18,0)),"")</f>
        <v/>
      </c>
      <c r="I206" s="15">
        <f>IFERROR(INDEX(Cluster_Master!$D$4:$D$18,MATCH($F206,Cluster_Master!$B$4:$B$18,0)),"")</f>
        <v/>
      </c>
      <c r="J206" s="15">
        <f>IFERROR(INDEX(Cluster_Master!$E$4:$E$18,MATCH($F206,Cluster_Master!$B$4:$B$18,0)),"")</f>
        <v/>
      </c>
      <c r="K206" s="15">
        <f>IFERROR(INDEX(Cluster_Master!$F$4:$F$18,MATCH($F206,Cluster_Master!$B$4:$B$18,0)),"")</f>
        <v/>
      </c>
      <c r="L206" s="15">
        <f>IFERROR(INDEX(Cluster_Master!$G$4:$G$18,MATCH($F206,Cluster_Master!$B$4:$B$18,0)),"")</f>
        <v/>
      </c>
      <c r="M206" s="15">
        <f>IFERROR(INDEX(Cluster_Master!$H$4:$H$18,MATCH($F206,Cluster_Master!$B$4:$B$18,0)),"")</f>
        <v/>
      </c>
      <c r="N206" s="41" t="n"/>
      <c r="O206" s="41" t="n"/>
      <c r="P206" s="41" t="n"/>
      <c r="Q206" s="41" t="n"/>
      <c r="R206" s="41" t="n"/>
      <c r="S206" s="41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15">
        <f>IF(COUNTA(T206:AH206)=0,"",SUM(T206:AH206))</f>
        <v/>
      </c>
      <c r="AJ206" s="21">
        <f>IF(COUNTA(T206:AH206)=0,"",AI206/(COUNT(KPI_Weights!$A$4:$A$18)*5))</f>
        <v/>
      </c>
      <c r="AK206" s="21">
        <f>IF(COUNTA(T206:AH206)=0,"",SUMPRODUCT(T206:AH206,KPI_Weights!$B$4:$B$18)/5)</f>
        <v/>
      </c>
      <c r="AL206" s="15">
        <f>IF(COUNTA(T206:AH206)=0,"",IF(SUMPRODUCT(--(T206:AH206&lt;=1),--(KPI_Weights!$C$4:$C$18="YES"))&gt;0,"YES","NO"))</f>
        <v/>
      </c>
      <c r="AM206" s="15">
        <f>IF(AJ206="","",IF(AND(AL206="NO",AJ206&gt;=0.75),"YES","NO"))</f>
        <v/>
      </c>
      <c r="AN206" s="15">
        <f>IF(AJ206="","",IF(AJ206&lt;0.4,"Critical",IF(AJ206&lt;0.6,"Poor",IF(AJ206&lt;0.75,"Needs Improvement",IF(AJ206&lt;0.9,"Good","Excellent")))))</f>
        <v/>
      </c>
      <c r="AO206" s="41" t="n"/>
      <c r="AP206" s="41" t="n"/>
      <c r="AQ206" s="41" t="n"/>
      <c r="AR206" s="41" t="n"/>
      <c r="AS206" s="41" t="n"/>
      <c r="AT206" s="44" t="n"/>
      <c r="AU206" s="41" t="n"/>
      <c r="AV206" s="43" t="n"/>
      <c r="AW206" s="41" t="n"/>
      <c r="AX206" s="44" t="n"/>
      <c r="AY206" s="44" t="n"/>
      <c r="AZ206" s="44" t="n"/>
      <c r="BA206" s="44" t="n"/>
      <c r="BB206" s="44" t="n"/>
      <c r="BC206" s="44" t="n"/>
      <c r="BD206" s="44" t="n"/>
      <c r="BE206" s="44" t="n"/>
      <c r="BF206" s="44" t="n"/>
    </row>
    <row r="207" ht="19.5" customHeight="1" s="45">
      <c r="A207" s="15">
        <f>IF($B207="","",TEXT($B207,"yyyymmdd")&amp;"-"&amp;SUBSTITUTE($F207," ","")&amp;"-"&amp;TEXT(COUNTIF($F$4:F207,$F207),"00"))</f>
        <v/>
      </c>
      <c r="B207" s="39" t="n"/>
      <c r="C207" s="15">
        <f>IF($B207="","",WEEKNUM($B207,2))</f>
        <v/>
      </c>
      <c r="D207" s="15">
        <f>IF($B207="","",TEXT($B207,"yyyy-mm"))</f>
        <v/>
      </c>
      <c r="E207" s="40" t="n"/>
      <c r="F207" s="40" t="n"/>
      <c r="G207" s="15">
        <f>IF(OR($E207="",$F207=""),"",IFERROR(IF($E207=INDEX(Cluster_Master!$A$4:$A$18,MATCH($F207,Cluster_Master!$B$4:$B$18,0)),"OK","CHECK"),"CHECK"))</f>
        <v/>
      </c>
      <c r="H207" s="18">
        <f>IFERROR(INDEX(Cluster_Master!$C$4:$C$18,MATCH($F207,Cluster_Master!$B$4:$B$18,0)),"")</f>
        <v/>
      </c>
      <c r="I207" s="15">
        <f>IFERROR(INDEX(Cluster_Master!$D$4:$D$18,MATCH($F207,Cluster_Master!$B$4:$B$18,0)),"")</f>
        <v/>
      </c>
      <c r="J207" s="15">
        <f>IFERROR(INDEX(Cluster_Master!$E$4:$E$18,MATCH($F207,Cluster_Master!$B$4:$B$18,0)),"")</f>
        <v/>
      </c>
      <c r="K207" s="15">
        <f>IFERROR(INDEX(Cluster_Master!$F$4:$F$18,MATCH($F207,Cluster_Master!$B$4:$B$18,0)),"")</f>
        <v/>
      </c>
      <c r="L207" s="15">
        <f>IFERROR(INDEX(Cluster_Master!$G$4:$G$18,MATCH($F207,Cluster_Master!$B$4:$B$18,0)),"")</f>
        <v/>
      </c>
      <c r="M207" s="15">
        <f>IFERROR(INDEX(Cluster_Master!$H$4:$H$18,MATCH($F207,Cluster_Master!$B$4:$B$18,0)),"")</f>
        <v/>
      </c>
      <c r="N207" s="41" t="n"/>
      <c r="O207" s="41" t="n"/>
      <c r="P207" s="41" t="n"/>
      <c r="Q207" s="41" t="n"/>
      <c r="R207" s="41" t="n"/>
      <c r="S207" s="41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15">
        <f>IF(COUNTA(T207:AH207)=0,"",SUM(T207:AH207))</f>
        <v/>
      </c>
      <c r="AJ207" s="21">
        <f>IF(COUNTA(T207:AH207)=0,"",AI207/(COUNT(KPI_Weights!$A$4:$A$18)*5))</f>
        <v/>
      </c>
      <c r="AK207" s="21">
        <f>IF(COUNTA(T207:AH207)=0,"",SUMPRODUCT(T207:AH207,KPI_Weights!$B$4:$B$18)/5)</f>
        <v/>
      </c>
      <c r="AL207" s="15">
        <f>IF(COUNTA(T207:AH207)=0,"",IF(SUMPRODUCT(--(T207:AH207&lt;=1),--(KPI_Weights!$C$4:$C$18="YES"))&gt;0,"YES","NO"))</f>
        <v/>
      </c>
      <c r="AM207" s="15">
        <f>IF(AJ207="","",IF(AND(AL207="NO",AJ207&gt;=0.75),"YES","NO"))</f>
        <v/>
      </c>
      <c r="AN207" s="15">
        <f>IF(AJ207="","",IF(AJ207&lt;0.4,"Critical",IF(AJ207&lt;0.6,"Poor",IF(AJ207&lt;0.75,"Needs Improvement",IF(AJ207&lt;0.9,"Good","Excellent")))))</f>
        <v/>
      </c>
      <c r="AO207" s="41" t="n"/>
      <c r="AP207" s="41" t="n"/>
      <c r="AQ207" s="41" t="n"/>
      <c r="AR207" s="41" t="n"/>
      <c r="AS207" s="41" t="n"/>
      <c r="AT207" s="44" t="n"/>
      <c r="AU207" s="41" t="n"/>
      <c r="AV207" s="43" t="n"/>
      <c r="AW207" s="41" t="n"/>
      <c r="AX207" s="44" t="n"/>
      <c r="AY207" s="44" t="n"/>
      <c r="AZ207" s="44" t="n"/>
      <c r="BA207" s="44" t="n"/>
      <c r="BB207" s="44" t="n"/>
      <c r="BC207" s="44" t="n"/>
      <c r="BD207" s="44" t="n"/>
      <c r="BE207" s="44" t="n"/>
      <c r="BF207" s="44" t="n"/>
    </row>
    <row r="208" ht="19.5" customHeight="1" s="45">
      <c r="A208" s="15">
        <f>IF($B208="","",TEXT($B208,"yyyymmdd")&amp;"-"&amp;SUBSTITUTE($F208," ","")&amp;"-"&amp;TEXT(COUNTIF($F$4:F208,$F208),"00"))</f>
        <v/>
      </c>
      <c r="B208" s="39" t="n"/>
      <c r="C208" s="15">
        <f>IF($B208="","",WEEKNUM($B208,2))</f>
        <v/>
      </c>
      <c r="D208" s="15">
        <f>IF($B208="","",TEXT($B208,"yyyy-mm"))</f>
        <v/>
      </c>
      <c r="E208" s="40" t="n"/>
      <c r="F208" s="40" t="n"/>
      <c r="G208" s="15">
        <f>IF(OR($E208="",$F208=""),"",IFERROR(IF($E208=INDEX(Cluster_Master!$A$4:$A$18,MATCH($F208,Cluster_Master!$B$4:$B$18,0)),"OK","CHECK"),"CHECK"))</f>
        <v/>
      </c>
      <c r="H208" s="18">
        <f>IFERROR(INDEX(Cluster_Master!$C$4:$C$18,MATCH($F208,Cluster_Master!$B$4:$B$18,0)),"")</f>
        <v/>
      </c>
      <c r="I208" s="15">
        <f>IFERROR(INDEX(Cluster_Master!$D$4:$D$18,MATCH($F208,Cluster_Master!$B$4:$B$18,0)),"")</f>
        <v/>
      </c>
      <c r="J208" s="15">
        <f>IFERROR(INDEX(Cluster_Master!$E$4:$E$18,MATCH($F208,Cluster_Master!$B$4:$B$18,0)),"")</f>
        <v/>
      </c>
      <c r="K208" s="15">
        <f>IFERROR(INDEX(Cluster_Master!$F$4:$F$18,MATCH($F208,Cluster_Master!$B$4:$B$18,0)),"")</f>
        <v/>
      </c>
      <c r="L208" s="15">
        <f>IFERROR(INDEX(Cluster_Master!$G$4:$G$18,MATCH($F208,Cluster_Master!$B$4:$B$18,0)),"")</f>
        <v/>
      </c>
      <c r="M208" s="15">
        <f>IFERROR(INDEX(Cluster_Master!$H$4:$H$18,MATCH($F208,Cluster_Master!$B$4:$B$18,0)),"")</f>
        <v/>
      </c>
      <c r="N208" s="41" t="n"/>
      <c r="O208" s="41" t="n"/>
      <c r="P208" s="41" t="n"/>
      <c r="Q208" s="41" t="n"/>
      <c r="R208" s="41" t="n"/>
      <c r="S208" s="41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15">
        <f>IF(COUNTA(T208:AH208)=0,"",SUM(T208:AH208))</f>
        <v/>
      </c>
      <c r="AJ208" s="21">
        <f>IF(COUNTA(T208:AH208)=0,"",AI208/(COUNT(KPI_Weights!$A$4:$A$18)*5))</f>
        <v/>
      </c>
      <c r="AK208" s="21">
        <f>IF(COUNTA(T208:AH208)=0,"",SUMPRODUCT(T208:AH208,KPI_Weights!$B$4:$B$18)/5)</f>
        <v/>
      </c>
      <c r="AL208" s="15">
        <f>IF(COUNTA(T208:AH208)=0,"",IF(SUMPRODUCT(--(T208:AH208&lt;=1),--(KPI_Weights!$C$4:$C$18="YES"))&gt;0,"YES","NO"))</f>
        <v/>
      </c>
      <c r="AM208" s="15">
        <f>IF(AJ208="","",IF(AND(AL208="NO",AJ208&gt;=0.75),"YES","NO"))</f>
        <v/>
      </c>
      <c r="AN208" s="15">
        <f>IF(AJ208="","",IF(AJ208&lt;0.4,"Critical",IF(AJ208&lt;0.6,"Poor",IF(AJ208&lt;0.75,"Needs Improvement",IF(AJ208&lt;0.9,"Good","Excellent")))))</f>
        <v/>
      </c>
      <c r="AO208" s="41" t="n"/>
      <c r="AP208" s="41" t="n"/>
      <c r="AQ208" s="41" t="n"/>
      <c r="AR208" s="41" t="n"/>
      <c r="AS208" s="41" t="n"/>
      <c r="AT208" s="44" t="n"/>
      <c r="AU208" s="41" t="n"/>
      <c r="AV208" s="43" t="n"/>
      <c r="AW208" s="41" t="n"/>
      <c r="AX208" s="44" t="n"/>
      <c r="AY208" s="44" t="n"/>
      <c r="AZ208" s="44" t="n"/>
      <c r="BA208" s="44" t="n"/>
      <c r="BB208" s="44" t="n"/>
      <c r="BC208" s="44" t="n"/>
      <c r="BD208" s="44" t="n"/>
      <c r="BE208" s="44" t="n"/>
      <c r="BF208" s="44" t="n"/>
    </row>
    <row r="209" ht="19.5" customHeight="1" s="45">
      <c r="A209" s="15">
        <f>IF($B209="","",TEXT($B209,"yyyymmdd")&amp;"-"&amp;SUBSTITUTE($F209," ","")&amp;"-"&amp;TEXT(COUNTIF($F$4:F209,$F209),"00"))</f>
        <v/>
      </c>
      <c r="B209" s="39" t="n"/>
      <c r="C209" s="15">
        <f>IF($B209="","",WEEKNUM($B209,2))</f>
        <v/>
      </c>
      <c r="D209" s="15">
        <f>IF($B209="","",TEXT($B209,"yyyy-mm"))</f>
        <v/>
      </c>
      <c r="E209" s="40" t="n"/>
      <c r="F209" s="40" t="n"/>
      <c r="G209" s="15">
        <f>IF(OR($E209="",$F209=""),"",IFERROR(IF($E209=INDEX(Cluster_Master!$A$4:$A$18,MATCH($F209,Cluster_Master!$B$4:$B$18,0)),"OK","CHECK"),"CHECK"))</f>
        <v/>
      </c>
      <c r="H209" s="18">
        <f>IFERROR(INDEX(Cluster_Master!$C$4:$C$18,MATCH($F209,Cluster_Master!$B$4:$B$18,0)),"")</f>
        <v/>
      </c>
      <c r="I209" s="15">
        <f>IFERROR(INDEX(Cluster_Master!$D$4:$D$18,MATCH($F209,Cluster_Master!$B$4:$B$18,0)),"")</f>
        <v/>
      </c>
      <c r="J209" s="15">
        <f>IFERROR(INDEX(Cluster_Master!$E$4:$E$18,MATCH($F209,Cluster_Master!$B$4:$B$18,0)),"")</f>
        <v/>
      </c>
      <c r="K209" s="15">
        <f>IFERROR(INDEX(Cluster_Master!$F$4:$F$18,MATCH($F209,Cluster_Master!$B$4:$B$18,0)),"")</f>
        <v/>
      </c>
      <c r="L209" s="15">
        <f>IFERROR(INDEX(Cluster_Master!$G$4:$G$18,MATCH($F209,Cluster_Master!$B$4:$B$18,0)),"")</f>
        <v/>
      </c>
      <c r="M209" s="15">
        <f>IFERROR(INDEX(Cluster_Master!$H$4:$H$18,MATCH($F209,Cluster_Master!$B$4:$B$18,0)),"")</f>
        <v/>
      </c>
      <c r="N209" s="41" t="n"/>
      <c r="O209" s="41" t="n"/>
      <c r="P209" s="41" t="n"/>
      <c r="Q209" s="41" t="n"/>
      <c r="R209" s="41" t="n"/>
      <c r="S209" s="41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15">
        <f>IF(COUNTA(T209:AH209)=0,"",SUM(T209:AH209))</f>
        <v/>
      </c>
      <c r="AJ209" s="21">
        <f>IF(COUNTA(T209:AH209)=0,"",AI209/(COUNT(KPI_Weights!$A$4:$A$18)*5))</f>
        <v/>
      </c>
      <c r="AK209" s="21">
        <f>IF(COUNTA(T209:AH209)=0,"",SUMPRODUCT(T209:AH209,KPI_Weights!$B$4:$B$18)/5)</f>
        <v/>
      </c>
      <c r="AL209" s="15">
        <f>IF(COUNTA(T209:AH209)=0,"",IF(SUMPRODUCT(--(T209:AH209&lt;=1),--(KPI_Weights!$C$4:$C$18="YES"))&gt;0,"YES","NO"))</f>
        <v/>
      </c>
      <c r="AM209" s="15">
        <f>IF(AJ209="","",IF(AND(AL209="NO",AJ209&gt;=0.75),"YES","NO"))</f>
        <v/>
      </c>
      <c r="AN209" s="15">
        <f>IF(AJ209="","",IF(AJ209&lt;0.4,"Critical",IF(AJ209&lt;0.6,"Poor",IF(AJ209&lt;0.75,"Needs Improvement",IF(AJ209&lt;0.9,"Good","Excellent")))))</f>
        <v/>
      </c>
      <c r="AO209" s="41" t="n"/>
      <c r="AP209" s="41" t="n"/>
      <c r="AQ209" s="41" t="n"/>
      <c r="AR209" s="41" t="n"/>
      <c r="AS209" s="41" t="n"/>
      <c r="AT209" s="44" t="n"/>
      <c r="AU209" s="41" t="n"/>
      <c r="AV209" s="43" t="n"/>
      <c r="AW209" s="41" t="n"/>
      <c r="AX209" s="44" t="n"/>
      <c r="AY209" s="44" t="n"/>
      <c r="AZ209" s="44" t="n"/>
      <c r="BA209" s="44" t="n"/>
      <c r="BB209" s="44" t="n"/>
      <c r="BC209" s="44" t="n"/>
      <c r="BD209" s="44" t="n"/>
      <c r="BE209" s="44" t="n"/>
      <c r="BF209" s="44" t="n"/>
    </row>
    <row r="210" ht="19.5" customHeight="1" s="45">
      <c r="A210" s="15">
        <f>IF($B210="","",TEXT($B210,"yyyymmdd")&amp;"-"&amp;SUBSTITUTE($F210," ","")&amp;"-"&amp;TEXT(COUNTIF($F$4:F210,$F210),"00"))</f>
        <v/>
      </c>
      <c r="B210" s="39" t="n"/>
      <c r="C210" s="15">
        <f>IF($B210="","",WEEKNUM($B210,2))</f>
        <v/>
      </c>
      <c r="D210" s="15">
        <f>IF($B210="","",TEXT($B210,"yyyy-mm"))</f>
        <v/>
      </c>
      <c r="E210" s="40" t="n"/>
      <c r="F210" s="40" t="n"/>
      <c r="G210" s="15">
        <f>IF(OR($E210="",$F210=""),"",IFERROR(IF($E210=INDEX(Cluster_Master!$A$4:$A$18,MATCH($F210,Cluster_Master!$B$4:$B$18,0)),"OK","CHECK"),"CHECK"))</f>
        <v/>
      </c>
      <c r="H210" s="18">
        <f>IFERROR(INDEX(Cluster_Master!$C$4:$C$18,MATCH($F210,Cluster_Master!$B$4:$B$18,0)),"")</f>
        <v/>
      </c>
      <c r="I210" s="15">
        <f>IFERROR(INDEX(Cluster_Master!$D$4:$D$18,MATCH($F210,Cluster_Master!$B$4:$B$18,0)),"")</f>
        <v/>
      </c>
      <c r="J210" s="15">
        <f>IFERROR(INDEX(Cluster_Master!$E$4:$E$18,MATCH($F210,Cluster_Master!$B$4:$B$18,0)),"")</f>
        <v/>
      </c>
      <c r="K210" s="15">
        <f>IFERROR(INDEX(Cluster_Master!$F$4:$F$18,MATCH($F210,Cluster_Master!$B$4:$B$18,0)),"")</f>
        <v/>
      </c>
      <c r="L210" s="15">
        <f>IFERROR(INDEX(Cluster_Master!$G$4:$G$18,MATCH($F210,Cluster_Master!$B$4:$B$18,0)),"")</f>
        <v/>
      </c>
      <c r="M210" s="15">
        <f>IFERROR(INDEX(Cluster_Master!$H$4:$H$18,MATCH($F210,Cluster_Master!$B$4:$B$18,0)),"")</f>
        <v/>
      </c>
      <c r="N210" s="41" t="n"/>
      <c r="O210" s="41" t="n"/>
      <c r="P210" s="41" t="n"/>
      <c r="Q210" s="41" t="n"/>
      <c r="R210" s="41" t="n"/>
      <c r="S210" s="41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15">
        <f>IF(COUNTA(T210:AH210)=0,"",SUM(T210:AH210))</f>
        <v/>
      </c>
      <c r="AJ210" s="21">
        <f>IF(COUNTA(T210:AH210)=0,"",AI210/(COUNT(KPI_Weights!$A$4:$A$18)*5))</f>
        <v/>
      </c>
      <c r="AK210" s="21">
        <f>IF(COUNTA(T210:AH210)=0,"",SUMPRODUCT(T210:AH210,KPI_Weights!$B$4:$B$18)/5)</f>
        <v/>
      </c>
      <c r="AL210" s="15">
        <f>IF(COUNTA(T210:AH210)=0,"",IF(SUMPRODUCT(--(T210:AH210&lt;=1),--(KPI_Weights!$C$4:$C$18="YES"))&gt;0,"YES","NO"))</f>
        <v/>
      </c>
      <c r="AM210" s="15">
        <f>IF(AJ210="","",IF(AND(AL210="NO",AJ210&gt;=0.75),"YES","NO"))</f>
        <v/>
      </c>
      <c r="AN210" s="15">
        <f>IF(AJ210="","",IF(AJ210&lt;0.4,"Critical",IF(AJ210&lt;0.6,"Poor",IF(AJ210&lt;0.75,"Needs Improvement",IF(AJ210&lt;0.9,"Good","Excellent")))))</f>
        <v/>
      </c>
      <c r="AO210" s="41" t="n"/>
      <c r="AP210" s="41" t="n"/>
      <c r="AQ210" s="41" t="n"/>
      <c r="AR210" s="41" t="n"/>
      <c r="AS210" s="41" t="n"/>
      <c r="AT210" s="44" t="n"/>
      <c r="AU210" s="41" t="n"/>
      <c r="AV210" s="43" t="n"/>
      <c r="AW210" s="41" t="n"/>
      <c r="AX210" s="44" t="n"/>
      <c r="AY210" s="44" t="n"/>
      <c r="AZ210" s="44" t="n"/>
      <c r="BA210" s="44" t="n"/>
      <c r="BB210" s="44" t="n"/>
      <c r="BC210" s="44" t="n"/>
      <c r="BD210" s="44" t="n"/>
      <c r="BE210" s="44" t="n"/>
      <c r="BF210" s="44" t="n"/>
    </row>
    <row r="211" ht="19.5" customHeight="1" s="45">
      <c r="A211" s="15">
        <f>IF($B211="","",TEXT($B211,"yyyymmdd")&amp;"-"&amp;SUBSTITUTE($F211," ","")&amp;"-"&amp;TEXT(COUNTIF($F$4:F211,$F211),"00"))</f>
        <v/>
      </c>
      <c r="B211" s="39" t="n"/>
      <c r="C211" s="15">
        <f>IF($B211="","",WEEKNUM($B211,2))</f>
        <v/>
      </c>
      <c r="D211" s="15">
        <f>IF($B211="","",TEXT($B211,"yyyy-mm"))</f>
        <v/>
      </c>
      <c r="E211" s="40" t="n"/>
      <c r="F211" s="40" t="n"/>
      <c r="G211" s="15">
        <f>IF(OR($E211="",$F211=""),"",IFERROR(IF($E211=INDEX(Cluster_Master!$A$4:$A$18,MATCH($F211,Cluster_Master!$B$4:$B$18,0)),"OK","CHECK"),"CHECK"))</f>
        <v/>
      </c>
      <c r="H211" s="18">
        <f>IFERROR(INDEX(Cluster_Master!$C$4:$C$18,MATCH($F211,Cluster_Master!$B$4:$B$18,0)),"")</f>
        <v/>
      </c>
      <c r="I211" s="15">
        <f>IFERROR(INDEX(Cluster_Master!$D$4:$D$18,MATCH($F211,Cluster_Master!$B$4:$B$18,0)),"")</f>
        <v/>
      </c>
      <c r="J211" s="15">
        <f>IFERROR(INDEX(Cluster_Master!$E$4:$E$18,MATCH($F211,Cluster_Master!$B$4:$B$18,0)),"")</f>
        <v/>
      </c>
      <c r="K211" s="15">
        <f>IFERROR(INDEX(Cluster_Master!$F$4:$F$18,MATCH($F211,Cluster_Master!$B$4:$B$18,0)),"")</f>
        <v/>
      </c>
      <c r="L211" s="15">
        <f>IFERROR(INDEX(Cluster_Master!$G$4:$G$18,MATCH($F211,Cluster_Master!$B$4:$B$18,0)),"")</f>
        <v/>
      </c>
      <c r="M211" s="15">
        <f>IFERROR(INDEX(Cluster_Master!$H$4:$H$18,MATCH($F211,Cluster_Master!$B$4:$B$18,0)),"")</f>
        <v/>
      </c>
      <c r="N211" s="41" t="n"/>
      <c r="O211" s="41" t="n"/>
      <c r="P211" s="41" t="n"/>
      <c r="Q211" s="41" t="n"/>
      <c r="R211" s="41" t="n"/>
      <c r="S211" s="41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15">
        <f>IF(COUNTA(T211:AH211)=0,"",SUM(T211:AH211))</f>
        <v/>
      </c>
      <c r="AJ211" s="21">
        <f>IF(COUNTA(T211:AH211)=0,"",AI211/(COUNT(KPI_Weights!$A$4:$A$18)*5))</f>
        <v/>
      </c>
      <c r="AK211" s="21">
        <f>IF(COUNTA(T211:AH211)=0,"",SUMPRODUCT(T211:AH211,KPI_Weights!$B$4:$B$18)/5)</f>
        <v/>
      </c>
      <c r="AL211" s="15">
        <f>IF(COUNTA(T211:AH211)=0,"",IF(SUMPRODUCT(--(T211:AH211&lt;=1),--(KPI_Weights!$C$4:$C$18="YES"))&gt;0,"YES","NO"))</f>
        <v/>
      </c>
      <c r="AM211" s="15">
        <f>IF(AJ211="","",IF(AND(AL211="NO",AJ211&gt;=0.75),"YES","NO"))</f>
        <v/>
      </c>
      <c r="AN211" s="15">
        <f>IF(AJ211="","",IF(AJ211&lt;0.4,"Critical",IF(AJ211&lt;0.6,"Poor",IF(AJ211&lt;0.75,"Needs Improvement",IF(AJ211&lt;0.9,"Good","Excellent")))))</f>
        <v/>
      </c>
      <c r="AO211" s="41" t="n"/>
      <c r="AP211" s="41" t="n"/>
      <c r="AQ211" s="41" t="n"/>
      <c r="AR211" s="41" t="n"/>
      <c r="AS211" s="41" t="n"/>
      <c r="AT211" s="44" t="n"/>
      <c r="AU211" s="41" t="n"/>
      <c r="AV211" s="43" t="n"/>
      <c r="AW211" s="41" t="n"/>
      <c r="AX211" s="44" t="n"/>
      <c r="AY211" s="44" t="n"/>
      <c r="AZ211" s="44" t="n"/>
      <c r="BA211" s="44" t="n"/>
      <c r="BB211" s="44" t="n"/>
      <c r="BC211" s="44" t="n"/>
      <c r="BD211" s="44" t="n"/>
      <c r="BE211" s="44" t="n"/>
      <c r="BF211" s="44" t="n"/>
    </row>
    <row r="212" ht="19.5" customHeight="1" s="45">
      <c r="A212" s="15">
        <f>IF($B212="","",TEXT($B212,"yyyymmdd")&amp;"-"&amp;SUBSTITUTE($F212," ","")&amp;"-"&amp;TEXT(COUNTIF($F$4:F212,$F212),"00"))</f>
        <v/>
      </c>
      <c r="B212" s="39" t="n"/>
      <c r="C212" s="15">
        <f>IF($B212="","",WEEKNUM($B212,2))</f>
        <v/>
      </c>
      <c r="D212" s="15">
        <f>IF($B212="","",TEXT($B212,"yyyy-mm"))</f>
        <v/>
      </c>
      <c r="E212" s="40" t="n"/>
      <c r="F212" s="40" t="n"/>
      <c r="G212" s="15">
        <f>IF(OR($E212="",$F212=""),"",IFERROR(IF($E212=INDEX(Cluster_Master!$A$4:$A$18,MATCH($F212,Cluster_Master!$B$4:$B$18,0)),"OK","CHECK"),"CHECK"))</f>
        <v/>
      </c>
      <c r="H212" s="18">
        <f>IFERROR(INDEX(Cluster_Master!$C$4:$C$18,MATCH($F212,Cluster_Master!$B$4:$B$18,0)),"")</f>
        <v/>
      </c>
      <c r="I212" s="15">
        <f>IFERROR(INDEX(Cluster_Master!$D$4:$D$18,MATCH($F212,Cluster_Master!$B$4:$B$18,0)),"")</f>
        <v/>
      </c>
      <c r="J212" s="15">
        <f>IFERROR(INDEX(Cluster_Master!$E$4:$E$18,MATCH($F212,Cluster_Master!$B$4:$B$18,0)),"")</f>
        <v/>
      </c>
      <c r="K212" s="15">
        <f>IFERROR(INDEX(Cluster_Master!$F$4:$F$18,MATCH($F212,Cluster_Master!$B$4:$B$18,0)),"")</f>
        <v/>
      </c>
      <c r="L212" s="15">
        <f>IFERROR(INDEX(Cluster_Master!$G$4:$G$18,MATCH($F212,Cluster_Master!$B$4:$B$18,0)),"")</f>
        <v/>
      </c>
      <c r="M212" s="15">
        <f>IFERROR(INDEX(Cluster_Master!$H$4:$H$18,MATCH($F212,Cluster_Master!$B$4:$B$18,0)),"")</f>
        <v/>
      </c>
      <c r="N212" s="41" t="n"/>
      <c r="O212" s="41" t="n"/>
      <c r="P212" s="41" t="n"/>
      <c r="Q212" s="41" t="n"/>
      <c r="R212" s="41" t="n"/>
      <c r="S212" s="41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15">
        <f>IF(COUNTA(T212:AH212)=0,"",SUM(T212:AH212))</f>
        <v/>
      </c>
      <c r="AJ212" s="21">
        <f>IF(COUNTA(T212:AH212)=0,"",AI212/(COUNT(KPI_Weights!$A$4:$A$18)*5))</f>
        <v/>
      </c>
      <c r="AK212" s="21">
        <f>IF(COUNTA(T212:AH212)=0,"",SUMPRODUCT(T212:AH212,KPI_Weights!$B$4:$B$18)/5)</f>
        <v/>
      </c>
      <c r="AL212" s="15">
        <f>IF(COUNTA(T212:AH212)=0,"",IF(SUMPRODUCT(--(T212:AH212&lt;=1),--(KPI_Weights!$C$4:$C$18="YES"))&gt;0,"YES","NO"))</f>
        <v/>
      </c>
      <c r="AM212" s="15">
        <f>IF(AJ212="","",IF(AND(AL212="NO",AJ212&gt;=0.75),"YES","NO"))</f>
        <v/>
      </c>
      <c r="AN212" s="15">
        <f>IF(AJ212="","",IF(AJ212&lt;0.4,"Critical",IF(AJ212&lt;0.6,"Poor",IF(AJ212&lt;0.75,"Needs Improvement",IF(AJ212&lt;0.9,"Good","Excellent")))))</f>
        <v/>
      </c>
      <c r="AO212" s="41" t="n"/>
      <c r="AP212" s="41" t="n"/>
      <c r="AQ212" s="41" t="n"/>
      <c r="AR212" s="41" t="n"/>
      <c r="AS212" s="41" t="n"/>
      <c r="AT212" s="44" t="n"/>
      <c r="AU212" s="41" t="n"/>
      <c r="AV212" s="43" t="n"/>
      <c r="AW212" s="41" t="n"/>
      <c r="AX212" s="44" t="n"/>
      <c r="AY212" s="44" t="n"/>
      <c r="AZ212" s="44" t="n"/>
      <c r="BA212" s="44" t="n"/>
      <c r="BB212" s="44" t="n"/>
      <c r="BC212" s="44" t="n"/>
      <c r="BD212" s="44" t="n"/>
      <c r="BE212" s="44" t="n"/>
      <c r="BF212" s="44" t="n"/>
    </row>
    <row r="213" ht="19.5" customHeight="1" s="45">
      <c r="A213" s="15">
        <f>IF($B213="","",TEXT($B213,"yyyymmdd")&amp;"-"&amp;SUBSTITUTE($F213," ","")&amp;"-"&amp;TEXT(COUNTIF($F$4:F213,$F213),"00"))</f>
        <v/>
      </c>
      <c r="B213" s="39" t="n"/>
      <c r="C213" s="15">
        <f>IF($B213="","",WEEKNUM($B213,2))</f>
        <v/>
      </c>
      <c r="D213" s="15">
        <f>IF($B213="","",TEXT($B213,"yyyy-mm"))</f>
        <v/>
      </c>
      <c r="E213" s="40" t="n"/>
      <c r="F213" s="40" t="n"/>
      <c r="G213" s="15">
        <f>IF(OR($E213="",$F213=""),"",IFERROR(IF($E213=INDEX(Cluster_Master!$A$4:$A$18,MATCH($F213,Cluster_Master!$B$4:$B$18,0)),"OK","CHECK"),"CHECK"))</f>
        <v/>
      </c>
      <c r="H213" s="18">
        <f>IFERROR(INDEX(Cluster_Master!$C$4:$C$18,MATCH($F213,Cluster_Master!$B$4:$B$18,0)),"")</f>
        <v/>
      </c>
      <c r="I213" s="15">
        <f>IFERROR(INDEX(Cluster_Master!$D$4:$D$18,MATCH($F213,Cluster_Master!$B$4:$B$18,0)),"")</f>
        <v/>
      </c>
      <c r="J213" s="15">
        <f>IFERROR(INDEX(Cluster_Master!$E$4:$E$18,MATCH($F213,Cluster_Master!$B$4:$B$18,0)),"")</f>
        <v/>
      </c>
      <c r="K213" s="15">
        <f>IFERROR(INDEX(Cluster_Master!$F$4:$F$18,MATCH($F213,Cluster_Master!$B$4:$B$18,0)),"")</f>
        <v/>
      </c>
      <c r="L213" s="15">
        <f>IFERROR(INDEX(Cluster_Master!$G$4:$G$18,MATCH($F213,Cluster_Master!$B$4:$B$18,0)),"")</f>
        <v/>
      </c>
      <c r="M213" s="15">
        <f>IFERROR(INDEX(Cluster_Master!$H$4:$H$18,MATCH($F213,Cluster_Master!$B$4:$B$18,0)),"")</f>
        <v/>
      </c>
      <c r="N213" s="41" t="n"/>
      <c r="O213" s="41" t="n"/>
      <c r="P213" s="41" t="n"/>
      <c r="Q213" s="41" t="n"/>
      <c r="R213" s="41" t="n"/>
      <c r="S213" s="41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15">
        <f>IF(COUNTA(T213:AH213)=0,"",SUM(T213:AH213))</f>
        <v/>
      </c>
      <c r="AJ213" s="21">
        <f>IF(COUNTA(T213:AH213)=0,"",AI213/(COUNT(KPI_Weights!$A$4:$A$18)*5))</f>
        <v/>
      </c>
      <c r="AK213" s="21">
        <f>IF(COUNTA(T213:AH213)=0,"",SUMPRODUCT(T213:AH213,KPI_Weights!$B$4:$B$18)/5)</f>
        <v/>
      </c>
      <c r="AL213" s="15">
        <f>IF(COUNTA(T213:AH213)=0,"",IF(SUMPRODUCT(--(T213:AH213&lt;=1),--(KPI_Weights!$C$4:$C$18="YES"))&gt;0,"YES","NO"))</f>
        <v/>
      </c>
      <c r="AM213" s="15">
        <f>IF(AJ213="","",IF(AND(AL213="NO",AJ213&gt;=0.75),"YES","NO"))</f>
        <v/>
      </c>
      <c r="AN213" s="15">
        <f>IF(AJ213="","",IF(AJ213&lt;0.4,"Critical",IF(AJ213&lt;0.6,"Poor",IF(AJ213&lt;0.75,"Needs Improvement",IF(AJ213&lt;0.9,"Good","Excellent")))))</f>
        <v/>
      </c>
      <c r="AO213" s="41" t="n"/>
      <c r="AP213" s="41" t="n"/>
      <c r="AQ213" s="41" t="n"/>
      <c r="AR213" s="41" t="n"/>
      <c r="AS213" s="41" t="n"/>
      <c r="AT213" s="44" t="n"/>
      <c r="AU213" s="41" t="n"/>
      <c r="AV213" s="43" t="n"/>
      <c r="AW213" s="41" t="n"/>
      <c r="AX213" s="44" t="n"/>
      <c r="AY213" s="44" t="n"/>
      <c r="AZ213" s="44" t="n"/>
      <c r="BA213" s="44" t="n"/>
      <c r="BB213" s="44" t="n"/>
      <c r="BC213" s="44" t="n"/>
      <c r="BD213" s="44" t="n"/>
      <c r="BE213" s="44" t="n"/>
      <c r="BF213" s="44" t="n"/>
    </row>
    <row r="214" ht="19.5" customHeight="1" s="45">
      <c r="A214" s="15">
        <f>IF($B214="","",TEXT($B214,"yyyymmdd")&amp;"-"&amp;SUBSTITUTE($F214," ","")&amp;"-"&amp;TEXT(COUNTIF($F$4:F214,$F214),"00"))</f>
        <v/>
      </c>
      <c r="B214" s="39" t="n"/>
      <c r="C214" s="15">
        <f>IF($B214="","",WEEKNUM($B214,2))</f>
        <v/>
      </c>
      <c r="D214" s="15">
        <f>IF($B214="","",TEXT($B214,"yyyy-mm"))</f>
        <v/>
      </c>
      <c r="E214" s="40" t="n"/>
      <c r="F214" s="40" t="n"/>
      <c r="G214" s="15">
        <f>IF(OR($E214="",$F214=""),"",IFERROR(IF($E214=INDEX(Cluster_Master!$A$4:$A$18,MATCH($F214,Cluster_Master!$B$4:$B$18,0)),"OK","CHECK"),"CHECK"))</f>
        <v/>
      </c>
      <c r="H214" s="18">
        <f>IFERROR(INDEX(Cluster_Master!$C$4:$C$18,MATCH($F214,Cluster_Master!$B$4:$B$18,0)),"")</f>
        <v/>
      </c>
      <c r="I214" s="15">
        <f>IFERROR(INDEX(Cluster_Master!$D$4:$D$18,MATCH($F214,Cluster_Master!$B$4:$B$18,0)),"")</f>
        <v/>
      </c>
      <c r="J214" s="15">
        <f>IFERROR(INDEX(Cluster_Master!$E$4:$E$18,MATCH($F214,Cluster_Master!$B$4:$B$18,0)),"")</f>
        <v/>
      </c>
      <c r="K214" s="15">
        <f>IFERROR(INDEX(Cluster_Master!$F$4:$F$18,MATCH($F214,Cluster_Master!$B$4:$B$18,0)),"")</f>
        <v/>
      </c>
      <c r="L214" s="15">
        <f>IFERROR(INDEX(Cluster_Master!$G$4:$G$18,MATCH($F214,Cluster_Master!$B$4:$B$18,0)),"")</f>
        <v/>
      </c>
      <c r="M214" s="15">
        <f>IFERROR(INDEX(Cluster_Master!$H$4:$H$18,MATCH($F214,Cluster_Master!$B$4:$B$18,0)),"")</f>
        <v/>
      </c>
      <c r="N214" s="41" t="n"/>
      <c r="O214" s="41" t="n"/>
      <c r="P214" s="41" t="n"/>
      <c r="Q214" s="41" t="n"/>
      <c r="R214" s="41" t="n"/>
      <c r="S214" s="41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15">
        <f>IF(COUNTA(T214:AH214)=0,"",SUM(T214:AH214))</f>
        <v/>
      </c>
      <c r="AJ214" s="21">
        <f>IF(COUNTA(T214:AH214)=0,"",AI214/(COUNT(KPI_Weights!$A$4:$A$18)*5))</f>
        <v/>
      </c>
      <c r="AK214" s="21">
        <f>IF(COUNTA(T214:AH214)=0,"",SUMPRODUCT(T214:AH214,KPI_Weights!$B$4:$B$18)/5)</f>
        <v/>
      </c>
      <c r="AL214" s="15">
        <f>IF(COUNTA(T214:AH214)=0,"",IF(SUMPRODUCT(--(T214:AH214&lt;=1),--(KPI_Weights!$C$4:$C$18="YES"))&gt;0,"YES","NO"))</f>
        <v/>
      </c>
      <c r="AM214" s="15">
        <f>IF(AJ214="","",IF(AND(AL214="NO",AJ214&gt;=0.75),"YES","NO"))</f>
        <v/>
      </c>
      <c r="AN214" s="15">
        <f>IF(AJ214="","",IF(AJ214&lt;0.4,"Critical",IF(AJ214&lt;0.6,"Poor",IF(AJ214&lt;0.75,"Needs Improvement",IF(AJ214&lt;0.9,"Good","Excellent")))))</f>
        <v/>
      </c>
      <c r="AO214" s="41" t="n"/>
      <c r="AP214" s="41" t="n"/>
      <c r="AQ214" s="41" t="n"/>
      <c r="AR214" s="41" t="n"/>
      <c r="AS214" s="41" t="n"/>
      <c r="AT214" s="44" t="n"/>
      <c r="AU214" s="41" t="n"/>
      <c r="AV214" s="43" t="n"/>
      <c r="AW214" s="41" t="n"/>
      <c r="AX214" s="44" t="n"/>
      <c r="AY214" s="44" t="n"/>
      <c r="AZ214" s="44" t="n"/>
      <c r="BA214" s="44" t="n"/>
      <c r="BB214" s="44" t="n"/>
      <c r="BC214" s="44" t="n"/>
      <c r="BD214" s="44" t="n"/>
      <c r="BE214" s="44" t="n"/>
      <c r="BF214" s="44" t="n"/>
    </row>
    <row r="215" ht="19.5" customHeight="1" s="45">
      <c r="A215" s="15">
        <f>IF($B215="","",TEXT($B215,"yyyymmdd")&amp;"-"&amp;SUBSTITUTE($F215," ","")&amp;"-"&amp;TEXT(COUNTIF($F$4:F215,$F215),"00"))</f>
        <v/>
      </c>
      <c r="B215" s="39" t="n"/>
      <c r="C215" s="15">
        <f>IF($B215="","",WEEKNUM($B215,2))</f>
        <v/>
      </c>
      <c r="D215" s="15">
        <f>IF($B215="","",TEXT($B215,"yyyy-mm"))</f>
        <v/>
      </c>
      <c r="E215" s="40" t="n"/>
      <c r="F215" s="40" t="n"/>
      <c r="G215" s="15">
        <f>IF(OR($E215="",$F215=""),"",IFERROR(IF($E215=INDEX(Cluster_Master!$A$4:$A$18,MATCH($F215,Cluster_Master!$B$4:$B$18,0)),"OK","CHECK"),"CHECK"))</f>
        <v/>
      </c>
      <c r="H215" s="18">
        <f>IFERROR(INDEX(Cluster_Master!$C$4:$C$18,MATCH($F215,Cluster_Master!$B$4:$B$18,0)),"")</f>
        <v/>
      </c>
      <c r="I215" s="15">
        <f>IFERROR(INDEX(Cluster_Master!$D$4:$D$18,MATCH($F215,Cluster_Master!$B$4:$B$18,0)),"")</f>
        <v/>
      </c>
      <c r="J215" s="15">
        <f>IFERROR(INDEX(Cluster_Master!$E$4:$E$18,MATCH($F215,Cluster_Master!$B$4:$B$18,0)),"")</f>
        <v/>
      </c>
      <c r="K215" s="15">
        <f>IFERROR(INDEX(Cluster_Master!$F$4:$F$18,MATCH($F215,Cluster_Master!$B$4:$B$18,0)),"")</f>
        <v/>
      </c>
      <c r="L215" s="15">
        <f>IFERROR(INDEX(Cluster_Master!$G$4:$G$18,MATCH($F215,Cluster_Master!$B$4:$B$18,0)),"")</f>
        <v/>
      </c>
      <c r="M215" s="15">
        <f>IFERROR(INDEX(Cluster_Master!$H$4:$H$18,MATCH($F215,Cluster_Master!$B$4:$B$18,0)),"")</f>
        <v/>
      </c>
      <c r="N215" s="41" t="n"/>
      <c r="O215" s="41" t="n"/>
      <c r="P215" s="41" t="n"/>
      <c r="Q215" s="41" t="n"/>
      <c r="R215" s="41" t="n"/>
      <c r="S215" s="41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15">
        <f>IF(COUNTA(T215:AH215)=0,"",SUM(T215:AH215))</f>
        <v/>
      </c>
      <c r="AJ215" s="21">
        <f>IF(COUNTA(T215:AH215)=0,"",AI215/(COUNT(KPI_Weights!$A$4:$A$18)*5))</f>
        <v/>
      </c>
      <c r="AK215" s="21">
        <f>IF(COUNTA(T215:AH215)=0,"",SUMPRODUCT(T215:AH215,KPI_Weights!$B$4:$B$18)/5)</f>
        <v/>
      </c>
      <c r="AL215" s="15">
        <f>IF(COUNTA(T215:AH215)=0,"",IF(SUMPRODUCT(--(T215:AH215&lt;=1),--(KPI_Weights!$C$4:$C$18="YES"))&gt;0,"YES","NO"))</f>
        <v/>
      </c>
      <c r="AM215" s="15">
        <f>IF(AJ215="","",IF(AND(AL215="NO",AJ215&gt;=0.75),"YES","NO"))</f>
        <v/>
      </c>
      <c r="AN215" s="15">
        <f>IF(AJ215="","",IF(AJ215&lt;0.4,"Critical",IF(AJ215&lt;0.6,"Poor",IF(AJ215&lt;0.75,"Needs Improvement",IF(AJ215&lt;0.9,"Good","Excellent")))))</f>
        <v/>
      </c>
      <c r="AO215" s="41" t="n"/>
      <c r="AP215" s="41" t="n"/>
      <c r="AQ215" s="41" t="n"/>
      <c r="AR215" s="41" t="n"/>
      <c r="AS215" s="41" t="n"/>
      <c r="AT215" s="44" t="n"/>
      <c r="AU215" s="41" t="n"/>
      <c r="AV215" s="43" t="n"/>
      <c r="AW215" s="41" t="n"/>
      <c r="AX215" s="44" t="n"/>
      <c r="AY215" s="44" t="n"/>
      <c r="AZ215" s="44" t="n"/>
      <c r="BA215" s="44" t="n"/>
      <c r="BB215" s="44" t="n"/>
      <c r="BC215" s="44" t="n"/>
      <c r="BD215" s="44" t="n"/>
      <c r="BE215" s="44" t="n"/>
      <c r="BF215" s="44" t="n"/>
    </row>
    <row r="216" ht="19.5" customHeight="1" s="45">
      <c r="A216" s="15">
        <f>IF($B216="","",TEXT($B216,"yyyymmdd")&amp;"-"&amp;SUBSTITUTE($F216," ","")&amp;"-"&amp;TEXT(COUNTIF($F$4:F216,$F216),"00"))</f>
        <v/>
      </c>
      <c r="B216" s="39" t="n"/>
      <c r="C216" s="15">
        <f>IF($B216="","",WEEKNUM($B216,2))</f>
        <v/>
      </c>
      <c r="D216" s="15">
        <f>IF($B216="","",TEXT($B216,"yyyy-mm"))</f>
        <v/>
      </c>
      <c r="E216" s="40" t="n"/>
      <c r="F216" s="40" t="n"/>
      <c r="G216" s="15">
        <f>IF(OR($E216="",$F216=""),"",IFERROR(IF($E216=INDEX(Cluster_Master!$A$4:$A$18,MATCH($F216,Cluster_Master!$B$4:$B$18,0)),"OK","CHECK"),"CHECK"))</f>
        <v/>
      </c>
      <c r="H216" s="18">
        <f>IFERROR(INDEX(Cluster_Master!$C$4:$C$18,MATCH($F216,Cluster_Master!$B$4:$B$18,0)),"")</f>
        <v/>
      </c>
      <c r="I216" s="15">
        <f>IFERROR(INDEX(Cluster_Master!$D$4:$D$18,MATCH($F216,Cluster_Master!$B$4:$B$18,0)),"")</f>
        <v/>
      </c>
      <c r="J216" s="15">
        <f>IFERROR(INDEX(Cluster_Master!$E$4:$E$18,MATCH($F216,Cluster_Master!$B$4:$B$18,0)),"")</f>
        <v/>
      </c>
      <c r="K216" s="15">
        <f>IFERROR(INDEX(Cluster_Master!$F$4:$F$18,MATCH($F216,Cluster_Master!$B$4:$B$18,0)),"")</f>
        <v/>
      </c>
      <c r="L216" s="15">
        <f>IFERROR(INDEX(Cluster_Master!$G$4:$G$18,MATCH($F216,Cluster_Master!$B$4:$B$18,0)),"")</f>
        <v/>
      </c>
      <c r="M216" s="15">
        <f>IFERROR(INDEX(Cluster_Master!$H$4:$H$18,MATCH($F216,Cluster_Master!$B$4:$B$18,0)),"")</f>
        <v/>
      </c>
      <c r="N216" s="41" t="n"/>
      <c r="O216" s="41" t="n"/>
      <c r="P216" s="41" t="n"/>
      <c r="Q216" s="41" t="n"/>
      <c r="R216" s="41" t="n"/>
      <c r="S216" s="41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15">
        <f>IF(COUNTA(T216:AH216)=0,"",SUM(T216:AH216))</f>
        <v/>
      </c>
      <c r="AJ216" s="21">
        <f>IF(COUNTA(T216:AH216)=0,"",AI216/(COUNT(KPI_Weights!$A$4:$A$18)*5))</f>
        <v/>
      </c>
      <c r="AK216" s="21">
        <f>IF(COUNTA(T216:AH216)=0,"",SUMPRODUCT(T216:AH216,KPI_Weights!$B$4:$B$18)/5)</f>
        <v/>
      </c>
      <c r="AL216" s="15">
        <f>IF(COUNTA(T216:AH216)=0,"",IF(SUMPRODUCT(--(T216:AH216&lt;=1),--(KPI_Weights!$C$4:$C$18="YES"))&gt;0,"YES","NO"))</f>
        <v/>
      </c>
      <c r="AM216" s="15">
        <f>IF(AJ216="","",IF(AND(AL216="NO",AJ216&gt;=0.75),"YES","NO"))</f>
        <v/>
      </c>
      <c r="AN216" s="15">
        <f>IF(AJ216="","",IF(AJ216&lt;0.4,"Critical",IF(AJ216&lt;0.6,"Poor",IF(AJ216&lt;0.75,"Needs Improvement",IF(AJ216&lt;0.9,"Good","Excellent")))))</f>
        <v/>
      </c>
      <c r="AO216" s="41" t="n"/>
      <c r="AP216" s="41" t="n"/>
      <c r="AQ216" s="41" t="n"/>
      <c r="AR216" s="41" t="n"/>
      <c r="AS216" s="41" t="n"/>
      <c r="AT216" s="44" t="n"/>
      <c r="AU216" s="41" t="n"/>
      <c r="AV216" s="43" t="n"/>
      <c r="AW216" s="41" t="n"/>
      <c r="AX216" s="44" t="n"/>
      <c r="AY216" s="44" t="n"/>
      <c r="AZ216" s="44" t="n"/>
      <c r="BA216" s="44" t="n"/>
      <c r="BB216" s="44" t="n"/>
      <c r="BC216" s="44" t="n"/>
      <c r="BD216" s="44" t="n"/>
      <c r="BE216" s="44" t="n"/>
      <c r="BF216" s="44" t="n"/>
    </row>
    <row r="217" ht="19.5" customHeight="1" s="45">
      <c r="A217" s="15">
        <f>IF($B217="","",TEXT($B217,"yyyymmdd")&amp;"-"&amp;SUBSTITUTE($F217," ","")&amp;"-"&amp;TEXT(COUNTIF($F$4:F217,$F217),"00"))</f>
        <v/>
      </c>
      <c r="B217" s="39" t="n"/>
      <c r="C217" s="15">
        <f>IF($B217="","",WEEKNUM($B217,2))</f>
        <v/>
      </c>
      <c r="D217" s="15">
        <f>IF($B217="","",TEXT($B217,"yyyy-mm"))</f>
        <v/>
      </c>
      <c r="E217" s="40" t="n"/>
      <c r="F217" s="40" t="n"/>
      <c r="G217" s="15">
        <f>IF(OR($E217="",$F217=""),"",IFERROR(IF($E217=INDEX(Cluster_Master!$A$4:$A$18,MATCH($F217,Cluster_Master!$B$4:$B$18,0)),"OK","CHECK"),"CHECK"))</f>
        <v/>
      </c>
      <c r="H217" s="18">
        <f>IFERROR(INDEX(Cluster_Master!$C$4:$C$18,MATCH($F217,Cluster_Master!$B$4:$B$18,0)),"")</f>
        <v/>
      </c>
      <c r="I217" s="15">
        <f>IFERROR(INDEX(Cluster_Master!$D$4:$D$18,MATCH($F217,Cluster_Master!$B$4:$B$18,0)),"")</f>
        <v/>
      </c>
      <c r="J217" s="15">
        <f>IFERROR(INDEX(Cluster_Master!$E$4:$E$18,MATCH($F217,Cluster_Master!$B$4:$B$18,0)),"")</f>
        <v/>
      </c>
      <c r="K217" s="15">
        <f>IFERROR(INDEX(Cluster_Master!$F$4:$F$18,MATCH($F217,Cluster_Master!$B$4:$B$18,0)),"")</f>
        <v/>
      </c>
      <c r="L217" s="15">
        <f>IFERROR(INDEX(Cluster_Master!$G$4:$G$18,MATCH($F217,Cluster_Master!$B$4:$B$18,0)),"")</f>
        <v/>
      </c>
      <c r="M217" s="15">
        <f>IFERROR(INDEX(Cluster_Master!$H$4:$H$18,MATCH($F217,Cluster_Master!$B$4:$B$18,0)),"")</f>
        <v/>
      </c>
      <c r="N217" s="41" t="n"/>
      <c r="O217" s="41" t="n"/>
      <c r="P217" s="41" t="n"/>
      <c r="Q217" s="41" t="n"/>
      <c r="R217" s="41" t="n"/>
      <c r="S217" s="41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15">
        <f>IF(COUNTA(T217:AH217)=0,"",SUM(T217:AH217))</f>
        <v/>
      </c>
      <c r="AJ217" s="21">
        <f>IF(COUNTA(T217:AH217)=0,"",AI217/(COUNT(KPI_Weights!$A$4:$A$18)*5))</f>
        <v/>
      </c>
      <c r="AK217" s="21">
        <f>IF(COUNTA(T217:AH217)=0,"",SUMPRODUCT(T217:AH217,KPI_Weights!$B$4:$B$18)/5)</f>
        <v/>
      </c>
      <c r="AL217" s="15">
        <f>IF(COUNTA(T217:AH217)=0,"",IF(SUMPRODUCT(--(T217:AH217&lt;=1),--(KPI_Weights!$C$4:$C$18="YES"))&gt;0,"YES","NO"))</f>
        <v/>
      </c>
      <c r="AM217" s="15">
        <f>IF(AJ217="","",IF(AND(AL217="NO",AJ217&gt;=0.75),"YES","NO"))</f>
        <v/>
      </c>
      <c r="AN217" s="15">
        <f>IF(AJ217="","",IF(AJ217&lt;0.4,"Critical",IF(AJ217&lt;0.6,"Poor",IF(AJ217&lt;0.75,"Needs Improvement",IF(AJ217&lt;0.9,"Good","Excellent")))))</f>
        <v/>
      </c>
      <c r="AO217" s="41" t="n"/>
      <c r="AP217" s="41" t="n"/>
      <c r="AQ217" s="41" t="n"/>
      <c r="AR217" s="41" t="n"/>
      <c r="AS217" s="41" t="n"/>
      <c r="AT217" s="44" t="n"/>
      <c r="AU217" s="41" t="n"/>
      <c r="AV217" s="43" t="n"/>
      <c r="AW217" s="41" t="n"/>
      <c r="AX217" s="44" t="n"/>
      <c r="AY217" s="44" t="n"/>
      <c r="AZ217" s="44" t="n"/>
      <c r="BA217" s="44" t="n"/>
      <c r="BB217" s="44" t="n"/>
      <c r="BC217" s="44" t="n"/>
      <c r="BD217" s="44" t="n"/>
      <c r="BE217" s="44" t="n"/>
      <c r="BF217" s="44" t="n"/>
    </row>
    <row r="218" ht="19.5" customHeight="1" s="45">
      <c r="A218" s="15">
        <f>IF($B218="","",TEXT($B218,"yyyymmdd")&amp;"-"&amp;SUBSTITUTE($F218," ","")&amp;"-"&amp;TEXT(COUNTIF($F$4:F218,$F218),"00"))</f>
        <v/>
      </c>
      <c r="B218" s="39" t="n"/>
      <c r="C218" s="15">
        <f>IF($B218="","",WEEKNUM($B218,2))</f>
        <v/>
      </c>
      <c r="D218" s="15">
        <f>IF($B218="","",TEXT($B218,"yyyy-mm"))</f>
        <v/>
      </c>
      <c r="E218" s="40" t="n"/>
      <c r="F218" s="40" t="n"/>
      <c r="G218" s="15">
        <f>IF(OR($E218="",$F218=""),"",IFERROR(IF($E218=INDEX(Cluster_Master!$A$4:$A$18,MATCH($F218,Cluster_Master!$B$4:$B$18,0)),"OK","CHECK"),"CHECK"))</f>
        <v/>
      </c>
      <c r="H218" s="18">
        <f>IFERROR(INDEX(Cluster_Master!$C$4:$C$18,MATCH($F218,Cluster_Master!$B$4:$B$18,0)),"")</f>
        <v/>
      </c>
      <c r="I218" s="15">
        <f>IFERROR(INDEX(Cluster_Master!$D$4:$D$18,MATCH($F218,Cluster_Master!$B$4:$B$18,0)),"")</f>
        <v/>
      </c>
      <c r="J218" s="15">
        <f>IFERROR(INDEX(Cluster_Master!$E$4:$E$18,MATCH($F218,Cluster_Master!$B$4:$B$18,0)),"")</f>
        <v/>
      </c>
      <c r="K218" s="15">
        <f>IFERROR(INDEX(Cluster_Master!$F$4:$F$18,MATCH($F218,Cluster_Master!$B$4:$B$18,0)),"")</f>
        <v/>
      </c>
      <c r="L218" s="15">
        <f>IFERROR(INDEX(Cluster_Master!$G$4:$G$18,MATCH($F218,Cluster_Master!$B$4:$B$18,0)),"")</f>
        <v/>
      </c>
      <c r="M218" s="15">
        <f>IFERROR(INDEX(Cluster_Master!$H$4:$H$18,MATCH($F218,Cluster_Master!$B$4:$B$18,0)),"")</f>
        <v/>
      </c>
      <c r="N218" s="41" t="n"/>
      <c r="O218" s="41" t="n"/>
      <c r="P218" s="41" t="n"/>
      <c r="Q218" s="41" t="n"/>
      <c r="R218" s="41" t="n"/>
      <c r="S218" s="41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15">
        <f>IF(COUNTA(T218:AH218)=0,"",SUM(T218:AH218))</f>
        <v/>
      </c>
      <c r="AJ218" s="21">
        <f>IF(COUNTA(T218:AH218)=0,"",AI218/(COUNT(KPI_Weights!$A$4:$A$18)*5))</f>
        <v/>
      </c>
      <c r="AK218" s="21">
        <f>IF(COUNTA(T218:AH218)=0,"",SUMPRODUCT(T218:AH218,KPI_Weights!$B$4:$B$18)/5)</f>
        <v/>
      </c>
      <c r="AL218" s="15">
        <f>IF(COUNTA(T218:AH218)=0,"",IF(SUMPRODUCT(--(T218:AH218&lt;=1),--(KPI_Weights!$C$4:$C$18="YES"))&gt;0,"YES","NO"))</f>
        <v/>
      </c>
      <c r="AM218" s="15">
        <f>IF(AJ218="","",IF(AND(AL218="NO",AJ218&gt;=0.75),"YES","NO"))</f>
        <v/>
      </c>
      <c r="AN218" s="15">
        <f>IF(AJ218="","",IF(AJ218&lt;0.4,"Critical",IF(AJ218&lt;0.6,"Poor",IF(AJ218&lt;0.75,"Needs Improvement",IF(AJ218&lt;0.9,"Good","Excellent")))))</f>
        <v/>
      </c>
      <c r="AO218" s="41" t="n"/>
      <c r="AP218" s="41" t="n"/>
      <c r="AQ218" s="41" t="n"/>
      <c r="AR218" s="41" t="n"/>
      <c r="AS218" s="41" t="n"/>
      <c r="AT218" s="44" t="n"/>
      <c r="AU218" s="41" t="n"/>
      <c r="AV218" s="43" t="n"/>
      <c r="AW218" s="41" t="n"/>
      <c r="AX218" s="44" t="n"/>
      <c r="AY218" s="44" t="n"/>
      <c r="AZ218" s="44" t="n"/>
      <c r="BA218" s="44" t="n"/>
      <c r="BB218" s="44" t="n"/>
      <c r="BC218" s="44" t="n"/>
      <c r="BD218" s="44" t="n"/>
      <c r="BE218" s="44" t="n"/>
      <c r="BF218" s="44" t="n"/>
    </row>
    <row r="219" ht="19.5" customHeight="1" s="45">
      <c r="A219" s="15">
        <f>IF($B219="","",TEXT($B219,"yyyymmdd")&amp;"-"&amp;SUBSTITUTE($F219," ","")&amp;"-"&amp;TEXT(COUNTIF($F$4:F219,$F219),"00"))</f>
        <v/>
      </c>
      <c r="B219" s="39" t="n"/>
      <c r="C219" s="15">
        <f>IF($B219="","",WEEKNUM($B219,2))</f>
        <v/>
      </c>
      <c r="D219" s="15">
        <f>IF($B219="","",TEXT($B219,"yyyy-mm"))</f>
        <v/>
      </c>
      <c r="E219" s="40" t="n"/>
      <c r="F219" s="40" t="n"/>
      <c r="G219" s="15">
        <f>IF(OR($E219="",$F219=""),"",IFERROR(IF($E219=INDEX(Cluster_Master!$A$4:$A$18,MATCH($F219,Cluster_Master!$B$4:$B$18,0)),"OK","CHECK"),"CHECK"))</f>
        <v/>
      </c>
      <c r="H219" s="18">
        <f>IFERROR(INDEX(Cluster_Master!$C$4:$C$18,MATCH($F219,Cluster_Master!$B$4:$B$18,0)),"")</f>
        <v/>
      </c>
      <c r="I219" s="15">
        <f>IFERROR(INDEX(Cluster_Master!$D$4:$D$18,MATCH($F219,Cluster_Master!$B$4:$B$18,0)),"")</f>
        <v/>
      </c>
      <c r="J219" s="15">
        <f>IFERROR(INDEX(Cluster_Master!$E$4:$E$18,MATCH($F219,Cluster_Master!$B$4:$B$18,0)),"")</f>
        <v/>
      </c>
      <c r="K219" s="15">
        <f>IFERROR(INDEX(Cluster_Master!$F$4:$F$18,MATCH($F219,Cluster_Master!$B$4:$B$18,0)),"")</f>
        <v/>
      </c>
      <c r="L219" s="15">
        <f>IFERROR(INDEX(Cluster_Master!$G$4:$G$18,MATCH($F219,Cluster_Master!$B$4:$B$18,0)),"")</f>
        <v/>
      </c>
      <c r="M219" s="15">
        <f>IFERROR(INDEX(Cluster_Master!$H$4:$H$18,MATCH($F219,Cluster_Master!$B$4:$B$18,0)),"")</f>
        <v/>
      </c>
      <c r="N219" s="41" t="n"/>
      <c r="O219" s="41" t="n"/>
      <c r="P219" s="41" t="n"/>
      <c r="Q219" s="41" t="n"/>
      <c r="R219" s="41" t="n"/>
      <c r="S219" s="41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15">
        <f>IF(COUNTA(T219:AH219)=0,"",SUM(T219:AH219))</f>
        <v/>
      </c>
      <c r="AJ219" s="21">
        <f>IF(COUNTA(T219:AH219)=0,"",AI219/(COUNT(KPI_Weights!$A$4:$A$18)*5))</f>
        <v/>
      </c>
      <c r="AK219" s="21">
        <f>IF(COUNTA(T219:AH219)=0,"",SUMPRODUCT(T219:AH219,KPI_Weights!$B$4:$B$18)/5)</f>
        <v/>
      </c>
      <c r="AL219" s="15">
        <f>IF(COUNTA(T219:AH219)=0,"",IF(SUMPRODUCT(--(T219:AH219&lt;=1),--(KPI_Weights!$C$4:$C$18="YES"))&gt;0,"YES","NO"))</f>
        <v/>
      </c>
      <c r="AM219" s="15">
        <f>IF(AJ219="","",IF(AND(AL219="NO",AJ219&gt;=0.75),"YES","NO"))</f>
        <v/>
      </c>
      <c r="AN219" s="15">
        <f>IF(AJ219="","",IF(AJ219&lt;0.4,"Critical",IF(AJ219&lt;0.6,"Poor",IF(AJ219&lt;0.75,"Needs Improvement",IF(AJ219&lt;0.9,"Good","Excellent")))))</f>
        <v/>
      </c>
      <c r="AO219" s="41" t="n"/>
      <c r="AP219" s="41" t="n"/>
      <c r="AQ219" s="41" t="n"/>
      <c r="AR219" s="41" t="n"/>
      <c r="AS219" s="41" t="n"/>
      <c r="AT219" s="44" t="n"/>
      <c r="AU219" s="41" t="n"/>
      <c r="AV219" s="43" t="n"/>
      <c r="AW219" s="41" t="n"/>
      <c r="AX219" s="44" t="n"/>
      <c r="AY219" s="44" t="n"/>
      <c r="AZ219" s="44" t="n"/>
      <c r="BA219" s="44" t="n"/>
      <c r="BB219" s="44" t="n"/>
      <c r="BC219" s="44" t="n"/>
      <c r="BD219" s="44" t="n"/>
      <c r="BE219" s="44" t="n"/>
      <c r="BF219" s="44" t="n"/>
    </row>
    <row r="220" ht="19.5" customHeight="1" s="45">
      <c r="A220" s="15">
        <f>IF($B220="","",TEXT($B220,"yyyymmdd")&amp;"-"&amp;SUBSTITUTE($F220," ","")&amp;"-"&amp;TEXT(COUNTIF($F$4:F220,$F220),"00"))</f>
        <v/>
      </c>
      <c r="B220" s="39" t="n"/>
      <c r="C220" s="15">
        <f>IF($B220="","",WEEKNUM($B220,2))</f>
        <v/>
      </c>
      <c r="D220" s="15">
        <f>IF($B220="","",TEXT($B220,"yyyy-mm"))</f>
        <v/>
      </c>
      <c r="E220" s="40" t="n"/>
      <c r="F220" s="40" t="n"/>
      <c r="G220" s="15">
        <f>IF(OR($E220="",$F220=""),"",IFERROR(IF($E220=INDEX(Cluster_Master!$A$4:$A$18,MATCH($F220,Cluster_Master!$B$4:$B$18,0)),"OK","CHECK"),"CHECK"))</f>
        <v/>
      </c>
      <c r="H220" s="18">
        <f>IFERROR(INDEX(Cluster_Master!$C$4:$C$18,MATCH($F220,Cluster_Master!$B$4:$B$18,0)),"")</f>
        <v/>
      </c>
      <c r="I220" s="15">
        <f>IFERROR(INDEX(Cluster_Master!$D$4:$D$18,MATCH($F220,Cluster_Master!$B$4:$B$18,0)),"")</f>
        <v/>
      </c>
      <c r="J220" s="15">
        <f>IFERROR(INDEX(Cluster_Master!$E$4:$E$18,MATCH($F220,Cluster_Master!$B$4:$B$18,0)),"")</f>
        <v/>
      </c>
      <c r="K220" s="15">
        <f>IFERROR(INDEX(Cluster_Master!$F$4:$F$18,MATCH($F220,Cluster_Master!$B$4:$B$18,0)),"")</f>
        <v/>
      </c>
      <c r="L220" s="15">
        <f>IFERROR(INDEX(Cluster_Master!$G$4:$G$18,MATCH($F220,Cluster_Master!$B$4:$B$18,0)),"")</f>
        <v/>
      </c>
      <c r="M220" s="15">
        <f>IFERROR(INDEX(Cluster_Master!$H$4:$H$18,MATCH($F220,Cluster_Master!$B$4:$B$18,0)),"")</f>
        <v/>
      </c>
      <c r="N220" s="41" t="n"/>
      <c r="O220" s="41" t="n"/>
      <c r="P220" s="41" t="n"/>
      <c r="Q220" s="41" t="n"/>
      <c r="R220" s="41" t="n"/>
      <c r="S220" s="41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15">
        <f>IF(COUNTA(T220:AH220)=0,"",SUM(T220:AH220))</f>
        <v/>
      </c>
      <c r="AJ220" s="21">
        <f>IF(COUNTA(T220:AH220)=0,"",AI220/(COUNT(KPI_Weights!$A$4:$A$18)*5))</f>
        <v/>
      </c>
      <c r="AK220" s="21">
        <f>IF(COUNTA(T220:AH220)=0,"",SUMPRODUCT(T220:AH220,KPI_Weights!$B$4:$B$18)/5)</f>
        <v/>
      </c>
      <c r="AL220" s="15">
        <f>IF(COUNTA(T220:AH220)=0,"",IF(SUMPRODUCT(--(T220:AH220&lt;=1),--(KPI_Weights!$C$4:$C$18="YES"))&gt;0,"YES","NO"))</f>
        <v/>
      </c>
      <c r="AM220" s="15">
        <f>IF(AJ220="","",IF(AND(AL220="NO",AJ220&gt;=0.75),"YES","NO"))</f>
        <v/>
      </c>
      <c r="AN220" s="15">
        <f>IF(AJ220="","",IF(AJ220&lt;0.4,"Critical",IF(AJ220&lt;0.6,"Poor",IF(AJ220&lt;0.75,"Needs Improvement",IF(AJ220&lt;0.9,"Good","Excellent")))))</f>
        <v/>
      </c>
      <c r="AO220" s="41" t="n"/>
      <c r="AP220" s="41" t="n"/>
      <c r="AQ220" s="41" t="n"/>
      <c r="AR220" s="41" t="n"/>
      <c r="AS220" s="41" t="n"/>
      <c r="AT220" s="44" t="n"/>
      <c r="AU220" s="41" t="n"/>
      <c r="AV220" s="43" t="n"/>
      <c r="AW220" s="41" t="n"/>
      <c r="AX220" s="44" t="n"/>
      <c r="AY220" s="44" t="n"/>
      <c r="AZ220" s="44" t="n"/>
      <c r="BA220" s="44" t="n"/>
      <c r="BB220" s="44" t="n"/>
      <c r="BC220" s="44" t="n"/>
      <c r="BD220" s="44" t="n"/>
      <c r="BE220" s="44" t="n"/>
      <c r="BF220" s="44" t="n"/>
    </row>
    <row r="221" ht="19.5" customHeight="1" s="45">
      <c r="A221" s="15">
        <f>IF($B221="","",TEXT($B221,"yyyymmdd")&amp;"-"&amp;SUBSTITUTE($F221," ","")&amp;"-"&amp;TEXT(COUNTIF($F$4:F221,$F221),"00"))</f>
        <v/>
      </c>
      <c r="B221" s="39" t="n"/>
      <c r="C221" s="15">
        <f>IF($B221="","",WEEKNUM($B221,2))</f>
        <v/>
      </c>
      <c r="D221" s="15">
        <f>IF($B221="","",TEXT($B221,"yyyy-mm"))</f>
        <v/>
      </c>
      <c r="E221" s="40" t="n"/>
      <c r="F221" s="40" t="n"/>
      <c r="G221" s="15">
        <f>IF(OR($E221="",$F221=""),"",IFERROR(IF($E221=INDEX(Cluster_Master!$A$4:$A$18,MATCH($F221,Cluster_Master!$B$4:$B$18,0)),"OK","CHECK"),"CHECK"))</f>
        <v/>
      </c>
      <c r="H221" s="18">
        <f>IFERROR(INDEX(Cluster_Master!$C$4:$C$18,MATCH($F221,Cluster_Master!$B$4:$B$18,0)),"")</f>
        <v/>
      </c>
      <c r="I221" s="15">
        <f>IFERROR(INDEX(Cluster_Master!$D$4:$D$18,MATCH($F221,Cluster_Master!$B$4:$B$18,0)),"")</f>
        <v/>
      </c>
      <c r="J221" s="15">
        <f>IFERROR(INDEX(Cluster_Master!$E$4:$E$18,MATCH($F221,Cluster_Master!$B$4:$B$18,0)),"")</f>
        <v/>
      </c>
      <c r="K221" s="15">
        <f>IFERROR(INDEX(Cluster_Master!$F$4:$F$18,MATCH($F221,Cluster_Master!$B$4:$B$18,0)),"")</f>
        <v/>
      </c>
      <c r="L221" s="15">
        <f>IFERROR(INDEX(Cluster_Master!$G$4:$G$18,MATCH($F221,Cluster_Master!$B$4:$B$18,0)),"")</f>
        <v/>
      </c>
      <c r="M221" s="15">
        <f>IFERROR(INDEX(Cluster_Master!$H$4:$H$18,MATCH($F221,Cluster_Master!$B$4:$B$18,0)),"")</f>
        <v/>
      </c>
      <c r="N221" s="41" t="n"/>
      <c r="O221" s="41" t="n"/>
      <c r="P221" s="41" t="n"/>
      <c r="Q221" s="41" t="n"/>
      <c r="R221" s="41" t="n"/>
      <c r="S221" s="41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15">
        <f>IF(COUNTA(T221:AH221)=0,"",SUM(T221:AH221))</f>
        <v/>
      </c>
      <c r="AJ221" s="21">
        <f>IF(COUNTA(T221:AH221)=0,"",AI221/(COUNT(KPI_Weights!$A$4:$A$18)*5))</f>
        <v/>
      </c>
      <c r="AK221" s="21">
        <f>IF(COUNTA(T221:AH221)=0,"",SUMPRODUCT(T221:AH221,KPI_Weights!$B$4:$B$18)/5)</f>
        <v/>
      </c>
      <c r="AL221" s="15">
        <f>IF(COUNTA(T221:AH221)=0,"",IF(SUMPRODUCT(--(T221:AH221&lt;=1),--(KPI_Weights!$C$4:$C$18="YES"))&gt;0,"YES","NO"))</f>
        <v/>
      </c>
      <c r="AM221" s="15">
        <f>IF(AJ221="","",IF(AND(AL221="NO",AJ221&gt;=0.75),"YES","NO"))</f>
        <v/>
      </c>
      <c r="AN221" s="15">
        <f>IF(AJ221="","",IF(AJ221&lt;0.4,"Critical",IF(AJ221&lt;0.6,"Poor",IF(AJ221&lt;0.75,"Needs Improvement",IF(AJ221&lt;0.9,"Good","Excellent")))))</f>
        <v/>
      </c>
      <c r="AO221" s="41" t="n"/>
      <c r="AP221" s="41" t="n"/>
      <c r="AQ221" s="41" t="n"/>
      <c r="AR221" s="41" t="n"/>
      <c r="AS221" s="41" t="n"/>
      <c r="AT221" s="44" t="n"/>
      <c r="AU221" s="41" t="n"/>
      <c r="AV221" s="43" t="n"/>
      <c r="AW221" s="41" t="n"/>
      <c r="AX221" s="44" t="n"/>
      <c r="AY221" s="44" t="n"/>
      <c r="AZ221" s="44" t="n"/>
      <c r="BA221" s="44" t="n"/>
      <c r="BB221" s="44" t="n"/>
      <c r="BC221" s="44" t="n"/>
      <c r="BD221" s="44" t="n"/>
      <c r="BE221" s="44" t="n"/>
      <c r="BF221" s="44" t="n"/>
    </row>
    <row r="222" ht="19.5" customHeight="1" s="45">
      <c r="A222" s="15">
        <f>IF($B222="","",TEXT($B222,"yyyymmdd")&amp;"-"&amp;SUBSTITUTE($F222," ","")&amp;"-"&amp;TEXT(COUNTIF($F$4:F222,$F222),"00"))</f>
        <v/>
      </c>
      <c r="B222" s="39" t="n"/>
      <c r="C222" s="15">
        <f>IF($B222="","",WEEKNUM($B222,2))</f>
        <v/>
      </c>
      <c r="D222" s="15">
        <f>IF($B222="","",TEXT($B222,"yyyy-mm"))</f>
        <v/>
      </c>
      <c r="E222" s="40" t="n"/>
      <c r="F222" s="40" t="n"/>
      <c r="G222" s="15">
        <f>IF(OR($E222="",$F222=""),"",IFERROR(IF($E222=INDEX(Cluster_Master!$A$4:$A$18,MATCH($F222,Cluster_Master!$B$4:$B$18,0)),"OK","CHECK"),"CHECK"))</f>
        <v/>
      </c>
      <c r="H222" s="18">
        <f>IFERROR(INDEX(Cluster_Master!$C$4:$C$18,MATCH($F222,Cluster_Master!$B$4:$B$18,0)),"")</f>
        <v/>
      </c>
      <c r="I222" s="15">
        <f>IFERROR(INDEX(Cluster_Master!$D$4:$D$18,MATCH($F222,Cluster_Master!$B$4:$B$18,0)),"")</f>
        <v/>
      </c>
      <c r="J222" s="15">
        <f>IFERROR(INDEX(Cluster_Master!$E$4:$E$18,MATCH($F222,Cluster_Master!$B$4:$B$18,0)),"")</f>
        <v/>
      </c>
      <c r="K222" s="15">
        <f>IFERROR(INDEX(Cluster_Master!$F$4:$F$18,MATCH($F222,Cluster_Master!$B$4:$B$18,0)),"")</f>
        <v/>
      </c>
      <c r="L222" s="15">
        <f>IFERROR(INDEX(Cluster_Master!$G$4:$G$18,MATCH($F222,Cluster_Master!$B$4:$B$18,0)),"")</f>
        <v/>
      </c>
      <c r="M222" s="15">
        <f>IFERROR(INDEX(Cluster_Master!$H$4:$H$18,MATCH($F222,Cluster_Master!$B$4:$B$18,0)),"")</f>
        <v/>
      </c>
      <c r="N222" s="41" t="n"/>
      <c r="O222" s="41" t="n"/>
      <c r="P222" s="41" t="n"/>
      <c r="Q222" s="41" t="n"/>
      <c r="R222" s="41" t="n"/>
      <c r="S222" s="41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15">
        <f>IF(COUNTA(T222:AH222)=0,"",SUM(T222:AH222))</f>
        <v/>
      </c>
      <c r="AJ222" s="21">
        <f>IF(COUNTA(T222:AH222)=0,"",AI222/(COUNT(KPI_Weights!$A$4:$A$18)*5))</f>
        <v/>
      </c>
      <c r="AK222" s="21">
        <f>IF(COUNTA(T222:AH222)=0,"",SUMPRODUCT(T222:AH222,KPI_Weights!$B$4:$B$18)/5)</f>
        <v/>
      </c>
      <c r="AL222" s="15">
        <f>IF(COUNTA(T222:AH222)=0,"",IF(SUMPRODUCT(--(T222:AH222&lt;=1),--(KPI_Weights!$C$4:$C$18="YES"))&gt;0,"YES","NO"))</f>
        <v/>
      </c>
      <c r="AM222" s="15">
        <f>IF(AJ222="","",IF(AND(AL222="NO",AJ222&gt;=0.75),"YES","NO"))</f>
        <v/>
      </c>
      <c r="AN222" s="15">
        <f>IF(AJ222="","",IF(AJ222&lt;0.4,"Critical",IF(AJ222&lt;0.6,"Poor",IF(AJ222&lt;0.75,"Needs Improvement",IF(AJ222&lt;0.9,"Good","Excellent")))))</f>
        <v/>
      </c>
      <c r="AO222" s="41" t="n"/>
      <c r="AP222" s="41" t="n"/>
      <c r="AQ222" s="41" t="n"/>
      <c r="AR222" s="41" t="n"/>
      <c r="AS222" s="41" t="n"/>
      <c r="AT222" s="44" t="n"/>
      <c r="AU222" s="41" t="n"/>
      <c r="AV222" s="43" t="n"/>
      <c r="AW222" s="41" t="n"/>
      <c r="AX222" s="44" t="n"/>
      <c r="AY222" s="44" t="n"/>
      <c r="AZ222" s="44" t="n"/>
      <c r="BA222" s="44" t="n"/>
      <c r="BB222" s="44" t="n"/>
      <c r="BC222" s="44" t="n"/>
      <c r="BD222" s="44" t="n"/>
      <c r="BE222" s="44" t="n"/>
      <c r="BF222" s="44" t="n"/>
    </row>
    <row r="223" ht="19.5" customHeight="1" s="45">
      <c r="A223" s="15">
        <f>IF($B223="","",TEXT($B223,"yyyymmdd")&amp;"-"&amp;SUBSTITUTE($F223," ","")&amp;"-"&amp;TEXT(COUNTIF($F$4:F223,$F223),"00"))</f>
        <v/>
      </c>
      <c r="B223" s="39" t="n"/>
      <c r="C223" s="15">
        <f>IF($B223="","",WEEKNUM($B223,2))</f>
        <v/>
      </c>
      <c r="D223" s="15">
        <f>IF($B223="","",TEXT($B223,"yyyy-mm"))</f>
        <v/>
      </c>
      <c r="E223" s="40" t="n"/>
      <c r="F223" s="40" t="n"/>
      <c r="G223" s="15">
        <f>IF(OR($E223="",$F223=""),"",IFERROR(IF($E223=INDEX(Cluster_Master!$A$4:$A$18,MATCH($F223,Cluster_Master!$B$4:$B$18,0)),"OK","CHECK"),"CHECK"))</f>
        <v/>
      </c>
      <c r="H223" s="18">
        <f>IFERROR(INDEX(Cluster_Master!$C$4:$C$18,MATCH($F223,Cluster_Master!$B$4:$B$18,0)),"")</f>
        <v/>
      </c>
      <c r="I223" s="15">
        <f>IFERROR(INDEX(Cluster_Master!$D$4:$D$18,MATCH($F223,Cluster_Master!$B$4:$B$18,0)),"")</f>
        <v/>
      </c>
      <c r="J223" s="15">
        <f>IFERROR(INDEX(Cluster_Master!$E$4:$E$18,MATCH($F223,Cluster_Master!$B$4:$B$18,0)),"")</f>
        <v/>
      </c>
      <c r="K223" s="15">
        <f>IFERROR(INDEX(Cluster_Master!$F$4:$F$18,MATCH($F223,Cluster_Master!$B$4:$B$18,0)),"")</f>
        <v/>
      </c>
      <c r="L223" s="15">
        <f>IFERROR(INDEX(Cluster_Master!$G$4:$G$18,MATCH($F223,Cluster_Master!$B$4:$B$18,0)),"")</f>
        <v/>
      </c>
      <c r="M223" s="15">
        <f>IFERROR(INDEX(Cluster_Master!$H$4:$H$18,MATCH($F223,Cluster_Master!$B$4:$B$18,0)),"")</f>
        <v/>
      </c>
      <c r="N223" s="41" t="n"/>
      <c r="O223" s="41" t="n"/>
      <c r="P223" s="41" t="n"/>
      <c r="Q223" s="41" t="n"/>
      <c r="R223" s="41" t="n"/>
      <c r="S223" s="41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15">
        <f>IF(COUNTA(T223:AH223)=0,"",SUM(T223:AH223))</f>
        <v/>
      </c>
      <c r="AJ223" s="21">
        <f>IF(COUNTA(T223:AH223)=0,"",AI223/(COUNT(KPI_Weights!$A$4:$A$18)*5))</f>
        <v/>
      </c>
      <c r="AK223" s="21">
        <f>IF(COUNTA(T223:AH223)=0,"",SUMPRODUCT(T223:AH223,KPI_Weights!$B$4:$B$18)/5)</f>
        <v/>
      </c>
      <c r="AL223" s="15">
        <f>IF(COUNTA(T223:AH223)=0,"",IF(SUMPRODUCT(--(T223:AH223&lt;=1),--(KPI_Weights!$C$4:$C$18="YES"))&gt;0,"YES","NO"))</f>
        <v/>
      </c>
      <c r="AM223" s="15">
        <f>IF(AJ223="","",IF(AND(AL223="NO",AJ223&gt;=0.75),"YES","NO"))</f>
        <v/>
      </c>
      <c r="AN223" s="15">
        <f>IF(AJ223="","",IF(AJ223&lt;0.4,"Critical",IF(AJ223&lt;0.6,"Poor",IF(AJ223&lt;0.75,"Needs Improvement",IF(AJ223&lt;0.9,"Good","Excellent")))))</f>
        <v/>
      </c>
      <c r="AO223" s="41" t="n"/>
      <c r="AP223" s="41" t="n"/>
      <c r="AQ223" s="41" t="n"/>
      <c r="AR223" s="41" t="n"/>
      <c r="AS223" s="41" t="n"/>
      <c r="AT223" s="44" t="n"/>
      <c r="AU223" s="41" t="n"/>
      <c r="AV223" s="43" t="n"/>
      <c r="AW223" s="41" t="n"/>
      <c r="AX223" s="44" t="n"/>
      <c r="AY223" s="44" t="n"/>
      <c r="AZ223" s="44" t="n"/>
      <c r="BA223" s="44" t="n"/>
      <c r="BB223" s="44" t="n"/>
      <c r="BC223" s="44" t="n"/>
      <c r="BD223" s="44" t="n"/>
      <c r="BE223" s="44" t="n"/>
      <c r="BF223" s="44" t="n"/>
    </row>
    <row r="224" ht="19.5" customHeight="1" s="45">
      <c r="A224" s="15">
        <f>IF($B224="","",TEXT($B224,"yyyymmdd")&amp;"-"&amp;SUBSTITUTE($F224," ","")&amp;"-"&amp;TEXT(COUNTIF($F$4:F224,$F224),"00"))</f>
        <v/>
      </c>
      <c r="B224" s="39" t="n"/>
      <c r="C224" s="15">
        <f>IF($B224="","",WEEKNUM($B224,2))</f>
        <v/>
      </c>
      <c r="D224" s="15">
        <f>IF($B224="","",TEXT($B224,"yyyy-mm"))</f>
        <v/>
      </c>
      <c r="E224" s="40" t="n"/>
      <c r="F224" s="40" t="n"/>
      <c r="G224" s="15">
        <f>IF(OR($E224="",$F224=""),"",IFERROR(IF($E224=INDEX(Cluster_Master!$A$4:$A$18,MATCH($F224,Cluster_Master!$B$4:$B$18,0)),"OK","CHECK"),"CHECK"))</f>
        <v/>
      </c>
      <c r="H224" s="18">
        <f>IFERROR(INDEX(Cluster_Master!$C$4:$C$18,MATCH($F224,Cluster_Master!$B$4:$B$18,0)),"")</f>
        <v/>
      </c>
      <c r="I224" s="15">
        <f>IFERROR(INDEX(Cluster_Master!$D$4:$D$18,MATCH($F224,Cluster_Master!$B$4:$B$18,0)),"")</f>
        <v/>
      </c>
      <c r="J224" s="15">
        <f>IFERROR(INDEX(Cluster_Master!$E$4:$E$18,MATCH($F224,Cluster_Master!$B$4:$B$18,0)),"")</f>
        <v/>
      </c>
      <c r="K224" s="15">
        <f>IFERROR(INDEX(Cluster_Master!$F$4:$F$18,MATCH($F224,Cluster_Master!$B$4:$B$18,0)),"")</f>
        <v/>
      </c>
      <c r="L224" s="15">
        <f>IFERROR(INDEX(Cluster_Master!$G$4:$G$18,MATCH($F224,Cluster_Master!$B$4:$B$18,0)),"")</f>
        <v/>
      </c>
      <c r="M224" s="15">
        <f>IFERROR(INDEX(Cluster_Master!$H$4:$H$18,MATCH($F224,Cluster_Master!$B$4:$B$18,0)),"")</f>
        <v/>
      </c>
      <c r="N224" s="41" t="n"/>
      <c r="O224" s="41" t="n"/>
      <c r="P224" s="41" t="n"/>
      <c r="Q224" s="41" t="n"/>
      <c r="R224" s="41" t="n"/>
      <c r="S224" s="41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15">
        <f>IF(COUNTA(T224:AH224)=0,"",SUM(T224:AH224))</f>
        <v/>
      </c>
      <c r="AJ224" s="21">
        <f>IF(COUNTA(T224:AH224)=0,"",AI224/(COUNT(KPI_Weights!$A$4:$A$18)*5))</f>
        <v/>
      </c>
      <c r="AK224" s="21">
        <f>IF(COUNTA(T224:AH224)=0,"",SUMPRODUCT(T224:AH224,KPI_Weights!$B$4:$B$18)/5)</f>
        <v/>
      </c>
      <c r="AL224" s="15">
        <f>IF(COUNTA(T224:AH224)=0,"",IF(SUMPRODUCT(--(T224:AH224&lt;=1),--(KPI_Weights!$C$4:$C$18="YES"))&gt;0,"YES","NO"))</f>
        <v/>
      </c>
      <c r="AM224" s="15">
        <f>IF(AJ224="","",IF(AND(AL224="NO",AJ224&gt;=0.75),"YES","NO"))</f>
        <v/>
      </c>
      <c r="AN224" s="15">
        <f>IF(AJ224="","",IF(AJ224&lt;0.4,"Critical",IF(AJ224&lt;0.6,"Poor",IF(AJ224&lt;0.75,"Needs Improvement",IF(AJ224&lt;0.9,"Good","Excellent")))))</f>
        <v/>
      </c>
      <c r="AO224" s="41" t="n"/>
      <c r="AP224" s="41" t="n"/>
      <c r="AQ224" s="41" t="n"/>
      <c r="AR224" s="41" t="n"/>
      <c r="AS224" s="41" t="n"/>
      <c r="AT224" s="44" t="n"/>
      <c r="AU224" s="41" t="n"/>
      <c r="AV224" s="43" t="n"/>
      <c r="AW224" s="41" t="n"/>
      <c r="AX224" s="44" t="n"/>
      <c r="AY224" s="44" t="n"/>
      <c r="AZ224" s="44" t="n"/>
      <c r="BA224" s="44" t="n"/>
      <c r="BB224" s="44" t="n"/>
      <c r="BC224" s="44" t="n"/>
      <c r="BD224" s="44" t="n"/>
      <c r="BE224" s="44" t="n"/>
      <c r="BF224" s="44" t="n"/>
    </row>
    <row r="225" ht="19.5" customHeight="1" s="45">
      <c r="A225" s="15">
        <f>IF($B225="","",TEXT($B225,"yyyymmdd")&amp;"-"&amp;SUBSTITUTE($F225," ","")&amp;"-"&amp;TEXT(COUNTIF($F$4:F225,$F225),"00"))</f>
        <v/>
      </c>
      <c r="B225" s="39" t="n"/>
      <c r="C225" s="15">
        <f>IF($B225="","",WEEKNUM($B225,2))</f>
        <v/>
      </c>
      <c r="D225" s="15">
        <f>IF($B225="","",TEXT($B225,"yyyy-mm"))</f>
        <v/>
      </c>
      <c r="E225" s="40" t="n"/>
      <c r="F225" s="40" t="n"/>
      <c r="G225" s="15">
        <f>IF(OR($E225="",$F225=""),"",IFERROR(IF($E225=INDEX(Cluster_Master!$A$4:$A$18,MATCH($F225,Cluster_Master!$B$4:$B$18,0)),"OK","CHECK"),"CHECK"))</f>
        <v/>
      </c>
      <c r="H225" s="18">
        <f>IFERROR(INDEX(Cluster_Master!$C$4:$C$18,MATCH($F225,Cluster_Master!$B$4:$B$18,0)),"")</f>
        <v/>
      </c>
      <c r="I225" s="15">
        <f>IFERROR(INDEX(Cluster_Master!$D$4:$D$18,MATCH($F225,Cluster_Master!$B$4:$B$18,0)),"")</f>
        <v/>
      </c>
      <c r="J225" s="15">
        <f>IFERROR(INDEX(Cluster_Master!$E$4:$E$18,MATCH($F225,Cluster_Master!$B$4:$B$18,0)),"")</f>
        <v/>
      </c>
      <c r="K225" s="15">
        <f>IFERROR(INDEX(Cluster_Master!$F$4:$F$18,MATCH($F225,Cluster_Master!$B$4:$B$18,0)),"")</f>
        <v/>
      </c>
      <c r="L225" s="15">
        <f>IFERROR(INDEX(Cluster_Master!$G$4:$G$18,MATCH($F225,Cluster_Master!$B$4:$B$18,0)),"")</f>
        <v/>
      </c>
      <c r="M225" s="15">
        <f>IFERROR(INDEX(Cluster_Master!$H$4:$H$18,MATCH($F225,Cluster_Master!$B$4:$B$18,0)),"")</f>
        <v/>
      </c>
      <c r="N225" s="41" t="n"/>
      <c r="O225" s="41" t="n"/>
      <c r="P225" s="41" t="n"/>
      <c r="Q225" s="41" t="n"/>
      <c r="R225" s="41" t="n"/>
      <c r="S225" s="41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15">
        <f>IF(COUNTA(T225:AH225)=0,"",SUM(T225:AH225))</f>
        <v/>
      </c>
      <c r="AJ225" s="21">
        <f>IF(COUNTA(T225:AH225)=0,"",AI225/(COUNT(KPI_Weights!$A$4:$A$18)*5))</f>
        <v/>
      </c>
      <c r="AK225" s="21">
        <f>IF(COUNTA(T225:AH225)=0,"",SUMPRODUCT(T225:AH225,KPI_Weights!$B$4:$B$18)/5)</f>
        <v/>
      </c>
      <c r="AL225" s="15">
        <f>IF(COUNTA(T225:AH225)=0,"",IF(SUMPRODUCT(--(T225:AH225&lt;=1),--(KPI_Weights!$C$4:$C$18="YES"))&gt;0,"YES","NO"))</f>
        <v/>
      </c>
      <c r="AM225" s="15">
        <f>IF(AJ225="","",IF(AND(AL225="NO",AJ225&gt;=0.75),"YES","NO"))</f>
        <v/>
      </c>
      <c r="AN225" s="15">
        <f>IF(AJ225="","",IF(AJ225&lt;0.4,"Critical",IF(AJ225&lt;0.6,"Poor",IF(AJ225&lt;0.75,"Needs Improvement",IF(AJ225&lt;0.9,"Good","Excellent")))))</f>
        <v/>
      </c>
      <c r="AO225" s="41" t="n"/>
      <c r="AP225" s="41" t="n"/>
      <c r="AQ225" s="41" t="n"/>
      <c r="AR225" s="41" t="n"/>
      <c r="AS225" s="41" t="n"/>
      <c r="AT225" s="44" t="n"/>
      <c r="AU225" s="41" t="n"/>
      <c r="AV225" s="43" t="n"/>
      <c r="AW225" s="41" t="n"/>
      <c r="AX225" s="44" t="n"/>
      <c r="AY225" s="44" t="n"/>
      <c r="AZ225" s="44" t="n"/>
      <c r="BA225" s="44" t="n"/>
      <c r="BB225" s="44" t="n"/>
      <c r="BC225" s="44" t="n"/>
      <c r="BD225" s="44" t="n"/>
      <c r="BE225" s="44" t="n"/>
      <c r="BF225" s="44" t="n"/>
    </row>
    <row r="226" ht="19.5" customHeight="1" s="45">
      <c r="A226" s="15">
        <f>IF($B226="","",TEXT($B226,"yyyymmdd")&amp;"-"&amp;SUBSTITUTE($F226," ","")&amp;"-"&amp;TEXT(COUNTIF($F$4:F226,$F226),"00"))</f>
        <v/>
      </c>
      <c r="B226" s="39" t="n"/>
      <c r="C226" s="15">
        <f>IF($B226="","",WEEKNUM($B226,2))</f>
        <v/>
      </c>
      <c r="D226" s="15">
        <f>IF($B226="","",TEXT($B226,"yyyy-mm"))</f>
        <v/>
      </c>
      <c r="E226" s="40" t="n"/>
      <c r="F226" s="40" t="n"/>
      <c r="G226" s="15">
        <f>IF(OR($E226="",$F226=""),"",IFERROR(IF($E226=INDEX(Cluster_Master!$A$4:$A$18,MATCH($F226,Cluster_Master!$B$4:$B$18,0)),"OK","CHECK"),"CHECK"))</f>
        <v/>
      </c>
      <c r="H226" s="18">
        <f>IFERROR(INDEX(Cluster_Master!$C$4:$C$18,MATCH($F226,Cluster_Master!$B$4:$B$18,0)),"")</f>
        <v/>
      </c>
      <c r="I226" s="15">
        <f>IFERROR(INDEX(Cluster_Master!$D$4:$D$18,MATCH($F226,Cluster_Master!$B$4:$B$18,0)),"")</f>
        <v/>
      </c>
      <c r="J226" s="15">
        <f>IFERROR(INDEX(Cluster_Master!$E$4:$E$18,MATCH($F226,Cluster_Master!$B$4:$B$18,0)),"")</f>
        <v/>
      </c>
      <c r="K226" s="15">
        <f>IFERROR(INDEX(Cluster_Master!$F$4:$F$18,MATCH($F226,Cluster_Master!$B$4:$B$18,0)),"")</f>
        <v/>
      </c>
      <c r="L226" s="15">
        <f>IFERROR(INDEX(Cluster_Master!$G$4:$G$18,MATCH($F226,Cluster_Master!$B$4:$B$18,0)),"")</f>
        <v/>
      </c>
      <c r="M226" s="15">
        <f>IFERROR(INDEX(Cluster_Master!$H$4:$H$18,MATCH($F226,Cluster_Master!$B$4:$B$18,0)),"")</f>
        <v/>
      </c>
      <c r="N226" s="41" t="n"/>
      <c r="O226" s="41" t="n"/>
      <c r="P226" s="41" t="n"/>
      <c r="Q226" s="41" t="n"/>
      <c r="R226" s="41" t="n"/>
      <c r="S226" s="41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15">
        <f>IF(COUNTA(T226:AH226)=0,"",SUM(T226:AH226))</f>
        <v/>
      </c>
      <c r="AJ226" s="21">
        <f>IF(COUNTA(T226:AH226)=0,"",AI226/(COUNT(KPI_Weights!$A$4:$A$18)*5))</f>
        <v/>
      </c>
      <c r="AK226" s="21">
        <f>IF(COUNTA(T226:AH226)=0,"",SUMPRODUCT(T226:AH226,KPI_Weights!$B$4:$B$18)/5)</f>
        <v/>
      </c>
      <c r="AL226" s="15">
        <f>IF(COUNTA(T226:AH226)=0,"",IF(SUMPRODUCT(--(T226:AH226&lt;=1),--(KPI_Weights!$C$4:$C$18="YES"))&gt;0,"YES","NO"))</f>
        <v/>
      </c>
      <c r="AM226" s="15">
        <f>IF(AJ226="","",IF(AND(AL226="NO",AJ226&gt;=0.75),"YES","NO"))</f>
        <v/>
      </c>
      <c r="AN226" s="15">
        <f>IF(AJ226="","",IF(AJ226&lt;0.4,"Critical",IF(AJ226&lt;0.6,"Poor",IF(AJ226&lt;0.75,"Needs Improvement",IF(AJ226&lt;0.9,"Good","Excellent")))))</f>
        <v/>
      </c>
      <c r="AO226" s="41" t="n"/>
      <c r="AP226" s="41" t="n"/>
      <c r="AQ226" s="41" t="n"/>
      <c r="AR226" s="41" t="n"/>
      <c r="AS226" s="41" t="n"/>
      <c r="AT226" s="44" t="n"/>
      <c r="AU226" s="41" t="n"/>
      <c r="AV226" s="43" t="n"/>
      <c r="AW226" s="41" t="n"/>
      <c r="AX226" s="44" t="n"/>
      <c r="AY226" s="44" t="n"/>
      <c r="AZ226" s="44" t="n"/>
      <c r="BA226" s="44" t="n"/>
      <c r="BB226" s="44" t="n"/>
      <c r="BC226" s="44" t="n"/>
      <c r="BD226" s="44" t="n"/>
      <c r="BE226" s="44" t="n"/>
      <c r="BF226" s="44" t="n"/>
    </row>
    <row r="227" ht="19.5" customHeight="1" s="45">
      <c r="A227" s="15">
        <f>IF($B227="","",TEXT($B227,"yyyymmdd")&amp;"-"&amp;SUBSTITUTE($F227," ","")&amp;"-"&amp;TEXT(COUNTIF($F$4:F227,$F227),"00"))</f>
        <v/>
      </c>
      <c r="B227" s="39" t="n"/>
      <c r="C227" s="15">
        <f>IF($B227="","",WEEKNUM($B227,2))</f>
        <v/>
      </c>
      <c r="D227" s="15">
        <f>IF($B227="","",TEXT($B227,"yyyy-mm"))</f>
        <v/>
      </c>
      <c r="E227" s="40" t="n"/>
      <c r="F227" s="40" t="n"/>
      <c r="G227" s="15">
        <f>IF(OR($E227="",$F227=""),"",IFERROR(IF($E227=INDEX(Cluster_Master!$A$4:$A$18,MATCH($F227,Cluster_Master!$B$4:$B$18,0)),"OK","CHECK"),"CHECK"))</f>
        <v/>
      </c>
      <c r="H227" s="18">
        <f>IFERROR(INDEX(Cluster_Master!$C$4:$C$18,MATCH($F227,Cluster_Master!$B$4:$B$18,0)),"")</f>
        <v/>
      </c>
      <c r="I227" s="15">
        <f>IFERROR(INDEX(Cluster_Master!$D$4:$D$18,MATCH($F227,Cluster_Master!$B$4:$B$18,0)),"")</f>
        <v/>
      </c>
      <c r="J227" s="15">
        <f>IFERROR(INDEX(Cluster_Master!$E$4:$E$18,MATCH($F227,Cluster_Master!$B$4:$B$18,0)),"")</f>
        <v/>
      </c>
      <c r="K227" s="15">
        <f>IFERROR(INDEX(Cluster_Master!$F$4:$F$18,MATCH($F227,Cluster_Master!$B$4:$B$18,0)),"")</f>
        <v/>
      </c>
      <c r="L227" s="15">
        <f>IFERROR(INDEX(Cluster_Master!$G$4:$G$18,MATCH($F227,Cluster_Master!$B$4:$B$18,0)),"")</f>
        <v/>
      </c>
      <c r="M227" s="15">
        <f>IFERROR(INDEX(Cluster_Master!$H$4:$H$18,MATCH($F227,Cluster_Master!$B$4:$B$18,0)),"")</f>
        <v/>
      </c>
      <c r="N227" s="41" t="n"/>
      <c r="O227" s="41" t="n"/>
      <c r="P227" s="41" t="n"/>
      <c r="Q227" s="41" t="n"/>
      <c r="R227" s="41" t="n"/>
      <c r="S227" s="41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15">
        <f>IF(COUNTA(T227:AH227)=0,"",SUM(T227:AH227))</f>
        <v/>
      </c>
      <c r="AJ227" s="21">
        <f>IF(COUNTA(T227:AH227)=0,"",AI227/(COUNT(KPI_Weights!$A$4:$A$18)*5))</f>
        <v/>
      </c>
      <c r="AK227" s="21">
        <f>IF(COUNTA(T227:AH227)=0,"",SUMPRODUCT(T227:AH227,KPI_Weights!$B$4:$B$18)/5)</f>
        <v/>
      </c>
      <c r="AL227" s="15">
        <f>IF(COUNTA(T227:AH227)=0,"",IF(SUMPRODUCT(--(T227:AH227&lt;=1),--(KPI_Weights!$C$4:$C$18="YES"))&gt;0,"YES","NO"))</f>
        <v/>
      </c>
      <c r="AM227" s="15">
        <f>IF(AJ227="","",IF(AND(AL227="NO",AJ227&gt;=0.75),"YES","NO"))</f>
        <v/>
      </c>
      <c r="AN227" s="15">
        <f>IF(AJ227="","",IF(AJ227&lt;0.4,"Critical",IF(AJ227&lt;0.6,"Poor",IF(AJ227&lt;0.75,"Needs Improvement",IF(AJ227&lt;0.9,"Good","Excellent")))))</f>
        <v/>
      </c>
      <c r="AO227" s="41" t="n"/>
      <c r="AP227" s="41" t="n"/>
      <c r="AQ227" s="41" t="n"/>
      <c r="AR227" s="41" t="n"/>
      <c r="AS227" s="41" t="n"/>
      <c r="AT227" s="44" t="n"/>
      <c r="AU227" s="41" t="n"/>
      <c r="AV227" s="43" t="n"/>
      <c r="AW227" s="41" t="n"/>
      <c r="AX227" s="44" t="n"/>
      <c r="AY227" s="44" t="n"/>
      <c r="AZ227" s="44" t="n"/>
      <c r="BA227" s="44" t="n"/>
      <c r="BB227" s="44" t="n"/>
      <c r="BC227" s="44" t="n"/>
      <c r="BD227" s="44" t="n"/>
      <c r="BE227" s="44" t="n"/>
      <c r="BF227" s="44" t="n"/>
    </row>
    <row r="228" ht="19.5" customHeight="1" s="45">
      <c r="A228" s="15">
        <f>IF($B228="","",TEXT($B228,"yyyymmdd")&amp;"-"&amp;SUBSTITUTE($F228," ","")&amp;"-"&amp;TEXT(COUNTIF($F$4:F228,$F228),"00"))</f>
        <v/>
      </c>
      <c r="B228" s="39" t="n"/>
      <c r="C228" s="15">
        <f>IF($B228="","",WEEKNUM($B228,2))</f>
        <v/>
      </c>
      <c r="D228" s="15">
        <f>IF($B228="","",TEXT($B228,"yyyy-mm"))</f>
        <v/>
      </c>
      <c r="E228" s="40" t="n"/>
      <c r="F228" s="40" t="n"/>
      <c r="G228" s="15">
        <f>IF(OR($E228="",$F228=""),"",IFERROR(IF($E228=INDEX(Cluster_Master!$A$4:$A$18,MATCH($F228,Cluster_Master!$B$4:$B$18,0)),"OK","CHECK"),"CHECK"))</f>
        <v/>
      </c>
      <c r="H228" s="18">
        <f>IFERROR(INDEX(Cluster_Master!$C$4:$C$18,MATCH($F228,Cluster_Master!$B$4:$B$18,0)),"")</f>
        <v/>
      </c>
      <c r="I228" s="15">
        <f>IFERROR(INDEX(Cluster_Master!$D$4:$D$18,MATCH($F228,Cluster_Master!$B$4:$B$18,0)),"")</f>
        <v/>
      </c>
      <c r="J228" s="15">
        <f>IFERROR(INDEX(Cluster_Master!$E$4:$E$18,MATCH($F228,Cluster_Master!$B$4:$B$18,0)),"")</f>
        <v/>
      </c>
      <c r="K228" s="15">
        <f>IFERROR(INDEX(Cluster_Master!$F$4:$F$18,MATCH($F228,Cluster_Master!$B$4:$B$18,0)),"")</f>
        <v/>
      </c>
      <c r="L228" s="15">
        <f>IFERROR(INDEX(Cluster_Master!$G$4:$G$18,MATCH($F228,Cluster_Master!$B$4:$B$18,0)),"")</f>
        <v/>
      </c>
      <c r="M228" s="15">
        <f>IFERROR(INDEX(Cluster_Master!$H$4:$H$18,MATCH($F228,Cluster_Master!$B$4:$B$18,0)),"")</f>
        <v/>
      </c>
      <c r="N228" s="41" t="n"/>
      <c r="O228" s="41" t="n"/>
      <c r="P228" s="41" t="n"/>
      <c r="Q228" s="41" t="n"/>
      <c r="R228" s="41" t="n"/>
      <c r="S228" s="41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15">
        <f>IF(COUNTA(T228:AH228)=0,"",SUM(T228:AH228))</f>
        <v/>
      </c>
      <c r="AJ228" s="21">
        <f>IF(COUNTA(T228:AH228)=0,"",AI228/(COUNT(KPI_Weights!$A$4:$A$18)*5))</f>
        <v/>
      </c>
      <c r="AK228" s="21">
        <f>IF(COUNTA(T228:AH228)=0,"",SUMPRODUCT(T228:AH228,KPI_Weights!$B$4:$B$18)/5)</f>
        <v/>
      </c>
      <c r="AL228" s="15">
        <f>IF(COUNTA(T228:AH228)=0,"",IF(SUMPRODUCT(--(T228:AH228&lt;=1),--(KPI_Weights!$C$4:$C$18="YES"))&gt;0,"YES","NO"))</f>
        <v/>
      </c>
      <c r="AM228" s="15">
        <f>IF(AJ228="","",IF(AND(AL228="NO",AJ228&gt;=0.75),"YES","NO"))</f>
        <v/>
      </c>
      <c r="AN228" s="15">
        <f>IF(AJ228="","",IF(AJ228&lt;0.4,"Critical",IF(AJ228&lt;0.6,"Poor",IF(AJ228&lt;0.75,"Needs Improvement",IF(AJ228&lt;0.9,"Good","Excellent")))))</f>
        <v/>
      </c>
      <c r="AO228" s="41" t="n"/>
      <c r="AP228" s="41" t="n"/>
      <c r="AQ228" s="41" t="n"/>
      <c r="AR228" s="41" t="n"/>
      <c r="AS228" s="41" t="n"/>
      <c r="AT228" s="44" t="n"/>
      <c r="AU228" s="41" t="n"/>
      <c r="AV228" s="43" t="n"/>
      <c r="AW228" s="41" t="n"/>
      <c r="AX228" s="44" t="n"/>
      <c r="AY228" s="44" t="n"/>
      <c r="AZ228" s="44" t="n"/>
      <c r="BA228" s="44" t="n"/>
      <c r="BB228" s="44" t="n"/>
      <c r="BC228" s="44" t="n"/>
      <c r="BD228" s="44" t="n"/>
      <c r="BE228" s="44" t="n"/>
      <c r="BF228" s="44" t="n"/>
    </row>
    <row r="229" ht="19.5" customHeight="1" s="45">
      <c r="A229" s="15">
        <f>IF($B229="","",TEXT($B229,"yyyymmdd")&amp;"-"&amp;SUBSTITUTE($F229," ","")&amp;"-"&amp;TEXT(COUNTIF($F$4:F229,$F229),"00"))</f>
        <v/>
      </c>
      <c r="B229" s="39" t="n"/>
      <c r="C229" s="15">
        <f>IF($B229="","",WEEKNUM($B229,2))</f>
        <v/>
      </c>
      <c r="D229" s="15">
        <f>IF($B229="","",TEXT($B229,"yyyy-mm"))</f>
        <v/>
      </c>
      <c r="E229" s="40" t="n"/>
      <c r="F229" s="40" t="n"/>
      <c r="G229" s="15">
        <f>IF(OR($E229="",$F229=""),"",IFERROR(IF($E229=INDEX(Cluster_Master!$A$4:$A$18,MATCH($F229,Cluster_Master!$B$4:$B$18,0)),"OK","CHECK"),"CHECK"))</f>
        <v/>
      </c>
      <c r="H229" s="18">
        <f>IFERROR(INDEX(Cluster_Master!$C$4:$C$18,MATCH($F229,Cluster_Master!$B$4:$B$18,0)),"")</f>
        <v/>
      </c>
      <c r="I229" s="15">
        <f>IFERROR(INDEX(Cluster_Master!$D$4:$D$18,MATCH($F229,Cluster_Master!$B$4:$B$18,0)),"")</f>
        <v/>
      </c>
      <c r="J229" s="15">
        <f>IFERROR(INDEX(Cluster_Master!$E$4:$E$18,MATCH($F229,Cluster_Master!$B$4:$B$18,0)),"")</f>
        <v/>
      </c>
      <c r="K229" s="15">
        <f>IFERROR(INDEX(Cluster_Master!$F$4:$F$18,MATCH($F229,Cluster_Master!$B$4:$B$18,0)),"")</f>
        <v/>
      </c>
      <c r="L229" s="15">
        <f>IFERROR(INDEX(Cluster_Master!$G$4:$G$18,MATCH($F229,Cluster_Master!$B$4:$B$18,0)),"")</f>
        <v/>
      </c>
      <c r="M229" s="15">
        <f>IFERROR(INDEX(Cluster_Master!$H$4:$H$18,MATCH($F229,Cluster_Master!$B$4:$B$18,0)),"")</f>
        <v/>
      </c>
      <c r="N229" s="41" t="n"/>
      <c r="O229" s="41" t="n"/>
      <c r="P229" s="41" t="n"/>
      <c r="Q229" s="41" t="n"/>
      <c r="R229" s="41" t="n"/>
      <c r="S229" s="41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15">
        <f>IF(COUNTA(T229:AH229)=0,"",SUM(T229:AH229))</f>
        <v/>
      </c>
      <c r="AJ229" s="21">
        <f>IF(COUNTA(T229:AH229)=0,"",AI229/(COUNT(KPI_Weights!$A$4:$A$18)*5))</f>
        <v/>
      </c>
      <c r="AK229" s="21">
        <f>IF(COUNTA(T229:AH229)=0,"",SUMPRODUCT(T229:AH229,KPI_Weights!$B$4:$B$18)/5)</f>
        <v/>
      </c>
      <c r="AL229" s="15">
        <f>IF(COUNTA(T229:AH229)=0,"",IF(SUMPRODUCT(--(T229:AH229&lt;=1),--(KPI_Weights!$C$4:$C$18="YES"))&gt;0,"YES","NO"))</f>
        <v/>
      </c>
      <c r="AM229" s="15">
        <f>IF(AJ229="","",IF(AND(AL229="NO",AJ229&gt;=0.75),"YES","NO"))</f>
        <v/>
      </c>
      <c r="AN229" s="15">
        <f>IF(AJ229="","",IF(AJ229&lt;0.4,"Critical",IF(AJ229&lt;0.6,"Poor",IF(AJ229&lt;0.75,"Needs Improvement",IF(AJ229&lt;0.9,"Good","Excellent")))))</f>
        <v/>
      </c>
      <c r="AO229" s="41" t="n"/>
      <c r="AP229" s="41" t="n"/>
      <c r="AQ229" s="41" t="n"/>
      <c r="AR229" s="41" t="n"/>
      <c r="AS229" s="41" t="n"/>
      <c r="AT229" s="44" t="n"/>
      <c r="AU229" s="41" t="n"/>
      <c r="AV229" s="43" t="n"/>
      <c r="AW229" s="41" t="n"/>
      <c r="AX229" s="44" t="n"/>
      <c r="AY229" s="44" t="n"/>
      <c r="AZ229" s="44" t="n"/>
      <c r="BA229" s="44" t="n"/>
      <c r="BB229" s="44" t="n"/>
      <c r="BC229" s="44" t="n"/>
      <c r="BD229" s="44" t="n"/>
      <c r="BE229" s="44" t="n"/>
      <c r="BF229" s="44" t="n"/>
    </row>
    <row r="230" ht="19.5" customHeight="1" s="45">
      <c r="A230" s="15">
        <f>IF($B230="","",TEXT($B230,"yyyymmdd")&amp;"-"&amp;SUBSTITUTE($F230," ","")&amp;"-"&amp;TEXT(COUNTIF($F$4:F230,$F230),"00"))</f>
        <v/>
      </c>
      <c r="B230" s="39" t="n"/>
      <c r="C230" s="15">
        <f>IF($B230="","",WEEKNUM($B230,2))</f>
        <v/>
      </c>
      <c r="D230" s="15">
        <f>IF($B230="","",TEXT($B230,"yyyy-mm"))</f>
        <v/>
      </c>
      <c r="E230" s="40" t="n"/>
      <c r="F230" s="40" t="n"/>
      <c r="G230" s="15">
        <f>IF(OR($E230="",$F230=""),"",IFERROR(IF($E230=INDEX(Cluster_Master!$A$4:$A$18,MATCH($F230,Cluster_Master!$B$4:$B$18,0)),"OK","CHECK"),"CHECK"))</f>
        <v/>
      </c>
      <c r="H230" s="18">
        <f>IFERROR(INDEX(Cluster_Master!$C$4:$C$18,MATCH($F230,Cluster_Master!$B$4:$B$18,0)),"")</f>
        <v/>
      </c>
      <c r="I230" s="15">
        <f>IFERROR(INDEX(Cluster_Master!$D$4:$D$18,MATCH($F230,Cluster_Master!$B$4:$B$18,0)),"")</f>
        <v/>
      </c>
      <c r="J230" s="15">
        <f>IFERROR(INDEX(Cluster_Master!$E$4:$E$18,MATCH($F230,Cluster_Master!$B$4:$B$18,0)),"")</f>
        <v/>
      </c>
      <c r="K230" s="15">
        <f>IFERROR(INDEX(Cluster_Master!$F$4:$F$18,MATCH($F230,Cluster_Master!$B$4:$B$18,0)),"")</f>
        <v/>
      </c>
      <c r="L230" s="15">
        <f>IFERROR(INDEX(Cluster_Master!$G$4:$G$18,MATCH($F230,Cluster_Master!$B$4:$B$18,0)),"")</f>
        <v/>
      </c>
      <c r="M230" s="15">
        <f>IFERROR(INDEX(Cluster_Master!$H$4:$H$18,MATCH($F230,Cluster_Master!$B$4:$B$18,0)),"")</f>
        <v/>
      </c>
      <c r="N230" s="41" t="n"/>
      <c r="O230" s="41" t="n"/>
      <c r="P230" s="41" t="n"/>
      <c r="Q230" s="41" t="n"/>
      <c r="R230" s="41" t="n"/>
      <c r="S230" s="41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15">
        <f>IF(COUNTA(T230:AH230)=0,"",SUM(T230:AH230))</f>
        <v/>
      </c>
      <c r="AJ230" s="21">
        <f>IF(COUNTA(T230:AH230)=0,"",AI230/(COUNT(KPI_Weights!$A$4:$A$18)*5))</f>
        <v/>
      </c>
      <c r="AK230" s="21">
        <f>IF(COUNTA(T230:AH230)=0,"",SUMPRODUCT(T230:AH230,KPI_Weights!$B$4:$B$18)/5)</f>
        <v/>
      </c>
      <c r="AL230" s="15">
        <f>IF(COUNTA(T230:AH230)=0,"",IF(SUMPRODUCT(--(T230:AH230&lt;=1),--(KPI_Weights!$C$4:$C$18="YES"))&gt;0,"YES","NO"))</f>
        <v/>
      </c>
      <c r="AM230" s="15">
        <f>IF(AJ230="","",IF(AND(AL230="NO",AJ230&gt;=0.75),"YES","NO"))</f>
        <v/>
      </c>
      <c r="AN230" s="15">
        <f>IF(AJ230="","",IF(AJ230&lt;0.4,"Critical",IF(AJ230&lt;0.6,"Poor",IF(AJ230&lt;0.75,"Needs Improvement",IF(AJ230&lt;0.9,"Good","Excellent")))))</f>
        <v/>
      </c>
      <c r="AO230" s="41" t="n"/>
      <c r="AP230" s="41" t="n"/>
      <c r="AQ230" s="41" t="n"/>
      <c r="AR230" s="41" t="n"/>
      <c r="AS230" s="41" t="n"/>
      <c r="AT230" s="44" t="n"/>
      <c r="AU230" s="41" t="n"/>
      <c r="AV230" s="43" t="n"/>
      <c r="AW230" s="41" t="n"/>
      <c r="AX230" s="44" t="n"/>
      <c r="AY230" s="44" t="n"/>
      <c r="AZ230" s="44" t="n"/>
      <c r="BA230" s="44" t="n"/>
      <c r="BB230" s="44" t="n"/>
      <c r="BC230" s="44" t="n"/>
      <c r="BD230" s="44" t="n"/>
      <c r="BE230" s="44" t="n"/>
      <c r="BF230" s="44" t="n"/>
    </row>
    <row r="231" ht="19.5" customHeight="1" s="45">
      <c r="A231" s="15">
        <f>IF($B231="","",TEXT($B231,"yyyymmdd")&amp;"-"&amp;SUBSTITUTE($F231," ","")&amp;"-"&amp;TEXT(COUNTIF($F$4:F231,$F231),"00"))</f>
        <v/>
      </c>
      <c r="B231" s="39" t="n"/>
      <c r="C231" s="15">
        <f>IF($B231="","",WEEKNUM($B231,2))</f>
        <v/>
      </c>
      <c r="D231" s="15">
        <f>IF($B231="","",TEXT($B231,"yyyy-mm"))</f>
        <v/>
      </c>
      <c r="E231" s="40" t="n"/>
      <c r="F231" s="40" t="n"/>
      <c r="G231" s="15">
        <f>IF(OR($E231="",$F231=""),"",IFERROR(IF($E231=INDEX(Cluster_Master!$A$4:$A$18,MATCH($F231,Cluster_Master!$B$4:$B$18,0)),"OK","CHECK"),"CHECK"))</f>
        <v/>
      </c>
      <c r="H231" s="18">
        <f>IFERROR(INDEX(Cluster_Master!$C$4:$C$18,MATCH($F231,Cluster_Master!$B$4:$B$18,0)),"")</f>
        <v/>
      </c>
      <c r="I231" s="15">
        <f>IFERROR(INDEX(Cluster_Master!$D$4:$D$18,MATCH($F231,Cluster_Master!$B$4:$B$18,0)),"")</f>
        <v/>
      </c>
      <c r="J231" s="15">
        <f>IFERROR(INDEX(Cluster_Master!$E$4:$E$18,MATCH($F231,Cluster_Master!$B$4:$B$18,0)),"")</f>
        <v/>
      </c>
      <c r="K231" s="15">
        <f>IFERROR(INDEX(Cluster_Master!$F$4:$F$18,MATCH($F231,Cluster_Master!$B$4:$B$18,0)),"")</f>
        <v/>
      </c>
      <c r="L231" s="15">
        <f>IFERROR(INDEX(Cluster_Master!$G$4:$G$18,MATCH($F231,Cluster_Master!$B$4:$B$18,0)),"")</f>
        <v/>
      </c>
      <c r="M231" s="15">
        <f>IFERROR(INDEX(Cluster_Master!$H$4:$H$18,MATCH($F231,Cluster_Master!$B$4:$B$18,0)),"")</f>
        <v/>
      </c>
      <c r="N231" s="41" t="n"/>
      <c r="O231" s="41" t="n"/>
      <c r="P231" s="41" t="n"/>
      <c r="Q231" s="41" t="n"/>
      <c r="R231" s="41" t="n"/>
      <c r="S231" s="41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15">
        <f>IF(COUNTA(T231:AH231)=0,"",SUM(T231:AH231))</f>
        <v/>
      </c>
      <c r="AJ231" s="21">
        <f>IF(COUNTA(T231:AH231)=0,"",AI231/(COUNT(KPI_Weights!$A$4:$A$18)*5))</f>
        <v/>
      </c>
      <c r="AK231" s="21">
        <f>IF(COUNTA(T231:AH231)=0,"",SUMPRODUCT(T231:AH231,KPI_Weights!$B$4:$B$18)/5)</f>
        <v/>
      </c>
      <c r="AL231" s="15">
        <f>IF(COUNTA(T231:AH231)=0,"",IF(SUMPRODUCT(--(T231:AH231&lt;=1),--(KPI_Weights!$C$4:$C$18="YES"))&gt;0,"YES","NO"))</f>
        <v/>
      </c>
      <c r="AM231" s="15">
        <f>IF(AJ231="","",IF(AND(AL231="NO",AJ231&gt;=0.75),"YES","NO"))</f>
        <v/>
      </c>
      <c r="AN231" s="15">
        <f>IF(AJ231="","",IF(AJ231&lt;0.4,"Critical",IF(AJ231&lt;0.6,"Poor",IF(AJ231&lt;0.75,"Needs Improvement",IF(AJ231&lt;0.9,"Good","Excellent")))))</f>
        <v/>
      </c>
      <c r="AO231" s="41" t="n"/>
      <c r="AP231" s="41" t="n"/>
      <c r="AQ231" s="41" t="n"/>
      <c r="AR231" s="41" t="n"/>
      <c r="AS231" s="41" t="n"/>
      <c r="AT231" s="44" t="n"/>
      <c r="AU231" s="41" t="n"/>
      <c r="AV231" s="43" t="n"/>
      <c r="AW231" s="41" t="n"/>
      <c r="AX231" s="44" t="n"/>
      <c r="AY231" s="44" t="n"/>
      <c r="AZ231" s="44" t="n"/>
      <c r="BA231" s="44" t="n"/>
      <c r="BB231" s="44" t="n"/>
      <c r="BC231" s="44" t="n"/>
      <c r="BD231" s="44" t="n"/>
      <c r="BE231" s="44" t="n"/>
      <c r="BF231" s="44" t="n"/>
    </row>
    <row r="232" ht="19.5" customHeight="1" s="45">
      <c r="A232" s="15">
        <f>IF($B232="","",TEXT($B232,"yyyymmdd")&amp;"-"&amp;SUBSTITUTE($F232," ","")&amp;"-"&amp;TEXT(COUNTIF($F$4:F232,$F232),"00"))</f>
        <v/>
      </c>
      <c r="B232" s="39" t="n"/>
      <c r="C232" s="15">
        <f>IF($B232="","",WEEKNUM($B232,2))</f>
        <v/>
      </c>
      <c r="D232" s="15">
        <f>IF($B232="","",TEXT($B232,"yyyy-mm"))</f>
        <v/>
      </c>
      <c r="E232" s="40" t="n"/>
      <c r="F232" s="40" t="n"/>
      <c r="G232" s="15">
        <f>IF(OR($E232="",$F232=""),"",IFERROR(IF($E232=INDEX(Cluster_Master!$A$4:$A$18,MATCH($F232,Cluster_Master!$B$4:$B$18,0)),"OK","CHECK"),"CHECK"))</f>
        <v/>
      </c>
      <c r="H232" s="18">
        <f>IFERROR(INDEX(Cluster_Master!$C$4:$C$18,MATCH($F232,Cluster_Master!$B$4:$B$18,0)),"")</f>
        <v/>
      </c>
      <c r="I232" s="15">
        <f>IFERROR(INDEX(Cluster_Master!$D$4:$D$18,MATCH($F232,Cluster_Master!$B$4:$B$18,0)),"")</f>
        <v/>
      </c>
      <c r="J232" s="15">
        <f>IFERROR(INDEX(Cluster_Master!$E$4:$E$18,MATCH($F232,Cluster_Master!$B$4:$B$18,0)),"")</f>
        <v/>
      </c>
      <c r="K232" s="15">
        <f>IFERROR(INDEX(Cluster_Master!$F$4:$F$18,MATCH($F232,Cluster_Master!$B$4:$B$18,0)),"")</f>
        <v/>
      </c>
      <c r="L232" s="15">
        <f>IFERROR(INDEX(Cluster_Master!$G$4:$G$18,MATCH($F232,Cluster_Master!$B$4:$B$18,0)),"")</f>
        <v/>
      </c>
      <c r="M232" s="15">
        <f>IFERROR(INDEX(Cluster_Master!$H$4:$H$18,MATCH($F232,Cluster_Master!$B$4:$B$18,0)),"")</f>
        <v/>
      </c>
      <c r="N232" s="41" t="n"/>
      <c r="O232" s="41" t="n"/>
      <c r="P232" s="41" t="n"/>
      <c r="Q232" s="41" t="n"/>
      <c r="R232" s="41" t="n"/>
      <c r="S232" s="41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15">
        <f>IF(COUNTA(T232:AH232)=0,"",SUM(T232:AH232))</f>
        <v/>
      </c>
      <c r="AJ232" s="21">
        <f>IF(COUNTA(T232:AH232)=0,"",AI232/(COUNT(KPI_Weights!$A$4:$A$18)*5))</f>
        <v/>
      </c>
      <c r="AK232" s="21">
        <f>IF(COUNTA(T232:AH232)=0,"",SUMPRODUCT(T232:AH232,KPI_Weights!$B$4:$B$18)/5)</f>
        <v/>
      </c>
      <c r="AL232" s="15">
        <f>IF(COUNTA(T232:AH232)=0,"",IF(SUMPRODUCT(--(T232:AH232&lt;=1),--(KPI_Weights!$C$4:$C$18="YES"))&gt;0,"YES","NO"))</f>
        <v/>
      </c>
      <c r="AM232" s="15">
        <f>IF(AJ232="","",IF(AND(AL232="NO",AJ232&gt;=0.75),"YES","NO"))</f>
        <v/>
      </c>
      <c r="AN232" s="15">
        <f>IF(AJ232="","",IF(AJ232&lt;0.4,"Critical",IF(AJ232&lt;0.6,"Poor",IF(AJ232&lt;0.75,"Needs Improvement",IF(AJ232&lt;0.9,"Good","Excellent")))))</f>
        <v/>
      </c>
      <c r="AO232" s="41" t="n"/>
      <c r="AP232" s="41" t="n"/>
      <c r="AQ232" s="41" t="n"/>
      <c r="AR232" s="41" t="n"/>
      <c r="AS232" s="41" t="n"/>
      <c r="AT232" s="44" t="n"/>
      <c r="AU232" s="41" t="n"/>
      <c r="AV232" s="43" t="n"/>
      <c r="AW232" s="41" t="n"/>
      <c r="AX232" s="44" t="n"/>
      <c r="AY232" s="44" t="n"/>
      <c r="AZ232" s="44" t="n"/>
      <c r="BA232" s="44" t="n"/>
      <c r="BB232" s="44" t="n"/>
      <c r="BC232" s="44" t="n"/>
      <c r="BD232" s="44" t="n"/>
      <c r="BE232" s="44" t="n"/>
      <c r="BF232" s="44" t="n"/>
    </row>
    <row r="233" ht="19.5" customHeight="1" s="45">
      <c r="A233" s="15">
        <f>IF($B233="","",TEXT($B233,"yyyymmdd")&amp;"-"&amp;SUBSTITUTE($F233," ","")&amp;"-"&amp;TEXT(COUNTIF($F$4:F233,$F233),"00"))</f>
        <v/>
      </c>
      <c r="B233" s="39" t="n"/>
      <c r="C233" s="15">
        <f>IF($B233="","",WEEKNUM($B233,2))</f>
        <v/>
      </c>
      <c r="D233" s="15">
        <f>IF($B233="","",TEXT($B233,"yyyy-mm"))</f>
        <v/>
      </c>
      <c r="E233" s="40" t="n"/>
      <c r="F233" s="40" t="n"/>
      <c r="G233" s="15">
        <f>IF(OR($E233="",$F233=""),"",IFERROR(IF($E233=INDEX(Cluster_Master!$A$4:$A$18,MATCH($F233,Cluster_Master!$B$4:$B$18,0)),"OK","CHECK"),"CHECK"))</f>
        <v/>
      </c>
      <c r="H233" s="18">
        <f>IFERROR(INDEX(Cluster_Master!$C$4:$C$18,MATCH($F233,Cluster_Master!$B$4:$B$18,0)),"")</f>
        <v/>
      </c>
      <c r="I233" s="15">
        <f>IFERROR(INDEX(Cluster_Master!$D$4:$D$18,MATCH($F233,Cluster_Master!$B$4:$B$18,0)),"")</f>
        <v/>
      </c>
      <c r="J233" s="15">
        <f>IFERROR(INDEX(Cluster_Master!$E$4:$E$18,MATCH($F233,Cluster_Master!$B$4:$B$18,0)),"")</f>
        <v/>
      </c>
      <c r="K233" s="15">
        <f>IFERROR(INDEX(Cluster_Master!$F$4:$F$18,MATCH($F233,Cluster_Master!$B$4:$B$18,0)),"")</f>
        <v/>
      </c>
      <c r="L233" s="15">
        <f>IFERROR(INDEX(Cluster_Master!$G$4:$G$18,MATCH($F233,Cluster_Master!$B$4:$B$18,0)),"")</f>
        <v/>
      </c>
      <c r="M233" s="15">
        <f>IFERROR(INDEX(Cluster_Master!$H$4:$H$18,MATCH($F233,Cluster_Master!$B$4:$B$18,0)),"")</f>
        <v/>
      </c>
      <c r="N233" s="41" t="n"/>
      <c r="O233" s="41" t="n"/>
      <c r="P233" s="41" t="n"/>
      <c r="Q233" s="41" t="n"/>
      <c r="R233" s="41" t="n"/>
      <c r="S233" s="41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15">
        <f>IF(COUNTA(T233:AH233)=0,"",SUM(T233:AH233))</f>
        <v/>
      </c>
      <c r="AJ233" s="21">
        <f>IF(COUNTA(T233:AH233)=0,"",AI233/(COUNT(KPI_Weights!$A$4:$A$18)*5))</f>
        <v/>
      </c>
      <c r="AK233" s="21">
        <f>IF(COUNTA(T233:AH233)=0,"",SUMPRODUCT(T233:AH233,KPI_Weights!$B$4:$B$18)/5)</f>
        <v/>
      </c>
      <c r="AL233" s="15">
        <f>IF(COUNTA(T233:AH233)=0,"",IF(SUMPRODUCT(--(T233:AH233&lt;=1),--(KPI_Weights!$C$4:$C$18="YES"))&gt;0,"YES","NO"))</f>
        <v/>
      </c>
      <c r="AM233" s="15">
        <f>IF(AJ233="","",IF(AND(AL233="NO",AJ233&gt;=0.75),"YES","NO"))</f>
        <v/>
      </c>
      <c r="AN233" s="15">
        <f>IF(AJ233="","",IF(AJ233&lt;0.4,"Critical",IF(AJ233&lt;0.6,"Poor",IF(AJ233&lt;0.75,"Needs Improvement",IF(AJ233&lt;0.9,"Good","Excellent")))))</f>
        <v/>
      </c>
      <c r="AO233" s="41" t="n"/>
      <c r="AP233" s="41" t="n"/>
      <c r="AQ233" s="41" t="n"/>
      <c r="AR233" s="41" t="n"/>
      <c r="AS233" s="41" t="n"/>
      <c r="AT233" s="44" t="n"/>
      <c r="AU233" s="41" t="n"/>
      <c r="AV233" s="43" t="n"/>
      <c r="AW233" s="41" t="n"/>
      <c r="AX233" s="44" t="n"/>
      <c r="AY233" s="44" t="n"/>
      <c r="AZ233" s="44" t="n"/>
      <c r="BA233" s="44" t="n"/>
      <c r="BB233" s="44" t="n"/>
      <c r="BC233" s="44" t="n"/>
      <c r="BD233" s="44" t="n"/>
      <c r="BE233" s="44" t="n"/>
      <c r="BF233" s="44" t="n"/>
    </row>
    <row r="234" ht="19.5" customHeight="1" s="45">
      <c r="A234" s="15">
        <f>IF($B234="","",TEXT($B234,"yyyymmdd")&amp;"-"&amp;SUBSTITUTE($F234," ","")&amp;"-"&amp;TEXT(COUNTIF($F$4:F234,$F234),"00"))</f>
        <v/>
      </c>
      <c r="B234" s="39" t="n"/>
      <c r="C234" s="15">
        <f>IF($B234="","",WEEKNUM($B234,2))</f>
        <v/>
      </c>
      <c r="D234" s="15">
        <f>IF($B234="","",TEXT($B234,"yyyy-mm"))</f>
        <v/>
      </c>
      <c r="E234" s="40" t="n"/>
      <c r="F234" s="40" t="n"/>
      <c r="G234" s="15">
        <f>IF(OR($E234="",$F234=""),"",IFERROR(IF($E234=INDEX(Cluster_Master!$A$4:$A$18,MATCH($F234,Cluster_Master!$B$4:$B$18,0)),"OK","CHECK"),"CHECK"))</f>
        <v/>
      </c>
      <c r="H234" s="18">
        <f>IFERROR(INDEX(Cluster_Master!$C$4:$C$18,MATCH($F234,Cluster_Master!$B$4:$B$18,0)),"")</f>
        <v/>
      </c>
      <c r="I234" s="15">
        <f>IFERROR(INDEX(Cluster_Master!$D$4:$D$18,MATCH($F234,Cluster_Master!$B$4:$B$18,0)),"")</f>
        <v/>
      </c>
      <c r="J234" s="15">
        <f>IFERROR(INDEX(Cluster_Master!$E$4:$E$18,MATCH($F234,Cluster_Master!$B$4:$B$18,0)),"")</f>
        <v/>
      </c>
      <c r="K234" s="15">
        <f>IFERROR(INDEX(Cluster_Master!$F$4:$F$18,MATCH($F234,Cluster_Master!$B$4:$B$18,0)),"")</f>
        <v/>
      </c>
      <c r="L234" s="15">
        <f>IFERROR(INDEX(Cluster_Master!$G$4:$G$18,MATCH($F234,Cluster_Master!$B$4:$B$18,0)),"")</f>
        <v/>
      </c>
      <c r="M234" s="15">
        <f>IFERROR(INDEX(Cluster_Master!$H$4:$H$18,MATCH($F234,Cluster_Master!$B$4:$B$18,0)),"")</f>
        <v/>
      </c>
      <c r="N234" s="41" t="n"/>
      <c r="O234" s="41" t="n"/>
      <c r="P234" s="41" t="n"/>
      <c r="Q234" s="41" t="n"/>
      <c r="R234" s="41" t="n"/>
      <c r="S234" s="41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15">
        <f>IF(COUNTA(T234:AH234)=0,"",SUM(T234:AH234))</f>
        <v/>
      </c>
      <c r="AJ234" s="21">
        <f>IF(COUNTA(T234:AH234)=0,"",AI234/(COUNT(KPI_Weights!$A$4:$A$18)*5))</f>
        <v/>
      </c>
      <c r="AK234" s="21">
        <f>IF(COUNTA(T234:AH234)=0,"",SUMPRODUCT(T234:AH234,KPI_Weights!$B$4:$B$18)/5)</f>
        <v/>
      </c>
      <c r="AL234" s="15">
        <f>IF(COUNTA(T234:AH234)=0,"",IF(SUMPRODUCT(--(T234:AH234&lt;=1),--(KPI_Weights!$C$4:$C$18="YES"))&gt;0,"YES","NO"))</f>
        <v/>
      </c>
      <c r="AM234" s="15">
        <f>IF(AJ234="","",IF(AND(AL234="NO",AJ234&gt;=0.75),"YES","NO"))</f>
        <v/>
      </c>
      <c r="AN234" s="15">
        <f>IF(AJ234="","",IF(AJ234&lt;0.4,"Critical",IF(AJ234&lt;0.6,"Poor",IF(AJ234&lt;0.75,"Needs Improvement",IF(AJ234&lt;0.9,"Good","Excellent")))))</f>
        <v/>
      </c>
      <c r="AO234" s="41" t="n"/>
      <c r="AP234" s="41" t="n"/>
      <c r="AQ234" s="41" t="n"/>
      <c r="AR234" s="41" t="n"/>
      <c r="AS234" s="41" t="n"/>
      <c r="AT234" s="44" t="n"/>
      <c r="AU234" s="41" t="n"/>
      <c r="AV234" s="43" t="n"/>
      <c r="AW234" s="41" t="n"/>
      <c r="AX234" s="44" t="n"/>
      <c r="AY234" s="44" t="n"/>
      <c r="AZ234" s="44" t="n"/>
      <c r="BA234" s="44" t="n"/>
      <c r="BB234" s="44" t="n"/>
      <c r="BC234" s="44" t="n"/>
      <c r="BD234" s="44" t="n"/>
      <c r="BE234" s="44" t="n"/>
      <c r="BF234" s="44" t="n"/>
    </row>
    <row r="235" ht="19.5" customHeight="1" s="45">
      <c r="A235" s="15">
        <f>IF($B235="","",TEXT($B235,"yyyymmdd")&amp;"-"&amp;SUBSTITUTE($F235," ","")&amp;"-"&amp;TEXT(COUNTIF($F$4:F235,$F235),"00"))</f>
        <v/>
      </c>
      <c r="B235" s="39" t="n"/>
      <c r="C235" s="15">
        <f>IF($B235="","",WEEKNUM($B235,2))</f>
        <v/>
      </c>
      <c r="D235" s="15">
        <f>IF($B235="","",TEXT($B235,"yyyy-mm"))</f>
        <v/>
      </c>
      <c r="E235" s="40" t="n"/>
      <c r="F235" s="40" t="n"/>
      <c r="G235" s="15">
        <f>IF(OR($E235="",$F235=""),"",IFERROR(IF($E235=INDEX(Cluster_Master!$A$4:$A$18,MATCH($F235,Cluster_Master!$B$4:$B$18,0)),"OK","CHECK"),"CHECK"))</f>
        <v/>
      </c>
      <c r="H235" s="18">
        <f>IFERROR(INDEX(Cluster_Master!$C$4:$C$18,MATCH($F235,Cluster_Master!$B$4:$B$18,0)),"")</f>
        <v/>
      </c>
      <c r="I235" s="15">
        <f>IFERROR(INDEX(Cluster_Master!$D$4:$D$18,MATCH($F235,Cluster_Master!$B$4:$B$18,0)),"")</f>
        <v/>
      </c>
      <c r="J235" s="15">
        <f>IFERROR(INDEX(Cluster_Master!$E$4:$E$18,MATCH($F235,Cluster_Master!$B$4:$B$18,0)),"")</f>
        <v/>
      </c>
      <c r="K235" s="15">
        <f>IFERROR(INDEX(Cluster_Master!$F$4:$F$18,MATCH($F235,Cluster_Master!$B$4:$B$18,0)),"")</f>
        <v/>
      </c>
      <c r="L235" s="15">
        <f>IFERROR(INDEX(Cluster_Master!$G$4:$G$18,MATCH($F235,Cluster_Master!$B$4:$B$18,0)),"")</f>
        <v/>
      </c>
      <c r="M235" s="15">
        <f>IFERROR(INDEX(Cluster_Master!$H$4:$H$18,MATCH($F235,Cluster_Master!$B$4:$B$18,0)),"")</f>
        <v/>
      </c>
      <c r="N235" s="41" t="n"/>
      <c r="O235" s="41" t="n"/>
      <c r="P235" s="41" t="n"/>
      <c r="Q235" s="41" t="n"/>
      <c r="R235" s="41" t="n"/>
      <c r="S235" s="41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15">
        <f>IF(COUNTA(T235:AH235)=0,"",SUM(T235:AH235))</f>
        <v/>
      </c>
      <c r="AJ235" s="21">
        <f>IF(COUNTA(T235:AH235)=0,"",AI235/(COUNT(KPI_Weights!$A$4:$A$18)*5))</f>
        <v/>
      </c>
      <c r="AK235" s="21">
        <f>IF(COUNTA(T235:AH235)=0,"",SUMPRODUCT(T235:AH235,KPI_Weights!$B$4:$B$18)/5)</f>
        <v/>
      </c>
      <c r="AL235" s="15">
        <f>IF(COUNTA(T235:AH235)=0,"",IF(SUMPRODUCT(--(T235:AH235&lt;=1),--(KPI_Weights!$C$4:$C$18="YES"))&gt;0,"YES","NO"))</f>
        <v/>
      </c>
      <c r="AM235" s="15">
        <f>IF(AJ235="","",IF(AND(AL235="NO",AJ235&gt;=0.75),"YES","NO"))</f>
        <v/>
      </c>
      <c r="AN235" s="15">
        <f>IF(AJ235="","",IF(AJ235&lt;0.4,"Critical",IF(AJ235&lt;0.6,"Poor",IF(AJ235&lt;0.75,"Needs Improvement",IF(AJ235&lt;0.9,"Good","Excellent")))))</f>
        <v/>
      </c>
      <c r="AO235" s="41" t="n"/>
      <c r="AP235" s="41" t="n"/>
      <c r="AQ235" s="41" t="n"/>
      <c r="AR235" s="41" t="n"/>
      <c r="AS235" s="41" t="n"/>
      <c r="AT235" s="44" t="n"/>
      <c r="AU235" s="41" t="n"/>
      <c r="AV235" s="43" t="n"/>
      <c r="AW235" s="41" t="n"/>
      <c r="AX235" s="44" t="n"/>
      <c r="AY235" s="44" t="n"/>
      <c r="AZ235" s="44" t="n"/>
      <c r="BA235" s="44" t="n"/>
      <c r="BB235" s="44" t="n"/>
      <c r="BC235" s="44" t="n"/>
      <c r="BD235" s="44" t="n"/>
      <c r="BE235" s="44" t="n"/>
      <c r="BF235" s="44" t="n"/>
    </row>
    <row r="236" ht="19.5" customHeight="1" s="45">
      <c r="A236" s="15">
        <f>IF($B236="","",TEXT($B236,"yyyymmdd")&amp;"-"&amp;SUBSTITUTE($F236," ","")&amp;"-"&amp;TEXT(COUNTIF($F$4:F236,$F236),"00"))</f>
        <v/>
      </c>
      <c r="B236" s="39" t="n"/>
      <c r="C236" s="15">
        <f>IF($B236="","",WEEKNUM($B236,2))</f>
        <v/>
      </c>
      <c r="D236" s="15">
        <f>IF($B236="","",TEXT($B236,"yyyy-mm"))</f>
        <v/>
      </c>
      <c r="E236" s="40" t="n"/>
      <c r="F236" s="40" t="n"/>
      <c r="G236" s="15">
        <f>IF(OR($E236="",$F236=""),"",IFERROR(IF($E236=INDEX(Cluster_Master!$A$4:$A$18,MATCH($F236,Cluster_Master!$B$4:$B$18,0)),"OK","CHECK"),"CHECK"))</f>
        <v/>
      </c>
      <c r="H236" s="18">
        <f>IFERROR(INDEX(Cluster_Master!$C$4:$C$18,MATCH($F236,Cluster_Master!$B$4:$B$18,0)),"")</f>
        <v/>
      </c>
      <c r="I236" s="15">
        <f>IFERROR(INDEX(Cluster_Master!$D$4:$D$18,MATCH($F236,Cluster_Master!$B$4:$B$18,0)),"")</f>
        <v/>
      </c>
      <c r="J236" s="15">
        <f>IFERROR(INDEX(Cluster_Master!$E$4:$E$18,MATCH($F236,Cluster_Master!$B$4:$B$18,0)),"")</f>
        <v/>
      </c>
      <c r="K236" s="15">
        <f>IFERROR(INDEX(Cluster_Master!$F$4:$F$18,MATCH($F236,Cluster_Master!$B$4:$B$18,0)),"")</f>
        <v/>
      </c>
      <c r="L236" s="15">
        <f>IFERROR(INDEX(Cluster_Master!$G$4:$G$18,MATCH($F236,Cluster_Master!$B$4:$B$18,0)),"")</f>
        <v/>
      </c>
      <c r="M236" s="15">
        <f>IFERROR(INDEX(Cluster_Master!$H$4:$H$18,MATCH($F236,Cluster_Master!$B$4:$B$18,0)),"")</f>
        <v/>
      </c>
      <c r="N236" s="41" t="n"/>
      <c r="O236" s="41" t="n"/>
      <c r="P236" s="41" t="n"/>
      <c r="Q236" s="41" t="n"/>
      <c r="R236" s="41" t="n"/>
      <c r="S236" s="41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15">
        <f>IF(COUNTA(T236:AH236)=0,"",SUM(T236:AH236))</f>
        <v/>
      </c>
      <c r="AJ236" s="21">
        <f>IF(COUNTA(T236:AH236)=0,"",AI236/(COUNT(KPI_Weights!$A$4:$A$18)*5))</f>
        <v/>
      </c>
      <c r="AK236" s="21">
        <f>IF(COUNTA(T236:AH236)=0,"",SUMPRODUCT(T236:AH236,KPI_Weights!$B$4:$B$18)/5)</f>
        <v/>
      </c>
      <c r="AL236" s="15">
        <f>IF(COUNTA(T236:AH236)=0,"",IF(SUMPRODUCT(--(T236:AH236&lt;=1),--(KPI_Weights!$C$4:$C$18="YES"))&gt;0,"YES","NO"))</f>
        <v/>
      </c>
      <c r="AM236" s="15">
        <f>IF(AJ236="","",IF(AND(AL236="NO",AJ236&gt;=0.75),"YES","NO"))</f>
        <v/>
      </c>
      <c r="AN236" s="15">
        <f>IF(AJ236="","",IF(AJ236&lt;0.4,"Critical",IF(AJ236&lt;0.6,"Poor",IF(AJ236&lt;0.75,"Needs Improvement",IF(AJ236&lt;0.9,"Good","Excellent")))))</f>
        <v/>
      </c>
      <c r="AO236" s="41" t="n"/>
      <c r="AP236" s="41" t="n"/>
      <c r="AQ236" s="41" t="n"/>
      <c r="AR236" s="41" t="n"/>
      <c r="AS236" s="41" t="n"/>
      <c r="AT236" s="44" t="n"/>
      <c r="AU236" s="41" t="n"/>
      <c r="AV236" s="43" t="n"/>
      <c r="AW236" s="41" t="n"/>
      <c r="AX236" s="44" t="n"/>
      <c r="AY236" s="44" t="n"/>
      <c r="AZ236" s="44" t="n"/>
      <c r="BA236" s="44" t="n"/>
      <c r="BB236" s="44" t="n"/>
      <c r="BC236" s="44" t="n"/>
      <c r="BD236" s="44" t="n"/>
      <c r="BE236" s="44" t="n"/>
      <c r="BF236" s="44" t="n"/>
    </row>
    <row r="237" ht="19.5" customHeight="1" s="45">
      <c r="A237" s="15">
        <f>IF($B237="","",TEXT($B237,"yyyymmdd")&amp;"-"&amp;SUBSTITUTE($F237," ","")&amp;"-"&amp;TEXT(COUNTIF($F$4:F237,$F237),"00"))</f>
        <v/>
      </c>
      <c r="B237" s="39" t="n"/>
      <c r="C237" s="15">
        <f>IF($B237="","",WEEKNUM($B237,2))</f>
        <v/>
      </c>
      <c r="D237" s="15">
        <f>IF($B237="","",TEXT($B237,"yyyy-mm"))</f>
        <v/>
      </c>
      <c r="E237" s="40" t="n"/>
      <c r="F237" s="40" t="n"/>
      <c r="G237" s="15">
        <f>IF(OR($E237="",$F237=""),"",IFERROR(IF($E237=INDEX(Cluster_Master!$A$4:$A$18,MATCH($F237,Cluster_Master!$B$4:$B$18,0)),"OK","CHECK"),"CHECK"))</f>
        <v/>
      </c>
      <c r="H237" s="18">
        <f>IFERROR(INDEX(Cluster_Master!$C$4:$C$18,MATCH($F237,Cluster_Master!$B$4:$B$18,0)),"")</f>
        <v/>
      </c>
      <c r="I237" s="15">
        <f>IFERROR(INDEX(Cluster_Master!$D$4:$D$18,MATCH($F237,Cluster_Master!$B$4:$B$18,0)),"")</f>
        <v/>
      </c>
      <c r="J237" s="15">
        <f>IFERROR(INDEX(Cluster_Master!$E$4:$E$18,MATCH($F237,Cluster_Master!$B$4:$B$18,0)),"")</f>
        <v/>
      </c>
      <c r="K237" s="15">
        <f>IFERROR(INDEX(Cluster_Master!$F$4:$F$18,MATCH($F237,Cluster_Master!$B$4:$B$18,0)),"")</f>
        <v/>
      </c>
      <c r="L237" s="15">
        <f>IFERROR(INDEX(Cluster_Master!$G$4:$G$18,MATCH($F237,Cluster_Master!$B$4:$B$18,0)),"")</f>
        <v/>
      </c>
      <c r="M237" s="15">
        <f>IFERROR(INDEX(Cluster_Master!$H$4:$H$18,MATCH($F237,Cluster_Master!$B$4:$B$18,0)),"")</f>
        <v/>
      </c>
      <c r="N237" s="41" t="n"/>
      <c r="O237" s="41" t="n"/>
      <c r="P237" s="41" t="n"/>
      <c r="Q237" s="41" t="n"/>
      <c r="R237" s="41" t="n"/>
      <c r="S237" s="41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15">
        <f>IF(COUNTA(T237:AH237)=0,"",SUM(T237:AH237))</f>
        <v/>
      </c>
      <c r="AJ237" s="21">
        <f>IF(COUNTA(T237:AH237)=0,"",AI237/(COUNT(KPI_Weights!$A$4:$A$18)*5))</f>
        <v/>
      </c>
      <c r="AK237" s="21">
        <f>IF(COUNTA(T237:AH237)=0,"",SUMPRODUCT(T237:AH237,KPI_Weights!$B$4:$B$18)/5)</f>
        <v/>
      </c>
      <c r="AL237" s="15">
        <f>IF(COUNTA(T237:AH237)=0,"",IF(SUMPRODUCT(--(T237:AH237&lt;=1),--(KPI_Weights!$C$4:$C$18="YES"))&gt;0,"YES","NO"))</f>
        <v/>
      </c>
      <c r="AM237" s="15">
        <f>IF(AJ237="","",IF(AND(AL237="NO",AJ237&gt;=0.75),"YES","NO"))</f>
        <v/>
      </c>
      <c r="AN237" s="15">
        <f>IF(AJ237="","",IF(AJ237&lt;0.4,"Critical",IF(AJ237&lt;0.6,"Poor",IF(AJ237&lt;0.75,"Needs Improvement",IF(AJ237&lt;0.9,"Good","Excellent")))))</f>
        <v/>
      </c>
      <c r="AO237" s="41" t="n"/>
      <c r="AP237" s="41" t="n"/>
      <c r="AQ237" s="41" t="n"/>
      <c r="AR237" s="41" t="n"/>
      <c r="AS237" s="41" t="n"/>
      <c r="AT237" s="44" t="n"/>
      <c r="AU237" s="41" t="n"/>
      <c r="AV237" s="43" t="n"/>
      <c r="AW237" s="41" t="n"/>
      <c r="AX237" s="44" t="n"/>
      <c r="AY237" s="44" t="n"/>
      <c r="AZ237" s="44" t="n"/>
      <c r="BA237" s="44" t="n"/>
      <c r="BB237" s="44" t="n"/>
      <c r="BC237" s="44" t="n"/>
      <c r="BD237" s="44" t="n"/>
      <c r="BE237" s="44" t="n"/>
      <c r="BF237" s="44" t="n"/>
    </row>
    <row r="238" ht="19.5" customHeight="1" s="45">
      <c r="A238" s="15">
        <f>IF($B238="","",TEXT($B238,"yyyymmdd")&amp;"-"&amp;SUBSTITUTE($F238," ","")&amp;"-"&amp;TEXT(COUNTIF($F$4:F238,$F238),"00"))</f>
        <v/>
      </c>
      <c r="B238" s="39" t="n"/>
      <c r="C238" s="15">
        <f>IF($B238="","",WEEKNUM($B238,2))</f>
        <v/>
      </c>
      <c r="D238" s="15">
        <f>IF($B238="","",TEXT($B238,"yyyy-mm"))</f>
        <v/>
      </c>
      <c r="E238" s="40" t="n"/>
      <c r="F238" s="40" t="n"/>
      <c r="G238" s="15">
        <f>IF(OR($E238="",$F238=""),"",IFERROR(IF($E238=INDEX(Cluster_Master!$A$4:$A$18,MATCH($F238,Cluster_Master!$B$4:$B$18,0)),"OK","CHECK"),"CHECK"))</f>
        <v/>
      </c>
      <c r="H238" s="18">
        <f>IFERROR(INDEX(Cluster_Master!$C$4:$C$18,MATCH($F238,Cluster_Master!$B$4:$B$18,0)),"")</f>
        <v/>
      </c>
      <c r="I238" s="15">
        <f>IFERROR(INDEX(Cluster_Master!$D$4:$D$18,MATCH($F238,Cluster_Master!$B$4:$B$18,0)),"")</f>
        <v/>
      </c>
      <c r="J238" s="15">
        <f>IFERROR(INDEX(Cluster_Master!$E$4:$E$18,MATCH($F238,Cluster_Master!$B$4:$B$18,0)),"")</f>
        <v/>
      </c>
      <c r="K238" s="15">
        <f>IFERROR(INDEX(Cluster_Master!$F$4:$F$18,MATCH($F238,Cluster_Master!$B$4:$B$18,0)),"")</f>
        <v/>
      </c>
      <c r="L238" s="15">
        <f>IFERROR(INDEX(Cluster_Master!$G$4:$G$18,MATCH($F238,Cluster_Master!$B$4:$B$18,0)),"")</f>
        <v/>
      </c>
      <c r="M238" s="15">
        <f>IFERROR(INDEX(Cluster_Master!$H$4:$H$18,MATCH($F238,Cluster_Master!$B$4:$B$18,0)),"")</f>
        <v/>
      </c>
      <c r="N238" s="41" t="n"/>
      <c r="O238" s="41" t="n"/>
      <c r="P238" s="41" t="n"/>
      <c r="Q238" s="41" t="n"/>
      <c r="R238" s="41" t="n"/>
      <c r="S238" s="41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15">
        <f>IF(COUNTA(T238:AH238)=0,"",SUM(T238:AH238))</f>
        <v/>
      </c>
      <c r="AJ238" s="21">
        <f>IF(COUNTA(T238:AH238)=0,"",AI238/(COUNT(KPI_Weights!$A$4:$A$18)*5))</f>
        <v/>
      </c>
      <c r="AK238" s="21">
        <f>IF(COUNTA(T238:AH238)=0,"",SUMPRODUCT(T238:AH238,KPI_Weights!$B$4:$B$18)/5)</f>
        <v/>
      </c>
      <c r="AL238" s="15">
        <f>IF(COUNTA(T238:AH238)=0,"",IF(SUMPRODUCT(--(T238:AH238&lt;=1),--(KPI_Weights!$C$4:$C$18="YES"))&gt;0,"YES","NO"))</f>
        <v/>
      </c>
      <c r="AM238" s="15">
        <f>IF(AJ238="","",IF(AND(AL238="NO",AJ238&gt;=0.75),"YES","NO"))</f>
        <v/>
      </c>
      <c r="AN238" s="15">
        <f>IF(AJ238="","",IF(AJ238&lt;0.4,"Critical",IF(AJ238&lt;0.6,"Poor",IF(AJ238&lt;0.75,"Needs Improvement",IF(AJ238&lt;0.9,"Good","Excellent")))))</f>
        <v/>
      </c>
      <c r="AO238" s="41" t="n"/>
      <c r="AP238" s="41" t="n"/>
      <c r="AQ238" s="41" t="n"/>
      <c r="AR238" s="41" t="n"/>
      <c r="AS238" s="41" t="n"/>
      <c r="AT238" s="44" t="n"/>
      <c r="AU238" s="41" t="n"/>
      <c r="AV238" s="43" t="n"/>
      <c r="AW238" s="41" t="n"/>
      <c r="AX238" s="44" t="n"/>
      <c r="AY238" s="44" t="n"/>
      <c r="AZ238" s="44" t="n"/>
      <c r="BA238" s="44" t="n"/>
      <c r="BB238" s="44" t="n"/>
      <c r="BC238" s="44" t="n"/>
      <c r="BD238" s="44" t="n"/>
      <c r="BE238" s="44" t="n"/>
      <c r="BF238" s="44" t="n"/>
    </row>
    <row r="239" ht="19.5" customHeight="1" s="45">
      <c r="A239" s="15">
        <f>IF($B239="","",TEXT($B239,"yyyymmdd")&amp;"-"&amp;SUBSTITUTE($F239," ","")&amp;"-"&amp;TEXT(COUNTIF($F$4:F239,$F239),"00"))</f>
        <v/>
      </c>
      <c r="B239" s="39" t="n"/>
      <c r="C239" s="15">
        <f>IF($B239="","",WEEKNUM($B239,2))</f>
        <v/>
      </c>
      <c r="D239" s="15">
        <f>IF($B239="","",TEXT($B239,"yyyy-mm"))</f>
        <v/>
      </c>
      <c r="E239" s="40" t="n"/>
      <c r="F239" s="40" t="n"/>
      <c r="G239" s="15">
        <f>IF(OR($E239="",$F239=""),"",IFERROR(IF($E239=INDEX(Cluster_Master!$A$4:$A$18,MATCH($F239,Cluster_Master!$B$4:$B$18,0)),"OK","CHECK"),"CHECK"))</f>
        <v/>
      </c>
      <c r="H239" s="18">
        <f>IFERROR(INDEX(Cluster_Master!$C$4:$C$18,MATCH($F239,Cluster_Master!$B$4:$B$18,0)),"")</f>
        <v/>
      </c>
      <c r="I239" s="15">
        <f>IFERROR(INDEX(Cluster_Master!$D$4:$D$18,MATCH($F239,Cluster_Master!$B$4:$B$18,0)),"")</f>
        <v/>
      </c>
      <c r="J239" s="15">
        <f>IFERROR(INDEX(Cluster_Master!$E$4:$E$18,MATCH($F239,Cluster_Master!$B$4:$B$18,0)),"")</f>
        <v/>
      </c>
      <c r="K239" s="15">
        <f>IFERROR(INDEX(Cluster_Master!$F$4:$F$18,MATCH($F239,Cluster_Master!$B$4:$B$18,0)),"")</f>
        <v/>
      </c>
      <c r="L239" s="15">
        <f>IFERROR(INDEX(Cluster_Master!$G$4:$G$18,MATCH($F239,Cluster_Master!$B$4:$B$18,0)),"")</f>
        <v/>
      </c>
      <c r="M239" s="15">
        <f>IFERROR(INDEX(Cluster_Master!$H$4:$H$18,MATCH($F239,Cluster_Master!$B$4:$B$18,0)),"")</f>
        <v/>
      </c>
      <c r="N239" s="41" t="n"/>
      <c r="O239" s="41" t="n"/>
      <c r="P239" s="41" t="n"/>
      <c r="Q239" s="41" t="n"/>
      <c r="R239" s="41" t="n"/>
      <c r="S239" s="41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15">
        <f>IF(COUNTA(T239:AH239)=0,"",SUM(T239:AH239))</f>
        <v/>
      </c>
      <c r="AJ239" s="21">
        <f>IF(COUNTA(T239:AH239)=0,"",AI239/(COUNT(KPI_Weights!$A$4:$A$18)*5))</f>
        <v/>
      </c>
      <c r="AK239" s="21">
        <f>IF(COUNTA(T239:AH239)=0,"",SUMPRODUCT(T239:AH239,KPI_Weights!$B$4:$B$18)/5)</f>
        <v/>
      </c>
      <c r="AL239" s="15">
        <f>IF(COUNTA(T239:AH239)=0,"",IF(SUMPRODUCT(--(T239:AH239&lt;=1),--(KPI_Weights!$C$4:$C$18="YES"))&gt;0,"YES","NO"))</f>
        <v/>
      </c>
      <c r="AM239" s="15">
        <f>IF(AJ239="","",IF(AND(AL239="NO",AJ239&gt;=0.75),"YES","NO"))</f>
        <v/>
      </c>
      <c r="AN239" s="15">
        <f>IF(AJ239="","",IF(AJ239&lt;0.4,"Critical",IF(AJ239&lt;0.6,"Poor",IF(AJ239&lt;0.75,"Needs Improvement",IF(AJ239&lt;0.9,"Good","Excellent")))))</f>
        <v/>
      </c>
      <c r="AO239" s="41" t="n"/>
      <c r="AP239" s="41" t="n"/>
      <c r="AQ239" s="41" t="n"/>
      <c r="AR239" s="41" t="n"/>
      <c r="AS239" s="41" t="n"/>
      <c r="AT239" s="44" t="n"/>
      <c r="AU239" s="41" t="n"/>
      <c r="AV239" s="43" t="n"/>
      <c r="AW239" s="41" t="n"/>
      <c r="AX239" s="44" t="n"/>
      <c r="AY239" s="44" t="n"/>
      <c r="AZ239" s="44" t="n"/>
      <c r="BA239" s="44" t="n"/>
      <c r="BB239" s="44" t="n"/>
      <c r="BC239" s="44" t="n"/>
      <c r="BD239" s="44" t="n"/>
      <c r="BE239" s="44" t="n"/>
      <c r="BF239" s="44" t="n"/>
    </row>
    <row r="240" ht="19.5" customHeight="1" s="45">
      <c r="A240" s="15">
        <f>IF($B240="","",TEXT($B240,"yyyymmdd")&amp;"-"&amp;SUBSTITUTE($F240," ","")&amp;"-"&amp;TEXT(COUNTIF($F$4:F240,$F240),"00"))</f>
        <v/>
      </c>
      <c r="B240" s="39" t="n"/>
      <c r="C240" s="15">
        <f>IF($B240="","",WEEKNUM($B240,2))</f>
        <v/>
      </c>
      <c r="D240" s="15">
        <f>IF($B240="","",TEXT($B240,"yyyy-mm"))</f>
        <v/>
      </c>
      <c r="E240" s="40" t="n"/>
      <c r="F240" s="40" t="n"/>
      <c r="G240" s="15">
        <f>IF(OR($E240="",$F240=""),"",IFERROR(IF($E240=INDEX(Cluster_Master!$A$4:$A$18,MATCH($F240,Cluster_Master!$B$4:$B$18,0)),"OK","CHECK"),"CHECK"))</f>
        <v/>
      </c>
      <c r="H240" s="18">
        <f>IFERROR(INDEX(Cluster_Master!$C$4:$C$18,MATCH($F240,Cluster_Master!$B$4:$B$18,0)),"")</f>
        <v/>
      </c>
      <c r="I240" s="15">
        <f>IFERROR(INDEX(Cluster_Master!$D$4:$D$18,MATCH($F240,Cluster_Master!$B$4:$B$18,0)),"")</f>
        <v/>
      </c>
      <c r="J240" s="15">
        <f>IFERROR(INDEX(Cluster_Master!$E$4:$E$18,MATCH($F240,Cluster_Master!$B$4:$B$18,0)),"")</f>
        <v/>
      </c>
      <c r="K240" s="15">
        <f>IFERROR(INDEX(Cluster_Master!$F$4:$F$18,MATCH($F240,Cluster_Master!$B$4:$B$18,0)),"")</f>
        <v/>
      </c>
      <c r="L240" s="15">
        <f>IFERROR(INDEX(Cluster_Master!$G$4:$G$18,MATCH($F240,Cluster_Master!$B$4:$B$18,0)),"")</f>
        <v/>
      </c>
      <c r="M240" s="15">
        <f>IFERROR(INDEX(Cluster_Master!$H$4:$H$18,MATCH($F240,Cluster_Master!$B$4:$B$18,0)),"")</f>
        <v/>
      </c>
      <c r="N240" s="41" t="n"/>
      <c r="O240" s="41" t="n"/>
      <c r="P240" s="41" t="n"/>
      <c r="Q240" s="41" t="n"/>
      <c r="R240" s="41" t="n"/>
      <c r="S240" s="41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15">
        <f>IF(COUNTA(T240:AH240)=0,"",SUM(T240:AH240))</f>
        <v/>
      </c>
      <c r="AJ240" s="21">
        <f>IF(COUNTA(T240:AH240)=0,"",AI240/(COUNT(KPI_Weights!$A$4:$A$18)*5))</f>
        <v/>
      </c>
      <c r="AK240" s="21">
        <f>IF(COUNTA(T240:AH240)=0,"",SUMPRODUCT(T240:AH240,KPI_Weights!$B$4:$B$18)/5)</f>
        <v/>
      </c>
      <c r="AL240" s="15">
        <f>IF(COUNTA(T240:AH240)=0,"",IF(SUMPRODUCT(--(T240:AH240&lt;=1),--(KPI_Weights!$C$4:$C$18="YES"))&gt;0,"YES","NO"))</f>
        <v/>
      </c>
      <c r="AM240" s="15">
        <f>IF(AJ240="","",IF(AND(AL240="NO",AJ240&gt;=0.75),"YES","NO"))</f>
        <v/>
      </c>
      <c r="AN240" s="15">
        <f>IF(AJ240="","",IF(AJ240&lt;0.4,"Critical",IF(AJ240&lt;0.6,"Poor",IF(AJ240&lt;0.75,"Needs Improvement",IF(AJ240&lt;0.9,"Good","Excellent")))))</f>
        <v/>
      </c>
      <c r="AO240" s="41" t="n"/>
      <c r="AP240" s="41" t="n"/>
      <c r="AQ240" s="41" t="n"/>
      <c r="AR240" s="41" t="n"/>
      <c r="AS240" s="41" t="n"/>
      <c r="AT240" s="44" t="n"/>
      <c r="AU240" s="41" t="n"/>
      <c r="AV240" s="43" t="n"/>
      <c r="AW240" s="41" t="n"/>
      <c r="AX240" s="44" t="n"/>
      <c r="AY240" s="44" t="n"/>
      <c r="AZ240" s="44" t="n"/>
      <c r="BA240" s="44" t="n"/>
      <c r="BB240" s="44" t="n"/>
      <c r="BC240" s="44" t="n"/>
      <c r="BD240" s="44" t="n"/>
      <c r="BE240" s="44" t="n"/>
      <c r="BF240" s="44" t="n"/>
    </row>
    <row r="241" ht="19.5" customHeight="1" s="45">
      <c r="A241" s="15">
        <f>IF($B241="","",TEXT($B241,"yyyymmdd")&amp;"-"&amp;SUBSTITUTE($F241," ","")&amp;"-"&amp;TEXT(COUNTIF($F$4:F241,$F241),"00"))</f>
        <v/>
      </c>
      <c r="B241" s="39" t="n"/>
      <c r="C241" s="15">
        <f>IF($B241="","",WEEKNUM($B241,2))</f>
        <v/>
      </c>
      <c r="D241" s="15">
        <f>IF($B241="","",TEXT($B241,"yyyy-mm"))</f>
        <v/>
      </c>
      <c r="E241" s="40" t="n"/>
      <c r="F241" s="40" t="n"/>
      <c r="G241" s="15">
        <f>IF(OR($E241="",$F241=""),"",IFERROR(IF($E241=INDEX(Cluster_Master!$A$4:$A$18,MATCH($F241,Cluster_Master!$B$4:$B$18,0)),"OK","CHECK"),"CHECK"))</f>
        <v/>
      </c>
      <c r="H241" s="18">
        <f>IFERROR(INDEX(Cluster_Master!$C$4:$C$18,MATCH($F241,Cluster_Master!$B$4:$B$18,0)),"")</f>
        <v/>
      </c>
      <c r="I241" s="15">
        <f>IFERROR(INDEX(Cluster_Master!$D$4:$D$18,MATCH($F241,Cluster_Master!$B$4:$B$18,0)),"")</f>
        <v/>
      </c>
      <c r="J241" s="15">
        <f>IFERROR(INDEX(Cluster_Master!$E$4:$E$18,MATCH($F241,Cluster_Master!$B$4:$B$18,0)),"")</f>
        <v/>
      </c>
      <c r="K241" s="15">
        <f>IFERROR(INDEX(Cluster_Master!$F$4:$F$18,MATCH($F241,Cluster_Master!$B$4:$B$18,0)),"")</f>
        <v/>
      </c>
      <c r="L241" s="15">
        <f>IFERROR(INDEX(Cluster_Master!$G$4:$G$18,MATCH($F241,Cluster_Master!$B$4:$B$18,0)),"")</f>
        <v/>
      </c>
      <c r="M241" s="15">
        <f>IFERROR(INDEX(Cluster_Master!$H$4:$H$18,MATCH($F241,Cluster_Master!$B$4:$B$18,0)),"")</f>
        <v/>
      </c>
      <c r="N241" s="41" t="n"/>
      <c r="O241" s="41" t="n"/>
      <c r="P241" s="41" t="n"/>
      <c r="Q241" s="41" t="n"/>
      <c r="R241" s="41" t="n"/>
      <c r="S241" s="41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15">
        <f>IF(COUNTA(T241:AH241)=0,"",SUM(T241:AH241))</f>
        <v/>
      </c>
      <c r="AJ241" s="21">
        <f>IF(COUNTA(T241:AH241)=0,"",AI241/(COUNT(KPI_Weights!$A$4:$A$18)*5))</f>
        <v/>
      </c>
      <c r="AK241" s="21">
        <f>IF(COUNTA(T241:AH241)=0,"",SUMPRODUCT(T241:AH241,KPI_Weights!$B$4:$B$18)/5)</f>
        <v/>
      </c>
      <c r="AL241" s="15">
        <f>IF(COUNTA(T241:AH241)=0,"",IF(SUMPRODUCT(--(T241:AH241&lt;=1),--(KPI_Weights!$C$4:$C$18="YES"))&gt;0,"YES","NO"))</f>
        <v/>
      </c>
      <c r="AM241" s="15">
        <f>IF(AJ241="","",IF(AND(AL241="NO",AJ241&gt;=0.75),"YES","NO"))</f>
        <v/>
      </c>
      <c r="AN241" s="15">
        <f>IF(AJ241="","",IF(AJ241&lt;0.4,"Critical",IF(AJ241&lt;0.6,"Poor",IF(AJ241&lt;0.75,"Needs Improvement",IF(AJ241&lt;0.9,"Good","Excellent")))))</f>
        <v/>
      </c>
      <c r="AO241" s="41" t="n"/>
      <c r="AP241" s="41" t="n"/>
      <c r="AQ241" s="41" t="n"/>
      <c r="AR241" s="41" t="n"/>
      <c r="AS241" s="41" t="n"/>
      <c r="AT241" s="44" t="n"/>
      <c r="AU241" s="41" t="n"/>
      <c r="AV241" s="43" t="n"/>
      <c r="AW241" s="41" t="n"/>
      <c r="AX241" s="44" t="n"/>
      <c r="AY241" s="44" t="n"/>
      <c r="AZ241" s="44" t="n"/>
      <c r="BA241" s="44" t="n"/>
      <c r="BB241" s="44" t="n"/>
      <c r="BC241" s="44" t="n"/>
      <c r="BD241" s="44" t="n"/>
      <c r="BE241" s="44" t="n"/>
      <c r="BF241" s="44" t="n"/>
    </row>
    <row r="242" ht="19.5" customHeight="1" s="45">
      <c r="A242" s="15">
        <f>IF($B242="","",TEXT($B242,"yyyymmdd")&amp;"-"&amp;SUBSTITUTE($F242," ","")&amp;"-"&amp;TEXT(COUNTIF($F$4:F242,$F242),"00"))</f>
        <v/>
      </c>
      <c r="B242" s="39" t="n"/>
      <c r="C242" s="15">
        <f>IF($B242="","",WEEKNUM($B242,2))</f>
        <v/>
      </c>
      <c r="D242" s="15">
        <f>IF($B242="","",TEXT($B242,"yyyy-mm"))</f>
        <v/>
      </c>
      <c r="E242" s="40" t="n"/>
      <c r="F242" s="40" t="n"/>
      <c r="G242" s="15">
        <f>IF(OR($E242="",$F242=""),"",IFERROR(IF($E242=INDEX(Cluster_Master!$A$4:$A$18,MATCH($F242,Cluster_Master!$B$4:$B$18,0)),"OK","CHECK"),"CHECK"))</f>
        <v/>
      </c>
      <c r="H242" s="18">
        <f>IFERROR(INDEX(Cluster_Master!$C$4:$C$18,MATCH($F242,Cluster_Master!$B$4:$B$18,0)),"")</f>
        <v/>
      </c>
      <c r="I242" s="15">
        <f>IFERROR(INDEX(Cluster_Master!$D$4:$D$18,MATCH($F242,Cluster_Master!$B$4:$B$18,0)),"")</f>
        <v/>
      </c>
      <c r="J242" s="15">
        <f>IFERROR(INDEX(Cluster_Master!$E$4:$E$18,MATCH($F242,Cluster_Master!$B$4:$B$18,0)),"")</f>
        <v/>
      </c>
      <c r="K242" s="15">
        <f>IFERROR(INDEX(Cluster_Master!$F$4:$F$18,MATCH($F242,Cluster_Master!$B$4:$B$18,0)),"")</f>
        <v/>
      </c>
      <c r="L242" s="15">
        <f>IFERROR(INDEX(Cluster_Master!$G$4:$G$18,MATCH($F242,Cluster_Master!$B$4:$B$18,0)),"")</f>
        <v/>
      </c>
      <c r="M242" s="15">
        <f>IFERROR(INDEX(Cluster_Master!$H$4:$H$18,MATCH($F242,Cluster_Master!$B$4:$B$18,0)),"")</f>
        <v/>
      </c>
      <c r="N242" s="41" t="n"/>
      <c r="O242" s="41" t="n"/>
      <c r="P242" s="41" t="n"/>
      <c r="Q242" s="41" t="n"/>
      <c r="R242" s="41" t="n"/>
      <c r="S242" s="41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15">
        <f>IF(COUNTA(T242:AH242)=0,"",SUM(T242:AH242))</f>
        <v/>
      </c>
      <c r="AJ242" s="21">
        <f>IF(COUNTA(T242:AH242)=0,"",AI242/(COUNT(KPI_Weights!$A$4:$A$18)*5))</f>
        <v/>
      </c>
      <c r="AK242" s="21">
        <f>IF(COUNTA(T242:AH242)=0,"",SUMPRODUCT(T242:AH242,KPI_Weights!$B$4:$B$18)/5)</f>
        <v/>
      </c>
      <c r="AL242" s="15">
        <f>IF(COUNTA(T242:AH242)=0,"",IF(SUMPRODUCT(--(T242:AH242&lt;=1),--(KPI_Weights!$C$4:$C$18="YES"))&gt;0,"YES","NO"))</f>
        <v/>
      </c>
      <c r="AM242" s="15">
        <f>IF(AJ242="","",IF(AND(AL242="NO",AJ242&gt;=0.75),"YES","NO"))</f>
        <v/>
      </c>
      <c r="AN242" s="15">
        <f>IF(AJ242="","",IF(AJ242&lt;0.4,"Critical",IF(AJ242&lt;0.6,"Poor",IF(AJ242&lt;0.75,"Needs Improvement",IF(AJ242&lt;0.9,"Good","Excellent")))))</f>
        <v/>
      </c>
      <c r="AO242" s="41" t="n"/>
      <c r="AP242" s="41" t="n"/>
      <c r="AQ242" s="41" t="n"/>
      <c r="AR242" s="41" t="n"/>
      <c r="AS242" s="41" t="n"/>
      <c r="AT242" s="44" t="n"/>
      <c r="AU242" s="41" t="n"/>
      <c r="AV242" s="43" t="n"/>
      <c r="AW242" s="41" t="n"/>
      <c r="AX242" s="44" t="n"/>
      <c r="AY242" s="44" t="n"/>
      <c r="AZ242" s="44" t="n"/>
      <c r="BA242" s="44" t="n"/>
      <c r="BB242" s="44" t="n"/>
      <c r="BC242" s="44" t="n"/>
      <c r="BD242" s="44" t="n"/>
      <c r="BE242" s="44" t="n"/>
      <c r="BF242" s="44" t="n"/>
    </row>
    <row r="243" ht="19.5" customHeight="1" s="45">
      <c r="A243" s="15">
        <f>IF($B243="","",TEXT($B243,"yyyymmdd")&amp;"-"&amp;SUBSTITUTE($F243," ","")&amp;"-"&amp;TEXT(COUNTIF($F$4:F243,$F243),"00"))</f>
        <v/>
      </c>
      <c r="B243" s="39" t="n"/>
      <c r="C243" s="15">
        <f>IF($B243="","",WEEKNUM($B243,2))</f>
        <v/>
      </c>
      <c r="D243" s="15">
        <f>IF($B243="","",TEXT($B243,"yyyy-mm"))</f>
        <v/>
      </c>
      <c r="E243" s="40" t="n"/>
      <c r="F243" s="40" t="n"/>
      <c r="G243" s="15">
        <f>IF(OR($E243="",$F243=""),"",IFERROR(IF($E243=INDEX(Cluster_Master!$A$4:$A$18,MATCH($F243,Cluster_Master!$B$4:$B$18,0)),"OK","CHECK"),"CHECK"))</f>
        <v/>
      </c>
      <c r="H243" s="18">
        <f>IFERROR(INDEX(Cluster_Master!$C$4:$C$18,MATCH($F243,Cluster_Master!$B$4:$B$18,0)),"")</f>
        <v/>
      </c>
      <c r="I243" s="15">
        <f>IFERROR(INDEX(Cluster_Master!$D$4:$D$18,MATCH($F243,Cluster_Master!$B$4:$B$18,0)),"")</f>
        <v/>
      </c>
      <c r="J243" s="15">
        <f>IFERROR(INDEX(Cluster_Master!$E$4:$E$18,MATCH($F243,Cluster_Master!$B$4:$B$18,0)),"")</f>
        <v/>
      </c>
      <c r="K243" s="15">
        <f>IFERROR(INDEX(Cluster_Master!$F$4:$F$18,MATCH($F243,Cluster_Master!$B$4:$B$18,0)),"")</f>
        <v/>
      </c>
      <c r="L243" s="15">
        <f>IFERROR(INDEX(Cluster_Master!$G$4:$G$18,MATCH($F243,Cluster_Master!$B$4:$B$18,0)),"")</f>
        <v/>
      </c>
      <c r="M243" s="15">
        <f>IFERROR(INDEX(Cluster_Master!$H$4:$H$18,MATCH($F243,Cluster_Master!$B$4:$B$18,0)),"")</f>
        <v/>
      </c>
      <c r="N243" s="41" t="n"/>
      <c r="O243" s="41" t="n"/>
      <c r="P243" s="41" t="n"/>
      <c r="Q243" s="41" t="n"/>
      <c r="R243" s="41" t="n"/>
      <c r="S243" s="41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15">
        <f>IF(COUNTA(T243:AH243)=0,"",SUM(T243:AH243))</f>
        <v/>
      </c>
      <c r="AJ243" s="21">
        <f>IF(COUNTA(T243:AH243)=0,"",AI243/(COUNT(KPI_Weights!$A$4:$A$18)*5))</f>
        <v/>
      </c>
      <c r="AK243" s="21">
        <f>IF(COUNTA(T243:AH243)=0,"",SUMPRODUCT(T243:AH243,KPI_Weights!$B$4:$B$18)/5)</f>
        <v/>
      </c>
      <c r="AL243" s="15">
        <f>IF(COUNTA(T243:AH243)=0,"",IF(SUMPRODUCT(--(T243:AH243&lt;=1),--(KPI_Weights!$C$4:$C$18="YES"))&gt;0,"YES","NO"))</f>
        <v/>
      </c>
      <c r="AM243" s="15">
        <f>IF(AJ243="","",IF(AND(AL243="NO",AJ243&gt;=0.75),"YES","NO"))</f>
        <v/>
      </c>
      <c r="AN243" s="15">
        <f>IF(AJ243="","",IF(AJ243&lt;0.4,"Critical",IF(AJ243&lt;0.6,"Poor",IF(AJ243&lt;0.75,"Needs Improvement",IF(AJ243&lt;0.9,"Good","Excellent")))))</f>
        <v/>
      </c>
      <c r="AO243" s="41" t="n"/>
      <c r="AP243" s="41" t="n"/>
      <c r="AQ243" s="41" t="n"/>
      <c r="AR243" s="41" t="n"/>
      <c r="AS243" s="41" t="n"/>
      <c r="AT243" s="44" t="n"/>
      <c r="AU243" s="41" t="n"/>
      <c r="AV243" s="43" t="n"/>
      <c r="AW243" s="41" t="n"/>
      <c r="AX243" s="44" t="n"/>
      <c r="AY243" s="44" t="n"/>
      <c r="AZ243" s="44" t="n"/>
      <c r="BA243" s="44" t="n"/>
      <c r="BB243" s="44" t="n"/>
      <c r="BC243" s="44" t="n"/>
      <c r="BD243" s="44" t="n"/>
      <c r="BE243" s="44" t="n"/>
      <c r="BF243" s="44" t="n"/>
    </row>
    <row r="244" ht="19.5" customHeight="1" s="45">
      <c r="A244" s="15">
        <f>IF($B244="","",TEXT($B244,"yyyymmdd")&amp;"-"&amp;SUBSTITUTE($F244," ","")&amp;"-"&amp;TEXT(COUNTIF($F$4:F244,$F244),"00"))</f>
        <v/>
      </c>
      <c r="B244" s="39" t="n"/>
      <c r="C244" s="15">
        <f>IF($B244="","",WEEKNUM($B244,2))</f>
        <v/>
      </c>
      <c r="D244" s="15">
        <f>IF($B244="","",TEXT($B244,"yyyy-mm"))</f>
        <v/>
      </c>
      <c r="E244" s="40" t="n"/>
      <c r="F244" s="40" t="n"/>
      <c r="G244" s="15">
        <f>IF(OR($E244="",$F244=""),"",IFERROR(IF($E244=INDEX(Cluster_Master!$A$4:$A$18,MATCH($F244,Cluster_Master!$B$4:$B$18,0)),"OK","CHECK"),"CHECK"))</f>
        <v/>
      </c>
      <c r="H244" s="18">
        <f>IFERROR(INDEX(Cluster_Master!$C$4:$C$18,MATCH($F244,Cluster_Master!$B$4:$B$18,0)),"")</f>
        <v/>
      </c>
      <c r="I244" s="15">
        <f>IFERROR(INDEX(Cluster_Master!$D$4:$D$18,MATCH($F244,Cluster_Master!$B$4:$B$18,0)),"")</f>
        <v/>
      </c>
      <c r="J244" s="15">
        <f>IFERROR(INDEX(Cluster_Master!$E$4:$E$18,MATCH($F244,Cluster_Master!$B$4:$B$18,0)),"")</f>
        <v/>
      </c>
      <c r="K244" s="15">
        <f>IFERROR(INDEX(Cluster_Master!$F$4:$F$18,MATCH($F244,Cluster_Master!$B$4:$B$18,0)),"")</f>
        <v/>
      </c>
      <c r="L244" s="15">
        <f>IFERROR(INDEX(Cluster_Master!$G$4:$G$18,MATCH($F244,Cluster_Master!$B$4:$B$18,0)),"")</f>
        <v/>
      </c>
      <c r="M244" s="15">
        <f>IFERROR(INDEX(Cluster_Master!$H$4:$H$18,MATCH($F244,Cluster_Master!$B$4:$B$18,0)),"")</f>
        <v/>
      </c>
      <c r="N244" s="41" t="n"/>
      <c r="O244" s="41" t="n"/>
      <c r="P244" s="41" t="n"/>
      <c r="Q244" s="41" t="n"/>
      <c r="R244" s="41" t="n"/>
      <c r="S244" s="41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15">
        <f>IF(COUNTA(T244:AH244)=0,"",SUM(T244:AH244))</f>
        <v/>
      </c>
      <c r="AJ244" s="21">
        <f>IF(COUNTA(T244:AH244)=0,"",AI244/(COUNT(KPI_Weights!$A$4:$A$18)*5))</f>
        <v/>
      </c>
      <c r="AK244" s="21">
        <f>IF(COUNTA(T244:AH244)=0,"",SUMPRODUCT(T244:AH244,KPI_Weights!$B$4:$B$18)/5)</f>
        <v/>
      </c>
      <c r="AL244" s="15">
        <f>IF(COUNTA(T244:AH244)=0,"",IF(SUMPRODUCT(--(T244:AH244&lt;=1),--(KPI_Weights!$C$4:$C$18="YES"))&gt;0,"YES","NO"))</f>
        <v/>
      </c>
      <c r="AM244" s="15">
        <f>IF(AJ244="","",IF(AND(AL244="NO",AJ244&gt;=0.75),"YES","NO"))</f>
        <v/>
      </c>
      <c r="AN244" s="15">
        <f>IF(AJ244="","",IF(AJ244&lt;0.4,"Critical",IF(AJ244&lt;0.6,"Poor",IF(AJ244&lt;0.75,"Needs Improvement",IF(AJ244&lt;0.9,"Good","Excellent")))))</f>
        <v/>
      </c>
      <c r="AO244" s="41" t="n"/>
      <c r="AP244" s="41" t="n"/>
      <c r="AQ244" s="41" t="n"/>
      <c r="AR244" s="41" t="n"/>
      <c r="AS244" s="41" t="n"/>
      <c r="AT244" s="44" t="n"/>
      <c r="AU244" s="41" t="n"/>
      <c r="AV244" s="43" t="n"/>
      <c r="AW244" s="41" t="n"/>
      <c r="AX244" s="44" t="n"/>
      <c r="AY244" s="44" t="n"/>
      <c r="AZ244" s="44" t="n"/>
      <c r="BA244" s="44" t="n"/>
      <c r="BB244" s="44" t="n"/>
      <c r="BC244" s="44" t="n"/>
      <c r="BD244" s="44" t="n"/>
      <c r="BE244" s="44" t="n"/>
      <c r="BF244" s="44" t="n"/>
    </row>
    <row r="245" ht="19.5" customHeight="1" s="45">
      <c r="A245" s="15">
        <f>IF($B245="","",TEXT($B245,"yyyymmdd")&amp;"-"&amp;SUBSTITUTE($F245," ","")&amp;"-"&amp;TEXT(COUNTIF($F$4:F245,$F245),"00"))</f>
        <v/>
      </c>
      <c r="B245" s="39" t="n"/>
      <c r="C245" s="15">
        <f>IF($B245="","",WEEKNUM($B245,2))</f>
        <v/>
      </c>
      <c r="D245" s="15">
        <f>IF($B245="","",TEXT($B245,"yyyy-mm"))</f>
        <v/>
      </c>
      <c r="E245" s="40" t="n"/>
      <c r="F245" s="40" t="n"/>
      <c r="G245" s="15">
        <f>IF(OR($E245="",$F245=""),"",IFERROR(IF($E245=INDEX(Cluster_Master!$A$4:$A$18,MATCH($F245,Cluster_Master!$B$4:$B$18,0)),"OK","CHECK"),"CHECK"))</f>
        <v/>
      </c>
      <c r="H245" s="18">
        <f>IFERROR(INDEX(Cluster_Master!$C$4:$C$18,MATCH($F245,Cluster_Master!$B$4:$B$18,0)),"")</f>
        <v/>
      </c>
      <c r="I245" s="15">
        <f>IFERROR(INDEX(Cluster_Master!$D$4:$D$18,MATCH($F245,Cluster_Master!$B$4:$B$18,0)),"")</f>
        <v/>
      </c>
      <c r="J245" s="15">
        <f>IFERROR(INDEX(Cluster_Master!$E$4:$E$18,MATCH($F245,Cluster_Master!$B$4:$B$18,0)),"")</f>
        <v/>
      </c>
      <c r="K245" s="15">
        <f>IFERROR(INDEX(Cluster_Master!$F$4:$F$18,MATCH($F245,Cluster_Master!$B$4:$B$18,0)),"")</f>
        <v/>
      </c>
      <c r="L245" s="15">
        <f>IFERROR(INDEX(Cluster_Master!$G$4:$G$18,MATCH($F245,Cluster_Master!$B$4:$B$18,0)),"")</f>
        <v/>
      </c>
      <c r="M245" s="15">
        <f>IFERROR(INDEX(Cluster_Master!$H$4:$H$18,MATCH($F245,Cluster_Master!$B$4:$B$18,0)),"")</f>
        <v/>
      </c>
      <c r="N245" s="41" t="n"/>
      <c r="O245" s="41" t="n"/>
      <c r="P245" s="41" t="n"/>
      <c r="Q245" s="41" t="n"/>
      <c r="R245" s="41" t="n"/>
      <c r="S245" s="41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15">
        <f>IF(COUNTA(T245:AH245)=0,"",SUM(T245:AH245))</f>
        <v/>
      </c>
      <c r="AJ245" s="21">
        <f>IF(COUNTA(T245:AH245)=0,"",AI245/(COUNT(KPI_Weights!$A$4:$A$18)*5))</f>
        <v/>
      </c>
      <c r="AK245" s="21">
        <f>IF(COUNTA(T245:AH245)=0,"",SUMPRODUCT(T245:AH245,KPI_Weights!$B$4:$B$18)/5)</f>
        <v/>
      </c>
      <c r="AL245" s="15">
        <f>IF(COUNTA(T245:AH245)=0,"",IF(SUMPRODUCT(--(T245:AH245&lt;=1),--(KPI_Weights!$C$4:$C$18="YES"))&gt;0,"YES","NO"))</f>
        <v/>
      </c>
      <c r="AM245" s="15">
        <f>IF(AJ245="","",IF(AND(AL245="NO",AJ245&gt;=0.75),"YES","NO"))</f>
        <v/>
      </c>
      <c r="AN245" s="15">
        <f>IF(AJ245="","",IF(AJ245&lt;0.4,"Critical",IF(AJ245&lt;0.6,"Poor",IF(AJ245&lt;0.75,"Needs Improvement",IF(AJ245&lt;0.9,"Good","Excellent")))))</f>
        <v/>
      </c>
      <c r="AO245" s="41" t="n"/>
      <c r="AP245" s="41" t="n"/>
      <c r="AQ245" s="41" t="n"/>
      <c r="AR245" s="41" t="n"/>
      <c r="AS245" s="41" t="n"/>
      <c r="AT245" s="44" t="n"/>
      <c r="AU245" s="41" t="n"/>
      <c r="AV245" s="43" t="n"/>
      <c r="AW245" s="41" t="n"/>
      <c r="AX245" s="44" t="n"/>
      <c r="AY245" s="44" t="n"/>
      <c r="AZ245" s="44" t="n"/>
      <c r="BA245" s="44" t="n"/>
      <c r="BB245" s="44" t="n"/>
      <c r="BC245" s="44" t="n"/>
      <c r="BD245" s="44" t="n"/>
      <c r="BE245" s="44" t="n"/>
      <c r="BF245" s="44" t="n"/>
    </row>
    <row r="246" ht="19.5" customHeight="1" s="45">
      <c r="A246" s="15">
        <f>IF($B246="","",TEXT($B246,"yyyymmdd")&amp;"-"&amp;SUBSTITUTE($F246," ","")&amp;"-"&amp;TEXT(COUNTIF($F$4:F246,$F246),"00"))</f>
        <v/>
      </c>
      <c r="B246" s="39" t="n"/>
      <c r="C246" s="15">
        <f>IF($B246="","",WEEKNUM($B246,2))</f>
        <v/>
      </c>
      <c r="D246" s="15">
        <f>IF($B246="","",TEXT($B246,"yyyy-mm"))</f>
        <v/>
      </c>
      <c r="E246" s="40" t="n"/>
      <c r="F246" s="40" t="n"/>
      <c r="G246" s="15">
        <f>IF(OR($E246="",$F246=""),"",IFERROR(IF($E246=INDEX(Cluster_Master!$A$4:$A$18,MATCH($F246,Cluster_Master!$B$4:$B$18,0)),"OK","CHECK"),"CHECK"))</f>
        <v/>
      </c>
      <c r="H246" s="18">
        <f>IFERROR(INDEX(Cluster_Master!$C$4:$C$18,MATCH($F246,Cluster_Master!$B$4:$B$18,0)),"")</f>
        <v/>
      </c>
      <c r="I246" s="15">
        <f>IFERROR(INDEX(Cluster_Master!$D$4:$D$18,MATCH($F246,Cluster_Master!$B$4:$B$18,0)),"")</f>
        <v/>
      </c>
      <c r="J246" s="15">
        <f>IFERROR(INDEX(Cluster_Master!$E$4:$E$18,MATCH($F246,Cluster_Master!$B$4:$B$18,0)),"")</f>
        <v/>
      </c>
      <c r="K246" s="15">
        <f>IFERROR(INDEX(Cluster_Master!$F$4:$F$18,MATCH($F246,Cluster_Master!$B$4:$B$18,0)),"")</f>
        <v/>
      </c>
      <c r="L246" s="15">
        <f>IFERROR(INDEX(Cluster_Master!$G$4:$G$18,MATCH($F246,Cluster_Master!$B$4:$B$18,0)),"")</f>
        <v/>
      </c>
      <c r="M246" s="15">
        <f>IFERROR(INDEX(Cluster_Master!$H$4:$H$18,MATCH($F246,Cluster_Master!$B$4:$B$18,0)),"")</f>
        <v/>
      </c>
      <c r="N246" s="41" t="n"/>
      <c r="O246" s="41" t="n"/>
      <c r="P246" s="41" t="n"/>
      <c r="Q246" s="41" t="n"/>
      <c r="R246" s="41" t="n"/>
      <c r="S246" s="41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15">
        <f>IF(COUNTA(T246:AH246)=0,"",SUM(T246:AH246))</f>
        <v/>
      </c>
      <c r="AJ246" s="21">
        <f>IF(COUNTA(T246:AH246)=0,"",AI246/(COUNT(KPI_Weights!$A$4:$A$18)*5))</f>
        <v/>
      </c>
      <c r="AK246" s="21">
        <f>IF(COUNTA(T246:AH246)=0,"",SUMPRODUCT(T246:AH246,KPI_Weights!$B$4:$B$18)/5)</f>
        <v/>
      </c>
      <c r="AL246" s="15">
        <f>IF(COUNTA(T246:AH246)=0,"",IF(SUMPRODUCT(--(T246:AH246&lt;=1),--(KPI_Weights!$C$4:$C$18="YES"))&gt;0,"YES","NO"))</f>
        <v/>
      </c>
      <c r="AM246" s="15">
        <f>IF(AJ246="","",IF(AND(AL246="NO",AJ246&gt;=0.75),"YES","NO"))</f>
        <v/>
      </c>
      <c r="AN246" s="15">
        <f>IF(AJ246="","",IF(AJ246&lt;0.4,"Critical",IF(AJ246&lt;0.6,"Poor",IF(AJ246&lt;0.75,"Needs Improvement",IF(AJ246&lt;0.9,"Good","Excellent")))))</f>
        <v/>
      </c>
      <c r="AO246" s="41" t="n"/>
      <c r="AP246" s="41" t="n"/>
      <c r="AQ246" s="41" t="n"/>
      <c r="AR246" s="41" t="n"/>
      <c r="AS246" s="41" t="n"/>
      <c r="AT246" s="44" t="n"/>
      <c r="AU246" s="41" t="n"/>
      <c r="AV246" s="43" t="n"/>
      <c r="AW246" s="41" t="n"/>
      <c r="AX246" s="44" t="n"/>
      <c r="AY246" s="44" t="n"/>
      <c r="AZ246" s="44" t="n"/>
      <c r="BA246" s="44" t="n"/>
      <c r="BB246" s="44" t="n"/>
      <c r="BC246" s="44" t="n"/>
      <c r="BD246" s="44" t="n"/>
      <c r="BE246" s="44" t="n"/>
      <c r="BF246" s="44" t="n"/>
    </row>
    <row r="247" ht="19.5" customHeight="1" s="45">
      <c r="A247" s="15">
        <f>IF($B247="","",TEXT($B247,"yyyymmdd")&amp;"-"&amp;SUBSTITUTE($F247," ","")&amp;"-"&amp;TEXT(COUNTIF($F$4:F247,$F247),"00"))</f>
        <v/>
      </c>
      <c r="B247" s="39" t="n"/>
      <c r="C247" s="15">
        <f>IF($B247="","",WEEKNUM($B247,2))</f>
        <v/>
      </c>
      <c r="D247" s="15">
        <f>IF($B247="","",TEXT($B247,"yyyy-mm"))</f>
        <v/>
      </c>
      <c r="E247" s="40" t="n"/>
      <c r="F247" s="40" t="n"/>
      <c r="G247" s="15">
        <f>IF(OR($E247="",$F247=""),"",IFERROR(IF($E247=INDEX(Cluster_Master!$A$4:$A$18,MATCH($F247,Cluster_Master!$B$4:$B$18,0)),"OK","CHECK"),"CHECK"))</f>
        <v/>
      </c>
      <c r="H247" s="18">
        <f>IFERROR(INDEX(Cluster_Master!$C$4:$C$18,MATCH($F247,Cluster_Master!$B$4:$B$18,0)),"")</f>
        <v/>
      </c>
      <c r="I247" s="15">
        <f>IFERROR(INDEX(Cluster_Master!$D$4:$D$18,MATCH($F247,Cluster_Master!$B$4:$B$18,0)),"")</f>
        <v/>
      </c>
      <c r="J247" s="15">
        <f>IFERROR(INDEX(Cluster_Master!$E$4:$E$18,MATCH($F247,Cluster_Master!$B$4:$B$18,0)),"")</f>
        <v/>
      </c>
      <c r="K247" s="15">
        <f>IFERROR(INDEX(Cluster_Master!$F$4:$F$18,MATCH($F247,Cluster_Master!$B$4:$B$18,0)),"")</f>
        <v/>
      </c>
      <c r="L247" s="15">
        <f>IFERROR(INDEX(Cluster_Master!$G$4:$G$18,MATCH($F247,Cluster_Master!$B$4:$B$18,0)),"")</f>
        <v/>
      </c>
      <c r="M247" s="15">
        <f>IFERROR(INDEX(Cluster_Master!$H$4:$H$18,MATCH($F247,Cluster_Master!$B$4:$B$18,0)),"")</f>
        <v/>
      </c>
      <c r="N247" s="41" t="n"/>
      <c r="O247" s="41" t="n"/>
      <c r="P247" s="41" t="n"/>
      <c r="Q247" s="41" t="n"/>
      <c r="R247" s="41" t="n"/>
      <c r="S247" s="41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15">
        <f>IF(COUNTA(T247:AH247)=0,"",SUM(T247:AH247))</f>
        <v/>
      </c>
      <c r="AJ247" s="21">
        <f>IF(COUNTA(T247:AH247)=0,"",AI247/(COUNT(KPI_Weights!$A$4:$A$18)*5))</f>
        <v/>
      </c>
      <c r="AK247" s="21">
        <f>IF(COUNTA(T247:AH247)=0,"",SUMPRODUCT(T247:AH247,KPI_Weights!$B$4:$B$18)/5)</f>
        <v/>
      </c>
      <c r="AL247" s="15">
        <f>IF(COUNTA(T247:AH247)=0,"",IF(SUMPRODUCT(--(T247:AH247&lt;=1),--(KPI_Weights!$C$4:$C$18="YES"))&gt;0,"YES","NO"))</f>
        <v/>
      </c>
      <c r="AM247" s="15">
        <f>IF(AJ247="","",IF(AND(AL247="NO",AJ247&gt;=0.75),"YES","NO"))</f>
        <v/>
      </c>
      <c r="AN247" s="15">
        <f>IF(AJ247="","",IF(AJ247&lt;0.4,"Critical",IF(AJ247&lt;0.6,"Poor",IF(AJ247&lt;0.75,"Needs Improvement",IF(AJ247&lt;0.9,"Good","Excellent")))))</f>
        <v/>
      </c>
      <c r="AO247" s="41" t="n"/>
      <c r="AP247" s="41" t="n"/>
      <c r="AQ247" s="41" t="n"/>
      <c r="AR247" s="41" t="n"/>
      <c r="AS247" s="41" t="n"/>
      <c r="AT247" s="44" t="n"/>
      <c r="AU247" s="41" t="n"/>
      <c r="AV247" s="43" t="n"/>
      <c r="AW247" s="41" t="n"/>
      <c r="AX247" s="44" t="n"/>
      <c r="AY247" s="44" t="n"/>
      <c r="AZ247" s="44" t="n"/>
      <c r="BA247" s="44" t="n"/>
      <c r="BB247" s="44" t="n"/>
      <c r="BC247" s="44" t="n"/>
      <c r="BD247" s="44" t="n"/>
      <c r="BE247" s="44" t="n"/>
      <c r="BF247" s="44" t="n"/>
    </row>
    <row r="248" ht="19.5" customHeight="1" s="45">
      <c r="A248" s="15">
        <f>IF($B248="","",TEXT($B248,"yyyymmdd")&amp;"-"&amp;SUBSTITUTE($F248," ","")&amp;"-"&amp;TEXT(COUNTIF($F$4:F248,$F248),"00"))</f>
        <v/>
      </c>
      <c r="B248" s="39" t="n"/>
      <c r="C248" s="15">
        <f>IF($B248="","",WEEKNUM($B248,2))</f>
        <v/>
      </c>
      <c r="D248" s="15">
        <f>IF($B248="","",TEXT($B248,"yyyy-mm"))</f>
        <v/>
      </c>
      <c r="E248" s="40" t="n"/>
      <c r="F248" s="40" t="n"/>
      <c r="G248" s="15">
        <f>IF(OR($E248="",$F248=""),"",IFERROR(IF($E248=INDEX(Cluster_Master!$A$4:$A$18,MATCH($F248,Cluster_Master!$B$4:$B$18,0)),"OK","CHECK"),"CHECK"))</f>
        <v/>
      </c>
      <c r="H248" s="18">
        <f>IFERROR(INDEX(Cluster_Master!$C$4:$C$18,MATCH($F248,Cluster_Master!$B$4:$B$18,0)),"")</f>
        <v/>
      </c>
      <c r="I248" s="15">
        <f>IFERROR(INDEX(Cluster_Master!$D$4:$D$18,MATCH($F248,Cluster_Master!$B$4:$B$18,0)),"")</f>
        <v/>
      </c>
      <c r="J248" s="15">
        <f>IFERROR(INDEX(Cluster_Master!$E$4:$E$18,MATCH($F248,Cluster_Master!$B$4:$B$18,0)),"")</f>
        <v/>
      </c>
      <c r="K248" s="15">
        <f>IFERROR(INDEX(Cluster_Master!$F$4:$F$18,MATCH($F248,Cluster_Master!$B$4:$B$18,0)),"")</f>
        <v/>
      </c>
      <c r="L248" s="15">
        <f>IFERROR(INDEX(Cluster_Master!$G$4:$G$18,MATCH($F248,Cluster_Master!$B$4:$B$18,0)),"")</f>
        <v/>
      </c>
      <c r="M248" s="15">
        <f>IFERROR(INDEX(Cluster_Master!$H$4:$H$18,MATCH($F248,Cluster_Master!$B$4:$B$18,0)),"")</f>
        <v/>
      </c>
      <c r="N248" s="41" t="n"/>
      <c r="O248" s="41" t="n"/>
      <c r="P248" s="41" t="n"/>
      <c r="Q248" s="41" t="n"/>
      <c r="R248" s="41" t="n"/>
      <c r="S248" s="41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15">
        <f>IF(COUNTA(T248:AH248)=0,"",SUM(T248:AH248))</f>
        <v/>
      </c>
      <c r="AJ248" s="21">
        <f>IF(COUNTA(T248:AH248)=0,"",AI248/(COUNT(KPI_Weights!$A$4:$A$18)*5))</f>
        <v/>
      </c>
      <c r="AK248" s="21">
        <f>IF(COUNTA(T248:AH248)=0,"",SUMPRODUCT(T248:AH248,KPI_Weights!$B$4:$B$18)/5)</f>
        <v/>
      </c>
      <c r="AL248" s="15">
        <f>IF(COUNTA(T248:AH248)=0,"",IF(SUMPRODUCT(--(T248:AH248&lt;=1),--(KPI_Weights!$C$4:$C$18="YES"))&gt;0,"YES","NO"))</f>
        <v/>
      </c>
      <c r="AM248" s="15">
        <f>IF(AJ248="","",IF(AND(AL248="NO",AJ248&gt;=0.75),"YES","NO"))</f>
        <v/>
      </c>
      <c r="AN248" s="15">
        <f>IF(AJ248="","",IF(AJ248&lt;0.4,"Critical",IF(AJ248&lt;0.6,"Poor",IF(AJ248&lt;0.75,"Needs Improvement",IF(AJ248&lt;0.9,"Good","Excellent")))))</f>
        <v/>
      </c>
      <c r="AO248" s="41" t="n"/>
      <c r="AP248" s="41" t="n"/>
      <c r="AQ248" s="41" t="n"/>
      <c r="AR248" s="41" t="n"/>
      <c r="AS248" s="41" t="n"/>
      <c r="AT248" s="44" t="n"/>
      <c r="AU248" s="41" t="n"/>
      <c r="AV248" s="43" t="n"/>
      <c r="AW248" s="41" t="n"/>
      <c r="AX248" s="44" t="n"/>
      <c r="AY248" s="44" t="n"/>
      <c r="AZ248" s="44" t="n"/>
      <c r="BA248" s="44" t="n"/>
      <c r="BB248" s="44" t="n"/>
      <c r="BC248" s="44" t="n"/>
      <c r="BD248" s="44" t="n"/>
      <c r="BE248" s="44" t="n"/>
      <c r="BF248" s="44" t="n"/>
    </row>
    <row r="249" ht="19.5" customHeight="1" s="45">
      <c r="A249" s="15">
        <f>IF($B249="","",TEXT($B249,"yyyymmdd")&amp;"-"&amp;SUBSTITUTE($F249," ","")&amp;"-"&amp;TEXT(COUNTIF($F$4:F249,$F249),"00"))</f>
        <v/>
      </c>
      <c r="B249" s="39" t="n"/>
      <c r="C249" s="15">
        <f>IF($B249="","",WEEKNUM($B249,2))</f>
        <v/>
      </c>
      <c r="D249" s="15">
        <f>IF($B249="","",TEXT($B249,"yyyy-mm"))</f>
        <v/>
      </c>
      <c r="E249" s="40" t="n"/>
      <c r="F249" s="40" t="n"/>
      <c r="G249" s="15">
        <f>IF(OR($E249="",$F249=""),"",IFERROR(IF($E249=INDEX(Cluster_Master!$A$4:$A$18,MATCH($F249,Cluster_Master!$B$4:$B$18,0)),"OK","CHECK"),"CHECK"))</f>
        <v/>
      </c>
      <c r="H249" s="18">
        <f>IFERROR(INDEX(Cluster_Master!$C$4:$C$18,MATCH($F249,Cluster_Master!$B$4:$B$18,0)),"")</f>
        <v/>
      </c>
      <c r="I249" s="15">
        <f>IFERROR(INDEX(Cluster_Master!$D$4:$D$18,MATCH($F249,Cluster_Master!$B$4:$B$18,0)),"")</f>
        <v/>
      </c>
      <c r="J249" s="15">
        <f>IFERROR(INDEX(Cluster_Master!$E$4:$E$18,MATCH($F249,Cluster_Master!$B$4:$B$18,0)),"")</f>
        <v/>
      </c>
      <c r="K249" s="15">
        <f>IFERROR(INDEX(Cluster_Master!$F$4:$F$18,MATCH($F249,Cluster_Master!$B$4:$B$18,0)),"")</f>
        <v/>
      </c>
      <c r="L249" s="15">
        <f>IFERROR(INDEX(Cluster_Master!$G$4:$G$18,MATCH($F249,Cluster_Master!$B$4:$B$18,0)),"")</f>
        <v/>
      </c>
      <c r="M249" s="15">
        <f>IFERROR(INDEX(Cluster_Master!$H$4:$H$18,MATCH($F249,Cluster_Master!$B$4:$B$18,0)),"")</f>
        <v/>
      </c>
      <c r="N249" s="41" t="n"/>
      <c r="O249" s="41" t="n"/>
      <c r="P249" s="41" t="n"/>
      <c r="Q249" s="41" t="n"/>
      <c r="R249" s="41" t="n"/>
      <c r="S249" s="41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15">
        <f>IF(COUNTA(T249:AH249)=0,"",SUM(T249:AH249))</f>
        <v/>
      </c>
      <c r="AJ249" s="21">
        <f>IF(COUNTA(T249:AH249)=0,"",AI249/(COUNT(KPI_Weights!$A$4:$A$18)*5))</f>
        <v/>
      </c>
      <c r="AK249" s="21">
        <f>IF(COUNTA(T249:AH249)=0,"",SUMPRODUCT(T249:AH249,KPI_Weights!$B$4:$B$18)/5)</f>
        <v/>
      </c>
      <c r="AL249" s="15">
        <f>IF(COUNTA(T249:AH249)=0,"",IF(SUMPRODUCT(--(T249:AH249&lt;=1),--(KPI_Weights!$C$4:$C$18="YES"))&gt;0,"YES","NO"))</f>
        <v/>
      </c>
      <c r="AM249" s="15">
        <f>IF(AJ249="","",IF(AND(AL249="NO",AJ249&gt;=0.75),"YES","NO"))</f>
        <v/>
      </c>
      <c r="AN249" s="15">
        <f>IF(AJ249="","",IF(AJ249&lt;0.4,"Critical",IF(AJ249&lt;0.6,"Poor",IF(AJ249&lt;0.75,"Needs Improvement",IF(AJ249&lt;0.9,"Good","Excellent")))))</f>
        <v/>
      </c>
      <c r="AO249" s="41" t="n"/>
      <c r="AP249" s="41" t="n"/>
      <c r="AQ249" s="41" t="n"/>
      <c r="AR249" s="41" t="n"/>
      <c r="AS249" s="41" t="n"/>
      <c r="AT249" s="44" t="n"/>
      <c r="AU249" s="41" t="n"/>
      <c r="AV249" s="43" t="n"/>
      <c r="AW249" s="41" t="n"/>
      <c r="AX249" s="44" t="n"/>
      <c r="AY249" s="44" t="n"/>
      <c r="AZ249" s="44" t="n"/>
      <c r="BA249" s="44" t="n"/>
      <c r="BB249" s="44" t="n"/>
      <c r="BC249" s="44" t="n"/>
      <c r="BD249" s="44" t="n"/>
      <c r="BE249" s="44" t="n"/>
      <c r="BF249" s="44" t="n"/>
    </row>
    <row r="250" ht="19.5" customHeight="1" s="45">
      <c r="A250" s="15">
        <f>IF($B250="","",TEXT($B250,"yyyymmdd")&amp;"-"&amp;SUBSTITUTE($F250," ","")&amp;"-"&amp;TEXT(COUNTIF($F$4:F250,$F250),"00"))</f>
        <v/>
      </c>
      <c r="B250" s="39" t="n"/>
      <c r="C250" s="15">
        <f>IF($B250="","",WEEKNUM($B250,2))</f>
        <v/>
      </c>
      <c r="D250" s="15">
        <f>IF($B250="","",TEXT($B250,"yyyy-mm"))</f>
        <v/>
      </c>
      <c r="E250" s="40" t="n"/>
      <c r="F250" s="40" t="n"/>
      <c r="G250" s="15">
        <f>IF(OR($E250="",$F250=""),"",IFERROR(IF($E250=INDEX(Cluster_Master!$A$4:$A$18,MATCH($F250,Cluster_Master!$B$4:$B$18,0)),"OK","CHECK"),"CHECK"))</f>
        <v/>
      </c>
      <c r="H250" s="18">
        <f>IFERROR(INDEX(Cluster_Master!$C$4:$C$18,MATCH($F250,Cluster_Master!$B$4:$B$18,0)),"")</f>
        <v/>
      </c>
      <c r="I250" s="15">
        <f>IFERROR(INDEX(Cluster_Master!$D$4:$D$18,MATCH($F250,Cluster_Master!$B$4:$B$18,0)),"")</f>
        <v/>
      </c>
      <c r="J250" s="15">
        <f>IFERROR(INDEX(Cluster_Master!$E$4:$E$18,MATCH($F250,Cluster_Master!$B$4:$B$18,0)),"")</f>
        <v/>
      </c>
      <c r="K250" s="15">
        <f>IFERROR(INDEX(Cluster_Master!$F$4:$F$18,MATCH($F250,Cluster_Master!$B$4:$B$18,0)),"")</f>
        <v/>
      </c>
      <c r="L250" s="15">
        <f>IFERROR(INDEX(Cluster_Master!$G$4:$G$18,MATCH($F250,Cluster_Master!$B$4:$B$18,0)),"")</f>
        <v/>
      </c>
      <c r="M250" s="15">
        <f>IFERROR(INDEX(Cluster_Master!$H$4:$H$18,MATCH($F250,Cluster_Master!$B$4:$B$18,0)),"")</f>
        <v/>
      </c>
      <c r="N250" s="41" t="n"/>
      <c r="O250" s="41" t="n"/>
      <c r="P250" s="41" t="n"/>
      <c r="Q250" s="41" t="n"/>
      <c r="R250" s="41" t="n"/>
      <c r="S250" s="41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15">
        <f>IF(COUNTA(T250:AH250)=0,"",SUM(T250:AH250))</f>
        <v/>
      </c>
      <c r="AJ250" s="21">
        <f>IF(COUNTA(T250:AH250)=0,"",AI250/(COUNT(KPI_Weights!$A$4:$A$18)*5))</f>
        <v/>
      </c>
      <c r="AK250" s="21">
        <f>IF(COUNTA(T250:AH250)=0,"",SUMPRODUCT(T250:AH250,KPI_Weights!$B$4:$B$18)/5)</f>
        <v/>
      </c>
      <c r="AL250" s="15">
        <f>IF(COUNTA(T250:AH250)=0,"",IF(SUMPRODUCT(--(T250:AH250&lt;=1),--(KPI_Weights!$C$4:$C$18="YES"))&gt;0,"YES","NO"))</f>
        <v/>
      </c>
      <c r="AM250" s="15">
        <f>IF(AJ250="","",IF(AND(AL250="NO",AJ250&gt;=0.75),"YES","NO"))</f>
        <v/>
      </c>
      <c r="AN250" s="15">
        <f>IF(AJ250="","",IF(AJ250&lt;0.4,"Critical",IF(AJ250&lt;0.6,"Poor",IF(AJ250&lt;0.75,"Needs Improvement",IF(AJ250&lt;0.9,"Good","Excellent")))))</f>
        <v/>
      </c>
      <c r="AO250" s="41" t="n"/>
      <c r="AP250" s="41" t="n"/>
      <c r="AQ250" s="41" t="n"/>
      <c r="AR250" s="41" t="n"/>
      <c r="AS250" s="41" t="n"/>
      <c r="AT250" s="44" t="n"/>
      <c r="AU250" s="41" t="n"/>
      <c r="AV250" s="43" t="n"/>
      <c r="AW250" s="41" t="n"/>
      <c r="AX250" s="44" t="n"/>
      <c r="AY250" s="44" t="n"/>
      <c r="AZ250" s="44" t="n"/>
      <c r="BA250" s="44" t="n"/>
      <c r="BB250" s="44" t="n"/>
      <c r="BC250" s="44" t="n"/>
      <c r="BD250" s="44" t="n"/>
      <c r="BE250" s="44" t="n"/>
      <c r="BF250" s="44" t="n"/>
    </row>
    <row r="251" ht="19.5" customHeight="1" s="45">
      <c r="A251" s="15">
        <f>IF($B251="","",TEXT($B251,"yyyymmdd")&amp;"-"&amp;SUBSTITUTE($F251," ","")&amp;"-"&amp;TEXT(COUNTIF($F$4:F251,$F251),"00"))</f>
        <v/>
      </c>
      <c r="B251" s="39" t="n"/>
      <c r="C251" s="15">
        <f>IF($B251="","",WEEKNUM($B251,2))</f>
        <v/>
      </c>
      <c r="D251" s="15">
        <f>IF($B251="","",TEXT($B251,"yyyy-mm"))</f>
        <v/>
      </c>
      <c r="E251" s="40" t="n"/>
      <c r="F251" s="40" t="n"/>
      <c r="G251" s="15">
        <f>IF(OR($E251="",$F251=""),"",IFERROR(IF($E251=INDEX(Cluster_Master!$A$4:$A$18,MATCH($F251,Cluster_Master!$B$4:$B$18,0)),"OK","CHECK"),"CHECK"))</f>
        <v/>
      </c>
      <c r="H251" s="18">
        <f>IFERROR(INDEX(Cluster_Master!$C$4:$C$18,MATCH($F251,Cluster_Master!$B$4:$B$18,0)),"")</f>
        <v/>
      </c>
      <c r="I251" s="15">
        <f>IFERROR(INDEX(Cluster_Master!$D$4:$D$18,MATCH($F251,Cluster_Master!$B$4:$B$18,0)),"")</f>
        <v/>
      </c>
      <c r="J251" s="15">
        <f>IFERROR(INDEX(Cluster_Master!$E$4:$E$18,MATCH($F251,Cluster_Master!$B$4:$B$18,0)),"")</f>
        <v/>
      </c>
      <c r="K251" s="15">
        <f>IFERROR(INDEX(Cluster_Master!$F$4:$F$18,MATCH($F251,Cluster_Master!$B$4:$B$18,0)),"")</f>
        <v/>
      </c>
      <c r="L251" s="15">
        <f>IFERROR(INDEX(Cluster_Master!$G$4:$G$18,MATCH($F251,Cluster_Master!$B$4:$B$18,0)),"")</f>
        <v/>
      </c>
      <c r="M251" s="15">
        <f>IFERROR(INDEX(Cluster_Master!$H$4:$H$18,MATCH($F251,Cluster_Master!$B$4:$B$18,0)),"")</f>
        <v/>
      </c>
      <c r="N251" s="41" t="n"/>
      <c r="O251" s="41" t="n"/>
      <c r="P251" s="41" t="n"/>
      <c r="Q251" s="41" t="n"/>
      <c r="R251" s="41" t="n"/>
      <c r="S251" s="41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15">
        <f>IF(COUNTA(T251:AH251)=0,"",SUM(T251:AH251))</f>
        <v/>
      </c>
      <c r="AJ251" s="21">
        <f>IF(COUNTA(T251:AH251)=0,"",AI251/(COUNT(KPI_Weights!$A$4:$A$18)*5))</f>
        <v/>
      </c>
      <c r="AK251" s="21">
        <f>IF(COUNTA(T251:AH251)=0,"",SUMPRODUCT(T251:AH251,KPI_Weights!$B$4:$B$18)/5)</f>
        <v/>
      </c>
      <c r="AL251" s="15">
        <f>IF(COUNTA(T251:AH251)=0,"",IF(SUMPRODUCT(--(T251:AH251&lt;=1),--(KPI_Weights!$C$4:$C$18="YES"))&gt;0,"YES","NO"))</f>
        <v/>
      </c>
      <c r="AM251" s="15">
        <f>IF(AJ251="","",IF(AND(AL251="NO",AJ251&gt;=0.75),"YES","NO"))</f>
        <v/>
      </c>
      <c r="AN251" s="15">
        <f>IF(AJ251="","",IF(AJ251&lt;0.4,"Critical",IF(AJ251&lt;0.6,"Poor",IF(AJ251&lt;0.75,"Needs Improvement",IF(AJ251&lt;0.9,"Good","Excellent")))))</f>
        <v/>
      </c>
      <c r="AO251" s="41" t="n"/>
      <c r="AP251" s="41" t="n"/>
      <c r="AQ251" s="41" t="n"/>
      <c r="AR251" s="41" t="n"/>
      <c r="AS251" s="41" t="n"/>
      <c r="AT251" s="44" t="n"/>
      <c r="AU251" s="41" t="n"/>
      <c r="AV251" s="43" t="n"/>
      <c r="AW251" s="41" t="n"/>
      <c r="AX251" s="44" t="n"/>
      <c r="AY251" s="44" t="n"/>
      <c r="AZ251" s="44" t="n"/>
      <c r="BA251" s="44" t="n"/>
      <c r="BB251" s="44" t="n"/>
      <c r="BC251" s="44" t="n"/>
      <c r="BD251" s="44" t="n"/>
      <c r="BE251" s="44" t="n"/>
      <c r="BF251" s="44" t="n"/>
    </row>
    <row r="252" ht="19.5" customHeight="1" s="45">
      <c r="A252" s="15">
        <f>IF($B252="","",TEXT($B252,"yyyymmdd")&amp;"-"&amp;SUBSTITUTE($F252," ","")&amp;"-"&amp;TEXT(COUNTIF($F$4:F252,$F252),"00"))</f>
        <v/>
      </c>
      <c r="B252" s="39" t="n"/>
      <c r="C252" s="15">
        <f>IF($B252="","",WEEKNUM($B252,2))</f>
        <v/>
      </c>
      <c r="D252" s="15">
        <f>IF($B252="","",TEXT($B252,"yyyy-mm"))</f>
        <v/>
      </c>
      <c r="E252" s="40" t="n"/>
      <c r="F252" s="40" t="n"/>
      <c r="G252" s="15">
        <f>IF(OR($E252="",$F252=""),"",IFERROR(IF($E252=INDEX(Cluster_Master!$A$4:$A$18,MATCH($F252,Cluster_Master!$B$4:$B$18,0)),"OK","CHECK"),"CHECK"))</f>
        <v/>
      </c>
      <c r="H252" s="18">
        <f>IFERROR(INDEX(Cluster_Master!$C$4:$C$18,MATCH($F252,Cluster_Master!$B$4:$B$18,0)),"")</f>
        <v/>
      </c>
      <c r="I252" s="15">
        <f>IFERROR(INDEX(Cluster_Master!$D$4:$D$18,MATCH($F252,Cluster_Master!$B$4:$B$18,0)),"")</f>
        <v/>
      </c>
      <c r="J252" s="15">
        <f>IFERROR(INDEX(Cluster_Master!$E$4:$E$18,MATCH($F252,Cluster_Master!$B$4:$B$18,0)),"")</f>
        <v/>
      </c>
      <c r="K252" s="15">
        <f>IFERROR(INDEX(Cluster_Master!$F$4:$F$18,MATCH($F252,Cluster_Master!$B$4:$B$18,0)),"")</f>
        <v/>
      </c>
      <c r="L252" s="15">
        <f>IFERROR(INDEX(Cluster_Master!$G$4:$G$18,MATCH($F252,Cluster_Master!$B$4:$B$18,0)),"")</f>
        <v/>
      </c>
      <c r="M252" s="15">
        <f>IFERROR(INDEX(Cluster_Master!$H$4:$H$18,MATCH($F252,Cluster_Master!$B$4:$B$18,0)),"")</f>
        <v/>
      </c>
      <c r="N252" s="41" t="n"/>
      <c r="O252" s="41" t="n"/>
      <c r="P252" s="41" t="n"/>
      <c r="Q252" s="41" t="n"/>
      <c r="R252" s="41" t="n"/>
      <c r="S252" s="41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15">
        <f>IF(COUNTA(T252:AH252)=0,"",SUM(T252:AH252))</f>
        <v/>
      </c>
      <c r="AJ252" s="21">
        <f>IF(COUNTA(T252:AH252)=0,"",AI252/(COUNT(KPI_Weights!$A$4:$A$18)*5))</f>
        <v/>
      </c>
      <c r="AK252" s="21">
        <f>IF(COUNTA(T252:AH252)=0,"",SUMPRODUCT(T252:AH252,KPI_Weights!$B$4:$B$18)/5)</f>
        <v/>
      </c>
      <c r="AL252" s="15">
        <f>IF(COUNTA(T252:AH252)=0,"",IF(SUMPRODUCT(--(T252:AH252&lt;=1),--(KPI_Weights!$C$4:$C$18="YES"))&gt;0,"YES","NO"))</f>
        <v/>
      </c>
      <c r="AM252" s="15">
        <f>IF(AJ252="","",IF(AND(AL252="NO",AJ252&gt;=0.75),"YES","NO"))</f>
        <v/>
      </c>
      <c r="AN252" s="15">
        <f>IF(AJ252="","",IF(AJ252&lt;0.4,"Critical",IF(AJ252&lt;0.6,"Poor",IF(AJ252&lt;0.75,"Needs Improvement",IF(AJ252&lt;0.9,"Good","Excellent")))))</f>
        <v/>
      </c>
      <c r="AO252" s="41" t="n"/>
      <c r="AP252" s="41" t="n"/>
      <c r="AQ252" s="41" t="n"/>
      <c r="AR252" s="41" t="n"/>
      <c r="AS252" s="41" t="n"/>
      <c r="AT252" s="44" t="n"/>
      <c r="AU252" s="41" t="n"/>
      <c r="AV252" s="43" t="n"/>
      <c r="AW252" s="41" t="n"/>
      <c r="AX252" s="44" t="n"/>
      <c r="AY252" s="44" t="n"/>
      <c r="AZ252" s="44" t="n"/>
      <c r="BA252" s="44" t="n"/>
      <c r="BB252" s="44" t="n"/>
      <c r="BC252" s="44" t="n"/>
      <c r="BD252" s="44" t="n"/>
      <c r="BE252" s="44" t="n"/>
      <c r="BF252" s="44" t="n"/>
    </row>
    <row r="253" ht="19.5" customHeight="1" s="45">
      <c r="A253" s="15">
        <f>IF($B253="","",TEXT($B253,"yyyymmdd")&amp;"-"&amp;SUBSTITUTE($F253," ","")&amp;"-"&amp;TEXT(COUNTIF($F$4:F253,$F253),"00"))</f>
        <v/>
      </c>
      <c r="B253" s="39" t="n"/>
      <c r="C253" s="15">
        <f>IF($B253="","",WEEKNUM($B253,2))</f>
        <v/>
      </c>
      <c r="D253" s="15">
        <f>IF($B253="","",TEXT($B253,"yyyy-mm"))</f>
        <v/>
      </c>
      <c r="E253" s="40" t="n"/>
      <c r="F253" s="40" t="n"/>
      <c r="G253" s="15">
        <f>IF(OR($E253="",$F253=""),"",IFERROR(IF($E253=INDEX(Cluster_Master!$A$4:$A$18,MATCH($F253,Cluster_Master!$B$4:$B$18,0)),"OK","CHECK"),"CHECK"))</f>
        <v/>
      </c>
      <c r="H253" s="18">
        <f>IFERROR(INDEX(Cluster_Master!$C$4:$C$18,MATCH($F253,Cluster_Master!$B$4:$B$18,0)),"")</f>
        <v/>
      </c>
      <c r="I253" s="15">
        <f>IFERROR(INDEX(Cluster_Master!$D$4:$D$18,MATCH($F253,Cluster_Master!$B$4:$B$18,0)),"")</f>
        <v/>
      </c>
      <c r="J253" s="15">
        <f>IFERROR(INDEX(Cluster_Master!$E$4:$E$18,MATCH($F253,Cluster_Master!$B$4:$B$18,0)),"")</f>
        <v/>
      </c>
      <c r="K253" s="15">
        <f>IFERROR(INDEX(Cluster_Master!$F$4:$F$18,MATCH($F253,Cluster_Master!$B$4:$B$18,0)),"")</f>
        <v/>
      </c>
      <c r="L253" s="15">
        <f>IFERROR(INDEX(Cluster_Master!$G$4:$G$18,MATCH($F253,Cluster_Master!$B$4:$B$18,0)),"")</f>
        <v/>
      </c>
      <c r="M253" s="15">
        <f>IFERROR(INDEX(Cluster_Master!$H$4:$H$18,MATCH($F253,Cluster_Master!$B$4:$B$18,0)),"")</f>
        <v/>
      </c>
      <c r="N253" s="41" t="n"/>
      <c r="O253" s="41" t="n"/>
      <c r="P253" s="41" t="n"/>
      <c r="Q253" s="41" t="n"/>
      <c r="R253" s="41" t="n"/>
      <c r="S253" s="41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15">
        <f>IF(COUNTA(T253:AH253)=0,"",SUM(T253:AH253))</f>
        <v/>
      </c>
      <c r="AJ253" s="21">
        <f>IF(COUNTA(T253:AH253)=0,"",AI253/(COUNT(KPI_Weights!$A$4:$A$18)*5))</f>
        <v/>
      </c>
      <c r="AK253" s="21">
        <f>IF(COUNTA(T253:AH253)=0,"",SUMPRODUCT(T253:AH253,KPI_Weights!$B$4:$B$18)/5)</f>
        <v/>
      </c>
      <c r="AL253" s="15">
        <f>IF(COUNTA(T253:AH253)=0,"",IF(SUMPRODUCT(--(T253:AH253&lt;=1),--(KPI_Weights!$C$4:$C$18="YES"))&gt;0,"YES","NO"))</f>
        <v/>
      </c>
      <c r="AM253" s="15">
        <f>IF(AJ253="","",IF(AND(AL253="NO",AJ253&gt;=0.75),"YES","NO"))</f>
        <v/>
      </c>
      <c r="AN253" s="15">
        <f>IF(AJ253="","",IF(AJ253&lt;0.4,"Critical",IF(AJ253&lt;0.6,"Poor",IF(AJ253&lt;0.75,"Needs Improvement",IF(AJ253&lt;0.9,"Good","Excellent")))))</f>
        <v/>
      </c>
      <c r="AO253" s="41" t="n"/>
      <c r="AP253" s="41" t="n"/>
      <c r="AQ253" s="41" t="n"/>
      <c r="AR253" s="41" t="n"/>
      <c r="AS253" s="41" t="n"/>
      <c r="AT253" s="44" t="n"/>
      <c r="AU253" s="41" t="n"/>
      <c r="AV253" s="43" t="n"/>
      <c r="AW253" s="41" t="n"/>
      <c r="AX253" s="44" t="n"/>
      <c r="AY253" s="44" t="n"/>
      <c r="AZ253" s="44" t="n"/>
      <c r="BA253" s="44" t="n"/>
      <c r="BB253" s="44" t="n"/>
      <c r="BC253" s="44" t="n"/>
      <c r="BD253" s="44" t="n"/>
      <c r="BE253" s="44" t="n"/>
      <c r="BF253" s="44" t="n"/>
    </row>
    <row r="254" ht="19.5" customHeight="1" s="45">
      <c r="A254" s="15">
        <f>IF($B254="","",TEXT($B254,"yyyymmdd")&amp;"-"&amp;SUBSTITUTE($F254," ","")&amp;"-"&amp;TEXT(COUNTIF($F$4:F254,$F254),"00"))</f>
        <v/>
      </c>
      <c r="B254" s="39" t="n"/>
      <c r="C254" s="15">
        <f>IF($B254="","",WEEKNUM($B254,2))</f>
        <v/>
      </c>
      <c r="D254" s="15">
        <f>IF($B254="","",TEXT($B254,"yyyy-mm"))</f>
        <v/>
      </c>
      <c r="E254" s="40" t="n"/>
      <c r="F254" s="40" t="n"/>
      <c r="G254" s="15">
        <f>IF(OR($E254="",$F254=""),"",IFERROR(IF($E254=INDEX(Cluster_Master!$A$4:$A$18,MATCH($F254,Cluster_Master!$B$4:$B$18,0)),"OK","CHECK"),"CHECK"))</f>
        <v/>
      </c>
      <c r="H254" s="18">
        <f>IFERROR(INDEX(Cluster_Master!$C$4:$C$18,MATCH($F254,Cluster_Master!$B$4:$B$18,0)),"")</f>
        <v/>
      </c>
      <c r="I254" s="15">
        <f>IFERROR(INDEX(Cluster_Master!$D$4:$D$18,MATCH($F254,Cluster_Master!$B$4:$B$18,0)),"")</f>
        <v/>
      </c>
      <c r="J254" s="15">
        <f>IFERROR(INDEX(Cluster_Master!$E$4:$E$18,MATCH($F254,Cluster_Master!$B$4:$B$18,0)),"")</f>
        <v/>
      </c>
      <c r="K254" s="15">
        <f>IFERROR(INDEX(Cluster_Master!$F$4:$F$18,MATCH($F254,Cluster_Master!$B$4:$B$18,0)),"")</f>
        <v/>
      </c>
      <c r="L254" s="15">
        <f>IFERROR(INDEX(Cluster_Master!$G$4:$G$18,MATCH($F254,Cluster_Master!$B$4:$B$18,0)),"")</f>
        <v/>
      </c>
      <c r="M254" s="15">
        <f>IFERROR(INDEX(Cluster_Master!$H$4:$H$18,MATCH($F254,Cluster_Master!$B$4:$B$18,0)),"")</f>
        <v/>
      </c>
      <c r="N254" s="41" t="n"/>
      <c r="O254" s="41" t="n"/>
      <c r="P254" s="41" t="n"/>
      <c r="Q254" s="41" t="n"/>
      <c r="R254" s="41" t="n"/>
      <c r="S254" s="41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15">
        <f>IF(COUNTA(T254:AH254)=0,"",SUM(T254:AH254))</f>
        <v/>
      </c>
      <c r="AJ254" s="21">
        <f>IF(COUNTA(T254:AH254)=0,"",AI254/(COUNT(KPI_Weights!$A$4:$A$18)*5))</f>
        <v/>
      </c>
      <c r="AK254" s="21">
        <f>IF(COUNTA(T254:AH254)=0,"",SUMPRODUCT(T254:AH254,KPI_Weights!$B$4:$B$18)/5)</f>
        <v/>
      </c>
      <c r="AL254" s="15">
        <f>IF(COUNTA(T254:AH254)=0,"",IF(SUMPRODUCT(--(T254:AH254&lt;=1),--(KPI_Weights!$C$4:$C$18="YES"))&gt;0,"YES","NO"))</f>
        <v/>
      </c>
      <c r="AM254" s="15">
        <f>IF(AJ254="","",IF(AND(AL254="NO",AJ254&gt;=0.75),"YES","NO"))</f>
        <v/>
      </c>
      <c r="AN254" s="15">
        <f>IF(AJ254="","",IF(AJ254&lt;0.4,"Critical",IF(AJ254&lt;0.6,"Poor",IF(AJ254&lt;0.75,"Needs Improvement",IF(AJ254&lt;0.9,"Good","Excellent")))))</f>
        <v/>
      </c>
      <c r="AO254" s="41" t="n"/>
      <c r="AP254" s="41" t="n"/>
      <c r="AQ254" s="41" t="n"/>
      <c r="AR254" s="41" t="n"/>
      <c r="AS254" s="41" t="n"/>
      <c r="AT254" s="44" t="n"/>
      <c r="AU254" s="41" t="n"/>
      <c r="AV254" s="43" t="n"/>
      <c r="AW254" s="41" t="n"/>
      <c r="AX254" s="44" t="n"/>
      <c r="AY254" s="44" t="n"/>
      <c r="AZ254" s="44" t="n"/>
      <c r="BA254" s="44" t="n"/>
      <c r="BB254" s="44" t="n"/>
      <c r="BC254" s="44" t="n"/>
      <c r="BD254" s="44" t="n"/>
      <c r="BE254" s="44" t="n"/>
      <c r="BF254" s="44" t="n"/>
    </row>
    <row r="255" ht="19.5" customHeight="1" s="45">
      <c r="A255" s="15">
        <f>IF($B255="","",TEXT($B255,"yyyymmdd")&amp;"-"&amp;SUBSTITUTE($F255," ","")&amp;"-"&amp;TEXT(COUNTIF($F$4:F255,$F255),"00"))</f>
        <v/>
      </c>
      <c r="B255" s="39" t="n"/>
      <c r="C255" s="15">
        <f>IF($B255="","",WEEKNUM($B255,2))</f>
        <v/>
      </c>
      <c r="D255" s="15">
        <f>IF($B255="","",TEXT($B255,"yyyy-mm"))</f>
        <v/>
      </c>
      <c r="E255" s="40" t="n"/>
      <c r="F255" s="40" t="n"/>
      <c r="G255" s="15">
        <f>IF(OR($E255="",$F255=""),"",IFERROR(IF($E255=INDEX(Cluster_Master!$A$4:$A$18,MATCH($F255,Cluster_Master!$B$4:$B$18,0)),"OK","CHECK"),"CHECK"))</f>
        <v/>
      </c>
      <c r="H255" s="18">
        <f>IFERROR(INDEX(Cluster_Master!$C$4:$C$18,MATCH($F255,Cluster_Master!$B$4:$B$18,0)),"")</f>
        <v/>
      </c>
      <c r="I255" s="15">
        <f>IFERROR(INDEX(Cluster_Master!$D$4:$D$18,MATCH($F255,Cluster_Master!$B$4:$B$18,0)),"")</f>
        <v/>
      </c>
      <c r="J255" s="15">
        <f>IFERROR(INDEX(Cluster_Master!$E$4:$E$18,MATCH($F255,Cluster_Master!$B$4:$B$18,0)),"")</f>
        <v/>
      </c>
      <c r="K255" s="15">
        <f>IFERROR(INDEX(Cluster_Master!$F$4:$F$18,MATCH($F255,Cluster_Master!$B$4:$B$18,0)),"")</f>
        <v/>
      </c>
      <c r="L255" s="15">
        <f>IFERROR(INDEX(Cluster_Master!$G$4:$G$18,MATCH($F255,Cluster_Master!$B$4:$B$18,0)),"")</f>
        <v/>
      </c>
      <c r="M255" s="15">
        <f>IFERROR(INDEX(Cluster_Master!$H$4:$H$18,MATCH($F255,Cluster_Master!$B$4:$B$18,0)),"")</f>
        <v/>
      </c>
      <c r="N255" s="41" t="n"/>
      <c r="O255" s="41" t="n"/>
      <c r="P255" s="41" t="n"/>
      <c r="Q255" s="41" t="n"/>
      <c r="R255" s="41" t="n"/>
      <c r="S255" s="41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15">
        <f>IF(COUNTA(T255:AH255)=0,"",SUM(T255:AH255))</f>
        <v/>
      </c>
      <c r="AJ255" s="21">
        <f>IF(COUNTA(T255:AH255)=0,"",AI255/(COUNT(KPI_Weights!$A$4:$A$18)*5))</f>
        <v/>
      </c>
      <c r="AK255" s="21">
        <f>IF(COUNTA(T255:AH255)=0,"",SUMPRODUCT(T255:AH255,KPI_Weights!$B$4:$B$18)/5)</f>
        <v/>
      </c>
      <c r="AL255" s="15">
        <f>IF(COUNTA(T255:AH255)=0,"",IF(SUMPRODUCT(--(T255:AH255&lt;=1),--(KPI_Weights!$C$4:$C$18="YES"))&gt;0,"YES","NO"))</f>
        <v/>
      </c>
      <c r="AM255" s="15">
        <f>IF(AJ255="","",IF(AND(AL255="NO",AJ255&gt;=0.75),"YES","NO"))</f>
        <v/>
      </c>
      <c r="AN255" s="15">
        <f>IF(AJ255="","",IF(AJ255&lt;0.4,"Critical",IF(AJ255&lt;0.6,"Poor",IF(AJ255&lt;0.75,"Needs Improvement",IF(AJ255&lt;0.9,"Good","Excellent")))))</f>
        <v/>
      </c>
      <c r="AO255" s="41" t="n"/>
      <c r="AP255" s="41" t="n"/>
      <c r="AQ255" s="41" t="n"/>
      <c r="AR255" s="41" t="n"/>
      <c r="AS255" s="41" t="n"/>
      <c r="AT255" s="44" t="n"/>
      <c r="AU255" s="41" t="n"/>
      <c r="AV255" s="43" t="n"/>
      <c r="AW255" s="41" t="n"/>
      <c r="AX255" s="44" t="n"/>
      <c r="AY255" s="44" t="n"/>
      <c r="AZ255" s="44" t="n"/>
      <c r="BA255" s="44" t="n"/>
      <c r="BB255" s="44" t="n"/>
      <c r="BC255" s="44" t="n"/>
      <c r="BD255" s="44" t="n"/>
      <c r="BE255" s="44" t="n"/>
      <c r="BF255" s="44" t="n"/>
    </row>
    <row r="256" ht="19.5" customHeight="1" s="45">
      <c r="A256" s="15">
        <f>IF($B256="","",TEXT($B256,"yyyymmdd")&amp;"-"&amp;SUBSTITUTE($F256," ","")&amp;"-"&amp;TEXT(COUNTIF($F$4:F256,$F256),"00"))</f>
        <v/>
      </c>
      <c r="B256" s="39" t="n"/>
      <c r="C256" s="15">
        <f>IF($B256="","",WEEKNUM($B256,2))</f>
        <v/>
      </c>
      <c r="D256" s="15">
        <f>IF($B256="","",TEXT($B256,"yyyy-mm"))</f>
        <v/>
      </c>
      <c r="E256" s="40" t="n"/>
      <c r="F256" s="40" t="n"/>
      <c r="G256" s="15">
        <f>IF(OR($E256="",$F256=""),"",IFERROR(IF($E256=INDEX(Cluster_Master!$A$4:$A$18,MATCH($F256,Cluster_Master!$B$4:$B$18,0)),"OK","CHECK"),"CHECK"))</f>
        <v/>
      </c>
      <c r="H256" s="18">
        <f>IFERROR(INDEX(Cluster_Master!$C$4:$C$18,MATCH($F256,Cluster_Master!$B$4:$B$18,0)),"")</f>
        <v/>
      </c>
      <c r="I256" s="15">
        <f>IFERROR(INDEX(Cluster_Master!$D$4:$D$18,MATCH($F256,Cluster_Master!$B$4:$B$18,0)),"")</f>
        <v/>
      </c>
      <c r="J256" s="15">
        <f>IFERROR(INDEX(Cluster_Master!$E$4:$E$18,MATCH($F256,Cluster_Master!$B$4:$B$18,0)),"")</f>
        <v/>
      </c>
      <c r="K256" s="15">
        <f>IFERROR(INDEX(Cluster_Master!$F$4:$F$18,MATCH($F256,Cluster_Master!$B$4:$B$18,0)),"")</f>
        <v/>
      </c>
      <c r="L256" s="15">
        <f>IFERROR(INDEX(Cluster_Master!$G$4:$G$18,MATCH($F256,Cluster_Master!$B$4:$B$18,0)),"")</f>
        <v/>
      </c>
      <c r="M256" s="15">
        <f>IFERROR(INDEX(Cluster_Master!$H$4:$H$18,MATCH($F256,Cluster_Master!$B$4:$B$18,0)),"")</f>
        <v/>
      </c>
      <c r="N256" s="41" t="n"/>
      <c r="O256" s="41" t="n"/>
      <c r="P256" s="41" t="n"/>
      <c r="Q256" s="41" t="n"/>
      <c r="R256" s="41" t="n"/>
      <c r="S256" s="41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15">
        <f>IF(COUNTA(T256:AH256)=0,"",SUM(T256:AH256))</f>
        <v/>
      </c>
      <c r="AJ256" s="21">
        <f>IF(COUNTA(T256:AH256)=0,"",AI256/(COUNT(KPI_Weights!$A$4:$A$18)*5))</f>
        <v/>
      </c>
      <c r="AK256" s="21">
        <f>IF(COUNTA(T256:AH256)=0,"",SUMPRODUCT(T256:AH256,KPI_Weights!$B$4:$B$18)/5)</f>
        <v/>
      </c>
      <c r="AL256" s="15">
        <f>IF(COUNTA(T256:AH256)=0,"",IF(SUMPRODUCT(--(T256:AH256&lt;=1),--(KPI_Weights!$C$4:$C$18="YES"))&gt;0,"YES","NO"))</f>
        <v/>
      </c>
      <c r="AM256" s="15">
        <f>IF(AJ256="","",IF(AND(AL256="NO",AJ256&gt;=0.75),"YES","NO"))</f>
        <v/>
      </c>
      <c r="AN256" s="15">
        <f>IF(AJ256="","",IF(AJ256&lt;0.4,"Critical",IF(AJ256&lt;0.6,"Poor",IF(AJ256&lt;0.75,"Needs Improvement",IF(AJ256&lt;0.9,"Good","Excellent")))))</f>
        <v/>
      </c>
      <c r="AO256" s="41" t="n"/>
      <c r="AP256" s="41" t="n"/>
      <c r="AQ256" s="41" t="n"/>
      <c r="AR256" s="41" t="n"/>
      <c r="AS256" s="41" t="n"/>
      <c r="AT256" s="44" t="n"/>
      <c r="AU256" s="41" t="n"/>
      <c r="AV256" s="43" t="n"/>
      <c r="AW256" s="41" t="n"/>
      <c r="AX256" s="44" t="n"/>
      <c r="AY256" s="44" t="n"/>
      <c r="AZ256" s="44" t="n"/>
      <c r="BA256" s="44" t="n"/>
      <c r="BB256" s="44" t="n"/>
      <c r="BC256" s="44" t="n"/>
      <c r="BD256" s="44" t="n"/>
      <c r="BE256" s="44" t="n"/>
      <c r="BF256" s="44" t="n"/>
    </row>
    <row r="257" ht="19.5" customHeight="1" s="45">
      <c r="A257" s="15">
        <f>IF($B257="","",TEXT($B257,"yyyymmdd")&amp;"-"&amp;SUBSTITUTE($F257," ","")&amp;"-"&amp;TEXT(COUNTIF($F$4:F257,$F257),"00"))</f>
        <v/>
      </c>
      <c r="B257" s="39" t="n"/>
      <c r="C257" s="15">
        <f>IF($B257="","",WEEKNUM($B257,2))</f>
        <v/>
      </c>
      <c r="D257" s="15">
        <f>IF($B257="","",TEXT($B257,"yyyy-mm"))</f>
        <v/>
      </c>
      <c r="E257" s="40" t="n"/>
      <c r="F257" s="40" t="n"/>
      <c r="G257" s="15">
        <f>IF(OR($E257="",$F257=""),"",IFERROR(IF($E257=INDEX(Cluster_Master!$A$4:$A$18,MATCH($F257,Cluster_Master!$B$4:$B$18,0)),"OK","CHECK"),"CHECK"))</f>
        <v/>
      </c>
      <c r="H257" s="18">
        <f>IFERROR(INDEX(Cluster_Master!$C$4:$C$18,MATCH($F257,Cluster_Master!$B$4:$B$18,0)),"")</f>
        <v/>
      </c>
      <c r="I257" s="15">
        <f>IFERROR(INDEX(Cluster_Master!$D$4:$D$18,MATCH($F257,Cluster_Master!$B$4:$B$18,0)),"")</f>
        <v/>
      </c>
      <c r="J257" s="15">
        <f>IFERROR(INDEX(Cluster_Master!$E$4:$E$18,MATCH($F257,Cluster_Master!$B$4:$B$18,0)),"")</f>
        <v/>
      </c>
      <c r="K257" s="15">
        <f>IFERROR(INDEX(Cluster_Master!$F$4:$F$18,MATCH($F257,Cluster_Master!$B$4:$B$18,0)),"")</f>
        <v/>
      </c>
      <c r="L257" s="15">
        <f>IFERROR(INDEX(Cluster_Master!$G$4:$G$18,MATCH($F257,Cluster_Master!$B$4:$B$18,0)),"")</f>
        <v/>
      </c>
      <c r="M257" s="15">
        <f>IFERROR(INDEX(Cluster_Master!$H$4:$H$18,MATCH($F257,Cluster_Master!$B$4:$B$18,0)),"")</f>
        <v/>
      </c>
      <c r="N257" s="41" t="n"/>
      <c r="O257" s="41" t="n"/>
      <c r="P257" s="41" t="n"/>
      <c r="Q257" s="41" t="n"/>
      <c r="R257" s="41" t="n"/>
      <c r="S257" s="41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15">
        <f>IF(COUNTA(T257:AH257)=0,"",SUM(T257:AH257))</f>
        <v/>
      </c>
      <c r="AJ257" s="21">
        <f>IF(COUNTA(T257:AH257)=0,"",AI257/(COUNT(KPI_Weights!$A$4:$A$18)*5))</f>
        <v/>
      </c>
      <c r="AK257" s="21">
        <f>IF(COUNTA(T257:AH257)=0,"",SUMPRODUCT(T257:AH257,KPI_Weights!$B$4:$B$18)/5)</f>
        <v/>
      </c>
      <c r="AL257" s="15">
        <f>IF(COUNTA(T257:AH257)=0,"",IF(SUMPRODUCT(--(T257:AH257&lt;=1),--(KPI_Weights!$C$4:$C$18="YES"))&gt;0,"YES","NO"))</f>
        <v/>
      </c>
      <c r="AM257" s="15">
        <f>IF(AJ257="","",IF(AND(AL257="NO",AJ257&gt;=0.75),"YES","NO"))</f>
        <v/>
      </c>
      <c r="AN257" s="15">
        <f>IF(AJ257="","",IF(AJ257&lt;0.4,"Critical",IF(AJ257&lt;0.6,"Poor",IF(AJ257&lt;0.75,"Needs Improvement",IF(AJ257&lt;0.9,"Good","Excellent")))))</f>
        <v/>
      </c>
      <c r="AO257" s="41" t="n"/>
      <c r="AP257" s="41" t="n"/>
      <c r="AQ257" s="41" t="n"/>
      <c r="AR257" s="41" t="n"/>
      <c r="AS257" s="41" t="n"/>
      <c r="AT257" s="44" t="n"/>
      <c r="AU257" s="41" t="n"/>
      <c r="AV257" s="43" t="n"/>
      <c r="AW257" s="41" t="n"/>
      <c r="AX257" s="44" t="n"/>
      <c r="AY257" s="44" t="n"/>
      <c r="AZ257" s="44" t="n"/>
      <c r="BA257" s="44" t="n"/>
      <c r="BB257" s="44" t="n"/>
      <c r="BC257" s="44" t="n"/>
      <c r="BD257" s="44" t="n"/>
      <c r="BE257" s="44" t="n"/>
      <c r="BF257" s="44" t="n"/>
    </row>
    <row r="258" ht="19.5" customHeight="1" s="45">
      <c r="A258" s="15">
        <f>IF($B258="","",TEXT($B258,"yyyymmdd")&amp;"-"&amp;SUBSTITUTE($F258," ","")&amp;"-"&amp;TEXT(COUNTIF($F$4:F258,$F258),"00"))</f>
        <v/>
      </c>
      <c r="B258" s="39" t="n"/>
      <c r="C258" s="15">
        <f>IF($B258="","",WEEKNUM($B258,2))</f>
        <v/>
      </c>
      <c r="D258" s="15">
        <f>IF($B258="","",TEXT($B258,"yyyy-mm"))</f>
        <v/>
      </c>
      <c r="E258" s="40" t="n"/>
      <c r="F258" s="40" t="n"/>
      <c r="G258" s="15">
        <f>IF(OR($E258="",$F258=""),"",IFERROR(IF($E258=INDEX(Cluster_Master!$A$4:$A$18,MATCH($F258,Cluster_Master!$B$4:$B$18,0)),"OK","CHECK"),"CHECK"))</f>
        <v/>
      </c>
      <c r="H258" s="18">
        <f>IFERROR(INDEX(Cluster_Master!$C$4:$C$18,MATCH($F258,Cluster_Master!$B$4:$B$18,0)),"")</f>
        <v/>
      </c>
      <c r="I258" s="15">
        <f>IFERROR(INDEX(Cluster_Master!$D$4:$D$18,MATCH($F258,Cluster_Master!$B$4:$B$18,0)),"")</f>
        <v/>
      </c>
      <c r="J258" s="15">
        <f>IFERROR(INDEX(Cluster_Master!$E$4:$E$18,MATCH($F258,Cluster_Master!$B$4:$B$18,0)),"")</f>
        <v/>
      </c>
      <c r="K258" s="15">
        <f>IFERROR(INDEX(Cluster_Master!$F$4:$F$18,MATCH($F258,Cluster_Master!$B$4:$B$18,0)),"")</f>
        <v/>
      </c>
      <c r="L258" s="15">
        <f>IFERROR(INDEX(Cluster_Master!$G$4:$G$18,MATCH($F258,Cluster_Master!$B$4:$B$18,0)),"")</f>
        <v/>
      </c>
      <c r="M258" s="15">
        <f>IFERROR(INDEX(Cluster_Master!$H$4:$H$18,MATCH($F258,Cluster_Master!$B$4:$B$18,0)),"")</f>
        <v/>
      </c>
      <c r="N258" s="41" t="n"/>
      <c r="O258" s="41" t="n"/>
      <c r="P258" s="41" t="n"/>
      <c r="Q258" s="41" t="n"/>
      <c r="R258" s="41" t="n"/>
      <c r="S258" s="41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15">
        <f>IF(COUNTA(T258:AH258)=0,"",SUM(T258:AH258))</f>
        <v/>
      </c>
      <c r="AJ258" s="21">
        <f>IF(COUNTA(T258:AH258)=0,"",AI258/(COUNT(KPI_Weights!$A$4:$A$18)*5))</f>
        <v/>
      </c>
      <c r="AK258" s="21">
        <f>IF(COUNTA(T258:AH258)=0,"",SUMPRODUCT(T258:AH258,KPI_Weights!$B$4:$B$18)/5)</f>
        <v/>
      </c>
      <c r="AL258" s="15">
        <f>IF(COUNTA(T258:AH258)=0,"",IF(SUMPRODUCT(--(T258:AH258&lt;=1),--(KPI_Weights!$C$4:$C$18="YES"))&gt;0,"YES","NO"))</f>
        <v/>
      </c>
      <c r="AM258" s="15">
        <f>IF(AJ258="","",IF(AND(AL258="NO",AJ258&gt;=0.75),"YES","NO"))</f>
        <v/>
      </c>
      <c r="AN258" s="15">
        <f>IF(AJ258="","",IF(AJ258&lt;0.4,"Critical",IF(AJ258&lt;0.6,"Poor",IF(AJ258&lt;0.75,"Needs Improvement",IF(AJ258&lt;0.9,"Good","Excellent")))))</f>
        <v/>
      </c>
      <c r="AO258" s="41" t="n"/>
      <c r="AP258" s="41" t="n"/>
      <c r="AQ258" s="41" t="n"/>
      <c r="AR258" s="41" t="n"/>
      <c r="AS258" s="41" t="n"/>
      <c r="AT258" s="44" t="n"/>
      <c r="AU258" s="41" t="n"/>
      <c r="AV258" s="43" t="n"/>
      <c r="AW258" s="41" t="n"/>
      <c r="AX258" s="44" t="n"/>
      <c r="AY258" s="44" t="n"/>
      <c r="AZ258" s="44" t="n"/>
      <c r="BA258" s="44" t="n"/>
      <c r="BB258" s="44" t="n"/>
      <c r="BC258" s="44" t="n"/>
      <c r="BD258" s="44" t="n"/>
      <c r="BE258" s="44" t="n"/>
      <c r="BF258" s="44" t="n"/>
    </row>
    <row r="259" ht="19.5" customHeight="1" s="45">
      <c r="A259" s="15">
        <f>IF($B259="","",TEXT($B259,"yyyymmdd")&amp;"-"&amp;SUBSTITUTE($F259," ","")&amp;"-"&amp;TEXT(COUNTIF($F$4:F259,$F259),"00"))</f>
        <v/>
      </c>
      <c r="B259" s="39" t="n"/>
      <c r="C259" s="15">
        <f>IF($B259="","",WEEKNUM($B259,2))</f>
        <v/>
      </c>
      <c r="D259" s="15">
        <f>IF($B259="","",TEXT($B259,"yyyy-mm"))</f>
        <v/>
      </c>
      <c r="E259" s="40" t="n"/>
      <c r="F259" s="40" t="n"/>
      <c r="G259" s="15">
        <f>IF(OR($E259="",$F259=""),"",IFERROR(IF($E259=INDEX(Cluster_Master!$A$4:$A$18,MATCH($F259,Cluster_Master!$B$4:$B$18,0)),"OK","CHECK"),"CHECK"))</f>
        <v/>
      </c>
      <c r="H259" s="18">
        <f>IFERROR(INDEX(Cluster_Master!$C$4:$C$18,MATCH($F259,Cluster_Master!$B$4:$B$18,0)),"")</f>
        <v/>
      </c>
      <c r="I259" s="15">
        <f>IFERROR(INDEX(Cluster_Master!$D$4:$D$18,MATCH($F259,Cluster_Master!$B$4:$B$18,0)),"")</f>
        <v/>
      </c>
      <c r="J259" s="15">
        <f>IFERROR(INDEX(Cluster_Master!$E$4:$E$18,MATCH($F259,Cluster_Master!$B$4:$B$18,0)),"")</f>
        <v/>
      </c>
      <c r="K259" s="15">
        <f>IFERROR(INDEX(Cluster_Master!$F$4:$F$18,MATCH($F259,Cluster_Master!$B$4:$B$18,0)),"")</f>
        <v/>
      </c>
      <c r="L259" s="15">
        <f>IFERROR(INDEX(Cluster_Master!$G$4:$G$18,MATCH($F259,Cluster_Master!$B$4:$B$18,0)),"")</f>
        <v/>
      </c>
      <c r="M259" s="15">
        <f>IFERROR(INDEX(Cluster_Master!$H$4:$H$18,MATCH($F259,Cluster_Master!$B$4:$B$18,0)),"")</f>
        <v/>
      </c>
      <c r="N259" s="41" t="n"/>
      <c r="O259" s="41" t="n"/>
      <c r="P259" s="41" t="n"/>
      <c r="Q259" s="41" t="n"/>
      <c r="R259" s="41" t="n"/>
      <c r="S259" s="41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15">
        <f>IF(COUNTA(T259:AH259)=0,"",SUM(T259:AH259))</f>
        <v/>
      </c>
      <c r="AJ259" s="21">
        <f>IF(COUNTA(T259:AH259)=0,"",AI259/(COUNT(KPI_Weights!$A$4:$A$18)*5))</f>
        <v/>
      </c>
      <c r="AK259" s="21">
        <f>IF(COUNTA(T259:AH259)=0,"",SUMPRODUCT(T259:AH259,KPI_Weights!$B$4:$B$18)/5)</f>
        <v/>
      </c>
      <c r="AL259" s="15">
        <f>IF(COUNTA(T259:AH259)=0,"",IF(SUMPRODUCT(--(T259:AH259&lt;=1),--(KPI_Weights!$C$4:$C$18="YES"))&gt;0,"YES","NO"))</f>
        <v/>
      </c>
      <c r="AM259" s="15">
        <f>IF(AJ259="","",IF(AND(AL259="NO",AJ259&gt;=0.75),"YES","NO"))</f>
        <v/>
      </c>
      <c r="AN259" s="15">
        <f>IF(AJ259="","",IF(AJ259&lt;0.4,"Critical",IF(AJ259&lt;0.6,"Poor",IF(AJ259&lt;0.75,"Needs Improvement",IF(AJ259&lt;0.9,"Good","Excellent")))))</f>
        <v/>
      </c>
      <c r="AO259" s="41" t="n"/>
      <c r="AP259" s="41" t="n"/>
      <c r="AQ259" s="41" t="n"/>
      <c r="AR259" s="41" t="n"/>
      <c r="AS259" s="41" t="n"/>
      <c r="AT259" s="44" t="n"/>
      <c r="AU259" s="41" t="n"/>
      <c r="AV259" s="43" t="n"/>
      <c r="AW259" s="41" t="n"/>
      <c r="AX259" s="44" t="n"/>
      <c r="AY259" s="44" t="n"/>
      <c r="AZ259" s="44" t="n"/>
      <c r="BA259" s="44" t="n"/>
      <c r="BB259" s="44" t="n"/>
      <c r="BC259" s="44" t="n"/>
      <c r="BD259" s="44" t="n"/>
      <c r="BE259" s="44" t="n"/>
      <c r="BF259" s="44" t="n"/>
    </row>
    <row r="260" ht="19.5" customHeight="1" s="45">
      <c r="A260" s="15">
        <f>IF($B260="","",TEXT($B260,"yyyymmdd")&amp;"-"&amp;SUBSTITUTE($F260," ","")&amp;"-"&amp;TEXT(COUNTIF($F$4:F260,$F260),"00"))</f>
        <v/>
      </c>
      <c r="B260" s="39" t="n"/>
      <c r="C260" s="15">
        <f>IF($B260="","",WEEKNUM($B260,2))</f>
        <v/>
      </c>
      <c r="D260" s="15">
        <f>IF($B260="","",TEXT($B260,"yyyy-mm"))</f>
        <v/>
      </c>
      <c r="E260" s="40" t="n"/>
      <c r="F260" s="40" t="n"/>
      <c r="G260" s="15">
        <f>IF(OR($E260="",$F260=""),"",IFERROR(IF($E260=INDEX(Cluster_Master!$A$4:$A$18,MATCH($F260,Cluster_Master!$B$4:$B$18,0)),"OK","CHECK"),"CHECK"))</f>
        <v/>
      </c>
      <c r="H260" s="18">
        <f>IFERROR(INDEX(Cluster_Master!$C$4:$C$18,MATCH($F260,Cluster_Master!$B$4:$B$18,0)),"")</f>
        <v/>
      </c>
      <c r="I260" s="15">
        <f>IFERROR(INDEX(Cluster_Master!$D$4:$D$18,MATCH($F260,Cluster_Master!$B$4:$B$18,0)),"")</f>
        <v/>
      </c>
      <c r="J260" s="15">
        <f>IFERROR(INDEX(Cluster_Master!$E$4:$E$18,MATCH($F260,Cluster_Master!$B$4:$B$18,0)),"")</f>
        <v/>
      </c>
      <c r="K260" s="15">
        <f>IFERROR(INDEX(Cluster_Master!$F$4:$F$18,MATCH($F260,Cluster_Master!$B$4:$B$18,0)),"")</f>
        <v/>
      </c>
      <c r="L260" s="15">
        <f>IFERROR(INDEX(Cluster_Master!$G$4:$G$18,MATCH($F260,Cluster_Master!$B$4:$B$18,0)),"")</f>
        <v/>
      </c>
      <c r="M260" s="15">
        <f>IFERROR(INDEX(Cluster_Master!$H$4:$H$18,MATCH($F260,Cluster_Master!$B$4:$B$18,0)),"")</f>
        <v/>
      </c>
      <c r="N260" s="41" t="n"/>
      <c r="O260" s="41" t="n"/>
      <c r="P260" s="41" t="n"/>
      <c r="Q260" s="41" t="n"/>
      <c r="R260" s="41" t="n"/>
      <c r="S260" s="41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15">
        <f>IF(COUNTA(T260:AH260)=0,"",SUM(T260:AH260))</f>
        <v/>
      </c>
      <c r="AJ260" s="21">
        <f>IF(COUNTA(T260:AH260)=0,"",AI260/(COUNT(KPI_Weights!$A$4:$A$18)*5))</f>
        <v/>
      </c>
      <c r="AK260" s="21">
        <f>IF(COUNTA(T260:AH260)=0,"",SUMPRODUCT(T260:AH260,KPI_Weights!$B$4:$B$18)/5)</f>
        <v/>
      </c>
      <c r="AL260" s="15">
        <f>IF(COUNTA(T260:AH260)=0,"",IF(SUMPRODUCT(--(T260:AH260&lt;=1),--(KPI_Weights!$C$4:$C$18="YES"))&gt;0,"YES","NO"))</f>
        <v/>
      </c>
      <c r="AM260" s="15">
        <f>IF(AJ260="","",IF(AND(AL260="NO",AJ260&gt;=0.75),"YES","NO"))</f>
        <v/>
      </c>
      <c r="AN260" s="15">
        <f>IF(AJ260="","",IF(AJ260&lt;0.4,"Critical",IF(AJ260&lt;0.6,"Poor",IF(AJ260&lt;0.75,"Needs Improvement",IF(AJ260&lt;0.9,"Good","Excellent")))))</f>
        <v/>
      </c>
      <c r="AO260" s="41" t="n"/>
      <c r="AP260" s="41" t="n"/>
      <c r="AQ260" s="41" t="n"/>
      <c r="AR260" s="41" t="n"/>
      <c r="AS260" s="41" t="n"/>
      <c r="AT260" s="44" t="n"/>
      <c r="AU260" s="41" t="n"/>
      <c r="AV260" s="43" t="n"/>
      <c r="AW260" s="41" t="n"/>
      <c r="AX260" s="44" t="n"/>
      <c r="AY260" s="44" t="n"/>
      <c r="AZ260" s="44" t="n"/>
      <c r="BA260" s="44" t="n"/>
      <c r="BB260" s="44" t="n"/>
      <c r="BC260" s="44" t="n"/>
      <c r="BD260" s="44" t="n"/>
      <c r="BE260" s="44" t="n"/>
      <c r="BF260" s="44" t="n"/>
    </row>
    <row r="261" ht="19.5" customHeight="1" s="45">
      <c r="A261" s="15">
        <f>IF($B261="","",TEXT($B261,"yyyymmdd")&amp;"-"&amp;SUBSTITUTE($F261," ","")&amp;"-"&amp;TEXT(COUNTIF($F$4:F261,$F261),"00"))</f>
        <v/>
      </c>
      <c r="B261" s="39" t="n"/>
      <c r="C261" s="15">
        <f>IF($B261="","",WEEKNUM($B261,2))</f>
        <v/>
      </c>
      <c r="D261" s="15">
        <f>IF($B261="","",TEXT($B261,"yyyy-mm"))</f>
        <v/>
      </c>
      <c r="E261" s="40" t="n"/>
      <c r="F261" s="40" t="n"/>
      <c r="G261" s="15">
        <f>IF(OR($E261="",$F261=""),"",IFERROR(IF($E261=INDEX(Cluster_Master!$A$4:$A$18,MATCH($F261,Cluster_Master!$B$4:$B$18,0)),"OK","CHECK"),"CHECK"))</f>
        <v/>
      </c>
      <c r="H261" s="18">
        <f>IFERROR(INDEX(Cluster_Master!$C$4:$C$18,MATCH($F261,Cluster_Master!$B$4:$B$18,0)),"")</f>
        <v/>
      </c>
      <c r="I261" s="15">
        <f>IFERROR(INDEX(Cluster_Master!$D$4:$D$18,MATCH($F261,Cluster_Master!$B$4:$B$18,0)),"")</f>
        <v/>
      </c>
      <c r="J261" s="15">
        <f>IFERROR(INDEX(Cluster_Master!$E$4:$E$18,MATCH($F261,Cluster_Master!$B$4:$B$18,0)),"")</f>
        <v/>
      </c>
      <c r="K261" s="15">
        <f>IFERROR(INDEX(Cluster_Master!$F$4:$F$18,MATCH($F261,Cluster_Master!$B$4:$B$18,0)),"")</f>
        <v/>
      </c>
      <c r="L261" s="15">
        <f>IFERROR(INDEX(Cluster_Master!$G$4:$G$18,MATCH($F261,Cluster_Master!$B$4:$B$18,0)),"")</f>
        <v/>
      </c>
      <c r="M261" s="15">
        <f>IFERROR(INDEX(Cluster_Master!$H$4:$H$18,MATCH($F261,Cluster_Master!$B$4:$B$18,0)),"")</f>
        <v/>
      </c>
      <c r="N261" s="41" t="n"/>
      <c r="O261" s="41" t="n"/>
      <c r="P261" s="41" t="n"/>
      <c r="Q261" s="41" t="n"/>
      <c r="R261" s="41" t="n"/>
      <c r="S261" s="41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15">
        <f>IF(COUNTA(T261:AH261)=0,"",SUM(T261:AH261))</f>
        <v/>
      </c>
      <c r="AJ261" s="21">
        <f>IF(COUNTA(T261:AH261)=0,"",AI261/(COUNT(KPI_Weights!$A$4:$A$18)*5))</f>
        <v/>
      </c>
      <c r="AK261" s="21">
        <f>IF(COUNTA(T261:AH261)=0,"",SUMPRODUCT(T261:AH261,KPI_Weights!$B$4:$B$18)/5)</f>
        <v/>
      </c>
      <c r="AL261" s="15">
        <f>IF(COUNTA(T261:AH261)=0,"",IF(SUMPRODUCT(--(T261:AH261&lt;=1),--(KPI_Weights!$C$4:$C$18="YES"))&gt;0,"YES","NO"))</f>
        <v/>
      </c>
      <c r="AM261" s="15">
        <f>IF(AJ261="","",IF(AND(AL261="NO",AJ261&gt;=0.75),"YES","NO"))</f>
        <v/>
      </c>
      <c r="AN261" s="15">
        <f>IF(AJ261="","",IF(AJ261&lt;0.4,"Critical",IF(AJ261&lt;0.6,"Poor",IF(AJ261&lt;0.75,"Needs Improvement",IF(AJ261&lt;0.9,"Good","Excellent")))))</f>
        <v/>
      </c>
      <c r="AO261" s="41" t="n"/>
      <c r="AP261" s="41" t="n"/>
      <c r="AQ261" s="41" t="n"/>
      <c r="AR261" s="41" t="n"/>
      <c r="AS261" s="41" t="n"/>
      <c r="AT261" s="44" t="n"/>
      <c r="AU261" s="41" t="n"/>
      <c r="AV261" s="43" t="n"/>
      <c r="AW261" s="41" t="n"/>
      <c r="AX261" s="44" t="n"/>
      <c r="AY261" s="44" t="n"/>
      <c r="AZ261" s="44" t="n"/>
      <c r="BA261" s="44" t="n"/>
      <c r="BB261" s="44" t="n"/>
      <c r="BC261" s="44" t="n"/>
      <c r="BD261" s="44" t="n"/>
      <c r="BE261" s="44" t="n"/>
      <c r="BF261" s="44" t="n"/>
    </row>
    <row r="262" ht="19.5" customHeight="1" s="45">
      <c r="A262" s="15">
        <f>IF($B262="","",TEXT($B262,"yyyymmdd")&amp;"-"&amp;SUBSTITUTE($F262," ","")&amp;"-"&amp;TEXT(COUNTIF($F$4:F262,$F262),"00"))</f>
        <v/>
      </c>
      <c r="B262" s="39" t="n"/>
      <c r="C262" s="15">
        <f>IF($B262="","",WEEKNUM($B262,2))</f>
        <v/>
      </c>
      <c r="D262" s="15">
        <f>IF($B262="","",TEXT($B262,"yyyy-mm"))</f>
        <v/>
      </c>
      <c r="E262" s="40" t="n"/>
      <c r="F262" s="40" t="n"/>
      <c r="G262" s="15">
        <f>IF(OR($E262="",$F262=""),"",IFERROR(IF($E262=INDEX(Cluster_Master!$A$4:$A$18,MATCH($F262,Cluster_Master!$B$4:$B$18,0)),"OK","CHECK"),"CHECK"))</f>
        <v/>
      </c>
      <c r="H262" s="18">
        <f>IFERROR(INDEX(Cluster_Master!$C$4:$C$18,MATCH($F262,Cluster_Master!$B$4:$B$18,0)),"")</f>
        <v/>
      </c>
      <c r="I262" s="15">
        <f>IFERROR(INDEX(Cluster_Master!$D$4:$D$18,MATCH($F262,Cluster_Master!$B$4:$B$18,0)),"")</f>
        <v/>
      </c>
      <c r="J262" s="15">
        <f>IFERROR(INDEX(Cluster_Master!$E$4:$E$18,MATCH($F262,Cluster_Master!$B$4:$B$18,0)),"")</f>
        <v/>
      </c>
      <c r="K262" s="15">
        <f>IFERROR(INDEX(Cluster_Master!$F$4:$F$18,MATCH($F262,Cluster_Master!$B$4:$B$18,0)),"")</f>
        <v/>
      </c>
      <c r="L262" s="15">
        <f>IFERROR(INDEX(Cluster_Master!$G$4:$G$18,MATCH($F262,Cluster_Master!$B$4:$B$18,0)),"")</f>
        <v/>
      </c>
      <c r="M262" s="15">
        <f>IFERROR(INDEX(Cluster_Master!$H$4:$H$18,MATCH($F262,Cluster_Master!$B$4:$B$18,0)),"")</f>
        <v/>
      </c>
      <c r="N262" s="41" t="n"/>
      <c r="O262" s="41" t="n"/>
      <c r="P262" s="41" t="n"/>
      <c r="Q262" s="41" t="n"/>
      <c r="R262" s="41" t="n"/>
      <c r="S262" s="41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15">
        <f>IF(COUNTA(T262:AH262)=0,"",SUM(T262:AH262))</f>
        <v/>
      </c>
      <c r="AJ262" s="21">
        <f>IF(COUNTA(T262:AH262)=0,"",AI262/(COUNT(KPI_Weights!$A$4:$A$18)*5))</f>
        <v/>
      </c>
      <c r="AK262" s="21">
        <f>IF(COUNTA(T262:AH262)=0,"",SUMPRODUCT(T262:AH262,KPI_Weights!$B$4:$B$18)/5)</f>
        <v/>
      </c>
      <c r="AL262" s="15">
        <f>IF(COUNTA(T262:AH262)=0,"",IF(SUMPRODUCT(--(T262:AH262&lt;=1),--(KPI_Weights!$C$4:$C$18="YES"))&gt;0,"YES","NO"))</f>
        <v/>
      </c>
      <c r="AM262" s="15">
        <f>IF(AJ262="","",IF(AND(AL262="NO",AJ262&gt;=0.75),"YES","NO"))</f>
        <v/>
      </c>
      <c r="AN262" s="15">
        <f>IF(AJ262="","",IF(AJ262&lt;0.4,"Critical",IF(AJ262&lt;0.6,"Poor",IF(AJ262&lt;0.75,"Needs Improvement",IF(AJ262&lt;0.9,"Good","Excellent")))))</f>
        <v/>
      </c>
      <c r="AO262" s="41" t="n"/>
      <c r="AP262" s="41" t="n"/>
      <c r="AQ262" s="41" t="n"/>
      <c r="AR262" s="41" t="n"/>
      <c r="AS262" s="41" t="n"/>
      <c r="AT262" s="44" t="n"/>
      <c r="AU262" s="41" t="n"/>
      <c r="AV262" s="43" t="n"/>
      <c r="AW262" s="41" t="n"/>
      <c r="AX262" s="44" t="n"/>
      <c r="AY262" s="44" t="n"/>
      <c r="AZ262" s="44" t="n"/>
      <c r="BA262" s="44" t="n"/>
      <c r="BB262" s="44" t="n"/>
      <c r="BC262" s="44" t="n"/>
      <c r="BD262" s="44" t="n"/>
      <c r="BE262" s="44" t="n"/>
      <c r="BF262" s="44" t="n"/>
    </row>
    <row r="263" ht="19.5" customHeight="1" s="45">
      <c r="A263" s="15">
        <f>IF($B263="","",TEXT($B263,"yyyymmdd")&amp;"-"&amp;SUBSTITUTE($F263," ","")&amp;"-"&amp;TEXT(COUNTIF($F$4:F263,$F263),"00"))</f>
        <v/>
      </c>
      <c r="B263" s="39" t="n"/>
      <c r="C263" s="15">
        <f>IF($B263="","",WEEKNUM($B263,2))</f>
        <v/>
      </c>
      <c r="D263" s="15">
        <f>IF($B263="","",TEXT($B263,"yyyy-mm"))</f>
        <v/>
      </c>
      <c r="E263" s="40" t="n"/>
      <c r="F263" s="40" t="n"/>
      <c r="G263" s="15">
        <f>IF(OR($E263="",$F263=""),"",IFERROR(IF($E263=INDEX(Cluster_Master!$A$4:$A$18,MATCH($F263,Cluster_Master!$B$4:$B$18,0)),"OK","CHECK"),"CHECK"))</f>
        <v/>
      </c>
      <c r="H263" s="18">
        <f>IFERROR(INDEX(Cluster_Master!$C$4:$C$18,MATCH($F263,Cluster_Master!$B$4:$B$18,0)),"")</f>
        <v/>
      </c>
      <c r="I263" s="15">
        <f>IFERROR(INDEX(Cluster_Master!$D$4:$D$18,MATCH($F263,Cluster_Master!$B$4:$B$18,0)),"")</f>
        <v/>
      </c>
      <c r="J263" s="15">
        <f>IFERROR(INDEX(Cluster_Master!$E$4:$E$18,MATCH($F263,Cluster_Master!$B$4:$B$18,0)),"")</f>
        <v/>
      </c>
      <c r="K263" s="15">
        <f>IFERROR(INDEX(Cluster_Master!$F$4:$F$18,MATCH($F263,Cluster_Master!$B$4:$B$18,0)),"")</f>
        <v/>
      </c>
      <c r="L263" s="15">
        <f>IFERROR(INDEX(Cluster_Master!$G$4:$G$18,MATCH($F263,Cluster_Master!$B$4:$B$18,0)),"")</f>
        <v/>
      </c>
      <c r="M263" s="15">
        <f>IFERROR(INDEX(Cluster_Master!$H$4:$H$18,MATCH($F263,Cluster_Master!$B$4:$B$18,0)),"")</f>
        <v/>
      </c>
      <c r="N263" s="41" t="n"/>
      <c r="O263" s="41" t="n"/>
      <c r="P263" s="41" t="n"/>
      <c r="Q263" s="41" t="n"/>
      <c r="R263" s="41" t="n"/>
      <c r="S263" s="41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15">
        <f>IF(COUNTA(T263:AH263)=0,"",SUM(T263:AH263))</f>
        <v/>
      </c>
      <c r="AJ263" s="21">
        <f>IF(COUNTA(T263:AH263)=0,"",AI263/(COUNT(KPI_Weights!$A$4:$A$18)*5))</f>
        <v/>
      </c>
      <c r="AK263" s="21">
        <f>IF(COUNTA(T263:AH263)=0,"",SUMPRODUCT(T263:AH263,KPI_Weights!$B$4:$B$18)/5)</f>
        <v/>
      </c>
      <c r="AL263" s="15">
        <f>IF(COUNTA(T263:AH263)=0,"",IF(SUMPRODUCT(--(T263:AH263&lt;=1),--(KPI_Weights!$C$4:$C$18="YES"))&gt;0,"YES","NO"))</f>
        <v/>
      </c>
      <c r="AM263" s="15">
        <f>IF(AJ263="","",IF(AND(AL263="NO",AJ263&gt;=0.75),"YES","NO"))</f>
        <v/>
      </c>
      <c r="AN263" s="15">
        <f>IF(AJ263="","",IF(AJ263&lt;0.4,"Critical",IF(AJ263&lt;0.6,"Poor",IF(AJ263&lt;0.75,"Needs Improvement",IF(AJ263&lt;0.9,"Good","Excellent")))))</f>
        <v/>
      </c>
      <c r="AO263" s="41" t="n"/>
      <c r="AP263" s="41" t="n"/>
      <c r="AQ263" s="41" t="n"/>
      <c r="AR263" s="41" t="n"/>
      <c r="AS263" s="41" t="n"/>
      <c r="AT263" s="44" t="n"/>
      <c r="AU263" s="41" t="n"/>
      <c r="AV263" s="43" t="n"/>
      <c r="AW263" s="41" t="n"/>
      <c r="AX263" s="44" t="n"/>
      <c r="AY263" s="44" t="n"/>
      <c r="AZ263" s="44" t="n"/>
      <c r="BA263" s="44" t="n"/>
      <c r="BB263" s="44" t="n"/>
      <c r="BC263" s="44" t="n"/>
      <c r="BD263" s="44" t="n"/>
      <c r="BE263" s="44" t="n"/>
      <c r="BF263" s="44" t="n"/>
    </row>
    <row r="264" ht="19.5" customHeight="1" s="45">
      <c r="A264" s="15">
        <f>IF($B264="","",TEXT($B264,"yyyymmdd")&amp;"-"&amp;SUBSTITUTE($F264," ","")&amp;"-"&amp;TEXT(COUNTIF($F$4:F264,$F264),"00"))</f>
        <v/>
      </c>
      <c r="B264" s="39" t="n"/>
      <c r="C264" s="15">
        <f>IF($B264="","",WEEKNUM($B264,2))</f>
        <v/>
      </c>
      <c r="D264" s="15">
        <f>IF($B264="","",TEXT($B264,"yyyy-mm"))</f>
        <v/>
      </c>
      <c r="E264" s="40" t="n"/>
      <c r="F264" s="40" t="n"/>
      <c r="G264" s="15">
        <f>IF(OR($E264="",$F264=""),"",IFERROR(IF($E264=INDEX(Cluster_Master!$A$4:$A$18,MATCH($F264,Cluster_Master!$B$4:$B$18,0)),"OK","CHECK"),"CHECK"))</f>
        <v/>
      </c>
      <c r="H264" s="18">
        <f>IFERROR(INDEX(Cluster_Master!$C$4:$C$18,MATCH($F264,Cluster_Master!$B$4:$B$18,0)),"")</f>
        <v/>
      </c>
      <c r="I264" s="15">
        <f>IFERROR(INDEX(Cluster_Master!$D$4:$D$18,MATCH($F264,Cluster_Master!$B$4:$B$18,0)),"")</f>
        <v/>
      </c>
      <c r="J264" s="15">
        <f>IFERROR(INDEX(Cluster_Master!$E$4:$E$18,MATCH($F264,Cluster_Master!$B$4:$B$18,0)),"")</f>
        <v/>
      </c>
      <c r="K264" s="15">
        <f>IFERROR(INDEX(Cluster_Master!$F$4:$F$18,MATCH($F264,Cluster_Master!$B$4:$B$18,0)),"")</f>
        <v/>
      </c>
      <c r="L264" s="15">
        <f>IFERROR(INDEX(Cluster_Master!$G$4:$G$18,MATCH($F264,Cluster_Master!$B$4:$B$18,0)),"")</f>
        <v/>
      </c>
      <c r="M264" s="15">
        <f>IFERROR(INDEX(Cluster_Master!$H$4:$H$18,MATCH($F264,Cluster_Master!$B$4:$B$18,0)),"")</f>
        <v/>
      </c>
      <c r="N264" s="41" t="n"/>
      <c r="O264" s="41" t="n"/>
      <c r="P264" s="41" t="n"/>
      <c r="Q264" s="41" t="n"/>
      <c r="R264" s="41" t="n"/>
      <c r="S264" s="41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15">
        <f>IF(COUNTA(T264:AH264)=0,"",SUM(T264:AH264))</f>
        <v/>
      </c>
      <c r="AJ264" s="21">
        <f>IF(COUNTA(T264:AH264)=0,"",AI264/(COUNT(KPI_Weights!$A$4:$A$18)*5))</f>
        <v/>
      </c>
      <c r="AK264" s="21">
        <f>IF(COUNTA(T264:AH264)=0,"",SUMPRODUCT(T264:AH264,KPI_Weights!$B$4:$B$18)/5)</f>
        <v/>
      </c>
      <c r="AL264" s="15">
        <f>IF(COUNTA(T264:AH264)=0,"",IF(SUMPRODUCT(--(T264:AH264&lt;=1),--(KPI_Weights!$C$4:$C$18="YES"))&gt;0,"YES","NO"))</f>
        <v/>
      </c>
      <c r="AM264" s="15">
        <f>IF(AJ264="","",IF(AND(AL264="NO",AJ264&gt;=0.75),"YES","NO"))</f>
        <v/>
      </c>
      <c r="AN264" s="15">
        <f>IF(AJ264="","",IF(AJ264&lt;0.4,"Critical",IF(AJ264&lt;0.6,"Poor",IF(AJ264&lt;0.75,"Needs Improvement",IF(AJ264&lt;0.9,"Good","Excellent")))))</f>
        <v/>
      </c>
      <c r="AO264" s="41" t="n"/>
      <c r="AP264" s="41" t="n"/>
      <c r="AQ264" s="41" t="n"/>
      <c r="AR264" s="41" t="n"/>
      <c r="AS264" s="41" t="n"/>
      <c r="AT264" s="44" t="n"/>
      <c r="AU264" s="41" t="n"/>
      <c r="AV264" s="43" t="n"/>
      <c r="AW264" s="41" t="n"/>
      <c r="AX264" s="44" t="n"/>
      <c r="AY264" s="44" t="n"/>
      <c r="AZ264" s="44" t="n"/>
      <c r="BA264" s="44" t="n"/>
      <c r="BB264" s="44" t="n"/>
      <c r="BC264" s="44" t="n"/>
      <c r="BD264" s="44" t="n"/>
      <c r="BE264" s="44" t="n"/>
      <c r="BF264" s="44" t="n"/>
    </row>
    <row r="265" ht="19.5" customHeight="1" s="45">
      <c r="A265" s="15">
        <f>IF($B265="","",TEXT($B265,"yyyymmdd")&amp;"-"&amp;SUBSTITUTE($F265," ","")&amp;"-"&amp;TEXT(COUNTIF($F$4:F265,$F265),"00"))</f>
        <v/>
      </c>
      <c r="B265" s="39" t="n"/>
      <c r="C265" s="15">
        <f>IF($B265="","",WEEKNUM($B265,2))</f>
        <v/>
      </c>
      <c r="D265" s="15">
        <f>IF($B265="","",TEXT($B265,"yyyy-mm"))</f>
        <v/>
      </c>
      <c r="E265" s="40" t="n"/>
      <c r="F265" s="40" t="n"/>
      <c r="G265" s="15">
        <f>IF(OR($E265="",$F265=""),"",IFERROR(IF($E265=INDEX(Cluster_Master!$A$4:$A$18,MATCH($F265,Cluster_Master!$B$4:$B$18,0)),"OK","CHECK"),"CHECK"))</f>
        <v/>
      </c>
      <c r="H265" s="18">
        <f>IFERROR(INDEX(Cluster_Master!$C$4:$C$18,MATCH($F265,Cluster_Master!$B$4:$B$18,0)),"")</f>
        <v/>
      </c>
      <c r="I265" s="15">
        <f>IFERROR(INDEX(Cluster_Master!$D$4:$D$18,MATCH($F265,Cluster_Master!$B$4:$B$18,0)),"")</f>
        <v/>
      </c>
      <c r="J265" s="15">
        <f>IFERROR(INDEX(Cluster_Master!$E$4:$E$18,MATCH($F265,Cluster_Master!$B$4:$B$18,0)),"")</f>
        <v/>
      </c>
      <c r="K265" s="15">
        <f>IFERROR(INDEX(Cluster_Master!$F$4:$F$18,MATCH($F265,Cluster_Master!$B$4:$B$18,0)),"")</f>
        <v/>
      </c>
      <c r="L265" s="15">
        <f>IFERROR(INDEX(Cluster_Master!$G$4:$G$18,MATCH($F265,Cluster_Master!$B$4:$B$18,0)),"")</f>
        <v/>
      </c>
      <c r="M265" s="15">
        <f>IFERROR(INDEX(Cluster_Master!$H$4:$H$18,MATCH($F265,Cluster_Master!$B$4:$B$18,0)),"")</f>
        <v/>
      </c>
      <c r="N265" s="41" t="n"/>
      <c r="O265" s="41" t="n"/>
      <c r="P265" s="41" t="n"/>
      <c r="Q265" s="41" t="n"/>
      <c r="R265" s="41" t="n"/>
      <c r="S265" s="41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15">
        <f>IF(COUNTA(T265:AH265)=0,"",SUM(T265:AH265))</f>
        <v/>
      </c>
      <c r="AJ265" s="21">
        <f>IF(COUNTA(T265:AH265)=0,"",AI265/(COUNT(KPI_Weights!$A$4:$A$18)*5))</f>
        <v/>
      </c>
      <c r="AK265" s="21">
        <f>IF(COUNTA(T265:AH265)=0,"",SUMPRODUCT(T265:AH265,KPI_Weights!$B$4:$B$18)/5)</f>
        <v/>
      </c>
      <c r="AL265" s="15">
        <f>IF(COUNTA(T265:AH265)=0,"",IF(SUMPRODUCT(--(T265:AH265&lt;=1),--(KPI_Weights!$C$4:$C$18="YES"))&gt;0,"YES","NO"))</f>
        <v/>
      </c>
      <c r="AM265" s="15">
        <f>IF(AJ265="","",IF(AND(AL265="NO",AJ265&gt;=0.75),"YES","NO"))</f>
        <v/>
      </c>
      <c r="AN265" s="15">
        <f>IF(AJ265="","",IF(AJ265&lt;0.4,"Critical",IF(AJ265&lt;0.6,"Poor",IF(AJ265&lt;0.75,"Needs Improvement",IF(AJ265&lt;0.9,"Good","Excellent")))))</f>
        <v/>
      </c>
      <c r="AO265" s="41" t="n"/>
      <c r="AP265" s="41" t="n"/>
      <c r="AQ265" s="41" t="n"/>
      <c r="AR265" s="41" t="n"/>
      <c r="AS265" s="41" t="n"/>
      <c r="AT265" s="44" t="n"/>
      <c r="AU265" s="41" t="n"/>
      <c r="AV265" s="43" t="n"/>
      <c r="AW265" s="41" t="n"/>
      <c r="AX265" s="44" t="n"/>
      <c r="AY265" s="44" t="n"/>
      <c r="AZ265" s="44" t="n"/>
      <c r="BA265" s="44" t="n"/>
      <c r="BB265" s="44" t="n"/>
      <c r="BC265" s="44" t="n"/>
      <c r="BD265" s="44" t="n"/>
      <c r="BE265" s="44" t="n"/>
      <c r="BF265" s="44" t="n"/>
    </row>
    <row r="266" ht="19.5" customHeight="1" s="45">
      <c r="A266" s="15">
        <f>IF($B266="","",TEXT($B266,"yyyymmdd")&amp;"-"&amp;SUBSTITUTE($F266," ","")&amp;"-"&amp;TEXT(COUNTIF($F$4:F266,$F266),"00"))</f>
        <v/>
      </c>
      <c r="B266" s="39" t="n"/>
      <c r="C266" s="15">
        <f>IF($B266="","",WEEKNUM($B266,2))</f>
        <v/>
      </c>
      <c r="D266" s="15">
        <f>IF($B266="","",TEXT($B266,"yyyy-mm"))</f>
        <v/>
      </c>
      <c r="E266" s="40" t="n"/>
      <c r="F266" s="40" t="n"/>
      <c r="G266" s="15">
        <f>IF(OR($E266="",$F266=""),"",IFERROR(IF($E266=INDEX(Cluster_Master!$A$4:$A$18,MATCH($F266,Cluster_Master!$B$4:$B$18,0)),"OK","CHECK"),"CHECK"))</f>
        <v/>
      </c>
      <c r="H266" s="18">
        <f>IFERROR(INDEX(Cluster_Master!$C$4:$C$18,MATCH($F266,Cluster_Master!$B$4:$B$18,0)),"")</f>
        <v/>
      </c>
      <c r="I266" s="15">
        <f>IFERROR(INDEX(Cluster_Master!$D$4:$D$18,MATCH($F266,Cluster_Master!$B$4:$B$18,0)),"")</f>
        <v/>
      </c>
      <c r="J266" s="15">
        <f>IFERROR(INDEX(Cluster_Master!$E$4:$E$18,MATCH($F266,Cluster_Master!$B$4:$B$18,0)),"")</f>
        <v/>
      </c>
      <c r="K266" s="15">
        <f>IFERROR(INDEX(Cluster_Master!$F$4:$F$18,MATCH($F266,Cluster_Master!$B$4:$B$18,0)),"")</f>
        <v/>
      </c>
      <c r="L266" s="15">
        <f>IFERROR(INDEX(Cluster_Master!$G$4:$G$18,MATCH($F266,Cluster_Master!$B$4:$B$18,0)),"")</f>
        <v/>
      </c>
      <c r="M266" s="15">
        <f>IFERROR(INDEX(Cluster_Master!$H$4:$H$18,MATCH($F266,Cluster_Master!$B$4:$B$18,0)),"")</f>
        <v/>
      </c>
      <c r="N266" s="41" t="n"/>
      <c r="O266" s="41" t="n"/>
      <c r="P266" s="41" t="n"/>
      <c r="Q266" s="41" t="n"/>
      <c r="R266" s="41" t="n"/>
      <c r="S266" s="41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15">
        <f>IF(COUNTA(T266:AH266)=0,"",SUM(T266:AH266))</f>
        <v/>
      </c>
      <c r="AJ266" s="21">
        <f>IF(COUNTA(T266:AH266)=0,"",AI266/(COUNT(KPI_Weights!$A$4:$A$18)*5))</f>
        <v/>
      </c>
      <c r="AK266" s="21">
        <f>IF(COUNTA(T266:AH266)=0,"",SUMPRODUCT(T266:AH266,KPI_Weights!$B$4:$B$18)/5)</f>
        <v/>
      </c>
      <c r="AL266" s="15">
        <f>IF(COUNTA(T266:AH266)=0,"",IF(SUMPRODUCT(--(T266:AH266&lt;=1),--(KPI_Weights!$C$4:$C$18="YES"))&gt;0,"YES","NO"))</f>
        <v/>
      </c>
      <c r="AM266" s="15">
        <f>IF(AJ266="","",IF(AND(AL266="NO",AJ266&gt;=0.75),"YES","NO"))</f>
        <v/>
      </c>
      <c r="AN266" s="15">
        <f>IF(AJ266="","",IF(AJ266&lt;0.4,"Critical",IF(AJ266&lt;0.6,"Poor",IF(AJ266&lt;0.75,"Needs Improvement",IF(AJ266&lt;0.9,"Good","Excellent")))))</f>
        <v/>
      </c>
      <c r="AO266" s="41" t="n"/>
      <c r="AP266" s="41" t="n"/>
      <c r="AQ266" s="41" t="n"/>
      <c r="AR266" s="41" t="n"/>
      <c r="AS266" s="41" t="n"/>
      <c r="AT266" s="44" t="n"/>
      <c r="AU266" s="41" t="n"/>
      <c r="AV266" s="43" t="n"/>
      <c r="AW266" s="41" t="n"/>
      <c r="AX266" s="44" t="n"/>
      <c r="AY266" s="44" t="n"/>
      <c r="AZ266" s="44" t="n"/>
      <c r="BA266" s="44" t="n"/>
      <c r="BB266" s="44" t="n"/>
      <c r="BC266" s="44" t="n"/>
      <c r="BD266" s="44" t="n"/>
      <c r="BE266" s="44" t="n"/>
      <c r="BF266" s="44" t="n"/>
    </row>
    <row r="267" ht="19.5" customHeight="1" s="45">
      <c r="A267" s="15">
        <f>IF($B267="","",TEXT($B267,"yyyymmdd")&amp;"-"&amp;SUBSTITUTE($F267," ","")&amp;"-"&amp;TEXT(COUNTIF($F$4:F267,$F267),"00"))</f>
        <v/>
      </c>
      <c r="B267" s="39" t="n"/>
      <c r="C267" s="15">
        <f>IF($B267="","",WEEKNUM($B267,2))</f>
        <v/>
      </c>
      <c r="D267" s="15">
        <f>IF($B267="","",TEXT($B267,"yyyy-mm"))</f>
        <v/>
      </c>
      <c r="E267" s="40" t="n"/>
      <c r="F267" s="40" t="n"/>
      <c r="G267" s="15">
        <f>IF(OR($E267="",$F267=""),"",IFERROR(IF($E267=INDEX(Cluster_Master!$A$4:$A$18,MATCH($F267,Cluster_Master!$B$4:$B$18,0)),"OK","CHECK"),"CHECK"))</f>
        <v/>
      </c>
      <c r="H267" s="18">
        <f>IFERROR(INDEX(Cluster_Master!$C$4:$C$18,MATCH($F267,Cluster_Master!$B$4:$B$18,0)),"")</f>
        <v/>
      </c>
      <c r="I267" s="15">
        <f>IFERROR(INDEX(Cluster_Master!$D$4:$D$18,MATCH($F267,Cluster_Master!$B$4:$B$18,0)),"")</f>
        <v/>
      </c>
      <c r="J267" s="15">
        <f>IFERROR(INDEX(Cluster_Master!$E$4:$E$18,MATCH($F267,Cluster_Master!$B$4:$B$18,0)),"")</f>
        <v/>
      </c>
      <c r="K267" s="15">
        <f>IFERROR(INDEX(Cluster_Master!$F$4:$F$18,MATCH($F267,Cluster_Master!$B$4:$B$18,0)),"")</f>
        <v/>
      </c>
      <c r="L267" s="15">
        <f>IFERROR(INDEX(Cluster_Master!$G$4:$G$18,MATCH($F267,Cluster_Master!$B$4:$B$18,0)),"")</f>
        <v/>
      </c>
      <c r="M267" s="15">
        <f>IFERROR(INDEX(Cluster_Master!$H$4:$H$18,MATCH($F267,Cluster_Master!$B$4:$B$18,0)),"")</f>
        <v/>
      </c>
      <c r="N267" s="41" t="n"/>
      <c r="O267" s="41" t="n"/>
      <c r="P267" s="41" t="n"/>
      <c r="Q267" s="41" t="n"/>
      <c r="R267" s="41" t="n"/>
      <c r="S267" s="41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15">
        <f>IF(COUNTA(T267:AH267)=0,"",SUM(T267:AH267))</f>
        <v/>
      </c>
      <c r="AJ267" s="21">
        <f>IF(COUNTA(T267:AH267)=0,"",AI267/(COUNT(KPI_Weights!$A$4:$A$18)*5))</f>
        <v/>
      </c>
      <c r="AK267" s="21">
        <f>IF(COUNTA(T267:AH267)=0,"",SUMPRODUCT(T267:AH267,KPI_Weights!$B$4:$B$18)/5)</f>
        <v/>
      </c>
      <c r="AL267" s="15">
        <f>IF(COUNTA(T267:AH267)=0,"",IF(SUMPRODUCT(--(T267:AH267&lt;=1),--(KPI_Weights!$C$4:$C$18="YES"))&gt;0,"YES","NO"))</f>
        <v/>
      </c>
      <c r="AM267" s="15">
        <f>IF(AJ267="","",IF(AND(AL267="NO",AJ267&gt;=0.75),"YES","NO"))</f>
        <v/>
      </c>
      <c r="AN267" s="15">
        <f>IF(AJ267="","",IF(AJ267&lt;0.4,"Critical",IF(AJ267&lt;0.6,"Poor",IF(AJ267&lt;0.75,"Needs Improvement",IF(AJ267&lt;0.9,"Good","Excellent")))))</f>
        <v/>
      </c>
      <c r="AO267" s="41" t="n"/>
      <c r="AP267" s="41" t="n"/>
      <c r="AQ267" s="41" t="n"/>
      <c r="AR267" s="41" t="n"/>
      <c r="AS267" s="41" t="n"/>
      <c r="AT267" s="44" t="n"/>
      <c r="AU267" s="41" t="n"/>
      <c r="AV267" s="43" t="n"/>
      <c r="AW267" s="41" t="n"/>
      <c r="AX267" s="44" t="n"/>
      <c r="AY267" s="44" t="n"/>
      <c r="AZ267" s="44" t="n"/>
      <c r="BA267" s="44" t="n"/>
      <c r="BB267" s="44" t="n"/>
      <c r="BC267" s="44" t="n"/>
      <c r="BD267" s="44" t="n"/>
      <c r="BE267" s="44" t="n"/>
      <c r="BF267" s="44" t="n"/>
    </row>
    <row r="268" ht="19.5" customHeight="1" s="45">
      <c r="A268" s="15">
        <f>IF($B268="","",TEXT($B268,"yyyymmdd")&amp;"-"&amp;SUBSTITUTE($F268," ","")&amp;"-"&amp;TEXT(COUNTIF($F$4:F268,$F268),"00"))</f>
        <v/>
      </c>
      <c r="B268" s="39" t="n"/>
      <c r="C268" s="15">
        <f>IF($B268="","",WEEKNUM($B268,2))</f>
        <v/>
      </c>
      <c r="D268" s="15">
        <f>IF($B268="","",TEXT($B268,"yyyy-mm"))</f>
        <v/>
      </c>
      <c r="E268" s="40" t="n"/>
      <c r="F268" s="40" t="n"/>
      <c r="G268" s="15">
        <f>IF(OR($E268="",$F268=""),"",IFERROR(IF($E268=INDEX(Cluster_Master!$A$4:$A$18,MATCH($F268,Cluster_Master!$B$4:$B$18,0)),"OK","CHECK"),"CHECK"))</f>
        <v/>
      </c>
      <c r="H268" s="18">
        <f>IFERROR(INDEX(Cluster_Master!$C$4:$C$18,MATCH($F268,Cluster_Master!$B$4:$B$18,0)),"")</f>
        <v/>
      </c>
      <c r="I268" s="15">
        <f>IFERROR(INDEX(Cluster_Master!$D$4:$D$18,MATCH($F268,Cluster_Master!$B$4:$B$18,0)),"")</f>
        <v/>
      </c>
      <c r="J268" s="15">
        <f>IFERROR(INDEX(Cluster_Master!$E$4:$E$18,MATCH($F268,Cluster_Master!$B$4:$B$18,0)),"")</f>
        <v/>
      </c>
      <c r="K268" s="15">
        <f>IFERROR(INDEX(Cluster_Master!$F$4:$F$18,MATCH($F268,Cluster_Master!$B$4:$B$18,0)),"")</f>
        <v/>
      </c>
      <c r="L268" s="15">
        <f>IFERROR(INDEX(Cluster_Master!$G$4:$G$18,MATCH($F268,Cluster_Master!$B$4:$B$18,0)),"")</f>
        <v/>
      </c>
      <c r="M268" s="15">
        <f>IFERROR(INDEX(Cluster_Master!$H$4:$H$18,MATCH($F268,Cluster_Master!$B$4:$B$18,0)),"")</f>
        <v/>
      </c>
      <c r="N268" s="41" t="n"/>
      <c r="O268" s="41" t="n"/>
      <c r="P268" s="41" t="n"/>
      <c r="Q268" s="41" t="n"/>
      <c r="R268" s="41" t="n"/>
      <c r="S268" s="41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15">
        <f>IF(COUNTA(T268:AH268)=0,"",SUM(T268:AH268))</f>
        <v/>
      </c>
      <c r="AJ268" s="21">
        <f>IF(COUNTA(T268:AH268)=0,"",AI268/(COUNT(KPI_Weights!$A$4:$A$18)*5))</f>
        <v/>
      </c>
      <c r="AK268" s="21">
        <f>IF(COUNTA(T268:AH268)=0,"",SUMPRODUCT(T268:AH268,KPI_Weights!$B$4:$B$18)/5)</f>
        <v/>
      </c>
      <c r="AL268" s="15">
        <f>IF(COUNTA(T268:AH268)=0,"",IF(SUMPRODUCT(--(T268:AH268&lt;=1),--(KPI_Weights!$C$4:$C$18="YES"))&gt;0,"YES","NO"))</f>
        <v/>
      </c>
      <c r="AM268" s="15">
        <f>IF(AJ268="","",IF(AND(AL268="NO",AJ268&gt;=0.75),"YES","NO"))</f>
        <v/>
      </c>
      <c r="AN268" s="15">
        <f>IF(AJ268="","",IF(AJ268&lt;0.4,"Critical",IF(AJ268&lt;0.6,"Poor",IF(AJ268&lt;0.75,"Needs Improvement",IF(AJ268&lt;0.9,"Good","Excellent")))))</f>
        <v/>
      </c>
      <c r="AO268" s="41" t="n"/>
      <c r="AP268" s="41" t="n"/>
      <c r="AQ268" s="41" t="n"/>
      <c r="AR268" s="41" t="n"/>
      <c r="AS268" s="41" t="n"/>
      <c r="AT268" s="44" t="n"/>
      <c r="AU268" s="41" t="n"/>
      <c r="AV268" s="43" t="n"/>
      <c r="AW268" s="41" t="n"/>
      <c r="AX268" s="44" t="n"/>
      <c r="AY268" s="44" t="n"/>
      <c r="AZ268" s="44" t="n"/>
      <c r="BA268" s="44" t="n"/>
      <c r="BB268" s="44" t="n"/>
      <c r="BC268" s="44" t="n"/>
      <c r="BD268" s="44" t="n"/>
      <c r="BE268" s="44" t="n"/>
      <c r="BF268" s="44" t="n"/>
    </row>
    <row r="269" ht="19.5" customHeight="1" s="45">
      <c r="A269" s="15">
        <f>IF($B269="","",TEXT($B269,"yyyymmdd")&amp;"-"&amp;SUBSTITUTE($F269," ","")&amp;"-"&amp;TEXT(COUNTIF($F$4:F269,$F269),"00"))</f>
        <v/>
      </c>
      <c r="B269" s="39" t="n"/>
      <c r="C269" s="15">
        <f>IF($B269="","",WEEKNUM($B269,2))</f>
        <v/>
      </c>
      <c r="D269" s="15">
        <f>IF($B269="","",TEXT($B269,"yyyy-mm"))</f>
        <v/>
      </c>
      <c r="E269" s="40" t="n"/>
      <c r="F269" s="40" t="n"/>
      <c r="G269" s="15">
        <f>IF(OR($E269="",$F269=""),"",IFERROR(IF($E269=INDEX(Cluster_Master!$A$4:$A$18,MATCH($F269,Cluster_Master!$B$4:$B$18,0)),"OK","CHECK"),"CHECK"))</f>
        <v/>
      </c>
      <c r="H269" s="18">
        <f>IFERROR(INDEX(Cluster_Master!$C$4:$C$18,MATCH($F269,Cluster_Master!$B$4:$B$18,0)),"")</f>
        <v/>
      </c>
      <c r="I269" s="15">
        <f>IFERROR(INDEX(Cluster_Master!$D$4:$D$18,MATCH($F269,Cluster_Master!$B$4:$B$18,0)),"")</f>
        <v/>
      </c>
      <c r="J269" s="15">
        <f>IFERROR(INDEX(Cluster_Master!$E$4:$E$18,MATCH($F269,Cluster_Master!$B$4:$B$18,0)),"")</f>
        <v/>
      </c>
      <c r="K269" s="15">
        <f>IFERROR(INDEX(Cluster_Master!$F$4:$F$18,MATCH($F269,Cluster_Master!$B$4:$B$18,0)),"")</f>
        <v/>
      </c>
      <c r="L269" s="15">
        <f>IFERROR(INDEX(Cluster_Master!$G$4:$G$18,MATCH($F269,Cluster_Master!$B$4:$B$18,0)),"")</f>
        <v/>
      </c>
      <c r="M269" s="15">
        <f>IFERROR(INDEX(Cluster_Master!$H$4:$H$18,MATCH($F269,Cluster_Master!$B$4:$B$18,0)),"")</f>
        <v/>
      </c>
      <c r="N269" s="41" t="n"/>
      <c r="O269" s="41" t="n"/>
      <c r="P269" s="41" t="n"/>
      <c r="Q269" s="41" t="n"/>
      <c r="R269" s="41" t="n"/>
      <c r="S269" s="41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15">
        <f>IF(COUNTA(T269:AH269)=0,"",SUM(T269:AH269))</f>
        <v/>
      </c>
      <c r="AJ269" s="21">
        <f>IF(COUNTA(T269:AH269)=0,"",AI269/(COUNT(KPI_Weights!$A$4:$A$18)*5))</f>
        <v/>
      </c>
      <c r="AK269" s="21">
        <f>IF(COUNTA(T269:AH269)=0,"",SUMPRODUCT(T269:AH269,KPI_Weights!$B$4:$B$18)/5)</f>
        <v/>
      </c>
      <c r="AL269" s="15">
        <f>IF(COUNTA(T269:AH269)=0,"",IF(SUMPRODUCT(--(T269:AH269&lt;=1),--(KPI_Weights!$C$4:$C$18="YES"))&gt;0,"YES","NO"))</f>
        <v/>
      </c>
      <c r="AM269" s="15">
        <f>IF(AJ269="","",IF(AND(AL269="NO",AJ269&gt;=0.75),"YES","NO"))</f>
        <v/>
      </c>
      <c r="AN269" s="15">
        <f>IF(AJ269="","",IF(AJ269&lt;0.4,"Critical",IF(AJ269&lt;0.6,"Poor",IF(AJ269&lt;0.75,"Needs Improvement",IF(AJ269&lt;0.9,"Good","Excellent")))))</f>
        <v/>
      </c>
      <c r="AO269" s="41" t="n"/>
      <c r="AP269" s="41" t="n"/>
      <c r="AQ269" s="41" t="n"/>
      <c r="AR269" s="41" t="n"/>
      <c r="AS269" s="41" t="n"/>
      <c r="AT269" s="44" t="n"/>
      <c r="AU269" s="41" t="n"/>
      <c r="AV269" s="43" t="n"/>
      <c r="AW269" s="41" t="n"/>
      <c r="AX269" s="44" t="n"/>
      <c r="AY269" s="44" t="n"/>
      <c r="AZ269" s="44" t="n"/>
      <c r="BA269" s="44" t="n"/>
      <c r="BB269" s="44" t="n"/>
      <c r="BC269" s="44" t="n"/>
      <c r="BD269" s="44" t="n"/>
      <c r="BE269" s="44" t="n"/>
      <c r="BF269" s="44" t="n"/>
    </row>
    <row r="270" ht="19.5" customHeight="1" s="45">
      <c r="A270" s="15">
        <f>IF($B270="","",TEXT($B270,"yyyymmdd")&amp;"-"&amp;SUBSTITUTE($F270," ","")&amp;"-"&amp;TEXT(COUNTIF($F$4:F270,$F270),"00"))</f>
        <v/>
      </c>
      <c r="B270" s="39" t="n"/>
      <c r="C270" s="15">
        <f>IF($B270="","",WEEKNUM($B270,2))</f>
        <v/>
      </c>
      <c r="D270" s="15">
        <f>IF($B270="","",TEXT($B270,"yyyy-mm"))</f>
        <v/>
      </c>
      <c r="E270" s="40" t="n"/>
      <c r="F270" s="40" t="n"/>
      <c r="G270" s="15">
        <f>IF(OR($E270="",$F270=""),"",IFERROR(IF($E270=INDEX(Cluster_Master!$A$4:$A$18,MATCH($F270,Cluster_Master!$B$4:$B$18,0)),"OK","CHECK"),"CHECK"))</f>
        <v/>
      </c>
      <c r="H270" s="18">
        <f>IFERROR(INDEX(Cluster_Master!$C$4:$C$18,MATCH($F270,Cluster_Master!$B$4:$B$18,0)),"")</f>
        <v/>
      </c>
      <c r="I270" s="15">
        <f>IFERROR(INDEX(Cluster_Master!$D$4:$D$18,MATCH($F270,Cluster_Master!$B$4:$B$18,0)),"")</f>
        <v/>
      </c>
      <c r="J270" s="15">
        <f>IFERROR(INDEX(Cluster_Master!$E$4:$E$18,MATCH($F270,Cluster_Master!$B$4:$B$18,0)),"")</f>
        <v/>
      </c>
      <c r="K270" s="15">
        <f>IFERROR(INDEX(Cluster_Master!$F$4:$F$18,MATCH($F270,Cluster_Master!$B$4:$B$18,0)),"")</f>
        <v/>
      </c>
      <c r="L270" s="15">
        <f>IFERROR(INDEX(Cluster_Master!$G$4:$G$18,MATCH($F270,Cluster_Master!$B$4:$B$18,0)),"")</f>
        <v/>
      </c>
      <c r="M270" s="15">
        <f>IFERROR(INDEX(Cluster_Master!$H$4:$H$18,MATCH($F270,Cluster_Master!$B$4:$B$18,0)),"")</f>
        <v/>
      </c>
      <c r="N270" s="41" t="n"/>
      <c r="O270" s="41" t="n"/>
      <c r="P270" s="41" t="n"/>
      <c r="Q270" s="41" t="n"/>
      <c r="R270" s="41" t="n"/>
      <c r="S270" s="41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15">
        <f>IF(COUNTA(T270:AH270)=0,"",SUM(T270:AH270))</f>
        <v/>
      </c>
      <c r="AJ270" s="21">
        <f>IF(COUNTA(T270:AH270)=0,"",AI270/(COUNT(KPI_Weights!$A$4:$A$18)*5))</f>
        <v/>
      </c>
      <c r="AK270" s="21">
        <f>IF(COUNTA(T270:AH270)=0,"",SUMPRODUCT(T270:AH270,KPI_Weights!$B$4:$B$18)/5)</f>
        <v/>
      </c>
      <c r="AL270" s="15">
        <f>IF(COUNTA(T270:AH270)=0,"",IF(SUMPRODUCT(--(T270:AH270&lt;=1),--(KPI_Weights!$C$4:$C$18="YES"))&gt;0,"YES","NO"))</f>
        <v/>
      </c>
      <c r="AM270" s="15">
        <f>IF(AJ270="","",IF(AND(AL270="NO",AJ270&gt;=0.75),"YES","NO"))</f>
        <v/>
      </c>
      <c r="AN270" s="15">
        <f>IF(AJ270="","",IF(AJ270&lt;0.4,"Critical",IF(AJ270&lt;0.6,"Poor",IF(AJ270&lt;0.75,"Needs Improvement",IF(AJ270&lt;0.9,"Good","Excellent")))))</f>
        <v/>
      </c>
      <c r="AO270" s="41" t="n"/>
      <c r="AP270" s="41" t="n"/>
      <c r="AQ270" s="41" t="n"/>
      <c r="AR270" s="41" t="n"/>
      <c r="AS270" s="41" t="n"/>
      <c r="AT270" s="44" t="n"/>
      <c r="AU270" s="41" t="n"/>
      <c r="AV270" s="43" t="n"/>
      <c r="AW270" s="41" t="n"/>
      <c r="AX270" s="44" t="n"/>
      <c r="AY270" s="44" t="n"/>
      <c r="AZ270" s="44" t="n"/>
      <c r="BA270" s="44" t="n"/>
      <c r="BB270" s="44" t="n"/>
      <c r="BC270" s="44" t="n"/>
      <c r="BD270" s="44" t="n"/>
      <c r="BE270" s="44" t="n"/>
      <c r="BF270" s="44" t="n"/>
    </row>
    <row r="271" ht="19.5" customHeight="1" s="45">
      <c r="A271" s="15">
        <f>IF($B271="","",TEXT($B271,"yyyymmdd")&amp;"-"&amp;SUBSTITUTE($F271," ","")&amp;"-"&amp;TEXT(COUNTIF($F$4:F271,$F271),"00"))</f>
        <v/>
      </c>
      <c r="B271" s="39" t="n"/>
      <c r="C271" s="15">
        <f>IF($B271="","",WEEKNUM($B271,2))</f>
        <v/>
      </c>
      <c r="D271" s="15">
        <f>IF($B271="","",TEXT($B271,"yyyy-mm"))</f>
        <v/>
      </c>
      <c r="E271" s="40" t="n"/>
      <c r="F271" s="40" t="n"/>
      <c r="G271" s="15">
        <f>IF(OR($E271="",$F271=""),"",IFERROR(IF($E271=INDEX(Cluster_Master!$A$4:$A$18,MATCH($F271,Cluster_Master!$B$4:$B$18,0)),"OK","CHECK"),"CHECK"))</f>
        <v/>
      </c>
      <c r="H271" s="18">
        <f>IFERROR(INDEX(Cluster_Master!$C$4:$C$18,MATCH($F271,Cluster_Master!$B$4:$B$18,0)),"")</f>
        <v/>
      </c>
      <c r="I271" s="15">
        <f>IFERROR(INDEX(Cluster_Master!$D$4:$D$18,MATCH($F271,Cluster_Master!$B$4:$B$18,0)),"")</f>
        <v/>
      </c>
      <c r="J271" s="15">
        <f>IFERROR(INDEX(Cluster_Master!$E$4:$E$18,MATCH($F271,Cluster_Master!$B$4:$B$18,0)),"")</f>
        <v/>
      </c>
      <c r="K271" s="15">
        <f>IFERROR(INDEX(Cluster_Master!$F$4:$F$18,MATCH($F271,Cluster_Master!$B$4:$B$18,0)),"")</f>
        <v/>
      </c>
      <c r="L271" s="15">
        <f>IFERROR(INDEX(Cluster_Master!$G$4:$G$18,MATCH($F271,Cluster_Master!$B$4:$B$18,0)),"")</f>
        <v/>
      </c>
      <c r="M271" s="15">
        <f>IFERROR(INDEX(Cluster_Master!$H$4:$H$18,MATCH($F271,Cluster_Master!$B$4:$B$18,0)),"")</f>
        <v/>
      </c>
      <c r="N271" s="41" t="n"/>
      <c r="O271" s="41" t="n"/>
      <c r="P271" s="41" t="n"/>
      <c r="Q271" s="41" t="n"/>
      <c r="R271" s="41" t="n"/>
      <c r="S271" s="41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15">
        <f>IF(COUNTA(T271:AH271)=0,"",SUM(T271:AH271))</f>
        <v/>
      </c>
      <c r="AJ271" s="21">
        <f>IF(COUNTA(T271:AH271)=0,"",AI271/(COUNT(KPI_Weights!$A$4:$A$18)*5))</f>
        <v/>
      </c>
      <c r="AK271" s="21">
        <f>IF(COUNTA(T271:AH271)=0,"",SUMPRODUCT(T271:AH271,KPI_Weights!$B$4:$B$18)/5)</f>
        <v/>
      </c>
      <c r="AL271" s="15">
        <f>IF(COUNTA(T271:AH271)=0,"",IF(SUMPRODUCT(--(T271:AH271&lt;=1),--(KPI_Weights!$C$4:$C$18="YES"))&gt;0,"YES","NO"))</f>
        <v/>
      </c>
      <c r="AM271" s="15">
        <f>IF(AJ271="","",IF(AND(AL271="NO",AJ271&gt;=0.75),"YES","NO"))</f>
        <v/>
      </c>
      <c r="AN271" s="15">
        <f>IF(AJ271="","",IF(AJ271&lt;0.4,"Critical",IF(AJ271&lt;0.6,"Poor",IF(AJ271&lt;0.75,"Needs Improvement",IF(AJ271&lt;0.9,"Good","Excellent")))))</f>
        <v/>
      </c>
      <c r="AO271" s="41" t="n"/>
      <c r="AP271" s="41" t="n"/>
      <c r="AQ271" s="41" t="n"/>
      <c r="AR271" s="41" t="n"/>
      <c r="AS271" s="41" t="n"/>
      <c r="AT271" s="44" t="n"/>
      <c r="AU271" s="41" t="n"/>
      <c r="AV271" s="43" t="n"/>
      <c r="AW271" s="41" t="n"/>
      <c r="AX271" s="44" t="n"/>
      <c r="AY271" s="44" t="n"/>
      <c r="AZ271" s="44" t="n"/>
      <c r="BA271" s="44" t="n"/>
      <c r="BB271" s="44" t="n"/>
      <c r="BC271" s="44" t="n"/>
      <c r="BD271" s="44" t="n"/>
      <c r="BE271" s="44" t="n"/>
      <c r="BF271" s="44" t="n"/>
    </row>
    <row r="272" ht="19.5" customHeight="1" s="45">
      <c r="A272" s="15">
        <f>IF($B272="","",TEXT($B272,"yyyymmdd")&amp;"-"&amp;SUBSTITUTE($F272," ","")&amp;"-"&amp;TEXT(COUNTIF($F$4:F272,$F272),"00"))</f>
        <v/>
      </c>
      <c r="B272" s="39" t="n"/>
      <c r="C272" s="15">
        <f>IF($B272="","",WEEKNUM($B272,2))</f>
        <v/>
      </c>
      <c r="D272" s="15">
        <f>IF($B272="","",TEXT($B272,"yyyy-mm"))</f>
        <v/>
      </c>
      <c r="E272" s="40" t="n"/>
      <c r="F272" s="40" t="n"/>
      <c r="G272" s="15">
        <f>IF(OR($E272="",$F272=""),"",IFERROR(IF($E272=INDEX(Cluster_Master!$A$4:$A$18,MATCH($F272,Cluster_Master!$B$4:$B$18,0)),"OK","CHECK"),"CHECK"))</f>
        <v/>
      </c>
      <c r="H272" s="18">
        <f>IFERROR(INDEX(Cluster_Master!$C$4:$C$18,MATCH($F272,Cluster_Master!$B$4:$B$18,0)),"")</f>
        <v/>
      </c>
      <c r="I272" s="15">
        <f>IFERROR(INDEX(Cluster_Master!$D$4:$D$18,MATCH($F272,Cluster_Master!$B$4:$B$18,0)),"")</f>
        <v/>
      </c>
      <c r="J272" s="15">
        <f>IFERROR(INDEX(Cluster_Master!$E$4:$E$18,MATCH($F272,Cluster_Master!$B$4:$B$18,0)),"")</f>
        <v/>
      </c>
      <c r="K272" s="15">
        <f>IFERROR(INDEX(Cluster_Master!$F$4:$F$18,MATCH($F272,Cluster_Master!$B$4:$B$18,0)),"")</f>
        <v/>
      </c>
      <c r="L272" s="15">
        <f>IFERROR(INDEX(Cluster_Master!$G$4:$G$18,MATCH($F272,Cluster_Master!$B$4:$B$18,0)),"")</f>
        <v/>
      </c>
      <c r="M272" s="15">
        <f>IFERROR(INDEX(Cluster_Master!$H$4:$H$18,MATCH($F272,Cluster_Master!$B$4:$B$18,0)),"")</f>
        <v/>
      </c>
      <c r="N272" s="41" t="n"/>
      <c r="O272" s="41" t="n"/>
      <c r="P272" s="41" t="n"/>
      <c r="Q272" s="41" t="n"/>
      <c r="R272" s="41" t="n"/>
      <c r="S272" s="41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42" t="n"/>
      <c r="AI272" s="15">
        <f>IF(COUNTA(T272:AH272)=0,"",SUM(T272:AH272))</f>
        <v/>
      </c>
      <c r="AJ272" s="21">
        <f>IF(COUNTA(T272:AH272)=0,"",AI272/(COUNT(KPI_Weights!$A$4:$A$18)*5))</f>
        <v/>
      </c>
      <c r="AK272" s="21">
        <f>IF(COUNTA(T272:AH272)=0,"",SUMPRODUCT(T272:AH272,KPI_Weights!$B$4:$B$18)/5)</f>
        <v/>
      </c>
      <c r="AL272" s="15">
        <f>IF(COUNTA(T272:AH272)=0,"",IF(SUMPRODUCT(--(T272:AH272&lt;=1),--(KPI_Weights!$C$4:$C$18="YES"))&gt;0,"YES","NO"))</f>
        <v/>
      </c>
      <c r="AM272" s="15">
        <f>IF(AJ272="","",IF(AND(AL272="NO",AJ272&gt;=0.75),"YES","NO"))</f>
        <v/>
      </c>
      <c r="AN272" s="15">
        <f>IF(AJ272="","",IF(AJ272&lt;0.4,"Critical",IF(AJ272&lt;0.6,"Poor",IF(AJ272&lt;0.75,"Needs Improvement",IF(AJ272&lt;0.9,"Good","Excellent")))))</f>
        <v/>
      </c>
      <c r="AO272" s="41" t="n"/>
      <c r="AP272" s="41" t="n"/>
      <c r="AQ272" s="41" t="n"/>
      <c r="AR272" s="41" t="n"/>
      <c r="AS272" s="41" t="n"/>
      <c r="AT272" s="44" t="n"/>
      <c r="AU272" s="41" t="n"/>
      <c r="AV272" s="43" t="n"/>
      <c r="AW272" s="41" t="n"/>
      <c r="AX272" s="44" t="n"/>
      <c r="AY272" s="44" t="n"/>
      <c r="AZ272" s="44" t="n"/>
      <c r="BA272" s="44" t="n"/>
      <c r="BB272" s="44" t="n"/>
      <c r="BC272" s="44" t="n"/>
      <c r="BD272" s="44" t="n"/>
      <c r="BE272" s="44" t="n"/>
      <c r="BF272" s="44" t="n"/>
    </row>
    <row r="273" ht="19.5" customHeight="1" s="45">
      <c r="A273" s="15">
        <f>IF($B273="","",TEXT($B273,"yyyymmdd")&amp;"-"&amp;SUBSTITUTE($F273," ","")&amp;"-"&amp;TEXT(COUNTIF($F$4:F273,$F273),"00"))</f>
        <v/>
      </c>
      <c r="B273" s="39" t="n"/>
      <c r="C273" s="15">
        <f>IF($B273="","",WEEKNUM($B273,2))</f>
        <v/>
      </c>
      <c r="D273" s="15">
        <f>IF($B273="","",TEXT($B273,"yyyy-mm"))</f>
        <v/>
      </c>
      <c r="E273" s="40" t="n"/>
      <c r="F273" s="40" t="n"/>
      <c r="G273" s="15">
        <f>IF(OR($E273="",$F273=""),"",IFERROR(IF($E273=INDEX(Cluster_Master!$A$4:$A$18,MATCH($F273,Cluster_Master!$B$4:$B$18,0)),"OK","CHECK"),"CHECK"))</f>
        <v/>
      </c>
      <c r="H273" s="18">
        <f>IFERROR(INDEX(Cluster_Master!$C$4:$C$18,MATCH($F273,Cluster_Master!$B$4:$B$18,0)),"")</f>
        <v/>
      </c>
      <c r="I273" s="15">
        <f>IFERROR(INDEX(Cluster_Master!$D$4:$D$18,MATCH($F273,Cluster_Master!$B$4:$B$18,0)),"")</f>
        <v/>
      </c>
      <c r="J273" s="15">
        <f>IFERROR(INDEX(Cluster_Master!$E$4:$E$18,MATCH($F273,Cluster_Master!$B$4:$B$18,0)),"")</f>
        <v/>
      </c>
      <c r="K273" s="15">
        <f>IFERROR(INDEX(Cluster_Master!$F$4:$F$18,MATCH($F273,Cluster_Master!$B$4:$B$18,0)),"")</f>
        <v/>
      </c>
      <c r="L273" s="15">
        <f>IFERROR(INDEX(Cluster_Master!$G$4:$G$18,MATCH($F273,Cluster_Master!$B$4:$B$18,0)),"")</f>
        <v/>
      </c>
      <c r="M273" s="15">
        <f>IFERROR(INDEX(Cluster_Master!$H$4:$H$18,MATCH($F273,Cluster_Master!$B$4:$B$18,0)),"")</f>
        <v/>
      </c>
      <c r="N273" s="41" t="n"/>
      <c r="O273" s="41" t="n"/>
      <c r="P273" s="41" t="n"/>
      <c r="Q273" s="41" t="n"/>
      <c r="R273" s="41" t="n"/>
      <c r="S273" s="41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42" t="n"/>
      <c r="AI273" s="15">
        <f>IF(COUNTA(T273:AH273)=0,"",SUM(T273:AH273))</f>
        <v/>
      </c>
      <c r="AJ273" s="21">
        <f>IF(COUNTA(T273:AH273)=0,"",AI273/(COUNT(KPI_Weights!$A$4:$A$18)*5))</f>
        <v/>
      </c>
      <c r="AK273" s="21">
        <f>IF(COUNTA(T273:AH273)=0,"",SUMPRODUCT(T273:AH273,KPI_Weights!$B$4:$B$18)/5)</f>
        <v/>
      </c>
      <c r="AL273" s="15">
        <f>IF(COUNTA(T273:AH273)=0,"",IF(SUMPRODUCT(--(T273:AH273&lt;=1),--(KPI_Weights!$C$4:$C$18="YES"))&gt;0,"YES","NO"))</f>
        <v/>
      </c>
      <c r="AM273" s="15">
        <f>IF(AJ273="","",IF(AND(AL273="NO",AJ273&gt;=0.75),"YES","NO"))</f>
        <v/>
      </c>
      <c r="AN273" s="15">
        <f>IF(AJ273="","",IF(AJ273&lt;0.4,"Critical",IF(AJ273&lt;0.6,"Poor",IF(AJ273&lt;0.75,"Needs Improvement",IF(AJ273&lt;0.9,"Good","Excellent")))))</f>
        <v/>
      </c>
      <c r="AO273" s="41" t="n"/>
      <c r="AP273" s="41" t="n"/>
      <c r="AQ273" s="41" t="n"/>
      <c r="AR273" s="41" t="n"/>
      <c r="AS273" s="41" t="n"/>
      <c r="AT273" s="44" t="n"/>
      <c r="AU273" s="41" t="n"/>
      <c r="AV273" s="43" t="n"/>
      <c r="AW273" s="41" t="n"/>
      <c r="AX273" s="44" t="n"/>
      <c r="AY273" s="44" t="n"/>
      <c r="AZ273" s="44" t="n"/>
      <c r="BA273" s="44" t="n"/>
      <c r="BB273" s="44" t="n"/>
      <c r="BC273" s="44" t="n"/>
      <c r="BD273" s="44" t="n"/>
      <c r="BE273" s="44" t="n"/>
      <c r="BF273" s="44" t="n"/>
    </row>
    <row r="274" ht="19.5" customHeight="1" s="45">
      <c r="A274" s="15">
        <f>IF($B274="","",TEXT($B274,"yyyymmdd")&amp;"-"&amp;SUBSTITUTE($F274," ","")&amp;"-"&amp;TEXT(COUNTIF($F$4:F274,$F274),"00"))</f>
        <v/>
      </c>
      <c r="B274" s="39" t="n"/>
      <c r="C274" s="15">
        <f>IF($B274="","",WEEKNUM($B274,2))</f>
        <v/>
      </c>
      <c r="D274" s="15">
        <f>IF($B274="","",TEXT($B274,"yyyy-mm"))</f>
        <v/>
      </c>
      <c r="E274" s="40" t="n"/>
      <c r="F274" s="40" t="n"/>
      <c r="G274" s="15">
        <f>IF(OR($E274="",$F274=""),"",IFERROR(IF($E274=INDEX(Cluster_Master!$A$4:$A$18,MATCH($F274,Cluster_Master!$B$4:$B$18,0)),"OK","CHECK"),"CHECK"))</f>
        <v/>
      </c>
      <c r="H274" s="18">
        <f>IFERROR(INDEX(Cluster_Master!$C$4:$C$18,MATCH($F274,Cluster_Master!$B$4:$B$18,0)),"")</f>
        <v/>
      </c>
      <c r="I274" s="15">
        <f>IFERROR(INDEX(Cluster_Master!$D$4:$D$18,MATCH($F274,Cluster_Master!$B$4:$B$18,0)),"")</f>
        <v/>
      </c>
      <c r="J274" s="15">
        <f>IFERROR(INDEX(Cluster_Master!$E$4:$E$18,MATCH($F274,Cluster_Master!$B$4:$B$18,0)),"")</f>
        <v/>
      </c>
      <c r="K274" s="15">
        <f>IFERROR(INDEX(Cluster_Master!$F$4:$F$18,MATCH($F274,Cluster_Master!$B$4:$B$18,0)),"")</f>
        <v/>
      </c>
      <c r="L274" s="15">
        <f>IFERROR(INDEX(Cluster_Master!$G$4:$G$18,MATCH($F274,Cluster_Master!$B$4:$B$18,0)),"")</f>
        <v/>
      </c>
      <c r="M274" s="15">
        <f>IFERROR(INDEX(Cluster_Master!$H$4:$H$18,MATCH($F274,Cluster_Master!$B$4:$B$18,0)),"")</f>
        <v/>
      </c>
      <c r="N274" s="41" t="n"/>
      <c r="O274" s="41" t="n"/>
      <c r="P274" s="41" t="n"/>
      <c r="Q274" s="41" t="n"/>
      <c r="R274" s="41" t="n"/>
      <c r="S274" s="41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42" t="n"/>
      <c r="AI274" s="15">
        <f>IF(COUNTA(T274:AH274)=0,"",SUM(T274:AH274))</f>
        <v/>
      </c>
      <c r="AJ274" s="21">
        <f>IF(COUNTA(T274:AH274)=0,"",AI274/(COUNT(KPI_Weights!$A$4:$A$18)*5))</f>
        <v/>
      </c>
      <c r="AK274" s="21">
        <f>IF(COUNTA(T274:AH274)=0,"",SUMPRODUCT(T274:AH274,KPI_Weights!$B$4:$B$18)/5)</f>
        <v/>
      </c>
      <c r="AL274" s="15">
        <f>IF(COUNTA(T274:AH274)=0,"",IF(SUMPRODUCT(--(T274:AH274&lt;=1),--(KPI_Weights!$C$4:$C$18="YES"))&gt;0,"YES","NO"))</f>
        <v/>
      </c>
      <c r="AM274" s="15">
        <f>IF(AJ274="","",IF(AND(AL274="NO",AJ274&gt;=0.75),"YES","NO"))</f>
        <v/>
      </c>
      <c r="AN274" s="15">
        <f>IF(AJ274="","",IF(AJ274&lt;0.4,"Critical",IF(AJ274&lt;0.6,"Poor",IF(AJ274&lt;0.75,"Needs Improvement",IF(AJ274&lt;0.9,"Good","Excellent")))))</f>
        <v/>
      </c>
      <c r="AO274" s="41" t="n"/>
      <c r="AP274" s="41" t="n"/>
      <c r="AQ274" s="41" t="n"/>
      <c r="AR274" s="41" t="n"/>
      <c r="AS274" s="41" t="n"/>
      <c r="AT274" s="44" t="n"/>
      <c r="AU274" s="41" t="n"/>
      <c r="AV274" s="43" t="n"/>
      <c r="AW274" s="41" t="n"/>
      <c r="AX274" s="44" t="n"/>
      <c r="AY274" s="44" t="n"/>
      <c r="AZ274" s="44" t="n"/>
      <c r="BA274" s="44" t="n"/>
      <c r="BB274" s="44" t="n"/>
      <c r="BC274" s="44" t="n"/>
      <c r="BD274" s="44" t="n"/>
      <c r="BE274" s="44" t="n"/>
      <c r="BF274" s="44" t="n"/>
    </row>
    <row r="275" ht="19.5" customHeight="1" s="45">
      <c r="A275" s="15">
        <f>IF($B275="","",TEXT($B275,"yyyymmdd")&amp;"-"&amp;SUBSTITUTE($F275," ","")&amp;"-"&amp;TEXT(COUNTIF($F$4:F275,$F275),"00"))</f>
        <v/>
      </c>
      <c r="B275" s="39" t="n"/>
      <c r="C275" s="15">
        <f>IF($B275="","",WEEKNUM($B275,2))</f>
        <v/>
      </c>
      <c r="D275" s="15">
        <f>IF($B275="","",TEXT($B275,"yyyy-mm"))</f>
        <v/>
      </c>
      <c r="E275" s="40" t="n"/>
      <c r="F275" s="40" t="n"/>
      <c r="G275" s="15">
        <f>IF(OR($E275="",$F275=""),"",IFERROR(IF($E275=INDEX(Cluster_Master!$A$4:$A$18,MATCH($F275,Cluster_Master!$B$4:$B$18,0)),"OK","CHECK"),"CHECK"))</f>
        <v/>
      </c>
      <c r="H275" s="18">
        <f>IFERROR(INDEX(Cluster_Master!$C$4:$C$18,MATCH($F275,Cluster_Master!$B$4:$B$18,0)),"")</f>
        <v/>
      </c>
      <c r="I275" s="15">
        <f>IFERROR(INDEX(Cluster_Master!$D$4:$D$18,MATCH($F275,Cluster_Master!$B$4:$B$18,0)),"")</f>
        <v/>
      </c>
      <c r="J275" s="15">
        <f>IFERROR(INDEX(Cluster_Master!$E$4:$E$18,MATCH($F275,Cluster_Master!$B$4:$B$18,0)),"")</f>
        <v/>
      </c>
      <c r="K275" s="15">
        <f>IFERROR(INDEX(Cluster_Master!$F$4:$F$18,MATCH($F275,Cluster_Master!$B$4:$B$18,0)),"")</f>
        <v/>
      </c>
      <c r="L275" s="15">
        <f>IFERROR(INDEX(Cluster_Master!$G$4:$G$18,MATCH($F275,Cluster_Master!$B$4:$B$18,0)),"")</f>
        <v/>
      </c>
      <c r="M275" s="15">
        <f>IFERROR(INDEX(Cluster_Master!$H$4:$H$18,MATCH($F275,Cluster_Master!$B$4:$B$18,0)),"")</f>
        <v/>
      </c>
      <c r="N275" s="41" t="n"/>
      <c r="O275" s="41" t="n"/>
      <c r="P275" s="41" t="n"/>
      <c r="Q275" s="41" t="n"/>
      <c r="R275" s="41" t="n"/>
      <c r="S275" s="41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42" t="n"/>
      <c r="AG275" s="42" t="n"/>
      <c r="AH275" s="42" t="n"/>
      <c r="AI275" s="15">
        <f>IF(COUNTA(T275:AH275)=0,"",SUM(T275:AH275))</f>
        <v/>
      </c>
      <c r="AJ275" s="21">
        <f>IF(COUNTA(T275:AH275)=0,"",AI275/(COUNT(KPI_Weights!$A$4:$A$18)*5))</f>
        <v/>
      </c>
      <c r="AK275" s="21">
        <f>IF(COUNTA(T275:AH275)=0,"",SUMPRODUCT(T275:AH275,KPI_Weights!$B$4:$B$18)/5)</f>
        <v/>
      </c>
      <c r="AL275" s="15">
        <f>IF(COUNTA(T275:AH275)=0,"",IF(SUMPRODUCT(--(T275:AH275&lt;=1),--(KPI_Weights!$C$4:$C$18="YES"))&gt;0,"YES","NO"))</f>
        <v/>
      </c>
      <c r="AM275" s="15">
        <f>IF(AJ275="","",IF(AND(AL275="NO",AJ275&gt;=0.75),"YES","NO"))</f>
        <v/>
      </c>
      <c r="AN275" s="15">
        <f>IF(AJ275="","",IF(AJ275&lt;0.4,"Critical",IF(AJ275&lt;0.6,"Poor",IF(AJ275&lt;0.75,"Needs Improvement",IF(AJ275&lt;0.9,"Good","Excellent")))))</f>
        <v/>
      </c>
      <c r="AO275" s="41" t="n"/>
      <c r="AP275" s="41" t="n"/>
      <c r="AQ275" s="41" t="n"/>
      <c r="AR275" s="41" t="n"/>
      <c r="AS275" s="41" t="n"/>
      <c r="AT275" s="44" t="n"/>
      <c r="AU275" s="41" t="n"/>
      <c r="AV275" s="43" t="n"/>
      <c r="AW275" s="41" t="n"/>
      <c r="AX275" s="44" t="n"/>
      <c r="AY275" s="44" t="n"/>
      <c r="AZ275" s="44" t="n"/>
      <c r="BA275" s="44" t="n"/>
      <c r="BB275" s="44" t="n"/>
      <c r="BC275" s="44" t="n"/>
      <c r="BD275" s="44" t="n"/>
      <c r="BE275" s="44" t="n"/>
      <c r="BF275" s="44" t="n"/>
    </row>
    <row r="276" ht="19.5" customHeight="1" s="45">
      <c r="A276" s="15">
        <f>IF($B276="","",TEXT($B276,"yyyymmdd")&amp;"-"&amp;SUBSTITUTE($F276," ","")&amp;"-"&amp;TEXT(COUNTIF($F$4:F276,$F276),"00"))</f>
        <v/>
      </c>
      <c r="B276" s="39" t="n"/>
      <c r="C276" s="15">
        <f>IF($B276="","",WEEKNUM($B276,2))</f>
        <v/>
      </c>
      <c r="D276" s="15">
        <f>IF($B276="","",TEXT($B276,"yyyy-mm"))</f>
        <v/>
      </c>
      <c r="E276" s="40" t="n"/>
      <c r="F276" s="40" t="n"/>
      <c r="G276" s="15">
        <f>IF(OR($E276="",$F276=""),"",IFERROR(IF($E276=INDEX(Cluster_Master!$A$4:$A$18,MATCH($F276,Cluster_Master!$B$4:$B$18,0)),"OK","CHECK"),"CHECK"))</f>
        <v/>
      </c>
      <c r="H276" s="18">
        <f>IFERROR(INDEX(Cluster_Master!$C$4:$C$18,MATCH($F276,Cluster_Master!$B$4:$B$18,0)),"")</f>
        <v/>
      </c>
      <c r="I276" s="15">
        <f>IFERROR(INDEX(Cluster_Master!$D$4:$D$18,MATCH($F276,Cluster_Master!$B$4:$B$18,0)),"")</f>
        <v/>
      </c>
      <c r="J276" s="15">
        <f>IFERROR(INDEX(Cluster_Master!$E$4:$E$18,MATCH($F276,Cluster_Master!$B$4:$B$18,0)),"")</f>
        <v/>
      </c>
      <c r="K276" s="15">
        <f>IFERROR(INDEX(Cluster_Master!$F$4:$F$18,MATCH($F276,Cluster_Master!$B$4:$B$18,0)),"")</f>
        <v/>
      </c>
      <c r="L276" s="15">
        <f>IFERROR(INDEX(Cluster_Master!$G$4:$G$18,MATCH($F276,Cluster_Master!$B$4:$B$18,0)),"")</f>
        <v/>
      </c>
      <c r="M276" s="15">
        <f>IFERROR(INDEX(Cluster_Master!$H$4:$H$18,MATCH($F276,Cluster_Master!$B$4:$B$18,0)),"")</f>
        <v/>
      </c>
      <c r="N276" s="41" t="n"/>
      <c r="O276" s="41" t="n"/>
      <c r="P276" s="41" t="n"/>
      <c r="Q276" s="41" t="n"/>
      <c r="R276" s="41" t="n"/>
      <c r="S276" s="41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15">
        <f>IF(COUNTA(T276:AH276)=0,"",SUM(T276:AH276))</f>
        <v/>
      </c>
      <c r="AJ276" s="21">
        <f>IF(COUNTA(T276:AH276)=0,"",AI276/(COUNT(KPI_Weights!$A$4:$A$18)*5))</f>
        <v/>
      </c>
      <c r="AK276" s="21">
        <f>IF(COUNTA(T276:AH276)=0,"",SUMPRODUCT(T276:AH276,KPI_Weights!$B$4:$B$18)/5)</f>
        <v/>
      </c>
      <c r="AL276" s="15">
        <f>IF(COUNTA(T276:AH276)=0,"",IF(SUMPRODUCT(--(T276:AH276&lt;=1),--(KPI_Weights!$C$4:$C$18="YES"))&gt;0,"YES","NO"))</f>
        <v/>
      </c>
      <c r="AM276" s="15">
        <f>IF(AJ276="","",IF(AND(AL276="NO",AJ276&gt;=0.75),"YES","NO"))</f>
        <v/>
      </c>
      <c r="AN276" s="15">
        <f>IF(AJ276="","",IF(AJ276&lt;0.4,"Critical",IF(AJ276&lt;0.6,"Poor",IF(AJ276&lt;0.75,"Needs Improvement",IF(AJ276&lt;0.9,"Good","Excellent")))))</f>
        <v/>
      </c>
      <c r="AO276" s="41" t="n"/>
      <c r="AP276" s="41" t="n"/>
      <c r="AQ276" s="41" t="n"/>
      <c r="AR276" s="41" t="n"/>
      <c r="AS276" s="41" t="n"/>
      <c r="AT276" s="44" t="n"/>
      <c r="AU276" s="41" t="n"/>
      <c r="AV276" s="43" t="n"/>
      <c r="AW276" s="41" t="n"/>
      <c r="AX276" s="44" t="n"/>
      <c r="AY276" s="44" t="n"/>
      <c r="AZ276" s="44" t="n"/>
      <c r="BA276" s="44" t="n"/>
      <c r="BB276" s="44" t="n"/>
      <c r="BC276" s="44" t="n"/>
      <c r="BD276" s="44" t="n"/>
      <c r="BE276" s="44" t="n"/>
      <c r="BF276" s="44" t="n"/>
    </row>
    <row r="277" ht="19.5" customHeight="1" s="45">
      <c r="A277" s="15">
        <f>IF($B277="","",TEXT($B277,"yyyymmdd")&amp;"-"&amp;SUBSTITUTE($F277," ","")&amp;"-"&amp;TEXT(COUNTIF($F$4:F277,$F277),"00"))</f>
        <v/>
      </c>
      <c r="B277" s="39" t="n"/>
      <c r="C277" s="15">
        <f>IF($B277="","",WEEKNUM($B277,2))</f>
        <v/>
      </c>
      <c r="D277" s="15">
        <f>IF($B277="","",TEXT($B277,"yyyy-mm"))</f>
        <v/>
      </c>
      <c r="E277" s="40" t="n"/>
      <c r="F277" s="40" t="n"/>
      <c r="G277" s="15">
        <f>IF(OR($E277="",$F277=""),"",IFERROR(IF($E277=INDEX(Cluster_Master!$A$4:$A$18,MATCH($F277,Cluster_Master!$B$4:$B$18,0)),"OK","CHECK"),"CHECK"))</f>
        <v/>
      </c>
      <c r="H277" s="18">
        <f>IFERROR(INDEX(Cluster_Master!$C$4:$C$18,MATCH($F277,Cluster_Master!$B$4:$B$18,0)),"")</f>
        <v/>
      </c>
      <c r="I277" s="15">
        <f>IFERROR(INDEX(Cluster_Master!$D$4:$D$18,MATCH($F277,Cluster_Master!$B$4:$B$18,0)),"")</f>
        <v/>
      </c>
      <c r="J277" s="15">
        <f>IFERROR(INDEX(Cluster_Master!$E$4:$E$18,MATCH($F277,Cluster_Master!$B$4:$B$18,0)),"")</f>
        <v/>
      </c>
      <c r="K277" s="15">
        <f>IFERROR(INDEX(Cluster_Master!$F$4:$F$18,MATCH($F277,Cluster_Master!$B$4:$B$18,0)),"")</f>
        <v/>
      </c>
      <c r="L277" s="15">
        <f>IFERROR(INDEX(Cluster_Master!$G$4:$G$18,MATCH($F277,Cluster_Master!$B$4:$B$18,0)),"")</f>
        <v/>
      </c>
      <c r="M277" s="15">
        <f>IFERROR(INDEX(Cluster_Master!$H$4:$H$18,MATCH($F277,Cluster_Master!$B$4:$B$18,0)),"")</f>
        <v/>
      </c>
      <c r="N277" s="41" t="n"/>
      <c r="O277" s="41" t="n"/>
      <c r="P277" s="41" t="n"/>
      <c r="Q277" s="41" t="n"/>
      <c r="R277" s="41" t="n"/>
      <c r="S277" s="41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42" t="n"/>
      <c r="AI277" s="15">
        <f>IF(COUNTA(T277:AH277)=0,"",SUM(T277:AH277))</f>
        <v/>
      </c>
      <c r="AJ277" s="21">
        <f>IF(COUNTA(T277:AH277)=0,"",AI277/(COUNT(KPI_Weights!$A$4:$A$18)*5))</f>
        <v/>
      </c>
      <c r="AK277" s="21">
        <f>IF(COUNTA(T277:AH277)=0,"",SUMPRODUCT(T277:AH277,KPI_Weights!$B$4:$B$18)/5)</f>
        <v/>
      </c>
      <c r="AL277" s="15">
        <f>IF(COUNTA(T277:AH277)=0,"",IF(SUMPRODUCT(--(T277:AH277&lt;=1),--(KPI_Weights!$C$4:$C$18="YES"))&gt;0,"YES","NO"))</f>
        <v/>
      </c>
      <c r="AM277" s="15">
        <f>IF(AJ277="","",IF(AND(AL277="NO",AJ277&gt;=0.75),"YES","NO"))</f>
        <v/>
      </c>
      <c r="AN277" s="15">
        <f>IF(AJ277="","",IF(AJ277&lt;0.4,"Critical",IF(AJ277&lt;0.6,"Poor",IF(AJ277&lt;0.75,"Needs Improvement",IF(AJ277&lt;0.9,"Good","Excellent")))))</f>
        <v/>
      </c>
      <c r="AO277" s="41" t="n"/>
      <c r="AP277" s="41" t="n"/>
      <c r="AQ277" s="41" t="n"/>
      <c r="AR277" s="41" t="n"/>
      <c r="AS277" s="41" t="n"/>
      <c r="AT277" s="44" t="n"/>
      <c r="AU277" s="41" t="n"/>
      <c r="AV277" s="43" t="n"/>
      <c r="AW277" s="41" t="n"/>
      <c r="AX277" s="44" t="n"/>
      <c r="AY277" s="44" t="n"/>
      <c r="AZ277" s="44" t="n"/>
      <c r="BA277" s="44" t="n"/>
      <c r="BB277" s="44" t="n"/>
      <c r="BC277" s="44" t="n"/>
      <c r="BD277" s="44" t="n"/>
      <c r="BE277" s="44" t="n"/>
      <c r="BF277" s="44" t="n"/>
    </row>
    <row r="278" ht="19.5" customHeight="1" s="45">
      <c r="A278" s="15">
        <f>IF($B278="","",TEXT($B278,"yyyymmdd")&amp;"-"&amp;SUBSTITUTE($F278," ","")&amp;"-"&amp;TEXT(COUNTIF($F$4:F278,$F278),"00"))</f>
        <v/>
      </c>
      <c r="B278" s="39" t="n"/>
      <c r="C278" s="15">
        <f>IF($B278="","",WEEKNUM($B278,2))</f>
        <v/>
      </c>
      <c r="D278" s="15">
        <f>IF($B278="","",TEXT($B278,"yyyy-mm"))</f>
        <v/>
      </c>
      <c r="E278" s="40" t="n"/>
      <c r="F278" s="40" t="n"/>
      <c r="G278" s="15">
        <f>IF(OR($E278="",$F278=""),"",IFERROR(IF($E278=INDEX(Cluster_Master!$A$4:$A$18,MATCH($F278,Cluster_Master!$B$4:$B$18,0)),"OK","CHECK"),"CHECK"))</f>
        <v/>
      </c>
      <c r="H278" s="18">
        <f>IFERROR(INDEX(Cluster_Master!$C$4:$C$18,MATCH($F278,Cluster_Master!$B$4:$B$18,0)),"")</f>
        <v/>
      </c>
      <c r="I278" s="15">
        <f>IFERROR(INDEX(Cluster_Master!$D$4:$D$18,MATCH($F278,Cluster_Master!$B$4:$B$18,0)),"")</f>
        <v/>
      </c>
      <c r="J278" s="15">
        <f>IFERROR(INDEX(Cluster_Master!$E$4:$E$18,MATCH($F278,Cluster_Master!$B$4:$B$18,0)),"")</f>
        <v/>
      </c>
      <c r="K278" s="15">
        <f>IFERROR(INDEX(Cluster_Master!$F$4:$F$18,MATCH($F278,Cluster_Master!$B$4:$B$18,0)),"")</f>
        <v/>
      </c>
      <c r="L278" s="15">
        <f>IFERROR(INDEX(Cluster_Master!$G$4:$G$18,MATCH($F278,Cluster_Master!$B$4:$B$18,0)),"")</f>
        <v/>
      </c>
      <c r="M278" s="15">
        <f>IFERROR(INDEX(Cluster_Master!$H$4:$H$18,MATCH($F278,Cluster_Master!$B$4:$B$18,0)),"")</f>
        <v/>
      </c>
      <c r="N278" s="41" t="n"/>
      <c r="O278" s="41" t="n"/>
      <c r="P278" s="41" t="n"/>
      <c r="Q278" s="41" t="n"/>
      <c r="R278" s="41" t="n"/>
      <c r="S278" s="41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2" t="n"/>
      <c r="AG278" s="42" t="n"/>
      <c r="AH278" s="42" t="n"/>
      <c r="AI278" s="15">
        <f>IF(COUNTA(T278:AH278)=0,"",SUM(T278:AH278))</f>
        <v/>
      </c>
      <c r="AJ278" s="21">
        <f>IF(COUNTA(T278:AH278)=0,"",AI278/(COUNT(KPI_Weights!$A$4:$A$18)*5))</f>
        <v/>
      </c>
      <c r="AK278" s="21">
        <f>IF(COUNTA(T278:AH278)=0,"",SUMPRODUCT(T278:AH278,KPI_Weights!$B$4:$B$18)/5)</f>
        <v/>
      </c>
      <c r="AL278" s="15">
        <f>IF(COUNTA(T278:AH278)=0,"",IF(SUMPRODUCT(--(T278:AH278&lt;=1),--(KPI_Weights!$C$4:$C$18="YES"))&gt;0,"YES","NO"))</f>
        <v/>
      </c>
      <c r="AM278" s="15">
        <f>IF(AJ278="","",IF(AND(AL278="NO",AJ278&gt;=0.75),"YES","NO"))</f>
        <v/>
      </c>
      <c r="AN278" s="15">
        <f>IF(AJ278="","",IF(AJ278&lt;0.4,"Critical",IF(AJ278&lt;0.6,"Poor",IF(AJ278&lt;0.75,"Needs Improvement",IF(AJ278&lt;0.9,"Good","Excellent")))))</f>
        <v/>
      </c>
      <c r="AO278" s="41" t="n"/>
      <c r="AP278" s="41" t="n"/>
      <c r="AQ278" s="41" t="n"/>
      <c r="AR278" s="41" t="n"/>
      <c r="AS278" s="41" t="n"/>
      <c r="AT278" s="44" t="n"/>
      <c r="AU278" s="41" t="n"/>
      <c r="AV278" s="43" t="n"/>
      <c r="AW278" s="41" t="n"/>
      <c r="AX278" s="44" t="n"/>
      <c r="AY278" s="44" t="n"/>
      <c r="AZ278" s="44" t="n"/>
      <c r="BA278" s="44" t="n"/>
      <c r="BB278" s="44" t="n"/>
      <c r="BC278" s="44" t="n"/>
      <c r="BD278" s="44" t="n"/>
      <c r="BE278" s="44" t="n"/>
      <c r="BF278" s="44" t="n"/>
    </row>
    <row r="279" ht="19.5" customHeight="1" s="45">
      <c r="A279" s="15">
        <f>IF($B279="","",TEXT($B279,"yyyymmdd")&amp;"-"&amp;SUBSTITUTE($F279," ","")&amp;"-"&amp;TEXT(COUNTIF($F$4:F279,$F279),"00"))</f>
        <v/>
      </c>
      <c r="B279" s="39" t="n"/>
      <c r="C279" s="15">
        <f>IF($B279="","",WEEKNUM($B279,2))</f>
        <v/>
      </c>
      <c r="D279" s="15">
        <f>IF($B279="","",TEXT($B279,"yyyy-mm"))</f>
        <v/>
      </c>
      <c r="E279" s="40" t="n"/>
      <c r="F279" s="40" t="n"/>
      <c r="G279" s="15">
        <f>IF(OR($E279="",$F279=""),"",IFERROR(IF($E279=INDEX(Cluster_Master!$A$4:$A$18,MATCH($F279,Cluster_Master!$B$4:$B$18,0)),"OK","CHECK"),"CHECK"))</f>
        <v/>
      </c>
      <c r="H279" s="18">
        <f>IFERROR(INDEX(Cluster_Master!$C$4:$C$18,MATCH($F279,Cluster_Master!$B$4:$B$18,0)),"")</f>
        <v/>
      </c>
      <c r="I279" s="15">
        <f>IFERROR(INDEX(Cluster_Master!$D$4:$D$18,MATCH($F279,Cluster_Master!$B$4:$B$18,0)),"")</f>
        <v/>
      </c>
      <c r="J279" s="15">
        <f>IFERROR(INDEX(Cluster_Master!$E$4:$E$18,MATCH($F279,Cluster_Master!$B$4:$B$18,0)),"")</f>
        <v/>
      </c>
      <c r="K279" s="15">
        <f>IFERROR(INDEX(Cluster_Master!$F$4:$F$18,MATCH($F279,Cluster_Master!$B$4:$B$18,0)),"")</f>
        <v/>
      </c>
      <c r="L279" s="15">
        <f>IFERROR(INDEX(Cluster_Master!$G$4:$G$18,MATCH($F279,Cluster_Master!$B$4:$B$18,0)),"")</f>
        <v/>
      </c>
      <c r="M279" s="15">
        <f>IFERROR(INDEX(Cluster_Master!$H$4:$H$18,MATCH($F279,Cluster_Master!$B$4:$B$18,0)),"")</f>
        <v/>
      </c>
      <c r="N279" s="41" t="n"/>
      <c r="O279" s="41" t="n"/>
      <c r="P279" s="41" t="n"/>
      <c r="Q279" s="41" t="n"/>
      <c r="R279" s="41" t="n"/>
      <c r="S279" s="41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15">
        <f>IF(COUNTA(T279:AH279)=0,"",SUM(T279:AH279))</f>
        <v/>
      </c>
      <c r="AJ279" s="21">
        <f>IF(COUNTA(T279:AH279)=0,"",AI279/(COUNT(KPI_Weights!$A$4:$A$18)*5))</f>
        <v/>
      </c>
      <c r="AK279" s="21">
        <f>IF(COUNTA(T279:AH279)=0,"",SUMPRODUCT(T279:AH279,KPI_Weights!$B$4:$B$18)/5)</f>
        <v/>
      </c>
      <c r="AL279" s="15">
        <f>IF(COUNTA(T279:AH279)=0,"",IF(SUMPRODUCT(--(T279:AH279&lt;=1),--(KPI_Weights!$C$4:$C$18="YES"))&gt;0,"YES","NO"))</f>
        <v/>
      </c>
      <c r="AM279" s="15">
        <f>IF(AJ279="","",IF(AND(AL279="NO",AJ279&gt;=0.75),"YES","NO"))</f>
        <v/>
      </c>
      <c r="AN279" s="15">
        <f>IF(AJ279="","",IF(AJ279&lt;0.4,"Critical",IF(AJ279&lt;0.6,"Poor",IF(AJ279&lt;0.75,"Needs Improvement",IF(AJ279&lt;0.9,"Good","Excellent")))))</f>
        <v/>
      </c>
      <c r="AO279" s="41" t="n"/>
      <c r="AP279" s="41" t="n"/>
      <c r="AQ279" s="41" t="n"/>
      <c r="AR279" s="41" t="n"/>
      <c r="AS279" s="41" t="n"/>
      <c r="AT279" s="44" t="n"/>
      <c r="AU279" s="41" t="n"/>
      <c r="AV279" s="43" t="n"/>
      <c r="AW279" s="41" t="n"/>
      <c r="AX279" s="44" t="n"/>
      <c r="AY279" s="44" t="n"/>
      <c r="AZ279" s="44" t="n"/>
      <c r="BA279" s="44" t="n"/>
      <c r="BB279" s="44" t="n"/>
      <c r="BC279" s="44" t="n"/>
      <c r="BD279" s="44" t="n"/>
      <c r="BE279" s="44" t="n"/>
      <c r="BF279" s="44" t="n"/>
    </row>
    <row r="280" ht="19.5" customHeight="1" s="45">
      <c r="A280" s="15">
        <f>IF($B280="","",TEXT($B280,"yyyymmdd")&amp;"-"&amp;SUBSTITUTE($F280," ","")&amp;"-"&amp;TEXT(COUNTIF($F$4:F280,$F280),"00"))</f>
        <v/>
      </c>
      <c r="B280" s="39" t="n"/>
      <c r="C280" s="15">
        <f>IF($B280="","",WEEKNUM($B280,2))</f>
        <v/>
      </c>
      <c r="D280" s="15">
        <f>IF($B280="","",TEXT($B280,"yyyy-mm"))</f>
        <v/>
      </c>
      <c r="E280" s="40" t="n"/>
      <c r="F280" s="40" t="n"/>
      <c r="G280" s="15">
        <f>IF(OR($E280="",$F280=""),"",IFERROR(IF($E280=INDEX(Cluster_Master!$A$4:$A$18,MATCH($F280,Cluster_Master!$B$4:$B$18,0)),"OK","CHECK"),"CHECK"))</f>
        <v/>
      </c>
      <c r="H280" s="18">
        <f>IFERROR(INDEX(Cluster_Master!$C$4:$C$18,MATCH($F280,Cluster_Master!$B$4:$B$18,0)),"")</f>
        <v/>
      </c>
      <c r="I280" s="15">
        <f>IFERROR(INDEX(Cluster_Master!$D$4:$D$18,MATCH($F280,Cluster_Master!$B$4:$B$18,0)),"")</f>
        <v/>
      </c>
      <c r="J280" s="15">
        <f>IFERROR(INDEX(Cluster_Master!$E$4:$E$18,MATCH($F280,Cluster_Master!$B$4:$B$18,0)),"")</f>
        <v/>
      </c>
      <c r="K280" s="15">
        <f>IFERROR(INDEX(Cluster_Master!$F$4:$F$18,MATCH($F280,Cluster_Master!$B$4:$B$18,0)),"")</f>
        <v/>
      </c>
      <c r="L280" s="15">
        <f>IFERROR(INDEX(Cluster_Master!$G$4:$G$18,MATCH($F280,Cluster_Master!$B$4:$B$18,0)),"")</f>
        <v/>
      </c>
      <c r="M280" s="15">
        <f>IFERROR(INDEX(Cluster_Master!$H$4:$H$18,MATCH($F280,Cluster_Master!$B$4:$B$18,0)),"")</f>
        <v/>
      </c>
      <c r="N280" s="41" t="n"/>
      <c r="O280" s="41" t="n"/>
      <c r="P280" s="41" t="n"/>
      <c r="Q280" s="41" t="n"/>
      <c r="R280" s="41" t="n"/>
      <c r="S280" s="41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2" t="n"/>
      <c r="AG280" s="42" t="n"/>
      <c r="AH280" s="42" t="n"/>
      <c r="AI280" s="15">
        <f>IF(COUNTA(T280:AH280)=0,"",SUM(T280:AH280))</f>
        <v/>
      </c>
      <c r="AJ280" s="21">
        <f>IF(COUNTA(T280:AH280)=0,"",AI280/(COUNT(KPI_Weights!$A$4:$A$18)*5))</f>
        <v/>
      </c>
      <c r="AK280" s="21">
        <f>IF(COUNTA(T280:AH280)=0,"",SUMPRODUCT(T280:AH280,KPI_Weights!$B$4:$B$18)/5)</f>
        <v/>
      </c>
      <c r="AL280" s="15">
        <f>IF(COUNTA(T280:AH280)=0,"",IF(SUMPRODUCT(--(T280:AH280&lt;=1),--(KPI_Weights!$C$4:$C$18="YES"))&gt;0,"YES","NO"))</f>
        <v/>
      </c>
      <c r="AM280" s="15">
        <f>IF(AJ280="","",IF(AND(AL280="NO",AJ280&gt;=0.75),"YES","NO"))</f>
        <v/>
      </c>
      <c r="AN280" s="15">
        <f>IF(AJ280="","",IF(AJ280&lt;0.4,"Critical",IF(AJ280&lt;0.6,"Poor",IF(AJ280&lt;0.75,"Needs Improvement",IF(AJ280&lt;0.9,"Good","Excellent")))))</f>
        <v/>
      </c>
      <c r="AO280" s="41" t="n"/>
      <c r="AP280" s="41" t="n"/>
      <c r="AQ280" s="41" t="n"/>
      <c r="AR280" s="41" t="n"/>
      <c r="AS280" s="41" t="n"/>
      <c r="AT280" s="44" t="n"/>
      <c r="AU280" s="41" t="n"/>
      <c r="AV280" s="43" t="n"/>
      <c r="AW280" s="41" t="n"/>
      <c r="AX280" s="44" t="n"/>
      <c r="AY280" s="44" t="n"/>
      <c r="AZ280" s="44" t="n"/>
      <c r="BA280" s="44" t="n"/>
      <c r="BB280" s="44" t="n"/>
      <c r="BC280" s="44" t="n"/>
      <c r="BD280" s="44" t="n"/>
      <c r="BE280" s="44" t="n"/>
      <c r="BF280" s="44" t="n"/>
    </row>
    <row r="281" ht="19.5" customHeight="1" s="45">
      <c r="A281" s="15">
        <f>IF($B281="","",TEXT($B281,"yyyymmdd")&amp;"-"&amp;SUBSTITUTE($F281," ","")&amp;"-"&amp;TEXT(COUNTIF($F$4:F281,$F281),"00"))</f>
        <v/>
      </c>
      <c r="B281" s="39" t="n"/>
      <c r="C281" s="15">
        <f>IF($B281="","",WEEKNUM($B281,2))</f>
        <v/>
      </c>
      <c r="D281" s="15">
        <f>IF($B281="","",TEXT($B281,"yyyy-mm"))</f>
        <v/>
      </c>
      <c r="E281" s="40" t="n"/>
      <c r="F281" s="40" t="n"/>
      <c r="G281" s="15">
        <f>IF(OR($E281="",$F281=""),"",IFERROR(IF($E281=INDEX(Cluster_Master!$A$4:$A$18,MATCH($F281,Cluster_Master!$B$4:$B$18,0)),"OK","CHECK"),"CHECK"))</f>
        <v/>
      </c>
      <c r="H281" s="18">
        <f>IFERROR(INDEX(Cluster_Master!$C$4:$C$18,MATCH($F281,Cluster_Master!$B$4:$B$18,0)),"")</f>
        <v/>
      </c>
      <c r="I281" s="15">
        <f>IFERROR(INDEX(Cluster_Master!$D$4:$D$18,MATCH($F281,Cluster_Master!$B$4:$B$18,0)),"")</f>
        <v/>
      </c>
      <c r="J281" s="15">
        <f>IFERROR(INDEX(Cluster_Master!$E$4:$E$18,MATCH($F281,Cluster_Master!$B$4:$B$18,0)),"")</f>
        <v/>
      </c>
      <c r="K281" s="15">
        <f>IFERROR(INDEX(Cluster_Master!$F$4:$F$18,MATCH($F281,Cluster_Master!$B$4:$B$18,0)),"")</f>
        <v/>
      </c>
      <c r="L281" s="15">
        <f>IFERROR(INDEX(Cluster_Master!$G$4:$G$18,MATCH($F281,Cluster_Master!$B$4:$B$18,0)),"")</f>
        <v/>
      </c>
      <c r="M281" s="15">
        <f>IFERROR(INDEX(Cluster_Master!$H$4:$H$18,MATCH($F281,Cluster_Master!$B$4:$B$18,0)),"")</f>
        <v/>
      </c>
      <c r="N281" s="41" t="n"/>
      <c r="O281" s="41" t="n"/>
      <c r="P281" s="41" t="n"/>
      <c r="Q281" s="41" t="n"/>
      <c r="R281" s="41" t="n"/>
      <c r="S281" s="41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  <c r="AE281" s="42" t="n"/>
      <c r="AF281" s="42" t="n"/>
      <c r="AG281" s="42" t="n"/>
      <c r="AH281" s="42" t="n"/>
      <c r="AI281" s="15">
        <f>IF(COUNTA(T281:AH281)=0,"",SUM(T281:AH281))</f>
        <v/>
      </c>
      <c r="AJ281" s="21">
        <f>IF(COUNTA(T281:AH281)=0,"",AI281/(COUNT(KPI_Weights!$A$4:$A$18)*5))</f>
        <v/>
      </c>
      <c r="AK281" s="21">
        <f>IF(COUNTA(T281:AH281)=0,"",SUMPRODUCT(T281:AH281,KPI_Weights!$B$4:$B$18)/5)</f>
        <v/>
      </c>
      <c r="AL281" s="15">
        <f>IF(COUNTA(T281:AH281)=0,"",IF(SUMPRODUCT(--(T281:AH281&lt;=1),--(KPI_Weights!$C$4:$C$18="YES"))&gt;0,"YES","NO"))</f>
        <v/>
      </c>
      <c r="AM281" s="15">
        <f>IF(AJ281="","",IF(AND(AL281="NO",AJ281&gt;=0.75),"YES","NO"))</f>
        <v/>
      </c>
      <c r="AN281" s="15">
        <f>IF(AJ281="","",IF(AJ281&lt;0.4,"Critical",IF(AJ281&lt;0.6,"Poor",IF(AJ281&lt;0.75,"Needs Improvement",IF(AJ281&lt;0.9,"Good","Excellent")))))</f>
        <v/>
      </c>
      <c r="AO281" s="41" t="n"/>
      <c r="AP281" s="41" t="n"/>
      <c r="AQ281" s="41" t="n"/>
      <c r="AR281" s="41" t="n"/>
      <c r="AS281" s="41" t="n"/>
      <c r="AT281" s="44" t="n"/>
      <c r="AU281" s="41" t="n"/>
      <c r="AV281" s="43" t="n"/>
      <c r="AW281" s="41" t="n"/>
      <c r="AX281" s="44" t="n"/>
      <c r="AY281" s="44" t="n"/>
      <c r="AZ281" s="44" t="n"/>
      <c r="BA281" s="44" t="n"/>
      <c r="BB281" s="44" t="n"/>
      <c r="BC281" s="44" t="n"/>
      <c r="BD281" s="44" t="n"/>
      <c r="BE281" s="44" t="n"/>
      <c r="BF281" s="44" t="n"/>
    </row>
    <row r="282" ht="19.5" customHeight="1" s="45">
      <c r="A282" s="15">
        <f>IF($B282="","",TEXT($B282,"yyyymmdd")&amp;"-"&amp;SUBSTITUTE($F282," ","")&amp;"-"&amp;TEXT(COUNTIF($F$4:F282,$F282),"00"))</f>
        <v/>
      </c>
      <c r="B282" s="39" t="n"/>
      <c r="C282" s="15">
        <f>IF($B282="","",WEEKNUM($B282,2))</f>
        <v/>
      </c>
      <c r="D282" s="15">
        <f>IF($B282="","",TEXT($B282,"yyyy-mm"))</f>
        <v/>
      </c>
      <c r="E282" s="40" t="n"/>
      <c r="F282" s="40" t="n"/>
      <c r="G282" s="15">
        <f>IF(OR($E282="",$F282=""),"",IFERROR(IF($E282=INDEX(Cluster_Master!$A$4:$A$18,MATCH($F282,Cluster_Master!$B$4:$B$18,0)),"OK","CHECK"),"CHECK"))</f>
        <v/>
      </c>
      <c r="H282" s="18">
        <f>IFERROR(INDEX(Cluster_Master!$C$4:$C$18,MATCH($F282,Cluster_Master!$B$4:$B$18,0)),"")</f>
        <v/>
      </c>
      <c r="I282" s="15">
        <f>IFERROR(INDEX(Cluster_Master!$D$4:$D$18,MATCH($F282,Cluster_Master!$B$4:$B$18,0)),"")</f>
        <v/>
      </c>
      <c r="J282" s="15">
        <f>IFERROR(INDEX(Cluster_Master!$E$4:$E$18,MATCH($F282,Cluster_Master!$B$4:$B$18,0)),"")</f>
        <v/>
      </c>
      <c r="K282" s="15">
        <f>IFERROR(INDEX(Cluster_Master!$F$4:$F$18,MATCH($F282,Cluster_Master!$B$4:$B$18,0)),"")</f>
        <v/>
      </c>
      <c r="L282" s="15">
        <f>IFERROR(INDEX(Cluster_Master!$G$4:$G$18,MATCH($F282,Cluster_Master!$B$4:$B$18,0)),"")</f>
        <v/>
      </c>
      <c r="M282" s="15">
        <f>IFERROR(INDEX(Cluster_Master!$H$4:$H$18,MATCH($F282,Cluster_Master!$B$4:$B$18,0)),"")</f>
        <v/>
      </c>
      <c r="N282" s="41" t="n"/>
      <c r="O282" s="41" t="n"/>
      <c r="P282" s="41" t="n"/>
      <c r="Q282" s="41" t="n"/>
      <c r="R282" s="41" t="n"/>
      <c r="S282" s="41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2" t="n"/>
      <c r="AG282" s="42" t="n"/>
      <c r="AH282" s="42" t="n"/>
      <c r="AI282" s="15">
        <f>IF(COUNTA(T282:AH282)=0,"",SUM(T282:AH282))</f>
        <v/>
      </c>
      <c r="AJ282" s="21">
        <f>IF(COUNTA(T282:AH282)=0,"",AI282/(COUNT(KPI_Weights!$A$4:$A$18)*5))</f>
        <v/>
      </c>
      <c r="AK282" s="21">
        <f>IF(COUNTA(T282:AH282)=0,"",SUMPRODUCT(T282:AH282,KPI_Weights!$B$4:$B$18)/5)</f>
        <v/>
      </c>
      <c r="AL282" s="15">
        <f>IF(COUNTA(T282:AH282)=0,"",IF(SUMPRODUCT(--(T282:AH282&lt;=1),--(KPI_Weights!$C$4:$C$18="YES"))&gt;0,"YES","NO"))</f>
        <v/>
      </c>
      <c r="AM282" s="15">
        <f>IF(AJ282="","",IF(AND(AL282="NO",AJ282&gt;=0.75),"YES","NO"))</f>
        <v/>
      </c>
      <c r="AN282" s="15">
        <f>IF(AJ282="","",IF(AJ282&lt;0.4,"Critical",IF(AJ282&lt;0.6,"Poor",IF(AJ282&lt;0.75,"Needs Improvement",IF(AJ282&lt;0.9,"Good","Excellent")))))</f>
        <v/>
      </c>
      <c r="AO282" s="41" t="n"/>
      <c r="AP282" s="41" t="n"/>
      <c r="AQ282" s="41" t="n"/>
      <c r="AR282" s="41" t="n"/>
      <c r="AS282" s="41" t="n"/>
      <c r="AT282" s="44" t="n"/>
      <c r="AU282" s="41" t="n"/>
      <c r="AV282" s="43" t="n"/>
      <c r="AW282" s="41" t="n"/>
      <c r="AX282" s="44" t="n"/>
      <c r="AY282" s="44" t="n"/>
      <c r="AZ282" s="44" t="n"/>
      <c r="BA282" s="44" t="n"/>
      <c r="BB282" s="44" t="n"/>
      <c r="BC282" s="44" t="n"/>
      <c r="BD282" s="44" t="n"/>
      <c r="BE282" s="44" t="n"/>
      <c r="BF282" s="44" t="n"/>
    </row>
    <row r="283" ht="19.5" customHeight="1" s="45">
      <c r="A283" s="15">
        <f>IF($B283="","",TEXT($B283,"yyyymmdd")&amp;"-"&amp;SUBSTITUTE($F283," ","")&amp;"-"&amp;TEXT(COUNTIF($F$4:F283,$F283),"00"))</f>
        <v/>
      </c>
      <c r="B283" s="39" t="n"/>
      <c r="C283" s="15">
        <f>IF($B283="","",WEEKNUM($B283,2))</f>
        <v/>
      </c>
      <c r="D283" s="15">
        <f>IF($B283="","",TEXT($B283,"yyyy-mm"))</f>
        <v/>
      </c>
      <c r="E283" s="40" t="n"/>
      <c r="F283" s="40" t="n"/>
      <c r="G283" s="15">
        <f>IF(OR($E283="",$F283=""),"",IFERROR(IF($E283=INDEX(Cluster_Master!$A$4:$A$18,MATCH($F283,Cluster_Master!$B$4:$B$18,0)),"OK","CHECK"),"CHECK"))</f>
        <v/>
      </c>
      <c r="H283" s="18">
        <f>IFERROR(INDEX(Cluster_Master!$C$4:$C$18,MATCH($F283,Cluster_Master!$B$4:$B$18,0)),"")</f>
        <v/>
      </c>
      <c r="I283" s="15">
        <f>IFERROR(INDEX(Cluster_Master!$D$4:$D$18,MATCH($F283,Cluster_Master!$B$4:$B$18,0)),"")</f>
        <v/>
      </c>
      <c r="J283" s="15">
        <f>IFERROR(INDEX(Cluster_Master!$E$4:$E$18,MATCH($F283,Cluster_Master!$B$4:$B$18,0)),"")</f>
        <v/>
      </c>
      <c r="K283" s="15">
        <f>IFERROR(INDEX(Cluster_Master!$F$4:$F$18,MATCH($F283,Cluster_Master!$B$4:$B$18,0)),"")</f>
        <v/>
      </c>
      <c r="L283" s="15">
        <f>IFERROR(INDEX(Cluster_Master!$G$4:$G$18,MATCH($F283,Cluster_Master!$B$4:$B$18,0)),"")</f>
        <v/>
      </c>
      <c r="M283" s="15">
        <f>IFERROR(INDEX(Cluster_Master!$H$4:$H$18,MATCH($F283,Cluster_Master!$B$4:$B$18,0)),"")</f>
        <v/>
      </c>
      <c r="N283" s="41" t="n"/>
      <c r="O283" s="41" t="n"/>
      <c r="P283" s="41" t="n"/>
      <c r="Q283" s="41" t="n"/>
      <c r="R283" s="41" t="n"/>
      <c r="S283" s="41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  <c r="AE283" s="42" t="n"/>
      <c r="AF283" s="42" t="n"/>
      <c r="AG283" s="42" t="n"/>
      <c r="AH283" s="42" t="n"/>
      <c r="AI283" s="15">
        <f>IF(COUNTA(T283:AH283)=0,"",SUM(T283:AH283))</f>
        <v/>
      </c>
      <c r="AJ283" s="21">
        <f>IF(COUNTA(T283:AH283)=0,"",AI283/(COUNT(KPI_Weights!$A$4:$A$18)*5))</f>
        <v/>
      </c>
      <c r="AK283" s="21">
        <f>IF(COUNTA(T283:AH283)=0,"",SUMPRODUCT(T283:AH283,KPI_Weights!$B$4:$B$18)/5)</f>
        <v/>
      </c>
      <c r="AL283" s="15">
        <f>IF(COUNTA(T283:AH283)=0,"",IF(SUMPRODUCT(--(T283:AH283&lt;=1),--(KPI_Weights!$C$4:$C$18="YES"))&gt;0,"YES","NO"))</f>
        <v/>
      </c>
      <c r="AM283" s="15">
        <f>IF(AJ283="","",IF(AND(AL283="NO",AJ283&gt;=0.75),"YES","NO"))</f>
        <v/>
      </c>
      <c r="AN283" s="15">
        <f>IF(AJ283="","",IF(AJ283&lt;0.4,"Critical",IF(AJ283&lt;0.6,"Poor",IF(AJ283&lt;0.75,"Needs Improvement",IF(AJ283&lt;0.9,"Good","Excellent")))))</f>
        <v/>
      </c>
      <c r="AO283" s="41" t="n"/>
      <c r="AP283" s="41" t="n"/>
      <c r="AQ283" s="41" t="n"/>
      <c r="AR283" s="41" t="n"/>
      <c r="AS283" s="41" t="n"/>
      <c r="AT283" s="44" t="n"/>
      <c r="AU283" s="41" t="n"/>
      <c r="AV283" s="43" t="n"/>
      <c r="AW283" s="41" t="n"/>
      <c r="AX283" s="44" t="n"/>
      <c r="AY283" s="44" t="n"/>
      <c r="AZ283" s="44" t="n"/>
      <c r="BA283" s="44" t="n"/>
      <c r="BB283" s="44" t="n"/>
      <c r="BC283" s="44" t="n"/>
      <c r="BD283" s="44" t="n"/>
      <c r="BE283" s="44" t="n"/>
      <c r="BF283" s="44" t="n"/>
    </row>
    <row r="284" ht="19.5" customHeight="1" s="45">
      <c r="A284" s="15">
        <f>IF($B284="","",TEXT($B284,"yyyymmdd")&amp;"-"&amp;SUBSTITUTE($F284," ","")&amp;"-"&amp;TEXT(COUNTIF($F$4:F284,$F284),"00"))</f>
        <v/>
      </c>
      <c r="B284" s="39" t="n"/>
      <c r="C284" s="15">
        <f>IF($B284="","",WEEKNUM($B284,2))</f>
        <v/>
      </c>
      <c r="D284" s="15">
        <f>IF($B284="","",TEXT($B284,"yyyy-mm"))</f>
        <v/>
      </c>
      <c r="E284" s="40" t="n"/>
      <c r="F284" s="40" t="n"/>
      <c r="G284" s="15">
        <f>IF(OR($E284="",$F284=""),"",IFERROR(IF($E284=INDEX(Cluster_Master!$A$4:$A$18,MATCH($F284,Cluster_Master!$B$4:$B$18,0)),"OK","CHECK"),"CHECK"))</f>
        <v/>
      </c>
      <c r="H284" s="18">
        <f>IFERROR(INDEX(Cluster_Master!$C$4:$C$18,MATCH($F284,Cluster_Master!$B$4:$B$18,0)),"")</f>
        <v/>
      </c>
      <c r="I284" s="15">
        <f>IFERROR(INDEX(Cluster_Master!$D$4:$D$18,MATCH($F284,Cluster_Master!$B$4:$B$18,0)),"")</f>
        <v/>
      </c>
      <c r="J284" s="15">
        <f>IFERROR(INDEX(Cluster_Master!$E$4:$E$18,MATCH($F284,Cluster_Master!$B$4:$B$18,0)),"")</f>
        <v/>
      </c>
      <c r="K284" s="15">
        <f>IFERROR(INDEX(Cluster_Master!$F$4:$F$18,MATCH($F284,Cluster_Master!$B$4:$B$18,0)),"")</f>
        <v/>
      </c>
      <c r="L284" s="15">
        <f>IFERROR(INDEX(Cluster_Master!$G$4:$G$18,MATCH($F284,Cluster_Master!$B$4:$B$18,0)),"")</f>
        <v/>
      </c>
      <c r="M284" s="15">
        <f>IFERROR(INDEX(Cluster_Master!$H$4:$H$18,MATCH($F284,Cluster_Master!$B$4:$B$18,0)),"")</f>
        <v/>
      </c>
      <c r="N284" s="41" t="n"/>
      <c r="O284" s="41" t="n"/>
      <c r="P284" s="41" t="n"/>
      <c r="Q284" s="41" t="n"/>
      <c r="R284" s="41" t="n"/>
      <c r="S284" s="41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2" t="n"/>
      <c r="AG284" s="42" t="n"/>
      <c r="AH284" s="42" t="n"/>
      <c r="AI284" s="15">
        <f>IF(COUNTA(T284:AH284)=0,"",SUM(T284:AH284))</f>
        <v/>
      </c>
      <c r="AJ284" s="21">
        <f>IF(COUNTA(T284:AH284)=0,"",AI284/(COUNT(KPI_Weights!$A$4:$A$18)*5))</f>
        <v/>
      </c>
      <c r="AK284" s="21">
        <f>IF(COUNTA(T284:AH284)=0,"",SUMPRODUCT(T284:AH284,KPI_Weights!$B$4:$B$18)/5)</f>
        <v/>
      </c>
      <c r="AL284" s="15">
        <f>IF(COUNTA(T284:AH284)=0,"",IF(SUMPRODUCT(--(T284:AH284&lt;=1),--(KPI_Weights!$C$4:$C$18="YES"))&gt;0,"YES","NO"))</f>
        <v/>
      </c>
      <c r="AM284" s="15">
        <f>IF(AJ284="","",IF(AND(AL284="NO",AJ284&gt;=0.75),"YES","NO"))</f>
        <v/>
      </c>
      <c r="AN284" s="15">
        <f>IF(AJ284="","",IF(AJ284&lt;0.4,"Critical",IF(AJ284&lt;0.6,"Poor",IF(AJ284&lt;0.75,"Needs Improvement",IF(AJ284&lt;0.9,"Good","Excellent")))))</f>
        <v/>
      </c>
      <c r="AO284" s="41" t="n"/>
      <c r="AP284" s="41" t="n"/>
      <c r="AQ284" s="41" t="n"/>
      <c r="AR284" s="41" t="n"/>
      <c r="AS284" s="41" t="n"/>
      <c r="AT284" s="44" t="n"/>
      <c r="AU284" s="41" t="n"/>
      <c r="AV284" s="43" t="n"/>
      <c r="AW284" s="41" t="n"/>
      <c r="AX284" s="44" t="n"/>
      <c r="AY284" s="44" t="n"/>
      <c r="AZ284" s="44" t="n"/>
      <c r="BA284" s="44" t="n"/>
      <c r="BB284" s="44" t="n"/>
      <c r="BC284" s="44" t="n"/>
      <c r="BD284" s="44" t="n"/>
      <c r="BE284" s="44" t="n"/>
      <c r="BF284" s="44" t="n"/>
    </row>
    <row r="285" ht="19.5" customHeight="1" s="45">
      <c r="A285" s="15">
        <f>IF($B285="","",TEXT($B285,"yyyymmdd")&amp;"-"&amp;SUBSTITUTE($F285," ","")&amp;"-"&amp;TEXT(COUNTIF($F$4:F285,$F285),"00"))</f>
        <v/>
      </c>
      <c r="B285" s="39" t="n"/>
      <c r="C285" s="15">
        <f>IF($B285="","",WEEKNUM($B285,2))</f>
        <v/>
      </c>
      <c r="D285" s="15">
        <f>IF($B285="","",TEXT($B285,"yyyy-mm"))</f>
        <v/>
      </c>
      <c r="E285" s="40" t="n"/>
      <c r="F285" s="40" t="n"/>
      <c r="G285" s="15">
        <f>IF(OR($E285="",$F285=""),"",IFERROR(IF($E285=INDEX(Cluster_Master!$A$4:$A$18,MATCH($F285,Cluster_Master!$B$4:$B$18,0)),"OK","CHECK"),"CHECK"))</f>
        <v/>
      </c>
      <c r="H285" s="18">
        <f>IFERROR(INDEX(Cluster_Master!$C$4:$C$18,MATCH($F285,Cluster_Master!$B$4:$B$18,0)),"")</f>
        <v/>
      </c>
      <c r="I285" s="15">
        <f>IFERROR(INDEX(Cluster_Master!$D$4:$D$18,MATCH($F285,Cluster_Master!$B$4:$B$18,0)),"")</f>
        <v/>
      </c>
      <c r="J285" s="15">
        <f>IFERROR(INDEX(Cluster_Master!$E$4:$E$18,MATCH($F285,Cluster_Master!$B$4:$B$18,0)),"")</f>
        <v/>
      </c>
      <c r="K285" s="15">
        <f>IFERROR(INDEX(Cluster_Master!$F$4:$F$18,MATCH($F285,Cluster_Master!$B$4:$B$18,0)),"")</f>
        <v/>
      </c>
      <c r="L285" s="15">
        <f>IFERROR(INDEX(Cluster_Master!$G$4:$G$18,MATCH($F285,Cluster_Master!$B$4:$B$18,0)),"")</f>
        <v/>
      </c>
      <c r="M285" s="15">
        <f>IFERROR(INDEX(Cluster_Master!$H$4:$H$18,MATCH($F285,Cluster_Master!$B$4:$B$18,0)),"")</f>
        <v/>
      </c>
      <c r="N285" s="41" t="n"/>
      <c r="O285" s="41" t="n"/>
      <c r="P285" s="41" t="n"/>
      <c r="Q285" s="41" t="n"/>
      <c r="R285" s="41" t="n"/>
      <c r="S285" s="41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  <c r="AE285" s="42" t="n"/>
      <c r="AF285" s="42" t="n"/>
      <c r="AG285" s="42" t="n"/>
      <c r="AH285" s="42" t="n"/>
      <c r="AI285" s="15">
        <f>IF(COUNTA(T285:AH285)=0,"",SUM(T285:AH285))</f>
        <v/>
      </c>
      <c r="AJ285" s="21">
        <f>IF(COUNTA(T285:AH285)=0,"",AI285/(COUNT(KPI_Weights!$A$4:$A$18)*5))</f>
        <v/>
      </c>
      <c r="AK285" s="21">
        <f>IF(COUNTA(T285:AH285)=0,"",SUMPRODUCT(T285:AH285,KPI_Weights!$B$4:$B$18)/5)</f>
        <v/>
      </c>
      <c r="AL285" s="15">
        <f>IF(COUNTA(T285:AH285)=0,"",IF(SUMPRODUCT(--(T285:AH285&lt;=1),--(KPI_Weights!$C$4:$C$18="YES"))&gt;0,"YES","NO"))</f>
        <v/>
      </c>
      <c r="AM285" s="15">
        <f>IF(AJ285="","",IF(AND(AL285="NO",AJ285&gt;=0.75),"YES","NO"))</f>
        <v/>
      </c>
      <c r="AN285" s="15">
        <f>IF(AJ285="","",IF(AJ285&lt;0.4,"Critical",IF(AJ285&lt;0.6,"Poor",IF(AJ285&lt;0.75,"Needs Improvement",IF(AJ285&lt;0.9,"Good","Excellent")))))</f>
        <v/>
      </c>
      <c r="AO285" s="41" t="n"/>
      <c r="AP285" s="41" t="n"/>
      <c r="AQ285" s="41" t="n"/>
      <c r="AR285" s="41" t="n"/>
      <c r="AS285" s="41" t="n"/>
      <c r="AT285" s="44" t="n"/>
      <c r="AU285" s="41" t="n"/>
      <c r="AV285" s="43" t="n"/>
      <c r="AW285" s="41" t="n"/>
      <c r="AX285" s="44" t="n"/>
      <c r="AY285" s="44" t="n"/>
      <c r="AZ285" s="44" t="n"/>
      <c r="BA285" s="44" t="n"/>
      <c r="BB285" s="44" t="n"/>
      <c r="BC285" s="44" t="n"/>
      <c r="BD285" s="44" t="n"/>
      <c r="BE285" s="44" t="n"/>
      <c r="BF285" s="44" t="n"/>
    </row>
    <row r="286" ht="19.5" customHeight="1" s="45">
      <c r="A286" s="15">
        <f>IF($B286="","",TEXT($B286,"yyyymmdd")&amp;"-"&amp;SUBSTITUTE($F286," ","")&amp;"-"&amp;TEXT(COUNTIF($F$4:F286,$F286),"00"))</f>
        <v/>
      </c>
      <c r="B286" s="39" t="n"/>
      <c r="C286" s="15">
        <f>IF($B286="","",WEEKNUM($B286,2))</f>
        <v/>
      </c>
      <c r="D286" s="15">
        <f>IF($B286="","",TEXT($B286,"yyyy-mm"))</f>
        <v/>
      </c>
      <c r="E286" s="40" t="n"/>
      <c r="F286" s="40" t="n"/>
      <c r="G286" s="15">
        <f>IF(OR($E286="",$F286=""),"",IFERROR(IF($E286=INDEX(Cluster_Master!$A$4:$A$18,MATCH($F286,Cluster_Master!$B$4:$B$18,0)),"OK","CHECK"),"CHECK"))</f>
        <v/>
      </c>
      <c r="H286" s="18">
        <f>IFERROR(INDEX(Cluster_Master!$C$4:$C$18,MATCH($F286,Cluster_Master!$B$4:$B$18,0)),"")</f>
        <v/>
      </c>
      <c r="I286" s="15">
        <f>IFERROR(INDEX(Cluster_Master!$D$4:$D$18,MATCH($F286,Cluster_Master!$B$4:$B$18,0)),"")</f>
        <v/>
      </c>
      <c r="J286" s="15">
        <f>IFERROR(INDEX(Cluster_Master!$E$4:$E$18,MATCH($F286,Cluster_Master!$B$4:$B$18,0)),"")</f>
        <v/>
      </c>
      <c r="K286" s="15">
        <f>IFERROR(INDEX(Cluster_Master!$F$4:$F$18,MATCH($F286,Cluster_Master!$B$4:$B$18,0)),"")</f>
        <v/>
      </c>
      <c r="L286" s="15">
        <f>IFERROR(INDEX(Cluster_Master!$G$4:$G$18,MATCH($F286,Cluster_Master!$B$4:$B$18,0)),"")</f>
        <v/>
      </c>
      <c r="M286" s="15">
        <f>IFERROR(INDEX(Cluster_Master!$H$4:$H$18,MATCH($F286,Cluster_Master!$B$4:$B$18,0)),"")</f>
        <v/>
      </c>
      <c r="N286" s="41" t="n"/>
      <c r="O286" s="41" t="n"/>
      <c r="P286" s="41" t="n"/>
      <c r="Q286" s="41" t="n"/>
      <c r="R286" s="41" t="n"/>
      <c r="S286" s="41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2" t="n"/>
      <c r="AG286" s="42" t="n"/>
      <c r="AH286" s="42" t="n"/>
      <c r="AI286" s="15">
        <f>IF(COUNTA(T286:AH286)=0,"",SUM(T286:AH286))</f>
        <v/>
      </c>
      <c r="AJ286" s="21">
        <f>IF(COUNTA(T286:AH286)=0,"",AI286/(COUNT(KPI_Weights!$A$4:$A$18)*5))</f>
        <v/>
      </c>
      <c r="AK286" s="21">
        <f>IF(COUNTA(T286:AH286)=0,"",SUMPRODUCT(T286:AH286,KPI_Weights!$B$4:$B$18)/5)</f>
        <v/>
      </c>
      <c r="AL286" s="15">
        <f>IF(COUNTA(T286:AH286)=0,"",IF(SUMPRODUCT(--(T286:AH286&lt;=1),--(KPI_Weights!$C$4:$C$18="YES"))&gt;0,"YES","NO"))</f>
        <v/>
      </c>
      <c r="AM286" s="15">
        <f>IF(AJ286="","",IF(AND(AL286="NO",AJ286&gt;=0.75),"YES","NO"))</f>
        <v/>
      </c>
      <c r="AN286" s="15">
        <f>IF(AJ286="","",IF(AJ286&lt;0.4,"Critical",IF(AJ286&lt;0.6,"Poor",IF(AJ286&lt;0.75,"Needs Improvement",IF(AJ286&lt;0.9,"Good","Excellent")))))</f>
        <v/>
      </c>
      <c r="AO286" s="41" t="n"/>
      <c r="AP286" s="41" t="n"/>
      <c r="AQ286" s="41" t="n"/>
      <c r="AR286" s="41" t="n"/>
      <c r="AS286" s="41" t="n"/>
      <c r="AT286" s="44" t="n"/>
      <c r="AU286" s="41" t="n"/>
      <c r="AV286" s="43" t="n"/>
      <c r="AW286" s="41" t="n"/>
      <c r="AX286" s="44" t="n"/>
      <c r="AY286" s="44" t="n"/>
      <c r="AZ286" s="44" t="n"/>
      <c r="BA286" s="44" t="n"/>
      <c r="BB286" s="44" t="n"/>
      <c r="BC286" s="44" t="n"/>
      <c r="BD286" s="44" t="n"/>
      <c r="BE286" s="44" t="n"/>
      <c r="BF286" s="44" t="n"/>
    </row>
    <row r="287" ht="19.5" customHeight="1" s="45">
      <c r="A287" s="15">
        <f>IF($B287="","",TEXT($B287,"yyyymmdd")&amp;"-"&amp;SUBSTITUTE($F287," ","")&amp;"-"&amp;TEXT(COUNTIF($F$4:F287,$F287),"00"))</f>
        <v/>
      </c>
      <c r="B287" s="39" t="n"/>
      <c r="C287" s="15">
        <f>IF($B287="","",WEEKNUM($B287,2))</f>
        <v/>
      </c>
      <c r="D287" s="15">
        <f>IF($B287="","",TEXT($B287,"yyyy-mm"))</f>
        <v/>
      </c>
      <c r="E287" s="40" t="n"/>
      <c r="F287" s="40" t="n"/>
      <c r="G287" s="15">
        <f>IF(OR($E287="",$F287=""),"",IFERROR(IF($E287=INDEX(Cluster_Master!$A$4:$A$18,MATCH($F287,Cluster_Master!$B$4:$B$18,0)),"OK","CHECK"),"CHECK"))</f>
        <v/>
      </c>
      <c r="H287" s="18">
        <f>IFERROR(INDEX(Cluster_Master!$C$4:$C$18,MATCH($F287,Cluster_Master!$B$4:$B$18,0)),"")</f>
        <v/>
      </c>
      <c r="I287" s="15">
        <f>IFERROR(INDEX(Cluster_Master!$D$4:$D$18,MATCH($F287,Cluster_Master!$B$4:$B$18,0)),"")</f>
        <v/>
      </c>
      <c r="J287" s="15">
        <f>IFERROR(INDEX(Cluster_Master!$E$4:$E$18,MATCH($F287,Cluster_Master!$B$4:$B$18,0)),"")</f>
        <v/>
      </c>
      <c r="K287" s="15">
        <f>IFERROR(INDEX(Cluster_Master!$F$4:$F$18,MATCH($F287,Cluster_Master!$B$4:$B$18,0)),"")</f>
        <v/>
      </c>
      <c r="L287" s="15">
        <f>IFERROR(INDEX(Cluster_Master!$G$4:$G$18,MATCH($F287,Cluster_Master!$B$4:$B$18,0)),"")</f>
        <v/>
      </c>
      <c r="M287" s="15">
        <f>IFERROR(INDEX(Cluster_Master!$H$4:$H$18,MATCH($F287,Cluster_Master!$B$4:$B$18,0)),"")</f>
        <v/>
      </c>
      <c r="N287" s="41" t="n"/>
      <c r="O287" s="41" t="n"/>
      <c r="P287" s="41" t="n"/>
      <c r="Q287" s="41" t="n"/>
      <c r="R287" s="41" t="n"/>
      <c r="S287" s="41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  <c r="AE287" s="42" t="n"/>
      <c r="AF287" s="42" t="n"/>
      <c r="AG287" s="42" t="n"/>
      <c r="AH287" s="42" t="n"/>
      <c r="AI287" s="15">
        <f>IF(COUNTA(T287:AH287)=0,"",SUM(T287:AH287))</f>
        <v/>
      </c>
      <c r="AJ287" s="21">
        <f>IF(COUNTA(T287:AH287)=0,"",AI287/(COUNT(KPI_Weights!$A$4:$A$18)*5))</f>
        <v/>
      </c>
      <c r="AK287" s="21">
        <f>IF(COUNTA(T287:AH287)=0,"",SUMPRODUCT(T287:AH287,KPI_Weights!$B$4:$B$18)/5)</f>
        <v/>
      </c>
      <c r="AL287" s="15">
        <f>IF(COUNTA(T287:AH287)=0,"",IF(SUMPRODUCT(--(T287:AH287&lt;=1),--(KPI_Weights!$C$4:$C$18="YES"))&gt;0,"YES","NO"))</f>
        <v/>
      </c>
      <c r="AM287" s="15">
        <f>IF(AJ287="","",IF(AND(AL287="NO",AJ287&gt;=0.75),"YES","NO"))</f>
        <v/>
      </c>
      <c r="AN287" s="15">
        <f>IF(AJ287="","",IF(AJ287&lt;0.4,"Critical",IF(AJ287&lt;0.6,"Poor",IF(AJ287&lt;0.75,"Needs Improvement",IF(AJ287&lt;0.9,"Good","Excellent")))))</f>
        <v/>
      </c>
      <c r="AO287" s="41" t="n"/>
      <c r="AP287" s="41" t="n"/>
      <c r="AQ287" s="41" t="n"/>
      <c r="AR287" s="41" t="n"/>
      <c r="AS287" s="41" t="n"/>
      <c r="AT287" s="44" t="n"/>
      <c r="AU287" s="41" t="n"/>
      <c r="AV287" s="43" t="n"/>
      <c r="AW287" s="41" t="n"/>
      <c r="AX287" s="44" t="n"/>
      <c r="AY287" s="44" t="n"/>
      <c r="AZ287" s="44" t="n"/>
      <c r="BA287" s="44" t="n"/>
      <c r="BB287" s="44" t="n"/>
      <c r="BC287" s="44" t="n"/>
      <c r="BD287" s="44" t="n"/>
      <c r="BE287" s="44" t="n"/>
      <c r="BF287" s="44" t="n"/>
    </row>
    <row r="288" ht="19.5" customHeight="1" s="45">
      <c r="A288" s="15">
        <f>IF($B288="","",TEXT($B288,"yyyymmdd")&amp;"-"&amp;SUBSTITUTE($F288," ","")&amp;"-"&amp;TEXT(COUNTIF($F$4:F288,$F288),"00"))</f>
        <v/>
      </c>
      <c r="B288" s="39" t="n"/>
      <c r="C288" s="15">
        <f>IF($B288="","",WEEKNUM($B288,2))</f>
        <v/>
      </c>
      <c r="D288" s="15">
        <f>IF($B288="","",TEXT($B288,"yyyy-mm"))</f>
        <v/>
      </c>
      <c r="E288" s="40" t="n"/>
      <c r="F288" s="40" t="n"/>
      <c r="G288" s="15">
        <f>IF(OR($E288="",$F288=""),"",IFERROR(IF($E288=INDEX(Cluster_Master!$A$4:$A$18,MATCH($F288,Cluster_Master!$B$4:$B$18,0)),"OK","CHECK"),"CHECK"))</f>
        <v/>
      </c>
      <c r="H288" s="18">
        <f>IFERROR(INDEX(Cluster_Master!$C$4:$C$18,MATCH($F288,Cluster_Master!$B$4:$B$18,0)),"")</f>
        <v/>
      </c>
      <c r="I288" s="15">
        <f>IFERROR(INDEX(Cluster_Master!$D$4:$D$18,MATCH($F288,Cluster_Master!$B$4:$B$18,0)),"")</f>
        <v/>
      </c>
      <c r="J288" s="15">
        <f>IFERROR(INDEX(Cluster_Master!$E$4:$E$18,MATCH($F288,Cluster_Master!$B$4:$B$18,0)),"")</f>
        <v/>
      </c>
      <c r="K288" s="15">
        <f>IFERROR(INDEX(Cluster_Master!$F$4:$F$18,MATCH($F288,Cluster_Master!$B$4:$B$18,0)),"")</f>
        <v/>
      </c>
      <c r="L288" s="15">
        <f>IFERROR(INDEX(Cluster_Master!$G$4:$G$18,MATCH($F288,Cluster_Master!$B$4:$B$18,0)),"")</f>
        <v/>
      </c>
      <c r="M288" s="15">
        <f>IFERROR(INDEX(Cluster_Master!$H$4:$H$18,MATCH($F288,Cluster_Master!$B$4:$B$18,0)),"")</f>
        <v/>
      </c>
      <c r="N288" s="41" t="n"/>
      <c r="O288" s="41" t="n"/>
      <c r="P288" s="41" t="n"/>
      <c r="Q288" s="41" t="n"/>
      <c r="R288" s="41" t="n"/>
      <c r="S288" s="41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2" t="n"/>
      <c r="AG288" s="42" t="n"/>
      <c r="AH288" s="42" t="n"/>
      <c r="AI288" s="15">
        <f>IF(COUNTA(T288:AH288)=0,"",SUM(T288:AH288))</f>
        <v/>
      </c>
      <c r="AJ288" s="21">
        <f>IF(COUNTA(T288:AH288)=0,"",AI288/(COUNT(KPI_Weights!$A$4:$A$18)*5))</f>
        <v/>
      </c>
      <c r="AK288" s="21">
        <f>IF(COUNTA(T288:AH288)=0,"",SUMPRODUCT(T288:AH288,KPI_Weights!$B$4:$B$18)/5)</f>
        <v/>
      </c>
      <c r="AL288" s="15">
        <f>IF(COUNTA(T288:AH288)=0,"",IF(SUMPRODUCT(--(T288:AH288&lt;=1),--(KPI_Weights!$C$4:$C$18="YES"))&gt;0,"YES","NO"))</f>
        <v/>
      </c>
      <c r="AM288" s="15">
        <f>IF(AJ288="","",IF(AND(AL288="NO",AJ288&gt;=0.75),"YES","NO"))</f>
        <v/>
      </c>
      <c r="AN288" s="15">
        <f>IF(AJ288="","",IF(AJ288&lt;0.4,"Critical",IF(AJ288&lt;0.6,"Poor",IF(AJ288&lt;0.75,"Needs Improvement",IF(AJ288&lt;0.9,"Good","Excellent")))))</f>
        <v/>
      </c>
      <c r="AO288" s="41" t="n"/>
      <c r="AP288" s="41" t="n"/>
      <c r="AQ288" s="41" t="n"/>
      <c r="AR288" s="41" t="n"/>
      <c r="AS288" s="41" t="n"/>
      <c r="AT288" s="44" t="n"/>
      <c r="AU288" s="41" t="n"/>
      <c r="AV288" s="43" t="n"/>
      <c r="AW288" s="41" t="n"/>
      <c r="AX288" s="44" t="n"/>
      <c r="AY288" s="44" t="n"/>
      <c r="AZ288" s="44" t="n"/>
      <c r="BA288" s="44" t="n"/>
      <c r="BB288" s="44" t="n"/>
      <c r="BC288" s="44" t="n"/>
      <c r="BD288" s="44" t="n"/>
      <c r="BE288" s="44" t="n"/>
      <c r="BF288" s="44" t="n"/>
    </row>
    <row r="289" ht="19.5" customHeight="1" s="45">
      <c r="A289" s="15">
        <f>IF($B289="","",TEXT($B289,"yyyymmdd")&amp;"-"&amp;SUBSTITUTE($F289," ","")&amp;"-"&amp;TEXT(COUNTIF($F$4:F289,$F289),"00"))</f>
        <v/>
      </c>
      <c r="B289" s="39" t="n"/>
      <c r="C289" s="15">
        <f>IF($B289="","",WEEKNUM($B289,2))</f>
        <v/>
      </c>
      <c r="D289" s="15">
        <f>IF($B289="","",TEXT($B289,"yyyy-mm"))</f>
        <v/>
      </c>
      <c r="E289" s="40" t="n"/>
      <c r="F289" s="40" t="n"/>
      <c r="G289" s="15">
        <f>IF(OR($E289="",$F289=""),"",IFERROR(IF($E289=INDEX(Cluster_Master!$A$4:$A$18,MATCH($F289,Cluster_Master!$B$4:$B$18,0)),"OK","CHECK"),"CHECK"))</f>
        <v/>
      </c>
      <c r="H289" s="18">
        <f>IFERROR(INDEX(Cluster_Master!$C$4:$C$18,MATCH($F289,Cluster_Master!$B$4:$B$18,0)),"")</f>
        <v/>
      </c>
      <c r="I289" s="15">
        <f>IFERROR(INDEX(Cluster_Master!$D$4:$D$18,MATCH($F289,Cluster_Master!$B$4:$B$18,0)),"")</f>
        <v/>
      </c>
      <c r="J289" s="15">
        <f>IFERROR(INDEX(Cluster_Master!$E$4:$E$18,MATCH($F289,Cluster_Master!$B$4:$B$18,0)),"")</f>
        <v/>
      </c>
      <c r="K289" s="15">
        <f>IFERROR(INDEX(Cluster_Master!$F$4:$F$18,MATCH($F289,Cluster_Master!$B$4:$B$18,0)),"")</f>
        <v/>
      </c>
      <c r="L289" s="15">
        <f>IFERROR(INDEX(Cluster_Master!$G$4:$G$18,MATCH($F289,Cluster_Master!$B$4:$B$18,0)),"")</f>
        <v/>
      </c>
      <c r="M289" s="15">
        <f>IFERROR(INDEX(Cluster_Master!$H$4:$H$18,MATCH($F289,Cluster_Master!$B$4:$B$18,0)),"")</f>
        <v/>
      </c>
      <c r="N289" s="41" t="n"/>
      <c r="O289" s="41" t="n"/>
      <c r="P289" s="41" t="n"/>
      <c r="Q289" s="41" t="n"/>
      <c r="R289" s="41" t="n"/>
      <c r="S289" s="41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  <c r="AE289" s="42" t="n"/>
      <c r="AF289" s="42" t="n"/>
      <c r="AG289" s="42" t="n"/>
      <c r="AH289" s="42" t="n"/>
      <c r="AI289" s="15">
        <f>IF(COUNTA(T289:AH289)=0,"",SUM(T289:AH289))</f>
        <v/>
      </c>
      <c r="AJ289" s="21">
        <f>IF(COUNTA(T289:AH289)=0,"",AI289/(COUNT(KPI_Weights!$A$4:$A$18)*5))</f>
        <v/>
      </c>
      <c r="AK289" s="21">
        <f>IF(COUNTA(T289:AH289)=0,"",SUMPRODUCT(T289:AH289,KPI_Weights!$B$4:$B$18)/5)</f>
        <v/>
      </c>
      <c r="AL289" s="15">
        <f>IF(COUNTA(T289:AH289)=0,"",IF(SUMPRODUCT(--(T289:AH289&lt;=1),--(KPI_Weights!$C$4:$C$18="YES"))&gt;0,"YES","NO"))</f>
        <v/>
      </c>
      <c r="AM289" s="15">
        <f>IF(AJ289="","",IF(AND(AL289="NO",AJ289&gt;=0.75),"YES","NO"))</f>
        <v/>
      </c>
      <c r="AN289" s="15">
        <f>IF(AJ289="","",IF(AJ289&lt;0.4,"Critical",IF(AJ289&lt;0.6,"Poor",IF(AJ289&lt;0.75,"Needs Improvement",IF(AJ289&lt;0.9,"Good","Excellent")))))</f>
        <v/>
      </c>
      <c r="AO289" s="41" t="n"/>
      <c r="AP289" s="41" t="n"/>
      <c r="AQ289" s="41" t="n"/>
      <c r="AR289" s="41" t="n"/>
      <c r="AS289" s="41" t="n"/>
      <c r="AT289" s="44" t="n"/>
      <c r="AU289" s="41" t="n"/>
      <c r="AV289" s="43" t="n"/>
      <c r="AW289" s="41" t="n"/>
      <c r="AX289" s="44" t="n"/>
      <c r="AY289" s="44" t="n"/>
      <c r="AZ289" s="44" t="n"/>
      <c r="BA289" s="44" t="n"/>
      <c r="BB289" s="44" t="n"/>
      <c r="BC289" s="44" t="n"/>
      <c r="BD289" s="44" t="n"/>
      <c r="BE289" s="44" t="n"/>
      <c r="BF289" s="44" t="n"/>
    </row>
    <row r="290" ht="19.5" customHeight="1" s="45">
      <c r="A290" s="15">
        <f>IF($B290="","",TEXT($B290,"yyyymmdd")&amp;"-"&amp;SUBSTITUTE($F290," ","")&amp;"-"&amp;TEXT(COUNTIF($F$4:F290,$F290),"00"))</f>
        <v/>
      </c>
      <c r="B290" s="39" t="n"/>
      <c r="C290" s="15">
        <f>IF($B290="","",WEEKNUM($B290,2))</f>
        <v/>
      </c>
      <c r="D290" s="15">
        <f>IF($B290="","",TEXT($B290,"yyyy-mm"))</f>
        <v/>
      </c>
      <c r="E290" s="40" t="n"/>
      <c r="F290" s="40" t="n"/>
      <c r="G290" s="15">
        <f>IF(OR($E290="",$F290=""),"",IFERROR(IF($E290=INDEX(Cluster_Master!$A$4:$A$18,MATCH($F290,Cluster_Master!$B$4:$B$18,0)),"OK","CHECK"),"CHECK"))</f>
        <v/>
      </c>
      <c r="H290" s="18">
        <f>IFERROR(INDEX(Cluster_Master!$C$4:$C$18,MATCH($F290,Cluster_Master!$B$4:$B$18,0)),"")</f>
        <v/>
      </c>
      <c r="I290" s="15">
        <f>IFERROR(INDEX(Cluster_Master!$D$4:$D$18,MATCH($F290,Cluster_Master!$B$4:$B$18,0)),"")</f>
        <v/>
      </c>
      <c r="J290" s="15">
        <f>IFERROR(INDEX(Cluster_Master!$E$4:$E$18,MATCH($F290,Cluster_Master!$B$4:$B$18,0)),"")</f>
        <v/>
      </c>
      <c r="K290" s="15">
        <f>IFERROR(INDEX(Cluster_Master!$F$4:$F$18,MATCH($F290,Cluster_Master!$B$4:$B$18,0)),"")</f>
        <v/>
      </c>
      <c r="L290" s="15">
        <f>IFERROR(INDEX(Cluster_Master!$G$4:$G$18,MATCH($F290,Cluster_Master!$B$4:$B$18,0)),"")</f>
        <v/>
      </c>
      <c r="M290" s="15">
        <f>IFERROR(INDEX(Cluster_Master!$H$4:$H$18,MATCH($F290,Cluster_Master!$B$4:$B$18,0)),"")</f>
        <v/>
      </c>
      <c r="N290" s="41" t="n"/>
      <c r="O290" s="41" t="n"/>
      <c r="P290" s="41" t="n"/>
      <c r="Q290" s="41" t="n"/>
      <c r="R290" s="41" t="n"/>
      <c r="S290" s="41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2" t="n"/>
      <c r="AG290" s="42" t="n"/>
      <c r="AH290" s="42" t="n"/>
      <c r="AI290" s="15">
        <f>IF(COUNTA(T290:AH290)=0,"",SUM(T290:AH290))</f>
        <v/>
      </c>
      <c r="AJ290" s="21">
        <f>IF(COUNTA(T290:AH290)=0,"",AI290/(COUNT(KPI_Weights!$A$4:$A$18)*5))</f>
        <v/>
      </c>
      <c r="AK290" s="21">
        <f>IF(COUNTA(T290:AH290)=0,"",SUMPRODUCT(T290:AH290,KPI_Weights!$B$4:$B$18)/5)</f>
        <v/>
      </c>
      <c r="AL290" s="15">
        <f>IF(COUNTA(T290:AH290)=0,"",IF(SUMPRODUCT(--(T290:AH290&lt;=1),--(KPI_Weights!$C$4:$C$18="YES"))&gt;0,"YES","NO"))</f>
        <v/>
      </c>
      <c r="AM290" s="15">
        <f>IF(AJ290="","",IF(AND(AL290="NO",AJ290&gt;=0.75),"YES","NO"))</f>
        <v/>
      </c>
      <c r="AN290" s="15">
        <f>IF(AJ290="","",IF(AJ290&lt;0.4,"Critical",IF(AJ290&lt;0.6,"Poor",IF(AJ290&lt;0.75,"Needs Improvement",IF(AJ290&lt;0.9,"Good","Excellent")))))</f>
        <v/>
      </c>
      <c r="AO290" s="41" t="n"/>
      <c r="AP290" s="41" t="n"/>
      <c r="AQ290" s="41" t="n"/>
      <c r="AR290" s="41" t="n"/>
      <c r="AS290" s="41" t="n"/>
      <c r="AT290" s="44" t="n"/>
      <c r="AU290" s="41" t="n"/>
      <c r="AV290" s="43" t="n"/>
      <c r="AW290" s="41" t="n"/>
      <c r="AX290" s="44" t="n"/>
      <c r="AY290" s="44" t="n"/>
      <c r="AZ290" s="44" t="n"/>
      <c r="BA290" s="44" t="n"/>
      <c r="BB290" s="44" t="n"/>
      <c r="BC290" s="44" t="n"/>
      <c r="BD290" s="44" t="n"/>
      <c r="BE290" s="44" t="n"/>
      <c r="BF290" s="44" t="n"/>
    </row>
    <row r="291" ht="19.5" customHeight="1" s="45">
      <c r="A291" s="15">
        <f>IF($B291="","",TEXT($B291,"yyyymmdd")&amp;"-"&amp;SUBSTITUTE($F291," ","")&amp;"-"&amp;TEXT(COUNTIF($F$4:F291,$F291),"00"))</f>
        <v/>
      </c>
      <c r="B291" s="39" t="n"/>
      <c r="C291" s="15">
        <f>IF($B291="","",WEEKNUM($B291,2))</f>
        <v/>
      </c>
      <c r="D291" s="15">
        <f>IF($B291="","",TEXT($B291,"yyyy-mm"))</f>
        <v/>
      </c>
      <c r="E291" s="40" t="n"/>
      <c r="F291" s="40" t="n"/>
      <c r="G291" s="15">
        <f>IF(OR($E291="",$F291=""),"",IFERROR(IF($E291=INDEX(Cluster_Master!$A$4:$A$18,MATCH($F291,Cluster_Master!$B$4:$B$18,0)),"OK","CHECK"),"CHECK"))</f>
        <v/>
      </c>
      <c r="H291" s="18">
        <f>IFERROR(INDEX(Cluster_Master!$C$4:$C$18,MATCH($F291,Cluster_Master!$B$4:$B$18,0)),"")</f>
        <v/>
      </c>
      <c r="I291" s="15">
        <f>IFERROR(INDEX(Cluster_Master!$D$4:$D$18,MATCH($F291,Cluster_Master!$B$4:$B$18,0)),"")</f>
        <v/>
      </c>
      <c r="J291" s="15">
        <f>IFERROR(INDEX(Cluster_Master!$E$4:$E$18,MATCH($F291,Cluster_Master!$B$4:$B$18,0)),"")</f>
        <v/>
      </c>
      <c r="K291" s="15">
        <f>IFERROR(INDEX(Cluster_Master!$F$4:$F$18,MATCH($F291,Cluster_Master!$B$4:$B$18,0)),"")</f>
        <v/>
      </c>
      <c r="L291" s="15">
        <f>IFERROR(INDEX(Cluster_Master!$G$4:$G$18,MATCH($F291,Cluster_Master!$B$4:$B$18,0)),"")</f>
        <v/>
      </c>
      <c r="M291" s="15">
        <f>IFERROR(INDEX(Cluster_Master!$H$4:$H$18,MATCH($F291,Cluster_Master!$B$4:$B$18,0)),"")</f>
        <v/>
      </c>
      <c r="N291" s="41" t="n"/>
      <c r="O291" s="41" t="n"/>
      <c r="P291" s="41" t="n"/>
      <c r="Q291" s="41" t="n"/>
      <c r="R291" s="41" t="n"/>
      <c r="S291" s="41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  <c r="AE291" s="42" t="n"/>
      <c r="AF291" s="42" t="n"/>
      <c r="AG291" s="42" t="n"/>
      <c r="AH291" s="42" t="n"/>
      <c r="AI291" s="15">
        <f>IF(COUNTA(T291:AH291)=0,"",SUM(T291:AH291))</f>
        <v/>
      </c>
      <c r="AJ291" s="21">
        <f>IF(COUNTA(T291:AH291)=0,"",AI291/(COUNT(KPI_Weights!$A$4:$A$18)*5))</f>
        <v/>
      </c>
      <c r="AK291" s="21">
        <f>IF(COUNTA(T291:AH291)=0,"",SUMPRODUCT(T291:AH291,KPI_Weights!$B$4:$B$18)/5)</f>
        <v/>
      </c>
      <c r="AL291" s="15">
        <f>IF(COUNTA(T291:AH291)=0,"",IF(SUMPRODUCT(--(T291:AH291&lt;=1),--(KPI_Weights!$C$4:$C$18="YES"))&gt;0,"YES","NO"))</f>
        <v/>
      </c>
      <c r="AM291" s="15">
        <f>IF(AJ291="","",IF(AND(AL291="NO",AJ291&gt;=0.75),"YES","NO"))</f>
        <v/>
      </c>
      <c r="AN291" s="15">
        <f>IF(AJ291="","",IF(AJ291&lt;0.4,"Critical",IF(AJ291&lt;0.6,"Poor",IF(AJ291&lt;0.75,"Needs Improvement",IF(AJ291&lt;0.9,"Good","Excellent")))))</f>
        <v/>
      </c>
      <c r="AO291" s="41" t="n"/>
      <c r="AP291" s="41" t="n"/>
      <c r="AQ291" s="41" t="n"/>
      <c r="AR291" s="41" t="n"/>
      <c r="AS291" s="41" t="n"/>
      <c r="AT291" s="44" t="n"/>
      <c r="AU291" s="41" t="n"/>
      <c r="AV291" s="43" t="n"/>
      <c r="AW291" s="41" t="n"/>
      <c r="AX291" s="44" t="n"/>
      <c r="AY291" s="44" t="n"/>
      <c r="AZ291" s="44" t="n"/>
      <c r="BA291" s="44" t="n"/>
      <c r="BB291" s="44" t="n"/>
      <c r="BC291" s="44" t="n"/>
      <c r="BD291" s="44" t="n"/>
      <c r="BE291" s="44" t="n"/>
      <c r="BF291" s="44" t="n"/>
    </row>
    <row r="292" ht="19.5" customHeight="1" s="45">
      <c r="A292" s="15">
        <f>IF($B292="","",TEXT($B292,"yyyymmdd")&amp;"-"&amp;SUBSTITUTE($F292," ","")&amp;"-"&amp;TEXT(COUNTIF($F$4:F292,$F292),"00"))</f>
        <v/>
      </c>
      <c r="B292" s="39" t="n"/>
      <c r="C292" s="15">
        <f>IF($B292="","",WEEKNUM($B292,2))</f>
        <v/>
      </c>
      <c r="D292" s="15">
        <f>IF($B292="","",TEXT($B292,"yyyy-mm"))</f>
        <v/>
      </c>
      <c r="E292" s="40" t="n"/>
      <c r="F292" s="40" t="n"/>
      <c r="G292" s="15">
        <f>IF(OR($E292="",$F292=""),"",IFERROR(IF($E292=INDEX(Cluster_Master!$A$4:$A$18,MATCH($F292,Cluster_Master!$B$4:$B$18,0)),"OK","CHECK"),"CHECK"))</f>
        <v/>
      </c>
      <c r="H292" s="18">
        <f>IFERROR(INDEX(Cluster_Master!$C$4:$C$18,MATCH($F292,Cluster_Master!$B$4:$B$18,0)),"")</f>
        <v/>
      </c>
      <c r="I292" s="15">
        <f>IFERROR(INDEX(Cluster_Master!$D$4:$D$18,MATCH($F292,Cluster_Master!$B$4:$B$18,0)),"")</f>
        <v/>
      </c>
      <c r="J292" s="15">
        <f>IFERROR(INDEX(Cluster_Master!$E$4:$E$18,MATCH($F292,Cluster_Master!$B$4:$B$18,0)),"")</f>
        <v/>
      </c>
      <c r="K292" s="15">
        <f>IFERROR(INDEX(Cluster_Master!$F$4:$F$18,MATCH($F292,Cluster_Master!$B$4:$B$18,0)),"")</f>
        <v/>
      </c>
      <c r="L292" s="15">
        <f>IFERROR(INDEX(Cluster_Master!$G$4:$G$18,MATCH($F292,Cluster_Master!$B$4:$B$18,0)),"")</f>
        <v/>
      </c>
      <c r="M292" s="15">
        <f>IFERROR(INDEX(Cluster_Master!$H$4:$H$18,MATCH($F292,Cluster_Master!$B$4:$B$18,0)),"")</f>
        <v/>
      </c>
      <c r="N292" s="41" t="n"/>
      <c r="O292" s="41" t="n"/>
      <c r="P292" s="41" t="n"/>
      <c r="Q292" s="41" t="n"/>
      <c r="R292" s="41" t="n"/>
      <c r="S292" s="41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2" t="n"/>
      <c r="AG292" s="42" t="n"/>
      <c r="AH292" s="42" t="n"/>
      <c r="AI292" s="15">
        <f>IF(COUNTA(T292:AH292)=0,"",SUM(T292:AH292))</f>
        <v/>
      </c>
      <c r="AJ292" s="21">
        <f>IF(COUNTA(T292:AH292)=0,"",AI292/(COUNT(KPI_Weights!$A$4:$A$18)*5))</f>
        <v/>
      </c>
      <c r="AK292" s="21">
        <f>IF(COUNTA(T292:AH292)=0,"",SUMPRODUCT(T292:AH292,KPI_Weights!$B$4:$B$18)/5)</f>
        <v/>
      </c>
      <c r="AL292" s="15">
        <f>IF(COUNTA(T292:AH292)=0,"",IF(SUMPRODUCT(--(T292:AH292&lt;=1),--(KPI_Weights!$C$4:$C$18="YES"))&gt;0,"YES","NO"))</f>
        <v/>
      </c>
      <c r="AM292" s="15">
        <f>IF(AJ292="","",IF(AND(AL292="NO",AJ292&gt;=0.75),"YES","NO"))</f>
        <v/>
      </c>
      <c r="AN292" s="15">
        <f>IF(AJ292="","",IF(AJ292&lt;0.4,"Critical",IF(AJ292&lt;0.6,"Poor",IF(AJ292&lt;0.75,"Needs Improvement",IF(AJ292&lt;0.9,"Good","Excellent")))))</f>
        <v/>
      </c>
      <c r="AO292" s="41" t="n"/>
      <c r="AP292" s="41" t="n"/>
      <c r="AQ292" s="41" t="n"/>
      <c r="AR292" s="41" t="n"/>
      <c r="AS292" s="41" t="n"/>
      <c r="AT292" s="44" t="n"/>
      <c r="AU292" s="41" t="n"/>
      <c r="AV292" s="43" t="n"/>
      <c r="AW292" s="41" t="n"/>
      <c r="AX292" s="44" t="n"/>
      <c r="AY292" s="44" t="n"/>
      <c r="AZ292" s="44" t="n"/>
      <c r="BA292" s="44" t="n"/>
      <c r="BB292" s="44" t="n"/>
      <c r="BC292" s="44" t="n"/>
      <c r="BD292" s="44" t="n"/>
      <c r="BE292" s="44" t="n"/>
      <c r="BF292" s="44" t="n"/>
    </row>
    <row r="293" ht="19.5" customHeight="1" s="45">
      <c r="A293" s="15">
        <f>IF($B293="","",TEXT($B293,"yyyymmdd")&amp;"-"&amp;SUBSTITUTE($F293," ","")&amp;"-"&amp;TEXT(COUNTIF($F$4:F293,$F293),"00"))</f>
        <v/>
      </c>
      <c r="B293" s="39" t="n"/>
      <c r="C293" s="15">
        <f>IF($B293="","",WEEKNUM($B293,2))</f>
        <v/>
      </c>
      <c r="D293" s="15">
        <f>IF($B293="","",TEXT($B293,"yyyy-mm"))</f>
        <v/>
      </c>
      <c r="E293" s="40" t="n"/>
      <c r="F293" s="40" t="n"/>
      <c r="G293" s="15">
        <f>IF(OR($E293="",$F293=""),"",IFERROR(IF($E293=INDEX(Cluster_Master!$A$4:$A$18,MATCH($F293,Cluster_Master!$B$4:$B$18,0)),"OK","CHECK"),"CHECK"))</f>
        <v/>
      </c>
      <c r="H293" s="18">
        <f>IFERROR(INDEX(Cluster_Master!$C$4:$C$18,MATCH($F293,Cluster_Master!$B$4:$B$18,0)),"")</f>
        <v/>
      </c>
      <c r="I293" s="15">
        <f>IFERROR(INDEX(Cluster_Master!$D$4:$D$18,MATCH($F293,Cluster_Master!$B$4:$B$18,0)),"")</f>
        <v/>
      </c>
      <c r="J293" s="15">
        <f>IFERROR(INDEX(Cluster_Master!$E$4:$E$18,MATCH($F293,Cluster_Master!$B$4:$B$18,0)),"")</f>
        <v/>
      </c>
      <c r="K293" s="15">
        <f>IFERROR(INDEX(Cluster_Master!$F$4:$F$18,MATCH($F293,Cluster_Master!$B$4:$B$18,0)),"")</f>
        <v/>
      </c>
      <c r="L293" s="15">
        <f>IFERROR(INDEX(Cluster_Master!$G$4:$G$18,MATCH($F293,Cluster_Master!$B$4:$B$18,0)),"")</f>
        <v/>
      </c>
      <c r="M293" s="15">
        <f>IFERROR(INDEX(Cluster_Master!$H$4:$H$18,MATCH($F293,Cluster_Master!$B$4:$B$18,0)),"")</f>
        <v/>
      </c>
      <c r="N293" s="41" t="n"/>
      <c r="O293" s="41" t="n"/>
      <c r="P293" s="41" t="n"/>
      <c r="Q293" s="41" t="n"/>
      <c r="R293" s="41" t="n"/>
      <c r="S293" s="41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  <c r="AE293" s="42" t="n"/>
      <c r="AF293" s="42" t="n"/>
      <c r="AG293" s="42" t="n"/>
      <c r="AH293" s="42" t="n"/>
      <c r="AI293" s="15">
        <f>IF(COUNTA(T293:AH293)=0,"",SUM(T293:AH293))</f>
        <v/>
      </c>
      <c r="AJ293" s="21">
        <f>IF(COUNTA(T293:AH293)=0,"",AI293/(COUNT(KPI_Weights!$A$4:$A$18)*5))</f>
        <v/>
      </c>
      <c r="AK293" s="21">
        <f>IF(COUNTA(T293:AH293)=0,"",SUMPRODUCT(T293:AH293,KPI_Weights!$B$4:$B$18)/5)</f>
        <v/>
      </c>
      <c r="AL293" s="15">
        <f>IF(COUNTA(T293:AH293)=0,"",IF(SUMPRODUCT(--(T293:AH293&lt;=1),--(KPI_Weights!$C$4:$C$18="YES"))&gt;0,"YES","NO"))</f>
        <v/>
      </c>
      <c r="AM293" s="15">
        <f>IF(AJ293="","",IF(AND(AL293="NO",AJ293&gt;=0.75),"YES","NO"))</f>
        <v/>
      </c>
      <c r="AN293" s="15">
        <f>IF(AJ293="","",IF(AJ293&lt;0.4,"Critical",IF(AJ293&lt;0.6,"Poor",IF(AJ293&lt;0.75,"Needs Improvement",IF(AJ293&lt;0.9,"Good","Excellent")))))</f>
        <v/>
      </c>
      <c r="AO293" s="41" t="n"/>
      <c r="AP293" s="41" t="n"/>
      <c r="AQ293" s="41" t="n"/>
      <c r="AR293" s="41" t="n"/>
      <c r="AS293" s="41" t="n"/>
      <c r="AT293" s="44" t="n"/>
      <c r="AU293" s="41" t="n"/>
      <c r="AV293" s="43" t="n"/>
      <c r="AW293" s="41" t="n"/>
      <c r="AX293" s="44" t="n"/>
      <c r="AY293" s="44" t="n"/>
      <c r="AZ293" s="44" t="n"/>
      <c r="BA293" s="44" t="n"/>
      <c r="BB293" s="44" t="n"/>
      <c r="BC293" s="44" t="n"/>
      <c r="BD293" s="44" t="n"/>
      <c r="BE293" s="44" t="n"/>
      <c r="BF293" s="44" t="n"/>
    </row>
    <row r="294" ht="19.5" customHeight="1" s="45">
      <c r="A294" s="15">
        <f>IF($B294="","",TEXT($B294,"yyyymmdd")&amp;"-"&amp;SUBSTITUTE($F294," ","")&amp;"-"&amp;TEXT(COUNTIF($F$4:F294,$F294),"00"))</f>
        <v/>
      </c>
      <c r="B294" s="39" t="n"/>
      <c r="C294" s="15">
        <f>IF($B294="","",WEEKNUM($B294,2))</f>
        <v/>
      </c>
      <c r="D294" s="15">
        <f>IF($B294="","",TEXT($B294,"yyyy-mm"))</f>
        <v/>
      </c>
      <c r="E294" s="40" t="n"/>
      <c r="F294" s="40" t="n"/>
      <c r="G294" s="15">
        <f>IF(OR($E294="",$F294=""),"",IFERROR(IF($E294=INDEX(Cluster_Master!$A$4:$A$18,MATCH($F294,Cluster_Master!$B$4:$B$18,0)),"OK","CHECK"),"CHECK"))</f>
        <v/>
      </c>
      <c r="H294" s="18">
        <f>IFERROR(INDEX(Cluster_Master!$C$4:$C$18,MATCH($F294,Cluster_Master!$B$4:$B$18,0)),"")</f>
        <v/>
      </c>
      <c r="I294" s="15">
        <f>IFERROR(INDEX(Cluster_Master!$D$4:$D$18,MATCH($F294,Cluster_Master!$B$4:$B$18,0)),"")</f>
        <v/>
      </c>
      <c r="J294" s="15">
        <f>IFERROR(INDEX(Cluster_Master!$E$4:$E$18,MATCH($F294,Cluster_Master!$B$4:$B$18,0)),"")</f>
        <v/>
      </c>
      <c r="K294" s="15">
        <f>IFERROR(INDEX(Cluster_Master!$F$4:$F$18,MATCH($F294,Cluster_Master!$B$4:$B$18,0)),"")</f>
        <v/>
      </c>
      <c r="L294" s="15">
        <f>IFERROR(INDEX(Cluster_Master!$G$4:$G$18,MATCH($F294,Cluster_Master!$B$4:$B$18,0)),"")</f>
        <v/>
      </c>
      <c r="M294" s="15">
        <f>IFERROR(INDEX(Cluster_Master!$H$4:$H$18,MATCH($F294,Cluster_Master!$B$4:$B$18,0)),"")</f>
        <v/>
      </c>
      <c r="N294" s="41" t="n"/>
      <c r="O294" s="41" t="n"/>
      <c r="P294" s="41" t="n"/>
      <c r="Q294" s="41" t="n"/>
      <c r="R294" s="41" t="n"/>
      <c r="S294" s="41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2" t="n"/>
      <c r="AG294" s="42" t="n"/>
      <c r="AH294" s="42" t="n"/>
      <c r="AI294" s="15">
        <f>IF(COUNTA(T294:AH294)=0,"",SUM(T294:AH294))</f>
        <v/>
      </c>
      <c r="AJ294" s="21">
        <f>IF(COUNTA(T294:AH294)=0,"",AI294/(COUNT(KPI_Weights!$A$4:$A$18)*5))</f>
        <v/>
      </c>
      <c r="AK294" s="21">
        <f>IF(COUNTA(T294:AH294)=0,"",SUMPRODUCT(T294:AH294,KPI_Weights!$B$4:$B$18)/5)</f>
        <v/>
      </c>
      <c r="AL294" s="15">
        <f>IF(COUNTA(T294:AH294)=0,"",IF(SUMPRODUCT(--(T294:AH294&lt;=1),--(KPI_Weights!$C$4:$C$18="YES"))&gt;0,"YES","NO"))</f>
        <v/>
      </c>
      <c r="AM294" s="15">
        <f>IF(AJ294="","",IF(AND(AL294="NO",AJ294&gt;=0.75),"YES","NO"))</f>
        <v/>
      </c>
      <c r="AN294" s="15">
        <f>IF(AJ294="","",IF(AJ294&lt;0.4,"Critical",IF(AJ294&lt;0.6,"Poor",IF(AJ294&lt;0.75,"Needs Improvement",IF(AJ294&lt;0.9,"Good","Excellent")))))</f>
        <v/>
      </c>
      <c r="AO294" s="41" t="n"/>
      <c r="AP294" s="41" t="n"/>
      <c r="AQ294" s="41" t="n"/>
      <c r="AR294" s="41" t="n"/>
      <c r="AS294" s="41" t="n"/>
      <c r="AT294" s="44" t="n"/>
      <c r="AU294" s="41" t="n"/>
      <c r="AV294" s="43" t="n"/>
      <c r="AW294" s="41" t="n"/>
      <c r="AX294" s="44" t="n"/>
      <c r="AY294" s="44" t="n"/>
      <c r="AZ294" s="44" t="n"/>
      <c r="BA294" s="44" t="n"/>
      <c r="BB294" s="44" t="n"/>
      <c r="BC294" s="44" t="n"/>
      <c r="BD294" s="44" t="n"/>
      <c r="BE294" s="44" t="n"/>
      <c r="BF294" s="44" t="n"/>
    </row>
    <row r="295" ht="19.5" customHeight="1" s="45">
      <c r="A295" s="15">
        <f>IF($B295="","",TEXT($B295,"yyyymmdd")&amp;"-"&amp;SUBSTITUTE($F295," ","")&amp;"-"&amp;TEXT(COUNTIF($F$4:F295,$F295),"00"))</f>
        <v/>
      </c>
      <c r="B295" s="39" t="n"/>
      <c r="C295" s="15">
        <f>IF($B295="","",WEEKNUM($B295,2))</f>
        <v/>
      </c>
      <c r="D295" s="15">
        <f>IF($B295="","",TEXT($B295,"yyyy-mm"))</f>
        <v/>
      </c>
      <c r="E295" s="40" t="n"/>
      <c r="F295" s="40" t="n"/>
      <c r="G295" s="15">
        <f>IF(OR($E295="",$F295=""),"",IFERROR(IF($E295=INDEX(Cluster_Master!$A$4:$A$18,MATCH($F295,Cluster_Master!$B$4:$B$18,0)),"OK","CHECK"),"CHECK"))</f>
        <v/>
      </c>
      <c r="H295" s="18">
        <f>IFERROR(INDEX(Cluster_Master!$C$4:$C$18,MATCH($F295,Cluster_Master!$B$4:$B$18,0)),"")</f>
        <v/>
      </c>
      <c r="I295" s="15">
        <f>IFERROR(INDEX(Cluster_Master!$D$4:$D$18,MATCH($F295,Cluster_Master!$B$4:$B$18,0)),"")</f>
        <v/>
      </c>
      <c r="J295" s="15">
        <f>IFERROR(INDEX(Cluster_Master!$E$4:$E$18,MATCH($F295,Cluster_Master!$B$4:$B$18,0)),"")</f>
        <v/>
      </c>
      <c r="K295" s="15">
        <f>IFERROR(INDEX(Cluster_Master!$F$4:$F$18,MATCH($F295,Cluster_Master!$B$4:$B$18,0)),"")</f>
        <v/>
      </c>
      <c r="L295" s="15">
        <f>IFERROR(INDEX(Cluster_Master!$G$4:$G$18,MATCH($F295,Cluster_Master!$B$4:$B$18,0)),"")</f>
        <v/>
      </c>
      <c r="M295" s="15">
        <f>IFERROR(INDEX(Cluster_Master!$H$4:$H$18,MATCH($F295,Cluster_Master!$B$4:$B$18,0)),"")</f>
        <v/>
      </c>
      <c r="N295" s="41" t="n"/>
      <c r="O295" s="41" t="n"/>
      <c r="P295" s="41" t="n"/>
      <c r="Q295" s="41" t="n"/>
      <c r="R295" s="41" t="n"/>
      <c r="S295" s="41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  <c r="AE295" s="42" t="n"/>
      <c r="AF295" s="42" t="n"/>
      <c r="AG295" s="42" t="n"/>
      <c r="AH295" s="42" t="n"/>
      <c r="AI295" s="15">
        <f>IF(COUNTA(T295:AH295)=0,"",SUM(T295:AH295))</f>
        <v/>
      </c>
      <c r="AJ295" s="21">
        <f>IF(COUNTA(T295:AH295)=0,"",AI295/(COUNT(KPI_Weights!$A$4:$A$18)*5))</f>
        <v/>
      </c>
      <c r="AK295" s="21">
        <f>IF(COUNTA(T295:AH295)=0,"",SUMPRODUCT(T295:AH295,KPI_Weights!$B$4:$B$18)/5)</f>
        <v/>
      </c>
      <c r="AL295" s="15">
        <f>IF(COUNTA(T295:AH295)=0,"",IF(SUMPRODUCT(--(T295:AH295&lt;=1),--(KPI_Weights!$C$4:$C$18="YES"))&gt;0,"YES","NO"))</f>
        <v/>
      </c>
      <c r="AM295" s="15">
        <f>IF(AJ295="","",IF(AND(AL295="NO",AJ295&gt;=0.75),"YES","NO"))</f>
        <v/>
      </c>
      <c r="AN295" s="15">
        <f>IF(AJ295="","",IF(AJ295&lt;0.4,"Critical",IF(AJ295&lt;0.6,"Poor",IF(AJ295&lt;0.75,"Needs Improvement",IF(AJ295&lt;0.9,"Good","Excellent")))))</f>
        <v/>
      </c>
      <c r="AO295" s="41" t="n"/>
      <c r="AP295" s="41" t="n"/>
      <c r="AQ295" s="41" t="n"/>
      <c r="AR295" s="41" t="n"/>
      <c r="AS295" s="41" t="n"/>
      <c r="AT295" s="44" t="n"/>
      <c r="AU295" s="41" t="n"/>
      <c r="AV295" s="43" t="n"/>
      <c r="AW295" s="41" t="n"/>
      <c r="AX295" s="44" t="n"/>
      <c r="AY295" s="44" t="n"/>
      <c r="AZ295" s="44" t="n"/>
      <c r="BA295" s="44" t="n"/>
      <c r="BB295" s="44" t="n"/>
      <c r="BC295" s="44" t="n"/>
      <c r="BD295" s="44" t="n"/>
      <c r="BE295" s="44" t="n"/>
      <c r="BF295" s="44" t="n"/>
    </row>
    <row r="296" ht="19.5" customHeight="1" s="45">
      <c r="A296" s="15">
        <f>IF($B296="","",TEXT($B296,"yyyymmdd")&amp;"-"&amp;SUBSTITUTE($F296," ","")&amp;"-"&amp;TEXT(COUNTIF($F$4:F296,$F296),"00"))</f>
        <v/>
      </c>
      <c r="B296" s="39" t="n"/>
      <c r="C296" s="15">
        <f>IF($B296="","",WEEKNUM($B296,2))</f>
        <v/>
      </c>
      <c r="D296" s="15">
        <f>IF($B296="","",TEXT($B296,"yyyy-mm"))</f>
        <v/>
      </c>
      <c r="E296" s="40" t="n"/>
      <c r="F296" s="40" t="n"/>
      <c r="G296" s="15">
        <f>IF(OR($E296="",$F296=""),"",IFERROR(IF($E296=INDEX(Cluster_Master!$A$4:$A$18,MATCH($F296,Cluster_Master!$B$4:$B$18,0)),"OK","CHECK"),"CHECK"))</f>
        <v/>
      </c>
      <c r="H296" s="18">
        <f>IFERROR(INDEX(Cluster_Master!$C$4:$C$18,MATCH($F296,Cluster_Master!$B$4:$B$18,0)),"")</f>
        <v/>
      </c>
      <c r="I296" s="15">
        <f>IFERROR(INDEX(Cluster_Master!$D$4:$D$18,MATCH($F296,Cluster_Master!$B$4:$B$18,0)),"")</f>
        <v/>
      </c>
      <c r="J296" s="15">
        <f>IFERROR(INDEX(Cluster_Master!$E$4:$E$18,MATCH($F296,Cluster_Master!$B$4:$B$18,0)),"")</f>
        <v/>
      </c>
      <c r="K296" s="15">
        <f>IFERROR(INDEX(Cluster_Master!$F$4:$F$18,MATCH($F296,Cluster_Master!$B$4:$B$18,0)),"")</f>
        <v/>
      </c>
      <c r="L296" s="15">
        <f>IFERROR(INDEX(Cluster_Master!$G$4:$G$18,MATCH($F296,Cluster_Master!$B$4:$B$18,0)),"")</f>
        <v/>
      </c>
      <c r="M296" s="15">
        <f>IFERROR(INDEX(Cluster_Master!$H$4:$H$18,MATCH($F296,Cluster_Master!$B$4:$B$18,0)),"")</f>
        <v/>
      </c>
      <c r="N296" s="41" t="n"/>
      <c r="O296" s="41" t="n"/>
      <c r="P296" s="41" t="n"/>
      <c r="Q296" s="41" t="n"/>
      <c r="R296" s="41" t="n"/>
      <c r="S296" s="41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2" t="n"/>
      <c r="AG296" s="42" t="n"/>
      <c r="AH296" s="42" t="n"/>
      <c r="AI296" s="15">
        <f>IF(COUNTA(T296:AH296)=0,"",SUM(T296:AH296))</f>
        <v/>
      </c>
      <c r="AJ296" s="21">
        <f>IF(COUNTA(T296:AH296)=0,"",AI296/(COUNT(KPI_Weights!$A$4:$A$18)*5))</f>
        <v/>
      </c>
      <c r="AK296" s="21">
        <f>IF(COUNTA(T296:AH296)=0,"",SUMPRODUCT(T296:AH296,KPI_Weights!$B$4:$B$18)/5)</f>
        <v/>
      </c>
      <c r="AL296" s="15">
        <f>IF(COUNTA(T296:AH296)=0,"",IF(SUMPRODUCT(--(T296:AH296&lt;=1),--(KPI_Weights!$C$4:$C$18="YES"))&gt;0,"YES","NO"))</f>
        <v/>
      </c>
      <c r="AM296" s="15">
        <f>IF(AJ296="","",IF(AND(AL296="NO",AJ296&gt;=0.75),"YES","NO"))</f>
        <v/>
      </c>
      <c r="AN296" s="15">
        <f>IF(AJ296="","",IF(AJ296&lt;0.4,"Critical",IF(AJ296&lt;0.6,"Poor",IF(AJ296&lt;0.75,"Needs Improvement",IF(AJ296&lt;0.9,"Good","Excellent")))))</f>
        <v/>
      </c>
      <c r="AO296" s="41" t="n"/>
      <c r="AP296" s="41" t="n"/>
      <c r="AQ296" s="41" t="n"/>
      <c r="AR296" s="41" t="n"/>
      <c r="AS296" s="41" t="n"/>
      <c r="AT296" s="44" t="n"/>
      <c r="AU296" s="41" t="n"/>
      <c r="AV296" s="43" t="n"/>
      <c r="AW296" s="41" t="n"/>
      <c r="AX296" s="44" t="n"/>
      <c r="AY296" s="44" t="n"/>
      <c r="AZ296" s="44" t="n"/>
      <c r="BA296" s="44" t="n"/>
      <c r="BB296" s="44" t="n"/>
      <c r="BC296" s="44" t="n"/>
      <c r="BD296" s="44" t="n"/>
      <c r="BE296" s="44" t="n"/>
      <c r="BF296" s="44" t="n"/>
    </row>
    <row r="297" ht="19.5" customHeight="1" s="45">
      <c r="A297" s="15">
        <f>IF($B297="","",TEXT($B297,"yyyymmdd")&amp;"-"&amp;SUBSTITUTE($F297," ","")&amp;"-"&amp;TEXT(COUNTIF($F$4:F297,$F297),"00"))</f>
        <v/>
      </c>
      <c r="B297" s="39" t="n"/>
      <c r="C297" s="15">
        <f>IF($B297="","",WEEKNUM($B297,2))</f>
        <v/>
      </c>
      <c r="D297" s="15">
        <f>IF($B297="","",TEXT($B297,"yyyy-mm"))</f>
        <v/>
      </c>
      <c r="E297" s="40" t="n"/>
      <c r="F297" s="40" t="n"/>
      <c r="G297" s="15">
        <f>IF(OR($E297="",$F297=""),"",IFERROR(IF($E297=INDEX(Cluster_Master!$A$4:$A$18,MATCH($F297,Cluster_Master!$B$4:$B$18,0)),"OK","CHECK"),"CHECK"))</f>
        <v/>
      </c>
      <c r="H297" s="18">
        <f>IFERROR(INDEX(Cluster_Master!$C$4:$C$18,MATCH($F297,Cluster_Master!$B$4:$B$18,0)),"")</f>
        <v/>
      </c>
      <c r="I297" s="15">
        <f>IFERROR(INDEX(Cluster_Master!$D$4:$D$18,MATCH($F297,Cluster_Master!$B$4:$B$18,0)),"")</f>
        <v/>
      </c>
      <c r="J297" s="15">
        <f>IFERROR(INDEX(Cluster_Master!$E$4:$E$18,MATCH($F297,Cluster_Master!$B$4:$B$18,0)),"")</f>
        <v/>
      </c>
      <c r="K297" s="15">
        <f>IFERROR(INDEX(Cluster_Master!$F$4:$F$18,MATCH($F297,Cluster_Master!$B$4:$B$18,0)),"")</f>
        <v/>
      </c>
      <c r="L297" s="15">
        <f>IFERROR(INDEX(Cluster_Master!$G$4:$G$18,MATCH($F297,Cluster_Master!$B$4:$B$18,0)),"")</f>
        <v/>
      </c>
      <c r="M297" s="15">
        <f>IFERROR(INDEX(Cluster_Master!$H$4:$H$18,MATCH($F297,Cluster_Master!$B$4:$B$18,0)),"")</f>
        <v/>
      </c>
      <c r="N297" s="41" t="n"/>
      <c r="O297" s="41" t="n"/>
      <c r="P297" s="41" t="n"/>
      <c r="Q297" s="41" t="n"/>
      <c r="R297" s="41" t="n"/>
      <c r="S297" s="41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  <c r="AE297" s="42" t="n"/>
      <c r="AF297" s="42" t="n"/>
      <c r="AG297" s="42" t="n"/>
      <c r="AH297" s="42" t="n"/>
      <c r="AI297" s="15">
        <f>IF(COUNTA(T297:AH297)=0,"",SUM(T297:AH297))</f>
        <v/>
      </c>
      <c r="AJ297" s="21">
        <f>IF(COUNTA(T297:AH297)=0,"",AI297/(COUNT(KPI_Weights!$A$4:$A$18)*5))</f>
        <v/>
      </c>
      <c r="AK297" s="21">
        <f>IF(COUNTA(T297:AH297)=0,"",SUMPRODUCT(T297:AH297,KPI_Weights!$B$4:$B$18)/5)</f>
        <v/>
      </c>
      <c r="AL297" s="15">
        <f>IF(COUNTA(T297:AH297)=0,"",IF(SUMPRODUCT(--(T297:AH297&lt;=1),--(KPI_Weights!$C$4:$C$18="YES"))&gt;0,"YES","NO"))</f>
        <v/>
      </c>
      <c r="AM297" s="15">
        <f>IF(AJ297="","",IF(AND(AL297="NO",AJ297&gt;=0.75),"YES","NO"))</f>
        <v/>
      </c>
      <c r="AN297" s="15">
        <f>IF(AJ297="","",IF(AJ297&lt;0.4,"Critical",IF(AJ297&lt;0.6,"Poor",IF(AJ297&lt;0.75,"Needs Improvement",IF(AJ297&lt;0.9,"Good","Excellent")))))</f>
        <v/>
      </c>
      <c r="AO297" s="41" t="n"/>
      <c r="AP297" s="41" t="n"/>
      <c r="AQ297" s="41" t="n"/>
      <c r="AR297" s="41" t="n"/>
      <c r="AS297" s="41" t="n"/>
      <c r="AT297" s="44" t="n"/>
      <c r="AU297" s="41" t="n"/>
      <c r="AV297" s="43" t="n"/>
      <c r="AW297" s="41" t="n"/>
      <c r="AX297" s="44" t="n"/>
      <c r="AY297" s="44" t="n"/>
      <c r="AZ297" s="44" t="n"/>
      <c r="BA297" s="44" t="n"/>
      <c r="BB297" s="44" t="n"/>
      <c r="BC297" s="44" t="n"/>
      <c r="BD297" s="44" t="n"/>
      <c r="BE297" s="44" t="n"/>
      <c r="BF297" s="44" t="n"/>
    </row>
    <row r="298" ht="19.5" customHeight="1" s="45">
      <c r="A298" s="15">
        <f>IF($B298="","",TEXT($B298,"yyyymmdd")&amp;"-"&amp;SUBSTITUTE($F298," ","")&amp;"-"&amp;TEXT(COUNTIF($F$4:F298,$F298),"00"))</f>
        <v/>
      </c>
      <c r="B298" s="39" t="n"/>
      <c r="C298" s="15">
        <f>IF($B298="","",WEEKNUM($B298,2))</f>
        <v/>
      </c>
      <c r="D298" s="15">
        <f>IF($B298="","",TEXT($B298,"yyyy-mm"))</f>
        <v/>
      </c>
      <c r="E298" s="40" t="n"/>
      <c r="F298" s="40" t="n"/>
      <c r="G298" s="15">
        <f>IF(OR($E298="",$F298=""),"",IFERROR(IF($E298=INDEX(Cluster_Master!$A$4:$A$18,MATCH($F298,Cluster_Master!$B$4:$B$18,0)),"OK","CHECK"),"CHECK"))</f>
        <v/>
      </c>
      <c r="H298" s="18">
        <f>IFERROR(INDEX(Cluster_Master!$C$4:$C$18,MATCH($F298,Cluster_Master!$B$4:$B$18,0)),"")</f>
        <v/>
      </c>
      <c r="I298" s="15">
        <f>IFERROR(INDEX(Cluster_Master!$D$4:$D$18,MATCH($F298,Cluster_Master!$B$4:$B$18,0)),"")</f>
        <v/>
      </c>
      <c r="J298" s="15">
        <f>IFERROR(INDEX(Cluster_Master!$E$4:$E$18,MATCH($F298,Cluster_Master!$B$4:$B$18,0)),"")</f>
        <v/>
      </c>
      <c r="K298" s="15">
        <f>IFERROR(INDEX(Cluster_Master!$F$4:$F$18,MATCH($F298,Cluster_Master!$B$4:$B$18,0)),"")</f>
        <v/>
      </c>
      <c r="L298" s="15">
        <f>IFERROR(INDEX(Cluster_Master!$G$4:$G$18,MATCH($F298,Cluster_Master!$B$4:$B$18,0)),"")</f>
        <v/>
      </c>
      <c r="M298" s="15">
        <f>IFERROR(INDEX(Cluster_Master!$H$4:$H$18,MATCH($F298,Cluster_Master!$B$4:$B$18,0)),"")</f>
        <v/>
      </c>
      <c r="N298" s="41" t="n"/>
      <c r="O298" s="41" t="n"/>
      <c r="P298" s="41" t="n"/>
      <c r="Q298" s="41" t="n"/>
      <c r="R298" s="41" t="n"/>
      <c r="S298" s="41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2" t="n"/>
      <c r="AG298" s="42" t="n"/>
      <c r="AH298" s="42" t="n"/>
      <c r="AI298" s="15">
        <f>IF(COUNTA(T298:AH298)=0,"",SUM(T298:AH298))</f>
        <v/>
      </c>
      <c r="AJ298" s="21">
        <f>IF(COUNTA(T298:AH298)=0,"",AI298/(COUNT(KPI_Weights!$A$4:$A$18)*5))</f>
        <v/>
      </c>
      <c r="AK298" s="21">
        <f>IF(COUNTA(T298:AH298)=0,"",SUMPRODUCT(T298:AH298,KPI_Weights!$B$4:$B$18)/5)</f>
        <v/>
      </c>
      <c r="AL298" s="15">
        <f>IF(COUNTA(T298:AH298)=0,"",IF(SUMPRODUCT(--(T298:AH298&lt;=1),--(KPI_Weights!$C$4:$C$18="YES"))&gt;0,"YES","NO"))</f>
        <v/>
      </c>
      <c r="AM298" s="15">
        <f>IF(AJ298="","",IF(AND(AL298="NO",AJ298&gt;=0.75),"YES","NO"))</f>
        <v/>
      </c>
      <c r="AN298" s="15">
        <f>IF(AJ298="","",IF(AJ298&lt;0.4,"Critical",IF(AJ298&lt;0.6,"Poor",IF(AJ298&lt;0.75,"Needs Improvement",IF(AJ298&lt;0.9,"Good","Excellent")))))</f>
        <v/>
      </c>
      <c r="AO298" s="41" t="n"/>
      <c r="AP298" s="41" t="n"/>
      <c r="AQ298" s="41" t="n"/>
      <c r="AR298" s="41" t="n"/>
      <c r="AS298" s="41" t="n"/>
      <c r="AT298" s="44" t="n"/>
      <c r="AU298" s="41" t="n"/>
      <c r="AV298" s="43" t="n"/>
      <c r="AW298" s="41" t="n"/>
      <c r="AX298" s="44" t="n"/>
      <c r="AY298" s="44" t="n"/>
      <c r="AZ298" s="44" t="n"/>
      <c r="BA298" s="44" t="n"/>
      <c r="BB298" s="44" t="n"/>
      <c r="BC298" s="44" t="n"/>
      <c r="BD298" s="44" t="n"/>
      <c r="BE298" s="44" t="n"/>
      <c r="BF298" s="44" t="n"/>
    </row>
    <row r="299" ht="19.5" customHeight="1" s="45">
      <c r="A299" s="15">
        <f>IF($B299="","",TEXT($B299,"yyyymmdd")&amp;"-"&amp;SUBSTITUTE($F299," ","")&amp;"-"&amp;TEXT(COUNTIF($F$4:F299,$F299),"00"))</f>
        <v/>
      </c>
      <c r="B299" s="39" t="n"/>
      <c r="C299" s="15">
        <f>IF($B299="","",WEEKNUM($B299,2))</f>
        <v/>
      </c>
      <c r="D299" s="15">
        <f>IF($B299="","",TEXT($B299,"yyyy-mm"))</f>
        <v/>
      </c>
      <c r="E299" s="40" t="n"/>
      <c r="F299" s="40" t="n"/>
      <c r="G299" s="15">
        <f>IF(OR($E299="",$F299=""),"",IFERROR(IF($E299=INDEX(Cluster_Master!$A$4:$A$18,MATCH($F299,Cluster_Master!$B$4:$B$18,0)),"OK","CHECK"),"CHECK"))</f>
        <v/>
      </c>
      <c r="H299" s="18">
        <f>IFERROR(INDEX(Cluster_Master!$C$4:$C$18,MATCH($F299,Cluster_Master!$B$4:$B$18,0)),"")</f>
        <v/>
      </c>
      <c r="I299" s="15">
        <f>IFERROR(INDEX(Cluster_Master!$D$4:$D$18,MATCH($F299,Cluster_Master!$B$4:$B$18,0)),"")</f>
        <v/>
      </c>
      <c r="J299" s="15">
        <f>IFERROR(INDEX(Cluster_Master!$E$4:$E$18,MATCH($F299,Cluster_Master!$B$4:$B$18,0)),"")</f>
        <v/>
      </c>
      <c r="K299" s="15">
        <f>IFERROR(INDEX(Cluster_Master!$F$4:$F$18,MATCH($F299,Cluster_Master!$B$4:$B$18,0)),"")</f>
        <v/>
      </c>
      <c r="L299" s="15">
        <f>IFERROR(INDEX(Cluster_Master!$G$4:$G$18,MATCH($F299,Cluster_Master!$B$4:$B$18,0)),"")</f>
        <v/>
      </c>
      <c r="M299" s="15">
        <f>IFERROR(INDEX(Cluster_Master!$H$4:$H$18,MATCH($F299,Cluster_Master!$B$4:$B$18,0)),"")</f>
        <v/>
      </c>
      <c r="N299" s="41" t="n"/>
      <c r="O299" s="41" t="n"/>
      <c r="P299" s="41" t="n"/>
      <c r="Q299" s="41" t="n"/>
      <c r="R299" s="41" t="n"/>
      <c r="S299" s="41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  <c r="AE299" s="42" t="n"/>
      <c r="AF299" s="42" t="n"/>
      <c r="AG299" s="42" t="n"/>
      <c r="AH299" s="42" t="n"/>
      <c r="AI299" s="15">
        <f>IF(COUNTA(T299:AH299)=0,"",SUM(T299:AH299))</f>
        <v/>
      </c>
      <c r="AJ299" s="21">
        <f>IF(COUNTA(T299:AH299)=0,"",AI299/(COUNT(KPI_Weights!$A$4:$A$18)*5))</f>
        <v/>
      </c>
      <c r="AK299" s="21">
        <f>IF(COUNTA(T299:AH299)=0,"",SUMPRODUCT(T299:AH299,KPI_Weights!$B$4:$B$18)/5)</f>
        <v/>
      </c>
      <c r="AL299" s="15">
        <f>IF(COUNTA(T299:AH299)=0,"",IF(SUMPRODUCT(--(T299:AH299&lt;=1),--(KPI_Weights!$C$4:$C$18="YES"))&gt;0,"YES","NO"))</f>
        <v/>
      </c>
      <c r="AM299" s="15">
        <f>IF(AJ299="","",IF(AND(AL299="NO",AJ299&gt;=0.75),"YES","NO"))</f>
        <v/>
      </c>
      <c r="AN299" s="15">
        <f>IF(AJ299="","",IF(AJ299&lt;0.4,"Critical",IF(AJ299&lt;0.6,"Poor",IF(AJ299&lt;0.75,"Needs Improvement",IF(AJ299&lt;0.9,"Good","Excellent")))))</f>
        <v/>
      </c>
      <c r="AO299" s="41" t="n"/>
      <c r="AP299" s="41" t="n"/>
      <c r="AQ299" s="41" t="n"/>
      <c r="AR299" s="41" t="n"/>
      <c r="AS299" s="41" t="n"/>
      <c r="AT299" s="44" t="n"/>
      <c r="AU299" s="41" t="n"/>
      <c r="AV299" s="43" t="n"/>
      <c r="AW299" s="41" t="n"/>
      <c r="AX299" s="44" t="n"/>
      <c r="AY299" s="44" t="n"/>
      <c r="AZ299" s="44" t="n"/>
      <c r="BA299" s="44" t="n"/>
      <c r="BB299" s="44" t="n"/>
      <c r="BC299" s="44" t="n"/>
      <c r="BD299" s="44" t="n"/>
      <c r="BE299" s="44" t="n"/>
      <c r="BF299" s="44" t="n"/>
    </row>
    <row r="300" ht="19.5" customHeight="1" s="45">
      <c r="A300" s="15">
        <f>IF($B300="","",TEXT($B300,"yyyymmdd")&amp;"-"&amp;SUBSTITUTE($F300," ","")&amp;"-"&amp;TEXT(COUNTIF($F$4:F300,$F300),"00"))</f>
        <v/>
      </c>
      <c r="B300" s="39" t="n"/>
      <c r="C300" s="15">
        <f>IF($B300="","",WEEKNUM($B300,2))</f>
        <v/>
      </c>
      <c r="D300" s="15">
        <f>IF($B300="","",TEXT($B300,"yyyy-mm"))</f>
        <v/>
      </c>
      <c r="E300" s="40" t="n"/>
      <c r="F300" s="40" t="n"/>
      <c r="G300" s="15">
        <f>IF(OR($E300="",$F300=""),"",IFERROR(IF($E300=INDEX(Cluster_Master!$A$4:$A$18,MATCH($F300,Cluster_Master!$B$4:$B$18,0)),"OK","CHECK"),"CHECK"))</f>
        <v/>
      </c>
      <c r="H300" s="18">
        <f>IFERROR(INDEX(Cluster_Master!$C$4:$C$18,MATCH($F300,Cluster_Master!$B$4:$B$18,0)),"")</f>
        <v/>
      </c>
      <c r="I300" s="15">
        <f>IFERROR(INDEX(Cluster_Master!$D$4:$D$18,MATCH($F300,Cluster_Master!$B$4:$B$18,0)),"")</f>
        <v/>
      </c>
      <c r="J300" s="15">
        <f>IFERROR(INDEX(Cluster_Master!$E$4:$E$18,MATCH($F300,Cluster_Master!$B$4:$B$18,0)),"")</f>
        <v/>
      </c>
      <c r="K300" s="15">
        <f>IFERROR(INDEX(Cluster_Master!$F$4:$F$18,MATCH($F300,Cluster_Master!$B$4:$B$18,0)),"")</f>
        <v/>
      </c>
      <c r="L300" s="15">
        <f>IFERROR(INDEX(Cluster_Master!$G$4:$G$18,MATCH($F300,Cluster_Master!$B$4:$B$18,0)),"")</f>
        <v/>
      </c>
      <c r="M300" s="15">
        <f>IFERROR(INDEX(Cluster_Master!$H$4:$H$18,MATCH($F300,Cluster_Master!$B$4:$B$18,0)),"")</f>
        <v/>
      </c>
      <c r="N300" s="41" t="n"/>
      <c r="O300" s="41" t="n"/>
      <c r="P300" s="41" t="n"/>
      <c r="Q300" s="41" t="n"/>
      <c r="R300" s="41" t="n"/>
      <c r="S300" s="41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2" t="n"/>
      <c r="AG300" s="42" t="n"/>
      <c r="AH300" s="42" t="n"/>
      <c r="AI300" s="15">
        <f>IF(COUNTA(T300:AH300)=0,"",SUM(T300:AH300))</f>
        <v/>
      </c>
      <c r="AJ300" s="21">
        <f>IF(COUNTA(T300:AH300)=0,"",AI300/(COUNT(KPI_Weights!$A$4:$A$18)*5))</f>
        <v/>
      </c>
      <c r="AK300" s="21">
        <f>IF(COUNTA(T300:AH300)=0,"",SUMPRODUCT(T300:AH300,KPI_Weights!$B$4:$B$18)/5)</f>
        <v/>
      </c>
      <c r="AL300" s="15">
        <f>IF(COUNTA(T300:AH300)=0,"",IF(SUMPRODUCT(--(T300:AH300&lt;=1),--(KPI_Weights!$C$4:$C$18="YES"))&gt;0,"YES","NO"))</f>
        <v/>
      </c>
      <c r="AM300" s="15">
        <f>IF(AJ300="","",IF(AND(AL300="NO",AJ300&gt;=0.75),"YES","NO"))</f>
        <v/>
      </c>
      <c r="AN300" s="15">
        <f>IF(AJ300="","",IF(AJ300&lt;0.4,"Critical",IF(AJ300&lt;0.6,"Poor",IF(AJ300&lt;0.75,"Needs Improvement",IF(AJ300&lt;0.9,"Good","Excellent")))))</f>
        <v/>
      </c>
      <c r="AO300" s="41" t="n"/>
      <c r="AP300" s="41" t="n"/>
      <c r="AQ300" s="41" t="n"/>
      <c r="AR300" s="41" t="n"/>
      <c r="AS300" s="41" t="n"/>
      <c r="AT300" s="44" t="n"/>
      <c r="AU300" s="41" t="n"/>
      <c r="AV300" s="43" t="n"/>
      <c r="AW300" s="41" t="n"/>
      <c r="AX300" s="44" t="n"/>
      <c r="AY300" s="44" t="n"/>
      <c r="AZ300" s="44" t="n"/>
      <c r="BA300" s="44" t="n"/>
      <c r="BB300" s="44" t="n"/>
      <c r="BC300" s="44" t="n"/>
      <c r="BD300" s="44" t="n"/>
      <c r="BE300" s="44" t="n"/>
      <c r="BF300" s="44" t="n"/>
    </row>
    <row r="301" ht="19.5" customHeight="1" s="45">
      <c r="A301" s="15">
        <f>IF($B301="","",TEXT($B301,"yyyymmdd")&amp;"-"&amp;SUBSTITUTE($F301," ","")&amp;"-"&amp;TEXT(COUNTIF($F$4:F301,$F301),"00"))</f>
        <v/>
      </c>
      <c r="B301" s="39" t="n"/>
      <c r="C301" s="15">
        <f>IF($B301="","",WEEKNUM($B301,2))</f>
        <v/>
      </c>
      <c r="D301" s="15">
        <f>IF($B301="","",TEXT($B301,"yyyy-mm"))</f>
        <v/>
      </c>
      <c r="E301" s="40" t="n"/>
      <c r="F301" s="40" t="n"/>
      <c r="G301" s="15">
        <f>IF(OR($E301="",$F301=""),"",IFERROR(IF($E301=INDEX(Cluster_Master!$A$4:$A$18,MATCH($F301,Cluster_Master!$B$4:$B$18,0)),"OK","CHECK"),"CHECK"))</f>
        <v/>
      </c>
      <c r="H301" s="18">
        <f>IFERROR(INDEX(Cluster_Master!$C$4:$C$18,MATCH($F301,Cluster_Master!$B$4:$B$18,0)),"")</f>
        <v/>
      </c>
      <c r="I301" s="15">
        <f>IFERROR(INDEX(Cluster_Master!$D$4:$D$18,MATCH($F301,Cluster_Master!$B$4:$B$18,0)),"")</f>
        <v/>
      </c>
      <c r="J301" s="15">
        <f>IFERROR(INDEX(Cluster_Master!$E$4:$E$18,MATCH($F301,Cluster_Master!$B$4:$B$18,0)),"")</f>
        <v/>
      </c>
      <c r="K301" s="15">
        <f>IFERROR(INDEX(Cluster_Master!$F$4:$F$18,MATCH($F301,Cluster_Master!$B$4:$B$18,0)),"")</f>
        <v/>
      </c>
      <c r="L301" s="15">
        <f>IFERROR(INDEX(Cluster_Master!$G$4:$G$18,MATCH($F301,Cluster_Master!$B$4:$B$18,0)),"")</f>
        <v/>
      </c>
      <c r="M301" s="15">
        <f>IFERROR(INDEX(Cluster_Master!$H$4:$H$18,MATCH($F301,Cluster_Master!$B$4:$B$18,0)),"")</f>
        <v/>
      </c>
      <c r="N301" s="41" t="n"/>
      <c r="O301" s="41" t="n"/>
      <c r="P301" s="41" t="n"/>
      <c r="Q301" s="41" t="n"/>
      <c r="R301" s="41" t="n"/>
      <c r="S301" s="41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  <c r="AE301" s="42" t="n"/>
      <c r="AF301" s="42" t="n"/>
      <c r="AG301" s="42" t="n"/>
      <c r="AH301" s="42" t="n"/>
      <c r="AI301" s="15">
        <f>IF(COUNTA(T301:AH301)=0,"",SUM(T301:AH301))</f>
        <v/>
      </c>
      <c r="AJ301" s="21">
        <f>IF(COUNTA(T301:AH301)=0,"",AI301/(COUNT(KPI_Weights!$A$4:$A$18)*5))</f>
        <v/>
      </c>
      <c r="AK301" s="21">
        <f>IF(COUNTA(T301:AH301)=0,"",SUMPRODUCT(T301:AH301,KPI_Weights!$B$4:$B$18)/5)</f>
        <v/>
      </c>
      <c r="AL301" s="15">
        <f>IF(COUNTA(T301:AH301)=0,"",IF(SUMPRODUCT(--(T301:AH301&lt;=1),--(KPI_Weights!$C$4:$C$18="YES"))&gt;0,"YES","NO"))</f>
        <v/>
      </c>
      <c r="AM301" s="15">
        <f>IF(AJ301="","",IF(AND(AL301="NO",AJ301&gt;=0.75),"YES","NO"))</f>
        <v/>
      </c>
      <c r="AN301" s="15">
        <f>IF(AJ301="","",IF(AJ301&lt;0.4,"Critical",IF(AJ301&lt;0.6,"Poor",IF(AJ301&lt;0.75,"Needs Improvement",IF(AJ301&lt;0.9,"Good","Excellent")))))</f>
        <v/>
      </c>
      <c r="AO301" s="41" t="n"/>
      <c r="AP301" s="41" t="n"/>
      <c r="AQ301" s="41" t="n"/>
      <c r="AR301" s="41" t="n"/>
      <c r="AS301" s="41" t="n"/>
      <c r="AT301" s="44" t="n"/>
      <c r="AU301" s="41" t="n"/>
      <c r="AV301" s="43" t="n"/>
      <c r="AW301" s="41" t="n"/>
      <c r="AX301" s="44" t="n"/>
      <c r="AY301" s="44" t="n"/>
      <c r="AZ301" s="44" t="n"/>
      <c r="BA301" s="44" t="n"/>
      <c r="BB301" s="44" t="n"/>
      <c r="BC301" s="44" t="n"/>
      <c r="BD301" s="44" t="n"/>
      <c r="BE301" s="44" t="n"/>
      <c r="BF301" s="44" t="n"/>
    </row>
    <row r="302" ht="19.5" customHeight="1" s="45">
      <c r="A302" s="15">
        <f>IF($B302="","",TEXT($B302,"yyyymmdd")&amp;"-"&amp;SUBSTITUTE($F302," ","")&amp;"-"&amp;TEXT(COUNTIF($F$4:F302,$F302),"00"))</f>
        <v/>
      </c>
      <c r="B302" s="39" t="n"/>
      <c r="C302" s="15">
        <f>IF($B302="","",WEEKNUM($B302,2))</f>
        <v/>
      </c>
      <c r="D302" s="15">
        <f>IF($B302="","",TEXT($B302,"yyyy-mm"))</f>
        <v/>
      </c>
      <c r="E302" s="40" t="n"/>
      <c r="F302" s="40" t="n"/>
      <c r="G302" s="15">
        <f>IF(OR($E302="",$F302=""),"",IFERROR(IF($E302=INDEX(Cluster_Master!$A$4:$A$18,MATCH($F302,Cluster_Master!$B$4:$B$18,0)),"OK","CHECK"),"CHECK"))</f>
        <v/>
      </c>
      <c r="H302" s="18">
        <f>IFERROR(INDEX(Cluster_Master!$C$4:$C$18,MATCH($F302,Cluster_Master!$B$4:$B$18,0)),"")</f>
        <v/>
      </c>
      <c r="I302" s="15">
        <f>IFERROR(INDEX(Cluster_Master!$D$4:$D$18,MATCH($F302,Cluster_Master!$B$4:$B$18,0)),"")</f>
        <v/>
      </c>
      <c r="J302" s="15">
        <f>IFERROR(INDEX(Cluster_Master!$E$4:$E$18,MATCH($F302,Cluster_Master!$B$4:$B$18,0)),"")</f>
        <v/>
      </c>
      <c r="K302" s="15">
        <f>IFERROR(INDEX(Cluster_Master!$F$4:$F$18,MATCH($F302,Cluster_Master!$B$4:$B$18,0)),"")</f>
        <v/>
      </c>
      <c r="L302" s="15">
        <f>IFERROR(INDEX(Cluster_Master!$G$4:$G$18,MATCH($F302,Cluster_Master!$B$4:$B$18,0)),"")</f>
        <v/>
      </c>
      <c r="M302" s="15">
        <f>IFERROR(INDEX(Cluster_Master!$H$4:$H$18,MATCH($F302,Cluster_Master!$B$4:$B$18,0)),"")</f>
        <v/>
      </c>
      <c r="N302" s="41" t="n"/>
      <c r="O302" s="41" t="n"/>
      <c r="P302" s="41" t="n"/>
      <c r="Q302" s="41" t="n"/>
      <c r="R302" s="41" t="n"/>
      <c r="S302" s="41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2" t="n"/>
      <c r="AG302" s="42" t="n"/>
      <c r="AH302" s="42" t="n"/>
      <c r="AI302" s="15">
        <f>IF(COUNTA(T302:AH302)=0,"",SUM(T302:AH302))</f>
        <v/>
      </c>
      <c r="AJ302" s="21">
        <f>IF(COUNTA(T302:AH302)=0,"",AI302/(COUNT(KPI_Weights!$A$4:$A$18)*5))</f>
        <v/>
      </c>
      <c r="AK302" s="21">
        <f>IF(COUNTA(T302:AH302)=0,"",SUMPRODUCT(T302:AH302,KPI_Weights!$B$4:$B$18)/5)</f>
        <v/>
      </c>
      <c r="AL302" s="15">
        <f>IF(COUNTA(T302:AH302)=0,"",IF(SUMPRODUCT(--(T302:AH302&lt;=1),--(KPI_Weights!$C$4:$C$18="YES"))&gt;0,"YES","NO"))</f>
        <v/>
      </c>
      <c r="AM302" s="15">
        <f>IF(AJ302="","",IF(AND(AL302="NO",AJ302&gt;=0.75),"YES","NO"))</f>
        <v/>
      </c>
      <c r="AN302" s="15">
        <f>IF(AJ302="","",IF(AJ302&lt;0.4,"Critical",IF(AJ302&lt;0.6,"Poor",IF(AJ302&lt;0.75,"Needs Improvement",IF(AJ302&lt;0.9,"Good","Excellent")))))</f>
        <v/>
      </c>
      <c r="AO302" s="41" t="n"/>
      <c r="AP302" s="41" t="n"/>
      <c r="AQ302" s="41" t="n"/>
      <c r="AR302" s="41" t="n"/>
      <c r="AS302" s="41" t="n"/>
      <c r="AT302" s="44" t="n"/>
      <c r="AU302" s="41" t="n"/>
      <c r="AV302" s="43" t="n"/>
      <c r="AW302" s="41" t="n"/>
      <c r="AX302" s="44" t="n"/>
      <c r="AY302" s="44" t="n"/>
      <c r="AZ302" s="44" t="n"/>
      <c r="BA302" s="44" t="n"/>
      <c r="BB302" s="44" t="n"/>
      <c r="BC302" s="44" t="n"/>
      <c r="BD302" s="44" t="n"/>
      <c r="BE302" s="44" t="n"/>
      <c r="BF302" s="44" t="n"/>
    </row>
    <row r="303" ht="19.5" customHeight="1" s="45">
      <c r="A303" s="15">
        <f>IF($B303="","",TEXT($B303,"yyyymmdd")&amp;"-"&amp;SUBSTITUTE($F303," ","")&amp;"-"&amp;TEXT(COUNTIF($F$4:F303,$F303),"00"))</f>
        <v/>
      </c>
      <c r="B303" s="39" t="n"/>
      <c r="C303" s="15">
        <f>IF($B303="","",WEEKNUM($B303,2))</f>
        <v/>
      </c>
      <c r="D303" s="15">
        <f>IF($B303="","",TEXT($B303,"yyyy-mm"))</f>
        <v/>
      </c>
      <c r="E303" s="40" t="n"/>
      <c r="F303" s="40" t="n"/>
      <c r="G303" s="15">
        <f>IF(OR($E303="",$F303=""),"",IFERROR(IF($E303=INDEX(Cluster_Master!$A$4:$A$18,MATCH($F303,Cluster_Master!$B$4:$B$18,0)),"OK","CHECK"),"CHECK"))</f>
        <v/>
      </c>
      <c r="H303" s="18">
        <f>IFERROR(INDEX(Cluster_Master!$C$4:$C$18,MATCH($F303,Cluster_Master!$B$4:$B$18,0)),"")</f>
        <v/>
      </c>
      <c r="I303" s="15">
        <f>IFERROR(INDEX(Cluster_Master!$D$4:$D$18,MATCH($F303,Cluster_Master!$B$4:$B$18,0)),"")</f>
        <v/>
      </c>
      <c r="J303" s="15">
        <f>IFERROR(INDEX(Cluster_Master!$E$4:$E$18,MATCH($F303,Cluster_Master!$B$4:$B$18,0)),"")</f>
        <v/>
      </c>
      <c r="K303" s="15">
        <f>IFERROR(INDEX(Cluster_Master!$F$4:$F$18,MATCH($F303,Cluster_Master!$B$4:$B$18,0)),"")</f>
        <v/>
      </c>
      <c r="L303" s="15">
        <f>IFERROR(INDEX(Cluster_Master!$G$4:$G$18,MATCH($F303,Cluster_Master!$B$4:$B$18,0)),"")</f>
        <v/>
      </c>
      <c r="M303" s="15">
        <f>IFERROR(INDEX(Cluster_Master!$H$4:$H$18,MATCH($F303,Cluster_Master!$B$4:$B$18,0)),"")</f>
        <v/>
      </c>
      <c r="N303" s="41" t="n"/>
      <c r="O303" s="41" t="n"/>
      <c r="P303" s="41" t="n"/>
      <c r="Q303" s="41" t="n"/>
      <c r="R303" s="41" t="n"/>
      <c r="S303" s="41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  <c r="AE303" s="42" t="n"/>
      <c r="AF303" s="42" t="n"/>
      <c r="AG303" s="42" t="n"/>
      <c r="AH303" s="42" t="n"/>
      <c r="AI303" s="15">
        <f>IF(COUNTA(T303:AH303)=0,"",SUM(T303:AH303))</f>
        <v/>
      </c>
      <c r="AJ303" s="21">
        <f>IF(COUNTA(T303:AH303)=0,"",AI303/(COUNT(KPI_Weights!$A$4:$A$18)*5))</f>
        <v/>
      </c>
      <c r="AK303" s="21">
        <f>IF(COUNTA(T303:AH303)=0,"",SUMPRODUCT(T303:AH303,KPI_Weights!$B$4:$B$18)/5)</f>
        <v/>
      </c>
      <c r="AL303" s="15">
        <f>IF(COUNTA(T303:AH303)=0,"",IF(SUMPRODUCT(--(T303:AH303&lt;=1),--(KPI_Weights!$C$4:$C$18="YES"))&gt;0,"YES","NO"))</f>
        <v/>
      </c>
      <c r="AM303" s="15">
        <f>IF(AJ303="","",IF(AND(AL303="NO",AJ303&gt;=0.75),"YES","NO"))</f>
        <v/>
      </c>
      <c r="AN303" s="15">
        <f>IF(AJ303="","",IF(AJ303&lt;0.4,"Critical",IF(AJ303&lt;0.6,"Poor",IF(AJ303&lt;0.75,"Needs Improvement",IF(AJ303&lt;0.9,"Good","Excellent")))))</f>
        <v/>
      </c>
      <c r="AO303" s="41" t="n"/>
      <c r="AP303" s="41" t="n"/>
      <c r="AQ303" s="41" t="n"/>
      <c r="AR303" s="41" t="n"/>
      <c r="AS303" s="41" t="n"/>
      <c r="AT303" s="44" t="n"/>
      <c r="AU303" s="41" t="n"/>
      <c r="AV303" s="43" t="n"/>
      <c r="AW303" s="41" t="n"/>
      <c r="AX303" s="44" t="n"/>
      <c r="AY303" s="44" t="n"/>
      <c r="AZ303" s="44" t="n"/>
      <c r="BA303" s="44" t="n"/>
      <c r="BB303" s="44" t="n"/>
      <c r="BC303" s="44" t="n"/>
      <c r="BD303" s="44" t="n"/>
      <c r="BE303" s="44" t="n"/>
      <c r="BF303" s="44" t="n"/>
    </row>
    <row r="304" ht="19.5" customHeight="1" s="45">
      <c r="A304" s="15">
        <f>IF($B304="","",TEXT($B304,"yyyymmdd")&amp;"-"&amp;SUBSTITUTE($F304," ","")&amp;"-"&amp;TEXT(COUNTIF($F$4:F304,$F304),"00"))</f>
        <v/>
      </c>
      <c r="B304" s="39" t="n"/>
      <c r="C304" s="15">
        <f>IF($B304="","",WEEKNUM($B304,2))</f>
        <v/>
      </c>
      <c r="D304" s="15">
        <f>IF($B304="","",TEXT($B304,"yyyy-mm"))</f>
        <v/>
      </c>
      <c r="E304" s="40" t="n"/>
      <c r="F304" s="40" t="n"/>
      <c r="G304" s="15">
        <f>IF(OR($E304="",$F304=""),"",IFERROR(IF($E304=INDEX(Cluster_Master!$A$4:$A$18,MATCH($F304,Cluster_Master!$B$4:$B$18,0)),"OK","CHECK"),"CHECK"))</f>
        <v/>
      </c>
      <c r="H304" s="18">
        <f>IFERROR(INDEX(Cluster_Master!$C$4:$C$18,MATCH($F304,Cluster_Master!$B$4:$B$18,0)),"")</f>
        <v/>
      </c>
      <c r="I304" s="15">
        <f>IFERROR(INDEX(Cluster_Master!$D$4:$D$18,MATCH($F304,Cluster_Master!$B$4:$B$18,0)),"")</f>
        <v/>
      </c>
      <c r="J304" s="15">
        <f>IFERROR(INDEX(Cluster_Master!$E$4:$E$18,MATCH($F304,Cluster_Master!$B$4:$B$18,0)),"")</f>
        <v/>
      </c>
      <c r="K304" s="15">
        <f>IFERROR(INDEX(Cluster_Master!$F$4:$F$18,MATCH($F304,Cluster_Master!$B$4:$B$18,0)),"")</f>
        <v/>
      </c>
      <c r="L304" s="15">
        <f>IFERROR(INDEX(Cluster_Master!$G$4:$G$18,MATCH($F304,Cluster_Master!$B$4:$B$18,0)),"")</f>
        <v/>
      </c>
      <c r="M304" s="15">
        <f>IFERROR(INDEX(Cluster_Master!$H$4:$H$18,MATCH($F304,Cluster_Master!$B$4:$B$18,0)),"")</f>
        <v/>
      </c>
      <c r="N304" s="41" t="n"/>
      <c r="O304" s="41" t="n"/>
      <c r="P304" s="41" t="n"/>
      <c r="Q304" s="41" t="n"/>
      <c r="R304" s="41" t="n"/>
      <c r="S304" s="41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2" t="n"/>
      <c r="AG304" s="42" t="n"/>
      <c r="AH304" s="42" t="n"/>
      <c r="AI304" s="15">
        <f>IF(COUNTA(T304:AH304)=0,"",SUM(T304:AH304))</f>
        <v/>
      </c>
      <c r="AJ304" s="21">
        <f>IF(COUNTA(T304:AH304)=0,"",AI304/(COUNT(KPI_Weights!$A$4:$A$18)*5))</f>
        <v/>
      </c>
      <c r="AK304" s="21">
        <f>IF(COUNTA(T304:AH304)=0,"",SUMPRODUCT(T304:AH304,KPI_Weights!$B$4:$B$18)/5)</f>
        <v/>
      </c>
      <c r="AL304" s="15">
        <f>IF(COUNTA(T304:AH304)=0,"",IF(SUMPRODUCT(--(T304:AH304&lt;=1),--(KPI_Weights!$C$4:$C$18="YES"))&gt;0,"YES","NO"))</f>
        <v/>
      </c>
      <c r="AM304" s="15">
        <f>IF(AJ304="","",IF(AND(AL304="NO",AJ304&gt;=0.75),"YES","NO"))</f>
        <v/>
      </c>
      <c r="AN304" s="15">
        <f>IF(AJ304="","",IF(AJ304&lt;0.4,"Critical",IF(AJ304&lt;0.6,"Poor",IF(AJ304&lt;0.75,"Needs Improvement",IF(AJ304&lt;0.9,"Good","Excellent")))))</f>
        <v/>
      </c>
      <c r="AO304" s="41" t="n"/>
      <c r="AP304" s="41" t="n"/>
      <c r="AQ304" s="41" t="n"/>
      <c r="AR304" s="41" t="n"/>
      <c r="AS304" s="41" t="n"/>
      <c r="AT304" s="44" t="n"/>
      <c r="AU304" s="41" t="n"/>
      <c r="AV304" s="43" t="n"/>
      <c r="AW304" s="41" t="n"/>
      <c r="AX304" s="44" t="n"/>
      <c r="AY304" s="44" t="n"/>
      <c r="AZ304" s="44" t="n"/>
      <c r="BA304" s="44" t="n"/>
      <c r="BB304" s="44" t="n"/>
      <c r="BC304" s="44" t="n"/>
      <c r="BD304" s="44" t="n"/>
      <c r="BE304" s="44" t="n"/>
      <c r="BF304" s="44" t="n"/>
    </row>
    <row r="305" ht="19.5" customHeight="1" s="45">
      <c r="A305" s="15">
        <f>IF($B305="","",TEXT($B305,"yyyymmdd")&amp;"-"&amp;SUBSTITUTE($F305," ","")&amp;"-"&amp;TEXT(COUNTIF($F$4:F305,$F305),"00"))</f>
        <v/>
      </c>
      <c r="B305" s="39" t="n"/>
      <c r="C305" s="15">
        <f>IF($B305="","",WEEKNUM($B305,2))</f>
        <v/>
      </c>
      <c r="D305" s="15">
        <f>IF($B305="","",TEXT($B305,"yyyy-mm"))</f>
        <v/>
      </c>
      <c r="E305" s="40" t="n"/>
      <c r="F305" s="40" t="n"/>
      <c r="G305" s="15">
        <f>IF(OR($E305="",$F305=""),"",IFERROR(IF($E305=INDEX(Cluster_Master!$A$4:$A$18,MATCH($F305,Cluster_Master!$B$4:$B$18,0)),"OK","CHECK"),"CHECK"))</f>
        <v/>
      </c>
      <c r="H305" s="18">
        <f>IFERROR(INDEX(Cluster_Master!$C$4:$C$18,MATCH($F305,Cluster_Master!$B$4:$B$18,0)),"")</f>
        <v/>
      </c>
      <c r="I305" s="15">
        <f>IFERROR(INDEX(Cluster_Master!$D$4:$D$18,MATCH($F305,Cluster_Master!$B$4:$B$18,0)),"")</f>
        <v/>
      </c>
      <c r="J305" s="15">
        <f>IFERROR(INDEX(Cluster_Master!$E$4:$E$18,MATCH($F305,Cluster_Master!$B$4:$B$18,0)),"")</f>
        <v/>
      </c>
      <c r="K305" s="15">
        <f>IFERROR(INDEX(Cluster_Master!$F$4:$F$18,MATCH($F305,Cluster_Master!$B$4:$B$18,0)),"")</f>
        <v/>
      </c>
      <c r="L305" s="15">
        <f>IFERROR(INDEX(Cluster_Master!$G$4:$G$18,MATCH($F305,Cluster_Master!$B$4:$B$18,0)),"")</f>
        <v/>
      </c>
      <c r="M305" s="15">
        <f>IFERROR(INDEX(Cluster_Master!$H$4:$H$18,MATCH($F305,Cluster_Master!$B$4:$B$18,0)),"")</f>
        <v/>
      </c>
      <c r="N305" s="41" t="n"/>
      <c r="O305" s="41" t="n"/>
      <c r="P305" s="41" t="n"/>
      <c r="Q305" s="41" t="n"/>
      <c r="R305" s="41" t="n"/>
      <c r="S305" s="41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  <c r="AE305" s="42" t="n"/>
      <c r="AF305" s="42" t="n"/>
      <c r="AG305" s="42" t="n"/>
      <c r="AH305" s="42" t="n"/>
      <c r="AI305" s="15">
        <f>IF(COUNTA(T305:AH305)=0,"",SUM(T305:AH305))</f>
        <v/>
      </c>
      <c r="AJ305" s="21">
        <f>IF(COUNTA(T305:AH305)=0,"",AI305/(COUNT(KPI_Weights!$A$4:$A$18)*5))</f>
        <v/>
      </c>
      <c r="AK305" s="21">
        <f>IF(COUNTA(T305:AH305)=0,"",SUMPRODUCT(T305:AH305,KPI_Weights!$B$4:$B$18)/5)</f>
        <v/>
      </c>
      <c r="AL305" s="15">
        <f>IF(COUNTA(T305:AH305)=0,"",IF(SUMPRODUCT(--(T305:AH305&lt;=1),--(KPI_Weights!$C$4:$C$18="YES"))&gt;0,"YES","NO"))</f>
        <v/>
      </c>
      <c r="AM305" s="15">
        <f>IF(AJ305="","",IF(AND(AL305="NO",AJ305&gt;=0.75),"YES","NO"))</f>
        <v/>
      </c>
      <c r="AN305" s="15">
        <f>IF(AJ305="","",IF(AJ305&lt;0.4,"Critical",IF(AJ305&lt;0.6,"Poor",IF(AJ305&lt;0.75,"Needs Improvement",IF(AJ305&lt;0.9,"Good","Excellent")))))</f>
        <v/>
      </c>
      <c r="AO305" s="41" t="n"/>
      <c r="AP305" s="41" t="n"/>
      <c r="AQ305" s="41" t="n"/>
      <c r="AR305" s="41" t="n"/>
      <c r="AS305" s="41" t="n"/>
      <c r="AT305" s="44" t="n"/>
      <c r="AU305" s="41" t="n"/>
      <c r="AV305" s="43" t="n"/>
      <c r="AW305" s="41" t="n"/>
      <c r="AX305" s="44" t="n"/>
      <c r="AY305" s="44" t="n"/>
      <c r="AZ305" s="44" t="n"/>
      <c r="BA305" s="44" t="n"/>
      <c r="BB305" s="44" t="n"/>
      <c r="BC305" s="44" t="n"/>
      <c r="BD305" s="44" t="n"/>
      <c r="BE305" s="44" t="n"/>
      <c r="BF305" s="44" t="n"/>
    </row>
    <row r="306" ht="19.5" customHeight="1" s="45">
      <c r="A306" s="15">
        <f>IF($B306="","",TEXT($B306,"yyyymmdd")&amp;"-"&amp;SUBSTITUTE($F306," ","")&amp;"-"&amp;TEXT(COUNTIF($F$4:F306,$F306),"00"))</f>
        <v/>
      </c>
      <c r="B306" s="39" t="n"/>
      <c r="C306" s="15">
        <f>IF($B306="","",WEEKNUM($B306,2))</f>
        <v/>
      </c>
      <c r="D306" s="15">
        <f>IF($B306="","",TEXT($B306,"yyyy-mm"))</f>
        <v/>
      </c>
      <c r="E306" s="40" t="n"/>
      <c r="F306" s="40" t="n"/>
      <c r="G306" s="15">
        <f>IF(OR($E306="",$F306=""),"",IFERROR(IF($E306=INDEX(Cluster_Master!$A$4:$A$18,MATCH($F306,Cluster_Master!$B$4:$B$18,0)),"OK","CHECK"),"CHECK"))</f>
        <v/>
      </c>
      <c r="H306" s="18">
        <f>IFERROR(INDEX(Cluster_Master!$C$4:$C$18,MATCH($F306,Cluster_Master!$B$4:$B$18,0)),"")</f>
        <v/>
      </c>
      <c r="I306" s="15">
        <f>IFERROR(INDEX(Cluster_Master!$D$4:$D$18,MATCH($F306,Cluster_Master!$B$4:$B$18,0)),"")</f>
        <v/>
      </c>
      <c r="J306" s="15">
        <f>IFERROR(INDEX(Cluster_Master!$E$4:$E$18,MATCH($F306,Cluster_Master!$B$4:$B$18,0)),"")</f>
        <v/>
      </c>
      <c r="K306" s="15">
        <f>IFERROR(INDEX(Cluster_Master!$F$4:$F$18,MATCH($F306,Cluster_Master!$B$4:$B$18,0)),"")</f>
        <v/>
      </c>
      <c r="L306" s="15">
        <f>IFERROR(INDEX(Cluster_Master!$G$4:$G$18,MATCH($F306,Cluster_Master!$B$4:$B$18,0)),"")</f>
        <v/>
      </c>
      <c r="M306" s="15">
        <f>IFERROR(INDEX(Cluster_Master!$H$4:$H$18,MATCH($F306,Cluster_Master!$B$4:$B$18,0)),"")</f>
        <v/>
      </c>
      <c r="N306" s="41" t="n"/>
      <c r="O306" s="41" t="n"/>
      <c r="P306" s="41" t="n"/>
      <c r="Q306" s="41" t="n"/>
      <c r="R306" s="41" t="n"/>
      <c r="S306" s="41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2" t="n"/>
      <c r="AG306" s="42" t="n"/>
      <c r="AH306" s="42" t="n"/>
      <c r="AI306" s="15">
        <f>IF(COUNTA(T306:AH306)=0,"",SUM(T306:AH306))</f>
        <v/>
      </c>
      <c r="AJ306" s="21">
        <f>IF(COUNTA(T306:AH306)=0,"",AI306/(COUNT(KPI_Weights!$A$4:$A$18)*5))</f>
        <v/>
      </c>
      <c r="AK306" s="21">
        <f>IF(COUNTA(T306:AH306)=0,"",SUMPRODUCT(T306:AH306,KPI_Weights!$B$4:$B$18)/5)</f>
        <v/>
      </c>
      <c r="AL306" s="15">
        <f>IF(COUNTA(T306:AH306)=0,"",IF(SUMPRODUCT(--(T306:AH306&lt;=1),--(KPI_Weights!$C$4:$C$18="YES"))&gt;0,"YES","NO"))</f>
        <v/>
      </c>
      <c r="AM306" s="15">
        <f>IF(AJ306="","",IF(AND(AL306="NO",AJ306&gt;=0.75),"YES","NO"))</f>
        <v/>
      </c>
      <c r="AN306" s="15">
        <f>IF(AJ306="","",IF(AJ306&lt;0.4,"Critical",IF(AJ306&lt;0.6,"Poor",IF(AJ306&lt;0.75,"Needs Improvement",IF(AJ306&lt;0.9,"Good","Excellent")))))</f>
        <v/>
      </c>
      <c r="AO306" s="41" t="n"/>
      <c r="AP306" s="41" t="n"/>
      <c r="AQ306" s="41" t="n"/>
      <c r="AR306" s="41" t="n"/>
      <c r="AS306" s="41" t="n"/>
      <c r="AT306" s="44" t="n"/>
      <c r="AU306" s="41" t="n"/>
      <c r="AV306" s="43" t="n"/>
      <c r="AW306" s="41" t="n"/>
      <c r="AX306" s="44" t="n"/>
      <c r="AY306" s="44" t="n"/>
      <c r="AZ306" s="44" t="n"/>
      <c r="BA306" s="44" t="n"/>
      <c r="BB306" s="44" t="n"/>
      <c r="BC306" s="44" t="n"/>
      <c r="BD306" s="44" t="n"/>
      <c r="BE306" s="44" t="n"/>
      <c r="BF306" s="44" t="n"/>
    </row>
    <row r="307" ht="19.5" customHeight="1" s="45">
      <c r="A307" s="15">
        <f>IF($B307="","",TEXT($B307,"yyyymmdd")&amp;"-"&amp;SUBSTITUTE($F307," ","")&amp;"-"&amp;TEXT(COUNTIF($F$4:F307,$F307),"00"))</f>
        <v/>
      </c>
      <c r="B307" s="39" t="n"/>
      <c r="C307" s="15">
        <f>IF($B307="","",WEEKNUM($B307,2))</f>
        <v/>
      </c>
      <c r="D307" s="15">
        <f>IF($B307="","",TEXT($B307,"yyyy-mm"))</f>
        <v/>
      </c>
      <c r="E307" s="40" t="n"/>
      <c r="F307" s="40" t="n"/>
      <c r="G307" s="15">
        <f>IF(OR($E307="",$F307=""),"",IFERROR(IF($E307=INDEX(Cluster_Master!$A$4:$A$18,MATCH($F307,Cluster_Master!$B$4:$B$18,0)),"OK","CHECK"),"CHECK"))</f>
        <v/>
      </c>
      <c r="H307" s="18">
        <f>IFERROR(INDEX(Cluster_Master!$C$4:$C$18,MATCH($F307,Cluster_Master!$B$4:$B$18,0)),"")</f>
        <v/>
      </c>
      <c r="I307" s="15">
        <f>IFERROR(INDEX(Cluster_Master!$D$4:$D$18,MATCH($F307,Cluster_Master!$B$4:$B$18,0)),"")</f>
        <v/>
      </c>
      <c r="J307" s="15">
        <f>IFERROR(INDEX(Cluster_Master!$E$4:$E$18,MATCH($F307,Cluster_Master!$B$4:$B$18,0)),"")</f>
        <v/>
      </c>
      <c r="K307" s="15">
        <f>IFERROR(INDEX(Cluster_Master!$F$4:$F$18,MATCH($F307,Cluster_Master!$B$4:$B$18,0)),"")</f>
        <v/>
      </c>
      <c r="L307" s="15">
        <f>IFERROR(INDEX(Cluster_Master!$G$4:$G$18,MATCH($F307,Cluster_Master!$B$4:$B$18,0)),"")</f>
        <v/>
      </c>
      <c r="M307" s="15">
        <f>IFERROR(INDEX(Cluster_Master!$H$4:$H$18,MATCH($F307,Cluster_Master!$B$4:$B$18,0)),"")</f>
        <v/>
      </c>
      <c r="N307" s="41" t="n"/>
      <c r="O307" s="41" t="n"/>
      <c r="P307" s="41" t="n"/>
      <c r="Q307" s="41" t="n"/>
      <c r="R307" s="41" t="n"/>
      <c r="S307" s="41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  <c r="AE307" s="42" t="n"/>
      <c r="AF307" s="42" t="n"/>
      <c r="AG307" s="42" t="n"/>
      <c r="AH307" s="42" t="n"/>
      <c r="AI307" s="15">
        <f>IF(COUNTA(T307:AH307)=0,"",SUM(T307:AH307))</f>
        <v/>
      </c>
      <c r="AJ307" s="21">
        <f>IF(COUNTA(T307:AH307)=0,"",AI307/(COUNT(KPI_Weights!$A$4:$A$18)*5))</f>
        <v/>
      </c>
      <c r="AK307" s="21">
        <f>IF(COUNTA(T307:AH307)=0,"",SUMPRODUCT(T307:AH307,KPI_Weights!$B$4:$B$18)/5)</f>
        <v/>
      </c>
      <c r="AL307" s="15">
        <f>IF(COUNTA(T307:AH307)=0,"",IF(SUMPRODUCT(--(T307:AH307&lt;=1),--(KPI_Weights!$C$4:$C$18="YES"))&gt;0,"YES","NO"))</f>
        <v/>
      </c>
      <c r="AM307" s="15">
        <f>IF(AJ307="","",IF(AND(AL307="NO",AJ307&gt;=0.75),"YES","NO"))</f>
        <v/>
      </c>
      <c r="AN307" s="15">
        <f>IF(AJ307="","",IF(AJ307&lt;0.4,"Critical",IF(AJ307&lt;0.6,"Poor",IF(AJ307&lt;0.75,"Needs Improvement",IF(AJ307&lt;0.9,"Good","Excellent")))))</f>
        <v/>
      </c>
      <c r="AO307" s="41" t="n"/>
      <c r="AP307" s="41" t="n"/>
      <c r="AQ307" s="41" t="n"/>
      <c r="AR307" s="41" t="n"/>
      <c r="AS307" s="41" t="n"/>
      <c r="AT307" s="44" t="n"/>
      <c r="AU307" s="41" t="n"/>
      <c r="AV307" s="43" t="n"/>
      <c r="AW307" s="41" t="n"/>
      <c r="AX307" s="44" t="n"/>
      <c r="AY307" s="44" t="n"/>
      <c r="AZ307" s="44" t="n"/>
      <c r="BA307" s="44" t="n"/>
      <c r="BB307" s="44" t="n"/>
      <c r="BC307" s="44" t="n"/>
      <c r="BD307" s="44" t="n"/>
      <c r="BE307" s="44" t="n"/>
      <c r="BF307" s="44" t="n"/>
    </row>
    <row r="308" ht="19.5" customHeight="1" s="45">
      <c r="A308" s="15">
        <f>IF($B308="","",TEXT($B308,"yyyymmdd")&amp;"-"&amp;SUBSTITUTE($F308," ","")&amp;"-"&amp;TEXT(COUNTIF($F$4:F308,$F308),"00"))</f>
        <v/>
      </c>
      <c r="B308" s="39" t="n"/>
      <c r="C308" s="15">
        <f>IF($B308="","",WEEKNUM($B308,2))</f>
        <v/>
      </c>
      <c r="D308" s="15">
        <f>IF($B308="","",TEXT($B308,"yyyy-mm"))</f>
        <v/>
      </c>
      <c r="E308" s="40" t="n"/>
      <c r="F308" s="40" t="n"/>
      <c r="G308" s="15">
        <f>IF(OR($E308="",$F308=""),"",IFERROR(IF($E308=INDEX(Cluster_Master!$A$4:$A$18,MATCH($F308,Cluster_Master!$B$4:$B$18,0)),"OK","CHECK"),"CHECK"))</f>
        <v/>
      </c>
      <c r="H308" s="18">
        <f>IFERROR(INDEX(Cluster_Master!$C$4:$C$18,MATCH($F308,Cluster_Master!$B$4:$B$18,0)),"")</f>
        <v/>
      </c>
      <c r="I308" s="15">
        <f>IFERROR(INDEX(Cluster_Master!$D$4:$D$18,MATCH($F308,Cluster_Master!$B$4:$B$18,0)),"")</f>
        <v/>
      </c>
      <c r="J308" s="15">
        <f>IFERROR(INDEX(Cluster_Master!$E$4:$E$18,MATCH($F308,Cluster_Master!$B$4:$B$18,0)),"")</f>
        <v/>
      </c>
      <c r="K308" s="15">
        <f>IFERROR(INDEX(Cluster_Master!$F$4:$F$18,MATCH($F308,Cluster_Master!$B$4:$B$18,0)),"")</f>
        <v/>
      </c>
      <c r="L308" s="15">
        <f>IFERROR(INDEX(Cluster_Master!$G$4:$G$18,MATCH($F308,Cluster_Master!$B$4:$B$18,0)),"")</f>
        <v/>
      </c>
      <c r="M308" s="15">
        <f>IFERROR(INDEX(Cluster_Master!$H$4:$H$18,MATCH($F308,Cluster_Master!$B$4:$B$18,0)),"")</f>
        <v/>
      </c>
      <c r="N308" s="41" t="n"/>
      <c r="O308" s="41" t="n"/>
      <c r="P308" s="41" t="n"/>
      <c r="Q308" s="41" t="n"/>
      <c r="R308" s="41" t="n"/>
      <c r="S308" s="41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2" t="n"/>
      <c r="AG308" s="42" t="n"/>
      <c r="AH308" s="42" t="n"/>
      <c r="AI308" s="15">
        <f>IF(COUNTA(T308:AH308)=0,"",SUM(T308:AH308))</f>
        <v/>
      </c>
      <c r="AJ308" s="21">
        <f>IF(COUNTA(T308:AH308)=0,"",AI308/(COUNT(KPI_Weights!$A$4:$A$18)*5))</f>
        <v/>
      </c>
      <c r="AK308" s="21">
        <f>IF(COUNTA(T308:AH308)=0,"",SUMPRODUCT(T308:AH308,KPI_Weights!$B$4:$B$18)/5)</f>
        <v/>
      </c>
      <c r="AL308" s="15">
        <f>IF(COUNTA(T308:AH308)=0,"",IF(SUMPRODUCT(--(T308:AH308&lt;=1),--(KPI_Weights!$C$4:$C$18="YES"))&gt;0,"YES","NO"))</f>
        <v/>
      </c>
      <c r="AM308" s="15">
        <f>IF(AJ308="","",IF(AND(AL308="NO",AJ308&gt;=0.75),"YES","NO"))</f>
        <v/>
      </c>
      <c r="AN308" s="15">
        <f>IF(AJ308="","",IF(AJ308&lt;0.4,"Critical",IF(AJ308&lt;0.6,"Poor",IF(AJ308&lt;0.75,"Needs Improvement",IF(AJ308&lt;0.9,"Good","Excellent")))))</f>
        <v/>
      </c>
      <c r="AO308" s="41" t="n"/>
      <c r="AP308" s="41" t="n"/>
      <c r="AQ308" s="41" t="n"/>
      <c r="AR308" s="41" t="n"/>
      <c r="AS308" s="41" t="n"/>
      <c r="AT308" s="44" t="n"/>
      <c r="AU308" s="41" t="n"/>
      <c r="AV308" s="43" t="n"/>
      <c r="AW308" s="41" t="n"/>
      <c r="AX308" s="44" t="n"/>
      <c r="AY308" s="44" t="n"/>
      <c r="AZ308" s="44" t="n"/>
      <c r="BA308" s="44" t="n"/>
      <c r="BB308" s="44" t="n"/>
      <c r="BC308" s="44" t="n"/>
      <c r="BD308" s="44" t="n"/>
      <c r="BE308" s="44" t="n"/>
      <c r="BF308" s="44" t="n"/>
    </row>
    <row r="309" ht="19.5" customHeight="1" s="45">
      <c r="A309" s="15">
        <f>IF($B309="","",TEXT($B309,"yyyymmdd")&amp;"-"&amp;SUBSTITUTE($F309," ","")&amp;"-"&amp;TEXT(COUNTIF($F$4:F309,$F309),"00"))</f>
        <v/>
      </c>
      <c r="B309" s="39" t="n"/>
      <c r="C309" s="15">
        <f>IF($B309="","",WEEKNUM($B309,2))</f>
        <v/>
      </c>
      <c r="D309" s="15">
        <f>IF($B309="","",TEXT($B309,"yyyy-mm"))</f>
        <v/>
      </c>
      <c r="E309" s="40" t="n"/>
      <c r="F309" s="40" t="n"/>
      <c r="G309" s="15">
        <f>IF(OR($E309="",$F309=""),"",IFERROR(IF($E309=INDEX(Cluster_Master!$A$4:$A$18,MATCH($F309,Cluster_Master!$B$4:$B$18,0)),"OK","CHECK"),"CHECK"))</f>
        <v/>
      </c>
      <c r="H309" s="18">
        <f>IFERROR(INDEX(Cluster_Master!$C$4:$C$18,MATCH($F309,Cluster_Master!$B$4:$B$18,0)),"")</f>
        <v/>
      </c>
      <c r="I309" s="15">
        <f>IFERROR(INDEX(Cluster_Master!$D$4:$D$18,MATCH($F309,Cluster_Master!$B$4:$B$18,0)),"")</f>
        <v/>
      </c>
      <c r="J309" s="15">
        <f>IFERROR(INDEX(Cluster_Master!$E$4:$E$18,MATCH($F309,Cluster_Master!$B$4:$B$18,0)),"")</f>
        <v/>
      </c>
      <c r="K309" s="15">
        <f>IFERROR(INDEX(Cluster_Master!$F$4:$F$18,MATCH($F309,Cluster_Master!$B$4:$B$18,0)),"")</f>
        <v/>
      </c>
      <c r="L309" s="15">
        <f>IFERROR(INDEX(Cluster_Master!$G$4:$G$18,MATCH($F309,Cluster_Master!$B$4:$B$18,0)),"")</f>
        <v/>
      </c>
      <c r="M309" s="15">
        <f>IFERROR(INDEX(Cluster_Master!$H$4:$H$18,MATCH($F309,Cluster_Master!$B$4:$B$18,0)),"")</f>
        <v/>
      </c>
      <c r="N309" s="41" t="n"/>
      <c r="O309" s="41" t="n"/>
      <c r="P309" s="41" t="n"/>
      <c r="Q309" s="41" t="n"/>
      <c r="R309" s="41" t="n"/>
      <c r="S309" s="41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  <c r="AE309" s="42" t="n"/>
      <c r="AF309" s="42" t="n"/>
      <c r="AG309" s="42" t="n"/>
      <c r="AH309" s="42" t="n"/>
      <c r="AI309" s="15">
        <f>IF(COUNTA(T309:AH309)=0,"",SUM(T309:AH309))</f>
        <v/>
      </c>
      <c r="AJ309" s="21">
        <f>IF(COUNTA(T309:AH309)=0,"",AI309/(COUNT(KPI_Weights!$A$4:$A$18)*5))</f>
        <v/>
      </c>
      <c r="AK309" s="21">
        <f>IF(COUNTA(T309:AH309)=0,"",SUMPRODUCT(T309:AH309,KPI_Weights!$B$4:$B$18)/5)</f>
        <v/>
      </c>
      <c r="AL309" s="15">
        <f>IF(COUNTA(T309:AH309)=0,"",IF(SUMPRODUCT(--(T309:AH309&lt;=1),--(KPI_Weights!$C$4:$C$18="YES"))&gt;0,"YES","NO"))</f>
        <v/>
      </c>
      <c r="AM309" s="15">
        <f>IF(AJ309="","",IF(AND(AL309="NO",AJ309&gt;=0.75),"YES","NO"))</f>
        <v/>
      </c>
      <c r="AN309" s="15">
        <f>IF(AJ309="","",IF(AJ309&lt;0.4,"Critical",IF(AJ309&lt;0.6,"Poor",IF(AJ309&lt;0.75,"Needs Improvement",IF(AJ309&lt;0.9,"Good","Excellent")))))</f>
        <v/>
      </c>
      <c r="AO309" s="41" t="n"/>
      <c r="AP309" s="41" t="n"/>
      <c r="AQ309" s="41" t="n"/>
      <c r="AR309" s="41" t="n"/>
      <c r="AS309" s="41" t="n"/>
      <c r="AT309" s="44" t="n"/>
      <c r="AU309" s="41" t="n"/>
      <c r="AV309" s="43" t="n"/>
      <c r="AW309" s="41" t="n"/>
      <c r="AX309" s="44" t="n"/>
      <c r="AY309" s="44" t="n"/>
      <c r="AZ309" s="44" t="n"/>
      <c r="BA309" s="44" t="n"/>
      <c r="BB309" s="44" t="n"/>
      <c r="BC309" s="44" t="n"/>
      <c r="BD309" s="44" t="n"/>
      <c r="BE309" s="44" t="n"/>
      <c r="BF309" s="44" t="n"/>
    </row>
    <row r="310" ht="19.5" customHeight="1" s="45">
      <c r="A310" s="15">
        <f>IF($B310="","",TEXT($B310,"yyyymmdd")&amp;"-"&amp;SUBSTITUTE($F310," ","")&amp;"-"&amp;TEXT(COUNTIF($F$4:F310,$F310),"00"))</f>
        <v/>
      </c>
      <c r="B310" s="39" t="n"/>
      <c r="C310" s="15">
        <f>IF($B310="","",WEEKNUM($B310,2))</f>
        <v/>
      </c>
      <c r="D310" s="15">
        <f>IF($B310="","",TEXT($B310,"yyyy-mm"))</f>
        <v/>
      </c>
      <c r="E310" s="40" t="n"/>
      <c r="F310" s="40" t="n"/>
      <c r="G310" s="15">
        <f>IF(OR($E310="",$F310=""),"",IFERROR(IF($E310=INDEX(Cluster_Master!$A$4:$A$18,MATCH($F310,Cluster_Master!$B$4:$B$18,0)),"OK","CHECK"),"CHECK"))</f>
        <v/>
      </c>
      <c r="H310" s="18">
        <f>IFERROR(INDEX(Cluster_Master!$C$4:$C$18,MATCH($F310,Cluster_Master!$B$4:$B$18,0)),"")</f>
        <v/>
      </c>
      <c r="I310" s="15">
        <f>IFERROR(INDEX(Cluster_Master!$D$4:$D$18,MATCH($F310,Cluster_Master!$B$4:$B$18,0)),"")</f>
        <v/>
      </c>
      <c r="J310" s="15">
        <f>IFERROR(INDEX(Cluster_Master!$E$4:$E$18,MATCH($F310,Cluster_Master!$B$4:$B$18,0)),"")</f>
        <v/>
      </c>
      <c r="K310" s="15">
        <f>IFERROR(INDEX(Cluster_Master!$F$4:$F$18,MATCH($F310,Cluster_Master!$B$4:$B$18,0)),"")</f>
        <v/>
      </c>
      <c r="L310" s="15">
        <f>IFERROR(INDEX(Cluster_Master!$G$4:$G$18,MATCH($F310,Cluster_Master!$B$4:$B$18,0)),"")</f>
        <v/>
      </c>
      <c r="M310" s="15">
        <f>IFERROR(INDEX(Cluster_Master!$H$4:$H$18,MATCH($F310,Cluster_Master!$B$4:$B$18,0)),"")</f>
        <v/>
      </c>
      <c r="N310" s="41" t="n"/>
      <c r="O310" s="41" t="n"/>
      <c r="P310" s="41" t="n"/>
      <c r="Q310" s="41" t="n"/>
      <c r="R310" s="41" t="n"/>
      <c r="S310" s="41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  <c r="AE310" s="42" t="n"/>
      <c r="AF310" s="42" t="n"/>
      <c r="AG310" s="42" t="n"/>
      <c r="AH310" s="42" t="n"/>
      <c r="AI310" s="15">
        <f>IF(COUNTA(T310:AH310)=0,"",SUM(T310:AH310))</f>
        <v/>
      </c>
      <c r="AJ310" s="21">
        <f>IF(COUNTA(T310:AH310)=0,"",AI310/(COUNT(KPI_Weights!$A$4:$A$18)*5))</f>
        <v/>
      </c>
      <c r="AK310" s="21">
        <f>IF(COUNTA(T310:AH310)=0,"",SUMPRODUCT(T310:AH310,KPI_Weights!$B$4:$B$18)/5)</f>
        <v/>
      </c>
      <c r="AL310" s="15">
        <f>IF(COUNTA(T310:AH310)=0,"",IF(SUMPRODUCT(--(T310:AH310&lt;=1),--(KPI_Weights!$C$4:$C$18="YES"))&gt;0,"YES","NO"))</f>
        <v/>
      </c>
      <c r="AM310" s="15">
        <f>IF(AJ310="","",IF(AND(AL310="NO",AJ310&gt;=0.75),"YES","NO"))</f>
        <v/>
      </c>
      <c r="AN310" s="15">
        <f>IF(AJ310="","",IF(AJ310&lt;0.4,"Critical",IF(AJ310&lt;0.6,"Poor",IF(AJ310&lt;0.75,"Needs Improvement",IF(AJ310&lt;0.9,"Good","Excellent")))))</f>
        <v/>
      </c>
      <c r="AO310" s="41" t="n"/>
      <c r="AP310" s="41" t="n"/>
      <c r="AQ310" s="41" t="n"/>
      <c r="AR310" s="41" t="n"/>
      <c r="AS310" s="41" t="n"/>
      <c r="AT310" s="44" t="n"/>
      <c r="AU310" s="41" t="n"/>
      <c r="AV310" s="43" t="n"/>
      <c r="AW310" s="41" t="n"/>
      <c r="AX310" s="44" t="n"/>
      <c r="AY310" s="44" t="n"/>
      <c r="AZ310" s="44" t="n"/>
      <c r="BA310" s="44" t="n"/>
      <c r="BB310" s="44" t="n"/>
      <c r="BC310" s="44" t="n"/>
      <c r="BD310" s="44" t="n"/>
      <c r="BE310" s="44" t="n"/>
      <c r="BF310" s="44" t="n"/>
    </row>
    <row r="311" ht="19.5" customHeight="1" s="45">
      <c r="A311" s="15">
        <f>IF($B311="","",TEXT($B311,"yyyymmdd")&amp;"-"&amp;SUBSTITUTE($F311," ","")&amp;"-"&amp;TEXT(COUNTIF($F$4:F311,$F311),"00"))</f>
        <v/>
      </c>
      <c r="B311" s="39" t="n"/>
      <c r="C311" s="15">
        <f>IF($B311="","",WEEKNUM($B311,2))</f>
        <v/>
      </c>
      <c r="D311" s="15">
        <f>IF($B311="","",TEXT($B311,"yyyy-mm"))</f>
        <v/>
      </c>
      <c r="E311" s="40" t="n"/>
      <c r="F311" s="40" t="n"/>
      <c r="G311" s="15">
        <f>IF(OR($E311="",$F311=""),"",IFERROR(IF($E311=INDEX(Cluster_Master!$A$4:$A$18,MATCH($F311,Cluster_Master!$B$4:$B$18,0)),"OK","CHECK"),"CHECK"))</f>
        <v/>
      </c>
      <c r="H311" s="18">
        <f>IFERROR(INDEX(Cluster_Master!$C$4:$C$18,MATCH($F311,Cluster_Master!$B$4:$B$18,0)),"")</f>
        <v/>
      </c>
      <c r="I311" s="15">
        <f>IFERROR(INDEX(Cluster_Master!$D$4:$D$18,MATCH($F311,Cluster_Master!$B$4:$B$18,0)),"")</f>
        <v/>
      </c>
      <c r="J311" s="15">
        <f>IFERROR(INDEX(Cluster_Master!$E$4:$E$18,MATCH($F311,Cluster_Master!$B$4:$B$18,0)),"")</f>
        <v/>
      </c>
      <c r="K311" s="15">
        <f>IFERROR(INDEX(Cluster_Master!$F$4:$F$18,MATCH($F311,Cluster_Master!$B$4:$B$18,0)),"")</f>
        <v/>
      </c>
      <c r="L311" s="15">
        <f>IFERROR(INDEX(Cluster_Master!$G$4:$G$18,MATCH($F311,Cluster_Master!$B$4:$B$18,0)),"")</f>
        <v/>
      </c>
      <c r="M311" s="15">
        <f>IFERROR(INDEX(Cluster_Master!$H$4:$H$18,MATCH($F311,Cluster_Master!$B$4:$B$18,0)),"")</f>
        <v/>
      </c>
      <c r="N311" s="41" t="n"/>
      <c r="O311" s="41" t="n"/>
      <c r="P311" s="41" t="n"/>
      <c r="Q311" s="41" t="n"/>
      <c r="R311" s="41" t="n"/>
      <c r="S311" s="41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  <c r="AE311" s="42" t="n"/>
      <c r="AF311" s="42" t="n"/>
      <c r="AG311" s="42" t="n"/>
      <c r="AH311" s="42" t="n"/>
      <c r="AI311" s="15">
        <f>IF(COUNTA(T311:AH311)=0,"",SUM(T311:AH311))</f>
        <v/>
      </c>
      <c r="AJ311" s="21">
        <f>IF(COUNTA(T311:AH311)=0,"",AI311/(COUNT(KPI_Weights!$A$4:$A$18)*5))</f>
        <v/>
      </c>
      <c r="AK311" s="21">
        <f>IF(COUNTA(T311:AH311)=0,"",SUMPRODUCT(T311:AH311,KPI_Weights!$B$4:$B$18)/5)</f>
        <v/>
      </c>
      <c r="AL311" s="15">
        <f>IF(COUNTA(T311:AH311)=0,"",IF(SUMPRODUCT(--(T311:AH311&lt;=1),--(KPI_Weights!$C$4:$C$18="YES"))&gt;0,"YES","NO"))</f>
        <v/>
      </c>
      <c r="AM311" s="15">
        <f>IF(AJ311="","",IF(AND(AL311="NO",AJ311&gt;=0.75),"YES","NO"))</f>
        <v/>
      </c>
      <c r="AN311" s="15">
        <f>IF(AJ311="","",IF(AJ311&lt;0.4,"Critical",IF(AJ311&lt;0.6,"Poor",IF(AJ311&lt;0.75,"Needs Improvement",IF(AJ311&lt;0.9,"Good","Excellent")))))</f>
        <v/>
      </c>
      <c r="AO311" s="41" t="n"/>
      <c r="AP311" s="41" t="n"/>
      <c r="AQ311" s="41" t="n"/>
      <c r="AR311" s="41" t="n"/>
      <c r="AS311" s="41" t="n"/>
      <c r="AT311" s="44" t="n"/>
      <c r="AU311" s="41" t="n"/>
      <c r="AV311" s="43" t="n"/>
      <c r="AW311" s="41" t="n"/>
      <c r="AX311" s="44" t="n"/>
      <c r="AY311" s="44" t="n"/>
      <c r="AZ311" s="44" t="n"/>
      <c r="BA311" s="44" t="n"/>
      <c r="BB311" s="44" t="n"/>
      <c r="BC311" s="44" t="n"/>
      <c r="BD311" s="44" t="n"/>
      <c r="BE311" s="44" t="n"/>
      <c r="BF311" s="44" t="n"/>
    </row>
    <row r="312" ht="19.5" customHeight="1" s="45">
      <c r="A312" s="15">
        <f>IF($B312="","",TEXT($B312,"yyyymmdd")&amp;"-"&amp;SUBSTITUTE($F312," ","")&amp;"-"&amp;TEXT(COUNTIF($F$4:F312,$F312),"00"))</f>
        <v/>
      </c>
      <c r="B312" s="39" t="n"/>
      <c r="C312" s="15">
        <f>IF($B312="","",WEEKNUM($B312,2))</f>
        <v/>
      </c>
      <c r="D312" s="15">
        <f>IF($B312="","",TEXT($B312,"yyyy-mm"))</f>
        <v/>
      </c>
      <c r="E312" s="40" t="n"/>
      <c r="F312" s="40" t="n"/>
      <c r="G312" s="15">
        <f>IF(OR($E312="",$F312=""),"",IFERROR(IF($E312=INDEX(Cluster_Master!$A$4:$A$18,MATCH($F312,Cluster_Master!$B$4:$B$18,0)),"OK","CHECK"),"CHECK"))</f>
        <v/>
      </c>
      <c r="H312" s="18">
        <f>IFERROR(INDEX(Cluster_Master!$C$4:$C$18,MATCH($F312,Cluster_Master!$B$4:$B$18,0)),"")</f>
        <v/>
      </c>
      <c r="I312" s="15">
        <f>IFERROR(INDEX(Cluster_Master!$D$4:$D$18,MATCH($F312,Cluster_Master!$B$4:$B$18,0)),"")</f>
        <v/>
      </c>
      <c r="J312" s="15">
        <f>IFERROR(INDEX(Cluster_Master!$E$4:$E$18,MATCH($F312,Cluster_Master!$B$4:$B$18,0)),"")</f>
        <v/>
      </c>
      <c r="K312" s="15">
        <f>IFERROR(INDEX(Cluster_Master!$F$4:$F$18,MATCH($F312,Cluster_Master!$B$4:$B$18,0)),"")</f>
        <v/>
      </c>
      <c r="L312" s="15">
        <f>IFERROR(INDEX(Cluster_Master!$G$4:$G$18,MATCH($F312,Cluster_Master!$B$4:$B$18,0)),"")</f>
        <v/>
      </c>
      <c r="M312" s="15">
        <f>IFERROR(INDEX(Cluster_Master!$H$4:$H$18,MATCH($F312,Cluster_Master!$B$4:$B$18,0)),"")</f>
        <v/>
      </c>
      <c r="N312" s="41" t="n"/>
      <c r="O312" s="41" t="n"/>
      <c r="P312" s="41" t="n"/>
      <c r="Q312" s="41" t="n"/>
      <c r="R312" s="41" t="n"/>
      <c r="S312" s="41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2" t="n"/>
      <c r="AG312" s="42" t="n"/>
      <c r="AH312" s="42" t="n"/>
      <c r="AI312" s="15">
        <f>IF(COUNTA(T312:AH312)=0,"",SUM(T312:AH312))</f>
        <v/>
      </c>
      <c r="AJ312" s="21">
        <f>IF(COUNTA(T312:AH312)=0,"",AI312/(COUNT(KPI_Weights!$A$4:$A$18)*5))</f>
        <v/>
      </c>
      <c r="AK312" s="21">
        <f>IF(COUNTA(T312:AH312)=0,"",SUMPRODUCT(T312:AH312,KPI_Weights!$B$4:$B$18)/5)</f>
        <v/>
      </c>
      <c r="AL312" s="15">
        <f>IF(COUNTA(T312:AH312)=0,"",IF(SUMPRODUCT(--(T312:AH312&lt;=1),--(KPI_Weights!$C$4:$C$18="YES"))&gt;0,"YES","NO"))</f>
        <v/>
      </c>
      <c r="AM312" s="15">
        <f>IF(AJ312="","",IF(AND(AL312="NO",AJ312&gt;=0.75),"YES","NO"))</f>
        <v/>
      </c>
      <c r="AN312" s="15">
        <f>IF(AJ312="","",IF(AJ312&lt;0.4,"Critical",IF(AJ312&lt;0.6,"Poor",IF(AJ312&lt;0.75,"Needs Improvement",IF(AJ312&lt;0.9,"Good","Excellent")))))</f>
        <v/>
      </c>
      <c r="AO312" s="41" t="n"/>
      <c r="AP312" s="41" t="n"/>
      <c r="AQ312" s="41" t="n"/>
      <c r="AR312" s="41" t="n"/>
      <c r="AS312" s="41" t="n"/>
      <c r="AT312" s="44" t="n"/>
      <c r="AU312" s="41" t="n"/>
      <c r="AV312" s="43" t="n"/>
      <c r="AW312" s="41" t="n"/>
      <c r="AX312" s="44" t="n"/>
      <c r="AY312" s="44" t="n"/>
      <c r="AZ312" s="44" t="n"/>
      <c r="BA312" s="44" t="n"/>
      <c r="BB312" s="44" t="n"/>
      <c r="BC312" s="44" t="n"/>
      <c r="BD312" s="44" t="n"/>
      <c r="BE312" s="44" t="n"/>
      <c r="BF312" s="44" t="n"/>
    </row>
    <row r="313" ht="19.5" customHeight="1" s="45">
      <c r="A313" s="15">
        <f>IF($B313="","",TEXT($B313,"yyyymmdd")&amp;"-"&amp;SUBSTITUTE($F313," ","")&amp;"-"&amp;TEXT(COUNTIF($F$4:F313,$F313),"00"))</f>
        <v/>
      </c>
      <c r="B313" s="39" t="n"/>
      <c r="C313" s="15">
        <f>IF($B313="","",WEEKNUM($B313,2))</f>
        <v/>
      </c>
      <c r="D313" s="15">
        <f>IF($B313="","",TEXT($B313,"yyyy-mm"))</f>
        <v/>
      </c>
      <c r="E313" s="40" t="n"/>
      <c r="F313" s="40" t="n"/>
      <c r="G313" s="15">
        <f>IF(OR($E313="",$F313=""),"",IFERROR(IF($E313=INDEX(Cluster_Master!$A$4:$A$18,MATCH($F313,Cluster_Master!$B$4:$B$18,0)),"OK","CHECK"),"CHECK"))</f>
        <v/>
      </c>
      <c r="H313" s="18">
        <f>IFERROR(INDEX(Cluster_Master!$C$4:$C$18,MATCH($F313,Cluster_Master!$B$4:$B$18,0)),"")</f>
        <v/>
      </c>
      <c r="I313" s="15">
        <f>IFERROR(INDEX(Cluster_Master!$D$4:$D$18,MATCH($F313,Cluster_Master!$B$4:$B$18,0)),"")</f>
        <v/>
      </c>
      <c r="J313" s="15">
        <f>IFERROR(INDEX(Cluster_Master!$E$4:$E$18,MATCH($F313,Cluster_Master!$B$4:$B$18,0)),"")</f>
        <v/>
      </c>
      <c r="K313" s="15">
        <f>IFERROR(INDEX(Cluster_Master!$F$4:$F$18,MATCH($F313,Cluster_Master!$B$4:$B$18,0)),"")</f>
        <v/>
      </c>
      <c r="L313" s="15">
        <f>IFERROR(INDEX(Cluster_Master!$G$4:$G$18,MATCH($F313,Cluster_Master!$B$4:$B$18,0)),"")</f>
        <v/>
      </c>
      <c r="M313" s="15">
        <f>IFERROR(INDEX(Cluster_Master!$H$4:$H$18,MATCH($F313,Cluster_Master!$B$4:$B$18,0)),"")</f>
        <v/>
      </c>
      <c r="N313" s="41" t="n"/>
      <c r="O313" s="41" t="n"/>
      <c r="P313" s="41" t="n"/>
      <c r="Q313" s="41" t="n"/>
      <c r="R313" s="41" t="n"/>
      <c r="S313" s="41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  <c r="AE313" s="42" t="n"/>
      <c r="AF313" s="42" t="n"/>
      <c r="AG313" s="42" t="n"/>
      <c r="AH313" s="42" t="n"/>
      <c r="AI313" s="15">
        <f>IF(COUNTA(T313:AH313)=0,"",SUM(T313:AH313))</f>
        <v/>
      </c>
      <c r="AJ313" s="21">
        <f>IF(COUNTA(T313:AH313)=0,"",AI313/(COUNT(KPI_Weights!$A$4:$A$18)*5))</f>
        <v/>
      </c>
      <c r="AK313" s="21">
        <f>IF(COUNTA(T313:AH313)=0,"",SUMPRODUCT(T313:AH313,KPI_Weights!$B$4:$B$18)/5)</f>
        <v/>
      </c>
      <c r="AL313" s="15">
        <f>IF(COUNTA(T313:AH313)=0,"",IF(SUMPRODUCT(--(T313:AH313&lt;=1),--(KPI_Weights!$C$4:$C$18="YES"))&gt;0,"YES","NO"))</f>
        <v/>
      </c>
      <c r="AM313" s="15">
        <f>IF(AJ313="","",IF(AND(AL313="NO",AJ313&gt;=0.75),"YES","NO"))</f>
        <v/>
      </c>
      <c r="AN313" s="15">
        <f>IF(AJ313="","",IF(AJ313&lt;0.4,"Critical",IF(AJ313&lt;0.6,"Poor",IF(AJ313&lt;0.75,"Needs Improvement",IF(AJ313&lt;0.9,"Good","Excellent")))))</f>
        <v/>
      </c>
      <c r="AO313" s="41" t="n"/>
      <c r="AP313" s="41" t="n"/>
      <c r="AQ313" s="41" t="n"/>
      <c r="AR313" s="41" t="n"/>
      <c r="AS313" s="41" t="n"/>
      <c r="AT313" s="44" t="n"/>
      <c r="AU313" s="41" t="n"/>
      <c r="AV313" s="43" t="n"/>
      <c r="AW313" s="41" t="n"/>
      <c r="AX313" s="44" t="n"/>
      <c r="AY313" s="44" t="n"/>
      <c r="AZ313" s="44" t="n"/>
      <c r="BA313" s="44" t="n"/>
      <c r="BB313" s="44" t="n"/>
      <c r="BC313" s="44" t="n"/>
      <c r="BD313" s="44" t="n"/>
      <c r="BE313" s="44" t="n"/>
      <c r="BF313" s="44" t="n"/>
    </row>
    <row r="314" ht="19.5" customHeight="1" s="45">
      <c r="A314" s="15">
        <f>IF($B314="","",TEXT($B314,"yyyymmdd")&amp;"-"&amp;SUBSTITUTE($F314," ","")&amp;"-"&amp;TEXT(COUNTIF($F$4:F314,$F314),"00"))</f>
        <v/>
      </c>
      <c r="B314" s="39" t="n"/>
      <c r="C314" s="15">
        <f>IF($B314="","",WEEKNUM($B314,2))</f>
        <v/>
      </c>
      <c r="D314" s="15">
        <f>IF($B314="","",TEXT($B314,"yyyy-mm"))</f>
        <v/>
      </c>
      <c r="E314" s="40" t="n"/>
      <c r="F314" s="40" t="n"/>
      <c r="G314" s="15">
        <f>IF(OR($E314="",$F314=""),"",IFERROR(IF($E314=INDEX(Cluster_Master!$A$4:$A$18,MATCH($F314,Cluster_Master!$B$4:$B$18,0)),"OK","CHECK"),"CHECK"))</f>
        <v/>
      </c>
      <c r="H314" s="18">
        <f>IFERROR(INDEX(Cluster_Master!$C$4:$C$18,MATCH($F314,Cluster_Master!$B$4:$B$18,0)),"")</f>
        <v/>
      </c>
      <c r="I314" s="15">
        <f>IFERROR(INDEX(Cluster_Master!$D$4:$D$18,MATCH($F314,Cluster_Master!$B$4:$B$18,0)),"")</f>
        <v/>
      </c>
      <c r="J314" s="15">
        <f>IFERROR(INDEX(Cluster_Master!$E$4:$E$18,MATCH($F314,Cluster_Master!$B$4:$B$18,0)),"")</f>
        <v/>
      </c>
      <c r="K314" s="15">
        <f>IFERROR(INDEX(Cluster_Master!$F$4:$F$18,MATCH($F314,Cluster_Master!$B$4:$B$18,0)),"")</f>
        <v/>
      </c>
      <c r="L314" s="15">
        <f>IFERROR(INDEX(Cluster_Master!$G$4:$G$18,MATCH($F314,Cluster_Master!$B$4:$B$18,0)),"")</f>
        <v/>
      </c>
      <c r="M314" s="15">
        <f>IFERROR(INDEX(Cluster_Master!$H$4:$H$18,MATCH($F314,Cluster_Master!$B$4:$B$18,0)),"")</f>
        <v/>
      </c>
      <c r="N314" s="41" t="n"/>
      <c r="O314" s="41" t="n"/>
      <c r="P314" s="41" t="n"/>
      <c r="Q314" s="41" t="n"/>
      <c r="R314" s="41" t="n"/>
      <c r="S314" s="41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2" t="n"/>
      <c r="AG314" s="42" t="n"/>
      <c r="AH314" s="42" t="n"/>
      <c r="AI314" s="15">
        <f>IF(COUNTA(T314:AH314)=0,"",SUM(T314:AH314))</f>
        <v/>
      </c>
      <c r="AJ314" s="21">
        <f>IF(COUNTA(T314:AH314)=0,"",AI314/(COUNT(KPI_Weights!$A$4:$A$18)*5))</f>
        <v/>
      </c>
      <c r="AK314" s="21">
        <f>IF(COUNTA(T314:AH314)=0,"",SUMPRODUCT(T314:AH314,KPI_Weights!$B$4:$B$18)/5)</f>
        <v/>
      </c>
      <c r="AL314" s="15">
        <f>IF(COUNTA(T314:AH314)=0,"",IF(SUMPRODUCT(--(T314:AH314&lt;=1),--(KPI_Weights!$C$4:$C$18="YES"))&gt;0,"YES","NO"))</f>
        <v/>
      </c>
      <c r="AM314" s="15">
        <f>IF(AJ314="","",IF(AND(AL314="NO",AJ314&gt;=0.75),"YES","NO"))</f>
        <v/>
      </c>
      <c r="AN314" s="15">
        <f>IF(AJ314="","",IF(AJ314&lt;0.4,"Critical",IF(AJ314&lt;0.6,"Poor",IF(AJ314&lt;0.75,"Needs Improvement",IF(AJ314&lt;0.9,"Good","Excellent")))))</f>
        <v/>
      </c>
      <c r="AO314" s="41" t="n"/>
      <c r="AP314" s="41" t="n"/>
      <c r="AQ314" s="41" t="n"/>
      <c r="AR314" s="41" t="n"/>
      <c r="AS314" s="41" t="n"/>
      <c r="AT314" s="44" t="n"/>
      <c r="AU314" s="41" t="n"/>
      <c r="AV314" s="43" t="n"/>
      <c r="AW314" s="41" t="n"/>
      <c r="AX314" s="44" t="n"/>
      <c r="AY314" s="44" t="n"/>
      <c r="AZ314" s="44" t="n"/>
      <c r="BA314" s="44" t="n"/>
      <c r="BB314" s="44" t="n"/>
      <c r="BC314" s="44" t="n"/>
      <c r="BD314" s="44" t="n"/>
      <c r="BE314" s="44" t="n"/>
      <c r="BF314" s="44" t="n"/>
    </row>
    <row r="315" ht="19.5" customHeight="1" s="45">
      <c r="A315" s="15">
        <f>IF($B315="","",TEXT($B315,"yyyymmdd")&amp;"-"&amp;SUBSTITUTE($F315," ","")&amp;"-"&amp;TEXT(COUNTIF($F$4:F315,$F315),"00"))</f>
        <v/>
      </c>
      <c r="B315" s="39" t="n"/>
      <c r="C315" s="15">
        <f>IF($B315="","",WEEKNUM($B315,2))</f>
        <v/>
      </c>
      <c r="D315" s="15">
        <f>IF($B315="","",TEXT($B315,"yyyy-mm"))</f>
        <v/>
      </c>
      <c r="E315" s="40" t="n"/>
      <c r="F315" s="40" t="n"/>
      <c r="G315" s="15">
        <f>IF(OR($E315="",$F315=""),"",IFERROR(IF($E315=INDEX(Cluster_Master!$A$4:$A$18,MATCH($F315,Cluster_Master!$B$4:$B$18,0)),"OK","CHECK"),"CHECK"))</f>
        <v/>
      </c>
      <c r="H315" s="18">
        <f>IFERROR(INDEX(Cluster_Master!$C$4:$C$18,MATCH($F315,Cluster_Master!$B$4:$B$18,0)),"")</f>
        <v/>
      </c>
      <c r="I315" s="15">
        <f>IFERROR(INDEX(Cluster_Master!$D$4:$D$18,MATCH($F315,Cluster_Master!$B$4:$B$18,0)),"")</f>
        <v/>
      </c>
      <c r="J315" s="15">
        <f>IFERROR(INDEX(Cluster_Master!$E$4:$E$18,MATCH($F315,Cluster_Master!$B$4:$B$18,0)),"")</f>
        <v/>
      </c>
      <c r="K315" s="15">
        <f>IFERROR(INDEX(Cluster_Master!$F$4:$F$18,MATCH($F315,Cluster_Master!$B$4:$B$18,0)),"")</f>
        <v/>
      </c>
      <c r="L315" s="15">
        <f>IFERROR(INDEX(Cluster_Master!$G$4:$G$18,MATCH($F315,Cluster_Master!$B$4:$B$18,0)),"")</f>
        <v/>
      </c>
      <c r="M315" s="15">
        <f>IFERROR(INDEX(Cluster_Master!$H$4:$H$18,MATCH($F315,Cluster_Master!$B$4:$B$18,0)),"")</f>
        <v/>
      </c>
      <c r="N315" s="41" t="n"/>
      <c r="O315" s="41" t="n"/>
      <c r="P315" s="41" t="n"/>
      <c r="Q315" s="41" t="n"/>
      <c r="R315" s="41" t="n"/>
      <c r="S315" s="41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  <c r="AE315" s="42" t="n"/>
      <c r="AF315" s="42" t="n"/>
      <c r="AG315" s="42" t="n"/>
      <c r="AH315" s="42" t="n"/>
      <c r="AI315" s="15">
        <f>IF(COUNTA(T315:AH315)=0,"",SUM(T315:AH315))</f>
        <v/>
      </c>
      <c r="AJ315" s="21">
        <f>IF(COUNTA(T315:AH315)=0,"",AI315/(COUNT(KPI_Weights!$A$4:$A$18)*5))</f>
        <v/>
      </c>
      <c r="AK315" s="21">
        <f>IF(COUNTA(T315:AH315)=0,"",SUMPRODUCT(T315:AH315,KPI_Weights!$B$4:$B$18)/5)</f>
        <v/>
      </c>
      <c r="AL315" s="15">
        <f>IF(COUNTA(T315:AH315)=0,"",IF(SUMPRODUCT(--(T315:AH315&lt;=1),--(KPI_Weights!$C$4:$C$18="YES"))&gt;0,"YES","NO"))</f>
        <v/>
      </c>
      <c r="AM315" s="15">
        <f>IF(AJ315="","",IF(AND(AL315="NO",AJ315&gt;=0.75),"YES","NO"))</f>
        <v/>
      </c>
      <c r="AN315" s="15">
        <f>IF(AJ315="","",IF(AJ315&lt;0.4,"Critical",IF(AJ315&lt;0.6,"Poor",IF(AJ315&lt;0.75,"Needs Improvement",IF(AJ315&lt;0.9,"Good","Excellent")))))</f>
        <v/>
      </c>
      <c r="AO315" s="41" t="n"/>
      <c r="AP315" s="41" t="n"/>
      <c r="AQ315" s="41" t="n"/>
      <c r="AR315" s="41" t="n"/>
      <c r="AS315" s="41" t="n"/>
      <c r="AT315" s="44" t="n"/>
      <c r="AU315" s="41" t="n"/>
      <c r="AV315" s="43" t="n"/>
      <c r="AW315" s="41" t="n"/>
      <c r="AX315" s="44" t="n"/>
      <c r="AY315" s="44" t="n"/>
      <c r="AZ315" s="44" t="n"/>
      <c r="BA315" s="44" t="n"/>
      <c r="BB315" s="44" t="n"/>
      <c r="BC315" s="44" t="n"/>
      <c r="BD315" s="44" t="n"/>
      <c r="BE315" s="44" t="n"/>
      <c r="BF315" s="44" t="n"/>
    </row>
    <row r="316" ht="19.5" customHeight="1" s="45">
      <c r="A316" s="15">
        <f>IF($B316="","",TEXT($B316,"yyyymmdd")&amp;"-"&amp;SUBSTITUTE($F316," ","")&amp;"-"&amp;TEXT(COUNTIF($F$4:F316,$F316),"00"))</f>
        <v/>
      </c>
      <c r="B316" s="39" t="n"/>
      <c r="C316" s="15">
        <f>IF($B316="","",WEEKNUM($B316,2))</f>
        <v/>
      </c>
      <c r="D316" s="15">
        <f>IF($B316="","",TEXT($B316,"yyyy-mm"))</f>
        <v/>
      </c>
      <c r="E316" s="40" t="n"/>
      <c r="F316" s="40" t="n"/>
      <c r="G316" s="15">
        <f>IF(OR($E316="",$F316=""),"",IFERROR(IF($E316=INDEX(Cluster_Master!$A$4:$A$18,MATCH($F316,Cluster_Master!$B$4:$B$18,0)),"OK","CHECK"),"CHECK"))</f>
        <v/>
      </c>
      <c r="H316" s="18">
        <f>IFERROR(INDEX(Cluster_Master!$C$4:$C$18,MATCH($F316,Cluster_Master!$B$4:$B$18,0)),"")</f>
        <v/>
      </c>
      <c r="I316" s="15">
        <f>IFERROR(INDEX(Cluster_Master!$D$4:$D$18,MATCH($F316,Cluster_Master!$B$4:$B$18,0)),"")</f>
        <v/>
      </c>
      <c r="J316" s="15">
        <f>IFERROR(INDEX(Cluster_Master!$E$4:$E$18,MATCH($F316,Cluster_Master!$B$4:$B$18,0)),"")</f>
        <v/>
      </c>
      <c r="K316" s="15">
        <f>IFERROR(INDEX(Cluster_Master!$F$4:$F$18,MATCH($F316,Cluster_Master!$B$4:$B$18,0)),"")</f>
        <v/>
      </c>
      <c r="L316" s="15">
        <f>IFERROR(INDEX(Cluster_Master!$G$4:$G$18,MATCH($F316,Cluster_Master!$B$4:$B$18,0)),"")</f>
        <v/>
      </c>
      <c r="M316" s="15">
        <f>IFERROR(INDEX(Cluster_Master!$H$4:$H$18,MATCH($F316,Cluster_Master!$B$4:$B$18,0)),"")</f>
        <v/>
      </c>
      <c r="N316" s="41" t="n"/>
      <c r="O316" s="41" t="n"/>
      <c r="P316" s="41" t="n"/>
      <c r="Q316" s="41" t="n"/>
      <c r="R316" s="41" t="n"/>
      <c r="S316" s="41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2" t="n"/>
      <c r="AG316" s="42" t="n"/>
      <c r="AH316" s="42" t="n"/>
      <c r="AI316" s="15">
        <f>IF(COUNTA(T316:AH316)=0,"",SUM(T316:AH316))</f>
        <v/>
      </c>
      <c r="AJ316" s="21">
        <f>IF(COUNTA(T316:AH316)=0,"",AI316/(COUNT(KPI_Weights!$A$4:$A$18)*5))</f>
        <v/>
      </c>
      <c r="AK316" s="21">
        <f>IF(COUNTA(T316:AH316)=0,"",SUMPRODUCT(T316:AH316,KPI_Weights!$B$4:$B$18)/5)</f>
        <v/>
      </c>
      <c r="AL316" s="15">
        <f>IF(COUNTA(T316:AH316)=0,"",IF(SUMPRODUCT(--(T316:AH316&lt;=1),--(KPI_Weights!$C$4:$C$18="YES"))&gt;0,"YES","NO"))</f>
        <v/>
      </c>
      <c r="AM316" s="15">
        <f>IF(AJ316="","",IF(AND(AL316="NO",AJ316&gt;=0.75),"YES","NO"))</f>
        <v/>
      </c>
      <c r="AN316" s="15">
        <f>IF(AJ316="","",IF(AJ316&lt;0.4,"Critical",IF(AJ316&lt;0.6,"Poor",IF(AJ316&lt;0.75,"Needs Improvement",IF(AJ316&lt;0.9,"Good","Excellent")))))</f>
        <v/>
      </c>
      <c r="AO316" s="41" t="n"/>
      <c r="AP316" s="41" t="n"/>
      <c r="AQ316" s="41" t="n"/>
      <c r="AR316" s="41" t="n"/>
      <c r="AS316" s="41" t="n"/>
      <c r="AT316" s="44" t="n"/>
      <c r="AU316" s="41" t="n"/>
      <c r="AV316" s="43" t="n"/>
      <c r="AW316" s="41" t="n"/>
      <c r="AX316" s="44" t="n"/>
      <c r="AY316" s="44" t="n"/>
      <c r="AZ316" s="44" t="n"/>
      <c r="BA316" s="44" t="n"/>
      <c r="BB316" s="44" t="n"/>
      <c r="BC316" s="44" t="n"/>
      <c r="BD316" s="44" t="n"/>
      <c r="BE316" s="44" t="n"/>
      <c r="BF316" s="44" t="n"/>
    </row>
    <row r="317" ht="19.5" customHeight="1" s="45">
      <c r="A317" s="15">
        <f>IF($B317="","",TEXT($B317,"yyyymmdd")&amp;"-"&amp;SUBSTITUTE($F317," ","")&amp;"-"&amp;TEXT(COUNTIF($F$4:F317,$F317),"00"))</f>
        <v/>
      </c>
      <c r="B317" s="39" t="n"/>
      <c r="C317" s="15">
        <f>IF($B317="","",WEEKNUM($B317,2))</f>
        <v/>
      </c>
      <c r="D317" s="15">
        <f>IF($B317="","",TEXT($B317,"yyyy-mm"))</f>
        <v/>
      </c>
      <c r="E317" s="40" t="n"/>
      <c r="F317" s="40" t="n"/>
      <c r="G317" s="15">
        <f>IF(OR($E317="",$F317=""),"",IFERROR(IF($E317=INDEX(Cluster_Master!$A$4:$A$18,MATCH($F317,Cluster_Master!$B$4:$B$18,0)),"OK","CHECK"),"CHECK"))</f>
        <v/>
      </c>
      <c r="H317" s="18">
        <f>IFERROR(INDEX(Cluster_Master!$C$4:$C$18,MATCH($F317,Cluster_Master!$B$4:$B$18,0)),"")</f>
        <v/>
      </c>
      <c r="I317" s="15">
        <f>IFERROR(INDEX(Cluster_Master!$D$4:$D$18,MATCH($F317,Cluster_Master!$B$4:$B$18,0)),"")</f>
        <v/>
      </c>
      <c r="J317" s="15">
        <f>IFERROR(INDEX(Cluster_Master!$E$4:$E$18,MATCH($F317,Cluster_Master!$B$4:$B$18,0)),"")</f>
        <v/>
      </c>
      <c r="K317" s="15">
        <f>IFERROR(INDEX(Cluster_Master!$F$4:$F$18,MATCH($F317,Cluster_Master!$B$4:$B$18,0)),"")</f>
        <v/>
      </c>
      <c r="L317" s="15">
        <f>IFERROR(INDEX(Cluster_Master!$G$4:$G$18,MATCH($F317,Cluster_Master!$B$4:$B$18,0)),"")</f>
        <v/>
      </c>
      <c r="M317" s="15">
        <f>IFERROR(INDEX(Cluster_Master!$H$4:$H$18,MATCH($F317,Cluster_Master!$B$4:$B$18,0)),"")</f>
        <v/>
      </c>
      <c r="N317" s="41" t="n"/>
      <c r="O317" s="41" t="n"/>
      <c r="P317" s="41" t="n"/>
      <c r="Q317" s="41" t="n"/>
      <c r="R317" s="41" t="n"/>
      <c r="S317" s="41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  <c r="AE317" s="42" t="n"/>
      <c r="AF317" s="42" t="n"/>
      <c r="AG317" s="42" t="n"/>
      <c r="AH317" s="42" t="n"/>
      <c r="AI317" s="15">
        <f>IF(COUNTA(T317:AH317)=0,"",SUM(T317:AH317))</f>
        <v/>
      </c>
      <c r="AJ317" s="21">
        <f>IF(COUNTA(T317:AH317)=0,"",AI317/(COUNT(KPI_Weights!$A$4:$A$18)*5))</f>
        <v/>
      </c>
      <c r="AK317" s="21">
        <f>IF(COUNTA(T317:AH317)=0,"",SUMPRODUCT(T317:AH317,KPI_Weights!$B$4:$B$18)/5)</f>
        <v/>
      </c>
      <c r="AL317" s="15">
        <f>IF(COUNTA(T317:AH317)=0,"",IF(SUMPRODUCT(--(T317:AH317&lt;=1),--(KPI_Weights!$C$4:$C$18="YES"))&gt;0,"YES","NO"))</f>
        <v/>
      </c>
      <c r="AM317" s="15">
        <f>IF(AJ317="","",IF(AND(AL317="NO",AJ317&gt;=0.75),"YES","NO"))</f>
        <v/>
      </c>
      <c r="AN317" s="15">
        <f>IF(AJ317="","",IF(AJ317&lt;0.4,"Critical",IF(AJ317&lt;0.6,"Poor",IF(AJ317&lt;0.75,"Needs Improvement",IF(AJ317&lt;0.9,"Good","Excellent")))))</f>
        <v/>
      </c>
      <c r="AO317" s="41" t="n"/>
      <c r="AP317" s="41" t="n"/>
      <c r="AQ317" s="41" t="n"/>
      <c r="AR317" s="41" t="n"/>
      <c r="AS317" s="41" t="n"/>
      <c r="AT317" s="44" t="n"/>
      <c r="AU317" s="41" t="n"/>
      <c r="AV317" s="43" t="n"/>
      <c r="AW317" s="41" t="n"/>
      <c r="AX317" s="44" t="n"/>
      <c r="AY317" s="44" t="n"/>
      <c r="AZ317" s="44" t="n"/>
      <c r="BA317" s="44" t="n"/>
      <c r="BB317" s="44" t="n"/>
      <c r="BC317" s="44" t="n"/>
      <c r="BD317" s="44" t="n"/>
      <c r="BE317" s="44" t="n"/>
      <c r="BF317" s="44" t="n"/>
    </row>
    <row r="318" ht="19.5" customHeight="1" s="45">
      <c r="A318" s="15">
        <f>IF($B318="","",TEXT($B318,"yyyymmdd")&amp;"-"&amp;SUBSTITUTE($F318," ","")&amp;"-"&amp;TEXT(COUNTIF($F$4:F318,$F318),"00"))</f>
        <v/>
      </c>
      <c r="B318" s="39" t="n"/>
      <c r="C318" s="15">
        <f>IF($B318="","",WEEKNUM($B318,2))</f>
        <v/>
      </c>
      <c r="D318" s="15">
        <f>IF($B318="","",TEXT($B318,"yyyy-mm"))</f>
        <v/>
      </c>
      <c r="E318" s="40" t="n"/>
      <c r="F318" s="40" t="n"/>
      <c r="G318" s="15">
        <f>IF(OR($E318="",$F318=""),"",IFERROR(IF($E318=INDEX(Cluster_Master!$A$4:$A$18,MATCH($F318,Cluster_Master!$B$4:$B$18,0)),"OK","CHECK"),"CHECK"))</f>
        <v/>
      </c>
      <c r="H318" s="18">
        <f>IFERROR(INDEX(Cluster_Master!$C$4:$C$18,MATCH($F318,Cluster_Master!$B$4:$B$18,0)),"")</f>
        <v/>
      </c>
      <c r="I318" s="15">
        <f>IFERROR(INDEX(Cluster_Master!$D$4:$D$18,MATCH($F318,Cluster_Master!$B$4:$B$18,0)),"")</f>
        <v/>
      </c>
      <c r="J318" s="15">
        <f>IFERROR(INDEX(Cluster_Master!$E$4:$E$18,MATCH($F318,Cluster_Master!$B$4:$B$18,0)),"")</f>
        <v/>
      </c>
      <c r="K318" s="15">
        <f>IFERROR(INDEX(Cluster_Master!$F$4:$F$18,MATCH($F318,Cluster_Master!$B$4:$B$18,0)),"")</f>
        <v/>
      </c>
      <c r="L318" s="15">
        <f>IFERROR(INDEX(Cluster_Master!$G$4:$G$18,MATCH($F318,Cluster_Master!$B$4:$B$18,0)),"")</f>
        <v/>
      </c>
      <c r="M318" s="15">
        <f>IFERROR(INDEX(Cluster_Master!$H$4:$H$18,MATCH($F318,Cluster_Master!$B$4:$B$18,0)),"")</f>
        <v/>
      </c>
      <c r="N318" s="41" t="n"/>
      <c r="O318" s="41" t="n"/>
      <c r="P318" s="41" t="n"/>
      <c r="Q318" s="41" t="n"/>
      <c r="R318" s="41" t="n"/>
      <c r="S318" s="41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2" t="n"/>
      <c r="AG318" s="42" t="n"/>
      <c r="AH318" s="42" t="n"/>
      <c r="AI318" s="15">
        <f>IF(COUNTA(T318:AH318)=0,"",SUM(T318:AH318))</f>
        <v/>
      </c>
      <c r="AJ318" s="21">
        <f>IF(COUNTA(T318:AH318)=0,"",AI318/(COUNT(KPI_Weights!$A$4:$A$18)*5))</f>
        <v/>
      </c>
      <c r="AK318" s="21">
        <f>IF(COUNTA(T318:AH318)=0,"",SUMPRODUCT(T318:AH318,KPI_Weights!$B$4:$B$18)/5)</f>
        <v/>
      </c>
      <c r="AL318" s="15">
        <f>IF(COUNTA(T318:AH318)=0,"",IF(SUMPRODUCT(--(T318:AH318&lt;=1),--(KPI_Weights!$C$4:$C$18="YES"))&gt;0,"YES","NO"))</f>
        <v/>
      </c>
      <c r="AM318" s="15">
        <f>IF(AJ318="","",IF(AND(AL318="NO",AJ318&gt;=0.75),"YES","NO"))</f>
        <v/>
      </c>
      <c r="AN318" s="15">
        <f>IF(AJ318="","",IF(AJ318&lt;0.4,"Critical",IF(AJ318&lt;0.6,"Poor",IF(AJ318&lt;0.75,"Needs Improvement",IF(AJ318&lt;0.9,"Good","Excellent")))))</f>
        <v/>
      </c>
      <c r="AO318" s="41" t="n"/>
      <c r="AP318" s="41" t="n"/>
      <c r="AQ318" s="41" t="n"/>
      <c r="AR318" s="41" t="n"/>
      <c r="AS318" s="41" t="n"/>
      <c r="AT318" s="44" t="n"/>
      <c r="AU318" s="41" t="n"/>
      <c r="AV318" s="43" t="n"/>
      <c r="AW318" s="41" t="n"/>
      <c r="AX318" s="44" t="n"/>
      <c r="AY318" s="44" t="n"/>
      <c r="AZ318" s="44" t="n"/>
      <c r="BA318" s="44" t="n"/>
      <c r="BB318" s="44" t="n"/>
      <c r="BC318" s="44" t="n"/>
      <c r="BD318" s="44" t="n"/>
      <c r="BE318" s="44" t="n"/>
      <c r="BF318" s="44" t="n"/>
    </row>
    <row r="319" ht="19.5" customHeight="1" s="45">
      <c r="A319" s="15">
        <f>IF($B319="","",TEXT($B319,"yyyymmdd")&amp;"-"&amp;SUBSTITUTE($F319," ","")&amp;"-"&amp;TEXT(COUNTIF($F$4:F319,$F319),"00"))</f>
        <v/>
      </c>
      <c r="B319" s="39" t="n"/>
      <c r="C319" s="15">
        <f>IF($B319="","",WEEKNUM($B319,2))</f>
        <v/>
      </c>
      <c r="D319" s="15">
        <f>IF($B319="","",TEXT($B319,"yyyy-mm"))</f>
        <v/>
      </c>
      <c r="E319" s="40" t="n"/>
      <c r="F319" s="40" t="n"/>
      <c r="G319" s="15">
        <f>IF(OR($E319="",$F319=""),"",IFERROR(IF($E319=INDEX(Cluster_Master!$A$4:$A$18,MATCH($F319,Cluster_Master!$B$4:$B$18,0)),"OK","CHECK"),"CHECK"))</f>
        <v/>
      </c>
      <c r="H319" s="18">
        <f>IFERROR(INDEX(Cluster_Master!$C$4:$C$18,MATCH($F319,Cluster_Master!$B$4:$B$18,0)),"")</f>
        <v/>
      </c>
      <c r="I319" s="15">
        <f>IFERROR(INDEX(Cluster_Master!$D$4:$D$18,MATCH($F319,Cluster_Master!$B$4:$B$18,0)),"")</f>
        <v/>
      </c>
      <c r="J319" s="15">
        <f>IFERROR(INDEX(Cluster_Master!$E$4:$E$18,MATCH($F319,Cluster_Master!$B$4:$B$18,0)),"")</f>
        <v/>
      </c>
      <c r="K319" s="15">
        <f>IFERROR(INDEX(Cluster_Master!$F$4:$F$18,MATCH($F319,Cluster_Master!$B$4:$B$18,0)),"")</f>
        <v/>
      </c>
      <c r="L319" s="15">
        <f>IFERROR(INDEX(Cluster_Master!$G$4:$G$18,MATCH($F319,Cluster_Master!$B$4:$B$18,0)),"")</f>
        <v/>
      </c>
      <c r="M319" s="15">
        <f>IFERROR(INDEX(Cluster_Master!$H$4:$H$18,MATCH($F319,Cluster_Master!$B$4:$B$18,0)),"")</f>
        <v/>
      </c>
      <c r="N319" s="41" t="n"/>
      <c r="O319" s="41" t="n"/>
      <c r="P319" s="41" t="n"/>
      <c r="Q319" s="41" t="n"/>
      <c r="R319" s="41" t="n"/>
      <c r="S319" s="41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E319" s="42" t="n"/>
      <c r="AF319" s="42" t="n"/>
      <c r="AG319" s="42" t="n"/>
      <c r="AH319" s="42" t="n"/>
      <c r="AI319" s="15">
        <f>IF(COUNTA(T319:AH319)=0,"",SUM(T319:AH319))</f>
        <v/>
      </c>
      <c r="AJ319" s="21">
        <f>IF(COUNTA(T319:AH319)=0,"",AI319/(COUNT(KPI_Weights!$A$4:$A$18)*5))</f>
        <v/>
      </c>
      <c r="AK319" s="21">
        <f>IF(COUNTA(T319:AH319)=0,"",SUMPRODUCT(T319:AH319,KPI_Weights!$B$4:$B$18)/5)</f>
        <v/>
      </c>
      <c r="AL319" s="15">
        <f>IF(COUNTA(T319:AH319)=0,"",IF(SUMPRODUCT(--(T319:AH319&lt;=1),--(KPI_Weights!$C$4:$C$18="YES"))&gt;0,"YES","NO"))</f>
        <v/>
      </c>
      <c r="AM319" s="15">
        <f>IF(AJ319="","",IF(AND(AL319="NO",AJ319&gt;=0.75),"YES","NO"))</f>
        <v/>
      </c>
      <c r="AN319" s="15">
        <f>IF(AJ319="","",IF(AJ319&lt;0.4,"Critical",IF(AJ319&lt;0.6,"Poor",IF(AJ319&lt;0.75,"Needs Improvement",IF(AJ319&lt;0.9,"Good","Excellent")))))</f>
        <v/>
      </c>
      <c r="AO319" s="41" t="n"/>
      <c r="AP319" s="41" t="n"/>
      <c r="AQ319" s="41" t="n"/>
      <c r="AR319" s="41" t="n"/>
      <c r="AS319" s="41" t="n"/>
      <c r="AT319" s="44" t="n"/>
      <c r="AU319" s="41" t="n"/>
      <c r="AV319" s="43" t="n"/>
      <c r="AW319" s="41" t="n"/>
      <c r="AX319" s="44" t="n"/>
      <c r="AY319" s="44" t="n"/>
      <c r="AZ319" s="44" t="n"/>
      <c r="BA319" s="44" t="n"/>
      <c r="BB319" s="44" t="n"/>
      <c r="BC319" s="44" t="n"/>
      <c r="BD319" s="44" t="n"/>
      <c r="BE319" s="44" t="n"/>
      <c r="BF319" s="44" t="n"/>
    </row>
    <row r="320" ht="19.5" customHeight="1" s="45">
      <c r="A320" s="15">
        <f>IF($B320="","",TEXT($B320,"yyyymmdd")&amp;"-"&amp;SUBSTITUTE($F320," ","")&amp;"-"&amp;TEXT(COUNTIF($F$4:F320,$F320),"00"))</f>
        <v/>
      </c>
      <c r="B320" s="39" t="n"/>
      <c r="C320" s="15">
        <f>IF($B320="","",WEEKNUM($B320,2))</f>
        <v/>
      </c>
      <c r="D320" s="15">
        <f>IF($B320="","",TEXT($B320,"yyyy-mm"))</f>
        <v/>
      </c>
      <c r="E320" s="40" t="n"/>
      <c r="F320" s="40" t="n"/>
      <c r="G320" s="15">
        <f>IF(OR($E320="",$F320=""),"",IFERROR(IF($E320=INDEX(Cluster_Master!$A$4:$A$18,MATCH($F320,Cluster_Master!$B$4:$B$18,0)),"OK","CHECK"),"CHECK"))</f>
        <v/>
      </c>
      <c r="H320" s="18">
        <f>IFERROR(INDEX(Cluster_Master!$C$4:$C$18,MATCH($F320,Cluster_Master!$B$4:$B$18,0)),"")</f>
        <v/>
      </c>
      <c r="I320" s="15">
        <f>IFERROR(INDEX(Cluster_Master!$D$4:$D$18,MATCH($F320,Cluster_Master!$B$4:$B$18,0)),"")</f>
        <v/>
      </c>
      <c r="J320" s="15">
        <f>IFERROR(INDEX(Cluster_Master!$E$4:$E$18,MATCH($F320,Cluster_Master!$B$4:$B$18,0)),"")</f>
        <v/>
      </c>
      <c r="K320" s="15">
        <f>IFERROR(INDEX(Cluster_Master!$F$4:$F$18,MATCH($F320,Cluster_Master!$B$4:$B$18,0)),"")</f>
        <v/>
      </c>
      <c r="L320" s="15">
        <f>IFERROR(INDEX(Cluster_Master!$G$4:$G$18,MATCH($F320,Cluster_Master!$B$4:$B$18,0)),"")</f>
        <v/>
      </c>
      <c r="M320" s="15">
        <f>IFERROR(INDEX(Cluster_Master!$H$4:$H$18,MATCH($F320,Cluster_Master!$B$4:$B$18,0)),"")</f>
        <v/>
      </c>
      <c r="N320" s="41" t="n"/>
      <c r="O320" s="41" t="n"/>
      <c r="P320" s="41" t="n"/>
      <c r="Q320" s="41" t="n"/>
      <c r="R320" s="41" t="n"/>
      <c r="S320" s="41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2" t="n"/>
      <c r="AG320" s="42" t="n"/>
      <c r="AH320" s="42" t="n"/>
      <c r="AI320" s="15">
        <f>IF(COUNTA(T320:AH320)=0,"",SUM(T320:AH320))</f>
        <v/>
      </c>
      <c r="AJ320" s="21">
        <f>IF(COUNTA(T320:AH320)=0,"",AI320/(COUNT(KPI_Weights!$A$4:$A$18)*5))</f>
        <v/>
      </c>
      <c r="AK320" s="21">
        <f>IF(COUNTA(T320:AH320)=0,"",SUMPRODUCT(T320:AH320,KPI_Weights!$B$4:$B$18)/5)</f>
        <v/>
      </c>
      <c r="AL320" s="15">
        <f>IF(COUNTA(T320:AH320)=0,"",IF(SUMPRODUCT(--(T320:AH320&lt;=1),--(KPI_Weights!$C$4:$C$18="YES"))&gt;0,"YES","NO"))</f>
        <v/>
      </c>
      <c r="AM320" s="15">
        <f>IF(AJ320="","",IF(AND(AL320="NO",AJ320&gt;=0.75),"YES","NO"))</f>
        <v/>
      </c>
      <c r="AN320" s="15">
        <f>IF(AJ320="","",IF(AJ320&lt;0.4,"Critical",IF(AJ320&lt;0.6,"Poor",IF(AJ320&lt;0.75,"Needs Improvement",IF(AJ320&lt;0.9,"Good","Excellent")))))</f>
        <v/>
      </c>
      <c r="AO320" s="41" t="n"/>
      <c r="AP320" s="41" t="n"/>
      <c r="AQ320" s="41" t="n"/>
      <c r="AR320" s="41" t="n"/>
      <c r="AS320" s="41" t="n"/>
      <c r="AT320" s="44" t="n"/>
      <c r="AU320" s="41" t="n"/>
      <c r="AV320" s="43" t="n"/>
      <c r="AW320" s="41" t="n"/>
      <c r="AX320" s="44" t="n"/>
      <c r="AY320" s="44" t="n"/>
      <c r="AZ320" s="44" t="n"/>
      <c r="BA320" s="44" t="n"/>
      <c r="BB320" s="44" t="n"/>
      <c r="BC320" s="44" t="n"/>
      <c r="BD320" s="44" t="n"/>
      <c r="BE320" s="44" t="n"/>
      <c r="BF320" s="44" t="n"/>
    </row>
    <row r="321" ht="19.5" customHeight="1" s="45">
      <c r="A321" s="15">
        <f>IF($B321="","",TEXT($B321,"yyyymmdd")&amp;"-"&amp;SUBSTITUTE($F321," ","")&amp;"-"&amp;TEXT(COUNTIF($F$4:F321,$F321),"00"))</f>
        <v/>
      </c>
      <c r="B321" s="39" t="n"/>
      <c r="C321" s="15">
        <f>IF($B321="","",WEEKNUM($B321,2))</f>
        <v/>
      </c>
      <c r="D321" s="15">
        <f>IF($B321="","",TEXT($B321,"yyyy-mm"))</f>
        <v/>
      </c>
      <c r="E321" s="40" t="n"/>
      <c r="F321" s="40" t="n"/>
      <c r="G321" s="15">
        <f>IF(OR($E321="",$F321=""),"",IFERROR(IF($E321=INDEX(Cluster_Master!$A$4:$A$18,MATCH($F321,Cluster_Master!$B$4:$B$18,0)),"OK","CHECK"),"CHECK"))</f>
        <v/>
      </c>
      <c r="H321" s="18">
        <f>IFERROR(INDEX(Cluster_Master!$C$4:$C$18,MATCH($F321,Cluster_Master!$B$4:$B$18,0)),"")</f>
        <v/>
      </c>
      <c r="I321" s="15">
        <f>IFERROR(INDEX(Cluster_Master!$D$4:$D$18,MATCH($F321,Cluster_Master!$B$4:$B$18,0)),"")</f>
        <v/>
      </c>
      <c r="J321" s="15">
        <f>IFERROR(INDEX(Cluster_Master!$E$4:$E$18,MATCH($F321,Cluster_Master!$B$4:$B$18,0)),"")</f>
        <v/>
      </c>
      <c r="K321" s="15">
        <f>IFERROR(INDEX(Cluster_Master!$F$4:$F$18,MATCH($F321,Cluster_Master!$B$4:$B$18,0)),"")</f>
        <v/>
      </c>
      <c r="L321" s="15">
        <f>IFERROR(INDEX(Cluster_Master!$G$4:$G$18,MATCH($F321,Cluster_Master!$B$4:$B$18,0)),"")</f>
        <v/>
      </c>
      <c r="M321" s="15">
        <f>IFERROR(INDEX(Cluster_Master!$H$4:$H$18,MATCH($F321,Cluster_Master!$B$4:$B$18,0)),"")</f>
        <v/>
      </c>
      <c r="N321" s="41" t="n"/>
      <c r="O321" s="41" t="n"/>
      <c r="P321" s="41" t="n"/>
      <c r="Q321" s="41" t="n"/>
      <c r="R321" s="41" t="n"/>
      <c r="S321" s="41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  <c r="AE321" s="42" t="n"/>
      <c r="AF321" s="42" t="n"/>
      <c r="AG321" s="42" t="n"/>
      <c r="AH321" s="42" t="n"/>
      <c r="AI321" s="15">
        <f>IF(COUNTA(T321:AH321)=0,"",SUM(T321:AH321))</f>
        <v/>
      </c>
      <c r="AJ321" s="21">
        <f>IF(COUNTA(T321:AH321)=0,"",AI321/(COUNT(KPI_Weights!$A$4:$A$18)*5))</f>
        <v/>
      </c>
      <c r="AK321" s="21">
        <f>IF(COUNTA(T321:AH321)=0,"",SUMPRODUCT(T321:AH321,KPI_Weights!$B$4:$B$18)/5)</f>
        <v/>
      </c>
      <c r="AL321" s="15">
        <f>IF(COUNTA(T321:AH321)=0,"",IF(SUMPRODUCT(--(T321:AH321&lt;=1),--(KPI_Weights!$C$4:$C$18="YES"))&gt;0,"YES","NO"))</f>
        <v/>
      </c>
      <c r="AM321" s="15">
        <f>IF(AJ321="","",IF(AND(AL321="NO",AJ321&gt;=0.75),"YES","NO"))</f>
        <v/>
      </c>
      <c r="AN321" s="15">
        <f>IF(AJ321="","",IF(AJ321&lt;0.4,"Critical",IF(AJ321&lt;0.6,"Poor",IF(AJ321&lt;0.75,"Needs Improvement",IF(AJ321&lt;0.9,"Good","Excellent")))))</f>
        <v/>
      </c>
      <c r="AO321" s="41" t="n"/>
      <c r="AP321" s="41" t="n"/>
      <c r="AQ321" s="41" t="n"/>
      <c r="AR321" s="41" t="n"/>
      <c r="AS321" s="41" t="n"/>
      <c r="AT321" s="44" t="n"/>
      <c r="AU321" s="41" t="n"/>
      <c r="AV321" s="43" t="n"/>
      <c r="AW321" s="41" t="n"/>
      <c r="AX321" s="44" t="n"/>
      <c r="AY321" s="44" t="n"/>
      <c r="AZ321" s="44" t="n"/>
      <c r="BA321" s="44" t="n"/>
      <c r="BB321" s="44" t="n"/>
      <c r="BC321" s="44" t="n"/>
      <c r="BD321" s="44" t="n"/>
      <c r="BE321" s="44" t="n"/>
      <c r="BF321" s="44" t="n"/>
    </row>
    <row r="322" ht="19.5" customHeight="1" s="45">
      <c r="A322" s="15">
        <f>IF($B322="","",TEXT($B322,"yyyymmdd")&amp;"-"&amp;SUBSTITUTE($F322," ","")&amp;"-"&amp;TEXT(COUNTIF($F$4:F322,$F322),"00"))</f>
        <v/>
      </c>
      <c r="B322" s="39" t="n"/>
      <c r="C322" s="15">
        <f>IF($B322="","",WEEKNUM($B322,2))</f>
        <v/>
      </c>
      <c r="D322" s="15">
        <f>IF($B322="","",TEXT($B322,"yyyy-mm"))</f>
        <v/>
      </c>
      <c r="E322" s="40" t="n"/>
      <c r="F322" s="40" t="n"/>
      <c r="G322" s="15">
        <f>IF(OR($E322="",$F322=""),"",IFERROR(IF($E322=INDEX(Cluster_Master!$A$4:$A$18,MATCH($F322,Cluster_Master!$B$4:$B$18,0)),"OK","CHECK"),"CHECK"))</f>
        <v/>
      </c>
      <c r="H322" s="18">
        <f>IFERROR(INDEX(Cluster_Master!$C$4:$C$18,MATCH($F322,Cluster_Master!$B$4:$B$18,0)),"")</f>
        <v/>
      </c>
      <c r="I322" s="15">
        <f>IFERROR(INDEX(Cluster_Master!$D$4:$D$18,MATCH($F322,Cluster_Master!$B$4:$B$18,0)),"")</f>
        <v/>
      </c>
      <c r="J322" s="15">
        <f>IFERROR(INDEX(Cluster_Master!$E$4:$E$18,MATCH($F322,Cluster_Master!$B$4:$B$18,0)),"")</f>
        <v/>
      </c>
      <c r="K322" s="15">
        <f>IFERROR(INDEX(Cluster_Master!$F$4:$F$18,MATCH($F322,Cluster_Master!$B$4:$B$18,0)),"")</f>
        <v/>
      </c>
      <c r="L322" s="15">
        <f>IFERROR(INDEX(Cluster_Master!$G$4:$G$18,MATCH($F322,Cluster_Master!$B$4:$B$18,0)),"")</f>
        <v/>
      </c>
      <c r="M322" s="15">
        <f>IFERROR(INDEX(Cluster_Master!$H$4:$H$18,MATCH($F322,Cluster_Master!$B$4:$B$18,0)),"")</f>
        <v/>
      </c>
      <c r="N322" s="41" t="n"/>
      <c r="O322" s="41" t="n"/>
      <c r="P322" s="41" t="n"/>
      <c r="Q322" s="41" t="n"/>
      <c r="R322" s="41" t="n"/>
      <c r="S322" s="41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2" t="n"/>
      <c r="AG322" s="42" t="n"/>
      <c r="AH322" s="42" t="n"/>
      <c r="AI322" s="15">
        <f>IF(COUNTA(T322:AH322)=0,"",SUM(T322:AH322))</f>
        <v/>
      </c>
      <c r="AJ322" s="21">
        <f>IF(COUNTA(T322:AH322)=0,"",AI322/(COUNT(KPI_Weights!$A$4:$A$18)*5))</f>
        <v/>
      </c>
      <c r="AK322" s="21">
        <f>IF(COUNTA(T322:AH322)=0,"",SUMPRODUCT(T322:AH322,KPI_Weights!$B$4:$B$18)/5)</f>
        <v/>
      </c>
      <c r="AL322" s="15">
        <f>IF(COUNTA(T322:AH322)=0,"",IF(SUMPRODUCT(--(T322:AH322&lt;=1),--(KPI_Weights!$C$4:$C$18="YES"))&gt;0,"YES","NO"))</f>
        <v/>
      </c>
      <c r="AM322" s="15">
        <f>IF(AJ322="","",IF(AND(AL322="NO",AJ322&gt;=0.75),"YES","NO"))</f>
        <v/>
      </c>
      <c r="AN322" s="15">
        <f>IF(AJ322="","",IF(AJ322&lt;0.4,"Critical",IF(AJ322&lt;0.6,"Poor",IF(AJ322&lt;0.75,"Needs Improvement",IF(AJ322&lt;0.9,"Good","Excellent")))))</f>
        <v/>
      </c>
      <c r="AO322" s="41" t="n"/>
      <c r="AP322" s="41" t="n"/>
      <c r="AQ322" s="41" t="n"/>
      <c r="AR322" s="41" t="n"/>
      <c r="AS322" s="41" t="n"/>
      <c r="AT322" s="44" t="n"/>
      <c r="AU322" s="41" t="n"/>
      <c r="AV322" s="43" t="n"/>
      <c r="AW322" s="41" t="n"/>
      <c r="AX322" s="44" t="n"/>
      <c r="AY322" s="44" t="n"/>
      <c r="AZ322" s="44" t="n"/>
      <c r="BA322" s="44" t="n"/>
      <c r="BB322" s="44" t="n"/>
      <c r="BC322" s="44" t="n"/>
      <c r="BD322" s="44" t="n"/>
      <c r="BE322" s="44" t="n"/>
      <c r="BF322" s="44" t="n"/>
    </row>
    <row r="323" ht="19.5" customHeight="1" s="45">
      <c r="A323" s="15">
        <f>IF($B323="","",TEXT($B323,"yyyymmdd")&amp;"-"&amp;SUBSTITUTE($F323," ","")&amp;"-"&amp;TEXT(COUNTIF($F$4:F323,$F323),"00"))</f>
        <v/>
      </c>
      <c r="B323" s="39" t="n"/>
      <c r="C323" s="15">
        <f>IF($B323="","",WEEKNUM($B323,2))</f>
        <v/>
      </c>
      <c r="D323" s="15">
        <f>IF($B323="","",TEXT($B323,"yyyy-mm"))</f>
        <v/>
      </c>
      <c r="E323" s="40" t="n"/>
      <c r="F323" s="40" t="n"/>
      <c r="G323" s="15">
        <f>IF(OR($E323="",$F323=""),"",IFERROR(IF($E323=INDEX(Cluster_Master!$A$4:$A$18,MATCH($F323,Cluster_Master!$B$4:$B$18,0)),"OK","CHECK"),"CHECK"))</f>
        <v/>
      </c>
      <c r="H323" s="18">
        <f>IFERROR(INDEX(Cluster_Master!$C$4:$C$18,MATCH($F323,Cluster_Master!$B$4:$B$18,0)),"")</f>
        <v/>
      </c>
      <c r="I323" s="15">
        <f>IFERROR(INDEX(Cluster_Master!$D$4:$D$18,MATCH($F323,Cluster_Master!$B$4:$B$18,0)),"")</f>
        <v/>
      </c>
      <c r="J323" s="15">
        <f>IFERROR(INDEX(Cluster_Master!$E$4:$E$18,MATCH($F323,Cluster_Master!$B$4:$B$18,0)),"")</f>
        <v/>
      </c>
      <c r="K323" s="15">
        <f>IFERROR(INDEX(Cluster_Master!$F$4:$F$18,MATCH($F323,Cluster_Master!$B$4:$B$18,0)),"")</f>
        <v/>
      </c>
      <c r="L323" s="15">
        <f>IFERROR(INDEX(Cluster_Master!$G$4:$G$18,MATCH($F323,Cluster_Master!$B$4:$B$18,0)),"")</f>
        <v/>
      </c>
      <c r="M323" s="15">
        <f>IFERROR(INDEX(Cluster_Master!$H$4:$H$18,MATCH($F323,Cluster_Master!$B$4:$B$18,0)),"")</f>
        <v/>
      </c>
      <c r="N323" s="41" t="n"/>
      <c r="O323" s="41" t="n"/>
      <c r="P323" s="41" t="n"/>
      <c r="Q323" s="41" t="n"/>
      <c r="R323" s="41" t="n"/>
      <c r="S323" s="41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  <c r="AE323" s="42" t="n"/>
      <c r="AF323" s="42" t="n"/>
      <c r="AG323" s="42" t="n"/>
      <c r="AH323" s="42" t="n"/>
      <c r="AI323" s="15">
        <f>IF(COUNTA(T323:AH323)=0,"",SUM(T323:AH323))</f>
        <v/>
      </c>
      <c r="AJ323" s="21">
        <f>IF(COUNTA(T323:AH323)=0,"",AI323/(COUNT(KPI_Weights!$A$4:$A$18)*5))</f>
        <v/>
      </c>
      <c r="AK323" s="21">
        <f>IF(COUNTA(T323:AH323)=0,"",SUMPRODUCT(T323:AH323,KPI_Weights!$B$4:$B$18)/5)</f>
        <v/>
      </c>
      <c r="AL323" s="15">
        <f>IF(COUNTA(T323:AH323)=0,"",IF(SUMPRODUCT(--(T323:AH323&lt;=1),--(KPI_Weights!$C$4:$C$18="YES"))&gt;0,"YES","NO"))</f>
        <v/>
      </c>
      <c r="AM323" s="15">
        <f>IF(AJ323="","",IF(AND(AL323="NO",AJ323&gt;=0.75),"YES","NO"))</f>
        <v/>
      </c>
      <c r="AN323" s="15">
        <f>IF(AJ323="","",IF(AJ323&lt;0.4,"Critical",IF(AJ323&lt;0.6,"Poor",IF(AJ323&lt;0.75,"Needs Improvement",IF(AJ323&lt;0.9,"Good","Excellent")))))</f>
        <v/>
      </c>
      <c r="AO323" s="41" t="n"/>
      <c r="AP323" s="41" t="n"/>
      <c r="AQ323" s="41" t="n"/>
      <c r="AR323" s="41" t="n"/>
      <c r="AS323" s="41" t="n"/>
      <c r="AT323" s="44" t="n"/>
      <c r="AU323" s="41" t="n"/>
      <c r="AV323" s="43" t="n"/>
      <c r="AW323" s="41" t="n"/>
      <c r="AX323" s="44" t="n"/>
      <c r="AY323" s="44" t="n"/>
      <c r="AZ323" s="44" t="n"/>
      <c r="BA323" s="44" t="n"/>
      <c r="BB323" s="44" t="n"/>
      <c r="BC323" s="44" t="n"/>
      <c r="BD323" s="44" t="n"/>
      <c r="BE323" s="44" t="n"/>
      <c r="BF323" s="44" t="n"/>
    </row>
    <row r="324" ht="19.5" customHeight="1" s="45">
      <c r="A324" s="15">
        <f>IF($B324="","",TEXT($B324,"yyyymmdd")&amp;"-"&amp;SUBSTITUTE($F324," ","")&amp;"-"&amp;TEXT(COUNTIF($F$4:F324,$F324),"00"))</f>
        <v/>
      </c>
      <c r="B324" s="39" t="n"/>
      <c r="C324" s="15">
        <f>IF($B324="","",WEEKNUM($B324,2))</f>
        <v/>
      </c>
      <c r="D324" s="15">
        <f>IF($B324="","",TEXT($B324,"yyyy-mm"))</f>
        <v/>
      </c>
      <c r="E324" s="40" t="n"/>
      <c r="F324" s="40" t="n"/>
      <c r="G324" s="15">
        <f>IF(OR($E324="",$F324=""),"",IFERROR(IF($E324=INDEX(Cluster_Master!$A$4:$A$18,MATCH($F324,Cluster_Master!$B$4:$B$18,0)),"OK","CHECK"),"CHECK"))</f>
        <v/>
      </c>
      <c r="H324" s="18">
        <f>IFERROR(INDEX(Cluster_Master!$C$4:$C$18,MATCH($F324,Cluster_Master!$B$4:$B$18,0)),"")</f>
        <v/>
      </c>
      <c r="I324" s="15">
        <f>IFERROR(INDEX(Cluster_Master!$D$4:$D$18,MATCH($F324,Cluster_Master!$B$4:$B$18,0)),"")</f>
        <v/>
      </c>
      <c r="J324" s="15">
        <f>IFERROR(INDEX(Cluster_Master!$E$4:$E$18,MATCH($F324,Cluster_Master!$B$4:$B$18,0)),"")</f>
        <v/>
      </c>
      <c r="K324" s="15">
        <f>IFERROR(INDEX(Cluster_Master!$F$4:$F$18,MATCH($F324,Cluster_Master!$B$4:$B$18,0)),"")</f>
        <v/>
      </c>
      <c r="L324" s="15">
        <f>IFERROR(INDEX(Cluster_Master!$G$4:$G$18,MATCH($F324,Cluster_Master!$B$4:$B$18,0)),"")</f>
        <v/>
      </c>
      <c r="M324" s="15">
        <f>IFERROR(INDEX(Cluster_Master!$H$4:$H$18,MATCH($F324,Cluster_Master!$B$4:$B$18,0)),"")</f>
        <v/>
      </c>
      <c r="N324" s="41" t="n"/>
      <c r="O324" s="41" t="n"/>
      <c r="P324" s="41" t="n"/>
      <c r="Q324" s="41" t="n"/>
      <c r="R324" s="41" t="n"/>
      <c r="S324" s="41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2" t="n"/>
      <c r="AG324" s="42" t="n"/>
      <c r="AH324" s="42" t="n"/>
      <c r="AI324" s="15">
        <f>IF(COUNTA(T324:AH324)=0,"",SUM(T324:AH324))</f>
        <v/>
      </c>
      <c r="AJ324" s="21">
        <f>IF(COUNTA(T324:AH324)=0,"",AI324/(COUNT(KPI_Weights!$A$4:$A$18)*5))</f>
        <v/>
      </c>
      <c r="AK324" s="21">
        <f>IF(COUNTA(T324:AH324)=0,"",SUMPRODUCT(T324:AH324,KPI_Weights!$B$4:$B$18)/5)</f>
        <v/>
      </c>
      <c r="AL324" s="15">
        <f>IF(COUNTA(T324:AH324)=0,"",IF(SUMPRODUCT(--(T324:AH324&lt;=1),--(KPI_Weights!$C$4:$C$18="YES"))&gt;0,"YES","NO"))</f>
        <v/>
      </c>
      <c r="AM324" s="15">
        <f>IF(AJ324="","",IF(AND(AL324="NO",AJ324&gt;=0.75),"YES","NO"))</f>
        <v/>
      </c>
      <c r="AN324" s="15">
        <f>IF(AJ324="","",IF(AJ324&lt;0.4,"Critical",IF(AJ324&lt;0.6,"Poor",IF(AJ324&lt;0.75,"Needs Improvement",IF(AJ324&lt;0.9,"Good","Excellent")))))</f>
        <v/>
      </c>
      <c r="AO324" s="41" t="n"/>
      <c r="AP324" s="41" t="n"/>
      <c r="AQ324" s="41" t="n"/>
      <c r="AR324" s="41" t="n"/>
      <c r="AS324" s="41" t="n"/>
      <c r="AT324" s="44" t="n"/>
      <c r="AU324" s="41" t="n"/>
      <c r="AV324" s="43" t="n"/>
      <c r="AW324" s="41" t="n"/>
      <c r="AX324" s="44" t="n"/>
      <c r="AY324" s="44" t="n"/>
      <c r="AZ324" s="44" t="n"/>
      <c r="BA324" s="44" t="n"/>
      <c r="BB324" s="44" t="n"/>
      <c r="BC324" s="44" t="n"/>
      <c r="BD324" s="44" t="n"/>
      <c r="BE324" s="44" t="n"/>
      <c r="BF324" s="44" t="n"/>
    </row>
    <row r="325" ht="19.5" customHeight="1" s="45">
      <c r="A325" s="15">
        <f>IF($B325="","",TEXT($B325,"yyyymmdd")&amp;"-"&amp;SUBSTITUTE($F325," ","")&amp;"-"&amp;TEXT(COUNTIF($F$4:F325,$F325),"00"))</f>
        <v/>
      </c>
      <c r="B325" s="39" t="n"/>
      <c r="C325" s="15">
        <f>IF($B325="","",WEEKNUM($B325,2))</f>
        <v/>
      </c>
      <c r="D325" s="15">
        <f>IF($B325="","",TEXT($B325,"yyyy-mm"))</f>
        <v/>
      </c>
      <c r="E325" s="40" t="n"/>
      <c r="F325" s="40" t="n"/>
      <c r="G325" s="15">
        <f>IF(OR($E325="",$F325=""),"",IFERROR(IF($E325=INDEX(Cluster_Master!$A$4:$A$18,MATCH($F325,Cluster_Master!$B$4:$B$18,0)),"OK","CHECK"),"CHECK"))</f>
        <v/>
      </c>
      <c r="H325" s="18">
        <f>IFERROR(INDEX(Cluster_Master!$C$4:$C$18,MATCH($F325,Cluster_Master!$B$4:$B$18,0)),"")</f>
        <v/>
      </c>
      <c r="I325" s="15">
        <f>IFERROR(INDEX(Cluster_Master!$D$4:$D$18,MATCH($F325,Cluster_Master!$B$4:$B$18,0)),"")</f>
        <v/>
      </c>
      <c r="J325" s="15">
        <f>IFERROR(INDEX(Cluster_Master!$E$4:$E$18,MATCH($F325,Cluster_Master!$B$4:$B$18,0)),"")</f>
        <v/>
      </c>
      <c r="K325" s="15">
        <f>IFERROR(INDEX(Cluster_Master!$F$4:$F$18,MATCH($F325,Cluster_Master!$B$4:$B$18,0)),"")</f>
        <v/>
      </c>
      <c r="L325" s="15">
        <f>IFERROR(INDEX(Cluster_Master!$G$4:$G$18,MATCH($F325,Cluster_Master!$B$4:$B$18,0)),"")</f>
        <v/>
      </c>
      <c r="M325" s="15">
        <f>IFERROR(INDEX(Cluster_Master!$H$4:$H$18,MATCH($F325,Cluster_Master!$B$4:$B$18,0)),"")</f>
        <v/>
      </c>
      <c r="N325" s="41" t="n"/>
      <c r="O325" s="41" t="n"/>
      <c r="P325" s="41" t="n"/>
      <c r="Q325" s="41" t="n"/>
      <c r="R325" s="41" t="n"/>
      <c r="S325" s="41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  <c r="AE325" s="42" t="n"/>
      <c r="AF325" s="42" t="n"/>
      <c r="AG325" s="42" t="n"/>
      <c r="AH325" s="42" t="n"/>
      <c r="AI325" s="15">
        <f>IF(COUNTA(T325:AH325)=0,"",SUM(T325:AH325))</f>
        <v/>
      </c>
      <c r="AJ325" s="21">
        <f>IF(COUNTA(T325:AH325)=0,"",AI325/(COUNT(KPI_Weights!$A$4:$A$18)*5))</f>
        <v/>
      </c>
      <c r="AK325" s="21">
        <f>IF(COUNTA(T325:AH325)=0,"",SUMPRODUCT(T325:AH325,KPI_Weights!$B$4:$B$18)/5)</f>
        <v/>
      </c>
      <c r="AL325" s="15">
        <f>IF(COUNTA(T325:AH325)=0,"",IF(SUMPRODUCT(--(T325:AH325&lt;=1),--(KPI_Weights!$C$4:$C$18="YES"))&gt;0,"YES","NO"))</f>
        <v/>
      </c>
      <c r="AM325" s="15">
        <f>IF(AJ325="","",IF(AND(AL325="NO",AJ325&gt;=0.75),"YES","NO"))</f>
        <v/>
      </c>
      <c r="AN325" s="15">
        <f>IF(AJ325="","",IF(AJ325&lt;0.4,"Critical",IF(AJ325&lt;0.6,"Poor",IF(AJ325&lt;0.75,"Needs Improvement",IF(AJ325&lt;0.9,"Good","Excellent")))))</f>
        <v/>
      </c>
      <c r="AO325" s="41" t="n"/>
      <c r="AP325" s="41" t="n"/>
      <c r="AQ325" s="41" t="n"/>
      <c r="AR325" s="41" t="n"/>
      <c r="AS325" s="41" t="n"/>
      <c r="AT325" s="44" t="n"/>
      <c r="AU325" s="41" t="n"/>
      <c r="AV325" s="43" t="n"/>
      <c r="AW325" s="41" t="n"/>
      <c r="AX325" s="44" t="n"/>
      <c r="AY325" s="44" t="n"/>
      <c r="AZ325" s="44" t="n"/>
      <c r="BA325" s="44" t="n"/>
      <c r="BB325" s="44" t="n"/>
      <c r="BC325" s="44" t="n"/>
      <c r="BD325" s="44" t="n"/>
      <c r="BE325" s="44" t="n"/>
      <c r="BF325" s="44" t="n"/>
    </row>
    <row r="326" ht="19.5" customHeight="1" s="45">
      <c r="A326" s="15">
        <f>IF($B326="","",TEXT($B326,"yyyymmdd")&amp;"-"&amp;SUBSTITUTE($F326," ","")&amp;"-"&amp;TEXT(COUNTIF($F$4:F326,$F326),"00"))</f>
        <v/>
      </c>
      <c r="B326" s="39" t="n"/>
      <c r="C326" s="15">
        <f>IF($B326="","",WEEKNUM($B326,2))</f>
        <v/>
      </c>
      <c r="D326" s="15">
        <f>IF($B326="","",TEXT($B326,"yyyy-mm"))</f>
        <v/>
      </c>
      <c r="E326" s="40" t="n"/>
      <c r="F326" s="40" t="n"/>
      <c r="G326" s="15">
        <f>IF(OR($E326="",$F326=""),"",IFERROR(IF($E326=INDEX(Cluster_Master!$A$4:$A$18,MATCH($F326,Cluster_Master!$B$4:$B$18,0)),"OK","CHECK"),"CHECK"))</f>
        <v/>
      </c>
      <c r="H326" s="18">
        <f>IFERROR(INDEX(Cluster_Master!$C$4:$C$18,MATCH($F326,Cluster_Master!$B$4:$B$18,0)),"")</f>
        <v/>
      </c>
      <c r="I326" s="15">
        <f>IFERROR(INDEX(Cluster_Master!$D$4:$D$18,MATCH($F326,Cluster_Master!$B$4:$B$18,0)),"")</f>
        <v/>
      </c>
      <c r="J326" s="15">
        <f>IFERROR(INDEX(Cluster_Master!$E$4:$E$18,MATCH($F326,Cluster_Master!$B$4:$B$18,0)),"")</f>
        <v/>
      </c>
      <c r="K326" s="15">
        <f>IFERROR(INDEX(Cluster_Master!$F$4:$F$18,MATCH($F326,Cluster_Master!$B$4:$B$18,0)),"")</f>
        <v/>
      </c>
      <c r="L326" s="15">
        <f>IFERROR(INDEX(Cluster_Master!$G$4:$G$18,MATCH($F326,Cluster_Master!$B$4:$B$18,0)),"")</f>
        <v/>
      </c>
      <c r="M326" s="15">
        <f>IFERROR(INDEX(Cluster_Master!$H$4:$H$18,MATCH($F326,Cluster_Master!$B$4:$B$18,0)),"")</f>
        <v/>
      </c>
      <c r="N326" s="41" t="n"/>
      <c r="O326" s="41" t="n"/>
      <c r="P326" s="41" t="n"/>
      <c r="Q326" s="41" t="n"/>
      <c r="R326" s="41" t="n"/>
      <c r="S326" s="41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2" t="n"/>
      <c r="AG326" s="42" t="n"/>
      <c r="AH326" s="42" t="n"/>
      <c r="AI326" s="15">
        <f>IF(COUNTA(T326:AH326)=0,"",SUM(T326:AH326))</f>
        <v/>
      </c>
      <c r="AJ326" s="21">
        <f>IF(COUNTA(T326:AH326)=0,"",AI326/(COUNT(KPI_Weights!$A$4:$A$18)*5))</f>
        <v/>
      </c>
      <c r="AK326" s="21">
        <f>IF(COUNTA(T326:AH326)=0,"",SUMPRODUCT(T326:AH326,KPI_Weights!$B$4:$B$18)/5)</f>
        <v/>
      </c>
      <c r="AL326" s="15">
        <f>IF(COUNTA(T326:AH326)=0,"",IF(SUMPRODUCT(--(T326:AH326&lt;=1),--(KPI_Weights!$C$4:$C$18="YES"))&gt;0,"YES","NO"))</f>
        <v/>
      </c>
      <c r="AM326" s="15">
        <f>IF(AJ326="","",IF(AND(AL326="NO",AJ326&gt;=0.75),"YES","NO"))</f>
        <v/>
      </c>
      <c r="AN326" s="15">
        <f>IF(AJ326="","",IF(AJ326&lt;0.4,"Critical",IF(AJ326&lt;0.6,"Poor",IF(AJ326&lt;0.75,"Needs Improvement",IF(AJ326&lt;0.9,"Good","Excellent")))))</f>
        <v/>
      </c>
      <c r="AO326" s="41" t="n"/>
      <c r="AP326" s="41" t="n"/>
      <c r="AQ326" s="41" t="n"/>
      <c r="AR326" s="41" t="n"/>
      <c r="AS326" s="41" t="n"/>
      <c r="AT326" s="44" t="n"/>
      <c r="AU326" s="41" t="n"/>
      <c r="AV326" s="43" t="n"/>
      <c r="AW326" s="41" t="n"/>
      <c r="AX326" s="44" t="n"/>
      <c r="AY326" s="44" t="n"/>
      <c r="AZ326" s="44" t="n"/>
      <c r="BA326" s="44" t="n"/>
      <c r="BB326" s="44" t="n"/>
      <c r="BC326" s="44" t="n"/>
      <c r="BD326" s="44" t="n"/>
      <c r="BE326" s="44" t="n"/>
      <c r="BF326" s="44" t="n"/>
    </row>
    <row r="327" ht="19.5" customHeight="1" s="45">
      <c r="A327" s="15">
        <f>IF($B327="","",TEXT($B327,"yyyymmdd")&amp;"-"&amp;SUBSTITUTE($F327," ","")&amp;"-"&amp;TEXT(COUNTIF($F$4:F327,$F327),"00"))</f>
        <v/>
      </c>
      <c r="B327" s="39" t="n"/>
      <c r="C327" s="15">
        <f>IF($B327="","",WEEKNUM($B327,2))</f>
        <v/>
      </c>
      <c r="D327" s="15">
        <f>IF($B327="","",TEXT($B327,"yyyy-mm"))</f>
        <v/>
      </c>
      <c r="E327" s="40" t="n"/>
      <c r="F327" s="40" t="n"/>
      <c r="G327" s="15">
        <f>IF(OR($E327="",$F327=""),"",IFERROR(IF($E327=INDEX(Cluster_Master!$A$4:$A$18,MATCH($F327,Cluster_Master!$B$4:$B$18,0)),"OK","CHECK"),"CHECK"))</f>
        <v/>
      </c>
      <c r="H327" s="18">
        <f>IFERROR(INDEX(Cluster_Master!$C$4:$C$18,MATCH($F327,Cluster_Master!$B$4:$B$18,0)),"")</f>
        <v/>
      </c>
      <c r="I327" s="15">
        <f>IFERROR(INDEX(Cluster_Master!$D$4:$D$18,MATCH($F327,Cluster_Master!$B$4:$B$18,0)),"")</f>
        <v/>
      </c>
      <c r="J327" s="15">
        <f>IFERROR(INDEX(Cluster_Master!$E$4:$E$18,MATCH($F327,Cluster_Master!$B$4:$B$18,0)),"")</f>
        <v/>
      </c>
      <c r="K327" s="15">
        <f>IFERROR(INDEX(Cluster_Master!$F$4:$F$18,MATCH($F327,Cluster_Master!$B$4:$B$18,0)),"")</f>
        <v/>
      </c>
      <c r="L327" s="15">
        <f>IFERROR(INDEX(Cluster_Master!$G$4:$G$18,MATCH($F327,Cluster_Master!$B$4:$B$18,0)),"")</f>
        <v/>
      </c>
      <c r="M327" s="15">
        <f>IFERROR(INDEX(Cluster_Master!$H$4:$H$18,MATCH($F327,Cluster_Master!$B$4:$B$18,0)),"")</f>
        <v/>
      </c>
      <c r="N327" s="41" t="n"/>
      <c r="O327" s="41" t="n"/>
      <c r="P327" s="41" t="n"/>
      <c r="Q327" s="41" t="n"/>
      <c r="R327" s="41" t="n"/>
      <c r="S327" s="41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  <c r="AE327" s="42" t="n"/>
      <c r="AF327" s="42" t="n"/>
      <c r="AG327" s="42" t="n"/>
      <c r="AH327" s="42" t="n"/>
      <c r="AI327" s="15">
        <f>IF(COUNTA(T327:AH327)=0,"",SUM(T327:AH327))</f>
        <v/>
      </c>
      <c r="AJ327" s="21">
        <f>IF(COUNTA(T327:AH327)=0,"",AI327/(COUNT(KPI_Weights!$A$4:$A$18)*5))</f>
        <v/>
      </c>
      <c r="AK327" s="21">
        <f>IF(COUNTA(T327:AH327)=0,"",SUMPRODUCT(T327:AH327,KPI_Weights!$B$4:$B$18)/5)</f>
        <v/>
      </c>
      <c r="AL327" s="15">
        <f>IF(COUNTA(T327:AH327)=0,"",IF(SUMPRODUCT(--(T327:AH327&lt;=1),--(KPI_Weights!$C$4:$C$18="YES"))&gt;0,"YES","NO"))</f>
        <v/>
      </c>
      <c r="AM327" s="15">
        <f>IF(AJ327="","",IF(AND(AL327="NO",AJ327&gt;=0.75),"YES","NO"))</f>
        <v/>
      </c>
      <c r="AN327" s="15">
        <f>IF(AJ327="","",IF(AJ327&lt;0.4,"Critical",IF(AJ327&lt;0.6,"Poor",IF(AJ327&lt;0.75,"Needs Improvement",IF(AJ327&lt;0.9,"Good","Excellent")))))</f>
        <v/>
      </c>
      <c r="AO327" s="41" t="n"/>
      <c r="AP327" s="41" t="n"/>
      <c r="AQ327" s="41" t="n"/>
      <c r="AR327" s="41" t="n"/>
      <c r="AS327" s="41" t="n"/>
      <c r="AT327" s="44" t="n"/>
      <c r="AU327" s="41" t="n"/>
      <c r="AV327" s="43" t="n"/>
      <c r="AW327" s="41" t="n"/>
      <c r="AX327" s="44" t="n"/>
      <c r="AY327" s="44" t="n"/>
      <c r="AZ327" s="44" t="n"/>
      <c r="BA327" s="44" t="n"/>
      <c r="BB327" s="44" t="n"/>
      <c r="BC327" s="44" t="n"/>
      <c r="BD327" s="44" t="n"/>
      <c r="BE327" s="44" t="n"/>
      <c r="BF327" s="44" t="n"/>
    </row>
    <row r="328" ht="19.5" customHeight="1" s="45">
      <c r="A328" s="15">
        <f>IF($B328="","",TEXT($B328,"yyyymmdd")&amp;"-"&amp;SUBSTITUTE($F328," ","")&amp;"-"&amp;TEXT(COUNTIF($F$4:F328,$F328),"00"))</f>
        <v/>
      </c>
      <c r="B328" s="39" t="n"/>
      <c r="C328" s="15">
        <f>IF($B328="","",WEEKNUM($B328,2))</f>
        <v/>
      </c>
      <c r="D328" s="15">
        <f>IF($B328="","",TEXT($B328,"yyyy-mm"))</f>
        <v/>
      </c>
      <c r="E328" s="40" t="n"/>
      <c r="F328" s="40" t="n"/>
      <c r="G328" s="15">
        <f>IF(OR($E328="",$F328=""),"",IFERROR(IF($E328=INDEX(Cluster_Master!$A$4:$A$18,MATCH($F328,Cluster_Master!$B$4:$B$18,0)),"OK","CHECK"),"CHECK"))</f>
        <v/>
      </c>
      <c r="H328" s="18">
        <f>IFERROR(INDEX(Cluster_Master!$C$4:$C$18,MATCH($F328,Cluster_Master!$B$4:$B$18,0)),"")</f>
        <v/>
      </c>
      <c r="I328" s="15">
        <f>IFERROR(INDEX(Cluster_Master!$D$4:$D$18,MATCH($F328,Cluster_Master!$B$4:$B$18,0)),"")</f>
        <v/>
      </c>
      <c r="J328" s="15">
        <f>IFERROR(INDEX(Cluster_Master!$E$4:$E$18,MATCH($F328,Cluster_Master!$B$4:$B$18,0)),"")</f>
        <v/>
      </c>
      <c r="K328" s="15">
        <f>IFERROR(INDEX(Cluster_Master!$F$4:$F$18,MATCH($F328,Cluster_Master!$B$4:$B$18,0)),"")</f>
        <v/>
      </c>
      <c r="L328" s="15">
        <f>IFERROR(INDEX(Cluster_Master!$G$4:$G$18,MATCH($F328,Cluster_Master!$B$4:$B$18,0)),"")</f>
        <v/>
      </c>
      <c r="M328" s="15">
        <f>IFERROR(INDEX(Cluster_Master!$H$4:$H$18,MATCH($F328,Cluster_Master!$B$4:$B$18,0)),"")</f>
        <v/>
      </c>
      <c r="N328" s="41" t="n"/>
      <c r="O328" s="41" t="n"/>
      <c r="P328" s="41" t="n"/>
      <c r="Q328" s="41" t="n"/>
      <c r="R328" s="41" t="n"/>
      <c r="S328" s="41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2" t="n"/>
      <c r="AG328" s="42" t="n"/>
      <c r="AH328" s="42" t="n"/>
      <c r="AI328" s="15">
        <f>IF(COUNTA(T328:AH328)=0,"",SUM(T328:AH328))</f>
        <v/>
      </c>
      <c r="AJ328" s="21">
        <f>IF(COUNTA(T328:AH328)=0,"",AI328/(COUNT(KPI_Weights!$A$4:$A$18)*5))</f>
        <v/>
      </c>
      <c r="AK328" s="21">
        <f>IF(COUNTA(T328:AH328)=0,"",SUMPRODUCT(T328:AH328,KPI_Weights!$B$4:$B$18)/5)</f>
        <v/>
      </c>
      <c r="AL328" s="15">
        <f>IF(COUNTA(T328:AH328)=0,"",IF(SUMPRODUCT(--(T328:AH328&lt;=1),--(KPI_Weights!$C$4:$C$18="YES"))&gt;0,"YES","NO"))</f>
        <v/>
      </c>
      <c r="AM328" s="15">
        <f>IF(AJ328="","",IF(AND(AL328="NO",AJ328&gt;=0.75),"YES","NO"))</f>
        <v/>
      </c>
      <c r="AN328" s="15">
        <f>IF(AJ328="","",IF(AJ328&lt;0.4,"Critical",IF(AJ328&lt;0.6,"Poor",IF(AJ328&lt;0.75,"Needs Improvement",IF(AJ328&lt;0.9,"Good","Excellent")))))</f>
        <v/>
      </c>
      <c r="AO328" s="41" t="n"/>
      <c r="AP328" s="41" t="n"/>
      <c r="AQ328" s="41" t="n"/>
      <c r="AR328" s="41" t="n"/>
      <c r="AS328" s="41" t="n"/>
      <c r="AT328" s="44" t="n"/>
      <c r="AU328" s="41" t="n"/>
      <c r="AV328" s="43" t="n"/>
      <c r="AW328" s="41" t="n"/>
      <c r="AX328" s="44" t="n"/>
      <c r="AY328" s="44" t="n"/>
      <c r="AZ328" s="44" t="n"/>
      <c r="BA328" s="44" t="n"/>
      <c r="BB328" s="44" t="n"/>
      <c r="BC328" s="44" t="n"/>
      <c r="BD328" s="44" t="n"/>
      <c r="BE328" s="44" t="n"/>
      <c r="BF328" s="44" t="n"/>
    </row>
    <row r="329" ht="19.5" customHeight="1" s="45">
      <c r="A329" s="15">
        <f>IF($B329="","",TEXT($B329,"yyyymmdd")&amp;"-"&amp;SUBSTITUTE($F329," ","")&amp;"-"&amp;TEXT(COUNTIF($F$4:F329,$F329),"00"))</f>
        <v/>
      </c>
      <c r="B329" s="39" t="n"/>
      <c r="C329" s="15">
        <f>IF($B329="","",WEEKNUM($B329,2))</f>
        <v/>
      </c>
      <c r="D329" s="15">
        <f>IF($B329="","",TEXT($B329,"yyyy-mm"))</f>
        <v/>
      </c>
      <c r="E329" s="40" t="n"/>
      <c r="F329" s="40" t="n"/>
      <c r="G329" s="15">
        <f>IF(OR($E329="",$F329=""),"",IFERROR(IF($E329=INDEX(Cluster_Master!$A$4:$A$18,MATCH($F329,Cluster_Master!$B$4:$B$18,0)),"OK","CHECK"),"CHECK"))</f>
        <v/>
      </c>
      <c r="H329" s="18">
        <f>IFERROR(INDEX(Cluster_Master!$C$4:$C$18,MATCH($F329,Cluster_Master!$B$4:$B$18,0)),"")</f>
        <v/>
      </c>
      <c r="I329" s="15">
        <f>IFERROR(INDEX(Cluster_Master!$D$4:$D$18,MATCH($F329,Cluster_Master!$B$4:$B$18,0)),"")</f>
        <v/>
      </c>
      <c r="J329" s="15">
        <f>IFERROR(INDEX(Cluster_Master!$E$4:$E$18,MATCH($F329,Cluster_Master!$B$4:$B$18,0)),"")</f>
        <v/>
      </c>
      <c r="K329" s="15">
        <f>IFERROR(INDEX(Cluster_Master!$F$4:$F$18,MATCH($F329,Cluster_Master!$B$4:$B$18,0)),"")</f>
        <v/>
      </c>
      <c r="L329" s="15">
        <f>IFERROR(INDEX(Cluster_Master!$G$4:$G$18,MATCH($F329,Cluster_Master!$B$4:$B$18,0)),"")</f>
        <v/>
      </c>
      <c r="M329" s="15">
        <f>IFERROR(INDEX(Cluster_Master!$H$4:$H$18,MATCH($F329,Cluster_Master!$B$4:$B$18,0)),"")</f>
        <v/>
      </c>
      <c r="N329" s="41" t="n"/>
      <c r="O329" s="41" t="n"/>
      <c r="P329" s="41" t="n"/>
      <c r="Q329" s="41" t="n"/>
      <c r="R329" s="41" t="n"/>
      <c r="S329" s="41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  <c r="AE329" s="42" t="n"/>
      <c r="AF329" s="42" t="n"/>
      <c r="AG329" s="42" t="n"/>
      <c r="AH329" s="42" t="n"/>
      <c r="AI329" s="15">
        <f>IF(COUNTA(T329:AH329)=0,"",SUM(T329:AH329))</f>
        <v/>
      </c>
      <c r="AJ329" s="21">
        <f>IF(COUNTA(T329:AH329)=0,"",AI329/(COUNT(KPI_Weights!$A$4:$A$18)*5))</f>
        <v/>
      </c>
      <c r="AK329" s="21">
        <f>IF(COUNTA(T329:AH329)=0,"",SUMPRODUCT(T329:AH329,KPI_Weights!$B$4:$B$18)/5)</f>
        <v/>
      </c>
      <c r="AL329" s="15">
        <f>IF(COUNTA(T329:AH329)=0,"",IF(SUMPRODUCT(--(T329:AH329&lt;=1),--(KPI_Weights!$C$4:$C$18="YES"))&gt;0,"YES","NO"))</f>
        <v/>
      </c>
      <c r="AM329" s="15">
        <f>IF(AJ329="","",IF(AND(AL329="NO",AJ329&gt;=0.75),"YES","NO"))</f>
        <v/>
      </c>
      <c r="AN329" s="15">
        <f>IF(AJ329="","",IF(AJ329&lt;0.4,"Critical",IF(AJ329&lt;0.6,"Poor",IF(AJ329&lt;0.75,"Needs Improvement",IF(AJ329&lt;0.9,"Good","Excellent")))))</f>
        <v/>
      </c>
      <c r="AO329" s="41" t="n"/>
      <c r="AP329" s="41" t="n"/>
      <c r="AQ329" s="41" t="n"/>
      <c r="AR329" s="41" t="n"/>
      <c r="AS329" s="41" t="n"/>
      <c r="AT329" s="44" t="n"/>
      <c r="AU329" s="41" t="n"/>
      <c r="AV329" s="43" t="n"/>
      <c r="AW329" s="41" t="n"/>
      <c r="AX329" s="44" t="n"/>
      <c r="AY329" s="44" t="n"/>
      <c r="AZ329" s="44" t="n"/>
      <c r="BA329" s="44" t="n"/>
      <c r="BB329" s="44" t="n"/>
      <c r="BC329" s="44" t="n"/>
      <c r="BD329" s="44" t="n"/>
      <c r="BE329" s="44" t="n"/>
      <c r="BF329" s="44" t="n"/>
    </row>
    <row r="330" ht="19.5" customHeight="1" s="45">
      <c r="A330" s="15">
        <f>IF($B330="","",TEXT($B330,"yyyymmdd")&amp;"-"&amp;SUBSTITUTE($F330," ","")&amp;"-"&amp;TEXT(COUNTIF($F$4:F330,$F330),"00"))</f>
        <v/>
      </c>
      <c r="B330" s="39" t="n"/>
      <c r="C330" s="15">
        <f>IF($B330="","",WEEKNUM($B330,2))</f>
        <v/>
      </c>
      <c r="D330" s="15">
        <f>IF($B330="","",TEXT($B330,"yyyy-mm"))</f>
        <v/>
      </c>
      <c r="E330" s="40" t="n"/>
      <c r="F330" s="40" t="n"/>
      <c r="G330" s="15">
        <f>IF(OR($E330="",$F330=""),"",IFERROR(IF($E330=INDEX(Cluster_Master!$A$4:$A$18,MATCH($F330,Cluster_Master!$B$4:$B$18,0)),"OK","CHECK"),"CHECK"))</f>
        <v/>
      </c>
      <c r="H330" s="18">
        <f>IFERROR(INDEX(Cluster_Master!$C$4:$C$18,MATCH($F330,Cluster_Master!$B$4:$B$18,0)),"")</f>
        <v/>
      </c>
      <c r="I330" s="15">
        <f>IFERROR(INDEX(Cluster_Master!$D$4:$D$18,MATCH($F330,Cluster_Master!$B$4:$B$18,0)),"")</f>
        <v/>
      </c>
      <c r="J330" s="15">
        <f>IFERROR(INDEX(Cluster_Master!$E$4:$E$18,MATCH($F330,Cluster_Master!$B$4:$B$18,0)),"")</f>
        <v/>
      </c>
      <c r="K330" s="15">
        <f>IFERROR(INDEX(Cluster_Master!$F$4:$F$18,MATCH($F330,Cluster_Master!$B$4:$B$18,0)),"")</f>
        <v/>
      </c>
      <c r="L330" s="15">
        <f>IFERROR(INDEX(Cluster_Master!$G$4:$G$18,MATCH($F330,Cluster_Master!$B$4:$B$18,0)),"")</f>
        <v/>
      </c>
      <c r="M330" s="15">
        <f>IFERROR(INDEX(Cluster_Master!$H$4:$H$18,MATCH($F330,Cluster_Master!$B$4:$B$18,0)),"")</f>
        <v/>
      </c>
      <c r="N330" s="41" t="n"/>
      <c r="O330" s="41" t="n"/>
      <c r="P330" s="41" t="n"/>
      <c r="Q330" s="41" t="n"/>
      <c r="R330" s="41" t="n"/>
      <c r="S330" s="41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2" t="n"/>
      <c r="AG330" s="42" t="n"/>
      <c r="AH330" s="42" t="n"/>
      <c r="AI330" s="15">
        <f>IF(COUNTA(T330:AH330)=0,"",SUM(T330:AH330))</f>
        <v/>
      </c>
      <c r="AJ330" s="21">
        <f>IF(COUNTA(T330:AH330)=0,"",AI330/(COUNT(KPI_Weights!$A$4:$A$18)*5))</f>
        <v/>
      </c>
      <c r="AK330" s="21">
        <f>IF(COUNTA(T330:AH330)=0,"",SUMPRODUCT(T330:AH330,KPI_Weights!$B$4:$B$18)/5)</f>
        <v/>
      </c>
      <c r="AL330" s="15">
        <f>IF(COUNTA(T330:AH330)=0,"",IF(SUMPRODUCT(--(T330:AH330&lt;=1),--(KPI_Weights!$C$4:$C$18="YES"))&gt;0,"YES","NO"))</f>
        <v/>
      </c>
      <c r="AM330" s="15">
        <f>IF(AJ330="","",IF(AND(AL330="NO",AJ330&gt;=0.75),"YES","NO"))</f>
        <v/>
      </c>
      <c r="AN330" s="15">
        <f>IF(AJ330="","",IF(AJ330&lt;0.4,"Critical",IF(AJ330&lt;0.6,"Poor",IF(AJ330&lt;0.75,"Needs Improvement",IF(AJ330&lt;0.9,"Good","Excellent")))))</f>
        <v/>
      </c>
      <c r="AO330" s="41" t="n"/>
      <c r="AP330" s="41" t="n"/>
      <c r="AQ330" s="41" t="n"/>
      <c r="AR330" s="41" t="n"/>
      <c r="AS330" s="41" t="n"/>
      <c r="AT330" s="44" t="n"/>
      <c r="AU330" s="41" t="n"/>
      <c r="AV330" s="43" t="n"/>
      <c r="AW330" s="41" t="n"/>
      <c r="AX330" s="44" t="n"/>
      <c r="AY330" s="44" t="n"/>
      <c r="AZ330" s="44" t="n"/>
      <c r="BA330" s="44" t="n"/>
      <c r="BB330" s="44" t="n"/>
      <c r="BC330" s="44" t="n"/>
      <c r="BD330" s="44" t="n"/>
      <c r="BE330" s="44" t="n"/>
      <c r="BF330" s="44" t="n"/>
    </row>
    <row r="331" ht="19.5" customHeight="1" s="45">
      <c r="A331" s="15">
        <f>IF($B331="","",TEXT($B331,"yyyymmdd")&amp;"-"&amp;SUBSTITUTE($F331," ","")&amp;"-"&amp;TEXT(COUNTIF($F$4:F331,$F331),"00"))</f>
        <v/>
      </c>
      <c r="B331" s="39" t="n"/>
      <c r="C331" s="15">
        <f>IF($B331="","",WEEKNUM($B331,2))</f>
        <v/>
      </c>
      <c r="D331" s="15">
        <f>IF($B331="","",TEXT($B331,"yyyy-mm"))</f>
        <v/>
      </c>
      <c r="E331" s="40" t="n"/>
      <c r="F331" s="40" t="n"/>
      <c r="G331" s="15">
        <f>IF(OR($E331="",$F331=""),"",IFERROR(IF($E331=INDEX(Cluster_Master!$A$4:$A$18,MATCH($F331,Cluster_Master!$B$4:$B$18,0)),"OK","CHECK"),"CHECK"))</f>
        <v/>
      </c>
      <c r="H331" s="18">
        <f>IFERROR(INDEX(Cluster_Master!$C$4:$C$18,MATCH($F331,Cluster_Master!$B$4:$B$18,0)),"")</f>
        <v/>
      </c>
      <c r="I331" s="15">
        <f>IFERROR(INDEX(Cluster_Master!$D$4:$D$18,MATCH($F331,Cluster_Master!$B$4:$B$18,0)),"")</f>
        <v/>
      </c>
      <c r="J331" s="15">
        <f>IFERROR(INDEX(Cluster_Master!$E$4:$E$18,MATCH($F331,Cluster_Master!$B$4:$B$18,0)),"")</f>
        <v/>
      </c>
      <c r="K331" s="15">
        <f>IFERROR(INDEX(Cluster_Master!$F$4:$F$18,MATCH($F331,Cluster_Master!$B$4:$B$18,0)),"")</f>
        <v/>
      </c>
      <c r="L331" s="15">
        <f>IFERROR(INDEX(Cluster_Master!$G$4:$G$18,MATCH($F331,Cluster_Master!$B$4:$B$18,0)),"")</f>
        <v/>
      </c>
      <c r="M331" s="15">
        <f>IFERROR(INDEX(Cluster_Master!$H$4:$H$18,MATCH($F331,Cluster_Master!$B$4:$B$18,0)),"")</f>
        <v/>
      </c>
      <c r="N331" s="41" t="n"/>
      <c r="O331" s="41" t="n"/>
      <c r="P331" s="41" t="n"/>
      <c r="Q331" s="41" t="n"/>
      <c r="R331" s="41" t="n"/>
      <c r="S331" s="41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  <c r="AE331" s="42" t="n"/>
      <c r="AF331" s="42" t="n"/>
      <c r="AG331" s="42" t="n"/>
      <c r="AH331" s="42" t="n"/>
      <c r="AI331" s="15">
        <f>IF(COUNTA(T331:AH331)=0,"",SUM(T331:AH331))</f>
        <v/>
      </c>
      <c r="AJ331" s="21">
        <f>IF(COUNTA(T331:AH331)=0,"",AI331/(COUNT(KPI_Weights!$A$4:$A$18)*5))</f>
        <v/>
      </c>
      <c r="AK331" s="21">
        <f>IF(COUNTA(T331:AH331)=0,"",SUMPRODUCT(T331:AH331,KPI_Weights!$B$4:$B$18)/5)</f>
        <v/>
      </c>
      <c r="AL331" s="15">
        <f>IF(COUNTA(T331:AH331)=0,"",IF(SUMPRODUCT(--(T331:AH331&lt;=1),--(KPI_Weights!$C$4:$C$18="YES"))&gt;0,"YES","NO"))</f>
        <v/>
      </c>
      <c r="AM331" s="15">
        <f>IF(AJ331="","",IF(AND(AL331="NO",AJ331&gt;=0.75),"YES","NO"))</f>
        <v/>
      </c>
      <c r="AN331" s="15">
        <f>IF(AJ331="","",IF(AJ331&lt;0.4,"Critical",IF(AJ331&lt;0.6,"Poor",IF(AJ331&lt;0.75,"Needs Improvement",IF(AJ331&lt;0.9,"Good","Excellent")))))</f>
        <v/>
      </c>
      <c r="AO331" s="41" t="n"/>
      <c r="AP331" s="41" t="n"/>
      <c r="AQ331" s="41" t="n"/>
      <c r="AR331" s="41" t="n"/>
      <c r="AS331" s="41" t="n"/>
      <c r="AT331" s="44" t="n"/>
      <c r="AU331" s="41" t="n"/>
      <c r="AV331" s="43" t="n"/>
      <c r="AW331" s="41" t="n"/>
      <c r="AX331" s="44" t="n"/>
      <c r="AY331" s="44" t="n"/>
      <c r="AZ331" s="44" t="n"/>
      <c r="BA331" s="44" t="n"/>
      <c r="BB331" s="44" t="n"/>
      <c r="BC331" s="44" t="n"/>
      <c r="BD331" s="44" t="n"/>
      <c r="BE331" s="44" t="n"/>
      <c r="BF331" s="44" t="n"/>
    </row>
    <row r="332" ht="19.5" customHeight="1" s="45">
      <c r="A332" s="15">
        <f>IF($B332="","",TEXT($B332,"yyyymmdd")&amp;"-"&amp;SUBSTITUTE($F332," ","")&amp;"-"&amp;TEXT(COUNTIF($F$4:F332,$F332),"00"))</f>
        <v/>
      </c>
      <c r="B332" s="39" t="n"/>
      <c r="C332" s="15">
        <f>IF($B332="","",WEEKNUM($B332,2))</f>
        <v/>
      </c>
      <c r="D332" s="15">
        <f>IF($B332="","",TEXT($B332,"yyyy-mm"))</f>
        <v/>
      </c>
      <c r="E332" s="40" t="n"/>
      <c r="F332" s="40" t="n"/>
      <c r="G332" s="15">
        <f>IF(OR($E332="",$F332=""),"",IFERROR(IF($E332=INDEX(Cluster_Master!$A$4:$A$18,MATCH($F332,Cluster_Master!$B$4:$B$18,0)),"OK","CHECK"),"CHECK"))</f>
        <v/>
      </c>
      <c r="H332" s="18">
        <f>IFERROR(INDEX(Cluster_Master!$C$4:$C$18,MATCH($F332,Cluster_Master!$B$4:$B$18,0)),"")</f>
        <v/>
      </c>
      <c r="I332" s="15">
        <f>IFERROR(INDEX(Cluster_Master!$D$4:$D$18,MATCH($F332,Cluster_Master!$B$4:$B$18,0)),"")</f>
        <v/>
      </c>
      <c r="J332" s="15">
        <f>IFERROR(INDEX(Cluster_Master!$E$4:$E$18,MATCH($F332,Cluster_Master!$B$4:$B$18,0)),"")</f>
        <v/>
      </c>
      <c r="K332" s="15">
        <f>IFERROR(INDEX(Cluster_Master!$F$4:$F$18,MATCH($F332,Cluster_Master!$B$4:$B$18,0)),"")</f>
        <v/>
      </c>
      <c r="L332" s="15">
        <f>IFERROR(INDEX(Cluster_Master!$G$4:$G$18,MATCH($F332,Cluster_Master!$B$4:$B$18,0)),"")</f>
        <v/>
      </c>
      <c r="M332" s="15">
        <f>IFERROR(INDEX(Cluster_Master!$H$4:$H$18,MATCH($F332,Cluster_Master!$B$4:$B$18,0)),"")</f>
        <v/>
      </c>
      <c r="N332" s="41" t="n"/>
      <c r="O332" s="41" t="n"/>
      <c r="P332" s="41" t="n"/>
      <c r="Q332" s="41" t="n"/>
      <c r="R332" s="41" t="n"/>
      <c r="S332" s="41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2" t="n"/>
      <c r="AG332" s="42" t="n"/>
      <c r="AH332" s="42" t="n"/>
      <c r="AI332" s="15">
        <f>IF(COUNTA(T332:AH332)=0,"",SUM(T332:AH332))</f>
        <v/>
      </c>
      <c r="AJ332" s="21">
        <f>IF(COUNTA(T332:AH332)=0,"",AI332/(COUNT(KPI_Weights!$A$4:$A$18)*5))</f>
        <v/>
      </c>
      <c r="AK332" s="21">
        <f>IF(COUNTA(T332:AH332)=0,"",SUMPRODUCT(T332:AH332,KPI_Weights!$B$4:$B$18)/5)</f>
        <v/>
      </c>
      <c r="AL332" s="15">
        <f>IF(COUNTA(T332:AH332)=0,"",IF(SUMPRODUCT(--(T332:AH332&lt;=1),--(KPI_Weights!$C$4:$C$18="YES"))&gt;0,"YES","NO"))</f>
        <v/>
      </c>
      <c r="AM332" s="15">
        <f>IF(AJ332="","",IF(AND(AL332="NO",AJ332&gt;=0.75),"YES","NO"))</f>
        <v/>
      </c>
      <c r="AN332" s="15">
        <f>IF(AJ332="","",IF(AJ332&lt;0.4,"Critical",IF(AJ332&lt;0.6,"Poor",IF(AJ332&lt;0.75,"Needs Improvement",IF(AJ332&lt;0.9,"Good","Excellent")))))</f>
        <v/>
      </c>
      <c r="AO332" s="41" t="n"/>
      <c r="AP332" s="41" t="n"/>
      <c r="AQ332" s="41" t="n"/>
      <c r="AR332" s="41" t="n"/>
      <c r="AS332" s="41" t="n"/>
      <c r="AT332" s="44" t="n"/>
      <c r="AU332" s="41" t="n"/>
      <c r="AV332" s="43" t="n"/>
      <c r="AW332" s="41" t="n"/>
      <c r="AX332" s="44" t="n"/>
      <c r="AY332" s="44" t="n"/>
      <c r="AZ332" s="44" t="n"/>
      <c r="BA332" s="44" t="n"/>
      <c r="BB332" s="44" t="n"/>
      <c r="BC332" s="44" t="n"/>
      <c r="BD332" s="44" t="n"/>
      <c r="BE332" s="44" t="n"/>
      <c r="BF332" s="44" t="n"/>
    </row>
    <row r="333" ht="19.5" customHeight="1" s="45">
      <c r="A333" s="15">
        <f>IF($B333="","",TEXT($B333,"yyyymmdd")&amp;"-"&amp;SUBSTITUTE($F333," ","")&amp;"-"&amp;TEXT(COUNTIF($F$4:F333,$F333),"00"))</f>
        <v/>
      </c>
      <c r="B333" s="39" t="n"/>
      <c r="C333" s="15">
        <f>IF($B333="","",WEEKNUM($B333,2))</f>
        <v/>
      </c>
      <c r="D333" s="15">
        <f>IF($B333="","",TEXT($B333,"yyyy-mm"))</f>
        <v/>
      </c>
      <c r="E333" s="40" t="n"/>
      <c r="F333" s="40" t="n"/>
      <c r="G333" s="15">
        <f>IF(OR($E333="",$F333=""),"",IFERROR(IF($E333=INDEX(Cluster_Master!$A$4:$A$18,MATCH($F333,Cluster_Master!$B$4:$B$18,0)),"OK","CHECK"),"CHECK"))</f>
        <v/>
      </c>
      <c r="H333" s="18">
        <f>IFERROR(INDEX(Cluster_Master!$C$4:$C$18,MATCH($F333,Cluster_Master!$B$4:$B$18,0)),"")</f>
        <v/>
      </c>
      <c r="I333" s="15">
        <f>IFERROR(INDEX(Cluster_Master!$D$4:$D$18,MATCH($F333,Cluster_Master!$B$4:$B$18,0)),"")</f>
        <v/>
      </c>
      <c r="J333" s="15">
        <f>IFERROR(INDEX(Cluster_Master!$E$4:$E$18,MATCH($F333,Cluster_Master!$B$4:$B$18,0)),"")</f>
        <v/>
      </c>
      <c r="K333" s="15">
        <f>IFERROR(INDEX(Cluster_Master!$F$4:$F$18,MATCH($F333,Cluster_Master!$B$4:$B$18,0)),"")</f>
        <v/>
      </c>
      <c r="L333" s="15">
        <f>IFERROR(INDEX(Cluster_Master!$G$4:$G$18,MATCH($F333,Cluster_Master!$B$4:$B$18,0)),"")</f>
        <v/>
      </c>
      <c r="M333" s="15">
        <f>IFERROR(INDEX(Cluster_Master!$H$4:$H$18,MATCH($F333,Cluster_Master!$B$4:$B$18,0)),"")</f>
        <v/>
      </c>
      <c r="N333" s="41" t="n"/>
      <c r="O333" s="41" t="n"/>
      <c r="P333" s="41" t="n"/>
      <c r="Q333" s="41" t="n"/>
      <c r="R333" s="41" t="n"/>
      <c r="S333" s="41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E333" s="42" t="n"/>
      <c r="AF333" s="42" t="n"/>
      <c r="AG333" s="42" t="n"/>
      <c r="AH333" s="42" t="n"/>
      <c r="AI333" s="15">
        <f>IF(COUNTA(T333:AH333)=0,"",SUM(T333:AH333))</f>
        <v/>
      </c>
      <c r="AJ333" s="21">
        <f>IF(COUNTA(T333:AH333)=0,"",AI333/(COUNT(KPI_Weights!$A$4:$A$18)*5))</f>
        <v/>
      </c>
      <c r="AK333" s="21">
        <f>IF(COUNTA(T333:AH333)=0,"",SUMPRODUCT(T333:AH333,KPI_Weights!$B$4:$B$18)/5)</f>
        <v/>
      </c>
      <c r="AL333" s="15">
        <f>IF(COUNTA(T333:AH333)=0,"",IF(SUMPRODUCT(--(T333:AH333&lt;=1),--(KPI_Weights!$C$4:$C$18="YES"))&gt;0,"YES","NO"))</f>
        <v/>
      </c>
      <c r="AM333" s="15">
        <f>IF(AJ333="","",IF(AND(AL333="NO",AJ333&gt;=0.75),"YES","NO"))</f>
        <v/>
      </c>
      <c r="AN333" s="15">
        <f>IF(AJ333="","",IF(AJ333&lt;0.4,"Critical",IF(AJ333&lt;0.6,"Poor",IF(AJ333&lt;0.75,"Needs Improvement",IF(AJ333&lt;0.9,"Good","Excellent")))))</f>
        <v/>
      </c>
      <c r="AO333" s="41" t="n"/>
      <c r="AP333" s="41" t="n"/>
      <c r="AQ333" s="41" t="n"/>
      <c r="AR333" s="41" t="n"/>
      <c r="AS333" s="41" t="n"/>
      <c r="AT333" s="44" t="n"/>
      <c r="AU333" s="41" t="n"/>
      <c r="AV333" s="43" t="n"/>
      <c r="AW333" s="41" t="n"/>
      <c r="AX333" s="44" t="n"/>
      <c r="AY333" s="44" t="n"/>
      <c r="AZ333" s="44" t="n"/>
      <c r="BA333" s="44" t="n"/>
      <c r="BB333" s="44" t="n"/>
      <c r="BC333" s="44" t="n"/>
      <c r="BD333" s="44" t="n"/>
      <c r="BE333" s="44" t="n"/>
      <c r="BF333" s="44" t="n"/>
    </row>
    <row r="334" ht="19.5" customHeight="1" s="45">
      <c r="A334" s="15">
        <f>IF($B334="","",TEXT($B334,"yyyymmdd")&amp;"-"&amp;SUBSTITUTE($F334," ","")&amp;"-"&amp;TEXT(COUNTIF($F$4:F334,$F334),"00"))</f>
        <v/>
      </c>
      <c r="B334" s="39" t="n"/>
      <c r="C334" s="15">
        <f>IF($B334="","",WEEKNUM($B334,2))</f>
        <v/>
      </c>
      <c r="D334" s="15">
        <f>IF($B334="","",TEXT($B334,"yyyy-mm"))</f>
        <v/>
      </c>
      <c r="E334" s="40" t="n"/>
      <c r="F334" s="40" t="n"/>
      <c r="G334" s="15">
        <f>IF(OR($E334="",$F334=""),"",IFERROR(IF($E334=INDEX(Cluster_Master!$A$4:$A$18,MATCH($F334,Cluster_Master!$B$4:$B$18,0)),"OK","CHECK"),"CHECK"))</f>
        <v/>
      </c>
      <c r="H334" s="18">
        <f>IFERROR(INDEX(Cluster_Master!$C$4:$C$18,MATCH($F334,Cluster_Master!$B$4:$B$18,0)),"")</f>
        <v/>
      </c>
      <c r="I334" s="15">
        <f>IFERROR(INDEX(Cluster_Master!$D$4:$D$18,MATCH($F334,Cluster_Master!$B$4:$B$18,0)),"")</f>
        <v/>
      </c>
      <c r="J334" s="15">
        <f>IFERROR(INDEX(Cluster_Master!$E$4:$E$18,MATCH($F334,Cluster_Master!$B$4:$B$18,0)),"")</f>
        <v/>
      </c>
      <c r="K334" s="15">
        <f>IFERROR(INDEX(Cluster_Master!$F$4:$F$18,MATCH($F334,Cluster_Master!$B$4:$B$18,0)),"")</f>
        <v/>
      </c>
      <c r="L334" s="15">
        <f>IFERROR(INDEX(Cluster_Master!$G$4:$G$18,MATCH($F334,Cluster_Master!$B$4:$B$18,0)),"")</f>
        <v/>
      </c>
      <c r="M334" s="15">
        <f>IFERROR(INDEX(Cluster_Master!$H$4:$H$18,MATCH($F334,Cluster_Master!$B$4:$B$18,0)),"")</f>
        <v/>
      </c>
      <c r="N334" s="41" t="n"/>
      <c r="O334" s="41" t="n"/>
      <c r="P334" s="41" t="n"/>
      <c r="Q334" s="41" t="n"/>
      <c r="R334" s="41" t="n"/>
      <c r="S334" s="41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2" t="n"/>
      <c r="AG334" s="42" t="n"/>
      <c r="AH334" s="42" t="n"/>
      <c r="AI334" s="15">
        <f>IF(COUNTA(T334:AH334)=0,"",SUM(T334:AH334))</f>
        <v/>
      </c>
      <c r="AJ334" s="21">
        <f>IF(COUNTA(T334:AH334)=0,"",AI334/(COUNT(KPI_Weights!$A$4:$A$18)*5))</f>
        <v/>
      </c>
      <c r="AK334" s="21">
        <f>IF(COUNTA(T334:AH334)=0,"",SUMPRODUCT(T334:AH334,KPI_Weights!$B$4:$B$18)/5)</f>
        <v/>
      </c>
      <c r="AL334" s="15">
        <f>IF(COUNTA(T334:AH334)=0,"",IF(SUMPRODUCT(--(T334:AH334&lt;=1),--(KPI_Weights!$C$4:$C$18="YES"))&gt;0,"YES","NO"))</f>
        <v/>
      </c>
      <c r="AM334" s="15">
        <f>IF(AJ334="","",IF(AND(AL334="NO",AJ334&gt;=0.75),"YES","NO"))</f>
        <v/>
      </c>
      <c r="AN334" s="15">
        <f>IF(AJ334="","",IF(AJ334&lt;0.4,"Critical",IF(AJ334&lt;0.6,"Poor",IF(AJ334&lt;0.75,"Needs Improvement",IF(AJ334&lt;0.9,"Good","Excellent")))))</f>
        <v/>
      </c>
      <c r="AO334" s="41" t="n"/>
      <c r="AP334" s="41" t="n"/>
      <c r="AQ334" s="41" t="n"/>
      <c r="AR334" s="41" t="n"/>
      <c r="AS334" s="41" t="n"/>
      <c r="AT334" s="44" t="n"/>
      <c r="AU334" s="41" t="n"/>
      <c r="AV334" s="43" t="n"/>
      <c r="AW334" s="41" t="n"/>
      <c r="AX334" s="44" t="n"/>
      <c r="AY334" s="44" t="n"/>
      <c r="AZ334" s="44" t="n"/>
      <c r="BA334" s="44" t="n"/>
      <c r="BB334" s="44" t="n"/>
      <c r="BC334" s="44" t="n"/>
      <c r="BD334" s="44" t="n"/>
      <c r="BE334" s="44" t="n"/>
      <c r="BF334" s="44" t="n"/>
    </row>
    <row r="335" ht="19.5" customHeight="1" s="45">
      <c r="A335" s="15">
        <f>IF($B335="","",TEXT($B335,"yyyymmdd")&amp;"-"&amp;SUBSTITUTE($F335," ","")&amp;"-"&amp;TEXT(COUNTIF($F$4:F335,$F335),"00"))</f>
        <v/>
      </c>
      <c r="B335" s="39" t="n"/>
      <c r="C335" s="15">
        <f>IF($B335="","",WEEKNUM($B335,2))</f>
        <v/>
      </c>
      <c r="D335" s="15">
        <f>IF($B335="","",TEXT($B335,"yyyy-mm"))</f>
        <v/>
      </c>
      <c r="E335" s="40" t="n"/>
      <c r="F335" s="40" t="n"/>
      <c r="G335" s="15">
        <f>IF(OR($E335="",$F335=""),"",IFERROR(IF($E335=INDEX(Cluster_Master!$A$4:$A$18,MATCH($F335,Cluster_Master!$B$4:$B$18,0)),"OK","CHECK"),"CHECK"))</f>
        <v/>
      </c>
      <c r="H335" s="18">
        <f>IFERROR(INDEX(Cluster_Master!$C$4:$C$18,MATCH($F335,Cluster_Master!$B$4:$B$18,0)),"")</f>
        <v/>
      </c>
      <c r="I335" s="15">
        <f>IFERROR(INDEX(Cluster_Master!$D$4:$D$18,MATCH($F335,Cluster_Master!$B$4:$B$18,0)),"")</f>
        <v/>
      </c>
      <c r="J335" s="15">
        <f>IFERROR(INDEX(Cluster_Master!$E$4:$E$18,MATCH($F335,Cluster_Master!$B$4:$B$18,0)),"")</f>
        <v/>
      </c>
      <c r="K335" s="15">
        <f>IFERROR(INDEX(Cluster_Master!$F$4:$F$18,MATCH($F335,Cluster_Master!$B$4:$B$18,0)),"")</f>
        <v/>
      </c>
      <c r="L335" s="15">
        <f>IFERROR(INDEX(Cluster_Master!$G$4:$G$18,MATCH($F335,Cluster_Master!$B$4:$B$18,0)),"")</f>
        <v/>
      </c>
      <c r="M335" s="15">
        <f>IFERROR(INDEX(Cluster_Master!$H$4:$H$18,MATCH($F335,Cluster_Master!$B$4:$B$18,0)),"")</f>
        <v/>
      </c>
      <c r="N335" s="41" t="n"/>
      <c r="O335" s="41" t="n"/>
      <c r="P335" s="41" t="n"/>
      <c r="Q335" s="41" t="n"/>
      <c r="R335" s="41" t="n"/>
      <c r="S335" s="41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  <c r="AE335" s="42" t="n"/>
      <c r="AF335" s="42" t="n"/>
      <c r="AG335" s="42" t="n"/>
      <c r="AH335" s="42" t="n"/>
      <c r="AI335" s="15">
        <f>IF(COUNTA(T335:AH335)=0,"",SUM(T335:AH335))</f>
        <v/>
      </c>
      <c r="AJ335" s="21">
        <f>IF(COUNTA(T335:AH335)=0,"",AI335/(COUNT(KPI_Weights!$A$4:$A$18)*5))</f>
        <v/>
      </c>
      <c r="AK335" s="21">
        <f>IF(COUNTA(T335:AH335)=0,"",SUMPRODUCT(T335:AH335,KPI_Weights!$B$4:$B$18)/5)</f>
        <v/>
      </c>
      <c r="AL335" s="15">
        <f>IF(COUNTA(T335:AH335)=0,"",IF(SUMPRODUCT(--(T335:AH335&lt;=1),--(KPI_Weights!$C$4:$C$18="YES"))&gt;0,"YES","NO"))</f>
        <v/>
      </c>
      <c r="AM335" s="15">
        <f>IF(AJ335="","",IF(AND(AL335="NO",AJ335&gt;=0.75),"YES","NO"))</f>
        <v/>
      </c>
      <c r="AN335" s="15">
        <f>IF(AJ335="","",IF(AJ335&lt;0.4,"Critical",IF(AJ335&lt;0.6,"Poor",IF(AJ335&lt;0.75,"Needs Improvement",IF(AJ335&lt;0.9,"Good","Excellent")))))</f>
        <v/>
      </c>
      <c r="AO335" s="41" t="n"/>
      <c r="AP335" s="41" t="n"/>
      <c r="AQ335" s="41" t="n"/>
      <c r="AR335" s="41" t="n"/>
      <c r="AS335" s="41" t="n"/>
      <c r="AT335" s="44" t="n"/>
      <c r="AU335" s="41" t="n"/>
      <c r="AV335" s="43" t="n"/>
      <c r="AW335" s="41" t="n"/>
      <c r="AX335" s="44" t="n"/>
      <c r="AY335" s="44" t="n"/>
      <c r="AZ335" s="44" t="n"/>
      <c r="BA335" s="44" t="n"/>
      <c r="BB335" s="44" t="n"/>
      <c r="BC335" s="44" t="n"/>
      <c r="BD335" s="44" t="n"/>
      <c r="BE335" s="44" t="n"/>
      <c r="BF335" s="44" t="n"/>
    </row>
    <row r="336" ht="19.5" customHeight="1" s="45">
      <c r="A336" s="15">
        <f>IF($B336="","",TEXT($B336,"yyyymmdd")&amp;"-"&amp;SUBSTITUTE($F336," ","")&amp;"-"&amp;TEXT(COUNTIF($F$4:F336,$F336),"00"))</f>
        <v/>
      </c>
      <c r="B336" s="39" t="n"/>
      <c r="C336" s="15">
        <f>IF($B336="","",WEEKNUM($B336,2))</f>
        <v/>
      </c>
      <c r="D336" s="15">
        <f>IF($B336="","",TEXT($B336,"yyyy-mm"))</f>
        <v/>
      </c>
      <c r="E336" s="40" t="n"/>
      <c r="F336" s="40" t="n"/>
      <c r="G336" s="15">
        <f>IF(OR($E336="",$F336=""),"",IFERROR(IF($E336=INDEX(Cluster_Master!$A$4:$A$18,MATCH($F336,Cluster_Master!$B$4:$B$18,0)),"OK","CHECK"),"CHECK"))</f>
        <v/>
      </c>
      <c r="H336" s="18">
        <f>IFERROR(INDEX(Cluster_Master!$C$4:$C$18,MATCH($F336,Cluster_Master!$B$4:$B$18,0)),"")</f>
        <v/>
      </c>
      <c r="I336" s="15">
        <f>IFERROR(INDEX(Cluster_Master!$D$4:$D$18,MATCH($F336,Cluster_Master!$B$4:$B$18,0)),"")</f>
        <v/>
      </c>
      <c r="J336" s="15">
        <f>IFERROR(INDEX(Cluster_Master!$E$4:$E$18,MATCH($F336,Cluster_Master!$B$4:$B$18,0)),"")</f>
        <v/>
      </c>
      <c r="K336" s="15">
        <f>IFERROR(INDEX(Cluster_Master!$F$4:$F$18,MATCH($F336,Cluster_Master!$B$4:$B$18,0)),"")</f>
        <v/>
      </c>
      <c r="L336" s="15">
        <f>IFERROR(INDEX(Cluster_Master!$G$4:$G$18,MATCH($F336,Cluster_Master!$B$4:$B$18,0)),"")</f>
        <v/>
      </c>
      <c r="M336" s="15">
        <f>IFERROR(INDEX(Cluster_Master!$H$4:$H$18,MATCH($F336,Cluster_Master!$B$4:$B$18,0)),"")</f>
        <v/>
      </c>
      <c r="N336" s="41" t="n"/>
      <c r="O336" s="41" t="n"/>
      <c r="P336" s="41" t="n"/>
      <c r="Q336" s="41" t="n"/>
      <c r="R336" s="41" t="n"/>
      <c r="S336" s="41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2" t="n"/>
      <c r="AG336" s="42" t="n"/>
      <c r="AH336" s="42" t="n"/>
      <c r="AI336" s="15">
        <f>IF(COUNTA(T336:AH336)=0,"",SUM(T336:AH336))</f>
        <v/>
      </c>
      <c r="AJ336" s="21">
        <f>IF(COUNTA(T336:AH336)=0,"",AI336/(COUNT(KPI_Weights!$A$4:$A$18)*5))</f>
        <v/>
      </c>
      <c r="AK336" s="21">
        <f>IF(COUNTA(T336:AH336)=0,"",SUMPRODUCT(T336:AH336,KPI_Weights!$B$4:$B$18)/5)</f>
        <v/>
      </c>
      <c r="AL336" s="15">
        <f>IF(COUNTA(T336:AH336)=0,"",IF(SUMPRODUCT(--(T336:AH336&lt;=1),--(KPI_Weights!$C$4:$C$18="YES"))&gt;0,"YES","NO"))</f>
        <v/>
      </c>
      <c r="AM336" s="15">
        <f>IF(AJ336="","",IF(AND(AL336="NO",AJ336&gt;=0.75),"YES","NO"))</f>
        <v/>
      </c>
      <c r="AN336" s="15">
        <f>IF(AJ336="","",IF(AJ336&lt;0.4,"Critical",IF(AJ336&lt;0.6,"Poor",IF(AJ336&lt;0.75,"Needs Improvement",IF(AJ336&lt;0.9,"Good","Excellent")))))</f>
        <v/>
      </c>
      <c r="AO336" s="41" t="n"/>
      <c r="AP336" s="41" t="n"/>
      <c r="AQ336" s="41" t="n"/>
      <c r="AR336" s="41" t="n"/>
      <c r="AS336" s="41" t="n"/>
      <c r="AT336" s="44" t="n"/>
      <c r="AU336" s="41" t="n"/>
      <c r="AV336" s="43" t="n"/>
      <c r="AW336" s="41" t="n"/>
      <c r="AX336" s="44" t="n"/>
      <c r="AY336" s="44" t="n"/>
      <c r="AZ336" s="44" t="n"/>
      <c r="BA336" s="44" t="n"/>
      <c r="BB336" s="44" t="n"/>
      <c r="BC336" s="44" t="n"/>
      <c r="BD336" s="44" t="n"/>
      <c r="BE336" s="44" t="n"/>
      <c r="BF336" s="44" t="n"/>
    </row>
    <row r="337" ht="19.5" customHeight="1" s="45">
      <c r="A337" s="15">
        <f>IF($B337="","",TEXT($B337,"yyyymmdd")&amp;"-"&amp;SUBSTITUTE($F337," ","")&amp;"-"&amp;TEXT(COUNTIF($F$4:F337,$F337),"00"))</f>
        <v/>
      </c>
      <c r="B337" s="39" t="n"/>
      <c r="C337" s="15">
        <f>IF($B337="","",WEEKNUM($B337,2))</f>
        <v/>
      </c>
      <c r="D337" s="15">
        <f>IF($B337="","",TEXT($B337,"yyyy-mm"))</f>
        <v/>
      </c>
      <c r="E337" s="40" t="n"/>
      <c r="F337" s="40" t="n"/>
      <c r="G337" s="15">
        <f>IF(OR($E337="",$F337=""),"",IFERROR(IF($E337=INDEX(Cluster_Master!$A$4:$A$18,MATCH($F337,Cluster_Master!$B$4:$B$18,0)),"OK","CHECK"),"CHECK"))</f>
        <v/>
      </c>
      <c r="H337" s="18">
        <f>IFERROR(INDEX(Cluster_Master!$C$4:$C$18,MATCH($F337,Cluster_Master!$B$4:$B$18,0)),"")</f>
        <v/>
      </c>
      <c r="I337" s="15">
        <f>IFERROR(INDEX(Cluster_Master!$D$4:$D$18,MATCH($F337,Cluster_Master!$B$4:$B$18,0)),"")</f>
        <v/>
      </c>
      <c r="J337" s="15">
        <f>IFERROR(INDEX(Cluster_Master!$E$4:$E$18,MATCH($F337,Cluster_Master!$B$4:$B$18,0)),"")</f>
        <v/>
      </c>
      <c r="K337" s="15">
        <f>IFERROR(INDEX(Cluster_Master!$F$4:$F$18,MATCH($F337,Cluster_Master!$B$4:$B$18,0)),"")</f>
        <v/>
      </c>
      <c r="L337" s="15">
        <f>IFERROR(INDEX(Cluster_Master!$G$4:$G$18,MATCH($F337,Cluster_Master!$B$4:$B$18,0)),"")</f>
        <v/>
      </c>
      <c r="M337" s="15">
        <f>IFERROR(INDEX(Cluster_Master!$H$4:$H$18,MATCH($F337,Cluster_Master!$B$4:$B$18,0)),"")</f>
        <v/>
      </c>
      <c r="N337" s="41" t="n"/>
      <c r="O337" s="41" t="n"/>
      <c r="P337" s="41" t="n"/>
      <c r="Q337" s="41" t="n"/>
      <c r="R337" s="41" t="n"/>
      <c r="S337" s="41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  <c r="AE337" s="42" t="n"/>
      <c r="AF337" s="42" t="n"/>
      <c r="AG337" s="42" t="n"/>
      <c r="AH337" s="42" t="n"/>
      <c r="AI337" s="15">
        <f>IF(COUNTA(T337:AH337)=0,"",SUM(T337:AH337))</f>
        <v/>
      </c>
      <c r="AJ337" s="21">
        <f>IF(COUNTA(T337:AH337)=0,"",AI337/(COUNT(KPI_Weights!$A$4:$A$18)*5))</f>
        <v/>
      </c>
      <c r="AK337" s="21">
        <f>IF(COUNTA(T337:AH337)=0,"",SUMPRODUCT(T337:AH337,KPI_Weights!$B$4:$B$18)/5)</f>
        <v/>
      </c>
      <c r="AL337" s="15">
        <f>IF(COUNTA(T337:AH337)=0,"",IF(SUMPRODUCT(--(T337:AH337&lt;=1),--(KPI_Weights!$C$4:$C$18="YES"))&gt;0,"YES","NO"))</f>
        <v/>
      </c>
      <c r="AM337" s="15">
        <f>IF(AJ337="","",IF(AND(AL337="NO",AJ337&gt;=0.75),"YES","NO"))</f>
        <v/>
      </c>
      <c r="AN337" s="15">
        <f>IF(AJ337="","",IF(AJ337&lt;0.4,"Critical",IF(AJ337&lt;0.6,"Poor",IF(AJ337&lt;0.75,"Needs Improvement",IF(AJ337&lt;0.9,"Good","Excellent")))))</f>
        <v/>
      </c>
      <c r="AO337" s="41" t="n"/>
      <c r="AP337" s="41" t="n"/>
      <c r="AQ337" s="41" t="n"/>
      <c r="AR337" s="41" t="n"/>
      <c r="AS337" s="41" t="n"/>
      <c r="AT337" s="44" t="n"/>
      <c r="AU337" s="41" t="n"/>
      <c r="AV337" s="43" t="n"/>
      <c r="AW337" s="41" t="n"/>
      <c r="AX337" s="44" t="n"/>
      <c r="AY337" s="44" t="n"/>
      <c r="AZ337" s="44" t="n"/>
      <c r="BA337" s="44" t="n"/>
      <c r="BB337" s="44" t="n"/>
      <c r="BC337" s="44" t="n"/>
      <c r="BD337" s="44" t="n"/>
      <c r="BE337" s="44" t="n"/>
      <c r="BF337" s="44" t="n"/>
    </row>
    <row r="338" ht="19.5" customHeight="1" s="45">
      <c r="A338" s="15">
        <f>IF($B338="","",TEXT($B338,"yyyymmdd")&amp;"-"&amp;SUBSTITUTE($F338," ","")&amp;"-"&amp;TEXT(COUNTIF($F$4:F338,$F338),"00"))</f>
        <v/>
      </c>
      <c r="B338" s="39" t="n"/>
      <c r="C338" s="15">
        <f>IF($B338="","",WEEKNUM($B338,2))</f>
        <v/>
      </c>
      <c r="D338" s="15">
        <f>IF($B338="","",TEXT($B338,"yyyy-mm"))</f>
        <v/>
      </c>
      <c r="E338" s="40" t="n"/>
      <c r="F338" s="40" t="n"/>
      <c r="G338" s="15">
        <f>IF(OR($E338="",$F338=""),"",IFERROR(IF($E338=INDEX(Cluster_Master!$A$4:$A$18,MATCH($F338,Cluster_Master!$B$4:$B$18,0)),"OK","CHECK"),"CHECK"))</f>
        <v/>
      </c>
      <c r="H338" s="18">
        <f>IFERROR(INDEX(Cluster_Master!$C$4:$C$18,MATCH($F338,Cluster_Master!$B$4:$B$18,0)),"")</f>
        <v/>
      </c>
      <c r="I338" s="15">
        <f>IFERROR(INDEX(Cluster_Master!$D$4:$D$18,MATCH($F338,Cluster_Master!$B$4:$B$18,0)),"")</f>
        <v/>
      </c>
      <c r="J338" s="15">
        <f>IFERROR(INDEX(Cluster_Master!$E$4:$E$18,MATCH($F338,Cluster_Master!$B$4:$B$18,0)),"")</f>
        <v/>
      </c>
      <c r="K338" s="15">
        <f>IFERROR(INDEX(Cluster_Master!$F$4:$F$18,MATCH($F338,Cluster_Master!$B$4:$B$18,0)),"")</f>
        <v/>
      </c>
      <c r="L338" s="15">
        <f>IFERROR(INDEX(Cluster_Master!$G$4:$G$18,MATCH($F338,Cluster_Master!$B$4:$B$18,0)),"")</f>
        <v/>
      </c>
      <c r="M338" s="15">
        <f>IFERROR(INDEX(Cluster_Master!$H$4:$H$18,MATCH($F338,Cluster_Master!$B$4:$B$18,0)),"")</f>
        <v/>
      </c>
      <c r="N338" s="41" t="n"/>
      <c r="O338" s="41" t="n"/>
      <c r="P338" s="41" t="n"/>
      <c r="Q338" s="41" t="n"/>
      <c r="R338" s="41" t="n"/>
      <c r="S338" s="41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2" t="n"/>
      <c r="AG338" s="42" t="n"/>
      <c r="AH338" s="42" t="n"/>
      <c r="AI338" s="15">
        <f>IF(COUNTA(T338:AH338)=0,"",SUM(T338:AH338))</f>
        <v/>
      </c>
      <c r="AJ338" s="21">
        <f>IF(COUNTA(T338:AH338)=0,"",AI338/(COUNT(KPI_Weights!$A$4:$A$18)*5))</f>
        <v/>
      </c>
      <c r="AK338" s="21">
        <f>IF(COUNTA(T338:AH338)=0,"",SUMPRODUCT(T338:AH338,KPI_Weights!$B$4:$B$18)/5)</f>
        <v/>
      </c>
      <c r="AL338" s="15">
        <f>IF(COUNTA(T338:AH338)=0,"",IF(SUMPRODUCT(--(T338:AH338&lt;=1),--(KPI_Weights!$C$4:$C$18="YES"))&gt;0,"YES","NO"))</f>
        <v/>
      </c>
      <c r="AM338" s="15">
        <f>IF(AJ338="","",IF(AND(AL338="NO",AJ338&gt;=0.75),"YES","NO"))</f>
        <v/>
      </c>
      <c r="AN338" s="15">
        <f>IF(AJ338="","",IF(AJ338&lt;0.4,"Critical",IF(AJ338&lt;0.6,"Poor",IF(AJ338&lt;0.75,"Needs Improvement",IF(AJ338&lt;0.9,"Good","Excellent")))))</f>
        <v/>
      </c>
      <c r="AO338" s="41" t="n"/>
      <c r="AP338" s="41" t="n"/>
      <c r="AQ338" s="41" t="n"/>
      <c r="AR338" s="41" t="n"/>
      <c r="AS338" s="41" t="n"/>
      <c r="AT338" s="44" t="n"/>
      <c r="AU338" s="41" t="n"/>
      <c r="AV338" s="43" t="n"/>
      <c r="AW338" s="41" t="n"/>
      <c r="AX338" s="44" t="n"/>
      <c r="AY338" s="44" t="n"/>
      <c r="AZ338" s="44" t="n"/>
      <c r="BA338" s="44" t="n"/>
      <c r="BB338" s="44" t="n"/>
      <c r="BC338" s="44" t="n"/>
      <c r="BD338" s="44" t="n"/>
      <c r="BE338" s="44" t="n"/>
      <c r="BF338" s="44" t="n"/>
    </row>
    <row r="339" ht="19.5" customHeight="1" s="45">
      <c r="A339" s="15">
        <f>IF($B339="","",TEXT($B339,"yyyymmdd")&amp;"-"&amp;SUBSTITUTE($F339," ","")&amp;"-"&amp;TEXT(COUNTIF($F$4:F339,$F339),"00"))</f>
        <v/>
      </c>
      <c r="B339" s="39" t="n"/>
      <c r="C339" s="15">
        <f>IF($B339="","",WEEKNUM($B339,2))</f>
        <v/>
      </c>
      <c r="D339" s="15">
        <f>IF($B339="","",TEXT($B339,"yyyy-mm"))</f>
        <v/>
      </c>
      <c r="E339" s="40" t="n"/>
      <c r="F339" s="40" t="n"/>
      <c r="G339" s="15">
        <f>IF(OR($E339="",$F339=""),"",IFERROR(IF($E339=INDEX(Cluster_Master!$A$4:$A$18,MATCH($F339,Cluster_Master!$B$4:$B$18,0)),"OK","CHECK"),"CHECK"))</f>
        <v/>
      </c>
      <c r="H339" s="18">
        <f>IFERROR(INDEX(Cluster_Master!$C$4:$C$18,MATCH($F339,Cluster_Master!$B$4:$B$18,0)),"")</f>
        <v/>
      </c>
      <c r="I339" s="15">
        <f>IFERROR(INDEX(Cluster_Master!$D$4:$D$18,MATCH($F339,Cluster_Master!$B$4:$B$18,0)),"")</f>
        <v/>
      </c>
      <c r="J339" s="15">
        <f>IFERROR(INDEX(Cluster_Master!$E$4:$E$18,MATCH($F339,Cluster_Master!$B$4:$B$18,0)),"")</f>
        <v/>
      </c>
      <c r="K339" s="15">
        <f>IFERROR(INDEX(Cluster_Master!$F$4:$F$18,MATCH($F339,Cluster_Master!$B$4:$B$18,0)),"")</f>
        <v/>
      </c>
      <c r="L339" s="15">
        <f>IFERROR(INDEX(Cluster_Master!$G$4:$G$18,MATCH($F339,Cluster_Master!$B$4:$B$18,0)),"")</f>
        <v/>
      </c>
      <c r="M339" s="15">
        <f>IFERROR(INDEX(Cluster_Master!$H$4:$H$18,MATCH($F339,Cluster_Master!$B$4:$B$18,0)),"")</f>
        <v/>
      </c>
      <c r="N339" s="41" t="n"/>
      <c r="O339" s="41" t="n"/>
      <c r="P339" s="41" t="n"/>
      <c r="Q339" s="41" t="n"/>
      <c r="R339" s="41" t="n"/>
      <c r="S339" s="41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  <c r="AE339" s="42" t="n"/>
      <c r="AF339" s="42" t="n"/>
      <c r="AG339" s="42" t="n"/>
      <c r="AH339" s="42" t="n"/>
      <c r="AI339" s="15">
        <f>IF(COUNTA(T339:AH339)=0,"",SUM(T339:AH339))</f>
        <v/>
      </c>
      <c r="AJ339" s="21">
        <f>IF(COUNTA(T339:AH339)=0,"",AI339/(COUNT(KPI_Weights!$A$4:$A$18)*5))</f>
        <v/>
      </c>
      <c r="AK339" s="21">
        <f>IF(COUNTA(T339:AH339)=0,"",SUMPRODUCT(T339:AH339,KPI_Weights!$B$4:$B$18)/5)</f>
        <v/>
      </c>
      <c r="AL339" s="15">
        <f>IF(COUNTA(T339:AH339)=0,"",IF(SUMPRODUCT(--(T339:AH339&lt;=1),--(KPI_Weights!$C$4:$C$18="YES"))&gt;0,"YES","NO"))</f>
        <v/>
      </c>
      <c r="AM339" s="15">
        <f>IF(AJ339="","",IF(AND(AL339="NO",AJ339&gt;=0.75),"YES","NO"))</f>
        <v/>
      </c>
      <c r="AN339" s="15">
        <f>IF(AJ339="","",IF(AJ339&lt;0.4,"Critical",IF(AJ339&lt;0.6,"Poor",IF(AJ339&lt;0.75,"Needs Improvement",IF(AJ339&lt;0.9,"Good","Excellent")))))</f>
        <v/>
      </c>
      <c r="AO339" s="41" t="n"/>
      <c r="AP339" s="41" t="n"/>
      <c r="AQ339" s="41" t="n"/>
      <c r="AR339" s="41" t="n"/>
      <c r="AS339" s="41" t="n"/>
      <c r="AT339" s="44" t="n"/>
      <c r="AU339" s="41" t="n"/>
      <c r="AV339" s="43" t="n"/>
      <c r="AW339" s="41" t="n"/>
      <c r="AX339" s="44" t="n"/>
      <c r="AY339" s="44" t="n"/>
      <c r="AZ339" s="44" t="n"/>
      <c r="BA339" s="44" t="n"/>
      <c r="BB339" s="44" t="n"/>
      <c r="BC339" s="44" t="n"/>
      <c r="BD339" s="44" t="n"/>
      <c r="BE339" s="44" t="n"/>
      <c r="BF339" s="44" t="n"/>
    </row>
    <row r="340" ht="19.5" customHeight="1" s="45">
      <c r="A340" s="15">
        <f>IF($B340="","",TEXT($B340,"yyyymmdd")&amp;"-"&amp;SUBSTITUTE($F340," ","")&amp;"-"&amp;TEXT(COUNTIF($F$4:F340,$F340),"00"))</f>
        <v/>
      </c>
      <c r="B340" s="39" t="n"/>
      <c r="C340" s="15">
        <f>IF($B340="","",WEEKNUM($B340,2))</f>
        <v/>
      </c>
      <c r="D340" s="15">
        <f>IF($B340="","",TEXT($B340,"yyyy-mm"))</f>
        <v/>
      </c>
      <c r="E340" s="40" t="n"/>
      <c r="F340" s="40" t="n"/>
      <c r="G340" s="15">
        <f>IF(OR($E340="",$F340=""),"",IFERROR(IF($E340=INDEX(Cluster_Master!$A$4:$A$18,MATCH($F340,Cluster_Master!$B$4:$B$18,0)),"OK","CHECK"),"CHECK"))</f>
        <v/>
      </c>
      <c r="H340" s="18">
        <f>IFERROR(INDEX(Cluster_Master!$C$4:$C$18,MATCH($F340,Cluster_Master!$B$4:$B$18,0)),"")</f>
        <v/>
      </c>
      <c r="I340" s="15">
        <f>IFERROR(INDEX(Cluster_Master!$D$4:$D$18,MATCH($F340,Cluster_Master!$B$4:$B$18,0)),"")</f>
        <v/>
      </c>
      <c r="J340" s="15">
        <f>IFERROR(INDEX(Cluster_Master!$E$4:$E$18,MATCH($F340,Cluster_Master!$B$4:$B$18,0)),"")</f>
        <v/>
      </c>
      <c r="K340" s="15">
        <f>IFERROR(INDEX(Cluster_Master!$F$4:$F$18,MATCH($F340,Cluster_Master!$B$4:$B$18,0)),"")</f>
        <v/>
      </c>
      <c r="L340" s="15">
        <f>IFERROR(INDEX(Cluster_Master!$G$4:$G$18,MATCH($F340,Cluster_Master!$B$4:$B$18,0)),"")</f>
        <v/>
      </c>
      <c r="M340" s="15">
        <f>IFERROR(INDEX(Cluster_Master!$H$4:$H$18,MATCH($F340,Cluster_Master!$B$4:$B$18,0)),"")</f>
        <v/>
      </c>
      <c r="N340" s="41" t="n"/>
      <c r="O340" s="41" t="n"/>
      <c r="P340" s="41" t="n"/>
      <c r="Q340" s="41" t="n"/>
      <c r="R340" s="41" t="n"/>
      <c r="S340" s="41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2" t="n"/>
      <c r="AG340" s="42" t="n"/>
      <c r="AH340" s="42" t="n"/>
      <c r="AI340" s="15">
        <f>IF(COUNTA(T340:AH340)=0,"",SUM(T340:AH340))</f>
        <v/>
      </c>
      <c r="AJ340" s="21">
        <f>IF(COUNTA(T340:AH340)=0,"",AI340/(COUNT(KPI_Weights!$A$4:$A$18)*5))</f>
        <v/>
      </c>
      <c r="AK340" s="21">
        <f>IF(COUNTA(T340:AH340)=0,"",SUMPRODUCT(T340:AH340,KPI_Weights!$B$4:$B$18)/5)</f>
        <v/>
      </c>
      <c r="AL340" s="15">
        <f>IF(COUNTA(T340:AH340)=0,"",IF(SUMPRODUCT(--(T340:AH340&lt;=1),--(KPI_Weights!$C$4:$C$18="YES"))&gt;0,"YES","NO"))</f>
        <v/>
      </c>
      <c r="AM340" s="15">
        <f>IF(AJ340="","",IF(AND(AL340="NO",AJ340&gt;=0.75),"YES","NO"))</f>
        <v/>
      </c>
      <c r="AN340" s="15">
        <f>IF(AJ340="","",IF(AJ340&lt;0.4,"Critical",IF(AJ340&lt;0.6,"Poor",IF(AJ340&lt;0.75,"Needs Improvement",IF(AJ340&lt;0.9,"Good","Excellent")))))</f>
        <v/>
      </c>
      <c r="AO340" s="41" t="n"/>
      <c r="AP340" s="41" t="n"/>
      <c r="AQ340" s="41" t="n"/>
      <c r="AR340" s="41" t="n"/>
      <c r="AS340" s="41" t="n"/>
      <c r="AT340" s="44" t="n"/>
      <c r="AU340" s="41" t="n"/>
      <c r="AV340" s="43" t="n"/>
      <c r="AW340" s="41" t="n"/>
      <c r="AX340" s="44" t="n"/>
      <c r="AY340" s="44" t="n"/>
      <c r="AZ340" s="44" t="n"/>
      <c r="BA340" s="44" t="n"/>
      <c r="BB340" s="44" t="n"/>
      <c r="BC340" s="44" t="n"/>
      <c r="BD340" s="44" t="n"/>
      <c r="BE340" s="44" t="n"/>
      <c r="BF340" s="44" t="n"/>
    </row>
    <row r="341" ht="19.5" customHeight="1" s="45">
      <c r="A341" s="15">
        <f>IF($B341="","",TEXT($B341,"yyyymmdd")&amp;"-"&amp;SUBSTITUTE($F341," ","")&amp;"-"&amp;TEXT(COUNTIF($F$4:F341,$F341),"00"))</f>
        <v/>
      </c>
      <c r="B341" s="39" t="n"/>
      <c r="C341" s="15">
        <f>IF($B341="","",WEEKNUM($B341,2))</f>
        <v/>
      </c>
      <c r="D341" s="15">
        <f>IF($B341="","",TEXT($B341,"yyyy-mm"))</f>
        <v/>
      </c>
      <c r="E341" s="40" t="n"/>
      <c r="F341" s="40" t="n"/>
      <c r="G341" s="15">
        <f>IF(OR($E341="",$F341=""),"",IFERROR(IF($E341=INDEX(Cluster_Master!$A$4:$A$18,MATCH($F341,Cluster_Master!$B$4:$B$18,0)),"OK","CHECK"),"CHECK"))</f>
        <v/>
      </c>
      <c r="H341" s="18">
        <f>IFERROR(INDEX(Cluster_Master!$C$4:$C$18,MATCH($F341,Cluster_Master!$B$4:$B$18,0)),"")</f>
        <v/>
      </c>
      <c r="I341" s="15">
        <f>IFERROR(INDEX(Cluster_Master!$D$4:$D$18,MATCH($F341,Cluster_Master!$B$4:$B$18,0)),"")</f>
        <v/>
      </c>
      <c r="J341" s="15">
        <f>IFERROR(INDEX(Cluster_Master!$E$4:$E$18,MATCH($F341,Cluster_Master!$B$4:$B$18,0)),"")</f>
        <v/>
      </c>
      <c r="K341" s="15">
        <f>IFERROR(INDEX(Cluster_Master!$F$4:$F$18,MATCH($F341,Cluster_Master!$B$4:$B$18,0)),"")</f>
        <v/>
      </c>
      <c r="L341" s="15">
        <f>IFERROR(INDEX(Cluster_Master!$G$4:$G$18,MATCH($F341,Cluster_Master!$B$4:$B$18,0)),"")</f>
        <v/>
      </c>
      <c r="M341" s="15">
        <f>IFERROR(INDEX(Cluster_Master!$H$4:$H$18,MATCH($F341,Cluster_Master!$B$4:$B$18,0)),"")</f>
        <v/>
      </c>
      <c r="N341" s="41" t="n"/>
      <c r="O341" s="41" t="n"/>
      <c r="P341" s="41" t="n"/>
      <c r="Q341" s="41" t="n"/>
      <c r="R341" s="41" t="n"/>
      <c r="S341" s="41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  <c r="AE341" s="42" t="n"/>
      <c r="AF341" s="42" t="n"/>
      <c r="AG341" s="42" t="n"/>
      <c r="AH341" s="42" t="n"/>
      <c r="AI341" s="15">
        <f>IF(COUNTA(T341:AH341)=0,"",SUM(T341:AH341))</f>
        <v/>
      </c>
      <c r="AJ341" s="21">
        <f>IF(COUNTA(T341:AH341)=0,"",AI341/(COUNT(KPI_Weights!$A$4:$A$18)*5))</f>
        <v/>
      </c>
      <c r="AK341" s="21">
        <f>IF(COUNTA(T341:AH341)=0,"",SUMPRODUCT(T341:AH341,KPI_Weights!$B$4:$B$18)/5)</f>
        <v/>
      </c>
      <c r="AL341" s="15">
        <f>IF(COUNTA(T341:AH341)=0,"",IF(SUMPRODUCT(--(T341:AH341&lt;=1),--(KPI_Weights!$C$4:$C$18="YES"))&gt;0,"YES","NO"))</f>
        <v/>
      </c>
      <c r="AM341" s="15">
        <f>IF(AJ341="","",IF(AND(AL341="NO",AJ341&gt;=0.75),"YES","NO"))</f>
        <v/>
      </c>
      <c r="AN341" s="15">
        <f>IF(AJ341="","",IF(AJ341&lt;0.4,"Critical",IF(AJ341&lt;0.6,"Poor",IF(AJ341&lt;0.75,"Needs Improvement",IF(AJ341&lt;0.9,"Good","Excellent")))))</f>
        <v/>
      </c>
      <c r="AO341" s="41" t="n"/>
      <c r="AP341" s="41" t="n"/>
      <c r="AQ341" s="41" t="n"/>
      <c r="AR341" s="41" t="n"/>
      <c r="AS341" s="41" t="n"/>
      <c r="AT341" s="44" t="n"/>
      <c r="AU341" s="41" t="n"/>
      <c r="AV341" s="43" t="n"/>
      <c r="AW341" s="41" t="n"/>
      <c r="AX341" s="44" t="n"/>
      <c r="AY341" s="44" t="n"/>
      <c r="AZ341" s="44" t="n"/>
      <c r="BA341" s="44" t="n"/>
      <c r="BB341" s="44" t="n"/>
      <c r="BC341" s="44" t="n"/>
      <c r="BD341" s="44" t="n"/>
      <c r="BE341" s="44" t="n"/>
      <c r="BF341" s="44" t="n"/>
    </row>
    <row r="342" ht="19.5" customHeight="1" s="45">
      <c r="A342" s="15">
        <f>IF($B342="","",TEXT($B342,"yyyymmdd")&amp;"-"&amp;SUBSTITUTE($F342," ","")&amp;"-"&amp;TEXT(COUNTIF($F$4:F342,$F342),"00"))</f>
        <v/>
      </c>
      <c r="B342" s="39" t="n"/>
      <c r="C342" s="15">
        <f>IF($B342="","",WEEKNUM($B342,2))</f>
        <v/>
      </c>
      <c r="D342" s="15">
        <f>IF($B342="","",TEXT($B342,"yyyy-mm"))</f>
        <v/>
      </c>
      <c r="E342" s="40" t="n"/>
      <c r="F342" s="40" t="n"/>
      <c r="G342" s="15">
        <f>IF(OR($E342="",$F342=""),"",IFERROR(IF($E342=INDEX(Cluster_Master!$A$4:$A$18,MATCH($F342,Cluster_Master!$B$4:$B$18,0)),"OK","CHECK"),"CHECK"))</f>
        <v/>
      </c>
      <c r="H342" s="18">
        <f>IFERROR(INDEX(Cluster_Master!$C$4:$C$18,MATCH($F342,Cluster_Master!$B$4:$B$18,0)),"")</f>
        <v/>
      </c>
      <c r="I342" s="15">
        <f>IFERROR(INDEX(Cluster_Master!$D$4:$D$18,MATCH($F342,Cluster_Master!$B$4:$B$18,0)),"")</f>
        <v/>
      </c>
      <c r="J342" s="15">
        <f>IFERROR(INDEX(Cluster_Master!$E$4:$E$18,MATCH($F342,Cluster_Master!$B$4:$B$18,0)),"")</f>
        <v/>
      </c>
      <c r="K342" s="15">
        <f>IFERROR(INDEX(Cluster_Master!$F$4:$F$18,MATCH($F342,Cluster_Master!$B$4:$B$18,0)),"")</f>
        <v/>
      </c>
      <c r="L342" s="15">
        <f>IFERROR(INDEX(Cluster_Master!$G$4:$G$18,MATCH($F342,Cluster_Master!$B$4:$B$18,0)),"")</f>
        <v/>
      </c>
      <c r="M342" s="15">
        <f>IFERROR(INDEX(Cluster_Master!$H$4:$H$18,MATCH($F342,Cluster_Master!$B$4:$B$18,0)),"")</f>
        <v/>
      </c>
      <c r="N342" s="41" t="n"/>
      <c r="O342" s="41" t="n"/>
      <c r="P342" s="41" t="n"/>
      <c r="Q342" s="41" t="n"/>
      <c r="R342" s="41" t="n"/>
      <c r="S342" s="41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2" t="n"/>
      <c r="AG342" s="42" t="n"/>
      <c r="AH342" s="42" t="n"/>
      <c r="AI342" s="15">
        <f>IF(COUNTA(T342:AH342)=0,"",SUM(T342:AH342))</f>
        <v/>
      </c>
      <c r="AJ342" s="21">
        <f>IF(COUNTA(T342:AH342)=0,"",AI342/(COUNT(KPI_Weights!$A$4:$A$18)*5))</f>
        <v/>
      </c>
      <c r="AK342" s="21">
        <f>IF(COUNTA(T342:AH342)=0,"",SUMPRODUCT(T342:AH342,KPI_Weights!$B$4:$B$18)/5)</f>
        <v/>
      </c>
      <c r="AL342" s="15">
        <f>IF(COUNTA(T342:AH342)=0,"",IF(SUMPRODUCT(--(T342:AH342&lt;=1),--(KPI_Weights!$C$4:$C$18="YES"))&gt;0,"YES","NO"))</f>
        <v/>
      </c>
      <c r="AM342" s="15">
        <f>IF(AJ342="","",IF(AND(AL342="NO",AJ342&gt;=0.75),"YES","NO"))</f>
        <v/>
      </c>
      <c r="AN342" s="15">
        <f>IF(AJ342="","",IF(AJ342&lt;0.4,"Critical",IF(AJ342&lt;0.6,"Poor",IF(AJ342&lt;0.75,"Needs Improvement",IF(AJ342&lt;0.9,"Good","Excellent")))))</f>
        <v/>
      </c>
      <c r="AO342" s="41" t="n"/>
      <c r="AP342" s="41" t="n"/>
      <c r="AQ342" s="41" t="n"/>
      <c r="AR342" s="41" t="n"/>
      <c r="AS342" s="41" t="n"/>
      <c r="AT342" s="44" t="n"/>
      <c r="AU342" s="41" t="n"/>
      <c r="AV342" s="43" t="n"/>
      <c r="AW342" s="41" t="n"/>
      <c r="AX342" s="44" t="n"/>
      <c r="AY342" s="44" t="n"/>
      <c r="AZ342" s="44" t="n"/>
      <c r="BA342" s="44" t="n"/>
      <c r="BB342" s="44" t="n"/>
      <c r="BC342" s="44" t="n"/>
      <c r="BD342" s="44" t="n"/>
      <c r="BE342" s="44" t="n"/>
      <c r="BF342" s="44" t="n"/>
    </row>
    <row r="343" ht="19.5" customHeight="1" s="45">
      <c r="A343" s="15">
        <f>IF($B343="","",TEXT($B343,"yyyymmdd")&amp;"-"&amp;SUBSTITUTE($F343," ","")&amp;"-"&amp;TEXT(COUNTIF($F$4:F343,$F343),"00"))</f>
        <v/>
      </c>
      <c r="B343" s="39" t="n"/>
      <c r="C343" s="15">
        <f>IF($B343="","",WEEKNUM($B343,2))</f>
        <v/>
      </c>
      <c r="D343" s="15">
        <f>IF($B343="","",TEXT($B343,"yyyy-mm"))</f>
        <v/>
      </c>
      <c r="E343" s="40" t="n"/>
      <c r="F343" s="40" t="n"/>
      <c r="G343" s="15">
        <f>IF(OR($E343="",$F343=""),"",IFERROR(IF($E343=INDEX(Cluster_Master!$A$4:$A$18,MATCH($F343,Cluster_Master!$B$4:$B$18,0)),"OK","CHECK"),"CHECK"))</f>
        <v/>
      </c>
      <c r="H343" s="18">
        <f>IFERROR(INDEX(Cluster_Master!$C$4:$C$18,MATCH($F343,Cluster_Master!$B$4:$B$18,0)),"")</f>
        <v/>
      </c>
      <c r="I343" s="15">
        <f>IFERROR(INDEX(Cluster_Master!$D$4:$D$18,MATCH($F343,Cluster_Master!$B$4:$B$18,0)),"")</f>
        <v/>
      </c>
      <c r="J343" s="15">
        <f>IFERROR(INDEX(Cluster_Master!$E$4:$E$18,MATCH($F343,Cluster_Master!$B$4:$B$18,0)),"")</f>
        <v/>
      </c>
      <c r="K343" s="15">
        <f>IFERROR(INDEX(Cluster_Master!$F$4:$F$18,MATCH($F343,Cluster_Master!$B$4:$B$18,0)),"")</f>
        <v/>
      </c>
      <c r="L343" s="15">
        <f>IFERROR(INDEX(Cluster_Master!$G$4:$G$18,MATCH($F343,Cluster_Master!$B$4:$B$18,0)),"")</f>
        <v/>
      </c>
      <c r="M343" s="15">
        <f>IFERROR(INDEX(Cluster_Master!$H$4:$H$18,MATCH($F343,Cluster_Master!$B$4:$B$18,0)),"")</f>
        <v/>
      </c>
      <c r="N343" s="41" t="n"/>
      <c r="O343" s="41" t="n"/>
      <c r="P343" s="41" t="n"/>
      <c r="Q343" s="41" t="n"/>
      <c r="R343" s="41" t="n"/>
      <c r="S343" s="41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  <c r="AE343" s="42" t="n"/>
      <c r="AF343" s="42" t="n"/>
      <c r="AG343" s="42" t="n"/>
      <c r="AH343" s="42" t="n"/>
      <c r="AI343" s="15">
        <f>IF(COUNTA(T343:AH343)=0,"",SUM(T343:AH343))</f>
        <v/>
      </c>
      <c r="AJ343" s="21">
        <f>IF(COUNTA(T343:AH343)=0,"",AI343/(COUNT(KPI_Weights!$A$4:$A$18)*5))</f>
        <v/>
      </c>
      <c r="AK343" s="21">
        <f>IF(COUNTA(T343:AH343)=0,"",SUMPRODUCT(T343:AH343,KPI_Weights!$B$4:$B$18)/5)</f>
        <v/>
      </c>
      <c r="AL343" s="15">
        <f>IF(COUNTA(T343:AH343)=0,"",IF(SUMPRODUCT(--(T343:AH343&lt;=1),--(KPI_Weights!$C$4:$C$18="YES"))&gt;0,"YES","NO"))</f>
        <v/>
      </c>
      <c r="AM343" s="15">
        <f>IF(AJ343="","",IF(AND(AL343="NO",AJ343&gt;=0.75),"YES","NO"))</f>
        <v/>
      </c>
      <c r="AN343" s="15">
        <f>IF(AJ343="","",IF(AJ343&lt;0.4,"Critical",IF(AJ343&lt;0.6,"Poor",IF(AJ343&lt;0.75,"Needs Improvement",IF(AJ343&lt;0.9,"Good","Excellent")))))</f>
        <v/>
      </c>
      <c r="AO343" s="41" t="n"/>
      <c r="AP343" s="41" t="n"/>
      <c r="AQ343" s="41" t="n"/>
      <c r="AR343" s="41" t="n"/>
      <c r="AS343" s="41" t="n"/>
      <c r="AT343" s="44" t="n"/>
      <c r="AU343" s="41" t="n"/>
      <c r="AV343" s="43" t="n"/>
      <c r="AW343" s="41" t="n"/>
      <c r="AX343" s="44" t="n"/>
      <c r="AY343" s="44" t="n"/>
      <c r="AZ343" s="44" t="n"/>
      <c r="BA343" s="44" t="n"/>
      <c r="BB343" s="44" t="n"/>
      <c r="BC343" s="44" t="n"/>
      <c r="BD343" s="44" t="n"/>
      <c r="BE343" s="44" t="n"/>
      <c r="BF343" s="44" t="n"/>
    </row>
    <row r="344" ht="19.5" customHeight="1" s="45">
      <c r="A344" s="15">
        <f>IF($B344="","",TEXT($B344,"yyyymmdd")&amp;"-"&amp;SUBSTITUTE($F344," ","")&amp;"-"&amp;TEXT(COUNTIF($F$4:F344,$F344),"00"))</f>
        <v/>
      </c>
      <c r="B344" s="39" t="n"/>
      <c r="C344" s="15">
        <f>IF($B344="","",WEEKNUM($B344,2))</f>
        <v/>
      </c>
      <c r="D344" s="15">
        <f>IF($B344="","",TEXT($B344,"yyyy-mm"))</f>
        <v/>
      </c>
      <c r="E344" s="40" t="n"/>
      <c r="F344" s="40" t="n"/>
      <c r="G344" s="15">
        <f>IF(OR($E344="",$F344=""),"",IFERROR(IF($E344=INDEX(Cluster_Master!$A$4:$A$18,MATCH($F344,Cluster_Master!$B$4:$B$18,0)),"OK","CHECK"),"CHECK"))</f>
        <v/>
      </c>
      <c r="H344" s="18">
        <f>IFERROR(INDEX(Cluster_Master!$C$4:$C$18,MATCH($F344,Cluster_Master!$B$4:$B$18,0)),"")</f>
        <v/>
      </c>
      <c r="I344" s="15">
        <f>IFERROR(INDEX(Cluster_Master!$D$4:$D$18,MATCH($F344,Cluster_Master!$B$4:$B$18,0)),"")</f>
        <v/>
      </c>
      <c r="J344" s="15">
        <f>IFERROR(INDEX(Cluster_Master!$E$4:$E$18,MATCH($F344,Cluster_Master!$B$4:$B$18,0)),"")</f>
        <v/>
      </c>
      <c r="K344" s="15">
        <f>IFERROR(INDEX(Cluster_Master!$F$4:$F$18,MATCH($F344,Cluster_Master!$B$4:$B$18,0)),"")</f>
        <v/>
      </c>
      <c r="L344" s="15">
        <f>IFERROR(INDEX(Cluster_Master!$G$4:$G$18,MATCH($F344,Cluster_Master!$B$4:$B$18,0)),"")</f>
        <v/>
      </c>
      <c r="M344" s="15">
        <f>IFERROR(INDEX(Cluster_Master!$H$4:$H$18,MATCH($F344,Cluster_Master!$B$4:$B$18,0)),"")</f>
        <v/>
      </c>
      <c r="N344" s="41" t="n"/>
      <c r="O344" s="41" t="n"/>
      <c r="P344" s="41" t="n"/>
      <c r="Q344" s="41" t="n"/>
      <c r="R344" s="41" t="n"/>
      <c r="S344" s="41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2" t="n"/>
      <c r="AG344" s="42" t="n"/>
      <c r="AH344" s="42" t="n"/>
      <c r="AI344" s="15">
        <f>IF(COUNTA(T344:AH344)=0,"",SUM(T344:AH344))</f>
        <v/>
      </c>
      <c r="AJ344" s="21">
        <f>IF(COUNTA(T344:AH344)=0,"",AI344/(COUNT(KPI_Weights!$A$4:$A$18)*5))</f>
        <v/>
      </c>
      <c r="AK344" s="21">
        <f>IF(COUNTA(T344:AH344)=0,"",SUMPRODUCT(T344:AH344,KPI_Weights!$B$4:$B$18)/5)</f>
        <v/>
      </c>
      <c r="AL344" s="15">
        <f>IF(COUNTA(T344:AH344)=0,"",IF(SUMPRODUCT(--(T344:AH344&lt;=1),--(KPI_Weights!$C$4:$C$18="YES"))&gt;0,"YES","NO"))</f>
        <v/>
      </c>
      <c r="AM344" s="15">
        <f>IF(AJ344="","",IF(AND(AL344="NO",AJ344&gt;=0.75),"YES","NO"))</f>
        <v/>
      </c>
      <c r="AN344" s="15">
        <f>IF(AJ344="","",IF(AJ344&lt;0.4,"Critical",IF(AJ344&lt;0.6,"Poor",IF(AJ344&lt;0.75,"Needs Improvement",IF(AJ344&lt;0.9,"Good","Excellent")))))</f>
        <v/>
      </c>
      <c r="AO344" s="41" t="n"/>
      <c r="AP344" s="41" t="n"/>
      <c r="AQ344" s="41" t="n"/>
      <c r="AR344" s="41" t="n"/>
      <c r="AS344" s="41" t="n"/>
      <c r="AT344" s="44" t="n"/>
      <c r="AU344" s="41" t="n"/>
      <c r="AV344" s="43" t="n"/>
      <c r="AW344" s="41" t="n"/>
      <c r="AX344" s="44" t="n"/>
      <c r="AY344" s="44" t="n"/>
      <c r="AZ344" s="44" t="n"/>
      <c r="BA344" s="44" t="n"/>
      <c r="BB344" s="44" t="n"/>
      <c r="BC344" s="44" t="n"/>
      <c r="BD344" s="44" t="n"/>
      <c r="BE344" s="44" t="n"/>
      <c r="BF344" s="44" t="n"/>
    </row>
    <row r="345" ht="19.5" customHeight="1" s="45">
      <c r="A345" s="15">
        <f>IF($B345="","",TEXT($B345,"yyyymmdd")&amp;"-"&amp;SUBSTITUTE($F345," ","")&amp;"-"&amp;TEXT(COUNTIF($F$4:F345,$F345),"00"))</f>
        <v/>
      </c>
      <c r="B345" s="39" t="n"/>
      <c r="C345" s="15">
        <f>IF($B345="","",WEEKNUM($B345,2))</f>
        <v/>
      </c>
      <c r="D345" s="15">
        <f>IF($B345="","",TEXT($B345,"yyyy-mm"))</f>
        <v/>
      </c>
      <c r="E345" s="40" t="n"/>
      <c r="F345" s="40" t="n"/>
      <c r="G345" s="15">
        <f>IF(OR($E345="",$F345=""),"",IFERROR(IF($E345=INDEX(Cluster_Master!$A$4:$A$18,MATCH($F345,Cluster_Master!$B$4:$B$18,0)),"OK","CHECK"),"CHECK"))</f>
        <v/>
      </c>
      <c r="H345" s="18">
        <f>IFERROR(INDEX(Cluster_Master!$C$4:$C$18,MATCH($F345,Cluster_Master!$B$4:$B$18,0)),"")</f>
        <v/>
      </c>
      <c r="I345" s="15">
        <f>IFERROR(INDEX(Cluster_Master!$D$4:$D$18,MATCH($F345,Cluster_Master!$B$4:$B$18,0)),"")</f>
        <v/>
      </c>
      <c r="J345" s="15">
        <f>IFERROR(INDEX(Cluster_Master!$E$4:$E$18,MATCH($F345,Cluster_Master!$B$4:$B$18,0)),"")</f>
        <v/>
      </c>
      <c r="K345" s="15">
        <f>IFERROR(INDEX(Cluster_Master!$F$4:$F$18,MATCH($F345,Cluster_Master!$B$4:$B$18,0)),"")</f>
        <v/>
      </c>
      <c r="L345" s="15">
        <f>IFERROR(INDEX(Cluster_Master!$G$4:$G$18,MATCH($F345,Cluster_Master!$B$4:$B$18,0)),"")</f>
        <v/>
      </c>
      <c r="M345" s="15">
        <f>IFERROR(INDEX(Cluster_Master!$H$4:$H$18,MATCH($F345,Cluster_Master!$B$4:$B$18,0)),"")</f>
        <v/>
      </c>
      <c r="N345" s="41" t="n"/>
      <c r="O345" s="41" t="n"/>
      <c r="P345" s="41" t="n"/>
      <c r="Q345" s="41" t="n"/>
      <c r="R345" s="41" t="n"/>
      <c r="S345" s="41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  <c r="AE345" s="42" t="n"/>
      <c r="AF345" s="42" t="n"/>
      <c r="AG345" s="42" t="n"/>
      <c r="AH345" s="42" t="n"/>
      <c r="AI345" s="15">
        <f>IF(COUNTA(T345:AH345)=0,"",SUM(T345:AH345))</f>
        <v/>
      </c>
      <c r="AJ345" s="21">
        <f>IF(COUNTA(T345:AH345)=0,"",AI345/(COUNT(KPI_Weights!$A$4:$A$18)*5))</f>
        <v/>
      </c>
      <c r="AK345" s="21">
        <f>IF(COUNTA(T345:AH345)=0,"",SUMPRODUCT(T345:AH345,KPI_Weights!$B$4:$B$18)/5)</f>
        <v/>
      </c>
      <c r="AL345" s="15">
        <f>IF(COUNTA(T345:AH345)=0,"",IF(SUMPRODUCT(--(T345:AH345&lt;=1),--(KPI_Weights!$C$4:$C$18="YES"))&gt;0,"YES","NO"))</f>
        <v/>
      </c>
      <c r="AM345" s="15">
        <f>IF(AJ345="","",IF(AND(AL345="NO",AJ345&gt;=0.75),"YES","NO"))</f>
        <v/>
      </c>
      <c r="AN345" s="15">
        <f>IF(AJ345="","",IF(AJ345&lt;0.4,"Critical",IF(AJ345&lt;0.6,"Poor",IF(AJ345&lt;0.75,"Needs Improvement",IF(AJ345&lt;0.9,"Good","Excellent")))))</f>
        <v/>
      </c>
      <c r="AO345" s="41" t="n"/>
      <c r="AP345" s="41" t="n"/>
      <c r="AQ345" s="41" t="n"/>
      <c r="AR345" s="41" t="n"/>
      <c r="AS345" s="41" t="n"/>
      <c r="AT345" s="44" t="n"/>
      <c r="AU345" s="41" t="n"/>
      <c r="AV345" s="43" t="n"/>
      <c r="AW345" s="41" t="n"/>
      <c r="AX345" s="44" t="n"/>
      <c r="AY345" s="44" t="n"/>
      <c r="AZ345" s="44" t="n"/>
      <c r="BA345" s="44" t="n"/>
      <c r="BB345" s="44" t="n"/>
      <c r="BC345" s="44" t="n"/>
      <c r="BD345" s="44" t="n"/>
      <c r="BE345" s="44" t="n"/>
      <c r="BF345" s="44" t="n"/>
    </row>
    <row r="346" ht="19.5" customHeight="1" s="45">
      <c r="A346" s="15">
        <f>IF($B346="","",TEXT($B346,"yyyymmdd")&amp;"-"&amp;SUBSTITUTE($F346," ","")&amp;"-"&amp;TEXT(COUNTIF($F$4:F346,$F346),"00"))</f>
        <v/>
      </c>
      <c r="B346" s="39" t="n"/>
      <c r="C346" s="15">
        <f>IF($B346="","",WEEKNUM($B346,2))</f>
        <v/>
      </c>
      <c r="D346" s="15">
        <f>IF($B346="","",TEXT($B346,"yyyy-mm"))</f>
        <v/>
      </c>
      <c r="E346" s="40" t="n"/>
      <c r="F346" s="40" t="n"/>
      <c r="G346" s="15">
        <f>IF(OR($E346="",$F346=""),"",IFERROR(IF($E346=INDEX(Cluster_Master!$A$4:$A$18,MATCH($F346,Cluster_Master!$B$4:$B$18,0)),"OK","CHECK"),"CHECK"))</f>
        <v/>
      </c>
      <c r="H346" s="18">
        <f>IFERROR(INDEX(Cluster_Master!$C$4:$C$18,MATCH($F346,Cluster_Master!$B$4:$B$18,0)),"")</f>
        <v/>
      </c>
      <c r="I346" s="15">
        <f>IFERROR(INDEX(Cluster_Master!$D$4:$D$18,MATCH($F346,Cluster_Master!$B$4:$B$18,0)),"")</f>
        <v/>
      </c>
      <c r="J346" s="15">
        <f>IFERROR(INDEX(Cluster_Master!$E$4:$E$18,MATCH($F346,Cluster_Master!$B$4:$B$18,0)),"")</f>
        <v/>
      </c>
      <c r="K346" s="15">
        <f>IFERROR(INDEX(Cluster_Master!$F$4:$F$18,MATCH($F346,Cluster_Master!$B$4:$B$18,0)),"")</f>
        <v/>
      </c>
      <c r="L346" s="15">
        <f>IFERROR(INDEX(Cluster_Master!$G$4:$G$18,MATCH($F346,Cluster_Master!$B$4:$B$18,0)),"")</f>
        <v/>
      </c>
      <c r="M346" s="15">
        <f>IFERROR(INDEX(Cluster_Master!$H$4:$H$18,MATCH($F346,Cluster_Master!$B$4:$B$18,0)),"")</f>
        <v/>
      </c>
      <c r="N346" s="41" t="n"/>
      <c r="O346" s="41" t="n"/>
      <c r="P346" s="41" t="n"/>
      <c r="Q346" s="41" t="n"/>
      <c r="R346" s="41" t="n"/>
      <c r="S346" s="41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2" t="n"/>
      <c r="AG346" s="42" t="n"/>
      <c r="AH346" s="42" t="n"/>
      <c r="AI346" s="15">
        <f>IF(COUNTA(T346:AH346)=0,"",SUM(T346:AH346))</f>
        <v/>
      </c>
      <c r="AJ346" s="21">
        <f>IF(COUNTA(T346:AH346)=0,"",AI346/(COUNT(KPI_Weights!$A$4:$A$18)*5))</f>
        <v/>
      </c>
      <c r="AK346" s="21">
        <f>IF(COUNTA(T346:AH346)=0,"",SUMPRODUCT(T346:AH346,KPI_Weights!$B$4:$B$18)/5)</f>
        <v/>
      </c>
      <c r="AL346" s="15">
        <f>IF(COUNTA(T346:AH346)=0,"",IF(SUMPRODUCT(--(T346:AH346&lt;=1),--(KPI_Weights!$C$4:$C$18="YES"))&gt;0,"YES","NO"))</f>
        <v/>
      </c>
      <c r="AM346" s="15">
        <f>IF(AJ346="","",IF(AND(AL346="NO",AJ346&gt;=0.75),"YES","NO"))</f>
        <v/>
      </c>
      <c r="AN346" s="15">
        <f>IF(AJ346="","",IF(AJ346&lt;0.4,"Critical",IF(AJ346&lt;0.6,"Poor",IF(AJ346&lt;0.75,"Needs Improvement",IF(AJ346&lt;0.9,"Good","Excellent")))))</f>
        <v/>
      </c>
      <c r="AO346" s="41" t="n"/>
      <c r="AP346" s="41" t="n"/>
      <c r="AQ346" s="41" t="n"/>
      <c r="AR346" s="41" t="n"/>
      <c r="AS346" s="41" t="n"/>
      <c r="AT346" s="44" t="n"/>
      <c r="AU346" s="41" t="n"/>
      <c r="AV346" s="43" t="n"/>
      <c r="AW346" s="41" t="n"/>
      <c r="AX346" s="44" t="n"/>
      <c r="AY346" s="44" t="n"/>
      <c r="AZ346" s="44" t="n"/>
      <c r="BA346" s="44" t="n"/>
      <c r="BB346" s="44" t="n"/>
      <c r="BC346" s="44" t="n"/>
      <c r="BD346" s="44" t="n"/>
      <c r="BE346" s="44" t="n"/>
      <c r="BF346" s="44" t="n"/>
    </row>
    <row r="347" ht="19.5" customHeight="1" s="45">
      <c r="A347" s="15">
        <f>IF($B347="","",TEXT($B347,"yyyymmdd")&amp;"-"&amp;SUBSTITUTE($F347," ","")&amp;"-"&amp;TEXT(COUNTIF($F$4:F347,$F347),"00"))</f>
        <v/>
      </c>
      <c r="B347" s="39" t="n"/>
      <c r="C347" s="15">
        <f>IF($B347="","",WEEKNUM($B347,2))</f>
        <v/>
      </c>
      <c r="D347" s="15">
        <f>IF($B347="","",TEXT($B347,"yyyy-mm"))</f>
        <v/>
      </c>
      <c r="E347" s="40" t="n"/>
      <c r="F347" s="40" t="n"/>
      <c r="G347" s="15">
        <f>IF(OR($E347="",$F347=""),"",IFERROR(IF($E347=INDEX(Cluster_Master!$A$4:$A$18,MATCH($F347,Cluster_Master!$B$4:$B$18,0)),"OK","CHECK"),"CHECK"))</f>
        <v/>
      </c>
      <c r="H347" s="18">
        <f>IFERROR(INDEX(Cluster_Master!$C$4:$C$18,MATCH($F347,Cluster_Master!$B$4:$B$18,0)),"")</f>
        <v/>
      </c>
      <c r="I347" s="15">
        <f>IFERROR(INDEX(Cluster_Master!$D$4:$D$18,MATCH($F347,Cluster_Master!$B$4:$B$18,0)),"")</f>
        <v/>
      </c>
      <c r="J347" s="15">
        <f>IFERROR(INDEX(Cluster_Master!$E$4:$E$18,MATCH($F347,Cluster_Master!$B$4:$B$18,0)),"")</f>
        <v/>
      </c>
      <c r="K347" s="15">
        <f>IFERROR(INDEX(Cluster_Master!$F$4:$F$18,MATCH($F347,Cluster_Master!$B$4:$B$18,0)),"")</f>
        <v/>
      </c>
      <c r="L347" s="15">
        <f>IFERROR(INDEX(Cluster_Master!$G$4:$G$18,MATCH($F347,Cluster_Master!$B$4:$B$18,0)),"")</f>
        <v/>
      </c>
      <c r="M347" s="15">
        <f>IFERROR(INDEX(Cluster_Master!$H$4:$H$18,MATCH($F347,Cluster_Master!$B$4:$B$18,0)),"")</f>
        <v/>
      </c>
      <c r="N347" s="41" t="n"/>
      <c r="O347" s="41" t="n"/>
      <c r="P347" s="41" t="n"/>
      <c r="Q347" s="41" t="n"/>
      <c r="R347" s="41" t="n"/>
      <c r="S347" s="41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E347" s="42" t="n"/>
      <c r="AF347" s="42" t="n"/>
      <c r="AG347" s="42" t="n"/>
      <c r="AH347" s="42" t="n"/>
      <c r="AI347" s="15">
        <f>IF(COUNTA(T347:AH347)=0,"",SUM(T347:AH347))</f>
        <v/>
      </c>
      <c r="AJ347" s="21">
        <f>IF(COUNTA(T347:AH347)=0,"",AI347/(COUNT(KPI_Weights!$A$4:$A$18)*5))</f>
        <v/>
      </c>
      <c r="AK347" s="21">
        <f>IF(COUNTA(T347:AH347)=0,"",SUMPRODUCT(T347:AH347,KPI_Weights!$B$4:$B$18)/5)</f>
        <v/>
      </c>
      <c r="AL347" s="15">
        <f>IF(COUNTA(T347:AH347)=0,"",IF(SUMPRODUCT(--(T347:AH347&lt;=1),--(KPI_Weights!$C$4:$C$18="YES"))&gt;0,"YES","NO"))</f>
        <v/>
      </c>
      <c r="AM347" s="15">
        <f>IF(AJ347="","",IF(AND(AL347="NO",AJ347&gt;=0.75),"YES","NO"))</f>
        <v/>
      </c>
      <c r="AN347" s="15">
        <f>IF(AJ347="","",IF(AJ347&lt;0.4,"Critical",IF(AJ347&lt;0.6,"Poor",IF(AJ347&lt;0.75,"Needs Improvement",IF(AJ347&lt;0.9,"Good","Excellent")))))</f>
        <v/>
      </c>
      <c r="AO347" s="41" t="n"/>
      <c r="AP347" s="41" t="n"/>
      <c r="AQ347" s="41" t="n"/>
      <c r="AR347" s="41" t="n"/>
      <c r="AS347" s="41" t="n"/>
      <c r="AT347" s="44" t="n"/>
      <c r="AU347" s="41" t="n"/>
      <c r="AV347" s="43" t="n"/>
      <c r="AW347" s="41" t="n"/>
      <c r="AX347" s="44" t="n"/>
      <c r="AY347" s="44" t="n"/>
      <c r="AZ347" s="44" t="n"/>
      <c r="BA347" s="44" t="n"/>
      <c r="BB347" s="44" t="n"/>
      <c r="BC347" s="44" t="n"/>
      <c r="BD347" s="44" t="n"/>
      <c r="BE347" s="44" t="n"/>
      <c r="BF347" s="44" t="n"/>
    </row>
    <row r="348" ht="19.5" customHeight="1" s="45">
      <c r="A348" s="15">
        <f>IF($B348="","",TEXT($B348,"yyyymmdd")&amp;"-"&amp;SUBSTITUTE($F348," ","")&amp;"-"&amp;TEXT(COUNTIF($F$4:F348,$F348),"00"))</f>
        <v/>
      </c>
      <c r="B348" s="39" t="n"/>
      <c r="C348" s="15">
        <f>IF($B348="","",WEEKNUM($B348,2))</f>
        <v/>
      </c>
      <c r="D348" s="15">
        <f>IF($B348="","",TEXT($B348,"yyyy-mm"))</f>
        <v/>
      </c>
      <c r="E348" s="40" t="n"/>
      <c r="F348" s="40" t="n"/>
      <c r="G348" s="15">
        <f>IF(OR($E348="",$F348=""),"",IFERROR(IF($E348=INDEX(Cluster_Master!$A$4:$A$18,MATCH($F348,Cluster_Master!$B$4:$B$18,0)),"OK","CHECK"),"CHECK"))</f>
        <v/>
      </c>
      <c r="H348" s="18">
        <f>IFERROR(INDEX(Cluster_Master!$C$4:$C$18,MATCH($F348,Cluster_Master!$B$4:$B$18,0)),"")</f>
        <v/>
      </c>
      <c r="I348" s="15">
        <f>IFERROR(INDEX(Cluster_Master!$D$4:$D$18,MATCH($F348,Cluster_Master!$B$4:$B$18,0)),"")</f>
        <v/>
      </c>
      <c r="J348" s="15">
        <f>IFERROR(INDEX(Cluster_Master!$E$4:$E$18,MATCH($F348,Cluster_Master!$B$4:$B$18,0)),"")</f>
        <v/>
      </c>
      <c r="K348" s="15">
        <f>IFERROR(INDEX(Cluster_Master!$F$4:$F$18,MATCH($F348,Cluster_Master!$B$4:$B$18,0)),"")</f>
        <v/>
      </c>
      <c r="L348" s="15">
        <f>IFERROR(INDEX(Cluster_Master!$G$4:$G$18,MATCH($F348,Cluster_Master!$B$4:$B$18,0)),"")</f>
        <v/>
      </c>
      <c r="M348" s="15">
        <f>IFERROR(INDEX(Cluster_Master!$H$4:$H$18,MATCH($F348,Cluster_Master!$B$4:$B$18,0)),"")</f>
        <v/>
      </c>
      <c r="N348" s="41" t="n"/>
      <c r="O348" s="41" t="n"/>
      <c r="P348" s="41" t="n"/>
      <c r="Q348" s="41" t="n"/>
      <c r="R348" s="41" t="n"/>
      <c r="S348" s="41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2" t="n"/>
      <c r="AG348" s="42" t="n"/>
      <c r="AH348" s="42" t="n"/>
      <c r="AI348" s="15">
        <f>IF(COUNTA(T348:AH348)=0,"",SUM(T348:AH348))</f>
        <v/>
      </c>
      <c r="AJ348" s="21">
        <f>IF(COUNTA(T348:AH348)=0,"",AI348/(COUNT(KPI_Weights!$A$4:$A$18)*5))</f>
        <v/>
      </c>
      <c r="AK348" s="21">
        <f>IF(COUNTA(T348:AH348)=0,"",SUMPRODUCT(T348:AH348,KPI_Weights!$B$4:$B$18)/5)</f>
        <v/>
      </c>
      <c r="AL348" s="15">
        <f>IF(COUNTA(T348:AH348)=0,"",IF(SUMPRODUCT(--(T348:AH348&lt;=1),--(KPI_Weights!$C$4:$C$18="YES"))&gt;0,"YES","NO"))</f>
        <v/>
      </c>
      <c r="AM348" s="15">
        <f>IF(AJ348="","",IF(AND(AL348="NO",AJ348&gt;=0.75),"YES","NO"))</f>
        <v/>
      </c>
      <c r="AN348" s="15">
        <f>IF(AJ348="","",IF(AJ348&lt;0.4,"Critical",IF(AJ348&lt;0.6,"Poor",IF(AJ348&lt;0.75,"Needs Improvement",IF(AJ348&lt;0.9,"Good","Excellent")))))</f>
        <v/>
      </c>
      <c r="AO348" s="41" t="n"/>
      <c r="AP348" s="41" t="n"/>
      <c r="AQ348" s="41" t="n"/>
      <c r="AR348" s="41" t="n"/>
      <c r="AS348" s="41" t="n"/>
      <c r="AT348" s="44" t="n"/>
      <c r="AU348" s="41" t="n"/>
      <c r="AV348" s="43" t="n"/>
      <c r="AW348" s="41" t="n"/>
      <c r="AX348" s="44" t="n"/>
      <c r="AY348" s="44" t="n"/>
      <c r="AZ348" s="44" t="n"/>
      <c r="BA348" s="44" t="n"/>
      <c r="BB348" s="44" t="n"/>
      <c r="BC348" s="44" t="n"/>
      <c r="BD348" s="44" t="n"/>
      <c r="BE348" s="44" t="n"/>
      <c r="BF348" s="44" t="n"/>
    </row>
    <row r="349" ht="19.5" customHeight="1" s="45">
      <c r="A349" s="15">
        <f>IF($B349="","",TEXT($B349,"yyyymmdd")&amp;"-"&amp;SUBSTITUTE($F349," ","")&amp;"-"&amp;TEXT(COUNTIF($F$4:F349,$F349),"00"))</f>
        <v/>
      </c>
      <c r="B349" s="39" t="n"/>
      <c r="C349" s="15">
        <f>IF($B349="","",WEEKNUM($B349,2))</f>
        <v/>
      </c>
      <c r="D349" s="15">
        <f>IF($B349="","",TEXT($B349,"yyyy-mm"))</f>
        <v/>
      </c>
      <c r="E349" s="40" t="n"/>
      <c r="F349" s="40" t="n"/>
      <c r="G349" s="15">
        <f>IF(OR($E349="",$F349=""),"",IFERROR(IF($E349=INDEX(Cluster_Master!$A$4:$A$18,MATCH($F349,Cluster_Master!$B$4:$B$18,0)),"OK","CHECK"),"CHECK"))</f>
        <v/>
      </c>
      <c r="H349" s="18">
        <f>IFERROR(INDEX(Cluster_Master!$C$4:$C$18,MATCH($F349,Cluster_Master!$B$4:$B$18,0)),"")</f>
        <v/>
      </c>
      <c r="I349" s="15">
        <f>IFERROR(INDEX(Cluster_Master!$D$4:$D$18,MATCH($F349,Cluster_Master!$B$4:$B$18,0)),"")</f>
        <v/>
      </c>
      <c r="J349" s="15">
        <f>IFERROR(INDEX(Cluster_Master!$E$4:$E$18,MATCH($F349,Cluster_Master!$B$4:$B$18,0)),"")</f>
        <v/>
      </c>
      <c r="K349" s="15">
        <f>IFERROR(INDEX(Cluster_Master!$F$4:$F$18,MATCH($F349,Cluster_Master!$B$4:$B$18,0)),"")</f>
        <v/>
      </c>
      <c r="L349" s="15">
        <f>IFERROR(INDEX(Cluster_Master!$G$4:$G$18,MATCH($F349,Cluster_Master!$B$4:$B$18,0)),"")</f>
        <v/>
      </c>
      <c r="M349" s="15">
        <f>IFERROR(INDEX(Cluster_Master!$H$4:$H$18,MATCH($F349,Cluster_Master!$B$4:$B$18,0)),"")</f>
        <v/>
      </c>
      <c r="N349" s="41" t="n"/>
      <c r="O349" s="41" t="n"/>
      <c r="P349" s="41" t="n"/>
      <c r="Q349" s="41" t="n"/>
      <c r="R349" s="41" t="n"/>
      <c r="S349" s="41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  <c r="AE349" s="42" t="n"/>
      <c r="AF349" s="42" t="n"/>
      <c r="AG349" s="42" t="n"/>
      <c r="AH349" s="42" t="n"/>
      <c r="AI349" s="15">
        <f>IF(COUNTA(T349:AH349)=0,"",SUM(T349:AH349))</f>
        <v/>
      </c>
      <c r="AJ349" s="21">
        <f>IF(COUNTA(T349:AH349)=0,"",AI349/(COUNT(KPI_Weights!$A$4:$A$18)*5))</f>
        <v/>
      </c>
      <c r="AK349" s="21">
        <f>IF(COUNTA(T349:AH349)=0,"",SUMPRODUCT(T349:AH349,KPI_Weights!$B$4:$B$18)/5)</f>
        <v/>
      </c>
      <c r="AL349" s="15">
        <f>IF(COUNTA(T349:AH349)=0,"",IF(SUMPRODUCT(--(T349:AH349&lt;=1),--(KPI_Weights!$C$4:$C$18="YES"))&gt;0,"YES","NO"))</f>
        <v/>
      </c>
      <c r="AM349" s="15">
        <f>IF(AJ349="","",IF(AND(AL349="NO",AJ349&gt;=0.75),"YES","NO"))</f>
        <v/>
      </c>
      <c r="AN349" s="15">
        <f>IF(AJ349="","",IF(AJ349&lt;0.4,"Critical",IF(AJ349&lt;0.6,"Poor",IF(AJ349&lt;0.75,"Needs Improvement",IF(AJ349&lt;0.9,"Good","Excellent")))))</f>
        <v/>
      </c>
      <c r="AO349" s="41" t="n"/>
      <c r="AP349" s="41" t="n"/>
      <c r="AQ349" s="41" t="n"/>
      <c r="AR349" s="41" t="n"/>
      <c r="AS349" s="41" t="n"/>
      <c r="AT349" s="44" t="n"/>
      <c r="AU349" s="41" t="n"/>
      <c r="AV349" s="43" t="n"/>
      <c r="AW349" s="41" t="n"/>
      <c r="AX349" s="44" t="n"/>
      <c r="AY349" s="44" t="n"/>
      <c r="AZ349" s="44" t="n"/>
      <c r="BA349" s="44" t="n"/>
      <c r="BB349" s="44" t="n"/>
      <c r="BC349" s="44" t="n"/>
      <c r="BD349" s="44" t="n"/>
      <c r="BE349" s="44" t="n"/>
      <c r="BF349" s="44" t="n"/>
    </row>
    <row r="350" ht="19.5" customHeight="1" s="45">
      <c r="A350" s="15">
        <f>IF($B350="","",TEXT($B350,"yyyymmdd")&amp;"-"&amp;SUBSTITUTE($F350," ","")&amp;"-"&amp;TEXT(COUNTIF($F$4:F350,$F350),"00"))</f>
        <v/>
      </c>
      <c r="B350" s="39" t="n"/>
      <c r="C350" s="15">
        <f>IF($B350="","",WEEKNUM($B350,2))</f>
        <v/>
      </c>
      <c r="D350" s="15">
        <f>IF($B350="","",TEXT($B350,"yyyy-mm"))</f>
        <v/>
      </c>
      <c r="E350" s="40" t="n"/>
      <c r="F350" s="40" t="n"/>
      <c r="G350" s="15">
        <f>IF(OR($E350="",$F350=""),"",IFERROR(IF($E350=INDEX(Cluster_Master!$A$4:$A$18,MATCH($F350,Cluster_Master!$B$4:$B$18,0)),"OK","CHECK"),"CHECK"))</f>
        <v/>
      </c>
      <c r="H350" s="18">
        <f>IFERROR(INDEX(Cluster_Master!$C$4:$C$18,MATCH($F350,Cluster_Master!$B$4:$B$18,0)),"")</f>
        <v/>
      </c>
      <c r="I350" s="15">
        <f>IFERROR(INDEX(Cluster_Master!$D$4:$D$18,MATCH($F350,Cluster_Master!$B$4:$B$18,0)),"")</f>
        <v/>
      </c>
      <c r="J350" s="15">
        <f>IFERROR(INDEX(Cluster_Master!$E$4:$E$18,MATCH($F350,Cluster_Master!$B$4:$B$18,0)),"")</f>
        <v/>
      </c>
      <c r="K350" s="15">
        <f>IFERROR(INDEX(Cluster_Master!$F$4:$F$18,MATCH($F350,Cluster_Master!$B$4:$B$18,0)),"")</f>
        <v/>
      </c>
      <c r="L350" s="15">
        <f>IFERROR(INDEX(Cluster_Master!$G$4:$G$18,MATCH($F350,Cluster_Master!$B$4:$B$18,0)),"")</f>
        <v/>
      </c>
      <c r="M350" s="15">
        <f>IFERROR(INDEX(Cluster_Master!$H$4:$H$18,MATCH($F350,Cluster_Master!$B$4:$B$18,0)),"")</f>
        <v/>
      </c>
      <c r="N350" s="41" t="n"/>
      <c r="O350" s="41" t="n"/>
      <c r="P350" s="41" t="n"/>
      <c r="Q350" s="41" t="n"/>
      <c r="R350" s="41" t="n"/>
      <c r="S350" s="41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2" t="n"/>
      <c r="AG350" s="42" t="n"/>
      <c r="AH350" s="42" t="n"/>
      <c r="AI350" s="15">
        <f>IF(COUNTA(T350:AH350)=0,"",SUM(T350:AH350))</f>
        <v/>
      </c>
      <c r="AJ350" s="21">
        <f>IF(COUNTA(T350:AH350)=0,"",AI350/(COUNT(KPI_Weights!$A$4:$A$18)*5))</f>
        <v/>
      </c>
      <c r="AK350" s="21">
        <f>IF(COUNTA(T350:AH350)=0,"",SUMPRODUCT(T350:AH350,KPI_Weights!$B$4:$B$18)/5)</f>
        <v/>
      </c>
      <c r="AL350" s="15">
        <f>IF(COUNTA(T350:AH350)=0,"",IF(SUMPRODUCT(--(T350:AH350&lt;=1),--(KPI_Weights!$C$4:$C$18="YES"))&gt;0,"YES","NO"))</f>
        <v/>
      </c>
      <c r="AM350" s="15">
        <f>IF(AJ350="","",IF(AND(AL350="NO",AJ350&gt;=0.75),"YES","NO"))</f>
        <v/>
      </c>
      <c r="AN350" s="15">
        <f>IF(AJ350="","",IF(AJ350&lt;0.4,"Critical",IF(AJ350&lt;0.6,"Poor",IF(AJ350&lt;0.75,"Needs Improvement",IF(AJ350&lt;0.9,"Good","Excellent")))))</f>
        <v/>
      </c>
      <c r="AO350" s="41" t="n"/>
      <c r="AP350" s="41" t="n"/>
      <c r="AQ350" s="41" t="n"/>
      <c r="AR350" s="41" t="n"/>
      <c r="AS350" s="41" t="n"/>
      <c r="AT350" s="44" t="n"/>
      <c r="AU350" s="41" t="n"/>
      <c r="AV350" s="43" t="n"/>
      <c r="AW350" s="41" t="n"/>
      <c r="AX350" s="44" t="n"/>
      <c r="AY350" s="44" t="n"/>
      <c r="AZ350" s="44" t="n"/>
      <c r="BA350" s="44" t="n"/>
      <c r="BB350" s="44" t="n"/>
      <c r="BC350" s="44" t="n"/>
      <c r="BD350" s="44" t="n"/>
      <c r="BE350" s="44" t="n"/>
      <c r="BF350" s="44" t="n"/>
    </row>
    <row r="351" ht="19.5" customHeight="1" s="45">
      <c r="A351" s="15">
        <f>IF($B351="","",TEXT($B351,"yyyymmdd")&amp;"-"&amp;SUBSTITUTE($F351," ","")&amp;"-"&amp;TEXT(COUNTIF($F$4:F351,$F351),"00"))</f>
        <v/>
      </c>
      <c r="B351" s="39" t="n"/>
      <c r="C351" s="15">
        <f>IF($B351="","",WEEKNUM($B351,2))</f>
        <v/>
      </c>
      <c r="D351" s="15">
        <f>IF($B351="","",TEXT($B351,"yyyy-mm"))</f>
        <v/>
      </c>
      <c r="E351" s="40" t="n"/>
      <c r="F351" s="40" t="n"/>
      <c r="G351" s="15">
        <f>IF(OR($E351="",$F351=""),"",IFERROR(IF($E351=INDEX(Cluster_Master!$A$4:$A$18,MATCH($F351,Cluster_Master!$B$4:$B$18,0)),"OK","CHECK"),"CHECK"))</f>
        <v/>
      </c>
      <c r="H351" s="18">
        <f>IFERROR(INDEX(Cluster_Master!$C$4:$C$18,MATCH($F351,Cluster_Master!$B$4:$B$18,0)),"")</f>
        <v/>
      </c>
      <c r="I351" s="15">
        <f>IFERROR(INDEX(Cluster_Master!$D$4:$D$18,MATCH($F351,Cluster_Master!$B$4:$B$18,0)),"")</f>
        <v/>
      </c>
      <c r="J351" s="15">
        <f>IFERROR(INDEX(Cluster_Master!$E$4:$E$18,MATCH($F351,Cluster_Master!$B$4:$B$18,0)),"")</f>
        <v/>
      </c>
      <c r="K351" s="15">
        <f>IFERROR(INDEX(Cluster_Master!$F$4:$F$18,MATCH($F351,Cluster_Master!$B$4:$B$18,0)),"")</f>
        <v/>
      </c>
      <c r="L351" s="15">
        <f>IFERROR(INDEX(Cluster_Master!$G$4:$G$18,MATCH($F351,Cluster_Master!$B$4:$B$18,0)),"")</f>
        <v/>
      </c>
      <c r="M351" s="15">
        <f>IFERROR(INDEX(Cluster_Master!$H$4:$H$18,MATCH($F351,Cluster_Master!$B$4:$B$18,0)),"")</f>
        <v/>
      </c>
      <c r="N351" s="41" t="n"/>
      <c r="O351" s="41" t="n"/>
      <c r="P351" s="41" t="n"/>
      <c r="Q351" s="41" t="n"/>
      <c r="R351" s="41" t="n"/>
      <c r="S351" s="41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  <c r="AE351" s="42" t="n"/>
      <c r="AF351" s="42" t="n"/>
      <c r="AG351" s="42" t="n"/>
      <c r="AH351" s="42" t="n"/>
      <c r="AI351" s="15">
        <f>IF(COUNTA(T351:AH351)=0,"",SUM(T351:AH351))</f>
        <v/>
      </c>
      <c r="AJ351" s="21">
        <f>IF(COUNTA(T351:AH351)=0,"",AI351/(COUNT(KPI_Weights!$A$4:$A$18)*5))</f>
        <v/>
      </c>
      <c r="AK351" s="21">
        <f>IF(COUNTA(T351:AH351)=0,"",SUMPRODUCT(T351:AH351,KPI_Weights!$B$4:$B$18)/5)</f>
        <v/>
      </c>
      <c r="AL351" s="15">
        <f>IF(COUNTA(T351:AH351)=0,"",IF(SUMPRODUCT(--(T351:AH351&lt;=1),--(KPI_Weights!$C$4:$C$18="YES"))&gt;0,"YES","NO"))</f>
        <v/>
      </c>
      <c r="AM351" s="15">
        <f>IF(AJ351="","",IF(AND(AL351="NO",AJ351&gt;=0.75),"YES","NO"))</f>
        <v/>
      </c>
      <c r="AN351" s="15">
        <f>IF(AJ351="","",IF(AJ351&lt;0.4,"Critical",IF(AJ351&lt;0.6,"Poor",IF(AJ351&lt;0.75,"Needs Improvement",IF(AJ351&lt;0.9,"Good","Excellent")))))</f>
        <v/>
      </c>
      <c r="AO351" s="41" t="n"/>
      <c r="AP351" s="41" t="n"/>
      <c r="AQ351" s="41" t="n"/>
      <c r="AR351" s="41" t="n"/>
      <c r="AS351" s="41" t="n"/>
      <c r="AT351" s="44" t="n"/>
      <c r="AU351" s="41" t="n"/>
      <c r="AV351" s="43" t="n"/>
      <c r="AW351" s="41" t="n"/>
      <c r="AX351" s="44" t="n"/>
      <c r="AY351" s="44" t="n"/>
      <c r="AZ351" s="44" t="n"/>
      <c r="BA351" s="44" t="n"/>
      <c r="BB351" s="44" t="n"/>
      <c r="BC351" s="44" t="n"/>
      <c r="BD351" s="44" t="n"/>
      <c r="BE351" s="44" t="n"/>
      <c r="BF351" s="44" t="n"/>
    </row>
    <row r="352" ht="19.5" customHeight="1" s="45">
      <c r="A352" s="15">
        <f>IF($B352="","",TEXT($B352,"yyyymmdd")&amp;"-"&amp;SUBSTITUTE($F352," ","")&amp;"-"&amp;TEXT(COUNTIF($F$4:F352,$F352),"00"))</f>
        <v/>
      </c>
      <c r="B352" s="39" t="n"/>
      <c r="C352" s="15">
        <f>IF($B352="","",WEEKNUM($B352,2))</f>
        <v/>
      </c>
      <c r="D352" s="15">
        <f>IF($B352="","",TEXT($B352,"yyyy-mm"))</f>
        <v/>
      </c>
      <c r="E352" s="40" t="n"/>
      <c r="F352" s="40" t="n"/>
      <c r="G352" s="15">
        <f>IF(OR($E352="",$F352=""),"",IFERROR(IF($E352=INDEX(Cluster_Master!$A$4:$A$18,MATCH($F352,Cluster_Master!$B$4:$B$18,0)),"OK","CHECK"),"CHECK"))</f>
        <v/>
      </c>
      <c r="H352" s="18">
        <f>IFERROR(INDEX(Cluster_Master!$C$4:$C$18,MATCH($F352,Cluster_Master!$B$4:$B$18,0)),"")</f>
        <v/>
      </c>
      <c r="I352" s="15">
        <f>IFERROR(INDEX(Cluster_Master!$D$4:$D$18,MATCH($F352,Cluster_Master!$B$4:$B$18,0)),"")</f>
        <v/>
      </c>
      <c r="J352" s="15">
        <f>IFERROR(INDEX(Cluster_Master!$E$4:$E$18,MATCH($F352,Cluster_Master!$B$4:$B$18,0)),"")</f>
        <v/>
      </c>
      <c r="K352" s="15">
        <f>IFERROR(INDEX(Cluster_Master!$F$4:$F$18,MATCH($F352,Cluster_Master!$B$4:$B$18,0)),"")</f>
        <v/>
      </c>
      <c r="L352" s="15">
        <f>IFERROR(INDEX(Cluster_Master!$G$4:$G$18,MATCH($F352,Cluster_Master!$B$4:$B$18,0)),"")</f>
        <v/>
      </c>
      <c r="M352" s="15">
        <f>IFERROR(INDEX(Cluster_Master!$H$4:$H$18,MATCH($F352,Cluster_Master!$B$4:$B$18,0)),"")</f>
        <v/>
      </c>
      <c r="N352" s="41" t="n"/>
      <c r="O352" s="41" t="n"/>
      <c r="P352" s="41" t="n"/>
      <c r="Q352" s="41" t="n"/>
      <c r="R352" s="41" t="n"/>
      <c r="S352" s="41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2" t="n"/>
      <c r="AG352" s="42" t="n"/>
      <c r="AH352" s="42" t="n"/>
      <c r="AI352" s="15">
        <f>IF(COUNTA(T352:AH352)=0,"",SUM(T352:AH352))</f>
        <v/>
      </c>
      <c r="AJ352" s="21">
        <f>IF(COUNTA(T352:AH352)=0,"",AI352/(COUNT(KPI_Weights!$A$4:$A$18)*5))</f>
        <v/>
      </c>
      <c r="AK352" s="21">
        <f>IF(COUNTA(T352:AH352)=0,"",SUMPRODUCT(T352:AH352,KPI_Weights!$B$4:$B$18)/5)</f>
        <v/>
      </c>
      <c r="AL352" s="15">
        <f>IF(COUNTA(T352:AH352)=0,"",IF(SUMPRODUCT(--(T352:AH352&lt;=1),--(KPI_Weights!$C$4:$C$18="YES"))&gt;0,"YES","NO"))</f>
        <v/>
      </c>
      <c r="AM352" s="15">
        <f>IF(AJ352="","",IF(AND(AL352="NO",AJ352&gt;=0.75),"YES","NO"))</f>
        <v/>
      </c>
      <c r="AN352" s="15">
        <f>IF(AJ352="","",IF(AJ352&lt;0.4,"Critical",IF(AJ352&lt;0.6,"Poor",IF(AJ352&lt;0.75,"Needs Improvement",IF(AJ352&lt;0.9,"Good","Excellent")))))</f>
        <v/>
      </c>
      <c r="AO352" s="41" t="n"/>
      <c r="AP352" s="41" t="n"/>
      <c r="AQ352" s="41" t="n"/>
      <c r="AR352" s="41" t="n"/>
      <c r="AS352" s="41" t="n"/>
      <c r="AT352" s="44" t="n"/>
      <c r="AU352" s="41" t="n"/>
      <c r="AV352" s="43" t="n"/>
      <c r="AW352" s="41" t="n"/>
      <c r="AX352" s="44" t="n"/>
      <c r="AY352" s="44" t="n"/>
      <c r="AZ352" s="44" t="n"/>
      <c r="BA352" s="44" t="n"/>
      <c r="BB352" s="44" t="n"/>
      <c r="BC352" s="44" t="n"/>
      <c r="BD352" s="44" t="n"/>
      <c r="BE352" s="44" t="n"/>
      <c r="BF352" s="44" t="n"/>
    </row>
    <row r="353" ht="19.5" customHeight="1" s="45">
      <c r="A353" s="15">
        <f>IF($B353="","",TEXT($B353,"yyyymmdd")&amp;"-"&amp;SUBSTITUTE($F353," ","")&amp;"-"&amp;TEXT(COUNTIF($F$4:F353,$F353),"00"))</f>
        <v/>
      </c>
      <c r="B353" s="39" t="n"/>
      <c r="C353" s="15">
        <f>IF($B353="","",WEEKNUM($B353,2))</f>
        <v/>
      </c>
      <c r="D353" s="15">
        <f>IF($B353="","",TEXT($B353,"yyyy-mm"))</f>
        <v/>
      </c>
      <c r="E353" s="40" t="n"/>
      <c r="F353" s="40" t="n"/>
      <c r="G353" s="15">
        <f>IF(OR($E353="",$F353=""),"",IFERROR(IF($E353=INDEX(Cluster_Master!$A$4:$A$18,MATCH($F353,Cluster_Master!$B$4:$B$18,0)),"OK","CHECK"),"CHECK"))</f>
        <v/>
      </c>
      <c r="H353" s="18">
        <f>IFERROR(INDEX(Cluster_Master!$C$4:$C$18,MATCH($F353,Cluster_Master!$B$4:$B$18,0)),"")</f>
        <v/>
      </c>
      <c r="I353" s="15">
        <f>IFERROR(INDEX(Cluster_Master!$D$4:$D$18,MATCH($F353,Cluster_Master!$B$4:$B$18,0)),"")</f>
        <v/>
      </c>
      <c r="J353" s="15">
        <f>IFERROR(INDEX(Cluster_Master!$E$4:$E$18,MATCH($F353,Cluster_Master!$B$4:$B$18,0)),"")</f>
        <v/>
      </c>
      <c r="K353" s="15">
        <f>IFERROR(INDEX(Cluster_Master!$F$4:$F$18,MATCH($F353,Cluster_Master!$B$4:$B$18,0)),"")</f>
        <v/>
      </c>
      <c r="L353" s="15">
        <f>IFERROR(INDEX(Cluster_Master!$G$4:$G$18,MATCH($F353,Cluster_Master!$B$4:$B$18,0)),"")</f>
        <v/>
      </c>
      <c r="M353" s="15">
        <f>IFERROR(INDEX(Cluster_Master!$H$4:$H$18,MATCH($F353,Cluster_Master!$B$4:$B$18,0)),"")</f>
        <v/>
      </c>
      <c r="N353" s="41" t="n"/>
      <c r="O353" s="41" t="n"/>
      <c r="P353" s="41" t="n"/>
      <c r="Q353" s="41" t="n"/>
      <c r="R353" s="41" t="n"/>
      <c r="S353" s="41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  <c r="AE353" s="42" t="n"/>
      <c r="AF353" s="42" t="n"/>
      <c r="AG353" s="42" t="n"/>
      <c r="AH353" s="42" t="n"/>
      <c r="AI353" s="15">
        <f>IF(COUNTA(T353:AH353)=0,"",SUM(T353:AH353))</f>
        <v/>
      </c>
      <c r="AJ353" s="21">
        <f>IF(COUNTA(T353:AH353)=0,"",AI353/(COUNT(KPI_Weights!$A$4:$A$18)*5))</f>
        <v/>
      </c>
      <c r="AK353" s="21">
        <f>IF(COUNTA(T353:AH353)=0,"",SUMPRODUCT(T353:AH353,KPI_Weights!$B$4:$B$18)/5)</f>
        <v/>
      </c>
      <c r="AL353" s="15">
        <f>IF(COUNTA(T353:AH353)=0,"",IF(SUMPRODUCT(--(T353:AH353&lt;=1),--(KPI_Weights!$C$4:$C$18="YES"))&gt;0,"YES","NO"))</f>
        <v/>
      </c>
      <c r="AM353" s="15">
        <f>IF(AJ353="","",IF(AND(AL353="NO",AJ353&gt;=0.75),"YES","NO"))</f>
        <v/>
      </c>
      <c r="AN353" s="15">
        <f>IF(AJ353="","",IF(AJ353&lt;0.4,"Critical",IF(AJ353&lt;0.6,"Poor",IF(AJ353&lt;0.75,"Needs Improvement",IF(AJ353&lt;0.9,"Good","Excellent")))))</f>
        <v/>
      </c>
      <c r="AO353" s="41" t="n"/>
      <c r="AP353" s="41" t="n"/>
      <c r="AQ353" s="41" t="n"/>
      <c r="AR353" s="41" t="n"/>
      <c r="AS353" s="41" t="n"/>
      <c r="AT353" s="44" t="n"/>
      <c r="AU353" s="41" t="n"/>
      <c r="AV353" s="43" t="n"/>
      <c r="AW353" s="41" t="n"/>
      <c r="AX353" s="44" t="n"/>
      <c r="AY353" s="44" t="n"/>
      <c r="AZ353" s="44" t="n"/>
      <c r="BA353" s="44" t="n"/>
      <c r="BB353" s="44" t="n"/>
      <c r="BC353" s="44" t="n"/>
      <c r="BD353" s="44" t="n"/>
      <c r="BE353" s="44" t="n"/>
      <c r="BF353" s="44" t="n"/>
    </row>
    <row r="354" ht="19.5" customHeight="1" s="45">
      <c r="A354" s="15">
        <f>IF($B354="","",TEXT($B354,"yyyymmdd")&amp;"-"&amp;SUBSTITUTE($F354," ","")&amp;"-"&amp;TEXT(COUNTIF($F$4:F354,$F354),"00"))</f>
        <v/>
      </c>
      <c r="B354" s="39" t="n"/>
      <c r="C354" s="15">
        <f>IF($B354="","",WEEKNUM($B354,2))</f>
        <v/>
      </c>
      <c r="D354" s="15">
        <f>IF($B354="","",TEXT($B354,"yyyy-mm"))</f>
        <v/>
      </c>
      <c r="E354" s="40" t="n"/>
      <c r="F354" s="40" t="n"/>
      <c r="G354" s="15">
        <f>IF(OR($E354="",$F354=""),"",IFERROR(IF($E354=INDEX(Cluster_Master!$A$4:$A$18,MATCH($F354,Cluster_Master!$B$4:$B$18,0)),"OK","CHECK"),"CHECK"))</f>
        <v/>
      </c>
      <c r="H354" s="18">
        <f>IFERROR(INDEX(Cluster_Master!$C$4:$C$18,MATCH($F354,Cluster_Master!$B$4:$B$18,0)),"")</f>
        <v/>
      </c>
      <c r="I354" s="15">
        <f>IFERROR(INDEX(Cluster_Master!$D$4:$D$18,MATCH($F354,Cluster_Master!$B$4:$B$18,0)),"")</f>
        <v/>
      </c>
      <c r="J354" s="15">
        <f>IFERROR(INDEX(Cluster_Master!$E$4:$E$18,MATCH($F354,Cluster_Master!$B$4:$B$18,0)),"")</f>
        <v/>
      </c>
      <c r="K354" s="15">
        <f>IFERROR(INDEX(Cluster_Master!$F$4:$F$18,MATCH($F354,Cluster_Master!$B$4:$B$18,0)),"")</f>
        <v/>
      </c>
      <c r="L354" s="15">
        <f>IFERROR(INDEX(Cluster_Master!$G$4:$G$18,MATCH($F354,Cluster_Master!$B$4:$B$18,0)),"")</f>
        <v/>
      </c>
      <c r="M354" s="15">
        <f>IFERROR(INDEX(Cluster_Master!$H$4:$H$18,MATCH($F354,Cluster_Master!$B$4:$B$18,0)),"")</f>
        <v/>
      </c>
      <c r="N354" s="41" t="n"/>
      <c r="O354" s="41" t="n"/>
      <c r="P354" s="41" t="n"/>
      <c r="Q354" s="41" t="n"/>
      <c r="R354" s="41" t="n"/>
      <c r="S354" s="41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2" t="n"/>
      <c r="AG354" s="42" t="n"/>
      <c r="AH354" s="42" t="n"/>
      <c r="AI354" s="15">
        <f>IF(COUNTA(T354:AH354)=0,"",SUM(T354:AH354))</f>
        <v/>
      </c>
      <c r="AJ354" s="21">
        <f>IF(COUNTA(T354:AH354)=0,"",AI354/(COUNT(KPI_Weights!$A$4:$A$18)*5))</f>
        <v/>
      </c>
      <c r="AK354" s="21">
        <f>IF(COUNTA(T354:AH354)=0,"",SUMPRODUCT(T354:AH354,KPI_Weights!$B$4:$B$18)/5)</f>
        <v/>
      </c>
      <c r="AL354" s="15">
        <f>IF(COUNTA(T354:AH354)=0,"",IF(SUMPRODUCT(--(T354:AH354&lt;=1),--(KPI_Weights!$C$4:$C$18="YES"))&gt;0,"YES","NO"))</f>
        <v/>
      </c>
      <c r="AM354" s="15">
        <f>IF(AJ354="","",IF(AND(AL354="NO",AJ354&gt;=0.75),"YES","NO"))</f>
        <v/>
      </c>
      <c r="AN354" s="15">
        <f>IF(AJ354="","",IF(AJ354&lt;0.4,"Critical",IF(AJ354&lt;0.6,"Poor",IF(AJ354&lt;0.75,"Needs Improvement",IF(AJ354&lt;0.9,"Good","Excellent")))))</f>
        <v/>
      </c>
      <c r="AO354" s="41" t="n"/>
      <c r="AP354" s="41" t="n"/>
      <c r="AQ354" s="41" t="n"/>
      <c r="AR354" s="41" t="n"/>
      <c r="AS354" s="41" t="n"/>
      <c r="AT354" s="44" t="n"/>
      <c r="AU354" s="41" t="n"/>
      <c r="AV354" s="43" t="n"/>
      <c r="AW354" s="41" t="n"/>
      <c r="AX354" s="44" t="n"/>
      <c r="AY354" s="44" t="n"/>
      <c r="AZ354" s="44" t="n"/>
      <c r="BA354" s="44" t="n"/>
      <c r="BB354" s="44" t="n"/>
      <c r="BC354" s="44" t="n"/>
      <c r="BD354" s="44" t="n"/>
      <c r="BE354" s="44" t="n"/>
      <c r="BF354" s="44" t="n"/>
    </row>
    <row r="355" ht="19.5" customHeight="1" s="45">
      <c r="A355" s="15">
        <f>IF($B355="","",TEXT($B355,"yyyymmdd")&amp;"-"&amp;SUBSTITUTE($F355," ","")&amp;"-"&amp;TEXT(COUNTIF($F$4:F355,$F355),"00"))</f>
        <v/>
      </c>
      <c r="B355" s="39" t="n"/>
      <c r="C355" s="15">
        <f>IF($B355="","",WEEKNUM($B355,2))</f>
        <v/>
      </c>
      <c r="D355" s="15">
        <f>IF($B355="","",TEXT($B355,"yyyy-mm"))</f>
        <v/>
      </c>
      <c r="E355" s="40" t="n"/>
      <c r="F355" s="40" t="n"/>
      <c r="G355" s="15">
        <f>IF(OR($E355="",$F355=""),"",IFERROR(IF($E355=INDEX(Cluster_Master!$A$4:$A$18,MATCH($F355,Cluster_Master!$B$4:$B$18,0)),"OK","CHECK"),"CHECK"))</f>
        <v/>
      </c>
      <c r="H355" s="18">
        <f>IFERROR(INDEX(Cluster_Master!$C$4:$C$18,MATCH($F355,Cluster_Master!$B$4:$B$18,0)),"")</f>
        <v/>
      </c>
      <c r="I355" s="15">
        <f>IFERROR(INDEX(Cluster_Master!$D$4:$D$18,MATCH($F355,Cluster_Master!$B$4:$B$18,0)),"")</f>
        <v/>
      </c>
      <c r="J355" s="15">
        <f>IFERROR(INDEX(Cluster_Master!$E$4:$E$18,MATCH($F355,Cluster_Master!$B$4:$B$18,0)),"")</f>
        <v/>
      </c>
      <c r="K355" s="15">
        <f>IFERROR(INDEX(Cluster_Master!$F$4:$F$18,MATCH($F355,Cluster_Master!$B$4:$B$18,0)),"")</f>
        <v/>
      </c>
      <c r="L355" s="15">
        <f>IFERROR(INDEX(Cluster_Master!$G$4:$G$18,MATCH($F355,Cluster_Master!$B$4:$B$18,0)),"")</f>
        <v/>
      </c>
      <c r="M355" s="15">
        <f>IFERROR(INDEX(Cluster_Master!$H$4:$H$18,MATCH($F355,Cluster_Master!$B$4:$B$18,0)),"")</f>
        <v/>
      </c>
      <c r="N355" s="41" t="n"/>
      <c r="O355" s="41" t="n"/>
      <c r="P355" s="41" t="n"/>
      <c r="Q355" s="41" t="n"/>
      <c r="R355" s="41" t="n"/>
      <c r="S355" s="41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E355" s="42" t="n"/>
      <c r="AF355" s="42" t="n"/>
      <c r="AG355" s="42" t="n"/>
      <c r="AH355" s="42" t="n"/>
      <c r="AI355" s="15">
        <f>IF(COUNTA(T355:AH355)=0,"",SUM(T355:AH355))</f>
        <v/>
      </c>
      <c r="AJ355" s="21">
        <f>IF(COUNTA(T355:AH355)=0,"",AI355/(COUNT(KPI_Weights!$A$4:$A$18)*5))</f>
        <v/>
      </c>
      <c r="AK355" s="21">
        <f>IF(COUNTA(T355:AH355)=0,"",SUMPRODUCT(T355:AH355,KPI_Weights!$B$4:$B$18)/5)</f>
        <v/>
      </c>
      <c r="AL355" s="15">
        <f>IF(COUNTA(T355:AH355)=0,"",IF(SUMPRODUCT(--(T355:AH355&lt;=1),--(KPI_Weights!$C$4:$C$18="YES"))&gt;0,"YES","NO"))</f>
        <v/>
      </c>
      <c r="AM355" s="15">
        <f>IF(AJ355="","",IF(AND(AL355="NO",AJ355&gt;=0.75),"YES","NO"))</f>
        <v/>
      </c>
      <c r="AN355" s="15">
        <f>IF(AJ355="","",IF(AJ355&lt;0.4,"Critical",IF(AJ355&lt;0.6,"Poor",IF(AJ355&lt;0.75,"Needs Improvement",IF(AJ355&lt;0.9,"Good","Excellent")))))</f>
        <v/>
      </c>
      <c r="AO355" s="41" t="n"/>
      <c r="AP355" s="41" t="n"/>
      <c r="AQ355" s="41" t="n"/>
      <c r="AR355" s="41" t="n"/>
      <c r="AS355" s="41" t="n"/>
      <c r="AT355" s="44" t="n"/>
      <c r="AU355" s="41" t="n"/>
      <c r="AV355" s="43" t="n"/>
      <c r="AW355" s="41" t="n"/>
      <c r="AX355" s="44" t="n"/>
      <c r="AY355" s="44" t="n"/>
      <c r="AZ355" s="44" t="n"/>
      <c r="BA355" s="44" t="n"/>
      <c r="BB355" s="44" t="n"/>
      <c r="BC355" s="44" t="n"/>
      <c r="BD355" s="44" t="n"/>
      <c r="BE355" s="44" t="n"/>
      <c r="BF355" s="44" t="n"/>
    </row>
    <row r="356" ht="19.5" customHeight="1" s="45">
      <c r="A356" s="15">
        <f>IF($B356="","",TEXT($B356,"yyyymmdd")&amp;"-"&amp;SUBSTITUTE($F356," ","")&amp;"-"&amp;TEXT(COUNTIF($F$4:F356,$F356),"00"))</f>
        <v/>
      </c>
      <c r="B356" s="39" t="n"/>
      <c r="C356" s="15">
        <f>IF($B356="","",WEEKNUM($B356,2))</f>
        <v/>
      </c>
      <c r="D356" s="15">
        <f>IF($B356="","",TEXT($B356,"yyyy-mm"))</f>
        <v/>
      </c>
      <c r="E356" s="40" t="n"/>
      <c r="F356" s="40" t="n"/>
      <c r="G356" s="15">
        <f>IF(OR($E356="",$F356=""),"",IFERROR(IF($E356=INDEX(Cluster_Master!$A$4:$A$18,MATCH($F356,Cluster_Master!$B$4:$B$18,0)),"OK","CHECK"),"CHECK"))</f>
        <v/>
      </c>
      <c r="H356" s="18">
        <f>IFERROR(INDEX(Cluster_Master!$C$4:$C$18,MATCH($F356,Cluster_Master!$B$4:$B$18,0)),"")</f>
        <v/>
      </c>
      <c r="I356" s="15">
        <f>IFERROR(INDEX(Cluster_Master!$D$4:$D$18,MATCH($F356,Cluster_Master!$B$4:$B$18,0)),"")</f>
        <v/>
      </c>
      <c r="J356" s="15">
        <f>IFERROR(INDEX(Cluster_Master!$E$4:$E$18,MATCH($F356,Cluster_Master!$B$4:$B$18,0)),"")</f>
        <v/>
      </c>
      <c r="K356" s="15">
        <f>IFERROR(INDEX(Cluster_Master!$F$4:$F$18,MATCH($F356,Cluster_Master!$B$4:$B$18,0)),"")</f>
        <v/>
      </c>
      <c r="L356" s="15">
        <f>IFERROR(INDEX(Cluster_Master!$G$4:$G$18,MATCH($F356,Cluster_Master!$B$4:$B$18,0)),"")</f>
        <v/>
      </c>
      <c r="M356" s="15">
        <f>IFERROR(INDEX(Cluster_Master!$H$4:$H$18,MATCH($F356,Cluster_Master!$B$4:$B$18,0)),"")</f>
        <v/>
      </c>
      <c r="N356" s="41" t="n"/>
      <c r="O356" s="41" t="n"/>
      <c r="P356" s="41" t="n"/>
      <c r="Q356" s="41" t="n"/>
      <c r="R356" s="41" t="n"/>
      <c r="S356" s="41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2" t="n"/>
      <c r="AG356" s="42" t="n"/>
      <c r="AH356" s="42" t="n"/>
      <c r="AI356" s="15">
        <f>IF(COUNTA(T356:AH356)=0,"",SUM(T356:AH356))</f>
        <v/>
      </c>
      <c r="AJ356" s="21">
        <f>IF(COUNTA(T356:AH356)=0,"",AI356/(COUNT(KPI_Weights!$A$4:$A$18)*5))</f>
        <v/>
      </c>
      <c r="AK356" s="21">
        <f>IF(COUNTA(T356:AH356)=0,"",SUMPRODUCT(T356:AH356,KPI_Weights!$B$4:$B$18)/5)</f>
        <v/>
      </c>
      <c r="AL356" s="15">
        <f>IF(COUNTA(T356:AH356)=0,"",IF(SUMPRODUCT(--(T356:AH356&lt;=1),--(KPI_Weights!$C$4:$C$18="YES"))&gt;0,"YES","NO"))</f>
        <v/>
      </c>
      <c r="AM356" s="15">
        <f>IF(AJ356="","",IF(AND(AL356="NO",AJ356&gt;=0.75),"YES","NO"))</f>
        <v/>
      </c>
      <c r="AN356" s="15">
        <f>IF(AJ356="","",IF(AJ356&lt;0.4,"Critical",IF(AJ356&lt;0.6,"Poor",IF(AJ356&lt;0.75,"Needs Improvement",IF(AJ356&lt;0.9,"Good","Excellent")))))</f>
        <v/>
      </c>
      <c r="AO356" s="41" t="n"/>
      <c r="AP356" s="41" t="n"/>
      <c r="AQ356" s="41" t="n"/>
      <c r="AR356" s="41" t="n"/>
      <c r="AS356" s="41" t="n"/>
      <c r="AT356" s="44" t="n"/>
      <c r="AU356" s="41" t="n"/>
      <c r="AV356" s="43" t="n"/>
      <c r="AW356" s="41" t="n"/>
      <c r="AX356" s="44" t="n"/>
      <c r="AY356" s="44" t="n"/>
      <c r="AZ356" s="44" t="n"/>
      <c r="BA356" s="44" t="n"/>
      <c r="BB356" s="44" t="n"/>
      <c r="BC356" s="44" t="n"/>
      <c r="BD356" s="44" t="n"/>
      <c r="BE356" s="44" t="n"/>
      <c r="BF356" s="44" t="n"/>
    </row>
    <row r="357" ht="19.5" customHeight="1" s="45">
      <c r="A357" s="15">
        <f>IF($B357="","",TEXT($B357,"yyyymmdd")&amp;"-"&amp;SUBSTITUTE($F357," ","")&amp;"-"&amp;TEXT(COUNTIF($F$4:F357,$F357),"00"))</f>
        <v/>
      </c>
      <c r="B357" s="39" t="n"/>
      <c r="C357" s="15">
        <f>IF($B357="","",WEEKNUM($B357,2))</f>
        <v/>
      </c>
      <c r="D357" s="15">
        <f>IF($B357="","",TEXT($B357,"yyyy-mm"))</f>
        <v/>
      </c>
      <c r="E357" s="40" t="n"/>
      <c r="F357" s="40" t="n"/>
      <c r="G357" s="15">
        <f>IF(OR($E357="",$F357=""),"",IFERROR(IF($E357=INDEX(Cluster_Master!$A$4:$A$18,MATCH($F357,Cluster_Master!$B$4:$B$18,0)),"OK","CHECK"),"CHECK"))</f>
        <v/>
      </c>
      <c r="H357" s="18">
        <f>IFERROR(INDEX(Cluster_Master!$C$4:$C$18,MATCH($F357,Cluster_Master!$B$4:$B$18,0)),"")</f>
        <v/>
      </c>
      <c r="I357" s="15">
        <f>IFERROR(INDEX(Cluster_Master!$D$4:$D$18,MATCH($F357,Cluster_Master!$B$4:$B$18,0)),"")</f>
        <v/>
      </c>
      <c r="J357" s="15">
        <f>IFERROR(INDEX(Cluster_Master!$E$4:$E$18,MATCH($F357,Cluster_Master!$B$4:$B$18,0)),"")</f>
        <v/>
      </c>
      <c r="K357" s="15">
        <f>IFERROR(INDEX(Cluster_Master!$F$4:$F$18,MATCH($F357,Cluster_Master!$B$4:$B$18,0)),"")</f>
        <v/>
      </c>
      <c r="L357" s="15">
        <f>IFERROR(INDEX(Cluster_Master!$G$4:$G$18,MATCH($F357,Cluster_Master!$B$4:$B$18,0)),"")</f>
        <v/>
      </c>
      <c r="M357" s="15">
        <f>IFERROR(INDEX(Cluster_Master!$H$4:$H$18,MATCH($F357,Cluster_Master!$B$4:$B$18,0)),"")</f>
        <v/>
      </c>
      <c r="N357" s="41" t="n"/>
      <c r="O357" s="41" t="n"/>
      <c r="P357" s="41" t="n"/>
      <c r="Q357" s="41" t="n"/>
      <c r="R357" s="41" t="n"/>
      <c r="S357" s="41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  <c r="AE357" s="42" t="n"/>
      <c r="AF357" s="42" t="n"/>
      <c r="AG357" s="42" t="n"/>
      <c r="AH357" s="42" t="n"/>
      <c r="AI357" s="15">
        <f>IF(COUNTA(T357:AH357)=0,"",SUM(T357:AH357))</f>
        <v/>
      </c>
      <c r="AJ357" s="21">
        <f>IF(COUNTA(T357:AH357)=0,"",AI357/(COUNT(KPI_Weights!$A$4:$A$18)*5))</f>
        <v/>
      </c>
      <c r="AK357" s="21">
        <f>IF(COUNTA(T357:AH357)=0,"",SUMPRODUCT(T357:AH357,KPI_Weights!$B$4:$B$18)/5)</f>
        <v/>
      </c>
      <c r="AL357" s="15">
        <f>IF(COUNTA(T357:AH357)=0,"",IF(SUMPRODUCT(--(T357:AH357&lt;=1),--(KPI_Weights!$C$4:$C$18="YES"))&gt;0,"YES","NO"))</f>
        <v/>
      </c>
      <c r="AM357" s="15">
        <f>IF(AJ357="","",IF(AND(AL357="NO",AJ357&gt;=0.75),"YES","NO"))</f>
        <v/>
      </c>
      <c r="AN357" s="15">
        <f>IF(AJ357="","",IF(AJ357&lt;0.4,"Critical",IF(AJ357&lt;0.6,"Poor",IF(AJ357&lt;0.75,"Needs Improvement",IF(AJ357&lt;0.9,"Good","Excellent")))))</f>
        <v/>
      </c>
      <c r="AO357" s="41" t="n"/>
      <c r="AP357" s="41" t="n"/>
      <c r="AQ357" s="41" t="n"/>
      <c r="AR357" s="41" t="n"/>
      <c r="AS357" s="41" t="n"/>
      <c r="AT357" s="44" t="n"/>
      <c r="AU357" s="41" t="n"/>
      <c r="AV357" s="43" t="n"/>
      <c r="AW357" s="41" t="n"/>
      <c r="AX357" s="44" t="n"/>
      <c r="AY357" s="44" t="n"/>
      <c r="AZ357" s="44" t="n"/>
      <c r="BA357" s="44" t="n"/>
      <c r="BB357" s="44" t="n"/>
      <c r="BC357" s="44" t="n"/>
      <c r="BD357" s="44" t="n"/>
      <c r="BE357" s="44" t="n"/>
      <c r="BF357" s="44" t="n"/>
    </row>
    <row r="358" ht="19.5" customHeight="1" s="45">
      <c r="A358" s="15">
        <f>IF($B358="","",TEXT($B358,"yyyymmdd")&amp;"-"&amp;SUBSTITUTE($F358," ","")&amp;"-"&amp;TEXT(COUNTIF($F$4:F358,$F358),"00"))</f>
        <v/>
      </c>
      <c r="B358" s="39" t="n"/>
      <c r="C358" s="15">
        <f>IF($B358="","",WEEKNUM($B358,2))</f>
        <v/>
      </c>
      <c r="D358" s="15">
        <f>IF($B358="","",TEXT($B358,"yyyy-mm"))</f>
        <v/>
      </c>
      <c r="E358" s="40" t="n"/>
      <c r="F358" s="40" t="n"/>
      <c r="G358" s="15">
        <f>IF(OR($E358="",$F358=""),"",IFERROR(IF($E358=INDEX(Cluster_Master!$A$4:$A$18,MATCH($F358,Cluster_Master!$B$4:$B$18,0)),"OK","CHECK"),"CHECK"))</f>
        <v/>
      </c>
      <c r="H358" s="18">
        <f>IFERROR(INDEX(Cluster_Master!$C$4:$C$18,MATCH($F358,Cluster_Master!$B$4:$B$18,0)),"")</f>
        <v/>
      </c>
      <c r="I358" s="15">
        <f>IFERROR(INDEX(Cluster_Master!$D$4:$D$18,MATCH($F358,Cluster_Master!$B$4:$B$18,0)),"")</f>
        <v/>
      </c>
      <c r="J358" s="15">
        <f>IFERROR(INDEX(Cluster_Master!$E$4:$E$18,MATCH($F358,Cluster_Master!$B$4:$B$18,0)),"")</f>
        <v/>
      </c>
      <c r="K358" s="15">
        <f>IFERROR(INDEX(Cluster_Master!$F$4:$F$18,MATCH($F358,Cluster_Master!$B$4:$B$18,0)),"")</f>
        <v/>
      </c>
      <c r="L358" s="15">
        <f>IFERROR(INDEX(Cluster_Master!$G$4:$G$18,MATCH($F358,Cluster_Master!$B$4:$B$18,0)),"")</f>
        <v/>
      </c>
      <c r="M358" s="15">
        <f>IFERROR(INDEX(Cluster_Master!$H$4:$H$18,MATCH($F358,Cluster_Master!$B$4:$B$18,0)),"")</f>
        <v/>
      </c>
      <c r="N358" s="41" t="n"/>
      <c r="O358" s="41" t="n"/>
      <c r="P358" s="41" t="n"/>
      <c r="Q358" s="41" t="n"/>
      <c r="R358" s="41" t="n"/>
      <c r="S358" s="41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2" t="n"/>
      <c r="AG358" s="42" t="n"/>
      <c r="AH358" s="42" t="n"/>
      <c r="AI358" s="15">
        <f>IF(COUNTA(T358:AH358)=0,"",SUM(T358:AH358))</f>
        <v/>
      </c>
      <c r="AJ358" s="21">
        <f>IF(COUNTA(T358:AH358)=0,"",AI358/(COUNT(KPI_Weights!$A$4:$A$18)*5))</f>
        <v/>
      </c>
      <c r="AK358" s="21">
        <f>IF(COUNTA(T358:AH358)=0,"",SUMPRODUCT(T358:AH358,KPI_Weights!$B$4:$B$18)/5)</f>
        <v/>
      </c>
      <c r="AL358" s="15">
        <f>IF(COUNTA(T358:AH358)=0,"",IF(SUMPRODUCT(--(T358:AH358&lt;=1),--(KPI_Weights!$C$4:$C$18="YES"))&gt;0,"YES","NO"))</f>
        <v/>
      </c>
      <c r="AM358" s="15">
        <f>IF(AJ358="","",IF(AND(AL358="NO",AJ358&gt;=0.75),"YES","NO"))</f>
        <v/>
      </c>
      <c r="AN358" s="15">
        <f>IF(AJ358="","",IF(AJ358&lt;0.4,"Critical",IF(AJ358&lt;0.6,"Poor",IF(AJ358&lt;0.75,"Needs Improvement",IF(AJ358&lt;0.9,"Good","Excellent")))))</f>
        <v/>
      </c>
      <c r="AO358" s="41" t="n"/>
      <c r="AP358" s="41" t="n"/>
      <c r="AQ358" s="41" t="n"/>
      <c r="AR358" s="41" t="n"/>
      <c r="AS358" s="41" t="n"/>
      <c r="AT358" s="44" t="n"/>
      <c r="AU358" s="41" t="n"/>
      <c r="AV358" s="43" t="n"/>
      <c r="AW358" s="41" t="n"/>
      <c r="AX358" s="44" t="n"/>
      <c r="AY358" s="44" t="n"/>
      <c r="AZ358" s="44" t="n"/>
      <c r="BA358" s="44" t="n"/>
      <c r="BB358" s="44" t="n"/>
      <c r="BC358" s="44" t="n"/>
      <c r="BD358" s="44" t="n"/>
      <c r="BE358" s="44" t="n"/>
      <c r="BF358" s="44" t="n"/>
    </row>
    <row r="359" ht="19.5" customHeight="1" s="45">
      <c r="A359" s="15">
        <f>IF($B359="","",TEXT($B359,"yyyymmdd")&amp;"-"&amp;SUBSTITUTE($F359," ","")&amp;"-"&amp;TEXT(COUNTIF($F$4:F359,$F359),"00"))</f>
        <v/>
      </c>
      <c r="B359" s="39" t="n"/>
      <c r="C359" s="15">
        <f>IF($B359="","",WEEKNUM($B359,2))</f>
        <v/>
      </c>
      <c r="D359" s="15">
        <f>IF($B359="","",TEXT($B359,"yyyy-mm"))</f>
        <v/>
      </c>
      <c r="E359" s="40" t="n"/>
      <c r="F359" s="40" t="n"/>
      <c r="G359" s="15">
        <f>IF(OR($E359="",$F359=""),"",IFERROR(IF($E359=INDEX(Cluster_Master!$A$4:$A$18,MATCH($F359,Cluster_Master!$B$4:$B$18,0)),"OK","CHECK"),"CHECK"))</f>
        <v/>
      </c>
      <c r="H359" s="18">
        <f>IFERROR(INDEX(Cluster_Master!$C$4:$C$18,MATCH($F359,Cluster_Master!$B$4:$B$18,0)),"")</f>
        <v/>
      </c>
      <c r="I359" s="15">
        <f>IFERROR(INDEX(Cluster_Master!$D$4:$D$18,MATCH($F359,Cluster_Master!$B$4:$B$18,0)),"")</f>
        <v/>
      </c>
      <c r="J359" s="15">
        <f>IFERROR(INDEX(Cluster_Master!$E$4:$E$18,MATCH($F359,Cluster_Master!$B$4:$B$18,0)),"")</f>
        <v/>
      </c>
      <c r="K359" s="15">
        <f>IFERROR(INDEX(Cluster_Master!$F$4:$F$18,MATCH($F359,Cluster_Master!$B$4:$B$18,0)),"")</f>
        <v/>
      </c>
      <c r="L359" s="15">
        <f>IFERROR(INDEX(Cluster_Master!$G$4:$G$18,MATCH($F359,Cluster_Master!$B$4:$B$18,0)),"")</f>
        <v/>
      </c>
      <c r="M359" s="15">
        <f>IFERROR(INDEX(Cluster_Master!$H$4:$H$18,MATCH($F359,Cluster_Master!$B$4:$B$18,0)),"")</f>
        <v/>
      </c>
      <c r="N359" s="41" t="n"/>
      <c r="O359" s="41" t="n"/>
      <c r="P359" s="41" t="n"/>
      <c r="Q359" s="41" t="n"/>
      <c r="R359" s="41" t="n"/>
      <c r="S359" s="41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  <c r="AE359" s="42" t="n"/>
      <c r="AF359" s="42" t="n"/>
      <c r="AG359" s="42" t="n"/>
      <c r="AH359" s="42" t="n"/>
      <c r="AI359" s="15">
        <f>IF(COUNTA(T359:AH359)=0,"",SUM(T359:AH359))</f>
        <v/>
      </c>
      <c r="AJ359" s="21">
        <f>IF(COUNTA(T359:AH359)=0,"",AI359/(COUNT(KPI_Weights!$A$4:$A$18)*5))</f>
        <v/>
      </c>
      <c r="AK359" s="21">
        <f>IF(COUNTA(T359:AH359)=0,"",SUMPRODUCT(T359:AH359,KPI_Weights!$B$4:$B$18)/5)</f>
        <v/>
      </c>
      <c r="AL359" s="15">
        <f>IF(COUNTA(T359:AH359)=0,"",IF(SUMPRODUCT(--(T359:AH359&lt;=1),--(KPI_Weights!$C$4:$C$18="YES"))&gt;0,"YES","NO"))</f>
        <v/>
      </c>
      <c r="AM359" s="15">
        <f>IF(AJ359="","",IF(AND(AL359="NO",AJ359&gt;=0.75),"YES","NO"))</f>
        <v/>
      </c>
      <c r="AN359" s="15">
        <f>IF(AJ359="","",IF(AJ359&lt;0.4,"Critical",IF(AJ359&lt;0.6,"Poor",IF(AJ359&lt;0.75,"Needs Improvement",IF(AJ359&lt;0.9,"Good","Excellent")))))</f>
        <v/>
      </c>
      <c r="AO359" s="41" t="n"/>
      <c r="AP359" s="41" t="n"/>
      <c r="AQ359" s="41" t="n"/>
      <c r="AR359" s="41" t="n"/>
      <c r="AS359" s="41" t="n"/>
      <c r="AT359" s="44" t="n"/>
      <c r="AU359" s="41" t="n"/>
      <c r="AV359" s="43" t="n"/>
      <c r="AW359" s="41" t="n"/>
      <c r="AX359" s="44" t="n"/>
      <c r="AY359" s="44" t="n"/>
      <c r="AZ359" s="44" t="n"/>
      <c r="BA359" s="44" t="n"/>
      <c r="BB359" s="44" t="n"/>
      <c r="BC359" s="44" t="n"/>
      <c r="BD359" s="44" t="n"/>
      <c r="BE359" s="44" t="n"/>
      <c r="BF359" s="44" t="n"/>
    </row>
    <row r="360" ht="19.5" customHeight="1" s="45">
      <c r="A360" s="15">
        <f>IF($B360="","",TEXT($B360,"yyyymmdd")&amp;"-"&amp;SUBSTITUTE($F360," ","")&amp;"-"&amp;TEXT(COUNTIF($F$4:F360,$F360),"00"))</f>
        <v/>
      </c>
      <c r="B360" s="39" t="n"/>
      <c r="C360" s="15">
        <f>IF($B360="","",WEEKNUM($B360,2))</f>
        <v/>
      </c>
      <c r="D360" s="15">
        <f>IF($B360="","",TEXT($B360,"yyyy-mm"))</f>
        <v/>
      </c>
      <c r="E360" s="40" t="n"/>
      <c r="F360" s="40" t="n"/>
      <c r="G360" s="15">
        <f>IF(OR($E360="",$F360=""),"",IFERROR(IF($E360=INDEX(Cluster_Master!$A$4:$A$18,MATCH($F360,Cluster_Master!$B$4:$B$18,0)),"OK","CHECK"),"CHECK"))</f>
        <v/>
      </c>
      <c r="H360" s="18">
        <f>IFERROR(INDEX(Cluster_Master!$C$4:$C$18,MATCH($F360,Cluster_Master!$B$4:$B$18,0)),"")</f>
        <v/>
      </c>
      <c r="I360" s="15">
        <f>IFERROR(INDEX(Cluster_Master!$D$4:$D$18,MATCH($F360,Cluster_Master!$B$4:$B$18,0)),"")</f>
        <v/>
      </c>
      <c r="J360" s="15">
        <f>IFERROR(INDEX(Cluster_Master!$E$4:$E$18,MATCH($F360,Cluster_Master!$B$4:$B$18,0)),"")</f>
        <v/>
      </c>
      <c r="K360" s="15">
        <f>IFERROR(INDEX(Cluster_Master!$F$4:$F$18,MATCH($F360,Cluster_Master!$B$4:$B$18,0)),"")</f>
        <v/>
      </c>
      <c r="L360" s="15">
        <f>IFERROR(INDEX(Cluster_Master!$G$4:$G$18,MATCH($F360,Cluster_Master!$B$4:$B$18,0)),"")</f>
        <v/>
      </c>
      <c r="M360" s="15">
        <f>IFERROR(INDEX(Cluster_Master!$H$4:$H$18,MATCH($F360,Cluster_Master!$B$4:$B$18,0)),"")</f>
        <v/>
      </c>
      <c r="N360" s="41" t="n"/>
      <c r="O360" s="41" t="n"/>
      <c r="P360" s="41" t="n"/>
      <c r="Q360" s="41" t="n"/>
      <c r="R360" s="41" t="n"/>
      <c r="S360" s="41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2" t="n"/>
      <c r="AG360" s="42" t="n"/>
      <c r="AH360" s="42" t="n"/>
      <c r="AI360" s="15">
        <f>IF(COUNTA(T360:AH360)=0,"",SUM(T360:AH360))</f>
        <v/>
      </c>
      <c r="AJ360" s="21">
        <f>IF(COUNTA(T360:AH360)=0,"",AI360/(COUNT(KPI_Weights!$A$4:$A$18)*5))</f>
        <v/>
      </c>
      <c r="AK360" s="21">
        <f>IF(COUNTA(T360:AH360)=0,"",SUMPRODUCT(T360:AH360,KPI_Weights!$B$4:$B$18)/5)</f>
        <v/>
      </c>
      <c r="AL360" s="15">
        <f>IF(COUNTA(T360:AH360)=0,"",IF(SUMPRODUCT(--(T360:AH360&lt;=1),--(KPI_Weights!$C$4:$C$18="YES"))&gt;0,"YES","NO"))</f>
        <v/>
      </c>
      <c r="AM360" s="15">
        <f>IF(AJ360="","",IF(AND(AL360="NO",AJ360&gt;=0.75),"YES","NO"))</f>
        <v/>
      </c>
      <c r="AN360" s="15">
        <f>IF(AJ360="","",IF(AJ360&lt;0.4,"Critical",IF(AJ360&lt;0.6,"Poor",IF(AJ360&lt;0.75,"Needs Improvement",IF(AJ360&lt;0.9,"Good","Excellent")))))</f>
        <v/>
      </c>
      <c r="AO360" s="41" t="n"/>
      <c r="AP360" s="41" t="n"/>
      <c r="AQ360" s="41" t="n"/>
      <c r="AR360" s="41" t="n"/>
      <c r="AS360" s="41" t="n"/>
      <c r="AT360" s="44" t="n"/>
      <c r="AU360" s="41" t="n"/>
      <c r="AV360" s="43" t="n"/>
      <c r="AW360" s="41" t="n"/>
      <c r="AX360" s="44" t="n"/>
      <c r="AY360" s="44" t="n"/>
      <c r="AZ360" s="44" t="n"/>
      <c r="BA360" s="44" t="n"/>
      <c r="BB360" s="44" t="n"/>
      <c r="BC360" s="44" t="n"/>
      <c r="BD360" s="44" t="n"/>
      <c r="BE360" s="44" t="n"/>
      <c r="BF360" s="44" t="n"/>
    </row>
    <row r="361" ht="19.5" customHeight="1" s="45">
      <c r="A361" s="15">
        <f>IF($B361="","",TEXT($B361,"yyyymmdd")&amp;"-"&amp;SUBSTITUTE($F361," ","")&amp;"-"&amp;TEXT(COUNTIF($F$4:F361,$F361),"00"))</f>
        <v/>
      </c>
      <c r="B361" s="39" t="n"/>
      <c r="C361" s="15">
        <f>IF($B361="","",WEEKNUM($B361,2))</f>
        <v/>
      </c>
      <c r="D361" s="15">
        <f>IF($B361="","",TEXT($B361,"yyyy-mm"))</f>
        <v/>
      </c>
      <c r="E361" s="40" t="n"/>
      <c r="F361" s="40" t="n"/>
      <c r="G361" s="15">
        <f>IF(OR($E361="",$F361=""),"",IFERROR(IF($E361=INDEX(Cluster_Master!$A$4:$A$18,MATCH($F361,Cluster_Master!$B$4:$B$18,0)),"OK","CHECK"),"CHECK"))</f>
        <v/>
      </c>
      <c r="H361" s="18">
        <f>IFERROR(INDEX(Cluster_Master!$C$4:$C$18,MATCH($F361,Cluster_Master!$B$4:$B$18,0)),"")</f>
        <v/>
      </c>
      <c r="I361" s="15">
        <f>IFERROR(INDEX(Cluster_Master!$D$4:$D$18,MATCH($F361,Cluster_Master!$B$4:$B$18,0)),"")</f>
        <v/>
      </c>
      <c r="J361" s="15">
        <f>IFERROR(INDEX(Cluster_Master!$E$4:$E$18,MATCH($F361,Cluster_Master!$B$4:$B$18,0)),"")</f>
        <v/>
      </c>
      <c r="K361" s="15">
        <f>IFERROR(INDEX(Cluster_Master!$F$4:$F$18,MATCH($F361,Cluster_Master!$B$4:$B$18,0)),"")</f>
        <v/>
      </c>
      <c r="L361" s="15">
        <f>IFERROR(INDEX(Cluster_Master!$G$4:$G$18,MATCH($F361,Cluster_Master!$B$4:$B$18,0)),"")</f>
        <v/>
      </c>
      <c r="M361" s="15">
        <f>IFERROR(INDEX(Cluster_Master!$H$4:$H$18,MATCH($F361,Cluster_Master!$B$4:$B$18,0)),"")</f>
        <v/>
      </c>
      <c r="N361" s="41" t="n"/>
      <c r="O361" s="41" t="n"/>
      <c r="P361" s="41" t="n"/>
      <c r="Q361" s="41" t="n"/>
      <c r="R361" s="41" t="n"/>
      <c r="S361" s="41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2" t="n"/>
      <c r="AE361" s="42" t="n"/>
      <c r="AF361" s="42" t="n"/>
      <c r="AG361" s="42" t="n"/>
      <c r="AH361" s="42" t="n"/>
      <c r="AI361" s="15">
        <f>IF(COUNTA(T361:AH361)=0,"",SUM(T361:AH361))</f>
        <v/>
      </c>
      <c r="AJ361" s="21">
        <f>IF(COUNTA(T361:AH361)=0,"",AI361/(COUNT(KPI_Weights!$A$4:$A$18)*5))</f>
        <v/>
      </c>
      <c r="AK361" s="21">
        <f>IF(COUNTA(T361:AH361)=0,"",SUMPRODUCT(T361:AH361,KPI_Weights!$B$4:$B$18)/5)</f>
        <v/>
      </c>
      <c r="AL361" s="15">
        <f>IF(COUNTA(T361:AH361)=0,"",IF(SUMPRODUCT(--(T361:AH361&lt;=1),--(KPI_Weights!$C$4:$C$18="YES"))&gt;0,"YES","NO"))</f>
        <v/>
      </c>
      <c r="AM361" s="15">
        <f>IF(AJ361="","",IF(AND(AL361="NO",AJ361&gt;=0.75),"YES","NO"))</f>
        <v/>
      </c>
      <c r="AN361" s="15">
        <f>IF(AJ361="","",IF(AJ361&lt;0.4,"Critical",IF(AJ361&lt;0.6,"Poor",IF(AJ361&lt;0.75,"Needs Improvement",IF(AJ361&lt;0.9,"Good","Excellent")))))</f>
        <v/>
      </c>
      <c r="AO361" s="41" t="n"/>
      <c r="AP361" s="41" t="n"/>
      <c r="AQ361" s="41" t="n"/>
      <c r="AR361" s="41" t="n"/>
      <c r="AS361" s="41" t="n"/>
      <c r="AT361" s="44" t="n"/>
      <c r="AU361" s="41" t="n"/>
      <c r="AV361" s="43" t="n"/>
      <c r="AW361" s="41" t="n"/>
      <c r="AX361" s="44" t="n"/>
      <c r="AY361" s="44" t="n"/>
      <c r="AZ361" s="44" t="n"/>
      <c r="BA361" s="44" t="n"/>
      <c r="BB361" s="44" t="n"/>
      <c r="BC361" s="44" t="n"/>
      <c r="BD361" s="44" t="n"/>
      <c r="BE361" s="44" t="n"/>
      <c r="BF361" s="44" t="n"/>
    </row>
    <row r="362" ht="19.5" customHeight="1" s="45">
      <c r="A362" s="15">
        <f>IF($B362="","",TEXT($B362,"yyyymmdd")&amp;"-"&amp;SUBSTITUTE($F362," ","")&amp;"-"&amp;TEXT(COUNTIF($F$4:F362,$F362),"00"))</f>
        <v/>
      </c>
      <c r="B362" s="39" t="n"/>
      <c r="C362" s="15">
        <f>IF($B362="","",WEEKNUM($B362,2))</f>
        <v/>
      </c>
      <c r="D362" s="15">
        <f>IF($B362="","",TEXT($B362,"yyyy-mm"))</f>
        <v/>
      </c>
      <c r="E362" s="40" t="n"/>
      <c r="F362" s="40" t="n"/>
      <c r="G362" s="15">
        <f>IF(OR($E362="",$F362=""),"",IFERROR(IF($E362=INDEX(Cluster_Master!$A$4:$A$18,MATCH($F362,Cluster_Master!$B$4:$B$18,0)),"OK","CHECK"),"CHECK"))</f>
        <v/>
      </c>
      <c r="H362" s="18">
        <f>IFERROR(INDEX(Cluster_Master!$C$4:$C$18,MATCH($F362,Cluster_Master!$B$4:$B$18,0)),"")</f>
        <v/>
      </c>
      <c r="I362" s="15">
        <f>IFERROR(INDEX(Cluster_Master!$D$4:$D$18,MATCH($F362,Cluster_Master!$B$4:$B$18,0)),"")</f>
        <v/>
      </c>
      <c r="J362" s="15">
        <f>IFERROR(INDEX(Cluster_Master!$E$4:$E$18,MATCH($F362,Cluster_Master!$B$4:$B$18,0)),"")</f>
        <v/>
      </c>
      <c r="K362" s="15">
        <f>IFERROR(INDEX(Cluster_Master!$F$4:$F$18,MATCH($F362,Cluster_Master!$B$4:$B$18,0)),"")</f>
        <v/>
      </c>
      <c r="L362" s="15">
        <f>IFERROR(INDEX(Cluster_Master!$G$4:$G$18,MATCH($F362,Cluster_Master!$B$4:$B$18,0)),"")</f>
        <v/>
      </c>
      <c r="M362" s="15">
        <f>IFERROR(INDEX(Cluster_Master!$H$4:$H$18,MATCH($F362,Cluster_Master!$B$4:$B$18,0)),"")</f>
        <v/>
      </c>
      <c r="N362" s="41" t="n"/>
      <c r="O362" s="41" t="n"/>
      <c r="P362" s="41" t="n"/>
      <c r="Q362" s="41" t="n"/>
      <c r="R362" s="41" t="n"/>
      <c r="S362" s="41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2" t="n"/>
      <c r="AG362" s="42" t="n"/>
      <c r="AH362" s="42" t="n"/>
      <c r="AI362" s="15">
        <f>IF(COUNTA(T362:AH362)=0,"",SUM(T362:AH362))</f>
        <v/>
      </c>
      <c r="AJ362" s="21">
        <f>IF(COUNTA(T362:AH362)=0,"",AI362/(COUNT(KPI_Weights!$A$4:$A$18)*5))</f>
        <v/>
      </c>
      <c r="AK362" s="21">
        <f>IF(COUNTA(T362:AH362)=0,"",SUMPRODUCT(T362:AH362,KPI_Weights!$B$4:$B$18)/5)</f>
        <v/>
      </c>
      <c r="AL362" s="15">
        <f>IF(COUNTA(T362:AH362)=0,"",IF(SUMPRODUCT(--(T362:AH362&lt;=1),--(KPI_Weights!$C$4:$C$18="YES"))&gt;0,"YES","NO"))</f>
        <v/>
      </c>
      <c r="AM362" s="15">
        <f>IF(AJ362="","",IF(AND(AL362="NO",AJ362&gt;=0.75),"YES","NO"))</f>
        <v/>
      </c>
      <c r="AN362" s="15">
        <f>IF(AJ362="","",IF(AJ362&lt;0.4,"Critical",IF(AJ362&lt;0.6,"Poor",IF(AJ362&lt;0.75,"Needs Improvement",IF(AJ362&lt;0.9,"Good","Excellent")))))</f>
        <v/>
      </c>
      <c r="AO362" s="41" t="n"/>
      <c r="AP362" s="41" t="n"/>
      <c r="AQ362" s="41" t="n"/>
      <c r="AR362" s="41" t="n"/>
      <c r="AS362" s="41" t="n"/>
      <c r="AT362" s="44" t="n"/>
      <c r="AU362" s="41" t="n"/>
      <c r="AV362" s="43" t="n"/>
      <c r="AW362" s="41" t="n"/>
      <c r="AX362" s="44" t="n"/>
      <c r="AY362" s="44" t="n"/>
      <c r="AZ362" s="44" t="n"/>
      <c r="BA362" s="44" t="n"/>
      <c r="BB362" s="44" t="n"/>
      <c r="BC362" s="44" t="n"/>
      <c r="BD362" s="44" t="n"/>
      <c r="BE362" s="44" t="n"/>
      <c r="BF362" s="44" t="n"/>
    </row>
    <row r="363" ht="19.5" customHeight="1" s="45">
      <c r="A363" s="15">
        <f>IF($B363="","",TEXT($B363,"yyyymmdd")&amp;"-"&amp;SUBSTITUTE($F363," ","")&amp;"-"&amp;TEXT(COUNTIF($F$4:F363,$F363),"00"))</f>
        <v/>
      </c>
      <c r="B363" s="39" t="n"/>
      <c r="C363" s="15">
        <f>IF($B363="","",WEEKNUM($B363,2))</f>
        <v/>
      </c>
      <c r="D363" s="15">
        <f>IF($B363="","",TEXT($B363,"yyyy-mm"))</f>
        <v/>
      </c>
      <c r="E363" s="40" t="n"/>
      <c r="F363" s="40" t="n"/>
      <c r="G363" s="15">
        <f>IF(OR($E363="",$F363=""),"",IFERROR(IF($E363=INDEX(Cluster_Master!$A$4:$A$18,MATCH($F363,Cluster_Master!$B$4:$B$18,0)),"OK","CHECK"),"CHECK"))</f>
        <v/>
      </c>
      <c r="H363" s="18">
        <f>IFERROR(INDEX(Cluster_Master!$C$4:$C$18,MATCH($F363,Cluster_Master!$B$4:$B$18,0)),"")</f>
        <v/>
      </c>
      <c r="I363" s="15">
        <f>IFERROR(INDEX(Cluster_Master!$D$4:$D$18,MATCH($F363,Cluster_Master!$B$4:$B$18,0)),"")</f>
        <v/>
      </c>
      <c r="J363" s="15">
        <f>IFERROR(INDEX(Cluster_Master!$E$4:$E$18,MATCH($F363,Cluster_Master!$B$4:$B$18,0)),"")</f>
        <v/>
      </c>
      <c r="K363" s="15">
        <f>IFERROR(INDEX(Cluster_Master!$F$4:$F$18,MATCH($F363,Cluster_Master!$B$4:$B$18,0)),"")</f>
        <v/>
      </c>
      <c r="L363" s="15">
        <f>IFERROR(INDEX(Cluster_Master!$G$4:$G$18,MATCH($F363,Cluster_Master!$B$4:$B$18,0)),"")</f>
        <v/>
      </c>
      <c r="M363" s="15">
        <f>IFERROR(INDEX(Cluster_Master!$H$4:$H$18,MATCH($F363,Cluster_Master!$B$4:$B$18,0)),"")</f>
        <v/>
      </c>
      <c r="N363" s="41" t="n"/>
      <c r="O363" s="41" t="n"/>
      <c r="P363" s="41" t="n"/>
      <c r="Q363" s="41" t="n"/>
      <c r="R363" s="41" t="n"/>
      <c r="S363" s="41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2" t="n"/>
      <c r="AE363" s="42" t="n"/>
      <c r="AF363" s="42" t="n"/>
      <c r="AG363" s="42" t="n"/>
      <c r="AH363" s="42" t="n"/>
      <c r="AI363" s="15">
        <f>IF(COUNTA(T363:AH363)=0,"",SUM(T363:AH363))</f>
        <v/>
      </c>
      <c r="AJ363" s="21">
        <f>IF(COUNTA(T363:AH363)=0,"",AI363/(COUNT(KPI_Weights!$A$4:$A$18)*5))</f>
        <v/>
      </c>
      <c r="AK363" s="21">
        <f>IF(COUNTA(T363:AH363)=0,"",SUMPRODUCT(T363:AH363,KPI_Weights!$B$4:$B$18)/5)</f>
        <v/>
      </c>
      <c r="AL363" s="15">
        <f>IF(COUNTA(T363:AH363)=0,"",IF(SUMPRODUCT(--(T363:AH363&lt;=1),--(KPI_Weights!$C$4:$C$18="YES"))&gt;0,"YES","NO"))</f>
        <v/>
      </c>
      <c r="AM363" s="15">
        <f>IF(AJ363="","",IF(AND(AL363="NO",AJ363&gt;=0.75),"YES","NO"))</f>
        <v/>
      </c>
      <c r="AN363" s="15">
        <f>IF(AJ363="","",IF(AJ363&lt;0.4,"Critical",IF(AJ363&lt;0.6,"Poor",IF(AJ363&lt;0.75,"Needs Improvement",IF(AJ363&lt;0.9,"Good","Excellent")))))</f>
        <v/>
      </c>
      <c r="AO363" s="41" t="n"/>
      <c r="AP363" s="41" t="n"/>
      <c r="AQ363" s="41" t="n"/>
      <c r="AR363" s="41" t="n"/>
      <c r="AS363" s="41" t="n"/>
      <c r="AT363" s="44" t="n"/>
      <c r="AU363" s="41" t="n"/>
      <c r="AV363" s="43" t="n"/>
      <c r="AW363" s="41" t="n"/>
      <c r="AX363" s="44" t="n"/>
      <c r="AY363" s="44" t="n"/>
      <c r="AZ363" s="44" t="n"/>
      <c r="BA363" s="44" t="n"/>
      <c r="BB363" s="44" t="n"/>
      <c r="BC363" s="44" t="n"/>
      <c r="BD363" s="44" t="n"/>
      <c r="BE363" s="44" t="n"/>
      <c r="BF363" s="44" t="n"/>
    </row>
    <row r="364" ht="19.5" customHeight="1" s="45">
      <c r="A364" s="15">
        <f>IF($B364="","",TEXT($B364,"yyyymmdd")&amp;"-"&amp;SUBSTITUTE($F364," ","")&amp;"-"&amp;TEXT(COUNTIF($F$4:F364,$F364),"00"))</f>
        <v/>
      </c>
      <c r="B364" s="39" t="n"/>
      <c r="C364" s="15">
        <f>IF($B364="","",WEEKNUM($B364,2))</f>
        <v/>
      </c>
      <c r="D364" s="15">
        <f>IF($B364="","",TEXT($B364,"yyyy-mm"))</f>
        <v/>
      </c>
      <c r="E364" s="40" t="n"/>
      <c r="F364" s="40" t="n"/>
      <c r="G364" s="15">
        <f>IF(OR($E364="",$F364=""),"",IFERROR(IF($E364=INDEX(Cluster_Master!$A$4:$A$18,MATCH($F364,Cluster_Master!$B$4:$B$18,0)),"OK","CHECK"),"CHECK"))</f>
        <v/>
      </c>
      <c r="H364" s="18">
        <f>IFERROR(INDEX(Cluster_Master!$C$4:$C$18,MATCH($F364,Cluster_Master!$B$4:$B$18,0)),"")</f>
        <v/>
      </c>
      <c r="I364" s="15">
        <f>IFERROR(INDEX(Cluster_Master!$D$4:$D$18,MATCH($F364,Cluster_Master!$B$4:$B$18,0)),"")</f>
        <v/>
      </c>
      <c r="J364" s="15">
        <f>IFERROR(INDEX(Cluster_Master!$E$4:$E$18,MATCH($F364,Cluster_Master!$B$4:$B$18,0)),"")</f>
        <v/>
      </c>
      <c r="K364" s="15">
        <f>IFERROR(INDEX(Cluster_Master!$F$4:$F$18,MATCH($F364,Cluster_Master!$B$4:$B$18,0)),"")</f>
        <v/>
      </c>
      <c r="L364" s="15">
        <f>IFERROR(INDEX(Cluster_Master!$G$4:$G$18,MATCH($F364,Cluster_Master!$B$4:$B$18,0)),"")</f>
        <v/>
      </c>
      <c r="M364" s="15">
        <f>IFERROR(INDEX(Cluster_Master!$H$4:$H$18,MATCH($F364,Cluster_Master!$B$4:$B$18,0)),"")</f>
        <v/>
      </c>
      <c r="N364" s="41" t="n"/>
      <c r="O364" s="41" t="n"/>
      <c r="P364" s="41" t="n"/>
      <c r="Q364" s="41" t="n"/>
      <c r="R364" s="41" t="n"/>
      <c r="S364" s="41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2" t="n"/>
      <c r="AG364" s="42" t="n"/>
      <c r="AH364" s="42" t="n"/>
      <c r="AI364" s="15">
        <f>IF(COUNTA(T364:AH364)=0,"",SUM(T364:AH364))</f>
        <v/>
      </c>
      <c r="AJ364" s="21">
        <f>IF(COUNTA(T364:AH364)=0,"",AI364/(COUNT(KPI_Weights!$A$4:$A$18)*5))</f>
        <v/>
      </c>
      <c r="AK364" s="21">
        <f>IF(COUNTA(T364:AH364)=0,"",SUMPRODUCT(T364:AH364,KPI_Weights!$B$4:$B$18)/5)</f>
        <v/>
      </c>
      <c r="AL364" s="15">
        <f>IF(COUNTA(T364:AH364)=0,"",IF(SUMPRODUCT(--(T364:AH364&lt;=1),--(KPI_Weights!$C$4:$C$18="YES"))&gt;0,"YES","NO"))</f>
        <v/>
      </c>
      <c r="AM364" s="15">
        <f>IF(AJ364="","",IF(AND(AL364="NO",AJ364&gt;=0.75),"YES","NO"))</f>
        <v/>
      </c>
      <c r="AN364" s="15">
        <f>IF(AJ364="","",IF(AJ364&lt;0.4,"Critical",IF(AJ364&lt;0.6,"Poor",IF(AJ364&lt;0.75,"Needs Improvement",IF(AJ364&lt;0.9,"Good","Excellent")))))</f>
        <v/>
      </c>
      <c r="AO364" s="41" t="n"/>
      <c r="AP364" s="41" t="n"/>
      <c r="AQ364" s="41" t="n"/>
      <c r="AR364" s="41" t="n"/>
      <c r="AS364" s="41" t="n"/>
      <c r="AT364" s="44" t="n"/>
      <c r="AU364" s="41" t="n"/>
      <c r="AV364" s="43" t="n"/>
      <c r="AW364" s="41" t="n"/>
      <c r="AX364" s="44" t="n"/>
      <c r="AY364" s="44" t="n"/>
      <c r="AZ364" s="44" t="n"/>
      <c r="BA364" s="44" t="n"/>
      <c r="BB364" s="44" t="n"/>
      <c r="BC364" s="44" t="n"/>
      <c r="BD364" s="44" t="n"/>
      <c r="BE364" s="44" t="n"/>
      <c r="BF364" s="44" t="n"/>
    </row>
    <row r="365" ht="19.5" customHeight="1" s="45">
      <c r="A365" s="15">
        <f>IF($B365="","",TEXT($B365,"yyyymmdd")&amp;"-"&amp;SUBSTITUTE($F365," ","")&amp;"-"&amp;TEXT(COUNTIF($F$4:F365,$F365),"00"))</f>
        <v/>
      </c>
      <c r="B365" s="39" t="n"/>
      <c r="C365" s="15">
        <f>IF($B365="","",WEEKNUM($B365,2))</f>
        <v/>
      </c>
      <c r="D365" s="15">
        <f>IF($B365="","",TEXT($B365,"yyyy-mm"))</f>
        <v/>
      </c>
      <c r="E365" s="40" t="n"/>
      <c r="F365" s="40" t="n"/>
      <c r="G365" s="15">
        <f>IF(OR($E365="",$F365=""),"",IFERROR(IF($E365=INDEX(Cluster_Master!$A$4:$A$18,MATCH($F365,Cluster_Master!$B$4:$B$18,0)),"OK","CHECK"),"CHECK"))</f>
        <v/>
      </c>
      <c r="H365" s="18">
        <f>IFERROR(INDEX(Cluster_Master!$C$4:$C$18,MATCH($F365,Cluster_Master!$B$4:$B$18,0)),"")</f>
        <v/>
      </c>
      <c r="I365" s="15">
        <f>IFERROR(INDEX(Cluster_Master!$D$4:$D$18,MATCH($F365,Cluster_Master!$B$4:$B$18,0)),"")</f>
        <v/>
      </c>
      <c r="J365" s="15">
        <f>IFERROR(INDEX(Cluster_Master!$E$4:$E$18,MATCH($F365,Cluster_Master!$B$4:$B$18,0)),"")</f>
        <v/>
      </c>
      <c r="K365" s="15">
        <f>IFERROR(INDEX(Cluster_Master!$F$4:$F$18,MATCH($F365,Cluster_Master!$B$4:$B$18,0)),"")</f>
        <v/>
      </c>
      <c r="L365" s="15">
        <f>IFERROR(INDEX(Cluster_Master!$G$4:$G$18,MATCH($F365,Cluster_Master!$B$4:$B$18,0)),"")</f>
        <v/>
      </c>
      <c r="M365" s="15">
        <f>IFERROR(INDEX(Cluster_Master!$H$4:$H$18,MATCH($F365,Cluster_Master!$B$4:$B$18,0)),"")</f>
        <v/>
      </c>
      <c r="N365" s="41" t="n"/>
      <c r="O365" s="41" t="n"/>
      <c r="P365" s="41" t="n"/>
      <c r="Q365" s="41" t="n"/>
      <c r="R365" s="41" t="n"/>
      <c r="S365" s="41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2" t="n"/>
      <c r="AE365" s="42" t="n"/>
      <c r="AF365" s="42" t="n"/>
      <c r="AG365" s="42" t="n"/>
      <c r="AH365" s="42" t="n"/>
      <c r="AI365" s="15">
        <f>IF(COUNTA(T365:AH365)=0,"",SUM(T365:AH365))</f>
        <v/>
      </c>
      <c r="AJ365" s="21">
        <f>IF(COUNTA(T365:AH365)=0,"",AI365/(COUNT(KPI_Weights!$A$4:$A$18)*5))</f>
        <v/>
      </c>
      <c r="AK365" s="21">
        <f>IF(COUNTA(T365:AH365)=0,"",SUMPRODUCT(T365:AH365,KPI_Weights!$B$4:$B$18)/5)</f>
        <v/>
      </c>
      <c r="AL365" s="15">
        <f>IF(COUNTA(T365:AH365)=0,"",IF(SUMPRODUCT(--(T365:AH365&lt;=1),--(KPI_Weights!$C$4:$C$18="YES"))&gt;0,"YES","NO"))</f>
        <v/>
      </c>
      <c r="AM365" s="15">
        <f>IF(AJ365="","",IF(AND(AL365="NO",AJ365&gt;=0.75),"YES","NO"))</f>
        <v/>
      </c>
      <c r="AN365" s="15">
        <f>IF(AJ365="","",IF(AJ365&lt;0.4,"Critical",IF(AJ365&lt;0.6,"Poor",IF(AJ365&lt;0.75,"Needs Improvement",IF(AJ365&lt;0.9,"Good","Excellent")))))</f>
        <v/>
      </c>
      <c r="AO365" s="41" t="n"/>
      <c r="AP365" s="41" t="n"/>
      <c r="AQ365" s="41" t="n"/>
      <c r="AR365" s="41" t="n"/>
      <c r="AS365" s="41" t="n"/>
      <c r="AT365" s="44" t="n"/>
      <c r="AU365" s="41" t="n"/>
      <c r="AV365" s="43" t="n"/>
      <c r="AW365" s="41" t="n"/>
      <c r="AX365" s="44" t="n"/>
      <c r="AY365" s="44" t="n"/>
      <c r="AZ365" s="44" t="n"/>
      <c r="BA365" s="44" t="n"/>
      <c r="BB365" s="44" t="n"/>
      <c r="BC365" s="44" t="n"/>
      <c r="BD365" s="44" t="n"/>
      <c r="BE365" s="44" t="n"/>
      <c r="BF365" s="44" t="n"/>
    </row>
    <row r="366" ht="19.5" customHeight="1" s="45">
      <c r="A366" s="15">
        <f>IF($B366="","",TEXT($B366,"yyyymmdd")&amp;"-"&amp;SUBSTITUTE($F366," ","")&amp;"-"&amp;TEXT(COUNTIF($F$4:F366,$F366),"00"))</f>
        <v/>
      </c>
      <c r="B366" s="39" t="n"/>
      <c r="C366" s="15">
        <f>IF($B366="","",WEEKNUM($B366,2))</f>
        <v/>
      </c>
      <c r="D366" s="15">
        <f>IF($B366="","",TEXT($B366,"yyyy-mm"))</f>
        <v/>
      </c>
      <c r="E366" s="40" t="n"/>
      <c r="F366" s="40" t="n"/>
      <c r="G366" s="15">
        <f>IF(OR($E366="",$F366=""),"",IFERROR(IF($E366=INDEX(Cluster_Master!$A$4:$A$18,MATCH($F366,Cluster_Master!$B$4:$B$18,0)),"OK","CHECK"),"CHECK"))</f>
        <v/>
      </c>
      <c r="H366" s="18">
        <f>IFERROR(INDEX(Cluster_Master!$C$4:$C$18,MATCH($F366,Cluster_Master!$B$4:$B$18,0)),"")</f>
        <v/>
      </c>
      <c r="I366" s="15">
        <f>IFERROR(INDEX(Cluster_Master!$D$4:$D$18,MATCH($F366,Cluster_Master!$B$4:$B$18,0)),"")</f>
        <v/>
      </c>
      <c r="J366" s="15">
        <f>IFERROR(INDEX(Cluster_Master!$E$4:$E$18,MATCH($F366,Cluster_Master!$B$4:$B$18,0)),"")</f>
        <v/>
      </c>
      <c r="K366" s="15">
        <f>IFERROR(INDEX(Cluster_Master!$F$4:$F$18,MATCH($F366,Cluster_Master!$B$4:$B$18,0)),"")</f>
        <v/>
      </c>
      <c r="L366" s="15">
        <f>IFERROR(INDEX(Cluster_Master!$G$4:$G$18,MATCH($F366,Cluster_Master!$B$4:$B$18,0)),"")</f>
        <v/>
      </c>
      <c r="M366" s="15">
        <f>IFERROR(INDEX(Cluster_Master!$H$4:$H$18,MATCH($F366,Cluster_Master!$B$4:$B$18,0)),"")</f>
        <v/>
      </c>
      <c r="N366" s="41" t="n"/>
      <c r="O366" s="41" t="n"/>
      <c r="P366" s="41" t="n"/>
      <c r="Q366" s="41" t="n"/>
      <c r="R366" s="41" t="n"/>
      <c r="S366" s="41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2" t="n"/>
      <c r="AG366" s="42" t="n"/>
      <c r="AH366" s="42" t="n"/>
      <c r="AI366" s="15">
        <f>IF(COUNTA(T366:AH366)=0,"",SUM(T366:AH366))</f>
        <v/>
      </c>
      <c r="AJ366" s="21">
        <f>IF(COUNTA(T366:AH366)=0,"",AI366/(COUNT(KPI_Weights!$A$4:$A$18)*5))</f>
        <v/>
      </c>
      <c r="AK366" s="21">
        <f>IF(COUNTA(T366:AH366)=0,"",SUMPRODUCT(T366:AH366,KPI_Weights!$B$4:$B$18)/5)</f>
        <v/>
      </c>
      <c r="AL366" s="15">
        <f>IF(COUNTA(T366:AH366)=0,"",IF(SUMPRODUCT(--(T366:AH366&lt;=1),--(KPI_Weights!$C$4:$C$18="YES"))&gt;0,"YES","NO"))</f>
        <v/>
      </c>
      <c r="AM366" s="15">
        <f>IF(AJ366="","",IF(AND(AL366="NO",AJ366&gt;=0.75),"YES","NO"))</f>
        <v/>
      </c>
      <c r="AN366" s="15">
        <f>IF(AJ366="","",IF(AJ366&lt;0.4,"Critical",IF(AJ366&lt;0.6,"Poor",IF(AJ366&lt;0.75,"Needs Improvement",IF(AJ366&lt;0.9,"Good","Excellent")))))</f>
        <v/>
      </c>
      <c r="AO366" s="41" t="n"/>
      <c r="AP366" s="41" t="n"/>
      <c r="AQ366" s="41" t="n"/>
      <c r="AR366" s="41" t="n"/>
      <c r="AS366" s="41" t="n"/>
      <c r="AT366" s="44" t="n"/>
      <c r="AU366" s="41" t="n"/>
      <c r="AV366" s="43" t="n"/>
      <c r="AW366" s="41" t="n"/>
      <c r="AX366" s="44" t="n"/>
      <c r="AY366" s="44" t="n"/>
      <c r="AZ366" s="44" t="n"/>
      <c r="BA366" s="44" t="n"/>
      <c r="BB366" s="44" t="n"/>
      <c r="BC366" s="44" t="n"/>
      <c r="BD366" s="44" t="n"/>
      <c r="BE366" s="44" t="n"/>
      <c r="BF366" s="44" t="n"/>
    </row>
    <row r="367" ht="19.5" customHeight="1" s="45">
      <c r="A367" s="15">
        <f>IF($B367="","",TEXT($B367,"yyyymmdd")&amp;"-"&amp;SUBSTITUTE($F367," ","")&amp;"-"&amp;TEXT(COUNTIF($F$4:F367,$F367),"00"))</f>
        <v/>
      </c>
      <c r="B367" s="39" t="n"/>
      <c r="C367" s="15">
        <f>IF($B367="","",WEEKNUM($B367,2))</f>
        <v/>
      </c>
      <c r="D367" s="15">
        <f>IF($B367="","",TEXT($B367,"yyyy-mm"))</f>
        <v/>
      </c>
      <c r="E367" s="40" t="n"/>
      <c r="F367" s="40" t="n"/>
      <c r="G367" s="15">
        <f>IF(OR($E367="",$F367=""),"",IFERROR(IF($E367=INDEX(Cluster_Master!$A$4:$A$18,MATCH($F367,Cluster_Master!$B$4:$B$18,0)),"OK","CHECK"),"CHECK"))</f>
        <v/>
      </c>
      <c r="H367" s="18">
        <f>IFERROR(INDEX(Cluster_Master!$C$4:$C$18,MATCH($F367,Cluster_Master!$B$4:$B$18,0)),"")</f>
        <v/>
      </c>
      <c r="I367" s="15">
        <f>IFERROR(INDEX(Cluster_Master!$D$4:$D$18,MATCH($F367,Cluster_Master!$B$4:$B$18,0)),"")</f>
        <v/>
      </c>
      <c r="J367" s="15">
        <f>IFERROR(INDEX(Cluster_Master!$E$4:$E$18,MATCH($F367,Cluster_Master!$B$4:$B$18,0)),"")</f>
        <v/>
      </c>
      <c r="K367" s="15">
        <f>IFERROR(INDEX(Cluster_Master!$F$4:$F$18,MATCH($F367,Cluster_Master!$B$4:$B$18,0)),"")</f>
        <v/>
      </c>
      <c r="L367" s="15">
        <f>IFERROR(INDEX(Cluster_Master!$G$4:$G$18,MATCH($F367,Cluster_Master!$B$4:$B$18,0)),"")</f>
        <v/>
      </c>
      <c r="M367" s="15">
        <f>IFERROR(INDEX(Cluster_Master!$H$4:$H$18,MATCH($F367,Cluster_Master!$B$4:$B$18,0)),"")</f>
        <v/>
      </c>
      <c r="N367" s="41" t="n"/>
      <c r="O367" s="41" t="n"/>
      <c r="P367" s="41" t="n"/>
      <c r="Q367" s="41" t="n"/>
      <c r="R367" s="41" t="n"/>
      <c r="S367" s="41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2" t="n"/>
      <c r="AE367" s="42" t="n"/>
      <c r="AF367" s="42" t="n"/>
      <c r="AG367" s="42" t="n"/>
      <c r="AH367" s="42" t="n"/>
      <c r="AI367" s="15">
        <f>IF(COUNTA(T367:AH367)=0,"",SUM(T367:AH367))</f>
        <v/>
      </c>
      <c r="AJ367" s="21">
        <f>IF(COUNTA(T367:AH367)=0,"",AI367/(COUNT(KPI_Weights!$A$4:$A$18)*5))</f>
        <v/>
      </c>
      <c r="AK367" s="21">
        <f>IF(COUNTA(T367:AH367)=0,"",SUMPRODUCT(T367:AH367,KPI_Weights!$B$4:$B$18)/5)</f>
        <v/>
      </c>
      <c r="AL367" s="15">
        <f>IF(COUNTA(T367:AH367)=0,"",IF(SUMPRODUCT(--(T367:AH367&lt;=1),--(KPI_Weights!$C$4:$C$18="YES"))&gt;0,"YES","NO"))</f>
        <v/>
      </c>
      <c r="AM367" s="15">
        <f>IF(AJ367="","",IF(AND(AL367="NO",AJ367&gt;=0.75),"YES","NO"))</f>
        <v/>
      </c>
      <c r="AN367" s="15">
        <f>IF(AJ367="","",IF(AJ367&lt;0.4,"Critical",IF(AJ367&lt;0.6,"Poor",IF(AJ367&lt;0.75,"Needs Improvement",IF(AJ367&lt;0.9,"Good","Excellent")))))</f>
        <v/>
      </c>
      <c r="AO367" s="41" t="n"/>
      <c r="AP367" s="41" t="n"/>
      <c r="AQ367" s="41" t="n"/>
      <c r="AR367" s="41" t="n"/>
      <c r="AS367" s="41" t="n"/>
      <c r="AT367" s="44" t="n"/>
      <c r="AU367" s="41" t="n"/>
      <c r="AV367" s="43" t="n"/>
      <c r="AW367" s="41" t="n"/>
      <c r="AX367" s="44" t="n"/>
      <c r="AY367" s="44" t="n"/>
      <c r="AZ367" s="44" t="n"/>
      <c r="BA367" s="44" t="n"/>
      <c r="BB367" s="44" t="n"/>
      <c r="BC367" s="44" t="n"/>
      <c r="BD367" s="44" t="n"/>
      <c r="BE367" s="44" t="n"/>
      <c r="BF367" s="44" t="n"/>
    </row>
    <row r="368" ht="19.5" customHeight="1" s="45">
      <c r="A368" s="15">
        <f>IF($B368="","",TEXT($B368,"yyyymmdd")&amp;"-"&amp;SUBSTITUTE($F368," ","")&amp;"-"&amp;TEXT(COUNTIF($F$4:F368,$F368),"00"))</f>
        <v/>
      </c>
      <c r="B368" s="39" t="n"/>
      <c r="C368" s="15">
        <f>IF($B368="","",WEEKNUM($B368,2))</f>
        <v/>
      </c>
      <c r="D368" s="15">
        <f>IF($B368="","",TEXT($B368,"yyyy-mm"))</f>
        <v/>
      </c>
      <c r="E368" s="40" t="n"/>
      <c r="F368" s="40" t="n"/>
      <c r="G368" s="15">
        <f>IF(OR($E368="",$F368=""),"",IFERROR(IF($E368=INDEX(Cluster_Master!$A$4:$A$18,MATCH($F368,Cluster_Master!$B$4:$B$18,0)),"OK","CHECK"),"CHECK"))</f>
        <v/>
      </c>
      <c r="H368" s="18">
        <f>IFERROR(INDEX(Cluster_Master!$C$4:$C$18,MATCH($F368,Cluster_Master!$B$4:$B$18,0)),"")</f>
        <v/>
      </c>
      <c r="I368" s="15">
        <f>IFERROR(INDEX(Cluster_Master!$D$4:$D$18,MATCH($F368,Cluster_Master!$B$4:$B$18,0)),"")</f>
        <v/>
      </c>
      <c r="J368" s="15">
        <f>IFERROR(INDEX(Cluster_Master!$E$4:$E$18,MATCH($F368,Cluster_Master!$B$4:$B$18,0)),"")</f>
        <v/>
      </c>
      <c r="K368" s="15">
        <f>IFERROR(INDEX(Cluster_Master!$F$4:$F$18,MATCH($F368,Cluster_Master!$B$4:$B$18,0)),"")</f>
        <v/>
      </c>
      <c r="L368" s="15">
        <f>IFERROR(INDEX(Cluster_Master!$G$4:$G$18,MATCH($F368,Cluster_Master!$B$4:$B$18,0)),"")</f>
        <v/>
      </c>
      <c r="M368" s="15">
        <f>IFERROR(INDEX(Cluster_Master!$H$4:$H$18,MATCH($F368,Cluster_Master!$B$4:$B$18,0)),"")</f>
        <v/>
      </c>
      <c r="N368" s="41" t="n"/>
      <c r="O368" s="41" t="n"/>
      <c r="P368" s="41" t="n"/>
      <c r="Q368" s="41" t="n"/>
      <c r="R368" s="41" t="n"/>
      <c r="S368" s="41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2" t="n"/>
      <c r="AG368" s="42" t="n"/>
      <c r="AH368" s="42" t="n"/>
      <c r="AI368" s="15">
        <f>IF(COUNTA(T368:AH368)=0,"",SUM(T368:AH368))</f>
        <v/>
      </c>
      <c r="AJ368" s="21">
        <f>IF(COUNTA(T368:AH368)=0,"",AI368/(COUNT(KPI_Weights!$A$4:$A$18)*5))</f>
        <v/>
      </c>
      <c r="AK368" s="21">
        <f>IF(COUNTA(T368:AH368)=0,"",SUMPRODUCT(T368:AH368,KPI_Weights!$B$4:$B$18)/5)</f>
        <v/>
      </c>
      <c r="AL368" s="15">
        <f>IF(COUNTA(T368:AH368)=0,"",IF(SUMPRODUCT(--(T368:AH368&lt;=1),--(KPI_Weights!$C$4:$C$18="YES"))&gt;0,"YES","NO"))</f>
        <v/>
      </c>
      <c r="AM368" s="15">
        <f>IF(AJ368="","",IF(AND(AL368="NO",AJ368&gt;=0.75),"YES","NO"))</f>
        <v/>
      </c>
      <c r="AN368" s="15">
        <f>IF(AJ368="","",IF(AJ368&lt;0.4,"Critical",IF(AJ368&lt;0.6,"Poor",IF(AJ368&lt;0.75,"Needs Improvement",IF(AJ368&lt;0.9,"Good","Excellent")))))</f>
        <v/>
      </c>
      <c r="AO368" s="41" t="n"/>
      <c r="AP368" s="41" t="n"/>
      <c r="AQ368" s="41" t="n"/>
      <c r="AR368" s="41" t="n"/>
      <c r="AS368" s="41" t="n"/>
      <c r="AT368" s="44" t="n"/>
      <c r="AU368" s="41" t="n"/>
      <c r="AV368" s="43" t="n"/>
      <c r="AW368" s="41" t="n"/>
      <c r="AX368" s="44" t="n"/>
      <c r="AY368" s="44" t="n"/>
      <c r="AZ368" s="44" t="n"/>
      <c r="BA368" s="44" t="n"/>
      <c r="BB368" s="44" t="n"/>
      <c r="BC368" s="44" t="n"/>
      <c r="BD368" s="44" t="n"/>
      <c r="BE368" s="44" t="n"/>
      <c r="BF368" s="44" t="n"/>
    </row>
    <row r="369" ht="19.5" customHeight="1" s="45">
      <c r="A369" s="15">
        <f>IF($B369="","",TEXT($B369,"yyyymmdd")&amp;"-"&amp;SUBSTITUTE($F369," ","")&amp;"-"&amp;TEXT(COUNTIF($F$4:F369,$F369),"00"))</f>
        <v/>
      </c>
      <c r="B369" s="39" t="n"/>
      <c r="C369" s="15">
        <f>IF($B369="","",WEEKNUM($B369,2))</f>
        <v/>
      </c>
      <c r="D369" s="15">
        <f>IF($B369="","",TEXT($B369,"yyyy-mm"))</f>
        <v/>
      </c>
      <c r="E369" s="40" t="n"/>
      <c r="F369" s="40" t="n"/>
      <c r="G369" s="15">
        <f>IF(OR($E369="",$F369=""),"",IFERROR(IF($E369=INDEX(Cluster_Master!$A$4:$A$18,MATCH($F369,Cluster_Master!$B$4:$B$18,0)),"OK","CHECK"),"CHECK"))</f>
        <v/>
      </c>
      <c r="H369" s="18">
        <f>IFERROR(INDEX(Cluster_Master!$C$4:$C$18,MATCH($F369,Cluster_Master!$B$4:$B$18,0)),"")</f>
        <v/>
      </c>
      <c r="I369" s="15">
        <f>IFERROR(INDEX(Cluster_Master!$D$4:$D$18,MATCH($F369,Cluster_Master!$B$4:$B$18,0)),"")</f>
        <v/>
      </c>
      <c r="J369" s="15">
        <f>IFERROR(INDEX(Cluster_Master!$E$4:$E$18,MATCH($F369,Cluster_Master!$B$4:$B$18,0)),"")</f>
        <v/>
      </c>
      <c r="K369" s="15">
        <f>IFERROR(INDEX(Cluster_Master!$F$4:$F$18,MATCH($F369,Cluster_Master!$B$4:$B$18,0)),"")</f>
        <v/>
      </c>
      <c r="L369" s="15">
        <f>IFERROR(INDEX(Cluster_Master!$G$4:$G$18,MATCH($F369,Cluster_Master!$B$4:$B$18,0)),"")</f>
        <v/>
      </c>
      <c r="M369" s="15">
        <f>IFERROR(INDEX(Cluster_Master!$H$4:$H$18,MATCH($F369,Cluster_Master!$B$4:$B$18,0)),"")</f>
        <v/>
      </c>
      <c r="N369" s="41" t="n"/>
      <c r="O369" s="41" t="n"/>
      <c r="P369" s="41" t="n"/>
      <c r="Q369" s="41" t="n"/>
      <c r="R369" s="41" t="n"/>
      <c r="S369" s="41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E369" s="42" t="n"/>
      <c r="AF369" s="42" t="n"/>
      <c r="AG369" s="42" t="n"/>
      <c r="AH369" s="42" t="n"/>
      <c r="AI369" s="15">
        <f>IF(COUNTA(T369:AH369)=0,"",SUM(T369:AH369))</f>
        <v/>
      </c>
      <c r="AJ369" s="21">
        <f>IF(COUNTA(T369:AH369)=0,"",AI369/(COUNT(KPI_Weights!$A$4:$A$18)*5))</f>
        <v/>
      </c>
      <c r="AK369" s="21">
        <f>IF(COUNTA(T369:AH369)=0,"",SUMPRODUCT(T369:AH369,KPI_Weights!$B$4:$B$18)/5)</f>
        <v/>
      </c>
      <c r="AL369" s="15">
        <f>IF(COUNTA(T369:AH369)=0,"",IF(SUMPRODUCT(--(T369:AH369&lt;=1),--(KPI_Weights!$C$4:$C$18="YES"))&gt;0,"YES","NO"))</f>
        <v/>
      </c>
      <c r="AM369" s="15">
        <f>IF(AJ369="","",IF(AND(AL369="NO",AJ369&gt;=0.75),"YES","NO"))</f>
        <v/>
      </c>
      <c r="AN369" s="15">
        <f>IF(AJ369="","",IF(AJ369&lt;0.4,"Critical",IF(AJ369&lt;0.6,"Poor",IF(AJ369&lt;0.75,"Needs Improvement",IF(AJ369&lt;0.9,"Good","Excellent")))))</f>
        <v/>
      </c>
      <c r="AO369" s="41" t="n"/>
      <c r="AP369" s="41" t="n"/>
      <c r="AQ369" s="41" t="n"/>
      <c r="AR369" s="41" t="n"/>
      <c r="AS369" s="41" t="n"/>
      <c r="AT369" s="44" t="n"/>
      <c r="AU369" s="41" t="n"/>
      <c r="AV369" s="43" t="n"/>
      <c r="AW369" s="41" t="n"/>
      <c r="AX369" s="44" t="n"/>
      <c r="AY369" s="44" t="n"/>
      <c r="AZ369" s="44" t="n"/>
      <c r="BA369" s="44" t="n"/>
      <c r="BB369" s="44" t="n"/>
      <c r="BC369" s="44" t="n"/>
      <c r="BD369" s="44" t="n"/>
      <c r="BE369" s="44" t="n"/>
      <c r="BF369" s="44" t="n"/>
    </row>
    <row r="370" ht="19.5" customHeight="1" s="45">
      <c r="A370" s="15">
        <f>IF($B370="","",TEXT($B370,"yyyymmdd")&amp;"-"&amp;SUBSTITUTE($F370," ","")&amp;"-"&amp;TEXT(COUNTIF($F$4:F370,$F370),"00"))</f>
        <v/>
      </c>
      <c r="B370" s="39" t="n"/>
      <c r="C370" s="15">
        <f>IF($B370="","",WEEKNUM($B370,2))</f>
        <v/>
      </c>
      <c r="D370" s="15">
        <f>IF($B370="","",TEXT($B370,"yyyy-mm"))</f>
        <v/>
      </c>
      <c r="E370" s="40" t="n"/>
      <c r="F370" s="40" t="n"/>
      <c r="G370" s="15">
        <f>IF(OR($E370="",$F370=""),"",IFERROR(IF($E370=INDEX(Cluster_Master!$A$4:$A$18,MATCH($F370,Cluster_Master!$B$4:$B$18,0)),"OK","CHECK"),"CHECK"))</f>
        <v/>
      </c>
      <c r="H370" s="18">
        <f>IFERROR(INDEX(Cluster_Master!$C$4:$C$18,MATCH($F370,Cluster_Master!$B$4:$B$18,0)),"")</f>
        <v/>
      </c>
      <c r="I370" s="15">
        <f>IFERROR(INDEX(Cluster_Master!$D$4:$D$18,MATCH($F370,Cluster_Master!$B$4:$B$18,0)),"")</f>
        <v/>
      </c>
      <c r="J370" s="15">
        <f>IFERROR(INDEX(Cluster_Master!$E$4:$E$18,MATCH($F370,Cluster_Master!$B$4:$B$18,0)),"")</f>
        <v/>
      </c>
      <c r="K370" s="15">
        <f>IFERROR(INDEX(Cluster_Master!$F$4:$F$18,MATCH($F370,Cluster_Master!$B$4:$B$18,0)),"")</f>
        <v/>
      </c>
      <c r="L370" s="15">
        <f>IFERROR(INDEX(Cluster_Master!$G$4:$G$18,MATCH($F370,Cluster_Master!$B$4:$B$18,0)),"")</f>
        <v/>
      </c>
      <c r="M370" s="15">
        <f>IFERROR(INDEX(Cluster_Master!$H$4:$H$18,MATCH($F370,Cluster_Master!$B$4:$B$18,0)),"")</f>
        <v/>
      </c>
      <c r="N370" s="41" t="n"/>
      <c r="O370" s="41" t="n"/>
      <c r="P370" s="41" t="n"/>
      <c r="Q370" s="41" t="n"/>
      <c r="R370" s="41" t="n"/>
      <c r="S370" s="41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2" t="n"/>
      <c r="AG370" s="42" t="n"/>
      <c r="AH370" s="42" t="n"/>
      <c r="AI370" s="15">
        <f>IF(COUNTA(T370:AH370)=0,"",SUM(T370:AH370))</f>
        <v/>
      </c>
      <c r="AJ370" s="21">
        <f>IF(COUNTA(T370:AH370)=0,"",AI370/(COUNT(KPI_Weights!$A$4:$A$18)*5))</f>
        <v/>
      </c>
      <c r="AK370" s="21">
        <f>IF(COUNTA(T370:AH370)=0,"",SUMPRODUCT(T370:AH370,KPI_Weights!$B$4:$B$18)/5)</f>
        <v/>
      </c>
      <c r="AL370" s="15">
        <f>IF(COUNTA(T370:AH370)=0,"",IF(SUMPRODUCT(--(T370:AH370&lt;=1),--(KPI_Weights!$C$4:$C$18="YES"))&gt;0,"YES","NO"))</f>
        <v/>
      </c>
      <c r="AM370" s="15">
        <f>IF(AJ370="","",IF(AND(AL370="NO",AJ370&gt;=0.75),"YES","NO"))</f>
        <v/>
      </c>
      <c r="AN370" s="15">
        <f>IF(AJ370="","",IF(AJ370&lt;0.4,"Critical",IF(AJ370&lt;0.6,"Poor",IF(AJ370&lt;0.75,"Needs Improvement",IF(AJ370&lt;0.9,"Good","Excellent")))))</f>
        <v/>
      </c>
      <c r="AO370" s="41" t="n"/>
      <c r="AP370" s="41" t="n"/>
      <c r="AQ370" s="41" t="n"/>
      <c r="AR370" s="41" t="n"/>
      <c r="AS370" s="41" t="n"/>
      <c r="AT370" s="44" t="n"/>
      <c r="AU370" s="41" t="n"/>
      <c r="AV370" s="43" t="n"/>
      <c r="AW370" s="41" t="n"/>
      <c r="AX370" s="44" t="n"/>
      <c r="AY370" s="44" t="n"/>
      <c r="AZ370" s="44" t="n"/>
      <c r="BA370" s="44" t="n"/>
      <c r="BB370" s="44" t="n"/>
      <c r="BC370" s="44" t="n"/>
      <c r="BD370" s="44" t="n"/>
      <c r="BE370" s="44" t="n"/>
      <c r="BF370" s="44" t="n"/>
    </row>
    <row r="371" ht="19.5" customHeight="1" s="45">
      <c r="A371" s="15">
        <f>IF($B371="","",TEXT($B371,"yyyymmdd")&amp;"-"&amp;SUBSTITUTE($F371," ","")&amp;"-"&amp;TEXT(COUNTIF($F$4:F371,$F371),"00"))</f>
        <v/>
      </c>
      <c r="B371" s="39" t="n"/>
      <c r="C371" s="15">
        <f>IF($B371="","",WEEKNUM($B371,2))</f>
        <v/>
      </c>
      <c r="D371" s="15">
        <f>IF($B371="","",TEXT($B371,"yyyy-mm"))</f>
        <v/>
      </c>
      <c r="E371" s="40" t="n"/>
      <c r="F371" s="40" t="n"/>
      <c r="G371" s="15">
        <f>IF(OR($E371="",$F371=""),"",IFERROR(IF($E371=INDEX(Cluster_Master!$A$4:$A$18,MATCH($F371,Cluster_Master!$B$4:$B$18,0)),"OK","CHECK"),"CHECK"))</f>
        <v/>
      </c>
      <c r="H371" s="18">
        <f>IFERROR(INDEX(Cluster_Master!$C$4:$C$18,MATCH($F371,Cluster_Master!$B$4:$B$18,0)),"")</f>
        <v/>
      </c>
      <c r="I371" s="15">
        <f>IFERROR(INDEX(Cluster_Master!$D$4:$D$18,MATCH($F371,Cluster_Master!$B$4:$B$18,0)),"")</f>
        <v/>
      </c>
      <c r="J371" s="15">
        <f>IFERROR(INDEX(Cluster_Master!$E$4:$E$18,MATCH($F371,Cluster_Master!$B$4:$B$18,0)),"")</f>
        <v/>
      </c>
      <c r="K371" s="15">
        <f>IFERROR(INDEX(Cluster_Master!$F$4:$F$18,MATCH($F371,Cluster_Master!$B$4:$B$18,0)),"")</f>
        <v/>
      </c>
      <c r="L371" s="15">
        <f>IFERROR(INDEX(Cluster_Master!$G$4:$G$18,MATCH($F371,Cluster_Master!$B$4:$B$18,0)),"")</f>
        <v/>
      </c>
      <c r="M371" s="15">
        <f>IFERROR(INDEX(Cluster_Master!$H$4:$H$18,MATCH($F371,Cluster_Master!$B$4:$B$18,0)),"")</f>
        <v/>
      </c>
      <c r="N371" s="41" t="n"/>
      <c r="O371" s="41" t="n"/>
      <c r="P371" s="41" t="n"/>
      <c r="Q371" s="41" t="n"/>
      <c r="R371" s="41" t="n"/>
      <c r="S371" s="41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2" t="n"/>
      <c r="AE371" s="42" t="n"/>
      <c r="AF371" s="42" t="n"/>
      <c r="AG371" s="42" t="n"/>
      <c r="AH371" s="42" t="n"/>
      <c r="AI371" s="15">
        <f>IF(COUNTA(T371:AH371)=0,"",SUM(T371:AH371))</f>
        <v/>
      </c>
      <c r="AJ371" s="21">
        <f>IF(COUNTA(T371:AH371)=0,"",AI371/(COUNT(KPI_Weights!$A$4:$A$18)*5))</f>
        <v/>
      </c>
      <c r="AK371" s="21">
        <f>IF(COUNTA(T371:AH371)=0,"",SUMPRODUCT(T371:AH371,KPI_Weights!$B$4:$B$18)/5)</f>
        <v/>
      </c>
      <c r="AL371" s="15">
        <f>IF(COUNTA(T371:AH371)=0,"",IF(SUMPRODUCT(--(T371:AH371&lt;=1),--(KPI_Weights!$C$4:$C$18="YES"))&gt;0,"YES","NO"))</f>
        <v/>
      </c>
      <c r="AM371" s="15">
        <f>IF(AJ371="","",IF(AND(AL371="NO",AJ371&gt;=0.75),"YES","NO"))</f>
        <v/>
      </c>
      <c r="AN371" s="15">
        <f>IF(AJ371="","",IF(AJ371&lt;0.4,"Critical",IF(AJ371&lt;0.6,"Poor",IF(AJ371&lt;0.75,"Needs Improvement",IF(AJ371&lt;0.9,"Good","Excellent")))))</f>
        <v/>
      </c>
      <c r="AO371" s="41" t="n"/>
      <c r="AP371" s="41" t="n"/>
      <c r="AQ371" s="41" t="n"/>
      <c r="AR371" s="41" t="n"/>
      <c r="AS371" s="41" t="n"/>
      <c r="AT371" s="44" t="n"/>
      <c r="AU371" s="41" t="n"/>
      <c r="AV371" s="43" t="n"/>
      <c r="AW371" s="41" t="n"/>
      <c r="AX371" s="44" t="n"/>
      <c r="AY371" s="44" t="n"/>
      <c r="AZ371" s="44" t="n"/>
      <c r="BA371" s="44" t="n"/>
      <c r="BB371" s="44" t="n"/>
      <c r="BC371" s="44" t="n"/>
      <c r="BD371" s="44" t="n"/>
      <c r="BE371" s="44" t="n"/>
      <c r="BF371" s="44" t="n"/>
    </row>
    <row r="372" ht="19.5" customHeight="1" s="45">
      <c r="A372" s="15">
        <f>IF($B372="","",TEXT($B372,"yyyymmdd")&amp;"-"&amp;SUBSTITUTE($F372," ","")&amp;"-"&amp;TEXT(COUNTIF($F$4:F372,$F372),"00"))</f>
        <v/>
      </c>
      <c r="B372" s="39" t="n"/>
      <c r="C372" s="15">
        <f>IF($B372="","",WEEKNUM($B372,2))</f>
        <v/>
      </c>
      <c r="D372" s="15">
        <f>IF($B372="","",TEXT($B372,"yyyy-mm"))</f>
        <v/>
      </c>
      <c r="E372" s="40" t="n"/>
      <c r="F372" s="40" t="n"/>
      <c r="G372" s="15">
        <f>IF(OR($E372="",$F372=""),"",IFERROR(IF($E372=INDEX(Cluster_Master!$A$4:$A$18,MATCH($F372,Cluster_Master!$B$4:$B$18,0)),"OK","CHECK"),"CHECK"))</f>
        <v/>
      </c>
      <c r="H372" s="18">
        <f>IFERROR(INDEX(Cluster_Master!$C$4:$C$18,MATCH($F372,Cluster_Master!$B$4:$B$18,0)),"")</f>
        <v/>
      </c>
      <c r="I372" s="15">
        <f>IFERROR(INDEX(Cluster_Master!$D$4:$D$18,MATCH($F372,Cluster_Master!$B$4:$B$18,0)),"")</f>
        <v/>
      </c>
      <c r="J372" s="15">
        <f>IFERROR(INDEX(Cluster_Master!$E$4:$E$18,MATCH($F372,Cluster_Master!$B$4:$B$18,0)),"")</f>
        <v/>
      </c>
      <c r="K372" s="15">
        <f>IFERROR(INDEX(Cluster_Master!$F$4:$F$18,MATCH($F372,Cluster_Master!$B$4:$B$18,0)),"")</f>
        <v/>
      </c>
      <c r="L372" s="15">
        <f>IFERROR(INDEX(Cluster_Master!$G$4:$G$18,MATCH($F372,Cluster_Master!$B$4:$B$18,0)),"")</f>
        <v/>
      </c>
      <c r="M372" s="15">
        <f>IFERROR(INDEX(Cluster_Master!$H$4:$H$18,MATCH($F372,Cluster_Master!$B$4:$B$18,0)),"")</f>
        <v/>
      </c>
      <c r="N372" s="41" t="n"/>
      <c r="O372" s="41" t="n"/>
      <c r="P372" s="41" t="n"/>
      <c r="Q372" s="41" t="n"/>
      <c r="R372" s="41" t="n"/>
      <c r="S372" s="41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2" t="n"/>
      <c r="AG372" s="42" t="n"/>
      <c r="AH372" s="42" t="n"/>
      <c r="AI372" s="15">
        <f>IF(COUNTA(T372:AH372)=0,"",SUM(T372:AH372))</f>
        <v/>
      </c>
      <c r="AJ372" s="21">
        <f>IF(COUNTA(T372:AH372)=0,"",AI372/(COUNT(KPI_Weights!$A$4:$A$18)*5))</f>
        <v/>
      </c>
      <c r="AK372" s="21">
        <f>IF(COUNTA(T372:AH372)=0,"",SUMPRODUCT(T372:AH372,KPI_Weights!$B$4:$B$18)/5)</f>
        <v/>
      </c>
      <c r="AL372" s="15">
        <f>IF(COUNTA(T372:AH372)=0,"",IF(SUMPRODUCT(--(T372:AH372&lt;=1),--(KPI_Weights!$C$4:$C$18="YES"))&gt;0,"YES","NO"))</f>
        <v/>
      </c>
      <c r="AM372" s="15">
        <f>IF(AJ372="","",IF(AND(AL372="NO",AJ372&gt;=0.75),"YES","NO"))</f>
        <v/>
      </c>
      <c r="AN372" s="15">
        <f>IF(AJ372="","",IF(AJ372&lt;0.4,"Critical",IF(AJ372&lt;0.6,"Poor",IF(AJ372&lt;0.75,"Needs Improvement",IF(AJ372&lt;0.9,"Good","Excellent")))))</f>
        <v/>
      </c>
      <c r="AO372" s="41" t="n"/>
      <c r="AP372" s="41" t="n"/>
      <c r="AQ372" s="41" t="n"/>
      <c r="AR372" s="41" t="n"/>
      <c r="AS372" s="41" t="n"/>
      <c r="AT372" s="44" t="n"/>
      <c r="AU372" s="41" t="n"/>
      <c r="AV372" s="43" t="n"/>
      <c r="AW372" s="41" t="n"/>
      <c r="AX372" s="44" t="n"/>
      <c r="AY372" s="44" t="n"/>
      <c r="AZ372" s="44" t="n"/>
      <c r="BA372" s="44" t="n"/>
      <c r="BB372" s="44" t="n"/>
      <c r="BC372" s="44" t="n"/>
      <c r="BD372" s="44" t="n"/>
      <c r="BE372" s="44" t="n"/>
      <c r="BF372" s="44" t="n"/>
    </row>
    <row r="373" ht="19.5" customHeight="1" s="45">
      <c r="A373" s="15">
        <f>IF($B373="","",TEXT($B373,"yyyymmdd")&amp;"-"&amp;SUBSTITUTE($F373," ","")&amp;"-"&amp;TEXT(COUNTIF($F$4:F373,$F373),"00"))</f>
        <v/>
      </c>
      <c r="B373" s="39" t="n"/>
      <c r="C373" s="15">
        <f>IF($B373="","",WEEKNUM($B373,2))</f>
        <v/>
      </c>
      <c r="D373" s="15">
        <f>IF($B373="","",TEXT($B373,"yyyy-mm"))</f>
        <v/>
      </c>
      <c r="E373" s="40" t="n"/>
      <c r="F373" s="40" t="n"/>
      <c r="G373" s="15">
        <f>IF(OR($E373="",$F373=""),"",IFERROR(IF($E373=INDEX(Cluster_Master!$A$4:$A$18,MATCH($F373,Cluster_Master!$B$4:$B$18,0)),"OK","CHECK"),"CHECK"))</f>
        <v/>
      </c>
      <c r="H373" s="18">
        <f>IFERROR(INDEX(Cluster_Master!$C$4:$C$18,MATCH($F373,Cluster_Master!$B$4:$B$18,0)),"")</f>
        <v/>
      </c>
      <c r="I373" s="15">
        <f>IFERROR(INDEX(Cluster_Master!$D$4:$D$18,MATCH($F373,Cluster_Master!$B$4:$B$18,0)),"")</f>
        <v/>
      </c>
      <c r="J373" s="15">
        <f>IFERROR(INDEX(Cluster_Master!$E$4:$E$18,MATCH($F373,Cluster_Master!$B$4:$B$18,0)),"")</f>
        <v/>
      </c>
      <c r="K373" s="15">
        <f>IFERROR(INDEX(Cluster_Master!$F$4:$F$18,MATCH($F373,Cluster_Master!$B$4:$B$18,0)),"")</f>
        <v/>
      </c>
      <c r="L373" s="15">
        <f>IFERROR(INDEX(Cluster_Master!$G$4:$G$18,MATCH($F373,Cluster_Master!$B$4:$B$18,0)),"")</f>
        <v/>
      </c>
      <c r="M373" s="15">
        <f>IFERROR(INDEX(Cluster_Master!$H$4:$H$18,MATCH($F373,Cluster_Master!$B$4:$B$18,0)),"")</f>
        <v/>
      </c>
      <c r="N373" s="41" t="n"/>
      <c r="O373" s="41" t="n"/>
      <c r="P373" s="41" t="n"/>
      <c r="Q373" s="41" t="n"/>
      <c r="R373" s="41" t="n"/>
      <c r="S373" s="41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2" t="n"/>
      <c r="AE373" s="42" t="n"/>
      <c r="AF373" s="42" t="n"/>
      <c r="AG373" s="42" t="n"/>
      <c r="AH373" s="42" t="n"/>
      <c r="AI373" s="15">
        <f>IF(COUNTA(T373:AH373)=0,"",SUM(T373:AH373))</f>
        <v/>
      </c>
      <c r="AJ373" s="21">
        <f>IF(COUNTA(T373:AH373)=0,"",AI373/(COUNT(KPI_Weights!$A$4:$A$18)*5))</f>
        <v/>
      </c>
      <c r="AK373" s="21">
        <f>IF(COUNTA(T373:AH373)=0,"",SUMPRODUCT(T373:AH373,KPI_Weights!$B$4:$B$18)/5)</f>
        <v/>
      </c>
      <c r="AL373" s="15">
        <f>IF(COUNTA(T373:AH373)=0,"",IF(SUMPRODUCT(--(T373:AH373&lt;=1),--(KPI_Weights!$C$4:$C$18="YES"))&gt;0,"YES","NO"))</f>
        <v/>
      </c>
      <c r="AM373" s="15">
        <f>IF(AJ373="","",IF(AND(AL373="NO",AJ373&gt;=0.75),"YES","NO"))</f>
        <v/>
      </c>
      <c r="AN373" s="15">
        <f>IF(AJ373="","",IF(AJ373&lt;0.4,"Critical",IF(AJ373&lt;0.6,"Poor",IF(AJ373&lt;0.75,"Needs Improvement",IF(AJ373&lt;0.9,"Good","Excellent")))))</f>
        <v/>
      </c>
      <c r="AO373" s="41" t="n"/>
      <c r="AP373" s="41" t="n"/>
      <c r="AQ373" s="41" t="n"/>
      <c r="AR373" s="41" t="n"/>
      <c r="AS373" s="41" t="n"/>
      <c r="AT373" s="44" t="n"/>
      <c r="AU373" s="41" t="n"/>
      <c r="AV373" s="43" t="n"/>
      <c r="AW373" s="41" t="n"/>
      <c r="AX373" s="44" t="n"/>
      <c r="AY373" s="44" t="n"/>
      <c r="AZ373" s="44" t="n"/>
      <c r="BA373" s="44" t="n"/>
      <c r="BB373" s="44" t="n"/>
      <c r="BC373" s="44" t="n"/>
      <c r="BD373" s="44" t="n"/>
      <c r="BE373" s="44" t="n"/>
      <c r="BF373" s="44" t="n"/>
    </row>
    <row r="374" ht="19.5" customHeight="1" s="45">
      <c r="A374" s="15">
        <f>IF($B374="","",TEXT($B374,"yyyymmdd")&amp;"-"&amp;SUBSTITUTE($F374," ","")&amp;"-"&amp;TEXT(COUNTIF($F$4:F374,$F374),"00"))</f>
        <v/>
      </c>
      <c r="B374" s="39" t="n"/>
      <c r="C374" s="15">
        <f>IF($B374="","",WEEKNUM($B374,2))</f>
        <v/>
      </c>
      <c r="D374" s="15">
        <f>IF($B374="","",TEXT($B374,"yyyy-mm"))</f>
        <v/>
      </c>
      <c r="E374" s="40" t="n"/>
      <c r="F374" s="40" t="n"/>
      <c r="G374" s="15">
        <f>IF(OR($E374="",$F374=""),"",IFERROR(IF($E374=INDEX(Cluster_Master!$A$4:$A$18,MATCH($F374,Cluster_Master!$B$4:$B$18,0)),"OK","CHECK"),"CHECK"))</f>
        <v/>
      </c>
      <c r="H374" s="18">
        <f>IFERROR(INDEX(Cluster_Master!$C$4:$C$18,MATCH($F374,Cluster_Master!$B$4:$B$18,0)),"")</f>
        <v/>
      </c>
      <c r="I374" s="15">
        <f>IFERROR(INDEX(Cluster_Master!$D$4:$D$18,MATCH($F374,Cluster_Master!$B$4:$B$18,0)),"")</f>
        <v/>
      </c>
      <c r="J374" s="15">
        <f>IFERROR(INDEX(Cluster_Master!$E$4:$E$18,MATCH($F374,Cluster_Master!$B$4:$B$18,0)),"")</f>
        <v/>
      </c>
      <c r="K374" s="15">
        <f>IFERROR(INDEX(Cluster_Master!$F$4:$F$18,MATCH($F374,Cluster_Master!$B$4:$B$18,0)),"")</f>
        <v/>
      </c>
      <c r="L374" s="15">
        <f>IFERROR(INDEX(Cluster_Master!$G$4:$G$18,MATCH($F374,Cluster_Master!$B$4:$B$18,0)),"")</f>
        <v/>
      </c>
      <c r="M374" s="15">
        <f>IFERROR(INDEX(Cluster_Master!$H$4:$H$18,MATCH($F374,Cluster_Master!$B$4:$B$18,0)),"")</f>
        <v/>
      </c>
      <c r="N374" s="41" t="n"/>
      <c r="O374" s="41" t="n"/>
      <c r="P374" s="41" t="n"/>
      <c r="Q374" s="41" t="n"/>
      <c r="R374" s="41" t="n"/>
      <c r="S374" s="41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2" t="n"/>
      <c r="AG374" s="42" t="n"/>
      <c r="AH374" s="42" t="n"/>
      <c r="AI374" s="15">
        <f>IF(COUNTA(T374:AH374)=0,"",SUM(T374:AH374))</f>
        <v/>
      </c>
      <c r="AJ374" s="21">
        <f>IF(COUNTA(T374:AH374)=0,"",AI374/(COUNT(KPI_Weights!$A$4:$A$18)*5))</f>
        <v/>
      </c>
      <c r="AK374" s="21">
        <f>IF(COUNTA(T374:AH374)=0,"",SUMPRODUCT(T374:AH374,KPI_Weights!$B$4:$B$18)/5)</f>
        <v/>
      </c>
      <c r="AL374" s="15">
        <f>IF(COUNTA(T374:AH374)=0,"",IF(SUMPRODUCT(--(T374:AH374&lt;=1),--(KPI_Weights!$C$4:$C$18="YES"))&gt;0,"YES","NO"))</f>
        <v/>
      </c>
      <c r="AM374" s="15">
        <f>IF(AJ374="","",IF(AND(AL374="NO",AJ374&gt;=0.75),"YES","NO"))</f>
        <v/>
      </c>
      <c r="AN374" s="15">
        <f>IF(AJ374="","",IF(AJ374&lt;0.4,"Critical",IF(AJ374&lt;0.6,"Poor",IF(AJ374&lt;0.75,"Needs Improvement",IF(AJ374&lt;0.9,"Good","Excellent")))))</f>
        <v/>
      </c>
      <c r="AO374" s="41" t="n"/>
      <c r="AP374" s="41" t="n"/>
      <c r="AQ374" s="41" t="n"/>
      <c r="AR374" s="41" t="n"/>
      <c r="AS374" s="41" t="n"/>
      <c r="AT374" s="44" t="n"/>
      <c r="AU374" s="41" t="n"/>
      <c r="AV374" s="43" t="n"/>
      <c r="AW374" s="41" t="n"/>
      <c r="AX374" s="44" t="n"/>
      <c r="AY374" s="44" t="n"/>
      <c r="AZ374" s="44" t="n"/>
      <c r="BA374" s="44" t="n"/>
      <c r="BB374" s="44" t="n"/>
      <c r="BC374" s="44" t="n"/>
      <c r="BD374" s="44" t="n"/>
      <c r="BE374" s="44" t="n"/>
      <c r="BF374" s="44" t="n"/>
    </row>
    <row r="375" ht="19.5" customHeight="1" s="45">
      <c r="A375" s="15">
        <f>IF($B375="","",TEXT($B375,"yyyymmdd")&amp;"-"&amp;SUBSTITUTE($F375," ","")&amp;"-"&amp;TEXT(COUNTIF($F$4:F375,$F375),"00"))</f>
        <v/>
      </c>
      <c r="B375" s="39" t="n"/>
      <c r="C375" s="15">
        <f>IF($B375="","",WEEKNUM($B375,2))</f>
        <v/>
      </c>
      <c r="D375" s="15">
        <f>IF($B375="","",TEXT($B375,"yyyy-mm"))</f>
        <v/>
      </c>
      <c r="E375" s="40" t="n"/>
      <c r="F375" s="40" t="n"/>
      <c r="G375" s="15">
        <f>IF(OR($E375="",$F375=""),"",IFERROR(IF($E375=INDEX(Cluster_Master!$A$4:$A$18,MATCH($F375,Cluster_Master!$B$4:$B$18,0)),"OK","CHECK"),"CHECK"))</f>
        <v/>
      </c>
      <c r="H375" s="18">
        <f>IFERROR(INDEX(Cluster_Master!$C$4:$C$18,MATCH($F375,Cluster_Master!$B$4:$B$18,0)),"")</f>
        <v/>
      </c>
      <c r="I375" s="15">
        <f>IFERROR(INDEX(Cluster_Master!$D$4:$D$18,MATCH($F375,Cluster_Master!$B$4:$B$18,0)),"")</f>
        <v/>
      </c>
      <c r="J375" s="15">
        <f>IFERROR(INDEX(Cluster_Master!$E$4:$E$18,MATCH($F375,Cluster_Master!$B$4:$B$18,0)),"")</f>
        <v/>
      </c>
      <c r="K375" s="15">
        <f>IFERROR(INDEX(Cluster_Master!$F$4:$F$18,MATCH($F375,Cluster_Master!$B$4:$B$18,0)),"")</f>
        <v/>
      </c>
      <c r="L375" s="15">
        <f>IFERROR(INDEX(Cluster_Master!$G$4:$G$18,MATCH($F375,Cluster_Master!$B$4:$B$18,0)),"")</f>
        <v/>
      </c>
      <c r="M375" s="15">
        <f>IFERROR(INDEX(Cluster_Master!$H$4:$H$18,MATCH($F375,Cluster_Master!$B$4:$B$18,0)),"")</f>
        <v/>
      </c>
      <c r="N375" s="41" t="n"/>
      <c r="O375" s="41" t="n"/>
      <c r="P375" s="41" t="n"/>
      <c r="Q375" s="41" t="n"/>
      <c r="R375" s="41" t="n"/>
      <c r="S375" s="41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2" t="n"/>
      <c r="AE375" s="42" t="n"/>
      <c r="AF375" s="42" t="n"/>
      <c r="AG375" s="42" t="n"/>
      <c r="AH375" s="42" t="n"/>
      <c r="AI375" s="15">
        <f>IF(COUNTA(T375:AH375)=0,"",SUM(T375:AH375))</f>
        <v/>
      </c>
      <c r="AJ375" s="21">
        <f>IF(COUNTA(T375:AH375)=0,"",AI375/(COUNT(KPI_Weights!$A$4:$A$18)*5))</f>
        <v/>
      </c>
      <c r="AK375" s="21">
        <f>IF(COUNTA(T375:AH375)=0,"",SUMPRODUCT(T375:AH375,KPI_Weights!$B$4:$B$18)/5)</f>
        <v/>
      </c>
      <c r="AL375" s="15">
        <f>IF(COUNTA(T375:AH375)=0,"",IF(SUMPRODUCT(--(T375:AH375&lt;=1),--(KPI_Weights!$C$4:$C$18="YES"))&gt;0,"YES","NO"))</f>
        <v/>
      </c>
      <c r="AM375" s="15">
        <f>IF(AJ375="","",IF(AND(AL375="NO",AJ375&gt;=0.75),"YES","NO"))</f>
        <v/>
      </c>
      <c r="AN375" s="15">
        <f>IF(AJ375="","",IF(AJ375&lt;0.4,"Critical",IF(AJ375&lt;0.6,"Poor",IF(AJ375&lt;0.75,"Needs Improvement",IF(AJ375&lt;0.9,"Good","Excellent")))))</f>
        <v/>
      </c>
      <c r="AO375" s="41" t="n"/>
      <c r="AP375" s="41" t="n"/>
      <c r="AQ375" s="41" t="n"/>
      <c r="AR375" s="41" t="n"/>
      <c r="AS375" s="41" t="n"/>
      <c r="AT375" s="44" t="n"/>
      <c r="AU375" s="41" t="n"/>
      <c r="AV375" s="43" t="n"/>
      <c r="AW375" s="41" t="n"/>
      <c r="AX375" s="44" t="n"/>
      <c r="AY375" s="44" t="n"/>
      <c r="AZ375" s="44" t="n"/>
      <c r="BA375" s="44" t="n"/>
      <c r="BB375" s="44" t="n"/>
      <c r="BC375" s="44" t="n"/>
      <c r="BD375" s="44" t="n"/>
      <c r="BE375" s="44" t="n"/>
      <c r="BF375" s="44" t="n"/>
    </row>
    <row r="376" ht="19.5" customHeight="1" s="45">
      <c r="A376" s="15">
        <f>IF($B376="","",TEXT($B376,"yyyymmdd")&amp;"-"&amp;SUBSTITUTE($F376," ","")&amp;"-"&amp;TEXT(COUNTIF($F$4:F376,$F376),"00"))</f>
        <v/>
      </c>
      <c r="B376" s="39" t="n"/>
      <c r="C376" s="15">
        <f>IF($B376="","",WEEKNUM($B376,2))</f>
        <v/>
      </c>
      <c r="D376" s="15">
        <f>IF($B376="","",TEXT($B376,"yyyy-mm"))</f>
        <v/>
      </c>
      <c r="E376" s="40" t="n"/>
      <c r="F376" s="40" t="n"/>
      <c r="G376" s="15">
        <f>IF(OR($E376="",$F376=""),"",IFERROR(IF($E376=INDEX(Cluster_Master!$A$4:$A$18,MATCH($F376,Cluster_Master!$B$4:$B$18,0)),"OK","CHECK"),"CHECK"))</f>
        <v/>
      </c>
      <c r="H376" s="18">
        <f>IFERROR(INDEX(Cluster_Master!$C$4:$C$18,MATCH($F376,Cluster_Master!$B$4:$B$18,0)),"")</f>
        <v/>
      </c>
      <c r="I376" s="15">
        <f>IFERROR(INDEX(Cluster_Master!$D$4:$D$18,MATCH($F376,Cluster_Master!$B$4:$B$18,0)),"")</f>
        <v/>
      </c>
      <c r="J376" s="15">
        <f>IFERROR(INDEX(Cluster_Master!$E$4:$E$18,MATCH($F376,Cluster_Master!$B$4:$B$18,0)),"")</f>
        <v/>
      </c>
      <c r="K376" s="15">
        <f>IFERROR(INDEX(Cluster_Master!$F$4:$F$18,MATCH($F376,Cluster_Master!$B$4:$B$18,0)),"")</f>
        <v/>
      </c>
      <c r="L376" s="15">
        <f>IFERROR(INDEX(Cluster_Master!$G$4:$G$18,MATCH($F376,Cluster_Master!$B$4:$B$18,0)),"")</f>
        <v/>
      </c>
      <c r="M376" s="15">
        <f>IFERROR(INDEX(Cluster_Master!$H$4:$H$18,MATCH($F376,Cluster_Master!$B$4:$B$18,0)),"")</f>
        <v/>
      </c>
      <c r="N376" s="41" t="n"/>
      <c r="O376" s="41" t="n"/>
      <c r="P376" s="41" t="n"/>
      <c r="Q376" s="41" t="n"/>
      <c r="R376" s="41" t="n"/>
      <c r="S376" s="41" t="n"/>
      <c r="T376" s="42" t="n"/>
      <c r="U376" s="42" t="n"/>
      <c r="V376" s="42" t="n"/>
      <c r="W376" s="42" t="n"/>
      <c r="X376" s="42" t="n"/>
      <c r="Y376" s="42" t="n"/>
      <c r="Z376" s="42" t="n"/>
      <c r="AA376" s="42" t="n"/>
      <c r="AB376" s="42" t="n"/>
      <c r="AC376" s="42" t="n"/>
      <c r="AD376" s="42" t="n"/>
      <c r="AE376" s="42" t="n"/>
      <c r="AF376" s="42" t="n"/>
      <c r="AG376" s="42" t="n"/>
      <c r="AH376" s="42" t="n"/>
      <c r="AI376" s="15">
        <f>IF(COUNTA(T376:AH376)=0,"",SUM(T376:AH376))</f>
        <v/>
      </c>
      <c r="AJ376" s="21">
        <f>IF(COUNTA(T376:AH376)=0,"",AI376/(COUNT(KPI_Weights!$A$4:$A$18)*5))</f>
        <v/>
      </c>
      <c r="AK376" s="21">
        <f>IF(COUNTA(T376:AH376)=0,"",SUMPRODUCT(T376:AH376,KPI_Weights!$B$4:$B$18)/5)</f>
        <v/>
      </c>
      <c r="AL376" s="15">
        <f>IF(COUNTA(T376:AH376)=0,"",IF(SUMPRODUCT(--(T376:AH376&lt;=1),--(KPI_Weights!$C$4:$C$18="YES"))&gt;0,"YES","NO"))</f>
        <v/>
      </c>
      <c r="AM376" s="15">
        <f>IF(AJ376="","",IF(AND(AL376="NO",AJ376&gt;=0.75),"YES","NO"))</f>
        <v/>
      </c>
      <c r="AN376" s="15">
        <f>IF(AJ376="","",IF(AJ376&lt;0.4,"Critical",IF(AJ376&lt;0.6,"Poor",IF(AJ376&lt;0.75,"Needs Improvement",IF(AJ376&lt;0.9,"Good","Excellent")))))</f>
        <v/>
      </c>
      <c r="AO376" s="41" t="n"/>
      <c r="AP376" s="41" t="n"/>
      <c r="AQ376" s="41" t="n"/>
      <c r="AR376" s="41" t="n"/>
      <c r="AS376" s="41" t="n"/>
      <c r="AT376" s="44" t="n"/>
      <c r="AU376" s="41" t="n"/>
      <c r="AV376" s="43" t="n"/>
      <c r="AW376" s="41" t="n"/>
      <c r="AX376" s="44" t="n"/>
      <c r="AY376" s="44" t="n"/>
      <c r="AZ376" s="44" t="n"/>
      <c r="BA376" s="44" t="n"/>
      <c r="BB376" s="44" t="n"/>
      <c r="BC376" s="44" t="n"/>
      <c r="BD376" s="44" t="n"/>
      <c r="BE376" s="44" t="n"/>
      <c r="BF376" s="44" t="n"/>
    </row>
    <row r="377" ht="19.5" customHeight="1" s="45">
      <c r="A377" s="15">
        <f>IF($B377="","",TEXT($B377,"yyyymmdd")&amp;"-"&amp;SUBSTITUTE($F377," ","")&amp;"-"&amp;TEXT(COUNTIF($F$4:F377,$F377),"00"))</f>
        <v/>
      </c>
      <c r="B377" s="39" t="n"/>
      <c r="C377" s="15">
        <f>IF($B377="","",WEEKNUM($B377,2))</f>
        <v/>
      </c>
      <c r="D377" s="15">
        <f>IF($B377="","",TEXT($B377,"yyyy-mm"))</f>
        <v/>
      </c>
      <c r="E377" s="40" t="n"/>
      <c r="F377" s="40" t="n"/>
      <c r="G377" s="15">
        <f>IF(OR($E377="",$F377=""),"",IFERROR(IF($E377=INDEX(Cluster_Master!$A$4:$A$18,MATCH($F377,Cluster_Master!$B$4:$B$18,0)),"OK","CHECK"),"CHECK"))</f>
        <v/>
      </c>
      <c r="H377" s="18">
        <f>IFERROR(INDEX(Cluster_Master!$C$4:$C$18,MATCH($F377,Cluster_Master!$B$4:$B$18,0)),"")</f>
        <v/>
      </c>
      <c r="I377" s="15">
        <f>IFERROR(INDEX(Cluster_Master!$D$4:$D$18,MATCH($F377,Cluster_Master!$B$4:$B$18,0)),"")</f>
        <v/>
      </c>
      <c r="J377" s="15">
        <f>IFERROR(INDEX(Cluster_Master!$E$4:$E$18,MATCH($F377,Cluster_Master!$B$4:$B$18,0)),"")</f>
        <v/>
      </c>
      <c r="K377" s="15">
        <f>IFERROR(INDEX(Cluster_Master!$F$4:$F$18,MATCH($F377,Cluster_Master!$B$4:$B$18,0)),"")</f>
        <v/>
      </c>
      <c r="L377" s="15">
        <f>IFERROR(INDEX(Cluster_Master!$G$4:$G$18,MATCH($F377,Cluster_Master!$B$4:$B$18,0)),"")</f>
        <v/>
      </c>
      <c r="M377" s="15">
        <f>IFERROR(INDEX(Cluster_Master!$H$4:$H$18,MATCH($F377,Cluster_Master!$B$4:$B$18,0)),"")</f>
        <v/>
      </c>
      <c r="N377" s="41" t="n"/>
      <c r="O377" s="41" t="n"/>
      <c r="P377" s="41" t="n"/>
      <c r="Q377" s="41" t="n"/>
      <c r="R377" s="41" t="n"/>
      <c r="S377" s="41" t="n"/>
      <c r="T377" s="42" t="n"/>
      <c r="U377" s="42" t="n"/>
      <c r="V377" s="42" t="n"/>
      <c r="W377" s="42" t="n"/>
      <c r="X377" s="42" t="n"/>
      <c r="Y377" s="42" t="n"/>
      <c r="Z377" s="42" t="n"/>
      <c r="AA377" s="42" t="n"/>
      <c r="AB377" s="42" t="n"/>
      <c r="AC377" s="42" t="n"/>
      <c r="AD377" s="42" t="n"/>
      <c r="AE377" s="42" t="n"/>
      <c r="AF377" s="42" t="n"/>
      <c r="AG377" s="42" t="n"/>
      <c r="AH377" s="42" t="n"/>
      <c r="AI377" s="15">
        <f>IF(COUNTA(T377:AH377)=0,"",SUM(T377:AH377))</f>
        <v/>
      </c>
      <c r="AJ377" s="21">
        <f>IF(COUNTA(T377:AH377)=0,"",AI377/(COUNT(KPI_Weights!$A$4:$A$18)*5))</f>
        <v/>
      </c>
      <c r="AK377" s="21">
        <f>IF(COUNTA(T377:AH377)=0,"",SUMPRODUCT(T377:AH377,KPI_Weights!$B$4:$B$18)/5)</f>
        <v/>
      </c>
      <c r="AL377" s="15">
        <f>IF(COUNTA(T377:AH377)=0,"",IF(SUMPRODUCT(--(T377:AH377&lt;=1),--(KPI_Weights!$C$4:$C$18="YES"))&gt;0,"YES","NO"))</f>
        <v/>
      </c>
      <c r="AM377" s="15">
        <f>IF(AJ377="","",IF(AND(AL377="NO",AJ377&gt;=0.75),"YES","NO"))</f>
        <v/>
      </c>
      <c r="AN377" s="15">
        <f>IF(AJ377="","",IF(AJ377&lt;0.4,"Critical",IF(AJ377&lt;0.6,"Poor",IF(AJ377&lt;0.75,"Needs Improvement",IF(AJ377&lt;0.9,"Good","Excellent")))))</f>
        <v/>
      </c>
      <c r="AO377" s="41" t="n"/>
      <c r="AP377" s="41" t="n"/>
      <c r="AQ377" s="41" t="n"/>
      <c r="AR377" s="41" t="n"/>
      <c r="AS377" s="41" t="n"/>
      <c r="AT377" s="44" t="n"/>
      <c r="AU377" s="41" t="n"/>
      <c r="AV377" s="43" t="n"/>
      <c r="AW377" s="41" t="n"/>
      <c r="AX377" s="44" t="n"/>
      <c r="AY377" s="44" t="n"/>
      <c r="AZ377" s="44" t="n"/>
      <c r="BA377" s="44" t="n"/>
      <c r="BB377" s="44" t="n"/>
      <c r="BC377" s="44" t="n"/>
      <c r="BD377" s="44" t="n"/>
      <c r="BE377" s="44" t="n"/>
      <c r="BF377" s="44" t="n"/>
    </row>
    <row r="378" ht="19.5" customHeight="1" s="45">
      <c r="A378" s="15">
        <f>IF($B378="","",TEXT($B378,"yyyymmdd")&amp;"-"&amp;SUBSTITUTE($F378," ","")&amp;"-"&amp;TEXT(COUNTIF($F$4:F378,$F378),"00"))</f>
        <v/>
      </c>
      <c r="B378" s="39" t="n"/>
      <c r="C378" s="15">
        <f>IF($B378="","",WEEKNUM($B378,2))</f>
        <v/>
      </c>
      <c r="D378" s="15">
        <f>IF($B378="","",TEXT($B378,"yyyy-mm"))</f>
        <v/>
      </c>
      <c r="E378" s="40" t="n"/>
      <c r="F378" s="40" t="n"/>
      <c r="G378" s="15">
        <f>IF(OR($E378="",$F378=""),"",IFERROR(IF($E378=INDEX(Cluster_Master!$A$4:$A$18,MATCH($F378,Cluster_Master!$B$4:$B$18,0)),"OK","CHECK"),"CHECK"))</f>
        <v/>
      </c>
      <c r="H378" s="18">
        <f>IFERROR(INDEX(Cluster_Master!$C$4:$C$18,MATCH($F378,Cluster_Master!$B$4:$B$18,0)),"")</f>
        <v/>
      </c>
      <c r="I378" s="15">
        <f>IFERROR(INDEX(Cluster_Master!$D$4:$D$18,MATCH($F378,Cluster_Master!$B$4:$B$18,0)),"")</f>
        <v/>
      </c>
      <c r="J378" s="15">
        <f>IFERROR(INDEX(Cluster_Master!$E$4:$E$18,MATCH($F378,Cluster_Master!$B$4:$B$18,0)),"")</f>
        <v/>
      </c>
      <c r="K378" s="15">
        <f>IFERROR(INDEX(Cluster_Master!$F$4:$F$18,MATCH($F378,Cluster_Master!$B$4:$B$18,0)),"")</f>
        <v/>
      </c>
      <c r="L378" s="15">
        <f>IFERROR(INDEX(Cluster_Master!$G$4:$G$18,MATCH($F378,Cluster_Master!$B$4:$B$18,0)),"")</f>
        <v/>
      </c>
      <c r="M378" s="15">
        <f>IFERROR(INDEX(Cluster_Master!$H$4:$H$18,MATCH($F378,Cluster_Master!$B$4:$B$18,0)),"")</f>
        <v/>
      </c>
      <c r="N378" s="41" t="n"/>
      <c r="O378" s="41" t="n"/>
      <c r="P378" s="41" t="n"/>
      <c r="Q378" s="41" t="n"/>
      <c r="R378" s="41" t="n"/>
      <c r="S378" s="41" t="n"/>
      <c r="T378" s="42" t="n"/>
      <c r="U378" s="42" t="n"/>
      <c r="V378" s="42" t="n"/>
      <c r="W378" s="42" t="n"/>
      <c r="X378" s="42" t="n"/>
      <c r="Y378" s="42" t="n"/>
      <c r="Z378" s="42" t="n"/>
      <c r="AA378" s="42" t="n"/>
      <c r="AB378" s="42" t="n"/>
      <c r="AC378" s="42" t="n"/>
      <c r="AD378" s="42" t="n"/>
      <c r="AE378" s="42" t="n"/>
      <c r="AF378" s="42" t="n"/>
      <c r="AG378" s="42" t="n"/>
      <c r="AH378" s="42" t="n"/>
      <c r="AI378" s="15">
        <f>IF(COUNTA(T378:AH378)=0,"",SUM(T378:AH378))</f>
        <v/>
      </c>
      <c r="AJ378" s="21">
        <f>IF(COUNTA(T378:AH378)=0,"",AI378/(COUNT(KPI_Weights!$A$4:$A$18)*5))</f>
        <v/>
      </c>
      <c r="AK378" s="21">
        <f>IF(COUNTA(T378:AH378)=0,"",SUMPRODUCT(T378:AH378,KPI_Weights!$B$4:$B$18)/5)</f>
        <v/>
      </c>
      <c r="AL378" s="15">
        <f>IF(COUNTA(T378:AH378)=0,"",IF(SUMPRODUCT(--(T378:AH378&lt;=1),--(KPI_Weights!$C$4:$C$18="YES"))&gt;0,"YES","NO"))</f>
        <v/>
      </c>
      <c r="AM378" s="15">
        <f>IF(AJ378="","",IF(AND(AL378="NO",AJ378&gt;=0.75),"YES","NO"))</f>
        <v/>
      </c>
      <c r="AN378" s="15">
        <f>IF(AJ378="","",IF(AJ378&lt;0.4,"Critical",IF(AJ378&lt;0.6,"Poor",IF(AJ378&lt;0.75,"Needs Improvement",IF(AJ378&lt;0.9,"Good","Excellent")))))</f>
        <v/>
      </c>
      <c r="AO378" s="41" t="n"/>
      <c r="AP378" s="41" t="n"/>
      <c r="AQ378" s="41" t="n"/>
      <c r="AR378" s="41" t="n"/>
      <c r="AS378" s="41" t="n"/>
      <c r="AT378" s="44" t="n"/>
      <c r="AU378" s="41" t="n"/>
      <c r="AV378" s="43" t="n"/>
      <c r="AW378" s="41" t="n"/>
      <c r="AX378" s="44" t="n"/>
      <c r="AY378" s="44" t="n"/>
      <c r="AZ378" s="44" t="n"/>
      <c r="BA378" s="44" t="n"/>
      <c r="BB378" s="44" t="n"/>
      <c r="BC378" s="44" t="n"/>
      <c r="BD378" s="44" t="n"/>
      <c r="BE378" s="44" t="n"/>
      <c r="BF378" s="44" t="n"/>
    </row>
    <row r="379" ht="19.5" customHeight="1" s="45">
      <c r="A379" s="15">
        <f>IF($B379="","",TEXT($B379,"yyyymmdd")&amp;"-"&amp;SUBSTITUTE($F379," ","")&amp;"-"&amp;TEXT(COUNTIF($F$4:F379,$F379),"00"))</f>
        <v/>
      </c>
      <c r="B379" s="39" t="n"/>
      <c r="C379" s="15">
        <f>IF($B379="","",WEEKNUM($B379,2))</f>
        <v/>
      </c>
      <c r="D379" s="15">
        <f>IF($B379="","",TEXT($B379,"yyyy-mm"))</f>
        <v/>
      </c>
      <c r="E379" s="40" t="n"/>
      <c r="F379" s="40" t="n"/>
      <c r="G379" s="15">
        <f>IF(OR($E379="",$F379=""),"",IFERROR(IF($E379=INDEX(Cluster_Master!$A$4:$A$18,MATCH($F379,Cluster_Master!$B$4:$B$18,0)),"OK","CHECK"),"CHECK"))</f>
        <v/>
      </c>
      <c r="H379" s="18">
        <f>IFERROR(INDEX(Cluster_Master!$C$4:$C$18,MATCH($F379,Cluster_Master!$B$4:$B$18,0)),"")</f>
        <v/>
      </c>
      <c r="I379" s="15">
        <f>IFERROR(INDEX(Cluster_Master!$D$4:$D$18,MATCH($F379,Cluster_Master!$B$4:$B$18,0)),"")</f>
        <v/>
      </c>
      <c r="J379" s="15">
        <f>IFERROR(INDEX(Cluster_Master!$E$4:$E$18,MATCH($F379,Cluster_Master!$B$4:$B$18,0)),"")</f>
        <v/>
      </c>
      <c r="K379" s="15">
        <f>IFERROR(INDEX(Cluster_Master!$F$4:$F$18,MATCH($F379,Cluster_Master!$B$4:$B$18,0)),"")</f>
        <v/>
      </c>
      <c r="L379" s="15">
        <f>IFERROR(INDEX(Cluster_Master!$G$4:$G$18,MATCH($F379,Cluster_Master!$B$4:$B$18,0)),"")</f>
        <v/>
      </c>
      <c r="M379" s="15">
        <f>IFERROR(INDEX(Cluster_Master!$H$4:$H$18,MATCH($F379,Cluster_Master!$B$4:$B$18,0)),"")</f>
        <v/>
      </c>
      <c r="N379" s="41" t="n"/>
      <c r="O379" s="41" t="n"/>
      <c r="P379" s="41" t="n"/>
      <c r="Q379" s="41" t="n"/>
      <c r="R379" s="41" t="n"/>
      <c r="S379" s="41" t="n"/>
      <c r="T379" s="42" t="n"/>
      <c r="U379" s="42" t="n"/>
      <c r="V379" s="42" t="n"/>
      <c r="W379" s="42" t="n"/>
      <c r="X379" s="42" t="n"/>
      <c r="Y379" s="42" t="n"/>
      <c r="Z379" s="42" t="n"/>
      <c r="AA379" s="42" t="n"/>
      <c r="AB379" s="42" t="n"/>
      <c r="AC379" s="42" t="n"/>
      <c r="AD379" s="42" t="n"/>
      <c r="AE379" s="42" t="n"/>
      <c r="AF379" s="42" t="n"/>
      <c r="AG379" s="42" t="n"/>
      <c r="AH379" s="42" t="n"/>
      <c r="AI379" s="15">
        <f>IF(COUNTA(T379:AH379)=0,"",SUM(T379:AH379))</f>
        <v/>
      </c>
      <c r="AJ379" s="21">
        <f>IF(COUNTA(T379:AH379)=0,"",AI379/(COUNT(KPI_Weights!$A$4:$A$18)*5))</f>
        <v/>
      </c>
      <c r="AK379" s="21">
        <f>IF(COUNTA(T379:AH379)=0,"",SUMPRODUCT(T379:AH379,KPI_Weights!$B$4:$B$18)/5)</f>
        <v/>
      </c>
      <c r="AL379" s="15">
        <f>IF(COUNTA(T379:AH379)=0,"",IF(SUMPRODUCT(--(T379:AH379&lt;=1),--(KPI_Weights!$C$4:$C$18="YES"))&gt;0,"YES","NO"))</f>
        <v/>
      </c>
      <c r="AM379" s="15">
        <f>IF(AJ379="","",IF(AND(AL379="NO",AJ379&gt;=0.75),"YES","NO"))</f>
        <v/>
      </c>
      <c r="AN379" s="15">
        <f>IF(AJ379="","",IF(AJ379&lt;0.4,"Critical",IF(AJ379&lt;0.6,"Poor",IF(AJ379&lt;0.75,"Needs Improvement",IF(AJ379&lt;0.9,"Good","Excellent")))))</f>
        <v/>
      </c>
      <c r="AO379" s="41" t="n"/>
      <c r="AP379" s="41" t="n"/>
      <c r="AQ379" s="41" t="n"/>
      <c r="AR379" s="41" t="n"/>
      <c r="AS379" s="41" t="n"/>
      <c r="AT379" s="44" t="n"/>
      <c r="AU379" s="41" t="n"/>
      <c r="AV379" s="43" t="n"/>
      <c r="AW379" s="41" t="n"/>
      <c r="AX379" s="44" t="n"/>
      <c r="AY379" s="44" t="n"/>
      <c r="AZ379" s="44" t="n"/>
      <c r="BA379" s="44" t="n"/>
      <c r="BB379" s="44" t="n"/>
      <c r="BC379" s="44" t="n"/>
      <c r="BD379" s="44" t="n"/>
      <c r="BE379" s="44" t="n"/>
      <c r="BF379" s="44" t="n"/>
    </row>
    <row r="380" ht="19.5" customHeight="1" s="45">
      <c r="A380" s="15">
        <f>IF($B380="","",TEXT($B380,"yyyymmdd")&amp;"-"&amp;SUBSTITUTE($F380," ","")&amp;"-"&amp;TEXT(COUNTIF($F$4:F380,$F380),"00"))</f>
        <v/>
      </c>
      <c r="B380" s="39" t="n"/>
      <c r="C380" s="15">
        <f>IF($B380="","",WEEKNUM($B380,2))</f>
        <v/>
      </c>
      <c r="D380" s="15">
        <f>IF($B380="","",TEXT($B380,"yyyy-mm"))</f>
        <v/>
      </c>
      <c r="E380" s="40" t="n"/>
      <c r="F380" s="40" t="n"/>
      <c r="G380" s="15">
        <f>IF(OR($E380="",$F380=""),"",IFERROR(IF($E380=INDEX(Cluster_Master!$A$4:$A$18,MATCH($F380,Cluster_Master!$B$4:$B$18,0)),"OK","CHECK"),"CHECK"))</f>
        <v/>
      </c>
      <c r="H380" s="18">
        <f>IFERROR(INDEX(Cluster_Master!$C$4:$C$18,MATCH($F380,Cluster_Master!$B$4:$B$18,0)),"")</f>
        <v/>
      </c>
      <c r="I380" s="15">
        <f>IFERROR(INDEX(Cluster_Master!$D$4:$D$18,MATCH($F380,Cluster_Master!$B$4:$B$18,0)),"")</f>
        <v/>
      </c>
      <c r="J380" s="15">
        <f>IFERROR(INDEX(Cluster_Master!$E$4:$E$18,MATCH($F380,Cluster_Master!$B$4:$B$18,0)),"")</f>
        <v/>
      </c>
      <c r="K380" s="15">
        <f>IFERROR(INDEX(Cluster_Master!$F$4:$F$18,MATCH($F380,Cluster_Master!$B$4:$B$18,0)),"")</f>
        <v/>
      </c>
      <c r="L380" s="15">
        <f>IFERROR(INDEX(Cluster_Master!$G$4:$G$18,MATCH($F380,Cluster_Master!$B$4:$B$18,0)),"")</f>
        <v/>
      </c>
      <c r="M380" s="15">
        <f>IFERROR(INDEX(Cluster_Master!$H$4:$H$18,MATCH($F380,Cluster_Master!$B$4:$B$18,0)),"")</f>
        <v/>
      </c>
      <c r="N380" s="41" t="n"/>
      <c r="O380" s="41" t="n"/>
      <c r="P380" s="41" t="n"/>
      <c r="Q380" s="41" t="n"/>
      <c r="R380" s="41" t="n"/>
      <c r="S380" s="41" t="n"/>
      <c r="T380" s="42" t="n"/>
      <c r="U380" s="42" t="n"/>
      <c r="V380" s="42" t="n"/>
      <c r="W380" s="42" t="n"/>
      <c r="X380" s="42" t="n"/>
      <c r="Y380" s="42" t="n"/>
      <c r="Z380" s="42" t="n"/>
      <c r="AA380" s="42" t="n"/>
      <c r="AB380" s="42" t="n"/>
      <c r="AC380" s="42" t="n"/>
      <c r="AD380" s="42" t="n"/>
      <c r="AE380" s="42" t="n"/>
      <c r="AF380" s="42" t="n"/>
      <c r="AG380" s="42" t="n"/>
      <c r="AH380" s="42" t="n"/>
      <c r="AI380" s="15">
        <f>IF(COUNTA(T380:AH380)=0,"",SUM(T380:AH380))</f>
        <v/>
      </c>
      <c r="AJ380" s="21">
        <f>IF(COUNTA(T380:AH380)=0,"",AI380/(COUNT(KPI_Weights!$A$4:$A$18)*5))</f>
        <v/>
      </c>
      <c r="AK380" s="21">
        <f>IF(COUNTA(T380:AH380)=0,"",SUMPRODUCT(T380:AH380,KPI_Weights!$B$4:$B$18)/5)</f>
        <v/>
      </c>
      <c r="AL380" s="15">
        <f>IF(COUNTA(T380:AH380)=0,"",IF(SUMPRODUCT(--(T380:AH380&lt;=1),--(KPI_Weights!$C$4:$C$18="YES"))&gt;0,"YES","NO"))</f>
        <v/>
      </c>
      <c r="AM380" s="15">
        <f>IF(AJ380="","",IF(AND(AL380="NO",AJ380&gt;=0.75),"YES","NO"))</f>
        <v/>
      </c>
      <c r="AN380" s="15">
        <f>IF(AJ380="","",IF(AJ380&lt;0.4,"Critical",IF(AJ380&lt;0.6,"Poor",IF(AJ380&lt;0.75,"Needs Improvement",IF(AJ380&lt;0.9,"Good","Excellent")))))</f>
        <v/>
      </c>
      <c r="AO380" s="41" t="n"/>
      <c r="AP380" s="41" t="n"/>
      <c r="AQ380" s="41" t="n"/>
      <c r="AR380" s="41" t="n"/>
      <c r="AS380" s="41" t="n"/>
      <c r="AT380" s="44" t="n"/>
      <c r="AU380" s="41" t="n"/>
      <c r="AV380" s="43" t="n"/>
      <c r="AW380" s="41" t="n"/>
      <c r="AX380" s="44" t="n"/>
      <c r="AY380" s="44" t="n"/>
      <c r="AZ380" s="44" t="n"/>
      <c r="BA380" s="44" t="n"/>
      <c r="BB380" s="44" t="n"/>
      <c r="BC380" s="44" t="n"/>
      <c r="BD380" s="44" t="n"/>
      <c r="BE380" s="44" t="n"/>
      <c r="BF380" s="44" t="n"/>
    </row>
    <row r="381" ht="19.5" customHeight="1" s="45">
      <c r="A381" s="15">
        <f>IF($B381="","",TEXT($B381,"yyyymmdd")&amp;"-"&amp;SUBSTITUTE($F381," ","")&amp;"-"&amp;TEXT(COUNTIF($F$4:F381,$F381),"00"))</f>
        <v/>
      </c>
      <c r="B381" s="39" t="n"/>
      <c r="C381" s="15">
        <f>IF($B381="","",WEEKNUM($B381,2))</f>
        <v/>
      </c>
      <c r="D381" s="15">
        <f>IF($B381="","",TEXT($B381,"yyyy-mm"))</f>
        <v/>
      </c>
      <c r="E381" s="40" t="n"/>
      <c r="F381" s="40" t="n"/>
      <c r="G381" s="15">
        <f>IF(OR($E381="",$F381=""),"",IFERROR(IF($E381=INDEX(Cluster_Master!$A$4:$A$18,MATCH($F381,Cluster_Master!$B$4:$B$18,0)),"OK","CHECK"),"CHECK"))</f>
        <v/>
      </c>
      <c r="H381" s="18">
        <f>IFERROR(INDEX(Cluster_Master!$C$4:$C$18,MATCH($F381,Cluster_Master!$B$4:$B$18,0)),"")</f>
        <v/>
      </c>
      <c r="I381" s="15">
        <f>IFERROR(INDEX(Cluster_Master!$D$4:$D$18,MATCH($F381,Cluster_Master!$B$4:$B$18,0)),"")</f>
        <v/>
      </c>
      <c r="J381" s="15">
        <f>IFERROR(INDEX(Cluster_Master!$E$4:$E$18,MATCH($F381,Cluster_Master!$B$4:$B$18,0)),"")</f>
        <v/>
      </c>
      <c r="K381" s="15">
        <f>IFERROR(INDEX(Cluster_Master!$F$4:$F$18,MATCH($F381,Cluster_Master!$B$4:$B$18,0)),"")</f>
        <v/>
      </c>
      <c r="L381" s="15">
        <f>IFERROR(INDEX(Cluster_Master!$G$4:$G$18,MATCH($F381,Cluster_Master!$B$4:$B$18,0)),"")</f>
        <v/>
      </c>
      <c r="M381" s="15">
        <f>IFERROR(INDEX(Cluster_Master!$H$4:$H$18,MATCH($F381,Cluster_Master!$B$4:$B$18,0)),"")</f>
        <v/>
      </c>
      <c r="N381" s="41" t="n"/>
      <c r="O381" s="41" t="n"/>
      <c r="P381" s="41" t="n"/>
      <c r="Q381" s="41" t="n"/>
      <c r="R381" s="41" t="n"/>
      <c r="S381" s="41" t="n"/>
      <c r="T381" s="42" t="n"/>
      <c r="U381" s="42" t="n"/>
      <c r="V381" s="42" t="n"/>
      <c r="W381" s="42" t="n"/>
      <c r="X381" s="42" t="n"/>
      <c r="Y381" s="42" t="n"/>
      <c r="Z381" s="42" t="n"/>
      <c r="AA381" s="42" t="n"/>
      <c r="AB381" s="42" t="n"/>
      <c r="AC381" s="42" t="n"/>
      <c r="AD381" s="42" t="n"/>
      <c r="AE381" s="42" t="n"/>
      <c r="AF381" s="42" t="n"/>
      <c r="AG381" s="42" t="n"/>
      <c r="AH381" s="42" t="n"/>
      <c r="AI381" s="15">
        <f>IF(COUNTA(T381:AH381)=0,"",SUM(T381:AH381))</f>
        <v/>
      </c>
      <c r="AJ381" s="21">
        <f>IF(COUNTA(T381:AH381)=0,"",AI381/(COUNT(KPI_Weights!$A$4:$A$18)*5))</f>
        <v/>
      </c>
      <c r="AK381" s="21">
        <f>IF(COUNTA(T381:AH381)=0,"",SUMPRODUCT(T381:AH381,KPI_Weights!$B$4:$B$18)/5)</f>
        <v/>
      </c>
      <c r="AL381" s="15">
        <f>IF(COUNTA(T381:AH381)=0,"",IF(SUMPRODUCT(--(T381:AH381&lt;=1),--(KPI_Weights!$C$4:$C$18="YES"))&gt;0,"YES","NO"))</f>
        <v/>
      </c>
      <c r="AM381" s="15">
        <f>IF(AJ381="","",IF(AND(AL381="NO",AJ381&gt;=0.75),"YES","NO"))</f>
        <v/>
      </c>
      <c r="AN381" s="15">
        <f>IF(AJ381="","",IF(AJ381&lt;0.4,"Critical",IF(AJ381&lt;0.6,"Poor",IF(AJ381&lt;0.75,"Needs Improvement",IF(AJ381&lt;0.9,"Good","Excellent")))))</f>
        <v/>
      </c>
      <c r="AO381" s="41" t="n"/>
      <c r="AP381" s="41" t="n"/>
      <c r="AQ381" s="41" t="n"/>
      <c r="AR381" s="41" t="n"/>
      <c r="AS381" s="41" t="n"/>
      <c r="AT381" s="44" t="n"/>
      <c r="AU381" s="41" t="n"/>
      <c r="AV381" s="43" t="n"/>
      <c r="AW381" s="41" t="n"/>
      <c r="AX381" s="44" t="n"/>
      <c r="AY381" s="44" t="n"/>
      <c r="AZ381" s="44" t="n"/>
      <c r="BA381" s="44" t="n"/>
      <c r="BB381" s="44" t="n"/>
      <c r="BC381" s="44" t="n"/>
      <c r="BD381" s="44" t="n"/>
      <c r="BE381" s="44" t="n"/>
      <c r="BF381" s="44" t="n"/>
    </row>
    <row r="382" ht="19.5" customHeight="1" s="45">
      <c r="A382" s="15">
        <f>IF($B382="","",TEXT($B382,"yyyymmdd")&amp;"-"&amp;SUBSTITUTE($F382," ","")&amp;"-"&amp;TEXT(COUNTIF($F$4:F382,$F382),"00"))</f>
        <v/>
      </c>
      <c r="B382" s="39" t="n"/>
      <c r="C382" s="15">
        <f>IF($B382="","",WEEKNUM($B382,2))</f>
        <v/>
      </c>
      <c r="D382" s="15">
        <f>IF($B382="","",TEXT($B382,"yyyy-mm"))</f>
        <v/>
      </c>
      <c r="E382" s="40" t="n"/>
      <c r="F382" s="40" t="n"/>
      <c r="G382" s="15">
        <f>IF(OR($E382="",$F382=""),"",IFERROR(IF($E382=INDEX(Cluster_Master!$A$4:$A$18,MATCH($F382,Cluster_Master!$B$4:$B$18,0)),"OK","CHECK"),"CHECK"))</f>
        <v/>
      </c>
      <c r="H382" s="18">
        <f>IFERROR(INDEX(Cluster_Master!$C$4:$C$18,MATCH($F382,Cluster_Master!$B$4:$B$18,0)),"")</f>
        <v/>
      </c>
      <c r="I382" s="15">
        <f>IFERROR(INDEX(Cluster_Master!$D$4:$D$18,MATCH($F382,Cluster_Master!$B$4:$B$18,0)),"")</f>
        <v/>
      </c>
      <c r="J382" s="15">
        <f>IFERROR(INDEX(Cluster_Master!$E$4:$E$18,MATCH($F382,Cluster_Master!$B$4:$B$18,0)),"")</f>
        <v/>
      </c>
      <c r="K382" s="15">
        <f>IFERROR(INDEX(Cluster_Master!$F$4:$F$18,MATCH($F382,Cluster_Master!$B$4:$B$18,0)),"")</f>
        <v/>
      </c>
      <c r="L382" s="15">
        <f>IFERROR(INDEX(Cluster_Master!$G$4:$G$18,MATCH($F382,Cluster_Master!$B$4:$B$18,0)),"")</f>
        <v/>
      </c>
      <c r="M382" s="15">
        <f>IFERROR(INDEX(Cluster_Master!$H$4:$H$18,MATCH($F382,Cluster_Master!$B$4:$B$18,0)),"")</f>
        <v/>
      </c>
      <c r="N382" s="41" t="n"/>
      <c r="O382" s="41" t="n"/>
      <c r="P382" s="41" t="n"/>
      <c r="Q382" s="41" t="n"/>
      <c r="R382" s="41" t="n"/>
      <c r="S382" s="41" t="n"/>
      <c r="T382" s="42" t="n"/>
      <c r="U382" s="42" t="n"/>
      <c r="V382" s="42" t="n"/>
      <c r="W382" s="42" t="n"/>
      <c r="X382" s="42" t="n"/>
      <c r="Y382" s="42" t="n"/>
      <c r="Z382" s="42" t="n"/>
      <c r="AA382" s="42" t="n"/>
      <c r="AB382" s="42" t="n"/>
      <c r="AC382" s="42" t="n"/>
      <c r="AD382" s="42" t="n"/>
      <c r="AE382" s="42" t="n"/>
      <c r="AF382" s="42" t="n"/>
      <c r="AG382" s="42" t="n"/>
      <c r="AH382" s="42" t="n"/>
      <c r="AI382" s="15">
        <f>IF(COUNTA(T382:AH382)=0,"",SUM(T382:AH382))</f>
        <v/>
      </c>
      <c r="AJ382" s="21">
        <f>IF(COUNTA(T382:AH382)=0,"",AI382/(COUNT(KPI_Weights!$A$4:$A$18)*5))</f>
        <v/>
      </c>
      <c r="AK382" s="21">
        <f>IF(COUNTA(T382:AH382)=0,"",SUMPRODUCT(T382:AH382,KPI_Weights!$B$4:$B$18)/5)</f>
        <v/>
      </c>
      <c r="AL382" s="15">
        <f>IF(COUNTA(T382:AH382)=0,"",IF(SUMPRODUCT(--(T382:AH382&lt;=1),--(KPI_Weights!$C$4:$C$18="YES"))&gt;0,"YES","NO"))</f>
        <v/>
      </c>
      <c r="AM382" s="15">
        <f>IF(AJ382="","",IF(AND(AL382="NO",AJ382&gt;=0.75),"YES","NO"))</f>
        <v/>
      </c>
      <c r="AN382" s="15">
        <f>IF(AJ382="","",IF(AJ382&lt;0.4,"Critical",IF(AJ382&lt;0.6,"Poor",IF(AJ382&lt;0.75,"Needs Improvement",IF(AJ382&lt;0.9,"Good","Excellent")))))</f>
        <v/>
      </c>
      <c r="AO382" s="41" t="n"/>
      <c r="AP382" s="41" t="n"/>
      <c r="AQ382" s="41" t="n"/>
      <c r="AR382" s="41" t="n"/>
      <c r="AS382" s="41" t="n"/>
      <c r="AT382" s="44" t="n"/>
      <c r="AU382" s="41" t="n"/>
      <c r="AV382" s="43" t="n"/>
      <c r="AW382" s="41" t="n"/>
      <c r="AX382" s="44" t="n"/>
      <c r="AY382" s="44" t="n"/>
      <c r="AZ382" s="44" t="n"/>
      <c r="BA382" s="44" t="n"/>
      <c r="BB382" s="44" t="n"/>
      <c r="BC382" s="44" t="n"/>
      <c r="BD382" s="44" t="n"/>
      <c r="BE382" s="44" t="n"/>
      <c r="BF382" s="44" t="n"/>
    </row>
    <row r="383" ht="19.5" customHeight="1" s="45">
      <c r="A383" s="15">
        <f>IF($B383="","",TEXT($B383,"yyyymmdd")&amp;"-"&amp;SUBSTITUTE($F383," ","")&amp;"-"&amp;TEXT(COUNTIF($F$4:F383,$F383),"00"))</f>
        <v/>
      </c>
      <c r="B383" s="39" t="n"/>
      <c r="C383" s="15">
        <f>IF($B383="","",WEEKNUM($B383,2))</f>
        <v/>
      </c>
      <c r="D383" s="15">
        <f>IF($B383="","",TEXT($B383,"yyyy-mm"))</f>
        <v/>
      </c>
      <c r="E383" s="40" t="n"/>
      <c r="F383" s="40" t="n"/>
      <c r="G383" s="15">
        <f>IF(OR($E383="",$F383=""),"",IFERROR(IF($E383=INDEX(Cluster_Master!$A$4:$A$18,MATCH($F383,Cluster_Master!$B$4:$B$18,0)),"OK","CHECK"),"CHECK"))</f>
        <v/>
      </c>
      <c r="H383" s="18">
        <f>IFERROR(INDEX(Cluster_Master!$C$4:$C$18,MATCH($F383,Cluster_Master!$B$4:$B$18,0)),"")</f>
        <v/>
      </c>
      <c r="I383" s="15">
        <f>IFERROR(INDEX(Cluster_Master!$D$4:$D$18,MATCH($F383,Cluster_Master!$B$4:$B$18,0)),"")</f>
        <v/>
      </c>
      <c r="J383" s="15">
        <f>IFERROR(INDEX(Cluster_Master!$E$4:$E$18,MATCH($F383,Cluster_Master!$B$4:$B$18,0)),"")</f>
        <v/>
      </c>
      <c r="K383" s="15">
        <f>IFERROR(INDEX(Cluster_Master!$F$4:$F$18,MATCH($F383,Cluster_Master!$B$4:$B$18,0)),"")</f>
        <v/>
      </c>
      <c r="L383" s="15">
        <f>IFERROR(INDEX(Cluster_Master!$G$4:$G$18,MATCH($F383,Cluster_Master!$B$4:$B$18,0)),"")</f>
        <v/>
      </c>
      <c r="M383" s="15">
        <f>IFERROR(INDEX(Cluster_Master!$H$4:$H$18,MATCH($F383,Cluster_Master!$B$4:$B$18,0)),"")</f>
        <v/>
      </c>
      <c r="N383" s="41" t="n"/>
      <c r="O383" s="41" t="n"/>
      <c r="P383" s="41" t="n"/>
      <c r="Q383" s="41" t="n"/>
      <c r="R383" s="41" t="n"/>
      <c r="S383" s="41" t="n"/>
      <c r="T383" s="42" t="n"/>
      <c r="U383" s="42" t="n"/>
      <c r="V383" s="42" t="n"/>
      <c r="W383" s="42" t="n"/>
      <c r="X383" s="42" t="n"/>
      <c r="Y383" s="42" t="n"/>
      <c r="Z383" s="42" t="n"/>
      <c r="AA383" s="42" t="n"/>
      <c r="AB383" s="42" t="n"/>
      <c r="AC383" s="42" t="n"/>
      <c r="AD383" s="42" t="n"/>
      <c r="AE383" s="42" t="n"/>
      <c r="AF383" s="42" t="n"/>
      <c r="AG383" s="42" t="n"/>
      <c r="AH383" s="42" t="n"/>
      <c r="AI383" s="15">
        <f>IF(COUNTA(T383:AH383)=0,"",SUM(T383:AH383))</f>
        <v/>
      </c>
      <c r="AJ383" s="21">
        <f>IF(COUNTA(T383:AH383)=0,"",AI383/(COUNT(KPI_Weights!$A$4:$A$18)*5))</f>
        <v/>
      </c>
      <c r="AK383" s="21">
        <f>IF(COUNTA(T383:AH383)=0,"",SUMPRODUCT(T383:AH383,KPI_Weights!$B$4:$B$18)/5)</f>
        <v/>
      </c>
      <c r="AL383" s="15">
        <f>IF(COUNTA(T383:AH383)=0,"",IF(SUMPRODUCT(--(T383:AH383&lt;=1),--(KPI_Weights!$C$4:$C$18="YES"))&gt;0,"YES","NO"))</f>
        <v/>
      </c>
      <c r="AM383" s="15">
        <f>IF(AJ383="","",IF(AND(AL383="NO",AJ383&gt;=0.75),"YES","NO"))</f>
        <v/>
      </c>
      <c r="AN383" s="15">
        <f>IF(AJ383="","",IF(AJ383&lt;0.4,"Critical",IF(AJ383&lt;0.6,"Poor",IF(AJ383&lt;0.75,"Needs Improvement",IF(AJ383&lt;0.9,"Good","Excellent")))))</f>
        <v/>
      </c>
      <c r="AO383" s="41" t="n"/>
      <c r="AP383" s="41" t="n"/>
      <c r="AQ383" s="41" t="n"/>
      <c r="AR383" s="41" t="n"/>
      <c r="AS383" s="41" t="n"/>
      <c r="AT383" s="44" t="n"/>
      <c r="AU383" s="41" t="n"/>
      <c r="AV383" s="43" t="n"/>
      <c r="AW383" s="41" t="n"/>
      <c r="AX383" s="44" t="n"/>
      <c r="AY383" s="44" t="n"/>
      <c r="AZ383" s="44" t="n"/>
      <c r="BA383" s="44" t="n"/>
      <c r="BB383" s="44" t="n"/>
      <c r="BC383" s="44" t="n"/>
      <c r="BD383" s="44" t="n"/>
      <c r="BE383" s="44" t="n"/>
      <c r="BF383" s="44" t="n"/>
    </row>
    <row r="384" ht="19.5" customHeight="1" s="45">
      <c r="A384" s="15">
        <f>IF($B384="","",TEXT($B384,"yyyymmdd")&amp;"-"&amp;SUBSTITUTE($F384," ","")&amp;"-"&amp;TEXT(COUNTIF($F$4:F384,$F384),"00"))</f>
        <v/>
      </c>
      <c r="B384" s="39" t="n"/>
      <c r="C384" s="15">
        <f>IF($B384="","",WEEKNUM($B384,2))</f>
        <v/>
      </c>
      <c r="D384" s="15">
        <f>IF($B384="","",TEXT($B384,"yyyy-mm"))</f>
        <v/>
      </c>
      <c r="E384" s="40" t="n"/>
      <c r="F384" s="40" t="n"/>
      <c r="G384" s="15">
        <f>IF(OR($E384="",$F384=""),"",IFERROR(IF($E384=INDEX(Cluster_Master!$A$4:$A$18,MATCH($F384,Cluster_Master!$B$4:$B$18,0)),"OK","CHECK"),"CHECK"))</f>
        <v/>
      </c>
      <c r="H384" s="18">
        <f>IFERROR(INDEX(Cluster_Master!$C$4:$C$18,MATCH($F384,Cluster_Master!$B$4:$B$18,0)),"")</f>
        <v/>
      </c>
      <c r="I384" s="15">
        <f>IFERROR(INDEX(Cluster_Master!$D$4:$D$18,MATCH($F384,Cluster_Master!$B$4:$B$18,0)),"")</f>
        <v/>
      </c>
      <c r="J384" s="15">
        <f>IFERROR(INDEX(Cluster_Master!$E$4:$E$18,MATCH($F384,Cluster_Master!$B$4:$B$18,0)),"")</f>
        <v/>
      </c>
      <c r="K384" s="15">
        <f>IFERROR(INDEX(Cluster_Master!$F$4:$F$18,MATCH($F384,Cluster_Master!$B$4:$B$18,0)),"")</f>
        <v/>
      </c>
      <c r="L384" s="15">
        <f>IFERROR(INDEX(Cluster_Master!$G$4:$G$18,MATCH($F384,Cluster_Master!$B$4:$B$18,0)),"")</f>
        <v/>
      </c>
      <c r="M384" s="15">
        <f>IFERROR(INDEX(Cluster_Master!$H$4:$H$18,MATCH($F384,Cluster_Master!$B$4:$B$18,0)),"")</f>
        <v/>
      </c>
      <c r="N384" s="41" t="n"/>
      <c r="O384" s="41" t="n"/>
      <c r="P384" s="41" t="n"/>
      <c r="Q384" s="41" t="n"/>
      <c r="R384" s="41" t="n"/>
      <c r="S384" s="41" t="n"/>
      <c r="T384" s="42" t="n"/>
      <c r="U384" s="42" t="n"/>
      <c r="V384" s="42" t="n"/>
      <c r="W384" s="42" t="n"/>
      <c r="X384" s="42" t="n"/>
      <c r="Y384" s="42" t="n"/>
      <c r="Z384" s="42" t="n"/>
      <c r="AA384" s="42" t="n"/>
      <c r="AB384" s="42" t="n"/>
      <c r="AC384" s="42" t="n"/>
      <c r="AD384" s="42" t="n"/>
      <c r="AE384" s="42" t="n"/>
      <c r="AF384" s="42" t="n"/>
      <c r="AG384" s="42" t="n"/>
      <c r="AH384" s="42" t="n"/>
      <c r="AI384" s="15">
        <f>IF(COUNTA(T384:AH384)=0,"",SUM(T384:AH384))</f>
        <v/>
      </c>
      <c r="AJ384" s="21">
        <f>IF(COUNTA(T384:AH384)=0,"",AI384/(COUNT(KPI_Weights!$A$4:$A$18)*5))</f>
        <v/>
      </c>
      <c r="AK384" s="21">
        <f>IF(COUNTA(T384:AH384)=0,"",SUMPRODUCT(T384:AH384,KPI_Weights!$B$4:$B$18)/5)</f>
        <v/>
      </c>
      <c r="AL384" s="15">
        <f>IF(COUNTA(T384:AH384)=0,"",IF(SUMPRODUCT(--(T384:AH384&lt;=1),--(KPI_Weights!$C$4:$C$18="YES"))&gt;0,"YES","NO"))</f>
        <v/>
      </c>
      <c r="AM384" s="15">
        <f>IF(AJ384="","",IF(AND(AL384="NO",AJ384&gt;=0.75),"YES","NO"))</f>
        <v/>
      </c>
      <c r="AN384" s="15">
        <f>IF(AJ384="","",IF(AJ384&lt;0.4,"Critical",IF(AJ384&lt;0.6,"Poor",IF(AJ384&lt;0.75,"Needs Improvement",IF(AJ384&lt;0.9,"Good","Excellent")))))</f>
        <v/>
      </c>
      <c r="AO384" s="41" t="n"/>
      <c r="AP384" s="41" t="n"/>
      <c r="AQ384" s="41" t="n"/>
      <c r="AR384" s="41" t="n"/>
      <c r="AS384" s="41" t="n"/>
      <c r="AT384" s="44" t="n"/>
      <c r="AU384" s="41" t="n"/>
      <c r="AV384" s="43" t="n"/>
      <c r="AW384" s="41" t="n"/>
      <c r="AX384" s="44" t="n"/>
      <c r="AY384" s="44" t="n"/>
      <c r="AZ384" s="44" t="n"/>
      <c r="BA384" s="44" t="n"/>
      <c r="BB384" s="44" t="n"/>
      <c r="BC384" s="44" t="n"/>
      <c r="BD384" s="44" t="n"/>
      <c r="BE384" s="44" t="n"/>
      <c r="BF384" s="44" t="n"/>
    </row>
    <row r="385" ht="19.5" customHeight="1" s="45">
      <c r="A385" s="15">
        <f>IF($B385="","",TEXT($B385,"yyyymmdd")&amp;"-"&amp;SUBSTITUTE($F385," ","")&amp;"-"&amp;TEXT(COUNTIF($F$4:F385,$F385),"00"))</f>
        <v/>
      </c>
      <c r="B385" s="39" t="n"/>
      <c r="C385" s="15">
        <f>IF($B385="","",WEEKNUM($B385,2))</f>
        <v/>
      </c>
      <c r="D385" s="15">
        <f>IF($B385="","",TEXT($B385,"yyyy-mm"))</f>
        <v/>
      </c>
      <c r="E385" s="40" t="n"/>
      <c r="F385" s="40" t="n"/>
      <c r="G385" s="15">
        <f>IF(OR($E385="",$F385=""),"",IFERROR(IF($E385=INDEX(Cluster_Master!$A$4:$A$18,MATCH($F385,Cluster_Master!$B$4:$B$18,0)),"OK","CHECK"),"CHECK"))</f>
        <v/>
      </c>
      <c r="H385" s="18">
        <f>IFERROR(INDEX(Cluster_Master!$C$4:$C$18,MATCH($F385,Cluster_Master!$B$4:$B$18,0)),"")</f>
        <v/>
      </c>
      <c r="I385" s="15">
        <f>IFERROR(INDEX(Cluster_Master!$D$4:$D$18,MATCH($F385,Cluster_Master!$B$4:$B$18,0)),"")</f>
        <v/>
      </c>
      <c r="J385" s="15">
        <f>IFERROR(INDEX(Cluster_Master!$E$4:$E$18,MATCH($F385,Cluster_Master!$B$4:$B$18,0)),"")</f>
        <v/>
      </c>
      <c r="K385" s="15">
        <f>IFERROR(INDEX(Cluster_Master!$F$4:$F$18,MATCH($F385,Cluster_Master!$B$4:$B$18,0)),"")</f>
        <v/>
      </c>
      <c r="L385" s="15">
        <f>IFERROR(INDEX(Cluster_Master!$G$4:$G$18,MATCH($F385,Cluster_Master!$B$4:$B$18,0)),"")</f>
        <v/>
      </c>
      <c r="M385" s="15">
        <f>IFERROR(INDEX(Cluster_Master!$H$4:$H$18,MATCH($F385,Cluster_Master!$B$4:$B$18,0)),"")</f>
        <v/>
      </c>
      <c r="N385" s="41" t="n"/>
      <c r="O385" s="41" t="n"/>
      <c r="P385" s="41" t="n"/>
      <c r="Q385" s="41" t="n"/>
      <c r="R385" s="41" t="n"/>
      <c r="S385" s="41" t="n"/>
      <c r="T385" s="42" t="n"/>
      <c r="U385" s="42" t="n"/>
      <c r="V385" s="42" t="n"/>
      <c r="W385" s="42" t="n"/>
      <c r="X385" s="42" t="n"/>
      <c r="Y385" s="42" t="n"/>
      <c r="Z385" s="42" t="n"/>
      <c r="AA385" s="42" t="n"/>
      <c r="AB385" s="42" t="n"/>
      <c r="AC385" s="42" t="n"/>
      <c r="AD385" s="42" t="n"/>
      <c r="AE385" s="42" t="n"/>
      <c r="AF385" s="42" t="n"/>
      <c r="AG385" s="42" t="n"/>
      <c r="AH385" s="42" t="n"/>
      <c r="AI385" s="15">
        <f>IF(COUNTA(T385:AH385)=0,"",SUM(T385:AH385))</f>
        <v/>
      </c>
      <c r="AJ385" s="21">
        <f>IF(COUNTA(T385:AH385)=0,"",AI385/(COUNT(KPI_Weights!$A$4:$A$18)*5))</f>
        <v/>
      </c>
      <c r="AK385" s="21">
        <f>IF(COUNTA(T385:AH385)=0,"",SUMPRODUCT(T385:AH385,KPI_Weights!$B$4:$B$18)/5)</f>
        <v/>
      </c>
      <c r="AL385" s="15">
        <f>IF(COUNTA(T385:AH385)=0,"",IF(SUMPRODUCT(--(T385:AH385&lt;=1),--(KPI_Weights!$C$4:$C$18="YES"))&gt;0,"YES","NO"))</f>
        <v/>
      </c>
      <c r="AM385" s="15">
        <f>IF(AJ385="","",IF(AND(AL385="NO",AJ385&gt;=0.75),"YES","NO"))</f>
        <v/>
      </c>
      <c r="AN385" s="15">
        <f>IF(AJ385="","",IF(AJ385&lt;0.4,"Critical",IF(AJ385&lt;0.6,"Poor",IF(AJ385&lt;0.75,"Needs Improvement",IF(AJ385&lt;0.9,"Good","Excellent")))))</f>
        <v/>
      </c>
      <c r="AO385" s="41" t="n"/>
      <c r="AP385" s="41" t="n"/>
      <c r="AQ385" s="41" t="n"/>
      <c r="AR385" s="41" t="n"/>
      <c r="AS385" s="41" t="n"/>
      <c r="AT385" s="44" t="n"/>
      <c r="AU385" s="41" t="n"/>
      <c r="AV385" s="43" t="n"/>
      <c r="AW385" s="41" t="n"/>
      <c r="AX385" s="44" t="n"/>
      <c r="AY385" s="44" t="n"/>
      <c r="AZ385" s="44" t="n"/>
      <c r="BA385" s="44" t="n"/>
      <c r="BB385" s="44" t="n"/>
      <c r="BC385" s="44" t="n"/>
      <c r="BD385" s="44" t="n"/>
      <c r="BE385" s="44" t="n"/>
      <c r="BF385" s="44" t="n"/>
    </row>
    <row r="386" ht="19.5" customHeight="1" s="45">
      <c r="A386" s="15">
        <f>IF($B386="","",TEXT($B386,"yyyymmdd")&amp;"-"&amp;SUBSTITUTE($F386," ","")&amp;"-"&amp;TEXT(COUNTIF($F$4:F386,$F386),"00"))</f>
        <v/>
      </c>
      <c r="B386" s="39" t="n"/>
      <c r="C386" s="15">
        <f>IF($B386="","",WEEKNUM($B386,2))</f>
        <v/>
      </c>
      <c r="D386" s="15">
        <f>IF($B386="","",TEXT($B386,"yyyy-mm"))</f>
        <v/>
      </c>
      <c r="E386" s="40" t="n"/>
      <c r="F386" s="40" t="n"/>
      <c r="G386" s="15">
        <f>IF(OR($E386="",$F386=""),"",IFERROR(IF($E386=INDEX(Cluster_Master!$A$4:$A$18,MATCH($F386,Cluster_Master!$B$4:$B$18,0)),"OK","CHECK"),"CHECK"))</f>
        <v/>
      </c>
      <c r="H386" s="18">
        <f>IFERROR(INDEX(Cluster_Master!$C$4:$C$18,MATCH($F386,Cluster_Master!$B$4:$B$18,0)),"")</f>
        <v/>
      </c>
      <c r="I386" s="15">
        <f>IFERROR(INDEX(Cluster_Master!$D$4:$D$18,MATCH($F386,Cluster_Master!$B$4:$B$18,0)),"")</f>
        <v/>
      </c>
      <c r="J386" s="15">
        <f>IFERROR(INDEX(Cluster_Master!$E$4:$E$18,MATCH($F386,Cluster_Master!$B$4:$B$18,0)),"")</f>
        <v/>
      </c>
      <c r="K386" s="15">
        <f>IFERROR(INDEX(Cluster_Master!$F$4:$F$18,MATCH($F386,Cluster_Master!$B$4:$B$18,0)),"")</f>
        <v/>
      </c>
      <c r="L386" s="15">
        <f>IFERROR(INDEX(Cluster_Master!$G$4:$G$18,MATCH($F386,Cluster_Master!$B$4:$B$18,0)),"")</f>
        <v/>
      </c>
      <c r="M386" s="15">
        <f>IFERROR(INDEX(Cluster_Master!$H$4:$H$18,MATCH($F386,Cluster_Master!$B$4:$B$18,0)),"")</f>
        <v/>
      </c>
      <c r="N386" s="41" t="n"/>
      <c r="O386" s="41" t="n"/>
      <c r="P386" s="41" t="n"/>
      <c r="Q386" s="41" t="n"/>
      <c r="R386" s="41" t="n"/>
      <c r="S386" s="41" t="n"/>
      <c r="T386" s="42" t="n"/>
      <c r="U386" s="42" t="n"/>
      <c r="V386" s="42" t="n"/>
      <c r="W386" s="42" t="n"/>
      <c r="X386" s="42" t="n"/>
      <c r="Y386" s="42" t="n"/>
      <c r="Z386" s="42" t="n"/>
      <c r="AA386" s="42" t="n"/>
      <c r="AB386" s="42" t="n"/>
      <c r="AC386" s="42" t="n"/>
      <c r="AD386" s="42" t="n"/>
      <c r="AE386" s="42" t="n"/>
      <c r="AF386" s="42" t="n"/>
      <c r="AG386" s="42" t="n"/>
      <c r="AH386" s="42" t="n"/>
      <c r="AI386" s="15">
        <f>IF(COUNTA(T386:AH386)=0,"",SUM(T386:AH386))</f>
        <v/>
      </c>
      <c r="AJ386" s="21">
        <f>IF(COUNTA(T386:AH386)=0,"",AI386/(COUNT(KPI_Weights!$A$4:$A$18)*5))</f>
        <v/>
      </c>
      <c r="AK386" s="21">
        <f>IF(COUNTA(T386:AH386)=0,"",SUMPRODUCT(T386:AH386,KPI_Weights!$B$4:$B$18)/5)</f>
        <v/>
      </c>
      <c r="AL386" s="15">
        <f>IF(COUNTA(T386:AH386)=0,"",IF(SUMPRODUCT(--(T386:AH386&lt;=1),--(KPI_Weights!$C$4:$C$18="YES"))&gt;0,"YES","NO"))</f>
        <v/>
      </c>
      <c r="AM386" s="15">
        <f>IF(AJ386="","",IF(AND(AL386="NO",AJ386&gt;=0.75),"YES","NO"))</f>
        <v/>
      </c>
      <c r="AN386" s="15">
        <f>IF(AJ386="","",IF(AJ386&lt;0.4,"Critical",IF(AJ386&lt;0.6,"Poor",IF(AJ386&lt;0.75,"Needs Improvement",IF(AJ386&lt;0.9,"Good","Excellent")))))</f>
        <v/>
      </c>
      <c r="AO386" s="41" t="n"/>
      <c r="AP386" s="41" t="n"/>
      <c r="AQ386" s="41" t="n"/>
      <c r="AR386" s="41" t="n"/>
      <c r="AS386" s="41" t="n"/>
      <c r="AT386" s="44" t="n"/>
      <c r="AU386" s="41" t="n"/>
      <c r="AV386" s="43" t="n"/>
      <c r="AW386" s="41" t="n"/>
      <c r="AX386" s="44" t="n"/>
      <c r="AY386" s="44" t="n"/>
      <c r="AZ386" s="44" t="n"/>
      <c r="BA386" s="44" t="n"/>
      <c r="BB386" s="44" t="n"/>
      <c r="BC386" s="44" t="n"/>
      <c r="BD386" s="44" t="n"/>
      <c r="BE386" s="44" t="n"/>
      <c r="BF386" s="44" t="n"/>
    </row>
    <row r="387" ht="19.5" customHeight="1" s="45">
      <c r="A387" s="15">
        <f>IF($B387="","",TEXT($B387,"yyyymmdd")&amp;"-"&amp;SUBSTITUTE($F387," ","")&amp;"-"&amp;TEXT(COUNTIF($F$4:F387,$F387),"00"))</f>
        <v/>
      </c>
      <c r="B387" s="39" t="n"/>
      <c r="C387" s="15">
        <f>IF($B387="","",WEEKNUM($B387,2))</f>
        <v/>
      </c>
      <c r="D387" s="15">
        <f>IF($B387="","",TEXT($B387,"yyyy-mm"))</f>
        <v/>
      </c>
      <c r="E387" s="40" t="n"/>
      <c r="F387" s="40" t="n"/>
      <c r="G387" s="15">
        <f>IF(OR($E387="",$F387=""),"",IFERROR(IF($E387=INDEX(Cluster_Master!$A$4:$A$18,MATCH($F387,Cluster_Master!$B$4:$B$18,0)),"OK","CHECK"),"CHECK"))</f>
        <v/>
      </c>
      <c r="H387" s="18">
        <f>IFERROR(INDEX(Cluster_Master!$C$4:$C$18,MATCH($F387,Cluster_Master!$B$4:$B$18,0)),"")</f>
        <v/>
      </c>
      <c r="I387" s="15">
        <f>IFERROR(INDEX(Cluster_Master!$D$4:$D$18,MATCH($F387,Cluster_Master!$B$4:$B$18,0)),"")</f>
        <v/>
      </c>
      <c r="J387" s="15">
        <f>IFERROR(INDEX(Cluster_Master!$E$4:$E$18,MATCH($F387,Cluster_Master!$B$4:$B$18,0)),"")</f>
        <v/>
      </c>
      <c r="K387" s="15">
        <f>IFERROR(INDEX(Cluster_Master!$F$4:$F$18,MATCH($F387,Cluster_Master!$B$4:$B$18,0)),"")</f>
        <v/>
      </c>
      <c r="L387" s="15">
        <f>IFERROR(INDEX(Cluster_Master!$G$4:$G$18,MATCH($F387,Cluster_Master!$B$4:$B$18,0)),"")</f>
        <v/>
      </c>
      <c r="M387" s="15">
        <f>IFERROR(INDEX(Cluster_Master!$H$4:$H$18,MATCH($F387,Cluster_Master!$B$4:$B$18,0)),"")</f>
        <v/>
      </c>
      <c r="N387" s="41" t="n"/>
      <c r="O387" s="41" t="n"/>
      <c r="P387" s="41" t="n"/>
      <c r="Q387" s="41" t="n"/>
      <c r="R387" s="41" t="n"/>
      <c r="S387" s="41" t="n"/>
      <c r="T387" s="42" t="n"/>
      <c r="U387" s="42" t="n"/>
      <c r="V387" s="42" t="n"/>
      <c r="W387" s="42" t="n"/>
      <c r="X387" s="42" t="n"/>
      <c r="Y387" s="42" t="n"/>
      <c r="Z387" s="42" t="n"/>
      <c r="AA387" s="42" t="n"/>
      <c r="AB387" s="42" t="n"/>
      <c r="AC387" s="42" t="n"/>
      <c r="AD387" s="42" t="n"/>
      <c r="AE387" s="42" t="n"/>
      <c r="AF387" s="42" t="n"/>
      <c r="AG387" s="42" t="n"/>
      <c r="AH387" s="42" t="n"/>
      <c r="AI387" s="15">
        <f>IF(COUNTA(T387:AH387)=0,"",SUM(T387:AH387))</f>
        <v/>
      </c>
      <c r="AJ387" s="21">
        <f>IF(COUNTA(T387:AH387)=0,"",AI387/(COUNT(KPI_Weights!$A$4:$A$18)*5))</f>
        <v/>
      </c>
      <c r="AK387" s="21">
        <f>IF(COUNTA(T387:AH387)=0,"",SUMPRODUCT(T387:AH387,KPI_Weights!$B$4:$B$18)/5)</f>
        <v/>
      </c>
      <c r="AL387" s="15">
        <f>IF(COUNTA(T387:AH387)=0,"",IF(SUMPRODUCT(--(T387:AH387&lt;=1),--(KPI_Weights!$C$4:$C$18="YES"))&gt;0,"YES","NO"))</f>
        <v/>
      </c>
      <c r="AM387" s="15">
        <f>IF(AJ387="","",IF(AND(AL387="NO",AJ387&gt;=0.75),"YES","NO"))</f>
        <v/>
      </c>
      <c r="AN387" s="15">
        <f>IF(AJ387="","",IF(AJ387&lt;0.4,"Critical",IF(AJ387&lt;0.6,"Poor",IF(AJ387&lt;0.75,"Needs Improvement",IF(AJ387&lt;0.9,"Good","Excellent")))))</f>
        <v/>
      </c>
      <c r="AO387" s="41" t="n"/>
      <c r="AP387" s="41" t="n"/>
      <c r="AQ387" s="41" t="n"/>
      <c r="AR387" s="41" t="n"/>
      <c r="AS387" s="41" t="n"/>
      <c r="AT387" s="44" t="n"/>
      <c r="AU387" s="41" t="n"/>
      <c r="AV387" s="43" t="n"/>
      <c r="AW387" s="41" t="n"/>
      <c r="AX387" s="44" t="n"/>
      <c r="AY387" s="44" t="n"/>
      <c r="AZ387" s="44" t="n"/>
      <c r="BA387" s="44" t="n"/>
      <c r="BB387" s="44" t="n"/>
      <c r="BC387" s="44" t="n"/>
      <c r="BD387" s="44" t="n"/>
      <c r="BE387" s="44" t="n"/>
      <c r="BF387" s="44" t="n"/>
    </row>
    <row r="388" ht="19.5" customHeight="1" s="45">
      <c r="A388" s="15">
        <f>IF($B388="","",TEXT($B388,"yyyymmdd")&amp;"-"&amp;SUBSTITUTE($F388," ","")&amp;"-"&amp;TEXT(COUNTIF($F$4:F388,$F388),"00"))</f>
        <v/>
      </c>
      <c r="B388" s="39" t="n"/>
      <c r="C388" s="15">
        <f>IF($B388="","",WEEKNUM($B388,2))</f>
        <v/>
      </c>
      <c r="D388" s="15">
        <f>IF($B388="","",TEXT($B388,"yyyy-mm"))</f>
        <v/>
      </c>
      <c r="E388" s="40" t="n"/>
      <c r="F388" s="40" t="n"/>
      <c r="G388" s="15">
        <f>IF(OR($E388="",$F388=""),"",IFERROR(IF($E388=INDEX(Cluster_Master!$A$4:$A$18,MATCH($F388,Cluster_Master!$B$4:$B$18,0)),"OK","CHECK"),"CHECK"))</f>
        <v/>
      </c>
      <c r="H388" s="18">
        <f>IFERROR(INDEX(Cluster_Master!$C$4:$C$18,MATCH($F388,Cluster_Master!$B$4:$B$18,0)),"")</f>
        <v/>
      </c>
      <c r="I388" s="15">
        <f>IFERROR(INDEX(Cluster_Master!$D$4:$D$18,MATCH($F388,Cluster_Master!$B$4:$B$18,0)),"")</f>
        <v/>
      </c>
      <c r="J388" s="15">
        <f>IFERROR(INDEX(Cluster_Master!$E$4:$E$18,MATCH($F388,Cluster_Master!$B$4:$B$18,0)),"")</f>
        <v/>
      </c>
      <c r="K388" s="15">
        <f>IFERROR(INDEX(Cluster_Master!$F$4:$F$18,MATCH($F388,Cluster_Master!$B$4:$B$18,0)),"")</f>
        <v/>
      </c>
      <c r="L388" s="15">
        <f>IFERROR(INDEX(Cluster_Master!$G$4:$G$18,MATCH($F388,Cluster_Master!$B$4:$B$18,0)),"")</f>
        <v/>
      </c>
      <c r="M388" s="15">
        <f>IFERROR(INDEX(Cluster_Master!$H$4:$H$18,MATCH($F388,Cluster_Master!$B$4:$B$18,0)),"")</f>
        <v/>
      </c>
      <c r="N388" s="41" t="n"/>
      <c r="O388" s="41" t="n"/>
      <c r="P388" s="41" t="n"/>
      <c r="Q388" s="41" t="n"/>
      <c r="R388" s="41" t="n"/>
      <c r="S388" s="41" t="n"/>
      <c r="T388" s="42" t="n"/>
      <c r="U388" s="42" t="n"/>
      <c r="V388" s="42" t="n"/>
      <c r="W388" s="42" t="n"/>
      <c r="X388" s="42" t="n"/>
      <c r="Y388" s="42" t="n"/>
      <c r="Z388" s="42" t="n"/>
      <c r="AA388" s="42" t="n"/>
      <c r="AB388" s="42" t="n"/>
      <c r="AC388" s="42" t="n"/>
      <c r="AD388" s="42" t="n"/>
      <c r="AE388" s="42" t="n"/>
      <c r="AF388" s="42" t="n"/>
      <c r="AG388" s="42" t="n"/>
      <c r="AH388" s="42" t="n"/>
      <c r="AI388" s="15">
        <f>IF(COUNTA(T388:AH388)=0,"",SUM(T388:AH388))</f>
        <v/>
      </c>
      <c r="AJ388" s="21">
        <f>IF(COUNTA(T388:AH388)=0,"",AI388/(COUNT(KPI_Weights!$A$4:$A$18)*5))</f>
        <v/>
      </c>
      <c r="AK388" s="21">
        <f>IF(COUNTA(T388:AH388)=0,"",SUMPRODUCT(T388:AH388,KPI_Weights!$B$4:$B$18)/5)</f>
        <v/>
      </c>
      <c r="AL388" s="15">
        <f>IF(COUNTA(T388:AH388)=0,"",IF(SUMPRODUCT(--(T388:AH388&lt;=1),--(KPI_Weights!$C$4:$C$18="YES"))&gt;0,"YES","NO"))</f>
        <v/>
      </c>
      <c r="AM388" s="15">
        <f>IF(AJ388="","",IF(AND(AL388="NO",AJ388&gt;=0.75),"YES","NO"))</f>
        <v/>
      </c>
      <c r="AN388" s="15">
        <f>IF(AJ388="","",IF(AJ388&lt;0.4,"Critical",IF(AJ388&lt;0.6,"Poor",IF(AJ388&lt;0.75,"Needs Improvement",IF(AJ388&lt;0.9,"Good","Excellent")))))</f>
        <v/>
      </c>
      <c r="AO388" s="41" t="n"/>
      <c r="AP388" s="41" t="n"/>
      <c r="AQ388" s="41" t="n"/>
      <c r="AR388" s="41" t="n"/>
      <c r="AS388" s="41" t="n"/>
      <c r="AT388" s="44" t="n"/>
      <c r="AU388" s="41" t="n"/>
      <c r="AV388" s="43" t="n"/>
      <c r="AW388" s="41" t="n"/>
      <c r="AX388" s="44" t="n"/>
      <c r="AY388" s="44" t="n"/>
      <c r="AZ388" s="44" t="n"/>
      <c r="BA388" s="44" t="n"/>
      <c r="BB388" s="44" t="n"/>
      <c r="BC388" s="44" t="n"/>
      <c r="BD388" s="44" t="n"/>
      <c r="BE388" s="44" t="n"/>
      <c r="BF388" s="44" t="n"/>
    </row>
    <row r="389" ht="19.5" customHeight="1" s="45">
      <c r="A389" s="15">
        <f>IF($B389="","",TEXT($B389,"yyyymmdd")&amp;"-"&amp;SUBSTITUTE($F389," ","")&amp;"-"&amp;TEXT(COUNTIF($F$4:F389,$F389),"00"))</f>
        <v/>
      </c>
      <c r="B389" s="39" t="n"/>
      <c r="C389" s="15">
        <f>IF($B389="","",WEEKNUM($B389,2))</f>
        <v/>
      </c>
      <c r="D389" s="15">
        <f>IF($B389="","",TEXT($B389,"yyyy-mm"))</f>
        <v/>
      </c>
      <c r="E389" s="40" t="n"/>
      <c r="F389" s="40" t="n"/>
      <c r="G389" s="15">
        <f>IF(OR($E389="",$F389=""),"",IFERROR(IF($E389=INDEX(Cluster_Master!$A$4:$A$18,MATCH($F389,Cluster_Master!$B$4:$B$18,0)),"OK","CHECK"),"CHECK"))</f>
        <v/>
      </c>
      <c r="H389" s="18">
        <f>IFERROR(INDEX(Cluster_Master!$C$4:$C$18,MATCH($F389,Cluster_Master!$B$4:$B$18,0)),"")</f>
        <v/>
      </c>
      <c r="I389" s="15">
        <f>IFERROR(INDEX(Cluster_Master!$D$4:$D$18,MATCH($F389,Cluster_Master!$B$4:$B$18,0)),"")</f>
        <v/>
      </c>
      <c r="J389" s="15">
        <f>IFERROR(INDEX(Cluster_Master!$E$4:$E$18,MATCH($F389,Cluster_Master!$B$4:$B$18,0)),"")</f>
        <v/>
      </c>
      <c r="K389" s="15">
        <f>IFERROR(INDEX(Cluster_Master!$F$4:$F$18,MATCH($F389,Cluster_Master!$B$4:$B$18,0)),"")</f>
        <v/>
      </c>
      <c r="L389" s="15">
        <f>IFERROR(INDEX(Cluster_Master!$G$4:$G$18,MATCH($F389,Cluster_Master!$B$4:$B$18,0)),"")</f>
        <v/>
      </c>
      <c r="M389" s="15">
        <f>IFERROR(INDEX(Cluster_Master!$H$4:$H$18,MATCH($F389,Cluster_Master!$B$4:$B$18,0)),"")</f>
        <v/>
      </c>
      <c r="N389" s="41" t="n"/>
      <c r="O389" s="41" t="n"/>
      <c r="P389" s="41" t="n"/>
      <c r="Q389" s="41" t="n"/>
      <c r="R389" s="41" t="n"/>
      <c r="S389" s="41" t="n"/>
      <c r="T389" s="42" t="n"/>
      <c r="U389" s="42" t="n"/>
      <c r="V389" s="42" t="n"/>
      <c r="W389" s="42" t="n"/>
      <c r="X389" s="42" t="n"/>
      <c r="Y389" s="42" t="n"/>
      <c r="Z389" s="42" t="n"/>
      <c r="AA389" s="42" t="n"/>
      <c r="AB389" s="42" t="n"/>
      <c r="AC389" s="42" t="n"/>
      <c r="AD389" s="42" t="n"/>
      <c r="AE389" s="42" t="n"/>
      <c r="AF389" s="42" t="n"/>
      <c r="AG389" s="42" t="n"/>
      <c r="AH389" s="42" t="n"/>
      <c r="AI389" s="15">
        <f>IF(COUNTA(T389:AH389)=0,"",SUM(T389:AH389))</f>
        <v/>
      </c>
      <c r="AJ389" s="21">
        <f>IF(COUNTA(T389:AH389)=0,"",AI389/(COUNT(KPI_Weights!$A$4:$A$18)*5))</f>
        <v/>
      </c>
      <c r="AK389" s="21">
        <f>IF(COUNTA(T389:AH389)=0,"",SUMPRODUCT(T389:AH389,KPI_Weights!$B$4:$B$18)/5)</f>
        <v/>
      </c>
      <c r="AL389" s="15">
        <f>IF(COUNTA(T389:AH389)=0,"",IF(SUMPRODUCT(--(T389:AH389&lt;=1),--(KPI_Weights!$C$4:$C$18="YES"))&gt;0,"YES","NO"))</f>
        <v/>
      </c>
      <c r="AM389" s="15">
        <f>IF(AJ389="","",IF(AND(AL389="NO",AJ389&gt;=0.75),"YES","NO"))</f>
        <v/>
      </c>
      <c r="AN389" s="15">
        <f>IF(AJ389="","",IF(AJ389&lt;0.4,"Critical",IF(AJ389&lt;0.6,"Poor",IF(AJ389&lt;0.75,"Needs Improvement",IF(AJ389&lt;0.9,"Good","Excellent")))))</f>
        <v/>
      </c>
      <c r="AO389" s="41" t="n"/>
      <c r="AP389" s="41" t="n"/>
      <c r="AQ389" s="41" t="n"/>
      <c r="AR389" s="41" t="n"/>
      <c r="AS389" s="41" t="n"/>
      <c r="AT389" s="44" t="n"/>
      <c r="AU389" s="41" t="n"/>
      <c r="AV389" s="43" t="n"/>
      <c r="AW389" s="41" t="n"/>
      <c r="AX389" s="44" t="n"/>
      <c r="AY389" s="44" t="n"/>
      <c r="AZ389" s="44" t="n"/>
      <c r="BA389" s="44" t="n"/>
      <c r="BB389" s="44" t="n"/>
      <c r="BC389" s="44" t="n"/>
      <c r="BD389" s="44" t="n"/>
      <c r="BE389" s="44" t="n"/>
      <c r="BF389" s="44" t="n"/>
    </row>
    <row r="390" ht="19.5" customHeight="1" s="45">
      <c r="A390" s="15">
        <f>IF($B390="","",TEXT($B390,"yyyymmdd")&amp;"-"&amp;SUBSTITUTE($F390," ","")&amp;"-"&amp;TEXT(COUNTIF($F$4:F390,$F390),"00"))</f>
        <v/>
      </c>
      <c r="B390" s="39" t="n"/>
      <c r="C390" s="15">
        <f>IF($B390="","",WEEKNUM($B390,2))</f>
        <v/>
      </c>
      <c r="D390" s="15">
        <f>IF($B390="","",TEXT($B390,"yyyy-mm"))</f>
        <v/>
      </c>
      <c r="E390" s="40" t="n"/>
      <c r="F390" s="40" t="n"/>
      <c r="G390" s="15">
        <f>IF(OR($E390="",$F390=""),"",IFERROR(IF($E390=INDEX(Cluster_Master!$A$4:$A$18,MATCH($F390,Cluster_Master!$B$4:$B$18,0)),"OK","CHECK"),"CHECK"))</f>
        <v/>
      </c>
      <c r="H390" s="18">
        <f>IFERROR(INDEX(Cluster_Master!$C$4:$C$18,MATCH($F390,Cluster_Master!$B$4:$B$18,0)),"")</f>
        <v/>
      </c>
      <c r="I390" s="15">
        <f>IFERROR(INDEX(Cluster_Master!$D$4:$D$18,MATCH($F390,Cluster_Master!$B$4:$B$18,0)),"")</f>
        <v/>
      </c>
      <c r="J390" s="15">
        <f>IFERROR(INDEX(Cluster_Master!$E$4:$E$18,MATCH($F390,Cluster_Master!$B$4:$B$18,0)),"")</f>
        <v/>
      </c>
      <c r="K390" s="15">
        <f>IFERROR(INDEX(Cluster_Master!$F$4:$F$18,MATCH($F390,Cluster_Master!$B$4:$B$18,0)),"")</f>
        <v/>
      </c>
      <c r="L390" s="15">
        <f>IFERROR(INDEX(Cluster_Master!$G$4:$G$18,MATCH($F390,Cluster_Master!$B$4:$B$18,0)),"")</f>
        <v/>
      </c>
      <c r="M390" s="15">
        <f>IFERROR(INDEX(Cluster_Master!$H$4:$H$18,MATCH($F390,Cluster_Master!$B$4:$B$18,0)),"")</f>
        <v/>
      </c>
      <c r="N390" s="41" t="n"/>
      <c r="O390" s="41" t="n"/>
      <c r="P390" s="41" t="n"/>
      <c r="Q390" s="41" t="n"/>
      <c r="R390" s="41" t="n"/>
      <c r="S390" s="41" t="n"/>
      <c r="T390" s="42" t="n"/>
      <c r="U390" s="42" t="n"/>
      <c r="V390" s="42" t="n"/>
      <c r="W390" s="42" t="n"/>
      <c r="X390" s="42" t="n"/>
      <c r="Y390" s="42" t="n"/>
      <c r="Z390" s="42" t="n"/>
      <c r="AA390" s="42" t="n"/>
      <c r="AB390" s="42" t="n"/>
      <c r="AC390" s="42" t="n"/>
      <c r="AD390" s="42" t="n"/>
      <c r="AE390" s="42" t="n"/>
      <c r="AF390" s="42" t="n"/>
      <c r="AG390" s="42" t="n"/>
      <c r="AH390" s="42" t="n"/>
      <c r="AI390" s="15">
        <f>IF(COUNTA(T390:AH390)=0,"",SUM(T390:AH390))</f>
        <v/>
      </c>
      <c r="AJ390" s="21">
        <f>IF(COUNTA(T390:AH390)=0,"",AI390/(COUNT(KPI_Weights!$A$4:$A$18)*5))</f>
        <v/>
      </c>
      <c r="AK390" s="21">
        <f>IF(COUNTA(T390:AH390)=0,"",SUMPRODUCT(T390:AH390,KPI_Weights!$B$4:$B$18)/5)</f>
        <v/>
      </c>
      <c r="AL390" s="15">
        <f>IF(COUNTA(T390:AH390)=0,"",IF(SUMPRODUCT(--(T390:AH390&lt;=1),--(KPI_Weights!$C$4:$C$18="YES"))&gt;0,"YES","NO"))</f>
        <v/>
      </c>
      <c r="AM390" s="15">
        <f>IF(AJ390="","",IF(AND(AL390="NO",AJ390&gt;=0.75),"YES","NO"))</f>
        <v/>
      </c>
      <c r="AN390" s="15">
        <f>IF(AJ390="","",IF(AJ390&lt;0.4,"Critical",IF(AJ390&lt;0.6,"Poor",IF(AJ390&lt;0.75,"Needs Improvement",IF(AJ390&lt;0.9,"Good","Excellent")))))</f>
        <v/>
      </c>
      <c r="AO390" s="41" t="n"/>
      <c r="AP390" s="41" t="n"/>
      <c r="AQ390" s="41" t="n"/>
      <c r="AR390" s="41" t="n"/>
      <c r="AS390" s="41" t="n"/>
      <c r="AT390" s="44" t="n"/>
      <c r="AU390" s="41" t="n"/>
      <c r="AV390" s="43" t="n"/>
      <c r="AW390" s="41" t="n"/>
      <c r="AX390" s="44" t="n"/>
      <c r="AY390" s="44" t="n"/>
      <c r="AZ390" s="44" t="n"/>
      <c r="BA390" s="44" t="n"/>
      <c r="BB390" s="44" t="n"/>
      <c r="BC390" s="44" t="n"/>
      <c r="BD390" s="44" t="n"/>
      <c r="BE390" s="44" t="n"/>
      <c r="BF390" s="44" t="n"/>
    </row>
    <row r="391" ht="19.5" customHeight="1" s="45">
      <c r="A391" s="15">
        <f>IF($B391="","",TEXT($B391,"yyyymmdd")&amp;"-"&amp;SUBSTITUTE($F391," ","")&amp;"-"&amp;TEXT(COUNTIF($F$4:F391,$F391),"00"))</f>
        <v/>
      </c>
      <c r="B391" s="39" t="n"/>
      <c r="C391" s="15">
        <f>IF($B391="","",WEEKNUM($B391,2))</f>
        <v/>
      </c>
      <c r="D391" s="15">
        <f>IF($B391="","",TEXT($B391,"yyyy-mm"))</f>
        <v/>
      </c>
      <c r="E391" s="40" t="n"/>
      <c r="F391" s="40" t="n"/>
      <c r="G391" s="15">
        <f>IF(OR($E391="",$F391=""),"",IFERROR(IF($E391=INDEX(Cluster_Master!$A$4:$A$18,MATCH($F391,Cluster_Master!$B$4:$B$18,0)),"OK","CHECK"),"CHECK"))</f>
        <v/>
      </c>
      <c r="H391" s="18">
        <f>IFERROR(INDEX(Cluster_Master!$C$4:$C$18,MATCH($F391,Cluster_Master!$B$4:$B$18,0)),"")</f>
        <v/>
      </c>
      <c r="I391" s="15">
        <f>IFERROR(INDEX(Cluster_Master!$D$4:$D$18,MATCH($F391,Cluster_Master!$B$4:$B$18,0)),"")</f>
        <v/>
      </c>
      <c r="J391" s="15">
        <f>IFERROR(INDEX(Cluster_Master!$E$4:$E$18,MATCH($F391,Cluster_Master!$B$4:$B$18,0)),"")</f>
        <v/>
      </c>
      <c r="K391" s="15">
        <f>IFERROR(INDEX(Cluster_Master!$F$4:$F$18,MATCH($F391,Cluster_Master!$B$4:$B$18,0)),"")</f>
        <v/>
      </c>
      <c r="L391" s="15">
        <f>IFERROR(INDEX(Cluster_Master!$G$4:$G$18,MATCH($F391,Cluster_Master!$B$4:$B$18,0)),"")</f>
        <v/>
      </c>
      <c r="M391" s="15">
        <f>IFERROR(INDEX(Cluster_Master!$H$4:$H$18,MATCH($F391,Cluster_Master!$B$4:$B$18,0)),"")</f>
        <v/>
      </c>
      <c r="N391" s="41" t="n"/>
      <c r="O391" s="41" t="n"/>
      <c r="P391" s="41" t="n"/>
      <c r="Q391" s="41" t="n"/>
      <c r="R391" s="41" t="n"/>
      <c r="S391" s="41" t="n"/>
      <c r="T391" s="42" t="n"/>
      <c r="U391" s="42" t="n"/>
      <c r="V391" s="42" t="n"/>
      <c r="W391" s="42" t="n"/>
      <c r="X391" s="42" t="n"/>
      <c r="Y391" s="42" t="n"/>
      <c r="Z391" s="42" t="n"/>
      <c r="AA391" s="42" t="n"/>
      <c r="AB391" s="42" t="n"/>
      <c r="AC391" s="42" t="n"/>
      <c r="AD391" s="42" t="n"/>
      <c r="AE391" s="42" t="n"/>
      <c r="AF391" s="42" t="n"/>
      <c r="AG391" s="42" t="n"/>
      <c r="AH391" s="42" t="n"/>
      <c r="AI391" s="15">
        <f>IF(COUNTA(T391:AH391)=0,"",SUM(T391:AH391))</f>
        <v/>
      </c>
      <c r="AJ391" s="21">
        <f>IF(COUNTA(T391:AH391)=0,"",AI391/(COUNT(KPI_Weights!$A$4:$A$18)*5))</f>
        <v/>
      </c>
      <c r="AK391" s="21">
        <f>IF(COUNTA(T391:AH391)=0,"",SUMPRODUCT(T391:AH391,KPI_Weights!$B$4:$B$18)/5)</f>
        <v/>
      </c>
      <c r="AL391" s="15">
        <f>IF(COUNTA(T391:AH391)=0,"",IF(SUMPRODUCT(--(T391:AH391&lt;=1),--(KPI_Weights!$C$4:$C$18="YES"))&gt;0,"YES","NO"))</f>
        <v/>
      </c>
      <c r="AM391" s="15">
        <f>IF(AJ391="","",IF(AND(AL391="NO",AJ391&gt;=0.75),"YES","NO"))</f>
        <v/>
      </c>
      <c r="AN391" s="15">
        <f>IF(AJ391="","",IF(AJ391&lt;0.4,"Critical",IF(AJ391&lt;0.6,"Poor",IF(AJ391&lt;0.75,"Needs Improvement",IF(AJ391&lt;0.9,"Good","Excellent")))))</f>
        <v/>
      </c>
      <c r="AO391" s="41" t="n"/>
      <c r="AP391" s="41" t="n"/>
      <c r="AQ391" s="41" t="n"/>
      <c r="AR391" s="41" t="n"/>
      <c r="AS391" s="41" t="n"/>
      <c r="AT391" s="44" t="n"/>
      <c r="AU391" s="41" t="n"/>
      <c r="AV391" s="43" t="n"/>
      <c r="AW391" s="41" t="n"/>
      <c r="AX391" s="44" t="n"/>
      <c r="AY391" s="44" t="n"/>
      <c r="AZ391" s="44" t="n"/>
      <c r="BA391" s="44" t="n"/>
      <c r="BB391" s="44" t="n"/>
      <c r="BC391" s="44" t="n"/>
      <c r="BD391" s="44" t="n"/>
      <c r="BE391" s="44" t="n"/>
      <c r="BF391" s="44" t="n"/>
    </row>
    <row r="392" ht="19.5" customHeight="1" s="45">
      <c r="A392" s="15">
        <f>IF($B392="","",TEXT($B392,"yyyymmdd")&amp;"-"&amp;SUBSTITUTE($F392," ","")&amp;"-"&amp;TEXT(COUNTIF($F$4:F392,$F392),"00"))</f>
        <v/>
      </c>
      <c r="B392" s="39" t="n"/>
      <c r="C392" s="15">
        <f>IF($B392="","",WEEKNUM($B392,2))</f>
        <v/>
      </c>
      <c r="D392" s="15">
        <f>IF($B392="","",TEXT($B392,"yyyy-mm"))</f>
        <v/>
      </c>
      <c r="E392" s="40" t="n"/>
      <c r="F392" s="40" t="n"/>
      <c r="G392" s="15">
        <f>IF(OR($E392="",$F392=""),"",IFERROR(IF($E392=INDEX(Cluster_Master!$A$4:$A$18,MATCH($F392,Cluster_Master!$B$4:$B$18,0)),"OK","CHECK"),"CHECK"))</f>
        <v/>
      </c>
      <c r="H392" s="18">
        <f>IFERROR(INDEX(Cluster_Master!$C$4:$C$18,MATCH($F392,Cluster_Master!$B$4:$B$18,0)),"")</f>
        <v/>
      </c>
      <c r="I392" s="15">
        <f>IFERROR(INDEX(Cluster_Master!$D$4:$D$18,MATCH($F392,Cluster_Master!$B$4:$B$18,0)),"")</f>
        <v/>
      </c>
      <c r="J392" s="15">
        <f>IFERROR(INDEX(Cluster_Master!$E$4:$E$18,MATCH($F392,Cluster_Master!$B$4:$B$18,0)),"")</f>
        <v/>
      </c>
      <c r="K392" s="15">
        <f>IFERROR(INDEX(Cluster_Master!$F$4:$F$18,MATCH($F392,Cluster_Master!$B$4:$B$18,0)),"")</f>
        <v/>
      </c>
      <c r="L392" s="15">
        <f>IFERROR(INDEX(Cluster_Master!$G$4:$G$18,MATCH($F392,Cluster_Master!$B$4:$B$18,0)),"")</f>
        <v/>
      </c>
      <c r="M392" s="15">
        <f>IFERROR(INDEX(Cluster_Master!$H$4:$H$18,MATCH($F392,Cluster_Master!$B$4:$B$18,0)),"")</f>
        <v/>
      </c>
      <c r="N392" s="41" t="n"/>
      <c r="O392" s="41" t="n"/>
      <c r="P392" s="41" t="n"/>
      <c r="Q392" s="41" t="n"/>
      <c r="R392" s="41" t="n"/>
      <c r="S392" s="41" t="n"/>
      <c r="T392" s="42" t="n"/>
      <c r="U392" s="42" t="n"/>
      <c r="V392" s="42" t="n"/>
      <c r="W392" s="42" t="n"/>
      <c r="X392" s="42" t="n"/>
      <c r="Y392" s="42" t="n"/>
      <c r="Z392" s="42" t="n"/>
      <c r="AA392" s="42" t="n"/>
      <c r="AB392" s="42" t="n"/>
      <c r="AC392" s="42" t="n"/>
      <c r="AD392" s="42" t="n"/>
      <c r="AE392" s="42" t="n"/>
      <c r="AF392" s="42" t="n"/>
      <c r="AG392" s="42" t="n"/>
      <c r="AH392" s="42" t="n"/>
      <c r="AI392" s="15">
        <f>IF(COUNTA(T392:AH392)=0,"",SUM(T392:AH392))</f>
        <v/>
      </c>
      <c r="AJ392" s="21">
        <f>IF(COUNTA(T392:AH392)=0,"",AI392/(COUNT(KPI_Weights!$A$4:$A$18)*5))</f>
        <v/>
      </c>
      <c r="AK392" s="21">
        <f>IF(COUNTA(T392:AH392)=0,"",SUMPRODUCT(T392:AH392,KPI_Weights!$B$4:$B$18)/5)</f>
        <v/>
      </c>
      <c r="AL392" s="15">
        <f>IF(COUNTA(T392:AH392)=0,"",IF(SUMPRODUCT(--(T392:AH392&lt;=1),--(KPI_Weights!$C$4:$C$18="YES"))&gt;0,"YES","NO"))</f>
        <v/>
      </c>
      <c r="AM392" s="15">
        <f>IF(AJ392="","",IF(AND(AL392="NO",AJ392&gt;=0.75),"YES","NO"))</f>
        <v/>
      </c>
      <c r="AN392" s="15">
        <f>IF(AJ392="","",IF(AJ392&lt;0.4,"Critical",IF(AJ392&lt;0.6,"Poor",IF(AJ392&lt;0.75,"Needs Improvement",IF(AJ392&lt;0.9,"Good","Excellent")))))</f>
        <v/>
      </c>
      <c r="AO392" s="41" t="n"/>
      <c r="AP392" s="41" t="n"/>
      <c r="AQ392" s="41" t="n"/>
      <c r="AR392" s="41" t="n"/>
      <c r="AS392" s="41" t="n"/>
      <c r="AT392" s="44" t="n"/>
      <c r="AU392" s="41" t="n"/>
      <c r="AV392" s="43" t="n"/>
      <c r="AW392" s="41" t="n"/>
      <c r="AX392" s="44" t="n"/>
      <c r="AY392" s="44" t="n"/>
      <c r="AZ392" s="44" t="n"/>
      <c r="BA392" s="44" t="n"/>
      <c r="BB392" s="44" t="n"/>
      <c r="BC392" s="44" t="n"/>
      <c r="BD392" s="44" t="n"/>
      <c r="BE392" s="44" t="n"/>
      <c r="BF392" s="44" t="n"/>
    </row>
    <row r="393" ht="19.5" customHeight="1" s="45">
      <c r="A393" s="15">
        <f>IF($B393="","",TEXT($B393,"yyyymmdd")&amp;"-"&amp;SUBSTITUTE($F393," ","")&amp;"-"&amp;TEXT(COUNTIF($F$4:F393,$F393),"00"))</f>
        <v/>
      </c>
      <c r="B393" s="39" t="n"/>
      <c r="C393" s="15">
        <f>IF($B393="","",WEEKNUM($B393,2))</f>
        <v/>
      </c>
      <c r="D393" s="15">
        <f>IF($B393="","",TEXT($B393,"yyyy-mm"))</f>
        <v/>
      </c>
      <c r="E393" s="40" t="n"/>
      <c r="F393" s="40" t="n"/>
      <c r="G393" s="15">
        <f>IF(OR($E393="",$F393=""),"",IFERROR(IF($E393=INDEX(Cluster_Master!$A$4:$A$18,MATCH($F393,Cluster_Master!$B$4:$B$18,0)),"OK","CHECK"),"CHECK"))</f>
        <v/>
      </c>
      <c r="H393" s="18">
        <f>IFERROR(INDEX(Cluster_Master!$C$4:$C$18,MATCH($F393,Cluster_Master!$B$4:$B$18,0)),"")</f>
        <v/>
      </c>
      <c r="I393" s="15">
        <f>IFERROR(INDEX(Cluster_Master!$D$4:$D$18,MATCH($F393,Cluster_Master!$B$4:$B$18,0)),"")</f>
        <v/>
      </c>
      <c r="J393" s="15">
        <f>IFERROR(INDEX(Cluster_Master!$E$4:$E$18,MATCH($F393,Cluster_Master!$B$4:$B$18,0)),"")</f>
        <v/>
      </c>
      <c r="K393" s="15">
        <f>IFERROR(INDEX(Cluster_Master!$F$4:$F$18,MATCH($F393,Cluster_Master!$B$4:$B$18,0)),"")</f>
        <v/>
      </c>
      <c r="L393" s="15">
        <f>IFERROR(INDEX(Cluster_Master!$G$4:$G$18,MATCH($F393,Cluster_Master!$B$4:$B$18,0)),"")</f>
        <v/>
      </c>
      <c r="M393" s="15">
        <f>IFERROR(INDEX(Cluster_Master!$H$4:$H$18,MATCH($F393,Cluster_Master!$B$4:$B$18,0)),"")</f>
        <v/>
      </c>
      <c r="N393" s="41" t="n"/>
      <c r="O393" s="41" t="n"/>
      <c r="P393" s="41" t="n"/>
      <c r="Q393" s="41" t="n"/>
      <c r="R393" s="41" t="n"/>
      <c r="S393" s="41" t="n"/>
      <c r="T393" s="42" t="n"/>
      <c r="U393" s="42" t="n"/>
      <c r="V393" s="42" t="n"/>
      <c r="W393" s="42" t="n"/>
      <c r="X393" s="42" t="n"/>
      <c r="Y393" s="42" t="n"/>
      <c r="Z393" s="42" t="n"/>
      <c r="AA393" s="42" t="n"/>
      <c r="AB393" s="42" t="n"/>
      <c r="AC393" s="42" t="n"/>
      <c r="AD393" s="42" t="n"/>
      <c r="AE393" s="42" t="n"/>
      <c r="AF393" s="42" t="n"/>
      <c r="AG393" s="42" t="n"/>
      <c r="AH393" s="42" t="n"/>
      <c r="AI393" s="15">
        <f>IF(COUNTA(T393:AH393)=0,"",SUM(T393:AH393))</f>
        <v/>
      </c>
      <c r="AJ393" s="21">
        <f>IF(COUNTA(T393:AH393)=0,"",AI393/(COUNT(KPI_Weights!$A$4:$A$18)*5))</f>
        <v/>
      </c>
      <c r="AK393" s="21">
        <f>IF(COUNTA(T393:AH393)=0,"",SUMPRODUCT(T393:AH393,KPI_Weights!$B$4:$B$18)/5)</f>
        <v/>
      </c>
      <c r="AL393" s="15">
        <f>IF(COUNTA(T393:AH393)=0,"",IF(SUMPRODUCT(--(T393:AH393&lt;=1),--(KPI_Weights!$C$4:$C$18="YES"))&gt;0,"YES","NO"))</f>
        <v/>
      </c>
      <c r="AM393" s="15">
        <f>IF(AJ393="","",IF(AND(AL393="NO",AJ393&gt;=0.75),"YES","NO"))</f>
        <v/>
      </c>
      <c r="AN393" s="15">
        <f>IF(AJ393="","",IF(AJ393&lt;0.4,"Critical",IF(AJ393&lt;0.6,"Poor",IF(AJ393&lt;0.75,"Needs Improvement",IF(AJ393&lt;0.9,"Good","Excellent")))))</f>
        <v/>
      </c>
      <c r="AO393" s="41" t="n"/>
      <c r="AP393" s="41" t="n"/>
      <c r="AQ393" s="41" t="n"/>
      <c r="AR393" s="41" t="n"/>
      <c r="AS393" s="41" t="n"/>
      <c r="AT393" s="44" t="n"/>
      <c r="AU393" s="41" t="n"/>
      <c r="AV393" s="43" t="n"/>
      <c r="AW393" s="41" t="n"/>
      <c r="AX393" s="44" t="n"/>
      <c r="AY393" s="44" t="n"/>
      <c r="AZ393" s="44" t="n"/>
      <c r="BA393" s="44" t="n"/>
      <c r="BB393" s="44" t="n"/>
      <c r="BC393" s="44" t="n"/>
      <c r="BD393" s="44" t="n"/>
      <c r="BE393" s="44" t="n"/>
      <c r="BF393" s="44" t="n"/>
    </row>
    <row r="394" ht="19.5" customHeight="1" s="45">
      <c r="A394" s="15">
        <f>IF($B394="","",TEXT($B394,"yyyymmdd")&amp;"-"&amp;SUBSTITUTE($F394," ","")&amp;"-"&amp;TEXT(COUNTIF($F$4:F394,$F394),"00"))</f>
        <v/>
      </c>
      <c r="B394" s="39" t="n"/>
      <c r="C394" s="15">
        <f>IF($B394="","",WEEKNUM($B394,2))</f>
        <v/>
      </c>
      <c r="D394" s="15">
        <f>IF($B394="","",TEXT($B394,"yyyy-mm"))</f>
        <v/>
      </c>
      <c r="E394" s="40" t="n"/>
      <c r="F394" s="40" t="n"/>
      <c r="G394" s="15">
        <f>IF(OR($E394="",$F394=""),"",IFERROR(IF($E394=INDEX(Cluster_Master!$A$4:$A$18,MATCH($F394,Cluster_Master!$B$4:$B$18,0)),"OK","CHECK"),"CHECK"))</f>
        <v/>
      </c>
      <c r="H394" s="18">
        <f>IFERROR(INDEX(Cluster_Master!$C$4:$C$18,MATCH($F394,Cluster_Master!$B$4:$B$18,0)),"")</f>
        <v/>
      </c>
      <c r="I394" s="15">
        <f>IFERROR(INDEX(Cluster_Master!$D$4:$D$18,MATCH($F394,Cluster_Master!$B$4:$B$18,0)),"")</f>
        <v/>
      </c>
      <c r="J394" s="15">
        <f>IFERROR(INDEX(Cluster_Master!$E$4:$E$18,MATCH($F394,Cluster_Master!$B$4:$B$18,0)),"")</f>
        <v/>
      </c>
      <c r="K394" s="15">
        <f>IFERROR(INDEX(Cluster_Master!$F$4:$F$18,MATCH($F394,Cluster_Master!$B$4:$B$18,0)),"")</f>
        <v/>
      </c>
      <c r="L394" s="15">
        <f>IFERROR(INDEX(Cluster_Master!$G$4:$G$18,MATCH($F394,Cluster_Master!$B$4:$B$18,0)),"")</f>
        <v/>
      </c>
      <c r="M394" s="15">
        <f>IFERROR(INDEX(Cluster_Master!$H$4:$H$18,MATCH($F394,Cluster_Master!$B$4:$B$18,0)),"")</f>
        <v/>
      </c>
      <c r="N394" s="41" t="n"/>
      <c r="O394" s="41" t="n"/>
      <c r="P394" s="41" t="n"/>
      <c r="Q394" s="41" t="n"/>
      <c r="R394" s="41" t="n"/>
      <c r="S394" s="41" t="n"/>
      <c r="T394" s="42" t="n"/>
      <c r="U394" s="42" t="n"/>
      <c r="V394" s="42" t="n"/>
      <c r="W394" s="42" t="n"/>
      <c r="X394" s="42" t="n"/>
      <c r="Y394" s="42" t="n"/>
      <c r="Z394" s="42" t="n"/>
      <c r="AA394" s="42" t="n"/>
      <c r="AB394" s="42" t="n"/>
      <c r="AC394" s="42" t="n"/>
      <c r="AD394" s="42" t="n"/>
      <c r="AE394" s="42" t="n"/>
      <c r="AF394" s="42" t="n"/>
      <c r="AG394" s="42" t="n"/>
      <c r="AH394" s="42" t="n"/>
      <c r="AI394" s="15">
        <f>IF(COUNTA(T394:AH394)=0,"",SUM(T394:AH394))</f>
        <v/>
      </c>
      <c r="AJ394" s="21">
        <f>IF(COUNTA(T394:AH394)=0,"",AI394/(COUNT(KPI_Weights!$A$4:$A$18)*5))</f>
        <v/>
      </c>
      <c r="AK394" s="21">
        <f>IF(COUNTA(T394:AH394)=0,"",SUMPRODUCT(T394:AH394,KPI_Weights!$B$4:$B$18)/5)</f>
        <v/>
      </c>
      <c r="AL394" s="15">
        <f>IF(COUNTA(T394:AH394)=0,"",IF(SUMPRODUCT(--(T394:AH394&lt;=1),--(KPI_Weights!$C$4:$C$18="YES"))&gt;0,"YES","NO"))</f>
        <v/>
      </c>
      <c r="AM394" s="15">
        <f>IF(AJ394="","",IF(AND(AL394="NO",AJ394&gt;=0.75),"YES","NO"))</f>
        <v/>
      </c>
      <c r="AN394" s="15">
        <f>IF(AJ394="","",IF(AJ394&lt;0.4,"Critical",IF(AJ394&lt;0.6,"Poor",IF(AJ394&lt;0.75,"Needs Improvement",IF(AJ394&lt;0.9,"Good","Excellent")))))</f>
        <v/>
      </c>
      <c r="AO394" s="41" t="n"/>
      <c r="AP394" s="41" t="n"/>
      <c r="AQ394" s="41" t="n"/>
      <c r="AR394" s="41" t="n"/>
      <c r="AS394" s="41" t="n"/>
      <c r="AT394" s="44" t="n"/>
      <c r="AU394" s="41" t="n"/>
      <c r="AV394" s="43" t="n"/>
      <c r="AW394" s="41" t="n"/>
      <c r="AX394" s="44" t="n"/>
      <c r="AY394" s="44" t="n"/>
      <c r="AZ394" s="44" t="n"/>
      <c r="BA394" s="44" t="n"/>
      <c r="BB394" s="44" t="n"/>
      <c r="BC394" s="44" t="n"/>
      <c r="BD394" s="44" t="n"/>
      <c r="BE394" s="44" t="n"/>
      <c r="BF394" s="44" t="n"/>
    </row>
    <row r="395" ht="19.5" customHeight="1" s="45">
      <c r="A395" s="15">
        <f>IF($B395="","",TEXT($B395,"yyyymmdd")&amp;"-"&amp;SUBSTITUTE($F395," ","")&amp;"-"&amp;TEXT(COUNTIF($F$4:F395,$F395),"00"))</f>
        <v/>
      </c>
      <c r="B395" s="39" t="n"/>
      <c r="C395" s="15">
        <f>IF($B395="","",WEEKNUM($B395,2))</f>
        <v/>
      </c>
      <c r="D395" s="15">
        <f>IF($B395="","",TEXT($B395,"yyyy-mm"))</f>
        <v/>
      </c>
      <c r="E395" s="40" t="n"/>
      <c r="F395" s="40" t="n"/>
      <c r="G395" s="15">
        <f>IF(OR($E395="",$F395=""),"",IFERROR(IF($E395=INDEX(Cluster_Master!$A$4:$A$18,MATCH($F395,Cluster_Master!$B$4:$B$18,0)),"OK","CHECK"),"CHECK"))</f>
        <v/>
      </c>
      <c r="H395" s="18">
        <f>IFERROR(INDEX(Cluster_Master!$C$4:$C$18,MATCH($F395,Cluster_Master!$B$4:$B$18,0)),"")</f>
        <v/>
      </c>
      <c r="I395" s="15">
        <f>IFERROR(INDEX(Cluster_Master!$D$4:$D$18,MATCH($F395,Cluster_Master!$B$4:$B$18,0)),"")</f>
        <v/>
      </c>
      <c r="J395" s="15">
        <f>IFERROR(INDEX(Cluster_Master!$E$4:$E$18,MATCH($F395,Cluster_Master!$B$4:$B$18,0)),"")</f>
        <v/>
      </c>
      <c r="K395" s="15">
        <f>IFERROR(INDEX(Cluster_Master!$F$4:$F$18,MATCH($F395,Cluster_Master!$B$4:$B$18,0)),"")</f>
        <v/>
      </c>
      <c r="L395" s="15">
        <f>IFERROR(INDEX(Cluster_Master!$G$4:$G$18,MATCH($F395,Cluster_Master!$B$4:$B$18,0)),"")</f>
        <v/>
      </c>
      <c r="M395" s="15">
        <f>IFERROR(INDEX(Cluster_Master!$H$4:$H$18,MATCH($F395,Cluster_Master!$B$4:$B$18,0)),"")</f>
        <v/>
      </c>
      <c r="N395" s="41" t="n"/>
      <c r="O395" s="41" t="n"/>
      <c r="P395" s="41" t="n"/>
      <c r="Q395" s="41" t="n"/>
      <c r="R395" s="41" t="n"/>
      <c r="S395" s="41" t="n"/>
      <c r="T395" s="42" t="n"/>
      <c r="U395" s="42" t="n"/>
      <c r="V395" s="42" t="n"/>
      <c r="W395" s="42" t="n"/>
      <c r="X395" s="42" t="n"/>
      <c r="Y395" s="42" t="n"/>
      <c r="Z395" s="42" t="n"/>
      <c r="AA395" s="42" t="n"/>
      <c r="AB395" s="42" t="n"/>
      <c r="AC395" s="42" t="n"/>
      <c r="AD395" s="42" t="n"/>
      <c r="AE395" s="42" t="n"/>
      <c r="AF395" s="42" t="n"/>
      <c r="AG395" s="42" t="n"/>
      <c r="AH395" s="42" t="n"/>
      <c r="AI395" s="15">
        <f>IF(COUNTA(T395:AH395)=0,"",SUM(T395:AH395))</f>
        <v/>
      </c>
      <c r="AJ395" s="21">
        <f>IF(COUNTA(T395:AH395)=0,"",AI395/(COUNT(KPI_Weights!$A$4:$A$18)*5))</f>
        <v/>
      </c>
      <c r="AK395" s="21">
        <f>IF(COUNTA(T395:AH395)=0,"",SUMPRODUCT(T395:AH395,KPI_Weights!$B$4:$B$18)/5)</f>
        <v/>
      </c>
      <c r="AL395" s="15">
        <f>IF(COUNTA(T395:AH395)=0,"",IF(SUMPRODUCT(--(T395:AH395&lt;=1),--(KPI_Weights!$C$4:$C$18="YES"))&gt;0,"YES","NO"))</f>
        <v/>
      </c>
      <c r="AM395" s="15">
        <f>IF(AJ395="","",IF(AND(AL395="NO",AJ395&gt;=0.75),"YES","NO"))</f>
        <v/>
      </c>
      <c r="AN395" s="15">
        <f>IF(AJ395="","",IF(AJ395&lt;0.4,"Critical",IF(AJ395&lt;0.6,"Poor",IF(AJ395&lt;0.75,"Needs Improvement",IF(AJ395&lt;0.9,"Good","Excellent")))))</f>
        <v/>
      </c>
      <c r="AO395" s="41" t="n"/>
      <c r="AP395" s="41" t="n"/>
      <c r="AQ395" s="41" t="n"/>
      <c r="AR395" s="41" t="n"/>
      <c r="AS395" s="41" t="n"/>
      <c r="AT395" s="44" t="n"/>
      <c r="AU395" s="41" t="n"/>
      <c r="AV395" s="43" t="n"/>
      <c r="AW395" s="41" t="n"/>
      <c r="AX395" s="44" t="n"/>
      <c r="AY395" s="44" t="n"/>
      <c r="AZ395" s="44" t="n"/>
      <c r="BA395" s="44" t="n"/>
      <c r="BB395" s="44" t="n"/>
      <c r="BC395" s="44" t="n"/>
      <c r="BD395" s="44" t="n"/>
      <c r="BE395" s="44" t="n"/>
      <c r="BF395" s="44" t="n"/>
    </row>
    <row r="396" ht="19.5" customHeight="1" s="45">
      <c r="A396" s="15">
        <f>IF($B396="","",TEXT($B396,"yyyymmdd")&amp;"-"&amp;SUBSTITUTE($F396," ","")&amp;"-"&amp;TEXT(COUNTIF($F$4:F396,$F396),"00"))</f>
        <v/>
      </c>
      <c r="B396" s="39" t="n"/>
      <c r="C396" s="15">
        <f>IF($B396="","",WEEKNUM($B396,2))</f>
        <v/>
      </c>
      <c r="D396" s="15">
        <f>IF($B396="","",TEXT($B396,"yyyy-mm"))</f>
        <v/>
      </c>
      <c r="E396" s="40" t="n"/>
      <c r="F396" s="40" t="n"/>
      <c r="G396" s="15">
        <f>IF(OR($E396="",$F396=""),"",IFERROR(IF($E396=INDEX(Cluster_Master!$A$4:$A$18,MATCH($F396,Cluster_Master!$B$4:$B$18,0)),"OK","CHECK"),"CHECK"))</f>
        <v/>
      </c>
      <c r="H396" s="18">
        <f>IFERROR(INDEX(Cluster_Master!$C$4:$C$18,MATCH($F396,Cluster_Master!$B$4:$B$18,0)),"")</f>
        <v/>
      </c>
      <c r="I396" s="15">
        <f>IFERROR(INDEX(Cluster_Master!$D$4:$D$18,MATCH($F396,Cluster_Master!$B$4:$B$18,0)),"")</f>
        <v/>
      </c>
      <c r="J396" s="15">
        <f>IFERROR(INDEX(Cluster_Master!$E$4:$E$18,MATCH($F396,Cluster_Master!$B$4:$B$18,0)),"")</f>
        <v/>
      </c>
      <c r="K396" s="15">
        <f>IFERROR(INDEX(Cluster_Master!$F$4:$F$18,MATCH($F396,Cluster_Master!$B$4:$B$18,0)),"")</f>
        <v/>
      </c>
      <c r="L396" s="15">
        <f>IFERROR(INDEX(Cluster_Master!$G$4:$G$18,MATCH($F396,Cluster_Master!$B$4:$B$18,0)),"")</f>
        <v/>
      </c>
      <c r="M396" s="15">
        <f>IFERROR(INDEX(Cluster_Master!$H$4:$H$18,MATCH($F396,Cluster_Master!$B$4:$B$18,0)),"")</f>
        <v/>
      </c>
      <c r="N396" s="41" t="n"/>
      <c r="O396" s="41" t="n"/>
      <c r="P396" s="41" t="n"/>
      <c r="Q396" s="41" t="n"/>
      <c r="R396" s="41" t="n"/>
      <c r="S396" s="41" t="n"/>
      <c r="T396" s="42" t="n"/>
      <c r="U396" s="42" t="n"/>
      <c r="V396" s="42" t="n"/>
      <c r="W396" s="42" t="n"/>
      <c r="X396" s="42" t="n"/>
      <c r="Y396" s="42" t="n"/>
      <c r="Z396" s="42" t="n"/>
      <c r="AA396" s="42" t="n"/>
      <c r="AB396" s="42" t="n"/>
      <c r="AC396" s="42" t="n"/>
      <c r="AD396" s="42" t="n"/>
      <c r="AE396" s="42" t="n"/>
      <c r="AF396" s="42" t="n"/>
      <c r="AG396" s="42" t="n"/>
      <c r="AH396" s="42" t="n"/>
      <c r="AI396" s="15">
        <f>IF(COUNTA(T396:AH396)=0,"",SUM(T396:AH396))</f>
        <v/>
      </c>
      <c r="AJ396" s="21">
        <f>IF(COUNTA(T396:AH396)=0,"",AI396/(COUNT(KPI_Weights!$A$4:$A$18)*5))</f>
        <v/>
      </c>
      <c r="AK396" s="21">
        <f>IF(COUNTA(T396:AH396)=0,"",SUMPRODUCT(T396:AH396,KPI_Weights!$B$4:$B$18)/5)</f>
        <v/>
      </c>
      <c r="AL396" s="15">
        <f>IF(COUNTA(T396:AH396)=0,"",IF(SUMPRODUCT(--(T396:AH396&lt;=1),--(KPI_Weights!$C$4:$C$18="YES"))&gt;0,"YES","NO"))</f>
        <v/>
      </c>
      <c r="AM396" s="15">
        <f>IF(AJ396="","",IF(AND(AL396="NO",AJ396&gt;=0.75),"YES","NO"))</f>
        <v/>
      </c>
      <c r="AN396" s="15">
        <f>IF(AJ396="","",IF(AJ396&lt;0.4,"Critical",IF(AJ396&lt;0.6,"Poor",IF(AJ396&lt;0.75,"Needs Improvement",IF(AJ396&lt;0.9,"Good","Excellent")))))</f>
        <v/>
      </c>
      <c r="AO396" s="41" t="n"/>
      <c r="AP396" s="41" t="n"/>
      <c r="AQ396" s="41" t="n"/>
      <c r="AR396" s="41" t="n"/>
      <c r="AS396" s="41" t="n"/>
      <c r="AT396" s="44" t="n"/>
      <c r="AU396" s="41" t="n"/>
      <c r="AV396" s="43" t="n"/>
      <c r="AW396" s="41" t="n"/>
      <c r="AX396" s="44" t="n"/>
      <c r="AY396" s="44" t="n"/>
      <c r="AZ396" s="44" t="n"/>
      <c r="BA396" s="44" t="n"/>
      <c r="BB396" s="44" t="n"/>
      <c r="BC396" s="44" t="n"/>
      <c r="BD396" s="44" t="n"/>
      <c r="BE396" s="44" t="n"/>
      <c r="BF396" s="44" t="n"/>
    </row>
    <row r="397" ht="19.5" customHeight="1" s="45">
      <c r="A397" s="15">
        <f>IF($B397="","",TEXT($B397,"yyyymmdd")&amp;"-"&amp;SUBSTITUTE($F397," ","")&amp;"-"&amp;TEXT(COUNTIF($F$4:F397,$F397),"00"))</f>
        <v/>
      </c>
      <c r="B397" s="39" t="n"/>
      <c r="C397" s="15">
        <f>IF($B397="","",WEEKNUM($B397,2))</f>
        <v/>
      </c>
      <c r="D397" s="15">
        <f>IF($B397="","",TEXT($B397,"yyyy-mm"))</f>
        <v/>
      </c>
      <c r="E397" s="40" t="n"/>
      <c r="F397" s="40" t="n"/>
      <c r="G397" s="15">
        <f>IF(OR($E397="",$F397=""),"",IFERROR(IF($E397=INDEX(Cluster_Master!$A$4:$A$18,MATCH($F397,Cluster_Master!$B$4:$B$18,0)),"OK","CHECK"),"CHECK"))</f>
        <v/>
      </c>
      <c r="H397" s="18">
        <f>IFERROR(INDEX(Cluster_Master!$C$4:$C$18,MATCH($F397,Cluster_Master!$B$4:$B$18,0)),"")</f>
        <v/>
      </c>
      <c r="I397" s="15">
        <f>IFERROR(INDEX(Cluster_Master!$D$4:$D$18,MATCH($F397,Cluster_Master!$B$4:$B$18,0)),"")</f>
        <v/>
      </c>
      <c r="J397" s="15">
        <f>IFERROR(INDEX(Cluster_Master!$E$4:$E$18,MATCH($F397,Cluster_Master!$B$4:$B$18,0)),"")</f>
        <v/>
      </c>
      <c r="K397" s="15">
        <f>IFERROR(INDEX(Cluster_Master!$F$4:$F$18,MATCH($F397,Cluster_Master!$B$4:$B$18,0)),"")</f>
        <v/>
      </c>
      <c r="L397" s="15">
        <f>IFERROR(INDEX(Cluster_Master!$G$4:$G$18,MATCH($F397,Cluster_Master!$B$4:$B$18,0)),"")</f>
        <v/>
      </c>
      <c r="M397" s="15">
        <f>IFERROR(INDEX(Cluster_Master!$H$4:$H$18,MATCH($F397,Cluster_Master!$B$4:$B$18,0)),"")</f>
        <v/>
      </c>
      <c r="N397" s="41" t="n"/>
      <c r="O397" s="41" t="n"/>
      <c r="P397" s="41" t="n"/>
      <c r="Q397" s="41" t="n"/>
      <c r="R397" s="41" t="n"/>
      <c r="S397" s="41" t="n"/>
      <c r="T397" s="42" t="n"/>
      <c r="U397" s="42" t="n"/>
      <c r="V397" s="42" t="n"/>
      <c r="W397" s="42" t="n"/>
      <c r="X397" s="42" t="n"/>
      <c r="Y397" s="42" t="n"/>
      <c r="Z397" s="42" t="n"/>
      <c r="AA397" s="42" t="n"/>
      <c r="AB397" s="42" t="n"/>
      <c r="AC397" s="42" t="n"/>
      <c r="AD397" s="42" t="n"/>
      <c r="AE397" s="42" t="n"/>
      <c r="AF397" s="42" t="n"/>
      <c r="AG397" s="42" t="n"/>
      <c r="AH397" s="42" t="n"/>
      <c r="AI397" s="15">
        <f>IF(COUNTA(T397:AH397)=0,"",SUM(T397:AH397))</f>
        <v/>
      </c>
      <c r="AJ397" s="21">
        <f>IF(COUNTA(T397:AH397)=0,"",AI397/(COUNT(KPI_Weights!$A$4:$A$18)*5))</f>
        <v/>
      </c>
      <c r="AK397" s="21">
        <f>IF(COUNTA(T397:AH397)=0,"",SUMPRODUCT(T397:AH397,KPI_Weights!$B$4:$B$18)/5)</f>
        <v/>
      </c>
      <c r="AL397" s="15">
        <f>IF(COUNTA(T397:AH397)=0,"",IF(SUMPRODUCT(--(T397:AH397&lt;=1),--(KPI_Weights!$C$4:$C$18="YES"))&gt;0,"YES","NO"))</f>
        <v/>
      </c>
      <c r="AM397" s="15">
        <f>IF(AJ397="","",IF(AND(AL397="NO",AJ397&gt;=0.75),"YES","NO"))</f>
        <v/>
      </c>
      <c r="AN397" s="15">
        <f>IF(AJ397="","",IF(AJ397&lt;0.4,"Critical",IF(AJ397&lt;0.6,"Poor",IF(AJ397&lt;0.75,"Needs Improvement",IF(AJ397&lt;0.9,"Good","Excellent")))))</f>
        <v/>
      </c>
      <c r="AO397" s="41" t="n"/>
      <c r="AP397" s="41" t="n"/>
      <c r="AQ397" s="41" t="n"/>
      <c r="AR397" s="41" t="n"/>
      <c r="AS397" s="41" t="n"/>
      <c r="AT397" s="44" t="n"/>
      <c r="AU397" s="41" t="n"/>
      <c r="AV397" s="43" t="n"/>
      <c r="AW397" s="41" t="n"/>
      <c r="AX397" s="44" t="n"/>
      <c r="AY397" s="44" t="n"/>
      <c r="AZ397" s="44" t="n"/>
      <c r="BA397" s="44" t="n"/>
      <c r="BB397" s="44" t="n"/>
      <c r="BC397" s="44" t="n"/>
      <c r="BD397" s="44" t="n"/>
      <c r="BE397" s="44" t="n"/>
      <c r="BF397" s="44" t="n"/>
    </row>
    <row r="398" ht="19.5" customHeight="1" s="45">
      <c r="A398" s="15">
        <f>IF($B398="","",TEXT($B398,"yyyymmdd")&amp;"-"&amp;SUBSTITUTE($F398," ","")&amp;"-"&amp;TEXT(COUNTIF($F$4:F398,$F398),"00"))</f>
        <v/>
      </c>
      <c r="B398" s="39" t="n"/>
      <c r="C398" s="15">
        <f>IF($B398="","",WEEKNUM($B398,2))</f>
        <v/>
      </c>
      <c r="D398" s="15">
        <f>IF($B398="","",TEXT($B398,"yyyy-mm"))</f>
        <v/>
      </c>
      <c r="E398" s="40" t="n"/>
      <c r="F398" s="40" t="n"/>
      <c r="G398" s="15">
        <f>IF(OR($E398="",$F398=""),"",IFERROR(IF($E398=INDEX(Cluster_Master!$A$4:$A$18,MATCH($F398,Cluster_Master!$B$4:$B$18,0)),"OK","CHECK"),"CHECK"))</f>
        <v/>
      </c>
      <c r="H398" s="18">
        <f>IFERROR(INDEX(Cluster_Master!$C$4:$C$18,MATCH($F398,Cluster_Master!$B$4:$B$18,0)),"")</f>
        <v/>
      </c>
      <c r="I398" s="15">
        <f>IFERROR(INDEX(Cluster_Master!$D$4:$D$18,MATCH($F398,Cluster_Master!$B$4:$B$18,0)),"")</f>
        <v/>
      </c>
      <c r="J398" s="15">
        <f>IFERROR(INDEX(Cluster_Master!$E$4:$E$18,MATCH($F398,Cluster_Master!$B$4:$B$18,0)),"")</f>
        <v/>
      </c>
      <c r="K398" s="15">
        <f>IFERROR(INDEX(Cluster_Master!$F$4:$F$18,MATCH($F398,Cluster_Master!$B$4:$B$18,0)),"")</f>
        <v/>
      </c>
      <c r="L398" s="15">
        <f>IFERROR(INDEX(Cluster_Master!$G$4:$G$18,MATCH($F398,Cluster_Master!$B$4:$B$18,0)),"")</f>
        <v/>
      </c>
      <c r="M398" s="15">
        <f>IFERROR(INDEX(Cluster_Master!$H$4:$H$18,MATCH($F398,Cluster_Master!$B$4:$B$18,0)),"")</f>
        <v/>
      </c>
      <c r="N398" s="41" t="n"/>
      <c r="O398" s="41" t="n"/>
      <c r="P398" s="41" t="n"/>
      <c r="Q398" s="41" t="n"/>
      <c r="R398" s="41" t="n"/>
      <c r="S398" s="41" t="n"/>
      <c r="T398" s="42" t="n"/>
      <c r="U398" s="42" t="n"/>
      <c r="V398" s="42" t="n"/>
      <c r="W398" s="42" t="n"/>
      <c r="X398" s="42" t="n"/>
      <c r="Y398" s="42" t="n"/>
      <c r="Z398" s="42" t="n"/>
      <c r="AA398" s="42" t="n"/>
      <c r="AB398" s="42" t="n"/>
      <c r="AC398" s="42" t="n"/>
      <c r="AD398" s="42" t="n"/>
      <c r="AE398" s="42" t="n"/>
      <c r="AF398" s="42" t="n"/>
      <c r="AG398" s="42" t="n"/>
      <c r="AH398" s="42" t="n"/>
      <c r="AI398" s="15">
        <f>IF(COUNTA(T398:AH398)=0,"",SUM(T398:AH398))</f>
        <v/>
      </c>
      <c r="AJ398" s="21">
        <f>IF(COUNTA(T398:AH398)=0,"",AI398/(COUNT(KPI_Weights!$A$4:$A$18)*5))</f>
        <v/>
      </c>
      <c r="AK398" s="21">
        <f>IF(COUNTA(T398:AH398)=0,"",SUMPRODUCT(T398:AH398,KPI_Weights!$B$4:$B$18)/5)</f>
        <v/>
      </c>
      <c r="AL398" s="15">
        <f>IF(COUNTA(T398:AH398)=0,"",IF(SUMPRODUCT(--(T398:AH398&lt;=1),--(KPI_Weights!$C$4:$C$18="YES"))&gt;0,"YES","NO"))</f>
        <v/>
      </c>
      <c r="AM398" s="15">
        <f>IF(AJ398="","",IF(AND(AL398="NO",AJ398&gt;=0.75),"YES","NO"))</f>
        <v/>
      </c>
      <c r="AN398" s="15">
        <f>IF(AJ398="","",IF(AJ398&lt;0.4,"Critical",IF(AJ398&lt;0.6,"Poor",IF(AJ398&lt;0.75,"Needs Improvement",IF(AJ398&lt;0.9,"Good","Excellent")))))</f>
        <v/>
      </c>
      <c r="AO398" s="41" t="n"/>
      <c r="AP398" s="41" t="n"/>
      <c r="AQ398" s="41" t="n"/>
      <c r="AR398" s="41" t="n"/>
      <c r="AS398" s="41" t="n"/>
      <c r="AT398" s="44" t="n"/>
      <c r="AU398" s="41" t="n"/>
      <c r="AV398" s="43" t="n"/>
      <c r="AW398" s="41" t="n"/>
      <c r="AX398" s="44" t="n"/>
      <c r="AY398" s="44" t="n"/>
      <c r="AZ398" s="44" t="n"/>
      <c r="BA398" s="44" t="n"/>
      <c r="BB398" s="44" t="n"/>
      <c r="BC398" s="44" t="n"/>
      <c r="BD398" s="44" t="n"/>
      <c r="BE398" s="44" t="n"/>
      <c r="BF398" s="44" t="n"/>
    </row>
    <row r="399" ht="19.5" customHeight="1" s="45">
      <c r="A399" s="15">
        <f>IF($B399="","",TEXT($B399,"yyyymmdd")&amp;"-"&amp;SUBSTITUTE($F399," ","")&amp;"-"&amp;TEXT(COUNTIF($F$4:F399,$F399),"00"))</f>
        <v/>
      </c>
      <c r="B399" s="39" t="n"/>
      <c r="C399" s="15">
        <f>IF($B399="","",WEEKNUM($B399,2))</f>
        <v/>
      </c>
      <c r="D399" s="15">
        <f>IF($B399="","",TEXT($B399,"yyyy-mm"))</f>
        <v/>
      </c>
      <c r="E399" s="40" t="n"/>
      <c r="F399" s="40" t="n"/>
      <c r="G399" s="15">
        <f>IF(OR($E399="",$F399=""),"",IFERROR(IF($E399=INDEX(Cluster_Master!$A$4:$A$18,MATCH($F399,Cluster_Master!$B$4:$B$18,0)),"OK","CHECK"),"CHECK"))</f>
        <v/>
      </c>
      <c r="H399" s="18">
        <f>IFERROR(INDEX(Cluster_Master!$C$4:$C$18,MATCH($F399,Cluster_Master!$B$4:$B$18,0)),"")</f>
        <v/>
      </c>
      <c r="I399" s="15">
        <f>IFERROR(INDEX(Cluster_Master!$D$4:$D$18,MATCH($F399,Cluster_Master!$B$4:$B$18,0)),"")</f>
        <v/>
      </c>
      <c r="J399" s="15">
        <f>IFERROR(INDEX(Cluster_Master!$E$4:$E$18,MATCH($F399,Cluster_Master!$B$4:$B$18,0)),"")</f>
        <v/>
      </c>
      <c r="K399" s="15">
        <f>IFERROR(INDEX(Cluster_Master!$F$4:$F$18,MATCH($F399,Cluster_Master!$B$4:$B$18,0)),"")</f>
        <v/>
      </c>
      <c r="L399" s="15">
        <f>IFERROR(INDEX(Cluster_Master!$G$4:$G$18,MATCH($F399,Cluster_Master!$B$4:$B$18,0)),"")</f>
        <v/>
      </c>
      <c r="M399" s="15">
        <f>IFERROR(INDEX(Cluster_Master!$H$4:$H$18,MATCH($F399,Cluster_Master!$B$4:$B$18,0)),"")</f>
        <v/>
      </c>
      <c r="N399" s="41" t="n"/>
      <c r="O399" s="41" t="n"/>
      <c r="P399" s="41" t="n"/>
      <c r="Q399" s="41" t="n"/>
      <c r="R399" s="41" t="n"/>
      <c r="S399" s="41" t="n"/>
      <c r="T399" s="42" t="n"/>
      <c r="U399" s="42" t="n"/>
      <c r="V399" s="42" t="n"/>
      <c r="W399" s="42" t="n"/>
      <c r="X399" s="42" t="n"/>
      <c r="Y399" s="42" t="n"/>
      <c r="Z399" s="42" t="n"/>
      <c r="AA399" s="42" t="n"/>
      <c r="AB399" s="42" t="n"/>
      <c r="AC399" s="42" t="n"/>
      <c r="AD399" s="42" t="n"/>
      <c r="AE399" s="42" t="n"/>
      <c r="AF399" s="42" t="n"/>
      <c r="AG399" s="42" t="n"/>
      <c r="AH399" s="42" t="n"/>
      <c r="AI399" s="15">
        <f>IF(COUNTA(T399:AH399)=0,"",SUM(T399:AH399))</f>
        <v/>
      </c>
      <c r="AJ399" s="21">
        <f>IF(COUNTA(T399:AH399)=0,"",AI399/(COUNT(KPI_Weights!$A$4:$A$18)*5))</f>
        <v/>
      </c>
      <c r="AK399" s="21">
        <f>IF(COUNTA(T399:AH399)=0,"",SUMPRODUCT(T399:AH399,KPI_Weights!$B$4:$B$18)/5)</f>
        <v/>
      </c>
      <c r="AL399" s="15">
        <f>IF(COUNTA(T399:AH399)=0,"",IF(SUMPRODUCT(--(T399:AH399&lt;=1),--(KPI_Weights!$C$4:$C$18="YES"))&gt;0,"YES","NO"))</f>
        <v/>
      </c>
      <c r="AM399" s="15">
        <f>IF(AJ399="","",IF(AND(AL399="NO",AJ399&gt;=0.75),"YES","NO"))</f>
        <v/>
      </c>
      <c r="AN399" s="15">
        <f>IF(AJ399="","",IF(AJ399&lt;0.4,"Critical",IF(AJ399&lt;0.6,"Poor",IF(AJ399&lt;0.75,"Needs Improvement",IF(AJ399&lt;0.9,"Good","Excellent")))))</f>
        <v/>
      </c>
      <c r="AO399" s="41" t="n"/>
      <c r="AP399" s="41" t="n"/>
      <c r="AQ399" s="41" t="n"/>
      <c r="AR399" s="41" t="n"/>
      <c r="AS399" s="41" t="n"/>
      <c r="AT399" s="44" t="n"/>
      <c r="AU399" s="41" t="n"/>
      <c r="AV399" s="43" t="n"/>
      <c r="AW399" s="41" t="n"/>
      <c r="AX399" s="44" t="n"/>
      <c r="AY399" s="44" t="n"/>
      <c r="AZ399" s="44" t="n"/>
      <c r="BA399" s="44" t="n"/>
      <c r="BB399" s="44" t="n"/>
      <c r="BC399" s="44" t="n"/>
      <c r="BD399" s="44" t="n"/>
      <c r="BE399" s="44" t="n"/>
      <c r="BF399" s="44" t="n"/>
    </row>
    <row r="400" ht="19.5" customHeight="1" s="45">
      <c r="A400" s="15">
        <f>IF($B400="","",TEXT($B400,"yyyymmdd")&amp;"-"&amp;SUBSTITUTE($F400," ","")&amp;"-"&amp;TEXT(COUNTIF($F$4:F400,$F400),"00"))</f>
        <v/>
      </c>
      <c r="B400" s="39" t="n"/>
      <c r="C400" s="15">
        <f>IF($B400="","",WEEKNUM($B400,2))</f>
        <v/>
      </c>
      <c r="D400" s="15">
        <f>IF($B400="","",TEXT($B400,"yyyy-mm"))</f>
        <v/>
      </c>
      <c r="E400" s="40" t="n"/>
      <c r="F400" s="40" t="n"/>
      <c r="G400" s="15">
        <f>IF(OR($E400="",$F400=""),"",IFERROR(IF($E400=INDEX(Cluster_Master!$A$4:$A$18,MATCH($F400,Cluster_Master!$B$4:$B$18,0)),"OK","CHECK"),"CHECK"))</f>
        <v/>
      </c>
      <c r="H400" s="18">
        <f>IFERROR(INDEX(Cluster_Master!$C$4:$C$18,MATCH($F400,Cluster_Master!$B$4:$B$18,0)),"")</f>
        <v/>
      </c>
      <c r="I400" s="15">
        <f>IFERROR(INDEX(Cluster_Master!$D$4:$D$18,MATCH($F400,Cluster_Master!$B$4:$B$18,0)),"")</f>
        <v/>
      </c>
      <c r="J400" s="15">
        <f>IFERROR(INDEX(Cluster_Master!$E$4:$E$18,MATCH($F400,Cluster_Master!$B$4:$B$18,0)),"")</f>
        <v/>
      </c>
      <c r="K400" s="15">
        <f>IFERROR(INDEX(Cluster_Master!$F$4:$F$18,MATCH($F400,Cluster_Master!$B$4:$B$18,0)),"")</f>
        <v/>
      </c>
      <c r="L400" s="15">
        <f>IFERROR(INDEX(Cluster_Master!$G$4:$G$18,MATCH($F400,Cluster_Master!$B$4:$B$18,0)),"")</f>
        <v/>
      </c>
      <c r="M400" s="15">
        <f>IFERROR(INDEX(Cluster_Master!$H$4:$H$18,MATCH($F400,Cluster_Master!$B$4:$B$18,0)),"")</f>
        <v/>
      </c>
      <c r="N400" s="41" t="n"/>
      <c r="O400" s="41" t="n"/>
      <c r="P400" s="41" t="n"/>
      <c r="Q400" s="41" t="n"/>
      <c r="R400" s="41" t="n"/>
      <c r="S400" s="41" t="n"/>
      <c r="T400" s="42" t="n"/>
      <c r="U400" s="42" t="n"/>
      <c r="V400" s="42" t="n"/>
      <c r="W400" s="42" t="n"/>
      <c r="X400" s="42" t="n"/>
      <c r="Y400" s="42" t="n"/>
      <c r="Z400" s="42" t="n"/>
      <c r="AA400" s="42" t="n"/>
      <c r="AB400" s="42" t="n"/>
      <c r="AC400" s="42" t="n"/>
      <c r="AD400" s="42" t="n"/>
      <c r="AE400" s="42" t="n"/>
      <c r="AF400" s="42" t="n"/>
      <c r="AG400" s="42" t="n"/>
      <c r="AH400" s="42" t="n"/>
      <c r="AI400" s="15">
        <f>IF(COUNTA(T400:AH400)=0,"",SUM(T400:AH400))</f>
        <v/>
      </c>
      <c r="AJ400" s="21">
        <f>IF(COUNTA(T400:AH400)=0,"",AI400/(COUNT(KPI_Weights!$A$4:$A$18)*5))</f>
        <v/>
      </c>
      <c r="AK400" s="21">
        <f>IF(COUNTA(T400:AH400)=0,"",SUMPRODUCT(T400:AH400,KPI_Weights!$B$4:$B$18)/5)</f>
        <v/>
      </c>
      <c r="AL400" s="15">
        <f>IF(COUNTA(T400:AH400)=0,"",IF(SUMPRODUCT(--(T400:AH400&lt;=1),--(KPI_Weights!$C$4:$C$18="YES"))&gt;0,"YES","NO"))</f>
        <v/>
      </c>
      <c r="AM400" s="15">
        <f>IF(AJ400="","",IF(AND(AL400="NO",AJ400&gt;=0.75),"YES","NO"))</f>
        <v/>
      </c>
      <c r="AN400" s="15">
        <f>IF(AJ400="","",IF(AJ400&lt;0.4,"Critical",IF(AJ400&lt;0.6,"Poor",IF(AJ400&lt;0.75,"Needs Improvement",IF(AJ400&lt;0.9,"Good","Excellent")))))</f>
        <v/>
      </c>
      <c r="AO400" s="41" t="n"/>
      <c r="AP400" s="41" t="n"/>
      <c r="AQ400" s="41" t="n"/>
      <c r="AR400" s="41" t="n"/>
      <c r="AS400" s="41" t="n"/>
      <c r="AT400" s="44" t="n"/>
      <c r="AU400" s="41" t="n"/>
      <c r="AV400" s="43" t="n"/>
      <c r="AW400" s="41" t="n"/>
      <c r="AX400" s="44" t="n"/>
      <c r="AY400" s="44" t="n"/>
      <c r="AZ400" s="44" t="n"/>
      <c r="BA400" s="44" t="n"/>
      <c r="BB400" s="44" t="n"/>
      <c r="BC400" s="44" t="n"/>
      <c r="BD400" s="44" t="n"/>
      <c r="BE400" s="44" t="n"/>
      <c r="BF400" s="44" t="n"/>
    </row>
    <row r="401" ht="19.5" customHeight="1" s="45">
      <c r="A401" s="15">
        <f>IF($B401="","",TEXT($B401,"yyyymmdd")&amp;"-"&amp;SUBSTITUTE($F401," ","")&amp;"-"&amp;TEXT(COUNTIF($F$4:F401,$F401),"00"))</f>
        <v/>
      </c>
      <c r="B401" s="39" t="n"/>
      <c r="C401" s="15">
        <f>IF($B401="","",WEEKNUM($B401,2))</f>
        <v/>
      </c>
      <c r="D401" s="15">
        <f>IF($B401="","",TEXT($B401,"yyyy-mm"))</f>
        <v/>
      </c>
      <c r="E401" s="40" t="n"/>
      <c r="F401" s="40" t="n"/>
      <c r="G401" s="15">
        <f>IF(OR($E401="",$F401=""),"",IFERROR(IF($E401=INDEX(Cluster_Master!$A$4:$A$18,MATCH($F401,Cluster_Master!$B$4:$B$18,0)),"OK","CHECK"),"CHECK"))</f>
        <v/>
      </c>
      <c r="H401" s="18">
        <f>IFERROR(INDEX(Cluster_Master!$C$4:$C$18,MATCH($F401,Cluster_Master!$B$4:$B$18,0)),"")</f>
        <v/>
      </c>
      <c r="I401" s="15">
        <f>IFERROR(INDEX(Cluster_Master!$D$4:$D$18,MATCH($F401,Cluster_Master!$B$4:$B$18,0)),"")</f>
        <v/>
      </c>
      <c r="J401" s="15">
        <f>IFERROR(INDEX(Cluster_Master!$E$4:$E$18,MATCH($F401,Cluster_Master!$B$4:$B$18,0)),"")</f>
        <v/>
      </c>
      <c r="K401" s="15">
        <f>IFERROR(INDEX(Cluster_Master!$F$4:$F$18,MATCH($F401,Cluster_Master!$B$4:$B$18,0)),"")</f>
        <v/>
      </c>
      <c r="L401" s="15">
        <f>IFERROR(INDEX(Cluster_Master!$G$4:$G$18,MATCH($F401,Cluster_Master!$B$4:$B$18,0)),"")</f>
        <v/>
      </c>
      <c r="M401" s="15">
        <f>IFERROR(INDEX(Cluster_Master!$H$4:$H$18,MATCH($F401,Cluster_Master!$B$4:$B$18,0)),"")</f>
        <v/>
      </c>
      <c r="N401" s="41" t="n"/>
      <c r="O401" s="41" t="n"/>
      <c r="P401" s="41" t="n"/>
      <c r="Q401" s="41" t="n"/>
      <c r="R401" s="41" t="n"/>
      <c r="S401" s="41" t="n"/>
      <c r="T401" s="42" t="n"/>
      <c r="U401" s="42" t="n"/>
      <c r="V401" s="42" t="n"/>
      <c r="W401" s="42" t="n"/>
      <c r="X401" s="42" t="n"/>
      <c r="Y401" s="42" t="n"/>
      <c r="Z401" s="42" t="n"/>
      <c r="AA401" s="42" t="n"/>
      <c r="AB401" s="42" t="n"/>
      <c r="AC401" s="42" t="n"/>
      <c r="AD401" s="42" t="n"/>
      <c r="AE401" s="42" t="n"/>
      <c r="AF401" s="42" t="n"/>
      <c r="AG401" s="42" t="n"/>
      <c r="AH401" s="42" t="n"/>
      <c r="AI401" s="15">
        <f>IF(COUNTA(T401:AH401)=0,"",SUM(T401:AH401))</f>
        <v/>
      </c>
      <c r="AJ401" s="21">
        <f>IF(COUNTA(T401:AH401)=0,"",AI401/(COUNT(KPI_Weights!$A$4:$A$18)*5))</f>
        <v/>
      </c>
      <c r="AK401" s="21">
        <f>IF(COUNTA(T401:AH401)=0,"",SUMPRODUCT(T401:AH401,KPI_Weights!$B$4:$B$18)/5)</f>
        <v/>
      </c>
      <c r="AL401" s="15">
        <f>IF(COUNTA(T401:AH401)=0,"",IF(SUMPRODUCT(--(T401:AH401&lt;=1),--(KPI_Weights!$C$4:$C$18="YES"))&gt;0,"YES","NO"))</f>
        <v/>
      </c>
      <c r="AM401" s="15">
        <f>IF(AJ401="","",IF(AND(AL401="NO",AJ401&gt;=0.75),"YES","NO"))</f>
        <v/>
      </c>
      <c r="AN401" s="15">
        <f>IF(AJ401="","",IF(AJ401&lt;0.4,"Critical",IF(AJ401&lt;0.6,"Poor",IF(AJ401&lt;0.75,"Needs Improvement",IF(AJ401&lt;0.9,"Good","Excellent")))))</f>
        <v/>
      </c>
      <c r="AO401" s="41" t="n"/>
      <c r="AP401" s="41" t="n"/>
      <c r="AQ401" s="41" t="n"/>
      <c r="AR401" s="41" t="n"/>
      <c r="AS401" s="41" t="n"/>
      <c r="AT401" s="44" t="n"/>
      <c r="AU401" s="41" t="n"/>
      <c r="AV401" s="43" t="n"/>
      <c r="AW401" s="41" t="n"/>
      <c r="AX401" s="44" t="n"/>
      <c r="AY401" s="44" t="n"/>
      <c r="AZ401" s="44" t="n"/>
      <c r="BA401" s="44" t="n"/>
      <c r="BB401" s="44" t="n"/>
      <c r="BC401" s="44" t="n"/>
      <c r="BD401" s="44" t="n"/>
      <c r="BE401" s="44" t="n"/>
      <c r="BF401" s="44" t="n"/>
    </row>
    <row r="402" ht="19.5" customHeight="1" s="45">
      <c r="A402" s="15">
        <f>IF($B402="","",TEXT($B402,"yyyymmdd")&amp;"-"&amp;SUBSTITUTE($F402," ","")&amp;"-"&amp;TEXT(COUNTIF($F$4:F402,$F402),"00"))</f>
        <v/>
      </c>
      <c r="B402" s="39" t="n"/>
      <c r="C402" s="15">
        <f>IF($B402="","",WEEKNUM($B402,2))</f>
        <v/>
      </c>
      <c r="D402" s="15">
        <f>IF($B402="","",TEXT($B402,"yyyy-mm"))</f>
        <v/>
      </c>
      <c r="E402" s="40" t="n"/>
      <c r="F402" s="40" t="n"/>
      <c r="G402" s="15">
        <f>IF(OR($E402="",$F402=""),"",IFERROR(IF($E402=INDEX(Cluster_Master!$A$4:$A$18,MATCH($F402,Cluster_Master!$B$4:$B$18,0)),"OK","CHECK"),"CHECK"))</f>
        <v/>
      </c>
      <c r="H402" s="18">
        <f>IFERROR(INDEX(Cluster_Master!$C$4:$C$18,MATCH($F402,Cluster_Master!$B$4:$B$18,0)),"")</f>
        <v/>
      </c>
      <c r="I402" s="15">
        <f>IFERROR(INDEX(Cluster_Master!$D$4:$D$18,MATCH($F402,Cluster_Master!$B$4:$B$18,0)),"")</f>
        <v/>
      </c>
      <c r="J402" s="15">
        <f>IFERROR(INDEX(Cluster_Master!$E$4:$E$18,MATCH($F402,Cluster_Master!$B$4:$B$18,0)),"")</f>
        <v/>
      </c>
      <c r="K402" s="15">
        <f>IFERROR(INDEX(Cluster_Master!$F$4:$F$18,MATCH($F402,Cluster_Master!$B$4:$B$18,0)),"")</f>
        <v/>
      </c>
      <c r="L402" s="15">
        <f>IFERROR(INDEX(Cluster_Master!$G$4:$G$18,MATCH($F402,Cluster_Master!$B$4:$B$18,0)),"")</f>
        <v/>
      </c>
      <c r="M402" s="15">
        <f>IFERROR(INDEX(Cluster_Master!$H$4:$H$18,MATCH($F402,Cluster_Master!$B$4:$B$18,0)),"")</f>
        <v/>
      </c>
      <c r="N402" s="41" t="n"/>
      <c r="O402" s="41" t="n"/>
      <c r="P402" s="41" t="n"/>
      <c r="Q402" s="41" t="n"/>
      <c r="R402" s="41" t="n"/>
      <c r="S402" s="41" t="n"/>
      <c r="T402" s="42" t="n"/>
      <c r="U402" s="42" t="n"/>
      <c r="V402" s="42" t="n"/>
      <c r="W402" s="42" t="n"/>
      <c r="X402" s="42" t="n"/>
      <c r="Y402" s="42" t="n"/>
      <c r="Z402" s="42" t="n"/>
      <c r="AA402" s="42" t="n"/>
      <c r="AB402" s="42" t="n"/>
      <c r="AC402" s="42" t="n"/>
      <c r="AD402" s="42" t="n"/>
      <c r="AE402" s="42" t="n"/>
      <c r="AF402" s="42" t="n"/>
      <c r="AG402" s="42" t="n"/>
      <c r="AH402" s="42" t="n"/>
      <c r="AI402" s="15">
        <f>IF(COUNTA(T402:AH402)=0,"",SUM(T402:AH402))</f>
        <v/>
      </c>
      <c r="AJ402" s="21">
        <f>IF(COUNTA(T402:AH402)=0,"",AI402/(COUNT(KPI_Weights!$A$4:$A$18)*5))</f>
        <v/>
      </c>
      <c r="AK402" s="21">
        <f>IF(COUNTA(T402:AH402)=0,"",SUMPRODUCT(T402:AH402,KPI_Weights!$B$4:$B$18)/5)</f>
        <v/>
      </c>
      <c r="AL402" s="15">
        <f>IF(COUNTA(T402:AH402)=0,"",IF(SUMPRODUCT(--(T402:AH402&lt;=1),--(KPI_Weights!$C$4:$C$18="YES"))&gt;0,"YES","NO"))</f>
        <v/>
      </c>
      <c r="AM402" s="15">
        <f>IF(AJ402="","",IF(AND(AL402="NO",AJ402&gt;=0.75),"YES","NO"))</f>
        <v/>
      </c>
      <c r="AN402" s="15">
        <f>IF(AJ402="","",IF(AJ402&lt;0.4,"Critical",IF(AJ402&lt;0.6,"Poor",IF(AJ402&lt;0.75,"Needs Improvement",IF(AJ402&lt;0.9,"Good","Excellent")))))</f>
        <v/>
      </c>
      <c r="AO402" s="41" t="n"/>
      <c r="AP402" s="41" t="n"/>
      <c r="AQ402" s="41" t="n"/>
      <c r="AR402" s="41" t="n"/>
      <c r="AS402" s="41" t="n"/>
      <c r="AT402" s="44" t="n"/>
      <c r="AU402" s="41" t="n"/>
      <c r="AV402" s="43" t="n"/>
      <c r="AW402" s="41" t="n"/>
      <c r="AX402" s="44" t="n"/>
      <c r="AY402" s="44" t="n"/>
      <c r="AZ402" s="44" t="n"/>
      <c r="BA402" s="44" t="n"/>
      <c r="BB402" s="44" t="n"/>
      <c r="BC402" s="44" t="n"/>
      <c r="BD402" s="44" t="n"/>
      <c r="BE402" s="44" t="n"/>
      <c r="BF402" s="44" t="n"/>
    </row>
    <row r="403" ht="19.5" customHeight="1" s="45">
      <c r="A403" s="15">
        <f>IF($B403="","",TEXT($B403,"yyyymmdd")&amp;"-"&amp;SUBSTITUTE($F403," ","")&amp;"-"&amp;TEXT(COUNTIF($F$4:F403,$F403),"00"))</f>
        <v/>
      </c>
      <c r="B403" s="39" t="n"/>
      <c r="C403" s="15">
        <f>IF($B403="","",WEEKNUM($B403,2))</f>
        <v/>
      </c>
      <c r="D403" s="15">
        <f>IF($B403="","",TEXT($B403,"yyyy-mm"))</f>
        <v/>
      </c>
      <c r="E403" s="40" t="n"/>
      <c r="F403" s="40" t="n"/>
      <c r="G403" s="15">
        <f>IF(OR($E403="",$F403=""),"",IFERROR(IF($E403=INDEX(Cluster_Master!$A$4:$A$18,MATCH($F403,Cluster_Master!$B$4:$B$18,0)),"OK","CHECK"),"CHECK"))</f>
        <v/>
      </c>
      <c r="H403" s="18">
        <f>IFERROR(INDEX(Cluster_Master!$C$4:$C$18,MATCH($F403,Cluster_Master!$B$4:$B$18,0)),"")</f>
        <v/>
      </c>
      <c r="I403" s="15">
        <f>IFERROR(INDEX(Cluster_Master!$D$4:$D$18,MATCH($F403,Cluster_Master!$B$4:$B$18,0)),"")</f>
        <v/>
      </c>
      <c r="J403" s="15">
        <f>IFERROR(INDEX(Cluster_Master!$E$4:$E$18,MATCH($F403,Cluster_Master!$B$4:$B$18,0)),"")</f>
        <v/>
      </c>
      <c r="K403" s="15">
        <f>IFERROR(INDEX(Cluster_Master!$F$4:$F$18,MATCH($F403,Cluster_Master!$B$4:$B$18,0)),"")</f>
        <v/>
      </c>
      <c r="L403" s="15">
        <f>IFERROR(INDEX(Cluster_Master!$G$4:$G$18,MATCH($F403,Cluster_Master!$B$4:$B$18,0)),"")</f>
        <v/>
      </c>
      <c r="M403" s="15">
        <f>IFERROR(INDEX(Cluster_Master!$H$4:$H$18,MATCH($F403,Cluster_Master!$B$4:$B$18,0)),"")</f>
        <v/>
      </c>
      <c r="N403" s="41" t="n"/>
      <c r="O403" s="41" t="n"/>
      <c r="P403" s="41" t="n"/>
      <c r="Q403" s="41" t="n"/>
      <c r="R403" s="41" t="n"/>
      <c r="S403" s="41" t="n"/>
      <c r="T403" s="42" t="n"/>
      <c r="U403" s="42" t="n"/>
      <c r="V403" s="42" t="n"/>
      <c r="W403" s="42" t="n"/>
      <c r="X403" s="42" t="n"/>
      <c r="Y403" s="42" t="n"/>
      <c r="Z403" s="42" t="n"/>
      <c r="AA403" s="42" t="n"/>
      <c r="AB403" s="42" t="n"/>
      <c r="AC403" s="42" t="n"/>
      <c r="AD403" s="42" t="n"/>
      <c r="AE403" s="42" t="n"/>
      <c r="AF403" s="42" t="n"/>
      <c r="AG403" s="42" t="n"/>
      <c r="AH403" s="42" t="n"/>
      <c r="AI403" s="15">
        <f>IF(COUNTA(T403:AH403)=0,"",SUM(T403:AH403))</f>
        <v/>
      </c>
      <c r="AJ403" s="21">
        <f>IF(COUNTA(T403:AH403)=0,"",AI403/(COUNT(KPI_Weights!$A$4:$A$18)*5))</f>
        <v/>
      </c>
      <c r="AK403" s="21">
        <f>IF(COUNTA(T403:AH403)=0,"",SUMPRODUCT(T403:AH403,KPI_Weights!$B$4:$B$18)/5)</f>
        <v/>
      </c>
      <c r="AL403" s="15">
        <f>IF(COUNTA(T403:AH403)=0,"",IF(SUMPRODUCT(--(T403:AH403&lt;=1),--(KPI_Weights!$C$4:$C$18="YES"))&gt;0,"YES","NO"))</f>
        <v/>
      </c>
      <c r="AM403" s="15">
        <f>IF(AJ403="","",IF(AND(AL403="NO",AJ403&gt;=0.75),"YES","NO"))</f>
        <v/>
      </c>
      <c r="AN403" s="15">
        <f>IF(AJ403="","",IF(AJ403&lt;0.4,"Critical",IF(AJ403&lt;0.6,"Poor",IF(AJ403&lt;0.75,"Needs Improvement",IF(AJ403&lt;0.9,"Good","Excellent")))))</f>
        <v/>
      </c>
      <c r="AO403" s="41" t="n"/>
      <c r="AP403" s="41" t="n"/>
      <c r="AQ403" s="41" t="n"/>
      <c r="AR403" s="41" t="n"/>
      <c r="AS403" s="41" t="n"/>
      <c r="AT403" s="44" t="n"/>
      <c r="AU403" s="41" t="n"/>
      <c r="AV403" s="43" t="n"/>
      <c r="AW403" s="41" t="n"/>
      <c r="AX403" s="44" t="n"/>
      <c r="AY403" s="44" t="n"/>
      <c r="AZ403" s="44" t="n"/>
      <c r="BA403" s="44" t="n"/>
      <c r="BB403" s="44" t="n"/>
      <c r="BC403" s="44" t="n"/>
      <c r="BD403" s="44" t="n"/>
      <c r="BE403" s="44" t="n"/>
      <c r="BF403" s="44" t="n"/>
    </row>
    <row r="404" ht="19.5" customHeight="1" s="45">
      <c r="A404" s="15">
        <f>IF($B404="","",TEXT($B404,"yyyymmdd")&amp;"-"&amp;SUBSTITUTE($F404," ","")&amp;"-"&amp;TEXT(COUNTIF($F$4:F404,$F404),"00"))</f>
        <v/>
      </c>
      <c r="B404" s="39" t="n"/>
      <c r="C404" s="15">
        <f>IF($B404="","",WEEKNUM($B404,2))</f>
        <v/>
      </c>
      <c r="D404" s="15">
        <f>IF($B404="","",TEXT($B404,"yyyy-mm"))</f>
        <v/>
      </c>
      <c r="E404" s="40" t="n"/>
      <c r="F404" s="40" t="n"/>
      <c r="G404" s="15">
        <f>IF(OR($E404="",$F404=""),"",IFERROR(IF($E404=INDEX(Cluster_Master!$A$4:$A$18,MATCH($F404,Cluster_Master!$B$4:$B$18,0)),"OK","CHECK"),"CHECK"))</f>
        <v/>
      </c>
      <c r="H404" s="18">
        <f>IFERROR(INDEX(Cluster_Master!$C$4:$C$18,MATCH($F404,Cluster_Master!$B$4:$B$18,0)),"")</f>
        <v/>
      </c>
      <c r="I404" s="15">
        <f>IFERROR(INDEX(Cluster_Master!$D$4:$D$18,MATCH($F404,Cluster_Master!$B$4:$B$18,0)),"")</f>
        <v/>
      </c>
      <c r="J404" s="15">
        <f>IFERROR(INDEX(Cluster_Master!$E$4:$E$18,MATCH($F404,Cluster_Master!$B$4:$B$18,0)),"")</f>
        <v/>
      </c>
      <c r="K404" s="15">
        <f>IFERROR(INDEX(Cluster_Master!$F$4:$F$18,MATCH($F404,Cluster_Master!$B$4:$B$18,0)),"")</f>
        <v/>
      </c>
      <c r="L404" s="15">
        <f>IFERROR(INDEX(Cluster_Master!$G$4:$G$18,MATCH($F404,Cluster_Master!$B$4:$B$18,0)),"")</f>
        <v/>
      </c>
      <c r="M404" s="15">
        <f>IFERROR(INDEX(Cluster_Master!$H$4:$H$18,MATCH($F404,Cluster_Master!$B$4:$B$18,0)),"")</f>
        <v/>
      </c>
      <c r="N404" s="41" t="n"/>
      <c r="O404" s="41" t="n"/>
      <c r="P404" s="41" t="n"/>
      <c r="Q404" s="41" t="n"/>
      <c r="R404" s="41" t="n"/>
      <c r="S404" s="41" t="n"/>
      <c r="T404" s="42" t="n"/>
      <c r="U404" s="42" t="n"/>
      <c r="V404" s="42" t="n"/>
      <c r="W404" s="42" t="n"/>
      <c r="X404" s="42" t="n"/>
      <c r="Y404" s="42" t="n"/>
      <c r="Z404" s="42" t="n"/>
      <c r="AA404" s="42" t="n"/>
      <c r="AB404" s="42" t="n"/>
      <c r="AC404" s="42" t="n"/>
      <c r="AD404" s="42" t="n"/>
      <c r="AE404" s="42" t="n"/>
      <c r="AF404" s="42" t="n"/>
      <c r="AG404" s="42" t="n"/>
      <c r="AH404" s="42" t="n"/>
      <c r="AI404" s="15">
        <f>IF(COUNTA(T404:AH404)=0,"",SUM(T404:AH404))</f>
        <v/>
      </c>
      <c r="AJ404" s="21">
        <f>IF(COUNTA(T404:AH404)=0,"",AI404/(COUNT(KPI_Weights!$A$4:$A$18)*5))</f>
        <v/>
      </c>
      <c r="AK404" s="21">
        <f>IF(COUNTA(T404:AH404)=0,"",SUMPRODUCT(T404:AH404,KPI_Weights!$B$4:$B$18)/5)</f>
        <v/>
      </c>
      <c r="AL404" s="15">
        <f>IF(COUNTA(T404:AH404)=0,"",IF(SUMPRODUCT(--(T404:AH404&lt;=1),--(KPI_Weights!$C$4:$C$18="YES"))&gt;0,"YES","NO"))</f>
        <v/>
      </c>
      <c r="AM404" s="15">
        <f>IF(AJ404="","",IF(AND(AL404="NO",AJ404&gt;=0.75),"YES","NO"))</f>
        <v/>
      </c>
      <c r="AN404" s="15">
        <f>IF(AJ404="","",IF(AJ404&lt;0.4,"Critical",IF(AJ404&lt;0.6,"Poor",IF(AJ404&lt;0.75,"Needs Improvement",IF(AJ404&lt;0.9,"Good","Excellent")))))</f>
        <v/>
      </c>
      <c r="AO404" s="41" t="n"/>
      <c r="AP404" s="41" t="n"/>
      <c r="AQ404" s="41" t="n"/>
      <c r="AR404" s="41" t="n"/>
      <c r="AS404" s="41" t="n"/>
      <c r="AT404" s="44" t="n"/>
      <c r="AU404" s="41" t="n"/>
      <c r="AV404" s="43" t="n"/>
      <c r="AW404" s="41" t="n"/>
      <c r="AX404" s="44" t="n"/>
      <c r="AY404" s="44" t="n"/>
      <c r="AZ404" s="44" t="n"/>
      <c r="BA404" s="44" t="n"/>
      <c r="BB404" s="44" t="n"/>
      <c r="BC404" s="44" t="n"/>
      <c r="BD404" s="44" t="n"/>
      <c r="BE404" s="44" t="n"/>
      <c r="BF404" s="44" t="n"/>
    </row>
    <row r="405" ht="19.5" customHeight="1" s="45">
      <c r="A405" s="15">
        <f>IF($B405="","",TEXT($B405,"yyyymmdd")&amp;"-"&amp;SUBSTITUTE($F405," ","")&amp;"-"&amp;TEXT(COUNTIF($F$4:F405,$F405),"00"))</f>
        <v/>
      </c>
      <c r="B405" s="39" t="n"/>
      <c r="C405" s="15">
        <f>IF($B405="","",WEEKNUM($B405,2))</f>
        <v/>
      </c>
      <c r="D405" s="15">
        <f>IF($B405="","",TEXT($B405,"yyyy-mm"))</f>
        <v/>
      </c>
      <c r="E405" s="40" t="n"/>
      <c r="F405" s="40" t="n"/>
      <c r="G405" s="15">
        <f>IF(OR($E405="",$F405=""),"",IFERROR(IF($E405=INDEX(Cluster_Master!$A$4:$A$18,MATCH($F405,Cluster_Master!$B$4:$B$18,0)),"OK","CHECK"),"CHECK"))</f>
        <v/>
      </c>
      <c r="H405" s="18">
        <f>IFERROR(INDEX(Cluster_Master!$C$4:$C$18,MATCH($F405,Cluster_Master!$B$4:$B$18,0)),"")</f>
        <v/>
      </c>
      <c r="I405" s="15">
        <f>IFERROR(INDEX(Cluster_Master!$D$4:$D$18,MATCH($F405,Cluster_Master!$B$4:$B$18,0)),"")</f>
        <v/>
      </c>
      <c r="J405" s="15">
        <f>IFERROR(INDEX(Cluster_Master!$E$4:$E$18,MATCH($F405,Cluster_Master!$B$4:$B$18,0)),"")</f>
        <v/>
      </c>
      <c r="K405" s="15">
        <f>IFERROR(INDEX(Cluster_Master!$F$4:$F$18,MATCH($F405,Cluster_Master!$B$4:$B$18,0)),"")</f>
        <v/>
      </c>
      <c r="L405" s="15">
        <f>IFERROR(INDEX(Cluster_Master!$G$4:$G$18,MATCH($F405,Cluster_Master!$B$4:$B$18,0)),"")</f>
        <v/>
      </c>
      <c r="M405" s="15">
        <f>IFERROR(INDEX(Cluster_Master!$H$4:$H$18,MATCH($F405,Cluster_Master!$B$4:$B$18,0)),"")</f>
        <v/>
      </c>
      <c r="N405" s="41" t="n"/>
      <c r="O405" s="41" t="n"/>
      <c r="P405" s="41" t="n"/>
      <c r="Q405" s="41" t="n"/>
      <c r="R405" s="41" t="n"/>
      <c r="S405" s="41" t="n"/>
      <c r="T405" s="42" t="n"/>
      <c r="U405" s="42" t="n"/>
      <c r="V405" s="42" t="n"/>
      <c r="W405" s="42" t="n"/>
      <c r="X405" s="42" t="n"/>
      <c r="Y405" s="42" t="n"/>
      <c r="Z405" s="42" t="n"/>
      <c r="AA405" s="42" t="n"/>
      <c r="AB405" s="42" t="n"/>
      <c r="AC405" s="42" t="n"/>
      <c r="AD405" s="42" t="n"/>
      <c r="AE405" s="42" t="n"/>
      <c r="AF405" s="42" t="n"/>
      <c r="AG405" s="42" t="n"/>
      <c r="AH405" s="42" t="n"/>
      <c r="AI405" s="15">
        <f>IF(COUNTA(T405:AH405)=0,"",SUM(T405:AH405))</f>
        <v/>
      </c>
      <c r="AJ405" s="21">
        <f>IF(COUNTA(T405:AH405)=0,"",AI405/(COUNT(KPI_Weights!$A$4:$A$18)*5))</f>
        <v/>
      </c>
      <c r="AK405" s="21">
        <f>IF(COUNTA(T405:AH405)=0,"",SUMPRODUCT(T405:AH405,KPI_Weights!$B$4:$B$18)/5)</f>
        <v/>
      </c>
      <c r="AL405" s="15">
        <f>IF(COUNTA(T405:AH405)=0,"",IF(SUMPRODUCT(--(T405:AH405&lt;=1),--(KPI_Weights!$C$4:$C$18="YES"))&gt;0,"YES","NO"))</f>
        <v/>
      </c>
      <c r="AM405" s="15">
        <f>IF(AJ405="","",IF(AND(AL405="NO",AJ405&gt;=0.75),"YES","NO"))</f>
        <v/>
      </c>
      <c r="AN405" s="15">
        <f>IF(AJ405="","",IF(AJ405&lt;0.4,"Critical",IF(AJ405&lt;0.6,"Poor",IF(AJ405&lt;0.75,"Needs Improvement",IF(AJ405&lt;0.9,"Good","Excellent")))))</f>
        <v/>
      </c>
      <c r="AO405" s="41" t="n"/>
      <c r="AP405" s="41" t="n"/>
      <c r="AQ405" s="41" t="n"/>
      <c r="AR405" s="41" t="n"/>
      <c r="AS405" s="41" t="n"/>
      <c r="AT405" s="44" t="n"/>
      <c r="AU405" s="41" t="n"/>
      <c r="AV405" s="43" t="n"/>
      <c r="AW405" s="41" t="n"/>
      <c r="AX405" s="44" t="n"/>
      <c r="AY405" s="44" t="n"/>
      <c r="AZ405" s="44" t="n"/>
      <c r="BA405" s="44" t="n"/>
      <c r="BB405" s="44" t="n"/>
      <c r="BC405" s="44" t="n"/>
      <c r="BD405" s="44" t="n"/>
      <c r="BE405" s="44" t="n"/>
      <c r="BF405" s="44" t="n"/>
    </row>
    <row r="406" ht="19.5" customHeight="1" s="45">
      <c r="A406" s="15">
        <f>IF($B406="","",TEXT($B406,"yyyymmdd")&amp;"-"&amp;SUBSTITUTE($F406," ","")&amp;"-"&amp;TEXT(COUNTIF($F$4:F406,$F406),"00"))</f>
        <v/>
      </c>
      <c r="B406" s="39" t="n"/>
      <c r="C406" s="15">
        <f>IF($B406="","",WEEKNUM($B406,2))</f>
        <v/>
      </c>
      <c r="D406" s="15">
        <f>IF($B406="","",TEXT($B406,"yyyy-mm"))</f>
        <v/>
      </c>
      <c r="E406" s="40" t="n"/>
      <c r="F406" s="40" t="n"/>
      <c r="G406" s="15">
        <f>IF(OR($E406="",$F406=""),"",IFERROR(IF($E406=INDEX(Cluster_Master!$A$4:$A$18,MATCH($F406,Cluster_Master!$B$4:$B$18,0)),"OK","CHECK"),"CHECK"))</f>
        <v/>
      </c>
      <c r="H406" s="18">
        <f>IFERROR(INDEX(Cluster_Master!$C$4:$C$18,MATCH($F406,Cluster_Master!$B$4:$B$18,0)),"")</f>
        <v/>
      </c>
      <c r="I406" s="15">
        <f>IFERROR(INDEX(Cluster_Master!$D$4:$D$18,MATCH($F406,Cluster_Master!$B$4:$B$18,0)),"")</f>
        <v/>
      </c>
      <c r="J406" s="15">
        <f>IFERROR(INDEX(Cluster_Master!$E$4:$E$18,MATCH($F406,Cluster_Master!$B$4:$B$18,0)),"")</f>
        <v/>
      </c>
      <c r="K406" s="15">
        <f>IFERROR(INDEX(Cluster_Master!$F$4:$F$18,MATCH($F406,Cluster_Master!$B$4:$B$18,0)),"")</f>
        <v/>
      </c>
      <c r="L406" s="15">
        <f>IFERROR(INDEX(Cluster_Master!$G$4:$G$18,MATCH($F406,Cluster_Master!$B$4:$B$18,0)),"")</f>
        <v/>
      </c>
      <c r="M406" s="15">
        <f>IFERROR(INDEX(Cluster_Master!$H$4:$H$18,MATCH($F406,Cluster_Master!$B$4:$B$18,0)),"")</f>
        <v/>
      </c>
      <c r="N406" s="41" t="n"/>
      <c r="O406" s="41" t="n"/>
      <c r="P406" s="41" t="n"/>
      <c r="Q406" s="41" t="n"/>
      <c r="R406" s="41" t="n"/>
      <c r="S406" s="41" t="n"/>
      <c r="T406" s="42" t="n"/>
      <c r="U406" s="42" t="n"/>
      <c r="V406" s="42" t="n"/>
      <c r="W406" s="42" t="n"/>
      <c r="X406" s="42" t="n"/>
      <c r="Y406" s="42" t="n"/>
      <c r="Z406" s="42" t="n"/>
      <c r="AA406" s="42" t="n"/>
      <c r="AB406" s="42" t="n"/>
      <c r="AC406" s="42" t="n"/>
      <c r="AD406" s="42" t="n"/>
      <c r="AE406" s="42" t="n"/>
      <c r="AF406" s="42" t="n"/>
      <c r="AG406" s="42" t="n"/>
      <c r="AH406" s="42" t="n"/>
      <c r="AI406" s="15">
        <f>IF(COUNTA(T406:AH406)=0,"",SUM(T406:AH406))</f>
        <v/>
      </c>
      <c r="AJ406" s="21">
        <f>IF(COUNTA(T406:AH406)=0,"",AI406/(COUNT(KPI_Weights!$A$4:$A$18)*5))</f>
        <v/>
      </c>
      <c r="AK406" s="21">
        <f>IF(COUNTA(T406:AH406)=0,"",SUMPRODUCT(T406:AH406,KPI_Weights!$B$4:$B$18)/5)</f>
        <v/>
      </c>
      <c r="AL406" s="15">
        <f>IF(COUNTA(T406:AH406)=0,"",IF(SUMPRODUCT(--(T406:AH406&lt;=1),--(KPI_Weights!$C$4:$C$18="YES"))&gt;0,"YES","NO"))</f>
        <v/>
      </c>
      <c r="AM406" s="15">
        <f>IF(AJ406="","",IF(AND(AL406="NO",AJ406&gt;=0.75),"YES","NO"))</f>
        <v/>
      </c>
      <c r="AN406" s="15">
        <f>IF(AJ406="","",IF(AJ406&lt;0.4,"Critical",IF(AJ406&lt;0.6,"Poor",IF(AJ406&lt;0.75,"Needs Improvement",IF(AJ406&lt;0.9,"Good","Excellent")))))</f>
        <v/>
      </c>
      <c r="AO406" s="41" t="n"/>
      <c r="AP406" s="41" t="n"/>
      <c r="AQ406" s="41" t="n"/>
      <c r="AR406" s="41" t="n"/>
      <c r="AS406" s="41" t="n"/>
      <c r="AT406" s="44" t="n"/>
      <c r="AU406" s="41" t="n"/>
      <c r="AV406" s="43" t="n"/>
      <c r="AW406" s="41" t="n"/>
      <c r="AX406" s="44" t="n"/>
      <c r="AY406" s="44" t="n"/>
      <c r="AZ406" s="44" t="n"/>
      <c r="BA406" s="44" t="n"/>
      <c r="BB406" s="44" t="n"/>
      <c r="BC406" s="44" t="n"/>
      <c r="BD406" s="44" t="n"/>
      <c r="BE406" s="44" t="n"/>
      <c r="BF406" s="44" t="n"/>
    </row>
    <row r="407" ht="19.5" customHeight="1" s="45">
      <c r="A407" s="15">
        <f>IF($B407="","",TEXT($B407,"yyyymmdd")&amp;"-"&amp;SUBSTITUTE($F407," ","")&amp;"-"&amp;TEXT(COUNTIF($F$4:F407,$F407),"00"))</f>
        <v/>
      </c>
      <c r="B407" s="39" t="n"/>
      <c r="C407" s="15">
        <f>IF($B407="","",WEEKNUM($B407,2))</f>
        <v/>
      </c>
      <c r="D407" s="15">
        <f>IF($B407="","",TEXT($B407,"yyyy-mm"))</f>
        <v/>
      </c>
      <c r="E407" s="40" t="n"/>
      <c r="F407" s="40" t="n"/>
      <c r="G407" s="15">
        <f>IF(OR($E407="",$F407=""),"",IFERROR(IF($E407=INDEX(Cluster_Master!$A$4:$A$18,MATCH($F407,Cluster_Master!$B$4:$B$18,0)),"OK","CHECK"),"CHECK"))</f>
        <v/>
      </c>
      <c r="H407" s="18">
        <f>IFERROR(INDEX(Cluster_Master!$C$4:$C$18,MATCH($F407,Cluster_Master!$B$4:$B$18,0)),"")</f>
        <v/>
      </c>
      <c r="I407" s="15">
        <f>IFERROR(INDEX(Cluster_Master!$D$4:$D$18,MATCH($F407,Cluster_Master!$B$4:$B$18,0)),"")</f>
        <v/>
      </c>
      <c r="J407" s="15">
        <f>IFERROR(INDEX(Cluster_Master!$E$4:$E$18,MATCH($F407,Cluster_Master!$B$4:$B$18,0)),"")</f>
        <v/>
      </c>
      <c r="K407" s="15">
        <f>IFERROR(INDEX(Cluster_Master!$F$4:$F$18,MATCH($F407,Cluster_Master!$B$4:$B$18,0)),"")</f>
        <v/>
      </c>
      <c r="L407" s="15">
        <f>IFERROR(INDEX(Cluster_Master!$G$4:$G$18,MATCH($F407,Cluster_Master!$B$4:$B$18,0)),"")</f>
        <v/>
      </c>
      <c r="M407" s="15">
        <f>IFERROR(INDEX(Cluster_Master!$H$4:$H$18,MATCH($F407,Cluster_Master!$B$4:$B$18,0)),"")</f>
        <v/>
      </c>
      <c r="N407" s="41" t="n"/>
      <c r="O407" s="41" t="n"/>
      <c r="P407" s="41" t="n"/>
      <c r="Q407" s="41" t="n"/>
      <c r="R407" s="41" t="n"/>
      <c r="S407" s="41" t="n"/>
      <c r="T407" s="42" t="n"/>
      <c r="U407" s="42" t="n"/>
      <c r="V407" s="42" t="n"/>
      <c r="W407" s="42" t="n"/>
      <c r="X407" s="42" t="n"/>
      <c r="Y407" s="42" t="n"/>
      <c r="Z407" s="42" t="n"/>
      <c r="AA407" s="42" t="n"/>
      <c r="AB407" s="42" t="n"/>
      <c r="AC407" s="42" t="n"/>
      <c r="AD407" s="42" t="n"/>
      <c r="AE407" s="42" t="n"/>
      <c r="AF407" s="42" t="n"/>
      <c r="AG407" s="42" t="n"/>
      <c r="AH407" s="42" t="n"/>
      <c r="AI407" s="15">
        <f>IF(COUNTA(T407:AH407)=0,"",SUM(T407:AH407))</f>
        <v/>
      </c>
      <c r="AJ407" s="21">
        <f>IF(COUNTA(T407:AH407)=0,"",AI407/(COUNT(KPI_Weights!$A$4:$A$18)*5))</f>
        <v/>
      </c>
      <c r="AK407" s="21">
        <f>IF(COUNTA(T407:AH407)=0,"",SUMPRODUCT(T407:AH407,KPI_Weights!$B$4:$B$18)/5)</f>
        <v/>
      </c>
      <c r="AL407" s="15">
        <f>IF(COUNTA(T407:AH407)=0,"",IF(SUMPRODUCT(--(T407:AH407&lt;=1),--(KPI_Weights!$C$4:$C$18="YES"))&gt;0,"YES","NO"))</f>
        <v/>
      </c>
      <c r="AM407" s="15">
        <f>IF(AJ407="","",IF(AND(AL407="NO",AJ407&gt;=0.75),"YES","NO"))</f>
        <v/>
      </c>
      <c r="AN407" s="15">
        <f>IF(AJ407="","",IF(AJ407&lt;0.4,"Critical",IF(AJ407&lt;0.6,"Poor",IF(AJ407&lt;0.75,"Needs Improvement",IF(AJ407&lt;0.9,"Good","Excellent")))))</f>
        <v/>
      </c>
      <c r="AO407" s="41" t="n"/>
      <c r="AP407" s="41" t="n"/>
      <c r="AQ407" s="41" t="n"/>
      <c r="AR407" s="41" t="n"/>
      <c r="AS407" s="41" t="n"/>
      <c r="AT407" s="44" t="n"/>
      <c r="AU407" s="41" t="n"/>
      <c r="AV407" s="43" t="n"/>
      <c r="AW407" s="41" t="n"/>
      <c r="AX407" s="44" t="n"/>
      <c r="AY407" s="44" t="n"/>
      <c r="AZ407" s="44" t="n"/>
      <c r="BA407" s="44" t="n"/>
      <c r="BB407" s="44" t="n"/>
      <c r="BC407" s="44" t="n"/>
      <c r="BD407" s="44" t="n"/>
      <c r="BE407" s="44" t="n"/>
      <c r="BF407" s="44" t="n"/>
    </row>
    <row r="408" ht="19.5" customHeight="1" s="45">
      <c r="A408" s="15">
        <f>IF($B408="","",TEXT($B408,"yyyymmdd")&amp;"-"&amp;SUBSTITUTE($F408," ","")&amp;"-"&amp;TEXT(COUNTIF($F$4:F408,$F408),"00"))</f>
        <v/>
      </c>
      <c r="B408" s="39" t="n"/>
      <c r="C408" s="15">
        <f>IF($B408="","",WEEKNUM($B408,2))</f>
        <v/>
      </c>
      <c r="D408" s="15">
        <f>IF($B408="","",TEXT($B408,"yyyy-mm"))</f>
        <v/>
      </c>
      <c r="E408" s="40" t="n"/>
      <c r="F408" s="40" t="n"/>
      <c r="G408" s="15">
        <f>IF(OR($E408="",$F408=""),"",IFERROR(IF($E408=INDEX(Cluster_Master!$A$4:$A$18,MATCH($F408,Cluster_Master!$B$4:$B$18,0)),"OK","CHECK"),"CHECK"))</f>
        <v/>
      </c>
      <c r="H408" s="18">
        <f>IFERROR(INDEX(Cluster_Master!$C$4:$C$18,MATCH($F408,Cluster_Master!$B$4:$B$18,0)),"")</f>
        <v/>
      </c>
      <c r="I408" s="15">
        <f>IFERROR(INDEX(Cluster_Master!$D$4:$D$18,MATCH($F408,Cluster_Master!$B$4:$B$18,0)),"")</f>
        <v/>
      </c>
      <c r="J408" s="15">
        <f>IFERROR(INDEX(Cluster_Master!$E$4:$E$18,MATCH($F408,Cluster_Master!$B$4:$B$18,0)),"")</f>
        <v/>
      </c>
      <c r="K408" s="15">
        <f>IFERROR(INDEX(Cluster_Master!$F$4:$F$18,MATCH($F408,Cluster_Master!$B$4:$B$18,0)),"")</f>
        <v/>
      </c>
      <c r="L408" s="15">
        <f>IFERROR(INDEX(Cluster_Master!$G$4:$G$18,MATCH($F408,Cluster_Master!$B$4:$B$18,0)),"")</f>
        <v/>
      </c>
      <c r="M408" s="15">
        <f>IFERROR(INDEX(Cluster_Master!$H$4:$H$18,MATCH($F408,Cluster_Master!$B$4:$B$18,0)),"")</f>
        <v/>
      </c>
      <c r="N408" s="41" t="n"/>
      <c r="O408" s="41" t="n"/>
      <c r="P408" s="41" t="n"/>
      <c r="Q408" s="41" t="n"/>
      <c r="R408" s="41" t="n"/>
      <c r="S408" s="41" t="n"/>
      <c r="T408" s="42" t="n"/>
      <c r="U408" s="42" t="n"/>
      <c r="V408" s="42" t="n"/>
      <c r="W408" s="42" t="n"/>
      <c r="X408" s="42" t="n"/>
      <c r="Y408" s="42" t="n"/>
      <c r="Z408" s="42" t="n"/>
      <c r="AA408" s="42" t="n"/>
      <c r="AB408" s="42" t="n"/>
      <c r="AC408" s="42" t="n"/>
      <c r="AD408" s="42" t="n"/>
      <c r="AE408" s="42" t="n"/>
      <c r="AF408" s="42" t="n"/>
      <c r="AG408" s="42" t="n"/>
      <c r="AH408" s="42" t="n"/>
      <c r="AI408" s="15">
        <f>IF(COUNTA(T408:AH408)=0,"",SUM(T408:AH408))</f>
        <v/>
      </c>
      <c r="AJ408" s="21">
        <f>IF(COUNTA(T408:AH408)=0,"",AI408/(COUNT(KPI_Weights!$A$4:$A$18)*5))</f>
        <v/>
      </c>
      <c r="AK408" s="21">
        <f>IF(COUNTA(T408:AH408)=0,"",SUMPRODUCT(T408:AH408,KPI_Weights!$B$4:$B$18)/5)</f>
        <v/>
      </c>
      <c r="AL408" s="15">
        <f>IF(COUNTA(T408:AH408)=0,"",IF(SUMPRODUCT(--(T408:AH408&lt;=1),--(KPI_Weights!$C$4:$C$18="YES"))&gt;0,"YES","NO"))</f>
        <v/>
      </c>
      <c r="AM408" s="15">
        <f>IF(AJ408="","",IF(AND(AL408="NO",AJ408&gt;=0.75),"YES","NO"))</f>
        <v/>
      </c>
      <c r="AN408" s="15">
        <f>IF(AJ408="","",IF(AJ408&lt;0.4,"Critical",IF(AJ408&lt;0.6,"Poor",IF(AJ408&lt;0.75,"Needs Improvement",IF(AJ408&lt;0.9,"Good","Excellent")))))</f>
        <v/>
      </c>
      <c r="AO408" s="41" t="n"/>
      <c r="AP408" s="41" t="n"/>
      <c r="AQ408" s="41" t="n"/>
      <c r="AR408" s="41" t="n"/>
      <c r="AS408" s="41" t="n"/>
      <c r="AT408" s="44" t="n"/>
      <c r="AU408" s="41" t="n"/>
      <c r="AV408" s="43" t="n"/>
      <c r="AW408" s="41" t="n"/>
      <c r="AX408" s="44" t="n"/>
      <c r="AY408" s="44" t="n"/>
      <c r="AZ408" s="44" t="n"/>
      <c r="BA408" s="44" t="n"/>
      <c r="BB408" s="44" t="n"/>
      <c r="BC408" s="44" t="n"/>
      <c r="BD408" s="44" t="n"/>
      <c r="BE408" s="44" t="n"/>
      <c r="BF408" s="44" t="n"/>
    </row>
    <row r="409" ht="19.5" customHeight="1" s="45">
      <c r="A409" s="15">
        <f>IF($B409="","",TEXT($B409,"yyyymmdd")&amp;"-"&amp;SUBSTITUTE($F409," ","")&amp;"-"&amp;TEXT(COUNTIF($F$4:F409,$F409),"00"))</f>
        <v/>
      </c>
      <c r="B409" s="39" t="n"/>
      <c r="C409" s="15">
        <f>IF($B409="","",WEEKNUM($B409,2))</f>
        <v/>
      </c>
      <c r="D409" s="15">
        <f>IF($B409="","",TEXT($B409,"yyyy-mm"))</f>
        <v/>
      </c>
      <c r="E409" s="40" t="n"/>
      <c r="F409" s="40" t="n"/>
      <c r="G409" s="15">
        <f>IF(OR($E409="",$F409=""),"",IFERROR(IF($E409=INDEX(Cluster_Master!$A$4:$A$18,MATCH($F409,Cluster_Master!$B$4:$B$18,0)),"OK","CHECK"),"CHECK"))</f>
        <v/>
      </c>
      <c r="H409" s="18">
        <f>IFERROR(INDEX(Cluster_Master!$C$4:$C$18,MATCH($F409,Cluster_Master!$B$4:$B$18,0)),"")</f>
        <v/>
      </c>
      <c r="I409" s="15">
        <f>IFERROR(INDEX(Cluster_Master!$D$4:$D$18,MATCH($F409,Cluster_Master!$B$4:$B$18,0)),"")</f>
        <v/>
      </c>
      <c r="J409" s="15">
        <f>IFERROR(INDEX(Cluster_Master!$E$4:$E$18,MATCH($F409,Cluster_Master!$B$4:$B$18,0)),"")</f>
        <v/>
      </c>
      <c r="K409" s="15">
        <f>IFERROR(INDEX(Cluster_Master!$F$4:$F$18,MATCH($F409,Cluster_Master!$B$4:$B$18,0)),"")</f>
        <v/>
      </c>
      <c r="L409" s="15">
        <f>IFERROR(INDEX(Cluster_Master!$G$4:$G$18,MATCH($F409,Cluster_Master!$B$4:$B$18,0)),"")</f>
        <v/>
      </c>
      <c r="M409" s="15">
        <f>IFERROR(INDEX(Cluster_Master!$H$4:$H$18,MATCH($F409,Cluster_Master!$B$4:$B$18,0)),"")</f>
        <v/>
      </c>
      <c r="N409" s="41" t="n"/>
      <c r="O409" s="41" t="n"/>
      <c r="P409" s="41" t="n"/>
      <c r="Q409" s="41" t="n"/>
      <c r="R409" s="41" t="n"/>
      <c r="S409" s="41" t="n"/>
      <c r="T409" s="42" t="n"/>
      <c r="U409" s="42" t="n"/>
      <c r="V409" s="42" t="n"/>
      <c r="W409" s="42" t="n"/>
      <c r="X409" s="42" t="n"/>
      <c r="Y409" s="42" t="n"/>
      <c r="Z409" s="42" t="n"/>
      <c r="AA409" s="42" t="n"/>
      <c r="AB409" s="42" t="n"/>
      <c r="AC409" s="42" t="n"/>
      <c r="AD409" s="42" t="n"/>
      <c r="AE409" s="42" t="n"/>
      <c r="AF409" s="42" t="n"/>
      <c r="AG409" s="42" t="n"/>
      <c r="AH409" s="42" t="n"/>
      <c r="AI409" s="15">
        <f>IF(COUNTA(T409:AH409)=0,"",SUM(T409:AH409))</f>
        <v/>
      </c>
      <c r="AJ409" s="21">
        <f>IF(COUNTA(T409:AH409)=0,"",AI409/(COUNT(KPI_Weights!$A$4:$A$18)*5))</f>
        <v/>
      </c>
      <c r="AK409" s="21">
        <f>IF(COUNTA(T409:AH409)=0,"",SUMPRODUCT(T409:AH409,KPI_Weights!$B$4:$B$18)/5)</f>
        <v/>
      </c>
      <c r="AL409" s="15">
        <f>IF(COUNTA(T409:AH409)=0,"",IF(SUMPRODUCT(--(T409:AH409&lt;=1),--(KPI_Weights!$C$4:$C$18="YES"))&gt;0,"YES","NO"))</f>
        <v/>
      </c>
      <c r="AM409" s="15">
        <f>IF(AJ409="","",IF(AND(AL409="NO",AJ409&gt;=0.75),"YES","NO"))</f>
        <v/>
      </c>
      <c r="AN409" s="15">
        <f>IF(AJ409="","",IF(AJ409&lt;0.4,"Critical",IF(AJ409&lt;0.6,"Poor",IF(AJ409&lt;0.75,"Needs Improvement",IF(AJ409&lt;0.9,"Good","Excellent")))))</f>
        <v/>
      </c>
      <c r="AO409" s="41" t="n"/>
      <c r="AP409" s="41" t="n"/>
      <c r="AQ409" s="41" t="n"/>
      <c r="AR409" s="41" t="n"/>
      <c r="AS409" s="41" t="n"/>
      <c r="AT409" s="44" t="n"/>
      <c r="AU409" s="41" t="n"/>
      <c r="AV409" s="43" t="n"/>
      <c r="AW409" s="41" t="n"/>
      <c r="AX409" s="44" t="n"/>
      <c r="AY409" s="44" t="n"/>
      <c r="AZ409" s="44" t="n"/>
      <c r="BA409" s="44" t="n"/>
      <c r="BB409" s="44" t="n"/>
      <c r="BC409" s="44" t="n"/>
      <c r="BD409" s="44" t="n"/>
      <c r="BE409" s="44" t="n"/>
      <c r="BF409" s="44" t="n"/>
    </row>
    <row r="410" ht="19.5" customHeight="1" s="45">
      <c r="A410" s="15">
        <f>IF($B410="","",TEXT($B410,"yyyymmdd")&amp;"-"&amp;SUBSTITUTE($F410," ","")&amp;"-"&amp;TEXT(COUNTIF($F$4:F410,$F410),"00"))</f>
        <v/>
      </c>
      <c r="B410" s="39" t="n"/>
      <c r="C410" s="15">
        <f>IF($B410="","",WEEKNUM($B410,2))</f>
        <v/>
      </c>
      <c r="D410" s="15">
        <f>IF($B410="","",TEXT($B410,"yyyy-mm"))</f>
        <v/>
      </c>
      <c r="E410" s="40" t="n"/>
      <c r="F410" s="40" t="n"/>
      <c r="G410" s="15">
        <f>IF(OR($E410="",$F410=""),"",IFERROR(IF($E410=INDEX(Cluster_Master!$A$4:$A$18,MATCH($F410,Cluster_Master!$B$4:$B$18,0)),"OK","CHECK"),"CHECK"))</f>
        <v/>
      </c>
      <c r="H410" s="18">
        <f>IFERROR(INDEX(Cluster_Master!$C$4:$C$18,MATCH($F410,Cluster_Master!$B$4:$B$18,0)),"")</f>
        <v/>
      </c>
      <c r="I410" s="15">
        <f>IFERROR(INDEX(Cluster_Master!$D$4:$D$18,MATCH($F410,Cluster_Master!$B$4:$B$18,0)),"")</f>
        <v/>
      </c>
      <c r="J410" s="15">
        <f>IFERROR(INDEX(Cluster_Master!$E$4:$E$18,MATCH($F410,Cluster_Master!$B$4:$B$18,0)),"")</f>
        <v/>
      </c>
      <c r="K410" s="15">
        <f>IFERROR(INDEX(Cluster_Master!$F$4:$F$18,MATCH($F410,Cluster_Master!$B$4:$B$18,0)),"")</f>
        <v/>
      </c>
      <c r="L410" s="15">
        <f>IFERROR(INDEX(Cluster_Master!$G$4:$G$18,MATCH($F410,Cluster_Master!$B$4:$B$18,0)),"")</f>
        <v/>
      </c>
      <c r="M410" s="15">
        <f>IFERROR(INDEX(Cluster_Master!$H$4:$H$18,MATCH($F410,Cluster_Master!$B$4:$B$18,0)),"")</f>
        <v/>
      </c>
      <c r="N410" s="41" t="n"/>
      <c r="O410" s="41" t="n"/>
      <c r="P410" s="41" t="n"/>
      <c r="Q410" s="41" t="n"/>
      <c r="R410" s="41" t="n"/>
      <c r="S410" s="41" t="n"/>
      <c r="T410" s="42" t="n"/>
      <c r="U410" s="42" t="n"/>
      <c r="V410" s="42" t="n"/>
      <c r="W410" s="42" t="n"/>
      <c r="X410" s="42" t="n"/>
      <c r="Y410" s="42" t="n"/>
      <c r="Z410" s="42" t="n"/>
      <c r="AA410" s="42" t="n"/>
      <c r="AB410" s="42" t="n"/>
      <c r="AC410" s="42" t="n"/>
      <c r="AD410" s="42" t="n"/>
      <c r="AE410" s="42" t="n"/>
      <c r="AF410" s="42" t="n"/>
      <c r="AG410" s="42" t="n"/>
      <c r="AH410" s="42" t="n"/>
      <c r="AI410" s="15">
        <f>IF(COUNTA(T410:AH410)=0,"",SUM(T410:AH410))</f>
        <v/>
      </c>
      <c r="AJ410" s="21">
        <f>IF(COUNTA(T410:AH410)=0,"",AI410/(COUNT(KPI_Weights!$A$4:$A$18)*5))</f>
        <v/>
      </c>
      <c r="AK410" s="21">
        <f>IF(COUNTA(T410:AH410)=0,"",SUMPRODUCT(T410:AH410,KPI_Weights!$B$4:$B$18)/5)</f>
        <v/>
      </c>
      <c r="AL410" s="15">
        <f>IF(COUNTA(T410:AH410)=0,"",IF(SUMPRODUCT(--(T410:AH410&lt;=1),--(KPI_Weights!$C$4:$C$18="YES"))&gt;0,"YES","NO"))</f>
        <v/>
      </c>
      <c r="AM410" s="15">
        <f>IF(AJ410="","",IF(AND(AL410="NO",AJ410&gt;=0.75),"YES","NO"))</f>
        <v/>
      </c>
      <c r="AN410" s="15">
        <f>IF(AJ410="","",IF(AJ410&lt;0.4,"Critical",IF(AJ410&lt;0.6,"Poor",IF(AJ410&lt;0.75,"Needs Improvement",IF(AJ410&lt;0.9,"Good","Excellent")))))</f>
        <v/>
      </c>
      <c r="AO410" s="41" t="n"/>
      <c r="AP410" s="41" t="n"/>
      <c r="AQ410" s="41" t="n"/>
      <c r="AR410" s="41" t="n"/>
      <c r="AS410" s="41" t="n"/>
      <c r="AT410" s="44" t="n"/>
      <c r="AU410" s="41" t="n"/>
      <c r="AV410" s="43" t="n"/>
      <c r="AW410" s="41" t="n"/>
      <c r="AX410" s="44" t="n"/>
      <c r="AY410" s="44" t="n"/>
      <c r="AZ410" s="44" t="n"/>
      <c r="BA410" s="44" t="n"/>
      <c r="BB410" s="44" t="n"/>
      <c r="BC410" s="44" t="n"/>
      <c r="BD410" s="44" t="n"/>
      <c r="BE410" s="44" t="n"/>
      <c r="BF410" s="44" t="n"/>
    </row>
    <row r="411" ht="19.5" customHeight="1" s="45">
      <c r="A411" s="15">
        <f>IF($B411="","",TEXT($B411,"yyyymmdd")&amp;"-"&amp;SUBSTITUTE($F411," ","")&amp;"-"&amp;TEXT(COUNTIF($F$4:F411,$F411),"00"))</f>
        <v/>
      </c>
      <c r="B411" s="39" t="n"/>
      <c r="C411" s="15">
        <f>IF($B411="","",WEEKNUM($B411,2))</f>
        <v/>
      </c>
      <c r="D411" s="15">
        <f>IF($B411="","",TEXT($B411,"yyyy-mm"))</f>
        <v/>
      </c>
      <c r="E411" s="40" t="n"/>
      <c r="F411" s="40" t="n"/>
      <c r="G411" s="15">
        <f>IF(OR($E411="",$F411=""),"",IFERROR(IF($E411=INDEX(Cluster_Master!$A$4:$A$18,MATCH($F411,Cluster_Master!$B$4:$B$18,0)),"OK","CHECK"),"CHECK"))</f>
        <v/>
      </c>
      <c r="H411" s="18">
        <f>IFERROR(INDEX(Cluster_Master!$C$4:$C$18,MATCH($F411,Cluster_Master!$B$4:$B$18,0)),"")</f>
        <v/>
      </c>
      <c r="I411" s="15">
        <f>IFERROR(INDEX(Cluster_Master!$D$4:$D$18,MATCH($F411,Cluster_Master!$B$4:$B$18,0)),"")</f>
        <v/>
      </c>
      <c r="J411" s="15">
        <f>IFERROR(INDEX(Cluster_Master!$E$4:$E$18,MATCH($F411,Cluster_Master!$B$4:$B$18,0)),"")</f>
        <v/>
      </c>
      <c r="K411" s="15">
        <f>IFERROR(INDEX(Cluster_Master!$F$4:$F$18,MATCH($F411,Cluster_Master!$B$4:$B$18,0)),"")</f>
        <v/>
      </c>
      <c r="L411" s="15">
        <f>IFERROR(INDEX(Cluster_Master!$G$4:$G$18,MATCH($F411,Cluster_Master!$B$4:$B$18,0)),"")</f>
        <v/>
      </c>
      <c r="M411" s="15">
        <f>IFERROR(INDEX(Cluster_Master!$H$4:$H$18,MATCH($F411,Cluster_Master!$B$4:$B$18,0)),"")</f>
        <v/>
      </c>
      <c r="N411" s="41" t="n"/>
      <c r="O411" s="41" t="n"/>
      <c r="P411" s="41" t="n"/>
      <c r="Q411" s="41" t="n"/>
      <c r="R411" s="41" t="n"/>
      <c r="S411" s="41" t="n"/>
      <c r="T411" s="42" t="n"/>
      <c r="U411" s="42" t="n"/>
      <c r="V411" s="42" t="n"/>
      <c r="W411" s="42" t="n"/>
      <c r="X411" s="42" t="n"/>
      <c r="Y411" s="42" t="n"/>
      <c r="Z411" s="42" t="n"/>
      <c r="AA411" s="42" t="n"/>
      <c r="AB411" s="42" t="n"/>
      <c r="AC411" s="42" t="n"/>
      <c r="AD411" s="42" t="n"/>
      <c r="AE411" s="42" t="n"/>
      <c r="AF411" s="42" t="n"/>
      <c r="AG411" s="42" t="n"/>
      <c r="AH411" s="42" t="n"/>
      <c r="AI411" s="15">
        <f>IF(COUNTA(T411:AH411)=0,"",SUM(T411:AH411))</f>
        <v/>
      </c>
      <c r="AJ411" s="21">
        <f>IF(COUNTA(T411:AH411)=0,"",AI411/(COUNT(KPI_Weights!$A$4:$A$18)*5))</f>
        <v/>
      </c>
      <c r="AK411" s="21">
        <f>IF(COUNTA(T411:AH411)=0,"",SUMPRODUCT(T411:AH411,KPI_Weights!$B$4:$B$18)/5)</f>
        <v/>
      </c>
      <c r="AL411" s="15">
        <f>IF(COUNTA(T411:AH411)=0,"",IF(SUMPRODUCT(--(T411:AH411&lt;=1),--(KPI_Weights!$C$4:$C$18="YES"))&gt;0,"YES","NO"))</f>
        <v/>
      </c>
      <c r="AM411" s="15">
        <f>IF(AJ411="","",IF(AND(AL411="NO",AJ411&gt;=0.75),"YES","NO"))</f>
        <v/>
      </c>
      <c r="AN411" s="15">
        <f>IF(AJ411="","",IF(AJ411&lt;0.4,"Critical",IF(AJ411&lt;0.6,"Poor",IF(AJ411&lt;0.75,"Needs Improvement",IF(AJ411&lt;0.9,"Good","Excellent")))))</f>
        <v/>
      </c>
      <c r="AO411" s="41" t="n"/>
      <c r="AP411" s="41" t="n"/>
      <c r="AQ411" s="41" t="n"/>
      <c r="AR411" s="41" t="n"/>
      <c r="AS411" s="41" t="n"/>
      <c r="AT411" s="44" t="n"/>
      <c r="AU411" s="41" t="n"/>
      <c r="AV411" s="43" t="n"/>
      <c r="AW411" s="41" t="n"/>
      <c r="AX411" s="44" t="n"/>
      <c r="AY411" s="44" t="n"/>
      <c r="AZ411" s="44" t="n"/>
      <c r="BA411" s="44" t="n"/>
      <c r="BB411" s="44" t="n"/>
      <c r="BC411" s="44" t="n"/>
      <c r="BD411" s="44" t="n"/>
      <c r="BE411" s="44" t="n"/>
      <c r="BF411" s="44" t="n"/>
    </row>
    <row r="412" ht="19.5" customHeight="1" s="45">
      <c r="A412" s="15">
        <f>IF($B412="","",TEXT($B412,"yyyymmdd")&amp;"-"&amp;SUBSTITUTE($F412," ","")&amp;"-"&amp;TEXT(COUNTIF($F$4:F412,$F412),"00"))</f>
        <v/>
      </c>
      <c r="B412" s="39" t="n"/>
      <c r="C412" s="15">
        <f>IF($B412="","",WEEKNUM($B412,2))</f>
        <v/>
      </c>
      <c r="D412" s="15">
        <f>IF($B412="","",TEXT($B412,"yyyy-mm"))</f>
        <v/>
      </c>
      <c r="E412" s="40" t="n"/>
      <c r="F412" s="40" t="n"/>
      <c r="G412" s="15">
        <f>IF(OR($E412="",$F412=""),"",IFERROR(IF($E412=INDEX(Cluster_Master!$A$4:$A$18,MATCH($F412,Cluster_Master!$B$4:$B$18,0)),"OK","CHECK"),"CHECK"))</f>
        <v/>
      </c>
      <c r="H412" s="18">
        <f>IFERROR(INDEX(Cluster_Master!$C$4:$C$18,MATCH($F412,Cluster_Master!$B$4:$B$18,0)),"")</f>
        <v/>
      </c>
      <c r="I412" s="15">
        <f>IFERROR(INDEX(Cluster_Master!$D$4:$D$18,MATCH($F412,Cluster_Master!$B$4:$B$18,0)),"")</f>
        <v/>
      </c>
      <c r="J412" s="15">
        <f>IFERROR(INDEX(Cluster_Master!$E$4:$E$18,MATCH($F412,Cluster_Master!$B$4:$B$18,0)),"")</f>
        <v/>
      </c>
      <c r="K412" s="15">
        <f>IFERROR(INDEX(Cluster_Master!$F$4:$F$18,MATCH($F412,Cluster_Master!$B$4:$B$18,0)),"")</f>
        <v/>
      </c>
      <c r="L412" s="15">
        <f>IFERROR(INDEX(Cluster_Master!$G$4:$G$18,MATCH($F412,Cluster_Master!$B$4:$B$18,0)),"")</f>
        <v/>
      </c>
      <c r="M412" s="15">
        <f>IFERROR(INDEX(Cluster_Master!$H$4:$H$18,MATCH($F412,Cluster_Master!$B$4:$B$18,0)),"")</f>
        <v/>
      </c>
      <c r="N412" s="41" t="n"/>
      <c r="O412" s="41" t="n"/>
      <c r="P412" s="41" t="n"/>
      <c r="Q412" s="41" t="n"/>
      <c r="R412" s="41" t="n"/>
      <c r="S412" s="41" t="n"/>
      <c r="T412" s="42" t="n"/>
      <c r="U412" s="42" t="n"/>
      <c r="V412" s="42" t="n"/>
      <c r="W412" s="42" t="n"/>
      <c r="X412" s="42" t="n"/>
      <c r="Y412" s="42" t="n"/>
      <c r="Z412" s="42" t="n"/>
      <c r="AA412" s="42" t="n"/>
      <c r="AB412" s="42" t="n"/>
      <c r="AC412" s="42" t="n"/>
      <c r="AD412" s="42" t="n"/>
      <c r="AE412" s="42" t="n"/>
      <c r="AF412" s="42" t="n"/>
      <c r="AG412" s="42" t="n"/>
      <c r="AH412" s="42" t="n"/>
      <c r="AI412" s="15">
        <f>IF(COUNTA(T412:AH412)=0,"",SUM(T412:AH412))</f>
        <v/>
      </c>
      <c r="AJ412" s="21">
        <f>IF(COUNTA(T412:AH412)=0,"",AI412/(COUNT(KPI_Weights!$A$4:$A$18)*5))</f>
        <v/>
      </c>
      <c r="AK412" s="21">
        <f>IF(COUNTA(T412:AH412)=0,"",SUMPRODUCT(T412:AH412,KPI_Weights!$B$4:$B$18)/5)</f>
        <v/>
      </c>
      <c r="AL412" s="15">
        <f>IF(COUNTA(T412:AH412)=0,"",IF(SUMPRODUCT(--(T412:AH412&lt;=1),--(KPI_Weights!$C$4:$C$18="YES"))&gt;0,"YES","NO"))</f>
        <v/>
      </c>
      <c r="AM412" s="15">
        <f>IF(AJ412="","",IF(AND(AL412="NO",AJ412&gt;=0.75),"YES","NO"))</f>
        <v/>
      </c>
      <c r="AN412" s="15">
        <f>IF(AJ412="","",IF(AJ412&lt;0.4,"Critical",IF(AJ412&lt;0.6,"Poor",IF(AJ412&lt;0.75,"Needs Improvement",IF(AJ412&lt;0.9,"Good","Excellent")))))</f>
        <v/>
      </c>
      <c r="AO412" s="41" t="n"/>
      <c r="AP412" s="41" t="n"/>
      <c r="AQ412" s="41" t="n"/>
      <c r="AR412" s="41" t="n"/>
      <c r="AS412" s="41" t="n"/>
      <c r="AT412" s="44" t="n"/>
      <c r="AU412" s="41" t="n"/>
      <c r="AV412" s="43" t="n"/>
      <c r="AW412" s="41" t="n"/>
      <c r="AX412" s="44" t="n"/>
      <c r="AY412" s="44" t="n"/>
      <c r="AZ412" s="44" t="n"/>
      <c r="BA412" s="44" t="n"/>
      <c r="BB412" s="44" t="n"/>
      <c r="BC412" s="44" t="n"/>
      <c r="BD412" s="44" t="n"/>
      <c r="BE412" s="44" t="n"/>
      <c r="BF412" s="44" t="n"/>
    </row>
    <row r="413" ht="19.5" customHeight="1" s="45">
      <c r="A413" s="15">
        <f>IF($B413="","",TEXT($B413,"yyyymmdd")&amp;"-"&amp;SUBSTITUTE($F413," ","")&amp;"-"&amp;TEXT(COUNTIF($F$4:F413,$F413),"00"))</f>
        <v/>
      </c>
      <c r="B413" s="39" t="n"/>
      <c r="C413" s="15">
        <f>IF($B413="","",WEEKNUM($B413,2))</f>
        <v/>
      </c>
      <c r="D413" s="15">
        <f>IF($B413="","",TEXT($B413,"yyyy-mm"))</f>
        <v/>
      </c>
      <c r="E413" s="40" t="n"/>
      <c r="F413" s="40" t="n"/>
      <c r="G413" s="15">
        <f>IF(OR($E413="",$F413=""),"",IFERROR(IF($E413=INDEX(Cluster_Master!$A$4:$A$18,MATCH($F413,Cluster_Master!$B$4:$B$18,0)),"OK","CHECK"),"CHECK"))</f>
        <v/>
      </c>
      <c r="H413" s="18">
        <f>IFERROR(INDEX(Cluster_Master!$C$4:$C$18,MATCH($F413,Cluster_Master!$B$4:$B$18,0)),"")</f>
        <v/>
      </c>
      <c r="I413" s="15">
        <f>IFERROR(INDEX(Cluster_Master!$D$4:$D$18,MATCH($F413,Cluster_Master!$B$4:$B$18,0)),"")</f>
        <v/>
      </c>
      <c r="J413" s="15">
        <f>IFERROR(INDEX(Cluster_Master!$E$4:$E$18,MATCH($F413,Cluster_Master!$B$4:$B$18,0)),"")</f>
        <v/>
      </c>
      <c r="K413" s="15">
        <f>IFERROR(INDEX(Cluster_Master!$F$4:$F$18,MATCH($F413,Cluster_Master!$B$4:$B$18,0)),"")</f>
        <v/>
      </c>
      <c r="L413" s="15">
        <f>IFERROR(INDEX(Cluster_Master!$G$4:$G$18,MATCH($F413,Cluster_Master!$B$4:$B$18,0)),"")</f>
        <v/>
      </c>
      <c r="M413" s="15">
        <f>IFERROR(INDEX(Cluster_Master!$H$4:$H$18,MATCH($F413,Cluster_Master!$B$4:$B$18,0)),"")</f>
        <v/>
      </c>
      <c r="N413" s="41" t="n"/>
      <c r="O413" s="41" t="n"/>
      <c r="P413" s="41" t="n"/>
      <c r="Q413" s="41" t="n"/>
      <c r="R413" s="41" t="n"/>
      <c r="S413" s="41" t="n"/>
      <c r="T413" s="42" t="n"/>
      <c r="U413" s="42" t="n"/>
      <c r="V413" s="42" t="n"/>
      <c r="W413" s="42" t="n"/>
      <c r="X413" s="42" t="n"/>
      <c r="Y413" s="42" t="n"/>
      <c r="Z413" s="42" t="n"/>
      <c r="AA413" s="42" t="n"/>
      <c r="AB413" s="42" t="n"/>
      <c r="AC413" s="42" t="n"/>
      <c r="AD413" s="42" t="n"/>
      <c r="AE413" s="42" t="n"/>
      <c r="AF413" s="42" t="n"/>
      <c r="AG413" s="42" t="n"/>
      <c r="AH413" s="42" t="n"/>
      <c r="AI413" s="15">
        <f>IF(COUNTA(T413:AH413)=0,"",SUM(T413:AH413))</f>
        <v/>
      </c>
      <c r="AJ413" s="21">
        <f>IF(COUNTA(T413:AH413)=0,"",AI413/(COUNT(KPI_Weights!$A$4:$A$18)*5))</f>
        <v/>
      </c>
      <c r="AK413" s="21">
        <f>IF(COUNTA(T413:AH413)=0,"",SUMPRODUCT(T413:AH413,KPI_Weights!$B$4:$B$18)/5)</f>
        <v/>
      </c>
      <c r="AL413" s="15">
        <f>IF(COUNTA(T413:AH413)=0,"",IF(SUMPRODUCT(--(T413:AH413&lt;=1),--(KPI_Weights!$C$4:$C$18="YES"))&gt;0,"YES","NO"))</f>
        <v/>
      </c>
      <c r="AM413" s="15">
        <f>IF(AJ413="","",IF(AND(AL413="NO",AJ413&gt;=0.75),"YES","NO"))</f>
        <v/>
      </c>
      <c r="AN413" s="15">
        <f>IF(AJ413="","",IF(AJ413&lt;0.4,"Critical",IF(AJ413&lt;0.6,"Poor",IF(AJ413&lt;0.75,"Needs Improvement",IF(AJ413&lt;0.9,"Good","Excellent")))))</f>
        <v/>
      </c>
      <c r="AO413" s="41" t="n"/>
      <c r="AP413" s="41" t="n"/>
      <c r="AQ413" s="41" t="n"/>
      <c r="AR413" s="41" t="n"/>
      <c r="AS413" s="41" t="n"/>
      <c r="AT413" s="44" t="n"/>
      <c r="AU413" s="41" t="n"/>
      <c r="AV413" s="43" t="n"/>
      <c r="AW413" s="41" t="n"/>
      <c r="AX413" s="44" t="n"/>
      <c r="AY413" s="44" t="n"/>
      <c r="AZ413" s="44" t="n"/>
      <c r="BA413" s="44" t="n"/>
      <c r="BB413" s="44" t="n"/>
      <c r="BC413" s="44" t="n"/>
      <c r="BD413" s="44" t="n"/>
      <c r="BE413" s="44" t="n"/>
      <c r="BF413" s="44" t="n"/>
    </row>
    <row r="414" ht="19.5" customHeight="1" s="45">
      <c r="A414" s="15">
        <f>IF($B414="","",TEXT($B414,"yyyymmdd")&amp;"-"&amp;SUBSTITUTE($F414," ","")&amp;"-"&amp;TEXT(COUNTIF($F$4:F414,$F414),"00"))</f>
        <v/>
      </c>
      <c r="B414" s="39" t="n"/>
      <c r="C414" s="15">
        <f>IF($B414="","",WEEKNUM($B414,2))</f>
        <v/>
      </c>
      <c r="D414" s="15">
        <f>IF($B414="","",TEXT($B414,"yyyy-mm"))</f>
        <v/>
      </c>
      <c r="E414" s="40" t="n"/>
      <c r="F414" s="40" t="n"/>
      <c r="G414" s="15">
        <f>IF(OR($E414="",$F414=""),"",IFERROR(IF($E414=INDEX(Cluster_Master!$A$4:$A$18,MATCH($F414,Cluster_Master!$B$4:$B$18,0)),"OK","CHECK"),"CHECK"))</f>
        <v/>
      </c>
      <c r="H414" s="18">
        <f>IFERROR(INDEX(Cluster_Master!$C$4:$C$18,MATCH($F414,Cluster_Master!$B$4:$B$18,0)),"")</f>
        <v/>
      </c>
      <c r="I414" s="15">
        <f>IFERROR(INDEX(Cluster_Master!$D$4:$D$18,MATCH($F414,Cluster_Master!$B$4:$B$18,0)),"")</f>
        <v/>
      </c>
      <c r="J414" s="15">
        <f>IFERROR(INDEX(Cluster_Master!$E$4:$E$18,MATCH($F414,Cluster_Master!$B$4:$B$18,0)),"")</f>
        <v/>
      </c>
      <c r="K414" s="15">
        <f>IFERROR(INDEX(Cluster_Master!$F$4:$F$18,MATCH($F414,Cluster_Master!$B$4:$B$18,0)),"")</f>
        <v/>
      </c>
      <c r="L414" s="15">
        <f>IFERROR(INDEX(Cluster_Master!$G$4:$G$18,MATCH($F414,Cluster_Master!$B$4:$B$18,0)),"")</f>
        <v/>
      </c>
      <c r="M414" s="15">
        <f>IFERROR(INDEX(Cluster_Master!$H$4:$H$18,MATCH($F414,Cluster_Master!$B$4:$B$18,0)),"")</f>
        <v/>
      </c>
      <c r="N414" s="41" t="n"/>
      <c r="O414" s="41" t="n"/>
      <c r="P414" s="41" t="n"/>
      <c r="Q414" s="41" t="n"/>
      <c r="R414" s="41" t="n"/>
      <c r="S414" s="41" t="n"/>
      <c r="T414" s="42" t="n"/>
      <c r="U414" s="42" t="n"/>
      <c r="V414" s="42" t="n"/>
      <c r="W414" s="42" t="n"/>
      <c r="X414" s="42" t="n"/>
      <c r="Y414" s="42" t="n"/>
      <c r="Z414" s="42" t="n"/>
      <c r="AA414" s="42" t="n"/>
      <c r="AB414" s="42" t="n"/>
      <c r="AC414" s="42" t="n"/>
      <c r="AD414" s="42" t="n"/>
      <c r="AE414" s="42" t="n"/>
      <c r="AF414" s="42" t="n"/>
      <c r="AG414" s="42" t="n"/>
      <c r="AH414" s="42" t="n"/>
      <c r="AI414" s="15">
        <f>IF(COUNTA(T414:AH414)=0,"",SUM(T414:AH414))</f>
        <v/>
      </c>
      <c r="AJ414" s="21">
        <f>IF(COUNTA(T414:AH414)=0,"",AI414/(COUNT(KPI_Weights!$A$4:$A$18)*5))</f>
        <v/>
      </c>
      <c r="AK414" s="21">
        <f>IF(COUNTA(T414:AH414)=0,"",SUMPRODUCT(T414:AH414,KPI_Weights!$B$4:$B$18)/5)</f>
        <v/>
      </c>
      <c r="AL414" s="15">
        <f>IF(COUNTA(T414:AH414)=0,"",IF(SUMPRODUCT(--(T414:AH414&lt;=1),--(KPI_Weights!$C$4:$C$18="YES"))&gt;0,"YES","NO"))</f>
        <v/>
      </c>
      <c r="AM414" s="15">
        <f>IF(AJ414="","",IF(AND(AL414="NO",AJ414&gt;=0.75),"YES","NO"))</f>
        <v/>
      </c>
      <c r="AN414" s="15">
        <f>IF(AJ414="","",IF(AJ414&lt;0.4,"Critical",IF(AJ414&lt;0.6,"Poor",IF(AJ414&lt;0.75,"Needs Improvement",IF(AJ414&lt;0.9,"Good","Excellent")))))</f>
        <v/>
      </c>
      <c r="AO414" s="41" t="n"/>
      <c r="AP414" s="41" t="n"/>
      <c r="AQ414" s="41" t="n"/>
      <c r="AR414" s="41" t="n"/>
      <c r="AS414" s="41" t="n"/>
      <c r="AT414" s="44" t="n"/>
      <c r="AU414" s="41" t="n"/>
      <c r="AV414" s="43" t="n"/>
      <c r="AW414" s="41" t="n"/>
      <c r="AX414" s="44" t="n"/>
      <c r="AY414" s="44" t="n"/>
      <c r="AZ414" s="44" t="n"/>
      <c r="BA414" s="44" t="n"/>
      <c r="BB414" s="44" t="n"/>
      <c r="BC414" s="44" t="n"/>
      <c r="BD414" s="44" t="n"/>
      <c r="BE414" s="44" t="n"/>
      <c r="BF414" s="44" t="n"/>
    </row>
    <row r="415" ht="19.5" customHeight="1" s="45">
      <c r="A415" s="15">
        <f>IF($B415="","",TEXT($B415,"yyyymmdd")&amp;"-"&amp;SUBSTITUTE($F415," ","")&amp;"-"&amp;TEXT(COUNTIF($F$4:F415,$F415),"00"))</f>
        <v/>
      </c>
      <c r="B415" s="39" t="n"/>
      <c r="C415" s="15">
        <f>IF($B415="","",WEEKNUM($B415,2))</f>
        <v/>
      </c>
      <c r="D415" s="15">
        <f>IF($B415="","",TEXT($B415,"yyyy-mm"))</f>
        <v/>
      </c>
      <c r="E415" s="40" t="n"/>
      <c r="F415" s="40" t="n"/>
      <c r="G415" s="15">
        <f>IF(OR($E415="",$F415=""),"",IFERROR(IF($E415=INDEX(Cluster_Master!$A$4:$A$18,MATCH($F415,Cluster_Master!$B$4:$B$18,0)),"OK","CHECK"),"CHECK"))</f>
        <v/>
      </c>
      <c r="H415" s="18">
        <f>IFERROR(INDEX(Cluster_Master!$C$4:$C$18,MATCH($F415,Cluster_Master!$B$4:$B$18,0)),"")</f>
        <v/>
      </c>
      <c r="I415" s="15">
        <f>IFERROR(INDEX(Cluster_Master!$D$4:$D$18,MATCH($F415,Cluster_Master!$B$4:$B$18,0)),"")</f>
        <v/>
      </c>
      <c r="J415" s="15">
        <f>IFERROR(INDEX(Cluster_Master!$E$4:$E$18,MATCH($F415,Cluster_Master!$B$4:$B$18,0)),"")</f>
        <v/>
      </c>
      <c r="K415" s="15">
        <f>IFERROR(INDEX(Cluster_Master!$F$4:$F$18,MATCH($F415,Cluster_Master!$B$4:$B$18,0)),"")</f>
        <v/>
      </c>
      <c r="L415" s="15">
        <f>IFERROR(INDEX(Cluster_Master!$G$4:$G$18,MATCH($F415,Cluster_Master!$B$4:$B$18,0)),"")</f>
        <v/>
      </c>
      <c r="M415" s="15">
        <f>IFERROR(INDEX(Cluster_Master!$H$4:$H$18,MATCH($F415,Cluster_Master!$B$4:$B$18,0)),"")</f>
        <v/>
      </c>
      <c r="N415" s="41" t="n"/>
      <c r="O415" s="41" t="n"/>
      <c r="P415" s="41" t="n"/>
      <c r="Q415" s="41" t="n"/>
      <c r="R415" s="41" t="n"/>
      <c r="S415" s="41" t="n"/>
      <c r="T415" s="42" t="n"/>
      <c r="U415" s="42" t="n"/>
      <c r="V415" s="42" t="n"/>
      <c r="W415" s="42" t="n"/>
      <c r="X415" s="42" t="n"/>
      <c r="Y415" s="42" t="n"/>
      <c r="Z415" s="42" t="n"/>
      <c r="AA415" s="42" t="n"/>
      <c r="AB415" s="42" t="n"/>
      <c r="AC415" s="42" t="n"/>
      <c r="AD415" s="42" t="n"/>
      <c r="AE415" s="42" t="n"/>
      <c r="AF415" s="42" t="n"/>
      <c r="AG415" s="42" t="n"/>
      <c r="AH415" s="42" t="n"/>
      <c r="AI415" s="15">
        <f>IF(COUNTA(T415:AH415)=0,"",SUM(T415:AH415))</f>
        <v/>
      </c>
      <c r="AJ415" s="21">
        <f>IF(COUNTA(T415:AH415)=0,"",AI415/(COUNT(KPI_Weights!$A$4:$A$18)*5))</f>
        <v/>
      </c>
      <c r="AK415" s="21">
        <f>IF(COUNTA(T415:AH415)=0,"",SUMPRODUCT(T415:AH415,KPI_Weights!$B$4:$B$18)/5)</f>
        <v/>
      </c>
      <c r="AL415" s="15">
        <f>IF(COUNTA(T415:AH415)=0,"",IF(SUMPRODUCT(--(T415:AH415&lt;=1),--(KPI_Weights!$C$4:$C$18="YES"))&gt;0,"YES","NO"))</f>
        <v/>
      </c>
      <c r="AM415" s="15">
        <f>IF(AJ415="","",IF(AND(AL415="NO",AJ415&gt;=0.75),"YES","NO"))</f>
        <v/>
      </c>
      <c r="AN415" s="15">
        <f>IF(AJ415="","",IF(AJ415&lt;0.4,"Critical",IF(AJ415&lt;0.6,"Poor",IF(AJ415&lt;0.75,"Needs Improvement",IF(AJ415&lt;0.9,"Good","Excellent")))))</f>
        <v/>
      </c>
      <c r="AO415" s="41" t="n"/>
      <c r="AP415" s="41" t="n"/>
      <c r="AQ415" s="41" t="n"/>
      <c r="AR415" s="41" t="n"/>
      <c r="AS415" s="41" t="n"/>
      <c r="AT415" s="44" t="n"/>
      <c r="AU415" s="41" t="n"/>
      <c r="AV415" s="43" t="n"/>
      <c r="AW415" s="41" t="n"/>
      <c r="AX415" s="44" t="n"/>
      <c r="AY415" s="44" t="n"/>
      <c r="AZ415" s="44" t="n"/>
      <c r="BA415" s="44" t="n"/>
      <c r="BB415" s="44" t="n"/>
      <c r="BC415" s="44" t="n"/>
      <c r="BD415" s="44" t="n"/>
      <c r="BE415" s="44" t="n"/>
      <c r="BF415" s="44" t="n"/>
    </row>
    <row r="416" ht="19.5" customHeight="1" s="45">
      <c r="A416" s="15">
        <f>IF($B416="","",TEXT($B416,"yyyymmdd")&amp;"-"&amp;SUBSTITUTE($F416," ","")&amp;"-"&amp;TEXT(COUNTIF($F$4:F416,$F416),"00"))</f>
        <v/>
      </c>
      <c r="B416" s="39" t="n"/>
      <c r="C416" s="15">
        <f>IF($B416="","",WEEKNUM($B416,2))</f>
        <v/>
      </c>
      <c r="D416" s="15">
        <f>IF($B416="","",TEXT($B416,"yyyy-mm"))</f>
        <v/>
      </c>
      <c r="E416" s="40" t="n"/>
      <c r="F416" s="40" t="n"/>
      <c r="G416" s="15">
        <f>IF(OR($E416="",$F416=""),"",IFERROR(IF($E416=INDEX(Cluster_Master!$A$4:$A$18,MATCH($F416,Cluster_Master!$B$4:$B$18,0)),"OK","CHECK"),"CHECK"))</f>
        <v/>
      </c>
      <c r="H416" s="18">
        <f>IFERROR(INDEX(Cluster_Master!$C$4:$C$18,MATCH($F416,Cluster_Master!$B$4:$B$18,0)),"")</f>
        <v/>
      </c>
      <c r="I416" s="15">
        <f>IFERROR(INDEX(Cluster_Master!$D$4:$D$18,MATCH($F416,Cluster_Master!$B$4:$B$18,0)),"")</f>
        <v/>
      </c>
      <c r="J416" s="15">
        <f>IFERROR(INDEX(Cluster_Master!$E$4:$E$18,MATCH($F416,Cluster_Master!$B$4:$B$18,0)),"")</f>
        <v/>
      </c>
      <c r="K416" s="15">
        <f>IFERROR(INDEX(Cluster_Master!$F$4:$F$18,MATCH($F416,Cluster_Master!$B$4:$B$18,0)),"")</f>
        <v/>
      </c>
      <c r="L416" s="15">
        <f>IFERROR(INDEX(Cluster_Master!$G$4:$G$18,MATCH($F416,Cluster_Master!$B$4:$B$18,0)),"")</f>
        <v/>
      </c>
      <c r="M416" s="15">
        <f>IFERROR(INDEX(Cluster_Master!$H$4:$H$18,MATCH($F416,Cluster_Master!$B$4:$B$18,0)),"")</f>
        <v/>
      </c>
      <c r="N416" s="41" t="n"/>
      <c r="O416" s="41" t="n"/>
      <c r="P416" s="41" t="n"/>
      <c r="Q416" s="41" t="n"/>
      <c r="R416" s="41" t="n"/>
      <c r="S416" s="41" t="n"/>
      <c r="T416" s="42" t="n"/>
      <c r="U416" s="42" t="n"/>
      <c r="V416" s="42" t="n"/>
      <c r="W416" s="42" t="n"/>
      <c r="X416" s="42" t="n"/>
      <c r="Y416" s="42" t="n"/>
      <c r="Z416" s="42" t="n"/>
      <c r="AA416" s="42" t="n"/>
      <c r="AB416" s="42" t="n"/>
      <c r="AC416" s="42" t="n"/>
      <c r="AD416" s="42" t="n"/>
      <c r="AE416" s="42" t="n"/>
      <c r="AF416" s="42" t="n"/>
      <c r="AG416" s="42" t="n"/>
      <c r="AH416" s="42" t="n"/>
      <c r="AI416" s="15">
        <f>IF(COUNTA(T416:AH416)=0,"",SUM(T416:AH416))</f>
        <v/>
      </c>
      <c r="AJ416" s="21">
        <f>IF(COUNTA(T416:AH416)=0,"",AI416/(COUNT(KPI_Weights!$A$4:$A$18)*5))</f>
        <v/>
      </c>
      <c r="AK416" s="21">
        <f>IF(COUNTA(T416:AH416)=0,"",SUMPRODUCT(T416:AH416,KPI_Weights!$B$4:$B$18)/5)</f>
        <v/>
      </c>
      <c r="AL416" s="15">
        <f>IF(COUNTA(T416:AH416)=0,"",IF(SUMPRODUCT(--(T416:AH416&lt;=1),--(KPI_Weights!$C$4:$C$18="YES"))&gt;0,"YES","NO"))</f>
        <v/>
      </c>
      <c r="AM416" s="15">
        <f>IF(AJ416="","",IF(AND(AL416="NO",AJ416&gt;=0.75),"YES","NO"))</f>
        <v/>
      </c>
      <c r="AN416" s="15">
        <f>IF(AJ416="","",IF(AJ416&lt;0.4,"Critical",IF(AJ416&lt;0.6,"Poor",IF(AJ416&lt;0.75,"Needs Improvement",IF(AJ416&lt;0.9,"Good","Excellent")))))</f>
        <v/>
      </c>
      <c r="AO416" s="41" t="n"/>
      <c r="AP416" s="41" t="n"/>
      <c r="AQ416" s="41" t="n"/>
      <c r="AR416" s="41" t="n"/>
      <c r="AS416" s="41" t="n"/>
      <c r="AT416" s="44" t="n"/>
      <c r="AU416" s="41" t="n"/>
      <c r="AV416" s="43" t="n"/>
      <c r="AW416" s="41" t="n"/>
      <c r="AX416" s="44" t="n"/>
      <c r="AY416" s="44" t="n"/>
      <c r="AZ416" s="44" t="n"/>
      <c r="BA416" s="44" t="n"/>
      <c r="BB416" s="44" t="n"/>
      <c r="BC416" s="44" t="n"/>
      <c r="BD416" s="44" t="n"/>
      <c r="BE416" s="44" t="n"/>
      <c r="BF416" s="44" t="n"/>
    </row>
    <row r="417" ht="19.5" customHeight="1" s="45">
      <c r="A417" s="15">
        <f>IF($B417="","",TEXT($B417,"yyyymmdd")&amp;"-"&amp;SUBSTITUTE($F417," ","")&amp;"-"&amp;TEXT(COUNTIF($F$4:F417,$F417),"00"))</f>
        <v/>
      </c>
      <c r="B417" s="39" t="n"/>
      <c r="C417" s="15">
        <f>IF($B417="","",WEEKNUM($B417,2))</f>
        <v/>
      </c>
      <c r="D417" s="15">
        <f>IF($B417="","",TEXT($B417,"yyyy-mm"))</f>
        <v/>
      </c>
      <c r="E417" s="40" t="n"/>
      <c r="F417" s="40" t="n"/>
      <c r="G417" s="15">
        <f>IF(OR($E417="",$F417=""),"",IFERROR(IF($E417=INDEX(Cluster_Master!$A$4:$A$18,MATCH($F417,Cluster_Master!$B$4:$B$18,0)),"OK","CHECK"),"CHECK"))</f>
        <v/>
      </c>
      <c r="H417" s="18">
        <f>IFERROR(INDEX(Cluster_Master!$C$4:$C$18,MATCH($F417,Cluster_Master!$B$4:$B$18,0)),"")</f>
        <v/>
      </c>
      <c r="I417" s="15">
        <f>IFERROR(INDEX(Cluster_Master!$D$4:$D$18,MATCH($F417,Cluster_Master!$B$4:$B$18,0)),"")</f>
        <v/>
      </c>
      <c r="J417" s="15">
        <f>IFERROR(INDEX(Cluster_Master!$E$4:$E$18,MATCH($F417,Cluster_Master!$B$4:$B$18,0)),"")</f>
        <v/>
      </c>
      <c r="K417" s="15">
        <f>IFERROR(INDEX(Cluster_Master!$F$4:$F$18,MATCH($F417,Cluster_Master!$B$4:$B$18,0)),"")</f>
        <v/>
      </c>
      <c r="L417" s="15">
        <f>IFERROR(INDEX(Cluster_Master!$G$4:$G$18,MATCH($F417,Cluster_Master!$B$4:$B$18,0)),"")</f>
        <v/>
      </c>
      <c r="M417" s="15">
        <f>IFERROR(INDEX(Cluster_Master!$H$4:$H$18,MATCH($F417,Cluster_Master!$B$4:$B$18,0)),"")</f>
        <v/>
      </c>
      <c r="N417" s="41" t="n"/>
      <c r="O417" s="41" t="n"/>
      <c r="P417" s="41" t="n"/>
      <c r="Q417" s="41" t="n"/>
      <c r="R417" s="41" t="n"/>
      <c r="S417" s="41" t="n"/>
      <c r="T417" s="42" t="n"/>
      <c r="U417" s="42" t="n"/>
      <c r="V417" s="42" t="n"/>
      <c r="W417" s="42" t="n"/>
      <c r="X417" s="42" t="n"/>
      <c r="Y417" s="42" t="n"/>
      <c r="Z417" s="42" t="n"/>
      <c r="AA417" s="42" t="n"/>
      <c r="AB417" s="42" t="n"/>
      <c r="AC417" s="42" t="n"/>
      <c r="AD417" s="42" t="n"/>
      <c r="AE417" s="42" t="n"/>
      <c r="AF417" s="42" t="n"/>
      <c r="AG417" s="42" t="n"/>
      <c r="AH417" s="42" t="n"/>
      <c r="AI417" s="15">
        <f>IF(COUNTA(T417:AH417)=0,"",SUM(T417:AH417))</f>
        <v/>
      </c>
      <c r="AJ417" s="21">
        <f>IF(COUNTA(T417:AH417)=0,"",AI417/(COUNT(KPI_Weights!$A$4:$A$18)*5))</f>
        <v/>
      </c>
      <c r="AK417" s="21">
        <f>IF(COUNTA(T417:AH417)=0,"",SUMPRODUCT(T417:AH417,KPI_Weights!$B$4:$B$18)/5)</f>
        <v/>
      </c>
      <c r="AL417" s="15">
        <f>IF(COUNTA(T417:AH417)=0,"",IF(SUMPRODUCT(--(T417:AH417&lt;=1),--(KPI_Weights!$C$4:$C$18="YES"))&gt;0,"YES","NO"))</f>
        <v/>
      </c>
      <c r="AM417" s="15">
        <f>IF(AJ417="","",IF(AND(AL417="NO",AJ417&gt;=0.75),"YES","NO"))</f>
        <v/>
      </c>
      <c r="AN417" s="15">
        <f>IF(AJ417="","",IF(AJ417&lt;0.4,"Critical",IF(AJ417&lt;0.6,"Poor",IF(AJ417&lt;0.75,"Needs Improvement",IF(AJ417&lt;0.9,"Good","Excellent")))))</f>
        <v/>
      </c>
      <c r="AO417" s="41" t="n"/>
      <c r="AP417" s="41" t="n"/>
      <c r="AQ417" s="41" t="n"/>
      <c r="AR417" s="41" t="n"/>
      <c r="AS417" s="41" t="n"/>
      <c r="AT417" s="44" t="n"/>
      <c r="AU417" s="41" t="n"/>
      <c r="AV417" s="43" t="n"/>
      <c r="AW417" s="41" t="n"/>
      <c r="AX417" s="44" t="n"/>
      <c r="AY417" s="44" t="n"/>
      <c r="AZ417" s="44" t="n"/>
      <c r="BA417" s="44" t="n"/>
      <c r="BB417" s="44" t="n"/>
      <c r="BC417" s="44" t="n"/>
      <c r="BD417" s="44" t="n"/>
      <c r="BE417" s="44" t="n"/>
      <c r="BF417" s="44" t="n"/>
    </row>
    <row r="418" ht="19.5" customHeight="1" s="45">
      <c r="A418" s="15">
        <f>IF($B418="","",TEXT($B418,"yyyymmdd")&amp;"-"&amp;SUBSTITUTE($F418," ","")&amp;"-"&amp;TEXT(COUNTIF($F$4:F418,$F418),"00"))</f>
        <v/>
      </c>
      <c r="B418" s="39" t="n"/>
      <c r="C418" s="15">
        <f>IF($B418="","",WEEKNUM($B418,2))</f>
        <v/>
      </c>
      <c r="D418" s="15">
        <f>IF($B418="","",TEXT($B418,"yyyy-mm"))</f>
        <v/>
      </c>
      <c r="E418" s="40" t="n"/>
      <c r="F418" s="40" t="n"/>
      <c r="G418" s="15">
        <f>IF(OR($E418="",$F418=""),"",IFERROR(IF($E418=INDEX(Cluster_Master!$A$4:$A$18,MATCH($F418,Cluster_Master!$B$4:$B$18,0)),"OK","CHECK"),"CHECK"))</f>
        <v/>
      </c>
      <c r="H418" s="18">
        <f>IFERROR(INDEX(Cluster_Master!$C$4:$C$18,MATCH($F418,Cluster_Master!$B$4:$B$18,0)),"")</f>
        <v/>
      </c>
      <c r="I418" s="15">
        <f>IFERROR(INDEX(Cluster_Master!$D$4:$D$18,MATCH($F418,Cluster_Master!$B$4:$B$18,0)),"")</f>
        <v/>
      </c>
      <c r="J418" s="15">
        <f>IFERROR(INDEX(Cluster_Master!$E$4:$E$18,MATCH($F418,Cluster_Master!$B$4:$B$18,0)),"")</f>
        <v/>
      </c>
      <c r="K418" s="15">
        <f>IFERROR(INDEX(Cluster_Master!$F$4:$F$18,MATCH($F418,Cluster_Master!$B$4:$B$18,0)),"")</f>
        <v/>
      </c>
      <c r="L418" s="15">
        <f>IFERROR(INDEX(Cluster_Master!$G$4:$G$18,MATCH($F418,Cluster_Master!$B$4:$B$18,0)),"")</f>
        <v/>
      </c>
      <c r="M418" s="15">
        <f>IFERROR(INDEX(Cluster_Master!$H$4:$H$18,MATCH($F418,Cluster_Master!$B$4:$B$18,0)),"")</f>
        <v/>
      </c>
      <c r="N418" s="41" t="n"/>
      <c r="O418" s="41" t="n"/>
      <c r="P418" s="41" t="n"/>
      <c r="Q418" s="41" t="n"/>
      <c r="R418" s="41" t="n"/>
      <c r="S418" s="41" t="n"/>
      <c r="T418" s="42" t="n"/>
      <c r="U418" s="42" t="n"/>
      <c r="V418" s="42" t="n"/>
      <c r="W418" s="42" t="n"/>
      <c r="X418" s="42" t="n"/>
      <c r="Y418" s="42" t="n"/>
      <c r="Z418" s="42" t="n"/>
      <c r="AA418" s="42" t="n"/>
      <c r="AB418" s="42" t="n"/>
      <c r="AC418" s="42" t="n"/>
      <c r="AD418" s="42" t="n"/>
      <c r="AE418" s="42" t="n"/>
      <c r="AF418" s="42" t="n"/>
      <c r="AG418" s="42" t="n"/>
      <c r="AH418" s="42" t="n"/>
      <c r="AI418" s="15">
        <f>IF(COUNTA(T418:AH418)=0,"",SUM(T418:AH418))</f>
        <v/>
      </c>
      <c r="AJ418" s="21">
        <f>IF(COUNTA(T418:AH418)=0,"",AI418/(COUNT(KPI_Weights!$A$4:$A$18)*5))</f>
        <v/>
      </c>
      <c r="AK418" s="21">
        <f>IF(COUNTA(T418:AH418)=0,"",SUMPRODUCT(T418:AH418,KPI_Weights!$B$4:$B$18)/5)</f>
        <v/>
      </c>
      <c r="AL418" s="15">
        <f>IF(COUNTA(T418:AH418)=0,"",IF(SUMPRODUCT(--(T418:AH418&lt;=1),--(KPI_Weights!$C$4:$C$18="YES"))&gt;0,"YES","NO"))</f>
        <v/>
      </c>
      <c r="AM418" s="15">
        <f>IF(AJ418="","",IF(AND(AL418="NO",AJ418&gt;=0.75),"YES","NO"))</f>
        <v/>
      </c>
      <c r="AN418" s="15">
        <f>IF(AJ418="","",IF(AJ418&lt;0.4,"Critical",IF(AJ418&lt;0.6,"Poor",IF(AJ418&lt;0.75,"Needs Improvement",IF(AJ418&lt;0.9,"Good","Excellent")))))</f>
        <v/>
      </c>
      <c r="AO418" s="41" t="n"/>
      <c r="AP418" s="41" t="n"/>
      <c r="AQ418" s="41" t="n"/>
      <c r="AR418" s="41" t="n"/>
      <c r="AS418" s="41" t="n"/>
      <c r="AT418" s="44" t="n"/>
      <c r="AU418" s="41" t="n"/>
      <c r="AV418" s="43" t="n"/>
      <c r="AW418" s="41" t="n"/>
      <c r="AX418" s="44" t="n"/>
      <c r="AY418" s="44" t="n"/>
      <c r="AZ418" s="44" t="n"/>
      <c r="BA418" s="44" t="n"/>
      <c r="BB418" s="44" t="n"/>
      <c r="BC418" s="44" t="n"/>
      <c r="BD418" s="44" t="n"/>
      <c r="BE418" s="44" t="n"/>
      <c r="BF418" s="44" t="n"/>
    </row>
    <row r="419" ht="19.5" customHeight="1" s="45">
      <c r="A419" s="15">
        <f>IF($B419="","",TEXT($B419,"yyyymmdd")&amp;"-"&amp;SUBSTITUTE($F419," ","")&amp;"-"&amp;TEXT(COUNTIF($F$4:F419,$F419),"00"))</f>
        <v/>
      </c>
      <c r="B419" s="39" t="n"/>
      <c r="C419" s="15">
        <f>IF($B419="","",WEEKNUM($B419,2))</f>
        <v/>
      </c>
      <c r="D419" s="15">
        <f>IF($B419="","",TEXT($B419,"yyyy-mm"))</f>
        <v/>
      </c>
      <c r="E419" s="40" t="n"/>
      <c r="F419" s="40" t="n"/>
      <c r="G419" s="15">
        <f>IF(OR($E419="",$F419=""),"",IFERROR(IF($E419=INDEX(Cluster_Master!$A$4:$A$18,MATCH($F419,Cluster_Master!$B$4:$B$18,0)),"OK","CHECK"),"CHECK"))</f>
        <v/>
      </c>
      <c r="H419" s="18">
        <f>IFERROR(INDEX(Cluster_Master!$C$4:$C$18,MATCH($F419,Cluster_Master!$B$4:$B$18,0)),"")</f>
        <v/>
      </c>
      <c r="I419" s="15">
        <f>IFERROR(INDEX(Cluster_Master!$D$4:$D$18,MATCH($F419,Cluster_Master!$B$4:$B$18,0)),"")</f>
        <v/>
      </c>
      <c r="J419" s="15">
        <f>IFERROR(INDEX(Cluster_Master!$E$4:$E$18,MATCH($F419,Cluster_Master!$B$4:$B$18,0)),"")</f>
        <v/>
      </c>
      <c r="K419" s="15">
        <f>IFERROR(INDEX(Cluster_Master!$F$4:$F$18,MATCH($F419,Cluster_Master!$B$4:$B$18,0)),"")</f>
        <v/>
      </c>
      <c r="L419" s="15">
        <f>IFERROR(INDEX(Cluster_Master!$G$4:$G$18,MATCH($F419,Cluster_Master!$B$4:$B$18,0)),"")</f>
        <v/>
      </c>
      <c r="M419" s="15">
        <f>IFERROR(INDEX(Cluster_Master!$H$4:$H$18,MATCH($F419,Cluster_Master!$B$4:$B$18,0)),"")</f>
        <v/>
      </c>
      <c r="N419" s="41" t="n"/>
      <c r="O419" s="41" t="n"/>
      <c r="P419" s="41" t="n"/>
      <c r="Q419" s="41" t="n"/>
      <c r="R419" s="41" t="n"/>
      <c r="S419" s="41" t="n"/>
      <c r="T419" s="42" t="n"/>
      <c r="U419" s="42" t="n"/>
      <c r="V419" s="42" t="n"/>
      <c r="W419" s="42" t="n"/>
      <c r="X419" s="42" t="n"/>
      <c r="Y419" s="42" t="n"/>
      <c r="Z419" s="42" t="n"/>
      <c r="AA419" s="42" t="n"/>
      <c r="AB419" s="42" t="n"/>
      <c r="AC419" s="42" t="n"/>
      <c r="AD419" s="42" t="n"/>
      <c r="AE419" s="42" t="n"/>
      <c r="AF419" s="42" t="n"/>
      <c r="AG419" s="42" t="n"/>
      <c r="AH419" s="42" t="n"/>
      <c r="AI419" s="15">
        <f>IF(COUNTA(T419:AH419)=0,"",SUM(T419:AH419))</f>
        <v/>
      </c>
      <c r="AJ419" s="21">
        <f>IF(COUNTA(T419:AH419)=0,"",AI419/(COUNT(KPI_Weights!$A$4:$A$18)*5))</f>
        <v/>
      </c>
      <c r="AK419" s="21">
        <f>IF(COUNTA(T419:AH419)=0,"",SUMPRODUCT(T419:AH419,KPI_Weights!$B$4:$B$18)/5)</f>
        <v/>
      </c>
      <c r="AL419" s="15">
        <f>IF(COUNTA(T419:AH419)=0,"",IF(SUMPRODUCT(--(T419:AH419&lt;=1),--(KPI_Weights!$C$4:$C$18="YES"))&gt;0,"YES","NO"))</f>
        <v/>
      </c>
      <c r="AM419" s="15">
        <f>IF(AJ419="","",IF(AND(AL419="NO",AJ419&gt;=0.75),"YES","NO"))</f>
        <v/>
      </c>
      <c r="AN419" s="15">
        <f>IF(AJ419="","",IF(AJ419&lt;0.4,"Critical",IF(AJ419&lt;0.6,"Poor",IF(AJ419&lt;0.75,"Needs Improvement",IF(AJ419&lt;0.9,"Good","Excellent")))))</f>
        <v/>
      </c>
      <c r="AO419" s="41" t="n"/>
      <c r="AP419" s="41" t="n"/>
      <c r="AQ419" s="41" t="n"/>
      <c r="AR419" s="41" t="n"/>
      <c r="AS419" s="41" t="n"/>
      <c r="AT419" s="44" t="n"/>
      <c r="AU419" s="41" t="n"/>
      <c r="AV419" s="43" t="n"/>
      <c r="AW419" s="41" t="n"/>
      <c r="AX419" s="44" t="n"/>
      <c r="AY419" s="44" t="n"/>
      <c r="AZ419" s="44" t="n"/>
      <c r="BA419" s="44" t="n"/>
      <c r="BB419" s="44" t="n"/>
      <c r="BC419" s="44" t="n"/>
      <c r="BD419" s="44" t="n"/>
      <c r="BE419" s="44" t="n"/>
      <c r="BF419" s="44" t="n"/>
    </row>
    <row r="420" ht="19.5" customHeight="1" s="45">
      <c r="A420" s="15">
        <f>IF($B420="","",TEXT($B420,"yyyymmdd")&amp;"-"&amp;SUBSTITUTE($F420," ","")&amp;"-"&amp;TEXT(COUNTIF($F$4:F420,$F420),"00"))</f>
        <v/>
      </c>
      <c r="B420" s="39" t="n"/>
      <c r="C420" s="15">
        <f>IF($B420="","",WEEKNUM($B420,2))</f>
        <v/>
      </c>
      <c r="D420" s="15">
        <f>IF($B420="","",TEXT($B420,"yyyy-mm"))</f>
        <v/>
      </c>
      <c r="E420" s="40" t="n"/>
      <c r="F420" s="40" t="n"/>
      <c r="G420" s="15">
        <f>IF(OR($E420="",$F420=""),"",IFERROR(IF($E420=INDEX(Cluster_Master!$A$4:$A$18,MATCH($F420,Cluster_Master!$B$4:$B$18,0)),"OK","CHECK"),"CHECK"))</f>
        <v/>
      </c>
      <c r="H420" s="18">
        <f>IFERROR(INDEX(Cluster_Master!$C$4:$C$18,MATCH($F420,Cluster_Master!$B$4:$B$18,0)),"")</f>
        <v/>
      </c>
      <c r="I420" s="15">
        <f>IFERROR(INDEX(Cluster_Master!$D$4:$D$18,MATCH($F420,Cluster_Master!$B$4:$B$18,0)),"")</f>
        <v/>
      </c>
      <c r="J420" s="15">
        <f>IFERROR(INDEX(Cluster_Master!$E$4:$E$18,MATCH($F420,Cluster_Master!$B$4:$B$18,0)),"")</f>
        <v/>
      </c>
      <c r="K420" s="15">
        <f>IFERROR(INDEX(Cluster_Master!$F$4:$F$18,MATCH($F420,Cluster_Master!$B$4:$B$18,0)),"")</f>
        <v/>
      </c>
      <c r="L420" s="15">
        <f>IFERROR(INDEX(Cluster_Master!$G$4:$G$18,MATCH($F420,Cluster_Master!$B$4:$B$18,0)),"")</f>
        <v/>
      </c>
      <c r="M420" s="15">
        <f>IFERROR(INDEX(Cluster_Master!$H$4:$H$18,MATCH($F420,Cluster_Master!$B$4:$B$18,0)),"")</f>
        <v/>
      </c>
      <c r="N420" s="41" t="n"/>
      <c r="O420" s="41" t="n"/>
      <c r="P420" s="41" t="n"/>
      <c r="Q420" s="41" t="n"/>
      <c r="R420" s="41" t="n"/>
      <c r="S420" s="41" t="n"/>
      <c r="T420" s="42" t="n"/>
      <c r="U420" s="42" t="n"/>
      <c r="V420" s="42" t="n"/>
      <c r="W420" s="42" t="n"/>
      <c r="X420" s="42" t="n"/>
      <c r="Y420" s="42" t="n"/>
      <c r="Z420" s="42" t="n"/>
      <c r="AA420" s="42" t="n"/>
      <c r="AB420" s="42" t="n"/>
      <c r="AC420" s="42" t="n"/>
      <c r="AD420" s="42" t="n"/>
      <c r="AE420" s="42" t="n"/>
      <c r="AF420" s="42" t="n"/>
      <c r="AG420" s="42" t="n"/>
      <c r="AH420" s="42" t="n"/>
      <c r="AI420" s="15">
        <f>IF(COUNTA(T420:AH420)=0,"",SUM(T420:AH420))</f>
        <v/>
      </c>
      <c r="AJ420" s="21">
        <f>IF(COUNTA(T420:AH420)=0,"",AI420/(COUNT(KPI_Weights!$A$4:$A$18)*5))</f>
        <v/>
      </c>
      <c r="AK420" s="21">
        <f>IF(COUNTA(T420:AH420)=0,"",SUMPRODUCT(T420:AH420,KPI_Weights!$B$4:$B$18)/5)</f>
        <v/>
      </c>
      <c r="AL420" s="15">
        <f>IF(COUNTA(T420:AH420)=0,"",IF(SUMPRODUCT(--(T420:AH420&lt;=1),--(KPI_Weights!$C$4:$C$18="YES"))&gt;0,"YES","NO"))</f>
        <v/>
      </c>
      <c r="AM420" s="15">
        <f>IF(AJ420="","",IF(AND(AL420="NO",AJ420&gt;=0.75),"YES","NO"))</f>
        <v/>
      </c>
      <c r="AN420" s="15">
        <f>IF(AJ420="","",IF(AJ420&lt;0.4,"Critical",IF(AJ420&lt;0.6,"Poor",IF(AJ420&lt;0.75,"Needs Improvement",IF(AJ420&lt;0.9,"Good","Excellent")))))</f>
        <v/>
      </c>
      <c r="AO420" s="41" t="n"/>
      <c r="AP420" s="41" t="n"/>
      <c r="AQ420" s="41" t="n"/>
      <c r="AR420" s="41" t="n"/>
      <c r="AS420" s="41" t="n"/>
      <c r="AT420" s="44" t="n"/>
      <c r="AU420" s="41" t="n"/>
      <c r="AV420" s="43" t="n"/>
      <c r="AW420" s="41" t="n"/>
      <c r="AX420" s="44" t="n"/>
      <c r="AY420" s="44" t="n"/>
      <c r="AZ420" s="44" t="n"/>
      <c r="BA420" s="44" t="n"/>
      <c r="BB420" s="44" t="n"/>
      <c r="BC420" s="44" t="n"/>
      <c r="BD420" s="44" t="n"/>
      <c r="BE420" s="44" t="n"/>
      <c r="BF420" s="44" t="n"/>
    </row>
    <row r="421" ht="19.5" customHeight="1" s="45">
      <c r="A421" s="15">
        <f>IF($B421="","",TEXT($B421,"yyyymmdd")&amp;"-"&amp;SUBSTITUTE($F421," ","")&amp;"-"&amp;TEXT(COUNTIF($F$4:F421,$F421),"00"))</f>
        <v/>
      </c>
      <c r="B421" s="39" t="n"/>
      <c r="C421" s="15">
        <f>IF($B421="","",WEEKNUM($B421,2))</f>
        <v/>
      </c>
      <c r="D421" s="15">
        <f>IF($B421="","",TEXT($B421,"yyyy-mm"))</f>
        <v/>
      </c>
      <c r="E421" s="40" t="n"/>
      <c r="F421" s="40" t="n"/>
      <c r="G421" s="15">
        <f>IF(OR($E421="",$F421=""),"",IFERROR(IF($E421=INDEX(Cluster_Master!$A$4:$A$18,MATCH($F421,Cluster_Master!$B$4:$B$18,0)),"OK","CHECK"),"CHECK"))</f>
        <v/>
      </c>
      <c r="H421" s="18">
        <f>IFERROR(INDEX(Cluster_Master!$C$4:$C$18,MATCH($F421,Cluster_Master!$B$4:$B$18,0)),"")</f>
        <v/>
      </c>
      <c r="I421" s="15">
        <f>IFERROR(INDEX(Cluster_Master!$D$4:$D$18,MATCH($F421,Cluster_Master!$B$4:$B$18,0)),"")</f>
        <v/>
      </c>
      <c r="J421" s="15">
        <f>IFERROR(INDEX(Cluster_Master!$E$4:$E$18,MATCH($F421,Cluster_Master!$B$4:$B$18,0)),"")</f>
        <v/>
      </c>
      <c r="K421" s="15">
        <f>IFERROR(INDEX(Cluster_Master!$F$4:$F$18,MATCH($F421,Cluster_Master!$B$4:$B$18,0)),"")</f>
        <v/>
      </c>
      <c r="L421" s="15">
        <f>IFERROR(INDEX(Cluster_Master!$G$4:$G$18,MATCH($F421,Cluster_Master!$B$4:$B$18,0)),"")</f>
        <v/>
      </c>
      <c r="M421" s="15">
        <f>IFERROR(INDEX(Cluster_Master!$H$4:$H$18,MATCH($F421,Cluster_Master!$B$4:$B$18,0)),"")</f>
        <v/>
      </c>
      <c r="N421" s="41" t="n"/>
      <c r="O421" s="41" t="n"/>
      <c r="P421" s="41" t="n"/>
      <c r="Q421" s="41" t="n"/>
      <c r="R421" s="41" t="n"/>
      <c r="S421" s="41" t="n"/>
      <c r="T421" s="42" t="n"/>
      <c r="U421" s="42" t="n"/>
      <c r="V421" s="42" t="n"/>
      <c r="W421" s="42" t="n"/>
      <c r="X421" s="42" t="n"/>
      <c r="Y421" s="42" t="n"/>
      <c r="Z421" s="42" t="n"/>
      <c r="AA421" s="42" t="n"/>
      <c r="AB421" s="42" t="n"/>
      <c r="AC421" s="42" t="n"/>
      <c r="AD421" s="42" t="n"/>
      <c r="AE421" s="42" t="n"/>
      <c r="AF421" s="42" t="n"/>
      <c r="AG421" s="42" t="n"/>
      <c r="AH421" s="42" t="n"/>
      <c r="AI421" s="15">
        <f>IF(COUNTA(T421:AH421)=0,"",SUM(T421:AH421))</f>
        <v/>
      </c>
      <c r="AJ421" s="21">
        <f>IF(COUNTA(T421:AH421)=0,"",AI421/(COUNT(KPI_Weights!$A$4:$A$18)*5))</f>
        <v/>
      </c>
      <c r="AK421" s="21">
        <f>IF(COUNTA(T421:AH421)=0,"",SUMPRODUCT(T421:AH421,KPI_Weights!$B$4:$B$18)/5)</f>
        <v/>
      </c>
      <c r="AL421" s="15">
        <f>IF(COUNTA(T421:AH421)=0,"",IF(SUMPRODUCT(--(T421:AH421&lt;=1),--(KPI_Weights!$C$4:$C$18="YES"))&gt;0,"YES","NO"))</f>
        <v/>
      </c>
      <c r="AM421" s="15">
        <f>IF(AJ421="","",IF(AND(AL421="NO",AJ421&gt;=0.75),"YES","NO"))</f>
        <v/>
      </c>
      <c r="AN421" s="15">
        <f>IF(AJ421="","",IF(AJ421&lt;0.4,"Critical",IF(AJ421&lt;0.6,"Poor",IF(AJ421&lt;0.75,"Needs Improvement",IF(AJ421&lt;0.9,"Good","Excellent")))))</f>
        <v/>
      </c>
      <c r="AO421" s="41" t="n"/>
      <c r="AP421" s="41" t="n"/>
      <c r="AQ421" s="41" t="n"/>
      <c r="AR421" s="41" t="n"/>
      <c r="AS421" s="41" t="n"/>
      <c r="AT421" s="44" t="n"/>
      <c r="AU421" s="41" t="n"/>
      <c r="AV421" s="43" t="n"/>
      <c r="AW421" s="41" t="n"/>
      <c r="AX421" s="44" t="n"/>
      <c r="AY421" s="44" t="n"/>
      <c r="AZ421" s="44" t="n"/>
      <c r="BA421" s="44" t="n"/>
      <c r="BB421" s="44" t="n"/>
      <c r="BC421" s="44" t="n"/>
      <c r="BD421" s="44" t="n"/>
      <c r="BE421" s="44" t="n"/>
      <c r="BF421" s="44" t="n"/>
    </row>
    <row r="422" ht="19.5" customHeight="1" s="45">
      <c r="A422" s="15">
        <f>IF($B422="","",TEXT($B422,"yyyymmdd")&amp;"-"&amp;SUBSTITUTE($F422," ","")&amp;"-"&amp;TEXT(COUNTIF($F$4:F422,$F422),"00"))</f>
        <v/>
      </c>
      <c r="B422" s="39" t="n"/>
      <c r="C422" s="15">
        <f>IF($B422="","",WEEKNUM($B422,2))</f>
        <v/>
      </c>
      <c r="D422" s="15">
        <f>IF($B422="","",TEXT($B422,"yyyy-mm"))</f>
        <v/>
      </c>
      <c r="E422" s="40" t="n"/>
      <c r="F422" s="40" t="n"/>
      <c r="G422" s="15">
        <f>IF(OR($E422="",$F422=""),"",IFERROR(IF($E422=INDEX(Cluster_Master!$A$4:$A$18,MATCH($F422,Cluster_Master!$B$4:$B$18,0)),"OK","CHECK"),"CHECK"))</f>
        <v/>
      </c>
      <c r="H422" s="18">
        <f>IFERROR(INDEX(Cluster_Master!$C$4:$C$18,MATCH($F422,Cluster_Master!$B$4:$B$18,0)),"")</f>
        <v/>
      </c>
      <c r="I422" s="15">
        <f>IFERROR(INDEX(Cluster_Master!$D$4:$D$18,MATCH($F422,Cluster_Master!$B$4:$B$18,0)),"")</f>
        <v/>
      </c>
      <c r="J422" s="15">
        <f>IFERROR(INDEX(Cluster_Master!$E$4:$E$18,MATCH($F422,Cluster_Master!$B$4:$B$18,0)),"")</f>
        <v/>
      </c>
      <c r="K422" s="15">
        <f>IFERROR(INDEX(Cluster_Master!$F$4:$F$18,MATCH($F422,Cluster_Master!$B$4:$B$18,0)),"")</f>
        <v/>
      </c>
      <c r="L422" s="15">
        <f>IFERROR(INDEX(Cluster_Master!$G$4:$G$18,MATCH($F422,Cluster_Master!$B$4:$B$18,0)),"")</f>
        <v/>
      </c>
      <c r="M422" s="15">
        <f>IFERROR(INDEX(Cluster_Master!$H$4:$H$18,MATCH($F422,Cluster_Master!$B$4:$B$18,0)),"")</f>
        <v/>
      </c>
      <c r="N422" s="41" t="n"/>
      <c r="O422" s="41" t="n"/>
      <c r="P422" s="41" t="n"/>
      <c r="Q422" s="41" t="n"/>
      <c r="R422" s="41" t="n"/>
      <c r="S422" s="41" t="n"/>
      <c r="T422" s="42" t="n"/>
      <c r="U422" s="42" t="n"/>
      <c r="V422" s="42" t="n"/>
      <c r="W422" s="42" t="n"/>
      <c r="X422" s="42" t="n"/>
      <c r="Y422" s="42" t="n"/>
      <c r="Z422" s="42" t="n"/>
      <c r="AA422" s="42" t="n"/>
      <c r="AB422" s="42" t="n"/>
      <c r="AC422" s="42" t="n"/>
      <c r="AD422" s="42" t="n"/>
      <c r="AE422" s="42" t="n"/>
      <c r="AF422" s="42" t="n"/>
      <c r="AG422" s="42" t="n"/>
      <c r="AH422" s="42" t="n"/>
      <c r="AI422" s="15">
        <f>IF(COUNTA(T422:AH422)=0,"",SUM(T422:AH422))</f>
        <v/>
      </c>
      <c r="AJ422" s="21">
        <f>IF(COUNTA(T422:AH422)=0,"",AI422/(COUNT(KPI_Weights!$A$4:$A$18)*5))</f>
        <v/>
      </c>
      <c r="AK422" s="21">
        <f>IF(COUNTA(T422:AH422)=0,"",SUMPRODUCT(T422:AH422,KPI_Weights!$B$4:$B$18)/5)</f>
        <v/>
      </c>
      <c r="AL422" s="15">
        <f>IF(COUNTA(T422:AH422)=0,"",IF(SUMPRODUCT(--(T422:AH422&lt;=1),--(KPI_Weights!$C$4:$C$18="YES"))&gt;0,"YES","NO"))</f>
        <v/>
      </c>
      <c r="AM422" s="15">
        <f>IF(AJ422="","",IF(AND(AL422="NO",AJ422&gt;=0.75),"YES","NO"))</f>
        <v/>
      </c>
      <c r="AN422" s="15">
        <f>IF(AJ422="","",IF(AJ422&lt;0.4,"Critical",IF(AJ422&lt;0.6,"Poor",IF(AJ422&lt;0.75,"Needs Improvement",IF(AJ422&lt;0.9,"Good","Excellent")))))</f>
        <v/>
      </c>
      <c r="AO422" s="41" t="n"/>
      <c r="AP422" s="41" t="n"/>
      <c r="AQ422" s="41" t="n"/>
      <c r="AR422" s="41" t="n"/>
      <c r="AS422" s="41" t="n"/>
      <c r="AT422" s="44" t="n"/>
      <c r="AU422" s="41" t="n"/>
      <c r="AV422" s="43" t="n"/>
      <c r="AW422" s="41" t="n"/>
      <c r="AX422" s="44" t="n"/>
      <c r="AY422" s="44" t="n"/>
      <c r="AZ422" s="44" t="n"/>
      <c r="BA422" s="44" t="n"/>
      <c r="BB422" s="44" t="n"/>
      <c r="BC422" s="44" t="n"/>
      <c r="BD422" s="44" t="n"/>
      <c r="BE422" s="44" t="n"/>
      <c r="BF422" s="44" t="n"/>
    </row>
    <row r="423" ht="19.5" customHeight="1" s="45">
      <c r="A423" s="15">
        <f>IF($B423="","",TEXT($B423,"yyyymmdd")&amp;"-"&amp;SUBSTITUTE($F423," ","")&amp;"-"&amp;TEXT(COUNTIF($F$4:F423,$F423),"00"))</f>
        <v/>
      </c>
      <c r="B423" s="39" t="n"/>
      <c r="C423" s="15">
        <f>IF($B423="","",WEEKNUM($B423,2))</f>
        <v/>
      </c>
      <c r="D423" s="15">
        <f>IF($B423="","",TEXT($B423,"yyyy-mm"))</f>
        <v/>
      </c>
      <c r="E423" s="40" t="n"/>
      <c r="F423" s="40" t="n"/>
      <c r="G423" s="15">
        <f>IF(OR($E423="",$F423=""),"",IFERROR(IF($E423=INDEX(Cluster_Master!$A$4:$A$18,MATCH($F423,Cluster_Master!$B$4:$B$18,0)),"OK","CHECK"),"CHECK"))</f>
        <v/>
      </c>
      <c r="H423" s="18">
        <f>IFERROR(INDEX(Cluster_Master!$C$4:$C$18,MATCH($F423,Cluster_Master!$B$4:$B$18,0)),"")</f>
        <v/>
      </c>
      <c r="I423" s="15">
        <f>IFERROR(INDEX(Cluster_Master!$D$4:$D$18,MATCH($F423,Cluster_Master!$B$4:$B$18,0)),"")</f>
        <v/>
      </c>
      <c r="J423" s="15">
        <f>IFERROR(INDEX(Cluster_Master!$E$4:$E$18,MATCH($F423,Cluster_Master!$B$4:$B$18,0)),"")</f>
        <v/>
      </c>
      <c r="K423" s="15">
        <f>IFERROR(INDEX(Cluster_Master!$F$4:$F$18,MATCH($F423,Cluster_Master!$B$4:$B$18,0)),"")</f>
        <v/>
      </c>
      <c r="L423" s="15">
        <f>IFERROR(INDEX(Cluster_Master!$G$4:$G$18,MATCH($F423,Cluster_Master!$B$4:$B$18,0)),"")</f>
        <v/>
      </c>
      <c r="M423" s="15">
        <f>IFERROR(INDEX(Cluster_Master!$H$4:$H$18,MATCH($F423,Cluster_Master!$B$4:$B$18,0)),"")</f>
        <v/>
      </c>
      <c r="N423" s="41" t="n"/>
      <c r="O423" s="41" t="n"/>
      <c r="P423" s="41" t="n"/>
      <c r="Q423" s="41" t="n"/>
      <c r="R423" s="41" t="n"/>
      <c r="S423" s="41" t="n"/>
      <c r="T423" s="42" t="n"/>
      <c r="U423" s="42" t="n"/>
      <c r="V423" s="42" t="n"/>
      <c r="W423" s="42" t="n"/>
      <c r="X423" s="42" t="n"/>
      <c r="Y423" s="42" t="n"/>
      <c r="Z423" s="42" t="n"/>
      <c r="AA423" s="42" t="n"/>
      <c r="AB423" s="42" t="n"/>
      <c r="AC423" s="42" t="n"/>
      <c r="AD423" s="42" t="n"/>
      <c r="AE423" s="42" t="n"/>
      <c r="AF423" s="42" t="n"/>
      <c r="AG423" s="42" t="n"/>
      <c r="AH423" s="42" t="n"/>
      <c r="AI423" s="15">
        <f>IF(COUNTA(T423:AH423)=0,"",SUM(T423:AH423))</f>
        <v/>
      </c>
      <c r="AJ423" s="21">
        <f>IF(COUNTA(T423:AH423)=0,"",AI423/(COUNT(KPI_Weights!$A$4:$A$18)*5))</f>
        <v/>
      </c>
      <c r="AK423" s="21">
        <f>IF(COUNTA(T423:AH423)=0,"",SUMPRODUCT(T423:AH423,KPI_Weights!$B$4:$B$18)/5)</f>
        <v/>
      </c>
      <c r="AL423" s="15">
        <f>IF(COUNTA(T423:AH423)=0,"",IF(SUMPRODUCT(--(T423:AH423&lt;=1),--(KPI_Weights!$C$4:$C$18="YES"))&gt;0,"YES","NO"))</f>
        <v/>
      </c>
      <c r="AM423" s="15">
        <f>IF(AJ423="","",IF(AND(AL423="NO",AJ423&gt;=0.75),"YES","NO"))</f>
        <v/>
      </c>
      <c r="AN423" s="15">
        <f>IF(AJ423="","",IF(AJ423&lt;0.4,"Critical",IF(AJ423&lt;0.6,"Poor",IF(AJ423&lt;0.75,"Needs Improvement",IF(AJ423&lt;0.9,"Good","Excellent")))))</f>
        <v/>
      </c>
      <c r="AO423" s="41" t="n"/>
      <c r="AP423" s="41" t="n"/>
      <c r="AQ423" s="41" t="n"/>
      <c r="AR423" s="41" t="n"/>
      <c r="AS423" s="41" t="n"/>
      <c r="AT423" s="44" t="n"/>
      <c r="AU423" s="41" t="n"/>
      <c r="AV423" s="43" t="n"/>
      <c r="AW423" s="41" t="n"/>
      <c r="AX423" s="44" t="n"/>
      <c r="AY423" s="44" t="n"/>
      <c r="AZ423" s="44" t="n"/>
      <c r="BA423" s="44" t="n"/>
      <c r="BB423" s="44" t="n"/>
      <c r="BC423" s="44" t="n"/>
      <c r="BD423" s="44" t="n"/>
      <c r="BE423" s="44" t="n"/>
      <c r="BF423" s="44" t="n"/>
    </row>
    <row r="424" ht="19.5" customHeight="1" s="45">
      <c r="A424" s="15">
        <f>IF($B424="","",TEXT($B424,"yyyymmdd")&amp;"-"&amp;SUBSTITUTE($F424," ","")&amp;"-"&amp;TEXT(COUNTIF($F$4:F424,$F424),"00"))</f>
        <v/>
      </c>
      <c r="B424" s="39" t="n"/>
      <c r="C424" s="15">
        <f>IF($B424="","",WEEKNUM($B424,2))</f>
        <v/>
      </c>
      <c r="D424" s="15">
        <f>IF($B424="","",TEXT($B424,"yyyy-mm"))</f>
        <v/>
      </c>
      <c r="E424" s="40" t="n"/>
      <c r="F424" s="40" t="n"/>
      <c r="G424" s="15">
        <f>IF(OR($E424="",$F424=""),"",IFERROR(IF($E424=INDEX(Cluster_Master!$A$4:$A$18,MATCH($F424,Cluster_Master!$B$4:$B$18,0)),"OK","CHECK"),"CHECK"))</f>
        <v/>
      </c>
      <c r="H424" s="18">
        <f>IFERROR(INDEX(Cluster_Master!$C$4:$C$18,MATCH($F424,Cluster_Master!$B$4:$B$18,0)),"")</f>
        <v/>
      </c>
      <c r="I424" s="15">
        <f>IFERROR(INDEX(Cluster_Master!$D$4:$D$18,MATCH($F424,Cluster_Master!$B$4:$B$18,0)),"")</f>
        <v/>
      </c>
      <c r="J424" s="15">
        <f>IFERROR(INDEX(Cluster_Master!$E$4:$E$18,MATCH($F424,Cluster_Master!$B$4:$B$18,0)),"")</f>
        <v/>
      </c>
      <c r="K424" s="15">
        <f>IFERROR(INDEX(Cluster_Master!$F$4:$F$18,MATCH($F424,Cluster_Master!$B$4:$B$18,0)),"")</f>
        <v/>
      </c>
      <c r="L424" s="15">
        <f>IFERROR(INDEX(Cluster_Master!$G$4:$G$18,MATCH($F424,Cluster_Master!$B$4:$B$18,0)),"")</f>
        <v/>
      </c>
      <c r="M424" s="15">
        <f>IFERROR(INDEX(Cluster_Master!$H$4:$H$18,MATCH($F424,Cluster_Master!$B$4:$B$18,0)),"")</f>
        <v/>
      </c>
      <c r="N424" s="41" t="n"/>
      <c r="O424" s="41" t="n"/>
      <c r="P424" s="41" t="n"/>
      <c r="Q424" s="41" t="n"/>
      <c r="R424" s="41" t="n"/>
      <c r="S424" s="41" t="n"/>
      <c r="T424" s="42" t="n"/>
      <c r="U424" s="42" t="n"/>
      <c r="V424" s="42" t="n"/>
      <c r="W424" s="42" t="n"/>
      <c r="X424" s="42" t="n"/>
      <c r="Y424" s="42" t="n"/>
      <c r="Z424" s="42" t="n"/>
      <c r="AA424" s="42" t="n"/>
      <c r="AB424" s="42" t="n"/>
      <c r="AC424" s="42" t="n"/>
      <c r="AD424" s="42" t="n"/>
      <c r="AE424" s="42" t="n"/>
      <c r="AF424" s="42" t="n"/>
      <c r="AG424" s="42" t="n"/>
      <c r="AH424" s="42" t="n"/>
      <c r="AI424" s="15">
        <f>IF(COUNTA(T424:AH424)=0,"",SUM(T424:AH424))</f>
        <v/>
      </c>
      <c r="AJ424" s="21">
        <f>IF(COUNTA(T424:AH424)=0,"",AI424/(COUNT(KPI_Weights!$A$4:$A$18)*5))</f>
        <v/>
      </c>
      <c r="AK424" s="21">
        <f>IF(COUNTA(T424:AH424)=0,"",SUMPRODUCT(T424:AH424,KPI_Weights!$B$4:$B$18)/5)</f>
        <v/>
      </c>
      <c r="AL424" s="15">
        <f>IF(COUNTA(T424:AH424)=0,"",IF(SUMPRODUCT(--(T424:AH424&lt;=1),--(KPI_Weights!$C$4:$C$18="YES"))&gt;0,"YES","NO"))</f>
        <v/>
      </c>
      <c r="AM424" s="15">
        <f>IF(AJ424="","",IF(AND(AL424="NO",AJ424&gt;=0.75),"YES","NO"))</f>
        <v/>
      </c>
      <c r="AN424" s="15">
        <f>IF(AJ424="","",IF(AJ424&lt;0.4,"Critical",IF(AJ424&lt;0.6,"Poor",IF(AJ424&lt;0.75,"Needs Improvement",IF(AJ424&lt;0.9,"Good","Excellent")))))</f>
        <v/>
      </c>
      <c r="AO424" s="41" t="n"/>
      <c r="AP424" s="41" t="n"/>
      <c r="AQ424" s="41" t="n"/>
      <c r="AR424" s="41" t="n"/>
      <c r="AS424" s="41" t="n"/>
      <c r="AT424" s="44" t="n"/>
      <c r="AU424" s="41" t="n"/>
      <c r="AV424" s="43" t="n"/>
      <c r="AW424" s="41" t="n"/>
      <c r="AX424" s="44" t="n"/>
      <c r="AY424" s="44" t="n"/>
      <c r="AZ424" s="44" t="n"/>
      <c r="BA424" s="44" t="n"/>
      <c r="BB424" s="44" t="n"/>
      <c r="BC424" s="44" t="n"/>
      <c r="BD424" s="44" t="n"/>
      <c r="BE424" s="44" t="n"/>
      <c r="BF424" s="44" t="n"/>
    </row>
    <row r="425" ht="19.5" customHeight="1" s="45">
      <c r="A425" s="15">
        <f>IF($B425="","",TEXT($B425,"yyyymmdd")&amp;"-"&amp;SUBSTITUTE($F425," ","")&amp;"-"&amp;TEXT(COUNTIF($F$4:F425,$F425),"00"))</f>
        <v/>
      </c>
      <c r="B425" s="39" t="n"/>
      <c r="C425" s="15">
        <f>IF($B425="","",WEEKNUM($B425,2))</f>
        <v/>
      </c>
      <c r="D425" s="15">
        <f>IF($B425="","",TEXT($B425,"yyyy-mm"))</f>
        <v/>
      </c>
      <c r="E425" s="40" t="n"/>
      <c r="F425" s="40" t="n"/>
      <c r="G425" s="15">
        <f>IF(OR($E425="",$F425=""),"",IFERROR(IF($E425=INDEX(Cluster_Master!$A$4:$A$18,MATCH($F425,Cluster_Master!$B$4:$B$18,0)),"OK","CHECK"),"CHECK"))</f>
        <v/>
      </c>
      <c r="H425" s="18">
        <f>IFERROR(INDEX(Cluster_Master!$C$4:$C$18,MATCH($F425,Cluster_Master!$B$4:$B$18,0)),"")</f>
        <v/>
      </c>
      <c r="I425" s="15">
        <f>IFERROR(INDEX(Cluster_Master!$D$4:$D$18,MATCH($F425,Cluster_Master!$B$4:$B$18,0)),"")</f>
        <v/>
      </c>
      <c r="J425" s="15">
        <f>IFERROR(INDEX(Cluster_Master!$E$4:$E$18,MATCH($F425,Cluster_Master!$B$4:$B$18,0)),"")</f>
        <v/>
      </c>
      <c r="K425" s="15">
        <f>IFERROR(INDEX(Cluster_Master!$F$4:$F$18,MATCH($F425,Cluster_Master!$B$4:$B$18,0)),"")</f>
        <v/>
      </c>
      <c r="L425" s="15">
        <f>IFERROR(INDEX(Cluster_Master!$G$4:$G$18,MATCH($F425,Cluster_Master!$B$4:$B$18,0)),"")</f>
        <v/>
      </c>
      <c r="M425" s="15">
        <f>IFERROR(INDEX(Cluster_Master!$H$4:$H$18,MATCH($F425,Cluster_Master!$B$4:$B$18,0)),"")</f>
        <v/>
      </c>
      <c r="N425" s="41" t="n"/>
      <c r="O425" s="41" t="n"/>
      <c r="P425" s="41" t="n"/>
      <c r="Q425" s="41" t="n"/>
      <c r="R425" s="41" t="n"/>
      <c r="S425" s="41" t="n"/>
      <c r="T425" s="42" t="n"/>
      <c r="U425" s="42" t="n"/>
      <c r="V425" s="42" t="n"/>
      <c r="W425" s="42" t="n"/>
      <c r="X425" s="42" t="n"/>
      <c r="Y425" s="42" t="n"/>
      <c r="Z425" s="42" t="n"/>
      <c r="AA425" s="42" t="n"/>
      <c r="AB425" s="42" t="n"/>
      <c r="AC425" s="42" t="n"/>
      <c r="AD425" s="42" t="n"/>
      <c r="AE425" s="42" t="n"/>
      <c r="AF425" s="42" t="n"/>
      <c r="AG425" s="42" t="n"/>
      <c r="AH425" s="42" t="n"/>
      <c r="AI425" s="15">
        <f>IF(COUNTA(T425:AH425)=0,"",SUM(T425:AH425))</f>
        <v/>
      </c>
      <c r="AJ425" s="21">
        <f>IF(COUNTA(T425:AH425)=0,"",AI425/(COUNT(KPI_Weights!$A$4:$A$18)*5))</f>
        <v/>
      </c>
      <c r="AK425" s="21">
        <f>IF(COUNTA(T425:AH425)=0,"",SUMPRODUCT(T425:AH425,KPI_Weights!$B$4:$B$18)/5)</f>
        <v/>
      </c>
      <c r="AL425" s="15">
        <f>IF(COUNTA(T425:AH425)=0,"",IF(SUMPRODUCT(--(T425:AH425&lt;=1),--(KPI_Weights!$C$4:$C$18="YES"))&gt;0,"YES","NO"))</f>
        <v/>
      </c>
      <c r="AM425" s="15">
        <f>IF(AJ425="","",IF(AND(AL425="NO",AJ425&gt;=0.75),"YES","NO"))</f>
        <v/>
      </c>
      <c r="AN425" s="15">
        <f>IF(AJ425="","",IF(AJ425&lt;0.4,"Critical",IF(AJ425&lt;0.6,"Poor",IF(AJ425&lt;0.75,"Needs Improvement",IF(AJ425&lt;0.9,"Good","Excellent")))))</f>
        <v/>
      </c>
      <c r="AO425" s="41" t="n"/>
      <c r="AP425" s="41" t="n"/>
      <c r="AQ425" s="41" t="n"/>
      <c r="AR425" s="41" t="n"/>
      <c r="AS425" s="41" t="n"/>
      <c r="AT425" s="44" t="n"/>
      <c r="AU425" s="41" t="n"/>
      <c r="AV425" s="43" t="n"/>
      <c r="AW425" s="41" t="n"/>
      <c r="AX425" s="44" t="n"/>
      <c r="AY425" s="44" t="n"/>
      <c r="AZ425" s="44" t="n"/>
      <c r="BA425" s="44" t="n"/>
      <c r="BB425" s="44" t="n"/>
      <c r="BC425" s="44" t="n"/>
      <c r="BD425" s="44" t="n"/>
      <c r="BE425" s="44" t="n"/>
      <c r="BF425" s="44" t="n"/>
    </row>
    <row r="426" ht="19.5" customHeight="1" s="45">
      <c r="A426" s="15">
        <f>IF($B426="","",TEXT($B426,"yyyymmdd")&amp;"-"&amp;SUBSTITUTE($F426," ","")&amp;"-"&amp;TEXT(COUNTIF($F$4:F426,$F426),"00"))</f>
        <v/>
      </c>
      <c r="B426" s="39" t="n"/>
      <c r="C426" s="15">
        <f>IF($B426="","",WEEKNUM($B426,2))</f>
        <v/>
      </c>
      <c r="D426" s="15">
        <f>IF($B426="","",TEXT($B426,"yyyy-mm"))</f>
        <v/>
      </c>
      <c r="E426" s="40" t="n"/>
      <c r="F426" s="40" t="n"/>
      <c r="G426" s="15">
        <f>IF(OR($E426="",$F426=""),"",IFERROR(IF($E426=INDEX(Cluster_Master!$A$4:$A$18,MATCH($F426,Cluster_Master!$B$4:$B$18,0)),"OK","CHECK"),"CHECK"))</f>
        <v/>
      </c>
      <c r="H426" s="18">
        <f>IFERROR(INDEX(Cluster_Master!$C$4:$C$18,MATCH($F426,Cluster_Master!$B$4:$B$18,0)),"")</f>
        <v/>
      </c>
      <c r="I426" s="15">
        <f>IFERROR(INDEX(Cluster_Master!$D$4:$D$18,MATCH($F426,Cluster_Master!$B$4:$B$18,0)),"")</f>
        <v/>
      </c>
      <c r="J426" s="15">
        <f>IFERROR(INDEX(Cluster_Master!$E$4:$E$18,MATCH($F426,Cluster_Master!$B$4:$B$18,0)),"")</f>
        <v/>
      </c>
      <c r="K426" s="15">
        <f>IFERROR(INDEX(Cluster_Master!$F$4:$F$18,MATCH($F426,Cluster_Master!$B$4:$B$18,0)),"")</f>
        <v/>
      </c>
      <c r="L426" s="15">
        <f>IFERROR(INDEX(Cluster_Master!$G$4:$G$18,MATCH($F426,Cluster_Master!$B$4:$B$18,0)),"")</f>
        <v/>
      </c>
      <c r="M426" s="15">
        <f>IFERROR(INDEX(Cluster_Master!$H$4:$H$18,MATCH($F426,Cluster_Master!$B$4:$B$18,0)),"")</f>
        <v/>
      </c>
      <c r="N426" s="41" t="n"/>
      <c r="O426" s="41" t="n"/>
      <c r="P426" s="41" t="n"/>
      <c r="Q426" s="41" t="n"/>
      <c r="R426" s="41" t="n"/>
      <c r="S426" s="41" t="n"/>
      <c r="T426" s="42" t="n"/>
      <c r="U426" s="42" t="n"/>
      <c r="V426" s="42" t="n"/>
      <c r="W426" s="42" t="n"/>
      <c r="X426" s="42" t="n"/>
      <c r="Y426" s="42" t="n"/>
      <c r="Z426" s="42" t="n"/>
      <c r="AA426" s="42" t="n"/>
      <c r="AB426" s="42" t="n"/>
      <c r="AC426" s="42" t="n"/>
      <c r="AD426" s="42" t="n"/>
      <c r="AE426" s="42" t="n"/>
      <c r="AF426" s="42" t="n"/>
      <c r="AG426" s="42" t="n"/>
      <c r="AH426" s="42" t="n"/>
      <c r="AI426" s="15">
        <f>IF(COUNTA(T426:AH426)=0,"",SUM(T426:AH426))</f>
        <v/>
      </c>
      <c r="AJ426" s="21">
        <f>IF(COUNTA(T426:AH426)=0,"",AI426/(COUNT(KPI_Weights!$A$4:$A$18)*5))</f>
        <v/>
      </c>
      <c r="AK426" s="21">
        <f>IF(COUNTA(T426:AH426)=0,"",SUMPRODUCT(T426:AH426,KPI_Weights!$B$4:$B$18)/5)</f>
        <v/>
      </c>
      <c r="AL426" s="15">
        <f>IF(COUNTA(T426:AH426)=0,"",IF(SUMPRODUCT(--(T426:AH426&lt;=1),--(KPI_Weights!$C$4:$C$18="YES"))&gt;0,"YES","NO"))</f>
        <v/>
      </c>
      <c r="AM426" s="15">
        <f>IF(AJ426="","",IF(AND(AL426="NO",AJ426&gt;=0.75),"YES","NO"))</f>
        <v/>
      </c>
      <c r="AN426" s="15">
        <f>IF(AJ426="","",IF(AJ426&lt;0.4,"Critical",IF(AJ426&lt;0.6,"Poor",IF(AJ426&lt;0.75,"Needs Improvement",IF(AJ426&lt;0.9,"Good","Excellent")))))</f>
        <v/>
      </c>
      <c r="AO426" s="41" t="n"/>
      <c r="AP426" s="41" t="n"/>
      <c r="AQ426" s="41" t="n"/>
      <c r="AR426" s="41" t="n"/>
      <c r="AS426" s="41" t="n"/>
      <c r="AT426" s="44" t="n"/>
      <c r="AU426" s="41" t="n"/>
      <c r="AV426" s="43" t="n"/>
      <c r="AW426" s="41" t="n"/>
      <c r="AX426" s="44" t="n"/>
      <c r="AY426" s="44" t="n"/>
      <c r="AZ426" s="44" t="n"/>
      <c r="BA426" s="44" t="n"/>
      <c r="BB426" s="44" t="n"/>
      <c r="BC426" s="44" t="n"/>
      <c r="BD426" s="44" t="n"/>
      <c r="BE426" s="44" t="n"/>
      <c r="BF426" s="44" t="n"/>
    </row>
    <row r="427" ht="19.5" customHeight="1" s="45">
      <c r="A427" s="15">
        <f>IF($B427="","",TEXT($B427,"yyyymmdd")&amp;"-"&amp;SUBSTITUTE($F427," ","")&amp;"-"&amp;TEXT(COUNTIF($F$4:F427,$F427),"00"))</f>
        <v/>
      </c>
      <c r="B427" s="39" t="n"/>
      <c r="C427" s="15">
        <f>IF($B427="","",WEEKNUM($B427,2))</f>
        <v/>
      </c>
      <c r="D427" s="15">
        <f>IF($B427="","",TEXT($B427,"yyyy-mm"))</f>
        <v/>
      </c>
      <c r="E427" s="40" t="n"/>
      <c r="F427" s="40" t="n"/>
      <c r="G427" s="15">
        <f>IF(OR($E427="",$F427=""),"",IFERROR(IF($E427=INDEX(Cluster_Master!$A$4:$A$18,MATCH($F427,Cluster_Master!$B$4:$B$18,0)),"OK","CHECK"),"CHECK"))</f>
        <v/>
      </c>
      <c r="H427" s="18">
        <f>IFERROR(INDEX(Cluster_Master!$C$4:$C$18,MATCH($F427,Cluster_Master!$B$4:$B$18,0)),"")</f>
        <v/>
      </c>
      <c r="I427" s="15">
        <f>IFERROR(INDEX(Cluster_Master!$D$4:$D$18,MATCH($F427,Cluster_Master!$B$4:$B$18,0)),"")</f>
        <v/>
      </c>
      <c r="J427" s="15">
        <f>IFERROR(INDEX(Cluster_Master!$E$4:$E$18,MATCH($F427,Cluster_Master!$B$4:$B$18,0)),"")</f>
        <v/>
      </c>
      <c r="K427" s="15">
        <f>IFERROR(INDEX(Cluster_Master!$F$4:$F$18,MATCH($F427,Cluster_Master!$B$4:$B$18,0)),"")</f>
        <v/>
      </c>
      <c r="L427" s="15">
        <f>IFERROR(INDEX(Cluster_Master!$G$4:$G$18,MATCH($F427,Cluster_Master!$B$4:$B$18,0)),"")</f>
        <v/>
      </c>
      <c r="M427" s="15">
        <f>IFERROR(INDEX(Cluster_Master!$H$4:$H$18,MATCH($F427,Cluster_Master!$B$4:$B$18,0)),"")</f>
        <v/>
      </c>
      <c r="N427" s="41" t="n"/>
      <c r="O427" s="41" t="n"/>
      <c r="P427" s="41" t="n"/>
      <c r="Q427" s="41" t="n"/>
      <c r="R427" s="41" t="n"/>
      <c r="S427" s="41" t="n"/>
      <c r="T427" s="42" t="n"/>
      <c r="U427" s="42" t="n"/>
      <c r="V427" s="42" t="n"/>
      <c r="W427" s="42" t="n"/>
      <c r="X427" s="42" t="n"/>
      <c r="Y427" s="42" t="n"/>
      <c r="Z427" s="42" t="n"/>
      <c r="AA427" s="42" t="n"/>
      <c r="AB427" s="42" t="n"/>
      <c r="AC427" s="42" t="n"/>
      <c r="AD427" s="42" t="n"/>
      <c r="AE427" s="42" t="n"/>
      <c r="AF427" s="42" t="n"/>
      <c r="AG427" s="42" t="n"/>
      <c r="AH427" s="42" t="n"/>
      <c r="AI427" s="15">
        <f>IF(COUNTA(T427:AH427)=0,"",SUM(T427:AH427))</f>
        <v/>
      </c>
      <c r="AJ427" s="21">
        <f>IF(COUNTA(T427:AH427)=0,"",AI427/(COUNT(KPI_Weights!$A$4:$A$18)*5))</f>
        <v/>
      </c>
      <c r="AK427" s="21">
        <f>IF(COUNTA(T427:AH427)=0,"",SUMPRODUCT(T427:AH427,KPI_Weights!$B$4:$B$18)/5)</f>
        <v/>
      </c>
      <c r="AL427" s="15">
        <f>IF(COUNTA(T427:AH427)=0,"",IF(SUMPRODUCT(--(T427:AH427&lt;=1),--(KPI_Weights!$C$4:$C$18="YES"))&gt;0,"YES","NO"))</f>
        <v/>
      </c>
      <c r="AM427" s="15">
        <f>IF(AJ427="","",IF(AND(AL427="NO",AJ427&gt;=0.75),"YES","NO"))</f>
        <v/>
      </c>
      <c r="AN427" s="15">
        <f>IF(AJ427="","",IF(AJ427&lt;0.4,"Critical",IF(AJ427&lt;0.6,"Poor",IF(AJ427&lt;0.75,"Needs Improvement",IF(AJ427&lt;0.9,"Good","Excellent")))))</f>
        <v/>
      </c>
      <c r="AO427" s="41" t="n"/>
      <c r="AP427" s="41" t="n"/>
      <c r="AQ427" s="41" t="n"/>
      <c r="AR427" s="41" t="n"/>
      <c r="AS427" s="41" t="n"/>
      <c r="AT427" s="44" t="n"/>
      <c r="AU427" s="41" t="n"/>
      <c r="AV427" s="43" t="n"/>
      <c r="AW427" s="41" t="n"/>
      <c r="AX427" s="44" t="n"/>
      <c r="AY427" s="44" t="n"/>
      <c r="AZ427" s="44" t="n"/>
      <c r="BA427" s="44" t="n"/>
      <c r="BB427" s="44" t="n"/>
      <c r="BC427" s="44" t="n"/>
      <c r="BD427" s="44" t="n"/>
      <c r="BE427" s="44" t="n"/>
      <c r="BF427" s="44" t="n"/>
    </row>
    <row r="428" ht="19.5" customHeight="1" s="45">
      <c r="A428" s="15">
        <f>IF($B428="","",TEXT($B428,"yyyymmdd")&amp;"-"&amp;SUBSTITUTE($F428," ","")&amp;"-"&amp;TEXT(COUNTIF($F$4:F428,$F428),"00"))</f>
        <v/>
      </c>
      <c r="B428" s="39" t="n"/>
      <c r="C428" s="15">
        <f>IF($B428="","",WEEKNUM($B428,2))</f>
        <v/>
      </c>
      <c r="D428" s="15">
        <f>IF($B428="","",TEXT($B428,"yyyy-mm"))</f>
        <v/>
      </c>
      <c r="E428" s="40" t="n"/>
      <c r="F428" s="40" t="n"/>
      <c r="G428" s="15">
        <f>IF(OR($E428="",$F428=""),"",IFERROR(IF($E428=INDEX(Cluster_Master!$A$4:$A$18,MATCH($F428,Cluster_Master!$B$4:$B$18,0)),"OK","CHECK"),"CHECK"))</f>
        <v/>
      </c>
      <c r="H428" s="18">
        <f>IFERROR(INDEX(Cluster_Master!$C$4:$C$18,MATCH($F428,Cluster_Master!$B$4:$B$18,0)),"")</f>
        <v/>
      </c>
      <c r="I428" s="15">
        <f>IFERROR(INDEX(Cluster_Master!$D$4:$D$18,MATCH($F428,Cluster_Master!$B$4:$B$18,0)),"")</f>
        <v/>
      </c>
      <c r="J428" s="15">
        <f>IFERROR(INDEX(Cluster_Master!$E$4:$E$18,MATCH($F428,Cluster_Master!$B$4:$B$18,0)),"")</f>
        <v/>
      </c>
      <c r="K428" s="15">
        <f>IFERROR(INDEX(Cluster_Master!$F$4:$F$18,MATCH($F428,Cluster_Master!$B$4:$B$18,0)),"")</f>
        <v/>
      </c>
      <c r="L428" s="15">
        <f>IFERROR(INDEX(Cluster_Master!$G$4:$G$18,MATCH($F428,Cluster_Master!$B$4:$B$18,0)),"")</f>
        <v/>
      </c>
      <c r="M428" s="15">
        <f>IFERROR(INDEX(Cluster_Master!$H$4:$H$18,MATCH($F428,Cluster_Master!$B$4:$B$18,0)),"")</f>
        <v/>
      </c>
      <c r="N428" s="41" t="n"/>
      <c r="O428" s="41" t="n"/>
      <c r="P428" s="41" t="n"/>
      <c r="Q428" s="41" t="n"/>
      <c r="R428" s="41" t="n"/>
      <c r="S428" s="41" t="n"/>
      <c r="T428" s="42" t="n"/>
      <c r="U428" s="42" t="n"/>
      <c r="V428" s="42" t="n"/>
      <c r="W428" s="42" t="n"/>
      <c r="X428" s="42" t="n"/>
      <c r="Y428" s="42" t="n"/>
      <c r="Z428" s="42" t="n"/>
      <c r="AA428" s="42" t="n"/>
      <c r="AB428" s="42" t="n"/>
      <c r="AC428" s="42" t="n"/>
      <c r="AD428" s="42" t="n"/>
      <c r="AE428" s="42" t="n"/>
      <c r="AF428" s="42" t="n"/>
      <c r="AG428" s="42" t="n"/>
      <c r="AH428" s="42" t="n"/>
      <c r="AI428" s="15">
        <f>IF(COUNTA(T428:AH428)=0,"",SUM(T428:AH428))</f>
        <v/>
      </c>
      <c r="AJ428" s="21">
        <f>IF(COUNTA(T428:AH428)=0,"",AI428/(COUNT(KPI_Weights!$A$4:$A$18)*5))</f>
        <v/>
      </c>
      <c r="AK428" s="21">
        <f>IF(COUNTA(T428:AH428)=0,"",SUMPRODUCT(T428:AH428,KPI_Weights!$B$4:$B$18)/5)</f>
        <v/>
      </c>
      <c r="AL428" s="15">
        <f>IF(COUNTA(T428:AH428)=0,"",IF(SUMPRODUCT(--(T428:AH428&lt;=1),--(KPI_Weights!$C$4:$C$18="YES"))&gt;0,"YES","NO"))</f>
        <v/>
      </c>
      <c r="AM428" s="15">
        <f>IF(AJ428="","",IF(AND(AL428="NO",AJ428&gt;=0.75),"YES","NO"))</f>
        <v/>
      </c>
      <c r="AN428" s="15">
        <f>IF(AJ428="","",IF(AJ428&lt;0.4,"Critical",IF(AJ428&lt;0.6,"Poor",IF(AJ428&lt;0.75,"Needs Improvement",IF(AJ428&lt;0.9,"Good","Excellent")))))</f>
        <v/>
      </c>
      <c r="AO428" s="41" t="n"/>
      <c r="AP428" s="41" t="n"/>
      <c r="AQ428" s="41" t="n"/>
      <c r="AR428" s="41" t="n"/>
      <c r="AS428" s="41" t="n"/>
      <c r="AT428" s="44" t="n"/>
      <c r="AU428" s="41" t="n"/>
      <c r="AV428" s="43" t="n"/>
      <c r="AW428" s="41" t="n"/>
      <c r="AX428" s="44" t="n"/>
      <c r="AY428" s="44" t="n"/>
      <c r="AZ428" s="44" t="n"/>
      <c r="BA428" s="44" t="n"/>
      <c r="BB428" s="44" t="n"/>
      <c r="BC428" s="44" t="n"/>
      <c r="BD428" s="44" t="n"/>
      <c r="BE428" s="44" t="n"/>
      <c r="BF428" s="44" t="n"/>
    </row>
    <row r="429" ht="19.5" customHeight="1" s="45">
      <c r="A429" s="15">
        <f>IF($B429="","",TEXT($B429,"yyyymmdd")&amp;"-"&amp;SUBSTITUTE($F429," ","")&amp;"-"&amp;TEXT(COUNTIF($F$4:F429,$F429),"00"))</f>
        <v/>
      </c>
      <c r="B429" s="39" t="n"/>
      <c r="C429" s="15">
        <f>IF($B429="","",WEEKNUM($B429,2))</f>
        <v/>
      </c>
      <c r="D429" s="15">
        <f>IF($B429="","",TEXT($B429,"yyyy-mm"))</f>
        <v/>
      </c>
      <c r="E429" s="40" t="n"/>
      <c r="F429" s="40" t="n"/>
      <c r="G429" s="15">
        <f>IF(OR($E429="",$F429=""),"",IFERROR(IF($E429=INDEX(Cluster_Master!$A$4:$A$18,MATCH($F429,Cluster_Master!$B$4:$B$18,0)),"OK","CHECK"),"CHECK"))</f>
        <v/>
      </c>
      <c r="H429" s="18">
        <f>IFERROR(INDEX(Cluster_Master!$C$4:$C$18,MATCH($F429,Cluster_Master!$B$4:$B$18,0)),"")</f>
        <v/>
      </c>
      <c r="I429" s="15">
        <f>IFERROR(INDEX(Cluster_Master!$D$4:$D$18,MATCH($F429,Cluster_Master!$B$4:$B$18,0)),"")</f>
        <v/>
      </c>
      <c r="J429" s="15">
        <f>IFERROR(INDEX(Cluster_Master!$E$4:$E$18,MATCH($F429,Cluster_Master!$B$4:$B$18,0)),"")</f>
        <v/>
      </c>
      <c r="K429" s="15">
        <f>IFERROR(INDEX(Cluster_Master!$F$4:$F$18,MATCH($F429,Cluster_Master!$B$4:$B$18,0)),"")</f>
        <v/>
      </c>
      <c r="L429" s="15">
        <f>IFERROR(INDEX(Cluster_Master!$G$4:$G$18,MATCH($F429,Cluster_Master!$B$4:$B$18,0)),"")</f>
        <v/>
      </c>
      <c r="M429" s="15">
        <f>IFERROR(INDEX(Cluster_Master!$H$4:$H$18,MATCH($F429,Cluster_Master!$B$4:$B$18,0)),"")</f>
        <v/>
      </c>
      <c r="N429" s="41" t="n"/>
      <c r="O429" s="41" t="n"/>
      <c r="P429" s="41" t="n"/>
      <c r="Q429" s="41" t="n"/>
      <c r="R429" s="41" t="n"/>
      <c r="S429" s="41" t="n"/>
      <c r="T429" s="42" t="n"/>
      <c r="U429" s="42" t="n"/>
      <c r="V429" s="42" t="n"/>
      <c r="W429" s="42" t="n"/>
      <c r="X429" s="42" t="n"/>
      <c r="Y429" s="42" t="n"/>
      <c r="Z429" s="42" t="n"/>
      <c r="AA429" s="42" t="n"/>
      <c r="AB429" s="42" t="n"/>
      <c r="AC429" s="42" t="n"/>
      <c r="AD429" s="42" t="n"/>
      <c r="AE429" s="42" t="n"/>
      <c r="AF429" s="42" t="n"/>
      <c r="AG429" s="42" t="n"/>
      <c r="AH429" s="42" t="n"/>
      <c r="AI429" s="15">
        <f>IF(COUNTA(T429:AH429)=0,"",SUM(T429:AH429))</f>
        <v/>
      </c>
      <c r="AJ429" s="21">
        <f>IF(COUNTA(T429:AH429)=0,"",AI429/(COUNT(KPI_Weights!$A$4:$A$18)*5))</f>
        <v/>
      </c>
      <c r="AK429" s="21">
        <f>IF(COUNTA(T429:AH429)=0,"",SUMPRODUCT(T429:AH429,KPI_Weights!$B$4:$B$18)/5)</f>
        <v/>
      </c>
      <c r="AL429" s="15">
        <f>IF(COUNTA(T429:AH429)=0,"",IF(SUMPRODUCT(--(T429:AH429&lt;=1),--(KPI_Weights!$C$4:$C$18="YES"))&gt;0,"YES","NO"))</f>
        <v/>
      </c>
      <c r="AM429" s="15">
        <f>IF(AJ429="","",IF(AND(AL429="NO",AJ429&gt;=0.75),"YES","NO"))</f>
        <v/>
      </c>
      <c r="AN429" s="15">
        <f>IF(AJ429="","",IF(AJ429&lt;0.4,"Critical",IF(AJ429&lt;0.6,"Poor",IF(AJ429&lt;0.75,"Needs Improvement",IF(AJ429&lt;0.9,"Good","Excellent")))))</f>
        <v/>
      </c>
      <c r="AO429" s="41" t="n"/>
      <c r="AP429" s="41" t="n"/>
      <c r="AQ429" s="41" t="n"/>
      <c r="AR429" s="41" t="n"/>
      <c r="AS429" s="41" t="n"/>
      <c r="AT429" s="44" t="n"/>
      <c r="AU429" s="41" t="n"/>
      <c r="AV429" s="43" t="n"/>
      <c r="AW429" s="41" t="n"/>
      <c r="AX429" s="44" t="n"/>
      <c r="AY429" s="44" t="n"/>
      <c r="AZ429" s="44" t="n"/>
      <c r="BA429" s="44" t="n"/>
      <c r="BB429" s="44" t="n"/>
      <c r="BC429" s="44" t="n"/>
      <c r="BD429" s="44" t="n"/>
      <c r="BE429" s="44" t="n"/>
      <c r="BF429" s="44" t="n"/>
    </row>
    <row r="430" ht="19.5" customHeight="1" s="45">
      <c r="A430" s="15">
        <f>IF($B430="","",TEXT($B430,"yyyymmdd")&amp;"-"&amp;SUBSTITUTE($F430," ","")&amp;"-"&amp;TEXT(COUNTIF($F$4:F430,$F430),"00"))</f>
        <v/>
      </c>
      <c r="B430" s="39" t="n"/>
      <c r="C430" s="15">
        <f>IF($B430="","",WEEKNUM($B430,2))</f>
        <v/>
      </c>
      <c r="D430" s="15">
        <f>IF($B430="","",TEXT($B430,"yyyy-mm"))</f>
        <v/>
      </c>
      <c r="E430" s="40" t="n"/>
      <c r="F430" s="40" t="n"/>
      <c r="G430" s="15">
        <f>IF(OR($E430="",$F430=""),"",IFERROR(IF($E430=INDEX(Cluster_Master!$A$4:$A$18,MATCH($F430,Cluster_Master!$B$4:$B$18,0)),"OK","CHECK"),"CHECK"))</f>
        <v/>
      </c>
      <c r="H430" s="18">
        <f>IFERROR(INDEX(Cluster_Master!$C$4:$C$18,MATCH($F430,Cluster_Master!$B$4:$B$18,0)),"")</f>
        <v/>
      </c>
      <c r="I430" s="15">
        <f>IFERROR(INDEX(Cluster_Master!$D$4:$D$18,MATCH($F430,Cluster_Master!$B$4:$B$18,0)),"")</f>
        <v/>
      </c>
      <c r="J430" s="15">
        <f>IFERROR(INDEX(Cluster_Master!$E$4:$E$18,MATCH($F430,Cluster_Master!$B$4:$B$18,0)),"")</f>
        <v/>
      </c>
      <c r="K430" s="15">
        <f>IFERROR(INDEX(Cluster_Master!$F$4:$F$18,MATCH($F430,Cluster_Master!$B$4:$B$18,0)),"")</f>
        <v/>
      </c>
      <c r="L430" s="15">
        <f>IFERROR(INDEX(Cluster_Master!$G$4:$G$18,MATCH($F430,Cluster_Master!$B$4:$B$18,0)),"")</f>
        <v/>
      </c>
      <c r="M430" s="15">
        <f>IFERROR(INDEX(Cluster_Master!$H$4:$H$18,MATCH($F430,Cluster_Master!$B$4:$B$18,0)),"")</f>
        <v/>
      </c>
      <c r="N430" s="41" t="n"/>
      <c r="O430" s="41" t="n"/>
      <c r="P430" s="41" t="n"/>
      <c r="Q430" s="41" t="n"/>
      <c r="R430" s="41" t="n"/>
      <c r="S430" s="41" t="n"/>
      <c r="T430" s="42" t="n"/>
      <c r="U430" s="42" t="n"/>
      <c r="V430" s="42" t="n"/>
      <c r="W430" s="42" t="n"/>
      <c r="X430" s="42" t="n"/>
      <c r="Y430" s="42" t="n"/>
      <c r="Z430" s="42" t="n"/>
      <c r="AA430" s="42" t="n"/>
      <c r="AB430" s="42" t="n"/>
      <c r="AC430" s="42" t="n"/>
      <c r="AD430" s="42" t="n"/>
      <c r="AE430" s="42" t="n"/>
      <c r="AF430" s="42" t="n"/>
      <c r="AG430" s="42" t="n"/>
      <c r="AH430" s="42" t="n"/>
      <c r="AI430" s="15">
        <f>IF(COUNTA(T430:AH430)=0,"",SUM(T430:AH430))</f>
        <v/>
      </c>
      <c r="AJ430" s="21">
        <f>IF(COUNTA(T430:AH430)=0,"",AI430/(COUNT(KPI_Weights!$A$4:$A$18)*5))</f>
        <v/>
      </c>
      <c r="AK430" s="21">
        <f>IF(COUNTA(T430:AH430)=0,"",SUMPRODUCT(T430:AH430,KPI_Weights!$B$4:$B$18)/5)</f>
        <v/>
      </c>
      <c r="AL430" s="15">
        <f>IF(COUNTA(T430:AH430)=0,"",IF(SUMPRODUCT(--(T430:AH430&lt;=1),--(KPI_Weights!$C$4:$C$18="YES"))&gt;0,"YES","NO"))</f>
        <v/>
      </c>
      <c r="AM430" s="15">
        <f>IF(AJ430="","",IF(AND(AL430="NO",AJ430&gt;=0.75),"YES","NO"))</f>
        <v/>
      </c>
      <c r="AN430" s="15">
        <f>IF(AJ430="","",IF(AJ430&lt;0.4,"Critical",IF(AJ430&lt;0.6,"Poor",IF(AJ430&lt;0.75,"Needs Improvement",IF(AJ430&lt;0.9,"Good","Excellent")))))</f>
        <v/>
      </c>
      <c r="AO430" s="41" t="n"/>
      <c r="AP430" s="41" t="n"/>
      <c r="AQ430" s="41" t="n"/>
      <c r="AR430" s="41" t="n"/>
      <c r="AS430" s="41" t="n"/>
      <c r="AT430" s="44" t="n"/>
      <c r="AU430" s="41" t="n"/>
      <c r="AV430" s="43" t="n"/>
      <c r="AW430" s="41" t="n"/>
      <c r="AX430" s="44" t="n"/>
      <c r="AY430" s="44" t="n"/>
      <c r="AZ430" s="44" t="n"/>
      <c r="BA430" s="44" t="n"/>
      <c r="BB430" s="44" t="n"/>
      <c r="BC430" s="44" t="n"/>
      <c r="BD430" s="44" t="n"/>
      <c r="BE430" s="44" t="n"/>
      <c r="BF430" s="44" t="n"/>
    </row>
    <row r="431" ht="19.5" customHeight="1" s="45">
      <c r="A431" s="15">
        <f>IF($B431="","",TEXT($B431,"yyyymmdd")&amp;"-"&amp;SUBSTITUTE($F431," ","")&amp;"-"&amp;TEXT(COUNTIF($F$4:F431,$F431),"00"))</f>
        <v/>
      </c>
      <c r="B431" s="39" t="n"/>
      <c r="C431" s="15">
        <f>IF($B431="","",WEEKNUM($B431,2))</f>
        <v/>
      </c>
      <c r="D431" s="15">
        <f>IF($B431="","",TEXT($B431,"yyyy-mm"))</f>
        <v/>
      </c>
      <c r="E431" s="40" t="n"/>
      <c r="F431" s="40" t="n"/>
      <c r="G431" s="15">
        <f>IF(OR($E431="",$F431=""),"",IFERROR(IF($E431=INDEX(Cluster_Master!$A$4:$A$18,MATCH($F431,Cluster_Master!$B$4:$B$18,0)),"OK","CHECK"),"CHECK"))</f>
        <v/>
      </c>
      <c r="H431" s="18">
        <f>IFERROR(INDEX(Cluster_Master!$C$4:$C$18,MATCH($F431,Cluster_Master!$B$4:$B$18,0)),"")</f>
        <v/>
      </c>
      <c r="I431" s="15">
        <f>IFERROR(INDEX(Cluster_Master!$D$4:$D$18,MATCH($F431,Cluster_Master!$B$4:$B$18,0)),"")</f>
        <v/>
      </c>
      <c r="J431" s="15">
        <f>IFERROR(INDEX(Cluster_Master!$E$4:$E$18,MATCH($F431,Cluster_Master!$B$4:$B$18,0)),"")</f>
        <v/>
      </c>
      <c r="K431" s="15">
        <f>IFERROR(INDEX(Cluster_Master!$F$4:$F$18,MATCH($F431,Cluster_Master!$B$4:$B$18,0)),"")</f>
        <v/>
      </c>
      <c r="L431" s="15">
        <f>IFERROR(INDEX(Cluster_Master!$G$4:$G$18,MATCH($F431,Cluster_Master!$B$4:$B$18,0)),"")</f>
        <v/>
      </c>
      <c r="M431" s="15">
        <f>IFERROR(INDEX(Cluster_Master!$H$4:$H$18,MATCH($F431,Cluster_Master!$B$4:$B$18,0)),"")</f>
        <v/>
      </c>
      <c r="N431" s="41" t="n"/>
      <c r="O431" s="41" t="n"/>
      <c r="P431" s="41" t="n"/>
      <c r="Q431" s="41" t="n"/>
      <c r="R431" s="41" t="n"/>
      <c r="S431" s="41" t="n"/>
      <c r="T431" s="42" t="n"/>
      <c r="U431" s="42" t="n"/>
      <c r="V431" s="42" t="n"/>
      <c r="W431" s="42" t="n"/>
      <c r="X431" s="42" t="n"/>
      <c r="Y431" s="42" t="n"/>
      <c r="Z431" s="42" t="n"/>
      <c r="AA431" s="42" t="n"/>
      <c r="AB431" s="42" t="n"/>
      <c r="AC431" s="42" t="n"/>
      <c r="AD431" s="42" t="n"/>
      <c r="AE431" s="42" t="n"/>
      <c r="AF431" s="42" t="n"/>
      <c r="AG431" s="42" t="n"/>
      <c r="AH431" s="42" t="n"/>
      <c r="AI431" s="15">
        <f>IF(COUNTA(T431:AH431)=0,"",SUM(T431:AH431))</f>
        <v/>
      </c>
      <c r="AJ431" s="21">
        <f>IF(COUNTA(T431:AH431)=0,"",AI431/(COUNT(KPI_Weights!$A$4:$A$18)*5))</f>
        <v/>
      </c>
      <c r="AK431" s="21">
        <f>IF(COUNTA(T431:AH431)=0,"",SUMPRODUCT(T431:AH431,KPI_Weights!$B$4:$B$18)/5)</f>
        <v/>
      </c>
      <c r="AL431" s="15">
        <f>IF(COUNTA(T431:AH431)=0,"",IF(SUMPRODUCT(--(T431:AH431&lt;=1),--(KPI_Weights!$C$4:$C$18="YES"))&gt;0,"YES","NO"))</f>
        <v/>
      </c>
      <c r="AM431" s="15">
        <f>IF(AJ431="","",IF(AND(AL431="NO",AJ431&gt;=0.75),"YES","NO"))</f>
        <v/>
      </c>
      <c r="AN431" s="15">
        <f>IF(AJ431="","",IF(AJ431&lt;0.4,"Critical",IF(AJ431&lt;0.6,"Poor",IF(AJ431&lt;0.75,"Needs Improvement",IF(AJ431&lt;0.9,"Good","Excellent")))))</f>
        <v/>
      </c>
      <c r="AO431" s="41" t="n"/>
      <c r="AP431" s="41" t="n"/>
      <c r="AQ431" s="41" t="n"/>
      <c r="AR431" s="41" t="n"/>
      <c r="AS431" s="41" t="n"/>
      <c r="AT431" s="44" t="n"/>
      <c r="AU431" s="41" t="n"/>
      <c r="AV431" s="43" t="n"/>
      <c r="AW431" s="41" t="n"/>
      <c r="AX431" s="44" t="n"/>
      <c r="AY431" s="44" t="n"/>
      <c r="AZ431" s="44" t="n"/>
      <c r="BA431" s="44" t="n"/>
      <c r="BB431" s="44" t="n"/>
      <c r="BC431" s="44" t="n"/>
      <c r="BD431" s="44" t="n"/>
      <c r="BE431" s="44" t="n"/>
      <c r="BF431" s="44" t="n"/>
    </row>
    <row r="432" ht="19.5" customHeight="1" s="45">
      <c r="A432" s="15">
        <f>IF($B432="","",TEXT($B432,"yyyymmdd")&amp;"-"&amp;SUBSTITUTE($F432," ","")&amp;"-"&amp;TEXT(COUNTIF($F$4:F432,$F432),"00"))</f>
        <v/>
      </c>
      <c r="B432" s="39" t="n"/>
      <c r="C432" s="15">
        <f>IF($B432="","",WEEKNUM($B432,2))</f>
        <v/>
      </c>
      <c r="D432" s="15">
        <f>IF($B432="","",TEXT($B432,"yyyy-mm"))</f>
        <v/>
      </c>
      <c r="E432" s="40" t="n"/>
      <c r="F432" s="40" t="n"/>
      <c r="G432" s="15">
        <f>IF(OR($E432="",$F432=""),"",IFERROR(IF($E432=INDEX(Cluster_Master!$A$4:$A$18,MATCH($F432,Cluster_Master!$B$4:$B$18,0)),"OK","CHECK"),"CHECK"))</f>
        <v/>
      </c>
      <c r="H432" s="18">
        <f>IFERROR(INDEX(Cluster_Master!$C$4:$C$18,MATCH($F432,Cluster_Master!$B$4:$B$18,0)),"")</f>
        <v/>
      </c>
      <c r="I432" s="15">
        <f>IFERROR(INDEX(Cluster_Master!$D$4:$D$18,MATCH($F432,Cluster_Master!$B$4:$B$18,0)),"")</f>
        <v/>
      </c>
      <c r="J432" s="15">
        <f>IFERROR(INDEX(Cluster_Master!$E$4:$E$18,MATCH($F432,Cluster_Master!$B$4:$B$18,0)),"")</f>
        <v/>
      </c>
      <c r="K432" s="15">
        <f>IFERROR(INDEX(Cluster_Master!$F$4:$F$18,MATCH($F432,Cluster_Master!$B$4:$B$18,0)),"")</f>
        <v/>
      </c>
      <c r="L432" s="15">
        <f>IFERROR(INDEX(Cluster_Master!$G$4:$G$18,MATCH($F432,Cluster_Master!$B$4:$B$18,0)),"")</f>
        <v/>
      </c>
      <c r="M432" s="15">
        <f>IFERROR(INDEX(Cluster_Master!$H$4:$H$18,MATCH($F432,Cluster_Master!$B$4:$B$18,0)),"")</f>
        <v/>
      </c>
      <c r="N432" s="41" t="n"/>
      <c r="O432" s="41" t="n"/>
      <c r="P432" s="41" t="n"/>
      <c r="Q432" s="41" t="n"/>
      <c r="R432" s="41" t="n"/>
      <c r="S432" s="41" t="n"/>
      <c r="T432" s="42" t="n"/>
      <c r="U432" s="42" t="n"/>
      <c r="V432" s="42" t="n"/>
      <c r="W432" s="42" t="n"/>
      <c r="X432" s="42" t="n"/>
      <c r="Y432" s="42" t="n"/>
      <c r="Z432" s="42" t="n"/>
      <c r="AA432" s="42" t="n"/>
      <c r="AB432" s="42" t="n"/>
      <c r="AC432" s="42" t="n"/>
      <c r="AD432" s="42" t="n"/>
      <c r="AE432" s="42" t="n"/>
      <c r="AF432" s="42" t="n"/>
      <c r="AG432" s="42" t="n"/>
      <c r="AH432" s="42" t="n"/>
      <c r="AI432" s="15">
        <f>IF(COUNTA(T432:AH432)=0,"",SUM(T432:AH432))</f>
        <v/>
      </c>
      <c r="AJ432" s="21">
        <f>IF(COUNTA(T432:AH432)=0,"",AI432/(COUNT(KPI_Weights!$A$4:$A$18)*5))</f>
        <v/>
      </c>
      <c r="AK432" s="21">
        <f>IF(COUNTA(T432:AH432)=0,"",SUMPRODUCT(T432:AH432,KPI_Weights!$B$4:$B$18)/5)</f>
        <v/>
      </c>
      <c r="AL432" s="15">
        <f>IF(COUNTA(T432:AH432)=0,"",IF(SUMPRODUCT(--(T432:AH432&lt;=1),--(KPI_Weights!$C$4:$C$18="YES"))&gt;0,"YES","NO"))</f>
        <v/>
      </c>
      <c r="AM432" s="15">
        <f>IF(AJ432="","",IF(AND(AL432="NO",AJ432&gt;=0.75),"YES","NO"))</f>
        <v/>
      </c>
      <c r="AN432" s="15">
        <f>IF(AJ432="","",IF(AJ432&lt;0.4,"Critical",IF(AJ432&lt;0.6,"Poor",IF(AJ432&lt;0.75,"Needs Improvement",IF(AJ432&lt;0.9,"Good","Excellent")))))</f>
        <v/>
      </c>
      <c r="AO432" s="41" t="n"/>
      <c r="AP432" s="41" t="n"/>
      <c r="AQ432" s="41" t="n"/>
      <c r="AR432" s="41" t="n"/>
      <c r="AS432" s="41" t="n"/>
      <c r="AT432" s="44" t="n"/>
      <c r="AU432" s="41" t="n"/>
      <c r="AV432" s="43" t="n"/>
      <c r="AW432" s="41" t="n"/>
      <c r="AX432" s="44" t="n"/>
      <c r="AY432" s="44" t="n"/>
      <c r="AZ432" s="44" t="n"/>
      <c r="BA432" s="44" t="n"/>
      <c r="BB432" s="44" t="n"/>
      <c r="BC432" s="44" t="n"/>
      <c r="BD432" s="44" t="n"/>
      <c r="BE432" s="44" t="n"/>
      <c r="BF432" s="44" t="n"/>
    </row>
    <row r="433" ht="19.5" customHeight="1" s="45">
      <c r="A433" s="15">
        <f>IF($B433="","",TEXT($B433,"yyyymmdd")&amp;"-"&amp;SUBSTITUTE($F433," ","")&amp;"-"&amp;TEXT(COUNTIF($F$4:F433,$F433),"00"))</f>
        <v/>
      </c>
      <c r="B433" s="39" t="n"/>
      <c r="C433" s="15">
        <f>IF($B433="","",WEEKNUM($B433,2))</f>
        <v/>
      </c>
      <c r="D433" s="15">
        <f>IF($B433="","",TEXT($B433,"yyyy-mm"))</f>
        <v/>
      </c>
      <c r="E433" s="40" t="n"/>
      <c r="F433" s="40" t="n"/>
      <c r="G433" s="15">
        <f>IF(OR($E433="",$F433=""),"",IFERROR(IF($E433=INDEX(Cluster_Master!$A$4:$A$18,MATCH($F433,Cluster_Master!$B$4:$B$18,0)),"OK","CHECK"),"CHECK"))</f>
        <v/>
      </c>
      <c r="H433" s="18">
        <f>IFERROR(INDEX(Cluster_Master!$C$4:$C$18,MATCH($F433,Cluster_Master!$B$4:$B$18,0)),"")</f>
        <v/>
      </c>
      <c r="I433" s="15">
        <f>IFERROR(INDEX(Cluster_Master!$D$4:$D$18,MATCH($F433,Cluster_Master!$B$4:$B$18,0)),"")</f>
        <v/>
      </c>
      <c r="J433" s="15">
        <f>IFERROR(INDEX(Cluster_Master!$E$4:$E$18,MATCH($F433,Cluster_Master!$B$4:$B$18,0)),"")</f>
        <v/>
      </c>
      <c r="K433" s="15">
        <f>IFERROR(INDEX(Cluster_Master!$F$4:$F$18,MATCH($F433,Cluster_Master!$B$4:$B$18,0)),"")</f>
        <v/>
      </c>
      <c r="L433" s="15">
        <f>IFERROR(INDEX(Cluster_Master!$G$4:$G$18,MATCH($F433,Cluster_Master!$B$4:$B$18,0)),"")</f>
        <v/>
      </c>
      <c r="M433" s="15">
        <f>IFERROR(INDEX(Cluster_Master!$H$4:$H$18,MATCH($F433,Cluster_Master!$B$4:$B$18,0)),"")</f>
        <v/>
      </c>
      <c r="N433" s="41" t="n"/>
      <c r="O433" s="41" t="n"/>
      <c r="P433" s="41" t="n"/>
      <c r="Q433" s="41" t="n"/>
      <c r="R433" s="41" t="n"/>
      <c r="S433" s="41" t="n"/>
      <c r="T433" s="42" t="n"/>
      <c r="U433" s="42" t="n"/>
      <c r="V433" s="42" t="n"/>
      <c r="W433" s="42" t="n"/>
      <c r="X433" s="42" t="n"/>
      <c r="Y433" s="42" t="n"/>
      <c r="Z433" s="42" t="n"/>
      <c r="AA433" s="42" t="n"/>
      <c r="AB433" s="42" t="n"/>
      <c r="AC433" s="42" t="n"/>
      <c r="AD433" s="42" t="n"/>
      <c r="AE433" s="42" t="n"/>
      <c r="AF433" s="42" t="n"/>
      <c r="AG433" s="42" t="n"/>
      <c r="AH433" s="42" t="n"/>
      <c r="AI433" s="15">
        <f>IF(COUNTA(T433:AH433)=0,"",SUM(T433:AH433))</f>
        <v/>
      </c>
      <c r="AJ433" s="21">
        <f>IF(COUNTA(T433:AH433)=0,"",AI433/(COUNT(KPI_Weights!$A$4:$A$18)*5))</f>
        <v/>
      </c>
      <c r="AK433" s="21">
        <f>IF(COUNTA(T433:AH433)=0,"",SUMPRODUCT(T433:AH433,KPI_Weights!$B$4:$B$18)/5)</f>
        <v/>
      </c>
      <c r="AL433" s="15">
        <f>IF(COUNTA(T433:AH433)=0,"",IF(SUMPRODUCT(--(T433:AH433&lt;=1),--(KPI_Weights!$C$4:$C$18="YES"))&gt;0,"YES","NO"))</f>
        <v/>
      </c>
      <c r="AM433" s="15">
        <f>IF(AJ433="","",IF(AND(AL433="NO",AJ433&gt;=0.75),"YES","NO"))</f>
        <v/>
      </c>
      <c r="AN433" s="15">
        <f>IF(AJ433="","",IF(AJ433&lt;0.4,"Critical",IF(AJ433&lt;0.6,"Poor",IF(AJ433&lt;0.75,"Needs Improvement",IF(AJ433&lt;0.9,"Good","Excellent")))))</f>
        <v/>
      </c>
      <c r="AO433" s="41" t="n"/>
      <c r="AP433" s="41" t="n"/>
      <c r="AQ433" s="41" t="n"/>
      <c r="AR433" s="41" t="n"/>
      <c r="AS433" s="41" t="n"/>
      <c r="AT433" s="44" t="n"/>
      <c r="AU433" s="41" t="n"/>
      <c r="AV433" s="43" t="n"/>
      <c r="AW433" s="41" t="n"/>
      <c r="AX433" s="44" t="n"/>
      <c r="AY433" s="44" t="n"/>
      <c r="AZ433" s="44" t="n"/>
      <c r="BA433" s="44" t="n"/>
      <c r="BB433" s="44" t="n"/>
      <c r="BC433" s="44" t="n"/>
      <c r="BD433" s="44" t="n"/>
      <c r="BE433" s="44" t="n"/>
      <c r="BF433" s="44" t="n"/>
    </row>
    <row r="434" ht="19.5" customHeight="1" s="45">
      <c r="A434" s="15">
        <f>IF($B434="","",TEXT($B434,"yyyymmdd")&amp;"-"&amp;SUBSTITUTE($F434," ","")&amp;"-"&amp;TEXT(COUNTIF($F$4:F434,$F434),"00"))</f>
        <v/>
      </c>
      <c r="B434" s="39" t="n"/>
      <c r="C434" s="15">
        <f>IF($B434="","",WEEKNUM($B434,2))</f>
        <v/>
      </c>
      <c r="D434" s="15">
        <f>IF($B434="","",TEXT($B434,"yyyy-mm"))</f>
        <v/>
      </c>
      <c r="E434" s="40" t="n"/>
      <c r="F434" s="40" t="n"/>
      <c r="G434" s="15">
        <f>IF(OR($E434="",$F434=""),"",IFERROR(IF($E434=INDEX(Cluster_Master!$A$4:$A$18,MATCH($F434,Cluster_Master!$B$4:$B$18,0)),"OK","CHECK"),"CHECK"))</f>
        <v/>
      </c>
      <c r="H434" s="18">
        <f>IFERROR(INDEX(Cluster_Master!$C$4:$C$18,MATCH($F434,Cluster_Master!$B$4:$B$18,0)),"")</f>
        <v/>
      </c>
      <c r="I434" s="15">
        <f>IFERROR(INDEX(Cluster_Master!$D$4:$D$18,MATCH($F434,Cluster_Master!$B$4:$B$18,0)),"")</f>
        <v/>
      </c>
      <c r="J434" s="15">
        <f>IFERROR(INDEX(Cluster_Master!$E$4:$E$18,MATCH($F434,Cluster_Master!$B$4:$B$18,0)),"")</f>
        <v/>
      </c>
      <c r="K434" s="15">
        <f>IFERROR(INDEX(Cluster_Master!$F$4:$F$18,MATCH($F434,Cluster_Master!$B$4:$B$18,0)),"")</f>
        <v/>
      </c>
      <c r="L434" s="15">
        <f>IFERROR(INDEX(Cluster_Master!$G$4:$G$18,MATCH($F434,Cluster_Master!$B$4:$B$18,0)),"")</f>
        <v/>
      </c>
      <c r="M434" s="15">
        <f>IFERROR(INDEX(Cluster_Master!$H$4:$H$18,MATCH($F434,Cluster_Master!$B$4:$B$18,0)),"")</f>
        <v/>
      </c>
      <c r="N434" s="41" t="n"/>
      <c r="O434" s="41" t="n"/>
      <c r="P434" s="41" t="n"/>
      <c r="Q434" s="41" t="n"/>
      <c r="R434" s="41" t="n"/>
      <c r="S434" s="41" t="n"/>
      <c r="T434" s="42" t="n"/>
      <c r="U434" s="42" t="n"/>
      <c r="V434" s="42" t="n"/>
      <c r="W434" s="42" t="n"/>
      <c r="X434" s="42" t="n"/>
      <c r="Y434" s="42" t="n"/>
      <c r="Z434" s="42" t="n"/>
      <c r="AA434" s="42" t="n"/>
      <c r="AB434" s="42" t="n"/>
      <c r="AC434" s="42" t="n"/>
      <c r="AD434" s="42" t="n"/>
      <c r="AE434" s="42" t="n"/>
      <c r="AF434" s="42" t="n"/>
      <c r="AG434" s="42" t="n"/>
      <c r="AH434" s="42" t="n"/>
      <c r="AI434" s="15">
        <f>IF(COUNTA(T434:AH434)=0,"",SUM(T434:AH434))</f>
        <v/>
      </c>
      <c r="AJ434" s="21">
        <f>IF(COUNTA(T434:AH434)=0,"",AI434/(COUNT(KPI_Weights!$A$4:$A$18)*5))</f>
        <v/>
      </c>
      <c r="AK434" s="21">
        <f>IF(COUNTA(T434:AH434)=0,"",SUMPRODUCT(T434:AH434,KPI_Weights!$B$4:$B$18)/5)</f>
        <v/>
      </c>
      <c r="AL434" s="15">
        <f>IF(COUNTA(T434:AH434)=0,"",IF(SUMPRODUCT(--(T434:AH434&lt;=1),--(KPI_Weights!$C$4:$C$18="YES"))&gt;0,"YES","NO"))</f>
        <v/>
      </c>
      <c r="AM434" s="15">
        <f>IF(AJ434="","",IF(AND(AL434="NO",AJ434&gt;=0.75),"YES","NO"))</f>
        <v/>
      </c>
      <c r="AN434" s="15">
        <f>IF(AJ434="","",IF(AJ434&lt;0.4,"Critical",IF(AJ434&lt;0.6,"Poor",IF(AJ434&lt;0.75,"Needs Improvement",IF(AJ434&lt;0.9,"Good","Excellent")))))</f>
        <v/>
      </c>
      <c r="AO434" s="41" t="n"/>
      <c r="AP434" s="41" t="n"/>
      <c r="AQ434" s="41" t="n"/>
      <c r="AR434" s="41" t="n"/>
      <c r="AS434" s="41" t="n"/>
      <c r="AT434" s="44" t="n"/>
      <c r="AU434" s="41" t="n"/>
      <c r="AV434" s="43" t="n"/>
      <c r="AW434" s="41" t="n"/>
      <c r="AX434" s="44" t="n"/>
      <c r="AY434" s="44" t="n"/>
      <c r="AZ434" s="44" t="n"/>
      <c r="BA434" s="44" t="n"/>
      <c r="BB434" s="44" t="n"/>
      <c r="BC434" s="44" t="n"/>
      <c r="BD434" s="44" t="n"/>
      <c r="BE434" s="44" t="n"/>
      <c r="BF434" s="44" t="n"/>
    </row>
    <row r="435" ht="19.5" customHeight="1" s="45">
      <c r="A435" s="15">
        <f>IF($B435="","",TEXT($B435,"yyyymmdd")&amp;"-"&amp;SUBSTITUTE($F435," ","")&amp;"-"&amp;TEXT(COUNTIF($F$4:F435,$F435),"00"))</f>
        <v/>
      </c>
      <c r="B435" s="39" t="n"/>
      <c r="C435" s="15">
        <f>IF($B435="","",WEEKNUM($B435,2))</f>
        <v/>
      </c>
      <c r="D435" s="15">
        <f>IF($B435="","",TEXT($B435,"yyyy-mm"))</f>
        <v/>
      </c>
      <c r="E435" s="40" t="n"/>
      <c r="F435" s="40" t="n"/>
      <c r="G435" s="15">
        <f>IF(OR($E435="",$F435=""),"",IFERROR(IF($E435=INDEX(Cluster_Master!$A$4:$A$18,MATCH($F435,Cluster_Master!$B$4:$B$18,0)),"OK","CHECK"),"CHECK"))</f>
        <v/>
      </c>
      <c r="H435" s="18">
        <f>IFERROR(INDEX(Cluster_Master!$C$4:$C$18,MATCH($F435,Cluster_Master!$B$4:$B$18,0)),"")</f>
        <v/>
      </c>
      <c r="I435" s="15">
        <f>IFERROR(INDEX(Cluster_Master!$D$4:$D$18,MATCH($F435,Cluster_Master!$B$4:$B$18,0)),"")</f>
        <v/>
      </c>
      <c r="J435" s="15">
        <f>IFERROR(INDEX(Cluster_Master!$E$4:$E$18,MATCH($F435,Cluster_Master!$B$4:$B$18,0)),"")</f>
        <v/>
      </c>
      <c r="K435" s="15">
        <f>IFERROR(INDEX(Cluster_Master!$F$4:$F$18,MATCH($F435,Cluster_Master!$B$4:$B$18,0)),"")</f>
        <v/>
      </c>
      <c r="L435" s="15">
        <f>IFERROR(INDEX(Cluster_Master!$G$4:$G$18,MATCH($F435,Cluster_Master!$B$4:$B$18,0)),"")</f>
        <v/>
      </c>
      <c r="M435" s="15">
        <f>IFERROR(INDEX(Cluster_Master!$H$4:$H$18,MATCH($F435,Cluster_Master!$B$4:$B$18,0)),"")</f>
        <v/>
      </c>
      <c r="N435" s="41" t="n"/>
      <c r="O435" s="41" t="n"/>
      <c r="P435" s="41" t="n"/>
      <c r="Q435" s="41" t="n"/>
      <c r="R435" s="41" t="n"/>
      <c r="S435" s="41" t="n"/>
      <c r="T435" s="42" t="n"/>
      <c r="U435" s="42" t="n"/>
      <c r="V435" s="42" t="n"/>
      <c r="W435" s="42" t="n"/>
      <c r="X435" s="42" t="n"/>
      <c r="Y435" s="42" t="n"/>
      <c r="Z435" s="42" t="n"/>
      <c r="AA435" s="42" t="n"/>
      <c r="AB435" s="42" t="n"/>
      <c r="AC435" s="42" t="n"/>
      <c r="AD435" s="42" t="n"/>
      <c r="AE435" s="42" t="n"/>
      <c r="AF435" s="42" t="n"/>
      <c r="AG435" s="42" t="n"/>
      <c r="AH435" s="42" t="n"/>
      <c r="AI435" s="15">
        <f>IF(COUNTA(T435:AH435)=0,"",SUM(T435:AH435))</f>
        <v/>
      </c>
      <c r="AJ435" s="21">
        <f>IF(COUNTA(T435:AH435)=0,"",AI435/(COUNT(KPI_Weights!$A$4:$A$18)*5))</f>
        <v/>
      </c>
      <c r="AK435" s="21">
        <f>IF(COUNTA(T435:AH435)=0,"",SUMPRODUCT(T435:AH435,KPI_Weights!$B$4:$B$18)/5)</f>
        <v/>
      </c>
      <c r="AL435" s="15">
        <f>IF(COUNTA(T435:AH435)=0,"",IF(SUMPRODUCT(--(T435:AH435&lt;=1),--(KPI_Weights!$C$4:$C$18="YES"))&gt;0,"YES","NO"))</f>
        <v/>
      </c>
      <c r="AM435" s="15">
        <f>IF(AJ435="","",IF(AND(AL435="NO",AJ435&gt;=0.75),"YES","NO"))</f>
        <v/>
      </c>
      <c r="AN435" s="15">
        <f>IF(AJ435="","",IF(AJ435&lt;0.4,"Critical",IF(AJ435&lt;0.6,"Poor",IF(AJ435&lt;0.75,"Needs Improvement",IF(AJ435&lt;0.9,"Good","Excellent")))))</f>
        <v/>
      </c>
      <c r="AO435" s="41" t="n"/>
      <c r="AP435" s="41" t="n"/>
      <c r="AQ435" s="41" t="n"/>
      <c r="AR435" s="41" t="n"/>
      <c r="AS435" s="41" t="n"/>
      <c r="AT435" s="44" t="n"/>
      <c r="AU435" s="41" t="n"/>
      <c r="AV435" s="43" t="n"/>
      <c r="AW435" s="41" t="n"/>
      <c r="AX435" s="44" t="n"/>
      <c r="AY435" s="44" t="n"/>
      <c r="AZ435" s="44" t="n"/>
      <c r="BA435" s="44" t="n"/>
      <c r="BB435" s="44" t="n"/>
      <c r="BC435" s="44" t="n"/>
      <c r="BD435" s="44" t="n"/>
      <c r="BE435" s="44" t="n"/>
      <c r="BF435" s="44" t="n"/>
    </row>
    <row r="436" ht="19.5" customHeight="1" s="45">
      <c r="A436" s="15">
        <f>IF($B436="","",TEXT($B436,"yyyymmdd")&amp;"-"&amp;SUBSTITUTE($F436," ","")&amp;"-"&amp;TEXT(COUNTIF($F$4:F436,$F436),"00"))</f>
        <v/>
      </c>
      <c r="B436" s="39" t="n"/>
      <c r="C436" s="15">
        <f>IF($B436="","",WEEKNUM($B436,2))</f>
        <v/>
      </c>
      <c r="D436" s="15">
        <f>IF($B436="","",TEXT($B436,"yyyy-mm"))</f>
        <v/>
      </c>
      <c r="E436" s="40" t="n"/>
      <c r="F436" s="40" t="n"/>
      <c r="G436" s="15">
        <f>IF(OR($E436="",$F436=""),"",IFERROR(IF($E436=INDEX(Cluster_Master!$A$4:$A$18,MATCH($F436,Cluster_Master!$B$4:$B$18,0)),"OK","CHECK"),"CHECK"))</f>
        <v/>
      </c>
      <c r="H436" s="18">
        <f>IFERROR(INDEX(Cluster_Master!$C$4:$C$18,MATCH($F436,Cluster_Master!$B$4:$B$18,0)),"")</f>
        <v/>
      </c>
      <c r="I436" s="15">
        <f>IFERROR(INDEX(Cluster_Master!$D$4:$D$18,MATCH($F436,Cluster_Master!$B$4:$B$18,0)),"")</f>
        <v/>
      </c>
      <c r="J436" s="15">
        <f>IFERROR(INDEX(Cluster_Master!$E$4:$E$18,MATCH($F436,Cluster_Master!$B$4:$B$18,0)),"")</f>
        <v/>
      </c>
      <c r="K436" s="15">
        <f>IFERROR(INDEX(Cluster_Master!$F$4:$F$18,MATCH($F436,Cluster_Master!$B$4:$B$18,0)),"")</f>
        <v/>
      </c>
      <c r="L436" s="15">
        <f>IFERROR(INDEX(Cluster_Master!$G$4:$G$18,MATCH($F436,Cluster_Master!$B$4:$B$18,0)),"")</f>
        <v/>
      </c>
      <c r="M436" s="15">
        <f>IFERROR(INDEX(Cluster_Master!$H$4:$H$18,MATCH($F436,Cluster_Master!$B$4:$B$18,0)),"")</f>
        <v/>
      </c>
      <c r="N436" s="41" t="n"/>
      <c r="O436" s="41" t="n"/>
      <c r="P436" s="41" t="n"/>
      <c r="Q436" s="41" t="n"/>
      <c r="R436" s="41" t="n"/>
      <c r="S436" s="41" t="n"/>
      <c r="T436" s="42" t="n"/>
      <c r="U436" s="42" t="n"/>
      <c r="V436" s="42" t="n"/>
      <c r="W436" s="42" t="n"/>
      <c r="X436" s="42" t="n"/>
      <c r="Y436" s="42" t="n"/>
      <c r="Z436" s="42" t="n"/>
      <c r="AA436" s="42" t="n"/>
      <c r="AB436" s="42" t="n"/>
      <c r="AC436" s="42" t="n"/>
      <c r="AD436" s="42" t="n"/>
      <c r="AE436" s="42" t="n"/>
      <c r="AF436" s="42" t="n"/>
      <c r="AG436" s="42" t="n"/>
      <c r="AH436" s="42" t="n"/>
      <c r="AI436" s="15">
        <f>IF(COUNTA(T436:AH436)=0,"",SUM(T436:AH436))</f>
        <v/>
      </c>
      <c r="AJ436" s="21">
        <f>IF(COUNTA(T436:AH436)=0,"",AI436/(COUNT(KPI_Weights!$A$4:$A$18)*5))</f>
        <v/>
      </c>
      <c r="AK436" s="21">
        <f>IF(COUNTA(T436:AH436)=0,"",SUMPRODUCT(T436:AH436,KPI_Weights!$B$4:$B$18)/5)</f>
        <v/>
      </c>
      <c r="AL436" s="15">
        <f>IF(COUNTA(T436:AH436)=0,"",IF(SUMPRODUCT(--(T436:AH436&lt;=1),--(KPI_Weights!$C$4:$C$18="YES"))&gt;0,"YES","NO"))</f>
        <v/>
      </c>
      <c r="AM436" s="15">
        <f>IF(AJ436="","",IF(AND(AL436="NO",AJ436&gt;=0.75),"YES","NO"))</f>
        <v/>
      </c>
      <c r="AN436" s="15">
        <f>IF(AJ436="","",IF(AJ436&lt;0.4,"Critical",IF(AJ436&lt;0.6,"Poor",IF(AJ436&lt;0.75,"Needs Improvement",IF(AJ436&lt;0.9,"Good","Excellent")))))</f>
        <v/>
      </c>
      <c r="AO436" s="41" t="n"/>
      <c r="AP436" s="41" t="n"/>
      <c r="AQ436" s="41" t="n"/>
      <c r="AR436" s="41" t="n"/>
      <c r="AS436" s="41" t="n"/>
      <c r="AT436" s="44" t="n"/>
      <c r="AU436" s="41" t="n"/>
      <c r="AV436" s="43" t="n"/>
      <c r="AW436" s="41" t="n"/>
      <c r="AX436" s="44" t="n"/>
      <c r="AY436" s="44" t="n"/>
      <c r="AZ436" s="44" t="n"/>
      <c r="BA436" s="44" t="n"/>
      <c r="BB436" s="44" t="n"/>
      <c r="BC436" s="44" t="n"/>
      <c r="BD436" s="44" t="n"/>
      <c r="BE436" s="44" t="n"/>
      <c r="BF436" s="44" t="n"/>
    </row>
    <row r="437" ht="19.5" customHeight="1" s="45">
      <c r="A437" s="15">
        <f>IF($B437="","",TEXT($B437,"yyyymmdd")&amp;"-"&amp;SUBSTITUTE($F437," ","")&amp;"-"&amp;TEXT(COUNTIF($F$4:F437,$F437),"00"))</f>
        <v/>
      </c>
      <c r="B437" s="39" t="n"/>
      <c r="C437" s="15">
        <f>IF($B437="","",WEEKNUM($B437,2))</f>
        <v/>
      </c>
      <c r="D437" s="15">
        <f>IF($B437="","",TEXT($B437,"yyyy-mm"))</f>
        <v/>
      </c>
      <c r="E437" s="40" t="n"/>
      <c r="F437" s="40" t="n"/>
      <c r="G437" s="15">
        <f>IF(OR($E437="",$F437=""),"",IFERROR(IF($E437=INDEX(Cluster_Master!$A$4:$A$18,MATCH($F437,Cluster_Master!$B$4:$B$18,0)),"OK","CHECK"),"CHECK"))</f>
        <v/>
      </c>
      <c r="H437" s="18">
        <f>IFERROR(INDEX(Cluster_Master!$C$4:$C$18,MATCH($F437,Cluster_Master!$B$4:$B$18,0)),"")</f>
        <v/>
      </c>
      <c r="I437" s="15">
        <f>IFERROR(INDEX(Cluster_Master!$D$4:$D$18,MATCH($F437,Cluster_Master!$B$4:$B$18,0)),"")</f>
        <v/>
      </c>
      <c r="J437" s="15">
        <f>IFERROR(INDEX(Cluster_Master!$E$4:$E$18,MATCH($F437,Cluster_Master!$B$4:$B$18,0)),"")</f>
        <v/>
      </c>
      <c r="K437" s="15">
        <f>IFERROR(INDEX(Cluster_Master!$F$4:$F$18,MATCH($F437,Cluster_Master!$B$4:$B$18,0)),"")</f>
        <v/>
      </c>
      <c r="L437" s="15">
        <f>IFERROR(INDEX(Cluster_Master!$G$4:$G$18,MATCH($F437,Cluster_Master!$B$4:$B$18,0)),"")</f>
        <v/>
      </c>
      <c r="M437" s="15">
        <f>IFERROR(INDEX(Cluster_Master!$H$4:$H$18,MATCH($F437,Cluster_Master!$B$4:$B$18,0)),"")</f>
        <v/>
      </c>
      <c r="N437" s="41" t="n"/>
      <c r="O437" s="41" t="n"/>
      <c r="P437" s="41" t="n"/>
      <c r="Q437" s="41" t="n"/>
      <c r="R437" s="41" t="n"/>
      <c r="S437" s="41" t="n"/>
      <c r="T437" s="42" t="n"/>
      <c r="U437" s="42" t="n"/>
      <c r="V437" s="42" t="n"/>
      <c r="W437" s="42" t="n"/>
      <c r="X437" s="42" t="n"/>
      <c r="Y437" s="42" t="n"/>
      <c r="Z437" s="42" t="n"/>
      <c r="AA437" s="42" t="n"/>
      <c r="AB437" s="42" t="n"/>
      <c r="AC437" s="42" t="n"/>
      <c r="AD437" s="42" t="n"/>
      <c r="AE437" s="42" t="n"/>
      <c r="AF437" s="42" t="n"/>
      <c r="AG437" s="42" t="n"/>
      <c r="AH437" s="42" t="n"/>
      <c r="AI437" s="15">
        <f>IF(COUNTA(T437:AH437)=0,"",SUM(T437:AH437))</f>
        <v/>
      </c>
      <c r="AJ437" s="21">
        <f>IF(COUNTA(T437:AH437)=0,"",AI437/(COUNT(KPI_Weights!$A$4:$A$18)*5))</f>
        <v/>
      </c>
      <c r="AK437" s="21">
        <f>IF(COUNTA(T437:AH437)=0,"",SUMPRODUCT(T437:AH437,KPI_Weights!$B$4:$B$18)/5)</f>
        <v/>
      </c>
      <c r="AL437" s="15">
        <f>IF(COUNTA(T437:AH437)=0,"",IF(SUMPRODUCT(--(T437:AH437&lt;=1),--(KPI_Weights!$C$4:$C$18="YES"))&gt;0,"YES","NO"))</f>
        <v/>
      </c>
      <c r="AM437" s="15">
        <f>IF(AJ437="","",IF(AND(AL437="NO",AJ437&gt;=0.75),"YES","NO"))</f>
        <v/>
      </c>
      <c r="AN437" s="15">
        <f>IF(AJ437="","",IF(AJ437&lt;0.4,"Critical",IF(AJ437&lt;0.6,"Poor",IF(AJ437&lt;0.75,"Needs Improvement",IF(AJ437&lt;0.9,"Good","Excellent")))))</f>
        <v/>
      </c>
      <c r="AO437" s="41" t="n"/>
      <c r="AP437" s="41" t="n"/>
      <c r="AQ437" s="41" t="n"/>
      <c r="AR437" s="41" t="n"/>
      <c r="AS437" s="41" t="n"/>
      <c r="AT437" s="44" t="n"/>
      <c r="AU437" s="41" t="n"/>
      <c r="AV437" s="43" t="n"/>
      <c r="AW437" s="41" t="n"/>
      <c r="AX437" s="44" t="n"/>
      <c r="AY437" s="44" t="n"/>
      <c r="AZ437" s="44" t="n"/>
      <c r="BA437" s="44" t="n"/>
      <c r="BB437" s="44" t="n"/>
      <c r="BC437" s="44" t="n"/>
      <c r="BD437" s="44" t="n"/>
      <c r="BE437" s="44" t="n"/>
      <c r="BF437" s="44" t="n"/>
    </row>
    <row r="438" ht="19.5" customHeight="1" s="45">
      <c r="A438" s="15">
        <f>IF($B438="","",TEXT($B438,"yyyymmdd")&amp;"-"&amp;SUBSTITUTE($F438," ","")&amp;"-"&amp;TEXT(COUNTIF($F$4:F438,$F438),"00"))</f>
        <v/>
      </c>
      <c r="B438" s="39" t="n"/>
      <c r="C438" s="15">
        <f>IF($B438="","",WEEKNUM($B438,2))</f>
        <v/>
      </c>
      <c r="D438" s="15">
        <f>IF($B438="","",TEXT($B438,"yyyy-mm"))</f>
        <v/>
      </c>
      <c r="E438" s="40" t="n"/>
      <c r="F438" s="40" t="n"/>
      <c r="G438" s="15">
        <f>IF(OR($E438="",$F438=""),"",IFERROR(IF($E438=INDEX(Cluster_Master!$A$4:$A$18,MATCH($F438,Cluster_Master!$B$4:$B$18,0)),"OK","CHECK"),"CHECK"))</f>
        <v/>
      </c>
      <c r="H438" s="18">
        <f>IFERROR(INDEX(Cluster_Master!$C$4:$C$18,MATCH($F438,Cluster_Master!$B$4:$B$18,0)),"")</f>
        <v/>
      </c>
      <c r="I438" s="15">
        <f>IFERROR(INDEX(Cluster_Master!$D$4:$D$18,MATCH($F438,Cluster_Master!$B$4:$B$18,0)),"")</f>
        <v/>
      </c>
      <c r="J438" s="15">
        <f>IFERROR(INDEX(Cluster_Master!$E$4:$E$18,MATCH($F438,Cluster_Master!$B$4:$B$18,0)),"")</f>
        <v/>
      </c>
      <c r="K438" s="15">
        <f>IFERROR(INDEX(Cluster_Master!$F$4:$F$18,MATCH($F438,Cluster_Master!$B$4:$B$18,0)),"")</f>
        <v/>
      </c>
      <c r="L438" s="15">
        <f>IFERROR(INDEX(Cluster_Master!$G$4:$G$18,MATCH($F438,Cluster_Master!$B$4:$B$18,0)),"")</f>
        <v/>
      </c>
      <c r="M438" s="15">
        <f>IFERROR(INDEX(Cluster_Master!$H$4:$H$18,MATCH($F438,Cluster_Master!$B$4:$B$18,0)),"")</f>
        <v/>
      </c>
      <c r="N438" s="41" t="n"/>
      <c r="O438" s="41" t="n"/>
      <c r="P438" s="41" t="n"/>
      <c r="Q438" s="41" t="n"/>
      <c r="R438" s="41" t="n"/>
      <c r="S438" s="41" t="n"/>
      <c r="T438" s="42" t="n"/>
      <c r="U438" s="42" t="n"/>
      <c r="V438" s="42" t="n"/>
      <c r="W438" s="42" t="n"/>
      <c r="X438" s="42" t="n"/>
      <c r="Y438" s="42" t="n"/>
      <c r="Z438" s="42" t="n"/>
      <c r="AA438" s="42" t="n"/>
      <c r="AB438" s="42" t="n"/>
      <c r="AC438" s="42" t="n"/>
      <c r="AD438" s="42" t="n"/>
      <c r="AE438" s="42" t="n"/>
      <c r="AF438" s="42" t="n"/>
      <c r="AG438" s="42" t="n"/>
      <c r="AH438" s="42" t="n"/>
      <c r="AI438" s="15">
        <f>IF(COUNTA(T438:AH438)=0,"",SUM(T438:AH438))</f>
        <v/>
      </c>
      <c r="AJ438" s="21">
        <f>IF(COUNTA(T438:AH438)=0,"",AI438/(COUNT(KPI_Weights!$A$4:$A$18)*5))</f>
        <v/>
      </c>
      <c r="AK438" s="21">
        <f>IF(COUNTA(T438:AH438)=0,"",SUMPRODUCT(T438:AH438,KPI_Weights!$B$4:$B$18)/5)</f>
        <v/>
      </c>
      <c r="AL438" s="15">
        <f>IF(COUNTA(T438:AH438)=0,"",IF(SUMPRODUCT(--(T438:AH438&lt;=1),--(KPI_Weights!$C$4:$C$18="YES"))&gt;0,"YES","NO"))</f>
        <v/>
      </c>
      <c r="AM438" s="15">
        <f>IF(AJ438="","",IF(AND(AL438="NO",AJ438&gt;=0.75),"YES","NO"))</f>
        <v/>
      </c>
      <c r="AN438" s="15">
        <f>IF(AJ438="","",IF(AJ438&lt;0.4,"Critical",IF(AJ438&lt;0.6,"Poor",IF(AJ438&lt;0.75,"Needs Improvement",IF(AJ438&lt;0.9,"Good","Excellent")))))</f>
        <v/>
      </c>
      <c r="AO438" s="41" t="n"/>
      <c r="AP438" s="41" t="n"/>
      <c r="AQ438" s="41" t="n"/>
      <c r="AR438" s="41" t="n"/>
      <c r="AS438" s="41" t="n"/>
      <c r="AT438" s="44" t="n"/>
      <c r="AU438" s="41" t="n"/>
      <c r="AV438" s="43" t="n"/>
      <c r="AW438" s="41" t="n"/>
      <c r="AX438" s="44" t="n"/>
      <c r="AY438" s="44" t="n"/>
      <c r="AZ438" s="44" t="n"/>
      <c r="BA438" s="44" t="n"/>
      <c r="BB438" s="44" t="n"/>
      <c r="BC438" s="44" t="n"/>
      <c r="BD438" s="44" t="n"/>
      <c r="BE438" s="44" t="n"/>
      <c r="BF438" s="44" t="n"/>
    </row>
    <row r="439" ht="19.5" customHeight="1" s="45">
      <c r="A439" s="15">
        <f>IF($B439="","",TEXT($B439,"yyyymmdd")&amp;"-"&amp;SUBSTITUTE($F439," ","")&amp;"-"&amp;TEXT(COUNTIF($F$4:F439,$F439),"00"))</f>
        <v/>
      </c>
      <c r="B439" s="39" t="n"/>
      <c r="C439" s="15">
        <f>IF($B439="","",WEEKNUM($B439,2))</f>
        <v/>
      </c>
      <c r="D439" s="15">
        <f>IF($B439="","",TEXT($B439,"yyyy-mm"))</f>
        <v/>
      </c>
      <c r="E439" s="40" t="n"/>
      <c r="F439" s="40" t="n"/>
      <c r="G439" s="15">
        <f>IF(OR($E439="",$F439=""),"",IFERROR(IF($E439=INDEX(Cluster_Master!$A$4:$A$18,MATCH($F439,Cluster_Master!$B$4:$B$18,0)),"OK","CHECK"),"CHECK"))</f>
        <v/>
      </c>
      <c r="H439" s="18">
        <f>IFERROR(INDEX(Cluster_Master!$C$4:$C$18,MATCH($F439,Cluster_Master!$B$4:$B$18,0)),"")</f>
        <v/>
      </c>
      <c r="I439" s="15">
        <f>IFERROR(INDEX(Cluster_Master!$D$4:$D$18,MATCH($F439,Cluster_Master!$B$4:$B$18,0)),"")</f>
        <v/>
      </c>
      <c r="J439" s="15">
        <f>IFERROR(INDEX(Cluster_Master!$E$4:$E$18,MATCH($F439,Cluster_Master!$B$4:$B$18,0)),"")</f>
        <v/>
      </c>
      <c r="K439" s="15">
        <f>IFERROR(INDEX(Cluster_Master!$F$4:$F$18,MATCH($F439,Cluster_Master!$B$4:$B$18,0)),"")</f>
        <v/>
      </c>
      <c r="L439" s="15">
        <f>IFERROR(INDEX(Cluster_Master!$G$4:$G$18,MATCH($F439,Cluster_Master!$B$4:$B$18,0)),"")</f>
        <v/>
      </c>
      <c r="M439" s="15">
        <f>IFERROR(INDEX(Cluster_Master!$H$4:$H$18,MATCH($F439,Cluster_Master!$B$4:$B$18,0)),"")</f>
        <v/>
      </c>
      <c r="N439" s="41" t="n"/>
      <c r="O439" s="41" t="n"/>
      <c r="P439" s="41" t="n"/>
      <c r="Q439" s="41" t="n"/>
      <c r="R439" s="41" t="n"/>
      <c r="S439" s="41" t="n"/>
      <c r="T439" s="42" t="n"/>
      <c r="U439" s="42" t="n"/>
      <c r="V439" s="42" t="n"/>
      <c r="W439" s="42" t="n"/>
      <c r="X439" s="42" t="n"/>
      <c r="Y439" s="42" t="n"/>
      <c r="Z439" s="42" t="n"/>
      <c r="AA439" s="42" t="n"/>
      <c r="AB439" s="42" t="n"/>
      <c r="AC439" s="42" t="n"/>
      <c r="AD439" s="42" t="n"/>
      <c r="AE439" s="42" t="n"/>
      <c r="AF439" s="42" t="n"/>
      <c r="AG439" s="42" t="n"/>
      <c r="AH439" s="42" t="n"/>
      <c r="AI439" s="15">
        <f>IF(COUNTA(T439:AH439)=0,"",SUM(T439:AH439))</f>
        <v/>
      </c>
      <c r="AJ439" s="21">
        <f>IF(COUNTA(T439:AH439)=0,"",AI439/(COUNT(KPI_Weights!$A$4:$A$18)*5))</f>
        <v/>
      </c>
      <c r="AK439" s="21">
        <f>IF(COUNTA(T439:AH439)=0,"",SUMPRODUCT(T439:AH439,KPI_Weights!$B$4:$B$18)/5)</f>
        <v/>
      </c>
      <c r="AL439" s="15">
        <f>IF(COUNTA(T439:AH439)=0,"",IF(SUMPRODUCT(--(T439:AH439&lt;=1),--(KPI_Weights!$C$4:$C$18="YES"))&gt;0,"YES","NO"))</f>
        <v/>
      </c>
      <c r="AM439" s="15">
        <f>IF(AJ439="","",IF(AND(AL439="NO",AJ439&gt;=0.75),"YES","NO"))</f>
        <v/>
      </c>
      <c r="AN439" s="15">
        <f>IF(AJ439="","",IF(AJ439&lt;0.4,"Critical",IF(AJ439&lt;0.6,"Poor",IF(AJ439&lt;0.75,"Needs Improvement",IF(AJ439&lt;0.9,"Good","Excellent")))))</f>
        <v/>
      </c>
      <c r="AO439" s="41" t="n"/>
      <c r="AP439" s="41" t="n"/>
      <c r="AQ439" s="41" t="n"/>
      <c r="AR439" s="41" t="n"/>
      <c r="AS439" s="41" t="n"/>
      <c r="AT439" s="44" t="n"/>
      <c r="AU439" s="41" t="n"/>
      <c r="AV439" s="43" t="n"/>
      <c r="AW439" s="41" t="n"/>
      <c r="AX439" s="44" t="n"/>
      <c r="AY439" s="44" t="n"/>
      <c r="AZ439" s="44" t="n"/>
      <c r="BA439" s="44" t="n"/>
      <c r="BB439" s="44" t="n"/>
      <c r="BC439" s="44" t="n"/>
      <c r="BD439" s="44" t="n"/>
      <c r="BE439" s="44" t="n"/>
      <c r="BF439" s="44" t="n"/>
    </row>
    <row r="440" ht="19.5" customHeight="1" s="45">
      <c r="A440" s="15">
        <f>IF($B440="","",TEXT($B440,"yyyymmdd")&amp;"-"&amp;SUBSTITUTE($F440," ","")&amp;"-"&amp;TEXT(COUNTIF($F$4:F440,$F440),"00"))</f>
        <v/>
      </c>
      <c r="B440" s="39" t="n"/>
      <c r="C440" s="15">
        <f>IF($B440="","",WEEKNUM($B440,2))</f>
        <v/>
      </c>
      <c r="D440" s="15">
        <f>IF($B440="","",TEXT($B440,"yyyy-mm"))</f>
        <v/>
      </c>
      <c r="E440" s="40" t="n"/>
      <c r="F440" s="40" t="n"/>
      <c r="G440" s="15">
        <f>IF(OR($E440="",$F440=""),"",IFERROR(IF($E440=INDEX(Cluster_Master!$A$4:$A$18,MATCH($F440,Cluster_Master!$B$4:$B$18,0)),"OK","CHECK"),"CHECK"))</f>
        <v/>
      </c>
      <c r="H440" s="18">
        <f>IFERROR(INDEX(Cluster_Master!$C$4:$C$18,MATCH($F440,Cluster_Master!$B$4:$B$18,0)),"")</f>
        <v/>
      </c>
      <c r="I440" s="15">
        <f>IFERROR(INDEX(Cluster_Master!$D$4:$D$18,MATCH($F440,Cluster_Master!$B$4:$B$18,0)),"")</f>
        <v/>
      </c>
      <c r="J440" s="15">
        <f>IFERROR(INDEX(Cluster_Master!$E$4:$E$18,MATCH($F440,Cluster_Master!$B$4:$B$18,0)),"")</f>
        <v/>
      </c>
      <c r="K440" s="15">
        <f>IFERROR(INDEX(Cluster_Master!$F$4:$F$18,MATCH($F440,Cluster_Master!$B$4:$B$18,0)),"")</f>
        <v/>
      </c>
      <c r="L440" s="15">
        <f>IFERROR(INDEX(Cluster_Master!$G$4:$G$18,MATCH($F440,Cluster_Master!$B$4:$B$18,0)),"")</f>
        <v/>
      </c>
      <c r="M440" s="15">
        <f>IFERROR(INDEX(Cluster_Master!$H$4:$H$18,MATCH($F440,Cluster_Master!$B$4:$B$18,0)),"")</f>
        <v/>
      </c>
      <c r="N440" s="41" t="n"/>
      <c r="O440" s="41" t="n"/>
      <c r="P440" s="41" t="n"/>
      <c r="Q440" s="41" t="n"/>
      <c r="R440" s="41" t="n"/>
      <c r="S440" s="41" t="n"/>
      <c r="T440" s="42" t="n"/>
      <c r="U440" s="42" t="n"/>
      <c r="V440" s="42" t="n"/>
      <c r="W440" s="42" t="n"/>
      <c r="X440" s="42" t="n"/>
      <c r="Y440" s="42" t="n"/>
      <c r="Z440" s="42" t="n"/>
      <c r="AA440" s="42" t="n"/>
      <c r="AB440" s="42" t="n"/>
      <c r="AC440" s="42" t="n"/>
      <c r="AD440" s="42" t="n"/>
      <c r="AE440" s="42" t="n"/>
      <c r="AF440" s="42" t="n"/>
      <c r="AG440" s="42" t="n"/>
      <c r="AH440" s="42" t="n"/>
      <c r="AI440" s="15">
        <f>IF(COUNTA(T440:AH440)=0,"",SUM(T440:AH440))</f>
        <v/>
      </c>
      <c r="AJ440" s="21">
        <f>IF(COUNTA(T440:AH440)=0,"",AI440/(COUNT(KPI_Weights!$A$4:$A$18)*5))</f>
        <v/>
      </c>
      <c r="AK440" s="21">
        <f>IF(COUNTA(T440:AH440)=0,"",SUMPRODUCT(T440:AH440,KPI_Weights!$B$4:$B$18)/5)</f>
        <v/>
      </c>
      <c r="AL440" s="15">
        <f>IF(COUNTA(T440:AH440)=0,"",IF(SUMPRODUCT(--(T440:AH440&lt;=1),--(KPI_Weights!$C$4:$C$18="YES"))&gt;0,"YES","NO"))</f>
        <v/>
      </c>
      <c r="AM440" s="15">
        <f>IF(AJ440="","",IF(AND(AL440="NO",AJ440&gt;=0.75),"YES","NO"))</f>
        <v/>
      </c>
      <c r="AN440" s="15">
        <f>IF(AJ440="","",IF(AJ440&lt;0.4,"Critical",IF(AJ440&lt;0.6,"Poor",IF(AJ440&lt;0.75,"Needs Improvement",IF(AJ440&lt;0.9,"Good","Excellent")))))</f>
        <v/>
      </c>
      <c r="AO440" s="41" t="n"/>
      <c r="AP440" s="41" t="n"/>
      <c r="AQ440" s="41" t="n"/>
      <c r="AR440" s="41" t="n"/>
      <c r="AS440" s="41" t="n"/>
      <c r="AT440" s="44" t="n"/>
      <c r="AU440" s="41" t="n"/>
      <c r="AV440" s="43" t="n"/>
      <c r="AW440" s="41" t="n"/>
      <c r="AX440" s="44" t="n"/>
      <c r="AY440" s="44" t="n"/>
      <c r="AZ440" s="44" t="n"/>
      <c r="BA440" s="44" t="n"/>
      <c r="BB440" s="44" t="n"/>
      <c r="BC440" s="44" t="n"/>
      <c r="BD440" s="44" t="n"/>
      <c r="BE440" s="44" t="n"/>
      <c r="BF440" s="44" t="n"/>
    </row>
    <row r="441" ht="19.5" customHeight="1" s="45">
      <c r="A441" s="15">
        <f>IF($B441="","",TEXT($B441,"yyyymmdd")&amp;"-"&amp;SUBSTITUTE($F441," ","")&amp;"-"&amp;TEXT(COUNTIF($F$4:F441,$F441),"00"))</f>
        <v/>
      </c>
      <c r="B441" s="39" t="n"/>
      <c r="C441" s="15">
        <f>IF($B441="","",WEEKNUM($B441,2))</f>
        <v/>
      </c>
      <c r="D441" s="15">
        <f>IF($B441="","",TEXT($B441,"yyyy-mm"))</f>
        <v/>
      </c>
      <c r="E441" s="40" t="n"/>
      <c r="F441" s="40" t="n"/>
      <c r="G441" s="15">
        <f>IF(OR($E441="",$F441=""),"",IFERROR(IF($E441=INDEX(Cluster_Master!$A$4:$A$18,MATCH($F441,Cluster_Master!$B$4:$B$18,0)),"OK","CHECK"),"CHECK"))</f>
        <v/>
      </c>
      <c r="H441" s="18">
        <f>IFERROR(INDEX(Cluster_Master!$C$4:$C$18,MATCH($F441,Cluster_Master!$B$4:$B$18,0)),"")</f>
        <v/>
      </c>
      <c r="I441" s="15">
        <f>IFERROR(INDEX(Cluster_Master!$D$4:$D$18,MATCH($F441,Cluster_Master!$B$4:$B$18,0)),"")</f>
        <v/>
      </c>
      <c r="J441" s="15">
        <f>IFERROR(INDEX(Cluster_Master!$E$4:$E$18,MATCH($F441,Cluster_Master!$B$4:$B$18,0)),"")</f>
        <v/>
      </c>
      <c r="K441" s="15">
        <f>IFERROR(INDEX(Cluster_Master!$F$4:$F$18,MATCH($F441,Cluster_Master!$B$4:$B$18,0)),"")</f>
        <v/>
      </c>
      <c r="L441" s="15">
        <f>IFERROR(INDEX(Cluster_Master!$G$4:$G$18,MATCH($F441,Cluster_Master!$B$4:$B$18,0)),"")</f>
        <v/>
      </c>
      <c r="M441" s="15">
        <f>IFERROR(INDEX(Cluster_Master!$H$4:$H$18,MATCH($F441,Cluster_Master!$B$4:$B$18,0)),"")</f>
        <v/>
      </c>
      <c r="N441" s="41" t="n"/>
      <c r="O441" s="41" t="n"/>
      <c r="P441" s="41" t="n"/>
      <c r="Q441" s="41" t="n"/>
      <c r="R441" s="41" t="n"/>
      <c r="S441" s="41" t="n"/>
      <c r="T441" s="42" t="n"/>
      <c r="U441" s="42" t="n"/>
      <c r="V441" s="42" t="n"/>
      <c r="W441" s="42" t="n"/>
      <c r="X441" s="42" t="n"/>
      <c r="Y441" s="42" t="n"/>
      <c r="Z441" s="42" t="n"/>
      <c r="AA441" s="42" t="n"/>
      <c r="AB441" s="42" t="n"/>
      <c r="AC441" s="42" t="n"/>
      <c r="AD441" s="42" t="n"/>
      <c r="AE441" s="42" t="n"/>
      <c r="AF441" s="42" t="n"/>
      <c r="AG441" s="42" t="n"/>
      <c r="AH441" s="42" t="n"/>
      <c r="AI441" s="15">
        <f>IF(COUNTA(T441:AH441)=0,"",SUM(T441:AH441))</f>
        <v/>
      </c>
      <c r="AJ441" s="21">
        <f>IF(COUNTA(T441:AH441)=0,"",AI441/(COUNT(KPI_Weights!$A$4:$A$18)*5))</f>
        <v/>
      </c>
      <c r="AK441" s="21">
        <f>IF(COUNTA(T441:AH441)=0,"",SUMPRODUCT(T441:AH441,KPI_Weights!$B$4:$B$18)/5)</f>
        <v/>
      </c>
      <c r="AL441" s="15">
        <f>IF(COUNTA(T441:AH441)=0,"",IF(SUMPRODUCT(--(T441:AH441&lt;=1),--(KPI_Weights!$C$4:$C$18="YES"))&gt;0,"YES","NO"))</f>
        <v/>
      </c>
      <c r="AM441" s="15">
        <f>IF(AJ441="","",IF(AND(AL441="NO",AJ441&gt;=0.75),"YES","NO"))</f>
        <v/>
      </c>
      <c r="AN441" s="15">
        <f>IF(AJ441="","",IF(AJ441&lt;0.4,"Critical",IF(AJ441&lt;0.6,"Poor",IF(AJ441&lt;0.75,"Needs Improvement",IF(AJ441&lt;0.9,"Good","Excellent")))))</f>
        <v/>
      </c>
      <c r="AO441" s="41" t="n"/>
      <c r="AP441" s="41" t="n"/>
      <c r="AQ441" s="41" t="n"/>
      <c r="AR441" s="41" t="n"/>
      <c r="AS441" s="41" t="n"/>
      <c r="AT441" s="44" t="n"/>
      <c r="AU441" s="41" t="n"/>
      <c r="AV441" s="43" t="n"/>
      <c r="AW441" s="41" t="n"/>
      <c r="AX441" s="44" t="n"/>
      <c r="AY441" s="44" t="n"/>
      <c r="AZ441" s="44" t="n"/>
      <c r="BA441" s="44" t="n"/>
      <c r="BB441" s="44" t="n"/>
      <c r="BC441" s="44" t="n"/>
      <c r="BD441" s="44" t="n"/>
      <c r="BE441" s="44" t="n"/>
      <c r="BF441" s="44" t="n"/>
    </row>
    <row r="442" ht="19.5" customHeight="1" s="45">
      <c r="A442" s="15">
        <f>IF($B442="","",TEXT($B442,"yyyymmdd")&amp;"-"&amp;SUBSTITUTE($F442," ","")&amp;"-"&amp;TEXT(COUNTIF($F$4:F442,$F442),"00"))</f>
        <v/>
      </c>
      <c r="B442" s="39" t="n"/>
      <c r="C442" s="15">
        <f>IF($B442="","",WEEKNUM($B442,2))</f>
        <v/>
      </c>
      <c r="D442" s="15">
        <f>IF($B442="","",TEXT($B442,"yyyy-mm"))</f>
        <v/>
      </c>
      <c r="E442" s="40" t="n"/>
      <c r="F442" s="40" t="n"/>
      <c r="G442" s="15">
        <f>IF(OR($E442="",$F442=""),"",IFERROR(IF($E442=INDEX(Cluster_Master!$A$4:$A$18,MATCH($F442,Cluster_Master!$B$4:$B$18,0)),"OK","CHECK"),"CHECK"))</f>
        <v/>
      </c>
      <c r="H442" s="18">
        <f>IFERROR(INDEX(Cluster_Master!$C$4:$C$18,MATCH($F442,Cluster_Master!$B$4:$B$18,0)),"")</f>
        <v/>
      </c>
      <c r="I442" s="15">
        <f>IFERROR(INDEX(Cluster_Master!$D$4:$D$18,MATCH($F442,Cluster_Master!$B$4:$B$18,0)),"")</f>
        <v/>
      </c>
      <c r="J442" s="15">
        <f>IFERROR(INDEX(Cluster_Master!$E$4:$E$18,MATCH($F442,Cluster_Master!$B$4:$B$18,0)),"")</f>
        <v/>
      </c>
      <c r="K442" s="15">
        <f>IFERROR(INDEX(Cluster_Master!$F$4:$F$18,MATCH($F442,Cluster_Master!$B$4:$B$18,0)),"")</f>
        <v/>
      </c>
      <c r="L442" s="15">
        <f>IFERROR(INDEX(Cluster_Master!$G$4:$G$18,MATCH($F442,Cluster_Master!$B$4:$B$18,0)),"")</f>
        <v/>
      </c>
      <c r="M442" s="15">
        <f>IFERROR(INDEX(Cluster_Master!$H$4:$H$18,MATCH($F442,Cluster_Master!$B$4:$B$18,0)),"")</f>
        <v/>
      </c>
      <c r="N442" s="41" t="n"/>
      <c r="O442" s="41" t="n"/>
      <c r="P442" s="41" t="n"/>
      <c r="Q442" s="41" t="n"/>
      <c r="R442" s="41" t="n"/>
      <c r="S442" s="41" t="n"/>
      <c r="T442" s="42" t="n"/>
      <c r="U442" s="42" t="n"/>
      <c r="V442" s="42" t="n"/>
      <c r="W442" s="42" t="n"/>
      <c r="X442" s="42" t="n"/>
      <c r="Y442" s="42" t="n"/>
      <c r="Z442" s="42" t="n"/>
      <c r="AA442" s="42" t="n"/>
      <c r="AB442" s="42" t="n"/>
      <c r="AC442" s="42" t="n"/>
      <c r="AD442" s="42" t="n"/>
      <c r="AE442" s="42" t="n"/>
      <c r="AF442" s="42" t="n"/>
      <c r="AG442" s="42" t="n"/>
      <c r="AH442" s="42" t="n"/>
      <c r="AI442" s="15">
        <f>IF(COUNTA(T442:AH442)=0,"",SUM(T442:AH442))</f>
        <v/>
      </c>
      <c r="AJ442" s="21">
        <f>IF(COUNTA(T442:AH442)=0,"",AI442/(COUNT(KPI_Weights!$A$4:$A$18)*5))</f>
        <v/>
      </c>
      <c r="AK442" s="21">
        <f>IF(COUNTA(T442:AH442)=0,"",SUMPRODUCT(T442:AH442,KPI_Weights!$B$4:$B$18)/5)</f>
        <v/>
      </c>
      <c r="AL442" s="15">
        <f>IF(COUNTA(T442:AH442)=0,"",IF(SUMPRODUCT(--(T442:AH442&lt;=1),--(KPI_Weights!$C$4:$C$18="YES"))&gt;0,"YES","NO"))</f>
        <v/>
      </c>
      <c r="AM442" s="15">
        <f>IF(AJ442="","",IF(AND(AL442="NO",AJ442&gt;=0.75),"YES","NO"))</f>
        <v/>
      </c>
      <c r="AN442" s="15">
        <f>IF(AJ442="","",IF(AJ442&lt;0.4,"Critical",IF(AJ442&lt;0.6,"Poor",IF(AJ442&lt;0.75,"Needs Improvement",IF(AJ442&lt;0.9,"Good","Excellent")))))</f>
        <v/>
      </c>
      <c r="AO442" s="41" t="n"/>
      <c r="AP442" s="41" t="n"/>
      <c r="AQ442" s="41" t="n"/>
      <c r="AR442" s="41" t="n"/>
      <c r="AS442" s="41" t="n"/>
      <c r="AT442" s="44" t="n"/>
      <c r="AU442" s="41" t="n"/>
      <c r="AV442" s="43" t="n"/>
      <c r="AW442" s="41" t="n"/>
      <c r="AX442" s="44" t="n"/>
      <c r="AY442" s="44" t="n"/>
      <c r="AZ442" s="44" t="n"/>
      <c r="BA442" s="44" t="n"/>
      <c r="BB442" s="44" t="n"/>
      <c r="BC442" s="44" t="n"/>
      <c r="BD442" s="44" t="n"/>
      <c r="BE442" s="44" t="n"/>
      <c r="BF442" s="44" t="n"/>
    </row>
    <row r="443" ht="19.5" customHeight="1" s="45">
      <c r="A443" s="15">
        <f>IF($B443="","",TEXT($B443,"yyyymmdd")&amp;"-"&amp;SUBSTITUTE($F443," ","")&amp;"-"&amp;TEXT(COUNTIF($F$4:F443,$F443),"00"))</f>
        <v/>
      </c>
      <c r="B443" s="39" t="n"/>
      <c r="C443" s="15">
        <f>IF($B443="","",WEEKNUM($B443,2))</f>
        <v/>
      </c>
      <c r="D443" s="15">
        <f>IF($B443="","",TEXT($B443,"yyyy-mm"))</f>
        <v/>
      </c>
      <c r="E443" s="40" t="n"/>
      <c r="F443" s="40" t="n"/>
      <c r="G443" s="15">
        <f>IF(OR($E443="",$F443=""),"",IFERROR(IF($E443=INDEX(Cluster_Master!$A$4:$A$18,MATCH($F443,Cluster_Master!$B$4:$B$18,0)),"OK","CHECK"),"CHECK"))</f>
        <v/>
      </c>
      <c r="H443" s="18">
        <f>IFERROR(INDEX(Cluster_Master!$C$4:$C$18,MATCH($F443,Cluster_Master!$B$4:$B$18,0)),"")</f>
        <v/>
      </c>
      <c r="I443" s="15">
        <f>IFERROR(INDEX(Cluster_Master!$D$4:$D$18,MATCH($F443,Cluster_Master!$B$4:$B$18,0)),"")</f>
        <v/>
      </c>
      <c r="J443" s="15">
        <f>IFERROR(INDEX(Cluster_Master!$E$4:$E$18,MATCH($F443,Cluster_Master!$B$4:$B$18,0)),"")</f>
        <v/>
      </c>
      <c r="K443" s="15">
        <f>IFERROR(INDEX(Cluster_Master!$F$4:$F$18,MATCH($F443,Cluster_Master!$B$4:$B$18,0)),"")</f>
        <v/>
      </c>
      <c r="L443" s="15">
        <f>IFERROR(INDEX(Cluster_Master!$G$4:$G$18,MATCH($F443,Cluster_Master!$B$4:$B$18,0)),"")</f>
        <v/>
      </c>
      <c r="M443" s="15">
        <f>IFERROR(INDEX(Cluster_Master!$H$4:$H$18,MATCH($F443,Cluster_Master!$B$4:$B$18,0)),"")</f>
        <v/>
      </c>
      <c r="N443" s="41" t="n"/>
      <c r="O443" s="41" t="n"/>
      <c r="P443" s="41" t="n"/>
      <c r="Q443" s="41" t="n"/>
      <c r="R443" s="41" t="n"/>
      <c r="S443" s="41" t="n"/>
      <c r="T443" s="42" t="n"/>
      <c r="U443" s="42" t="n"/>
      <c r="V443" s="42" t="n"/>
      <c r="W443" s="42" t="n"/>
      <c r="X443" s="42" t="n"/>
      <c r="Y443" s="42" t="n"/>
      <c r="Z443" s="42" t="n"/>
      <c r="AA443" s="42" t="n"/>
      <c r="AB443" s="42" t="n"/>
      <c r="AC443" s="42" t="n"/>
      <c r="AD443" s="42" t="n"/>
      <c r="AE443" s="42" t="n"/>
      <c r="AF443" s="42" t="n"/>
      <c r="AG443" s="42" t="n"/>
      <c r="AH443" s="42" t="n"/>
      <c r="AI443" s="15">
        <f>IF(COUNTA(T443:AH443)=0,"",SUM(T443:AH443))</f>
        <v/>
      </c>
      <c r="AJ443" s="21">
        <f>IF(COUNTA(T443:AH443)=0,"",AI443/(COUNT(KPI_Weights!$A$4:$A$18)*5))</f>
        <v/>
      </c>
      <c r="AK443" s="21">
        <f>IF(COUNTA(T443:AH443)=0,"",SUMPRODUCT(T443:AH443,KPI_Weights!$B$4:$B$18)/5)</f>
        <v/>
      </c>
      <c r="AL443" s="15">
        <f>IF(COUNTA(T443:AH443)=0,"",IF(SUMPRODUCT(--(T443:AH443&lt;=1),--(KPI_Weights!$C$4:$C$18="YES"))&gt;0,"YES","NO"))</f>
        <v/>
      </c>
      <c r="AM443" s="15">
        <f>IF(AJ443="","",IF(AND(AL443="NO",AJ443&gt;=0.75),"YES","NO"))</f>
        <v/>
      </c>
      <c r="AN443" s="15">
        <f>IF(AJ443="","",IF(AJ443&lt;0.4,"Critical",IF(AJ443&lt;0.6,"Poor",IF(AJ443&lt;0.75,"Needs Improvement",IF(AJ443&lt;0.9,"Good","Excellent")))))</f>
        <v/>
      </c>
      <c r="AO443" s="41" t="n"/>
      <c r="AP443" s="41" t="n"/>
      <c r="AQ443" s="41" t="n"/>
      <c r="AR443" s="41" t="n"/>
      <c r="AS443" s="41" t="n"/>
      <c r="AT443" s="44" t="n"/>
      <c r="AU443" s="41" t="n"/>
      <c r="AV443" s="43" t="n"/>
      <c r="AW443" s="41" t="n"/>
      <c r="AX443" s="44" t="n"/>
      <c r="AY443" s="44" t="n"/>
      <c r="AZ443" s="44" t="n"/>
      <c r="BA443" s="44" t="n"/>
      <c r="BB443" s="44" t="n"/>
      <c r="BC443" s="44" t="n"/>
      <c r="BD443" s="44" t="n"/>
      <c r="BE443" s="44" t="n"/>
      <c r="BF443" s="44" t="n"/>
    </row>
    <row r="444" ht="19.5" customHeight="1" s="45">
      <c r="A444" s="15">
        <f>IF($B444="","",TEXT($B444,"yyyymmdd")&amp;"-"&amp;SUBSTITUTE($F444," ","")&amp;"-"&amp;TEXT(COUNTIF($F$4:F444,$F444),"00"))</f>
        <v/>
      </c>
      <c r="B444" s="39" t="n"/>
      <c r="C444" s="15">
        <f>IF($B444="","",WEEKNUM($B444,2))</f>
        <v/>
      </c>
      <c r="D444" s="15">
        <f>IF($B444="","",TEXT($B444,"yyyy-mm"))</f>
        <v/>
      </c>
      <c r="E444" s="40" t="n"/>
      <c r="F444" s="40" t="n"/>
      <c r="G444" s="15">
        <f>IF(OR($E444="",$F444=""),"",IFERROR(IF($E444=INDEX(Cluster_Master!$A$4:$A$18,MATCH($F444,Cluster_Master!$B$4:$B$18,0)),"OK","CHECK"),"CHECK"))</f>
        <v/>
      </c>
      <c r="H444" s="18">
        <f>IFERROR(INDEX(Cluster_Master!$C$4:$C$18,MATCH($F444,Cluster_Master!$B$4:$B$18,0)),"")</f>
        <v/>
      </c>
      <c r="I444" s="15">
        <f>IFERROR(INDEX(Cluster_Master!$D$4:$D$18,MATCH($F444,Cluster_Master!$B$4:$B$18,0)),"")</f>
        <v/>
      </c>
      <c r="J444" s="15">
        <f>IFERROR(INDEX(Cluster_Master!$E$4:$E$18,MATCH($F444,Cluster_Master!$B$4:$B$18,0)),"")</f>
        <v/>
      </c>
      <c r="K444" s="15">
        <f>IFERROR(INDEX(Cluster_Master!$F$4:$F$18,MATCH($F444,Cluster_Master!$B$4:$B$18,0)),"")</f>
        <v/>
      </c>
      <c r="L444" s="15">
        <f>IFERROR(INDEX(Cluster_Master!$G$4:$G$18,MATCH($F444,Cluster_Master!$B$4:$B$18,0)),"")</f>
        <v/>
      </c>
      <c r="M444" s="15">
        <f>IFERROR(INDEX(Cluster_Master!$H$4:$H$18,MATCH($F444,Cluster_Master!$B$4:$B$18,0)),"")</f>
        <v/>
      </c>
      <c r="N444" s="41" t="n"/>
      <c r="O444" s="41" t="n"/>
      <c r="P444" s="41" t="n"/>
      <c r="Q444" s="41" t="n"/>
      <c r="R444" s="41" t="n"/>
      <c r="S444" s="41" t="n"/>
      <c r="T444" s="42" t="n"/>
      <c r="U444" s="42" t="n"/>
      <c r="V444" s="42" t="n"/>
      <c r="W444" s="42" t="n"/>
      <c r="X444" s="42" t="n"/>
      <c r="Y444" s="42" t="n"/>
      <c r="Z444" s="42" t="n"/>
      <c r="AA444" s="42" t="n"/>
      <c r="AB444" s="42" t="n"/>
      <c r="AC444" s="42" t="n"/>
      <c r="AD444" s="42" t="n"/>
      <c r="AE444" s="42" t="n"/>
      <c r="AF444" s="42" t="n"/>
      <c r="AG444" s="42" t="n"/>
      <c r="AH444" s="42" t="n"/>
      <c r="AI444" s="15">
        <f>IF(COUNTA(T444:AH444)=0,"",SUM(T444:AH444))</f>
        <v/>
      </c>
      <c r="AJ444" s="21">
        <f>IF(COUNTA(T444:AH444)=0,"",AI444/(COUNT(KPI_Weights!$A$4:$A$18)*5))</f>
        <v/>
      </c>
      <c r="AK444" s="21">
        <f>IF(COUNTA(T444:AH444)=0,"",SUMPRODUCT(T444:AH444,KPI_Weights!$B$4:$B$18)/5)</f>
        <v/>
      </c>
      <c r="AL444" s="15">
        <f>IF(COUNTA(T444:AH444)=0,"",IF(SUMPRODUCT(--(T444:AH444&lt;=1),--(KPI_Weights!$C$4:$C$18="YES"))&gt;0,"YES","NO"))</f>
        <v/>
      </c>
      <c r="AM444" s="15">
        <f>IF(AJ444="","",IF(AND(AL444="NO",AJ444&gt;=0.75),"YES","NO"))</f>
        <v/>
      </c>
      <c r="AN444" s="15">
        <f>IF(AJ444="","",IF(AJ444&lt;0.4,"Critical",IF(AJ444&lt;0.6,"Poor",IF(AJ444&lt;0.75,"Needs Improvement",IF(AJ444&lt;0.9,"Good","Excellent")))))</f>
        <v/>
      </c>
      <c r="AO444" s="41" t="n"/>
      <c r="AP444" s="41" t="n"/>
      <c r="AQ444" s="41" t="n"/>
      <c r="AR444" s="41" t="n"/>
      <c r="AS444" s="41" t="n"/>
      <c r="AT444" s="44" t="n"/>
      <c r="AU444" s="41" t="n"/>
      <c r="AV444" s="43" t="n"/>
      <c r="AW444" s="41" t="n"/>
      <c r="AX444" s="44" t="n"/>
      <c r="AY444" s="44" t="n"/>
      <c r="AZ444" s="44" t="n"/>
      <c r="BA444" s="44" t="n"/>
      <c r="BB444" s="44" t="n"/>
      <c r="BC444" s="44" t="n"/>
      <c r="BD444" s="44" t="n"/>
      <c r="BE444" s="44" t="n"/>
      <c r="BF444" s="44" t="n"/>
    </row>
    <row r="445" ht="19.5" customHeight="1" s="45">
      <c r="A445" s="15">
        <f>IF($B445="","",TEXT($B445,"yyyymmdd")&amp;"-"&amp;SUBSTITUTE($F445," ","")&amp;"-"&amp;TEXT(COUNTIF($F$4:F445,$F445),"00"))</f>
        <v/>
      </c>
      <c r="B445" s="39" t="n"/>
      <c r="C445" s="15">
        <f>IF($B445="","",WEEKNUM($B445,2))</f>
        <v/>
      </c>
      <c r="D445" s="15">
        <f>IF($B445="","",TEXT($B445,"yyyy-mm"))</f>
        <v/>
      </c>
      <c r="E445" s="40" t="n"/>
      <c r="F445" s="40" t="n"/>
      <c r="G445" s="15">
        <f>IF(OR($E445="",$F445=""),"",IFERROR(IF($E445=INDEX(Cluster_Master!$A$4:$A$18,MATCH($F445,Cluster_Master!$B$4:$B$18,0)),"OK","CHECK"),"CHECK"))</f>
        <v/>
      </c>
      <c r="H445" s="18">
        <f>IFERROR(INDEX(Cluster_Master!$C$4:$C$18,MATCH($F445,Cluster_Master!$B$4:$B$18,0)),"")</f>
        <v/>
      </c>
      <c r="I445" s="15">
        <f>IFERROR(INDEX(Cluster_Master!$D$4:$D$18,MATCH($F445,Cluster_Master!$B$4:$B$18,0)),"")</f>
        <v/>
      </c>
      <c r="J445" s="15">
        <f>IFERROR(INDEX(Cluster_Master!$E$4:$E$18,MATCH($F445,Cluster_Master!$B$4:$B$18,0)),"")</f>
        <v/>
      </c>
      <c r="K445" s="15">
        <f>IFERROR(INDEX(Cluster_Master!$F$4:$F$18,MATCH($F445,Cluster_Master!$B$4:$B$18,0)),"")</f>
        <v/>
      </c>
      <c r="L445" s="15">
        <f>IFERROR(INDEX(Cluster_Master!$G$4:$G$18,MATCH($F445,Cluster_Master!$B$4:$B$18,0)),"")</f>
        <v/>
      </c>
      <c r="M445" s="15">
        <f>IFERROR(INDEX(Cluster_Master!$H$4:$H$18,MATCH($F445,Cluster_Master!$B$4:$B$18,0)),"")</f>
        <v/>
      </c>
      <c r="N445" s="41" t="n"/>
      <c r="O445" s="41" t="n"/>
      <c r="P445" s="41" t="n"/>
      <c r="Q445" s="41" t="n"/>
      <c r="R445" s="41" t="n"/>
      <c r="S445" s="41" t="n"/>
      <c r="T445" s="42" t="n"/>
      <c r="U445" s="42" t="n"/>
      <c r="V445" s="42" t="n"/>
      <c r="W445" s="42" t="n"/>
      <c r="X445" s="42" t="n"/>
      <c r="Y445" s="42" t="n"/>
      <c r="Z445" s="42" t="n"/>
      <c r="AA445" s="42" t="n"/>
      <c r="AB445" s="42" t="n"/>
      <c r="AC445" s="42" t="n"/>
      <c r="AD445" s="42" t="n"/>
      <c r="AE445" s="42" t="n"/>
      <c r="AF445" s="42" t="n"/>
      <c r="AG445" s="42" t="n"/>
      <c r="AH445" s="42" t="n"/>
      <c r="AI445" s="15">
        <f>IF(COUNTA(T445:AH445)=0,"",SUM(T445:AH445))</f>
        <v/>
      </c>
      <c r="AJ445" s="21">
        <f>IF(COUNTA(T445:AH445)=0,"",AI445/(COUNT(KPI_Weights!$A$4:$A$18)*5))</f>
        <v/>
      </c>
      <c r="AK445" s="21">
        <f>IF(COUNTA(T445:AH445)=0,"",SUMPRODUCT(T445:AH445,KPI_Weights!$B$4:$B$18)/5)</f>
        <v/>
      </c>
      <c r="AL445" s="15">
        <f>IF(COUNTA(T445:AH445)=0,"",IF(SUMPRODUCT(--(T445:AH445&lt;=1),--(KPI_Weights!$C$4:$C$18="YES"))&gt;0,"YES","NO"))</f>
        <v/>
      </c>
      <c r="AM445" s="15">
        <f>IF(AJ445="","",IF(AND(AL445="NO",AJ445&gt;=0.75),"YES","NO"))</f>
        <v/>
      </c>
      <c r="AN445" s="15">
        <f>IF(AJ445="","",IF(AJ445&lt;0.4,"Critical",IF(AJ445&lt;0.6,"Poor",IF(AJ445&lt;0.75,"Needs Improvement",IF(AJ445&lt;0.9,"Good","Excellent")))))</f>
        <v/>
      </c>
      <c r="AO445" s="41" t="n"/>
      <c r="AP445" s="41" t="n"/>
      <c r="AQ445" s="41" t="n"/>
      <c r="AR445" s="41" t="n"/>
      <c r="AS445" s="41" t="n"/>
      <c r="AT445" s="44" t="n"/>
      <c r="AU445" s="41" t="n"/>
      <c r="AV445" s="43" t="n"/>
      <c r="AW445" s="41" t="n"/>
      <c r="AX445" s="44" t="n"/>
      <c r="AY445" s="44" t="n"/>
      <c r="AZ445" s="44" t="n"/>
      <c r="BA445" s="44" t="n"/>
      <c r="BB445" s="44" t="n"/>
      <c r="BC445" s="44" t="n"/>
      <c r="BD445" s="44" t="n"/>
      <c r="BE445" s="44" t="n"/>
      <c r="BF445" s="44" t="n"/>
    </row>
    <row r="446" ht="19.5" customHeight="1" s="45">
      <c r="A446" s="15">
        <f>IF($B446="","",TEXT($B446,"yyyymmdd")&amp;"-"&amp;SUBSTITUTE($F446," ","")&amp;"-"&amp;TEXT(COUNTIF($F$4:F446,$F446),"00"))</f>
        <v/>
      </c>
      <c r="B446" s="39" t="n"/>
      <c r="C446" s="15">
        <f>IF($B446="","",WEEKNUM($B446,2))</f>
        <v/>
      </c>
      <c r="D446" s="15">
        <f>IF($B446="","",TEXT($B446,"yyyy-mm"))</f>
        <v/>
      </c>
      <c r="E446" s="40" t="n"/>
      <c r="F446" s="40" t="n"/>
      <c r="G446" s="15">
        <f>IF(OR($E446="",$F446=""),"",IFERROR(IF($E446=INDEX(Cluster_Master!$A$4:$A$18,MATCH($F446,Cluster_Master!$B$4:$B$18,0)),"OK","CHECK"),"CHECK"))</f>
        <v/>
      </c>
      <c r="H446" s="18">
        <f>IFERROR(INDEX(Cluster_Master!$C$4:$C$18,MATCH($F446,Cluster_Master!$B$4:$B$18,0)),"")</f>
        <v/>
      </c>
      <c r="I446" s="15">
        <f>IFERROR(INDEX(Cluster_Master!$D$4:$D$18,MATCH($F446,Cluster_Master!$B$4:$B$18,0)),"")</f>
        <v/>
      </c>
      <c r="J446" s="15">
        <f>IFERROR(INDEX(Cluster_Master!$E$4:$E$18,MATCH($F446,Cluster_Master!$B$4:$B$18,0)),"")</f>
        <v/>
      </c>
      <c r="K446" s="15">
        <f>IFERROR(INDEX(Cluster_Master!$F$4:$F$18,MATCH($F446,Cluster_Master!$B$4:$B$18,0)),"")</f>
        <v/>
      </c>
      <c r="L446" s="15">
        <f>IFERROR(INDEX(Cluster_Master!$G$4:$G$18,MATCH($F446,Cluster_Master!$B$4:$B$18,0)),"")</f>
        <v/>
      </c>
      <c r="M446" s="15">
        <f>IFERROR(INDEX(Cluster_Master!$H$4:$H$18,MATCH($F446,Cluster_Master!$B$4:$B$18,0)),"")</f>
        <v/>
      </c>
      <c r="N446" s="41" t="n"/>
      <c r="O446" s="41" t="n"/>
      <c r="P446" s="41" t="n"/>
      <c r="Q446" s="41" t="n"/>
      <c r="R446" s="41" t="n"/>
      <c r="S446" s="41" t="n"/>
      <c r="T446" s="42" t="n"/>
      <c r="U446" s="42" t="n"/>
      <c r="V446" s="42" t="n"/>
      <c r="W446" s="42" t="n"/>
      <c r="X446" s="42" t="n"/>
      <c r="Y446" s="42" t="n"/>
      <c r="Z446" s="42" t="n"/>
      <c r="AA446" s="42" t="n"/>
      <c r="AB446" s="42" t="n"/>
      <c r="AC446" s="42" t="n"/>
      <c r="AD446" s="42" t="n"/>
      <c r="AE446" s="42" t="n"/>
      <c r="AF446" s="42" t="n"/>
      <c r="AG446" s="42" t="n"/>
      <c r="AH446" s="42" t="n"/>
      <c r="AI446" s="15">
        <f>IF(COUNTA(T446:AH446)=0,"",SUM(T446:AH446))</f>
        <v/>
      </c>
      <c r="AJ446" s="21">
        <f>IF(COUNTA(T446:AH446)=0,"",AI446/(COUNT(KPI_Weights!$A$4:$A$18)*5))</f>
        <v/>
      </c>
      <c r="AK446" s="21">
        <f>IF(COUNTA(T446:AH446)=0,"",SUMPRODUCT(T446:AH446,KPI_Weights!$B$4:$B$18)/5)</f>
        <v/>
      </c>
      <c r="AL446" s="15">
        <f>IF(COUNTA(T446:AH446)=0,"",IF(SUMPRODUCT(--(T446:AH446&lt;=1),--(KPI_Weights!$C$4:$C$18="YES"))&gt;0,"YES","NO"))</f>
        <v/>
      </c>
      <c r="AM446" s="15">
        <f>IF(AJ446="","",IF(AND(AL446="NO",AJ446&gt;=0.75),"YES","NO"))</f>
        <v/>
      </c>
      <c r="AN446" s="15">
        <f>IF(AJ446="","",IF(AJ446&lt;0.4,"Critical",IF(AJ446&lt;0.6,"Poor",IF(AJ446&lt;0.75,"Needs Improvement",IF(AJ446&lt;0.9,"Good","Excellent")))))</f>
        <v/>
      </c>
      <c r="AO446" s="41" t="n"/>
      <c r="AP446" s="41" t="n"/>
      <c r="AQ446" s="41" t="n"/>
      <c r="AR446" s="41" t="n"/>
      <c r="AS446" s="41" t="n"/>
      <c r="AT446" s="44" t="n"/>
      <c r="AU446" s="41" t="n"/>
      <c r="AV446" s="43" t="n"/>
      <c r="AW446" s="41" t="n"/>
      <c r="AX446" s="44" t="n"/>
      <c r="AY446" s="44" t="n"/>
      <c r="AZ446" s="44" t="n"/>
      <c r="BA446" s="44" t="n"/>
      <c r="BB446" s="44" t="n"/>
      <c r="BC446" s="44" t="n"/>
      <c r="BD446" s="44" t="n"/>
      <c r="BE446" s="44" t="n"/>
      <c r="BF446" s="44" t="n"/>
    </row>
    <row r="447" ht="19.5" customHeight="1" s="45">
      <c r="A447" s="15">
        <f>IF($B447="","",TEXT($B447,"yyyymmdd")&amp;"-"&amp;SUBSTITUTE($F447," ","")&amp;"-"&amp;TEXT(COUNTIF($F$4:F447,$F447),"00"))</f>
        <v/>
      </c>
      <c r="B447" s="39" t="n"/>
      <c r="C447" s="15">
        <f>IF($B447="","",WEEKNUM($B447,2))</f>
        <v/>
      </c>
      <c r="D447" s="15">
        <f>IF($B447="","",TEXT($B447,"yyyy-mm"))</f>
        <v/>
      </c>
      <c r="E447" s="40" t="n"/>
      <c r="F447" s="40" t="n"/>
      <c r="G447" s="15">
        <f>IF(OR($E447="",$F447=""),"",IFERROR(IF($E447=INDEX(Cluster_Master!$A$4:$A$18,MATCH($F447,Cluster_Master!$B$4:$B$18,0)),"OK","CHECK"),"CHECK"))</f>
        <v/>
      </c>
      <c r="H447" s="18">
        <f>IFERROR(INDEX(Cluster_Master!$C$4:$C$18,MATCH($F447,Cluster_Master!$B$4:$B$18,0)),"")</f>
        <v/>
      </c>
      <c r="I447" s="15">
        <f>IFERROR(INDEX(Cluster_Master!$D$4:$D$18,MATCH($F447,Cluster_Master!$B$4:$B$18,0)),"")</f>
        <v/>
      </c>
      <c r="J447" s="15">
        <f>IFERROR(INDEX(Cluster_Master!$E$4:$E$18,MATCH($F447,Cluster_Master!$B$4:$B$18,0)),"")</f>
        <v/>
      </c>
      <c r="K447" s="15">
        <f>IFERROR(INDEX(Cluster_Master!$F$4:$F$18,MATCH($F447,Cluster_Master!$B$4:$B$18,0)),"")</f>
        <v/>
      </c>
      <c r="L447" s="15">
        <f>IFERROR(INDEX(Cluster_Master!$G$4:$G$18,MATCH($F447,Cluster_Master!$B$4:$B$18,0)),"")</f>
        <v/>
      </c>
      <c r="M447" s="15">
        <f>IFERROR(INDEX(Cluster_Master!$H$4:$H$18,MATCH($F447,Cluster_Master!$B$4:$B$18,0)),"")</f>
        <v/>
      </c>
      <c r="N447" s="41" t="n"/>
      <c r="O447" s="41" t="n"/>
      <c r="P447" s="41" t="n"/>
      <c r="Q447" s="41" t="n"/>
      <c r="R447" s="41" t="n"/>
      <c r="S447" s="41" t="n"/>
      <c r="T447" s="42" t="n"/>
      <c r="U447" s="42" t="n"/>
      <c r="V447" s="42" t="n"/>
      <c r="W447" s="42" t="n"/>
      <c r="X447" s="42" t="n"/>
      <c r="Y447" s="42" t="n"/>
      <c r="Z447" s="42" t="n"/>
      <c r="AA447" s="42" t="n"/>
      <c r="AB447" s="42" t="n"/>
      <c r="AC447" s="42" t="n"/>
      <c r="AD447" s="42" t="n"/>
      <c r="AE447" s="42" t="n"/>
      <c r="AF447" s="42" t="n"/>
      <c r="AG447" s="42" t="n"/>
      <c r="AH447" s="42" t="n"/>
      <c r="AI447" s="15">
        <f>IF(COUNTA(T447:AH447)=0,"",SUM(T447:AH447))</f>
        <v/>
      </c>
      <c r="AJ447" s="21">
        <f>IF(COUNTA(T447:AH447)=0,"",AI447/(COUNT(KPI_Weights!$A$4:$A$18)*5))</f>
        <v/>
      </c>
      <c r="AK447" s="21">
        <f>IF(COUNTA(T447:AH447)=0,"",SUMPRODUCT(T447:AH447,KPI_Weights!$B$4:$B$18)/5)</f>
        <v/>
      </c>
      <c r="AL447" s="15">
        <f>IF(COUNTA(T447:AH447)=0,"",IF(SUMPRODUCT(--(T447:AH447&lt;=1),--(KPI_Weights!$C$4:$C$18="YES"))&gt;0,"YES","NO"))</f>
        <v/>
      </c>
      <c r="AM447" s="15">
        <f>IF(AJ447="","",IF(AND(AL447="NO",AJ447&gt;=0.75),"YES","NO"))</f>
        <v/>
      </c>
      <c r="AN447" s="15">
        <f>IF(AJ447="","",IF(AJ447&lt;0.4,"Critical",IF(AJ447&lt;0.6,"Poor",IF(AJ447&lt;0.75,"Needs Improvement",IF(AJ447&lt;0.9,"Good","Excellent")))))</f>
        <v/>
      </c>
      <c r="AO447" s="41" t="n"/>
      <c r="AP447" s="41" t="n"/>
      <c r="AQ447" s="41" t="n"/>
      <c r="AR447" s="41" t="n"/>
      <c r="AS447" s="41" t="n"/>
      <c r="AT447" s="44" t="n"/>
      <c r="AU447" s="41" t="n"/>
      <c r="AV447" s="43" t="n"/>
      <c r="AW447" s="41" t="n"/>
      <c r="AX447" s="44" t="n"/>
      <c r="AY447" s="44" t="n"/>
      <c r="AZ447" s="44" t="n"/>
      <c r="BA447" s="44" t="n"/>
      <c r="BB447" s="44" t="n"/>
      <c r="BC447" s="44" t="n"/>
      <c r="BD447" s="44" t="n"/>
      <c r="BE447" s="44" t="n"/>
      <c r="BF447" s="44" t="n"/>
    </row>
    <row r="448" ht="19.5" customHeight="1" s="45">
      <c r="A448" s="15">
        <f>IF($B448="","",TEXT($B448,"yyyymmdd")&amp;"-"&amp;SUBSTITUTE($F448," ","")&amp;"-"&amp;TEXT(COUNTIF($F$4:F448,$F448),"00"))</f>
        <v/>
      </c>
      <c r="B448" s="39" t="n"/>
      <c r="C448" s="15">
        <f>IF($B448="","",WEEKNUM($B448,2))</f>
        <v/>
      </c>
      <c r="D448" s="15">
        <f>IF($B448="","",TEXT($B448,"yyyy-mm"))</f>
        <v/>
      </c>
      <c r="E448" s="40" t="n"/>
      <c r="F448" s="40" t="n"/>
      <c r="G448" s="15">
        <f>IF(OR($E448="",$F448=""),"",IFERROR(IF($E448=INDEX(Cluster_Master!$A$4:$A$18,MATCH($F448,Cluster_Master!$B$4:$B$18,0)),"OK","CHECK"),"CHECK"))</f>
        <v/>
      </c>
      <c r="H448" s="18">
        <f>IFERROR(INDEX(Cluster_Master!$C$4:$C$18,MATCH($F448,Cluster_Master!$B$4:$B$18,0)),"")</f>
        <v/>
      </c>
      <c r="I448" s="15">
        <f>IFERROR(INDEX(Cluster_Master!$D$4:$D$18,MATCH($F448,Cluster_Master!$B$4:$B$18,0)),"")</f>
        <v/>
      </c>
      <c r="J448" s="15">
        <f>IFERROR(INDEX(Cluster_Master!$E$4:$E$18,MATCH($F448,Cluster_Master!$B$4:$B$18,0)),"")</f>
        <v/>
      </c>
      <c r="K448" s="15">
        <f>IFERROR(INDEX(Cluster_Master!$F$4:$F$18,MATCH($F448,Cluster_Master!$B$4:$B$18,0)),"")</f>
        <v/>
      </c>
      <c r="L448" s="15">
        <f>IFERROR(INDEX(Cluster_Master!$G$4:$G$18,MATCH($F448,Cluster_Master!$B$4:$B$18,0)),"")</f>
        <v/>
      </c>
      <c r="M448" s="15">
        <f>IFERROR(INDEX(Cluster_Master!$H$4:$H$18,MATCH($F448,Cluster_Master!$B$4:$B$18,0)),"")</f>
        <v/>
      </c>
      <c r="N448" s="41" t="n"/>
      <c r="O448" s="41" t="n"/>
      <c r="P448" s="41" t="n"/>
      <c r="Q448" s="41" t="n"/>
      <c r="R448" s="41" t="n"/>
      <c r="S448" s="41" t="n"/>
      <c r="T448" s="42" t="n"/>
      <c r="U448" s="42" t="n"/>
      <c r="V448" s="42" t="n"/>
      <c r="W448" s="42" t="n"/>
      <c r="X448" s="42" t="n"/>
      <c r="Y448" s="42" t="n"/>
      <c r="Z448" s="42" t="n"/>
      <c r="AA448" s="42" t="n"/>
      <c r="AB448" s="42" t="n"/>
      <c r="AC448" s="42" t="n"/>
      <c r="AD448" s="42" t="n"/>
      <c r="AE448" s="42" t="n"/>
      <c r="AF448" s="42" t="n"/>
      <c r="AG448" s="42" t="n"/>
      <c r="AH448" s="42" t="n"/>
      <c r="AI448" s="15">
        <f>IF(COUNTA(T448:AH448)=0,"",SUM(T448:AH448))</f>
        <v/>
      </c>
      <c r="AJ448" s="21">
        <f>IF(COUNTA(T448:AH448)=0,"",AI448/(COUNT(KPI_Weights!$A$4:$A$18)*5))</f>
        <v/>
      </c>
      <c r="AK448" s="21">
        <f>IF(COUNTA(T448:AH448)=0,"",SUMPRODUCT(T448:AH448,KPI_Weights!$B$4:$B$18)/5)</f>
        <v/>
      </c>
      <c r="AL448" s="15">
        <f>IF(COUNTA(T448:AH448)=0,"",IF(SUMPRODUCT(--(T448:AH448&lt;=1),--(KPI_Weights!$C$4:$C$18="YES"))&gt;0,"YES","NO"))</f>
        <v/>
      </c>
      <c r="AM448" s="15">
        <f>IF(AJ448="","",IF(AND(AL448="NO",AJ448&gt;=0.75),"YES","NO"))</f>
        <v/>
      </c>
      <c r="AN448" s="15">
        <f>IF(AJ448="","",IF(AJ448&lt;0.4,"Critical",IF(AJ448&lt;0.6,"Poor",IF(AJ448&lt;0.75,"Needs Improvement",IF(AJ448&lt;0.9,"Good","Excellent")))))</f>
        <v/>
      </c>
      <c r="AO448" s="41" t="n"/>
      <c r="AP448" s="41" t="n"/>
      <c r="AQ448" s="41" t="n"/>
      <c r="AR448" s="41" t="n"/>
      <c r="AS448" s="41" t="n"/>
      <c r="AT448" s="44" t="n"/>
      <c r="AU448" s="41" t="n"/>
      <c r="AV448" s="43" t="n"/>
      <c r="AW448" s="41" t="n"/>
      <c r="AX448" s="44" t="n"/>
      <c r="AY448" s="44" t="n"/>
      <c r="AZ448" s="44" t="n"/>
      <c r="BA448" s="44" t="n"/>
      <c r="BB448" s="44" t="n"/>
      <c r="BC448" s="44" t="n"/>
      <c r="BD448" s="44" t="n"/>
      <c r="BE448" s="44" t="n"/>
      <c r="BF448" s="44" t="n"/>
    </row>
    <row r="449" ht="19.5" customHeight="1" s="45">
      <c r="A449" s="15">
        <f>IF($B449="","",TEXT($B449,"yyyymmdd")&amp;"-"&amp;SUBSTITUTE($F449," ","")&amp;"-"&amp;TEXT(COUNTIF($F$4:F449,$F449),"00"))</f>
        <v/>
      </c>
      <c r="B449" s="39" t="n"/>
      <c r="C449" s="15">
        <f>IF($B449="","",WEEKNUM($B449,2))</f>
        <v/>
      </c>
      <c r="D449" s="15">
        <f>IF($B449="","",TEXT($B449,"yyyy-mm"))</f>
        <v/>
      </c>
      <c r="E449" s="40" t="n"/>
      <c r="F449" s="40" t="n"/>
      <c r="G449" s="15">
        <f>IF(OR($E449="",$F449=""),"",IFERROR(IF($E449=INDEX(Cluster_Master!$A$4:$A$18,MATCH($F449,Cluster_Master!$B$4:$B$18,0)),"OK","CHECK"),"CHECK"))</f>
        <v/>
      </c>
      <c r="H449" s="18">
        <f>IFERROR(INDEX(Cluster_Master!$C$4:$C$18,MATCH($F449,Cluster_Master!$B$4:$B$18,0)),"")</f>
        <v/>
      </c>
      <c r="I449" s="15">
        <f>IFERROR(INDEX(Cluster_Master!$D$4:$D$18,MATCH($F449,Cluster_Master!$B$4:$B$18,0)),"")</f>
        <v/>
      </c>
      <c r="J449" s="15">
        <f>IFERROR(INDEX(Cluster_Master!$E$4:$E$18,MATCH($F449,Cluster_Master!$B$4:$B$18,0)),"")</f>
        <v/>
      </c>
      <c r="K449" s="15">
        <f>IFERROR(INDEX(Cluster_Master!$F$4:$F$18,MATCH($F449,Cluster_Master!$B$4:$B$18,0)),"")</f>
        <v/>
      </c>
      <c r="L449" s="15">
        <f>IFERROR(INDEX(Cluster_Master!$G$4:$G$18,MATCH($F449,Cluster_Master!$B$4:$B$18,0)),"")</f>
        <v/>
      </c>
      <c r="M449" s="15">
        <f>IFERROR(INDEX(Cluster_Master!$H$4:$H$18,MATCH($F449,Cluster_Master!$B$4:$B$18,0)),"")</f>
        <v/>
      </c>
      <c r="N449" s="41" t="n"/>
      <c r="O449" s="41" t="n"/>
      <c r="P449" s="41" t="n"/>
      <c r="Q449" s="41" t="n"/>
      <c r="R449" s="41" t="n"/>
      <c r="S449" s="41" t="n"/>
      <c r="T449" s="42" t="n"/>
      <c r="U449" s="42" t="n"/>
      <c r="V449" s="42" t="n"/>
      <c r="W449" s="42" t="n"/>
      <c r="X449" s="42" t="n"/>
      <c r="Y449" s="42" t="n"/>
      <c r="Z449" s="42" t="n"/>
      <c r="AA449" s="42" t="n"/>
      <c r="AB449" s="42" t="n"/>
      <c r="AC449" s="42" t="n"/>
      <c r="AD449" s="42" t="n"/>
      <c r="AE449" s="42" t="n"/>
      <c r="AF449" s="42" t="n"/>
      <c r="AG449" s="42" t="n"/>
      <c r="AH449" s="42" t="n"/>
      <c r="AI449" s="15">
        <f>IF(COUNTA(T449:AH449)=0,"",SUM(T449:AH449))</f>
        <v/>
      </c>
      <c r="AJ449" s="21">
        <f>IF(COUNTA(T449:AH449)=0,"",AI449/(COUNT(KPI_Weights!$A$4:$A$18)*5))</f>
        <v/>
      </c>
      <c r="AK449" s="21">
        <f>IF(COUNTA(T449:AH449)=0,"",SUMPRODUCT(T449:AH449,KPI_Weights!$B$4:$B$18)/5)</f>
        <v/>
      </c>
      <c r="AL449" s="15">
        <f>IF(COUNTA(T449:AH449)=0,"",IF(SUMPRODUCT(--(T449:AH449&lt;=1),--(KPI_Weights!$C$4:$C$18="YES"))&gt;0,"YES","NO"))</f>
        <v/>
      </c>
      <c r="AM449" s="15">
        <f>IF(AJ449="","",IF(AND(AL449="NO",AJ449&gt;=0.75),"YES","NO"))</f>
        <v/>
      </c>
      <c r="AN449" s="15">
        <f>IF(AJ449="","",IF(AJ449&lt;0.4,"Critical",IF(AJ449&lt;0.6,"Poor",IF(AJ449&lt;0.75,"Needs Improvement",IF(AJ449&lt;0.9,"Good","Excellent")))))</f>
        <v/>
      </c>
      <c r="AO449" s="41" t="n"/>
      <c r="AP449" s="41" t="n"/>
      <c r="AQ449" s="41" t="n"/>
      <c r="AR449" s="41" t="n"/>
      <c r="AS449" s="41" t="n"/>
      <c r="AT449" s="44" t="n"/>
      <c r="AU449" s="41" t="n"/>
      <c r="AV449" s="43" t="n"/>
      <c r="AW449" s="41" t="n"/>
      <c r="AX449" s="44" t="n"/>
      <c r="AY449" s="44" t="n"/>
      <c r="AZ449" s="44" t="n"/>
      <c r="BA449" s="44" t="n"/>
      <c r="BB449" s="44" t="n"/>
      <c r="BC449" s="44" t="n"/>
      <c r="BD449" s="44" t="n"/>
      <c r="BE449" s="44" t="n"/>
      <c r="BF449" s="44" t="n"/>
    </row>
    <row r="450" ht="19.5" customHeight="1" s="45">
      <c r="A450" s="15">
        <f>IF($B450="","",TEXT($B450,"yyyymmdd")&amp;"-"&amp;SUBSTITUTE($F450," ","")&amp;"-"&amp;TEXT(COUNTIF($F$4:F450,$F450),"00"))</f>
        <v/>
      </c>
      <c r="B450" s="39" t="n"/>
      <c r="C450" s="15">
        <f>IF($B450="","",WEEKNUM($B450,2))</f>
        <v/>
      </c>
      <c r="D450" s="15">
        <f>IF($B450="","",TEXT($B450,"yyyy-mm"))</f>
        <v/>
      </c>
      <c r="E450" s="40" t="n"/>
      <c r="F450" s="40" t="n"/>
      <c r="G450" s="15">
        <f>IF(OR($E450="",$F450=""),"",IFERROR(IF($E450=INDEX(Cluster_Master!$A$4:$A$18,MATCH($F450,Cluster_Master!$B$4:$B$18,0)),"OK","CHECK"),"CHECK"))</f>
        <v/>
      </c>
      <c r="H450" s="18">
        <f>IFERROR(INDEX(Cluster_Master!$C$4:$C$18,MATCH($F450,Cluster_Master!$B$4:$B$18,0)),"")</f>
        <v/>
      </c>
      <c r="I450" s="15">
        <f>IFERROR(INDEX(Cluster_Master!$D$4:$D$18,MATCH($F450,Cluster_Master!$B$4:$B$18,0)),"")</f>
        <v/>
      </c>
      <c r="J450" s="15">
        <f>IFERROR(INDEX(Cluster_Master!$E$4:$E$18,MATCH($F450,Cluster_Master!$B$4:$B$18,0)),"")</f>
        <v/>
      </c>
      <c r="K450" s="15">
        <f>IFERROR(INDEX(Cluster_Master!$F$4:$F$18,MATCH($F450,Cluster_Master!$B$4:$B$18,0)),"")</f>
        <v/>
      </c>
      <c r="L450" s="15">
        <f>IFERROR(INDEX(Cluster_Master!$G$4:$G$18,MATCH($F450,Cluster_Master!$B$4:$B$18,0)),"")</f>
        <v/>
      </c>
      <c r="M450" s="15">
        <f>IFERROR(INDEX(Cluster_Master!$H$4:$H$18,MATCH($F450,Cluster_Master!$B$4:$B$18,0)),"")</f>
        <v/>
      </c>
      <c r="N450" s="41" t="n"/>
      <c r="O450" s="41" t="n"/>
      <c r="P450" s="41" t="n"/>
      <c r="Q450" s="41" t="n"/>
      <c r="R450" s="41" t="n"/>
      <c r="S450" s="41" t="n"/>
      <c r="T450" s="42" t="n"/>
      <c r="U450" s="42" t="n"/>
      <c r="V450" s="42" t="n"/>
      <c r="W450" s="42" t="n"/>
      <c r="X450" s="42" t="n"/>
      <c r="Y450" s="42" t="n"/>
      <c r="Z450" s="42" t="n"/>
      <c r="AA450" s="42" t="n"/>
      <c r="AB450" s="42" t="n"/>
      <c r="AC450" s="42" t="n"/>
      <c r="AD450" s="42" t="n"/>
      <c r="AE450" s="42" t="n"/>
      <c r="AF450" s="42" t="n"/>
      <c r="AG450" s="42" t="n"/>
      <c r="AH450" s="42" t="n"/>
      <c r="AI450" s="15">
        <f>IF(COUNTA(T450:AH450)=0,"",SUM(T450:AH450))</f>
        <v/>
      </c>
      <c r="AJ450" s="21">
        <f>IF(COUNTA(T450:AH450)=0,"",AI450/(COUNT(KPI_Weights!$A$4:$A$18)*5))</f>
        <v/>
      </c>
      <c r="AK450" s="21">
        <f>IF(COUNTA(T450:AH450)=0,"",SUMPRODUCT(T450:AH450,KPI_Weights!$B$4:$B$18)/5)</f>
        <v/>
      </c>
      <c r="AL450" s="15">
        <f>IF(COUNTA(T450:AH450)=0,"",IF(SUMPRODUCT(--(T450:AH450&lt;=1),--(KPI_Weights!$C$4:$C$18="YES"))&gt;0,"YES","NO"))</f>
        <v/>
      </c>
      <c r="AM450" s="15">
        <f>IF(AJ450="","",IF(AND(AL450="NO",AJ450&gt;=0.75),"YES","NO"))</f>
        <v/>
      </c>
      <c r="AN450" s="15">
        <f>IF(AJ450="","",IF(AJ450&lt;0.4,"Critical",IF(AJ450&lt;0.6,"Poor",IF(AJ450&lt;0.75,"Needs Improvement",IF(AJ450&lt;0.9,"Good","Excellent")))))</f>
        <v/>
      </c>
      <c r="AO450" s="41" t="n"/>
      <c r="AP450" s="41" t="n"/>
      <c r="AQ450" s="41" t="n"/>
      <c r="AR450" s="41" t="n"/>
      <c r="AS450" s="41" t="n"/>
      <c r="AT450" s="44" t="n"/>
      <c r="AU450" s="41" t="n"/>
      <c r="AV450" s="43" t="n"/>
      <c r="AW450" s="41" t="n"/>
      <c r="AX450" s="44" t="n"/>
      <c r="AY450" s="44" t="n"/>
      <c r="AZ450" s="44" t="n"/>
      <c r="BA450" s="44" t="n"/>
      <c r="BB450" s="44" t="n"/>
      <c r="BC450" s="44" t="n"/>
      <c r="BD450" s="44" t="n"/>
      <c r="BE450" s="44" t="n"/>
      <c r="BF450" s="44" t="n"/>
    </row>
    <row r="451" ht="19.5" customHeight="1" s="45">
      <c r="A451" s="15">
        <f>IF($B451="","",TEXT($B451,"yyyymmdd")&amp;"-"&amp;SUBSTITUTE($F451," ","")&amp;"-"&amp;TEXT(COUNTIF($F$4:F451,$F451),"00"))</f>
        <v/>
      </c>
      <c r="B451" s="39" t="n"/>
      <c r="C451" s="15">
        <f>IF($B451="","",WEEKNUM($B451,2))</f>
        <v/>
      </c>
      <c r="D451" s="15">
        <f>IF($B451="","",TEXT($B451,"yyyy-mm"))</f>
        <v/>
      </c>
      <c r="E451" s="40" t="n"/>
      <c r="F451" s="40" t="n"/>
      <c r="G451" s="15">
        <f>IF(OR($E451="",$F451=""),"",IFERROR(IF($E451=INDEX(Cluster_Master!$A$4:$A$18,MATCH($F451,Cluster_Master!$B$4:$B$18,0)),"OK","CHECK"),"CHECK"))</f>
        <v/>
      </c>
      <c r="H451" s="18">
        <f>IFERROR(INDEX(Cluster_Master!$C$4:$C$18,MATCH($F451,Cluster_Master!$B$4:$B$18,0)),"")</f>
        <v/>
      </c>
      <c r="I451" s="15">
        <f>IFERROR(INDEX(Cluster_Master!$D$4:$D$18,MATCH($F451,Cluster_Master!$B$4:$B$18,0)),"")</f>
        <v/>
      </c>
      <c r="J451" s="15">
        <f>IFERROR(INDEX(Cluster_Master!$E$4:$E$18,MATCH($F451,Cluster_Master!$B$4:$B$18,0)),"")</f>
        <v/>
      </c>
      <c r="K451" s="15">
        <f>IFERROR(INDEX(Cluster_Master!$F$4:$F$18,MATCH($F451,Cluster_Master!$B$4:$B$18,0)),"")</f>
        <v/>
      </c>
      <c r="L451" s="15">
        <f>IFERROR(INDEX(Cluster_Master!$G$4:$G$18,MATCH($F451,Cluster_Master!$B$4:$B$18,0)),"")</f>
        <v/>
      </c>
      <c r="M451" s="15">
        <f>IFERROR(INDEX(Cluster_Master!$H$4:$H$18,MATCH($F451,Cluster_Master!$B$4:$B$18,0)),"")</f>
        <v/>
      </c>
      <c r="N451" s="41" t="n"/>
      <c r="O451" s="41" t="n"/>
      <c r="P451" s="41" t="n"/>
      <c r="Q451" s="41" t="n"/>
      <c r="R451" s="41" t="n"/>
      <c r="S451" s="41" t="n"/>
      <c r="T451" s="42" t="n"/>
      <c r="U451" s="42" t="n"/>
      <c r="V451" s="42" t="n"/>
      <c r="W451" s="42" t="n"/>
      <c r="X451" s="42" t="n"/>
      <c r="Y451" s="42" t="n"/>
      <c r="Z451" s="42" t="n"/>
      <c r="AA451" s="42" t="n"/>
      <c r="AB451" s="42" t="n"/>
      <c r="AC451" s="42" t="n"/>
      <c r="AD451" s="42" t="n"/>
      <c r="AE451" s="42" t="n"/>
      <c r="AF451" s="42" t="n"/>
      <c r="AG451" s="42" t="n"/>
      <c r="AH451" s="42" t="n"/>
      <c r="AI451" s="15">
        <f>IF(COUNTA(T451:AH451)=0,"",SUM(T451:AH451))</f>
        <v/>
      </c>
      <c r="AJ451" s="21">
        <f>IF(COUNTA(T451:AH451)=0,"",AI451/(COUNT(KPI_Weights!$A$4:$A$18)*5))</f>
        <v/>
      </c>
      <c r="AK451" s="21">
        <f>IF(COUNTA(T451:AH451)=0,"",SUMPRODUCT(T451:AH451,KPI_Weights!$B$4:$B$18)/5)</f>
        <v/>
      </c>
      <c r="AL451" s="15">
        <f>IF(COUNTA(T451:AH451)=0,"",IF(SUMPRODUCT(--(T451:AH451&lt;=1),--(KPI_Weights!$C$4:$C$18="YES"))&gt;0,"YES","NO"))</f>
        <v/>
      </c>
      <c r="AM451" s="15">
        <f>IF(AJ451="","",IF(AND(AL451="NO",AJ451&gt;=0.75),"YES","NO"))</f>
        <v/>
      </c>
      <c r="AN451" s="15">
        <f>IF(AJ451="","",IF(AJ451&lt;0.4,"Critical",IF(AJ451&lt;0.6,"Poor",IF(AJ451&lt;0.75,"Needs Improvement",IF(AJ451&lt;0.9,"Good","Excellent")))))</f>
        <v/>
      </c>
      <c r="AO451" s="41" t="n"/>
      <c r="AP451" s="41" t="n"/>
      <c r="AQ451" s="41" t="n"/>
      <c r="AR451" s="41" t="n"/>
      <c r="AS451" s="41" t="n"/>
      <c r="AT451" s="44" t="n"/>
      <c r="AU451" s="41" t="n"/>
      <c r="AV451" s="43" t="n"/>
      <c r="AW451" s="41" t="n"/>
      <c r="AX451" s="44" t="n"/>
      <c r="AY451" s="44" t="n"/>
      <c r="AZ451" s="44" t="n"/>
      <c r="BA451" s="44" t="n"/>
      <c r="BB451" s="44" t="n"/>
      <c r="BC451" s="44" t="n"/>
      <c r="BD451" s="44" t="n"/>
      <c r="BE451" s="44" t="n"/>
      <c r="BF451" s="44" t="n"/>
    </row>
    <row r="452" ht="19.5" customHeight="1" s="45">
      <c r="A452" s="15">
        <f>IF($B452="","",TEXT($B452,"yyyymmdd")&amp;"-"&amp;SUBSTITUTE($F452," ","")&amp;"-"&amp;TEXT(COUNTIF($F$4:F452,$F452),"00"))</f>
        <v/>
      </c>
      <c r="B452" s="39" t="n"/>
      <c r="C452" s="15">
        <f>IF($B452="","",WEEKNUM($B452,2))</f>
        <v/>
      </c>
      <c r="D452" s="15">
        <f>IF($B452="","",TEXT($B452,"yyyy-mm"))</f>
        <v/>
      </c>
      <c r="E452" s="40" t="n"/>
      <c r="F452" s="40" t="n"/>
      <c r="G452" s="15">
        <f>IF(OR($E452="",$F452=""),"",IFERROR(IF($E452=INDEX(Cluster_Master!$A$4:$A$18,MATCH($F452,Cluster_Master!$B$4:$B$18,0)),"OK","CHECK"),"CHECK"))</f>
        <v/>
      </c>
      <c r="H452" s="18">
        <f>IFERROR(INDEX(Cluster_Master!$C$4:$C$18,MATCH($F452,Cluster_Master!$B$4:$B$18,0)),"")</f>
        <v/>
      </c>
      <c r="I452" s="15">
        <f>IFERROR(INDEX(Cluster_Master!$D$4:$D$18,MATCH($F452,Cluster_Master!$B$4:$B$18,0)),"")</f>
        <v/>
      </c>
      <c r="J452" s="15">
        <f>IFERROR(INDEX(Cluster_Master!$E$4:$E$18,MATCH($F452,Cluster_Master!$B$4:$B$18,0)),"")</f>
        <v/>
      </c>
      <c r="K452" s="15">
        <f>IFERROR(INDEX(Cluster_Master!$F$4:$F$18,MATCH($F452,Cluster_Master!$B$4:$B$18,0)),"")</f>
        <v/>
      </c>
      <c r="L452" s="15">
        <f>IFERROR(INDEX(Cluster_Master!$G$4:$G$18,MATCH($F452,Cluster_Master!$B$4:$B$18,0)),"")</f>
        <v/>
      </c>
      <c r="M452" s="15">
        <f>IFERROR(INDEX(Cluster_Master!$H$4:$H$18,MATCH($F452,Cluster_Master!$B$4:$B$18,0)),"")</f>
        <v/>
      </c>
      <c r="N452" s="41" t="n"/>
      <c r="O452" s="41" t="n"/>
      <c r="P452" s="41" t="n"/>
      <c r="Q452" s="41" t="n"/>
      <c r="R452" s="41" t="n"/>
      <c r="S452" s="41" t="n"/>
      <c r="T452" s="42" t="n"/>
      <c r="U452" s="42" t="n"/>
      <c r="V452" s="42" t="n"/>
      <c r="W452" s="42" t="n"/>
      <c r="X452" s="42" t="n"/>
      <c r="Y452" s="42" t="n"/>
      <c r="Z452" s="42" t="n"/>
      <c r="AA452" s="42" t="n"/>
      <c r="AB452" s="42" t="n"/>
      <c r="AC452" s="42" t="n"/>
      <c r="AD452" s="42" t="n"/>
      <c r="AE452" s="42" t="n"/>
      <c r="AF452" s="42" t="n"/>
      <c r="AG452" s="42" t="n"/>
      <c r="AH452" s="42" t="n"/>
      <c r="AI452" s="15">
        <f>IF(COUNTA(T452:AH452)=0,"",SUM(T452:AH452))</f>
        <v/>
      </c>
      <c r="AJ452" s="21">
        <f>IF(COUNTA(T452:AH452)=0,"",AI452/(COUNT(KPI_Weights!$A$4:$A$18)*5))</f>
        <v/>
      </c>
      <c r="AK452" s="21">
        <f>IF(COUNTA(T452:AH452)=0,"",SUMPRODUCT(T452:AH452,KPI_Weights!$B$4:$B$18)/5)</f>
        <v/>
      </c>
      <c r="AL452" s="15">
        <f>IF(COUNTA(T452:AH452)=0,"",IF(SUMPRODUCT(--(T452:AH452&lt;=1),--(KPI_Weights!$C$4:$C$18="YES"))&gt;0,"YES","NO"))</f>
        <v/>
      </c>
      <c r="AM452" s="15">
        <f>IF(AJ452="","",IF(AND(AL452="NO",AJ452&gt;=0.75),"YES","NO"))</f>
        <v/>
      </c>
      <c r="AN452" s="15">
        <f>IF(AJ452="","",IF(AJ452&lt;0.4,"Critical",IF(AJ452&lt;0.6,"Poor",IF(AJ452&lt;0.75,"Needs Improvement",IF(AJ452&lt;0.9,"Good","Excellent")))))</f>
        <v/>
      </c>
      <c r="AO452" s="41" t="n"/>
      <c r="AP452" s="41" t="n"/>
      <c r="AQ452" s="41" t="n"/>
      <c r="AR452" s="41" t="n"/>
      <c r="AS452" s="41" t="n"/>
      <c r="AT452" s="44" t="n"/>
      <c r="AU452" s="41" t="n"/>
      <c r="AV452" s="43" t="n"/>
      <c r="AW452" s="41" t="n"/>
      <c r="AX452" s="44" t="n"/>
      <c r="AY452" s="44" t="n"/>
      <c r="AZ452" s="44" t="n"/>
      <c r="BA452" s="44" t="n"/>
      <c r="BB452" s="44" t="n"/>
      <c r="BC452" s="44" t="n"/>
      <c r="BD452" s="44" t="n"/>
      <c r="BE452" s="44" t="n"/>
      <c r="BF452" s="44" t="n"/>
    </row>
    <row r="453" ht="19.5" customHeight="1" s="45">
      <c r="A453" s="15">
        <f>IF($B453="","",TEXT($B453,"yyyymmdd")&amp;"-"&amp;SUBSTITUTE($F453," ","")&amp;"-"&amp;TEXT(COUNTIF($F$4:F453,$F453),"00"))</f>
        <v/>
      </c>
      <c r="B453" s="39" t="n"/>
      <c r="C453" s="15">
        <f>IF($B453="","",WEEKNUM($B453,2))</f>
        <v/>
      </c>
      <c r="D453" s="15">
        <f>IF($B453="","",TEXT($B453,"yyyy-mm"))</f>
        <v/>
      </c>
      <c r="E453" s="40" t="n"/>
      <c r="F453" s="40" t="n"/>
      <c r="G453" s="15">
        <f>IF(OR($E453="",$F453=""),"",IFERROR(IF($E453=INDEX(Cluster_Master!$A$4:$A$18,MATCH($F453,Cluster_Master!$B$4:$B$18,0)),"OK","CHECK"),"CHECK"))</f>
        <v/>
      </c>
      <c r="H453" s="18">
        <f>IFERROR(INDEX(Cluster_Master!$C$4:$C$18,MATCH($F453,Cluster_Master!$B$4:$B$18,0)),"")</f>
        <v/>
      </c>
      <c r="I453" s="15">
        <f>IFERROR(INDEX(Cluster_Master!$D$4:$D$18,MATCH($F453,Cluster_Master!$B$4:$B$18,0)),"")</f>
        <v/>
      </c>
      <c r="J453" s="15">
        <f>IFERROR(INDEX(Cluster_Master!$E$4:$E$18,MATCH($F453,Cluster_Master!$B$4:$B$18,0)),"")</f>
        <v/>
      </c>
      <c r="K453" s="15">
        <f>IFERROR(INDEX(Cluster_Master!$F$4:$F$18,MATCH($F453,Cluster_Master!$B$4:$B$18,0)),"")</f>
        <v/>
      </c>
      <c r="L453" s="15">
        <f>IFERROR(INDEX(Cluster_Master!$G$4:$G$18,MATCH($F453,Cluster_Master!$B$4:$B$18,0)),"")</f>
        <v/>
      </c>
      <c r="M453" s="15">
        <f>IFERROR(INDEX(Cluster_Master!$H$4:$H$18,MATCH($F453,Cluster_Master!$B$4:$B$18,0)),"")</f>
        <v/>
      </c>
      <c r="N453" s="41" t="n"/>
      <c r="O453" s="41" t="n"/>
      <c r="P453" s="41" t="n"/>
      <c r="Q453" s="41" t="n"/>
      <c r="R453" s="41" t="n"/>
      <c r="S453" s="41" t="n"/>
      <c r="T453" s="42" t="n"/>
      <c r="U453" s="42" t="n"/>
      <c r="V453" s="42" t="n"/>
      <c r="W453" s="42" t="n"/>
      <c r="X453" s="42" t="n"/>
      <c r="Y453" s="42" t="n"/>
      <c r="Z453" s="42" t="n"/>
      <c r="AA453" s="42" t="n"/>
      <c r="AB453" s="42" t="n"/>
      <c r="AC453" s="42" t="n"/>
      <c r="AD453" s="42" t="n"/>
      <c r="AE453" s="42" t="n"/>
      <c r="AF453" s="42" t="n"/>
      <c r="AG453" s="42" t="n"/>
      <c r="AH453" s="42" t="n"/>
      <c r="AI453" s="15">
        <f>IF(COUNTA(T453:AH453)=0,"",SUM(T453:AH453))</f>
        <v/>
      </c>
      <c r="AJ453" s="21">
        <f>IF(COUNTA(T453:AH453)=0,"",AI453/(COUNT(KPI_Weights!$A$4:$A$18)*5))</f>
        <v/>
      </c>
      <c r="AK453" s="21">
        <f>IF(COUNTA(T453:AH453)=0,"",SUMPRODUCT(T453:AH453,KPI_Weights!$B$4:$B$18)/5)</f>
        <v/>
      </c>
      <c r="AL453" s="15">
        <f>IF(COUNTA(T453:AH453)=0,"",IF(SUMPRODUCT(--(T453:AH453&lt;=1),--(KPI_Weights!$C$4:$C$18="YES"))&gt;0,"YES","NO"))</f>
        <v/>
      </c>
      <c r="AM453" s="15">
        <f>IF(AJ453="","",IF(AND(AL453="NO",AJ453&gt;=0.75),"YES","NO"))</f>
        <v/>
      </c>
      <c r="AN453" s="15">
        <f>IF(AJ453="","",IF(AJ453&lt;0.4,"Critical",IF(AJ453&lt;0.6,"Poor",IF(AJ453&lt;0.75,"Needs Improvement",IF(AJ453&lt;0.9,"Good","Excellent")))))</f>
        <v/>
      </c>
      <c r="AO453" s="41" t="n"/>
      <c r="AP453" s="41" t="n"/>
      <c r="AQ453" s="41" t="n"/>
      <c r="AR453" s="41" t="n"/>
      <c r="AS453" s="41" t="n"/>
      <c r="AT453" s="44" t="n"/>
      <c r="AU453" s="41" t="n"/>
      <c r="AV453" s="43" t="n"/>
      <c r="AW453" s="41" t="n"/>
      <c r="AX453" s="44" t="n"/>
      <c r="AY453" s="44" t="n"/>
      <c r="AZ453" s="44" t="n"/>
      <c r="BA453" s="44" t="n"/>
      <c r="BB453" s="44" t="n"/>
      <c r="BC453" s="44" t="n"/>
      <c r="BD453" s="44" t="n"/>
      <c r="BE453" s="44" t="n"/>
      <c r="BF453" s="44" t="n"/>
    </row>
    <row r="454" ht="19.5" customHeight="1" s="45">
      <c r="A454" s="15">
        <f>IF($B454="","",TEXT($B454,"yyyymmdd")&amp;"-"&amp;SUBSTITUTE($F454," ","")&amp;"-"&amp;TEXT(COUNTIF($F$4:F454,$F454),"00"))</f>
        <v/>
      </c>
      <c r="B454" s="39" t="n"/>
      <c r="C454" s="15">
        <f>IF($B454="","",WEEKNUM($B454,2))</f>
        <v/>
      </c>
      <c r="D454" s="15">
        <f>IF($B454="","",TEXT($B454,"yyyy-mm"))</f>
        <v/>
      </c>
      <c r="E454" s="40" t="n"/>
      <c r="F454" s="40" t="n"/>
      <c r="G454" s="15">
        <f>IF(OR($E454="",$F454=""),"",IFERROR(IF($E454=INDEX(Cluster_Master!$A$4:$A$18,MATCH($F454,Cluster_Master!$B$4:$B$18,0)),"OK","CHECK"),"CHECK"))</f>
        <v/>
      </c>
      <c r="H454" s="18">
        <f>IFERROR(INDEX(Cluster_Master!$C$4:$C$18,MATCH($F454,Cluster_Master!$B$4:$B$18,0)),"")</f>
        <v/>
      </c>
      <c r="I454" s="15">
        <f>IFERROR(INDEX(Cluster_Master!$D$4:$D$18,MATCH($F454,Cluster_Master!$B$4:$B$18,0)),"")</f>
        <v/>
      </c>
      <c r="J454" s="15">
        <f>IFERROR(INDEX(Cluster_Master!$E$4:$E$18,MATCH($F454,Cluster_Master!$B$4:$B$18,0)),"")</f>
        <v/>
      </c>
      <c r="K454" s="15">
        <f>IFERROR(INDEX(Cluster_Master!$F$4:$F$18,MATCH($F454,Cluster_Master!$B$4:$B$18,0)),"")</f>
        <v/>
      </c>
      <c r="L454" s="15">
        <f>IFERROR(INDEX(Cluster_Master!$G$4:$G$18,MATCH($F454,Cluster_Master!$B$4:$B$18,0)),"")</f>
        <v/>
      </c>
      <c r="M454" s="15">
        <f>IFERROR(INDEX(Cluster_Master!$H$4:$H$18,MATCH($F454,Cluster_Master!$B$4:$B$18,0)),"")</f>
        <v/>
      </c>
      <c r="N454" s="41" t="n"/>
      <c r="O454" s="41" t="n"/>
      <c r="P454" s="41" t="n"/>
      <c r="Q454" s="41" t="n"/>
      <c r="R454" s="41" t="n"/>
      <c r="S454" s="41" t="n"/>
      <c r="T454" s="42" t="n"/>
      <c r="U454" s="42" t="n"/>
      <c r="V454" s="42" t="n"/>
      <c r="W454" s="42" t="n"/>
      <c r="X454" s="42" t="n"/>
      <c r="Y454" s="42" t="n"/>
      <c r="Z454" s="42" t="n"/>
      <c r="AA454" s="42" t="n"/>
      <c r="AB454" s="42" t="n"/>
      <c r="AC454" s="42" t="n"/>
      <c r="AD454" s="42" t="n"/>
      <c r="AE454" s="42" t="n"/>
      <c r="AF454" s="42" t="n"/>
      <c r="AG454" s="42" t="n"/>
      <c r="AH454" s="42" t="n"/>
      <c r="AI454" s="15">
        <f>IF(COUNTA(T454:AH454)=0,"",SUM(T454:AH454))</f>
        <v/>
      </c>
      <c r="AJ454" s="21">
        <f>IF(COUNTA(T454:AH454)=0,"",AI454/(COUNT(KPI_Weights!$A$4:$A$18)*5))</f>
        <v/>
      </c>
      <c r="AK454" s="21">
        <f>IF(COUNTA(T454:AH454)=0,"",SUMPRODUCT(T454:AH454,KPI_Weights!$B$4:$B$18)/5)</f>
        <v/>
      </c>
      <c r="AL454" s="15">
        <f>IF(COUNTA(T454:AH454)=0,"",IF(SUMPRODUCT(--(T454:AH454&lt;=1),--(KPI_Weights!$C$4:$C$18="YES"))&gt;0,"YES","NO"))</f>
        <v/>
      </c>
      <c r="AM454" s="15">
        <f>IF(AJ454="","",IF(AND(AL454="NO",AJ454&gt;=0.75),"YES","NO"))</f>
        <v/>
      </c>
      <c r="AN454" s="15">
        <f>IF(AJ454="","",IF(AJ454&lt;0.4,"Critical",IF(AJ454&lt;0.6,"Poor",IF(AJ454&lt;0.75,"Needs Improvement",IF(AJ454&lt;0.9,"Good","Excellent")))))</f>
        <v/>
      </c>
      <c r="AO454" s="41" t="n"/>
      <c r="AP454" s="41" t="n"/>
      <c r="AQ454" s="41" t="n"/>
      <c r="AR454" s="41" t="n"/>
      <c r="AS454" s="41" t="n"/>
      <c r="AT454" s="44" t="n"/>
      <c r="AU454" s="41" t="n"/>
      <c r="AV454" s="43" t="n"/>
      <c r="AW454" s="41" t="n"/>
      <c r="AX454" s="44" t="n"/>
      <c r="AY454" s="44" t="n"/>
      <c r="AZ454" s="44" t="n"/>
      <c r="BA454" s="44" t="n"/>
      <c r="BB454" s="44" t="n"/>
      <c r="BC454" s="44" t="n"/>
      <c r="BD454" s="44" t="n"/>
      <c r="BE454" s="44" t="n"/>
      <c r="BF454" s="44" t="n"/>
    </row>
    <row r="455" ht="19.5" customHeight="1" s="45">
      <c r="A455" s="15">
        <f>IF($B455="","",TEXT($B455,"yyyymmdd")&amp;"-"&amp;SUBSTITUTE($F455," ","")&amp;"-"&amp;TEXT(COUNTIF($F$4:F455,$F455),"00"))</f>
        <v/>
      </c>
      <c r="B455" s="39" t="n"/>
      <c r="C455" s="15">
        <f>IF($B455="","",WEEKNUM($B455,2))</f>
        <v/>
      </c>
      <c r="D455" s="15">
        <f>IF($B455="","",TEXT($B455,"yyyy-mm"))</f>
        <v/>
      </c>
      <c r="E455" s="40" t="n"/>
      <c r="F455" s="40" t="n"/>
      <c r="G455" s="15">
        <f>IF(OR($E455="",$F455=""),"",IFERROR(IF($E455=INDEX(Cluster_Master!$A$4:$A$18,MATCH($F455,Cluster_Master!$B$4:$B$18,0)),"OK","CHECK"),"CHECK"))</f>
        <v/>
      </c>
      <c r="H455" s="18">
        <f>IFERROR(INDEX(Cluster_Master!$C$4:$C$18,MATCH($F455,Cluster_Master!$B$4:$B$18,0)),"")</f>
        <v/>
      </c>
      <c r="I455" s="15">
        <f>IFERROR(INDEX(Cluster_Master!$D$4:$D$18,MATCH($F455,Cluster_Master!$B$4:$B$18,0)),"")</f>
        <v/>
      </c>
      <c r="J455" s="15">
        <f>IFERROR(INDEX(Cluster_Master!$E$4:$E$18,MATCH($F455,Cluster_Master!$B$4:$B$18,0)),"")</f>
        <v/>
      </c>
      <c r="K455" s="15">
        <f>IFERROR(INDEX(Cluster_Master!$F$4:$F$18,MATCH($F455,Cluster_Master!$B$4:$B$18,0)),"")</f>
        <v/>
      </c>
      <c r="L455" s="15">
        <f>IFERROR(INDEX(Cluster_Master!$G$4:$G$18,MATCH($F455,Cluster_Master!$B$4:$B$18,0)),"")</f>
        <v/>
      </c>
      <c r="M455" s="15">
        <f>IFERROR(INDEX(Cluster_Master!$H$4:$H$18,MATCH($F455,Cluster_Master!$B$4:$B$18,0)),"")</f>
        <v/>
      </c>
      <c r="N455" s="41" t="n"/>
      <c r="O455" s="41" t="n"/>
      <c r="P455" s="41" t="n"/>
      <c r="Q455" s="41" t="n"/>
      <c r="R455" s="41" t="n"/>
      <c r="S455" s="41" t="n"/>
      <c r="T455" s="42" t="n"/>
      <c r="U455" s="42" t="n"/>
      <c r="V455" s="42" t="n"/>
      <c r="W455" s="42" t="n"/>
      <c r="X455" s="42" t="n"/>
      <c r="Y455" s="42" t="n"/>
      <c r="Z455" s="42" t="n"/>
      <c r="AA455" s="42" t="n"/>
      <c r="AB455" s="42" t="n"/>
      <c r="AC455" s="42" t="n"/>
      <c r="AD455" s="42" t="n"/>
      <c r="AE455" s="42" t="n"/>
      <c r="AF455" s="42" t="n"/>
      <c r="AG455" s="42" t="n"/>
      <c r="AH455" s="42" t="n"/>
      <c r="AI455" s="15">
        <f>IF(COUNTA(T455:AH455)=0,"",SUM(T455:AH455))</f>
        <v/>
      </c>
      <c r="AJ455" s="21">
        <f>IF(COUNTA(T455:AH455)=0,"",AI455/(COUNT(KPI_Weights!$A$4:$A$18)*5))</f>
        <v/>
      </c>
      <c r="AK455" s="21">
        <f>IF(COUNTA(T455:AH455)=0,"",SUMPRODUCT(T455:AH455,KPI_Weights!$B$4:$B$18)/5)</f>
        <v/>
      </c>
      <c r="AL455" s="15">
        <f>IF(COUNTA(T455:AH455)=0,"",IF(SUMPRODUCT(--(T455:AH455&lt;=1),--(KPI_Weights!$C$4:$C$18="YES"))&gt;0,"YES","NO"))</f>
        <v/>
      </c>
      <c r="AM455" s="15">
        <f>IF(AJ455="","",IF(AND(AL455="NO",AJ455&gt;=0.75),"YES","NO"))</f>
        <v/>
      </c>
      <c r="AN455" s="15">
        <f>IF(AJ455="","",IF(AJ455&lt;0.4,"Critical",IF(AJ455&lt;0.6,"Poor",IF(AJ455&lt;0.75,"Needs Improvement",IF(AJ455&lt;0.9,"Good","Excellent")))))</f>
        <v/>
      </c>
      <c r="AO455" s="41" t="n"/>
      <c r="AP455" s="41" t="n"/>
      <c r="AQ455" s="41" t="n"/>
      <c r="AR455" s="41" t="n"/>
      <c r="AS455" s="41" t="n"/>
      <c r="AT455" s="44" t="n"/>
      <c r="AU455" s="41" t="n"/>
      <c r="AV455" s="43" t="n"/>
      <c r="AW455" s="41" t="n"/>
      <c r="AX455" s="44" t="n"/>
      <c r="AY455" s="44" t="n"/>
      <c r="AZ455" s="44" t="n"/>
      <c r="BA455" s="44" t="n"/>
      <c r="BB455" s="44" t="n"/>
      <c r="BC455" s="44" t="n"/>
      <c r="BD455" s="44" t="n"/>
      <c r="BE455" s="44" t="n"/>
      <c r="BF455" s="44" t="n"/>
    </row>
    <row r="456" ht="19.5" customHeight="1" s="45">
      <c r="A456" s="15">
        <f>IF($B456="","",TEXT($B456,"yyyymmdd")&amp;"-"&amp;SUBSTITUTE($F456," ","")&amp;"-"&amp;TEXT(COUNTIF($F$4:F456,$F456),"00"))</f>
        <v/>
      </c>
      <c r="B456" s="39" t="n"/>
      <c r="C456" s="15">
        <f>IF($B456="","",WEEKNUM($B456,2))</f>
        <v/>
      </c>
      <c r="D456" s="15">
        <f>IF($B456="","",TEXT($B456,"yyyy-mm"))</f>
        <v/>
      </c>
      <c r="E456" s="40" t="n"/>
      <c r="F456" s="40" t="n"/>
      <c r="G456" s="15">
        <f>IF(OR($E456="",$F456=""),"",IFERROR(IF($E456=INDEX(Cluster_Master!$A$4:$A$18,MATCH($F456,Cluster_Master!$B$4:$B$18,0)),"OK","CHECK"),"CHECK"))</f>
        <v/>
      </c>
      <c r="H456" s="18">
        <f>IFERROR(INDEX(Cluster_Master!$C$4:$C$18,MATCH($F456,Cluster_Master!$B$4:$B$18,0)),"")</f>
        <v/>
      </c>
      <c r="I456" s="15">
        <f>IFERROR(INDEX(Cluster_Master!$D$4:$D$18,MATCH($F456,Cluster_Master!$B$4:$B$18,0)),"")</f>
        <v/>
      </c>
      <c r="J456" s="15">
        <f>IFERROR(INDEX(Cluster_Master!$E$4:$E$18,MATCH($F456,Cluster_Master!$B$4:$B$18,0)),"")</f>
        <v/>
      </c>
      <c r="K456" s="15">
        <f>IFERROR(INDEX(Cluster_Master!$F$4:$F$18,MATCH($F456,Cluster_Master!$B$4:$B$18,0)),"")</f>
        <v/>
      </c>
      <c r="L456" s="15">
        <f>IFERROR(INDEX(Cluster_Master!$G$4:$G$18,MATCH($F456,Cluster_Master!$B$4:$B$18,0)),"")</f>
        <v/>
      </c>
      <c r="M456" s="15">
        <f>IFERROR(INDEX(Cluster_Master!$H$4:$H$18,MATCH($F456,Cluster_Master!$B$4:$B$18,0)),"")</f>
        <v/>
      </c>
      <c r="N456" s="41" t="n"/>
      <c r="O456" s="41" t="n"/>
      <c r="P456" s="41" t="n"/>
      <c r="Q456" s="41" t="n"/>
      <c r="R456" s="41" t="n"/>
      <c r="S456" s="41" t="n"/>
      <c r="T456" s="42" t="n"/>
      <c r="U456" s="42" t="n"/>
      <c r="V456" s="42" t="n"/>
      <c r="W456" s="42" t="n"/>
      <c r="X456" s="42" t="n"/>
      <c r="Y456" s="42" t="n"/>
      <c r="Z456" s="42" t="n"/>
      <c r="AA456" s="42" t="n"/>
      <c r="AB456" s="42" t="n"/>
      <c r="AC456" s="42" t="n"/>
      <c r="AD456" s="42" t="n"/>
      <c r="AE456" s="42" t="n"/>
      <c r="AF456" s="42" t="n"/>
      <c r="AG456" s="42" t="n"/>
      <c r="AH456" s="42" t="n"/>
      <c r="AI456" s="15">
        <f>IF(COUNTA(T456:AH456)=0,"",SUM(T456:AH456))</f>
        <v/>
      </c>
      <c r="AJ456" s="21">
        <f>IF(COUNTA(T456:AH456)=0,"",AI456/(COUNT(KPI_Weights!$A$4:$A$18)*5))</f>
        <v/>
      </c>
      <c r="AK456" s="21">
        <f>IF(COUNTA(T456:AH456)=0,"",SUMPRODUCT(T456:AH456,KPI_Weights!$B$4:$B$18)/5)</f>
        <v/>
      </c>
      <c r="AL456" s="15">
        <f>IF(COUNTA(T456:AH456)=0,"",IF(SUMPRODUCT(--(T456:AH456&lt;=1),--(KPI_Weights!$C$4:$C$18="YES"))&gt;0,"YES","NO"))</f>
        <v/>
      </c>
      <c r="AM456" s="15">
        <f>IF(AJ456="","",IF(AND(AL456="NO",AJ456&gt;=0.75),"YES","NO"))</f>
        <v/>
      </c>
      <c r="AN456" s="15">
        <f>IF(AJ456="","",IF(AJ456&lt;0.4,"Critical",IF(AJ456&lt;0.6,"Poor",IF(AJ456&lt;0.75,"Needs Improvement",IF(AJ456&lt;0.9,"Good","Excellent")))))</f>
        <v/>
      </c>
      <c r="AO456" s="41" t="n"/>
      <c r="AP456" s="41" t="n"/>
      <c r="AQ456" s="41" t="n"/>
      <c r="AR456" s="41" t="n"/>
      <c r="AS456" s="41" t="n"/>
      <c r="AT456" s="44" t="n"/>
      <c r="AU456" s="41" t="n"/>
      <c r="AV456" s="43" t="n"/>
      <c r="AW456" s="41" t="n"/>
      <c r="AX456" s="44" t="n"/>
      <c r="AY456" s="44" t="n"/>
      <c r="AZ456" s="44" t="n"/>
      <c r="BA456" s="44" t="n"/>
      <c r="BB456" s="44" t="n"/>
      <c r="BC456" s="44" t="n"/>
      <c r="BD456" s="44" t="n"/>
      <c r="BE456" s="44" t="n"/>
      <c r="BF456" s="44" t="n"/>
    </row>
    <row r="457" ht="19.5" customHeight="1" s="45">
      <c r="A457" s="15">
        <f>IF($B457="","",TEXT($B457,"yyyymmdd")&amp;"-"&amp;SUBSTITUTE($F457," ","")&amp;"-"&amp;TEXT(COUNTIF($F$4:F457,$F457),"00"))</f>
        <v/>
      </c>
      <c r="B457" s="39" t="n"/>
      <c r="C457" s="15">
        <f>IF($B457="","",WEEKNUM($B457,2))</f>
        <v/>
      </c>
      <c r="D457" s="15">
        <f>IF($B457="","",TEXT($B457,"yyyy-mm"))</f>
        <v/>
      </c>
      <c r="E457" s="40" t="n"/>
      <c r="F457" s="40" t="n"/>
      <c r="G457" s="15">
        <f>IF(OR($E457="",$F457=""),"",IFERROR(IF($E457=INDEX(Cluster_Master!$A$4:$A$18,MATCH($F457,Cluster_Master!$B$4:$B$18,0)),"OK","CHECK"),"CHECK"))</f>
        <v/>
      </c>
      <c r="H457" s="18">
        <f>IFERROR(INDEX(Cluster_Master!$C$4:$C$18,MATCH($F457,Cluster_Master!$B$4:$B$18,0)),"")</f>
        <v/>
      </c>
      <c r="I457" s="15">
        <f>IFERROR(INDEX(Cluster_Master!$D$4:$D$18,MATCH($F457,Cluster_Master!$B$4:$B$18,0)),"")</f>
        <v/>
      </c>
      <c r="J457" s="15">
        <f>IFERROR(INDEX(Cluster_Master!$E$4:$E$18,MATCH($F457,Cluster_Master!$B$4:$B$18,0)),"")</f>
        <v/>
      </c>
      <c r="K457" s="15">
        <f>IFERROR(INDEX(Cluster_Master!$F$4:$F$18,MATCH($F457,Cluster_Master!$B$4:$B$18,0)),"")</f>
        <v/>
      </c>
      <c r="L457" s="15">
        <f>IFERROR(INDEX(Cluster_Master!$G$4:$G$18,MATCH($F457,Cluster_Master!$B$4:$B$18,0)),"")</f>
        <v/>
      </c>
      <c r="M457" s="15">
        <f>IFERROR(INDEX(Cluster_Master!$H$4:$H$18,MATCH($F457,Cluster_Master!$B$4:$B$18,0)),"")</f>
        <v/>
      </c>
      <c r="N457" s="41" t="n"/>
      <c r="O457" s="41" t="n"/>
      <c r="P457" s="41" t="n"/>
      <c r="Q457" s="41" t="n"/>
      <c r="R457" s="41" t="n"/>
      <c r="S457" s="41" t="n"/>
      <c r="T457" s="42" t="n"/>
      <c r="U457" s="42" t="n"/>
      <c r="V457" s="42" t="n"/>
      <c r="W457" s="42" t="n"/>
      <c r="X457" s="42" t="n"/>
      <c r="Y457" s="42" t="n"/>
      <c r="Z457" s="42" t="n"/>
      <c r="AA457" s="42" t="n"/>
      <c r="AB457" s="42" t="n"/>
      <c r="AC457" s="42" t="n"/>
      <c r="AD457" s="42" t="n"/>
      <c r="AE457" s="42" t="n"/>
      <c r="AF457" s="42" t="n"/>
      <c r="AG457" s="42" t="n"/>
      <c r="AH457" s="42" t="n"/>
      <c r="AI457" s="15">
        <f>IF(COUNTA(T457:AH457)=0,"",SUM(T457:AH457))</f>
        <v/>
      </c>
      <c r="AJ457" s="21">
        <f>IF(COUNTA(T457:AH457)=0,"",AI457/(COUNT(KPI_Weights!$A$4:$A$18)*5))</f>
        <v/>
      </c>
      <c r="AK457" s="21">
        <f>IF(COUNTA(T457:AH457)=0,"",SUMPRODUCT(T457:AH457,KPI_Weights!$B$4:$B$18)/5)</f>
        <v/>
      </c>
      <c r="AL457" s="15">
        <f>IF(COUNTA(T457:AH457)=0,"",IF(SUMPRODUCT(--(T457:AH457&lt;=1),--(KPI_Weights!$C$4:$C$18="YES"))&gt;0,"YES","NO"))</f>
        <v/>
      </c>
      <c r="AM457" s="15">
        <f>IF(AJ457="","",IF(AND(AL457="NO",AJ457&gt;=0.75),"YES","NO"))</f>
        <v/>
      </c>
      <c r="AN457" s="15">
        <f>IF(AJ457="","",IF(AJ457&lt;0.4,"Critical",IF(AJ457&lt;0.6,"Poor",IF(AJ457&lt;0.75,"Needs Improvement",IF(AJ457&lt;0.9,"Good","Excellent")))))</f>
        <v/>
      </c>
      <c r="AO457" s="41" t="n"/>
      <c r="AP457" s="41" t="n"/>
      <c r="AQ457" s="41" t="n"/>
      <c r="AR457" s="41" t="n"/>
      <c r="AS457" s="41" t="n"/>
      <c r="AT457" s="44" t="n"/>
      <c r="AU457" s="41" t="n"/>
      <c r="AV457" s="43" t="n"/>
      <c r="AW457" s="41" t="n"/>
      <c r="AX457" s="44" t="n"/>
      <c r="AY457" s="44" t="n"/>
      <c r="AZ457" s="44" t="n"/>
      <c r="BA457" s="44" t="n"/>
      <c r="BB457" s="44" t="n"/>
      <c r="BC457" s="44" t="n"/>
      <c r="BD457" s="44" t="n"/>
      <c r="BE457" s="44" t="n"/>
      <c r="BF457" s="44" t="n"/>
    </row>
    <row r="458" ht="19.5" customHeight="1" s="45">
      <c r="A458" s="15">
        <f>IF($B458="","",TEXT($B458,"yyyymmdd")&amp;"-"&amp;SUBSTITUTE($F458," ","")&amp;"-"&amp;TEXT(COUNTIF($F$4:F458,$F458),"00"))</f>
        <v/>
      </c>
      <c r="B458" s="39" t="n"/>
      <c r="C458" s="15">
        <f>IF($B458="","",WEEKNUM($B458,2))</f>
        <v/>
      </c>
      <c r="D458" s="15">
        <f>IF($B458="","",TEXT($B458,"yyyy-mm"))</f>
        <v/>
      </c>
      <c r="E458" s="40" t="n"/>
      <c r="F458" s="40" t="n"/>
      <c r="G458" s="15">
        <f>IF(OR($E458="",$F458=""),"",IFERROR(IF($E458=INDEX(Cluster_Master!$A$4:$A$18,MATCH($F458,Cluster_Master!$B$4:$B$18,0)),"OK","CHECK"),"CHECK"))</f>
        <v/>
      </c>
      <c r="H458" s="18">
        <f>IFERROR(INDEX(Cluster_Master!$C$4:$C$18,MATCH($F458,Cluster_Master!$B$4:$B$18,0)),"")</f>
        <v/>
      </c>
      <c r="I458" s="15">
        <f>IFERROR(INDEX(Cluster_Master!$D$4:$D$18,MATCH($F458,Cluster_Master!$B$4:$B$18,0)),"")</f>
        <v/>
      </c>
      <c r="J458" s="15">
        <f>IFERROR(INDEX(Cluster_Master!$E$4:$E$18,MATCH($F458,Cluster_Master!$B$4:$B$18,0)),"")</f>
        <v/>
      </c>
      <c r="K458" s="15">
        <f>IFERROR(INDEX(Cluster_Master!$F$4:$F$18,MATCH($F458,Cluster_Master!$B$4:$B$18,0)),"")</f>
        <v/>
      </c>
      <c r="L458" s="15">
        <f>IFERROR(INDEX(Cluster_Master!$G$4:$G$18,MATCH($F458,Cluster_Master!$B$4:$B$18,0)),"")</f>
        <v/>
      </c>
      <c r="M458" s="15">
        <f>IFERROR(INDEX(Cluster_Master!$H$4:$H$18,MATCH($F458,Cluster_Master!$B$4:$B$18,0)),"")</f>
        <v/>
      </c>
      <c r="N458" s="41" t="n"/>
      <c r="O458" s="41" t="n"/>
      <c r="P458" s="41" t="n"/>
      <c r="Q458" s="41" t="n"/>
      <c r="R458" s="41" t="n"/>
      <c r="S458" s="41" t="n"/>
      <c r="T458" s="42" t="n"/>
      <c r="U458" s="42" t="n"/>
      <c r="V458" s="42" t="n"/>
      <c r="W458" s="42" t="n"/>
      <c r="X458" s="42" t="n"/>
      <c r="Y458" s="42" t="n"/>
      <c r="Z458" s="42" t="n"/>
      <c r="AA458" s="42" t="n"/>
      <c r="AB458" s="42" t="n"/>
      <c r="AC458" s="42" t="n"/>
      <c r="AD458" s="42" t="n"/>
      <c r="AE458" s="42" t="n"/>
      <c r="AF458" s="42" t="n"/>
      <c r="AG458" s="42" t="n"/>
      <c r="AH458" s="42" t="n"/>
      <c r="AI458" s="15">
        <f>IF(COUNTA(T458:AH458)=0,"",SUM(T458:AH458))</f>
        <v/>
      </c>
      <c r="AJ458" s="21">
        <f>IF(COUNTA(T458:AH458)=0,"",AI458/(COUNT(KPI_Weights!$A$4:$A$18)*5))</f>
        <v/>
      </c>
      <c r="AK458" s="21">
        <f>IF(COUNTA(T458:AH458)=0,"",SUMPRODUCT(T458:AH458,KPI_Weights!$B$4:$B$18)/5)</f>
        <v/>
      </c>
      <c r="AL458" s="15">
        <f>IF(COUNTA(T458:AH458)=0,"",IF(SUMPRODUCT(--(T458:AH458&lt;=1),--(KPI_Weights!$C$4:$C$18="YES"))&gt;0,"YES","NO"))</f>
        <v/>
      </c>
      <c r="AM458" s="15">
        <f>IF(AJ458="","",IF(AND(AL458="NO",AJ458&gt;=0.75),"YES","NO"))</f>
        <v/>
      </c>
      <c r="AN458" s="15">
        <f>IF(AJ458="","",IF(AJ458&lt;0.4,"Critical",IF(AJ458&lt;0.6,"Poor",IF(AJ458&lt;0.75,"Needs Improvement",IF(AJ458&lt;0.9,"Good","Excellent")))))</f>
        <v/>
      </c>
      <c r="AO458" s="41" t="n"/>
      <c r="AP458" s="41" t="n"/>
      <c r="AQ458" s="41" t="n"/>
      <c r="AR458" s="41" t="n"/>
      <c r="AS458" s="41" t="n"/>
      <c r="AT458" s="44" t="n"/>
      <c r="AU458" s="41" t="n"/>
      <c r="AV458" s="43" t="n"/>
      <c r="AW458" s="41" t="n"/>
      <c r="AX458" s="44" t="n"/>
      <c r="AY458" s="44" t="n"/>
      <c r="AZ458" s="44" t="n"/>
      <c r="BA458" s="44" t="n"/>
      <c r="BB458" s="44" t="n"/>
      <c r="BC458" s="44" t="n"/>
      <c r="BD458" s="44" t="n"/>
      <c r="BE458" s="44" t="n"/>
      <c r="BF458" s="44" t="n"/>
    </row>
    <row r="459" ht="19.5" customHeight="1" s="45">
      <c r="A459" s="15">
        <f>IF($B459="","",TEXT($B459,"yyyymmdd")&amp;"-"&amp;SUBSTITUTE($F459," ","")&amp;"-"&amp;TEXT(COUNTIF($F$4:F459,$F459),"00"))</f>
        <v/>
      </c>
      <c r="B459" s="39" t="n"/>
      <c r="C459" s="15">
        <f>IF($B459="","",WEEKNUM($B459,2))</f>
        <v/>
      </c>
      <c r="D459" s="15">
        <f>IF($B459="","",TEXT($B459,"yyyy-mm"))</f>
        <v/>
      </c>
      <c r="E459" s="40" t="n"/>
      <c r="F459" s="40" t="n"/>
      <c r="G459" s="15">
        <f>IF(OR($E459="",$F459=""),"",IFERROR(IF($E459=INDEX(Cluster_Master!$A$4:$A$18,MATCH($F459,Cluster_Master!$B$4:$B$18,0)),"OK","CHECK"),"CHECK"))</f>
        <v/>
      </c>
      <c r="H459" s="18">
        <f>IFERROR(INDEX(Cluster_Master!$C$4:$C$18,MATCH($F459,Cluster_Master!$B$4:$B$18,0)),"")</f>
        <v/>
      </c>
      <c r="I459" s="15">
        <f>IFERROR(INDEX(Cluster_Master!$D$4:$D$18,MATCH($F459,Cluster_Master!$B$4:$B$18,0)),"")</f>
        <v/>
      </c>
      <c r="J459" s="15">
        <f>IFERROR(INDEX(Cluster_Master!$E$4:$E$18,MATCH($F459,Cluster_Master!$B$4:$B$18,0)),"")</f>
        <v/>
      </c>
      <c r="K459" s="15">
        <f>IFERROR(INDEX(Cluster_Master!$F$4:$F$18,MATCH($F459,Cluster_Master!$B$4:$B$18,0)),"")</f>
        <v/>
      </c>
      <c r="L459" s="15">
        <f>IFERROR(INDEX(Cluster_Master!$G$4:$G$18,MATCH($F459,Cluster_Master!$B$4:$B$18,0)),"")</f>
        <v/>
      </c>
      <c r="M459" s="15">
        <f>IFERROR(INDEX(Cluster_Master!$H$4:$H$18,MATCH($F459,Cluster_Master!$B$4:$B$18,0)),"")</f>
        <v/>
      </c>
      <c r="N459" s="41" t="n"/>
      <c r="O459" s="41" t="n"/>
      <c r="P459" s="41" t="n"/>
      <c r="Q459" s="41" t="n"/>
      <c r="R459" s="41" t="n"/>
      <c r="S459" s="41" t="n"/>
      <c r="T459" s="42" t="n"/>
      <c r="U459" s="42" t="n"/>
      <c r="V459" s="42" t="n"/>
      <c r="W459" s="42" t="n"/>
      <c r="X459" s="42" t="n"/>
      <c r="Y459" s="42" t="n"/>
      <c r="Z459" s="42" t="n"/>
      <c r="AA459" s="42" t="n"/>
      <c r="AB459" s="42" t="n"/>
      <c r="AC459" s="42" t="n"/>
      <c r="AD459" s="42" t="n"/>
      <c r="AE459" s="42" t="n"/>
      <c r="AF459" s="42" t="n"/>
      <c r="AG459" s="42" t="n"/>
      <c r="AH459" s="42" t="n"/>
      <c r="AI459" s="15">
        <f>IF(COUNTA(T459:AH459)=0,"",SUM(T459:AH459))</f>
        <v/>
      </c>
      <c r="AJ459" s="21">
        <f>IF(COUNTA(T459:AH459)=0,"",AI459/(COUNT(KPI_Weights!$A$4:$A$18)*5))</f>
        <v/>
      </c>
      <c r="AK459" s="21">
        <f>IF(COUNTA(T459:AH459)=0,"",SUMPRODUCT(T459:AH459,KPI_Weights!$B$4:$B$18)/5)</f>
        <v/>
      </c>
      <c r="AL459" s="15">
        <f>IF(COUNTA(T459:AH459)=0,"",IF(SUMPRODUCT(--(T459:AH459&lt;=1),--(KPI_Weights!$C$4:$C$18="YES"))&gt;0,"YES","NO"))</f>
        <v/>
      </c>
      <c r="AM459" s="15">
        <f>IF(AJ459="","",IF(AND(AL459="NO",AJ459&gt;=0.75),"YES","NO"))</f>
        <v/>
      </c>
      <c r="AN459" s="15">
        <f>IF(AJ459="","",IF(AJ459&lt;0.4,"Critical",IF(AJ459&lt;0.6,"Poor",IF(AJ459&lt;0.75,"Needs Improvement",IF(AJ459&lt;0.9,"Good","Excellent")))))</f>
        <v/>
      </c>
      <c r="AO459" s="41" t="n"/>
      <c r="AP459" s="41" t="n"/>
      <c r="AQ459" s="41" t="n"/>
      <c r="AR459" s="41" t="n"/>
      <c r="AS459" s="41" t="n"/>
      <c r="AT459" s="44" t="n"/>
      <c r="AU459" s="41" t="n"/>
      <c r="AV459" s="43" t="n"/>
      <c r="AW459" s="41" t="n"/>
      <c r="AX459" s="44" t="n"/>
      <c r="AY459" s="44" t="n"/>
      <c r="AZ459" s="44" t="n"/>
      <c r="BA459" s="44" t="n"/>
      <c r="BB459" s="44" t="n"/>
      <c r="BC459" s="44" t="n"/>
      <c r="BD459" s="44" t="n"/>
      <c r="BE459" s="44" t="n"/>
      <c r="BF459" s="44" t="n"/>
    </row>
    <row r="460" ht="19.5" customHeight="1" s="45">
      <c r="A460" s="15">
        <f>IF($B460="","",TEXT($B460,"yyyymmdd")&amp;"-"&amp;SUBSTITUTE($F460," ","")&amp;"-"&amp;TEXT(COUNTIF($F$4:F460,$F460),"00"))</f>
        <v/>
      </c>
      <c r="B460" s="39" t="n"/>
      <c r="C460" s="15">
        <f>IF($B460="","",WEEKNUM($B460,2))</f>
        <v/>
      </c>
      <c r="D460" s="15">
        <f>IF($B460="","",TEXT($B460,"yyyy-mm"))</f>
        <v/>
      </c>
      <c r="E460" s="40" t="n"/>
      <c r="F460" s="40" t="n"/>
      <c r="G460" s="15">
        <f>IF(OR($E460="",$F460=""),"",IFERROR(IF($E460=INDEX(Cluster_Master!$A$4:$A$18,MATCH($F460,Cluster_Master!$B$4:$B$18,0)),"OK","CHECK"),"CHECK"))</f>
        <v/>
      </c>
      <c r="H460" s="18">
        <f>IFERROR(INDEX(Cluster_Master!$C$4:$C$18,MATCH($F460,Cluster_Master!$B$4:$B$18,0)),"")</f>
        <v/>
      </c>
      <c r="I460" s="15">
        <f>IFERROR(INDEX(Cluster_Master!$D$4:$D$18,MATCH($F460,Cluster_Master!$B$4:$B$18,0)),"")</f>
        <v/>
      </c>
      <c r="J460" s="15">
        <f>IFERROR(INDEX(Cluster_Master!$E$4:$E$18,MATCH($F460,Cluster_Master!$B$4:$B$18,0)),"")</f>
        <v/>
      </c>
      <c r="K460" s="15">
        <f>IFERROR(INDEX(Cluster_Master!$F$4:$F$18,MATCH($F460,Cluster_Master!$B$4:$B$18,0)),"")</f>
        <v/>
      </c>
      <c r="L460" s="15">
        <f>IFERROR(INDEX(Cluster_Master!$G$4:$G$18,MATCH($F460,Cluster_Master!$B$4:$B$18,0)),"")</f>
        <v/>
      </c>
      <c r="M460" s="15">
        <f>IFERROR(INDEX(Cluster_Master!$H$4:$H$18,MATCH($F460,Cluster_Master!$B$4:$B$18,0)),"")</f>
        <v/>
      </c>
      <c r="N460" s="41" t="n"/>
      <c r="O460" s="41" t="n"/>
      <c r="P460" s="41" t="n"/>
      <c r="Q460" s="41" t="n"/>
      <c r="R460" s="41" t="n"/>
      <c r="S460" s="41" t="n"/>
      <c r="T460" s="42" t="n"/>
      <c r="U460" s="42" t="n"/>
      <c r="V460" s="42" t="n"/>
      <c r="W460" s="42" t="n"/>
      <c r="X460" s="42" t="n"/>
      <c r="Y460" s="42" t="n"/>
      <c r="Z460" s="42" t="n"/>
      <c r="AA460" s="42" t="n"/>
      <c r="AB460" s="42" t="n"/>
      <c r="AC460" s="42" t="n"/>
      <c r="AD460" s="42" t="n"/>
      <c r="AE460" s="42" t="n"/>
      <c r="AF460" s="42" t="n"/>
      <c r="AG460" s="42" t="n"/>
      <c r="AH460" s="42" t="n"/>
      <c r="AI460" s="15">
        <f>IF(COUNTA(T460:AH460)=0,"",SUM(T460:AH460))</f>
        <v/>
      </c>
      <c r="AJ460" s="21">
        <f>IF(COUNTA(T460:AH460)=0,"",AI460/(COUNT(KPI_Weights!$A$4:$A$18)*5))</f>
        <v/>
      </c>
      <c r="AK460" s="21">
        <f>IF(COUNTA(T460:AH460)=0,"",SUMPRODUCT(T460:AH460,KPI_Weights!$B$4:$B$18)/5)</f>
        <v/>
      </c>
      <c r="AL460" s="15">
        <f>IF(COUNTA(T460:AH460)=0,"",IF(SUMPRODUCT(--(T460:AH460&lt;=1),--(KPI_Weights!$C$4:$C$18="YES"))&gt;0,"YES","NO"))</f>
        <v/>
      </c>
      <c r="AM460" s="15">
        <f>IF(AJ460="","",IF(AND(AL460="NO",AJ460&gt;=0.75),"YES","NO"))</f>
        <v/>
      </c>
      <c r="AN460" s="15">
        <f>IF(AJ460="","",IF(AJ460&lt;0.4,"Critical",IF(AJ460&lt;0.6,"Poor",IF(AJ460&lt;0.75,"Needs Improvement",IF(AJ460&lt;0.9,"Good","Excellent")))))</f>
        <v/>
      </c>
      <c r="AO460" s="41" t="n"/>
      <c r="AP460" s="41" t="n"/>
      <c r="AQ460" s="41" t="n"/>
      <c r="AR460" s="41" t="n"/>
      <c r="AS460" s="41" t="n"/>
      <c r="AT460" s="44" t="n"/>
      <c r="AU460" s="41" t="n"/>
      <c r="AV460" s="43" t="n"/>
      <c r="AW460" s="41" t="n"/>
      <c r="AX460" s="44" t="n"/>
      <c r="AY460" s="44" t="n"/>
      <c r="AZ460" s="44" t="n"/>
      <c r="BA460" s="44" t="n"/>
      <c r="BB460" s="44" t="n"/>
      <c r="BC460" s="44" t="n"/>
      <c r="BD460" s="44" t="n"/>
      <c r="BE460" s="44" t="n"/>
      <c r="BF460" s="44" t="n"/>
    </row>
    <row r="461" ht="19.5" customHeight="1" s="45">
      <c r="A461" s="15">
        <f>IF($B461="","",TEXT($B461,"yyyymmdd")&amp;"-"&amp;SUBSTITUTE($F461," ","")&amp;"-"&amp;TEXT(COUNTIF($F$4:F461,$F461),"00"))</f>
        <v/>
      </c>
      <c r="B461" s="39" t="n"/>
      <c r="C461" s="15">
        <f>IF($B461="","",WEEKNUM($B461,2))</f>
        <v/>
      </c>
      <c r="D461" s="15">
        <f>IF($B461="","",TEXT($B461,"yyyy-mm"))</f>
        <v/>
      </c>
      <c r="E461" s="40" t="n"/>
      <c r="F461" s="40" t="n"/>
      <c r="G461" s="15">
        <f>IF(OR($E461="",$F461=""),"",IFERROR(IF($E461=INDEX(Cluster_Master!$A$4:$A$18,MATCH($F461,Cluster_Master!$B$4:$B$18,0)),"OK","CHECK"),"CHECK"))</f>
        <v/>
      </c>
      <c r="H461" s="18">
        <f>IFERROR(INDEX(Cluster_Master!$C$4:$C$18,MATCH($F461,Cluster_Master!$B$4:$B$18,0)),"")</f>
        <v/>
      </c>
      <c r="I461" s="15">
        <f>IFERROR(INDEX(Cluster_Master!$D$4:$D$18,MATCH($F461,Cluster_Master!$B$4:$B$18,0)),"")</f>
        <v/>
      </c>
      <c r="J461" s="15">
        <f>IFERROR(INDEX(Cluster_Master!$E$4:$E$18,MATCH($F461,Cluster_Master!$B$4:$B$18,0)),"")</f>
        <v/>
      </c>
      <c r="K461" s="15">
        <f>IFERROR(INDEX(Cluster_Master!$F$4:$F$18,MATCH($F461,Cluster_Master!$B$4:$B$18,0)),"")</f>
        <v/>
      </c>
      <c r="L461" s="15">
        <f>IFERROR(INDEX(Cluster_Master!$G$4:$G$18,MATCH($F461,Cluster_Master!$B$4:$B$18,0)),"")</f>
        <v/>
      </c>
      <c r="M461" s="15">
        <f>IFERROR(INDEX(Cluster_Master!$H$4:$H$18,MATCH($F461,Cluster_Master!$B$4:$B$18,0)),"")</f>
        <v/>
      </c>
      <c r="N461" s="41" t="n"/>
      <c r="O461" s="41" t="n"/>
      <c r="P461" s="41" t="n"/>
      <c r="Q461" s="41" t="n"/>
      <c r="R461" s="41" t="n"/>
      <c r="S461" s="41" t="n"/>
      <c r="T461" s="42" t="n"/>
      <c r="U461" s="42" t="n"/>
      <c r="V461" s="42" t="n"/>
      <c r="W461" s="42" t="n"/>
      <c r="X461" s="42" t="n"/>
      <c r="Y461" s="42" t="n"/>
      <c r="Z461" s="42" t="n"/>
      <c r="AA461" s="42" t="n"/>
      <c r="AB461" s="42" t="n"/>
      <c r="AC461" s="42" t="n"/>
      <c r="AD461" s="42" t="n"/>
      <c r="AE461" s="42" t="n"/>
      <c r="AF461" s="42" t="n"/>
      <c r="AG461" s="42" t="n"/>
      <c r="AH461" s="42" t="n"/>
      <c r="AI461" s="15">
        <f>IF(COUNTA(T461:AH461)=0,"",SUM(T461:AH461))</f>
        <v/>
      </c>
      <c r="AJ461" s="21">
        <f>IF(COUNTA(T461:AH461)=0,"",AI461/(COUNT(KPI_Weights!$A$4:$A$18)*5))</f>
        <v/>
      </c>
      <c r="AK461" s="21">
        <f>IF(COUNTA(T461:AH461)=0,"",SUMPRODUCT(T461:AH461,KPI_Weights!$B$4:$B$18)/5)</f>
        <v/>
      </c>
      <c r="AL461" s="15">
        <f>IF(COUNTA(T461:AH461)=0,"",IF(SUMPRODUCT(--(T461:AH461&lt;=1),--(KPI_Weights!$C$4:$C$18="YES"))&gt;0,"YES","NO"))</f>
        <v/>
      </c>
      <c r="AM461" s="15">
        <f>IF(AJ461="","",IF(AND(AL461="NO",AJ461&gt;=0.75),"YES","NO"))</f>
        <v/>
      </c>
      <c r="AN461" s="15">
        <f>IF(AJ461="","",IF(AJ461&lt;0.4,"Critical",IF(AJ461&lt;0.6,"Poor",IF(AJ461&lt;0.75,"Needs Improvement",IF(AJ461&lt;0.9,"Good","Excellent")))))</f>
        <v/>
      </c>
      <c r="AO461" s="41" t="n"/>
      <c r="AP461" s="41" t="n"/>
      <c r="AQ461" s="41" t="n"/>
      <c r="AR461" s="41" t="n"/>
      <c r="AS461" s="41" t="n"/>
      <c r="AT461" s="44" t="n"/>
      <c r="AU461" s="41" t="n"/>
      <c r="AV461" s="43" t="n"/>
      <c r="AW461" s="41" t="n"/>
      <c r="AX461" s="44" t="n"/>
      <c r="AY461" s="44" t="n"/>
      <c r="AZ461" s="44" t="n"/>
      <c r="BA461" s="44" t="n"/>
      <c r="BB461" s="44" t="n"/>
      <c r="BC461" s="44" t="n"/>
      <c r="BD461" s="44" t="n"/>
      <c r="BE461" s="44" t="n"/>
      <c r="BF461" s="44" t="n"/>
    </row>
    <row r="462" ht="19.5" customHeight="1" s="45">
      <c r="A462" s="15">
        <f>IF($B462="","",TEXT($B462,"yyyymmdd")&amp;"-"&amp;SUBSTITUTE($F462," ","")&amp;"-"&amp;TEXT(COUNTIF($F$4:F462,$F462),"00"))</f>
        <v/>
      </c>
      <c r="B462" s="39" t="n"/>
      <c r="C462" s="15">
        <f>IF($B462="","",WEEKNUM($B462,2))</f>
        <v/>
      </c>
      <c r="D462" s="15">
        <f>IF($B462="","",TEXT($B462,"yyyy-mm"))</f>
        <v/>
      </c>
      <c r="E462" s="40" t="n"/>
      <c r="F462" s="40" t="n"/>
      <c r="G462" s="15">
        <f>IF(OR($E462="",$F462=""),"",IFERROR(IF($E462=INDEX(Cluster_Master!$A$4:$A$18,MATCH($F462,Cluster_Master!$B$4:$B$18,0)),"OK","CHECK"),"CHECK"))</f>
        <v/>
      </c>
      <c r="H462" s="18">
        <f>IFERROR(INDEX(Cluster_Master!$C$4:$C$18,MATCH($F462,Cluster_Master!$B$4:$B$18,0)),"")</f>
        <v/>
      </c>
      <c r="I462" s="15">
        <f>IFERROR(INDEX(Cluster_Master!$D$4:$D$18,MATCH($F462,Cluster_Master!$B$4:$B$18,0)),"")</f>
        <v/>
      </c>
      <c r="J462" s="15">
        <f>IFERROR(INDEX(Cluster_Master!$E$4:$E$18,MATCH($F462,Cluster_Master!$B$4:$B$18,0)),"")</f>
        <v/>
      </c>
      <c r="K462" s="15">
        <f>IFERROR(INDEX(Cluster_Master!$F$4:$F$18,MATCH($F462,Cluster_Master!$B$4:$B$18,0)),"")</f>
        <v/>
      </c>
      <c r="L462" s="15">
        <f>IFERROR(INDEX(Cluster_Master!$G$4:$G$18,MATCH($F462,Cluster_Master!$B$4:$B$18,0)),"")</f>
        <v/>
      </c>
      <c r="M462" s="15">
        <f>IFERROR(INDEX(Cluster_Master!$H$4:$H$18,MATCH($F462,Cluster_Master!$B$4:$B$18,0)),"")</f>
        <v/>
      </c>
      <c r="N462" s="41" t="n"/>
      <c r="O462" s="41" t="n"/>
      <c r="P462" s="41" t="n"/>
      <c r="Q462" s="41" t="n"/>
      <c r="R462" s="41" t="n"/>
      <c r="S462" s="41" t="n"/>
      <c r="T462" s="42" t="n"/>
      <c r="U462" s="42" t="n"/>
      <c r="V462" s="42" t="n"/>
      <c r="W462" s="42" t="n"/>
      <c r="X462" s="42" t="n"/>
      <c r="Y462" s="42" t="n"/>
      <c r="Z462" s="42" t="n"/>
      <c r="AA462" s="42" t="n"/>
      <c r="AB462" s="42" t="n"/>
      <c r="AC462" s="42" t="n"/>
      <c r="AD462" s="42" t="n"/>
      <c r="AE462" s="42" t="n"/>
      <c r="AF462" s="42" t="n"/>
      <c r="AG462" s="42" t="n"/>
      <c r="AH462" s="42" t="n"/>
      <c r="AI462" s="15">
        <f>IF(COUNTA(T462:AH462)=0,"",SUM(T462:AH462))</f>
        <v/>
      </c>
      <c r="AJ462" s="21">
        <f>IF(COUNTA(T462:AH462)=0,"",AI462/(COUNT(KPI_Weights!$A$4:$A$18)*5))</f>
        <v/>
      </c>
      <c r="AK462" s="21">
        <f>IF(COUNTA(T462:AH462)=0,"",SUMPRODUCT(T462:AH462,KPI_Weights!$B$4:$B$18)/5)</f>
        <v/>
      </c>
      <c r="AL462" s="15">
        <f>IF(COUNTA(T462:AH462)=0,"",IF(SUMPRODUCT(--(T462:AH462&lt;=1),--(KPI_Weights!$C$4:$C$18="YES"))&gt;0,"YES","NO"))</f>
        <v/>
      </c>
      <c r="AM462" s="15">
        <f>IF(AJ462="","",IF(AND(AL462="NO",AJ462&gt;=0.75),"YES","NO"))</f>
        <v/>
      </c>
      <c r="AN462" s="15">
        <f>IF(AJ462="","",IF(AJ462&lt;0.4,"Critical",IF(AJ462&lt;0.6,"Poor",IF(AJ462&lt;0.75,"Needs Improvement",IF(AJ462&lt;0.9,"Good","Excellent")))))</f>
        <v/>
      </c>
      <c r="AO462" s="41" t="n"/>
      <c r="AP462" s="41" t="n"/>
      <c r="AQ462" s="41" t="n"/>
      <c r="AR462" s="41" t="n"/>
      <c r="AS462" s="41" t="n"/>
      <c r="AT462" s="44" t="n"/>
      <c r="AU462" s="41" t="n"/>
      <c r="AV462" s="43" t="n"/>
      <c r="AW462" s="41" t="n"/>
      <c r="AX462" s="44" t="n"/>
      <c r="AY462" s="44" t="n"/>
      <c r="AZ462" s="44" t="n"/>
      <c r="BA462" s="44" t="n"/>
      <c r="BB462" s="44" t="n"/>
      <c r="BC462" s="44" t="n"/>
      <c r="BD462" s="44" t="n"/>
      <c r="BE462" s="44" t="n"/>
      <c r="BF462" s="44" t="n"/>
    </row>
    <row r="463" ht="19.5" customHeight="1" s="45">
      <c r="A463" s="15">
        <f>IF($B463="","",TEXT($B463,"yyyymmdd")&amp;"-"&amp;SUBSTITUTE($F463," ","")&amp;"-"&amp;TEXT(COUNTIF($F$4:F463,$F463),"00"))</f>
        <v/>
      </c>
      <c r="B463" s="39" t="n"/>
      <c r="C463" s="15">
        <f>IF($B463="","",WEEKNUM($B463,2))</f>
        <v/>
      </c>
      <c r="D463" s="15">
        <f>IF($B463="","",TEXT($B463,"yyyy-mm"))</f>
        <v/>
      </c>
      <c r="E463" s="40" t="n"/>
      <c r="F463" s="40" t="n"/>
      <c r="G463" s="15">
        <f>IF(OR($E463="",$F463=""),"",IFERROR(IF($E463=INDEX(Cluster_Master!$A$4:$A$18,MATCH($F463,Cluster_Master!$B$4:$B$18,0)),"OK","CHECK"),"CHECK"))</f>
        <v/>
      </c>
      <c r="H463" s="18">
        <f>IFERROR(INDEX(Cluster_Master!$C$4:$C$18,MATCH($F463,Cluster_Master!$B$4:$B$18,0)),"")</f>
        <v/>
      </c>
      <c r="I463" s="15">
        <f>IFERROR(INDEX(Cluster_Master!$D$4:$D$18,MATCH($F463,Cluster_Master!$B$4:$B$18,0)),"")</f>
        <v/>
      </c>
      <c r="J463" s="15">
        <f>IFERROR(INDEX(Cluster_Master!$E$4:$E$18,MATCH($F463,Cluster_Master!$B$4:$B$18,0)),"")</f>
        <v/>
      </c>
      <c r="K463" s="15">
        <f>IFERROR(INDEX(Cluster_Master!$F$4:$F$18,MATCH($F463,Cluster_Master!$B$4:$B$18,0)),"")</f>
        <v/>
      </c>
      <c r="L463" s="15">
        <f>IFERROR(INDEX(Cluster_Master!$G$4:$G$18,MATCH($F463,Cluster_Master!$B$4:$B$18,0)),"")</f>
        <v/>
      </c>
      <c r="M463" s="15">
        <f>IFERROR(INDEX(Cluster_Master!$H$4:$H$18,MATCH($F463,Cluster_Master!$B$4:$B$18,0)),"")</f>
        <v/>
      </c>
      <c r="N463" s="41" t="n"/>
      <c r="O463" s="41" t="n"/>
      <c r="P463" s="41" t="n"/>
      <c r="Q463" s="41" t="n"/>
      <c r="R463" s="41" t="n"/>
      <c r="S463" s="41" t="n"/>
      <c r="T463" s="42" t="n"/>
      <c r="U463" s="42" t="n"/>
      <c r="V463" s="42" t="n"/>
      <c r="W463" s="42" t="n"/>
      <c r="X463" s="42" t="n"/>
      <c r="Y463" s="42" t="n"/>
      <c r="Z463" s="42" t="n"/>
      <c r="AA463" s="42" t="n"/>
      <c r="AB463" s="42" t="n"/>
      <c r="AC463" s="42" t="n"/>
      <c r="AD463" s="42" t="n"/>
      <c r="AE463" s="42" t="n"/>
      <c r="AF463" s="42" t="n"/>
      <c r="AG463" s="42" t="n"/>
      <c r="AH463" s="42" t="n"/>
      <c r="AI463" s="15">
        <f>IF(COUNTA(T463:AH463)=0,"",SUM(T463:AH463))</f>
        <v/>
      </c>
      <c r="AJ463" s="21">
        <f>IF(COUNTA(T463:AH463)=0,"",AI463/(COUNT(KPI_Weights!$A$4:$A$18)*5))</f>
        <v/>
      </c>
      <c r="AK463" s="21">
        <f>IF(COUNTA(T463:AH463)=0,"",SUMPRODUCT(T463:AH463,KPI_Weights!$B$4:$B$18)/5)</f>
        <v/>
      </c>
      <c r="AL463" s="15">
        <f>IF(COUNTA(T463:AH463)=0,"",IF(SUMPRODUCT(--(T463:AH463&lt;=1),--(KPI_Weights!$C$4:$C$18="YES"))&gt;0,"YES","NO"))</f>
        <v/>
      </c>
      <c r="AM463" s="15">
        <f>IF(AJ463="","",IF(AND(AL463="NO",AJ463&gt;=0.75),"YES","NO"))</f>
        <v/>
      </c>
      <c r="AN463" s="15">
        <f>IF(AJ463="","",IF(AJ463&lt;0.4,"Critical",IF(AJ463&lt;0.6,"Poor",IF(AJ463&lt;0.75,"Needs Improvement",IF(AJ463&lt;0.9,"Good","Excellent")))))</f>
        <v/>
      </c>
      <c r="AO463" s="41" t="n"/>
      <c r="AP463" s="41" t="n"/>
      <c r="AQ463" s="41" t="n"/>
      <c r="AR463" s="41" t="n"/>
      <c r="AS463" s="41" t="n"/>
      <c r="AT463" s="44" t="n"/>
      <c r="AU463" s="41" t="n"/>
      <c r="AV463" s="43" t="n"/>
      <c r="AW463" s="41" t="n"/>
      <c r="AX463" s="44" t="n"/>
      <c r="AY463" s="44" t="n"/>
      <c r="AZ463" s="44" t="n"/>
      <c r="BA463" s="44" t="n"/>
      <c r="BB463" s="44" t="n"/>
      <c r="BC463" s="44" t="n"/>
      <c r="BD463" s="44" t="n"/>
      <c r="BE463" s="44" t="n"/>
      <c r="BF463" s="44" t="n"/>
    </row>
    <row r="464" ht="19.5" customHeight="1" s="45">
      <c r="A464" s="15">
        <f>IF($B464="","",TEXT($B464,"yyyymmdd")&amp;"-"&amp;SUBSTITUTE($F464," ","")&amp;"-"&amp;TEXT(COUNTIF($F$4:F464,$F464),"00"))</f>
        <v/>
      </c>
      <c r="B464" s="39" t="n"/>
      <c r="C464" s="15">
        <f>IF($B464="","",WEEKNUM($B464,2))</f>
        <v/>
      </c>
      <c r="D464" s="15">
        <f>IF($B464="","",TEXT($B464,"yyyy-mm"))</f>
        <v/>
      </c>
      <c r="E464" s="40" t="n"/>
      <c r="F464" s="40" t="n"/>
      <c r="G464" s="15">
        <f>IF(OR($E464="",$F464=""),"",IFERROR(IF($E464=INDEX(Cluster_Master!$A$4:$A$18,MATCH($F464,Cluster_Master!$B$4:$B$18,0)),"OK","CHECK"),"CHECK"))</f>
        <v/>
      </c>
      <c r="H464" s="18">
        <f>IFERROR(INDEX(Cluster_Master!$C$4:$C$18,MATCH($F464,Cluster_Master!$B$4:$B$18,0)),"")</f>
        <v/>
      </c>
      <c r="I464" s="15">
        <f>IFERROR(INDEX(Cluster_Master!$D$4:$D$18,MATCH($F464,Cluster_Master!$B$4:$B$18,0)),"")</f>
        <v/>
      </c>
      <c r="J464" s="15">
        <f>IFERROR(INDEX(Cluster_Master!$E$4:$E$18,MATCH($F464,Cluster_Master!$B$4:$B$18,0)),"")</f>
        <v/>
      </c>
      <c r="K464" s="15">
        <f>IFERROR(INDEX(Cluster_Master!$F$4:$F$18,MATCH($F464,Cluster_Master!$B$4:$B$18,0)),"")</f>
        <v/>
      </c>
      <c r="L464" s="15">
        <f>IFERROR(INDEX(Cluster_Master!$G$4:$G$18,MATCH($F464,Cluster_Master!$B$4:$B$18,0)),"")</f>
        <v/>
      </c>
      <c r="M464" s="15">
        <f>IFERROR(INDEX(Cluster_Master!$H$4:$H$18,MATCH($F464,Cluster_Master!$B$4:$B$18,0)),"")</f>
        <v/>
      </c>
      <c r="N464" s="41" t="n"/>
      <c r="O464" s="41" t="n"/>
      <c r="P464" s="41" t="n"/>
      <c r="Q464" s="41" t="n"/>
      <c r="R464" s="41" t="n"/>
      <c r="S464" s="41" t="n"/>
      <c r="T464" s="42" t="n"/>
      <c r="U464" s="42" t="n"/>
      <c r="V464" s="42" t="n"/>
      <c r="W464" s="42" t="n"/>
      <c r="X464" s="42" t="n"/>
      <c r="Y464" s="42" t="n"/>
      <c r="Z464" s="42" t="n"/>
      <c r="AA464" s="42" t="n"/>
      <c r="AB464" s="42" t="n"/>
      <c r="AC464" s="42" t="n"/>
      <c r="AD464" s="42" t="n"/>
      <c r="AE464" s="42" t="n"/>
      <c r="AF464" s="42" t="n"/>
      <c r="AG464" s="42" t="n"/>
      <c r="AH464" s="42" t="n"/>
      <c r="AI464" s="15">
        <f>IF(COUNTA(T464:AH464)=0,"",SUM(T464:AH464))</f>
        <v/>
      </c>
      <c r="AJ464" s="21">
        <f>IF(COUNTA(T464:AH464)=0,"",AI464/(COUNT(KPI_Weights!$A$4:$A$18)*5))</f>
        <v/>
      </c>
      <c r="AK464" s="21">
        <f>IF(COUNTA(T464:AH464)=0,"",SUMPRODUCT(T464:AH464,KPI_Weights!$B$4:$B$18)/5)</f>
        <v/>
      </c>
      <c r="AL464" s="15">
        <f>IF(COUNTA(T464:AH464)=0,"",IF(SUMPRODUCT(--(T464:AH464&lt;=1),--(KPI_Weights!$C$4:$C$18="YES"))&gt;0,"YES","NO"))</f>
        <v/>
      </c>
      <c r="AM464" s="15">
        <f>IF(AJ464="","",IF(AND(AL464="NO",AJ464&gt;=0.75),"YES","NO"))</f>
        <v/>
      </c>
      <c r="AN464" s="15">
        <f>IF(AJ464="","",IF(AJ464&lt;0.4,"Critical",IF(AJ464&lt;0.6,"Poor",IF(AJ464&lt;0.75,"Needs Improvement",IF(AJ464&lt;0.9,"Good","Excellent")))))</f>
        <v/>
      </c>
      <c r="AO464" s="41" t="n"/>
      <c r="AP464" s="41" t="n"/>
      <c r="AQ464" s="41" t="n"/>
      <c r="AR464" s="41" t="n"/>
      <c r="AS464" s="41" t="n"/>
      <c r="AT464" s="44" t="n"/>
      <c r="AU464" s="41" t="n"/>
      <c r="AV464" s="43" t="n"/>
      <c r="AW464" s="41" t="n"/>
      <c r="AX464" s="44" t="n"/>
      <c r="AY464" s="44" t="n"/>
      <c r="AZ464" s="44" t="n"/>
      <c r="BA464" s="44" t="n"/>
      <c r="BB464" s="44" t="n"/>
      <c r="BC464" s="44" t="n"/>
      <c r="BD464" s="44" t="n"/>
      <c r="BE464" s="44" t="n"/>
      <c r="BF464" s="44" t="n"/>
    </row>
    <row r="465" ht="19.5" customHeight="1" s="45">
      <c r="A465" s="15">
        <f>IF($B465="","",TEXT($B465,"yyyymmdd")&amp;"-"&amp;SUBSTITUTE($F465," ","")&amp;"-"&amp;TEXT(COUNTIF($F$4:F465,$F465),"00"))</f>
        <v/>
      </c>
      <c r="B465" s="39" t="n"/>
      <c r="C465" s="15">
        <f>IF($B465="","",WEEKNUM($B465,2))</f>
        <v/>
      </c>
      <c r="D465" s="15">
        <f>IF($B465="","",TEXT($B465,"yyyy-mm"))</f>
        <v/>
      </c>
      <c r="E465" s="40" t="n"/>
      <c r="F465" s="40" t="n"/>
      <c r="G465" s="15">
        <f>IF(OR($E465="",$F465=""),"",IFERROR(IF($E465=INDEX(Cluster_Master!$A$4:$A$18,MATCH($F465,Cluster_Master!$B$4:$B$18,0)),"OK","CHECK"),"CHECK"))</f>
        <v/>
      </c>
      <c r="H465" s="18">
        <f>IFERROR(INDEX(Cluster_Master!$C$4:$C$18,MATCH($F465,Cluster_Master!$B$4:$B$18,0)),"")</f>
        <v/>
      </c>
      <c r="I465" s="15">
        <f>IFERROR(INDEX(Cluster_Master!$D$4:$D$18,MATCH($F465,Cluster_Master!$B$4:$B$18,0)),"")</f>
        <v/>
      </c>
      <c r="J465" s="15">
        <f>IFERROR(INDEX(Cluster_Master!$E$4:$E$18,MATCH($F465,Cluster_Master!$B$4:$B$18,0)),"")</f>
        <v/>
      </c>
      <c r="K465" s="15">
        <f>IFERROR(INDEX(Cluster_Master!$F$4:$F$18,MATCH($F465,Cluster_Master!$B$4:$B$18,0)),"")</f>
        <v/>
      </c>
      <c r="L465" s="15">
        <f>IFERROR(INDEX(Cluster_Master!$G$4:$G$18,MATCH($F465,Cluster_Master!$B$4:$B$18,0)),"")</f>
        <v/>
      </c>
      <c r="M465" s="15">
        <f>IFERROR(INDEX(Cluster_Master!$H$4:$H$18,MATCH($F465,Cluster_Master!$B$4:$B$18,0)),"")</f>
        <v/>
      </c>
      <c r="N465" s="41" t="n"/>
      <c r="O465" s="41" t="n"/>
      <c r="P465" s="41" t="n"/>
      <c r="Q465" s="41" t="n"/>
      <c r="R465" s="41" t="n"/>
      <c r="S465" s="41" t="n"/>
      <c r="T465" s="42" t="n"/>
      <c r="U465" s="42" t="n"/>
      <c r="V465" s="42" t="n"/>
      <c r="W465" s="42" t="n"/>
      <c r="X465" s="42" t="n"/>
      <c r="Y465" s="42" t="n"/>
      <c r="Z465" s="42" t="n"/>
      <c r="AA465" s="42" t="n"/>
      <c r="AB465" s="42" t="n"/>
      <c r="AC465" s="42" t="n"/>
      <c r="AD465" s="42" t="n"/>
      <c r="AE465" s="42" t="n"/>
      <c r="AF465" s="42" t="n"/>
      <c r="AG465" s="42" t="n"/>
      <c r="AH465" s="42" t="n"/>
      <c r="AI465" s="15">
        <f>IF(COUNTA(T465:AH465)=0,"",SUM(T465:AH465))</f>
        <v/>
      </c>
      <c r="AJ465" s="21">
        <f>IF(COUNTA(T465:AH465)=0,"",AI465/(COUNT(KPI_Weights!$A$4:$A$18)*5))</f>
        <v/>
      </c>
      <c r="AK465" s="21">
        <f>IF(COUNTA(T465:AH465)=0,"",SUMPRODUCT(T465:AH465,KPI_Weights!$B$4:$B$18)/5)</f>
        <v/>
      </c>
      <c r="AL465" s="15">
        <f>IF(COUNTA(T465:AH465)=0,"",IF(SUMPRODUCT(--(T465:AH465&lt;=1),--(KPI_Weights!$C$4:$C$18="YES"))&gt;0,"YES","NO"))</f>
        <v/>
      </c>
      <c r="AM465" s="15">
        <f>IF(AJ465="","",IF(AND(AL465="NO",AJ465&gt;=0.75),"YES","NO"))</f>
        <v/>
      </c>
      <c r="AN465" s="15">
        <f>IF(AJ465="","",IF(AJ465&lt;0.4,"Critical",IF(AJ465&lt;0.6,"Poor",IF(AJ465&lt;0.75,"Needs Improvement",IF(AJ465&lt;0.9,"Good","Excellent")))))</f>
        <v/>
      </c>
      <c r="AO465" s="41" t="n"/>
      <c r="AP465" s="41" t="n"/>
      <c r="AQ465" s="41" t="n"/>
      <c r="AR465" s="41" t="n"/>
      <c r="AS465" s="41" t="n"/>
      <c r="AT465" s="44" t="n"/>
      <c r="AU465" s="41" t="n"/>
      <c r="AV465" s="43" t="n"/>
      <c r="AW465" s="41" t="n"/>
      <c r="AX465" s="44" t="n"/>
      <c r="AY465" s="44" t="n"/>
      <c r="AZ465" s="44" t="n"/>
      <c r="BA465" s="44" t="n"/>
      <c r="BB465" s="44" t="n"/>
      <c r="BC465" s="44" t="n"/>
      <c r="BD465" s="44" t="n"/>
      <c r="BE465" s="44" t="n"/>
      <c r="BF465" s="44" t="n"/>
    </row>
    <row r="466" ht="19.5" customHeight="1" s="45">
      <c r="A466" s="15">
        <f>IF($B466="","",TEXT($B466,"yyyymmdd")&amp;"-"&amp;SUBSTITUTE($F466," ","")&amp;"-"&amp;TEXT(COUNTIF($F$4:F466,$F466),"00"))</f>
        <v/>
      </c>
      <c r="B466" s="39" t="n"/>
      <c r="C466" s="15">
        <f>IF($B466="","",WEEKNUM($B466,2))</f>
        <v/>
      </c>
      <c r="D466" s="15">
        <f>IF($B466="","",TEXT($B466,"yyyy-mm"))</f>
        <v/>
      </c>
      <c r="E466" s="40" t="n"/>
      <c r="F466" s="40" t="n"/>
      <c r="G466" s="15">
        <f>IF(OR($E466="",$F466=""),"",IFERROR(IF($E466=INDEX(Cluster_Master!$A$4:$A$18,MATCH($F466,Cluster_Master!$B$4:$B$18,0)),"OK","CHECK"),"CHECK"))</f>
        <v/>
      </c>
      <c r="H466" s="18">
        <f>IFERROR(INDEX(Cluster_Master!$C$4:$C$18,MATCH($F466,Cluster_Master!$B$4:$B$18,0)),"")</f>
        <v/>
      </c>
      <c r="I466" s="15">
        <f>IFERROR(INDEX(Cluster_Master!$D$4:$D$18,MATCH($F466,Cluster_Master!$B$4:$B$18,0)),"")</f>
        <v/>
      </c>
      <c r="J466" s="15">
        <f>IFERROR(INDEX(Cluster_Master!$E$4:$E$18,MATCH($F466,Cluster_Master!$B$4:$B$18,0)),"")</f>
        <v/>
      </c>
      <c r="K466" s="15">
        <f>IFERROR(INDEX(Cluster_Master!$F$4:$F$18,MATCH($F466,Cluster_Master!$B$4:$B$18,0)),"")</f>
        <v/>
      </c>
      <c r="L466" s="15">
        <f>IFERROR(INDEX(Cluster_Master!$G$4:$G$18,MATCH($F466,Cluster_Master!$B$4:$B$18,0)),"")</f>
        <v/>
      </c>
      <c r="M466" s="15">
        <f>IFERROR(INDEX(Cluster_Master!$H$4:$H$18,MATCH($F466,Cluster_Master!$B$4:$B$18,0)),"")</f>
        <v/>
      </c>
      <c r="N466" s="41" t="n"/>
      <c r="O466" s="41" t="n"/>
      <c r="P466" s="41" t="n"/>
      <c r="Q466" s="41" t="n"/>
      <c r="R466" s="41" t="n"/>
      <c r="S466" s="41" t="n"/>
      <c r="T466" s="42" t="n"/>
      <c r="U466" s="42" t="n"/>
      <c r="V466" s="42" t="n"/>
      <c r="W466" s="42" t="n"/>
      <c r="X466" s="42" t="n"/>
      <c r="Y466" s="42" t="n"/>
      <c r="Z466" s="42" t="n"/>
      <c r="AA466" s="42" t="n"/>
      <c r="AB466" s="42" t="n"/>
      <c r="AC466" s="42" t="n"/>
      <c r="AD466" s="42" t="n"/>
      <c r="AE466" s="42" t="n"/>
      <c r="AF466" s="42" t="n"/>
      <c r="AG466" s="42" t="n"/>
      <c r="AH466" s="42" t="n"/>
      <c r="AI466" s="15">
        <f>IF(COUNTA(T466:AH466)=0,"",SUM(T466:AH466))</f>
        <v/>
      </c>
      <c r="AJ466" s="21">
        <f>IF(COUNTA(T466:AH466)=0,"",AI466/(COUNT(KPI_Weights!$A$4:$A$18)*5))</f>
        <v/>
      </c>
      <c r="AK466" s="21">
        <f>IF(COUNTA(T466:AH466)=0,"",SUMPRODUCT(T466:AH466,KPI_Weights!$B$4:$B$18)/5)</f>
        <v/>
      </c>
      <c r="AL466" s="15">
        <f>IF(COUNTA(T466:AH466)=0,"",IF(SUMPRODUCT(--(T466:AH466&lt;=1),--(KPI_Weights!$C$4:$C$18="YES"))&gt;0,"YES","NO"))</f>
        <v/>
      </c>
      <c r="AM466" s="15">
        <f>IF(AJ466="","",IF(AND(AL466="NO",AJ466&gt;=0.75),"YES","NO"))</f>
        <v/>
      </c>
      <c r="AN466" s="15">
        <f>IF(AJ466="","",IF(AJ466&lt;0.4,"Critical",IF(AJ466&lt;0.6,"Poor",IF(AJ466&lt;0.75,"Needs Improvement",IF(AJ466&lt;0.9,"Good","Excellent")))))</f>
        <v/>
      </c>
      <c r="AO466" s="41" t="n"/>
      <c r="AP466" s="41" t="n"/>
      <c r="AQ466" s="41" t="n"/>
      <c r="AR466" s="41" t="n"/>
      <c r="AS466" s="41" t="n"/>
      <c r="AT466" s="44" t="n"/>
      <c r="AU466" s="41" t="n"/>
      <c r="AV466" s="43" t="n"/>
      <c r="AW466" s="41" t="n"/>
      <c r="AX466" s="44" t="n"/>
      <c r="AY466" s="44" t="n"/>
      <c r="AZ466" s="44" t="n"/>
      <c r="BA466" s="44" t="n"/>
      <c r="BB466" s="44" t="n"/>
      <c r="BC466" s="44" t="n"/>
      <c r="BD466" s="44" t="n"/>
      <c r="BE466" s="44" t="n"/>
      <c r="BF466" s="44" t="n"/>
    </row>
    <row r="467" ht="19.5" customHeight="1" s="45">
      <c r="A467" s="15">
        <f>IF($B467="","",TEXT($B467,"yyyymmdd")&amp;"-"&amp;SUBSTITUTE($F467," ","")&amp;"-"&amp;TEXT(COUNTIF($F$4:F467,$F467),"00"))</f>
        <v/>
      </c>
      <c r="B467" s="39" t="n"/>
      <c r="C467" s="15">
        <f>IF($B467="","",WEEKNUM($B467,2))</f>
        <v/>
      </c>
      <c r="D467" s="15">
        <f>IF($B467="","",TEXT($B467,"yyyy-mm"))</f>
        <v/>
      </c>
      <c r="E467" s="40" t="n"/>
      <c r="F467" s="40" t="n"/>
      <c r="G467" s="15">
        <f>IF(OR($E467="",$F467=""),"",IFERROR(IF($E467=INDEX(Cluster_Master!$A$4:$A$18,MATCH($F467,Cluster_Master!$B$4:$B$18,0)),"OK","CHECK"),"CHECK"))</f>
        <v/>
      </c>
      <c r="H467" s="18">
        <f>IFERROR(INDEX(Cluster_Master!$C$4:$C$18,MATCH($F467,Cluster_Master!$B$4:$B$18,0)),"")</f>
        <v/>
      </c>
      <c r="I467" s="15">
        <f>IFERROR(INDEX(Cluster_Master!$D$4:$D$18,MATCH($F467,Cluster_Master!$B$4:$B$18,0)),"")</f>
        <v/>
      </c>
      <c r="J467" s="15">
        <f>IFERROR(INDEX(Cluster_Master!$E$4:$E$18,MATCH($F467,Cluster_Master!$B$4:$B$18,0)),"")</f>
        <v/>
      </c>
      <c r="K467" s="15">
        <f>IFERROR(INDEX(Cluster_Master!$F$4:$F$18,MATCH($F467,Cluster_Master!$B$4:$B$18,0)),"")</f>
        <v/>
      </c>
      <c r="L467" s="15">
        <f>IFERROR(INDEX(Cluster_Master!$G$4:$G$18,MATCH($F467,Cluster_Master!$B$4:$B$18,0)),"")</f>
        <v/>
      </c>
      <c r="M467" s="15">
        <f>IFERROR(INDEX(Cluster_Master!$H$4:$H$18,MATCH($F467,Cluster_Master!$B$4:$B$18,0)),"")</f>
        <v/>
      </c>
      <c r="N467" s="41" t="n"/>
      <c r="O467" s="41" t="n"/>
      <c r="P467" s="41" t="n"/>
      <c r="Q467" s="41" t="n"/>
      <c r="R467" s="41" t="n"/>
      <c r="S467" s="41" t="n"/>
      <c r="T467" s="42" t="n"/>
      <c r="U467" s="42" t="n"/>
      <c r="V467" s="42" t="n"/>
      <c r="W467" s="42" t="n"/>
      <c r="X467" s="42" t="n"/>
      <c r="Y467" s="42" t="n"/>
      <c r="Z467" s="42" t="n"/>
      <c r="AA467" s="42" t="n"/>
      <c r="AB467" s="42" t="n"/>
      <c r="AC467" s="42" t="n"/>
      <c r="AD467" s="42" t="n"/>
      <c r="AE467" s="42" t="n"/>
      <c r="AF467" s="42" t="n"/>
      <c r="AG467" s="42" t="n"/>
      <c r="AH467" s="42" t="n"/>
      <c r="AI467" s="15">
        <f>IF(COUNTA(T467:AH467)=0,"",SUM(T467:AH467))</f>
        <v/>
      </c>
      <c r="AJ467" s="21">
        <f>IF(COUNTA(T467:AH467)=0,"",AI467/(COUNT(KPI_Weights!$A$4:$A$18)*5))</f>
        <v/>
      </c>
      <c r="AK467" s="21">
        <f>IF(COUNTA(T467:AH467)=0,"",SUMPRODUCT(T467:AH467,KPI_Weights!$B$4:$B$18)/5)</f>
        <v/>
      </c>
      <c r="AL467" s="15">
        <f>IF(COUNTA(T467:AH467)=0,"",IF(SUMPRODUCT(--(T467:AH467&lt;=1),--(KPI_Weights!$C$4:$C$18="YES"))&gt;0,"YES","NO"))</f>
        <v/>
      </c>
      <c r="AM467" s="15">
        <f>IF(AJ467="","",IF(AND(AL467="NO",AJ467&gt;=0.75),"YES","NO"))</f>
        <v/>
      </c>
      <c r="AN467" s="15">
        <f>IF(AJ467="","",IF(AJ467&lt;0.4,"Critical",IF(AJ467&lt;0.6,"Poor",IF(AJ467&lt;0.75,"Needs Improvement",IF(AJ467&lt;0.9,"Good","Excellent")))))</f>
        <v/>
      </c>
      <c r="AO467" s="41" t="n"/>
      <c r="AP467" s="41" t="n"/>
      <c r="AQ467" s="41" t="n"/>
      <c r="AR467" s="41" t="n"/>
      <c r="AS467" s="41" t="n"/>
      <c r="AT467" s="44" t="n"/>
      <c r="AU467" s="41" t="n"/>
      <c r="AV467" s="43" t="n"/>
      <c r="AW467" s="41" t="n"/>
      <c r="AX467" s="44" t="n"/>
      <c r="AY467" s="44" t="n"/>
      <c r="AZ467" s="44" t="n"/>
      <c r="BA467" s="44" t="n"/>
      <c r="BB467" s="44" t="n"/>
      <c r="BC467" s="44" t="n"/>
      <c r="BD467" s="44" t="n"/>
      <c r="BE467" s="44" t="n"/>
      <c r="BF467" s="44" t="n"/>
    </row>
    <row r="468" ht="19.5" customHeight="1" s="45">
      <c r="A468" s="15">
        <f>IF($B468="","",TEXT($B468,"yyyymmdd")&amp;"-"&amp;SUBSTITUTE($F468," ","")&amp;"-"&amp;TEXT(COUNTIF($F$4:F468,$F468),"00"))</f>
        <v/>
      </c>
      <c r="B468" s="39" t="n"/>
      <c r="C468" s="15">
        <f>IF($B468="","",WEEKNUM($B468,2))</f>
        <v/>
      </c>
      <c r="D468" s="15">
        <f>IF($B468="","",TEXT($B468,"yyyy-mm"))</f>
        <v/>
      </c>
      <c r="E468" s="40" t="n"/>
      <c r="F468" s="40" t="n"/>
      <c r="G468" s="15">
        <f>IF(OR($E468="",$F468=""),"",IFERROR(IF($E468=INDEX(Cluster_Master!$A$4:$A$18,MATCH($F468,Cluster_Master!$B$4:$B$18,0)),"OK","CHECK"),"CHECK"))</f>
        <v/>
      </c>
      <c r="H468" s="18">
        <f>IFERROR(INDEX(Cluster_Master!$C$4:$C$18,MATCH($F468,Cluster_Master!$B$4:$B$18,0)),"")</f>
        <v/>
      </c>
      <c r="I468" s="15">
        <f>IFERROR(INDEX(Cluster_Master!$D$4:$D$18,MATCH($F468,Cluster_Master!$B$4:$B$18,0)),"")</f>
        <v/>
      </c>
      <c r="J468" s="15">
        <f>IFERROR(INDEX(Cluster_Master!$E$4:$E$18,MATCH($F468,Cluster_Master!$B$4:$B$18,0)),"")</f>
        <v/>
      </c>
      <c r="K468" s="15">
        <f>IFERROR(INDEX(Cluster_Master!$F$4:$F$18,MATCH($F468,Cluster_Master!$B$4:$B$18,0)),"")</f>
        <v/>
      </c>
      <c r="L468" s="15">
        <f>IFERROR(INDEX(Cluster_Master!$G$4:$G$18,MATCH($F468,Cluster_Master!$B$4:$B$18,0)),"")</f>
        <v/>
      </c>
      <c r="M468" s="15">
        <f>IFERROR(INDEX(Cluster_Master!$H$4:$H$18,MATCH($F468,Cluster_Master!$B$4:$B$18,0)),"")</f>
        <v/>
      </c>
      <c r="N468" s="41" t="n"/>
      <c r="O468" s="41" t="n"/>
      <c r="P468" s="41" t="n"/>
      <c r="Q468" s="41" t="n"/>
      <c r="R468" s="41" t="n"/>
      <c r="S468" s="41" t="n"/>
      <c r="T468" s="42" t="n"/>
      <c r="U468" s="42" t="n"/>
      <c r="V468" s="42" t="n"/>
      <c r="W468" s="42" t="n"/>
      <c r="X468" s="42" t="n"/>
      <c r="Y468" s="42" t="n"/>
      <c r="Z468" s="42" t="n"/>
      <c r="AA468" s="42" t="n"/>
      <c r="AB468" s="42" t="n"/>
      <c r="AC468" s="42" t="n"/>
      <c r="AD468" s="42" t="n"/>
      <c r="AE468" s="42" t="n"/>
      <c r="AF468" s="42" t="n"/>
      <c r="AG468" s="42" t="n"/>
      <c r="AH468" s="42" t="n"/>
      <c r="AI468" s="15">
        <f>IF(COUNTA(T468:AH468)=0,"",SUM(T468:AH468))</f>
        <v/>
      </c>
      <c r="AJ468" s="21">
        <f>IF(COUNTA(T468:AH468)=0,"",AI468/(COUNT(KPI_Weights!$A$4:$A$18)*5))</f>
        <v/>
      </c>
      <c r="AK468" s="21">
        <f>IF(COUNTA(T468:AH468)=0,"",SUMPRODUCT(T468:AH468,KPI_Weights!$B$4:$B$18)/5)</f>
        <v/>
      </c>
      <c r="AL468" s="15">
        <f>IF(COUNTA(T468:AH468)=0,"",IF(SUMPRODUCT(--(T468:AH468&lt;=1),--(KPI_Weights!$C$4:$C$18="YES"))&gt;0,"YES","NO"))</f>
        <v/>
      </c>
      <c r="AM468" s="15">
        <f>IF(AJ468="","",IF(AND(AL468="NO",AJ468&gt;=0.75),"YES","NO"))</f>
        <v/>
      </c>
      <c r="AN468" s="15">
        <f>IF(AJ468="","",IF(AJ468&lt;0.4,"Critical",IF(AJ468&lt;0.6,"Poor",IF(AJ468&lt;0.75,"Needs Improvement",IF(AJ468&lt;0.9,"Good","Excellent")))))</f>
        <v/>
      </c>
      <c r="AO468" s="41" t="n"/>
      <c r="AP468" s="41" t="n"/>
      <c r="AQ468" s="41" t="n"/>
      <c r="AR468" s="41" t="n"/>
      <c r="AS468" s="41" t="n"/>
      <c r="AT468" s="44" t="n"/>
      <c r="AU468" s="41" t="n"/>
      <c r="AV468" s="43" t="n"/>
      <c r="AW468" s="41" t="n"/>
      <c r="AX468" s="44" t="n"/>
      <c r="AY468" s="44" t="n"/>
      <c r="AZ468" s="44" t="n"/>
      <c r="BA468" s="44" t="n"/>
      <c r="BB468" s="44" t="n"/>
      <c r="BC468" s="44" t="n"/>
      <c r="BD468" s="44" t="n"/>
      <c r="BE468" s="44" t="n"/>
      <c r="BF468" s="44" t="n"/>
    </row>
    <row r="469" ht="19.5" customHeight="1" s="45">
      <c r="A469" s="15">
        <f>IF($B469="","",TEXT($B469,"yyyymmdd")&amp;"-"&amp;SUBSTITUTE($F469," ","")&amp;"-"&amp;TEXT(COUNTIF($F$4:F469,$F469),"00"))</f>
        <v/>
      </c>
      <c r="B469" s="39" t="n"/>
      <c r="C469" s="15">
        <f>IF($B469="","",WEEKNUM($B469,2))</f>
        <v/>
      </c>
      <c r="D469" s="15">
        <f>IF($B469="","",TEXT($B469,"yyyy-mm"))</f>
        <v/>
      </c>
      <c r="E469" s="40" t="n"/>
      <c r="F469" s="40" t="n"/>
      <c r="G469" s="15">
        <f>IF(OR($E469="",$F469=""),"",IFERROR(IF($E469=INDEX(Cluster_Master!$A$4:$A$18,MATCH($F469,Cluster_Master!$B$4:$B$18,0)),"OK","CHECK"),"CHECK"))</f>
        <v/>
      </c>
      <c r="H469" s="18">
        <f>IFERROR(INDEX(Cluster_Master!$C$4:$C$18,MATCH($F469,Cluster_Master!$B$4:$B$18,0)),"")</f>
        <v/>
      </c>
      <c r="I469" s="15">
        <f>IFERROR(INDEX(Cluster_Master!$D$4:$D$18,MATCH($F469,Cluster_Master!$B$4:$B$18,0)),"")</f>
        <v/>
      </c>
      <c r="J469" s="15">
        <f>IFERROR(INDEX(Cluster_Master!$E$4:$E$18,MATCH($F469,Cluster_Master!$B$4:$B$18,0)),"")</f>
        <v/>
      </c>
      <c r="K469" s="15">
        <f>IFERROR(INDEX(Cluster_Master!$F$4:$F$18,MATCH($F469,Cluster_Master!$B$4:$B$18,0)),"")</f>
        <v/>
      </c>
      <c r="L469" s="15">
        <f>IFERROR(INDEX(Cluster_Master!$G$4:$G$18,MATCH($F469,Cluster_Master!$B$4:$B$18,0)),"")</f>
        <v/>
      </c>
      <c r="M469" s="15">
        <f>IFERROR(INDEX(Cluster_Master!$H$4:$H$18,MATCH($F469,Cluster_Master!$B$4:$B$18,0)),"")</f>
        <v/>
      </c>
      <c r="N469" s="41" t="n"/>
      <c r="O469" s="41" t="n"/>
      <c r="P469" s="41" t="n"/>
      <c r="Q469" s="41" t="n"/>
      <c r="R469" s="41" t="n"/>
      <c r="S469" s="41" t="n"/>
      <c r="T469" s="42" t="n"/>
      <c r="U469" s="42" t="n"/>
      <c r="V469" s="42" t="n"/>
      <c r="W469" s="42" t="n"/>
      <c r="X469" s="42" t="n"/>
      <c r="Y469" s="42" t="n"/>
      <c r="Z469" s="42" t="n"/>
      <c r="AA469" s="42" t="n"/>
      <c r="AB469" s="42" t="n"/>
      <c r="AC469" s="42" t="n"/>
      <c r="AD469" s="42" t="n"/>
      <c r="AE469" s="42" t="n"/>
      <c r="AF469" s="42" t="n"/>
      <c r="AG469" s="42" t="n"/>
      <c r="AH469" s="42" t="n"/>
      <c r="AI469" s="15">
        <f>IF(COUNTA(T469:AH469)=0,"",SUM(T469:AH469))</f>
        <v/>
      </c>
      <c r="AJ469" s="21">
        <f>IF(COUNTA(T469:AH469)=0,"",AI469/(COUNT(KPI_Weights!$A$4:$A$18)*5))</f>
        <v/>
      </c>
      <c r="AK469" s="21">
        <f>IF(COUNTA(T469:AH469)=0,"",SUMPRODUCT(T469:AH469,KPI_Weights!$B$4:$B$18)/5)</f>
        <v/>
      </c>
      <c r="AL469" s="15">
        <f>IF(COUNTA(T469:AH469)=0,"",IF(SUMPRODUCT(--(T469:AH469&lt;=1),--(KPI_Weights!$C$4:$C$18="YES"))&gt;0,"YES","NO"))</f>
        <v/>
      </c>
      <c r="AM469" s="15">
        <f>IF(AJ469="","",IF(AND(AL469="NO",AJ469&gt;=0.75),"YES","NO"))</f>
        <v/>
      </c>
      <c r="AN469" s="15">
        <f>IF(AJ469="","",IF(AJ469&lt;0.4,"Critical",IF(AJ469&lt;0.6,"Poor",IF(AJ469&lt;0.75,"Needs Improvement",IF(AJ469&lt;0.9,"Good","Excellent")))))</f>
        <v/>
      </c>
      <c r="AO469" s="41" t="n"/>
      <c r="AP469" s="41" t="n"/>
      <c r="AQ469" s="41" t="n"/>
      <c r="AR469" s="41" t="n"/>
      <c r="AS469" s="41" t="n"/>
      <c r="AT469" s="44" t="n"/>
      <c r="AU469" s="41" t="n"/>
      <c r="AV469" s="43" t="n"/>
      <c r="AW469" s="41" t="n"/>
      <c r="AX469" s="44" t="n"/>
      <c r="AY469" s="44" t="n"/>
      <c r="AZ469" s="44" t="n"/>
      <c r="BA469" s="44" t="n"/>
      <c r="BB469" s="44" t="n"/>
      <c r="BC469" s="44" t="n"/>
      <c r="BD469" s="44" t="n"/>
      <c r="BE469" s="44" t="n"/>
      <c r="BF469" s="44" t="n"/>
    </row>
    <row r="470" ht="19.5" customHeight="1" s="45">
      <c r="A470" s="15">
        <f>IF($B470="","",TEXT($B470,"yyyymmdd")&amp;"-"&amp;SUBSTITUTE($F470," ","")&amp;"-"&amp;TEXT(COUNTIF($F$4:F470,$F470),"00"))</f>
        <v/>
      </c>
      <c r="B470" s="39" t="n"/>
      <c r="C470" s="15">
        <f>IF($B470="","",WEEKNUM($B470,2))</f>
        <v/>
      </c>
      <c r="D470" s="15">
        <f>IF($B470="","",TEXT($B470,"yyyy-mm"))</f>
        <v/>
      </c>
      <c r="E470" s="40" t="n"/>
      <c r="F470" s="40" t="n"/>
      <c r="G470" s="15">
        <f>IF(OR($E470="",$F470=""),"",IFERROR(IF($E470=INDEX(Cluster_Master!$A$4:$A$18,MATCH($F470,Cluster_Master!$B$4:$B$18,0)),"OK","CHECK"),"CHECK"))</f>
        <v/>
      </c>
      <c r="H470" s="18">
        <f>IFERROR(INDEX(Cluster_Master!$C$4:$C$18,MATCH($F470,Cluster_Master!$B$4:$B$18,0)),"")</f>
        <v/>
      </c>
      <c r="I470" s="15">
        <f>IFERROR(INDEX(Cluster_Master!$D$4:$D$18,MATCH($F470,Cluster_Master!$B$4:$B$18,0)),"")</f>
        <v/>
      </c>
      <c r="J470" s="15">
        <f>IFERROR(INDEX(Cluster_Master!$E$4:$E$18,MATCH($F470,Cluster_Master!$B$4:$B$18,0)),"")</f>
        <v/>
      </c>
      <c r="K470" s="15">
        <f>IFERROR(INDEX(Cluster_Master!$F$4:$F$18,MATCH($F470,Cluster_Master!$B$4:$B$18,0)),"")</f>
        <v/>
      </c>
      <c r="L470" s="15">
        <f>IFERROR(INDEX(Cluster_Master!$G$4:$G$18,MATCH($F470,Cluster_Master!$B$4:$B$18,0)),"")</f>
        <v/>
      </c>
      <c r="M470" s="15">
        <f>IFERROR(INDEX(Cluster_Master!$H$4:$H$18,MATCH($F470,Cluster_Master!$B$4:$B$18,0)),"")</f>
        <v/>
      </c>
      <c r="N470" s="41" t="n"/>
      <c r="O470" s="41" t="n"/>
      <c r="P470" s="41" t="n"/>
      <c r="Q470" s="41" t="n"/>
      <c r="R470" s="41" t="n"/>
      <c r="S470" s="41" t="n"/>
      <c r="T470" s="42" t="n"/>
      <c r="U470" s="42" t="n"/>
      <c r="V470" s="42" t="n"/>
      <c r="W470" s="42" t="n"/>
      <c r="X470" s="42" t="n"/>
      <c r="Y470" s="42" t="n"/>
      <c r="Z470" s="42" t="n"/>
      <c r="AA470" s="42" t="n"/>
      <c r="AB470" s="42" t="n"/>
      <c r="AC470" s="42" t="n"/>
      <c r="AD470" s="42" t="n"/>
      <c r="AE470" s="42" t="n"/>
      <c r="AF470" s="42" t="n"/>
      <c r="AG470" s="42" t="n"/>
      <c r="AH470" s="42" t="n"/>
      <c r="AI470" s="15">
        <f>IF(COUNTA(T470:AH470)=0,"",SUM(T470:AH470))</f>
        <v/>
      </c>
      <c r="AJ470" s="21">
        <f>IF(COUNTA(T470:AH470)=0,"",AI470/(COUNT(KPI_Weights!$A$4:$A$18)*5))</f>
        <v/>
      </c>
      <c r="AK470" s="21">
        <f>IF(COUNTA(T470:AH470)=0,"",SUMPRODUCT(T470:AH470,KPI_Weights!$B$4:$B$18)/5)</f>
        <v/>
      </c>
      <c r="AL470" s="15">
        <f>IF(COUNTA(T470:AH470)=0,"",IF(SUMPRODUCT(--(T470:AH470&lt;=1),--(KPI_Weights!$C$4:$C$18="YES"))&gt;0,"YES","NO"))</f>
        <v/>
      </c>
      <c r="AM470" s="15">
        <f>IF(AJ470="","",IF(AND(AL470="NO",AJ470&gt;=0.75),"YES","NO"))</f>
        <v/>
      </c>
      <c r="AN470" s="15">
        <f>IF(AJ470="","",IF(AJ470&lt;0.4,"Critical",IF(AJ470&lt;0.6,"Poor",IF(AJ470&lt;0.75,"Needs Improvement",IF(AJ470&lt;0.9,"Good","Excellent")))))</f>
        <v/>
      </c>
      <c r="AO470" s="41" t="n"/>
      <c r="AP470" s="41" t="n"/>
      <c r="AQ470" s="41" t="n"/>
      <c r="AR470" s="41" t="n"/>
      <c r="AS470" s="41" t="n"/>
      <c r="AT470" s="44" t="n"/>
      <c r="AU470" s="41" t="n"/>
      <c r="AV470" s="43" t="n"/>
      <c r="AW470" s="41" t="n"/>
      <c r="AX470" s="44" t="n"/>
      <c r="AY470" s="44" t="n"/>
      <c r="AZ470" s="44" t="n"/>
      <c r="BA470" s="44" t="n"/>
      <c r="BB470" s="44" t="n"/>
      <c r="BC470" s="44" t="n"/>
      <c r="BD470" s="44" t="n"/>
      <c r="BE470" s="44" t="n"/>
      <c r="BF470" s="44" t="n"/>
    </row>
    <row r="471" ht="19.5" customHeight="1" s="45">
      <c r="A471" s="15">
        <f>IF($B471="","",TEXT($B471,"yyyymmdd")&amp;"-"&amp;SUBSTITUTE($F471," ","")&amp;"-"&amp;TEXT(COUNTIF($F$4:F471,$F471),"00"))</f>
        <v/>
      </c>
      <c r="B471" s="39" t="n"/>
      <c r="C471" s="15">
        <f>IF($B471="","",WEEKNUM($B471,2))</f>
        <v/>
      </c>
      <c r="D471" s="15">
        <f>IF($B471="","",TEXT($B471,"yyyy-mm"))</f>
        <v/>
      </c>
      <c r="E471" s="40" t="n"/>
      <c r="F471" s="40" t="n"/>
      <c r="G471" s="15">
        <f>IF(OR($E471="",$F471=""),"",IFERROR(IF($E471=INDEX(Cluster_Master!$A$4:$A$18,MATCH($F471,Cluster_Master!$B$4:$B$18,0)),"OK","CHECK"),"CHECK"))</f>
        <v/>
      </c>
      <c r="H471" s="18">
        <f>IFERROR(INDEX(Cluster_Master!$C$4:$C$18,MATCH($F471,Cluster_Master!$B$4:$B$18,0)),"")</f>
        <v/>
      </c>
      <c r="I471" s="15">
        <f>IFERROR(INDEX(Cluster_Master!$D$4:$D$18,MATCH($F471,Cluster_Master!$B$4:$B$18,0)),"")</f>
        <v/>
      </c>
      <c r="J471" s="15">
        <f>IFERROR(INDEX(Cluster_Master!$E$4:$E$18,MATCH($F471,Cluster_Master!$B$4:$B$18,0)),"")</f>
        <v/>
      </c>
      <c r="K471" s="15">
        <f>IFERROR(INDEX(Cluster_Master!$F$4:$F$18,MATCH($F471,Cluster_Master!$B$4:$B$18,0)),"")</f>
        <v/>
      </c>
      <c r="L471" s="15">
        <f>IFERROR(INDEX(Cluster_Master!$G$4:$G$18,MATCH($F471,Cluster_Master!$B$4:$B$18,0)),"")</f>
        <v/>
      </c>
      <c r="M471" s="15">
        <f>IFERROR(INDEX(Cluster_Master!$H$4:$H$18,MATCH($F471,Cluster_Master!$B$4:$B$18,0)),"")</f>
        <v/>
      </c>
      <c r="N471" s="41" t="n"/>
      <c r="O471" s="41" t="n"/>
      <c r="P471" s="41" t="n"/>
      <c r="Q471" s="41" t="n"/>
      <c r="R471" s="41" t="n"/>
      <c r="S471" s="41" t="n"/>
      <c r="T471" s="42" t="n"/>
      <c r="U471" s="42" t="n"/>
      <c r="V471" s="42" t="n"/>
      <c r="W471" s="42" t="n"/>
      <c r="X471" s="42" t="n"/>
      <c r="Y471" s="42" t="n"/>
      <c r="Z471" s="42" t="n"/>
      <c r="AA471" s="42" t="n"/>
      <c r="AB471" s="42" t="n"/>
      <c r="AC471" s="42" t="n"/>
      <c r="AD471" s="42" t="n"/>
      <c r="AE471" s="42" t="n"/>
      <c r="AF471" s="42" t="n"/>
      <c r="AG471" s="42" t="n"/>
      <c r="AH471" s="42" t="n"/>
      <c r="AI471" s="15">
        <f>IF(COUNTA(T471:AH471)=0,"",SUM(T471:AH471))</f>
        <v/>
      </c>
      <c r="AJ471" s="21">
        <f>IF(COUNTA(T471:AH471)=0,"",AI471/(COUNT(KPI_Weights!$A$4:$A$18)*5))</f>
        <v/>
      </c>
      <c r="AK471" s="21">
        <f>IF(COUNTA(T471:AH471)=0,"",SUMPRODUCT(T471:AH471,KPI_Weights!$B$4:$B$18)/5)</f>
        <v/>
      </c>
      <c r="AL471" s="15">
        <f>IF(COUNTA(T471:AH471)=0,"",IF(SUMPRODUCT(--(T471:AH471&lt;=1),--(KPI_Weights!$C$4:$C$18="YES"))&gt;0,"YES","NO"))</f>
        <v/>
      </c>
      <c r="AM471" s="15">
        <f>IF(AJ471="","",IF(AND(AL471="NO",AJ471&gt;=0.75),"YES","NO"))</f>
        <v/>
      </c>
      <c r="AN471" s="15">
        <f>IF(AJ471="","",IF(AJ471&lt;0.4,"Critical",IF(AJ471&lt;0.6,"Poor",IF(AJ471&lt;0.75,"Needs Improvement",IF(AJ471&lt;0.9,"Good","Excellent")))))</f>
        <v/>
      </c>
      <c r="AO471" s="41" t="n"/>
      <c r="AP471" s="41" t="n"/>
      <c r="AQ471" s="41" t="n"/>
      <c r="AR471" s="41" t="n"/>
      <c r="AS471" s="41" t="n"/>
      <c r="AT471" s="44" t="n"/>
      <c r="AU471" s="41" t="n"/>
      <c r="AV471" s="43" t="n"/>
      <c r="AW471" s="41" t="n"/>
      <c r="AX471" s="44" t="n"/>
      <c r="AY471" s="44" t="n"/>
      <c r="AZ471" s="44" t="n"/>
      <c r="BA471" s="44" t="n"/>
      <c r="BB471" s="44" t="n"/>
      <c r="BC471" s="44" t="n"/>
      <c r="BD471" s="44" t="n"/>
      <c r="BE471" s="44" t="n"/>
      <c r="BF471" s="44" t="n"/>
    </row>
    <row r="472" ht="19.5" customHeight="1" s="45">
      <c r="A472" s="15">
        <f>IF($B472="","",TEXT($B472,"yyyymmdd")&amp;"-"&amp;SUBSTITUTE($F472," ","")&amp;"-"&amp;TEXT(COUNTIF($F$4:F472,$F472),"00"))</f>
        <v/>
      </c>
      <c r="B472" s="39" t="n"/>
      <c r="C472" s="15">
        <f>IF($B472="","",WEEKNUM($B472,2))</f>
        <v/>
      </c>
      <c r="D472" s="15">
        <f>IF($B472="","",TEXT($B472,"yyyy-mm"))</f>
        <v/>
      </c>
      <c r="E472" s="40" t="n"/>
      <c r="F472" s="40" t="n"/>
      <c r="G472" s="15">
        <f>IF(OR($E472="",$F472=""),"",IFERROR(IF($E472=INDEX(Cluster_Master!$A$4:$A$18,MATCH($F472,Cluster_Master!$B$4:$B$18,0)),"OK","CHECK"),"CHECK"))</f>
        <v/>
      </c>
      <c r="H472" s="18">
        <f>IFERROR(INDEX(Cluster_Master!$C$4:$C$18,MATCH($F472,Cluster_Master!$B$4:$B$18,0)),"")</f>
        <v/>
      </c>
      <c r="I472" s="15">
        <f>IFERROR(INDEX(Cluster_Master!$D$4:$D$18,MATCH($F472,Cluster_Master!$B$4:$B$18,0)),"")</f>
        <v/>
      </c>
      <c r="J472" s="15">
        <f>IFERROR(INDEX(Cluster_Master!$E$4:$E$18,MATCH($F472,Cluster_Master!$B$4:$B$18,0)),"")</f>
        <v/>
      </c>
      <c r="K472" s="15">
        <f>IFERROR(INDEX(Cluster_Master!$F$4:$F$18,MATCH($F472,Cluster_Master!$B$4:$B$18,0)),"")</f>
        <v/>
      </c>
      <c r="L472" s="15">
        <f>IFERROR(INDEX(Cluster_Master!$G$4:$G$18,MATCH($F472,Cluster_Master!$B$4:$B$18,0)),"")</f>
        <v/>
      </c>
      <c r="M472" s="15">
        <f>IFERROR(INDEX(Cluster_Master!$H$4:$H$18,MATCH($F472,Cluster_Master!$B$4:$B$18,0)),"")</f>
        <v/>
      </c>
      <c r="N472" s="41" t="n"/>
      <c r="O472" s="41" t="n"/>
      <c r="P472" s="41" t="n"/>
      <c r="Q472" s="41" t="n"/>
      <c r="R472" s="41" t="n"/>
      <c r="S472" s="41" t="n"/>
      <c r="T472" s="42" t="n"/>
      <c r="U472" s="42" t="n"/>
      <c r="V472" s="42" t="n"/>
      <c r="W472" s="42" t="n"/>
      <c r="X472" s="42" t="n"/>
      <c r="Y472" s="42" t="n"/>
      <c r="Z472" s="42" t="n"/>
      <c r="AA472" s="42" t="n"/>
      <c r="AB472" s="42" t="n"/>
      <c r="AC472" s="42" t="n"/>
      <c r="AD472" s="42" t="n"/>
      <c r="AE472" s="42" t="n"/>
      <c r="AF472" s="42" t="n"/>
      <c r="AG472" s="42" t="n"/>
      <c r="AH472" s="42" t="n"/>
      <c r="AI472" s="15">
        <f>IF(COUNTA(T472:AH472)=0,"",SUM(T472:AH472))</f>
        <v/>
      </c>
      <c r="AJ472" s="21">
        <f>IF(COUNTA(T472:AH472)=0,"",AI472/(COUNT(KPI_Weights!$A$4:$A$18)*5))</f>
        <v/>
      </c>
      <c r="AK472" s="21">
        <f>IF(COUNTA(T472:AH472)=0,"",SUMPRODUCT(T472:AH472,KPI_Weights!$B$4:$B$18)/5)</f>
        <v/>
      </c>
      <c r="AL472" s="15">
        <f>IF(COUNTA(T472:AH472)=0,"",IF(SUMPRODUCT(--(T472:AH472&lt;=1),--(KPI_Weights!$C$4:$C$18="YES"))&gt;0,"YES","NO"))</f>
        <v/>
      </c>
      <c r="AM472" s="15">
        <f>IF(AJ472="","",IF(AND(AL472="NO",AJ472&gt;=0.75),"YES","NO"))</f>
        <v/>
      </c>
      <c r="AN472" s="15">
        <f>IF(AJ472="","",IF(AJ472&lt;0.4,"Critical",IF(AJ472&lt;0.6,"Poor",IF(AJ472&lt;0.75,"Needs Improvement",IF(AJ472&lt;0.9,"Good","Excellent")))))</f>
        <v/>
      </c>
      <c r="AO472" s="41" t="n"/>
      <c r="AP472" s="41" t="n"/>
      <c r="AQ472" s="41" t="n"/>
      <c r="AR472" s="41" t="n"/>
      <c r="AS472" s="41" t="n"/>
      <c r="AT472" s="44" t="n"/>
      <c r="AU472" s="41" t="n"/>
      <c r="AV472" s="43" t="n"/>
      <c r="AW472" s="41" t="n"/>
      <c r="AX472" s="44" t="n"/>
      <c r="AY472" s="44" t="n"/>
      <c r="AZ472" s="44" t="n"/>
      <c r="BA472" s="44" t="n"/>
      <c r="BB472" s="44" t="n"/>
      <c r="BC472" s="44" t="n"/>
      <c r="BD472" s="44" t="n"/>
      <c r="BE472" s="44" t="n"/>
      <c r="BF472" s="44" t="n"/>
    </row>
    <row r="473" ht="19.5" customHeight="1" s="45">
      <c r="A473" s="15">
        <f>IF($B473="","",TEXT($B473,"yyyymmdd")&amp;"-"&amp;SUBSTITUTE($F473," ","")&amp;"-"&amp;TEXT(COUNTIF($F$4:F473,$F473),"00"))</f>
        <v/>
      </c>
      <c r="B473" s="39" t="n"/>
      <c r="C473" s="15">
        <f>IF($B473="","",WEEKNUM($B473,2))</f>
        <v/>
      </c>
      <c r="D473" s="15">
        <f>IF($B473="","",TEXT($B473,"yyyy-mm"))</f>
        <v/>
      </c>
      <c r="E473" s="40" t="n"/>
      <c r="F473" s="40" t="n"/>
      <c r="G473" s="15">
        <f>IF(OR($E473="",$F473=""),"",IFERROR(IF($E473=INDEX(Cluster_Master!$A$4:$A$18,MATCH($F473,Cluster_Master!$B$4:$B$18,0)),"OK","CHECK"),"CHECK"))</f>
        <v/>
      </c>
      <c r="H473" s="18">
        <f>IFERROR(INDEX(Cluster_Master!$C$4:$C$18,MATCH($F473,Cluster_Master!$B$4:$B$18,0)),"")</f>
        <v/>
      </c>
      <c r="I473" s="15">
        <f>IFERROR(INDEX(Cluster_Master!$D$4:$D$18,MATCH($F473,Cluster_Master!$B$4:$B$18,0)),"")</f>
        <v/>
      </c>
      <c r="J473" s="15">
        <f>IFERROR(INDEX(Cluster_Master!$E$4:$E$18,MATCH($F473,Cluster_Master!$B$4:$B$18,0)),"")</f>
        <v/>
      </c>
      <c r="K473" s="15">
        <f>IFERROR(INDEX(Cluster_Master!$F$4:$F$18,MATCH($F473,Cluster_Master!$B$4:$B$18,0)),"")</f>
        <v/>
      </c>
      <c r="L473" s="15">
        <f>IFERROR(INDEX(Cluster_Master!$G$4:$G$18,MATCH($F473,Cluster_Master!$B$4:$B$18,0)),"")</f>
        <v/>
      </c>
      <c r="M473" s="15">
        <f>IFERROR(INDEX(Cluster_Master!$H$4:$H$18,MATCH($F473,Cluster_Master!$B$4:$B$18,0)),"")</f>
        <v/>
      </c>
      <c r="N473" s="41" t="n"/>
      <c r="O473" s="41" t="n"/>
      <c r="P473" s="41" t="n"/>
      <c r="Q473" s="41" t="n"/>
      <c r="R473" s="41" t="n"/>
      <c r="S473" s="41" t="n"/>
      <c r="T473" s="42" t="n"/>
      <c r="U473" s="42" t="n"/>
      <c r="V473" s="42" t="n"/>
      <c r="W473" s="42" t="n"/>
      <c r="X473" s="42" t="n"/>
      <c r="Y473" s="42" t="n"/>
      <c r="Z473" s="42" t="n"/>
      <c r="AA473" s="42" t="n"/>
      <c r="AB473" s="42" t="n"/>
      <c r="AC473" s="42" t="n"/>
      <c r="AD473" s="42" t="n"/>
      <c r="AE473" s="42" t="n"/>
      <c r="AF473" s="42" t="n"/>
      <c r="AG473" s="42" t="n"/>
      <c r="AH473" s="42" t="n"/>
      <c r="AI473" s="15">
        <f>IF(COUNTA(T473:AH473)=0,"",SUM(T473:AH473))</f>
        <v/>
      </c>
      <c r="AJ473" s="21">
        <f>IF(COUNTA(T473:AH473)=0,"",AI473/(COUNT(KPI_Weights!$A$4:$A$18)*5))</f>
        <v/>
      </c>
      <c r="AK473" s="21">
        <f>IF(COUNTA(T473:AH473)=0,"",SUMPRODUCT(T473:AH473,KPI_Weights!$B$4:$B$18)/5)</f>
        <v/>
      </c>
      <c r="AL473" s="15">
        <f>IF(COUNTA(T473:AH473)=0,"",IF(SUMPRODUCT(--(T473:AH473&lt;=1),--(KPI_Weights!$C$4:$C$18="YES"))&gt;0,"YES","NO"))</f>
        <v/>
      </c>
      <c r="AM473" s="15">
        <f>IF(AJ473="","",IF(AND(AL473="NO",AJ473&gt;=0.75),"YES","NO"))</f>
        <v/>
      </c>
      <c r="AN473" s="15">
        <f>IF(AJ473="","",IF(AJ473&lt;0.4,"Critical",IF(AJ473&lt;0.6,"Poor",IF(AJ473&lt;0.75,"Needs Improvement",IF(AJ473&lt;0.9,"Good","Excellent")))))</f>
        <v/>
      </c>
      <c r="AO473" s="41" t="n"/>
      <c r="AP473" s="41" t="n"/>
      <c r="AQ473" s="41" t="n"/>
      <c r="AR473" s="41" t="n"/>
      <c r="AS473" s="41" t="n"/>
      <c r="AT473" s="44" t="n"/>
      <c r="AU473" s="41" t="n"/>
      <c r="AV473" s="43" t="n"/>
      <c r="AW473" s="41" t="n"/>
      <c r="AX473" s="44" t="n"/>
      <c r="AY473" s="44" t="n"/>
      <c r="AZ473" s="44" t="n"/>
      <c r="BA473" s="44" t="n"/>
      <c r="BB473" s="44" t="n"/>
      <c r="BC473" s="44" t="n"/>
      <c r="BD473" s="44" t="n"/>
      <c r="BE473" s="44" t="n"/>
      <c r="BF473" s="44" t="n"/>
    </row>
    <row r="474" ht="19.5" customHeight="1" s="45">
      <c r="A474" s="15">
        <f>IF($B474="","",TEXT($B474,"yyyymmdd")&amp;"-"&amp;SUBSTITUTE($F474," ","")&amp;"-"&amp;TEXT(COUNTIF($F$4:F474,$F474),"00"))</f>
        <v/>
      </c>
      <c r="B474" s="39" t="n"/>
      <c r="C474" s="15">
        <f>IF($B474="","",WEEKNUM($B474,2))</f>
        <v/>
      </c>
      <c r="D474" s="15">
        <f>IF($B474="","",TEXT($B474,"yyyy-mm"))</f>
        <v/>
      </c>
      <c r="E474" s="40" t="n"/>
      <c r="F474" s="40" t="n"/>
      <c r="G474" s="15">
        <f>IF(OR($E474="",$F474=""),"",IFERROR(IF($E474=INDEX(Cluster_Master!$A$4:$A$18,MATCH($F474,Cluster_Master!$B$4:$B$18,0)),"OK","CHECK"),"CHECK"))</f>
        <v/>
      </c>
      <c r="H474" s="18">
        <f>IFERROR(INDEX(Cluster_Master!$C$4:$C$18,MATCH($F474,Cluster_Master!$B$4:$B$18,0)),"")</f>
        <v/>
      </c>
      <c r="I474" s="15">
        <f>IFERROR(INDEX(Cluster_Master!$D$4:$D$18,MATCH($F474,Cluster_Master!$B$4:$B$18,0)),"")</f>
        <v/>
      </c>
      <c r="J474" s="15">
        <f>IFERROR(INDEX(Cluster_Master!$E$4:$E$18,MATCH($F474,Cluster_Master!$B$4:$B$18,0)),"")</f>
        <v/>
      </c>
      <c r="K474" s="15">
        <f>IFERROR(INDEX(Cluster_Master!$F$4:$F$18,MATCH($F474,Cluster_Master!$B$4:$B$18,0)),"")</f>
        <v/>
      </c>
      <c r="L474" s="15">
        <f>IFERROR(INDEX(Cluster_Master!$G$4:$G$18,MATCH($F474,Cluster_Master!$B$4:$B$18,0)),"")</f>
        <v/>
      </c>
      <c r="M474" s="15">
        <f>IFERROR(INDEX(Cluster_Master!$H$4:$H$18,MATCH($F474,Cluster_Master!$B$4:$B$18,0)),"")</f>
        <v/>
      </c>
      <c r="N474" s="41" t="n"/>
      <c r="O474" s="41" t="n"/>
      <c r="P474" s="41" t="n"/>
      <c r="Q474" s="41" t="n"/>
      <c r="R474" s="41" t="n"/>
      <c r="S474" s="41" t="n"/>
      <c r="T474" s="42" t="n"/>
      <c r="U474" s="42" t="n"/>
      <c r="V474" s="42" t="n"/>
      <c r="W474" s="42" t="n"/>
      <c r="X474" s="42" t="n"/>
      <c r="Y474" s="42" t="n"/>
      <c r="Z474" s="42" t="n"/>
      <c r="AA474" s="42" t="n"/>
      <c r="AB474" s="42" t="n"/>
      <c r="AC474" s="42" t="n"/>
      <c r="AD474" s="42" t="n"/>
      <c r="AE474" s="42" t="n"/>
      <c r="AF474" s="42" t="n"/>
      <c r="AG474" s="42" t="n"/>
      <c r="AH474" s="42" t="n"/>
      <c r="AI474" s="15">
        <f>IF(COUNTA(T474:AH474)=0,"",SUM(T474:AH474))</f>
        <v/>
      </c>
      <c r="AJ474" s="21">
        <f>IF(COUNTA(T474:AH474)=0,"",AI474/(COUNT(KPI_Weights!$A$4:$A$18)*5))</f>
        <v/>
      </c>
      <c r="AK474" s="21">
        <f>IF(COUNTA(T474:AH474)=0,"",SUMPRODUCT(T474:AH474,KPI_Weights!$B$4:$B$18)/5)</f>
        <v/>
      </c>
      <c r="AL474" s="15">
        <f>IF(COUNTA(T474:AH474)=0,"",IF(SUMPRODUCT(--(T474:AH474&lt;=1),--(KPI_Weights!$C$4:$C$18="YES"))&gt;0,"YES","NO"))</f>
        <v/>
      </c>
      <c r="AM474" s="15">
        <f>IF(AJ474="","",IF(AND(AL474="NO",AJ474&gt;=0.75),"YES","NO"))</f>
        <v/>
      </c>
      <c r="AN474" s="15">
        <f>IF(AJ474="","",IF(AJ474&lt;0.4,"Critical",IF(AJ474&lt;0.6,"Poor",IF(AJ474&lt;0.75,"Needs Improvement",IF(AJ474&lt;0.9,"Good","Excellent")))))</f>
        <v/>
      </c>
      <c r="AO474" s="41" t="n"/>
      <c r="AP474" s="41" t="n"/>
      <c r="AQ474" s="41" t="n"/>
      <c r="AR474" s="41" t="n"/>
      <c r="AS474" s="41" t="n"/>
      <c r="AT474" s="44" t="n"/>
      <c r="AU474" s="41" t="n"/>
      <c r="AV474" s="43" t="n"/>
      <c r="AW474" s="41" t="n"/>
      <c r="AX474" s="44" t="n"/>
      <c r="AY474" s="44" t="n"/>
      <c r="AZ474" s="44" t="n"/>
      <c r="BA474" s="44" t="n"/>
      <c r="BB474" s="44" t="n"/>
      <c r="BC474" s="44" t="n"/>
      <c r="BD474" s="44" t="n"/>
      <c r="BE474" s="44" t="n"/>
      <c r="BF474" s="44" t="n"/>
    </row>
    <row r="475" ht="19.5" customHeight="1" s="45">
      <c r="A475" s="15">
        <f>IF($B475="","",TEXT($B475,"yyyymmdd")&amp;"-"&amp;SUBSTITUTE($F475," ","")&amp;"-"&amp;TEXT(COUNTIF($F$4:F475,$F475),"00"))</f>
        <v/>
      </c>
      <c r="B475" s="39" t="n"/>
      <c r="C475" s="15">
        <f>IF($B475="","",WEEKNUM($B475,2))</f>
        <v/>
      </c>
      <c r="D475" s="15">
        <f>IF($B475="","",TEXT($B475,"yyyy-mm"))</f>
        <v/>
      </c>
      <c r="E475" s="40" t="n"/>
      <c r="F475" s="40" t="n"/>
      <c r="G475" s="15">
        <f>IF(OR($E475="",$F475=""),"",IFERROR(IF($E475=INDEX(Cluster_Master!$A$4:$A$18,MATCH($F475,Cluster_Master!$B$4:$B$18,0)),"OK","CHECK"),"CHECK"))</f>
        <v/>
      </c>
      <c r="H475" s="18">
        <f>IFERROR(INDEX(Cluster_Master!$C$4:$C$18,MATCH($F475,Cluster_Master!$B$4:$B$18,0)),"")</f>
        <v/>
      </c>
      <c r="I475" s="15">
        <f>IFERROR(INDEX(Cluster_Master!$D$4:$D$18,MATCH($F475,Cluster_Master!$B$4:$B$18,0)),"")</f>
        <v/>
      </c>
      <c r="J475" s="15">
        <f>IFERROR(INDEX(Cluster_Master!$E$4:$E$18,MATCH($F475,Cluster_Master!$B$4:$B$18,0)),"")</f>
        <v/>
      </c>
      <c r="K475" s="15">
        <f>IFERROR(INDEX(Cluster_Master!$F$4:$F$18,MATCH($F475,Cluster_Master!$B$4:$B$18,0)),"")</f>
        <v/>
      </c>
      <c r="L475" s="15">
        <f>IFERROR(INDEX(Cluster_Master!$G$4:$G$18,MATCH($F475,Cluster_Master!$B$4:$B$18,0)),"")</f>
        <v/>
      </c>
      <c r="M475" s="15">
        <f>IFERROR(INDEX(Cluster_Master!$H$4:$H$18,MATCH($F475,Cluster_Master!$B$4:$B$18,0)),"")</f>
        <v/>
      </c>
      <c r="N475" s="41" t="n"/>
      <c r="O475" s="41" t="n"/>
      <c r="P475" s="41" t="n"/>
      <c r="Q475" s="41" t="n"/>
      <c r="R475" s="41" t="n"/>
      <c r="S475" s="41" t="n"/>
      <c r="T475" s="42" t="n"/>
      <c r="U475" s="42" t="n"/>
      <c r="V475" s="42" t="n"/>
      <c r="W475" s="42" t="n"/>
      <c r="X475" s="42" t="n"/>
      <c r="Y475" s="42" t="n"/>
      <c r="Z475" s="42" t="n"/>
      <c r="AA475" s="42" t="n"/>
      <c r="AB475" s="42" t="n"/>
      <c r="AC475" s="42" t="n"/>
      <c r="AD475" s="42" t="n"/>
      <c r="AE475" s="42" t="n"/>
      <c r="AF475" s="42" t="n"/>
      <c r="AG475" s="42" t="n"/>
      <c r="AH475" s="42" t="n"/>
      <c r="AI475" s="15">
        <f>IF(COUNTA(T475:AH475)=0,"",SUM(T475:AH475))</f>
        <v/>
      </c>
      <c r="AJ475" s="21">
        <f>IF(COUNTA(T475:AH475)=0,"",AI475/(COUNT(KPI_Weights!$A$4:$A$18)*5))</f>
        <v/>
      </c>
      <c r="AK475" s="21">
        <f>IF(COUNTA(T475:AH475)=0,"",SUMPRODUCT(T475:AH475,KPI_Weights!$B$4:$B$18)/5)</f>
        <v/>
      </c>
      <c r="AL475" s="15">
        <f>IF(COUNTA(T475:AH475)=0,"",IF(SUMPRODUCT(--(T475:AH475&lt;=1),--(KPI_Weights!$C$4:$C$18="YES"))&gt;0,"YES","NO"))</f>
        <v/>
      </c>
      <c r="AM475" s="15">
        <f>IF(AJ475="","",IF(AND(AL475="NO",AJ475&gt;=0.75),"YES","NO"))</f>
        <v/>
      </c>
      <c r="AN475" s="15">
        <f>IF(AJ475="","",IF(AJ475&lt;0.4,"Critical",IF(AJ475&lt;0.6,"Poor",IF(AJ475&lt;0.75,"Needs Improvement",IF(AJ475&lt;0.9,"Good","Excellent")))))</f>
        <v/>
      </c>
      <c r="AO475" s="41" t="n"/>
      <c r="AP475" s="41" t="n"/>
      <c r="AQ475" s="41" t="n"/>
      <c r="AR475" s="41" t="n"/>
      <c r="AS475" s="41" t="n"/>
      <c r="AT475" s="44" t="n"/>
      <c r="AU475" s="41" t="n"/>
      <c r="AV475" s="43" t="n"/>
      <c r="AW475" s="41" t="n"/>
      <c r="AX475" s="44" t="n"/>
      <c r="AY475" s="44" t="n"/>
      <c r="AZ475" s="44" t="n"/>
      <c r="BA475" s="44" t="n"/>
      <c r="BB475" s="44" t="n"/>
      <c r="BC475" s="44" t="n"/>
      <c r="BD475" s="44" t="n"/>
      <c r="BE475" s="44" t="n"/>
      <c r="BF475" s="44" t="n"/>
    </row>
    <row r="476" ht="19.5" customHeight="1" s="45">
      <c r="A476" s="15">
        <f>IF($B476="","",TEXT($B476,"yyyymmdd")&amp;"-"&amp;SUBSTITUTE($F476," ","")&amp;"-"&amp;TEXT(COUNTIF($F$4:F476,$F476),"00"))</f>
        <v/>
      </c>
      <c r="B476" s="39" t="n"/>
      <c r="C476" s="15">
        <f>IF($B476="","",WEEKNUM($B476,2))</f>
        <v/>
      </c>
      <c r="D476" s="15">
        <f>IF($B476="","",TEXT($B476,"yyyy-mm"))</f>
        <v/>
      </c>
      <c r="E476" s="40" t="n"/>
      <c r="F476" s="40" t="n"/>
      <c r="G476" s="15">
        <f>IF(OR($E476="",$F476=""),"",IFERROR(IF($E476=INDEX(Cluster_Master!$A$4:$A$18,MATCH($F476,Cluster_Master!$B$4:$B$18,0)),"OK","CHECK"),"CHECK"))</f>
        <v/>
      </c>
      <c r="H476" s="18">
        <f>IFERROR(INDEX(Cluster_Master!$C$4:$C$18,MATCH($F476,Cluster_Master!$B$4:$B$18,0)),"")</f>
        <v/>
      </c>
      <c r="I476" s="15">
        <f>IFERROR(INDEX(Cluster_Master!$D$4:$D$18,MATCH($F476,Cluster_Master!$B$4:$B$18,0)),"")</f>
        <v/>
      </c>
      <c r="J476" s="15">
        <f>IFERROR(INDEX(Cluster_Master!$E$4:$E$18,MATCH($F476,Cluster_Master!$B$4:$B$18,0)),"")</f>
        <v/>
      </c>
      <c r="K476" s="15">
        <f>IFERROR(INDEX(Cluster_Master!$F$4:$F$18,MATCH($F476,Cluster_Master!$B$4:$B$18,0)),"")</f>
        <v/>
      </c>
      <c r="L476" s="15">
        <f>IFERROR(INDEX(Cluster_Master!$G$4:$G$18,MATCH($F476,Cluster_Master!$B$4:$B$18,0)),"")</f>
        <v/>
      </c>
      <c r="M476" s="15">
        <f>IFERROR(INDEX(Cluster_Master!$H$4:$H$18,MATCH($F476,Cluster_Master!$B$4:$B$18,0)),"")</f>
        <v/>
      </c>
      <c r="N476" s="41" t="n"/>
      <c r="O476" s="41" t="n"/>
      <c r="P476" s="41" t="n"/>
      <c r="Q476" s="41" t="n"/>
      <c r="R476" s="41" t="n"/>
      <c r="S476" s="41" t="n"/>
      <c r="T476" s="42" t="n"/>
      <c r="U476" s="42" t="n"/>
      <c r="V476" s="42" t="n"/>
      <c r="W476" s="42" t="n"/>
      <c r="X476" s="42" t="n"/>
      <c r="Y476" s="42" t="n"/>
      <c r="Z476" s="42" t="n"/>
      <c r="AA476" s="42" t="n"/>
      <c r="AB476" s="42" t="n"/>
      <c r="AC476" s="42" t="n"/>
      <c r="AD476" s="42" t="n"/>
      <c r="AE476" s="42" t="n"/>
      <c r="AF476" s="42" t="n"/>
      <c r="AG476" s="42" t="n"/>
      <c r="AH476" s="42" t="n"/>
      <c r="AI476" s="15">
        <f>IF(COUNTA(T476:AH476)=0,"",SUM(T476:AH476))</f>
        <v/>
      </c>
      <c r="AJ476" s="21">
        <f>IF(COUNTA(T476:AH476)=0,"",AI476/(COUNT(KPI_Weights!$A$4:$A$18)*5))</f>
        <v/>
      </c>
      <c r="AK476" s="21">
        <f>IF(COUNTA(T476:AH476)=0,"",SUMPRODUCT(T476:AH476,KPI_Weights!$B$4:$B$18)/5)</f>
        <v/>
      </c>
      <c r="AL476" s="15">
        <f>IF(COUNTA(T476:AH476)=0,"",IF(SUMPRODUCT(--(T476:AH476&lt;=1),--(KPI_Weights!$C$4:$C$18="YES"))&gt;0,"YES","NO"))</f>
        <v/>
      </c>
      <c r="AM476" s="15">
        <f>IF(AJ476="","",IF(AND(AL476="NO",AJ476&gt;=0.75),"YES","NO"))</f>
        <v/>
      </c>
      <c r="AN476" s="15">
        <f>IF(AJ476="","",IF(AJ476&lt;0.4,"Critical",IF(AJ476&lt;0.6,"Poor",IF(AJ476&lt;0.75,"Needs Improvement",IF(AJ476&lt;0.9,"Good","Excellent")))))</f>
        <v/>
      </c>
      <c r="AO476" s="41" t="n"/>
      <c r="AP476" s="41" t="n"/>
      <c r="AQ476" s="41" t="n"/>
      <c r="AR476" s="41" t="n"/>
      <c r="AS476" s="41" t="n"/>
      <c r="AT476" s="44" t="n"/>
      <c r="AU476" s="41" t="n"/>
      <c r="AV476" s="43" t="n"/>
      <c r="AW476" s="41" t="n"/>
      <c r="AX476" s="44" t="n"/>
      <c r="AY476" s="44" t="n"/>
      <c r="AZ476" s="44" t="n"/>
      <c r="BA476" s="44" t="n"/>
      <c r="BB476" s="44" t="n"/>
      <c r="BC476" s="44" t="n"/>
      <c r="BD476" s="44" t="n"/>
      <c r="BE476" s="44" t="n"/>
      <c r="BF476" s="44" t="n"/>
    </row>
    <row r="477" ht="19.5" customHeight="1" s="45">
      <c r="A477" s="15">
        <f>IF($B477="","",TEXT($B477,"yyyymmdd")&amp;"-"&amp;SUBSTITUTE($F477," ","")&amp;"-"&amp;TEXT(COUNTIF($F$4:F477,$F477),"00"))</f>
        <v/>
      </c>
      <c r="B477" s="39" t="n"/>
      <c r="C477" s="15">
        <f>IF($B477="","",WEEKNUM($B477,2))</f>
        <v/>
      </c>
      <c r="D477" s="15">
        <f>IF($B477="","",TEXT($B477,"yyyy-mm"))</f>
        <v/>
      </c>
      <c r="E477" s="40" t="n"/>
      <c r="F477" s="40" t="n"/>
      <c r="G477" s="15">
        <f>IF(OR($E477="",$F477=""),"",IFERROR(IF($E477=INDEX(Cluster_Master!$A$4:$A$18,MATCH($F477,Cluster_Master!$B$4:$B$18,0)),"OK","CHECK"),"CHECK"))</f>
        <v/>
      </c>
      <c r="H477" s="18">
        <f>IFERROR(INDEX(Cluster_Master!$C$4:$C$18,MATCH($F477,Cluster_Master!$B$4:$B$18,0)),"")</f>
        <v/>
      </c>
      <c r="I477" s="15">
        <f>IFERROR(INDEX(Cluster_Master!$D$4:$D$18,MATCH($F477,Cluster_Master!$B$4:$B$18,0)),"")</f>
        <v/>
      </c>
      <c r="J477" s="15">
        <f>IFERROR(INDEX(Cluster_Master!$E$4:$E$18,MATCH($F477,Cluster_Master!$B$4:$B$18,0)),"")</f>
        <v/>
      </c>
      <c r="K477" s="15">
        <f>IFERROR(INDEX(Cluster_Master!$F$4:$F$18,MATCH($F477,Cluster_Master!$B$4:$B$18,0)),"")</f>
        <v/>
      </c>
      <c r="L477" s="15">
        <f>IFERROR(INDEX(Cluster_Master!$G$4:$G$18,MATCH($F477,Cluster_Master!$B$4:$B$18,0)),"")</f>
        <v/>
      </c>
      <c r="M477" s="15">
        <f>IFERROR(INDEX(Cluster_Master!$H$4:$H$18,MATCH($F477,Cluster_Master!$B$4:$B$18,0)),"")</f>
        <v/>
      </c>
      <c r="N477" s="41" t="n"/>
      <c r="O477" s="41" t="n"/>
      <c r="P477" s="41" t="n"/>
      <c r="Q477" s="41" t="n"/>
      <c r="R477" s="41" t="n"/>
      <c r="S477" s="41" t="n"/>
      <c r="T477" s="42" t="n"/>
      <c r="U477" s="42" t="n"/>
      <c r="V477" s="42" t="n"/>
      <c r="W477" s="42" t="n"/>
      <c r="X477" s="42" t="n"/>
      <c r="Y477" s="42" t="n"/>
      <c r="Z477" s="42" t="n"/>
      <c r="AA477" s="42" t="n"/>
      <c r="AB477" s="42" t="n"/>
      <c r="AC477" s="42" t="n"/>
      <c r="AD477" s="42" t="n"/>
      <c r="AE477" s="42" t="n"/>
      <c r="AF477" s="42" t="n"/>
      <c r="AG477" s="42" t="n"/>
      <c r="AH477" s="42" t="n"/>
      <c r="AI477" s="15">
        <f>IF(COUNTA(T477:AH477)=0,"",SUM(T477:AH477))</f>
        <v/>
      </c>
      <c r="AJ477" s="21">
        <f>IF(COUNTA(T477:AH477)=0,"",AI477/(COUNT(KPI_Weights!$A$4:$A$18)*5))</f>
        <v/>
      </c>
      <c r="AK477" s="21">
        <f>IF(COUNTA(T477:AH477)=0,"",SUMPRODUCT(T477:AH477,KPI_Weights!$B$4:$B$18)/5)</f>
        <v/>
      </c>
      <c r="AL477" s="15">
        <f>IF(COUNTA(T477:AH477)=0,"",IF(SUMPRODUCT(--(T477:AH477&lt;=1),--(KPI_Weights!$C$4:$C$18="YES"))&gt;0,"YES","NO"))</f>
        <v/>
      </c>
      <c r="AM477" s="15">
        <f>IF(AJ477="","",IF(AND(AL477="NO",AJ477&gt;=0.75),"YES","NO"))</f>
        <v/>
      </c>
      <c r="AN477" s="15">
        <f>IF(AJ477="","",IF(AJ477&lt;0.4,"Critical",IF(AJ477&lt;0.6,"Poor",IF(AJ477&lt;0.75,"Needs Improvement",IF(AJ477&lt;0.9,"Good","Excellent")))))</f>
        <v/>
      </c>
      <c r="AO477" s="41" t="n"/>
      <c r="AP477" s="41" t="n"/>
      <c r="AQ477" s="41" t="n"/>
      <c r="AR477" s="41" t="n"/>
      <c r="AS477" s="41" t="n"/>
      <c r="AT477" s="44" t="n"/>
      <c r="AU477" s="41" t="n"/>
      <c r="AV477" s="43" t="n"/>
      <c r="AW477" s="41" t="n"/>
      <c r="AX477" s="44" t="n"/>
      <c r="AY477" s="44" t="n"/>
      <c r="AZ477" s="44" t="n"/>
      <c r="BA477" s="44" t="n"/>
      <c r="BB477" s="44" t="n"/>
      <c r="BC477" s="44" t="n"/>
      <c r="BD477" s="44" t="n"/>
      <c r="BE477" s="44" t="n"/>
      <c r="BF477" s="44" t="n"/>
    </row>
    <row r="478" ht="19.5" customHeight="1" s="45">
      <c r="A478" s="15">
        <f>IF($B478="","",TEXT($B478,"yyyymmdd")&amp;"-"&amp;SUBSTITUTE($F478," ","")&amp;"-"&amp;TEXT(COUNTIF($F$4:F478,$F478),"00"))</f>
        <v/>
      </c>
      <c r="B478" s="39" t="n"/>
      <c r="C478" s="15">
        <f>IF($B478="","",WEEKNUM($B478,2))</f>
        <v/>
      </c>
      <c r="D478" s="15">
        <f>IF($B478="","",TEXT($B478,"yyyy-mm"))</f>
        <v/>
      </c>
      <c r="E478" s="40" t="n"/>
      <c r="F478" s="40" t="n"/>
      <c r="G478" s="15">
        <f>IF(OR($E478="",$F478=""),"",IFERROR(IF($E478=INDEX(Cluster_Master!$A$4:$A$18,MATCH($F478,Cluster_Master!$B$4:$B$18,0)),"OK","CHECK"),"CHECK"))</f>
        <v/>
      </c>
      <c r="H478" s="18">
        <f>IFERROR(INDEX(Cluster_Master!$C$4:$C$18,MATCH($F478,Cluster_Master!$B$4:$B$18,0)),"")</f>
        <v/>
      </c>
      <c r="I478" s="15">
        <f>IFERROR(INDEX(Cluster_Master!$D$4:$D$18,MATCH($F478,Cluster_Master!$B$4:$B$18,0)),"")</f>
        <v/>
      </c>
      <c r="J478" s="15">
        <f>IFERROR(INDEX(Cluster_Master!$E$4:$E$18,MATCH($F478,Cluster_Master!$B$4:$B$18,0)),"")</f>
        <v/>
      </c>
      <c r="K478" s="15">
        <f>IFERROR(INDEX(Cluster_Master!$F$4:$F$18,MATCH($F478,Cluster_Master!$B$4:$B$18,0)),"")</f>
        <v/>
      </c>
      <c r="L478" s="15">
        <f>IFERROR(INDEX(Cluster_Master!$G$4:$G$18,MATCH($F478,Cluster_Master!$B$4:$B$18,0)),"")</f>
        <v/>
      </c>
      <c r="M478" s="15">
        <f>IFERROR(INDEX(Cluster_Master!$H$4:$H$18,MATCH($F478,Cluster_Master!$B$4:$B$18,0)),"")</f>
        <v/>
      </c>
      <c r="N478" s="41" t="n"/>
      <c r="O478" s="41" t="n"/>
      <c r="P478" s="41" t="n"/>
      <c r="Q478" s="41" t="n"/>
      <c r="R478" s="41" t="n"/>
      <c r="S478" s="41" t="n"/>
      <c r="T478" s="42" t="n"/>
      <c r="U478" s="42" t="n"/>
      <c r="V478" s="42" t="n"/>
      <c r="W478" s="42" t="n"/>
      <c r="X478" s="42" t="n"/>
      <c r="Y478" s="42" t="n"/>
      <c r="Z478" s="42" t="n"/>
      <c r="AA478" s="42" t="n"/>
      <c r="AB478" s="42" t="n"/>
      <c r="AC478" s="42" t="n"/>
      <c r="AD478" s="42" t="n"/>
      <c r="AE478" s="42" t="n"/>
      <c r="AF478" s="42" t="n"/>
      <c r="AG478" s="42" t="n"/>
      <c r="AH478" s="42" t="n"/>
      <c r="AI478" s="15">
        <f>IF(COUNTA(T478:AH478)=0,"",SUM(T478:AH478))</f>
        <v/>
      </c>
      <c r="AJ478" s="21">
        <f>IF(COUNTA(T478:AH478)=0,"",AI478/(COUNT(KPI_Weights!$A$4:$A$18)*5))</f>
        <v/>
      </c>
      <c r="AK478" s="21">
        <f>IF(COUNTA(T478:AH478)=0,"",SUMPRODUCT(T478:AH478,KPI_Weights!$B$4:$B$18)/5)</f>
        <v/>
      </c>
      <c r="AL478" s="15">
        <f>IF(COUNTA(T478:AH478)=0,"",IF(SUMPRODUCT(--(T478:AH478&lt;=1),--(KPI_Weights!$C$4:$C$18="YES"))&gt;0,"YES","NO"))</f>
        <v/>
      </c>
      <c r="AM478" s="15">
        <f>IF(AJ478="","",IF(AND(AL478="NO",AJ478&gt;=0.75),"YES","NO"))</f>
        <v/>
      </c>
      <c r="AN478" s="15">
        <f>IF(AJ478="","",IF(AJ478&lt;0.4,"Critical",IF(AJ478&lt;0.6,"Poor",IF(AJ478&lt;0.75,"Needs Improvement",IF(AJ478&lt;0.9,"Good","Excellent")))))</f>
        <v/>
      </c>
      <c r="AO478" s="41" t="n"/>
      <c r="AP478" s="41" t="n"/>
      <c r="AQ478" s="41" t="n"/>
      <c r="AR478" s="41" t="n"/>
      <c r="AS478" s="41" t="n"/>
      <c r="AT478" s="44" t="n"/>
      <c r="AU478" s="41" t="n"/>
      <c r="AV478" s="43" t="n"/>
      <c r="AW478" s="41" t="n"/>
      <c r="AX478" s="44" t="n"/>
      <c r="AY478" s="44" t="n"/>
      <c r="AZ478" s="44" t="n"/>
      <c r="BA478" s="44" t="n"/>
      <c r="BB478" s="44" t="n"/>
      <c r="BC478" s="44" t="n"/>
      <c r="BD478" s="44" t="n"/>
      <c r="BE478" s="44" t="n"/>
      <c r="BF478" s="44" t="n"/>
    </row>
    <row r="479" ht="19.5" customHeight="1" s="45">
      <c r="A479" s="15">
        <f>IF($B479="","",TEXT($B479,"yyyymmdd")&amp;"-"&amp;SUBSTITUTE($F479," ","")&amp;"-"&amp;TEXT(COUNTIF($F$4:F479,$F479),"00"))</f>
        <v/>
      </c>
      <c r="B479" s="39" t="n"/>
      <c r="C479" s="15">
        <f>IF($B479="","",WEEKNUM($B479,2))</f>
        <v/>
      </c>
      <c r="D479" s="15">
        <f>IF($B479="","",TEXT($B479,"yyyy-mm"))</f>
        <v/>
      </c>
      <c r="E479" s="40" t="n"/>
      <c r="F479" s="40" t="n"/>
      <c r="G479" s="15">
        <f>IF(OR($E479="",$F479=""),"",IFERROR(IF($E479=INDEX(Cluster_Master!$A$4:$A$18,MATCH($F479,Cluster_Master!$B$4:$B$18,0)),"OK","CHECK"),"CHECK"))</f>
        <v/>
      </c>
      <c r="H479" s="18">
        <f>IFERROR(INDEX(Cluster_Master!$C$4:$C$18,MATCH($F479,Cluster_Master!$B$4:$B$18,0)),"")</f>
        <v/>
      </c>
      <c r="I479" s="15">
        <f>IFERROR(INDEX(Cluster_Master!$D$4:$D$18,MATCH($F479,Cluster_Master!$B$4:$B$18,0)),"")</f>
        <v/>
      </c>
      <c r="J479" s="15">
        <f>IFERROR(INDEX(Cluster_Master!$E$4:$E$18,MATCH($F479,Cluster_Master!$B$4:$B$18,0)),"")</f>
        <v/>
      </c>
      <c r="K479" s="15">
        <f>IFERROR(INDEX(Cluster_Master!$F$4:$F$18,MATCH($F479,Cluster_Master!$B$4:$B$18,0)),"")</f>
        <v/>
      </c>
      <c r="L479" s="15">
        <f>IFERROR(INDEX(Cluster_Master!$G$4:$G$18,MATCH($F479,Cluster_Master!$B$4:$B$18,0)),"")</f>
        <v/>
      </c>
      <c r="M479" s="15">
        <f>IFERROR(INDEX(Cluster_Master!$H$4:$H$18,MATCH($F479,Cluster_Master!$B$4:$B$18,0)),"")</f>
        <v/>
      </c>
      <c r="N479" s="41" t="n"/>
      <c r="O479" s="41" t="n"/>
      <c r="P479" s="41" t="n"/>
      <c r="Q479" s="41" t="n"/>
      <c r="R479" s="41" t="n"/>
      <c r="S479" s="41" t="n"/>
      <c r="T479" s="42" t="n"/>
      <c r="U479" s="42" t="n"/>
      <c r="V479" s="42" t="n"/>
      <c r="W479" s="42" t="n"/>
      <c r="X479" s="42" t="n"/>
      <c r="Y479" s="42" t="n"/>
      <c r="Z479" s="42" t="n"/>
      <c r="AA479" s="42" t="n"/>
      <c r="AB479" s="42" t="n"/>
      <c r="AC479" s="42" t="n"/>
      <c r="AD479" s="42" t="n"/>
      <c r="AE479" s="42" t="n"/>
      <c r="AF479" s="42" t="n"/>
      <c r="AG479" s="42" t="n"/>
      <c r="AH479" s="42" t="n"/>
      <c r="AI479" s="15">
        <f>IF(COUNTA(T479:AH479)=0,"",SUM(T479:AH479))</f>
        <v/>
      </c>
      <c r="AJ479" s="21">
        <f>IF(COUNTA(T479:AH479)=0,"",AI479/(COUNT(KPI_Weights!$A$4:$A$18)*5))</f>
        <v/>
      </c>
      <c r="AK479" s="21">
        <f>IF(COUNTA(T479:AH479)=0,"",SUMPRODUCT(T479:AH479,KPI_Weights!$B$4:$B$18)/5)</f>
        <v/>
      </c>
      <c r="AL479" s="15">
        <f>IF(COUNTA(T479:AH479)=0,"",IF(SUMPRODUCT(--(T479:AH479&lt;=1),--(KPI_Weights!$C$4:$C$18="YES"))&gt;0,"YES","NO"))</f>
        <v/>
      </c>
      <c r="AM479" s="15">
        <f>IF(AJ479="","",IF(AND(AL479="NO",AJ479&gt;=0.75),"YES","NO"))</f>
        <v/>
      </c>
      <c r="AN479" s="15">
        <f>IF(AJ479="","",IF(AJ479&lt;0.4,"Critical",IF(AJ479&lt;0.6,"Poor",IF(AJ479&lt;0.75,"Needs Improvement",IF(AJ479&lt;0.9,"Good","Excellent")))))</f>
        <v/>
      </c>
      <c r="AO479" s="41" t="n"/>
      <c r="AP479" s="41" t="n"/>
      <c r="AQ479" s="41" t="n"/>
      <c r="AR479" s="41" t="n"/>
      <c r="AS479" s="41" t="n"/>
      <c r="AT479" s="44" t="n"/>
      <c r="AU479" s="41" t="n"/>
      <c r="AV479" s="43" t="n"/>
      <c r="AW479" s="41" t="n"/>
      <c r="AX479" s="44" t="n"/>
      <c r="AY479" s="44" t="n"/>
      <c r="AZ479" s="44" t="n"/>
      <c r="BA479" s="44" t="n"/>
      <c r="BB479" s="44" t="n"/>
      <c r="BC479" s="44" t="n"/>
      <c r="BD479" s="44" t="n"/>
      <c r="BE479" s="44" t="n"/>
      <c r="BF479" s="44" t="n"/>
    </row>
    <row r="480" ht="19.5" customHeight="1" s="45">
      <c r="A480" s="15">
        <f>IF($B480="","",TEXT($B480,"yyyymmdd")&amp;"-"&amp;SUBSTITUTE($F480," ","")&amp;"-"&amp;TEXT(COUNTIF($F$4:F480,$F480),"00"))</f>
        <v/>
      </c>
      <c r="B480" s="39" t="n"/>
      <c r="C480" s="15">
        <f>IF($B480="","",WEEKNUM($B480,2))</f>
        <v/>
      </c>
      <c r="D480" s="15">
        <f>IF($B480="","",TEXT($B480,"yyyy-mm"))</f>
        <v/>
      </c>
      <c r="E480" s="40" t="n"/>
      <c r="F480" s="40" t="n"/>
      <c r="G480" s="15">
        <f>IF(OR($E480="",$F480=""),"",IFERROR(IF($E480=INDEX(Cluster_Master!$A$4:$A$18,MATCH($F480,Cluster_Master!$B$4:$B$18,0)),"OK","CHECK"),"CHECK"))</f>
        <v/>
      </c>
      <c r="H480" s="18">
        <f>IFERROR(INDEX(Cluster_Master!$C$4:$C$18,MATCH($F480,Cluster_Master!$B$4:$B$18,0)),"")</f>
        <v/>
      </c>
      <c r="I480" s="15">
        <f>IFERROR(INDEX(Cluster_Master!$D$4:$D$18,MATCH($F480,Cluster_Master!$B$4:$B$18,0)),"")</f>
        <v/>
      </c>
      <c r="J480" s="15">
        <f>IFERROR(INDEX(Cluster_Master!$E$4:$E$18,MATCH($F480,Cluster_Master!$B$4:$B$18,0)),"")</f>
        <v/>
      </c>
      <c r="K480" s="15">
        <f>IFERROR(INDEX(Cluster_Master!$F$4:$F$18,MATCH($F480,Cluster_Master!$B$4:$B$18,0)),"")</f>
        <v/>
      </c>
      <c r="L480" s="15">
        <f>IFERROR(INDEX(Cluster_Master!$G$4:$G$18,MATCH($F480,Cluster_Master!$B$4:$B$18,0)),"")</f>
        <v/>
      </c>
      <c r="M480" s="15">
        <f>IFERROR(INDEX(Cluster_Master!$H$4:$H$18,MATCH($F480,Cluster_Master!$B$4:$B$18,0)),"")</f>
        <v/>
      </c>
      <c r="N480" s="41" t="n"/>
      <c r="O480" s="41" t="n"/>
      <c r="P480" s="41" t="n"/>
      <c r="Q480" s="41" t="n"/>
      <c r="R480" s="41" t="n"/>
      <c r="S480" s="41" t="n"/>
      <c r="T480" s="42" t="n"/>
      <c r="U480" s="42" t="n"/>
      <c r="V480" s="42" t="n"/>
      <c r="W480" s="42" t="n"/>
      <c r="X480" s="42" t="n"/>
      <c r="Y480" s="42" t="n"/>
      <c r="Z480" s="42" t="n"/>
      <c r="AA480" s="42" t="n"/>
      <c r="AB480" s="42" t="n"/>
      <c r="AC480" s="42" t="n"/>
      <c r="AD480" s="42" t="n"/>
      <c r="AE480" s="42" t="n"/>
      <c r="AF480" s="42" t="n"/>
      <c r="AG480" s="42" t="n"/>
      <c r="AH480" s="42" t="n"/>
      <c r="AI480" s="15">
        <f>IF(COUNTA(T480:AH480)=0,"",SUM(T480:AH480))</f>
        <v/>
      </c>
      <c r="AJ480" s="21">
        <f>IF(COUNTA(T480:AH480)=0,"",AI480/(COUNT(KPI_Weights!$A$4:$A$18)*5))</f>
        <v/>
      </c>
      <c r="AK480" s="21">
        <f>IF(COUNTA(T480:AH480)=0,"",SUMPRODUCT(T480:AH480,KPI_Weights!$B$4:$B$18)/5)</f>
        <v/>
      </c>
      <c r="AL480" s="15">
        <f>IF(COUNTA(T480:AH480)=0,"",IF(SUMPRODUCT(--(T480:AH480&lt;=1),--(KPI_Weights!$C$4:$C$18="YES"))&gt;0,"YES","NO"))</f>
        <v/>
      </c>
      <c r="AM480" s="15">
        <f>IF(AJ480="","",IF(AND(AL480="NO",AJ480&gt;=0.75),"YES","NO"))</f>
        <v/>
      </c>
      <c r="AN480" s="15">
        <f>IF(AJ480="","",IF(AJ480&lt;0.4,"Critical",IF(AJ480&lt;0.6,"Poor",IF(AJ480&lt;0.75,"Needs Improvement",IF(AJ480&lt;0.9,"Good","Excellent")))))</f>
        <v/>
      </c>
      <c r="AO480" s="41" t="n"/>
      <c r="AP480" s="41" t="n"/>
      <c r="AQ480" s="41" t="n"/>
      <c r="AR480" s="41" t="n"/>
      <c r="AS480" s="41" t="n"/>
      <c r="AT480" s="44" t="n"/>
      <c r="AU480" s="41" t="n"/>
      <c r="AV480" s="43" t="n"/>
      <c r="AW480" s="41" t="n"/>
      <c r="AX480" s="44" t="n"/>
      <c r="AY480" s="44" t="n"/>
      <c r="AZ480" s="44" t="n"/>
      <c r="BA480" s="44" t="n"/>
      <c r="BB480" s="44" t="n"/>
      <c r="BC480" s="44" t="n"/>
      <c r="BD480" s="44" t="n"/>
      <c r="BE480" s="44" t="n"/>
      <c r="BF480" s="44" t="n"/>
    </row>
    <row r="481" ht="19.5" customHeight="1" s="45">
      <c r="A481" s="15">
        <f>IF($B481="","",TEXT($B481,"yyyymmdd")&amp;"-"&amp;SUBSTITUTE($F481," ","")&amp;"-"&amp;TEXT(COUNTIF($F$4:F481,$F481),"00"))</f>
        <v/>
      </c>
      <c r="B481" s="39" t="n"/>
      <c r="C481" s="15">
        <f>IF($B481="","",WEEKNUM($B481,2))</f>
        <v/>
      </c>
      <c r="D481" s="15">
        <f>IF($B481="","",TEXT($B481,"yyyy-mm"))</f>
        <v/>
      </c>
      <c r="E481" s="40" t="n"/>
      <c r="F481" s="40" t="n"/>
      <c r="G481" s="15">
        <f>IF(OR($E481="",$F481=""),"",IFERROR(IF($E481=INDEX(Cluster_Master!$A$4:$A$18,MATCH($F481,Cluster_Master!$B$4:$B$18,0)),"OK","CHECK"),"CHECK"))</f>
        <v/>
      </c>
      <c r="H481" s="18">
        <f>IFERROR(INDEX(Cluster_Master!$C$4:$C$18,MATCH($F481,Cluster_Master!$B$4:$B$18,0)),"")</f>
        <v/>
      </c>
      <c r="I481" s="15">
        <f>IFERROR(INDEX(Cluster_Master!$D$4:$D$18,MATCH($F481,Cluster_Master!$B$4:$B$18,0)),"")</f>
        <v/>
      </c>
      <c r="J481" s="15">
        <f>IFERROR(INDEX(Cluster_Master!$E$4:$E$18,MATCH($F481,Cluster_Master!$B$4:$B$18,0)),"")</f>
        <v/>
      </c>
      <c r="K481" s="15">
        <f>IFERROR(INDEX(Cluster_Master!$F$4:$F$18,MATCH($F481,Cluster_Master!$B$4:$B$18,0)),"")</f>
        <v/>
      </c>
      <c r="L481" s="15">
        <f>IFERROR(INDEX(Cluster_Master!$G$4:$G$18,MATCH($F481,Cluster_Master!$B$4:$B$18,0)),"")</f>
        <v/>
      </c>
      <c r="M481" s="15">
        <f>IFERROR(INDEX(Cluster_Master!$H$4:$H$18,MATCH($F481,Cluster_Master!$B$4:$B$18,0)),"")</f>
        <v/>
      </c>
      <c r="N481" s="41" t="n"/>
      <c r="O481" s="41" t="n"/>
      <c r="P481" s="41" t="n"/>
      <c r="Q481" s="41" t="n"/>
      <c r="R481" s="41" t="n"/>
      <c r="S481" s="41" t="n"/>
      <c r="T481" s="42" t="n"/>
      <c r="U481" s="42" t="n"/>
      <c r="V481" s="42" t="n"/>
      <c r="W481" s="42" t="n"/>
      <c r="X481" s="42" t="n"/>
      <c r="Y481" s="42" t="n"/>
      <c r="Z481" s="42" t="n"/>
      <c r="AA481" s="42" t="n"/>
      <c r="AB481" s="42" t="n"/>
      <c r="AC481" s="42" t="n"/>
      <c r="AD481" s="42" t="n"/>
      <c r="AE481" s="42" t="n"/>
      <c r="AF481" s="42" t="n"/>
      <c r="AG481" s="42" t="n"/>
      <c r="AH481" s="42" t="n"/>
      <c r="AI481" s="15">
        <f>IF(COUNTA(T481:AH481)=0,"",SUM(T481:AH481))</f>
        <v/>
      </c>
      <c r="AJ481" s="21">
        <f>IF(COUNTA(T481:AH481)=0,"",AI481/(COUNT(KPI_Weights!$A$4:$A$18)*5))</f>
        <v/>
      </c>
      <c r="AK481" s="21">
        <f>IF(COUNTA(T481:AH481)=0,"",SUMPRODUCT(T481:AH481,KPI_Weights!$B$4:$B$18)/5)</f>
        <v/>
      </c>
      <c r="AL481" s="15">
        <f>IF(COUNTA(T481:AH481)=0,"",IF(SUMPRODUCT(--(T481:AH481&lt;=1),--(KPI_Weights!$C$4:$C$18="YES"))&gt;0,"YES","NO"))</f>
        <v/>
      </c>
      <c r="AM481" s="15">
        <f>IF(AJ481="","",IF(AND(AL481="NO",AJ481&gt;=0.75),"YES","NO"))</f>
        <v/>
      </c>
      <c r="AN481" s="15">
        <f>IF(AJ481="","",IF(AJ481&lt;0.4,"Critical",IF(AJ481&lt;0.6,"Poor",IF(AJ481&lt;0.75,"Needs Improvement",IF(AJ481&lt;0.9,"Good","Excellent")))))</f>
        <v/>
      </c>
      <c r="AO481" s="41" t="n"/>
      <c r="AP481" s="41" t="n"/>
      <c r="AQ481" s="41" t="n"/>
      <c r="AR481" s="41" t="n"/>
      <c r="AS481" s="41" t="n"/>
      <c r="AT481" s="44" t="n"/>
      <c r="AU481" s="41" t="n"/>
      <c r="AV481" s="43" t="n"/>
      <c r="AW481" s="41" t="n"/>
      <c r="AX481" s="44" t="n"/>
      <c r="AY481" s="44" t="n"/>
      <c r="AZ481" s="44" t="n"/>
      <c r="BA481" s="44" t="n"/>
      <c r="BB481" s="44" t="n"/>
      <c r="BC481" s="44" t="n"/>
      <c r="BD481" s="44" t="n"/>
      <c r="BE481" s="44" t="n"/>
      <c r="BF481" s="44" t="n"/>
    </row>
    <row r="482" ht="19.5" customHeight="1" s="45">
      <c r="A482" s="15">
        <f>IF($B482="","",TEXT($B482,"yyyymmdd")&amp;"-"&amp;SUBSTITUTE($F482," ","")&amp;"-"&amp;TEXT(COUNTIF($F$4:F482,$F482),"00"))</f>
        <v/>
      </c>
      <c r="B482" s="39" t="n"/>
      <c r="C482" s="15">
        <f>IF($B482="","",WEEKNUM($B482,2))</f>
        <v/>
      </c>
      <c r="D482" s="15">
        <f>IF($B482="","",TEXT($B482,"yyyy-mm"))</f>
        <v/>
      </c>
      <c r="E482" s="40" t="n"/>
      <c r="F482" s="40" t="n"/>
      <c r="G482" s="15">
        <f>IF(OR($E482="",$F482=""),"",IFERROR(IF($E482=INDEX(Cluster_Master!$A$4:$A$18,MATCH($F482,Cluster_Master!$B$4:$B$18,0)),"OK","CHECK"),"CHECK"))</f>
        <v/>
      </c>
      <c r="H482" s="18">
        <f>IFERROR(INDEX(Cluster_Master!$C$4:$C$18,MATCH($F482,Cluster_Master!$B$4:$B$18,0)),"")</f>
        <v/>
      </c>
      <c r="I482" s="15">
        <f>IFERROR(INDEX(Cluster_Master!$D$4:$D$18,MATCH($F482,Cluster_Master!$B$4:$B$18,0)),"")</f>
        <v/>
      </c>
      <c r="J482" s="15">
        <f>IFERROR(INDEX(Cluster_Master!$E$4:$E$18,MATCH($F482,Cluster_Master!$B$4:$B$18,0)),"")</f>
        <v/>
      </c>
      <c r="K482" s="15">
        <f>IFERROR(INDEX(Cluster_Master!$F$4:$F$18,MATCH($F482,Cluster_Master!$B$4:$B$18,0)),"")</f>
        <v/>
      </c>
      <c r="L482" s="15">
        <f>IFERROR(INDEX(Cluster_Master!$G$4:$G$18,MATCH($F482,Cluster_Master!$B$4:$B$18,0)),"")</f>
        <v/>
      </c>
      <c r="M482" s="15">
        <f>IFERROR(INDEX(Cluster_Master!$H$4:$H$18,MATCH($F482,Cluster_Master!$B$4:$B$18,0)),"")</f>
        <v/>
      </c>
      <c r="N482" s="41" t="n"/>
      <c r="O482" s="41" t="n"/>
      <c r="P482" s="41" t="n"/>
      <c r="Q482" s="41" t="n"/>
      <c r="R482" s="41" t="n"/>
      <c r="S482" s="41" t="n"/>
      <c r="T482" s="42" t="n"/>
      <c r="U482" s="42" t="n"/>
      <c r="V482" s="42" t="n"/>
      <c r="W482" s="42" t="n"/>
      <c r="X482" s="42" t="n"/>
      <c r="Y482" s="42" t="n"/>
      <c r="Z482" s="42" t="n"/>
      <c r="AA482" s="42" t="n"/>
      <c r="AB482" s="42" t="n"/>
      <c r="AC482" s="42" t="n"/>
      <c r="AD482" s="42" t="n"/>
      <c r="AE482" s="42" t="n"/>
      <c r="AF482" s="42" t="n"/>
      <c r="AG482" s="42" t="n"/>
      <c r="AH482" s="42" t="n"/>
      <c r="AI482" s="15">
        <f>IF(COUNTA(T482:AH482)=0,"",SUM(T482:AH482))</f>
        <v/>
      </c>
      <c r="AJ482" s="21">
        <f>IF(COUNTA(T482:AH482)=0,"",AI482/(COUNT(KPI_Weights!$A$4:$A$18)*5))</f>
        <v/>
      </c>
      <c r="AK482" s="21">
        <f>IF(COUNTA(T482:AH482)=0,"",SUMPRODUCT(T482:AH482,KPI_Weights!$B$4:$B$18)/5)</f>
        <v/>
      </c>
      <c r="AL482" s="15">
        <f>IF(COUNTA(T482:AH482)=0,"",IF(SUMPRODUCT(--(T482:AH482&lt;=1),--(KPI_Weights!$C$4:$C$18="YES"))&gt;0,"YES","NO"))</f>
        <v/>
      </c>
      <c r="AM482" s="15">
        <f>IF(AJ482="","",IF(AND(AL482="NO",AJ482&gt;=0.75),"YES","NO"))</f>
        <v/>
      </c>
      <c r="AN482" s="15">
        <f>IF(AJ482="","",IF(AJ482&lt;0.4,"Critical",IF(AJ482&lt;0.6,"Poor",IF(AJ482&lt;0.75,"Needs Improvement",IF(AJ482&lt;0.9,"Good","Excellent")))))</f>
        <v/>
      </c>
      <c r="AO482" s="41" t="n"/>
      <c r="AP482" s="41" t="n"/>
      <c r="AQ482" s="41" t="n"/>
      <c r="AR482" s="41" t="n"/>
      <c r="AS482" s="41" t="n"/>
      <c r="AT482" s="44" t="n"/>
      <c r="AU482" s="41" t="n"/>
      <c r="AV482" s="43" t="n"/>
      <c r="AW482" s="41" t="n"/>
      <c r="AX482" s="44" t="n"/>
      <c r="AY482" s="44" t="n"/>
      <c r="AZ482" s="44" t="n"/>
      <c r="BA482" s="44" t="n"/>
      <c r="BB482" s="44" t="n"/>
      <c r="BC482" s="44" t="n"/>
      <c r="BD482" s="44" t="n"/>
      <c r="BE482" s="44" t="n"/>
      <c r="BF482" s="44" t="n"/>
    </row>
    <row r="483" ht="19.5" customHeight="1" s="45">
      <c r="A483" s="15">
        <f>IF($B483="","",TEXT($B483,"yyyymmdd")&amp;"-"&amp;SUBSTITUTE($F483," ","")&amp;"-"&amp;TEXT(COUNTIF($F$4:F483,$F483),"00"))</f>
        <v/>
      </c>
      <c r="B483" s="39" t="n"/>
      <c r="C483" s="15">
        <f>IF($B483="","",WEEKNUM($B483,2))</f>
        <v/>
      </c>
      <c r="D483" s="15">
        <f>IF($B483="","",TEXT($B483,"yyyy-mm"))</f>
        <v/>
      </c>
      <c r="E483" s="40" t="n"/>
      <c r="F483" s="40" t="n"/>
      <c r="G483" s="15">
        <f>IF(OR($E483="",$F483=""),"",IFERROR(IF($E483=INDEX(Cluster_Master!$A$4:$A$18,MATCH($F483,Cluster_Master!$B$4:$B$18,0)),"OK","CHECK"),"CHECK"))</f>
        <v/>
      </c>
      <c r="H483" s="18">
        <f>IFERROR(INDEX(Cluster_Master!$C$4:$C$18,MATCH($F483,Cluster_Master!$B$4:$B$18,0)),"")</f>
        <v/>
      </c>
      <c r="I483" s="15">
        <f>IFERROR(INDEX(Cluster_Master!$D$4:$D$18,MATCH($F483,Cluster_Master!$B$4:$B$18,0)),"")</f>
        <v/>
      </c>
      <c r="J483" s="15">
        <f>IFERROR(INDEX(Cluster_Master!$E$4:$E$18,MATCH($F483,Cluster_Master!$B$4:$B$18,0)),"")</f>
        <v/>
      </c>
      <c r="K483" s="15">
        <f>IFERROR(INDEX(Cluster_Master!$F$4:$F$18,MATCH($F483,Cluster_Master!$B$4:$B$18,0)),"")</f>
        <v/>
      </c>
      <c r="L483" s="15">
        <f>IFERROR(INDEX(Cluster_Master!$G$4:$G$18,MATCH($F483,Cluster_Master!$B$4:$B$18,0)),"")</f>
        <v/>
      </c>
      <c r="M483" s="15">
        <f>IFERROR(INDEX(Cluster_Master!$H$4:$H$18,MATCH($F483,Cluster_Master!$B$4:$B$18,0)),"")</f>
        <v/>
      </c>
      <c r="N483" s="41" t="n"/>
      <c r="O483" s="41" t="n"/>
      <c r="P483" s="41" t="n"/>
      <c r="Q483" s="41" t="n"/>
      <c r="R483" s="41" t="n"/>
      <c r="S483" s="41" t="n"/>
      <c r="T483" s="42" t="n"/>
      <c r="U483" s="42" t="n"/>
      <c r="V483" s="42" t="n"/>
      <c r="W483" s="42" t="n"/>
      <c r="X483" s="42" t="n"/>
      <c r="Y483" s="42" t="n"/>
      <c r="Z483" s="42" t="n"/>
      <c r="AA483" s="42" t="n"/>
      <c r="AB483" s="42" t="n"/>
      <c r="AC483" s="42" t="n"/>
      <c r="AD483" s="42" t="n"/>
      <c r="AE483" s="42" t="n"/>
      <c r="AF483" s="42" t="n"/>
      <c r="AG483" s="42" t="n"/>
      <c r="AH483" s="42" t="n"/>
      <c r="AI483" s="15">
        <f>IF(COUNTA(T483:AH483)=0,"",SUM(T483:AH483))</f>
        <v/>
      </c>
      <c r="AJ483" s="21">
        <f>IF(COUNTA(T483:AH483)=0,"",AI483/(COUNT(KPI_Weights!$A$4:$A$18)*5))</f>
        <v/>
      </c>
      <c r="AK483" s="21">
        <f>IF(COUNTA(T483:AH483)=0,"",SUMPRODUCT(T483:AH483,KPI_Weights!$B$4:$B$18)/5)</f>
        <v/>
      </c>
      <c r="AL483" s="15">
        <f>IF(COUNTA(T483:AH483)=0,"",IF(SUMPRODUCT(--(T483:AH483&lt;=1),--(KPI_Weights!$C$4:$C$18="YES"))&gt;0,"YES","NO"))</f>
        <v/>
      </c>
      <c r="AM483" s="15">
        <f>IF(AJ483="","",IF(AND(AL483="NO",AJ483&gt;=0.75),"YES","NO"))</f>
        <v/>
      </c>
      <c r="AN483" s="15">
        <f>IF(AJ483="","",IF(AJ483&lt;0.4,"Critical",IF(AJ483&lt;0.6,"Poor",IF(AJ483&lt;0.75,"Needs Improvement",IF(AJ483&lt;0.9,"Good","Excellent")))))</f>
        <v/>
      </c>
      <c r="AO483" s="41" t="n"/>
      <c r="AP483" s="41" t="n"/>
      <c r="AQ483" s="41" t="n"/>
      <c r="AR483" s="41" t="n"/>
      <c r="AS483" s="41" t="n"/>
      <c r="AT483" s="44" t="n"/>
      <c r="AU483" s="41" t="n"/>
      <c r="AV483" s="43" t="n"/>
      <c r="AW483" s="41" t="n"/>
      <c r="AX483" s="44" t="n"/>
      <c r="AY483" s="44" t="n"/>
      <c r="AZ483" s="44" t="n"/>
      <c r="BA483" s="44" t="n"/>
      <c r="BB483" s="44" t="n"/>
      <c r="BC483" s="44" t="n"/>
      <c r="BD483" s="44" t="n"/>
      <c r="BE483" s="44" t="n"/>
      <c r="BF483" s="44" t="n"/>
    </row>
    <row r="484" ht="19.5" customHeight="1" s="45">
      <c r="A484" s="15">
        <f>IF($B484="","",TEXT($B484,"yyyymmdd")&amp;"-"&amp;SUBSTITUTE($F484," ","")&amp;"-"&amp;TEXT(COUNTIF($F$4:F484,$F484),"00"))</f>
        <v/>
      </c>
      <c r="B484" s="39" t="n"/>
      <c r="C484" s="15">
        <f>IF($B484="","",WEEKNUM($B484,2))</f>
        <v/>
      </c>
      <c r="D484" s="15">
        <f>IF($B484="","",TEXT($B484,"yyyy-mm"))</f>
        <v/>
      </c>
      <c r="E484" s="40" t="n"/>
      <c r="F484" s="40" t="n"/>
      <c r="G484" s="15">
        <f>IF(OR($E484="",$F484=""),"",IFERROR(IF($E484=INDEX(Cluster_Master!$A$4:$A$18,MATCH($F484,Cluster_Master!$B$4:$B$18,0)),"OK","CHECK"),"CHECK"))</f>
        <v/>
      </c>
      <c r="H484" s="18">
        <f>IFERROR(INDEX(Cluster_Master!$C$4:$C$18,MATCH($F484,Cluster_Master!$B$4:$B$18,0)),"")</f>
        <v/>
      </c>
      <c r="I484" s="15">
        <f>IFERROR(INDEX(Cluster_Master!$D$4:$D$18,MATCH($F484,Cluster_Master!$B$4:$B$18,0)),"")</f>
        <v/>
      </c>
      <c r="J484" s="15">
        <f>IFERROR(INDEX(Cluster_Master!$E$4:$E$18,MATCH($F484,Cluster_Master!$B$4:$B$18,0)),"")</f>
        <v/>
      </c>
      <c r="K484" s="15">
        <f>IFERROR(INDEX(Cluster_Master!$F$4:$F$18,MATCH($F484,Cluster_Master!$B$4:$B$18,0)),"")</f>
        <v/>
      </c>
      <c r="L484" s="15">
        <f>IFERROR(INDEX(Cluster_Master!$G$4:$G$18,MATCH($F484,Cluster_Master!$B$4:$B$18,0)),"")</f>
        <v/>
      </c>
      <c r="M484" s="15">
        <f>IFERROR(INDEX(Cluster_Master!$H$4:$H$18,MATCH($F484,Cluster_Master!$B$4:$B$18,0)),"")</f>
        <v/>
      </c>
      <c r="N484" s="41" t="n"/>
      <c r="O484" s="41" t="n"/>
      <c r="P484" s="41" t="n"/>
      <c r="Q484" s="41" t="n"/>
      <c r="R484" s="41" t="n"/>
      <c r="S484" s="41" t="n"/>
      <c r="T484" s="42" t="n"/>
      <c r="U484" s="42" t="n"/>
      <c r="V484" s="42" t="n"/>
      <c r="W484" s="42" t="n"/>
      <c r="X484" s="42" t="n"/>
      <c r="Y484" s="42" t="n"/>
      <c r="Z484" s="42" t="n"/>
      <c r="AA484" s="42" t="n"/>
      <c r="AB484" s="42" t="n"/>
      <c r="AC484" s="42" t="n"/>
      <c r="AD484" s="42" t="n"/>
      <c r="AE484" s="42" t="n"/>
      <c r="AF484" s="42" t="n"/>
      <c r="AG484" s="42" t="n"/>
      <c r="AH484" s="42" t="n"/>
      <c r="AI484" s="15">
        <f>IF(COUNTA(T484:AH484)=0,"",SUM(T484:AH484))</f>
        <v/>
      </c>
      <c r="AJ484" s="21">
        <f>IF(COUNTA(T484:AH484)=0,"",AI484/(COUNT(KPI_Weights!$A$4:$A$18)*5))</f>
        <v/>
      </c>
      <c r="AK484" s="21">
        <f>IF(COUNTA(T484:AH484)=0,"",SUMPRODUCT(T484:AH484,KPI_Weights!$B$4:$B$18)/5)</f>
        <v/>
      </c>
      <c r="AL484" s="15">
        <f>IF(COUNTA(T484:AH484)=0,"",IF(SUMPRODUCT(--(T484:AH484&lt;=1),--(KPI_Weights!$C$4:$C$18="YES"))&gt;0,"YES","NO"))</f>
        <v/>
      </c>
      <c r="AM484" s="15">
        <f>IF(AJ484="","",IF(AND(AL484="NO",AJ484&gt;=0.75),"YES","NO"))</f>
        <v/>
      </c>
      <c r="AN484" s="15">
        <f>IF(AJ484="","",IF(AJ484&lt;0.4,"Critical",IF(AJ484&lt;0.6,"Poor",IF(AJ484&lt;0.75,"Needs Improvement",IF(AJ484&lt;0.9,"Good","Excellent")))))</f>
        <v/>
      </c>
      <c r="AO484" s="41" t="n"/>
      <c r="AP484" s="41" t="n"/>
      <c r="AQ484" s="41" t="n"/>
      <c r="AR484" s="41" t="n"/>
      <c r="AS484" s="41" t="n"/>
      <c r="AT484" s="44" t="n"/>
      <c r="AU484" s="41" t="n"/>
      <c r="AV484" s="43" t="n"/>
      <c r="AW484" s="41" t="n"/>
      <c r="AX484" s="44" t="n"/>
      <c r="AY484" s="44" t="n"/>
      <c r="AZ484" s="44" t="n"/>
      <c r="BA484" s="44" t="n"/>
      <c r="BB484" s="44" t="n"/>
      <c r="BC484" s="44" t="n"/>
      <c r="BD484" s="44" t="n"/>
      <c r="BE484" s="44" t="n"/>
      <c r="BF484" s="44" t="n"/>
    </row>
    <row r="485" ht="19.5" customHeight="1" s="45">
      <c r="A485" s="15">
        <f>IF($B485="","",TEXT($B485,"yyyymmdd")&amp;"-"&amp;SUBSTITUTE($F485," ","")&amp;"-"&amp;TEXT(COUNTIF($F$4:F485,$F485),"00"))</f>
        <v/>
      </c>
      <c r="B485" s="39" t="n"/>
      <c r="C485" s="15">
        <f>IF($B485="","",WEEKNUM($B485,2))</f>
        <v/>
      </c>
      <c r="D485" s="15">
        <f>IF($B485="","",TEXT($B485,"yyyy-mm"))</f>
        <v/>
      </c>
      <c r="E485" s="40" t="n"/>
      <c r="F485" s="40" t="n"/>
      <c r="G485" s="15">
        <f>IF(OR($E485="",$F485=""),"",IFERROR(IF($E485=INDEX(Cluster_Master!$A$4:$A$18,MATCH($F485,Cluster_Master!$B$4:$B$18,0)),"OK","CHECK"),"CHECK"))</f>
        <v/>
      </c>
      <c r="H485" s="18">
        <f>IFERROR(INDEX(Cluster_Master!$C$4:$C$18,MATCH($F485,Cluster_Master!$B$4:$B$18,0)),"")</f>
        <v/>
      </c>
      <c r="I485" s="15">
        <f>IFERROR(INDEX(Cluster_Master!$D$4:$D$18,MATCH($F485,Cluster_Master!$B$4:$B$18,0)),"")</f>
        <v/>
      </c>
      <c r="J485" s="15">
        <f>IFERROR(INDEX(Cluster_Master!$E$4:$E$18,MATCH($F485,Cluster_Master!$B$4:$B$18,0)),"")</f>
        <v/>
      </c>
      <c r="K485" s="15">
        <f>IFERROR(INDEX(Cluster_Master!$F$4:$F$18,MATCH($F485,Cluster_Master!$B$4:$B$18,0)),"")</f>
        <v/>
      </c>
      <c r="L485" s="15">
        <f>IFERROR(INDEX(Cluster_Master!$G$4:$G$18,MATCH($F485,Cluster_Master!$B$4:$B$18,0)),"")</f>
        <v/>
      </c>
      <c r="M485" s="15">
        <f>IFERROR(INDEX(Cluster_Master!$H$4:$H$18,MATCH($F485,Cluster_Master!$B$4:$B$18,0)),"")</f>
        <v/>
      </c>
      <c r="N485" s="41" t="n"/>
      <c r="O485" s="41" t="n"/>
      <c r="P485" s="41" t="n"/>
      <c r="Q485" s="41" t="n"/>
      <c r="R485" s="41" t="n"/>
      <c r="S485" s="41" t="n"/>
      <c r="T485" s="42" t="n"/>
      <c r="U485" s="42" t="n"/>
      <c r="V485" s="42" t="n"/>
      <c r="W485" s="42" t="n"/>
      <c r="X485" s="42" t="n"/>
      <c r="Y485" s="42" t="n"/>
      <c r="Z485" s="42" t="n"/>
      <c r="AA485" s="42" t="n"/>
      <c r="AB485" s="42" t="n"/>
      <c r="AC485" s="42" t="n"/>
      <c r="AD485" s="42" t="n"/>
      <c r="AE485" s="42" t="n"/>
      <c r="AF485" s="42" t="n"/>
      <c r="AG485" s="42" t="n"/>
      <c r="AH485" s="42" t="n"/>
      <c r="AI485" s="15">
        <f>IF(COUNTA(T485:AH485)=0,"",SUM(T485:AH485))</f>
        <v/>
      </c>
      <c r="AJ485" s="21">
        <f>IF(COUNTA(T485:AH485)=0,"",AI485/(COUNT(KPI_Weights!$A$4:$A$18)*5))</f>
        <v/>
      </c>
      <c r="AK485" s="21">
        <f>IF(COUNTA(T485:AH485)=0,"",SUMPRODUCT(T485:AH485,KPI_Weights!$B$4:$B$18)/5)</f>
        <v/>
      </c>
      <c r="AL485" s="15">
        <f>IF(COUNTA(T485:AH485)=0,"",IF(SUMPRODUCT(--(T485:AH485&lt;=1),--(KPI_Weights!$C$4:$C$18="YES"))&gt;0,"YES","NO"))</f>
        <v/>
      </c>
      <c r="AM485" s="15">
        <f>IF(AJ485="","",IF(AND(AL485="NO",AJ485&gt;=0.75),"YES","NO"))</f>
        <v/>
      </c>
      <c r="AN485" s="15">
        <f>IF(AJ485="","",IF(AJ485&lt;0.4,"Critical",IF(AJ485&lt;0.6,"Poor",IF(AJ485&lt;0.75,"Needs Improvement",IF(AJ485&lt;0.9,"Good","Excellent")))))</f>
        <v/>
      </c>
      <c r="AO485" s="41" t="n"/>
      <c r="AP485" s="41" t="n"/>
      <c r="AQ485" s="41" t="n"/>
      <c r="AR485" s="41" t="n"/>
      <c r="AS485" s="41" t="n"/>
      <c r="AT485" s="44" t="n"/>
      <c r="AU485" s="41" t="n"/>
      <c r="AV485" s="43" t="n"/>
      <c r="AW485" s="41" t="n"/>
      <c r="AX485" s="44" t="n"/>
      <c r="AY485" s="44" t="n"/>
      <c r="AZ485" s="44" t="n"/>
      <c r="BA485" s="44" t="n"/>
      <c r="BB485" s="44" t="n"/>
      <c r="BC485" s="44" t="n"/>
      <c r="BD485" s="44" t="n"/>
      <c r="BE485" s="44" t="n"/>
      <c r="BF485" s="44" t="n"/>
    </row>
    <row r="486" ht="19.5" customHeight="1" s="45">
      <c r="A486" s="15">
        <f>IF($B486="","",TEXT($B486,"yyyymmdd")&amp;"-"&amp;SUBSTITUTE($F486," ","")&amp;"-"&amp;TEXT(COUNTIF($F$4:F486,$F486),"00"))</f>
        <v/>
      </c>
      <c r="B486" s="39" t="n"/>
      <c r="C486" s="15">
        <f>IF($B486="","",WEEKNUM($B486,2))</f>
        <v/>
      </c>
      <c r="D486" s="15">
        <f>IF($B486="","",TEXT($B486,"yyyy-mm"))</f>
        <v/>
      </c>
      <c r="E486" s="40" t="n"/>
      <c r="F486" s="40" t="n"/>
      <c r="G486" s="15">
        <f>IF(OR($E486="",$F486=""),"",IFERROR(IF($E486=INDEX(Cluster_Master!$A$4:$A$18,MATCH($F486,Cluster_Master!$B$4:$B$18,0)),"OK","CHECK"),"CHECK"))</f>
        <v/>
      </c>
      <c r="H486" s="18">
        <f>IFERROR(INDEX(Cluster_Master!$C$4:$C$18,MATCH($F486,Cluster_Master!$B$4:$B$18,0)),"")</f>
        <v/>
      </c>
      <c r="I486" s="15">
        <f>IFERROR(INDEX(Cluster_Master!$D$4:$D$18,MATCH($F486,Cluster_Master!$B$4:$B$18,0)),"")</f>
        <v/>
      </c>
      <c r="J486" s="15">
        <f>IFERROR(INDEX(Cluster_Master!$E$4:$E$18,MATCH($F486,Cluster_Master!$B$4:$B$18,0)),"")</f>
        <v/>
      </c>
      <c r="K486" s="15">
        <f>IFERROR(INDEX(Cluster_Master!$F$4:$F$18,MATCH($F486,Cluster_Master!$B$4:$B$18,0)),"")</f>
        <v/>
      </c>
      <c r="L486" s="15">
        <f>IFERROR(INDEX(Cluster_Master!$G$4:$G$18,MATCH($F486,Cluster_Master!$B$4:$B$18,0)),"")</f>
        <v/>
      </c>
      <c r="M486" s="15">
        <f>IFERROR(INDEX(Cluster_Master!$H$4:$H$18,MATCH($F486,Cluster_Master!$B$4:$B$18,0)),"")</f>
        <v/>
      </c>
      <c r="N486" s="41" t="n"/>
      <c r="O486" s="41" t="n"/>
      <c r="P486" s="41" t="n"/>
      <c r="Q486" s="41" t="n"/>
      <c r="R486" s="41" t="n"/>
      <c r="S486" s="41" t="n"/>
      <c r="T486" s="42" t="n"/>
      <c r="U486" s="42" t="n"/>
      <c r="V486" s="42" t="n"/>
      <c r="W486" s="42" t="n"/>
      <c r="X486" s="42" t="n"/>
      <c r="Y486" s="42" t="n"/>
      <c r="Z486" s="42" t="n"/>
      <c r="AA486" s="42" t="n"/>
      <c r="AB486" s="42" t="n"/>
      <c r="AC486" s="42" t="n"/>
      <c r="AD486" s="42" t="n"/>
      <c r="AE486" s="42" t="n"/>
      <c r="AF486" s="42" t="n"/>
      <c r="AG486" s="42" t="n"/>
      <c r="AH486" s="42" t="n"/>
      <c r="AI486" s="15">
        <f>IF(COUNTA(T486:AH486)=0,"",SUM(T486:AH486))</f>
        <v/>
      </c>
      <c r="AJ486" s="21">
        <f>IF(COUNTA(T486:AH486)=0,"",AI486/(COUNT(KPI_Weights!$A$4:$A$18)*5))</f>
        <v/>
      </c>
      <c r="AK486" s="21">
        <f>IF(COUNTA(T486:AH486)=0,"",SUMPRODUCT(T486:AH486,KPI_Weights!$B$4:$B$18)/5)</f>
        <v/>
      </c>
      <c r="AL486" s="15">
        <f>IF(COUNTA(T486:AH486)=0,"",IF(SUMPRODUCT(--(T486:AH486&lt;=1),--(KPI_Weights!$C$4:$C$18="YES"))&gt;0,"YES","NO"))</f>
        <v/>
      </c>
      <c r="AM486" s="15">
        <f>IF(AJ486="","",IF(AND(AL486="NO",AJ486&gt;=0.75),"YES","NO"))</f>
        <v/>
      </c>
      <c r="AN486" s="15">
        <f>IF(AJ486="","",IF(AJ486&lt;0.4,"Critical",IF(AJ486&lt;0.6,"Poor",IF(AJ486&lt;0.75,"Needs Improvement",IF(AJ486&lt;0.9,"Good","Excellent")))))</f>
        <v/>
      </c>
      <c r="AO486" s="41" t="n"/>
      <c r="AP486" s="41" t="n"/>
      <c r="AQ486" s="41" t="n"/>
      <c r="AR486" s="41" t="n"/>
      <c r="AS486" s="41" t="n"/>
      <c r="AT486" s="44" t="n"/>
      <c r="AU486" s="41" t="n"/>
      <c r="AV486" s="43" t="n"/>
      <c r="AW486" s="41" t="n"/>
      <c r="AX486" s="44" t="n"/>
      <c r="AY486" s="44" t="n"/>
      <c r="AZ486" s="44" t="n"/>
      <c r="BA486" s="44" t="n"/>
      <c r="BB486" s="44" t="n"/>
      <c r="BC486" s="44" t="n"/>
      <c r="BD486" s="44" t="n"/>
      <c r="BE486" s="44" t="n"/>
      <c r="BF486" s="44" t="n"/>
    </row>
    <row r="487" ht="19.5" customHeight="1" s="45">
      <c r="A487" s="15">
        <f>IF($B487="","",TEXT($B487,"yyyymmdd")&amp;"-"&amp;SUBSTITUTE($F487," ","")&amp;"-"&amp;TEXT(COUNTIF($F$4:F487,$F487),"00"))</f>
        <v/>
      </c>
      <c r="B487" s="39" t="n"/>
      <c r="C487" s="15">
        <f>IF($B487="","",WEEKNUM($B487,2))</f>
        <v/>
      </c>
      <c r="D487" s="15">
        <f>IF($B487="","",TEXT($B487,"yyyy-mm"))</f>
        <v/>
      </c>
      <c r="E487" s="40" t="n"/>
      <c r="F487" s="40" t="n"/>
      <c r="G487" s="15">
        <f>IF(OR($E487="",$F487=""),"",IFERROR(IF($E487=INDEX(Cluster_Master!$A$4:$A$18,MATCH($F487,Cluster_Master!$B$4:$B$18,0)),"OK","CHECK"),"CHECK"))</f>
        <v/>
      </c>
      <c r="H487" s="18">
        <f>IFERROR(INDEX(Cluster_Master!$C$4:$C$18,MATCH($F487,Cluster_Master!$B$4:$B$18,0)),"")</f>
        <v/>
      </c>
      <c r="I487" s="15">
        <f>IFERROR(INDEX(Cluster_Master!$D$4:$D$18,MATCH($F487,Cluster_Master!$B$4:$B$18,0)),"")</f>
        <v/>
      </c>
      <c r="J487" s="15">
        <f>IFERROR(INDEX(Cluster_Master!$E$4:$E$18,MATCH($F487,Cluster_Master!$B$4:$B$18,0)),"")</f>
        <v/>
      </c>
      <c r="K487" s="15">
        <f>IFERROR(INDEX(Cluster_Master!$F$4:$F$18,MATCH($F487,Cluster_Master!$B$4:$B$18,0)),"")</f>
        <v/>
      </c>
      <c r="L487" s="15">
        <f>IFERROR(INDEX(Cluster_Master!$G$4:$G$18,MATCH($F487,Cluster_Master!$B$4:$B$18,0)),"")</f>
        <v/>
      </c>
      <c r="M487" s="15">
        <f>IFERROR(INDEX(Cluster_Master!$H$4:$H$18,MATCH($F487,Cluster_Master!$B$4:$B$18,0)),"")</f>
        <v/>
      </c>
      <c r="N487" s="41" t="n"/>
      <c r="O487" s="41" t="n"/>
      <c r="P487" s="41" t="n"/>
      <c r="Q487" s="41" t="n"/>
      <c r="R487" s="41" t="n"/>
      <c r="S487" s="41" t="n"/>
      <c r="T487" s="42" t="n"/>
      <c r="U487" s="42" t="n"/>
      <c r="V487" s="42" t="n"/>
      <c r="W487" s="42" t="n"/>
      <c r="X487" s="42" t="n"/>
      <c r="Y487" s="42" t="n"/>
      <c r="Z487" s="42" t="n"/>
      <c r="AA487" s="42" t="n"/>
      <c r="AB487" s="42" t="n"/>
      <c r="AC487" s="42" t="n"/>
      <c r="AD487" s="42" t="n"/>
      <c r="AE487" s="42" t="n"/>
      <c r="AF487" s="42" t="n"/>
      <c r="AG487" s="42" t="n"/>
      <c r="AH487" s="42" t="n"/>
      <c r="AI487" s="15">
        <f>IF(COUNTA(T487:AH487)=0,"",SUM(T487:AH487))</f>
        <v/>
      </c>
      <c r="AJ487" s="21">
        <f>IF(COUNTA(T487:AH487)=0,"",AI487/(COUNT(KPI_Weights!$A$4:$A$18)*5))</f>
        <v/>
      </c>
      <c r="AK487" s="21">
        <f>IF(COUNTA(T487:AH487)=0,"",SUMPRODUCT(T487:AH487,KPI_Weights!$B$4:$B$18)/5)</f>
        <v/>
      </c>
      <c r="AL487" s="15">
        <f>IF(COUNTA(T487:AH487)=0,"",IF(SUMPRODUCT(--(T487:AH487&lt;=1),--(KPI_Weights!$C$4:$C$18="YES"))&gt;0,"YES","NO"))</f>
        <v/>
      </c>
      <c r="AM487" s="15">
        <f>IF(AJ487="","",IF(AND(AL487="NO",AJ487&gt;=0.75),"YES","NO"))</f>
        <v/>
      </c>
      <c r="AN487" s="15">
        <f>IF(AJ487="","",IF(AJ487&lt;0.4,"Critical",IF(AJ487&lt;0.6,"Poor",IF(AJ487&lt;0.75,"Needs Improvement",IF(AJ487&lt;0.9,"Good","Excellent")))))</f>
        <v/>
      </c>
      <c r="AO487" s="41" t="n"/>
      <c r="AP487" s="41" t="n"/>
      <c r="AQ487" s="41" t="n"/>
      <c r="AR487" s="41" t="n"/>
      <c r="AS487" s="41" t="n"/>
      <c r="AT487" s="44" t="n"/>
      <c r="AU487" s="41" t="n"/>
      <c r="AV487" s="43" t="n"/>
      <c r="AW487" s="41" t="n"/>
      <c r="AX487" s="44" t="n"/>
      <c r="AY487" s="44" t="n"/>
      <c r="AZ487" s="44" t="n"/>
      <c r="BA487" s="44" t="n"/>
      <c r="BB487" s="44" t="n"/>
      <c r="BC487" s="44" t="n"/>
      <c r="BD487" s="44" t="n"/>
      <c r="BE487" s="44" t="n"/>
      <c r="BF487" s="44" t="n"/>
    </row>
    <row r="488" ht="19.5" customHeight="1" s="45">
      <c r="A488" s="15">
        <f>IF($B488="","",TEXT($B488,"yyyymmdd")&amp;"-"&amp;SUBSTITUTE($F488," ","")&amp;"-"&amp;TEXT(COUNTIF($F$4:F488,$F488),"00"))</f>
        <v/>
      </c>
      <c r="B488" s="39" t="n"/>
      <c r="C488" s="15">
        <f>IF($B488="","",WEEKNUM($B488,2))</f>
        <v/>
      </c>
      <c r="D488" s="15">
        <f>IF($B488="","",TEXT($B488,"yyyy-mm"))</f>
        <v/>
      </c>
      <c r="E488" s="40" t="n"/>
      <c r="F488" s="40" t="n"/>
      <c r="G488" s="15">
        <f>IF(OR($E488="",$F488=""),"",IFERROR(IF($E488=INDEX(Cluster_Master!$A$4:$A$18,MATCH($F488,Cluster_Master!$B$4:$B$18,0)),"OK","CHECK"),"CHECK"))</f>
        <v/>
      </c>
      <c r="H488" s="18">
        <f>IFERROR(INDEX(Cluster_Master!$C$4:$C$18,MATCH($F488,Cluster_Master!$B$4:$B$18,0)),"")</f>
        <v/>
      </c>
      <c r="I488" s="15">
        <f>IFERROR(INDEX(Cluster_Master!$D$4:$D$18,MATCH($F488,Cluster_Master!$B$4:$B$18,0)),"")</f>
        <v/>
      </c>
      <c r="J488" s="15">
        <f>IFERROR(INDEX(Cluster_Master!$E$4:$E$18,MATCH($F488,Cluster_Master!$B$4:$B$18,0)),"")</f>
        <v/>
      </c>
      <c r="K488" s="15">
        <f>IFERROR(INDEX(Cluster_Master!$F$4:$F$18,MATCH($F488,Cluster_Master!$B$4:$B$18,0)),"")</f>
        <v/>
      </c>
      <c r="L488" s="15">
        <f>IFERROR(INDEX(Cluster_Master!$G$4:$G$18,MATCH($F488,Cluster_Master!$B$4:$B$18,0)),"")</f>
        <v/>
      </c>
      <c r="M488" s="15">
        <f>IFERROR(INDEX(Cluster_Master!$H$4:$H$18,MATCH($F488,Cluster_Master!$B$4:$B$18,0)),"")</f>
        <v/>
      </c>
      <c r="N488" s="41" t="n"/>
      <c r="O488" s="41" t="n"/>
      <c r="P488" s="41" t="n"/>
      <c r="Q488" s="41" t="n"/>
      <c r="R488" s="41" t="n"/>
      <c r="S488" s="41" t="n"/>
      <c r="T488" s="42" t="n"/>
      <c r="U488" s="42" t="n"/>
      <c r="V488" s="42" t="n"/>
      <c r="W488" s="42" t="n"/>
      <c r="X488" s="42" t="n"/>
      <c r="Y488" s="42" t="n"/>
      <c r="Z488" s="42" t="n"/>
      <c r="AA488" s="42" t="n"/>
      <c r="AB488" s="42" t="n"/>
      <c r="AC488" s="42" t="n"/>
      <c r="AD488" s="42" t="n"/>
      <c r="AE488" s="42" t="n"/>
      <c r="AF488" s="42" t="n"/>
      <c r="AG488" s="42" t="n"/>
      <c r="AH488" s="42" t="n"/>
      <c r="AI488" s="15">
        <f>IF(COUNTA(T488:AH488)=0,"",SUM(T488:AH488))</f>
        <v/>
      </c>
      <c r="AJ488" s="21">
        <f>IF(COUNTA(T488:AH488)=0,"",AI488/(COUNT(KPI_Weights!$A$4:$A$18)*5))</f>
        <v/>
      </c>
      <c r="AK488" s="21">
        <f>IF(COUNTA(T488:AH488)=0,"",SUMPRODUCT(T488:AH488,KPI_Weights!$B$4:$B$18)/5)</f>
        <v/>
      </c>
      <c r="AL488" s="15">
        <f>IF(COUNTA(T488:AH488)=0,"",IF(SUMPRODUCT(--(T488:AH488&lt;=1),--(KPI_Weights!$C$4:$C$18="YES"))&gt;0,"YES","NO"))</f>
        <v/>
      </c>
      <c r="AM488" s="15">
        <f>IF(AJ488="","",IF(AND(AL488="NO",AJ488&gt;=0.75),"YES","NO"))</f>
        <v/>
      </c>
      <c r="AN488" s="15">
        <f>IF(AJ488="","",IF(AJ488&lt;0.4,"Critical",IF(AJ488&lt;0.6,"Poor",IF(AJ488&lt;0.75,"Needs Improvement",IF(AJ488&lt;0.9,"Good","Excellent")))))</f>
        <v/>
      </c>
      <c r="AO488" s="41" t="n"/>
      <c r="AP488" s="41" t="n"/>
      <c r="AQ488" s="41" t="n"/>
      <c r="AR488" s="41" t="n"/>
      <c r="AS488" s="41" t="n"/>
      <c r="AT488" s="44" t="n"/>
      <c r="AU488" s="41" t="n"/>
      <c r="AV488" s="43" t="n"/>
      <c r="AW488" s="41" t="n"/>
      <c r="AX488" s="44" t="n"/>
      <c r="AY488" s="44" t="n"/>
      <c r="AZ488" s="44" t="n"/>
      <c r="BA488" s="44" t="n"/>
      <c r="BB488" s="44" t="n"/>
      <c r="BC488" s="44" t="n"/>
      <c r="BD488" s="44" t="n"/>
      <c r="BE488" s="44" t="n"/>
      <c r="BF488" s="44" t="n"/>
    </row>
    <row r="489" ht="19.5" customHeight="1" s="45">
      <c r="A489" s="15">
        <f>IF($B489="","",TEXT($B489,"yyyymmdd")&amp;"-"&amp;SUBSTITUTE($F489," ","")&amp;"-"&amp;TEXT(COUNTIF($F$4:F489,$F489),"00"))</f>
        <v/>
      </c>
      <c r="B489" s="39" t="n"/>
      <c r="C489" s="15">
        <f>IF($B489="","",WEEKNUM($B489,2))</f>
        <v/>
      </c>
      <c r="D489" s="15">
        <f>IF($B489="","",TEXT($B489,"yyyy-mm"))</f>
        <v/>
      </c>
      <c r="E489" s="40" t="n"/>
      <c r="F489" s="40" t="n"/>
      <c r="G489" s="15">
        <f>IF(OR($E489="",$F489=""),"",IFERROR(IF($E489=INDEX(Cluster_Master!$A$4:$A$18,MATCH($F489,Cluster_Master!$B$4:$B$18,0)),"OK","CHECK"),"CHECK"))</f>
        <v/>
      </c>
      <c r="H489" s="18">
        <f>IFERROR(INDEX(Cluster_Master!$C$4:$C$18,MATCH($F489,Cluster_Master!$B$4:$B$18,0)),"")</f>
        <v/>
      </c>
      <c r="I489" s="15">
        <f>IFERROR(INDEX(Cluster_Master!$D$4:$D$18,MATCH($F489,Cluster_Master!$B$4:$B$18,0)),"")</f>
        <v/>
      </c>
      <c r="J489" s="15">
        <f>IFERROR(INDEX(Cluster_Master!$E$4:$E$18,MATCH($F489,Cluster_Master!$B$4:$B$18,0)),"")</f>
        <v/>
      </c>
      <c r="K489" s="15">
        <f>IFERROR(INDEX(Cluster_Master!$F$4:$F$18,MATCH($F489,Cluster_Master!$B$4:$B$18,0)),"")</f>
        <v/>
      </c>
      <c r="L489" s="15">
        <f>IFERROR(INDEX(Cluster_Master!$G$4:$G$18,MATCH($F489,Cluster_Master!$B$4:$B$18,0)),"")</f>
        <v/>
      </c>
      <c r="M489" s="15">
        <f>IFERROR(INDEX(Cluster_Master!$H$4:$H$18,MATCH($F489,Cluster_Master!$B$4:$B$18,0)),"")</f>
        <v/>
      </c>
      <c r="N489" s="41" t="n"/>
      <c r="O489" s="41" t="n"/>
      <c r="P489" s="41" t="n"/>
      <c r="Q489" s="41" t="n"/>
      <c r="R489" s="41" t="n"/>
      <c r="S489" s="41" t="n"/>
      <c r="T489" s="42" t="n"/>
      <c r="U489" s="42" t="n"/>
      <c r="V489" s="42" t="n"/>
      <c r="W489" s="42" t="n"/>
      <c r="X489" s="42" t="n"/>
      <c r="Y489" s="42" t="n"/>
      <c r="Z489" s="42" t="n"/>
      <c r="AA489" s="42" t="n"/>
      <c r="AB489" s="42" t="n"/>
      <c r="AC489" s="42" t="n"/>
      <c r="AD489" s="42" t="n"/>
      <c r="AE489" s="42" t="n"/>
      <c r="AF489" s="42" t="n"/>
      <c r="AG489" s="42" t="n"/>
      <c r="AH489" s="42" t="n"/>
      <c r="AI489" s="15">
        <f>IF(COUNTA(T489:AH489)=0,"",SUM(T489:AH489))</f>
        <v/>
      </c>
      <c r="AJ489" s="21">
        <f>IF(COUNTA(T489:AH489)=0,"",AI489/(COUNT(KPI_Weights!$A$4:$A$18)*5))</f>
        <v/>
      </c>
      <c r="AK489" s="21">
        <f>IF(COUNTA(T489:AH489)=0,"",SUMPRODUCT(T489:AH489,KPI_Weights!$B$4:$B$18)/5)</f>
        <v/>
      </c>
      <c r="AL489" s="15">
        <f>IF(COUNTA(T489:AH489)=0,"",IF(SUMPRODUCT(--(T489:AH489&lt;=1),--(KPI_Weights!$C$4:$C$18="YES"))&gt;0,"YES","NO"))</f>
        <v/>
      </c>
      <c r="AM489" s="15">
        <f>IF(AJ489="","",IF(AND(AL489="NO",AJ489&gt;=0.75),"YES","NO"))</f>
        <v/>
      </c>
      <c r="AN489" s="15">
        <f>IF(AJ489="","",IF(AJ489&lt;0.4,"Critical",IF(AJ489&lt;0.6,"Poor",IF(AJ489&lt;0.75,"Needs Improvement",IF(AJ489&lt;0.9,"Good","Excellent")))))</f>
        <v/>
      </c>
      <c r="AO489" s="41" t="n"/>
      <c r="AP489" s="41" t="n"/>
      <c r="AQ489" s="41" t="n"/>
      <c r="AR489" s="41" t="n"/>
      <c r="AS489" s="41" t="n"/>
      <c r="AT489" s="44" t="n"/>
      <c r="AU489" s="41" t="n"/>
      <c r="AV489" s="43" t="n"/>
      <c r="AW489" s="41" t="n"/>
      <c r="AX489" s="44" t="n"/>
      <c r="AY489" s="44" t="n"/>
      <c r="AZ489" s="44" t="n"/>
      <c r="BA489" s="44" t="n"/>
      <c r="BB489" s="44" t="n"/>
      <c r="BC489" s="44" t="n"/>
      <c r="BD489" s="44" t="n"/>
      <c r="BE489" s="44" t="n"/>
      <c r="BF489" s="44" t="n"/>
    </row>
    <row r="490" ht="19.5" customHeight="1" s="45">
      <c r="A490" s="15">
        <f>IF($B490="","",TEXT($B490,"yyyymmdd")&amp;"-"&amp;SUBSTITUTE($F490," ","")&amp;"-"&amp;TEXT(COUNTIF($F$4:F490,$F490),"00"))</f>
        <v/>
      </c>
      <c r="B490" s="39" t="n"/>
      <c r="C490" s="15">
        <f>IF($B490="","",WEEKNUM($B490,2))</f>
        <v/>
      </c>
      <c r="D490" s="15">
        <f>IF($B490="","",TEXT($B490,"yyyy-mm"))</f>
        <v/>
      </c>
      <c r="E490" s="40" t="n"/>
      <c r="F490" s="40" t="n"/>
      <c r="G490" s="15">
        <f>IF(OR($E490="",$F490=""),"",IFERROR(IF($E490=INDEX(Cluster_Master!$A$4:$A$18,MATCH($F490,Cluster_Master!$B$4:$B$18,0)),"OK","CHECK"),"CHECK"))</f>
        <v/>
      </c>
      <c r="H490" s="18">
        <f>IFERROR(INDEX(Cluster_Master!$C$4:$C$18,MATCH($F490,Cluster_Master!$B$4:$B$18,0)),"")</f>
        <v/>
      </c>
      <c r="I490" s="15">
        <f>IFERROR(INDEX(Cluster_Master!$D$4:$D$18,MATCH($F490,Cluster_Master!$B$4:$B$18,0)),"")</f>
        <v/>
      </c>
      <c r="J490" s="15">
        <f>IFERROR(INDEX(Cluster_Master!$E$4:$E$18,MATCH($F490,Cluster_Master!$B$4:$B$18,0)),"")</f>
        <v/>
      </c>
      <c r="K490" s="15">
        <f>IFERROR(INDEX(Cluster_Master!$F$4:$F$18,MATCH($F490,Cluster_Master!$B$4:$B$18,0)),"")</f>
        <v/>
      </c>
      <c r="L490" s="15">
        <f>IFERROR(INDEX(Cluster_Master!$G$4:$G$18,MATCH($F490,Cluster_Master!$B$4:$B$18,0)),"")</f>
        <v/>
      </c>
      <c r="M490" s="15">
        <f>IFERROR(INDEX(Cluster_Master!$H$4:$H$18,MATCH($F490,Cluster_Master!$B$4:$B$18,0)),"")</f>
        <v/>
      </c>
      <c r="N490" s="41" t="n"/>
      <c r="O490" s="41" t="n"/>
      <c r="P490" s="41" t="n"/>
      <c r="Q490" s="41" t="n"/>
      <c r="R490" s="41" t="n"/>
      <c r="S490" s="41" t="n"/>
      <c r="T490" s="42" t="n"/>
      <c r="U490" s="42" t="n"/>
      <c r="V490" s="42" t="n"/>
      <c r="W490" s="42" t="n"/>
      <c r="X490" s="42" t="n"/>
      <c r="Y490" s="42" t="n"/>
      <c r="Z490" s="42" t="n"/>
      <c r="AA490" s="42" t="n"/>
      <c r="AB490" s="42" t="n"/>
      <c r="AC490" s="42" t="n"/>
      <c r="AD490" s="42" t="n"/>
      <c r="AE490" s="42" t="n"/>
      <c r="AF490" s="42" t="n"/>
      <c r="AG490" s="42" t="n"/>
      <c r="AH490" s="42" t="n"/>
      <c r="AI490" s="15">
        <f>IF(COUNTA(T490:AH490)=0,"",SUM(T490:AH490))</f>
        <v/>
      </c>
      <c r="AJ490" s="21">
        <f>IF(COUNTA(T490:AH490)=0,"",AI490/(COUNT(KPI_Weights!$A$4:$A$18)*5))</f>
        <v/>
      </c>
      <c r="AK490" s="21">
        <f>IF(COUNTA(T490:AH490)=0,"",SUMPRODUCT(T490:AH490,KPI_Weights!$B$4:$B$18)/5)</f>
        <v/>
      </c>
      <c r="AL490" s="15">
        <f>IF(COUNTA(T490:AH490)=0,"",IF(SUMPRODUCT(--(T490:AH490&lt;=1),--(KPI_Weights!$C$4:$C$18="YES"))&gt;0,"YES","NO"))</f>
        <v/>
      </c>
      <c r="AM490" s="15">
        <f>IF(AJ490="","",IF(AND(AL490="NO",AJ490&gt;=0.75),"YES","NO"))</f>
        <v/>
      </c>
      <c r="AN490" s="15">
        <f>IF(AJ490="","",IF(AJ490&lt;0.4,"Critical",IF(AJ490&lt;0.6,"Poor",IF(AJ490&lt;0.75,"Needs Improvement",IF(AJ490&lt;0.9,"Good","Excellent")))))</f>
        <v/>
      </c>
      <c r="AO490" s="41" t="n"/>
      <c r="AP490" s="41" t="n"/>
      <c r="AQ490" s="41" t="n"/>
      <c r="AR490" s="41" t="n"/>
      <c r="AS490" s="41" t="n"/>
      <c r="AT490" s="44" t="n"/>
      <c r="AU490" s="41" t="n"/>
      <c r="AV490" s="43" t="n"/>
      <c r="AW490" s="41" t="n"/>
      <c r="AX490" s="44" t="n"/>
      <c r="AY490" s="44" t="n"/>
      <c r="AZ490" s="44" t="n"/>
      <c r="BA490" s="44" t="n"/>
      <c r="BB490" s="44" t="n"/>
      <c r="BC490" s="44" t="n"/>
      <c r="BD490" s="44" t="n"/>
      <c r="BE490" s="44" t="n"/>
      <c r="BF490" s="44" t="n"/>
    </row>
    <row r="491" ht="19.5" customHeight="1" s="45">
      <c r="A491" s="15">
        <f>IF($B491="","",TEXT($B491,"yyyymmdd")&amp;"-"&amp;SUBSTITUTE($F491," ","")&amp;"-"&amp;TEXT(COUNTIF($F$4:F491,$F491),"00"))</f>
        <v/>
      </c>
      <c r="B491" s="39" t="n"/>
      <c r="C491" s="15">
        <f>IF($B491="","",WEEKNUM($B491,2))</f>
        <v/>
      </c>
      <c r="D491" s="15">
        <f>IF($B491="","",TEXT($B491,"yyyy-mm"))</f>
        <v/>
      </c>
      <c r="E491" s="40" t="n"/>
      <c r="F491" s="40" t="n"/>
      <c r="G491" s="15">
        <f>IF(OR($E491="",$F491=""),"",IFERROR(IF($E491=INDEX(Cluster_Master!$A$4:$A$18,MATCH($F491,Cluster_Master!$B$4:$B$18,0)),"OK","CHECK"),"CHECK"))</f>
        <v/>
      </c>
      <c r="H491" s="18">
        <f>IFERROR(INDEX(Cluster_Master!$C$4:$C$18,MATCH($F491,Cluster_Master!$B$4:$B$18,0)),"")</f>
        <v/>
      </c>
      <c r="I491" s="15">
        <f>IFERROR(INDEX(Cluster_Master!$D$4:$D$18,MATCH($F491,Cluster_Master!$B$4:$B$18,0)),"")</f>
        <v/>
      </c>
      <c r="J491" s="15">
        <f>IFERROR(INDEX(Cluster_Master!$E$4:$E$18,MATCH($F491,Cluster_Master!$B$4:$B$18,0)),"")</f>
        <v/>
      </c>
      <c r="K491" s="15">
        <f>IFERROR(INDEX(Cluster_Master!$F$4:$F$18,MATCH($F491,Cluster_Master!$B$4:$B$18,0)),"")</f>
        <v/>
      </c>
      <c r="L491" s="15">
        <f>IFERROR(INDEX(Cluster_Master!$G$4:$G$18,MATCH($F491,Cluster_Master!$B$4:$B$18,0)),"")</f>
        <v/>
      </c>
      <c r="M491" s="15">
        <f>IFERROR(INDEX(Cluster_Master!$H$4:$H$18,MATCH($F491,Cluster_Master!$B$4:$B$18,0)),"")</f>
        <v/>
      </c>
      <c r="N491" s="41" t="n"/>
      <c r="O491" s="41" t="n"/>
      <c r="P491" s="41" t="n"/>
      <c r="Q491" s="41" t="n"/>
      <c r="R491" s="41" t="n"/>
      <c r="S491" s="41" t="n"/>
      <c r="T491" s="42" t="n"/>
      <c r="U491" s="42" t="n"/>
      <c r="V491" s="42" t="n"/>
      <c r="W491" s="42" t="n"/>
      <c r="X491" s="42" t="n"/>
      <c r="Y491" s="42" t="n"/>
      <c r="Z491" s="42" t="n"/>
      <c r="AA491" s="42" t="n"/>
      <c r="AB491" s="42" t="n"/>
      <c r="AC491" s="42" t="n"/>
      <c r="AD491" s="42" t="n"/>
      <c r="AE491" s="42" t="n"/>
      <c r="AF491" s="42" t="n"/>
      <c r="AG491" s="42" t="n"/>
      <c r="AH491" s="42" t="n"/>
      <c r="AI491" s="15">
        <f>IF(COUNTA(T491:AH491)=0,"",SUM(T491:AH491))</f>
        <v/>
      </c>
      <c r="AJ491" s="21">
        <f>IF(COUNTA(T491:AH491)=0,"",AI491/(COUNT(KPI_Weights!$A$4:$A$18)*5))</f>
        <v/>
      </c>
      <c r="AK491" s="21">
        <f>IF(COUNTA(T491:AH491)=0,"",SUMPRODUCT(T491:AH491,KPI_Weights!$B$4:$B$18)/5)</f>
        <v/>
      </c>
      <c r="AL491" s="15">
        <f>IF(COUNTA(T491:AH491)=0,"",IF(SUMPRODUCT(--(T491:AH491&lt;=1),--(KPI_Weights!$C$4:$C$18="YES"))&gt;0,"YES","NO"))</f>
        <v/>
      </c>
      <c r="AM491" s="15">
        <f>IF(AJ491="","",IF(AND(AL491="NO",AJ491&gt;=0.75),"YES","NO"))</f>
        <v/>
      </c>
      <c r="AN491" s="15">
        <f>IF(AJ491="","",IF(AJ491&lt;0.4,"Critical",IF(AJ491&lt;0.6,"Poor",IF(AJ491&lt;0.75,"Needs Improvement",IF(AJ491&lt;0.9,"Good","Excellent")))))</f>
        <v/>
      </c>
      <c r="AO491" s="41" t="n"/>
      <c r="AP491" s="41" t="n"/>
      <c r="AQ491" s="41" t="n"/>
      <c r="AR491" s="41" t="n"/>
      <c r="AS491" s="41" t="n"/>
      <c r="AT491" s="44" t="n"/>
      <c r="AU491" s="41" t="n"/>
      <c r="AV491" s="43" t="n"/>
      <c r="AW491" s="41" t="n"/>
      <c r="AX491" s="44" t="n"/>
      <c r="AY491" s="44" t="n"/>
      <c r="AZ491" s="44" t="n"/>
      <c r="BA491" s="44" t="n"/>
      <c r="BB491" s="44" t="n"/>
      <c r="BC491" s="44" t="n"/>
      <c r="BD491" s="44" t="n"/>
      <c r="BE491" s="44" t="n"/>
      <c r="BF491" s="44" t="n"/>
    </row>
    <row r="492" ht="19.5" customHeight="1" s="45">
      <c r="A492" s="15">
        <f>IF($B492="","",TEXT($B492,"yyyymmdd")&amp;"-"&amp;SUBSTITUTE($F492," ","")&amp;"-"&amp;TEXT(COUNTIF($F$4:F492,$F492),"00"))</f>
        <v/>
      </c>
      <c r="B492" s="39" t="n"/>
      <c r="C492" s="15">
        <f>IF($B492="","",WEEKNUM($B492,2))</f>
        <v/>
      </c>
      <c r="D492" s="15">
        <f>IF($B492="","",TEXT($B492,"yyyy-mm"))</f>
        <v/>
      </c>
      <c r="E492" s="40" t="n"/>
      <c r="F492" s="40" t="n"/>
      <c r="G492" s="15">
        <f>IF(OR($E492="",$F492=""),"",IFERROR(IF($E492=INDEX(Cluster_Master!$A$4:$A$18,MATCH($F492,Cluster_Master!$B$4:$B$18,0)),"OK","CHECK"),"CHECK"))</f>
        <v/>
      </c>
      <c r="H492" s="18">
        <f>IFERROR(INDEX(Cluster_Master!$C$4:$C$18,MATCH($F492,Cluster_Master!$B$4:$B$18,0)),"")</f>
        <v/>
      </c>
      <c r="I492" s="15">
        <f>IFERROR(INDEX(Cluster_Master!$D$4:$D$18,MATCH($F492,Cluster_Master!$B$4:$B$18,0)),"")</f>
        <v/>
      </c>
      <c r="J492" s="15">
        <f>IFERROR(INDEX(Cluster_Master!$E$4:$E$18,MATCH($F492,Cluster_Master!$B$4:$B$18,0)),"")</f>
        <v/>
      </c>
      <c r="K492" s="15">
        <f>IFERROR(INDEX(Cluster_Master!$F$4:$F$18,MATCH($F492,Cluster_Master!$B$4:$B$18,0)),"")</f>
        <v/>
      </c>
      <c r="L492" s="15">
        <f>IFERROR(INDEX(Cluster_Master!$G$4:$G$18,MATCH($F492,Cluster_Master!$B$4:$B$18,0)),"")</f>
        <v/>
      </c>
      <c r="M492" s="15">
        <f>IFERROR(INDEX(Cluster_Master!$H$4:$H$18,MATCH($F492,Cluster_Master!$B$4:$B$18,0)),"")</f>
        <v/>
      </c>
      <c r="N492" s="41" t="n"/>
      <c r="O492" s="41" t="n"/>
      <c r="P492" s="41" t="n"/>
      <c r="Q492" s="41" t="n"/>
      <c r="R492" s="41" t="n"/>
      <c r="S492" s="41" t="n"/>
      <c r="T492" s="42" t="n"/>
      <c r="U492" s="42" t="n"/>
      <c r="V492" s="42" t="n"/>
      <c r="W492" s="42" t="n"/>
      <c r="X492" s="42" t="n"/>
      <c r="Y492" s="42" t="n"/>
      <c r="Z492" s="42" t="n"/>
      <c r="AA492" s="42" t="n"/>
      <c r="AB492" s="42" t="n"/>
      <c r="AC492" s="42" t="n"/>
      <c r="AD492" s="42" t="n"/>
      <c r="AE492" s="42" t="n"/>
      <c r="AF492" s="42" t="n"/>
      <c r="AG492" s="42" t="n"/>
      <c r="AH492" s="42" t="n"/>
      <c r="AI492" s="15">
        <f>IF(COUNTA(T492:AH492)=0,"",SUM(T492:AH492))</f>
        <v/>
      </c>
      <c r="AJ492" s="21">
        <f>IF(COUNTA(T492:AH492)=0,"",AI492/(COUNT(KPI_Weights!$A$4:$A$18)*5))</f>
        <v/>
      </c>
      <c r="AK492" s="21">
        <f>IF(COUNTA(T492:AH492)=0,"",SUMPRODUCT(T492:AH492,KPI_Weights!$B$4:$B$18)/5)</f>
        <v/>
      </c>
      <c r="AL492" s="15">
        <f>IF(COUNTA(T492:AH492)=0,"",IF(SUMPRODUCT(--(T492:AH492&lt;=1),--(KPI_Weights!$C$4:$C$18="YES"))&gt;0,"YES","NO"))</f>
        <v/>
      </c>
      <c r="AM492" s="15">
        <f>IF(AJ492="","",IF(AND(AL492="NO",AJ492&gt;=0.75),"YES","NO"))</f>
        <v/>
      </c>
      <c r="AN492" s="15">
        <f>IF(AJ492="","",IF(AJ492&lt;0.4,"Critical",IF(AJ492&lt;0.6,"Poor",IF(AJ492&lt;0.75,"Needs Improvement",IF(AJ492&lt;0.9,"Good","Excellent")))))</f>
        <v/>
      </c>
      <c r="AO492" s="41" t="n"/>
      <c r="AP492" s="41" t="n"/>
      <c r="AQ492" s="41" t="n"/>
      <c r="AR492" s="41" t="n"/>
      <c r="AS492" s="41" t="n"/>
      <c r="AT492" s="44" t="n"/>
      <c r="AU492" s="41" t="n"/>
      <c r="AV492" s="43" t="n"/>
      <c r="AW492" s="41" t="n"/>
      <c r="AX492" s="44" t="n"/>
      <c r="AY492" s="44" t="n"/>
      <c r="AZ492" s="44" t="n"/>
      <c r="BA492" s="44" t="n"/>
      <c r="BB492" s="44" t="n"/>
      <c r="BC492" s="44" t="n"/>
      <c r="BD492" s="44" t="n"/>
      <c r="BE492" s="44" t="n"/>
      <c r="BF492" s="44" t="n"/>
    </row>
    <row r="493" ht="19.5" customHeight="1" s="45">
      <c r="A493" s="15">
        <f>IF($B493="","",TEXT($B493,"yyyymmdd")&amp;"-"&amp;SUBSTITUTE($F493," ","")&amp;"-"&amp;TEXT(COUNTIF($F$4:F493,$F493),"00"))</f>
        <v/>
      </c>
      <c r="B493" s="39" t="n"/>
      <c r="C493" s="15">
        <f>IF($B493="","",WEEKNUM($B493,2))</f>
        <v/>
      </c>
      <c r="D493" s="15">
        <f>IF($B493="","",TEXT($B493,"yyyy-mm"))</f>
        <v/>
      </c>
      <c r="E493" s="40" t="n"/>
      <c r="F493" s="40" t="n"/>
      <c r="G493" s="15">
        <f>IF(OR($E493="",$F493=""),"",IFERROR(IF($E493=INDEX(Cluster_Master!$A$4:$A$18,MATCH($F493,Cluster_Master!$B$4:$B$18,0)),"OK","CHECK"),"CHECK"))</f>
        <v/>
      </c>
      <c r="H493" s="18">
        <f>IFERROR(INDEX(Cluster_Master!$C$4:$C$18,MATCH($F493,Cluster_Master!$B$4:$B$18,0)),"")</f>
        <v/>
      </c>
      <c r="I493" s="15">
        <f>IFERROR(INDEX(Cluster_Master!$D$4:$D$18,MATCH($F493,Cluster_Master!$B$4:$B$18,0)),"")</f>
        <v/>
      </c>
      <c r="J493" s="15">
        <f>IFERROR(INDEX(Cluster_Master!$E$4:$E$18,MATCH($F493,Cluster_Master!$B$4:$B$18,0)),"")</f>
        <v/>
      </c>
      <c r="K493" s="15">
        <f>IFERROR(INDEX(Cluster_Master!$F$4:$F$18,MATCH($F493,Cluster_Master!$B$4:$B$18,0)),"")</f>
        <v/>
      </c>
      <c r="L493" s="15">
        <f>IFERROR(INDEX(Cluster_Master!$G$4:$G$18,MATCH($F493,Cluster_Master!$B$4:$B$18,0)),"")</f>
        <v/>
      </c>
      <c r="M493" s="15">
        <f>IFERROR(INDEX(Cluster_Master!$H$4:$H$18,MATCH($F493,Cluster_Master!$B$4:$B$18,0)),"")</f>
        <v/>
      </c>
      <c r="N493" s="41" t="n"/>
      <c r="O493" s="41" t="n"/>
      <c r="P493" s="41" t="n"/>
      <c r="Q493" s="41" t="n"/>
      <c r="R493" s="41" t="n"/>
      <c r="S493" s="41" t="n"/>
      <c r="T493" s="42" t="n"/>
      <c r="U493" s="42" t="n"/>
      <c r="V493" s="42" t="n"/>
      <c r="W493" s="42" t="n"/>
      <c r="X493" s="42" t="n"/>
      <c r="Y493" s="42" t="n"/>
      <c r="Z493" s="42" t="n"/>
      <c r="AA493" s="42" t="n"/>
      <c r="AB493" s="42" t="n"/>
      <c r="AC493" s="42" t="n"/>
      <c r="AD493" s="42" t="n"/>
      <c r="AE493" s="42" t="n"/>
      <c r="AF493" s="42" t="n"/>
      <c r="AG493" s="42" t="n"/>
      <c r="AH493" s="42" t="n"/>
      <c r="AI493" s="15">
        <f>IF(COUNTA(T493:AH493)=0,"",SUM(T493:AH493))</f>
        <v/>
      </c>
      <c r="AJ493" s="21">
        <f>IF(COUNTA(T493:AH493)=0,"",AI493/(COUNT(KPI_Weights!$A$4:$A$18)*5))</f>
        <v/>
      </c>
      <c r="AK493" s="21">
        <f>IF(COUNTA(T493:AH493)=0,"",SUMPRODUCT(T493:AH493,KPI_Weights!$B$4:$B$18)/5)</f>
        <v/>
      </c>
      <c r="AL493" s="15">
        <f>IF(COUNTA(T493:AH493)=0,"",IF(SUMPRODUCT(--(T493:AH493&lt;=1),--(KPI_Weights!$C$4:$C$18="YES"))&gt;0,"YES","NO"))</f>
        <v/>
      </c>
      <c r="AM493" s="15">
        <f>IF(AJ493="","",IF(AND(AL493="NO",AJ493&gt;=0.75),"YES","NO"))</f>
        <v/>
      </c>
      <c r="AN493" s="15">
        <f>IF(AJ493="","",IF(AJ493&lt;0.4,"Critical",IF(AJ493&lt;0.6,"Poor",IF(AJ493&lt;0.75,"Needs Improvement",IF(AJ493&lt;0.9,"Good","Excellent")))))</f>
        <v/>
      </c>
      <c r="AO493" s="41" t="n"/>
      <c r="AP493" s="41" t="n"/>
      <c r="AQ493" s="41" t="n"/>
      <c r="AR493" s="41" t="n"/>
      <c r="AS493" s="41" t="n"/>
      <c r="AT493" s="44" t="n"/>
      <c r="AU493" s="41" t="n"/>
      <c r="AV493" s="43" t="n"/>
      <c r="AW493" s="41" t="n"/>
      <c r="AX493" s="44" t="n"/>
      <c r="AY493" s="44" t="n"/>
      <c r="AZ493" s="44" t="n"/>
      <c r="BA493" s="44" t="n"/>
      <c r="BB493" s="44" t="n"/>
      <c r="BC493" s="44" t="n"/>
      <c r="BD493" s="44" t="n"/>
      <c r="BE493" s="44" t="n"/>
      <c r="BF493" s="44" t="n"/>
    </row>
    <row r="494" ht="19.5" customHeight="1" s="45">
      <c r="A494" s="15">
        <f>IF($B494="","",TEXT($B494,"yyyymmdd")&amp;"-"&amp;SUBSTITUTE($F494," ","")&amp;"-"&amp;TEXT(COUNTIF($F$4:F494,$F494),"00"))</f>
        <v/>
      </c>
      <c r="B494" s="39" t="n"/>
      <c r="C494" s="15">
        <f>IF($B494="","",WEEKNUM($B494,2))</f>
        <v/>
      </c>
      <c r="D494" s="15">
        <f>IF($B494="","",TEXT($B494,"yyyy-mm"))</f>
        <v/>
      </c>
      <c r="E494" s="40" t="n"/>
      <c r="F494" s="40" t="n"/>
      <c r="G494" s="15">
        <f>IF(OR($E494="",$F494=""),"",IFERROR(IF($E494=INDEX(Cluster_Master!$A$4:$A$18,MATCH($F494,Cluster_Master!$B$4:$B$18,0)),"OK","CHECK"),"CHECK"))</f>
        <v/>
      </c>
      <c r="H494" s="18">
        <f>IFERROR(INDEX(Cluster_Master!$C$4:$C$18,MATCH($F494,Cluster_Master!$B$4:$B$18,0)),"")</f>
        <v/>
      </c>
      <c r="I494" s="15">
        <f>IFERROR(INDEX(Cluster_Master!$D$4:$D$18,MATCH($F494,Cluster_Master!$B$4:$B$18,0)),"")</f>
        <v/>
      </c>
      <c r="J494" s="15">
        <f>IFERROR(INDEX(Cluster_Master!$E$4:$E$18,MATCH($F494,Cluster_Master!$B$4:$B$18,0)),"")</f>
        <v/>
      </c>
      <c r="K494" s="15">
        <f>IFERROR(INDEX(Cluster_Master!$F$4:$F$18,MATCH($F494,Cluster_Master!$B$4:$B$18,0)),"")</f>
        <v/>
      </c>
      <c r="L494" s="15">
        <f>IFERROR(INDEX(Cluster_Master!$G$4:$G$18,MATCH($F494,Cluster_Master!$B$4:$B$18,0)),"")</f>
        <v/>
      </c>
      <c r="M494" s="15">
        <f>IFERROR(INDEX(Cluster_Master!$H$4:$H$18,MATCH($F494,Cluster_Master!$B$4:$B$18,0)),"")</f>
        <v/>
      </c>
      <c r="N494" s="41" t="n"/>
      <c r="O494" s="41" t="n"/>
      <c r="P494" s="41" t="n"/>
      <c r="Q494" s="41" t="n"/>
      <c r="R494" s="41" t="n"/>
      <c r="S494" s="41" t="n"/>
      <c r="T494" s="42" t="n"/>
      <c r="U494" s="42" t="n"/>
      <c r="V494" s="42" t="n"/>
      <c r="W494" s="42" t="n"/>
      <c r="X494" s="42" t="n"/>
      <c r="Y494" s="42" t="n"/>
      <c r="Z494" s="42" t="n"/>
      <c r="AA494" s="42" t="n"/>
      <c r="AB494" s="42" t="n"/>
      <c r="AC494" s="42" t="n"/>
      <c r="AD494" s="42" t="n"/>
      <c r="AE494" s="42" t="n"/>
      <c r="AF494" s="42" t="n"/>
      <c r="AG494" s="42" t="n"/>
      <c r="AH494" s="42" t="n"/>
      <c r="AI494" s="15">
        <f>IF(COUNTA(T494:AH494)=0,"",SUM(T494:AH494))</f>
        <v/>
      </c>
      <c r="AJ494" s="21">
        <f>IF(COUNTA(T494:AH494)=0,"",AI494/(COUNT(KPI_Weights!$A$4:$A$18)*5))</f>
        <v/>
      </c>
      <c r="AK494" s="21">
        <f>IF(COUNTA(T494:AH494)=0,"",SUMPRODUCT(T494:AH494,KPI_Weights!$B$4:$B$18)/5)</f>
        <v/>
      </c>
      <c r="AL494" s="15">
        <f>IF(COUNTA(T494:AH494)=0,"",IF(SUMPRODUCT(--(T494:AH494&lt;=1),--(KPI_Weights!$C$4:$C$18="YES"))&gt;0,"YES","NO"))</f>
        <v/>
      </c>
      <c r="AM494" s="15">
        <f>IF(AJ494="","",IF(AND(AL494="NO",AJ494&gt;=0.75),"YES","NO"))</f>
        <v/>
      </c>
      <c r="AN494" s="15">
        <f>IF(AJ494="","",IF(AJ494&lt;0.4,"Critical",IF(AJ494&lt;0.6,"Poor",IF(AJ494&lt;0.75,"Needs Improvement",IF(AJ494&lt;0.9,"Good","Excellent")))))</f>
        <v/>
      </c>
      <c r="AO494" s="41" t="n"/>
      <c r="AP494" s="41" t="n"/>
      <c r="AQ494" s="41" t="n"/>
      <c r="AR494" s="41" t="n"/>
      <c r="AS494" s="41" t="n"/>
      <c r="AT494" s="44" t="n"/>
      <c r="AU494" s="41" t="n"/>
      <c r="AV494" s="43" t="n"/>
      <c r="AW494" s="41" t="n"/>
      <c r="AX494" s="44" t="n"/>
      <c r="AY494" s="44" t="n"/>
      <c r="AZ494" s="44" t="n"/>
      <c r="BA494" s="44" t="n"/>
      <c r="BB494" s="44" t="n"/>
      <c r="BC494" s="44" t="n"/>
      <c r="BD494" s="44" t="n"/>
      <c r="BE494" s="44" t="n"/>
      <c r="BF494" s="44" t="n"/>
    </row>
    <row r="495" ht="19.5" customHeight="1" s="45">
      <c r="A495" s="15">
        <f>IF($B495="","",TEXT($B495,"yyyymmdd")&amp;"-"&amp;SUBSTITUTE($F495," ","")&amp;"-"&amp;TEXT(COUNTIF($F$4:F495,$F495),"00"))</f>
        <v/>
      </c>
      <c r="B495" s="39" t="n"/>
      <c r="C495" s="15">
        <f>IF($B495="","",WEEKNUM($B495,2))</f>
        <v/>
      </c>
      <c r="D495" s="15">
        <f>IF($B495="","",TEXT($B495,"yyyy-mm"))</f>
        <v/>
      </c>
      <c r="E495" s="40" t="n"/>
      <c r="F495" s="40" t="n"/>
      <c r="G495" s="15">
        <f>IF(OR($E495="",$F495=""),"",IFERROR(IF($E495=INDEX(Cluster_Master!$A$4:$A$18,MATCH($F495,Cluster_Master!$B$4:$B$18,0)),"OK","CHECK"),"CHECK"))</f>
        <v/>
      </c>
      <c r="H495" s="18">
        <f>IFERROR(INDEX(Cluster_Master!$C$4:$C$18,MATCH($F495,Cluster_Master!$B$4:$B$18,0)),"")</f>
        <v/>
      </c>
      <c r="I495" s="15">
        <f>IFERROR(INDEX(Cluster_Master!$D$4:$D$18,MATCH($F495,Cluster_Master!$B$4:$B$18,0)),"")</f>
        <v/>
      </c>
      <c r="J495" s="15">
        <f>IFERROR(INDEX(Cluster_Master!$E$4:$E$18,MATCH($F495,Cluster_Master!$B$4:$B$18,0)),"")</f>
        <v/>
      </c>
      <c r="K495" s="15">
        <f>IFERROR(INDEX(Cluster_Master!$F$4:$F$18,MATCH($F495,Cluster_Master!$B$4:$B$18,0)),"")</f>
        <v/>
      </c>
      <c r="L495" s="15">
        <f>IFERROR(INDEX(Cluster_Master!$G$4:$G$18,MATCH($F495,Cluster_Master!$B$4:$B$18,0)),"")</f>
        <v/>
      </c>
      <c r="M495" s="15">
        <f>IFERROR(INDEX(Cluster_Master!$H$4:$H$18,MATCH($F495,Cluster_Master!$B$4:$B$18,0)),"")</f>
        <v/>
      </c>
      <c r="N495" s="41" t="n"/>
      <c r="O495" s="41" t="n"/>
      <c r="P495" s="41" t="n"/>
      <c r="Q495" s="41" t="n"/>
      <c r="R495" s="41" t="n"/>
      <c r="S495" s="41" t="n"/>
      <c r="T495" s="42" t="n"/>
      <c r="U495" s="42" t="n"/>
      <c r="V495" s="42" t="n"/>
      <c r="W495" s="42" t="n"/>
      <c r="X495" s="42" t="n"/>
      <c r="Y495" s="42" t="n"/>
      <c r="Z495" s="42" t="n"/>
      <c r="AA495" s="42" t="n"/>
      <c r="AB495" s="42" t="n"/>
      <c r="AC495" s="42" t="n"/>
      <c r="AD495" s="42" t="n"/>
      <c r="AE495" s="42" t="n"/>
      <c r="AF495" s="42" t="n"/>
      <c r="AG495" s="42" t="n"/>
      <c r="AH495" s="42" t="n"/>
      <c r="AI495" s="15">
        <f>IF(COUNTA(T495:AH495)=0,"",SUM(T495:AH495))</f>
        <v/>
      </c>
      <c r="AJ495" s="21">
        <f>IF(COUNTA(T495:AH495)=0,"",AI495/(COUNT(KPI_Weights!$A$4:$A$18)*5))</f>
        <v/>
      </c>
      <c r="AK495" s="21">
        <f>IF(COUNTA(T495:AH495)=0,"",SUMPRODUCT(T495:AH495,KPI_Weights!$B$4:$B$18)/5)</f>
        <v/>
      </c>
      <c r="AL495" s="15">
        <f>IF(COUNTA(T495:AH495)=0,"",IF(SUMPRODUCT(--(T495:AH495&lt;=1),--(KPI_Weights!$C$4:$C$18="YES"))&gt;0,"YES","NO"))</f>
        <v/>
      </c>
      <c r="AM495" s="15">
        <f>IF(AJ495="","",IF(AND(AL495="NO",AJ495&gt;=0.75),"YES","NO"))</f>
        <v/>
      </c>
      <c r="AN495" s="15">
        <f>IF(AJ495="","",IF(AJ495&lt;0.4,"Critical",IF(AJ495&lt;0.6,"Poor",IF(AJ495&lt;0.75,"Needs Improvement",IF(AJ495&lt;0.9,"Good","Excellent")))))</f>
        <v/>
      </c>
      <c r="AO495" s="41" t="n"/>
      <c r="AP495" s="41" t="n"/>
      <c r="AQ495" s="41" t="n"/>
      <c r="AR495" s="41" t="n"/>
      <c r="AS495" s="41" t="n"/>
      <c r="AT495" s="44" t="n"/>
      <c r="AU495" s="41" t="n"/>
      <c r="AV495" s="43" t="n"/>
      <c r="AW495" s="41" t="n"/>
      <c r="AX495" s="44" t="n"/>
      <c r="AY495" s="44" t="n"/>
      <c r="AZ495" s="44" t="n"/>
      <c r="BA495" s="44" t="n"/>
      <c r="BB495" s="44" t="n"/>
      <c r="BC495" s="44" t="n"/>
      <c r="BD495" s="44" t="n"/>
      <c r="BE495" s="44" t="n"/>
      <c r="BF495" s="44" t="n"/>
    </row>
    <row r="496" ht="19.5" customHeight="1" s="45">
      <c r="A496" s="15">
        <f>IF($B496="","",TEXT($B496,"yyyymmdd")&amp;"-"&amp;SUBSTITUTE($F496," ","")&amp;"-"&amp;TEXT(COUNTIF($F$4:F496,$F496),"00"))</f>
        <v/>
      </c>
      <c r="B496" s="39" t="n"/>
      <c r="C496" s="15">
        <f>IF($B496="","",WEEKNUM($B496,2))</f>
        <v/>
      </c>
      <c r="D496" s="15">
        <f>IF($B496="","",TEXT($B496,"yyyy-mm"))</f>
        <v/>
      </c>
      <c r="E496" s="40" t="n"/>
      <c r="F496" s="40" t="n"/>
      <c r="G496" s="15">
        <f>IF(OR($E496="",$F496=""),"",IFERROR(IF($E496=INDEX(Cluster_Master!$A$4:$A$18,MATCH($F496,Cluster_Master!$B$4:$B$18,0)),"OK","CHECK"),"CHECK"))</f>
        <v/>
      </c>
      <c r="H496" s="18">
        <f>IFERROR(INDEX(Cluster_Master!$C$4:$C$18,MATCH($F496,Cluster_Master!$B$4:$B$18,0)),"")</f>
        <v/>
      </c>
      <c r="I496" s="15">
        <f>IFERROR(INDEX(Cluster_Master!$D$4:$D$18,MATCH($F496,Cluster_Master!$B$4:$B$18,0)),"")</f>
        <v/>
      </c>
      <c r="J496" s="15">
        <f>IFERROR(INDEX(Cluster_Master!$E$4:$E$18,MATCH($F496,Cluster_Master!$B$4:$B$18,0)),"")</f>
        <v/>
      </c>
      <c r="K496" s="15">
        <f>IFERROR(INDEX(Cluster_Master!$F$4:$F$18,MATCH($F496,Cluster_Master!$B$4:$B$18,0)),"")</f>
        <v/>
      </c>
      <c r="L496" s="15">
        <f>IFERROR(INDEX(Cluster_Master!$G$4:$G$18,MATCH($F496,Cluster_Master!$B$4:$B$18,0)),"")</f>
        <v/>
      </c>
      <c r="M496" s="15">
        <f>IFERROR(INDEX(Cluster_Master!$H$4:$H$18,MATCH($F496,Cluster_Master!$B$4:$B$18,0)),"")</f>
        <v/>
      </c>
      <c r="N496" s="41" t="n"/>
      <c r="O496" s="41" t="n"/>
      <c r="P496" s="41" t="n"/>
      <c r="Q496" s="41" t="n"/>
      <c r="R496" s="41" t="n"/>
      <c r="S496" s="41" t="n"/>
      <c r="T496" s="42" t="n"/>
      <c r="U496" s="42" t="n"/>
      <c r="V496" s="42" t="n"/>
      <c r="W496" s="42" t="n"/>
      <c r="X496" s="42" t="n"/>
      <c r="Y496" s="42" t="n"/>
      <c r="Z496" s="42" t="n"/>
      <c r="AA496" s="42" t="n"/>
      <c r="AB496" s="42" t="n"/>
      <c r="AC496" s="42" t="n"/>
      <c r="AD496" s="42" t="n"/>
      <c r="AE496" s="42" t="n"/>
      <c r="AF496" s="42" t="n"/>
      <c r="AG496" s="42" t="n"/>
      <c r="AH496" s="42" t="n"/>
      <c r="AI496" s="15">
        <f>IF(COUNTA(T496:AH496)=0,"",SUM(T496:AH496))</f>
        <v/>
      </c>
      <c r="AJ496" s="21">
        <f>IF(COUNTA(T496:AH496)=0,"",AI496/(COUNT(KPI_Weights!$A$4:$A$18)*5))</f>
        <v/>
      </c>
      <c r="AK496" s="21">
        <f>IF(COUNTA(T496:AH496)=0,"",SUMPRODUCT(T496:AH496,KPI_Weights!$B$4:$B$18)/5)</f>
        <v/>
      </c>
      <c r="AL496" s="15">
        <f>IF(COUNTA(T496:AH496)=0,"",IF(SUMPRODUCT(--(T496:AH496&lt;=1),--(KPI_Weights!$C$4:$C$18="YES"))&gt;0,"YES","NO"))</f>
        <v/>
      </c>
      <c r="AM496" s="15">
        <f>IF(AJ496="","",IF(AND(AL496="NO",AJ496&gt;=0.75),"YES","NO"))</f>
        <v/>
      </c>
      <c r="AN496" s="15">
        <f>IF(AJ496="","",IF(AJ496&lt;0.4,"Critical",IF(AJ496&lt;0.6,"Poor",IF(AJ496&lt;0.75,"Needs Improvement",IF(AJ496&lt;0.9,"Good","Excellent")))))</f>
        <v/>
      </c>
      <c r="AO496" s="41" t="n"/>
      <c r="AP496" s="41" t="n"/>
      <c r="AQ496" s="41" t="n"/>
      <c r="AR496" s="41" t="n"/>
      <c r="AS496" s="41" t="n"/>
      <c r="AT496" s="44" t="n"/>
      <c r="AU496" s="41" t="n"/>
      <c r="AV496" s="43" t="n"/>
      <c r="AW496" s="41" t="n"/>
      <c r="AX496" s="44" t="n"/>
      <c r="AY496" s="44" t="n"/>
      <c r="AZ496" s="44" t="n"/>
      <c r="BA496" s="44" t="n"/>
      <c r="BB496" s="44" t="n"/>
      <c r="BC496" s="44" t="n"/>
      <c r="BD496" s="44" t="n"/>
      <c r="BE496" s="44" t="n"/>
      <c r="BF496" s="44" t="n"/>
    </row>
    <row r="497" ht="19.5" customHeight="1" s="45">
      <c r="A497" s="15">
        <f>IF($B497="","",TEXT($B497,"yyyymmdd")&amp;"-"&amp;SUBSTITUTE($F497," ","")&amp;"-"&amp;TEXT(COUNTIF($F$4:F497,$F497),"00"))</f>
        <v/>
      </c>
      <c r="B497" s="39" t="n"/>
      <c r="C497" s="15">
        <f>IF($B497="","",WEEKNUM($B497,2))</f>
        <v/>
      </c>
      <c r="D497" s="15">
        <f>IF($B497="","",TEXT($B497,"yyyy-mm"))</f>
        <v/>
      </c>
      <c r="E497" s="40" t="n"/>
      <c r="F497" s="40" t="n"/>
      <c r="G497" s="15">
        <f>IF(OR($E497="",$F497=""),"",IFERROR(IF($E497=INDEX(Cluster_Master!$A$4:$A$18,MATCH($F497,Cluster_Master!$B$4:$B$18,0)),"OK","CHECK"),"CHECK"))</f>
        <v/>
      </c>
      <c r="H497" s="18">
        <f>IFERROR(INDEX(Cluster_Master!$C$4:$C$18,MATCH($F497,Cluster_Master!$B$4:$B$18,0)),"")</f>
        <v/>
      </c>
      <c r="I497" s="15">
        <f>IFERROR(INDEX(Cluster_Master!$D$4:$D$18,MATCH($F497,Cluster_Master!$B$4:$B$18,0)),"")</f>
        <v/>
      </c>
      <c r="J497" s="15">
        <f>IFERROR(INDEX(Cluster_Master!$E$4:$E$18,MATCH($F497,Cluster_Master!$B$4:$B$18,0)),"")</f>
        <v/>
      </c>
      <c r="K497" s="15">
        <f>IFERROR(INDEX(Cluster_Master!$F$4:$F$18,MATCH($F497,Cluster_Master!$B$4:$B$18,0)),"")</f>
        <v/>
      </c>
      <c r="L497" s="15">
        <f>IFERROR(INDEX(Cluster_Master!$G$4:$G$18,MATCH($F497,Cluster_Master!$B$4:$B$18,0)),"")</f>
        <v/>
      </c>
      <c r="M497" s="15">
        <f>IFERROR(INDEX(Cluster_Master!$H$4:$H$18,MATCH($F497,Cluster_Master!$B$4:$B$18,0)),"")</f>
        <v/>
      </c>
      <c r="N497" s="41" t="n"/>
      <c r="O497" s="41" t="n"/>
      <c r="P497" s="41" t="n"/>
      <c r="Q497" s="41" t="n"/>
      <c r="R497" s="41" t="n"/>
      <c r="S497" s="41" t="n"/>
      <c r="T497" s="42" t="n"/>
      <c r="U497" s="42" t="n"/>
      <c r="V497" s="42" t="n"/>
      <c r="W497" s="42" t="n"/>
      <c r="X497" s="42" t="n"/>
      <c r="Y497" s="42" t="n"/>
      <c r="Z497" s="42" t="n"/>
      <c r="AA497" s="42" t="n"/>
      <c r="AB497" s="42" t="n"/>
      <c r="AC497" s="42" t="n"/>
      <c r="AD497" s="42" t="n"/>
      <c r="AE497" s="42" t="n"/>
      <c r="AF497" s="42" t="n"/>
      <c r="AG497" s="42" t="n"/>
      <c r="AH497" s="42" t="n"/>
      <c r="AI497" s="15">
        <f>IF(COUNTA(T497:AH497)=0,"",SUM(T497:AH497))</f>
        <v/>
      </c>
      <c r="AJ497" s="21">
        <f>IF(COUNTA(T497:AH497)=0,"",AI497/(COUNT(KPI_Weights!$A$4:$A$18)*5))</f>
        <v/>
      </c>
      <c r="AK497" s="21">
        <f>IF(COUNTA(T497:AH497)=0,"",SUMPRODUCT(T497:AH497,KPI_Weights!$B$4:$B$18)/5)</f>
        <v/>
      </c>
      <c r="AL497" s="15">
        <f>IF(COUNTA(T497:AH497)=0,"",IF(SUMPRODUCT(--(T497:AH497&lt;=1),--(KPI_Weights!$C$4:$C$18="YES"))&gt;0,"YES","NO"))</f>
        <v/>
      </c>
      <c r="AM497" s="15">
        <f>IF(AJ497="","",IF(AND(AL497="NO",AJ497&gt;=0.75),"YES","NO"))</f>
        <v/>
      </c>
      <c r="AN497" s="15">
        <f>IF(AJ497="","",IF(AJ497&lt;0.4,"Critical",IF(AJ497&lt;0.6,"Poor",IF(AJ497&lt;0.75,"Needs Improvement",IF(AJ497&lt;0.9,"Good","Excellent")))))</f>
        <v/>
      </c>
      <c r="AO497" s="41" t="n"/>
      <c r="AP497" s="41" t="n"/>
      <c r="AQ497" s="41" t="n"/>
      <c r="AR497" s="41" t="n"/>
      <c r="AS497" s="41" t="n"/>
      <c r="AT497" s="44" t="n"/>
      <c r="AU497" s="41" t="n"/>
      <c r="AV497" s="43" t="n"/>
      <c r="AW497" s="41" t="n"/>
      <c r="AX497" s="44" t="n"/>
      <c r="AY497" s="44" t="n"/>
      <c r="AZ497" s="44" t="n"/>
      <c r="BA497" s="44" t="n"/>
      <c r="BB497" s="44" t="n"/>
      <c r="BC497" s="44" t="n"/>
      <c r="BD497" s="44" t="n"/>
      <c r="BE497" s="44" t="n"/>
      <c r="BF497" s="44" t="n"/>
    </row>
    <row r="498" ht="19.5" customHeight="1" s="45">
      <c r="A498" s="15">
        <f>IF($B498="","",TEXT($B498,"yyyymmdd")&amp;"-"&amp;SUBSTITUTE($F498," ","")&amp;"-"&amp;TEXT(COUNTIF($F$4:F498,$F498),"00"))</f>
        <v/>
      </c>
      <c r="B498" s="39" t="n"/>
      <c r="C498" s="15">
        <f>IF($B498="","",WEEKNUM($B498,2))</f>
        <v/>
      </c>
      <c r="D498" s="15">
        <f>IF($B498="","",TEXT($B498,"yyyy-mm"))</f>
        <v/>
      </c>
      <c r="E498" s="40" t="n"/>
      <c r="F498" s="40" t="n"/>
      <c r="G498" s="15">
        <f>IF(OR($E498="",$F498=""),"",IFERROR(IF($E498=INDEX(Cluster_Master!$A$4:$A$18,MATCH($F498,Cluster_Master!$B$4:$B$18,0)),"OK","CHECK"),"CHECK"))</f>
        <v/>
      </c>
      <c r="H498" s="18">
        <f>IFERROR(INDEX(Cluster_Master!$C$4:$C$18,MATCH($F498,Cluster_Master!$B$4:$B$18,0)),"")</f>
        <v/>
      </c>
      <c r="I498" s="15">
        <f>IFERROR(INDEX(Cluster_Master!$D$4:$D$18,MATCH($F498,Cluster_Master!$B$4:$B$18,0)),"")</f>
        <v/>
      </c>
      <c r="J498" s="15">
        <f>IFERROR(INDEX(Cluster_Master!$E$4:$E$18,MATCH($F498,Cluster_Master!$B$4:$B$18,0)),"")</f>
        <v/>
      </c>
      <c r="K498" s="15">
        <f>IFERROR(INDEX(Cluster_Master!$F$4:$F$18,MATCH($F498,Cluster_Master!$B$4:$B$18,0)),"")</f>
        <v/>
      </c>
      <c r="L498" s="15">
        <f>IFERROR(INDEX(Cluster_Master!$G$4:$G$18,MATCH($F498,Cluster_Master!$B$4:$B$18,0)),"")</f>
        <v/>
      </c>
      <c r="M498" s="15">
        <f>IFERROR(INDEX(Cluster_Master!$H$4:$H$18,MATCH($F498,Cluster_Master!$B$4:$B$18,0)),"")</f>
        <v/>
      </c>
      <c r="N498" s="41" t="n"/>
      <c r="O498" s="41" t="n"/>
      <c r="P498" s="41" t="n"/>
      <c r="Q498" s="41" t="n"/>
      <c r="R498" s="41" t="n"/>
      <c r="S498" s="41" t="n"/>
      <c r="T498" s="42" t="n"/>
      <c r="U498" s="42" t="n"/>
      <c r="V498" s="42" t="n"/>
      <c r="W498" s="42" t="n"/>
      <c r="X498" s="42" t="n"/>
      <c r="Y498" s="42" t="n"/>
      <c r="Z498" s="42" t="n"/>
      <c r="AA498" s="42" t="n"/>
      <c r="AB498" s="42" t="n"/>
      <c r="AC498" s="42" t="n"/>
      <c r="AD498" s="42" t="n"/>
      <c r="AE498" s="42" t="n"/>
      <c r="AF498" s="42" t="n"/>
      <c r="AG498" s="42" t="n"/>
      <c r="AH498" s="42" t="n"/>
      <c r="AI498" s="15">
        <f>IF(COUNTA(T498:AH498)=0,"",SUM(T498:AH498))</f>
        <v/>
      </c>
      <c r="AJ498" s="21">
        <f>IF(COUNTA(T498:AH498)=0,"",AI498/(COUNT(KPI_Weights!$A$4:$A$18)*5))</f>
        <v/>
      </c>
      <c r="AK498" s="21">
        <f>IF(COUNTA(T498:AH498)=0,"",SUMPRODUCT(T498:AH498,KPI_Weights!$B$4:$B$18)/5)</f>
        <v/>
      </c>
      <c r="AL498" s="15">
        <f>IF(COUNTA(T498:AH498)=0,"",IF(SUMPRODUCT(--(T498:AH498&lt;=1),--(KPI_Weights!$C$4:$C$18="YES"))&gt;0,"YES","NO"))</f>
        <v/>
      </c>
      <c r="AM498" s="15">
        <f>IF(AJ498="","",IF(AND(AL498="NO",AJ498&gt;=0.75),"YES","NO"))</f>
        <v/>
      </c>
      <c r="AN498" s="15">
        <f>IF(AJ498="","",IF(AJ498&lt;0.4,"Critical",IF(AJ498&lt;0.6,"Poor",IF(AJ498&lt;0.75,"Needs Improvement",IF(AJ498&lt;0.9,"Good","Excellent")))))</f>
        <v/>
      </c>
      <c r="AO498" s="41" t="n"/>
      <c r="AP498" s="41" t="n"/>
      <c r="AQ498" s="41" t="n"/>
      <c r="AR498" s="41" t="n"/>
      <c r="AS498" s="41" t="n"/>
      <c r="AT498" s="44" t="n"/>
      <c r="AU498" s="41" t="n"/>
      <c r="AV498" s="43" t="n"/>
      <c r="AW498" s="41" t="n"/>
      <c r="AX498" s="44" t="n"/>
      <c r="AY498" s="44" t="n"/>
      <c r="AZ498" s="44" t="n"/>
      <c r="BA498" s="44" t="n"/>
      <c r="BB498" s="44" t="n"/>
      <c r="BC498" s="44" t="n"/>
      <c r="BD498" s="44" t="n"/>
      <c r="BE498" s="44" t="n"/>
      <c r="BF498" s="44" t="n"/>
    </row>
    <row r="499" ht="19.5" customHeight="1" s="45">
      <c r="A499" s="15">
        <f>IF($B499="","",TEXT($B499,"yyyymmdd")&amp;"-"&amp;SUBSTITUTE($F499," ","")&amp;"-"&amp;TEXT(COUNTIF($F$4:F499,$F499),"00"))</f>
        <v/>
      </c>
      <c r="B499" s="39" t="n"/>
      <c r="C499" s="15">
        <f>IF($B499="","",WEEKNUM($B499,2))</f>
        <v/>
      </c>
      <c r="D499" s="15">
        <f>IF($B499="","",TEXT($B499,"yyyy-mm"))</f>
        <v/>
      </c>
      <c r="E499" s="40" t="n"/>
      <c r="F499" s="40" t="n"/>
      <c r="G499" s="15">
        <f>IF(OR($E499="",$F499=""),"",IFERROR(IF($E499=INDEX(Cluster_Master!$A$4:$A$18,MATCH($F499,Cluster_Master!$B$4:$B$18,0)),"OK","CHECK"),"CHECK"))</f>
        <v/>
      </c>
      <c r="H499" s="18">
        <f>IFERROR(INDEX(Cluster_Master!$C$4:$C$18,MATCH($F499,Cluster_Master!$B$4:$B$18,0)),"")</f>
        <v/>
      </c>
      <c r="I499" s="15">
        <f>IFERROR(INDEX(Cluster_Master!$D$4:$D$18,MATCH($F499,Cluster_Master!$B$4:$B$18,0)),"")</f>
        <v/>
      </c>
      <c r="J499" s="15">
        <f>IFERROR(INDEX(Cluster_Master!$E$4:$E$18,MATCH($F499,Cluster_Master!$B$4:$B$18,0)),"")</f>
        <v/>
      </c>
      <c r="K499" s="15">
        <f>IFERROR(INDEX(Cluster_Master!$F$4:$F$18,MATCH($F499,Cluster_Master!$B$4:$B$18,0)),"")</f>
        <v/>
      </c>
      <c r="L499" s="15">
        <f>IFERROR(INDEX(Cluster_Master!$G$4:$G$18,MATCH($F499,Cluster_Master!$B$4:$B$18,0)),"")</f>
        <v/>
      </c>
      <c r="M499" s="15">
        <f>IFERROR(INDEX(Cluster_Master!$H$4:$H$18,MATCH($F499,Cluster_Master!$B$4:$B$18,0)),"")</f>
        <v/>
      </c>
      <c r="N499" s="41" t="n"/>
      <c r="O499" s="41" t="n"/>
      <c r="P499" s="41" t="n"/>
      <c r="Q499" s="41" t="n"/>
      <c r="R499" s="41" t="n"/>
      <c r="S499" s="41" t="n"/>
      <c r="T499" s="42" t="n"/>
      <c r="U499" s="42" t="n"/>
      <c r="V499" s="42" t="n"/>
      <c r="W499" s="42" t="n"/>
      <c r="X499" s="42" t="n"/>
      <c r="Y499" s="42" t="n"/>
      <c r="Z499" s="42" t="n"/>
      <c r="AA499" s="42" t="n"/>
      <c r="AB499" s="42" t="n"/>
      <c r="AC499" s="42" t="n"/>
      <c r="AD499" s="42" t="n"/>
      <c r="AE499" s="42" t="n"/>
      <c r="AF499" s="42" t="n"/>
      <c r="AG499" s="42" t="n"/>
      <c r="AH499" s="42" t="n"/>
      <c r="AI499" s="15">
        <f>IF(COUNTA(T499:AH499)=0,"",SUM(T499:AH499))</f>
        <v/>
      </c>
      <c r="AJ499" s="21">
        <f>IF(COUNTA(T499:AH499)=0,"",AI499/(COUNT(KPI_Weights!$A$4:$A$18)*5))</f>
        <v/>
      </c>
      <c r="AK499" s="21">
        <f>IF(COUNTA(T499:AH499)=0,"",SUMPRODUCT(T499:AH499,KPI_Weights!$B$4:$B$18)/5)</f>
        <v/>
      </c>
      <c r="AL499" s="15">
        <f>IF(COUNTA(T499:AH499)=0,"",IF(SUMPRODUCT(--(T499:AH499&lt;=1),--(KPI_Weights!$C$4:$C$18="YES"))&gt;0,"YES","NO"))</f>
        <v/>
      </c>
      <c r="AM499" s="15">
        <f>IF(AJ499="","",IF(AND(AL499="NO",AJ499&gt;=0.75),"YES","NO"))</f>
        <v/>
      </c>
      <c r="AN499" s="15">
        <f>IF(AJ499="","",IF(AJ499&lt;0.4,"Critical",IF(AJ499&lt;0.6,"Poor",IF(AJ499&lt;0.75,"Needs Improvement",IF(AJ499&lt;0.9,"Good","Excellent")))))</f>
        <v/>
      </c>
      <c r="AO499" s="41" t="n"/>
      <c r="AP499" s="41" t="n"/>
      <c r="AQ499" s="41" t="n"/>
      <c r="AR499" s="41" t="n"/>
      <c r="AS499" s="41" t="n"/>
      <c r="AT499" s="44" t="n"/>
      <c r="AU499" s="41" t="n"/>
      <c r="AV499" s="43" t="n"/>
      <c r="AW499" s="41" t="n"/>
      <c r="AX499" s="44" t="n"/>
      <c r="AY499" s="44" t="n"/>
      <c r="AZ499" s="44" t="n"/>
      <c r="BA499" s="44" t="n"/>
      <c r="BB499" s="44" t="n"/>
      <c r="BC499" s="44" t="n"/>
      <c r="BD499" s="44" t="n"/>
      <c r="BE499" s="44" t="n"/>
      <c r="BF499" s="44" t="n"/>
    </row>
    <row r="500" ht="15" customHeight="1" s="45">
      <c r="A500">
        <f>IF($B500="","",TEXT($B500,"yyyymmdd")&amp;"-"&amp;SUBSTITUTE($F500," ","")&amp;"-"&amp;TEXT(COUNTIF($F$4:F500,$F500),"00"))</f>
        <v/>
      </c>
      <c r="C500">
        <f>IF($B500="","",WEEKNUM($B500,2))</f>
        <v/>
      </c>
      <c r="D500">
        <f>IF($B500="","",TEXT($B500,"yyyy-mm"))</f>
        <v/>
      </c>
      <c r="G500">
        <f>IF(OR($E500="",$F500=""),"",IFERROR(IF($E500=INDEX(Cluster_Master!$A$4:$A$18,MATCH($F500,Cluster_Master!$B$4:$B$18,0)),"OK","CHECK"),"CHECK"))</f>
        <v/>
      </c>
      <c r="H500">
        <f>IFERROR(INDEX(Cluster_Master!$C$4:$C$18,MATCH($F500,Cluster_Master!$B$4:$B$18,0)),"")</f>
        <v/>
      </c>
      <c r="I500">
        <f>IFERROR(INDEX(Cluster_Master!$D$4:$D$18,MATCH($F500,Cluster_Master!$B$4:$B$18,0)),"")</f>
        <v/>
      </c>
      <c r="J500">
        <f>IFERROR(INDEX(Cluster_Master!$E$4:$E$18,MATCH($F500,Cluster_Master!$B$4:$B$18,0)),"")</f>
        <v/>
      </c>
      <c r="K500">
        <f>IFERROR(INDEX(Cluster_Master!$F$4:$F$18,MATCH($F500,Cluster_Master!$B$4:$B$18,0)),"")</f>
        <v/>
      </c>
      <c r="L500">
        <f>IFERROR(INDEX(Cluster_Master!$G$4:$G$18,MATCH($F500,Cluster_Master!$B$4:$B$18,0)),"")</f>
        <v/>
      </c>
      <c r="M500">
        <f>IFERROR(INDEX(Cluster_Master!$H$4:$H$18,MATCH($F500,Cluster_Master!$B$4:$B$18,0)),"")</f>
        <v/>
      </c>
      <c r="AI500">
        <f>IF(COUNTA(T500:AH500)=0,"",SUM(T500:AH500))</f>
        <v/>
      </c>
      <c r="AJ500">
        <f>IF(COUNTA(T500:AH500)=0,"",AI500/(COUNT(KPI_Weights!$A$4:$A$18)*5))</f>
        <v/>
      </c>
      <c r="AK500">
        <f>IF(COUNTA(T500:AH500)=0,"",SUMPRODUCT(T500:AH500,KPI_Weights!$B$4:$B$18)/5)</f>
        <v/>
      </c>
      <c r="AL500">
        <f>IF(COUNTA(T500:AH500)=0,"",IF(SUMPRODUCT(--(T500:AH500&lt;=1),--(KPI_Weights!$C$4:$C$18="YES"))&gt;0,"YES","NO"))</f>
        <v/>
      </c>
      <c r="AM500">
        <f>IF(AJ500="","",IF(AND(AL500="NO",AJ500&gt;=0.75),"YES","NO"))</f>
        <v/>
      </c>
      <c r="AN500">
        <f>IF(AJ500="","",IF(AJ500&lt;0.4,"Critical",IF(AJ500&lt;0.6,"Poor",IF(AJ500&lt;0.75,"Needs Improvement",IF(AJ500&lt;0.9,"Good","Excellent")))))</f>
        <v/>
      </c>
    </row>
    <row r="501" ht="15" customHeight="1" s="45">
      <c r="A501">
        <f>IF($B501="","",TEXT($B501,"yyyymmdd")&amp;"-"&amp;SUBSTITUTE($F501," ","")&amp;"-"&amp;TEXT(COUNTIF($F$4:F501,$F501),"00"))</f>
        <v/>
      </c>
      <c r="C501">
        <f>IF($B501="","",WEEKNUM($B501,2))</f>
        <v/>
      </c>
      <c r="D501">
        <f>IF($B501="","",TEXT($B501,"yyyy-mm"))</f>
        <v/>
      </c>
      <c r="G501">
        <f>IF(OR($E501="",$F501=""),"",IFERROR(IF($E501=INDEX(Cluster_Master!$A$4:$A$18,MATCH($F501,Cluster_Master!$B$4:$B$18,0)),"OK","CHECK"),"CHECK"))</f>
        <v/>
      </c>
      <c r="H501">
        <f>IFERROR(INDEX(Cluster_Master!$C$4:$C$18,MATCH($F501,Cluster_Master!$B$4:$B$18,0)),"")</f>
        <v/>
      </c>
      <c r="I501">
        <f>IFERROR(INDEX(Cluster_Master!$D$4:$D$18,MATCH($F501,Cluster_Master!$B$4:$B$18,0)),"")</f>
        <v/>
      </c>
      <c r="J501">
        <f>IFERROR(INDEX(Cluster_Master!$E$4:$E$18,MATCH($F501,Cluster_Master!$B$4:$B$18,0)),"")</f>
        <v/>
      </c>
      <c r="K501">
        <f>IFERROR(INDEX(Cluster_Master!$F$4:$F$18,MATCH($F501,Cluster_Master!$B$4:$B$18,0)),"")</f>
        <v/>
      </c>
      <c r="L501">
        <f>IFERROR(INDEX(Cluster_Master!$G$4:$G$18,MATCH($F501,Cluster_Master!$B$4:$B$18,0)),"")</f>
        <v/>
      </c>
      <c r="M501">
        <f>IFERROR(INDEX(Cluster_Master!$H$4:$H$18,MATCH($F501,Cluster_Master!$B$4:$B$18,0)),"")</f>
        <v/>
      </c>
      <c r="AI501">
        <f>IF(COUNTA(T501:AH501)=0,"",SUM(T501:AH501))</f>
        <v/>
      </c>
      <c r="AJ501">
        <f>IF(COUNTA(T501:AH501)=0,"",AI501/(COUNT(KPI_Weights!$A$4:$A$18)*5))</f>
        <v/>
      </c>
      <c r="AK501">
        <f>IF(COUNTA(T501:AH501)=0,"",SUMPRODUCT(T501:AH501,KPI_Weights!$B$4:$B$18)/5)</f>
        <v/>
      </c>
      <c r="AL501">
        <f>IF(COUNTA(T501:AH501)=0,"",IF(SUMPRODUCT(--(T501:AH501&lt;=1),--(KPI_Weights!$C$4:$C$18="YES"))&gt;0,"YES","NO"))</f>
        <v/>
      </c>
      <c r="AM501">
        <f>IF(AJ501="","",IF(AND(AL501="NO",AJ501&gt;=0.75),"YES","NO"))</f>
        <v/>
      </c>
      <c r="AN501">
        <f>IF(AJ501="","",IF(AJ501&lt;0.4,"Critical",IF(AJ501&lt;0.6,"Poor",IF(AJ501&lt;0.75,"Needs Improvement",IF(AJ501&lt;0.9,"Good","Excellent")))))</f>
        <v/>
      </c>
    </row>
    <row r="502" ht="15" customHeight="1" s="45">
      <c r="A502">
        <f>IF($B502="","",TEXT($B502,"yyyymmdd")&amp;"-"&amp;SUBSTITUTE($F502," ","")&amp;"-"&amp;TEXT(COUNTIF($F$4:F502,$F502),"00"))</f>
        <v/>
      </c>
      <c r="C502">
        <f>IF($B502="","",WEEKNUM($B502,2))</f>
        <v/>
      </c>
      <c r="D502">
        <f>IF($B502="","",TEXT($B502,"yyyy-mm"))</f>
        <v/>
      </c>
      <c r="G502">
        <f>IF(OR($E502="",$F502=""),"",IFERROR(IF($E502=INDEX(Cluster_Master!$A$4:$A$18,MATCH($F502,Cluster_Master!$B$4:$B$18,0)),"OK","CHECK"),"CHECK"))</f>
        <v/>
      </c>
      <c r="H502">
        <f>IFERROR(INDEX(Cluster_Master!$C$4:$C$18,MATCH($F502,Cluster_Master!$B$4:$B$18,0)),"")</f>
        <v/>
      </c>
      <c r="I502">
        <f>IFERROR(INDEX(Cluster_Master!$D$4:$D$18,MATCH($F502,Cluster_Master!$B$4:$B$18,0)),"")</f>
        <v/>
      </c>
      <c r="J502">
        <f>IFERROR(INDEX(Cluster_Master!$E$4:$E$18,MATCH($F502,Cluster_Master!$B$4:$B$18,0)),"")</f>
        <v/>
      </c>
      <c r="K502">
        <f>IFERROR(INDEX(Cluster_Master!$F$4:$F$18,MATCH($F502,Cluster_Master!$B$4:$B$18,0)),"")</f>
        <v/>
      </c>
      <c r="L502">
        <f>IFERROR(INDEX(Cluster_Master!$G$4:$G$18,MATCH($F502,Cluster_Master!$B$4:$B$18,0)),"")</f>
        <v/>
      </c>
      <c r="M502">
        <f>IFERROR(INDEX(Cluster_Master!$H$4:$H$18,MATCH($F502,Cluster_Master!$B$4:$B$18,0)),"")</f>
        <v/>
      </c>
      <c r="AI502">
        <f>IF(COUNTA(T502:AH502)=0,"",SUM(T502:AH502))</f>
        <v/>
      </c>
      <c r="AJ502">
        <f>IF(COUNTA(T502:AH502)=0,"",AI502/(COUNT(KPI_Weights!$A$4:$A$18)*5))</f>
        <v/>
      </c>
      <c r="AK502">
        <f>IF(COUNTA(T502:AH502)=0,"",SUMPRODUCT(T502:AH502,KPI_Weights!$B$4:$B$18)/5)</f>
        <v/>
      </c>
      <c r="AL502">
        <f>IF(COUNTA(T502:AH502)=0,"",IF(SUMPRODUCT(--(T502:AH502&lt;=1),--(KPI_Weights!$C$4:$C$18="YES"))&gt;0,"YES","NO"))</f>
        <v/>
      </c>
      <c r="AM502">
        <f>IF(AJ502="","",IF(AND(AL502="NO",AJ502&gt;=0.75),"YES","NO"))</f>
        <v/>
      </c>
      <c r="AN502">
        <f>IF(AJ502="","",IF(AJ502&lt;0.4,"Critical",IF(AJ502&lt;0.6,"Poor",IF(AJ502&lt;0.75,"Needs Improvement",IF(AJ502&lt;0.9,"Good","Excellent")))))</f>
        <v/>
      </c>
    </row>
    <row r="503" ht="15" customHeight="1" s="45">
      <c r="A503">
        <f>IF($B503="","",TEXT($B503,"yyyymmdd")&amp;"-"&amp;SUBSTITUTE($F503," ","")&amp;"-"&amp;TEXT(COUNTIF($F$4:F503,$F503),"00"))</f>
        <v/>
      </c>
      <c r="C503">
        <f>IF($B503="","",WEEKNUM($B503,2))</f>
        <v/>
      </c>
      <c r="D503">
        <f>IF($B503="","",TEXT($B503,"yyyy-mm"))</f>
        <v/>
      </c>
      <c r="G503">
        <f>IF(OR($E503="",$F503=""),"",IFERROR(IF($E503=INDEX(Cluster_Master!$A$4:$A$18,MATCH($F503,Cluster_Master!$B$4:$B$18,0)),"OK","CHECK"),"CHECK"))</f>
        <v/>
      </c>
      <c r="H503">
        <f>IFERROR(INDEX(Cluster_Master!$C$4:$C$18,MATCH($F503,Cluster_Master!$B$4:$B$18,0)),"")</f>
        <v/>
      </c>
      <c r="I503">
        <f>IFERROR(INDEX(Cluster_Master!$D$4:$D$18,MATCH($F503,Cluster_Master!$B$4:$B$18,0)),"")</f>
        <v/>
      </c>
      <c r="J503">
        <f>IFERROR(INDEX(Cluster_Master!$E$4:$E$18,MATCH($F503,Cluster_Master!$B$4:$B$18,0)),"")</f>
        <v/>
      </c>
      <c r="K503">
        <f>IFERROR(INDEX(Cluster_Master!$F$4:$F$18,MATCH($F503,Cluster_Master!$B$4:$B$18,0)),"")</f>
        <v/>
      </c>
      <c r="L503">
        <f>IFERROR(INDEX(Cluster_Master!$G$4:$G$18,MATCH($F503,Cluster_Master!$B$4:$B$18,0)),"")</f>
        <v/>
      </c>
      <c r="M503">
        <f>IFERROR(INDEX(Cluster_Master!$H$4:$H$18,MATCH($F503,Cluster_Master!$B$4:$B$18,0)),"")</f>
        <v/>
      </c>
      <c r="AI503">
        <f>IF(COUNTA(T503:AH503)=0,"",SUM(T503:AH503))</f>
        <v/>
      </c>
      <c r="AJ503">
        <f>IF(COUNTA(T503:AH503)=0,"",AI503/(COUNT(KPI_Weights!$A$4:$A$18)*5))</f>
        <v/>
      </c>
      <c r="AK503">
        <f>IF(COUNTA(T503:AH503)=0,"",SUMPRODUCT(T503:AH503,KPI_Weights!$B$4:$B$18)/5)</f>
        <v/>
      </c>
      <c r="AL503">
        <f>IF(COUNTA(T503:AH503)=0,"",IF(SUMPRODUCT(--(T503:AH503&lt;=1),--(KPI_Weights!$C$4:$C$18="YES"))&gt;0,"YES","NO"))</f>
        <v/>
      </c>
      <c r="AM503">
        <f>IF(AJ503="","",IF(AND(AL503="NO",AJ503&gt;=0.75),"YES","NO"))</f>
        <v/>
      </c>
      <c r="AN503">
        <f>IF(AJ503="","",IF(AJ503&lt;0.4,"Critical",IF(AJ503&lt;0.6,"Poor",IF(AJ503&lt;0.75,"Needs Improvement",IF(AJ503&lt;0.9,"Good","Excellent")))))</f>
        <v/>
      </c>
    </row>
    <row r="504" ht="15" customHeight="1" s="45">
      <c r="A504">
        <f>IF($B504="","",TEXT($B504,"yyyymmdd")&amp;"-"&amp;SUBSTITUTE($F504," ","")&amp;"-"&amp;TEXT(COUNTIF($F$4:F504,$F504),"00"))</f>
        <v/>
      </c>
      <c r="C504">
        <f>IF($B504="","",WEEKNUM($B504,2))</f>
        <v/>
      </c>
      <c r="D504">
        <f>IF($B504="","",TEXT($B504,"yyyy-mm"))</f>
        <v/>
      </c>
      <c r="G504">
        <f>IF(OR($E504="",$F504=""),"",IFERROR(IF($E504=INDEX(Cluster_Master!$A$4:$A$18,MATCH($F504,Cluster_Master!$B$4:$B$18,0)),"OK","CHECK"),"CHECK"))</f>
        <v/>
      </c>
      <c r="H504">
        <f>IFERROR(INDEX(Cluster_Master!$C$4:$C$18,MATCH($F504,Cluster_Master!$B$4:$B$18,0)),"")</f>
        <v/>
      </c>
      <c r="I504">
        <f>IFERROR(INDEX(Cluster_Master!$D$4:$D$18,MATCH($F504,Cluster_Master!$B$4:$B$18,0)),"")</f>
        <v/>
      </c>
      <c r="J504">
        <f>IFERROR(INDEX(Cluster_Master!$E$4:$E$18,MATCH($F504,Cluster_Master!$B$4:$B$18,0)),"")</f>
        <v/>
      </c>
      <c r="K504">
        <f>IFERROR(INDEX(Cluster_Master!$F$4:$F$18,MATCH($F504,Cluster_Master!$B$4:$B$18,0)),"")</f>
        <v/>
      </c>
      <c r="L504">
        <f>IFERROR(INDEX(Cluster_Master!$G$4:$G$18,MATCH($F504,Cluster_Master!$B$4:$B$18,0)),"")</f>
        <v/>
      </c>
      <c r="M504">
        <f>IFERROR(INDEX(Cluster_Master!$H$4:$H$18,MATCH($F504,Cluster_Master!$B$4:$B$18,0)),"")</f>
        <v/>
      </c>
      <c r="AI504">
        <f>IF(COUNTA(T504:AH504)=0,"",SUM(T504:AH504))</f>
        <v/>
      </c>
      <c r="AJ504">
        <f>IF(COUNTA(T504:AH504)=0,"",AI504/(COUNT(KPI_Weights!$A$4:$A$18)*5))</f>
        <v/>
      </c>
      <c r="AK504">
        <f>IF(COUNTA(T504:AH504)=0,"",SUMPRODUCT(T504:AH504,KPI_Weights!$B$4:$B$18)/5)</f>
        <v/>
      </c>
      <c r="AL504">
        <f>IF(COUNTA(T504:AH504)=0,"",IF(SUMPRODUCT(--(T504:AH504&lt;=1),--(KPI_Weights!$C$4:$C$18="YES"))&gt;0,"YES","NO"))</f>
        <v/>
      </c>
      <c r="AM504">
        <f>IF(AJ504="","",IF(AND(AL504="NO",AJ504&gt;=0.75),"YES","NO"))</f>
        <v/>
      </c>
      <c r="AN504">
        <f>IF(AJ504="","",IF(AJ504&lt;0.4,"Critical",IF(AJ504&lt;0.6,"Poor",IF(AJ504&lt;0.75,"Needs Improvement",IF(AJ504&lt;0.9,"Good","Excellent")))))</f>
        <v/>
      </c>
    </row>
    <row r="505" ht="15" customHeight="1" s="45">
      <c r="A505">
        <f>IF($B505="","",TEXT($B505,"yyyymmdd")&amp;"-"&amp;SUBSTITUTE($F505," ","")&amp;"-"&amp;TEXT(COUNTIF($F$4:F505,$F505),"00"))</f>
        <v/>
      </c>
      <c r="C505">
        <f>IF($B505="","",WEEKNUM($B505,2))</f>
        <v/>
      </c>
      <c r="D505">
        <f>IF($B505="","",TEXT($B505,"yyyy-mm"))</f>
        <v/>
      </c>
      <c r="G505">
        <f>IF(OR($E505="",$F505=""),"",IFERROR(IF($E505=INDEX(Cluster_Master!$A$4:$A$18,MATCH($F505,Cluster_Master!$B$4:$B$18,0)),"OK","CHECK"),"CHECK"))</f>
        <v/>
      </c>
      <c r="H505">
        <f>IFERROR(INDEX(Cluster_Master!$C$4:$C$18,MATCH($F505,Cluster_Master!$B$4:$B$18,0)),"")</f>
        <v/>
      </c>
      <c r="I505">
        <f>IFERROR(INDEX(Cluster_Master!$D$4:$D$18,MATCH($F505,Cluster_Master!$B$4:$B$18,0)),"")</f>
        <v/>
      </c>
      <c r="J505">
        <f>IFERROR(INDEX(Cluster_Master!$E$4:$E$18,MATCH($F505,Cluster_Master!$B$4:$B$18,0)),"")</f>
        <v/>
      </c>
      <c r="K505">
        <f>IFERROR(INDEX(Cluster_Master!$F$4:$F$18,MATCH($F505,Cluster_Master!$B$4:$B$18,0)),"")</f>
        <v/>
      </c>
      <c r="L505">
        <f>IFERROR(INDEX(Cluster_Master!$G$4:$G$18,MATCH($F505,Cluster_Master!$B$4:$B$18,0)),"")</f>
        <v/>
      </c>
      <c r="M505">
        <f>IFERROR(INDEX(Cluster_Master!$H$4:$H$18,MATCH($F505,Cluster_Master!$B$4:$B$18,0)),"")</f>
        <v/>
      </c>
      <c r="AI505">
        <f>IF(COUNTA(T505:AH505)=0,"",SUM(T505:AH505))</f>
        <v/>
      </c>
      <c r="AJ505">
        <f>IF(COUNTA(T505:AH505)=0,"",AI505/(COUNT(KPI_Weights!$A$4:$A$18)*5))</f>
        <v/>
      </c>
      <c r="AK505">
        <f>IF(COUNTA(T505:AH505)=0,"",SUMPRODUCT(T505:AH505,KPI_Weights!$B$4:$B$18)/5)</f>
        <v/>
      </c>
      <c r="AL505">
        <f>IF(COUNTA(T505:AH505)=0,"",IF(SUMPRODUCT(--(T505:AH505&lt;=1),--(KPI_Weights!$C$4:$C$18="YES"))&gt;0,"YES","NO"))</f>
        <v/>
      </c>
      <c r="AM505">
        <f>IF(AJ505="","",IF(AND(AL505="NO",AJ505&gt;=0.75),"YES","NO"))</f>
        <v/>
      </c>
      <c r="AN505">
        <f>IF(AJ505="","",IF(AJ505&lt;0.4,"Critical",IF(AJ505&lt;0.6,"Poor",IF(AJ505&lt;0.75,"Needs Improvement",IF(AJ505&lt;0.9,"Good","Excellent")))))</f>
        <v/>
      </c>
    </row>
    <row r="506" ht="15" customHeight="1" s="45">
      <c r="A506">
        <f>IF($B506="","",TEXT($B506,"yyyymmdd")&amp;"-"&amp;SUBSTITUTE($F506," ","")&amp;"-"&amp;TEXT(COUNTIF($F$4:F506,$F506),"00"))</f>
        <v/>
      </c>
      <c r="C506">
        <f>IF($B506="","",WEEKNUM($B506,2))</f>
        <v/>
      </c>
      <c r="D506">
        <f>IF($B506="","",TEXT($B506,"yyyy-mm"))</f>
        <v/>
      </c>
      <c r="G506">
        <f>IF(OR($E506="",$F506=""),"",IFERROR(IF($E506=INDEX(Cluster_Master!$A$4:$A$18,MATCH($F506,Cluster_Master!$B$4:$B$18,0)),"OK","CHECK"),"CHECK"))</f>
        <v/>
      </c>
      <c r="H506">
        <f>IFERROR(INDEX(Cluster_Master!$C$4:$C$18,MATCH($F506,Cluster_Master!$B$4:$B$18,0)),"")</f>
        <v/>
      </c>
      <c r="I506">
        <f>IFERROR(INDEX(Cluster_Master!$D$4:$D$18,MATCH($F506,Cluster_Master!$B$4:$B$18,0)),"")</f>
        <v/>
      </c>
      <c r="J506">
        <f>IFERROR(INDEX(Cluster_Master!$E$4:$E$18,MATCH($F506,Cluster_Master!$B$4:$B$18,0)),"")</f>
        <v/>
      </c>
      <c r="K506">
        <f>IFERROR(INDEX(Cluster_Master!$F$4:$F$18,MATCH($F506,Cluster_Master!$B$4:$B$18,0)),"")</f>
        <v/>
      </c>
      <c r="L506">
        <f>IFERROR(INDEX(Cluster_Master!$G$4:$G$18,MATCH($F506,Cluster_Master!$B$4:$B$18,0)),"")</f>
        <v/>
      </c>
      <c r="M506">
        <f>IFERROR(INDEX(Cluster_Master!$H$4:$H$18,MATCH($F506,Cluster_Master!$B$4:$B$18,0)),"")</f>
        <v/>
      </c>
      <c r="AI506">
        <f>IF(COUNTA(T506:AH506)=0,"",SUM(T506:AH506))</f>
        <v/>
      </c>
      <c r="AJ506">
        <f>IF(COUNTA(T506:AH506)=0,"",AI506/(COUNT(KPI_Weights!$A$4:$A$18)*5))</f>
        <v/>
      </c>
      <c r="AK506">
        <f>IF(COUNTA(T506:AH506)=0,"",SUMPRODUCT(T506:AH506,KPI_Weights!$B$4:$B$18)/5)</f>
        <v/>
      </c>
      <c r="AL506">
        <f>IF(COUNTA(T506:AH506)=0,"",IF(SUMPRODUCT(--(T506:AH506&lt;=1),--(KPI_Weights!$C$4:$C$18="YES"))&gt;0,"YES","NO"))</f>
        <v/>
      </c>
      <c r="AM506">
        <f>IF(AJ506="","",IF(AND(AL506="NO",AJ506&gt;=0.75),"YES","NO"))</f>
        <v/>
      </c>
      <c r="AN506">
        <f>IF(AJ506="","",IF(AJ506&lt;0.4,"Critical",IF(AJ506&lt;0.6,"Poor",IF(AJ506&lt;0.75,"Needs Improvement",IF(AJ506&lt;0.9,"Good","Excellent")))))</f>
        <v/>
      </c>
    </row>
    <row r="507" ht="15" customHeight="1" s="45">
      <c r="A507">
        <f>IF($B507="","",TEXT($B507,"yyyymmdd")&amp;"-"&amp;SUBSTITUTE($F507," ","")&amp;"-"&amp;TEXT(COUNTIF($F$4:F507,$F507),"00"))</f>
        <v/>
      </c>
      <c r="C507">
        <f>IF($B507="","",WEEKNUM($B507,2))</f>
        <v/>
      </c>
      <c r="D507">
        <f>IF($B507="","",TEXT($B507,"yyyy-mm"))</f>
        <v/>
      </c>
      <c r="G507">
        <f>IF(OR($E507="",$F507=""),"",IFERROR(IF($E507=INDEX(Cluster_Master!$A$4:$A$18,MATCH($F507,Cluster_Master!$B$4:$B$18,0)),"OK","CHECK"),"CHECK"))</f>
        <v/>
      </c>
      <c r="H507">
        <f>IFERROR(INDEX(Cluster_Master!$C$4:$C$18,MATCH($F507,Cluster_Master!$B$4:$B$18,0)),"")</f>
        <v/>
      </c>
      <c r="I507">
        <f>IFERROR(INDEX(Cluster_Master!$D$4:$D$18,MATCH($F507,Cluster_Master!$B$4:$B$18,0)),"")</f>
        <v/>
      </c>
      <c r="J507">
        <f>IFERROR(INDEX(Cluster_Master!$E$4:$E$18,MATCH($F507,Cluster_Master!$B$4:$B$18,0)),"")</f>
        <v/>
      </c>
      <c r="K507">
        <f>IFERROR(INDEX(Cluster_Master!$F$4:$F$18,MATCH($F507,Cluster_Master!$B$4:$B$18,0)),"")</f>
        <v/>
      </c>
      <c r="L507">
        <f>IFERROR(INDEX(Cluster_Master!$G$4:$G$18,MATCH($F507,Cluster_Master!$B$4:$B$18,0)),"")</f>
        <v/>
      </c>
      <c r="M507">
        <f>IFERROR(INDEX(Cluster_Master!$H$4:$H$18,MATCH($F507,Cluster_Master!$B$4:$B$18,0)),"")</f>
        <v/>
      </c>
      <c r="AI507">
        <f>IF(COUNTA(T507:AH507)=0,"",SUM(T507:AH507))</f>
        <v/>
      </c>
      <c r="AJ507">
        <f>IF(COUNTA(T507:AH507)=0,"",AI507/(COUNT(KPI_Weights!$A$4:$A$18)*5))</f>
        <v/>
      </c>
      <c r="AK507">
        <f>IF(COUNTA(T507:AH507)=0,"",SUMPRODUCT(T507:AH507,KPI_Weights!$B$4:$B$18)/5)</f>
        <v/>
      </c>
      <c r="AL507">
        <f>IF(COUNTA(T507:AH507)=0,"",IF(SUMPRODUCT(--(T507:AH507&lt;=1),--(KPI_Weights!$C$4:$C$18="YES"))&gt;0,"YES","NO"))</f>
        <v/>
      </c>
      <c r="AM507">
        <f>IF(AJ507="","",IF(AND(AL507="NO",AJ507&gt;=0.75),"YES","NO"))</f>
        <v/>
      </c>
      <c r="AN507">
        <f>IF(AJ507="","",IF(AJ507&lt;0.4,"Critical",IF(AJ507&lt;0.6,"Poor",IF(AJ507&lt;0.75,"Needs Improvement",IF(AJ507&lt;0.9,"Good","Excellent")))))</f>
        <v/>
      </c>
    </row>
    <row r="508" ht="15" customHeight="1" s="45">
      <c r="A508">
        <f>IF($B508="","",TEXT($B508,"yyyymmdd")&amp;"-"&amp;SUBSTITUTE($F508," ","")&amp;"-"&amp;TEXT(COUNTIF($F$4:F508,$F508),"00"))</f>
        <v/>
      </c>
      <c r="C508">
        <f>IF($B508="","",WEEKNUM($B508,2))</f>
        <v/>
      </c>
      <c r="D508">
        <f>IF($B508="","",TEXT($B508,"yyyy-mm"))</f>
        <v/>
      </c>
      <c r="G508">
        <f>IF(OR($E508="",$F508=""),"",IFERROR(IF($E508=INDEX(Cluster_Master!$A$4:$A$18,MATCH($F508,Cluster_Master!$B$4:$B$18,0)),"OK","CHECK"),"CHECK"))</f>
        <v/>
      </c>
      <c r="H508">
        <f>IFERROR(INDEX(Cluster_Master!$C$4:$C$18,MATCH($F508,Cluster_Master!$B$4:$B$18,0)),"")</f>
        <v/>
      </c>
      <c r="I508">
        <f>IFERROR(INDEX(Cluster_Master!$D$4:$D$18,MATCH($F508,Cluster_Master!$B$4:$B$18,0)),"")</f>
        <v/>
      </c>
      <c r="J508">
        <f>IFERROR(INDEX(Cluster_Master!$E$4:$E$18,MATCH($F508,Cluster_Master!$B$4:$B$18,0)),"")</f>
        <v/>
      </c>
      <c r="K508">
        <f>IFERROR(INDEX(Cluster_Master!$F$4:$F$18,MATCH($F508,Cluster_Master!$B$4:$B$18,0)),"")</f>
        <v/>
      </c>
      <c r="L508">
        <f>IFERROR(INDEX(Cluster_Master!$G$4:$G$18,MATCH($F508,Cluster_Master!$B$4:$B$18,0)),"")</f>
        <v/>
      </c>
      <c r="M508">
        <f>IFERROR(INDEX(Cluster_Master!$H$4:$H$18,MATCH($F508,Cluster_Master!$B$4:$B$18,0)),"")</f>
        <v/>
      </c>
      <c r="AI508">
        <f>IF(COUNTA(T508:AH508)=0,"",SUM(T508:AH508))</f>
        <v/>
      </c>
      <c r="AJ508">
        <f>IF(COUNTA(T508:AH508)=0,"",AI508/(COUNT(KPI_Weights!$A$4:$A$18)*5))</f>
        <v/>
      </c>
      <c r="AK508">
        <f>IF(COUNTA(T508:AH508)=0,"",SUMPRODUCT(T508:AH508,KPI_Weights!$B$4:$B$18)/5)</f>
        <v/>
      </c>
      <c r="AL508">
        <f>IF(COUNTA(T508:AH508)=0,"",IF(SUMPRODUCT(--(T508:AH508&lt;=1),--(KPI_Weights!$C$4:$C$18="YES"))&gt;0,"YES","NO"))</f>
        <v/>
      </c>
      <c r="AM508">
        <f>IF(AJ508="","",IF(AND(AL508="NO",AJ508&gt;=0.75),"YES","NO"))</f>
        <v/>
      </c>
      <c r="AN508">
        <f>IF(AJ508="","",IF(AJ508&lt;0.4,"Critical",IF(AJ508&lt;0.6,"Poor",IF(AJ508&lt;0.75,"Needs Improvement",IF(AJ508&lt;0.9,"Good","Excellent")))))</f>
        <v/>
      </c>
    </row>
    <row r="509" ht="15" customHeight="1" s="45">
      <c r="A509">
        <f>IF($B509="","",TEXT($B509,"yyyymmdd")&amp;"-"&amp;SUBSTITUTE($F509," ","")&amp;"-"&amp;TEXT(COUNTIF($F$4:F509,$F509),"00"))</f>
        <v/>
      </c>
      <c r="C509">
        <f>IF($B509="","",WEEKNUM($B509,2))</f>
        <v/>
      </c>
      <c r="D509">
        <f>IF($B509="","",TEXT($B509,"yyyy-mm"))</f>
        <v/>
      </c>
      <c r="G509">
        <f>IF(OR($E509="",$F509=""),"",IFERROR(IF($E509=INDEX(Cluster_Master!$A$4:$A$18,MATCH($F509,Cluster_Master!$B$4:$B$18,0)),"OK","CHECK"),"CHECK"))</f>
        <v/>
      </c>
      <c r="H509">
        <f>IFERROR(INDEX(Cluster_Master!$C$4:$C$18,MATCH($F509,Cluster_Master!$B$4:$B$18,0)),"")</f>
        <v/>
      </c>
      <c r="I509">
        <f>IFERROR(INDEX(Cluster_Master!$D$4:$D$18,MATCH($F509,Cluster_Master!$B$4:$B$18,0)),"")</f>
        <v/>
      </c>
      <c r="J509">
        <f>IFERROR(INDEX(Cluster_Master!$E$4:$E$18,MATCH($F509,Cluster_Master!$B$4:$B$18,0)),"")</f>
        <v/>
      </c>
      <c r="K509">
        <f>IFERROR(INDEX(Cluster_Master!$F$4:$F$18,MATCH($F509,Cluster_Master!$B$4:$B$18,0)),"")</f>
        <v/>
      </c>
      <c r="L509">
        <f>IFERROR(INDEX(Cluster_Master!$G$4:$G$18,MATCH($F509,Cluster_Master!$B$4:$B$18,0)),"")</f>
        <v/>
      </c>
      <c r="M509">
        <f>IFERROR(INDEX(Cluster_Master!$H$4:$H$18,MATCH($F509,Cluster_Master!$B$4:$B$18,0)),"")</f>
        <v/>
      </c>
      <c r="AI509">
        <f>IF(COUNTA(T509:AH509)=0,"",SUM(T509:AH509))</f>
        <v/>
      </c>
      <c r="AJ509">
        <f>IF(COUNTA(T509:AH509)=0,"",AI509/(COUNT(KPI_Weights!$A$4:$A$18)*5))</f>
        <v/>
      </c>
      <c r="AK509">
        <f>IF(COUNTA(T509:AH509)=0,"",SUMPRODUCT(T509:AH509,KPI_Weights!$B$4:$B$18)/5)</f>
        <v/>
      </c>
      <c r="AL509">
        <f>IF(COUNTA(T509:AH509)=0,"",IF(SUMPRODUCT(--(T509:AH509&lt;=1),--(KPI_Weights!$C$4:$C$18="YES"))&gt;0,"YES","NO"))</f>
        <v/>
      </c>
      <c r="AM509">
        <f>IF(AJ509="","",IF(AND(AL509="NO",AJ509&gt;=0.75),"YES","NO"))</f>
        <v/>
      </c>
      <c r="AN509">
        <f>IF(AJ509="","",IF(AJ509&lt;0.4,"Critical",IF(AJ509&lt;0.6,"Poor",IF(AJ509&lt;0.75,"Needs Improvement",IF(AJ509&lt;0.9,"Good","Excellent")))))</f>
        <v/>
      </c>
    </row>
    <row r="510" ht="15" customHeight="1" s="45">
      <c r="A510">
        <f>IF($B510="","",TEXT($B510,"yyyymmdd")&amp;"-"&amp;SUBSTITUTE($F510," ","")&amp;"-"&amp;TEXT(COUNTIF($F$4:F510,$F510),"00"))</f>
        <v/>
      </c>
      <c r="C510">
        <f>IF($B510="","",WEEKNUM($B510,2))</f>
        <v/>
      </c>
      <c r="D510">
        <f>IF($B510="","",TEXT($B510,"yyyy-mm"))</f>
        <v/>
      </c>
      <c r="G510">
        <f>IF(OR($E510="",$F510=""),"",IFERROR(IF($E510=INDEX(Cluster_Master!$A$4:$A$18,MATCH($F510,Cluster_Master!$B$4:$B$18,0)),"OK","CHECK"),"CHECK"))</f>
        <v/>
      </c>
      <c r="H510">
        <f>IFERROR(INDEX(Cluster_Master!$C$4:$C$18,MATCH($F510,Cluster_Master!$B$4:$B$18,0)),"")</f>
        <v/>
      </c>
      <c r="I510">
        <f>IFERROR(INDEX(Cluster_Master!$D$4:$D$18,MATCH($F510,Cluster_Master!$B$4:$B$18,0)),"")</f>
        <v/>
      </c>
      <c r="J510">
        <f>IFERROR(INDEX(Cluster_Master!$E$4:$E$18,MATCH($F510,Cluster_Master!$B$4:$B$18,0)),"")</f>
        <v/>
      </c>
      <c r="K510">
        <f>IFERROR(INDEX(Cluster_Master!$F$4:$F$18,MATCH($F510,Cluster_Master!$B$4:$B$18,0)),"")</f>
        <v/>
      </c>
      <c r="L510">
        <f>IFERROR(INDEX(Cluster_Master!$G$4:$G$18,MATCH($F510,Cluster_Master!$B$4:$B$18,0)),"")</f>
        <v/>
      </c>
      <c r="M510">
        <f>IFERROR(INDEX(Cluster_Master!$H$4:$H$18,MATCH($F510,Cluster_Master!$B$4:$B$18,0)),"")</f>
        <v/>
      </c>
      <c r="AI510">
        <f>IF(COUNTA(T510:AH510)=0,"",SUM(T510:AH510))</f>
        <v/>
      </c>
      <c r="AJ510">
        <f>IF(COUNTA(T510:AH510)=0,"",AI510/(COUNT(KPI_Weights!$A$4:$A$18)*5))</f>
        <v/>
      </c>
      <c r="AK510">
        <f>IF(COUNTA(T510:AH510)=0,"",SUMPRODUCT(T510:AH510,KPI_Weights!$B$4:$B$18)/5)</f>
        <v/>
      </c>
      <c r="AL510">
        <f>IF(COUNTA(T510:AH510)=0,"",IF(SUMPRODUCT(--(T510:AH510&lt;=1),--(KPI_Weights!$C$4:$C$18="YES"))&gt;0,"YES","NO"))</f>
        <v/>
      </c>
      <c r="AM510">
        <f>IF(AJ510="","",IF(AND(AL510="NO",AJ510&gt;=0.75),"YES","NO"))</f>
        <v/>
      </c>
      <c r="AN510">
        <f>IF(AJ510="","",IF(AJ510&lt;0.4,"Critical",IF(AJ510&lt;0.6,"Poor",IF(AJ510&lt;0.75,"Needs Improvement",IF(AJ510&lt;0.9,"Good","Excellent")))))</f>
        <v/>
      </c>
    </row>
    <row r="511" ht="15" customHeight="1" s="45">
      <c r="A511">
        <f>IF($B511="","",TEXT($B511,"yyyymmdd")&amp;"-"&amp;SUBSTITUTE($F511," ","")&amp;"-"&amp;TEXT(COUNTIF($F$4:F511,$F511),"00"))</f>
        <v/>
      </c>
      <c r="C511">
        <f>IF($B511="","",WEEKNUM($B511,2))</f>
        <v/>
      </c>
      <c r="D511">
        <f>IF($B511="","",TEXT($B511,"yyyy-mm"))</f>
        <v/>
      </c>
      <c r="G511">
        <f>IF(OR($E511="",$F511=""),"",IFERROR(IF($E511=INDEX(Cluster_Master!$A$4:$A$18,MATCH($F511,Cluster_Master!$B$4:$B$18,0)),"OK","CHECK"),"CHECK"))</f>
        <v/>
      </c>
      <c r="H511">
        <f>IFERROR(INDEX(Cluster_Master!$C$4:$C$18,MATCH($F511,Cluster_Master!$B$4:$B$18,0)),"")</f>
        <v/>
      </c>
      <c r="I511">
        <f>IFERROR(INDEX(Cluster_Master!$D$4:$D$18,MATCH($F511,Cluster_Master!$B$4:$B$18,0)),"")</f>
        <v/>
      </c>
      <c r="J511">
        <f>IFERROR(INDEX(Cluster_Master!$E$4:$E$18,MATCH($F511,Cluster_Master!$B$4:$B$18,0)),"")</f>
        <v/>
      </c>
      <c r="K511">
        <f>IFERROR(INDEX(Cluster_Master!$F$4:$F$18,MATCH($F511,Cluster_Master!$B$4:$B$18,0)),"")</f>
        <v/>
      </c>
      <c r="L511">
        <f>IFERROR(INDEX(Cluster_Master!$G$4:$G$18,MATCH($F511,Cluster_Master!$B$4:$B$18,0)),"")</f>
        <v/>
      </c>
      <c r="M511">
        <f>IFERROR(INDEX(Cluster_Master!$H$4:$H$18,MATCH($F511,Cluster_Master!$B$4:$B$18,0)),"")</f>
        <v/>
      </c>
      <c r="AI511">
        <f>IF(COUNTA(T511:AH511)=0,"",SUM(T511:AH511))</f>
        <v/>
      </c>
      <c r="AJ511">
        <f>IF(COUNTA(T511:AH511)=0,"",AI511/(COUNT(KPI_Weights!$A$4:$A$18)*5))</f>
        <v/>
      </c>
      <c r="AK511">
        <f>IF(COUNTA(T511:AH511)=0,"",SUMPRODUCT(T511:AH511,KPI_Weights!$B$4:$B$18)/5)</f>
        <v/>
      </c>
      <c r="AL511">
        <f>IF(COUNTA(T511:AH511)=0,"",IF(SUMPRODUCT(--(T511:AH511&lt;=1),--(KPI_Weights!$C$4:$C$18="YES"))&gt;0,"YES","NO"))</f>
        <v/>
      </c>
      <c r="AM511">
        <f>IF(AJ511="","",IF(AND(AL511="NO",AJ511&gt;=0.75),"YES","NO"))</f>
        <v/>
      </c>
      <c r="AN511">
        <f>IF(AJ511="","",IF(AJ511&lt;0.4,"Critical",IF(AJ511&lt;0.6,"Poor",IF(AJ511&lt;0.75,"Needs Improvement",IF(AJ511&lt;0.9,"Good","Excellent")))))</f>
        <v/>
      </c>
    </row>
    <row r="512" ht="15" customHeight="1" s="45">
      <c r="A512">
        <f>IF($B512="","",TEXT($B512,"yyyymmdd")&amp;"-"&amp;SUBSTITUTE($F512," ","")&amp;"-"&amp;TEXT(COUNTIF($F$4:F512,$F512),"00"))</f>
        <v/>
      </c>
      <c r="C512">
        <f>IF($B512="","",WEEKNUM($B512,2))</f>
        <v/>
      </c>
      <c r="D512">
        <f>IF($B512="","",TEXT($B512,"yyyy-mm"))</f>
        <v/>
      </c>
      <c r="G512">
        <f>IF(OR($E512="",$F512=""),"",IFERROR(IF($E512=INDEX(Cluster_Master!$A$4:$A$18,MATCH($F512,Cluster_Master!$B$4:$B$18,0)),"OK","CHECK"),"CHECK"))</f>
        <v/>
      </c>
      <c r="H512">
        <f>IFERROR(INDEX(Cluster_Master!$C$4:$C$18,MATCH($F512,Cluster_Master!$B$4:$B$18,0)),"")</f>
        <v/>
      </c>
      <c r="I512">
        <f>IFERROR(INDEX(Cluster_Master!$D$4:$D$18,MATCH($F512,Cluster_Master!$B$4:$B$18,0)),"")</f>
        <v/>
      </c>
      <c r="J512">
        <f>IFERROR(INDEX(Cluster_Master!$E$4:$E$18,MATCH($F512,Cluster_Master!$B$4:$B$18,0)),"")</f>
        <v/>
      </c>
      <c r="K512">
        <f>IFERROR(INDEX(Cluster_Master!$F$4:$F$18,MATCH($F512,Cluster_Master!$B$4:$B$18,0)),"")</f>
        <v/>
      </c>
      <c r="L512">
        <f>IFERROR(INDEX(Cluster_Master!$G$4:$G$18,MATCH($F512,Cluster_Master!$B$4:$B$18,0)),"")</f>
        <v/>
      </c>
      <c r="M512">
        <f>IFERROR(INDEX(Cluster_Master!$H$4:$H$18,MATCH($F512,Cluster_Master!$B$4:$B$18,0)),"")</f>
        <v/>
      </c>
      <c r="AI512">
        <f>IF(COUNTA(T512:AH512)=0,"",SUM(T512:AH512))</f>
        <v/>
      </c>
      <c r="AJ512">
        <f>IF(COUNTA(T512:AH512)=0,"",AI512/(COUNT(KPI_Weights!$A$4:$A$18)*5))</f>
        <v/>
      </c>
      <c r="AK512">
        <f>IF(COUNTA(T512:AH512)=0,"",SUMPRODUCT(T512:AH512,KPI_Weights!$B$4:$B$18)/5)</f>
        <v/>
      </c>
      <c r="AL512">
        <f>IF(COUNTA(T512:AH512)=0,"",IF(SUMPRODUCT(--(T512:AH512&lt;=1),--(KPI_Weights!$C$4:$C$18="YES"))&gt;0,"YES","NO"))</f>
        <v/>
      </c>
      <c r="AM512">
        <f>IF(AJ512="","",IF(AND(AL512="NO",AJ512&gt;=0.75),"YES","NO"))</f>
        <v/>
      </c>
      <c r="AN512">
        <f>IF(AJ512="","",IF(AJ512&lt;0.4,"Critical",IF(AJ512&lt;0.6,"Poor",IF(AJ512&lt;0.75,"Needs Improvement",IF(AJ512&lt;0.9,"Good","Excellent")))))</f>
        <v/>
      </c>
    </row>
    <row r="513" ht="15" customHeight="1" s="45">
      <c r="A513">
        <f>IF($B513="","",TEXT($B513,"yyyymmdd")&amp;"-"&amp;SUBSTITUTE($F513," ","")&amp;"-"&amp;TEXT(COUNTIF($F$4:F513,$F513),"00"))</f>
        <v/>
      </c>
      <c r="C513">
        <f>IF($B513="","",WEEKNUM($B513,2))</f>
        <v/>
      </c>
      <c r="D513">
        <f>IF($B513="","",TEXT($B513,"yyyy-mm"))</f>
        <v/>
      </c>
      <c r="G513">
        <f>IF(OR($E513="",$F513=""),"",IFERROR(IF($E513=INDEX(Cluster_Master!$A$4:$A$18,MATCH($F513,Cluster_Master!$B$4:$B$18,0)),"OK","CHECK"),"CHECK"))</f>
        <v/>
      </c>
      <c r="H513">
        <f>IFERROR(INDEX(Cluster_Master!$C$4:$C$18,MATCH($F513,Cluster_Master!$B$4:$B$18,0)),"")</f>
        <v/>
      </c>
      <c r="I513">
        <f>IFERROR(INDEX(Cluster_Master!$D$4:$D$18,MATCH($F513,Cluster_Master!$B$4:$B$18,0)),"")</f>
        <v/>
      </c>
      <c r="J513">
        <f>IFERROR(INDEX(Cluster_Master!$E$4:$E$18,MATCH($F513,Cluster_Master!$B$4:$B$18,0)),"")</f>
        <v/>
      </c>
      <c r="K513">
        <f>IFERROR(INDEX(Cluster_Master!$F$4:$F$18,MATCH($F513,Cluster_Master!$B$4:$B$18,0)),"")</f>
        <v/>
      </c>
      <c r="L513">
        <f>IFERROR(INDEX(Cluster_Master!$G$4:$G$18,MATCH($F513,Cluster_Master!$B$4:$B$18,0)),"")</f>
        <v/>
      </c>
      <c r="M513">
        <f>IFERROR(INDEX(Cluster_Master!$H$4:$H$18,MATCH($F513,Cluster_Master!$B$4:$B$18,0)),"")</f>
        <v/>
      </c>
      <c r="AI513">
        <f>IF(COUNTA(T513:AH513)=0,"",SUM(T513:AH513))</f>
        <v/>
      </c>
      <c r="AJ513">
        <f>IF(COUNTA(T513:AH513)=0,"",AI513/(COUNT(KPI_Weights!$A$4:$A$18)*5))</f>
        <v/>
      </c>
      <c r="AK513">
        <f>IF(COUNTA(T513:AH513)=0,"",SUMPRODUCT(T513:AH513,KPI_Weights!$B$4:$B$18)/5)</f>
        <v/>
      </c>
      <c r="AL513">
        <f>IF(COUNTA(T513:AH513)=0,"",IF(SUMPRODUCT(--(T513:AH513&lt;=1),--(KPI_Weights!$C$4:$C$18="YES"))&gt;0,"YES","NO"))</f>
        <v/>
      </c>
      <c r="AM513">
        <f>IF(AJ513="","",IF(AND(AL513="NO",AJ513&gt;=0.75),"YES","NO"))</f>
        <v/>
      </c>
      <c r="AN513">
        <f>IF(AJ513="","",IF(AJ513&lt;0.4,"Critical",IF(AJ513&lt;0.6,"Poor",IF(AJ513&lt;0.75,"Needs Improvement",IF(AJ513&lt;0.9,"Good","Excellent")))))</f>
        <v/>
      </c>
    </row>
    <row r="514" ht="15" customHeight="1" s="45">
      <c r="A514">
        <f>IF($B514="","",TEXT($B514,"yyyymmdd")&amp;"-"&amp;SUBSTITUTE($F514," ","")&amp;"-"&amp;TEXT(COUNTIF($F$4:F514,$F514),"00"))</f>
        <v/>
      </c>
      <c r="C514">
        <f>IF($B514="","",WEEKNUM($B514,2))</f>
        <v/>
      </c>
      <c r="D514">
        <f>IF($B514="","",TEXT($B514,"yyyy-mm"))</f>
        <v/>
      </c>
      <c r="G514">
        <f>IF(OR($E514="",$F514=""),"",IFERROR(IF($E514=INDEX(Cluster_Master!$A$4:$A$18,MATCH($F514,Cluster_Master!$B$4:$B$18,0)),"OK","CHECK"),"CHECK"))</f>
        <v/>
      </c>
      <c r="H514">
        <f>IFERROR(INDEX(Cluster_Master!$C$4:$C$18,MATCH($F514,Cluster_Master!$B$4:$B$18,0)),"")</f>
        <v/>
      </c>
      <c r="I514">
        <f>IFERROR(INDEX(Cluster_Master!$D$4:$D$18,MATCH($F514,Cluster_Master!$B$4:$B$18,0)),"")</f>
        <v/>
      </c>
      <c r="J514">
        <f>IFERROR(INDEX(Cluster_Master!$E$4:$E$18,MATCH($F514,Cluster_Master!$B$4:$B$18,0)),"")</f>
        <v/>
      </c>
      <c r="K514">
        <f>IFERROR(INDEX(Cluster_Master!$F$4:$F$18,MATCH($F514,Cluster_Master!$B$4:$B$18,0)),"")</f>
        <v/>
      </c>
      <c r="L514">
        <f>IFERROR(INDEX(Cluster_Master!$G$4:$G$18,MATCH($F514,Cluster_Master!$B$4:$B$18,0)),"")</f>
        <v/>
      </c>
      <c r="M514">
        <f>IFERROR(INDEX(Cluster_Master!$H$4:$H$18,MATCH($F514,Cluster_Master!$B$4:$B$18,0)),"")</f>
        <v/>
      </c>
      <c r="AI514">
        <f>IF(COUNTA(T514:AH514)=0,"",SUM(T514:AH514))</f>
        <v/>
      </c>
      <c r="AJ514">
        <f>IF(COUNTA(T514:AH514)=0,"",AI514/(COUNT(KPI_Weights!$A$4:$A$18)*5))</f>
        <v/>
      </c>
      <c r="AK514">
        <f>IF(COUNTA(T514:AH514)=0,"",SUMPRODUCT(T514:AH514,KPI_Weights!$B$4:$B$18)/5)</f>
        <v/>
      </c>
      <c r="AL514">
        <f>IF(COUNTA(T514:AH514)=0,"",IF(SUMPRODUCT(--(T514:AH514&lt;=1),--(KPI_Weights!$C$4:$C$18="YES"))&gt;0,"YES","NO"))</f>
        <v/>
      </c>
      <c r="AM514">
        <f>IF(AJ514="","",IF(AND(AL514="NO",AJ514&gt;=0.75),"YES","NO"))</f>
        <v/>
      </c>
      <c r="AN514">
        <f>IF(AJ514="","",IF(AJ514&lt;0.4,"Critical",IF(AJ514&lt;0.6,"Poor",IF(AJ514&lt;0.75,"Needs Improvement",IF(AJ514&lt;0.9,"Good","Excellent")))))</f>
        <v/>
      </c>
    </row>
    <row r="515" ht="15" customHeight="1" s="45">
      <c r="A515">
        <f>IF($B515="","",TEXT($B515,"yyyymmdd")&amp;"-"&amp;SUBSTITUTE($F515," ","")&amp;"-"&amp;TEXT(COUNTIF($F$4:F515,$F515),"00"))</f>
        <v/>
      </c>
      <c r="C515">
        <f>IF($B515="","",WEEKNUM($B515,2))</f>
        <v/>
      </c>
      <c r="D515">
        <f>IF($B515="","",TEXT($B515,"yyyy-mm"))</f>
        <v/>
      </c>
      <c r="G515">
        <f>IF(OR($E515="",$F515=""),"",IFERROR(IF($E515=INDEX(Cluster_Master!$A$4:$A$18,MATCH($F515,Cluster_Master!$B$4:$B$18,0)),"OK","CHECK"),"CHECK"))</f>
        <v/>
      </c>
      <c r="H515">
        <f>IFERROR(INDEX(Cluster_Master!$C$4:$C$18,MATCH($F515,Cluster_Master!$B$4:$B$18,0)),"")</f>
        <v/>
      </c>
      <c r="I515">
        <f>IFERROR(INDEX(Cluster_Master!$D$4:$D$18,MATCH($F515,Cluster_Master!$B$4:$B$18,0)),"")</f>
        <v/>
      </c>
      <c r="J515">
        <f>IFERROR(INDEX(Cluster_Master!$E$4:$E$18,MATCH($F515,Cluster_Master!$B$4:$B$18,0)),"")</f>
        <v/>
      </c>
      <c r="K515">
        <f>IFERROR(INDEX(Cluster_Master!$F$4:$F$18,MATCH($F515,Cluster_Master!$B$4:$B$18,0)),"")</f>
        <v/>
      </c>
      <c r="L515">
        <f>IFERROR(INDEX(Cluster_Master!$G$4:$G$18,MATCH($F515,Cluster_Master!$B$4:$B$18,0)),"")</f>
        <v/>
      </c>
      <c r="M515">
        <f>IFERROR(INDEX(Cluster_Master!$H$4:$H$18,MATCH($F515,Cluster_Master!$B$4:$B$18,0)),"")</f>
        <v/>
      </c>
      <c r="AI515">
        <f>IF(COUNTA(T515:AH515)=0,"",SUM(T515:AH515))</f>
        <v/>
      </c>
      <c r="AJ515">
        <f>IF(COUNTA(T515:AH515)=0,"",AI515/(COUNT(KPI_Weights!$A$4:$A$18)*5))</f>
        <v/>
      </c>
      <c r="AK515">
        <f>IF(COUNTA(T515:AH515)=0,"",SUMPRODUCT(T515:AH515,KPI_Weights!$B$4:$B$18)/5)</f>
        <v/>
      </c>
      <c r="AL515">
        <f>IF(COUNTA(T515:AH515)=0,"",IF(SUMPRODUCT(--(T515:AH515&lt;=1),--(KPI_Weights!$C$4:$C$18="YES"))&gt;0,"YES","NO"))</f>
        <v/>
      </c>
      <c r="AM515">
        <f>IF(AJ515="","",IF(AND(AL515="NO",AJ515&gt;=0.75),"YES","NO"))</f>
        <v/>
      </c>
      <c r="AN515">
        <f>IF(AJ515="","",IF(AJ515&lt;0.4,"Critical",IF(AJ515&lt;0.6,"Poor",IF(AJ515&lt;0.75,"Needs Improvement",IF(AJ515&lt;0.9,"Good","Excellent")))))</f>
        <v/>
      </c>
    </row>
    <row r="516" ht="15" customHeight="1" s="45">
      <c r="A516">
        <f>IF($B516="","",TEXT($B516,"yyyymmdd")&amp;"-"&amp;SUBSTITUTE($F516," ","")&amp;"-"&amp;TEXT(COUNTIF($F$4:F516,$F516),"00"))</f>
        <v/>
      </c>
      <c r="C516">
        <f>IF($B516="","",WEEKNUM($B516,2))</f>
        <v/>
      </c>
      <c r="D516">
        <f>IF($B516="","",TEXT($B516,"yyyy-mm"))</f>
        <v/>
      </c>
      <c r="G516">
        <f>IF(OR($E516="",$F516=""),"",IFERROR(IF($E516=INDEX(Cluster_Master!$A$4:$A$18,MATCH($F516,Cluster_Master!$B$4:$B$18,0)),"OK","CHECK"),"CHECK"))</f>
        <v/>
      </c>
      <c r="H516">
        <f>IFERROR(INDEX(Cluster_Master!$C$4:$C$18,MATCH($F516,Cluster_Master!$B$4:$B$18,0)),"")</f>
        <v/>
      </c>
      <c r="I516">
        <f>IFERROR(INDEX(Cluster_Master!$D$4:$D$18,MATCH($F516,Cluster_Master!$B$4:$B$18,0)),"")</f>
        <v/>
      </c>
      <c r="J516">
        <f>IFERROR(INDEX(Cluster_Master!$E$4:$E$18,MATCH($F516,Cluster_Master!$B$4:$B$18,0)),"")</f>
        <v/>
      </c>
      <c r="K516">
        <f>IFERROR(INDEX(Cluster_Master!$F$4:$F$18,MATCH($F516,Cluster_Master!$B$4:$B$18,0)),"")</f>
        <v/>
      </c>
      <c r="L516">
        <f>IFERROR(INDEX(Cluster_Master!$G$4:$G$18,MATCH($F516,Cluster_Master!$B$4:$B$18,0)),"")</f>
        <v/>
      </c>
      <c r="M516">
        <f>IFERROR(INDEX(Cluster_Master!$H$4:$H$18,MATCH($F516,Cluster_Master!$B$4:$B$18,0)),"")</f>
        <v/>
      </c>
      <c r="AI516">
        <f>IF(COUNTA(T516:AH516)=0,"",SUM(T516:AH516))</f>
        <v/>
      </c>
      <c r="AJ516">
        <f>IF(COUNTA(T516:AH516)=0,"",AI516/(COUNT(KPI_Weights!$A$4:$A$18)*5))</f>
        <v/>
      </c>
      <c r="AK516">
        <f>IF(COUNTA(T516:AH516)=0,"",SUMPRODUCT(T516:AH516,KPI_Weights!$B$4:$B$18)/5)</f>
        <v/>
      </c>
      <c r="AL516">
        <f>IF(COUNTA(T516:AH516)=0,"",IF(SUMPRODUCT(--(T516:AH516&lt;=1),--(KPI_Weights!$C$4:$C$18="YES"))&gt;0,"YES","NO"))</f>
        <v/>
      </c>
      <c r="AM516">
        <f>IF(AJ516="","",IF(AND(AL516="NO",AJ516&gt;=0.75),"YES","NO"))</f>
        <v/>
      </c>
      <c r="AN516">
        <f>IF(AJ516="","",IF(AJ516&lt;0.4,"Critical",IF(AJ516&lt;0.6,"Poor",IF(AJ516&lt;0.75,"Needs Improvement",IF(AJ516&lt;0.9,"Good","Excellent")))))</f>
        <v/>
      </c>
    </row>
    <row r="517" ht="15" customHeight="1" s="45">
      <c r="A517">
        <f>IF($B517="","",TEXT($B517,"yyyymmdd")&amp;"-"&amp;SUBSTITUTE($F517," ","")&amp;"-"&amp;TEXT(COUNTIF($F$4:F517,$F517),"00"))</f>
        <v/>
      </c>
      <c r="C517">
        <f>IF($B517="","",WEEKNUM($B517,2))</f>
        <v/>
      </c>
      <c r="D517">
        <f>IF($B517="","",TEXT($B517,"yyyy-mm"))</f>
        <v/>
      </c>
      <c r="G517">
        <f>IF(OR($E517="",$F517=""),"",IFERROR(IF($E517=INDEX(Cluster_Master!$A$4:$A$18,MATCH($F517,Cluster_Master!$B$4:$B$18,0)),"OK","CHECK"),"CHECK"))</f>
        <v/>
      </c>
      <c r="H517">
        <f>IFERROR(INDEX(Cluster_Master!$C$4:$C$18,MATCH($F517,Cluster_Master!$B$4:$B$18,0)),"")</f>
        <v/>
      </c>
      <c r="I517">
        <f>IFERROR(INDEX(Cluster_Master!$D$4:$D$18,MATCH($F517,Cluster_Master!$B$4:$B$18,0)),"")</f>
        <v/>
      </c>
      <c r="J517">
        <f>IFERROR(INDEX(Cluster_Master!$E$4:$E$18,MATCH($F517,Cluster_Master!$B$4:$B$18,0)),"")</f>
        <v/>
      </c>
      <c r="K517">
        <f>IFERROR(INDEX(Cluster_Master!$F$4:$F$18,MATCH($F517,Cluster_Master!$B$4:$B$18,0)),"")</f>
        <v/>
      </c>
      <c r="L517">
        <f>IFERROR(INDEX(Cluster_Master!$G$4:$G$18,MATCH($F517,Cluster_Master!$B$4:$B$18,0)),"")</f>
        <v/>
      </c>
      <c r="M517">
        <f>IFERROR(INDEX(Cluster_Master!$H$4:$H$18,MATCH($F517,Cluster_Master!$B$4:$B$18,0)),"")</f>
        <v/>
      </c>
      <c r="AI517">
        <f>IF(COUNTA(T517:AH517)=0,"",SUM(T517:AH517))</f>
        <v/>
      </c>
      <c r="AJ517">
        <f>IF(COUNTA(T517:AH517)=0,"",AI517/(COUNT(KPI_Weights!$A$4:$A$18)*5))</f>
        <v/>
      </c>
      <c r="AK517">
        <f>IF(COUNTA(T517:AH517)=0,"",SUMPRODUCT(T517:AH517,KPI_Weights!$B$4:$B$18)/5)</f>
        <v/>
      </c>
      <c r="AL517">
        <f>IF(COUNTA(T517:AH517)=0,"",IF(SUMPRODUCT(--(T517:AH517&lt;=1),--(KPI_Weights!$C$4:$C$18="YES"))&gt;0,"YES","NO"))</f>
        <v/>
      </c>
      <c r="AM517">
        <f>IF(AJ517="","",IF(AND(AL517="NO",AJ517&gt;=0.75),"YES","NO"))</f>
        <v/>
      </c>
      <c r="AN517">
        <f>IF(AJ517="","",IF(AJ517&lt;0.4,"Critical",IF(AJ517&lt;0.6,"Poor",IF(AJ517&lt;0.75,"Needs Improvement",IF(AJ517&lt;0.9,"Good","Excellent")))))</f>
        <v/>
      </c>
    </row>
    <row r="518" ht="15" customHeight="1" s="45">
      <c r="A518">
        <f>IF($B518="","",TEXT($B518,"yyyymmdd")&amp;"-"&amp;SUBSTITUTE($F518," ","")&amp;"-"&amp;TEXT(COUNTIF($F$4:F518,$F518),"00"))</f>
        <v/>
      </c>
      <c r="C518">
        <f>IF($B518="","",WEEKNUM($B518,2))</f>
        <v/>
      </c>
      <c r="D518">
        <f>IF($B518="","",TEXT($B518,"yyyy-mm"))</f>
        <v/>
      </c>
      <c r="G518">
        <f>IF(OR($E518="",$F518=""),"",IFERROR(IF($E518=INDEX(Cluster_Master!$A$4:$A$18,MATCH($F518,Cluster_Master!$B$4:$B$18,0)),"OK","CHECK"),"CHECK"))</f>
        <v/>
      </c>
      <c r="H518">
        <f>IFERROR(INDEX(Cluster_Master!$C$4:$C$18,MATCH($F518,Cluster_Master!$B$4:$B$18,0)),"")</f>
        <v/>
      </c>
      <c r="I518">
        <f>IFERROR(INDEX(Cluster_Master!$D$4:$D$18,MATCH($F518,Cluster_Master!$B$4:$B$18,0)),"")</f>
        <v/>
      </c>
      <c r="J518">
        <f>IFERROR(INDEX(Cluster_Master!$E$4:$E$18,MATCH($F518,Cluster_Master!$B$4:$B$18,0)),"")</f>
        <v/>
      </c>
      <c r="K518">
        <f>IFERROR(INDEX(Cluster_Master!$F$4:$F$18,MATCH($F518,Cluster_Master!$B$4:$B$18,0)),"")</f>
        <v/>
      </c>
      <c r="L518">
        <f>IFERROR(INDEX(Cluster_Master!$G$4:$G$18,MATCH($F518,Cluster_Master!$B$4:$B$18,0)),"")</f>
        <v/>
      </c>
      <c r="M518">
        <f>IFERROR(INDEX(Cluster_Master!$H$4:$H$18,MATCH($F518,Cluster_Master!$B$4:$B$18,0)),"")</f>
        <v/>
      </c>
      <c r="AI518">
        <f>IF(COUNTA(T518:AH518)=0,"",SUM(T518:AH518))</f>
        <v/>
      </c>
      <c r="AJ518">
        <f>IF(COUNTA(T518:AH518)=0,"",AI518/(COUNT(KPI_Weights!$A$4:$A$18)*5))</f>
        <v/>
      </c>
      <c r="AK518">
        <f>IF(COUNTA(T518:AH518)=0,"",SUMPRODUCT(T518:AH518,KPI_Weights!$B$4:$B$18)/5)</f>
        <v/>
      </c>
      <c r="AL518">
        <f>IF(COUNTA(T518:AH518)=0,"",IF(SUMPRODUCT(--(T518:AH518&lt;=1),--(KPI_Weights!$C$4:$C$18="YES"))&gt;0,"YES","NO"))</f>
        <v/>
      </c>
      <c r="AM518">
        <f>IF(AJ518="","",IF(AND(AL518="NO",AJ518&gt;=0.75),"YES","NO"))</f>
        <v/>
      </c>
      <c r="AN518">
        <f>IF(AJ518="","",IF(AJ518&lt;0.4,"Critical",IF(AJ518&lt;0.6,"Poor",IF(AJ518&lt;0.75,"Needs Improvement",IF(AJ518&lt;0.9,"Good","Excellent")))))</f>
        <v/>
      </c>
    </row>
    <row r="519" ht="15" customHeight="1" s="45">
      <c r="A519">
        <f>IF($B519="","",TEXT($B519,"yyyymmdd")&amp;"-"&amp;SUBSTITUTE($F519," ","")&amp;"-"&amp;TEXT(COUNTIF($F$4:F519,$F519),"00"))</f>
        <v/>
      </c>
      <c r="C519">
        <f>IF($B519="","",WEEKNUM($B519,2))</f>
        <v/>
      </c>
      <c r="D519">
        <f>IF($B519="","",TEXT($B519,"yyyy-mm"))</f>
        <v/>
      </c>
      <c r="G519">
        <f>IF(OR($E519="",$F519=""),"",IFERROR(IF($E519=INDEX(Cluster_Master!$A$4:$A$18,MATCH($F519,Cluster_Master!$B$4:$B$18,0)),"OK","CHECK"),"CHECK"))</f>
        <v/>
      </c>
      <c r="H519">
        <f>IFERROR(INDEX(Cluster_Master!$C$4:$C$18,MATCH($F519,Cluster_Master!$B$4:$B$18,0)),"")</f>
        <v/>
      </c>
      <c r="I519">
        <f>IFERROR(INDEX(Cluster_Master!$D$4:$D$18,MATCH($F519,Cluster_Master!$B$4:$B$18,0)),"")</f>
        <v/>
      </c>
      <c r="J519">
        <f>IFERROR(INDEX(Cluster_Master!$E$4:$E$18,MATCH($F519,Cluster_Master!$B$4:$B$18,0)),"")</f>
        <v/>
      </c>
      <c r="K519">
        <f>IFERROR(INDEX(Cluster_Master!$F$4:$F$18,MATCH($F519,Cluster_Master!$B$4:$B$18,0)),"")</f>
        <v/>
      </c>
      <c r="L519">
        <f>IFERROR(INDEX(Cluster_Master!$G$4:$G$18,MATCH($F519,Cluster_Master!$B$4:$B$18,0)),"")</f>
        <v/>
      </c>
      <c r="M519">
        <f>IFERROR(INDEX(Cluster_Master!$H$4:$H$18,MATCH($F519,Cluster_Master!$B$4:$B$18,0)),"")</f>
        <v/>
      </c>
      <c r="AI519">
        <f>IF(COUNTA(T519:AH519)=0,"",SUM(T519:AH519))</f>
        <v/>
      </c>
      <c r="AJ519">
        <f>IF(COUNTA(T519:AH519)=0,"",AI519/(COUNT(KPI_Weights!$A$4:$A$18)*5))</f>
        <v/>
      </c>
      <c r="AK519">
        <f>IF(COUNTA(T519:AH519)=0,"",SUMPRODUCT(T519:AH519,KPI_Weights!$B$4:$B$18)/5)</f>
        <v/>
      </c>
      <c r="AL519">
        <f>IF(COUNTA(T519:AH519)=0,"",IF(SUMPRODUCT(--(T519:AH519&lt;=1),--(KPI_Weights!$C$4:$C$18="YES"))&gt;0,"YES","NO"))</f>
        <v/>
      </c>
      <c r="AM519">
        <f>IF(AJ519="","",IF(AND(AL519="NO",AJ519&gt;=0.75),"YES","NO"))</f>
        <v/>
      </c>
      <c r="AN519">
        <f>IF(AJ519="","",IF(AJ519&lt;0.4,"Critical",IF(AJ519&lt;0.6,"Poor",IF(AJ519&lt;0.75,"Needs Improvement",IF(AJ519&lt;0.9,"Good","Excellent")))))</f>
        <v/>
      </c>
    </row>
    <row r="520" ht="15" customHeight="1" s="45">
      <c r="A520">
        <f>IF($B520="","",TEXT($B520,"yyyymmdd")&amp;"-"&amp;SUBSTITUTE($F520," ","")&amp;"-"&amp;TEXT(COUNTIF($F$4:F520,$F520),"00"))</f>
        <v/>
      </c>
      <c r="C520">
        <f>IF($B520="","",WEEKNUM($B520,2))</f>
        <v/>
      </c>
      <c r="D520">
        <f>IF($B520="","",TEXT($B520,"yyyy-mm"))</f>
        <v/>
      </c>
      <c r="G520">
        <f>IF(OR($E520="",$F520=""),"",IFERROR(IF($E520=INDEX(Cluster_Master!$A$4:$A$18,MATCH($F520,Cluster_Master!$B$4:$B$18,0)),"OK","CHECK"),"CHECK"))</f>
        <v/>
      </c>
      <c r="H520">
        <f>IFERROR(INDEX(Cluster_Master!$C$4:$C$18,MATCH($F520,Cluster_Master!$B$4:$B$18,0)),"")</f>
        <v/>
      </c>
      <c r="I520">
        <f>IFERROR(INDEX(Cluster_Master!$D$4:$D$18,MATCH($F520,Cluster_Master!$B$4:$B$18,0)),"")</f>
        <v/>
      </c>
      <c r="J520">
        <f>IFERROR(INDEX(Cluster_Master!$E$4:$E$18,MATCH($F520,Cluster_Master!$B$4:$B$18,0)),"")</f>
        <v/>
      </c>
      <c r="K520">
        <f>IFERROR(INDEX(Cluster_Master!$F$4:$F$18,MATCH($F520,Cluster_Master!$B$4:$B$18,0)),"")</f>
        <v/>
      </c>
      <c r="L520">
        <f>IFERROR(INDEX(Cluster_Master!$G$4:$G$18,MATCH($F520,Cluster_Master!$B$4:$B$18,0)),"")</f>
        <v/>
      </c>
      <c r="M520">
        <f>IFERROR(INDEX(Cluster_Master!$H$4:$H$18,MATCH($F520,Cluster_Master!$B$4:$B$18,0)),"")</f>
        <v/>
      </c>
      <c r="AI520">
        <f>IF(COUNTA(T520:AH520)=0,"",SUM(T520:AH520))</f>
        <v/>
      </c>
      <c r="AJ520">
        <f>IF(COUNTA(T520:AH520)=0,"",AI520/(COUNT(KPI_Weights!$A$4:$A$18)*5))</f>
        <v/>
      </c>
      <c r="AK520">
        <f>IF(COUNTA(T520:AH520)=0,"",SUMPRODUCT(T520:AH520,KPI_Weights!$B$4:$B$18)/5)</f>
        <v/>
      </c>
      <c r="AL520">
        <f>IF(COUNTA(T520:AH520)=0,"",IF(SUMPRODUCT(--(T520:AH520&lt;=1),--(KPI_Weights!$C$4:$C$18="YES"))&gt;0,"YES","NO"))</f>
        <v/>
      </c>
      <c r="AM520">
        <f>IF(AJ520="","",IF(AND(AL520="NO",AJ520&gt;=0.75),"YES","NO"))</f>
        <v/>
      </c>
      <c r="AN520">
        <f>IF(AJ520="","",IF(AJ520&lt;0.4,"Critical",IF(AJ520&lt;0.6,"Poor",IF(AJ520&lt;0.75,"Needs Improvement",IF(AJ520&lt;0.9,"Good","Excellent")))))</f>
        <v/>
      </c>
    </row>
    <row r="521" ht="15" customHeight="1" s="45">
      <c r="A521">
        <f>IF($B521="","",TEXT($B521,"yyyymmdd")&amp;"-"&amp;SUBSTITUTE($F521," ","")&amp;"-"&amp;TEXT(COUNTIF($F$4:F521,$F521),"00"))</f>
        <v/>
      </c>
      <c r="C521">
        <f>IF($B521="","",WEEKNUM($B521,2))</f>
        <v/>
      </c>
      <c r="D521">
        <f>IF($B521="","",TEXT($B521,"yyyy-mm"))</f>
        <v/>
      </c>
      <c r="G521">
        <f>IF(OR($E521="",$F521=""),"",IFERROR(IF($E521=INDEX(Cluster_Master!$A$4:$A$18,MATCH($F521,Cluster_Master!$B$4:$B$18,0)),"OK","CHECK"),"CHECK"))</f>
        <v/>
      </c>
      <c r="H521">
        <f>IFERROR(INDEX(Cluster_Master!$C$4:$C$18,MATCH($F521,Cluster_Master!$B$4:$B$18,0)),"")</f>
        <v/>
      </c>
      <c r="I521">
        <f>IFERROR(INDEX(Cluster_Master!$D$4:$D$18,MATCH($F521,Cluster_Master!$B$4:$B$18,0)),"")</f>
        <v/>
      </c>
      <c r="J521">
        <f>IFERROR(INDEX(Cluster_Master!$E$4:$E$18,MATCH($F521,Cluster_Master!$B$4:$B$18,0)),"")</f>
        <v/>
      </c>
      <c r="K521">
        <f>IFERROR(INDEX(Cluster_Master!$F$4:$F$18,MATCH($F521,Cluster_Master!$B$4:$B$18,0)),"")</f>
        <v/>
      </c>
      <c r="L521">
        <f>IFERROR(INDEX(Cluster_Master!$G$4:$G$18,MATCH($F521,Cluster_Master!$B$4:$B$18,0)),"")</f>
        <v/>
      </c>
      <c r="M521">
        <f>IFERROR(INDEX(Cluster_Master!$H$4:$H$18,MATCH($F521,Cluster_Master!$B$4:$B$18,0)),"")</f>
        <v/>
      </c>
      <c r="AI521">
        <f>IF(COUNTA(T521:AH521)=0,"",SUM(T521:AH521))</f>
        <v/>
      </c>
      <c r="AJ521">
        <f>IF(COUNTA(T521:AH521)=0,"",AI521/(COUNT(KPI_Weights!$A$4:$A$18)*5))</f>
        <v/>
      </c>
      <c r="AK521">
        <f>IF(COUNTA(T521:AH521)=0,"",SUMPRODUCT(T521:AH521,KPI_Weights!$B$4:$B$18)/5)</f>
        <v/>
      </c>
      <c r="AL521">
        <f>IF(COUNTA(T521:AH521)=0,"",IF(SUMPRODUCT(--(T521:AH521&lt;=1),--(KPI_Weights!$C$4:$C$18="YES"))&gt;0,"YES","NO"))</f>
        <v/>
      </c>
      <c r="AM521">
        <f>IF(AJ521="","",IF(AND(AL521="NO",AJ521&gt;=0.75),"YES","NO"))</f>
        <v/>
      </c>
      <c r="AN521">
        <f>IF(AJ521="","",IF(AJ521&lt;0.4,"Critical",IF(AJ521&lt;0.6,"Poor",IF(AJ521&lt;0.75,"Needs Improvement",IF(AJ521&lt;0.9,"Good","Excellent")))))</f>
        <v/>
      </c>
    </row>
    <row r="522" ht="15" customHeight="1" s="45">
      <c r="A522">
        <f>IF($B522="","",TEXT($B522,"yyyymmdd")&amp;"-"&amp;SUBSTITUTE($F522," ","")&amp;"-"&amp;TEXT(COUNTIF($F$4:F522,$F522),"00"))</f>
        <v/>
      </c>
      <c r="C522">
        <f>IF($B522="","",WEEKNUM($B522,2))</f>
        <v/>
      </c>
      <c r="D522">
        <f>IF($B522="","",TEXT($B522,"yyyy-mm"))</f>
        <v/>
      </c>
      <c r="G522">
        <f>IF(OR($E522="",$F522=""),"",IFERROR(IF($E522=INDEX(Cluster_Master!$A$4:$A$18,MATCH($F522,Cluster_Master!$B$4:$B$18,0)),"OK","CHECK"),"CHECK"))</f>
        <v/>
      </c>
      <c r="H522">
        <f>IFERROR(INDEX(Cluster_Master!$C$4:$C$18,MATCH($F522,Cluster_Master!$B$4:$B$18,0)),"")</f>
        <v/>
      </c>
      <c r="I522">
        <f>IFERROR(INDEX(Cluster_Master!$D$4:$D$18,MATCH($F522,Cluster_Master!$B$4:$B$18,0)),"")</f>
        <v/>
      </c>
      <c r="J522">
        <f>IFERROR(INDEX(Cluster_Master!$E$4:$E$18,MATCH($F522,Cluster_Master!$B$4:$B$18,0)),"")</f>
        <v/>
      </c>
      <c r="K522">
        <f>IFERROR(INDEX(Cluster_Master!$F$4:$F$18,MATCH($F522,Cluster_Master!$B$4:$B$18,0)),"")</f>
        <v/>
      </c>
      <c r="L522">
        <f>IFERROR(INDEX(Cluster_Master!$G$4:$G$18,MATCH($F522,Cluster_Master!$B$4:$B$18,0)),"")</f>
        <v/>
      </c>
      <c r="M522">
        <f>IFERROR(INDEX(Cluster_Master!$H$4:$H$18,MATCH($F522,Cluster_Master!$B$4:$B$18,0)),"")</f>
        <v/>
      </c>
      <c r="AI522">
        <f>IF(COUNTA(T522:AH522)=0,"",SUM(T522:AH522))</f>
        <v/>
      </c>
      <c r="AJ522">
        <f>IF(COUNTA(T522:AH522)=0,"",AI522/(COUNT(KPI_Weights!$A$4:$A$18)*5))</f>
        <v/>
      </c>
      <c r="AK522">
        <f>IF(COUNTA(T522:AH522)=0,"",SUMPRODUCT(T522:AH522,KPI_Weights!$B$4:$B$18)/5)</f>
        <v/>
      </c>
      <c r="AL522">
        <f>IF(COUNTA(T522:AH522)=0,"",IF(SUMPRODUCT(--(T522:AH522&lt;=1),--(KPI_Weights!$C$4:$C$18="YES"))&gt;0,"YES","NO"))</f>
        <v/>
      </c>
      <c r="AM522">
        <f>IF(AJ522="","",IF(AND(AL522="NO",AJ522&gt;=0.75),"YES","NO"))</f>
        <v/>
      </c>
      <c r="AN522">
        <f>IF(AJ522="","",IF(AJ522&lt;0.4,"Critical",IF(AJ522&lt;0.6,"Poor",IF(AJ522&lt;0.75,"Needs Improvement",IF(AJ522&lt;0.9,"Good","Excellent")))))</f>
        <v/>
      </c>
    </row>
    <row r="523" ht="15" customHeight="1" s="45">
      <c r="A523">
        <f>IF($B523="","",TEXT($B523,"yyyymmdd")&amp;"-"&amp;SUBSTITUTE($F523," ","")&amp;"-"&amp;TEXT(COUNTIF($F$4:F523,$F523),"00"))</f>
        <v/>
      </c>
      <c r="C523">
        <f>IF($B523="","",WEEKNUM($B523,2))</f>
        <v/>
      </c>
      <c r="D523">
        <f>IF($B523="","",TEXT($B523,"yyyy-mm"))</f>
        <v/>
      </c>
      <c r="G523">
        <f>IF(OR($E523="",$F523=""),"",IFERROR(IF($E523=INDEX(Cluster_Master!$A$4:$A$18,MATCH($F523,Cluster_Master!$B$4:$B$18,0)),"OK","CHECK"),"CHECK"))</f>
        <v/>
      </c>
      <c r="H523">
        <f>IFERROR(INDEX(Cluster_Master!$C$4:$C$18,MATCH($F523,Cluster_Master!$B$4:$B$18,0)),"")</f>
        <v/>
      </c>
      <c r="I523">
        <f>IFERROR(INDEX(Cluster_Master!$D$4:$D$18,MATCH($F523,Cluster_Master!$B$4:$B$18,0)),"")</f>
        <v/>
      </c>
      <c r="J523">
        <f>IFERROR(INDEX(Cluster_Master!$E$4:$E$18,MATCH($F523,Cluster_Master!$B$4:$B$18,0)),"")</f>
        <v/>
      </c>
      <c r="K523">
        <f>IFERROR(INDEX(Cluster_Master!$F$4:$F$18,MATCH($F523,Cluster_Master!$B$4:$B$18,0)),"")</f>
        <v/>
      </c>
      <c r="L523">
        <f>IFERROR(INDEX(Cluster_Master!$G$4:$G$18,MATCH($F523,Cluster_Master!$B$4:$B$18,0)),"")</f>
        <v/>
      </c>
      <c r="M523">
        <f>IFERROR(INDEX(Cluster_Master!$H$4:$H$18,MATCH($F523,Cluster_Master!$B$4:$B$18,0)),"")</f>
        <v/>
      </c>
      <c r="AI523">
        <f>IF(COUNTA(T523:AH523)=0,"",SUM(T523:AH523))</f>
        <v/>
      </c>
      <c r="AJ523">
        <f>IF(COUNTA(T523:AH523)=0,"",AI523/(COUNT(KPI_Weights!$A$4:$A$18)*5))</f>
        <v/>
      </c>
      <c r="AK523">
        <f>IF(COUNTA(T523:AH523)=0,"",SUMPRODUCT(T523:AH523,KPI_Weights!$B$4:$B$18)/5)</f>
        <v/>
      </c>
      <c r="AL523">
        <f>IF(COUNTA(T523:AH523)=0,"",IF(SUMPRODUCT(--(T523:AH523&lt;=1),--(KPI_Weights!$C$4:$C$18="YES"))&gt;0,"YES","NO"))</f>
        <v/>
      </c>
      <c r="AM523">
        <f>IF(AJ523="","",IF(AND(AL523="NO",AJ523&gt;=0.75),"YES","NO"))</f>
        <v/>
      </c>
      <c r="AN523">
        <f>IF(AJ523="","",IF(AJ523&lt;0.4,"Critical",IF(AJ523&lt;0.6,"Poor",IF(AJ523&lt;0.75,"Needs Improvement",IF(AJ523&lt;0.9,"Good","Excellent")))))</f>
        <v/>
      </c>
    </row>
    <row r="524" ht="15" customHeight="1" s="45">
      <c r="A524">
        <f>IF($B524="","",TEXT($B524,"yyyymmdd")&amp;"-"&amp;SUBSTITUTE($F524," ","")&amp;"-"&amp;TEXT(COUNTIF($F$4:F524,$F524),"00"))</f>
        <v/>
      </c>
      <c r="C524">
        <f>IF($B524="","",WEEKNUM($B524,2))</f>
        <v/>
      </c>
      <c r="D524">
        <f>IF($B524="","",TEXT($B524,"yyyy-mm"))</f>
        <v/>
      </c>
      <c r="G524">
        <f>IF(OR($E524="",$F524=""),"",IFERROR(IF($E524=INDEX(Cluster_Master!$A$4:$A$18,MATCH($F524,Cluster_Master!$B$4:$B$18,0)),"OK","CHECK"),"CHECK"))</f>
        <v/>
      </c>
      <c r="H524">
        <f>IFERROR(INDEX(Cluster_Master!$C$4:$C$18,MATCH($F524,Cluster_Master!$B$4:$B$18,0)),"")</f>
        <v/>
      </c>
      <c r="I524">
        <f>IFERROR(INDEX(Cluster_Master!$D$4:$D$18,MATCH($F524,Cluster_Master!$B$4:$B$18,0)),"")</f>
        <v/>
      </c>
      <c r="J524">
        <f>IFERROR(INDEX(Cluster_Master!$E$4:$E$18,MATCH($F524,Cluster_Master!$B$4:$B$18,0)),"")</f>
        <v/>
      </c>
      <c r="K524">
        <f>IFERROR(INDEX(Cluster_Master!$F$4:$F$18,MATCH($F524,Cluster_Master!$B$4:$B$18,0)),"")</f>
        <v/>
      </c>
      <c r="L524">
        <f>IFERROR(INDEX(Cluster_Master!$G$4:$G$18,MATCH($F524,Cluster_Master!$B$4:$B$18,0)),"")</f>
        <v/>
      </c>
      <c r="M524">
        <f>IFERROR(INDEX(Cluster_Master!$H$4:$H$18,MATCH($F524,Cluster_Master!$B$4:$B$18,0)),"")</f>
        <v/>
      </c>
      <c r="AI524">
        <f>IF(COUNTA(T524:AH524)=0,"",SUM(T524:AH524))</f>
        <v/>
      </c>
      <c r="AJ524">
        <f>IF(COUNTA(T524:AH524)=0,"",AI524/(COUNT(KPI_Weights!$A$4:$A$18)*5))</f>
        <v/>
      </c>
      <c r="AK524">
        <f>IF(COUNTA(T524:AH524)=0,"",SUMPRODUCT(T524:AH524,KPI_Weights!$B$4:$B$18)/5)</f>
        <v/>
      </c>
      <c r="AL524">
        <f>IF(COUNTA(T524:AH524)=0,"",IF(SUMPRODUCT(--(T524:AH524&lt;=1),--(KPI_Weights!$C$4:$C$18="YES"))&gt;0,"YES","NO"))</f>
        <v/>
      </c>
      <c r="AM524">
        <f>IF(AJ524="","",IF(AND(AL524="NO",AJ524&gt;=0.75),"YES","NO"))</f>
        <v/>
      </c>
      <c r="AN524">
        <f>IF(AJ524="","",IF(AJ524&lt;0.4,"Critical",IF(AJ524&lt;0.6,"Poor",IF(AJ524&lt;0.75,"Needs Improvement",IF(AJ524&lt;0.9,"Good","Excellent")))))</f>
        <v/>
      </c>
    </row>
    <row r="525" ht="15" customHeight="1" s="45">
      <c r="A525">
        <f>IF($B525="","",TEXT($B525,"yyyymmdd")&amp;"-"&amp;SUBSTITUTE($F525," ","")&amp;"-"&amp;TEXT(COUNTIF($F$4:F525,$F525),"00"))</f>
        <v/>
      </c>
      <c r="C525">
        <f>IF($B525="","",WEEKNUM($B525,2))</f>
        <v/>
      </c>
      <c r="D525">
        <f>IF($B525="","",TEXT($B525,"yyyy-mm"))</f>
        <v/>
      </c>
      <c r="G525">
        <f>IF(OR($E525="",$F525=""),"",IFERROR(IF($E525=INDEX(Cluster_Master!$A$4:$A$18,MATCH($F525,Cluster_Master!$B$4:$B$18,0)),"OK","CHECK"),"CHECK"))</f>
        <v/>
      </c>
      <c r="H525">
        <f>IFERROR(INDEX(Cluster_Master!$C$4:$C$18,MATCH($F525,Cluster_Master!$B$4:$B$18,0)),"")</f>
        <v/>
      </c>
      <c r="I525">
        <f>IFERROR(INDEX(Cluster_Master!$D$4:$D$18,MATCH($F525,Cluster_Master!$B$4:$B$18,0)),"")</f>
        <v/>
      </c>
      <c r="J525">
        <f>IFERROR(INDEX(Cluster_Master!$E$4:$E$18,MATCH($F525,Cluster_Master!$B$4:$B$18,0)),"")</f>
        <v/>
      </c>
      <c r="K525">
        <f>IFERROR(INDEX(Cluster_Master!$F$4:$F$18,MATCH($F525,Cluster_Master!$B$4:$B$18,0)),"")</f>
        <v/>
      </c>
      <c r="L525">
        <f>IFERROR(INDEX(Cluster_Master!$G$4:$G$18,MATCH($F525,Cluster_Master!$B$4:$B$18,0)),"")</f>
        <v/>
      </c>
      <c r="M525">
        <f>IFERROR(INDEX(Cluster_Master!$H$4:$H$18,MATCH($F525,Cluster_Master!$B$4:$B$18,0)),"")</f>
        <v/>
      </c>
      <c r="AI525">
        <f>IF(COUNTA(T525:AH525)=0,"",SUM(T525:AH525))</f>
        <v/>
      </c>
      <c r="AJ525">
        <f>IF(COUNTA(T525:AH525)=0,"",AI525/(COUNT(KPI_Weights!$A$4:$A$18)*5))</f>
        <v/>
      </c>
      <c r="AK525">
        <f>IF(COUNTA(T525:AH525)=0,"",SUMPRODUCT(T525:AH525,KPI_Weights!$B$4:$B$18)/5)</f>
        <v/>
      </c>
      <c r="AL525">
        <f>IF(COUNTA(T525:AH525)=0,"",IF(SUMPRODUCT(--(T525:AH525&lt;=1),--(KPI_Weights!$C$4:$C$18="YES"))&gt;0,"YES","NO"))</f>
        <v/>
      </c>
      <c r="AM525">
        <f>IF(AJ525="","",IF(AND(AL525="NO",AJ525&gt;=0.75),"YES","NO"))</f>
        <v/>
      </c>
      <c r="AN525">
        <f>IF(AJ525="","",IF(AJ525&lt;0.4,"Critical",IF(AJ525&lt;0.6,"Poor",IF(AJ525&lt;0.75,"Needs Improvement",IF(AJ525&lt;0.9,"Good","Excellent")))))</f>
        <v/>
      </c>
    </row>
    <row r="526" ht="15" customHeight="1" s="45">
      <c r="A526">
        <f>IF($B526="","",TEXT($B526,"yyyymmdd")&amp;"-"&amp;SUBSTITUTE($F526," ","")&amp;"-"&amp;TEXT(COUNTIF($F$4:F526,$F526),"00"))</f>
        <v/>
      </c>
      <c r="C526">
        <f>IF($B526="","",WEEKNUM($B526,2))</f>
        <v/>
      </c>
      <c r="D526">
        <f>IF($B526="","",TEXT($B526,"yyyy-mm"))</f>
        <v/>
      </c>
      <c r="G526">
        <f>IF(OR($E526="",$F526=""),"",IFERROR(IF($E526=INDEX(Cluster_Master!$A$4:$A$18,MATCH($F526,Cluster_Master!$B$4:$B$18,0)),"OK","CHECK"),"CHECK"))</f>
        <v/>
      </c>
      <c r="H526">
        <f>IFERROR(INDEX(Cluster_Master!$C$4:$C$18,MATCH($F526,Cluster_Master!$B$4:$B$18,0)),"")</f>
        <v/>
      </c>
      <c r="I526">
        <f>IFERROR(INDEX(Cluster_Master!$D$4:$D$18,MATCH($F526,Cluster_Master!$B$4:$B$18,0)),"")</f>
        <v/>
      </c>
      <c r="J526">
        <f>IFERROR(INDEX(Cluster_Master!$E$4:$E$18,MATCH($F526,Cluster_Master!$B$4:$B$18,0)),"")</f>
        <v/>
      </c>
      <c r="K526">
        <f>IFERROR(INDEX(Cluster_Master!$F$4:$F$18,MATCH($F526,Cluster_Master!$B$4:$B$18,0)),"")</f>
        <v/>
      </c>
      <c r="L526">
        <f>IFERROR(INDEX(Cluster_Master!$G$4:$G$18,MATCH($F526,Cluster_Master!$B$4:$B$18,0)),"")</f>
        <v/>
      </c>
      <c r="M526">
        <f>IFERROR(INDEX(Cluster_Master!$H$4:$H$18,MATCH($F526,Cluster_Master!$B$4:$B$18,0)),"")</f>
        <v/>
      </c>
      <c r="AI526">
        <f>IF(COUNTA(T526:AH526)=0,"",SUM(T526:AH526))</f>
        <v/>
      </c>
      <c r="AJ526">
        <f>IF(COUNTA(T526:AH526)=0,"",AI526/(COUNT(KPI_Weights!$A$4:$A$18)*5))</f>
        <v/>
      </c>
      <c r="AK526">
        <f>IF(COUNTA(T526:AH526)=0,"",SUMPRODUCT(T526:AH526,KPI_Weights!$B$4:$B$18)/5)</f>
        <v/>
      </c>
      <c r="AL526">
        <f>IF(COUNTA(T526:AH526)=0,"",IF(SUMPRODUCT(--(T526:AH526&lt;=1),--(KPI_Weights!$C$4:$C$18="YES"))&gt;0,"YES","NO"))</f>
        <v/>
      </c>
      <c r="AM526">
        <f>IF(AJ526="","",IF(AND(AL526="NO",AJ526&gt;=0.75),"YES","NO"))</f>
        <v/>
      </c>
      <c r="AN526">
        <f>IF(AJ526="","",IF(AJ526&lt;0.4,"Critical",IF(AJ526&lt;0.6,"Poor",IF(AJ526&lt;0.75,"Needs Improvement",IF(AJ526&lt;0.9,"Good","Excellent")))))</f>
        <v/>
      </c>
    </row>
    <row r="527" ht="15" customHeight="1" s="45">
      <c r="A527">
        <f>IF($B527="","",TEXT($B527,"yyyymmdd")&amp;"-"&amp;SUBSTITUTE($F527," ","")&amp;"-"&amp;TEXT(COUNTIF($F$4:F527,$F527),"00"))</f>
        <v/>
      </c>
      <c r="C527">
        <f>IF($B527="","",WEEKNUM($B527,2))</f>
        <v/>
      </c>
      <c r="D527">
        <f>IF($B527="","",TEXT($B527,"yyyy-mm"))</f>
        <v/>
      </c>
      <c r="G527">
        <f>IF(OR($E527="",$F527=""),"",IFERROR(IF($E527=INDEX(Cluster_Master!$A$4:$A$18,MATCH($F527,Cluster_Master!$B$4:$B$18,0)),"OK","CHECK"),"CHECK"))</f>
        <v/>
      </c>
      <c r="H527">
        <f>IFERROR(INDEX(Cluster_Master!$C$4:$C$18,MATCH($F527,Cluster_Master!$B$4:$B$18,0)),"")</f>
        <v/>
      </c>
      <c r="I527">
        <f>IFERROR(INDEX(Cluster_Master!$D$4:$D$18,MATCH($F527,Cluster_Master!$B$4:$B$18,0)),"")</f>
        <v/>
      </c>
      <c r="J527">
        <f>IFERROR(INDEX(Cluster_Master!$E$4:$E$18,MATCH($F527,Cluster_Master!$B$4:$B$18,0)),"")</f>
        <v/>
      </c>
      <c r="K527">
        <f>IFERROR(INDEX(Cluster_Master!$F$4:$F$18,MATCH($F527,Cluster_Master!$B$4:$B$18,0)),"")</f>
        <v/>
      </c>
      <c r="L527">
        <f>IFERROR(INDEX(Cluster_Master!$G$4:$G$18,MATCH($F527,Cluster_Master!$B$4:$B$18,0)),"")</f>
        <v/>
      </c>
      <c r="M527">
        <f>IFERROR(INDEX(Cluster_Master!$H$4:$H$18,MATCH($F527,Cluster_Master!$B$4:$B$18,0)),"")</f>
        <v/>
      </c>
      <c r="AI527">
        <f>IF(COUNTA(T527:AH527)=0,"",SUM(T527:AH527))</f>
        <v/>
      </c>
      <c r="AJ527">
        <f>IF(COUNTA(T527:AH527)=0,"",AI527/(COUNT(KPI_Weights!$A$4:$A$18)*5))</f>
        <v/>
      </c>
      <c r="AK527">
        <f>IF(COUNTA(T527:AH527)=0,"",SUMPRODUCT(T527:AH527,KPI_Weights!$B$4:$B$18)/5)</f>
        <v/>
      </c>
      <c r="AL527">
        <f>IF(COUNTA(T527:AH527)=0,"",IF(SUMPRODUCT(--(T527:AH527&lt;=1),--(KPI_Weights!$C$4:$C$18="YES"))&gt;0,"YES","NO"))</f>
        <v/>
      </c>
      <c r="AM527">
        <f>IF(AJ527="","",IF(AND(AL527="NO",AJ527&gt;=0.75),"YES","NO"))</f>
        <v/>
      </c>
      <c r="AN527">
        <f>IF(AJ527="","",IF(AJ527&lt;0.4,"Critical",IF(AJ527&lt;0.6,"Poor",IF(AJ527&lt;0.75,"Needs Improvement",IF(AJ527&lt;0.9,"Good","Excellent")))))</f>
        <v/>
      </c>
    </row>
    <row r="528" ht="15" customHeight="1" s="45">
      <c r="A528">
        <f>IF($B528="","",TEXT($B528,"yyyymmdd")&amp;"-"&amp;SUBSTITUTE($F528," ","")&amp;"-"&amp;TEXT(COUNTIF($F$4:F528,$F528),"00"))</f>
        <v/>
      </c>
      <c r="C528">
        <f>IF($B528="","",WEEKNUM($B528,2))</f>
        <v/>
      </c>
      <c r="D528">
        <f>IF($B528="","",TEXT($B528,"yyyy-mm"))</f>
        <v/>
      </c>
      <c r="G528">
        <f>IF(OR($E528="",$F528=""),"",IFERROR(IF($E528=INDEX(Cluster_Master!$A$4:$A$18,MATCH($F528,Cluster_Master!$B$4:$B$18,0)),"OK","CHECK"),"CHECK"))</f>
        <v/>
      </c>
      <c r="H528">
        <f>IFERROR(INDEX(Cluster_Master!$C$4:$C$18,MATCH($F528,Cluster_Master!$B$4:$B$18,0)),"")</f>
        <v/>
      </c>
      <c r="I528">
        <f>IFERROR(INDEX(Cluster_Master!$D$4:$D$18,MATCH($F528,Cluster_Master!$B$4:$B$18,0)),"")</f>
        <v/>
      </c>
      <c r="J528">
        <f>IFERROR(INDEX(Cluster_Master!$E$4:$E$18,MATCH($F528,Cluster_Master!$B$4:$B$18,0)),"")</f>
        <v/>
      </c>
      <c r="K528">
        <f>IFERROR(INDEX(Cluster_Master!$F$4:$F$18,MATCH($F528,Cluster_Master!$B$4:$B$18,0)),"")</f>
        <v/>
      </c>
      <c r="L528">
        <f>IFERROR(INDEX(Cluster_Master!$G$4:$G$18,MATCH($F528,Cluster_Master!$B$4:$B$18,0)),"")</f>
        <v/>
      </c>
      <c r="M528">
        <f>IFERROR(INDEX(Cluster_Master!$H$4:$H$18,MATCH($F528,Cluster_Master!$B$4:$B$18,0)),"")</f>
        <v/>
      </c>
      <c r="AI528">
        <f>IF(COUNTA(T528:AH528)=0,"",SUM(T528:AH528))</f>
        <v/>
      </c>
      <c r="AJ528">
        <f>IF(COUNTA(T528:AH528)=0,"",AI528/(COUNT(KPI_Weights!$A$4:$A$18)*5))</f>
        <v/>
      </c>
      <c r="AK528">
        <f>IF(COUNTA(T528:AH528)=0,"",SUMPRODUCT(T528:AH528,KPI_Weights!$B$4:$B$18)/5)</f>
        <v/>
      </c>
      <c r="AL528">
        <f>IF(COUNTA(T528:AH528)=0,"",IF(SUMPRODUCT(--(T528:AH528&lt;=1),--(KPI_Weights!$C$4:$C$18="YES"))&gt;0,"YES","NO"))</f>
        <v/>
      </c>
      <c r="AM528">
        <f>IF(AJ528="","",IF(AND(AL528="NO",AJ528&gt;=0.75),"YES","NO"))</f>
        <v/>
      </c>
      <c r="AN528">
        <f>IF(AJ528="","",IF(AJ528&lt;0.4,"Critical",IF(AJ528&lt;0.6,"Poor",IF(AJ528&lt;0.75,"Needs Improvement",IF(AJ528&lt;0.9,"Good","Excellent")))))</f>
        <v/>
      </c>
    </row>
    <row r="529" ht="15" customHeight="1" s="45">
      <c r="A529">
        <f>IF($B529="","",TEXT($B529,"yyyymmdd")&amp;"-"&amp;SUBSTITUTE($F529," ","")&amp;"-"&amp;TEXT(COUNTIF($F$4:F529,$F529),"00"))</f>
        <v/>
      </c>
      <c r="C529">
        <f>IF($B529="","",WEEKNUM($B529,2))</f>
        <v/>
      </c>
      <c r="D529">
        <f>IF($B529="","",TEXT($B529,"yyyy-mm"))</f>
        <v/>
      </c>
      <c r="G529">
        <f>IF(OR($E529="",$F529=""),"",IFERROR(IF($E529=INDEX(Cluster_Master!$A$4:$A$18,MATCH($F529,Cluster_Master!$B$4:$B$18,0)),"OK","CHECK"),"CHECK"))</f>
        <v/>
      </c>
      <c r="H529">
        <f>IFERROR(INDEX(Cluster_Master!$C$4:$C$18,MATCH($F529,Cluster_Master!$B$4:$B$18,0)),"")</f>
        <v/>
      </c>
      <c r="I529">
        <f>IFERROR(INDEX(Cluster_Master!$D$4:$D$18,MATCH($F529,Cluster_Master!$B$4:$B$18,0)),"")</f>
        <v/>
      </c>
      <c r="J529">
        <f>IFERROR(INDEX(Cluster_Master!$E$4:$E$18,MATCH($F529,Cluster_Master!$B$4:$B$18,0)),"")</f>
        <v/>
      </c>
      <c r="K529">
        <f>IFERROR(INDEX(Cluster_Master!$F$4:$F$18,MATCH($F529,Cluster_Master!$B$4:$B$18,0)),"")</f>
        <v/>
      </c>
      <c r="L529">
        <f>IFERROR(INDEX(Cluster_Master!$G$4:$G$18,MATCH($F529,Cluster_Master!$B$4:$B$18,0)),"")</f>
        <v/>
      </c>
      <c r="M529">
        <f>IFERROR(INDEX(Cluster_Master!$H$4:$H$18,MATCH($F529,Cluster_Master!$B$4:$B$18,0)),"")</f>
        <v/>
      </c>
      <c r="AI529">
        <f>IF(COUNTA(T529:AH529)=0,"",SUM(T529:AH529))</f>
        <v/>
      </c>
      <c r="AJ529">
        <f>IF(COUNTA(T529:AH529)=0,"",AI529/(COUNT(KPI_Weights!$A$4:$A$18)*5))</f>
        <v/>
      </c>
      <c r="AK529">
        <f>IF(COUNTA(T529:AH529)=0,"",SUMPRODUCT(T529:AH529,KPI_Weights!$B$4:$B$18)/5)</f>
        <v/>
      </c>
      <c r="AL529">
        <f>IF(COUNTA(T529:AH529)=0,"",IF(SUMPRODUCT(--(T529:AH529&lt;=1),--(KPI_Weights!$C$4:$C$18="YES"))&gt;0,"YES","NO"))</f>
        <v/>
      </c>
      <c r="AM529">
        <f>IF(AJ529="","",IF(AND(AL529="NO",AJ529&gt;=0.75),"YES","NO"))</f>
        <v/>
      </c>
      <c r="AN529">
        <f>IF(AJ529="","",IF(AJ529&lt;0.4,"Critical",IF(AJ529&lt;0.6,"Poor",IF(AJ529&lt;0.75,"Needs Improvement",IF(AJ529&lt;0.9,"Good","Excellent")))))</f>
        <v/>
      </c>
    </row>
    <row r="530" ht="15" customHeight="1" s="45">
      <c r="A530">
        <f>IF($B530="","",TEXT($B530,"yyyymmdd")&amp;"-"&amp;SUBSTITUTE($F530," ","")&amp;"-"&amp;TEXT(COUNTIF($F$4:F530,$F530),"00"))</f>
        <v/>
      </c>
      <c r="C530">
        <f>IF($B530="","",WEEKNUM($B530,2))</f>
        <v/>
      </c>
      <c r="D530">
        <f>IF($B530="","",TEXT($B530,"yyyy-mm"))</f>
        <v/>
      </c>
      <c r="G530">
        <f>IF(OR($E530="",$F530=""),"",IFERROR(IF($E530=INDEX(Cluster_Master!$A$4:$A$18,MATCH($F530,Cluster_Master!$B$4:$B$18,0)),"OK","CHECK"),"CHECK"))</f>
        <v/>
      </c>
      <c r="H530">
        <f>IFERROR(INDEX(Cluster_Master!$C$4:$C$18,MATCH($F530,Cluster_Master!$B$4:$B$18,0)),"")</f>
        <v/>
      </c>
      <c r="I530">
        <f>IFERROR(INDEX(Cluster_Master!$D$4:$D$18,MATCH($F530,Cluster_Master!$B$4:$B$18,0)),"")</f>
        <v/>
      </c>
      <c r="J530">
        <f>IFERROR(INDEX(Cluster_Master!$E$4:$E$18,MATCH($F530,Cluster_Master!$B$4:$B$18,0)),"")</f>
        <v/>
      </c>
      <c r="K530">
        <f>IFERROR(INDEX(Cluster_Master!$F$4:$F$18,MATCH($F530,Cluster_Master!$B$4:$B$18,0)),"")</f>
        <v/>
      </c>
      <c r="L530">
        <f>IFERROR(INDEX(Cluster_Master!$G$4:$G$18,MATCH($F530,Cluster_Master!$B$4:$B$18,0)),"")</f>
        <v/>
      </c>
      <c r="M530">
        <f>IFERROR(INDEX(Cluster_Master!$H$4:$H$18,MATCH($F530,Cluster_Master!$B$4:$B$18,0)),"")</f>
        <v/>
      </c>
      <c r="AI530">
        <f>IF(COUNTA(T530:AH530)=0,"",SUM(T530:AH530))</f>
        <v/>
      </c>
      <c r="AJ530">
        <f>IF(COUNTA(T530:AH530)=0,"",AI530/(COUNT(KPI_Weights!$A$4:$A$18)*5))</f>
        <v/>
      </c>
      <c r="AK530">
        <f>IF(COUNTA(T530:AH530)=0,"",SUMPRODUCT(T530:AH530,KPI_Weights!$B$4:$B$18)/5)</f>
        <v/>
      </c>
      <c r="AL530">
        <f>IF(COUNTA(T530:AH530)=0,"",IF(SUMPRODUCT(--(T530:AH530&lt;=1),--(KPI_Weights!$C$4:$C$18="YES"))&gt;0,"YES","NO"))</f>
        <v/>
      </c>
      <c r="AM530">
        <f>IF(AJ530="","",IF(AND(AL530="NO",AJ530&gt;=0.75),"YES","NO"))</f>
        <v/>
      </c>
      <c r="AN530">
        <f>IF(AJ530="","",IF(AJ530&lt;0.4,"Critical",IF(AJ530&lt;0.6,"Poor",IF(AJ530&lt;0.75,"Needs Improvement",IF(AJ530&lt;0.9,"Good","Excellent")))))</f>
        <v/>
      </c>
    </row>
    <row r="531" ht="15" customHeight="1" s="45">
      <c r="A531">
        <f>IF($B531="","",TEXT($B531,"yyyymmdd")&amp;"-"&amp;SUBSTITUTE($F531," ","")&amp;"-"&amp;TEXT(COUNTIF($F$4:F531,$F531),"00"))</f>
        <v/>
      </c>
      <c r="C531">
        <f>IF($B531="","",WEEKNUM($B531,2))</f>
        <v/>
      </c>
      <c r="D531">
        <f>IF($B531="","",TEXT($B531,"yyyy-mm"))</f>
        <v/>
      </c>
      <c r="G531">
        <f>IF(OR($E531="",$F531=""),"",IFERROR(IF($E531=INDEX(Cluster_Master!$A$4:$A$18,MATCH($F531,Cluster_Master!$B$4:$B$18,0)),"OK","CHECK"),"CHECK"))</f>
        <v/>
      </c>
      <c r="H531">
        <f>IFERROR(INDEX(Cluster_Master!$C$4:$C$18,MATCH($F531,Cluster_Master!$B$4:$B$18,0)),"")</f>
        <v/>
      </c>
      <c r="I531">
        <f>IFERROR(INDEX(Cluster_Master!$D$4:$D$18,MATCH($F531,Cluster_Master!$B$4:$B$18,0)),"")</f>
        <v/>
      </c>
      <c r="J531">
        <f>IFERROR(INDEX(Cluster_Master!$E$4:$E$18,MATCH($F531,Cluster_Master!$B$4:$B$18,0)),"")</f>
        <v/>
      </c>
      <c r="K531">
        <f>IFERROR(INDEX(Cluster_Master!$F$4:$F$18,MATCH($F531,Cluster_Master!$B$4:$B$18,0)),"")</f>
        <v/>
      </c>
      <c r="L531">
        <f>IFERROR(INDEX(Cluster_Master!$G$4:$G$18,MATCH($F531,Cluster_Master!$B$4:$B$18,0)),"")</f>
        <v/>
      </c>
      <c r="M531">
        <f>IFERROR(INDEX(Cluster_Master!$H$4:$H$18,MATCH($F531,Cluster_Master!$B$4:$B$18,0)),"")</f>
        <v/>
      </c>
      <c r="AI531">
        <f>IF(COUNTA(T531:AH531)=0,"",SUM(T531:AH531))</f>
        <v/>
      </c>
      <c r="AJ531">
        <f>IF(COUNTA(T531:AH531)=0,"",AI531/(COUNT(KPI_Weights!$A$4:$A$18)*5))</f>
        <v/>
      </c>
      <c r="AK531">
        <f>IF(COUNTA(T531:AH531)=0,"",SUMPRODUCT(T531:AH531,KPI_Weights!$B$4:$B$18)/5)</f>
        <v/>
      </c>
      <c r="AL531">
        <f>IF(COUNTA(T531:AH531)=0,"",IF(SUMPRODUCT(--(T531:AH531&lt;=1),--(KPI_Weights!$C$4:$C$18="YES"))&gt;0,"YES","NO"))</f>
        <v/>
      </c>
      <c r="AM531">
        <f>IF(AJ531="","",IF(AND(AL531="NO",AJ531&gt;=0.75),"YES","NO"))</f>
        <v/>
      </c>
      <c r="AN531">
        <f>IF(AJ531="","",IF(AJ531&lt;0.4,"Critical",IF(AJ531&lt;0.6,"Poor",IF(AJ531&lt;0.75,"Needs Improvement",IF(AJ531&lt;0.9,"Good","Excellent")))))</f>
        <v/>
      </c>
    </row>
    <row r="532" ht="15" customHeight="1" s="45">
      <c r="A532">
        <f>IF($B532="","",TEXT($B532,"yyyymmdd")&amp;"-"&amp;SUBSTITUTE($F532," ","")&amp;"-"&amp;TEXT(COUNTIF($F$4:F532,$F532),"00"))</f>
        <v/>
      </c>
      <c r="C532">
        <f>IF($B532="","",WEEKNUM($B532,2))</f>
        <v/>
      </c>
      <c r="D532">
        <f>IF($B532="","",TEXT($B532,"yyyy-mm"))</f>
        <v/>
      </c>
      <c r="G532">
        <f>IF(OR($E532="",$F532=""),"",IFERROR(IF($E532=INDEX(Cluster_Master!$A$4:$A$18,MATCH($F532,Cluster_Master!$B$4:$B$18,0)),"OK","CHECK"),"CHECK"))</f>
        <v/>
      </c>
      <c r="H532">
        <f>IFERROR(INDEX(Cluster_Master!$C$4:$C$18,MATCH($F532,Cluster_Master!$B$4:$B$18,0)),"")</f>
        <v/>
      </c>
      <c r="I532">
        <f>IFERROR(INDEX(Cluster_Master!$D$4:$D$18,MATCH($F532,Cluster_Master!$B$4:$B$18,0)),"")</f>
        <v/>
      </c>
      <c r="J532">
        <f>IFERROR(INDEX(Cluster_Master!$E$4:$E$18,MATCH($F532,Cluster_Master!$B$4:$B$18,0)),"")</f>
        <v/>
      </c>
      <c r="K532">
        <f>IFERROR(INDEX(Cluster_Master!$F$4:$F$18,MATCH($F532,Cluster_Master!$B$4:$B$18,0)),"")</f>
        <v/>
      </c>
      <c r="L532">
        <f>IFERROR(INDEX(Cluster_Master!$G$4:$G$18,MATCH($F532,Cluster_Master!$B$4:$B$18,0)),"")</f>
        <v/>
      </c>
      <c r="M532">
        <f>IFERROR(INDEX(Cluster_Master!$H$4:$H$18,MATCH($F532,Cluster_Master!$B$4:$B$18,0)),"")</f>
        <v/>
      </c>
      <c r="AI532">
        <f>IF(COUNTA(T532:AH532)=0,"",SUM(T532:AH532))</f>
        <v/>
      </c>
      <c r="AJ532">
        <f>IF(COUNTA(T532:AH532)=0,"",AI532/(COUNT(KPI_Weights!$A$4:$A$18)*5))</f>
        <v/>
      </c>
      <c r="AK532">
        <f>IF(COUNTA(T532:AH532)=0,"",SUMPRODUCT(T532:AH532,KPI_Weights!$B$4:$B$18)/5)</f>
        <v/>
      </c>
      <c r="AL532">
        <f>IF(COUNTA(T532:AH532)=0,"",IF(SUMPRODUCT(--(T532:AH532&lt;=1),--(KPI_Weights!$C$4:$C$18="YES"))&gt;0,"YES","NO"))</f>
        <v/>
      </c>
      <c r="AM532">
        <f>IF(AJ532="","",IF(AND(AL532="NO",AJ532&gt;=0.75),"YES","NO"))</f>
        <v/>
      </c>
      <c r="AN532">
        <f>IF(AJ532="","",IF(AJ532&lt;0.4,"Critical",IF(AJ532&lt;0.6,"Poor",IF(AJ532&lt;0.75,"Needs Improvement",IF(AJ532&lt;0.9,"Good","Excellent")))))</f>
        <v/>
      </c>
    </row>
    <row r="533" ht="15" customHeight="1" s="45">
      <c r="A533">
        <f>IF($B533="","",TEXT($B533,"yyyymmdd")&amp;"-"&amp;SUBSTITUTE($F533," ","")&amp;"-"&amp;TEXT(COUNTIF($F$4:F533,$F533),"00"))</f>
        <v/>
      </c>
      <c r="C533">
        <f>IF($B533="","",WEEKNUM($B533,2))</f>
        <v/>
      </c>
      <c r="D533">
        <f>IF($B533="","",TEXT($B533,"yyyy-mm"))</f>
        <v/>
      </c>
      <c r="G533">
        <f>IF(OR($E533="",$F533=""),"",IFERROR(IF($E533=INDEX(Cluster_Master!$A$4:$A$18,MATCH($F533,Cluster_Master!$B$4:$B$18,0)),"OK","CHECK"),"CHECK"))</f>
        <v/>
      </c>
      <c r="H533">
        <f>IFERROR(INDEX(Cluster_Master!$C$4:$C$18,MATCH($F533,Cluster_Master!$B$4:$B$18,0)),"")</f>
        <v/>
      </c>
      <c r="I533">
        <f>IFERROR(INDEX(Cluster_Master!$D$4:$D$18,MATCH($F533,Cluster_Master!$B$4:$B$18,0)),"")</f>
        <v/>
      </c>
      <c r="J533">
        <f>IFERROR(INDEX(Cluster_Master!$E$4:$E$18,MATCH($F533,Cluster_Master!$B$4:$B$18,0)),"")</f>
        <v/>
      </c>
      <c r="K533">
        <f>IFERROR(INDEX(Cluster_Master!$F$4:$F$18,MATCH($F533,Cluster_Master!$B$4:$B$18,0)),"")</f>
        <v/>
      </c>
      <c r="L533">
        <f>IFERROR(INDEX(Cluster_Master!$G$4:$G$18,MATCH($F533,Cluster_Master!$B$4:$B$18,0)),"")</f>
        <v/>
      </c>
      <c r="M533">
        <f>IFERROR(INDEX(Cluster_Master!$H$4:$H$18,MATCH($F533,Cluster_Master!$B$4:$B$18,0)),"")</f>
        <v/>
      </c>
      <c r="AI533">
        <f>IF(COUNTA(T533:AH533)=0,"",SUM(T533:AH533))</f>
        <v/>
      </c>
      <c r="AJ533">
        <f>IF(COUNTA(T533:AH533)=0,"",AI533/(COUNT(KPI_Weights!$A$4:$A$18)*5))</f>
        <v/>
      </c>
      <c r="AK533">
        <f>IF(COUNTA(T533:AH533)=0,"",SUMPRODUCT(T533:AH533,KPI_Weights!$B$4:$B$18)/5)</f>
        <v/>
      </c>
      <c r="AL533">
        <f>IF(COUNTA(T533:AH533)=0,"",IF(SUMPRODUCT(--(T533:AH533&lt;=1),--(KPI_Weights!$C$4:$C$18="YES"))&gt;0,"YES","NO"))</f>
        <v/>
      </c>
      <c r="AM533">
        <f>IF(AJ533="","",IF(AND(AL533="NO",AJ533&gt;=0.75),"YES","NO"))</f>
        <v/>
      </c>
      <c r="AN533">
        <f>IF(AJ533="","",IF(AJ533&lt;0.4,"Critical",IF(AJ533&lt;0.6,"Poor",IF(AJ533&lt;0.75,"Needs Improvement",IF(AJ533&lt;0.9,"Good","Excellent")))))</f>
        <v/>
      </c>
    </row>
    <row r="534" ht="15" customHeight="1" s="45">
      <c r="A534">
        <f>IF($B534="","",TEXT($B534,"yyyymmdd")&amp;"-"&amp;SUBSTITUTE($F534," ","")&amp;"-"&amp;TEXT(COUNTIF($F$4:F534,$F534),"00"))</f>
        <v/>
      </c>
      <c r="C534">
        <f>IF($B534="","",WEEKNUM($B534,2))</f>
        <v/>
      </c>
      <c r="D534">
        <f>IF($B534="","",TEXT($B534,"yyyy-mm"))</f>
        <v/>
      </c>
      <c r="G534">
        <f>IF(OR($E534="",$F534=""),"",IFERROR(IF($E534=INDEX(Cluster_Master!$A$4:$A$18,MATCH($F534,Cluster_Master!$B$4:$B$18,0)),"OK","CHECK"),"CHECK"))</f>
        <v/>
      </c>
      <c r="H534">
        <f>IFERROR(INDEX(Cluster_Master!$C$4:$C$18,MATCH($F534,Cluster_Master!$B$4:$B$18,0)),"")</f>
        <v/>
      </c>
      <c r="I534">
        <f>IFERROR(INDEX(Cluster_Master!$D$4:$D$18,MATCH($F534,Cluster_Master!$B$4:$B$18,0)),"")</f>
        <v/>
      </c>
      <c r="J534">
        <f>IFERROR(INDEX(Cluster_Master!$E$4:$E$18,MATCH($F534,Cluster_Master!$B$4:$B$18,0)),"")</f>
        <v/>
      </c>
      <c r="K534">
        <f>IFERROR(INDEX(Cluster_Master!$F$4:$F$18,MATCH($F534,Cluster_Master!$B$4:$B$18,0)),"")</f>
        <v/>
      </c>
      <c r="L534">
        <f>IFERROR(INDEX(Cluster_Master!$G$4:$G$18,MATCH($F534,Cluster_Master!$B$4:$B$18,0)),"")</f>
        <v/>
      </c>
      <c r="M534">
        <f>IFERROR(INDEX(Cluster_Master!$H$4:$H$18,MATCH($F534,Cluster_Master!$B$4:$B$18,0)),"")</f>
        <v/>
      </c>
      <c r="AI534">
        <f>IF(COUNTA(T534:AH534)=0,"",SUM(T534:AH534))</f>
        <v/>
      </c>
      <c r="AJ534">
        <f>IF(COUNTA(T534:AH534)=0,"",AI534/(COUNT(KPI_Weights!$A$4:$A$18)*5))</f>
        <v/>
      </c>
      <c r="AK534">
        <f>IF(COUNTA(T534:AH534)=0,"",SUMPRODUCT(T534:AH534,KPI_Weights!$B$4:$B$18)/5)</f>
        <v/>
      </c>
      <c r="AL534">
        <f>IF(COUNTA(T534:AH534)=0,"",IF(SUMPRODUCT(--(T534:AH534&lt;=1),--(KPI_Weights!$C$4:$C$18="YES"))&gt;0,"YES","NO"))</f>
        <v/>
      </c>
      <c r="AM534">
        <f>IF(AJ534="","",IF(AND(AL534="NO",AJ534&gt;=0.75),"YES","NO"))</f>
        <v/>
      </c>
      <c r="AN534">
        <f>IF(AJ534="","",IF(AJ534&lt;0.4,"Critical",IF(AJ534&lt;0.6,"Poor",IF(AJ534&lt;0.75,"Needs Improvement",IF(AJ534&lt;0.9,"Good","Excellent")))))</f>
        <v/>
      </c>
    </row>
    <row r="535" ht="15" customHeight="1" s="45">
      <c r="A535">
        <f>IF($B535="","",TEXT($B535,"yyyymmdd")&amp;"-"&amp;SUBSTITUTE($F535," ","")&amp;"-"&amp;TEXT(COUNTIF($F$4:F535,$F535),"00"))</f>
        <v/>
      </c>
      <c r="C535">
        <f>IF($B535="","",WEEKNUM($B535,2))</f>
        <v/>
      </c>
      <c r="D535">
        <f>IF($B535="","",TEXT($B535,"yyyy-mm"))</f>
        <v/>
      </c>
      <c r="G535">
        <f>IF(OR($E535="",$F535=""),"",IFERROR(IF($E535=INDEX(Cluster_Master!$A$4:$A$18,MATCH($F535,Cluster_Master!$B$4:$B$18,0)),"OK","CHECK"),"CHECK"))</f>
        <v/>
      </c>
      <c r="H535">
        <f>IFERROR(INDEX(Cluster_Master!$C$4:$C$18,MATCH($F535,Cluster_Master!$B$4:$B$18,0)),"")</f>
        <v/>
      </c>
      <c r="I535">
        <f>IFERROR(INDEX(Cluster_Master!$D$4:$D$18,MATCH($F535,Cluster_Master!$B$4:$B$18,0)),"")</f>
        <v/>
      </c>
      <c r="J535">
        <f>IFERROR(INDEX(Cluster_Master!$E$4:$E$18,MATCH($F535,Cluster_Master!$B$4:$B$18,0)),"")</f>
        <v/>
      </c>
      <c r="K535">
        <f>IFERROR(INDEX(Cluster_Master!$F$4:$F$18,MATCH($F535,Cluster_Master!$B$4:$B$18,0)),"")</f>
        <v/>
      </c>
      <c r="L535">
        <f>IFERROR(INDEX(Cluster_Master!$G$4:$G$18,MATCH($F535,Cluster_Master!$B$4:$B$18,0)),"")</f>
        <v/>
      </c>
      <c r="M535">
        <f>IFERROR(INDEX(Cluster_Master!$H$4:$H$18,MATCH($F535,Cluster_Master!$B$4:$B$18,0)),"")</f>
        <v/>
      </c>
      <c r="AI535">
        <f>IF(COUNTA(T535:AH535)=0,"",SUM(T535:AH535))</f>
        <v/>
      </c>
      <c r="AJ535">
        <f>IF(COUNTA(T535:AH535)=0,"",AI535/(COUNT(KPI_Weights!$A$4:$A$18)*5))</f>
        <v/>
      </c>
      <c r="AK535">
        <f>IF(COUNTA(T535:AH535)=0,"",SUMPRODUCT(T535:AH535,KPI_Weights!$B$4:$B$18)/5)</f>
        <v/>
      </c>
      <c r="AL535">
        <f>IF(COUNTA(T535:AH535)=0,"",IF(SUMPRODUCT(--(T535:AH535&lt;=1),--(KPI_Weights!$C$4:$C$18="YES"))&gt;0,"YES","NO"))</f>
        <v/>
      </c>
      <c r="AM535">
        <f>IF(AJ535="","",IF(AND(AL535="NO",AJ535&gt;=0.75),"YES","NO"))</f>
        <v/>
      </c>
      <c r="AN535">
        <f>IF(AJ535="","",IF(AJ535&lt;0.4,"Critical",IF(AJ535&lt;0.6,"Poor",IF(AJ535&lt;0.75,"Needs Improvement",IF(AJ535&lt;0.9,"Good","Excellent")))))</f>
        <v/>
      </c>
    </row>
    <row r="536" ht="15" customHeight="1" s="45">
      <c r="A536">
        <f>IF($B536="","",TEXT($B536,"yyyymmdd")&amp;"-"&amp;SUBSTITUTE($F536," ","")&amp;"-"&amp;TEXT(COUNTIF($F$4:F536,$F536),"00"))</f>
        <v/>
      </c>
      <c r="C536">
        <f>IF($B536="","",WEEKNUM($B536,2))</f>
        <v/>
      </c>
      <c r="D536">
        <f>IF($B536="","",TEXT($B536,"yyyy-mm"))</f>
        <v/>
      </c>
      <c r="G536">
        <f>IF(OR($E536="",$F536=""),"",IFERROR(IF($E536=INDEX(Cluster_Master!$A$4:$A$18,MATCH($F536,Cluster_Master!$B$4:$B$18,0)),"OK","CHECK"),"CHECK"))</f>
        <v/>
      </c>
      <c r="H536">
        <f>IFERROR(INDEX(Cluster_Master!$C$4:$C$18,MATCH($F536,Cluster_Master!$B$4:$B$18,0)),"")</f>
        <v/>
      </c>
      <c r="I536">
        <f>IFERROR(INDEX(Cluster_Master!$D$4:$D$18,MATCH($F536,Cluster_Master!$B$4:$B$18,0)),"")</f>
        <v/>
      </c>
      <c r="J536">
        <f>IFERROR(INDEX(Cluster_Master!$E$4:$E$18,MATCH($F536,Cluster_Master!$B$4:$B$18,0)),"")</f>
        <v/>
      </c>
      <c r="K536">
        <f>IFERROR(INDEX(Cluster_Master!$F$4:$F$18,MATCH($F536,Cluster_Master!$B$4:$B$18,0)),"")</f>
        <v/>
      </c>
      <c r="L536">
        <f>IFERROR(INDEX(Cluster_Master!$G$4:$G$18,MATCH($F536,Cluster_Master!$B$4:$B$18,0)),"")</f>
        <v/>
      </c>
      <c r="M536">
        <f>IFERROR(INDEX(Cluster_Master!$H$4:$H$18,MATCH($F536,Cluster_Master!$B$4:$B$18,0)),"")</f>
        <v/>
      </c>
      <c r="AI536">
        <f>IF(COUNTA(T536:AH536)=0,"",SUM(T536:AH536))</f>
        <v/>
      </c>
      <c r="AJ536">
        <f>IF(COUNTA(T536:AH536)=0,"",AI536/(COUNT(KPI_Weights!$A$4:$A$18)*5))</f>
        <v/>
      </c>
      <c r="AK536">
        <f>IF(COUNTA(T536:AH536)=0,"",SUMPRODUCT(T536:AH536,KPI_Weights!$B$4:$B$18)/5)</f>
        <v/>
      </c>
      <c r="AL536">
        <f>IF(COUNTA(T536:AH536)=0,"",IF(SUMPRODUCT(--(T536:AH536&lt;=1),--(KPI_Weights!$C$4:$C$18="YES"))&gt;0,"YES","NO"))</f>
        <v/>
      </c>
      <c r="AM536">
        <f>IF(AJ536="","",IF(AND(AL536="NO",AJ536&gt;=0.75),"YES","NO"))</f>
        <v/>
      </c>
      <c r="AN536">
        <f>IF(AJ536="","",IF(AJ536&lt;0.4,"Critical",IF(AJ536&lt;0.6,"Poor",IF(AJ536&lt;0.75,"Needs Improvement",IF(AJ536&lt;0.9,"Good","Excellent")))))</f>
        <v/>
      </c>
    </row>
    <row r="537" ht="15" customHeight="1" s="45">
      <c r="A537">
        <f>IF($B537="","",TEXT($B537,"yyyymmdd")&amp;"-"&amp;SUBSTITUTE($F537," ","")&amp;"-"&amp;TEXT(COUNTIF($F$4:F537,$F537),"00"))</f>
        <v/>
      </c>
      <c r="C537">
        <f>IF($B537="","",WEEKNUM($B537,2))</f>
        <v/>
      </c>
      <c r="D537">
        <f>IF($B537="","",TEXT($B537,"yyyy-mm"))</f>
        <v/>
      </c>
      <c r="G537">
        <f>IF(OR($E537="",$F537=""),"",IFERROR(IF($E537=INDEX(Cluster_Master!$A$4:$A$18,MATCH($F537,Cluster_Master!$B$4:$B$18,0)),"OK","CHECK"),"CHECK"))</f>
        <v/>
      </c>
      <c r="H537">
        <f>IFERROR(INDEX(Cluster_Master!$C$4:$C$18,MATCH($F537,Cluster_Master!$B$4:$B$18,0)),"")</f>
        <v/>
      </c>
      <c r="I537">
        <f>IFERROR(INDEX(Cluster_Master!$D$4:$D$18,MATCH($F537,Cluster_Master!$B$4:$B$18,0)),"")</f>
        <v/>
      </c>
      <c r="J537">
        <f>IFERROR(INDEX(Cluster_Master!$E$4:$E$18,MATCH($F537,Cluster_Master!$B$4:$B$18,0)),"")</f>
        <v/>
      </c>
      <c r="K537">
        <f>IFERROR(INDEX(Cluster_Master!$F$4:$F$18,MATCH($F537,Cluster_Master!$B$4:$B$18,0)),"")</f>
        <v/>
      </c>
      <c r="L537">
        <f>IFERROR(INDEX(Cluster_Master!$G$4:$G$18,MATCH($F537,Cluster_Master!$B$4:$B$18,0)),"")</f>
        <v/>
      </c>
      <c r="M537">
        <f>IFERROR(INDEX(Cluster_Master!$H$4:$H$18,MATCH($F537,Cluster_Master!$B$4:$B$18,0)),"")</f>
        <v/>
      </c>
      <c r="AI537">
        <f>IF(COUNTA(T537:AH537)=0,"",SUM(T537:AH537))</f>
        <v/>
      </c>
      <c r="AJ537">
        <f>IF(COUNTA(T537:AH537)=0,"",AI537/(COUNT(KPI_Weights!$A$4:$A$18)*5))</f>
        <v/>
      </c>
      <c r="AK537">
        <f>IF(COUNTA(T537:AH537)=0,"",SUMPRODUCT(T537:AH537,KPI_Weights!$B$4:$B$18)/5)</f>
        <v/>
      </c>
      <c r="AL537">
        <f>IF(COUNTA(T537:AH537)=0,"",IF(SUMPRODUCT(--(T537:AH537&lt;=1),--(KPI_Weights!$C$4:$C$18="YES"))&gt;0,"YES","NO"))</f>
        <v/>
      </c>
      <c r="AM537">
        <f>IF(AJ537="","",IF(AND(AL537="NO",AJ537&gt;=0.75),"YES","NO"))</f>
        <v/>
      </c>
      <c r="AN537">
        <f>IF(AJ537="","",IF(AJ537&lt;0.4,"Critical",IF(AJ537&lt;0.6,"Poor",IF(AJ537&lt;0.75,"Needs Improvement",IF(AJ537&lt;0.9,"Good","Excellent")))))</f>
        <v/>
      </c>
    </row>
    <row r="538" ht="15" customHeight="1" s="45">
      <c r="A538">
        <f>IF($B538="","",TEXT($B538,"yyyymmdd")&amp;"-"&amp;SUBSTITUTE($F538," ","")&amp;"-"&amp;TEXT(COUNTIF($F$4:F538,$F538),"00"))</f>
        <v/>
      </c>
      <c r="C538">
        <f>IF($B538="","",WEEKNUM($B538,2))</f>
        <v/>
      </c>
      <c r="D538">
        <f>IF($B538="","",TEXT($B538,"yyyy-mm"))</f>
        <v/>
      </c>
      <c r="G538">
        <f>IF(OR($E538="",$F538=""),"",IFERROR(IF($E538=INDEX(Cluster_Master!$A$4:$A$18,MATCH($F538,Cluster_Master!$B$4:$B$18,0)),"OK","CHECK"),"CHECK"))</f>
        <v/>
      </c>
      <c r="H538">
        <f>IFERROR(INDEX(Cluster_Master!$C$4:$C$18,MATCH($F538,Cluster_Master!$B$4:$B$18,0)),"")</f>
        <v/>
      </c>
      <c r="I538">
        <f>IFERROR(INDEX(Cluster_Master!$D$4:$D$18,MATCH($F538,Cluster_Master!$B$4:$B$18,0)),"")</f>
        <v/>
      </c>
      <c r="J538">
        <f>IFERROR(INDEX(Cluster_Master!$E$4:$E$18,MATCH($F538,Cluster_Master!$B$4:$B$18,0)),"")</f>
        <v/>
      </c>
      <c r="K538">
        <f>IFERROR(INDEX(Cluster_Master!$F$4:$F$18,MATCH($F538,Cluster_Master!$B$4:$B$18,0)),"")</f>
        <v/>
      </c>
      <c r="L538">
        <f>IFERROR(INDEX(Cluster_Master!$G$4:$G$18,MATCH($F538,Cluster_Master!$B$4:$B$18,0)),"")</f>
        <v/>
      </c>
      <c r="M538">
        <f>IFERROR(INDEX(Cluster_Master!$H$4:$H$18,MATCH($F538,Cluster_Master!$B$4:$B$18,0)),"")</f>
        <v/>
      </c>
      <c r="AI538">
        <f>IF(COUNTA(T538:AH538)=0,"",SUM(T538:AH538))</f>
        <v/>
      </c>
      <c r="AJ538">
        <f>IF(COUNTA(T538:AH538)=0,"",AI538/(COUNT(KPI_Weights!$A$4:$A$18)*5))</f>
        <v/>
      </c>
      <c r="AK538">
        <f>IF(COUNTA(T538:AH538)=0,"",SUMPRODUCT(T538:AH538,KPI_Weights!$B$4:$B$18)/5)</f>
        <v/>
      </c>
      <c r="AL538">
        <f>IF(COUNTA(T538:AH538)=0,"",IF(SUMPRODUCT(--(T538:AH538&lt;=1),--(KPI_Weights!$C$4:$C$18="YES"))&gt;0,"YES","NO"))</f>
        <v/>
      </c>
      <c r="AM538">
        <f>IF(AJ538="","",IF(AND(AL538="NO",AJ538&gt;=0.75),"YES","NO"))</f>
        <v/>
      </c>
      <c r="AN538">
        <f>IF(AJ538="","",IF(AJ538&lt;0.4,"Critical",IF(AJ538&lt;0.6,"Poor",IF(AJ538&lt;0.75,"Needs Improvement",IF(AJ538&lt;0.9,"Good","Excellent")))))</f>
        <v/>
      </c>
    </row>
    <row r="539" ht="15" customHeight="1" s="45">
      <c r="A539">
        <f>IF($B539="","",TEXT($B539,"yyyymmdd")&amp;"-"&amp;SUBSTITUTE($F539," ","")&amp;"-"&amp;TEXT(COUNTIF($F$4:F539,$F539),"00"))</f>
        <v/>
      </c>
      <c r="C539">
        <f>IF($B539="","",WEEKNUM($B539,2))</f>
        <v/>
      </c>
      <c r="D539">
        <f>IF($B539="","",TEXT($B539,"yyyy-mm"))</f>
        <v/>
      </c>
      <c r="G539">
        <f>IF(OR($E539="",$F539=""),"",IFERROR(IF($E539=INDEX(Cluster_Master!$A$4:$A$18,MATCH($F539,Cluster_Master!$B$4:$B$18,0)),"OK","CHECK"),"CHECK"))</f>
        <v/>
      </c>
      <c r="H539">
        <f>IFERROR(INDEX(Cluster_Master!$C$4:$C$18,MATCH($F539,Cluster_Master!$B$4:$B$18,0)),"")</f>
        <v/>
      </c>
      <c r="I539">
        <f>IFERROR(INDEX(Cluster_Master!$D$4:$D$18,MATCH($F539,Cluster_Master!$B$4:$B$18,0)),"")</f>
        <v/>
      </c>
      <c r="J539">
        <f>IFERROR(INDEX(Cluster_Master!$E$4:$E$18,MATCH($F539,Cluster_Master!$B$4:$B$18,0)),"")</f>
        <v/>
      </c>
      <c r="K539">
        <f>IFERROR(INDEX(Cluster_Master!$F$4:$F$18,MATCH($F539,Cluster_Master!$B$4:$B$18,0)),"")</f>
        <v/>
      </c>
      <c r="L539">
        <f>IFERROR(INDEX(Cluster_Master!$G$4:$G$18,MATCH($F539,Cluster_Master!$B$4:$B$18,0)),"")</f>
        <v/>
      </c>
      <c r="M539">
        <f>IFERROR(INDEX(Cluster_Master!$H$4:$H$18,MATCH($F539,Cluster_Master!$B$4:$B$18,0)),"")</f>
        <v/>
      </c>
      <c r="AI539">
        <f>IF(COUNTA(T539:AH539)=0,"",SUM(T539:AH539))</f>
        <v/>
      </c>
      <c r="AJ539">
        <f>IF(COUNTA(T539:AH539)=0,"",AI539/(COUNT(KPI_Weights!$A$4:$A$18)*5))</f>
        <v/>
      </c>
      <c r="AK539">
        <f>IF(COUNTA(T539:AH539)=0,"",SUMPRODUCT(T539:AH539,KPI_Weights!$B$4:$B$18)/5)</f>
        <v/>
      </c>
      <c r="AL539">
        <f>IF(COUNTA(T539:AH539)=0,"",IF(SUMPRODUCT(--(T539:AH539&lt;=1),--(KPI_Weights!$C$4:$C$18="YES"))&gt;0,"YES","NO"))</f>
        <v/>
      </c>
      <c r="AM539">
        <f>IF(AJ539="","",IF(AND(AL539="NO",AJ539&gt;=0.75),"YES","NO"))</f>
        <v/>
      </c>
      <c r="AN539">
        <f>IF(AJ539="","",IF(AJ539&lt;0.4,"Critical",IF(AJ539&lt;0.6,"Poor",IF(AJ539&lt;0.75,"Needs Improvement",IF(AJ539&lt;0.9,"Good","Excellent")))))</f>
        <v/>
      </c>
    </row>
    <row r="540" ht="15" customHeight="1" s="45">
      <c r="A540">
        <f>IF($B540="","",TEXT($B540,"yyyymmdd")&amp;"-"&amp;SUBSTITUTE($F540," ","")&amp;"-"&amp;TEXT(COUNTIF($F$4:F540,$F540),"00"))</f>
        <v/>
      </c>
      <c r="C540">
        <f>IF($B540="","",WEEKNUM($B540,2))</f>
        <v/>
      </c>
      <c r="D540">
        <f>IF($B540="","",TEXT($B540,"yyyy-mm"))</f>
        <v/>
      </c>
      <c r="G540">
        <f>IF(OR($E540="",$F540=""),"",IFERROR(IF($E540=INDEX(Cluster_Master!$A$4:$A$18,MATCH($F540,Cluster_Master!$B$4:$B$18,0)),"OK","CHECK"),"CHECK"))</f>
        <v/>
      </c>
      <c r="H540">
        <f>IFERROR(INDEX(Cluster_Master!$C$4:$C$18,MATCH($F540,Cluster_Master!$B$4:$B$18,0)),"")</f>
        <v/>
      </c>
      <c r="I540">
        <f>IFERROR(INDEX(Cluster_Master!$D$4:$D$18,MATCH($F540,Cluster_Master!$B$4:$B$18,0)),"")</f>
        <v/>
      </c>
      <c r="J540">
        <f>IFERROR(INDEX(Cluster_Master!$E$4:$E$18,MATCH($F540,Cluster_Master!$B$4:$B$18,0)),"")</f>
        <v/>
      </c>
      <c r="K540">
        <f>IFERROR(INDEX(Cluster_Master!$F$4:$F$18,MATCH($F540,Cluster_Master!$B$4:$B$18,0)),"")</f>
        <v/>
      </c>
      <c r="L540">
        <f>IFERROR(INDEX(Cluster_Master!$G$4:$G$18,MATCH($F540,Cluster_Master!$B$4:$B$18,0)),"")</f>
        <v/>
      </c>
      <c r="M540">
        <f>IFERROR(INDEX(Cluster_Master!$H$4:$H$18,MATCH($F540,Cluster_Master!$B$4:$B$18,0)),"")</f>
        <v/>
      </c>
      <c r="AI540">
        <f>IF(COUNTA(T540:AH540)=0,"",SUM(T540:AH540))</f>
        <v/>
      </c>
      <c r="AJ540">
        <f>IF(COUNTA(T540:AH540)=0,"",AI540/(COUNT(KPI_Weights!$A$4:$A$18)*5))</f>
        <v/>
      </c>
      <c r="AK540">
        <f>IF(COUNTA(T540:AH540)=0,"",SUMPRODUCT(T540:AH540,KPI_Weights!$B$4:$B$18)/5)</f>
        <v/>
      </c>
      <c r="AL540">
        <f>IF(COUNTA(T540:AH540)=0,"",IF(SUMPRODUCT(--(T540:AH540&lt;=1),--(KPI_Weights!$C$4:$C$18="YES"))&gt;0,"YES","NO"))</f>
        <v/>
      </c>
      <c r="AM540">
        <f>IF(AJ540="","",IF(AND(AL540="NO",AJ540&gt;=0.75),"YES","NO"))</f>
        <v/>
      </c>
      <c r="AN540">
        <f>IF(AJ540="","",IF(AJ540&lt;0.4,"Critical",IF(AJ540&lt;0.6,"Poor",IF(AJ540&lt;0.75,"Needs Improvement",IF(AJ540&lt;0.9,"Good","Excellent")))))</f>
        <v/>
      </c>
    </row>
    <row r="541" ht="15" customHeight="1" s="45">
      <c r="A541">
        <f>IF($B541="","",TEXT($B541,"yyyymmdd")&amp;"-"&amp;SUBSTITUTE($F541," ","")&amp;"-"&amp;TEXT(COUNTIF($F$4:F541,$F541),"00"))</f>
        <v/>
      </c>
      <c r="C541">
        <f>IF($B541="","",WEEKNUM($B541,2))</f>
        <v/>
      </c>
      <c r="D541">
        <f>IF($B541="","",TEXT($B541,"yyyy-mm"))</f>
        <v/>
      </c>
      <c r="G541">
        <f>IF(OR($E541="",$F541=""),"",IFERROR(IF($E541=INDEX(Cluster_Master!$A$4:$A$18,MATCH($F541,Cluster_Master!$B$4:$B$18,0)),"OK","CHECK"),"CHECK"))</f>
        <v/>
      </c>
      <c r="H541">
        <f>IFERROR(INDEX(Cluster_Master!$C$4:$C$18,MATCH($F541,Cluster_Master!$B$4:$B$18,0)),"")</f>
        <v/>
      </c>
      <c r="I541">
        <f>IFERROR(INDEX(Cluster_Master!$D$4:$D$18,MATCH($F541,Cluster_Master!$B$4:$B$18,0)),"")</f>
        <v/>
      </c>
      <c r="J541">
        <f>IFERROR(INDEX(Cluster_Master!$E$4:$E$18,MATCH($F541,Cluster_Master!$B$4:$B$18,0)),"")</f>
        <v/>
      </c>
      <c r="K541">
        <f>IFERROR(INDEX(Cluster_Master!$F$4:$F$18,MATCH($F541,Cluster_Master!$B$4:$B$18,0)),"")</f>
        <v/>
      </c>
      <c r="L541">
        <f>IFERROR(INDEX(Cluster_Master!$G$4:$G$18,MATCH($F541,Cluster_Master!$B$4:$B$18,0)),"")</f>
        <v/>
      </c>
      <c r="M541">
        <f>IFERROR(INDEX(Cluster_Master!$H$4:$H$18,MATCH($F541,Cluster_Master!$B$4:$B$18,0)),"")</f>
        <v/>
      </c>
      <c r="AI541">
        <f>IF(COUNTA(T541:AH541)=0,"",SUM(T541:AH541))</f>
        <v/>
      </c>
      <c r="AJ541">
        <f>IF(COUNTA(T541:AH541)=0,"",AI541/(COUNT(KPI_Weights!$A$4:$A$18)*5))</f>
        <v/>
      </c>
      <c r="AK541">
        <f>IF(COUNTA(T541:AH541)=0,"",SUMPRODUCT(T541:AH541,KPI_Weights!$B$4:$B$18)/5)</f>
        <v/>
      </c>
      <c r="AL541">
        <f>IF(COUNTA(T541:AH541)=0,"",IF(SUMPRODUCT(--(T541:AH541&lt;=1),--(KPI_Weights!$C$4:$C$18="YES"))&gt;0,"YES","NO"))</f>
        <v/>
      </c>
      <c r="AM541">
        <f>IF(AJ541="","",IF(AND(AL541="NO",AJ541&gt;=0.75),"YES","NO"))</f>
        <v/>
      </c>
      <c r="AN541">
        <f>IF(AJ541="","",IF(AJ541&lt;0.4,"Critical",IF(AJ541&lt;0.6,"Poor",IF(AJ541&lt;0.75,"Needs Improvement",IF(AJ541&lt;0.9,"Good","Excellent")))))</f>
        <v/>
      </c>
    </row>
    <row r="542" ht="15" customHeight="1" s="45">
      <c r="A542">
        <f>IF($B542="","",TEXT($B542,"yyyymmdd")&amp;"-"&amp;SUBSTITUTE($F542," ","")&amp;"-"&amp;TEXT(COUNTIF($F$4:F542,$F542),"00"))</f>
        <v/>
      </c>
      <c r="C542">
        <f>IF($B542="","",WEEKNUM($B542,2))</f>
        <v/>
      </c>
      <c r="D542">
        <f>IF($B542="","",TEXT($B542,"yyyy-mm"))</f>
        <v/>
      </c>
      <c r="G542">
        <f>IF(OR($E542="",$F542=""),"",IFERROR(IF($E542=INDEX(Cluster_Master!$A$4:$A$18,MATCH($F542,Cluster_Master!$B$4:$B$18,0)),"OK","CHECK"),"CHECK"))</f>
        <v/>
      </c>
      <c r="H542">
        <f>IFERROR(INDEX(Cluster_Master!$C$4:$C$18,MATCH($F542,Cluster_Master!$B$4:$B$18,0)),"")</f>
        <v/>
      </c>
      <c r="I542">
        <f>IFERROR(INDEX(Cluster_Master!$D$4:$D$18,MATCH($F542,Cluster_Master!$B$4:$B$18,0)),"")</f>
        <v/>
      </c>
      <c r="J542">
        <f>IFERROR(INDEX(Cluster_Master!$E$4:$E$18,MATCH($F542,Cluster_Master!$B$4:$B$18,0)),"")</f>
        <v/>
      </c>
      <c r="K542">
        <f>IFERROR(INDEX(Cluster_Master!$F$4:$F$18,MATCH($F542,Cluster_Master!$B$4:$B$18,0)),"")</f>
        <v/>
      </c>
      <c r="L542">
        <f>IFERROR(INDEX(Cluster_Master!$G$4:$G$18,MATCH($F542,Cluster_Master!$B$4:$B$18,0)),"")</f>
        <v/>
      </c>
      <c r="M542">
        <f>IFERROR(INDEX(Cluster_Master!$H$4:$H$18,MATCH($F542,Cluster_Master!$B$4:$B$18,0)),"")</f>
        <v/>
      </c>
      <c r="AI542">
        <f>IF(COUNTA(T542:AH542)=0,"",SUM(T542:AH542))</f>
        <v/>
      </c>
      <c r="AJ542">
        <f>IF(COUNTA(T542:AH542)=0,"",AI542/(COUNT(KPI_Weights!$A$4:$A$18)*5))</f>
        <v/>
      </c>
      <c r="AK542">
        <f>IF(COUNTA(T542:AH542)=0,"",SUMPRODUCT(T542:AH542,KPI_Weights!$B$4:$B$18)/5)</f>
        <v/>
      </c>
      <c r="AL542">
        <f>IF(COUNTA(T542:AH542)=0,"",IF(SUMPRODUCT(--(T542:AH542&lt;=1),--(KPI_Weights!$C$4:$C$18="YES"))&gt;0,"YES","NO"))</f>
        <v/>
      </c>
      <c r="AM542">
        <f>IF(AJ542="","",IF(AND(AL542="NO",AJ542&gt;=0.75),"YES","NO"))</f>
        <v/>
      </c>
      <c r="AN542">
        <f>IF(AJ542="","",IF(AJ542&lt;0.4,"Critical",IF(AJ542&lt;0.6,"Poor",IF(AJ542&lt;0.75,"Needs Improvement",IF(AJ542&lt;0.9,"Good","Excellent")))))</f>
        <v/>
      </c>
    </row>
    <row r="543" ht="15" customHeight="1" s="45">
      <c r="A543">
        <f>IF($B543="","",TEXT($B543,"yyyymmdd")&amp;"-"&amp;SUBSTITUTE($F543," ","")&amp;"-"&amp;TEXT(COUNTIF($F$4:F543,$F543),"00"))</f>
        <v/>
      </c>
      <c r="C543">
        <f>IF($B543="","",WEEKNUM($B543,2))</f>
        <v/>
      </c>
      <c r="D543">
        <f>IF($B543="","",TEXT($B543,"yyyy-mm"))</f>
        <v/>
      </c>
      <c r="G543">
        <f>IF(OR($E543="",$F543=""),"",IFERROR(IF($E543=INDEX(Cluster_Master!$A$4:$A$18,MATCH($F543,Cluster_Master!$B$4:$B$18,0)),"OK","CHECK"),"CHECK"))</f>
        <v/>
      </c>
      <c r="H543">
        <f>IFERROR(INDEX(Cluster_Master!$C$4:$C$18,MATCH($F543,Cluster_Master!$B$4:$B$18,0)),"")</f>
        <v/>
      </c>
      <c r="I543">
        <f>IFERROR(INDEX(Cluster_Master!$D$4:$D$18,MATCH($F543,Cluster_Master!$B$4:$B$18,0)),"")</f>
        <v/>
      </c>
      <c r="J543">
        <f>IFERROR(INDEX(Cluster_Master!$E$4:$E$18,MATCH($F543,Cluster_Master!$B$4:$B$18,0)),"")</f>
        <v/>
      </c>
      <c r="K543">
        <f>IFERROR(INDEX(Cluster_Master!$F$4:$F$18,MATCH($F543,Cluster_Master!$B$4:$B$18,0)),"")</f>
        <v/>
      </c>
      <c r="L543">
        <f>IFERROR(INDEX(Cluster_Master!$G$4:$G$18,MATCH($F543,Cluster_Master!$B$4:$B$18,0)),"")</f>
        <v/>
      </c>
      <c r="M543">
        <f>IFERROR(INDEX(Cluster_Master!$H$4:$H$18,MATCH($F543,Cluster_Master!$B$4:$B$18,0)),"")</f>
        <v/>
      </c>
      <c r="AI543">
        <f>IF(COUNTA(T543:AH543)=0,"",SUM(T543:AH543))</f>
        <v/>
      </c>
      <c r="AJ543">
        <f>IF(COUNTA(T543:AH543)=0,"",AI543/(COUNT(KPI_Weights!$A$4:$A$18)*5))</f>
        <v/>
      </c>
      <c r="AK543">
        <f>IF(COUNTA(T543:AH543)=0,"",SUMPRODUCT(T543:AH543,KPI_Weights!$B$4:$B$18)/5)</f>
        <v/>
      </c>
      <c r="AL543">
        <f>IF(COUNTA(T543:AH543)=0,"",IF(SUMPRODUCT(--(T543:AH543&lt;=1),--(KPI_Weights!$C$4:$C$18="YES"))&gt;0,"YES","NO"))</f>
        <v/>
      </c>
      <c r="AM543">
        <f>IF(AJ543="","",IF(AND(AL543="NO",AJ543&gt;=0.75),"YES","NO"))</f>
        <v/>
      </c>
      <c r="AN543">
        <f>IF(AJ543="","",IF(AJ543&lt;0.4,"Critical",IF(AJ543&lt;0.6,"Poor",IF(AJ543&lt;0.75,"Needs Improvement",IF(AJ543&lt;0.9,"Good","Excellent")))))</f>
        <v/>
      </c>
    </row>
    <row r="544" ht="15" customHeight="1" s="45">
      <c r="A544">
        <f>IF($B544="","",TEXT($B544,"yyyymmdd")&amp;"-"&amp;SUBSTITUTE($F544," ","")&amp;"-"&amp;TEXT(COUNTIF($F$4:F544,$F544),"00"))</f>
        <v/>
      </c>
      <c r="C544">
        <f>IF($B544="","",WEEKNUM($B544,2))</f>
        <v/>
      </c>
      <c r="D544">
        <f>IF($B544="","",TEXT($B544,"yyyy-mm"))</f>
        <v/>
      </c>
      <c r="G544">
        <f>IF(OR($E544="",$F544=""),"",IFERROR(IF($E544=INDEX(Cluster_Master!$A$4:$A$18,MATCH($F544,Cluster_Master!$B$4:$B$18,0)),"OK","CHECK"),"CHECK"))</f>
        <v/>
      </c>
      <c r="H544">
        <f>IFERROR(INDEX(Cluster_Master!$C$4:$C$18,MATCH($F544,Cluster_Master!$B$4:$B$18,0)),"")</f>
        <v/>
      </c>
      <c r="I544">
        <f>IFERROR(INDEX(Cluster_Master!$D$4:$D$18,MATCH($F544,Cluster_Master!$B$4:$B$18,0)),"")</f>
        <v/>
      </c>
      <c r="J544">
        <f>IFERROR(INDEX(Cluster_Master!$E$4:$E$18,MATCH($F544,Cluster_Master!$B$4:$B$18,0)),"")</f>
        <v/>
      </c>
      <c r="K544">
        <f>IFERROR(INDEX(Cluster_Master!$F$4:$F$18,MATCH($F544,Cluster_Master!$B$4:$B$18,0)),"")</f>
        <v/>
      </c>
      <c r="L544">
        <f>IFERROR(INDEX(Cluster_Master!$G$4:$G$18,MATCH($F544,Cluster_Master!$B$4:$B$18,0)),"")</f>
        <v/>
      </c>
      <c r="M544">
        <f>IFERROR(INDEX(Cluster_Master!$H$4:$H$18,MATCH($F544,Cluster_Master!$B$4:$B$18,0)),"")</f>
        <v/>
      </c>
      <c r="AI544">
        <f>IF(COUNTA(T544:AH544)=0,"",SUM(T544:AH544))</f>
        <v/>
      </c>
      <c r="AJ544">
        <f>IF(COUNTA(T544:AH544)=0,"",AI544/(COUNT(KPI_Weights!$A$4:$A$18)*5))</f>
        <v/>
      </c>
      <c r="AK544">
        <f>IF(COUNTA(T544:AH544)=0,"",SUMPRODUCT(T544:AH544,KPI_Weights!$B$4:$B$18)/5)</f>
        <v/>
      </c>
      <c r="AL544">
        <f>IF(COUNTA(T544:AH544)=0,"",IF(SUMPRODUCT(--(T544:AH544&lt;=1),--(KPI_Weights!$C$4:$C$18="YES"))&gt;0,"YES","NO"))</f>
        <v/>
      </c>
      <c r="AM544">
        <f>IF(AJ544="","",IF(AND(AL544="NO",AJ544&gt;=0.75),"YES","NO"))</f>
        <v/>
      </c>
      <c r="AN544">
        <f>IF(AJ544="","",IF(AJ544&lt;0.4,"Critical",IF(AJ544&lt;0.6,"Poor",IF(AJ544&lt;0.75,"Needs Improvement",IF(AJ544&lt;0.9,"Good","Excellent")))))</f>
        <v/>
      </c>
    </row>
    <row r="545" ht="15" customHeight="1" s="45">
      <c r="A545">
        <f>IF($B545="","",TEXT($B545,"yyyymmdd")&amp;"-"&amp;SUBSTITUTE($F545," ","")&amp;"-"&amp;TEXT(COUNTIF($F$4:F545,$F545),"00"))</f>
        <v/>
      </c>
      <c r="C545">
        <f>IF($B545="","",WEEKNUM($B545,2))</f>
        <v/>
      </c>
      <c r="D545">
        <f>IF($B545="","",TEXT($B545,"yyyy-mm"))</f>
        <v/>
      </c>
      <c r="G545">
        <f>IF(OR($E545="",$F545=""),"",IFERROR(IF($E545=INDEX(Cluster_Master!$A$4:$A$18,MATCH($F545,Cluster_Master!$B$4:$B$18,0)),"OK","CHECK"),"CHECK"))</f>
        <v/>
      </c>
      <c r="H545">
        <f>IFERROR(INDEX(Cluster_Master!$C$4:$C$18,MATCH($F545,Cluster_Master!$B$4:$B$18,0)),"")</f>
        <v/>
      </c>
      <c r="I545">
        <f>IFERROR(INDEX(Cluster_Master!$D$4:$D$18,MATCH($F545,Cluster_Master!$B$4:$B$18,0)),"")</f>
        <v/>
      </c>
      <c r="J545">
        <f>IFERROR(INDEX(Cluster_Master!$E$4:$E$18,MATCH($F545,Cluster_Master!$B$4:$B$18,0)),"")</f>
        <v/>
      </c>
      <c r="K545">
        <f>IFERROR(INDEX(Cluster_Master!$F$4:$F$18,MATCH($F545,Cluster_Master!$B$4:$B$18,0)),"")</f>
        <v/>
      </c>
      <c r="L545">
        <f>IFERROR(INDEX(Cluster_Master!$G$4:$G$18,MATCH($F545,Cluster_Master!$B$4:$B$18,0)),"")</f>
        <v/>
      </c>
      <c r="M545">
        <f>IFERROR(INDEX(Cluster_Master!$H$4:$H$18,MATCH($F545,Cluster_Master!$B$4:$B$18,0)),"")</f>
        <v/>
      </c>
      <c r="AI545">
        <f>IF(COUNTA(T545:AH545)=0,"",SUM(T545:AH545))</f>
        <v/>
      </c>
      <c r="AJ545">
        <f>IF(COUNTA(T545:AH545)=0,"",AI545/(COUNT(KPI_Weights!$A$4:$A$18)*5))</f>
        <v/>
      </c>
      <c r="AK545">
        <f>IF(COUNTA(T545:AH545)=0,"",SUMPRODUCT(T545:AH545,KPI_Weights!$B$4:$B$18)/5)</f>
        <v/>
      </c>
      <c r="AL545">
        <f>IF(COUNTA(T545:AH545)=0,"",IF(SUMPRODUCT(--(T545:AH545&lt;=1),--(KPI_Weights!$C$4:$C$18="YES"))&gt;0,"YES","NO"))</f>
        <v/>
      </c>
      <c r="AM545">
        <f>IF(AJ545="","",IF(AND(AL545="NO",AJ545&gt;=0.75),"YES","NO"))</f>
        <v/>
      </c>
      <c r="AN545">
        <f>IF(AJ545="","",IF(AJ545&lt;0.4,"Critical",IF(AJ545&lt;0.6,"Poor",IF(AJ545&lt;0.75,"Needs Improvement",IF(AJ545&lt;0.9,"Good","Excellent")))))</f>
        <v/>
      </c>
    </row>
    <row r="546" ht="15" customHeight="1" s="45">
      <c r="A546">
        <f>IF($B546="","",TEXT($B546,"yyyymmdd")&amp;"-"&amp;SUBSTITUTE($F546," ","")&amp;"-"&amp;TEXT(COUNTIF($F$4:F546,$F546),"00"))</f>
        <v/>
      </c>
      <c r="C546">
        <f>IF($B546="","",WEEKNUM($B546,2))</f>
        <v/>
      </c>
      <c r="D546">
        <f>IF($B546="","",TEXT($B546,"yyyy-mm"))</f>
        <v/>
      </c>
      <c r="G546">
        <f>IF(OR($E546="",$F546=""),"",IFERROR(IF($E546=INDEX(Cluster_Master!$A$4:$A$18,MATCH($F546,Cluster_Master!$B$4:$B$18,0)),"OK","CHECK"),"CHECK"))</f>
        <v/>
      </c>
      <c r="H546">
        <f>IFERROR(INDEX(Cluster_Master!$C$4:$C$18,MATCH($F546,Cluster_Master!$B$4:$B$18,0)),"")</f>
        <v/>
      </c>
      <c r="I546">
        <f>IFERROR(INDEX(Cluster_Master!$D$4:$D$18,MATCH($F546,Cluster_Master!$B$4:$B$18,0)),"")</f>
        <v/>
      </c>
      <c r="J546">
        <f>IFERROR(INDEX(Cluster_Master!$E$4:$E$18,MATCH($F546,Cluster_Master!$B$4:$B$18,0)),"")</f>
        <v/>
      </c>
      <c r="K546">
        <f>IFERROR(INDEX(Cluster_Master!$F$4:$F$18,MATCH($F546,Cluster_Master!$B$4:$B$18,0)),"")</f>
        <v/>
      </c>
      <c r="L546">
        <f>IFERROR(INDEX(Cluster_Master!$G$4:$G$18,MATCH($F546,Cluster_Master!$B$4:$B$18,0)),"")</f>
        <v/>
      </c>
      <c r="M546">
        <f>IFERROR(INDEX(Cluster_Master!$H$4:$H$18,MATCH($F546,Cluster_Master!$B$4:$B$18,0)),"")</f>
        <v/>
      </c>
      <c r="AI546">
        <f>IF(COUNTA(T546:AH546)=0,"",SUM(T546:AH546))</f>
        <v/>
      </c>
      <c r="AJ546">
        <f>IF(COUNTA(T546:AH546)=0,"",AI546/(COUNT(KPI_Weights!$A$4:$A$18)*5))</f>
        <v/>
      </c>
      <c r="AK546">
        <f>IF(COUNTA(T546:AH546)=0,"",SUMPRODUCT(T546:AH546,KPI_Weights!$B$4:$B$18)/5)</f>
        <v/>
      </c>
      <c r="AL546">
        <f>IF(COUNTA(T546:AH546)=0,"",IF(SUMPRODUCT(--(T546:AH546&lt;=1),--(KPI_Weights!$C$4:$C$18="YES"))&gt;0,"YES","NO"))</f>
        <v/>
      </c>
      <c r="AM546">
        <f>IF(AJ546="","",IF(AND(AL546="NO",AJ546&gt;=0.75),"YES","NO"))</f>
        <v/>
      </c>
      <c r="AN546">
        <f>IF(AJ546="","",IF(AJ546&lt;0.4,"Critical",IF(AJ546&lt;0.6,"Poor",IF(AJ546&lt;0.75,"Needs Improvement",IF(AJ546&lt;0.9,"Good","Excellent")))))</f>
        <v/>
      </c>
    </row>
    <row r="547" ht="15" customHeight="1" s="45">
      <c r="A547">
        <f>IF($B547="","",TEXT($B547,"yyyymmdd")&amp;"-"&amp;SUBSTITUTE($F547," ","")&amp;"-"&amp;TEXT(COUNTIF($F$4:F547,$F547),"00"))</f>
        <v/>
      </c>
      <c r="C547">
        <f>IF($B547="","",WEEKNUM($B547,2))</f>
        <v/>
      </c>
      <c r="D547">
        <f>IF($B547="","",TEXT($B547,"yyyy-mm"))</f>
        <v/>
      </c>
      <c r="G547">
        <f>IF(OR($E547="",$F547=""),"",IFERROR(IF($E547=INDEX(Cluster_Master!$A$4:$A$18,MATCH($F547,Cluster_Master!$B$4:$B$18,0)),"OK","CHECK"),"CHECK"))</f>
        <v/>
      </c>
      <c r="H547">
        <f>IFERROR(INDEX(Cluster_Master!$C$4:$C$18,MATCH($F547,Cluster_Master!$B$4:$B$18,0)),"")</f>
        <v/>
      </c>
      <c r="I547">
        <f>IFERROR(INDEX(Cluster_Master!$D$4:$D$18,MATCH($F547,Cluster_Master!$B$4:$B$18,0)),"")</f>
        <v/>
      </c>
      <c r="J547">
        <f>IFERROR(INDEX(Cluster_Master!$E$4:$E$18,MATCH($F547,Cluster_Master!$B$4:$B$18,0)),"")</f>
        <v/>
      </c>
      <c r="K547">
        <f>IFERROR(INDEX(Cluster_Master!$F$4:$F$18,MATCH($F547,Cluster_Master!$B$4:$B$18,0)),"")</f>
        <v/>
      </c>
      <c r="L547">
        <f>IFERROR(INDEX(Cluster_Master!$G$4:$G$18,MATCH($F547,Cluster_Master!$B$4:$B$18,0)),"")</f>
        <v/>
      </c>
      <c r="M547">
        <f>IFERROR(INDEX(Cluster_Master!$H$4:$H$18,MATCH($F547,Cluster_Master!$B$4:$B$18,0)),"")</f>
        <v/>
      </c>
      <c r="AI547">
        <f>IF(COUNTA(T547:AH547)=0,"",SUM(T547:AH547))</f>
        <v/>
      </c>
      <c r="AJ547">
        <f>IF(COUNTA(T547:AH547)=0,"",AI547/(COUNT(KPI_Weights!$A$4:$A$18)*5))</f>
        <v/>
      </c>
      <c r="AK547">
        <f>IF(COUNTA(T547:AH547)=0,"",SUMPRODUCT(T547:AH547,KPI_Weights!$B$4:$B$18)/5)</f>
        <v/>
      </c>
      <c r="AL547">
        <f>IF(COUNTA(T547:AH547)=0,"",IF(SUMPRODUCT(--(T547:AH547&lt;=1),--(KPI_Weights!$C$4:$C$18="YES"))&gt;0,"YES","NO"))</f>
        <v/>
      </c>
      <c r="AM547">
        <f>IF(AJ547="","",IF(AND(AL547="NO",AJ547&gt;=0.75),"YES","NO"))</f>
        <v/>
      </c>
      <c r="AN547">
        <f>IF(AJ547="","",IF(AJ547&lt;0.4,"Critical",IF(AJ547&lt;0.6,"Poor",IF(AJ547&lt;0.75,"Needs Improvement",IF(AJ547&lt;0.9,"Good","Excellent")))))</f>
        <v/>
      </c>
    </row>
    <row r="548" ht="15" customHeight="1" s="45">
      <c r="A548">
        <f>IF($B548="","",TEXT($B548,"yyyymmdd")&amp;"-"&amp;SUBSTITUTE($F548," ","")&amp;"-"&amp;TEXT(COUNTIF($F$4:F548,$F548),"00"))</f>
        <v/>
      </c>
      <c r="C548">
        <f>IF($B548="","",WEEKNUM($B548,2))</f>
        <v/>
      </c>
      <c r="D548">
        <f>IF($B548="","",TEXT($B548,"yyyy-mm"))</f>
        <v/>
      </c>
      <c r="G548">
        <f>IF(OR($E548="",$F548=""),"",IFERROR(IF($E548=INDEX(Cluster_Master!$A$4:$A$18,MATCH($F548,Cluster_Master!$B$4:$B$18,0)),"OK","CHECK"),"CHECK"))</f>
        <v/>
      </c>
      <c r="H548">
        <f>IFERROR(INDEX(Cluster_Master!$C$4:$C$18,MATCH($F548,Cluster_Master!$B$4:$B$18,0)),"")</f>
        <v/>
      </c>
      <c r="I548">
        <f>IFERROR(INDEX(Cluster_Master!$D$4:$D$18,MATCH($F548,Cluster_Master!$B$4:$B$18,0)),"")</f>
        <v/>
      </c>
      <c r="J548">
        <f>IFERROR(INDEX(Cluster_Master!$E$4:$E$18,MATCH($F548,Cluster_Master!$B$4:$B$18,0)),"")</f>
        <v/>
      </c>
      <c r="K548">
        <f>IFERROR(INDEX(Cluster_Master!$F$4:$F$18,MATCH($F548,Cluster_Master!$B$4:$B$18,0)),"")</f>
        <v/>
      </c>
      <c r="L548">
        <f>IFERROR(INDEX(Cluster_Master!$G$4:$G$18,MATCH($F548,Cluster_Master!$B$4:$B$18,0)),"")</f>
        <v/>
      </c>
      <c r="M548">
        <f>IFERROR(INDEX(Cluster_Master!$H$4:$H$18,MATCH($F548,Cluster_Master!$B$4:$B$18,0)),"")</f>
        <v/>
      </c>
      <c r="AI548">
        <f>IF(COUNTA(T548:AH548)=0,"",SUM(T548:AH548))</f>
        <v/>
      </c>
      <c r="AJ548">
        <f>IF(COUNTA(T548:AH548)=0,"",AI548/(COUNT(KPI_Weights!$A$4:$A$18)*5))</f>
        <v/>
      </c>
      <c r="AK548">
        <f>IF(COUNTA(T548:AH548)=0,"",SUMPRODUCT(T548:AH548,KPI_Weights!$B$4:$B$18)/5)</f>
        <v/>
      </c>
      <c r="AL548">
        <f>IF(COUNTA(T548:AH548)=0,"",IF(SUMPRODUCT(--(T548:AH548&lt;=1),--(KPI_Weights!$C$4:$C$18="YES"))&gt;0,"YES","NO"))</f>
        <v/>
      </c>
      <c r="AM548">
        <f>IF(AJ548="","",IF(AND(AL548="NO",AJ548&gt;=0.75),"YES","NO"))</f>
        <v/>
      </c>
      <c r="AN548">
        <f>IF(AJ548="","",IF(AJ548&lt;0.4,"Critical",IF(AJ548&lt;0.6,"Poor",IF(AJ548&lt;0.75,"Needs Improvement",IF(AJ548&lt;0.9,"Good","Excellent")))))</f>
        <v/>
      </c>
    </row>
    <row r="549" ht="15" customHeight="1" s="45">
      <c r="A549">
        <f>IF($B549="","",TEXT($B549,"yyyymmdd")&amp;"-"&amp;SUBSTITUTE($F549," ","")&amp;"-"&amp;TEXT(COUNTIF($F$4:F549,$F549),"00"))</f>
        <v/>
      </c>
      <c r="C549">
        <f>IF($B549="","",WEEKNUM($B549,2))</f>
        <v/>
      </c>
      <c r="D549">
        <f>IF($B549="","",TEXT($B549,"yyyy-mm"))</f>
        <v/>
      </c>
      <c r="G549">
        <f>IF(OR($E549="",$F549=""),"",IFERROR(IF($E549=INDEX(Cluster_Master!$A$4:$A$18,MATCH($F549,Cluster_Master!$B$4:$B$18,0)),"OK","CHECK"),"CHECK"))</f>
        <v/>
      </c>
      <c r="H549">
        <f>IFERROR(INDEX(Cluster_Master!$C$4:$C$18,MATCH($F549,Cluster_Master!$B$4:$B$18,0)),"")</f>
        <v/>
      </c>
      <c r="I549">
        <f>IFERROR(INDEX(Cluster_Master!$D$4:$D$18,MATCH($F549,Cluster_Master!$B$4:$B$18,0)),"")</f>
        <v/>
      </c>
      <c r="J549">
        <f>IFERROR(INDEX(Cluster_Master!$E$4:$E$18,MATCH($F549,Cluster_Master!$B$4:$B$18,0)),"")</f>
        <v/>
      </c>
      <c r="K549">
        <f>IFERROR(INDEX(Cluster_Master!$F$4:$F$18,MATCH($F549,Cluster_Master!$B$4:$B$18,0)),"")</f>
        <v/>
      </c>
      <c r="L549">
        <f>IFERROR(INDEX(Cluster_Master!$G$4:$G$18,MATCH($F549,Cluster_Master!$B$4:$B$18,0)),"")</f>
        <v/>
      </c>
      <c r="M549">
        <f>IFERROR(INDEX(Cluster_Master!$H$4:$H$18,MATCH($F549,Cluster_Master!$B$4:$B$18,0)),"")</f>
        <v/>
      </c>
      <c r="AI549">
        <f>IF(COUNTA(T549:AH549)=0,"",SUM(T549:AH549))</f>
        <v/>
      </c>
      <c r="AJ549">
        <f>IF(COUNTA(T549:AH549)=0,"",AI549/(COUNT(KPI_Weights!$A$4:$A$18)*5))</f>
        <v/>
      </c>
      <c r="AK549">
        <f>IF(COUNTA(T549:AH549)=0,"",SUMPRODUCT(T549:AH549,KPI_Weights!$B$4:$B$18)/5)</f>
        <v/>
      </c>
      <c r="AL549">
        <f>IF(COUNTA(T549:AH549)=0,"",IF(SUMPRODUCT(--(T549:AH549&lt;=1),--(KPI_Weights!$C$4:$C$18="YES"))&gt;0,"YES","NO"))</f>
        <v/>
      </c>
      <c r="AM549">
        <f>IF(AJ549="","",IF(AND(AL549="NO",AJ549&gt;=0.75),"YES","NO"))</f>
        <v/>
      </c>
      <c r="AN549">
        <f>IF(AJ549="","",IF(AJ549&lt;0.4,"Critical",IF(AJ549&lt;0.6,"Poor",IF(AJ549&lt;0.75,"Needs Improvement",IF(AJ549&lt;0.9,"Good","Excellent")))))</f>
        <v/>
      </c>
    </row>
    <row r="550" ht="15" customHeight="1" s="45">
      <c r="A550">
        <f>IF($B550="","",TEXT($B550,"yyyymmdd")&amp;"-"&amp;SUBSTITUTE($F550," ","")&amp;"-"&amp;TEXT(COUNTIF($F$4:F550,$F550),"00"))</f>
        <v/>
      </c>
      <c r="C550">
        <f>IF($B550="","",WEEKNUM($B550,2))</f>
        <v/>
      </c>
      <c r="D550">
        <f>IF($B550="","",TEXT($B550,"yyyy-mm"))</f>
        <v/>
      </c>
      <c r="G550">
        <f>IF(OR($E550="",$F550=""),"",IFERROR(IF($E550=INDEX(Cluster_Master!$A$4:$A$18,MATCH($F550,Cluster_Master!$B$4:$B$18,0)),"OK","CHECK"),"CHECK"))</f>
        <v/>
      </c>
      <c r="H550">
        <f>IFERROR(INDEX(Cluster_Master!$C$4:$C$18,MATCH($F550,Cluster_Master!$B$4:$B$18,0)),"")</f>
        <v/>
      </c>
      <c r="I550">
        <f>IFERROR(INDEX(Cluster_Master!$D$4:$D$18,MATCH($F550,Cluster_Master!$B$4:$B$18,0)),"")</f>
        <v/>
      </c>
      <c r="J550">
        <f>IFERROR(INDEX(Cluster_Master!$E$4:$E$18,MATCH($F550,Cluster_Master!$B$4:$B$18,0)),"")</f>
        <v/>
      </c>
      <c r="K550">
        <f>IFERROR(INDEX(Cluster_Master!$F$4:$F$18,MATCH($F550,Cluster_Master!$B$4:$B$18,0)),"")</f>
        <v/>
      </c>
      <c r="L550">
        <f>IFERROR(INDEX(Cluster_Master!$G$4:$G$18,MATCH($F550,Cluster_Master!$B$4:$B$18,0)),"")</f>
        <v/>
      </c>
      <c r="M550">
        <f>IFERROR(INDEX(Cluster_Master!$H$4:$H$18,MATCH($F550,Cluster_Master!$B$4:$B$18,0)),"")</f>
        <v/>
      </c>
      <c r="AI550">
        <f>IF(COUNTA(T550:AH550)=0,"",SUM(T550:AH550))</f>
        <v/>
      </c>
      <c r="AJ550">
        <f>IF(COUNTA(T550:AH550)=0,"",AI550/(COUNT(KPI_Weights!$A$4:$A$18)*5))</f>
        <v/>
      </c>
      <c r="AK550">
        <f>IF(COUNTA(T550:AH550)=0,"",SUMPRODUCT(T550:AH550,KPI_Weights!$B$4:$B$18)/5)</f>
        <v/>
      </c>
      <c r="AL550">
        <f>IF(COUNTA(T550:AH550)=0,"",IF(SUMPRODUCT(--(T550:AH550&lt;=1),--(KPI_Weights!$C$4:$C$18="YES"))&gt;0,"YES","NO"))</f>
        <v/>
      </c>
      <c r="AM550">
        <f>IF(AJ550="","",IF(AND(AL550="NO",AJ550&gt;=0.75),"YES","NO"))</f>
        <v/>
      </c>
      <c r="AN550">
        <f>IF(AJ550="","",IF(AJ550&lt;0.4,"Critical",IF(AJ550&lt;0.6,"Poor",IF(AJ550&lt;0.75,"Needs Improvement",IF(AJ550&lt;0.9,"Good","Excellent")))))</f>
        <v/>
      </c>
    </row>
    <row r="551" ht="15" customHeight="1" s="45">
      <c r="A551">
        <f>IF($B551="","",TEXT($B551,"yyyymmdd")&amp;"-"&amp;SUBSTITUTE($F551," ","")&amp;"-"&amp;TEXT(COUNTIF($F$4:F551,$F551),"00"))</f>
        <v/>
      </c>
      <c r="C551">
        <f>IF($B551="","",WEEKNUM($B551,2))</f>
        <v/>
      </c>
      <c r="D551">
        <f>IF($B551="","",TEXT($B551,"yyyy-mm"))</f>
        <v/>
      </c>
      <c r="G551">
        <f>IF(OR($E551="",$F551=""),"",IFERROR(IF($E551=INDEX(Cluster_Master!$A$4:$A$18,MATCH($F551,Cluster_Master!$B$4:$B$18,0)),"OK","CHECK"),"CHECK"))</f>
        <v/>
      </c>
      <c r="H551">
        <f>IFERROR(INDEX(Cluster_Master!$C$4:$C$18,MATCH($F551,Cluster_Master!$B$4:$B$18,0)),"")</f>
        <v/>
      </c>
      <c r="I551">
        <f>IFERROR(INDEX(Cluster_Master!$D$4:$D$18,MATCH($F551,Cluster_Master!$B$4:$B$18,0)),"")</f>
        <v/>
      </c>
      <c r="J551">
        <f>IFERROR(INDEX(Cluster_Master!$E$4:$E$18,MATCH($F551,Cluster_Master!$B$4:$B$18,0)),"")</f>
        <v/>
      </c>
      <c r="K551">
        <f>IFERROR(INDEX(Cluster_Master!$F$4:$F$18,MATCH($F551,Cluster_Master!$B$4:$B$18,0)),"")</f>
        <v/>
      </c>
      <c r="L551">
        <f>IFERROR(INDEX(Cluster_Master!$G$4:$G$18,MATCH($F551,Cluster_Master!$B$4:$B$18,0)),"")</f>
        <v/>
      </c>
      <c r="M551">
        <f>IFERROR(INDEX(Cluster_Master!$H$4:$H$18,MATCH($F551,Cluster_Master!$B$4:$B$18,0)),"")</f>
        <v/>
      </c>
      <c r="AI551">
        <f>IF(COUNTA(T551:AH551)=0,"",SUM(T551:AH551))</f>
        <v/>
      </c>
      <c r="AJ551">
        <f>IF(COUNTA(T551:AH551)=0,"",AI551/(COUNT(KPI_Weights!$A$4:$A$18)*5))</f>
        <v/>
      </c>
      <c r="AK551">
        <f>IF(COUNTA(T551:AH551)=0,"",SUMPRODUCT(T551:AH551,KPI_Weights!$B$4:$B$18)/5)</f>
        <v/>
      </c>
      <c r="AL551">
        <f>IF(COUNTA(T551:AH551)=0,"",IF(SUMPRODUCT(--(T551:AH551&lt;=1),--(KPI_Weights!$C$4:$C$18="YES"))&gt;0,"YES","NO"))</f>
        <v/>
      </c>
      <c r="AM551">
        <f>IF(AJ551="","",IF(AND(AL551="NO",AJ551&gt;=0.75),"YES","NO"))</f>
        <v/>
      </c>
      <c r="AN551">
        <f>IF(AJ551="","",IF(AJ551&lt;0.4,"Critical",IF(AJ551&lt;0.6,"Poor",IF(AJ551&lt;0.75,"Needs Improvement",IF(AJ551&lt;0.9,"Good","Excellent")))))</f>
        <v/>
      </c>
    </row>
    <row r="552" ht="15" customHeight="1" s="45">
      <c r="A552">
        <f>IF($B552="","",TEXT($B552,"yyyymmdd")&amp;"-"&amp;SUBSTITUTE($F552," ","")&amp;"-"&amp;TEXT(COUNTIF($F$4:F552,$F552),"00"))</f>
        <v/>
      </c>
      <c r="C552">
        <f>IF($B552="","",WEEKNUM($B552,2))</f>
        <v/>
      </c>
      <c r="D552">
        <f>IF($B552="","",TEXT($B552,"yyyy-mm"))</f>
        <v/>
      </c>
      <c r="G552">
        <f>IF(OR($E552="",$F552=""),"",IFERROR(IF($E552=INDEX(Cluster_Master!$A$4:$A$18,MATCH($F552,Cluster_Master!$B$4:$B$18,0)),"OK","CHECK"),"CHECK"))</f>
        <v/>
      </c>
      <c r="H552">
        <f>IFERROR(INDEX(Cluster_Master!$C$4:$C$18,MATCH($F552,Cluster_Master!$B$4:$B$18,0)),"")</f>
        <v/>
      </c>
      <c r="I552">
        <f>IFERROR(INDEX(Cluster_Master!$D$4:$D$18,MATCH($F552,Cluster_Master!$B$4:$B$18,0)),"")</f>
        <v/>
      </c>
      <c r="J552">
        <f>IFERROR(INDEX(Cluster_Master!$E$4:$E$18,MATCH($F552,Cluster_Master!$B$4:$B$18,0)),"")</f>
        <v/>
      </c>
      <c r="K552">
        <f>IFERROR(INDEX(Cluster_Master!$F$4:$F$18,MATCH($F552,Cluster_Master!$B$4:$B$18,0)),"")</f>
        <v/>
      </c>
      <c r="L552">
        <f>IFERROR(INDEX(Cluster_Master!$G$4:$G$18,MATCH($F552,Cluster_Master!$B$4:$B$18,0)),"")</f>
        <v/>
      </c>
      <c r="M552">
        <f>IFERROR(INDEX(Cluster_Master!$H$4:$H$18,MATCH($F552,Cluster_Master!$B$4:$B$18,0)),"")</f>
        <v/>
      </c>
      <c r="AI552">
        <f>IF(COUNTA(T552:AH552)=0,"",SUM(T552:AH552))</f>
        <v/>
      </c>
      <c r="AJ552">
        <f>IF(COUNTA(T552:AH552)=0,"",AI552/(COUNT(KPI_Weights!$A$4:$A$18)*5))</f>
        <v/>
      </c>
      <c r="AK552">
        <f>IF(COUNTA(T552:AH552)=0,"",SUMPRODUCT(T552:AH552,KPI_Weights!$B$4:$B$18)/5)</f>
        <v/>
      </c>
      <c r="AL552">
        <f>IF(COUNTA(T552:AH552)=0,"",IF(SUMPRODUCT(--(T552:AH552&lt;=1),--(KPI_Weights!$C$4:$C$18="YES"))&gt;0,"YES","NO"))</f>
        <v/>
      </c>
      <c r="AM552">
        <f>IF(AJ552="","",IF(AND(AL552="NO",AJ552&gt;=0.75),"YES","NO"))</f>
        <v/>
      </c>
      <c r="AN552">
        <f>IF(AJ552="","",IF(AJ552&lt;0.4,"Critical",IF(AJ552&lt;0.6,"Poor",IF(AJ552&lt;0.75,"Needs Improvement",IF(AJ552&lt;0.9,"Good","Excellent")))))</f>
        <v/>
      </c>
    </row>
    <row r="553" ht="15" customHeight="1" s="45">
      <c r="A553">
        <f>IF($B553="","",TEXT($B553,"yyyymmdd")&amp;"-"&amp;SUBSTITUTE($F553," ","")&amp;"-"&amp;TEXT(COUNTIF($F$4:F553,$F553),"00"))</f>
        <v/>
      </c>
      <c r="C553">
        <f>IF($B553="","",WEEKNUM($B553,2))</f>
        <v/>
      </c>
      <c r="D553">
        <f>IF($B553="","",TEXT($B553,"yyyy-mm"))</f>
        <v/>
      </c>
      <c r="G553">
        <f>IF(OR($E553="",$F553=""),"",IFERROR(IF($E553=INDEX(Cluster_Master!$A$4:$A$18,MATCH($F553,Cluster_Master!$B$4:$B$18,0)),"OK","CHECK"),"CHECK"))</f>
        <v/>
      </c>
      <c r="H553">
        <f>IFERROR(INDEX(Cluster_Master!$C$4:$C$18,MATCH($F553,Cluster_Master!$B$4:$B$18,0)),"")</f>
        <v/>
      </c>
      <c r="I553">
        <f>IFERROR(INDEX(Cluster_Master!$D$4:$D$18,MATCH($F553,Cluster_Master!$B$4:$B$18,0)),"")</f>
        <v/>
      </c>
      <c r="J553">
        <f>IFERROR(INDEX(Cluster_Master!$E$4:$E$18,MATCH($F553,Cluster_Master!$B$4:$B$18,0)),"")</f>
        <v/>
      </c>
      <c r="K553">
        <f>IFERROR(INDEX(Cluster_Master!$F$4:$F$18,MATCH($F553,Cluster_Master!$B$4:$B$18,0)),"")</f>
        <v/>
      </c>
      <c r="L553">
        <f>IFERROR(INDEX(Cluster_Master!$G$4:$G$18,MATCH($F553,Cluster_Master!$B$4:$B$18,0)),"")</f>
        <v/>
      </c>
      <c r="M553">
        <f>IFERROR(INDEX(Cluster_Master!$H$4:$H$18,MATCH($F553,Cluster_Master!$B$4:$B$18,0)),"")</f>
        <v/>
      </c>
      <c r="AI553">
        <f>IF(COUNTA(T553:AH553)=0,"",SUM(T553:AH553))</f>
        <v/>
      </c>
      <c r="AJ553">
        <f>IF(COUNTA(T553:AH553)=0,"",AI553/(COUNT(KPI_Weights!$A$4:$A$18)*5))</f>
        <v/>
      </c>
      <c r="AK553">
        <f>IF(COUNTA(T553:AH553)=0,"",SUMPRODUCT(T553:AH553,KPI_Weights!$B$4:$B$18)/5)</f>
        <v/>
      </c>
      <c r="AL553">
        <f>IF(COUNTA(T553:AH553)=0,"",IF(SUMPRODUCT(--(T553:AH553&lt;=1),--(KPI_Weights!$C$4:$C$18="YES"))&gt;0,"YES","NO"))</f>
        <v/>
      </c>
      <c r="AM553">
        <f>IF(AJ553="","",IF(AND(AL553="NO",AJ553&gt;=0.75),"YES","NO"))</f>
        <v/>
      </c>
      <c r="AN553">
        <f>IF(AJ553="","",IF(AJ553&lt;0.4,"Critical",IF(AJ553&lt;0.6,"Poor",IF(AJ553&lt;0.75,"Needs Improvement",IF(AJ553&lt;0.9,"Good","Excellent")))))</f>
        <v/>
      </c>
    </row>
    <row r="554" ht="15" customHeight="1" s="45">
      <c r="A554">
        <f>IF($B554="","",TEXT($B554,"yyyymmdd")&amp;"-"&amp;SUBSTITUTE($F554," ","")&amp;"-"&amp;TEXT(COUNTIF($F$4:F554,$F554),"00"))</f>
        <v/>
      </c>
      <c r="C554">
        <f>IF($B554="","",WEEKNUM($B554,2))</f>
        <v/>
      </c>
      <c r="D554">
        <f>IF($B554="","",TEXT($B554,"yyyy-mm"))</f>
        <v/>
      </c>
      <c r="G554">
        <f>IF(OR($E554="",$F554=""),"",IFERROR(IF($E554=INDEX(Cluster_Master!$A$4:$A$18,MATCH($F554,Cluster_Master!$B$4:$B$18,0)),"OK","CHECK"),"CHECK"))</f>
        <v/>
      </c>
      <c r="H554">
        <f>IFERROR(INDEX(Cluster_Master!$C$4:$C$18,MATCH($F554,Cluster_Master!$B$4:$B$18,0)),"")</f>
        <v/>
      </c>
      <c r="I554">
        <f>IFERROR(INDEX(Cluster_Master!$D$4:$D$18,MATCH($F554,Cluster_Master!$B$4:$B$18,0)),"")</f>
        <v/>
      </c>
      <c r="J554">
        <f>IFERROR(INDEX(Cluster_Master!$E$4:$E$18,MATCH($F554,Cluster_Master!$B$4:$B$18,0)),"")</f>
        <v/>
      </c>
      <c r="K554">
        <f>IFERROR(INDEX(Cluster_Master!$F$4:$F$18,MATCH($F554,Cluster_Master!$B$4:$B$18,0)),"")</f>
        <v/>
      </c>
      <c r="L554">
        <f>IFERROR(INDEX(Cluster_Master!$G$4:$G$18,MATCH($F554,Cluster_Master!$B$4:$B$18,0)),"")</f>
        <v/>
      </c>
      <c r="M554">
        <f>IFERROR(INDEX(Cluster_Master!$H$4:$H$18,MATCH($F554,Cluster_Master!$B$4:$B$18,0)),"")</f>
        <v/>
      </c>
      <c r="AI554">
        <f>IF(COUNTA(T554:AH554)=0,"",SUM(T554:AH554))</f>
        <v/>
      </c>
      <c r="AJ554">
        <f>IF(COUNTA(T554:AH554)=0,"",AI554/(COUNT(KPI_Weights!$A$4:$A$18)*5))</f>
        <v/>
      </c>
      <c r="AK554">
        <f>IF(COUNTA(T554:AH554)=0,"",SUMPRODUCT(T554:AH554,KPI_Weights!$B$4:$B$18)/5)</f>
        <v/>
      </c>
      <c r="AL554">
        <f>IF(COUNTA(T554:AH554)=0,"",IF(SUMPRODUCT(--(T554:AH554&lt;=1),--(KPI_Weights!$C$4:$C$18="YES"))&gt;0,"YES","NO"))</f>
        <v/>
      </c>
      <c r="AM554">
        <f>IF(AJ554="","",IF(AND(AL554="NO",AJ554&gt;=0.75),"YES","NO"))</f>
        <v/>
      </c>
      <c r="AN554">
        <f>IF(AJ554="","",IF(AJ554&lt;0.4,"Critical",IF(AJ554&lt;0.6,"Poor",IF(AJ554&lt;0.75,"Needs Improvement",IF(AJ554&lt;0.9,"Good","Excellent")))))</f>
        <v/>
      </c>
    </row>
    <row r="555" ht="15" customHeight="1" s="45">
      <c r="A555">
        <f>IF($B555="","",TEXT($B555,"yyyymmdd")&amp;"-"&amp;SUBSTITUTE($F555," ","")&amp;"-"&amp;TEXT(COUNTIF($F$4:F555,$F555),"00"))</f>
        <v/>
      </c>
      <c r="C555">
        <f>IF($B555="","",WEEKNUM($B555,2))</f>
        <v/>
      </c>
      <c r="D555">
        <f>IF($B555="","",TEXT($B555,"yyyy-mm"))</f>
        <v/>
      </c>
      <c r="G555">
        <f>IF(OR($E555="",$F555=""),"",IFERROR(IF($E555=INDEX(Cluster_Master!$A$4:$A$18,MATCH($F555,Cluster_Master!$B$4:$B$18,0)),"OK","CHECK"),"CHECK"))</f>
        <v/>
      </c>
      <c r="H555">
        <f>IFERROR(INDEX(Cluster_Master!$C$4:$C$18,MATCH($F555,Cluster_Master!$B$4:$B$18,0)),"")</f>
        <v/>
      </c>
      <c r="I555">
        <f>IFERROR(INDEX(Cluster_Master!$D$4:$D$18,MATCH($F555,Cluster_Master!$B$4:$B$18,0)),"")</f>
        <v/>
      </c>
      <c r="J555">
        <f>IFERROR(INDEX(Cluster_Master!$E$4:$E$18,MATCH($F555,Cluster_Master!$B$4:$B$18,0)),"")</f>
        <v/>
      </c>
      <c r="K555">
        <f>IFERROR(INDEX(Cluster_Master!$F$4:$F$18,MATCH($F555,Cluster_Master!$B$4:$B$18,0)),"")</f>
        <v/>
      </c>
      <c r="L555">
        <f>IFERROR(INDEX(Cluster_Master!$G$4:$G$18,MATCH($F555,Cluster_Master!$B$4:$B$18,0)),"")</f>
        <v/>
      </c>
      <c r="M555">
        <f>IFERROR(INDEX(Cluster_Master!$H$4:$H$18,MATCH($F555,Cluster_Master!$B$4:$B$18,0)),"")</f>
        <v/>
      </c>
      <c r="AI555">
        <f>IF(COUNTA(T555:AH555)=0,"",SUM(T555:AH555))</f>
        <v/>
      </c>
      <c r="AJ555">
        <f>IF(COUNTA(T555:AH555)=0,"",AI555/(COUNT(KPI_Weights!$A$4:$A$18)*5))</f>
        <v/>
      </c>
      <c r="AK555">
        <f>IF(COUNTA(T555:AH555)=0,"",SUMPRODUCT(T555:AH555,KPI_Weights!$B$4:$B$18)/5)</f>
        <v/>
      </c>
      <c r="AL555">
        <f>IF(COUNTA(T555:AH555)=0,"",IF(SUMPRODUCT(--(T555:AH555&lt;=1),--(KPI_Weights!$C$4:$C$18="YES"))&gt;0,"YES","NO"))</f>
        <v/>
      </c>
      <c r="AM555">
        <f>IF(AJ555="","",IF(AND(AL555="NO",AJ555&gt;=0.75),"YES","NO"))</f>
        <v/>
      </c>
      <c r="AN555">
        <f>IF(AJ555="","",IF(AJ555&lt;0.4,"Critical",IF(AJ555&lt;0.6,"Poor",IF(AJ555&lt;0.75,"Needs Improvement",IF(AJ555&lt;0.9,"Good","Excellent")))))</f>
        <v/>
      </c>
    </row>
    <row r="556" ht="15" customHeight="1" s="45">
      <c r="A556">
        <f>IF($B556="","",TEXT($B556,"yyyymmdd")&amp;"-"&amp;SUBSTITUTE($F556," ","")&amp;"-"&amp;TEXT(COUNTIF($F$4:F556,$F556),"00"))</f>
        <v/>
      </c>
      <c r="C556">
        <f>IF($B556="","",WEEKNUM($B556,2))</f>
        <v/>
      </c>
      <c r="D556">
        <f>IF($B556="","",TEXT($B556,"yyyy-mm"))</f>
        <v/>
      </c>
      <c r="G556">
        <f>IF(OR($E556="",$F556=""),"",IFERROR(IF($E556=INDEX(Cluster_Master!$A$4:$A$18,MATCH($F556,Cluster_Master!$B$4:$B$18,0)),"OK","CHECK"),"CHECK"))</f>
        <v/>
      </c>
      <c r="H556">
        <f>IFERROR(INDEX(Cluster_Master!$C$4:$C$18,MATCH($F556,Cluster_Master!$B$4:$B$18,0)),"")</f>
        <v/>
      </c>
      <c r="I556">
        <f>IFERROR(INDEX(Cluster_Master!$D$4:$D$18,MATCH($F556,Cluster_Master!$B$4:$B$18,0)),"")</f>
        <v/>
      </c>
      <c r="J556">
        <f>IFERROR(INDEX(Cluster_Master!$E$4:$E$18,MATCH($F556,Cluster_Master!$B$4:$B$18,0)),"")</f>
        <v/>
      </c>
      <c r="K556">
        <f>IFERROR(INDEX(Cluster_Master!$F$4:$F$18,MATCH($F556,Cluster_Master!$B$4:$B$18,0)),"")</f>
        <v/>
      </c>
      <c r="L556">
        <f>IFERROR(INDEX(Cluster_Master!$G$4:$G$18,MATCH($F556,Cluster_Master!$B$4:$B$18,0)),"")</f>
        <v/>
      </c>
      <c r="M556">
        <f>IFERROR(INDEX(Cluster_Master!$H$4:$H$18,MATCH($F556,Cluster_Master!$B$4:$B$18,0)),"")</f>
        <v/>
      </c>
      <c r="AI556">
        <f>IF(COUNTA(T556:AH556)=0,"",SUM(T556:AH556))</f>
        <v/>
      </c>
      <c r="AJ556">
        <f>IF(COUNTA(T556:AH556)=0,"",AI556/(COUNT(KPI_Weights!$A$4:$A$18)*5))</f>
        <v/>
      </c>
      <c r="AK556">
        <f>IF(COUNTA(T556:AH556)=0,"",SUMPRODUCT(T556:AH556,KPI_Weights!$B$4:$B$18)/5)</f>
        <v/>
      </c>
      <c r="AL556">
        <f>IF(COUNTA(T556:AH556)=0,"",IF(SUMPRODUCT(--(T556:AH556&lt;=1),--(KPI_Weights!$C$4:$C$18="YES"))&gt;0,"YES","NO"))</f>
        <v/>
      </c>
      <c r="AM556">
        <f>IF(AJ556="","",IF(AND(AL556="NO",AJ556&gt;=0.75),"YES","NO"))</f>
        <v/>
      </c>
      <c r="AN556">
        <f>IF(AJ556="","",IF(AJ556&lt;0.4,"Critical",IF(AJ556&lt;0.6,"Poor",IF(AJ556&lt;0.75,"Needs Improvement",IF(AJ556&lt;0.9,"Good","Excellent")))))</f>
        <v/>
      </c>
    </row>
    <row r="557" ht="15" customHeight="1" s="45">
      <c r="A557">
        <f>IF($B557="","",TEXT($B557,"yyyymmdd")&amp;"-"&amp;SUBSTITUTE($F557," ","")&amp;"-"&amp;TEXT(COUNTIF($F$4:F557,$F557),"00"))</f>
        <v/>
      </c>
      <c r="C557">
        <f>IF($B557="","",WEEKNUM($B557,2))</f>
        <v/>
      </c>
      <c r="D557">
        <f>IF($B557="","",TEXT($B557,"yyyy-mm"))</f>
        <v/>
      </c>
      <c r="G557">
        <f>IF(OR($E557="",$F557=""),"",IFERROR(IF($E557=INDEX(Cluster_Master!$A$4:$A$18,MATCH($F557,Cluster_Master!$B$4:$B$18,0)),"OK","CHECK"),"CHECK"))</f>
        <v/>
      </c>
      <c r="H557">
        <f>IFERROR(INDEX(Cluster_Master!$C$4:$C$18,MATCH($F557,Cluster_Master!$B$4:$B$18,0)),"")</f>
        <v/>
      </c>
      <c r="I557">
        <f>IFERROR(INDEX(Cluster_Master!$D$4:$D$18,MATCH($F557,Cluster_Master!$B$4:$B$18,0)),"")</f>
        <v/>
      </c>
      <c r="J557">
        <f>IFERROR(INDEX(Cluster_Master!$E$4:$E$18,MATCH($F557,Cluster_Master!$B$4:$B$18,0)),"")</f>
        <v/>
      </c>
      <c r="K557">
        <f>IFERROR(INDEX(Cluster_Master!$F$4:$F$18,MATCH($F557,Cluster_Master!$B$4:$B$18,0)),"")</f>
        <v/>
      </c>
      <c r="L557">
        <f>IFERROR(INDEX(Cluster_Master!$G$4:$G$18,MATCH($F557,Cluster_Master!$B$4:$B$18,0)),"")</f>
        <v/>
      </c>
      <c r="M557">
        <f>IFERROR(INDEX(Cluster_Master!$H$4:$H$18,MATCH($F557,Cluster_Master!$B$4:$B$18,0)),"")</f>
        <v/>
      </c>
      <c r="AI557">
        <f>IF(COUNTA(T557:AH557)=0,"",SUM(T557:AH557))</f>
        <v/>
      </c>
      <c r="AJ557">
        <f>IF(COUNTA(T557:AH557)=0,"",AI557/(COUNT(KPI_Weights!$A$4:$A$18)*5))</f>
        <v/>
      </c>
      <c r="AK557">
        <f>IF(COUNTA(T557:AH557)=0,"",SUMPRODUCT(T557:AH557,KPI_Weights!$B$4:$B$18)/5)</f>
        <v/>
      </c>
      <c r="AL557">
        <f>IF(COUNTA(T557:AH557)=0,"",IF(SUMPRODUCT(--(T557:AH557&lt;=1),--(KPI_Weights!$C$4:$C$18="YES"))&gt;0,"YES","NO"))</f>
        <v/>
      </c>
      <c r="AM557">
        <f>IF(AJ557="","",IF(AND(AL557="NO",AJ557&gt;=0.75),"YES","NO"))</f>
        <v/>
      </c>
      <c r="AN557">
        <f>IF(AJ557="","",IF(AJ557&lt;0.4,"Critical",IF(AJ557&lt;0.6,"Poor",IF(AJ557&lt;0.75,"Needs Improvement",IF(AJ557&lt;0.9,"Good","Excellent")))))</f>
        <v/>
      </c>
    </row>
    <row r="558" ht="15" customHeight="1" s="45">
      <c r="A558">
        <f>IF($B558="","",TEXT($B558,"yyyymmdd")&amp;"-"&amp;SUBSTITUTE($F558," ","")&amp;"-"&amp;TEXT(COUNTIF($F$4:F558,$F558),"00"))</f>
        <v/>
      </c>
      <c r="C558">
        <f>IF($B558="","",WEEKNUM($B558,2))</f>
        <v/>
      </c>
      <c r="D558">
        <f>IF($B558="","",TEXT($B558,"yyyy-mm"))</f>
        <v/>
      </c>
      <c r="G558">
        <f>IF(OR($E558="",$F558=""),"",IFERROR(IF($E558=INDEX(Cluster_Master!$A$4:$A$18,MATCH($F558,Cluster_Master!$B$4:$B$18,0)),"OK","CHECK"),"CHECK"))</f>
        <v/>
      </c>
      <c r="H558">
        <f>IFERROR(INDEX(Cluster_Master!$C$4:$C$18,MATCH($F558,Cluster_Master!$B$4:$B$18,0)),"")</f>
        <v/>
      </c>
      <c r="I558">
        <f>IFERROR(INDEX(Cluster_Master!$D$4:$D$18,MATCH($F558,Cluster_Master!$B$4:$B$18,0)),"")</f>
        <v/>
      </c>
      <c r="J558">
        <f>IFERROR(INDEX(Cluster_Master!$E$4:$E$18,MATCH($F558,Cluster_Master!$B$4:$B$18,0)),"")</f>
        <v/>
      </c>
      <c r="K558">
        <f>IFERROR(INDEX(Cluster_Master!$F$4:$F$18,MATCH($F558,Cluster_Master!$B$4:$B$18,0)),"")</f>
        <v/>
      </c>
      <c r="L558">
        <f>IFERROR(INDEX(Cluster_Master!$G$4:$G$18,MATCH($F558,Cluster_Master!$B$4:$B$18,0)),"")</f>
        <v/>
      </c>
      <c r="M558">
        <f>IFERROR(INDEX(Cluster_Master!$H$4:$H$18,MATCH($F558,Cluster_Master!$B$4:$B$18,0)),"")</f>
        <v/>
      </c>
      <c r="AI558">
        <f>IF(COUNTA(T558:AH558)=0,"",SUM(T558:AH558))</f>
        <v/>
      </c>
      <c r="AJ558">
        <f>IF(COUNTA(T558:AH558)=0,"",AI558/(COUNT(KPI_Weights!$A$4:$A$18)*5))</f>
        <v/>
      </c>
      <c r="AK558">
        <f>IF(COUNTA(T558:AH558)=0,"",SUMPRODUCT(T558:AH558,KPI_Weights!$B$4:$B$18)/5)</f>
        <v/>
      </c>
      <c r="AL558">
        <f>IF(COUNTA(T558:AH558)=0,"",IF(SUMPRODUCT(--(T558:AH558&lt;=1),--(KPI_Weights!$C$4:$C$18="YES"))&gt;0,"YES","NO"))</f>
        <v/>
      </c>
      <c r="AM558">
        <f>IF(AJ558="","",IF(AND(AL558="NO",AJ558&gt;=0.75),"YES","NO"))</f>
        <v/>
      </c>
      <c r="AN558">
        <f>IF(AJ558="","",IF(AJ558&lt;0.4,"Critical",IF(AJ558&lt;0.6,"Poor",IF(AJ558&lt;0.75,"Needs Improvement",IF(AJ558&lt;0.9,"Good","Excellent")))))</f>
        <v/>
      </c>
    </row>
    <row r="559" ht="15" customHeight="1" s="45">
      <c r="A559">
        <f>IF($B559="","",TEXT($B559,"yyyymmdd")&amp;"-"&amp;SUBSTITUTE($F559," ","")&amp;"-"&amp;TEXT(COUNTIF($F$4:F559,$F559),"00"))</f>
        <v/>
      </c>
      <c r="C559">
        <f>IF($B559="","",WEEKNUM($B559,2))</f>
        <v/>
      </c>
      <c r="D559">
        <f>IF($B559="","",TEXT($B559,"yyyy-mm"))</f>
        <v/>
      </c>
      <c r="G559">
        <f>IF(OR($E559="",$F559=""),"",IFERROR(IF($E559=INDEX(Cluster_Master!$A$4:$A$18,MATCH($F559,Cluster_Master!$B$4:$B$18,0)),"OK","CHECK"),"CHECK"))</f>
        <v/>
      </c>
      <c r="H559">
        <f>IFERROR(INDEX(Cluster_Master!$C$4:$C$18,MATCH($F559,Cluster_Master!$B$4:$B$18,0)),"")</f>
        <v/>
      </c>
      <c r="I559">
        <f>IFERROR(INDEX(Cluster_Master!$D$4:$D$18,MATCH($F559,Cluster_Master!$B$4:$B$18,0)),"")</f>
        <v/>
      </c>
      <c r="J559">
        <f>IFERROR(INDEX(Cluster_Master!$E$4:$E$18,MATCH($F559,Cluster_Master!$B$4:$B$18,0)),"")</f>
        <v/>
      </c>
      <c r="K559">
        <f>IFERROR(INDEX(Cluster_Master!$F$4:$F$18,MATCH($F559,Cluster_Master!$B$4:$B$18,0)),"")</f>
        <v/>
      </c>
      <c r="L559">
        <f>IFERROR(INDEX(Cluster_Master!$G$4:$G$18,MATCH($F559,Cluster_Master!$B$4:$B$18,0)),"")</f>
        <v/>
      </c>
      <c r="M559">
        <f>IFERROR(INDEX(Cluster_Master!$H$4:$H$18,MATCH($F559,Cluster_Master!$B$4:$B$18,0)),"")</f>
        <v/>
      </c>
      <c r="AI559">
        <f>IF(COUNTA(T559:AH559)=0,"",SUM(T559:AH559))</f>
        <v/>
      </c>
      <c r="AJ559">
        <f>IF(COUNTA(T559:AH559)=0,"",AI559/(COUNT(KPI_Weights!$A$4:$A$18)*5))</f>
        <v/>
      </c>
      <c r="AK559">
        <f>IF(COUNTA(T559:AH559)=0,"",SUMPRODUCT(T559:AH559,KPI_Weights!$B$4:$B$18)/5)</f>
        <v/>
      </c>
      <c r="AL559">
        <f>IF(COUNTA(T559:AH559)=0,"",IF(SUMPRODUCT(--(T559:AH559&lt;=1),--(KPI_Weights!$C$4:$C$18="YES"))&gt;0,"YES","NO"))</f>
        <v/>
      </c>
      <c r="AM559">
        <f>IF(AJ559="","",IF(AND(AL559="NO",AJ559&gt;=0.75),"YES","NO"))</f>
        <v/>
      </c>
      <c r="AN559">
        <f>IF(AJ559="","",IF(AJ559&lt;0.4,"Critical",IF(AJ559&lt;0.6,"Poor",IF(AJ559&lt;0.75,"Needs Improvement",IF(AJ559&lt;0.9,"Good","Excellent")))))</f>
        <v/>
      </c>
    </row>
    <row r="560" ht="15" customHeight="1" s="45">
      <c r="A560">
        <f>IF($B560="","",TEXT($B560,"yyyymmdd")&amp;"-"&amp;SUBSTITUTE($F560," ","")&amp;"-"&amp;TEXT(COUNTIF($F$4:F560,$F560),"00"))</f>
        <v/>
      </c>
      <c r="C560">
        <f>IF($B560="","",WEEKNUM($B560,2))</f>
        <v/>
      </c>
      <c r="D560">
        <f>IF($B560="","",TEXT($B560,"yyyy-mm"))</f>
        <v/>
      </c>
      <c r="G560">
        <f>IF(OR($E560="",$F560=""),"",IFERROR(IF($E560=INDEX(Cluster_Master!$A$4:$A$18,MATCH($F560,Cluster_Master!$B$4:$B$18,0)),"OK","CHECK"),"CHECK"))</f>
        <v/>
      </c>
      <c r="H560">
        <f>IFERROR(INDEX(Cluster_Master!$C$4:$C$18,MATCH($F560,Cluster_Master!$B$4:$B$18,0)),"")</f>
        <v/>
      </c>
      <c r="I560">
        <f>IFERROR(INDEX(Cluster_Master!$D$4:$D$18,MATCH($F560,Cluster_Master!$B$4:$B$18,0)),"")</f>
        <v/>
      </c>
      <c r="J560">
        <f>IFERROR(INDEX(Cluster_Master!$E$4:$E$18,MATCH($F560,Cluster_Master!$B$4:$B$18,0)),"")</f>
        <v/>
      </c>
      <c r="K560">
        <f>IFERROR(INDEX(Cluster_Master!$F$4:$F$18,MATCH($F560,Cluster_Master!$B$4:$B$18,0)),"")</f>
        <v/>
      </c>
      <c r="L560">
        <f>IFERROR(INDEX(Cluster_Master!$G$4:$G$18,MATCH($F560,Cluster_Master!$B$4:$B$18,0)),"")</f>
        <v/>
      </c>
      <c r="M560">
        <f>IFERROR(INDEX(Cluster_Master!$H$4:$H$18,MATCH($F560,Cluster_Master!$B$4:$B$18,0)),"")</f>
        <v/>
      </c>
      <c r="AI560">
        <f>IF(COUNTA(T560:AH560)=0,"",SUM(T560:AH560))</f>
        <v/>
      </c>
      <c r="AJ560">
        <f>IF(COUNTA(T560:AH560)=0,"",AI560/(COUNT(KPI_Weights!$A$4:$A$18)*5))</f>
        <v/>
      </c>
      <c r="AK560">
        <f>IF(COUNTA(T560:AH560)=0,"",SUMPRODUCT(T560:AH560,KPI_Weights!$B$4:$B$18)/5)</f>
        <v/>
      </c>
      <c r="AL560">
        <f>IF(COUNTA(T560:AH560)=0,"",IF(SUMPRODUCT(--(T560:AH560&lt;=1),--(KPI_Weights!$C$4:$C$18="YES"))&gt;0,"YES","NO"))</f>
        <v/>
      </c>
      <c r="AM560">
        <f>IF(AJ560="","",IF(AND(AL560="NO",AJ560&gt;=0.75),"YES","NO"))</f>
        <v/>
      </c>
      <c r="AN560">
        <f>IF(AJ560="","",IF(AJ560&lt;0.4,"Critical",IF(AJ560&lt;0.6,"Poor",IF(AJ560&lt;0.75,"Needs Improvement",IF(AJ560&lt;0.9,"Good","Excellent")))))</f>
        <v/>
      </c>
    </row>
    <row r="561" ht="15" customHeight="1" s="45">
      <c r="A561">
        <f>IF($B561="","",TEXT($B561,"yyyymmdd")&amp;"-"&amp;SUBSTITUTE($F561," ","")&amp;"-"&amp;TEXT(COUNTIF($F$4:F561,$F561),"00"))</f>
        <v/>
      </c>
      <c r="C561">
        <f>IF($B561="","",WEEKNUM($B561,2))</f>
        <v/>
      </c>
      <c r="D561">
        <f>IF($B561="","",TEXT($B561,"yyyy-mm"))</f>
        <v/>
      </c>
      <c r="G561">
        <f>IF(OR($E561="",$F561=""),"",IFERROR(IF($E561=INDEX(Cluster_Master!$A$4:$A$18,MATCH($F561,Cluster_Master!$B$4:$B$18,0)),"OK","CHECK"),"CHECK"))</f>
        <v/>
      </c>
      <c r="H561">
        <f>IFERROR(INDEX(Cluster_Master!$C$4:$C$18,MATCH($F561,Cluster_Master!$B$4:$B$18,0)),"")</f>
        <v/>
      </c>
      <c r="I561">
        <f>IFERROR(INDEX(Cluster_Master!$D$4:$D$18,MATCH($F561,Cluster_Master!$B$4:$B$18,0)),"")</f>
        <v/>
      </c>
      <c r="J561">
        <f>IFERROR(INDEX(Cluster_Master!$E$4:$E$18,MATCH($F561,Cluster_Master!$B$4:$B$18,0)),"")</f>
        <v/>
      </c>
      <c r="K561">
        <f>IFERROR(INDEX(Cluster_Master!$F$4:$F$18,MATCH($F561,Cluster_Master!$B$4:$B$18,0)),"")</f>
        <v/>
      </c>
      <c r="L561">
        <f>IFERROR(INDEX(Cluster_Master!$G$4:$G$18,MATCH($F561,Cluster_Master!$B$4:$B$18,0)),"")</f>
        <v/>
      </c>
      <c r="M561">
        <f>IFERROR(INDEX(Cluster_Master!$H$4:$H$18,MATCH($F561,Cluster_Master!$B$4:$B$18,0)),"")</f>
        <v/>
      </c>
      <c r="AI561">
        <f>IF(COUNTA(T561:AH561)=0,"",SUM(T561:AH561))</f>
        <v/>
      </c>
      <c r="AJ561">
        <f>IF(COUNTA(T561:AH561)=0,"",AI561/(COUNT(KPI_Weights!$A$4:$A$18)*5))</f>
        <v/>
      </c>
      <c r="AK561">
        <f>IF(COUNTA(T561:AH561)=0,"",SUMPRODUCT(T561:AH561,KPI_Weights!$B$4:$B$18)/5)</f>
        <v/>
      </c>
      <c r="AL561">
        <f>IF(COUNTA(T561:AH561)=0,"",IF(SUMPRODUCT(--(T561:AH561&lt;=1),--(KPI_Weights!$C$4:$C$18="YES"))&gt;0,"YES","NO"))</f>
        <v/>
      </c>
      <c r="AM561">
        <f>IF(AJ561="","",IF(AND(AL561="NO",AJ561&gt;=0.75),"YES","NO"))</f>
        <v/>
      </c>
      <c r="AN561">
        <f>IF(AJ561="","",IF(AJ561&lt;0.4,"Critical",IF(AJ561&lt;0.6,"Poor",IF(AJ561&lt;0.75,"Needs Improvement",IF(AJ561&lt;0.9,"Good","Excellent")))))</f>
        <v/>
      </c>
    </row>
    <row r="562" ht="15" customHeight="1" s="45">
      <c r="A562">
        <f>IF($B562="","",TEXT($B562,"yyyymmdd")&amp;"-"&amp;SUBSTITUTE($F562," ","")&amp;"-"&amp;TEXT(COUNTIF($F$4:F562,$F562),"00"))</f>
        <v/>
      </c>
      <c r="C562">
        <f>IF($B562="","",WEEKNUM($B562,2))</f>
        <v/>
      </c>
      <c r="D562">
        <f>IF($B562="","",TEXT($B562,"yyyy-mm"))</f>
        <v/>
      </c>
      <c r="G562">
        <f>IF(OR($E562="",$F562=""),"",IFERROR(IF($E562=INDEX(Cluster_Master!$A$4:$A$18,MATCH($F562,Cluster_Master!$B$4:$B$18,0)),"OK","CHECK"),"CHECK"))</f>
        <v/>
      </c>
      <c r="H562">
        <f>IFERROR(INDEX(Cluster_Master!$C$4:$C$18,MATCH($F562,Cluster_Master!$B$4:$B$18,0)),"")</f>
        <v/>
      </c>
      <c r="I562">
        <f>IFERROR(INDEX(Cluster_Master!$D$4:$D$18,MATCH($F562,Cluster_Master!$B$4:$B$18,0)),"")</f>
        <v/>
      </c>
      <c r="J562">
        <f>IFERROR(INDEX(Cluster_Master!$E$4:$E$18,MATCH($F562,Cluster_Master!$B$4:$B$18,0)),"")</f>
        <v/>
      </c>
      <c r="K562">
        <f>IFERROR(INDEX(Cluster_Master!$F$4:$F$18,MATCH($F562,Cluster_Master!$B$4:$B$18,0)),"")</f>
        <v/>
      </c>
      <c r="L562">
        <f>IFERROR(INDEX(Cluster_Master!$G$4:$G$18,MATCH($F562,Cluster_Master!$B$4:$B$18,0)),"")</f>
        <v/>
      </c>
      <c r="M562">
        <f>IFERROR(INDEX(Cluster_Master!$H$4:$H$18,MATCH($F562,Cluster_Master!$B$4:$B$18,0)),"")</f>
        <v/>
      </c>
      <c r="AI562">
        <f>IF(COUNTA(T562:AH562)=0,"",SUM(T562:AH562))</f>
        <v/>
      </c>
      <c r="AJ562">
        <f>IF(COUNTA(T562:AH562)=0,"",AI562/(COUNT(KPI_Weights!$A$4:$A$18)*5))</f>
        <v/>
      </c>
      <c r="AK562">
        <f>IF(COUNTA(T562:AH562)=0,"",SUMPRODUCT(T562:AH562,KPI_Weights!$B$4:$B$18)/5)</f>
        <v/>
      </c>
      <c r="AL562">
        <f>IF(COUNTA(T562:AH562)=0,"",IF(SUMPRODUCT(--(T562:AH562&lt;=1),--(KPI_Weights!$C$4:$C$18="YES"))&gt;0,"YES","NO"))</f>
        <v/>
      </c>
      <c r="AM562">
        <f>IF(AJ562="","",IF(AND(AL562="NO",AJ562&gt;=0.75),"YES","NO"))</f>
        <v/>
      </c>
      <c r="AN562">
        <f>IF(AJ562="","",IF(AJ562&lt;0.4,"Critical",IF(AJ562&lt;0.6,"Poor",IF(AJ562&lt;0.75,"Needs Improvement",IF(AJ562&lt;0.9,"Good","Excellent")))))</f>
        <v/>
      </c>
    </row>
    <row r="563" ht="15" customHeight="1" s="45">
      <c r="A563">
        <f>IF($B563="","",TEXT($B563,"yyyymmdd")&amp;"-"&amp;SUBSTITUTE($F563," ","")&amp;"-"&amp;TEXT(COUNTIF($F$4:F563,$F563),"00"))</f>
        <v/>
      </c>
      <c r="C563">
        <f>IF($B563="","",WEEKNUM($B563,2))</f>
        <v/>
      </c>
      <c r="D563">
        <f>IF($B563="","",TEXT($B563,"yyyy-mm"))</f>
        <v/>
      </c>
      <c r="G563">
        <f>IF(OR($E563="",$F563=""),"",IFERROR(IF($E563=INDEX(Cluster_Master!$A$4:$A$18,MATCH($F563,Cluster_Master!$B$4:$B$18,0)),"OK","CHECK"),"CHECK"))</f>
        <v/>
      </c>
      <c r="H563">
        <f>IFERROR(INDEX(Cluster_Master!$C$4:$C$18,MATCH($F563,Cluster_Master!$B$4:$B$18,0)),"")</f>
        <v/>
      </c>
      <c r="I563">
        <f>IFERROR(INDEX(Cluster_Master!$D$4:$D$18,MATCH($F563,Cluster_Master!$B$4:$B$18,0)),"")</f>
        <v/>
      </c>
      <c r="J563">
        <f>IFERROR(INDEX(Cluster_Master!$E$4:$E$18,MATCH($F563,Cluster_Master!$B$4:$B$18,0)),"")</f>
        <v/>
      </c>
      <c r="K563">
        <f>IFERROR(INDEX(Cluster_Master!$F$4:$F$18,MATCH($F563,Cluster_Master!$B$4:$B$18,0)),"")</f>
        <v/>
      </c>
      <c r="L563">
        <f>IFERROR(INDEX(Cluster_Master!$G$4:$G$18,MATCH($F563,Cluster_Master!$B$4:$B$18,0)),"")</f>
        <v/>
      </c>
      <c r="M563">
        <f>IFERROR(INDEX(Cluster_Master!$H$4:$H$18,MATCH($F563,Cluster_Master!$B$4:$B$18,0)),"")</f>
        <v/>
      </c>
      <c r="AI563">
        <f>IF(COUNTA(T563:AH563)=0,"",SUM(T563:AH563))</f>
        <v/>
      </c>
      <c r="AJ563">
        <f>IF(COUNTA(T563:AH563)=0,"",AI563/(COUNT(KPI_Weights!$A$4:$A$18)*5))</f>
        <v/>
      </c>
      <c r="AK563">
        <f>IF(COUNTA(T563:AH563)=0,"",SUMPRODUCT(T563:AH563,KPI_Weights!$B$4:$B$18)/5)</f>
        <v/>
      </c>
      <c r="AL563">
        <f>IF(COUNTA(T563:AH563)=0,"",IF(SUMPRODUCT(--(T563:AH563&lt;=1),--(KPI_Weights!$C$4:$C$18="YES"))&gt;0,"YES","NO"))</f>
        <v/>
      </c>
      <c r="AM563">
        <f>IF(AJ563="","",IF(AND(AL563="NO",AJ563&gt;=0.75),"YES","NO"))</f>
        <v/>
      </c>
      <c r="AN563">
        <f>IF(AJ563="","",IF(AJ563&lt;0.4,"Critical",IF(AJ563&lt;0.6,"Poor",IF(AJ563&lt;0.75,"Needs Improvement",IF(AJ563&lt;0.9,"Good","Excellent")))))</f>
        <v/>
      </c>
    </row>
    <row r="564" ht="15" customHeight="1" s="45">
      <c r="A564">
        <f>IF($B564="","",TEXT($B564,"yyyymmdd")&amp;"-"&amp;SUBSTITUTE($F564," ","")&amp;"-"&amp;TEXT(COUNTIF($F$4:F564,$F564),"00"))</f>
        <v/>
      </c>
      <c r="C564">
        <f>IF($B564="","",WEEKNUM($B564,2))</f>
        <v/>
      </c>
      <c r="D564">
        <f>IF($B564="","",TEXT($B564,"yyyy-mm"))</f>
        <v/>
      </c>
      <c r="G564">
        <f>IF(OR($E564="",$F564=""),"",IFERROR(IF($E564=INDEX(Cluster_Master!$A$4:$A$18,MATCH($F564,Cluster_Master!$B$4:$B$18,0)),"OK","CHECK"),"CHECK"))</f>
        <v/>
      </c>
      <c r="H564">
        <f>IFERROR(INDEX(Cluster_Master!$C$4:$C$18,MATCH($F564,Cluster_Master!$B$4:$B$18,0)),"")</f>
        <v/>
      </c>
      <c r="I564">
        <f>IFERROR(INDEX(Cluster_Master!$D$4:$D$18,MATCH($F564,Cluster_Master!$B$4:$B$18,0)),"")</f>
        <v/>
      </c>
      <c r="J564">
        <f>IFERROR(INDEX(Cluster_Master!$E$4:$E$18,MATCH($F564,Cluster_Master!$B$4:$B$18,0)),"")</f>
        <v/>
      </c>
      <c r="K564">
        <f>IFERROR(INDEX(Cluster_Master!$F$4:$F$18,MATCH($F564,Cluster_Master!$B$4:$B$18,0)),"")</f>
        <v/>
      </c>
      <c r="L564">
        <f>IFERROR(INDEX(Cluster_Master!$G$4:$G$18,MATCH($F564,Cluster_Master!$B$4:$B$18,0)),"")</f>
        <v/>
      </c>
      <c r="M564">
        <f>IFERROR(INDEX(Cluster_Master!$H$4:$H$18,MATCH($F564,Cluster_Master!$B$4:$B$18,0)),"")</f>
        <v/>
      </c>
      <c r="AI564">
        <f>IF(COUNTA(T564:AH564)=0,"",SUM(T564:AH564))</f>
        <v/>
      </c>
      <c r="AJ564">
        <f>IF(COUNTA(T564:AH564)=0,"",AI564/(COUNT(KPI_Weights!$A$4:$A$18)*5))</f>
        <v/>
      </c>
      <c r="AK564">
        <f>IF(COUNTA(T564:AH564)=0,"",SUMPRODUCT(T564:AH564,KPI_Weights!$B$4:$B$18)/5)</f>
        <v/>
      </c>
      <c r="AL564">
        <f>IF(COUNTA(T564:AH564)=0,"",IF(SUMPRODUCT(--(T564:AH564&lt;=1),--(KPI_Weights!$C$4:$C$18="YES"))&gt;0,"YES","NO"))</f>
        <v/>
      </c>
      <c r="AM564">
        <f>IF(AJ564="","",IF(AND(AL564="NO",AJ564&gt;=0.75),"YES","NO"))</f>
        <v/>
      </c>
      <c r="AN564">
        <f>IF(AJ564="","",IF(AJ564&lt;0.4,"Critical",IF(AJ564&lt;0.6,"Poor",IF(AJ564&lt;0.75,"Needs Improvement",IF(AJ564&lt;0.9,"Good","Excellent")))))</f>
        <v/>
      </c>
    </row>
    <row r="565" ht="15" customHeight="1" s="45">
      <c r="A565">
        <f>IF($B565="","",TEXT($B565,"yyyymmdd")&amp;"-"&amp;SUBSTITUTE($F565," ","")&amp;"-"&amp;TEXT(COUNTIF($F$4:F565,$F565),"00"))</f>
        <v/>
      </c>
      <c r="C565">
        <f>IF($B565="","",WEEKNUM($B565,2))</f>
        <v/>
      </c>
      <c r="D565">
        <f>IF($B565="","",TEXT($B565,"yyyy-mm"))</f>
        <v/>
      </c>
      <c r="G565">
        <f>IF(OR($E565="",$F565=""),"",IFERROR(IF($E565=INDEX(Cluster_Master!$A$4:$A$18,MATCH($F565,Cluster_Master!$B$4:$B$18,0)),"OK","CHECK"),"CHECK"))</f>
        <v/>
      </c>
      <c r="H565">
        <f>IFERROR(INDEX(Cluster_Master!$C$4:$C$18,MATCH($F565,Cluster_Master!$B$4:$B$18,0)),"")</f>
        <v/>
      </c>
      <c r="I565">
        <f>IFERROR(INDEX(Cluster_Master!$D$4:$D$18,MATCH($F565,Cluster_Master!$B$4:$B$18,0)),"")</f>
        <v/>
      </c>
      <c r="J565">
        <f>IFERROR(INDEX(Cluster_Master!$E$4:$E$18,MATCH($F565,Cluster_Master!$B$4:$B$18,0)),"")</f>
        <v/>
      </c>
      <c r="K565">
        <f>IFERROR(INDEX(Cluster_Master!$F$4:$F$18,MATCH($F565,Cluster_Master!$B$4:$B$18,0)),"")</f>
        <v/>
      </c>
      <c r="L565">
        <f>IFERROR(INDEX(Cluster_Master!$G$4:$G$18,MATCH($F565,Cluster_Master!$B$4:$B$18,0)),"")</f>
        <v/>
      </c>
      <c r="M565">
        <f>IFERROR(INDEX(Cluster_Master!$H$4:$H$18,MATCH($F565,Cluster_Master!$B$4:$B$18,0)),"")</f>
        <v/>
      </c>
      <c r="AI565">
        <f>IF(COUNTA(T565:AH565)=0,"",SUM(T565:AH565))</f>
        <v/>
      </c>
      <c r="AJ565">
        <f>IF(COUNTA(T565:AH565)=0,"",AI565/(COUNT(KPI_Weights!$A$4:$A$18)*5))</f>
        <v/>
      </c>
      <c r="AK565">
        <f>IF(COUNTA(T565:AH565)=0,"",SUMPRODUCT(T565:AH565,KPI_Weights!$B$4:$B$18)/5)</f>
        <v/>
      </c>
      <c r="AL565">
        <f>IF(COUNTA(T565:AH565)=0,"",IF(SUMPRODUCT(--(T565:AH565&lt;=1),--(KPI_Weights!$C$4:$C$18="YES"))&gt;0,"YES","NO"))</f>
        <v/>
      </c>
      <c r="AM565">
        <f>IF(AJ565="","",IF(AND(AL565="NO",AJ565&gt;=0.75),"YES","NO"))</f>
        <v/>
      </c>
      <c r="AN565">
        <f>IF(AJ565="","",IF(AJ565&lt;0.4,"Critical",IF(AJ565&lt;0.6,"Poor",IF(AJ565&lt;0.75,"Needs Improvement",IF(AJ565&lt;0.9,"Good","Excellent")))))</f>
        <v/>
      </c>
    </row>
    <row r="566" ht="15" customHeight="1" s="45">
      <c r="A566">
        <f>IF($B566="","",TEXT($B566,"yyyymmdd")&amp;"-"&amp;SUBSTITUTE($F566," ","")&amp;"-"&amp;TEXT(COUNTIF($F$4:F566,$F566),"00"))</f>
        <v/>
      </c>
      <c r="C566">
        <f>IF($B566="","",WEEKNUM($B566,2))</f>
        <v/>
      </c>
      <c r="D566">
        <f>IF($B566="","",TEXT($B566,"yyyy-mm"))</f>
        <v/>
      </c>
      <c r="G566">
        <f>IF(OR($E566="",$F566=""),"",IFERROR(IF($E566=INDEX(Cluster_Master!$A$4:$A$18,MATCH($F566,Cluster_Master!$B$4:$B$18,0)),"OK","CHECK"),"CHECK"))</f>
        <v/>
      </c>
      <c r="H566">
        <f>IFERROR(INDEX(Cluster_Master!$C$4:$C$18,MATCH($F566,Cluster_Master!$B$4:$B$18,0)),"")</f>
        <v/>
      </c>
      <c r="I566">
        <f>IFERROR(INDEX(Cluster_Master!$D$4:$D$18,MATCH($F566,Cluster_Master!$B$4:$B$18,0)),"")</f>
        <v/>
      </c>
      <c r="J566">
        <f>IFERROR(INDEX(Cluster_Master!$E$4:$E$18,MATCH($F566,Cluster_Master!$B$4:$B$18,0)),"")</f>
        <v/>
      </c>
      <c r="K566">
        <f>IFERROR(INDEX(Cluster_Master!$F$4:$F$18,MATCH($F566,Cluster_Master!$B$4:$B$18,0)),"")</f>
        <v/>
      </c>
      <c r="L566">
        <f>IFERROR(INDEX(Cluster_Master!$G$4:$G$18,MATCH($F566,Cluster_Master!$B$4:$B$18,0)),"")</f>
        <v/>
      </c>
      <c r="M566">
        <f>IFERROR(INDEX(Cluster_Master!$H$4:$H$18,MATCH($F566,Cluster_Master!$B$4:$B$18,0)),"")</f>
        <v/>
      </c>
      <c r="AI566">
        <f>IF(COUNTA(T566:AH566)=0,"",SUM(T566:AH566))</f>
        <v/>
      </c>
      <c r="AJ566">
        <f>IF(COUNTA(T566:AH566)=0,"",AI566/(COUNT(KPI_Weights!$A$4:$A$18)*5))</f>
        <v/>
      </c>
      <c r="AK566">
        <f>IF(COUNTA(T566:AH566)=0,"",SUMPRODUCT(T566:AH566,KPI_Weights!$B$4:$B$18)/5)</f>
        <v/>
      </c>
      <c r="AL566">
        <f>IF(COUNTA(T566:AH566)=0,"",IF(SUMPRODUCT(--(T566:AH566&lt;=1),--(KPI_Weights!$C$4:$C$18="YES"))&gt;0,"YES","NO"))</f>
        <v/>
      </c>
      <c r="AM566">
        <f>IF(AJ566="","",IF(AND(AL566="NO",AJ566&gt;=0.75),"YES","NO"))</f>
        <v/>
      </c>
      <c r="AN566">
        <f>IF(AJ566="","",IF(AJ566&lt;0.4,"Critical",IF(AJ566&lt;0.6,"Poor",IF(AJ566&lt;0.75,"Needs Improvement",IF(AJ566&lt;0.9,"Good","Excellent")))))</f>
        <v/>
      </c>
    </row>
    <row r="567" ht="15" customHeight="1" s="45">
      <c r="A567">
        <f>IF($B567="","",TEXT($B567,"yyyymmdd")&amp;"-"&amp;SUBSTITUTE($F567," ","")&amp;"-"&amp;TEXT(COUNTIF($F$4:F567,$F567),"00"))</f>
        <v/>
      </c>
      <c r="C567">
        <f>IF($B567="","",WEEKNUM($B567,2))</f>
        <v/>
      </c>
      <c r="D567">
        <f>IF($B567="","",TEXT($B567,"yyyy-mm"))</f>
        <v/>
      </c>
      <c r="G567">
        <f>IF(OR($E567="",$F567=""),"",IFERROR(IF($E567=INDEX(Cluster_Master!$A$4:$A$18,MATCH($F567,Cluster_Master!$B$4:$B$18,0)),"OK","CHECK"),"CHECK"))</f>
        <v/>
      </c>
      <c r="H567">
        <f>IFERROR(INDEX(Cluster_Master!$C$4:$C$18,MATCH($F567,Cluster_Master!$B$4:$B$18,0)),"")</f>
        <v/>
      </c>
      <c r="I567">
        <f>IFERROR(INDEX(Cluster_Master!$D$4:$D$18,MATCH($F567,Cluster_Master!$B$4:$B$18,0)),"")</f>
        <v/>
      </c>
      <c r="J567">
        <f>IFERROR(INDEX(Cluster_Master!$E$4:$E$18,MATCH($F567,Cluster_Master!$B$4:$B$18,0)),"")</f>
        <v/>
      </c>
      <c r="K567">
        <f>IFERROR(INDEX(Cluster_Master!$F$4:$F$18,MATCH($F567,Cluster_Master!$B$4:$B$18,0)),"")</f>
        <v/>
      </c>
      <c r="L567">
        <f>IFERROR(INDEX(Cluster_Master!$G$4:$G$18,MATCH($F567,Cluster_Master!$B$4:$B$18,0)),"")</f>
        <v/>
      </c>
      <c r="M567">
        <f>IFERROR(INDEX(Cluster_Master!$H$4:$H$18,MATCH($F567,Cluster_Master!$B$4:$B$18,0)),"")</f>
        <v/>
      </c>
      <c r="AI567">
        <f>IF(COUNTA(T567:AH567)=0,"",SUM(T567:AH567))</f>
        <v/>
      </c>
      <c r="AJ567">
        <f>IF(COUNTA(T567:AH567)=0,"",AI567/(COUNT(KPI_Weights!$A$4:$A$18)*5))</f>
        <v/>
      </c>
      <c r="AK567">
        <f>IF(COUNTA(T567:AH567)=0,"",SUMPRODUCT(T567:AH567,KPI_Weights!$B$4:$B$18)/5)</f>
        <v/>
      </c>
      <c r="AL567">
        <f>IF(COUNTA(T567:AH567)=0,"",IF(SUMPRODUCT(--(T567:AH567&lt;=1),--(KPI_Weights!$C$4:$C$18="YES"))&gt;0,"YES","NO"))</f>
        <v/>
      </c>
      <c r="AM567">
        <f>IF(AJ567="","",IF(AND(AL567="NO",AJ567&gt;=0.75),"YES","NO"))</f>
        <v/>
      </c>
      <c r="AN567">
        <f>IF(AJ567="","",IF(AJ567&lt;0.4,"Critical",IF(AJ567&lt;0.6,"Poor",IF(AJ567&lt;0.75,"Needs Improvement",IF(AJ567&lt;0.9,"Good","Excellent")))))</f>
        <v/>
      </c>
    </row>
    <row r="568" ht="15" customHeight="1" s="45">
      <c r="A568">
        <f>IF($B568="","",TEXT($B568,"yyyymmdd")&amp;"-"&amp;SUBSTITUTE($F568," ","")&amp;"-"&amp;TEXT(COUNTIF($F$4:F568,$F568),"00"))</f>
        <v/>
      </c>
      <c r="C568">
        <f>IF($B568="","",WEEKNUM($B568,2))</f>
        <v/>
      </c>
      <c r="D568">
        <f>IF($B568="","",TEXT($B568,"yyyy-mm"))</f>
        <v/>
      </c>
      <c r="G568">
        <f>IF(OR($E568="",$F568=""),"",IFERROR(IF($E568=INDEX(Cluster_Master!$A$4:$A$18,MATCH($F568,Cluster_Master!$B$4:$B$18,0)),"OK","CHECK"),"CHECK"))</f>
        <v/>
      </c>
      <c r="H568">
        <f>IFERROR(INDEX(Cluster_Master!$C$4:$C$18,MATCH($F568,Cluster_Master!$B$4:$B$18,0)),"")</f>
        <v/>
      </c>
      <c r="I568">
        <f>IFERROR(INDEX(Cluster_Master!$D$4:$D$18,MATCH($F568,Cluster_Master!$B$4:$B$18,0)),"")</f>
        <v/>
      </c>
      <c r="J568">
        <f>IFERROR(INDEX(Cluster_Master!$E$4:$E$18,MATCH($F568,Cluster_Master!$B$4:$B$18,0)),"")</f>
        <v/>
      </c>
      <c r="K568">
        <f>IFERROR(INDEX(Cluster_Master!$F$4:$F$18,MATCH($F568,Cluster_Master!$B$4:$B$18,0)),"")</f>
        <v/>
      </c>
      <c r="L568">
        <f>IFERROR(INDEX(Cluster_Master!$G$4:$G$18,MATCH($F568,Cluster_Master!$B$4:$B$18,0)),"")</f>
        <v/>
      </c>
      <c r="M568">
        <f>IFERROR(INDEX(Cluster_Master!$H$4:$H$18,MATCH($F568,Cluster_Master!$B$4:$B$18,0)),"")</f>
        <v/>
      </c>
      <c r="AI568">
        <f>IF(COUNTA(T568:AH568)=0,"",SUM(T568:AH568))</f>
        <v/>
      </c>
      <c r="AJ568">
        <f>IF(COUNTA(T568:AH568)=0,"",AI568/(COUNT(KPI_Weights!$A$4:$A$18)*5))</f>
        <v/>
      </c>
      <c r="AK568">
        <f>IF(COUNTA(T568:AH568)=0,"",SUMPRODUCT(T568:AH568,KPI_Weights!$B$4:$B$18)/5)</f>
        <v/>
      </c>
      <c r="AL568">
        <f>IF(COUNTA(T568:AH568)=0,"",IF(SUMPRODUCT(--(T568:AH568&lt;=1),--(KPI_Weights!$C$4:$C$18="YES"))&gt;0,"YES","NO"))</f>
        <v/>
      </c>
      <c r="AM568">
        <f>IF(AJ568="","",IF(AND(AL568="NO",AJ568&gt;=0.75),"YES","NO"))</f>
        <v/>
      </c>
      <c r="AN568">
        <f>IF(AJ568="","",IF(AJ568&lt;0.4,"Critical",IF(AJ568&lt;0.6,"Poor",IF(AJ568&lt;0.75,"Needs Improvement",IF(AJ568&lt;0.9,"Good","Excellent")))))</f>
        <v/>
      </c>
    </row>
    <row r="569" ht="15" customHeight="1" s="45">
      <c r="A569">
        <f>IF($B569="","",TEXT($B569,"yyyymmdd")&amp;"-"&amp;SUBSTITUTE($F569," ","")&amp;"-"&amp;TEXT(COUNTIF($F$4:F569,$F569),"00"))</f>
        <v/>
      </c>
      <c r="C569">
        <f>IF($B569="","",WEEKNUM($B569,2))</f>
        <v/>
      </c>
      <c r="D569">
        <f>IF($B569="","",TEXT($B569,"yyyy-mm"))</f>
        <v/>
      </c>
      <c r="G569">
        <f>IF(OR($E569="",$F569=""),"",IFERROR(IF($E569=INDEX(Cluster_Master!$A$4:$A$18,MATCH($F569,Cluster_Master!$B$4:$B$18,0)),"OK","CHECK"),"CHECK"))</f>
        <v/>
      </c>
      <c r="H569">
        <f>IFERROR(INDEX(Cluster_Master!$C$4:$C$18,MATCH($F569,Cluster_Master!$B$4:$B$18,0)),"")</f>
        <v/>
      </c>
      <c r="I569">
        <f>IFERROR(INDEX(Cluster_Master!$D$4:$D$18,MATCH($F569,Cluster_Master!$B$4:$B$18,0)),"")</f>
        <v/>
      </c>
      <c r="J569">
        <f>IFERROR(INDEX(Cluster_Master!$E$4:$E$18,MATCH($F569,Cluster_Master!$B$4:$B$18,0)),"")</f>
        <v/>
      </c>
      <c r="K569">
        <f>IFERROR(INDEX(Cluster_Master!$F$4:$F$18,MATCH($F569,Cluster_Master!$B$4:$B$18,0)),"")</f>
        <v/>
      </c>
      <c r="L569">
        <f>IFERROR(INDEX(Cluster_Master!$G$4:$G$18,MATCH($F569,Cluster_Master!$B$4:$B$18,0)),"")</f>
        <v/>
      </c>
      <c r="M569">
        <f>IFERROR(INDEX(Cluster_Master!$H$4:$H$18,MATCH($F569,Cluster_Master!$B$4:$B$18,0)),"")</f>
        <v/>
      </c>
      <c r="AI569">
        <f>IF(COUNTA(T569:AH569)=0,"",SUM(T569:AH569))</f>
        <v/>
      </c>
      <c r="AJ569">
        <f>IF(COUNTA(T569:AH569)=0,"",AI569/(COUNT(KPI_Weights!$A$4:$A$18)*5))</f>
        <v/>
      </c>
      <c r="AK569">
        <f>IF(COUNTA(T569:AH569)=0,"",SUMPRODUCT(T569:AH569,KPI_Weights!$B$4:$B$18)/5)</f>
        <v/>
      </c>
      <c r="AL569">
        <f>IF(COUNTA(T569:AH569)=0,"",IF(SUMPRODUCT(--(T569:AH569&lt;=1),--(KPI_Weights!$C$4:$C$18="YES"))&gt;0,"YES","NO"))</f>
        <v/>
      </c>
      <c r="AM569">
        <f>IF(AJ569="","",IF(AND(AL569="NO",AJ569&gt;=0.75),"YES","NO"))</f>
        <v/>
      </c>
      <c r="AN569">
        <f>IF(AJ569="","",IF(AJ569&lt;0.4,"Critical",IF(AJ569&lt;0.6,"Poor",IF(AJ569&lt;0.75,"Needs Improvement",IF(AJ569&lt;0.9,"Good","Excellent")))))</f>
        <v/>
      </c>
    </row>
    <row r="570" ht="15" customHeight="1" s="45">
      <c r="A570">
        <f>IF($B570="","",TEXT($B570,"yyyymmdd")&amp;"-"&amp;SUBSTITUTE($F570," ","")&amp;"-"&amp;TEXT(COUNTIF($F$4:F570,$F570),"00"))</f>
        <v/>
      </c>
      <c r="C570">
        <f>IF($B570="","",WEEKNUM($B570,2))</f>
        <v/>
      </c>
      <c r="D570">
        <f>IF($B570="","",TEXT($B570,"yyyy-mm"))</f>
        <v/>
      </c>
      <c r="G570">
        <f>IF(OR($E570="",$F570=""),"",IFERROR(IF($E570=INDEX(Cluster_Master!$A$4:$A$18,MATCH($F570,Cluster_Master!$B$4:$B$18,0)),"OK","CHECK"),"CHECK"))</f>
        <v/>
      </c>
      <c r="H570">
        <f>IFERROR(INDEX(Cluster_Master!$C$4:$C$18,MATCH($F570,Cluster_Master!$B$4:$B$18,0)),"")</f>
        <v/>
      </c>
      <c r="I570">
        <f>IFERROR(INDEX(Cluster_Master!$D$4:$D$18,MATCH($F570,Cluster_Master!$B$4:$B$18,0)),"")</f>
        <v/>
      </c>
      <c r="J570">
        <f>IFERROR(INDEX(Cluster_Master!$E$4:$E$18,MATCH($F570,Cluster_Master!$B$4:$B$18,0)),"")</f>
        <v/>
      </c>
      <c r="K570">
        <f>IFERROR(INDEX(Cluster_Master!$F$4:$F$18,MATCH($F570,Cluster_Master!$B$4:$B$18,0)),"")</f>
        <v/>
      </c>
      <c r="L570">
        <f>IFERROR(INDEX(Cluster_Master!$G$4:$G$18,MATCH($F570,Cluster_Master!$B$4:$B$18,0)),"")</f>
        <v/>
      </c>
      <c r="M570">
        <f>IFERROR(INDEX(Cluster_Master!$H$4:$H$18,MATCH($F570,Cluster_Master!$B$4:$B$18,0)),"")</f>
        <v/>
      </c>
      <c r="AI570">
        <f>IF(COUNTA(T570:AH570)=0,"",SUM(T570:AH570))</f>
        <v/>
      </c>
      <c r="AJ570">
        <f>IF(COUNTA(T570:AH570)=0,"",AI570/(COUNT(KPI_Weights!$A$4:$A$18)*5))</f>
        <v/>
      </c>
      <c r="AK570">
        <f>IF(COUNTA(T570:AH570)=0,"",SUMPRODUCT(T570:AH570,KPI_Weights!$B$4:$B$18)/5)</f>
        <v/>
      </c>
      <c r="AL570">
        <f>IF(COUNTA(T570:AH570)=0,"",IF(SUMPRODUCT(--(T570:AH570&lt;=1),--(KPI_Weights!$C$4:$C$18="YES"))&gt;0,"YES","NO"))</f>
        <v/>
      </c>
      <c r="AM570">
        <f>IF(AJ570="","",IF(AND(AL570="NO",AJ570&gt;=0.75),"YES","NO"))</f>
        <v/>
      </c>
      <c r="AN570">
        <f>IF(AJ570="","",IF(AJ570&lt;0.4,"Critical",IF(AJ570&lt;0.6,"Poor",IF(AJ570&lt;0.75,"Needs Improvement",IF(AJ570&lt;0.9,"Good","Excellent")))))</f>
        <v/>
      </c>
    </row>
    <row r="571" ht="15" customHeight="1" s="45">
      <c r="A571">
        <f>IF($B571="","",TEXT($B571,"yyyymmdd")&amp;"-"&amp;SUBSTITUTE($F571," ","")&amp;"-"&amp;TEXT(COUNTIF($F$4:F571,$F571),"00"))</f>
        <v/>
      </c>
      <c r="C571">
        <f>IF($B571="","",WEEKNUM($B571,2))</f>
        <v/>
      </c>
      <c r="D571">
        <f>IF($B571="","",TEXT($B571,"yyyy-mm"))</f>
        <v/>
      </c>
      <c r="G571">
        <f>IF(OR($E571="",$F571=""),"",IFERROR(IF($E571=INDEX(Cluster_Master!$A$4:$A$18,MATCH($F571,Cluster_Master!$B$4:$B$18,0)),"OK","CHECK"),"CHECK"))</f>
        <v/>
      </c>
      <c r="H571">
        <f>IFERROR(INDEX(Cluster_Master!$C$4:$C$18,MATCH($F571,Cluster_Master!$B$4:$B$18,0)),"")</f>
        <v/>
      </c>
      <c r="I571">
        <f>IFERROR(INDEX(Cluster_Master!$D$4:$D$18,MATCH($F571,Cluster_Master!$B$4:$B$18,0)),"")</f>
        <v/>
      </c>
      <c r="J571">
        <f>IFERROR(INDEX(Cluster_Master!$E$4:$E$18,MATCH($F571,Cluster_Master!$B$4:$B$18,0)),"")</f>
        <v/>
      </c>
      <c r="K571">
        <f>IFERROR(INDEX(Cluster_Master!$F$4:$F$18,MATCH($F571,Cluster_Master!$B$4:$B$18,0)),"")</f>
        <v/>
      </c>
      <c r="L571">
        <f>IFERROR(INDEX(Cluster_Master!$G$4:$G$18,MATCH($F571,Cluster_Master!$B$4:$B$18,0)),"")</f>
        <v/>
      </c>
      <c r="M571">
        <f>IFERROR(INDEX(Cluster_Master!$H$4:$H$18,MATCH($F571,Cluster_Master!$B$4:$B$18,0)),"")</f>
        <v/>
      </c>
      <c r="AI571">
        <f>IF(COUNTA(T571:AH571)=0,"",SUM(T571:AH571))</f>
        <v/>
      </c>
      <c r="AJ571">
        <f>IF(COUNTA(T571:AH571)=0,"",AI571/(COUNT(KPI_Weights!$A$4:$A$18)*5))</f>
        <v/>
      </c>
      <c r="AK571">
        <f>IF(COUNTA(T571:AH571)=0,"",SUMPRODUCT(T571:AH571,KPI_Weights!$B$4:$B$18)/5)</f>
        <v/>
      </c>
      <c r="AL571">
        <f>IF(COUNTA(T571:AH571)=0,"",IF(SUMPRODUCT(--(T571:AH571&lt;=1),--(KPI_Weights!$C$4:$C$18="YES"))&gt;0,"YES","NO"))</f>
        <v/>
      </c>
      <c r="AM571">
        <f>IF(AJ571="","",IF(AND(AL571="NO",AJ571&gt;=0.75),"YES","NO"))</f>
        <v/>
      </c>
      <c r="AN571">
        <f>IF(AJ571="","",IF(AJ571&lt;0.4,"Critical",IF(AJ571&lt;0.6,"Poor",IF(AJ571&lt;0.75,"Needs Improvement",IF(AJ571&lt;0.9,"Good","Excellent")))))</f>
        <v/>
      </c>
    </row>
    <row r="572" ht="15" customHeight="1" s="45">
      <c r="A572">
        <f>IF($B572="","",TEXT($B572,"yyyymmdd")&amp;"-"&amp;SUBSTITUTE($F572," ","")&amp;"-"&amp;TEXT(COUNTIF($F$4:F572,$F572),"00"))</f>
        <v/>
      </c>
      <c r="C572">
        <f>IF($B572="","",WEEKNUM($B572,2))</f>
        <v/>
      </c>
      <c r="D572">
        <f>IF($B572="","",TEXT($B572,"yyyy-mm"))</f>
        <v/>
      </c>
      <c r="G572">
        <f>IF(OR($E572="",$F572=""),"",IFERROR(IF($E572=INDEX(Cluster_Master!$A$4:$A$18,MATCH($F572,Cluster_Master!$B$4:$B$18,0)),"OK","CHECK"),"CHECK"))</f>
        <v/>
      </c>
      <c r="H572">
        <f>IFERROR(INDEX(Cluster_Master!$C$4:$C$18,MATCH($F572,Cluster_Master!$B$4:$B$18,0)),"")</f>
        <v/>
      </c>
      <c r="I572">
        <f>IFERROR(INDEX(Cluster_Master!$D$4:$D$18,MATCH($F572,Cluster_Master!$B$4:$B$18,0)),"")</f>
        <v/>
      </c>
      <c r="J572">
        <f>IFERROR(INDEX(Cluster_Master!$E$4:$E$18,MATCH($F572,Cluster_Master!$B$4:$B$18,0)),"")</f>
        <v/>
      </c>
      <c r="K572">
        <f>IFERROR(INDEX(Cluster_Master!$F$4:$F$18,MATCH($F572,Cluster_Master!$B$4:$B$18,0)),"")</f>
        <v/>
      </c>
      <c r="L572">
        <f>IFERROR(INDEX(Cluster_Master!$G$4:$G$18,MATCH($F572,Cluster_Master!$B$4:$B$18,0)),"")</f>
        <v/>
      </c>
      <c r="M572">
        <f>IFERROR(INDEX(Cluster_Master!$H$4:$H$18,MATCH($F572,Cluster_Master!$B$4:$B$18,0)),"")</f>
        <v/>
      </c>
      <c r="AI572">
        <f>IF(COUNTA(T572:AH572)=0,"",SUM(T572:AH572))</f>
        <v/>
      </c>
      <c r="AJ572">
        <f>IF(COUNTA(T572:AH572)=0,"",AI572/(COUNT(KPI_Weights!$A$4:$A$18)*5))</f>
        <v/>
      </c>
      <c r="AK572">
        <f>IF(COUNTA(T572:AH572)=0,"",SUMPRODUCT(T572:AH572,KPI_Weights!$B$4:$B$18)/5)</f>
        <v/>
      </c>
      <c r="AL572">
        <f>IF(COUNTA(T572:AH572)=0,"",IF(SUMPRODUCT(--(T572:AH572&lt;=1),--(KPI_Weights!$C$4:$C$18="YES"))&gt;0,"YES","NO"))</f>
        <v/>
      </c>
      <c r="AM572">
        <f>IF(AJ572="","",IF(AND(AL572="NO",AJ572&gt;=0.75),"YES","NO"))</f>
        <v/>
      </c>
      <c r="AN572">
        <f>IF(AJ572="","",IF(AJ572&lt;0.4,"Critical",IF(AJ572&lt;0.6,"Poor",IF(AJ572&lt;0.75,"Needs Improvement",IF(AJ572&lt;0.9,"Good","Excellent")))))</f>
        <v/>
      </c>
    </row>
    <row r="573" ht="15" customHeight="1" s="45">
      <c r="A573">
        <f>IF($B573="","",TEXT($B573,"yyyymmdd")&amp;"-"&amp;SUBSTITUTE($F573," ","")&amp;"-"&amp;TEXT(COUNTIF($F$4:F573,$F573),"00"))</f>
        <v/>
      </c>
      <c r="C573">
        <f>IF($B573="","",WEEKNUM($B573,2))</f>
        <v/>
      </c>
      <c r="D573">
        <f>IF($B573="","",TEXT($B573,"yyyy-mm"))</f>
        <v/>
      </c>
      <c r="G573">
        <f>IF(OR($E573="",$F573=""),"",IFERROR(IF($E573=INDEX(Cluster_Master!$A$4:$A$18,MATCH($F573,Cluster_Master!$B$4:$B$18,0)),"OK","CHECK"),"CHECK"))</f>
        <v/>
      </c>
      <c r="H573">
        <f>IFERROR(INDEX(Cluster_Master!$C$4:$C$18,MATCH($F573,Cluster_Master!$B$4:$B$18,0)),"")</f>
        <v/>
      </c>
      <c r="I573">
        <f>IFERROR(INDEX(Cluster_Master!$D$4:$D$18,MATCH($F573,Cluster_Master!$B$4:$B$18,0)),"")</f>
        <v/>
      </c>
      <c r="J573">
        <f>IFERROR(INDEX(Cluster_Master!$E$4:$E$18,MATCH($F573,Cluster_Master!$B$4:$B$18,0)),"")</f>
        <v/>
      </c>
      <c r="K573">
        <f>IFERROR(INDEX(Cluster_Master!$F$4:$F$18,MATCH($F573,Cluster_Master!$B$4:$B$18,0)),"")</f>
        <v/>
      </c>
      <c r="L573">
        <f>IFERROR(INDEX(Cluster_Master!$G$4:$G$18,MATCH($F573,Cluster_Master!$B$4:$B$18,0)),"")</f>
        <v/>
      </c>
      <c r="M573">
        <f>IFERROR(INDEX(Cluster_Master!$H$4:$H$18,MATCH($F573,Cluster_Master!$B$4:$B$18,0)),"")</f>
        <v/>
      </c>
      <c r="AI573">
        <f>IF(COUNTA(T573:AH573)=0,"",SUM(T573:AH573))</f>
        <v/>
      </c>
      <c r="AJ573">
        <f>IF(COUNTA(T573:AH573)=0,"",AI573/(COUNT(KPI_Weights!$A$4:$A$18)*5))</f>
        <v/>
      </c>
      <c r="AK573">
        <f>IF(COUNTA(T573:AH573)=0,"",SUMPRODUCT(T573:AH573,KPI_Weights!$B$4:$B$18)/5)</f>
        <v/>
      </c>
      <c r="AL573">
        <f>IF(COUNTA(T573:AH573)=0,"",IF(SUMPRODUCT(--(T573:AH573&lt;=1),--(KPI_Weights!$C$4:$C$18="YES"))&gt;0,"YES","NO"))</f>
        <v/>
      </c>
      <c r="AM573">
        <f>IF(AJ573="","",IF(AND(AL573="NO",AJ573&gt;=0.75),"YES","NO"))</f>
        <v/>
      </c>
      <c r="AN573">
        <f>IF(AJ573="","",IF(AJ573&lt;0.4,"Critical",IF(AJ573&lt;0.6,"Poor",IF(AJ573&lt;0.75,"Needs Improvement",IF(AJ573&lt;0.9,"Good","Excellent")))))</f>
        <v/>
      </c>
    </row>
    <row r="574" ht="15" customHeight="1" s="45">
      <c r="A574">
        <f>IF($B574="","",TEXT($B574,"yyyymmdd")&amp;"-"&amp;SUBSTITUTE($F574," ","")&amp;"-"&amp;TEXT(COUNTIF($F$4:F574,$F574),"00"))</f>
        <v/>
      </c>
      <c r="C574">
        <f>IF($B574="","",WEEKNUM($B574,2))</f>
        <v/>
      </c>
      <c r="D574">
        <f>IF($B574="","",TEXT($B574,"yyyy-mm"))</f>
        <v/>
      </c>
      <c r="G574">
        <f>IF(OR($E574="",$F574=""),"",IFERROR(IF($E574=INDEX(Cluster_Master!$A$4:$A$18,MATCH($F574,Cluster_Master!$B$4:$B$18,0)),"OK","CHECK"),"CHECK"))</f>
        <v/>
      </c>
      <c r="H574">
        <f>IFERROR(INDEX(Cluster_Master!$C$4:$C$18,MATCH($F574,Cluster_Master!$B$4:$B$18,0)),"")</f>
        <v/>
      </c>
      <c r="I574">
        <f>IFERROR(INDEX(Cluster_Master!$D$4:$D$18,MATCH($F574,Cluster_Master!$B$4:$B$18,0)),"")</f>
        <v/>
      </c>
      <c r="J574">
        <f>IFERROR(INDEX(Cluster_Master!$E$4:$E$18,MATCH($F574,Cluster_Master!$B$4:$B$18,0)),"")</f>
        <v/>
      </c>
      <c r="K574">
        <f>IFERROR(INDEX(Cluster_Master!$F$4:$F$18,MATCH($F574,Cluster_Master!$B$4:$B$18,0)),"")</f>
        <v/>
      </c>
      <c r="L574">
        <f>IFERROR(INDEX(Cluster_Master!$G$4:$G$18,MATCH($F574,Cluster_Master!$B$4:$B$18,0)),"")</f>
        <v/>
      </c>
      <c r="M574">
        <f>IFERROR(INDEX(Cluster_Master!$H$4:$H$18,MATCH($F574,Cluster_Master!$B$4:$B$18,0)),"")</f>
        <v/>
      </c>
      <c r="AI574">
        <f>IF(COUNTA(T574:AH574)=0,"",SUM(T574:AH574))</f>
        <v/>
      </c>
      <c r="AJ574">
        <f>IF(COUNTA(T574:AH574)=0,"",AI574/(COUNT(KPI_Weights!$A$4:$A$18)*5))</f>
        <v/>
      </c>
      <c r="AK574">
        <f>IF(COUNTA(T574:AH574)=0,"",SUMPRODUCT(T574:AH574,KPI_Weights!$B$4:$B$18)/5)</f>
        <v/>
      </c>
      <c r="AL574">
        <f>IF(COUNTA(T574:AH574)=0,"",IF(SUMPRODUCT(--(T574:AH574&lt;=1),--(KPI_Weights!$C$4:$C$18="YES"))&gt;0,"YES","NO"))</f>
        <v/>
      </c>
      <c r="AM574">
        <f>IF(AJ574="","",IF(AND(AL574="NO",AJ574&gt;=0.75),"YES","NO"))</f>
        <v/>
      </c>
      <c r="AN574">
        <f>IF(AJ574="","",IF(AJ574&lt;0.4,"Critical",IF(AJ574&lt;0.6,"Poor",IF(AJ574&lt;0.75,"Needs Improvement",IF(AJ574&lt;0.9,"Good","Excellent")))))</f>
        <v/>
      </c>
    </row>
    <row r="575" ht="15" customHeight="1" s="45">
      <c r="A575">
        <f>IF($B575="","",TEXT($B575,"yyyymmdd")&amp;"-"&amp;SUBSTITUTE($F575," ","")&amp;"-"&amp;TEXT(COUNTIF($F$4:F575,$F575),"00"))</f>
        <v/>
      </c>
      <c r="C575">
        <f>IF($B575="","",WEEKNUM($B575,2))</f>
        <v/>
      </c>
      <c r="D575">
        <f>IF($B575="","",TEXT($B575,"yyyy-mm"))</f>
        <v/>
      </c>
      <c r="G575">
        <f>IF(OR($E575="",$F575=""),"",IFERROR(IF($E575=INDEX(Cluster_Master!$A$4:$A$18,MATCH($F575,Cluster_Master!$B$4:$B$18,0)),"OK","CHECK"),"CHECK"))</f>
        <v/>
      </c>
      <c r="H575">
        <f>IFERROR(INDEX(Cluster_Master!$C$4:$C$18,MATCH($F575,Cluster_Master!$B$4:$B$18,0)),"")</f>
        <v/>
      </c>
      <c r="I575">
        <f>IFERROR(INDEX(Cluster_Master!$D$4:$D$18,MATCH($F575,Cluster_Master!$B$4:$B$18,0)),"")</f>
        <v/>
      </c>
      <c r="J575">
        <f>IFERROR(INDEX(Cluster_Master!$E$4:$E$18,MATCH($F575,Cluster_Master!$B$4:$B$18,0)),"")</f>
        <v/>
      </c>
      <c r="K575">
        <f>IFERROR(INDEX(Cluster_Master!$F$4:$F$18,MATCH($F575,Cluster_Master!$B$4:$B$18,0)),"")</f>
        <v/>
      </c>
      <c r="L575">
        <f>IFERROR(INDEX(Cluster_Master!$G$4:$G$18,MATCH($F575,Cluster_Master!$B$4:$B$18,0)),"")</f>
        <v/>
      </c>
      <c r="M575">
        <f>IFERROR(INDEX(Cluster_Master!$H$4:$H$18,MATCH($F575,Cluster_Master!$B$4:$B$18,0)),"")</f>
        <v/>
      </c>
      <c r="AI575">
        <f>IF(COUNTA(T575:AH575)=0,"",SUM(T575:AH575))</f>
        <v/>
      </c>
      <c r="AJ575">
        <f>IF(COUNTA(T575:AH575)=0,"",AI575/(COUNT(KPI_Weights!$A$4:$A$18)*5))</f>
        <v/>
      </c>
      <c r="AK575">
        <f>IF(COUNTA(T575:AH575)=0,"",SUMPRODUCT(T575:AH575,KPI_Weights!$B$4:$B$18)/5)</f>
        <v/>
      </c>
      <c r="AL575">
        <f>IF(COUNTA(T575:AH575)=0,"",IF(SUMPRODUCT(--(T575:AH575&lt;=1),--(KPI_Weights!$C$4:$C$18="YES"))&gt;0,"YES","NO"))</f>
        <v/>
      </c>
      <c r="AM575">
        <f>IF(AJ575="","",IF(AND(AL575="NO",AJ575&gt;=0.75),"YES","NO"))</f>
        <v/>
      </c>
      <c r="AN575">
        <f>IF(AJ575="","",IF(AJ575&lt;0.4,"Critical",IF(AJ575&lt;0.6,"Poor",IF(AJ575&lt;0.75,"Needs Improvement",IF(AJ575&lt;0.9,"Good","Excellent")))))</f>
        <v/>
      </c>
    </row>
    <row r="576" ht="15" customHeight="1" s="45">
      <c r="A576">
        <f>IF($B576="","",TEXT($B576,"yyyymmdd")&amp;"-"&amp;SUBSTITUTE($F576," ","")&amp;"-"&amp;TEXT(COUNTIF($F$4:F576,$F576),"00"))</f>
        <v/>
      </c>
      <c r="C576">
        <f>IF($B576="","",WEEKNUM($B576,2))</f>
        <v/>
      </c>
      <c r="D576">
        <f>IF($B576="","",TEXT($B576,"yyyy-mm"))</f>
        <v/>
      </c>
      <c r="G576">
        <f>IF(OR($E576="",$F576=""),"",IFERROR(IF($E576=INDEX(Cluster_Master!$A$4:$A$18,MATCH($F576,Cluster_Master!$B$4:$B$18,0)),"OK","CHECK"),"CHECK"))</f>
        <v/>
      </c>
      <c r="H576">
        <f>IFERROR(INDEX(Cluster_Master!$C$4:$C$18,MATCH($F576,Cluster_Master!$B$4:$B$18,0)),"")</f>
        <v/>
      </c>
      <c r="I576">
        <f>IFERROR(INDEX(Cluster_Master!$D$4:$D$18,MATCH($F576,Cluster_Master!$B$4:$B$18,0)),"")</f>
        <v/>
      </c>
      <c r="J576">
        <f>IFERROR(INDEX(Cluster_Master!$E$4:$E$18,MATCH($F576,Cluster_Master!$B$4:$B$18,0)),"")</f>
        <v/>
      </c>
      <c r="K576">
        <f>IFERROR(INDEX(Cluster_Master!$F$4:$F$18,MATCH($F576,Cluster_Master!$B$4:$B$18,0)),"")</f>
        <v/>
      </c>
      <c r="L576">
        <f>IFERROR(INDEX(Cluster_Master!$G$4:$G$18,MATCH($F576,Cluster_Master!$B$4:$B$18,0)),"")</f>
        <v/>
      </c>
      <c r="M576">
        <f>IFERROR(INDEX(Cluster_Master!$H$4:$H$18,MATCH($F576,Cluster_Master!$B$4:$B$18,0)),"")</f>
        <v/>
      </c>
      <c r="AI576">
        <f>IF(COUNTA(T576:AH576)=0,"",SUM(T576:AH576))</f>
        <v/>
      </c>
      <c r="AJ576">
        <f>IF(COUNTA(T576:AH576)=0,"",AI576/(COUNT(KPI_Weights!$A$4:$A$18)*5))</f>
        <v/>
      </c>
      <c r="AK576">
        <f>IF(COUNTA(T576:AH576)=0,"",SUMPRODUCT(T576:AH576,KPI_Weights!$B$4:$B$18)/5)</f>
        <v/>
      </c>
      <c r="AL576">
        <f>IF(COUNTA(T576:AH576)=0,"",IF(SUMPRODUCT(--(T576:AH576&lt;=1),--(KPI_Weights!$C$4:$C$18="YES"))&gt;0,"YES","NO"))</f>
        <v/>
      </c>
      <c r="AM576">
        <f>IF(AJ576="","",IF(AND(AL576="NO",AJ576&gt;=0.75),"YES","NO"))</f>
        <v/>
      </c>
      <c r="AN576">
        <f>IF(AJ576="","",IF(AJ576&lt;0.4,"Critical",IF(AJ576&lt;0.6,"Poor",IF(AJ576&lt;0.75,"Needs Improvement",IF(AJ576&lt;0.9,"Good","Excellent")))))</f>
        <v/>
      </c>
    </row>
    <row r="577" ht="15" customHeight="1" s="45">
      <c r="A577">
        <f>IF($B577="","",TEXT($B577,"yyyymmdd")&amp;"-"&amp;SUBSTITUTE($F577," ","")&amp;"-"&amp;TEXT(COUNTIF($F$4:F577,$F577),"00"))</f>
        <v/>
      </c>
      <c r="C577">
        <f>IF($B577="","",WEEKNUM($B577,2))</f>
        <v/>
      </c>
      <c r="D577">
        <f>IF($B577="","",TEXT($B577,"yyyy-mm"))</f>
        <v/>
      </c>
      <c r="G577">
        <f>IF(OR($E577="",$F577=""),"",IFERROR(IF($E577=INDEX(Cluster_Master!$A$4:$A$18,MATCH($F577,Cluster_Master!$B$4:$B$18,0)),"OK","CHECK"),"CHECK"))</f>
        <v/>
      </c>
      <c r="H577">
        <f>IFERROR(INDEX(Cluster_Master!$C$4:$C$18,MATCH($F577,Cluster_Master!$B$4:$B$18,0)),"")</f>
        <v/>
      </c>
      <c r="I577">
        <f>IFERROR(INDEX(Cluster_Master!$D$4:$D$18,MATCH($F577,Cluster_Master!$B$4:$B$18,0)),"")</f>
        <v/>
      </c>
      <c r="J577">
        <f>IFERROR(INDEX(Cluster_Master!$E$4:$E$18,MATCH($F577,Cluster_Master!$B$4:$B$18,0)),"")</f>
        <v/>
      </c>
      <c r="K577">
        <f>IFERROR(INDEX(Cluster_Master!$F$4:$F$18,MATCH($F577,Cluster_Master!$B$4:$B$18,0)),"")</f>
        <v/>
      </c>
      <c r="L577">
        <f>IFERROR(INDEX(Cluster_Master!$G$4:$G$18,MATCH($F577,Cluster_Master!$B$4:$B$18,0)),"")</f>
        <v/>
      </c>
      <c r="M577">
        <f>IFERROR(INDEX(Cluster_Master!$H$4:$H$18,MATCH($F577,Cluster_Master!$B$4:$B$18,0)),"")</f>
        <v/>
      </c>
      <c r="AI577">
        <f>IF(COUNTA(T577:AH577)=0,"",SUM(T577:AH577))</f>
        <v/>
      </c>
      <c r="AJ577">
        <f>IF(COUNTA(T577:AH577)=0,"",AI577/(COUNT(KPI_Weights!$A$4:$A$18)*5))</f>
        <v/>
      </c>
      <c r="AK577">
        <f>IF(COUNTA(T577:AH577)=0,"",SUMPRODUCT(T577:AH577,KPI_Weights!$B$4:$B$18)/5)</f>
        <v/>
      </c>
      <c r="AL577">
        <f>IF(COUNTA(T577:AH577)=0,"",IF(SUMPRODUCT(--(T577:AH577&lt;=1),--(KPI_Weights!$C$4:$C$18="YES"))&gt;0,"YES","NO"))</f>
        <v/>
      </c>
      <c r="AM577">
        <f>IF(AJ577="","",IF(AND(AL577="NO",AJ577&gt;=0.75),"YES","NO"))</f>
        <v/>
      </c>
      <c r="AN577">
        <f>IF(AJ577="","",IF(AJ577&lt;0.4,"Critical",IF(AJ577&lt;0.6,"Poor",IF(AJ577&lt;0.75,"Needs Improvement",IF(AJ577&lt;0.9,"Good","Excellent")))))</f>
        <v/>
      </c>
    </row>
    <row r="578" ht="15" customHeight="1" s="45">
      <c r="A578">
        <f>IF($B578="","",TEXT($B578,"yyyymmdd")&amp;"-"&amp;SUBSTITUTE($F578," ","")&amp;"-"&amp;TEXT(COUNTIF($F$4:F578,$F578),"00"))</f>
        <v/>
      </c>
      <c r="C578">
        <f>IF($B578="","",WEEKNUM($B578,2))</f>
        <v/>
      </c>
      <c r="D578">
        <f>IF($B578="","",TEXT($B578,"yyyy-mm"))</f>
        <v/>
      </c>
      <c r="G578">
        <f>IF(OR($E578="",$F578=""),"",IFERROR(IF($E578=INDEX(Cluster_Master!$A$4:$A$18,MATCH($F578,Cluster_Master!$B$4:$B$18,0)),"OK","CHECK"),"CHECK"))</f>
        <v/>
      </c>
      <c r="H578">
        <f>IFERROR(INDEX(Cluster_Master!$C$4:$C$18,MATCH($F578,Cluster_Master!$B$4:$B$18,0)),"")</f>
        <v/>
      </c>
      <c r="I578">
        <f>IFERROR(INDEX(Cluster_Master!$D$4:$D$18,MATCH($F578,Cluster_Master!$B$4:$B$18,0)),"")</f>
        <v/>
      </c>
      <c r="J578">
        <f>IFERROR(INDEX(Cluster_Master!$E$4:$E$18,MATCH($F578,Cluster_Master!$B$4:$B$18,0)),"")</f>
        <v/>
      </c>
      <c r="K578">
        <f>IFERROR(INDEX(Cluster_Master!$F$4:$F$18,MATCH($F578,Cluster_Master!$B$4:$B$18,0)),"")</f>
        <v/>
      </c>
      <c r="L578">
        <f>IFERROR(INDEX(Cluster_Master!$G$4:$G$18,MATCH($F578,Cluster_Master!$B$4:$B$18,0)),"")</f>
        <v/>
      </c>
      <c r="M578">
        <f>IFERROR(INDEX(Cluster_Master!$H$4:$H$18,MATCH($F578,Cluster_Master!$B$4:$B$18,0)),"")</f>
        <v/>
      </c>
      <c r="AI578">
        <f>IF(COUNTA(T578:AH578)=0,"",SUM(T578:AH578))</f>
        <v/>
      </c>
      <c r="AJ578">
        <f>IF(COUNTA(T578:AH578)=0,"",AI578/(COUNT(KPI_Weights!$A$4:$A$18)*5))</f>
        <v/>
      </c>
      <c r="AK578">
        <f>IF(COUNTA(T578:AH578)=0,"",SUMPRODUCT(T578:AH578,KPI_Weights!$B$4:$B$18)/5)</f>
        <v/>
      </c>
      <c r="AL578">
        <f>IF(COUNTA(T578:AH578)=0,"",IF(SUMPRODUCT(--(T578:AH578&lt;=1),--(KPI_Weights!$C$4:$C$18="YES"))&gt;0,"YES","NO"))</f>
        <v/>
      </c>
      <c r="AM578">
        <f>IF(AJ578="","",IF(AND(AL578="NO",AJ578&gt;=0.75),"YES","NO"))</f>
        <v/>
      </c>
      <c r="AN578">
        <f>IF(AJ578="","",IF(AJ578&lt;0.4,"Critical",IF(AJ578&lt;0.6,"Poor",IF(AJ578&lt;0.75,"Needs Improvement",IF(AJ578&lt;0.9,"Good","Excellent")))))</f>
        <v/>
      </c>
    </row>
    <row r="579" ht="15" customHeight="1" s="45">
      <c r="A579">
        <f>IF($B579="","",TEXT($B579,"yyyymmdd")&amp;"-"&amp;SUBSTITUTE($F579," ","")&amp;"-"&amp;TEXT(COUNTIF($F$4:F579,$F579),"00"))</f>
        <v/>
      </c>
      <c r="C579">
        <f>IF($B579="","",WEEKNUM($B579,2))</f>
        <v/>
      </c>
      <c r="D579">
        <f>IF($B579="","",TEXT($B579,"yyyy-mm"))</f>
        <v/>
      </c>
      <c r="G579">
        <f>IF(OR($E579="",$F579=""),"",IFERROR(IF($E579=INDEX(Cluster_Master!$A$4:$A$18,MATCH($F579,Cluster_Master!$B$4:$B$18,0)),"OK","CHECK"),"CHECK"))</f>
        <v/>
      </c>
      <c r="H579">
        <f>IFERROR(INDEX(Cluster_Master!$C$4:$C$18,MATCH($F579,Cluster_Master!$B$4:$B$18,0)),"")</f>
        <v/>
      </c>
      <c r="I579">
        <f>IFERROR(INDEX(Cluster_Master!$D$4:$D$18,MATCH($F579,Cluster_Master!$B$4:$B$18,0)),"")</f>
        <v/>
      </c>
      <c r="J579">
        <f>IFERROR(INDEX(Cluster_Master!$E$4:$E$18,MATCH($F579,Cluster_Master!$B$4:$B$18,0)),"")</f>
        <v/>
      </c>
      <c r="K579">
        <f>IFERROR(INDEX(Cluster_Master!$F$4:$F$18,MATCH($F579,Cluster_Master!$B$4:$B$18,0)),"")</f>
        <v/>
      </c>
      <c r="L579">
        <f>IFERROR(INDEX(Cluster_Master!$G$4:$G$18,MATCH($F579,Cluster_Master!$B$4:$B$18,0)),"")</f>
        <v/>
      </c>
      <c r="M579">
        <f>IFERROR(INDEX(Cluster_Master!$H$4:$H$18,MATCH($F579,Cluster_Master!$B$4:$B$18,0)),"")</f>
        <v/>
      </c>
      <c r="AI579">
        <f>IF(COUNTA(T579:AH579)=0,"",SUM(T579:AH579))</f>
        <v/>
      </c>
      <c r="AJ579">
        <f>IF(COUNTA(T579:AH579)=0,"",AI579/(COUNT(KPI_Weights!$A$4:$A$18)*5))</f>
        <v/>
      </c>
      <c r="AK579">
        <f>IF(COUNTA(T579:AH579)=0,"",SUMPRODUCT(T579:AH579,KPI_Weights!$B$4:$B$18)/5)</f>
        <v/>
      </c>
      <c r="AL579">
        <f>IF(COUNTA(T579:AH579)=0,"",IF(SUMPRODUCT(--(T579:AH579&lt;=1),--(KPI_Weights!$C$4:$C$18="YES"))&gt;0,"YES","NO"))</f>
        <v/>
      </c>
      <c r="AM579">
        <f>IF(AJ579="","",IF(AND(AL579="NO",AJ579&gt;=0.75),"YES","NO"))</f>
        <v/>
      </c>
      <c r="AN579">
        <f>IF(AJ579="","",IF(AJ579&lt;0.4,"Critical",IF(AJ579&lt;0.6,"Poor",IF(AJ579&lt;0.75,"Needs Improvement",IF(AJ579&lt;0.9,"Good","Excellent")))))</f>
        <v/>
      </c>
    </row>
    <row r="580" ht="15" customHeight="1" s="45">
      <c r="A580">
        <f>IF($B580="","",TEXT($B580,"yyyymmdd")&amp;"-"&amp;SUBSTITUTE($F580," ","")&amp;"-"&amp;TEXT(COUNTIF($F$4:F580,$F580),"00"))</f>
        <v/>
      </c>
      <c r="C580">
        <f>IF($B580="","",WEEKNUM($B580,2))</f>
        <v/>
      </c>
      <c r="D580">
        <f>IF($B580="","",TEXT($B580,"yyyy-mm"))</f>
        <v/>
      </c>
      <c r="G580">
        <f>IF(OR($E580="",$F580=""),"",IFERROR(IF($E580=INDEX(Cluster_Master!$A$4:$A$18,MATCH($F580,Cluster_Master!$B$4:$B$18,0)),"OK","CHECK"),"CHECK"))</f>
        <v/>
      </c>
      <c r="H580">
        <f>IFERROR(INDEX(Cluster_Master!$C$4:$C$18,MATCH($F580,Cluster_Master!$B$4:$B$18,0)),"")</f>
        <v/>
      </c>
      <c r="I580">
        <f>IFERROR(INDEX(Cluster_Master!$D$4:$D$18,MATCH($F580,Cluster_Master!$B$4:$B$18,0)),"")</f>
        <v/>
      </c>
      <c r="J580">
        <f>IFERROR(INDEX(Cluster_Master!$E$4:$E$18,MATCH($F580,Cluster_Master!$B$4:$B$18,0)),"")</f>
        <v/>
      </c>
      <c r="K580">
        <f>IFERROR(INDEX(Cluster_Master!$F$4:$F$18,MATCH($F580,Cluster_Master!$B$4:$B$18,0)),"")</f>
        <v/>
      </c>
      <c r="L580">
        <f>IFERROR(INDEX(Cluster_Master!$G$4:$G$18,MATCH($F580,Cluster_Master!$B$4:$B$18,0)),"")</f>
        <v/>
      </c>
      <c r="M580">
        <f>IFERROR(INDEX(Cluster_Master!$H$4:$H$18,MATCH($F580,Cluster_Master!$B$4:$B$18,0)),"")</f>
        <v/>
      </c>
      <c r="AI580">
        <f>IF(COUNTA(T580:AH580)=0,"",SUM(T580:AH580))</f>
        <v/>
      </c>
      <c r="AJ580">
        <f>IF(COUNTA(T580:AH580)=0,"",AI580/(COUNT(KPI_Weights!$A$4:$A$18)*5))</f>
        <v/>
      </c>
      <c r="AK580">
        <f>IF(COUNTA(T580:AH580)=0,"",SUMPRODUCT(T580:AH580,KPI_Weights!$B$4:$B$18)/5)</f>
        <v/>
      </c>
      <c r="AL580">
        <f>IF(COUNTA(T580:AH580)=0,"",IF(SUMPRODUCT(--(T580:AH580&lt;=1),--(KPI_Weights!$C$4:$C$18="YES"))&gt;0,"YES","NO"))</f>
        <v/>
      </c>
      <c r="AM580">
        <f>IF(AJ580="","",IF(AND(AL580="NO",AJ580&gt;=0.75),"YES","NO"))</f>
        <v/>
      </c>
      <c r="AN580">
        <f>IF(AJ580="","",IF(AJ580&lt;0.4,"Critical",IF(AJ580&lt;0.6,"Poor",IF(AJ580&lt;0.75,"Needs Improvement",IF(AJ580&lt;0.9,"Good","Excellent")))))</f>
        <v/>
      </c>
    </row>
    <row r="581" ht="15" customHeight="1" s="45">
      <c r="A581">
        <f>IF($B581="","",TEXT($B581,"yyyymmdd")&amp;"-"&amp;SUBSTITUTE($F581," ","")&amp;"-"&amp;TEXT(COUNTIF($F$4:F581,$F581),"00"))</f>
        <v/>
      </c>
      <c r="C581">
        <f>IF($B581="","",WEEKNUM($B581,2))</f>
        <v/>
      </c>
      <c r="D581">
        <f>IF($B581="","",TEXT($B581,"yyyy-mm"))</f>
        <v/>
      </c>
      <c r="G581">
        <f>IF(OR($E581="",$F581=""),"",IFERROR(IF($E581=INDEX(Cluster_Master!$A$4:$A$18,MATCH($F581,Cluster_Master!$B$4:$B$18,0)),"OK","CHECK"),"CHECK"))</f>
        <v/>
      </c>
      <c r="H581">
        <f>IFERROR(INDEX(Cluster_Master!$C$4:$C$18,MATCH($F581,Cluster_Master!$B$4:$B$18,0)),"")</f>
        <v/>
      </c>
      <c r="I581">
        <f>IFERROR(INDEX(Cluster_Master!$D$4:$D$18,MATCH($F581,Cluster_Master!$B$4:$B$18,0)),"")</f>
        <v/>
      </c>
      <c r="J581">
        <f>IFERROR(INDEX(Cluster_Master!$E$4:$E$18,MATCH($F581,Cluster_Master!$B$4:$B$18,0)),"")</f>
        <v/>
      </c>
      <c r="K581">
        <f>IFERROR(INDEX(Cluster_Master!$F$4:$F$18,MATCH($F581,Cluster_Master!$B$4:$B$18,0)),"")</f>
        <v/>
      </c>
      <c r="L581">
        <f>IFERROR(INDEX(Cluster_Master!$G$4:$G$18,MATCH($F581,Cluster_Master!$B$4:$B$18,0)),"")</f>
        <v/>
      </c>
      <c r="M581">
        <f>IFERROR(INDEX(Cluster_Master!$H$4:$H$18,MATCH($F581,Cluster_Master!$B$4:$B$18,0)),"")</f>
        <v/>
      </c>
      <c r="AI581">
        <f>IF(COUNTA(T581:AH581)=0,"",SUM(T581:AH581))</f>
        <v/>
      </c>
      <c r="AJ581">
        <f>IF(COUNTA(T581:AH581)=0,"",AI581/(COUNT(KPI_Weights!$A$4:$A$18)*5))</f>
        <v/>
      </c>
      <c r="AK581">
        <f>IF(COUNTA(T581:AH581)=0,"",SUMPRODUCT(T581:AH581,KPI_Weights!$B$4:$B$18)/5)</f>
        <v/>
      </c>
      <c r="AL581">
        <f>IF(COUNTA(T581:AH581)=0,"",IF(SUMPRODUCT(--(T581:AH581&lt;=1),--(KPI_Weights!$C$4:$C$18="YES"))&gt;0,"YES","NO"))</f>
        <v/>
      </c>
      <c r="AM581">
        <f>IF(AJ581="","",IF(AND(AL581="NO",AJ581&gt;=0.75),"YES","NO"))</f>
        <v/>
      </c>
      <c r="AN581">
        <f>IF(AJ581="","",IF(AJ581&lt;0.4,"Critical",IF(AJ581&lt;0.6,"Poor",IF(AJ581&lt;0.75,"Needs Improvement",IF(AJ581&lt;0.9,"Good","Excellent")))))</f>
        <v/>
      </c>
    </row>
    <row r="582" ht="15" customHeight="1" s="45">
      <c r="A582">
        <f>IF($B582="","",TEXT($B582,"yyyymmdd")&amp;"-"&amp;SUBSTITUTE($F582," ","")&amp;"-"&amp;TEXT(COUNTIF($F$4:F582,$F582),"00"))</f>
        <v/>
      </c>
      <c r="C582">
        <f>IF($B582="","",WEEKNUM($B582,2))</f>
        <v/>
      </c>
      <c r="D582">
        <f>IF($B582="","",TEXT($B582,"yyyy-mm"))</f>
        <v/>
      </c>
      <c r="G582">
        <f>IF(OR($E582="",$F582=""),"",IFERROR(IF($E582=INDEX(Cluster_Master!$A$4:$A$18,MATCH($F582,Cluster_Master!$B$4:$B$18,0)),"OK","CHECK"),"CHECK"))</f>
        <v/>
      </c>
      <c r="H582">
        <f>IFERROR(INDEX(Cluster_Master!$C$4:$C$18,MATCH($F582,Cluster_Master!$B$4:$B$18,0)),"")</f>
        <v/>
      </c>
      <c r="I582">
        <f>IFERROR(INDEX(Cluster_Master!$D$4:$D$18,MATCH($F582,Cluster_Master!$B$4:$B$18,0)),"")</f>
        <v/>
      </c>
      <c r="J582">
        <f>IFERROR(INDEX(Cluster_Master!$E$4:$E$18,MATCH($F582,Cluster_Master!$B$4:$B$18,0)),"")</f>
        <v/>
      </c>
      <c r="K582">
        <f>IFERROR(INDEX(Cluster_Master!$F$4:$F$18,MATCH($F582,Cluster_Master!$B$4:$B$18,0)),"")</f>
        <v/>
      </c>
      <c r="L582">
        <f>IFERROR(INDEX(Cluster_Master!$G$4:$G$18,MATCH($F582,Cluster_Master!$B$4:$B$18,0)),"")</f>
        <v/>
      </c>
      <c r="M582">
        <f>IFERROR(INDEX(Cluster_Master!$H$4:$H$18,MATCH($F582,Cluster_Master!$B$4:$B$18,0)),"")</f>
        <v/>
      </c>
      <c r="AI582">
        <f>IF(COUNTA(T582:AH582)=0,"",SUM(T582:AH582))</f>
        <v/>
      </c>
      <c r="AJ582">
        <f>IF(COUNTA(T582:AH582)=0,"",AI582/(COUNT(KPI_Weights!$A$4:$A$18)*5))</f>
        <v/>
      </c>
      <c r="AK582">
        <f>IF(COUNTA(T582:AH582)=0,"",SUMPRODUCT(T582:AH582,KPI_Weights!$B$4:$B$18)/5)</f>
        <v/>
      </c>
      <c r="AL582">
        <f>IF(COUNTA(T582:AH582)=0,"",IF(SUMPRODUCT(--(T582:AH582&lt;=1),--(KPI_Weights!$C$4:$C$18="YES"))&gt;0,"YES","NO"))</f>
        <v/>
      </c>
      <c r="AM582">
        <f>IF(AJ582="","",IF(AND(AL582="NO",AJ582&gt;=0.75),"YES","NO"))</f>
        <v/>
      </c>
      <c r="AN582">
        <f>IF(AJ582="","",IF(AJ582&lt;0.4,"Critical",IF(AJ582&lt;0.6,"Poor",IF(AJ582&lt;0.75,"Needs Improvement",IF(AJ582&lt;0.9,"Good","Excellent")))))</f>
        <v/>
      </c>
    </row>
    <row r="583" ht="15" customHeight="1" s="45">
      <c r="A583">
        <f>IF($B583="","",TEXT($B583,"yyyymmdd")&amp;"-"&amp;SUBSTITUTE($F583," ","")&amp;"-"&amp;TEXT(COUNTIF($F$4:F583,$F583),"00"))</f>
        <v/>
      </c>
      <c r="C583">
        <f>IF($B583="","",WEEKNUM($B583,2))</f>
        <v/>
      </c>
      <c r="D583">
        <f>IF($B583="","",TEXT($B583,"yyyy-mm"))</f>
        <v/>
      </c>
      <c r="G583">
        <f>IF(OR($E583="",$F583=""),"",IFERROR(IF($E583=INDEX(Cluster_Master!$A$4:$A$18,MATCH($F583,Cluster_Master!$B$4:$B$18,0)),"OK","CHECK"),"CHECK"))</f>
        <v/>
      </c>
      <c r="H583">
        <f>IFERROR(INDEX(Cluster_Master!$C$4:$C$18,MATCH($F583,Cluster_Master!$B$4:$B$18,0)),"")</f>
        <v/>
      </c>
      <c r="I583">
        <f>IFERROR(INDEX(Cluster_Master!$D$4:$D$18,MATCH($F583,Cluster_Master!$B$4:$B$18,0)),"")</f>
        <v/>
      </c>
      <c r="J583">
        <f>IFERROR(INDEX(Cluster_Master!$E$4:$E$18,MATCH($F583,Cluster_Master!$B$4:$B$18,0)),"")</f>
        <v/>
      </c>
      <c r="K583">
        <f>IFERROR(INDEX(Cluster_Master!$F$4:$F$18,MATCH($F583,Cluster_Master!$B$4:$B$18,0)),"")</f>
        <v/>
      </c>
      <c r="L583">
        <f>IFERROR(INDEX(Cluster_Master!$G$4:$G$18,MATCH($F583,Cluster_Master!$B$4:$B$18,0)),"")</f>
        <v/>
      </c>
      <c r="M583">
        <f>IFERROR(INDEX(Cluster_Master!$H$4:$H$18,MATCH($F583,Cluster_Master!$B$4:$B$18,0)),"")</f>
        <v/>
      </c>
      <c r="AI583">
        <f>IF(COUNTA(T583:AH583)=0,"",SUM(T583:AH583))</f>
        <v/>
      </c>
      <c r="AJ583">
        <f>IF(COUNTA(T583:AH583)=0,"",AI583/(COUNT(KPI_Weights!$A$4:$A$18)*5))</f>
        <v/>
      </c>
      <c r="AK583">
        <f>IF(COUNTA(T583:AH583)=0,"",SUMPRODUCT(T583:AH583,KPI_Weights!$B$4:$B$18)/5)</f>
        <v/>
      </c>
      <c r="AL583">
        <f>IF(COUNTA(T583:AH583)=0,"",IF(SUMPRODUCT(--(T583:AH583&lt;=1),--(KPI_Weights!$C$4:$C$18="YES"))&gt;0,"YES","NO"))</f>
        <v/>
      </c>
      <c r="AM583">
        <f>IF(AJ583="","",IF(AND(AL583="NO",AJ583&gt;=0.75),"YES","NO"))</f>
        <v/>
      </c>
      <c r="AN583">
        <f>IF(AJ583="","",IF(AJ583&lt;0.4,"Critical",IF(AJ583&lt;0.6,"Poor",IF(AJ583&lt;0.75,"Needs Improvement",IF(AJ583&lt;0.9,"Good","Excellent")))))</f>
        <v/>
      </c>
    </row>
    <row r="584" ht="15" customHeight="1" s="45">
      <c r="A584">
        <f>IF($B584="","",TEXT($B584,"yyyymmdd")&amp;"-"&amp;SUBSTITUTE($F584," ","")&amp;"-"&amp;TEXT(COUNTIF($F$4:F584,$F584),"00"))</f>
        <v/>
      </c>
      <c r="C584">
        <f>IF($B584="","",WEEKNUM($B584,2))</f>
        <v/>
      </c>
      <c r="D584">
        <f>IF($B584="","",TEXT($B584,"yyyy-mm"))</f>
        <v/>
      </c>
      <c r="G584">
        <f>IF(OR($E584="",$F584=""),"",IFERROR(IF($E584=INDEX(Cluster_Master!$A$4:$A$18,MATCH($F584,Cluster_Master!$B$4:$B$18,0)),"OK","CHECK"),"CHECK"))</f>
        <v/>
      </c>
      <c r="H584">
        <f>IFERROR(INDEX(Cluster_Master!$C$4:$C$18,MATCH($F584,Cluster_Master!$B$4:$B$18,0)),"")</f>
        <v/>
      </c>
      <c r="I584">
        <f>IFERROR(INDEX(Cluster_Master!$D$4:$D$18,MATCH($F584,Cluster_Master!$B$4:$B$18,0)),"")</f>
        <v/>
      </c>
      <c r="J584">
        <f>IFERROR(INDEX(Cluster_Master!$E$4:$E$18,MATCH($F584,Cluster_Master!$B$4:$B$18,0)),"")</f>
        <v/>
      </c>
      <c r="K584">
        <f>IFERROR(INDEX(Cluster_Master!$F$4:$F$18,MATCH($F584,Cluster_Master!$B$4:$B$18,0)),"")</f>
        <v/>
      </c>
      <c r="L584">
        <f>IFERROR(INDEX(Cluster_Master!$G$4:$G$18,MATCH($F584,Cluster_Master!$B$4:$B$18,0)),"")</f>
        <v/>
      </c>
      <c r="M584">
        <f>IFERROR(INDEX(Cluster_Master!$H$4:$H$18,MATCH($F584,Cluster_Master!$B$4:$B$18,0)),"")</f>
        <v/>
      </c>
      <c r="AI584">
        <f>IF(COUNTA(T584:AH584)=0,"",SUM(T584:AH584))</f>
        <v/>
      </c>
      <c r="AJ584">
        <f>IF(COUNTA(T584:AH584)=0,"",AI584/(COUNT(KPI_Weights!$A$4:$A$18)*5))</f>
        <v/>
      </c>
      <c r="AK584">
        <f>IF(COUNTA(T584:AH584)=0,"",SUMPRODUCT(T584:AH584,KPI_Weights!$B$4:$B$18)/5)</f>
        <v/>
      </c>
      <c r="AL584">
        <f>IF(COUNTA(T584:AH584)=0,"",IF(SUMPRODUCT(--(T584:AH584&lt;=1),--(KPI_Weights!$C$4:$C$18="YES"))&gt;0,"YES","NO"))</f>
        <v/>
      </c>
      <c r="AM584">
        <f>IF(AJ584="","",IF(AND(AL584="NO",AJ584&gt;=0.75),"YES","NO"))</f>
        <v/>
      </c>
      <c r="AN584">
        <f>IF(AJ584="","",IF(AJ584&lt;0.4,"Critical",IF(AJ584&lt;0.6,"Poor",IF(AJ584&lt;0.75,"Needs Improvement",IF(AJ584&lt;0.9,"Good","Excellent")))))</f>
        <v/>
      </c>
    </row>
    <row r="585" ht="15" customHeight="1" s="45">
      <c r="A585">
        <f>IF($B585="","",TEXT($B585,"yyyymmdd")&amp;"-"&amp;SUBSTITUTE($F585," ","")&amp;"-"&amp;TEXT(COUNTIF($F$4:F585,$F585),"00"))</f>
        <v/>
      </c>
      <c r="C585">
        <f>IF($B585="","",WEEKNUM($B585,2))</f>
        <v/>
      </c>
      <c r="D585">
        <f>IF($B585="","",TEXT($B585,"yyyy-mm"))</f>
        <v/>
      </c>
      <c r="G585">
        <f>IF(OR($E585="",$F585=""),"",IFERROR(IF($E585=INDEX(Cluster_Master!$A$4:$A$18,MATCH($F585,Cluster_Master!$B$4:$B$18,0)),"OK","CHECK"),"CHECK"))</f>
        <v/>
      </c>
      <c r="H585">
        <f>IFERROR(INDEX(Cluster_Master!$C$4:$C$18,MATCH($F585,Cluster_Master!$B$4:$B$18,0)),"")</f>
        <v/>
      </c>
      <c r="I585">
        <f>IFERROR(INDEX(Cluster_Master!$D$4:$D$18,MATCH($F585,Cluster_Master!$B$4:$B$18,0)),"")</f>
        <v/>
      </c>
      <c r="J585">
        <f>IFERROR(INDEX(Cluster_Master!$E$4:$E$18,MATCH($F585,Cluster_Master!$B$4:$B$18,0)),"")</f>
        <v/>
      </c>
      <c r="K585">
        <f>IFERROR(INDEX(Cluster_Master!$F$4:$F$18,MATCH($F585,Cluster_Master!$B$4:$B$18,0)),"")</f>
        <v/>
      </c>
      <c r="L585">
        <f>IFERROR(INDEX(Cluster_Master!$G$4:$G$18,MATCH($F585,Cluster_Master!$B$4:$B$18,0)),"")</f>
        <v/>
      </c>
      <c r="M585">
        <f>IFERROR(INDEX(Cluster_Master!$H$4:$H$18,MATCH($F585,Cluster_Master!$B$4:$B$18,0)),"")</f>
        <v/>
      </c>
      <c r="AI585">
        <f>IF(COUNTA(T585:AH585)=0,"",SUM(T585:AH585))</f>
        <v/>
      </c>
      <c r="AJ585">
        <f>IF(COUNTA(T585:AH585)=0,"",AI585/(COUNT(KPI_Weights!$A$4:$A$18)*5))</f>
        <v/>
      </c>
      <c r="AK585">
        <f>IF(COUNTA(T585:AH585)=0,"",SUMPRODUCT(T585:AH585,KPI_Weights!$B$4:$B$18)/5)</f>
        <v/>
      </c>
      <c r="AL585">
        <f>IF(COUNTA(T585:AH585)=0,"",IF(SUMPRODUCT(--(T585:AH585&lt;=1),--(KPI_Weights!$C$4:$C$18="YES"))&gt;0,"YES","NO"))</f>
        <v/>
      </c>
      <c r="AM585">
        <f>IF(AJ585="","",IF(AND(AL585="NO",AJ585&gt;=0.75),"YES","NO"))</f>
        <v/>
      </c>
      <c r="AN585">
        <f>IF(AJ585="","",IF(AJ585&lt;0.4,"Critical",IF(AJ585&lt;0.6,"Poor",IF(AJ585&lt;0.75,"Needs Improvement",IF(AJ585&lt;0.9,"Good","Excellent")))))</f>
        <v/>
      </c>
    </row>
    <row r="586" ht="15" customHeight="1" s="45">
      <c r="A586">
        <f>IF($B586="","",TEXT($B586,"yyyymmdd")&amp;"-"&amp;SUBSTITUTE($F586," ","")&amp;"-"&amp;TEXT(COUNTIF($F$4:F586,$F586),"00"))</f>
        <v/>
      </c>
      <c r="C586">
        <f>IF($B586="","",WEEKNUM($B586,2))</f>
        <v/>
      </c>
      <c r="D586">
        <f>IF($B586="","",TEXT($B586,"yyyy-mm"))</f>
        <v/>
      </c>
      <c r="G586">
        <f>IF(OR($E586="",$F586=""),"",IFERROR(IF($E586=INDEX(Cluster_Master!$A$4:$A$18,MATCH($F586,Cluster_Master!$B$4:$B$18,0)),"OK","CHECK"),"CHECK"))</f>
        <v/>
      </c>
      <c r="H586">
        <f>IFERROR(INDEX(Cluster_Master!$C$4:$C$18,MATCH($F586,Cluster_Master!$B$4:$B$18,0)),"")</f>
        <v/>
      </c>
      <c r="I586">
        <f>IFERROR(INDEX(Cluster_Master!$D$4:$D$18,MATCH($F586,Cluster_Master!$B$4:$B$18,0)),"")</f>
        <v/>
      </c>
      <c r="J586">
        <f>IFERROR(INDEX(Cluster_Master!$E$4:$E$18,MATCH($F586,Cluster_Master!$B$4:$B$18,0)),"")</f>
        <v/>
      </c>
      <c r="K586">
        <f>IFERROR(INDEX(Cluster_Master!$F$4:$F$18,MATCH($F586,Cluster_Master!$B$4:$B$18,0)),"")</f>
        <v/>
      </c>
      <c r="L586">
        <f>IFERROR(INDEX(Cluster_Master!$G$4:$G$18,MATCH($F586,Cluster_Master!$B$4:$B$18,0)),"")</f>
        <v/>
      </c>
      <c r="M586">
        <f>IFERROR(INDEX(Cluster_Master!$H$4:$H$18,MATCH($F586,Cluster_Master!$B$4:$B$18,0)),"")</f>
        <v/>
      </c>
      <c r="AI586">
        <f>IF(COUNTA(T586:AH586)=0,"",SUM(T586:AH586))</f>
        <v/>
      </c>
      <c r="AJ586">
        <f>IF(COUNTA(T586:AH586)=0,"",AI586/(COUNT(KPI_Weights!$A$4:$A$18)*5))</f>
        <v/>
      </c>
      <c r="AK586">
        <f>IF(COUNTA(T586:AH586)=0,"",SUMPRODUCT(T586:AH586,KPI_Weights!$B$4:$B$18)/5)</f>
        <v/>
      </c>
      <c r="AL586">
        <f>IF(COUNTA(T586:AH586)=0,"",IF(SUMPRODUCT(--(T586:AH586&lt;=1),--(KPI_Weights!$C$4:$C$18="YES"))&gt;0,"YES","NO"))</f>
        <v/>
      </c>
      <c r="AM586">
        <f>IF(AJ586="","",IF(AND(AL586="NO",AJ586&gt;=0.75),"YES","NO"))</f>
        <v/>
      </c>
      <c r="AN586">
        <f>IF(AJ586="","",IF(AJ586&lt;0.4,"Critical",IF(AJ586&lt;0.6,"Poor",IF(AJ586&lt;0.75,"Needs Improvement",IF(AJ586&lt;0.9,"Good","Excellent")))))</f>
        <v/>
      </c>
    </row>
    <row r="587" ht="15" customHeight="1" s="45">
      <c r="A587">
        <f>IF($B587="","",TEXT($B587,"yyyymmdd")&amp;"-"&amp;SUBSTITUTE($F587," ","")&amp;"-"&amp;TEXT(COUNTIF($F$4:F587,$F587),"00"))</f>
        <v/>
      </c>
      <c r="C587">
        <f>IF($B587="","",WEEKNUM($B587,2))</f>
        <v/>
      </c>
      <c r="D587">
        <f>IF($B587="","",TEXT($B587,"yyyy-mm"))</f>
        <v/>
      </c>
      <c r="G587">
        <f>IF(OR($E587="",$F587=""),"",IFERROR(IF($E587=INDEX(Cluster_Master!$A$4:$A$18,MATCH($F587,Cluster_Master!$B$4:$B$18,0)),"OK","CHECK"),"CHECK"))</f>
        <v/>
      </c>
      <c r="H587">
        <f>IFERROR(INDEX(Cluster_Master!$C$4:$C$18,MATCH($F587,Cluster_Master!$B$4:$B$18,0)),"")</f>
        <v/>
      </c>
      <c r="I587">
        <f>IFERROR(INDEX(Cluster_Master!$D$4:$D$18,MATCH($F587,Cluster_Master!$B$4:$B$18,0)),"")</f>
        <v/>
      </c>
      <c r="J587">
        <f>IFERROR(INDEX(Cluster_Master!$E$4:$E$18,MATCH($F587,Cluster_Master!$B$4:$B$18,0)),"")</f>
        <v/>
      </c>
      <c r="K587">
        <f>IFERROR(INDEX(Cluster_Master!$F$4:$F$18,MATCH($F587,Cluster_Master!$B$4:$B$18,0)),"")</f>
        <v/>
      </c>
      <c r="L587">
        <f>IFERROR(INDEX(Cluster_Master!$G$4:$G$18,MATCH($F587,Cluster_Master!$B$4:$B$18,0)),"")</f>
        <v/>
      </c>
      <c r="M587">
        <f>IFERROR(INDEX(Cluster_Master!$H$4:$H$18,MATCH($F587,Cluster_Master!$B$4:$B$18,0)),"")</f>
        <v/>
      </c>
      <c r="AI587">
        <f>IF(COUNTA(T587:AH587)=0,"",SUM(T587:AH587))</f>
        <v/>
      </c>
      <c r="AJ587">
        <f>IF(COUNTA(T587:AH587)=0,"",AI587/(COUNT(KPI_Weights!$A$4:$A$18)*5))</f>
        <v/>
      </c>
      <c r="AK587">
        <f>IF(COUNTA(T587:AH587)=0,"",SUMPRODUCT(T587:AH587,KPI_Weights!$B$4:$B$18)/5)</f>
        <v/>
      </c>
      <c r="AL587">
        <f>IF(COUNTA(T587:AH587)=0,"",IF(SUMPRODUCT(--(T587:AH587&lt;=1),--(KPI_Weights!$C$4:$C$18="YES"))&gt;0,"YES","NO"))</f>
        <v/>
      </c>
      <c r="AM587">
        <f>IF(AJ587="","",IF(AND(AL587="NO",AJ587&gt;=0.75),"YES","NO"))</f>
        <v/>
      </c>
      <c r="AN587">
        <f>IF(AJ587="","",IF(AJ587&lt;0.4,"Critical",IF(AJ587&lt;0.6,"Poor",IF(AJ587&lt;0.75,"Needs Improvement",IF(AJ587&lt;0.9,"Good","Excellent")))))</f>
        <v/>
      </c>
    </row>
    <row r="588" ht="15" customHeight="1" s="45">
      <c r="A588">
        <f>IF($B588="","",TEXT($B588,"yyyymmdd")&amp;"-"&amp;SUBSTITUTE($F588," ","")&amp;"-"&amp;TEXT(COUNTIF($F$4:F588,$F588),"00"))</f>
        <v/>
      </c>
      <c r="C588">
        <f>IF($B588="","",WEEKNUM($B588,2))</f>
        <v/>
      </c>
      <c r="D588">
        <f>IF($B588="","",TEXT($B588,"yyyy-mm"))</f>
        <v/>
      </c>
      <c r="G588">
        <f>IF(OR($E588="",$F588=""),"",IFERROR(IF($E588=INDEX(Cluster_Master!$A$4:$A$18,MATCH($F588,Cluster_Master!$B$4:$B$18,0)),"OK","CHECK"),"CHECK"))</f>
        <v/>
      </c>
      <c r="H588">
        <f>IFERROR(INDEX(Cluster_Master!$C$4:$C$18,MATCH($F588,Cluster_Master!$B$4:$B$18,0)),"")</f>
        <v/>
      </c>
      <c r="I588">
        <f>IFERROR(INDEX(Cluster_Master!$D$4:$D$18,MATCH($F588,Cluster_Master!$B$4:$B$18,0)),"")</f>
        <v/>
      </c>
      <c r="J588">
        <f>IFERROR(INDEX(Cluster_Master!$E$4:$E$18,MATCH($F588,Cluster_Master!$B$4:$B$18,0)),"")</f>
        <v/>
      </c>
      <c r="K588">
        <f>IFERROR(INDEX(Cluster_Master!$F$4:$F$18,MATCH($F588,Cluster_Master!$B$4:$B$18,0)),"")</f>
        <v/>
      </c>
      <c r="L588">
        <f>IFERROR(INDEX(Cluster_Master!$G$4:$G$18,MATCH($F588,Cluster_Master!$B$4:$B$18,0)),"")</f>
        <v/>
      </c>
      <c r="M588">
        <f>IFERROR(INDEX(Cluster_Master!$H$4:$H$18,MATCH($F588,Cluster_Master!$B$4:$B$18,0)),"")</f>
        <v/>
      </c>
      <c r="AI588">
        <f>IF(COUNTA(T588:AH588)=0,"",SUM(T588:AH588))</f>
        <v/>
      </c>
      <c r="AJ588">
        <f>IF(COUNTA(T588:AH588)=0,"",AI588/(COUNT(KPI_Weights!$A$4:$A$18)*5))</f>
        <v/>
      </c>
      <c r="AK588">
        <f>IF(COUNTA(T588:AH588)=0,"",SUMPRODUCT(T588:AH588,KPI_Weights!$B$4:$B$18)/5)</f>
        <v/>
      </c>
      <c r="AL588">
        <f>IF(COUNTA(T588:AH588)=0,"",IF(SUMPRODUCT(--(T588:AH588&lt;=1),--(KPI_Weights!$C$4:$C$18="YES"))&gt;0,"YES","NO"))</f>
        <v/>
      </c>
      <c r="AM588">
        <f>IF(AJ588="","",IF(AND(AL588="NO",AJ588&gt;=0.75),"YES","NO"))</f>
        <v/>
      </c>
      <c r="AN588">
        <f>IF(AJ588="","",IF(AJ588&lt;0.4,"Critical",IF(AJ588&lt;0.6,"Poor",IF(AJ588&lt;0.75,"Needs Improvement",IF(AJ588&lt;0.9,"Good","Excellent")))))</f>
        <v/>
      </c>
    </row>
    <row r="589" ht="15" customHeight="1" s="45">
      <c r="A589">
        <f>IF($B589="","",TEXT($B589,"yyyymmdd")&amp;"-"&amp;SUBSTITUTE($F589," ","")&amp;"-"&amp;TEXT(COUNTIF($F$4:F589,$F589),"00"))</f>
        <v/>
      </c>
      <c r="C589">
        <f>IF($B589="","",WEEKNUM($B589,2))</f>
        <v/>
      </c>
      <c r="D589">
        <f>IF($B589="","",TEXT($B589,"yyyy-mm"))</f>
        <v/>
      </c>
      <c r="G589">
        <f>IF(OR($E589="",$F589=""),"",IFERROR(IF($E589=INDEX(Cluster_Master!$A$4:$A$18,MATCH($F589,Cluster_Master!$B$4:$B$18,0)),"OK","CHECK"),"CHECK"))</f>
        <v/>
      </c>
      <c r="H589">
        <f>IFERROR(INDEX(Cluster_Master!$C$4:$C$18,MATCH($F589,Cluster_Master!$B$4:$B$18,0)),"")</f>
        <v/>
      </c>
      <c r="I589">
        <f>IFERROR(INDEX(Cluster_Master!$D$4:$D$18,MATCH($F589,Cluster_Master!$B$4:$B$18,0)),"")</f>
        <v/>
      </c>
      <c r="J589">
        <f>IFERROR(INDEX(Cluster_Master!$E$4:$E$18,MATCH($F589,Cluster_Master!$B$4:$B$18,0)),"")</f>
        <v/>
      </c>
      <c r="K589">
        <f>IFERROR(INDEX(Cluster_Master!$F$4:$F$18,MATCH($F589,Cluster_Master!$B$4:$B$18,0)),"")</f>
        <v/>
      </c>
      <c r="L589">
        <f>IFERROR(INDEX(Cluster_Master!$G$4:$G$18,MATCH($F589,Cluster_Master!$B$4:$B$18,0)),"")</f>
        <v/>
      </c>
      <c r="M589">
        <f>IFERROR(INDEX(Cluster_Master!$H$4:$H$18,MATCH($F589,Cluster_Master!$B$4:$B$18,0)),"")</f>
        <v/>
      </c>
      <c r="AI589">
        <f>IF(COUNTA(T589:AH589)=0,"",SUM(T589:AH589))</f>
        <v/>
      </c>
      <c r="AJ589">
        <f>IF(COUNTA(T589:AH589)=0,"",AI589/(COUNT(KPI_Weights!$A$4:$A$18)*5))</f>
        <v/>
      </c>
      <c r="AK589">
        <f>IF(COUNTA(T589:AH589)=0,"",SUMPRODUCT(T589:AH589,KPI_Weights!$B$4:$B$18)/5)</f>
        <v/>
      </c>
      <c r="AL589">
        <f>IF(COUNTA(T589:AH589)=0,"",IF(SUMPRODUCT(--(T589:AH589&lt;=1),--(KPI_Weights!$C$4:$C$18="YES"))&gt;0,"YES","NO"))</f>
        <v/>
      </c>
      <c r="AM589">
        <f>IF(AJ589="","",IF(AND(AL589="NO",AJ589&gt;=0.75),"YES","NO"))</f>
        <v/>
      </c>
      <c r="AN589">
        <f>IF(AJ589="","",IF(AJ589&lt;0.4,"Critical",IF(AJ589&lt;0.6,"Poor",IF(AJ589&lt;0.75,"Needs Improvement",IF(AJ589&lt;0.9,"Good","Excellent")))))</f>
        <v/>
      </c>
    </row>
    <row r="590" ht="15" customHeight="1" s="45">
      <c r="A590">
        <f>IF($B590="","",TEXT($B590,"yyyymmdd")&amp;"-"&amp;SUBSTITUTE($F590," ","")&amp;"-"&amp;TEXT(COUNTIF($F$4:F590,$F590),"00"))</f>
        <v/>
      </c>
      <c r="C590">
        <f>IF($B590="","",WEEKNUM($B590,2))</f>
        <v/>
      </c>
      <c r="D590">
        <f>IF($B590="","",TEXT($B590,"yyyy-mm"))</f>
        <v/>
      </c>
      <c r="G590">
        <f>IF(OR($E590="",$F590=""),"",IFERROR(IF($E590=INDEX(Cluster_Master!$A$4:$A$18,MATCH($F590,Cluster_Master!$B$4:$B$18,0)),"OK","CHECK"),"CHECK"))</f>
        <v/>
      </c>
      <c r="H590">
        <f>IFERROR(INDEX(Cluster_Master!$C$4:$C$18,MATCH($F590,Cluster_Master!$B$4:$B$18,0)),"")</f>
        <v/>
      </c>
      <c r="I590">
        <f>IFERROR(INDEX(Cluster_Master!$D$4:$D$18,MATCH($F590,Cluster_Master!$B$4:$B$18,0)),"")</f>
        <v/>
      </c>
      <c r="J590">
        <f>IFERROR(INDEX(Cluster_Master!$E$4:$E$18,MATCH($F590,Cluster_Master!$B$4:$B$18,0)),"")</f>
        <v/>
      </c>
      <c r="K590">
        <f>IFERROR(INDEX(Cluster_Master!$F$4:$F$18,MATCH($F590,Cluster_Master!$B$4:$B$18,0)),"")</f>
        <v/>
      </c>
      <c r="L590">
        <f>IFERROR(INDEX(Cluster_Master!$G$4:$G$18,MATCH($F590,Cluster_Master!$B$4:$B$18,0)),"")</f>
        <v/>
      </c>
      <c r="M590">
        <f>IFERROR(INDEX(Cluster_Master!$H$4:$H$18,MATCH($F590,Cluster_Master!$B$4:$B$18,0)),"")</f>
        <v/>
      </c>
      <c r="AI590">
        <f>IF(COUNTA(T590:AH590)=0,"",SUM(T590:AH590))</f>
        <v/>
      </c>
      <c r="AJ590">
        <f>IF(COUNTA(T590:AH590)=0,"",AI590/(COUNT(KPI_Weights!$A$4:$A$18)*5))</f>
        <v/>
      </c>
      <c r="AK590">
        <f>IF(COUNTA(T590:AH590)=0,"",SUMPRODUCT(T590:AH590,KPI_Weights!$B$4:$B$18)/5)</f>
        <v/>
      </c>
      <c r="AL590">
        <f>IF(COUNTA(T590:AH590)=0,"",IF(SUMPRODUCT(--(T590:AH590&lt;=1),--(KPI_Weights!$C$4:$C$18="YES"))&gt;0,"YES","NO"))</f>
        <v/>
      </c>
      <c r="AM590">
        <f>IF(AJ590="","",IF(AND(AL590="NO",AJ590&gt;=0.75),"YES","NO"))</f>
        <v/>
      </c>
      <c r="AN590">
        <f>IF(AJ590="","",IF(AJ590&lt;0.4,"Critical",IF(AJ590&lt;0.6,"Poor",IF(AJ590&lt;0.75,"Needs Improvement",IF(AJ590&lt;0.9,"Good","Excellent")))))</f>
        <v/>
      </c>
    </row>
    <row r="591" ht="15" customHeight="1" s="45">
      <c r="A591">
        <f>IF($B591="","",TEXT($B591,"yyyymmdd")&amp;"-"&amp;SUBSTITUTE($F591," ","")&amp;"-"&amp;TEXT(COUNTIF($F$4:F591,$F591),"00"))</f>
        <v/>
      </c>
      <c r="C591">
        <f>IF($B591="","",WEEKNUM($B591,2))</f>
        <v/>
      </c>
      <c r="D591">
        <f>IF($B591="","",TEXT($B591,"yyyy-mm"))</f>
        <v/>
      </c>
      <c r="G591">
        <f>IF(OR($E591="",$F591=""),"",IFERROR(IF($E591=INDEX(Cluster_Master!$A$4:$A$18,MATCH($F591,Cluster_Master!$B$4:$B$18,0)),"OK","CHECK"),"CHECK"))</f>
        <v/>
      </c>
      <c r="H591">
        <f>IFERROR(INDEX(Cluster_Master!$C$4:$C$18,MATCH($F591,Cluster_Master!$B$4:$B$18,0)),"")</f>
        <v/>
      </c>
      <c r="I591">
        <f>IFERROR(INDEX(Cluster_Master!$D$4:$D$18,MATCH($F591,Cluster_Master!$B$4:$B$18,0)),"")</f>
        <v/>
      </c>
      <c r="J591">
        <f>IFERROR(INDEX(Cluster_Master!$E$4:$E$18,MATCH($F591,Cluster_Master!$B$4:$B$18,0)),"")</f>
        <v/>
      </c>
      <c r="K591">
        <f>IFERROR(INDEX(Cluster_Master!$F$4:$F$18,MATCH($F591,Cluster_Master!$B$4:$B$18,0)),"")</f>
        <v/>
      </c>
      <c r="L591">
        <f>IFERROR(INDEX(Cluster_Master!$G$4:$G$18,MATCH($F591,Cluster_Master!$B$4:$B$18,0)),"")</f>
        <v/>
      </c>
      <c r="M591">
        <f>IFERROR(INDEX(Cluster_Master!$H$4:$H$18,MATCH($F591,Cluster_Master!$B$4:$B$18,0)),"")</f>
        <v/>
      </c>
      <c r="AI591">
        <f>IF(COUNTA(T591:AH591)=0,"",SUM(T591:AH591))</f>
        <v/>
      </c>
      <c r="AJ591">
        <f>IF(COUNTA(T591:AH591)=0,"",AI591/(COUNT(KPI_Weights!$A$4:$A$18)*5))</f>
        <v/>
      </c>
      <c r="AK591">
        <f>IF(COUNTA(T591:AH591)=0,"",SUMPRODUCT(T591:AH591,KPI_Weights!$B$4:$B$18)/5)</f>
        <v/>
      </c>
      <c r="AL591">
        <f>IF(COUNTA(T591:AH591)=0,"",IF(SUMPRODUCT(--(T591:AH591&lt;=1),--(KPI_Weights!$C$4:$C$18="YES"))&gt;0,"YES","NO"))</f>
        <v/>
      </c>
      <c r="AM591">
        <f>IF(AJ591="","",IF(AND(AL591="NO",AJ591&gt;=0.75),"YES","NO"))</f>
        <v/>
      </c>
      <c r="AN591">
        <f>IF(AJ591="","",IF(AJ591&lt;0.4,"Critical",IF(AJ591&lt;0.6,"Poor",IF(AJ591&lt;0.75,"Needs Improvement",IF(AJ591&lt;0.9,"Good","Excellent")))))</f>
        <v/>
      </c>
    </row>
    <row r="592" ht="15" customHeight="1" s="45">
      <c r="A592">
        <f>IF($B592="","",TEXT($B592,"yyyymmdd")&amp;"-"&amp;SUBSTITUTE($F592," ","")&amp;"-"&amp;TEXT(COUNTIF($F$4:F592,$F592),"00"))</f>
        <v/>
      </c>
      <c r="C592">
        <f>IF($B592="","",WEEKNUM($B592,2))</f>
        <v/>
      </c>
      <c r="D592">
        <f>IF($B592="","",TEXT($B592,"yyyy-mm"))</f>
        <v/>
      </c>
      <c r="G592">
        <f>IF(OR($E592="",$F592=""),"",IFERROR(IF($E592=INDEX(Cluster_Master!$A$4:$A$18,MATCH($F592,Cluster_Master!$B$4:$B$18,0)),"OK","CHECK"),"CHECK"))</f>
        <v/>
      </c>
      <c r="H592">
        <f>IFERROR(INDEX(Cluster_Master!$C$4:$C$18,MATCH($F592,Cluster_Master!$B$4:$B$18,0)),"")</f>
        <v/>
      </c>
      <c r="I592">
        <f>IFERROR(INDEX(Cluster_Master!$D$4:$D$18,MATCH($F592,Cluster_Master!$B$4:$B$18,0)),"")</f>
        <v/>
      </c>
      <c r="J592">
        <f>IFERROR(INDEX(Cluster_Master!$E$4:$E$18,MATCH($F592,Cluster_Master!$B$4:$B$18,0)),"")</f>
        <v/>
      </c>
      <c r="K592">
        <f>IFERROR(INDEX(Cluster_Master!$F$4:$F$18,MATCH($F592,Cluster_Master!$B$4:$B$18,0)),"")</f>
        <v/>
      </c>
      <c r="L592">
        <f>IFERROR(INDEX(Cluster_Master!$G$4:$G$18,MATCH($F592,Cluster_Master!$B$4:$B$18,0)),"")</f>
        <v/>
      </c>
      <c r="M592">
        <f>IFERROR(INDEX(Cluster_Master!$H$4:$H$18,MATCH($F592,Cluster_Master!$B$4:$B$18,0)),"")</f>
        <v/>
      </c>
      <c r="AI592">
        <f>IF(COUNTA(T592:AH592)=0,"",SUM(T592:AH592))</f>
        <v/>
      </c>
      <c r="AJ592">
        <f>IF(COUNTA(T592:AH592)=0,"",AI592/(COUNT(KPI_Weights!$A$4:$A$18)*5))</f>
        <v/>
      </c>
      <c r="AK592">
        <f>IF(COUNTA(T592:AH592)=0,"",SUMPRODUCT(T592:AH592,KPI_Weights!$B$4:$B$18)/5)</f>
        <v/>
      </c>
      <c r="AL592">
        <f>IF(COUNTA(T592:AH592)=0,"",IF(SUMPRODUCT(--(T592:AH592&lt;=1),--(KPI_Weights!$C$4:$C$18="YES"))&gt;0,"YES","NO"))</f>
        <v/>
      </c>
      <c r="AM592">
        <f>IF(AJ592="","",IF(AND(AL592="NO",AJ592&gt;=0.75),"YES","NO"))</f>
        <v/>
      </c>
      <c r="AN592">
        <f>IF(AJ592="","",IF(AJ592&lt;0.4,"Critical",IF(AJ592&lt;0.6,"Poor",IF(AJ592&lt;0.75,"Needs Improvement",IF(AJ592&lt;0.9,"Good","Excellent")))))</f>
        <v/>
      </c>
    </row>
    <row r="593" ht="15" customHeight="1" s="45">
      <c r="A593">
        <f>IF($B593="","",TEXT($B593,"yyyymmdd")&amp;"-"&amp;SUBSTITUTE($F593," ","")&amp;"-"&amp;TEXT(COUNTIF($F$4:F593,$F593),"00"))</f>
        <v/>
      </c>
      <c r="C593">
        <f>IF($B593="","",WEEKNUM($B593,2))</f>
        <v/>
      </c>
      <c r="D593">
        <f>IF($B593="","",TEXT($B593,"yyyy-mm"))</f>
        <v/>
      </c>
      <c r="G593">
        <f>IF(OR($E593="",$F593=""),"",IFERROR(IF($E593=INDEX(Cluster_Master!$A$4:$A$18,MATCH($F593,Cluster_Master!$B$4:$B$18,0)),"OK","CHECK"),"CHECK"))</f>
        <v/>
      </c>
      <c r="H593">
        <f>IFERROR(INDEX(Cluster_Master!$C$4:$C$18,MATCH($F593,Cluster_Master!$B$4:$B$18,0)),"")</f>
        <v/>
      </c>
      <c r="I593">
        <f>IFERROR(INDEX(Cluster_Master!$D$4:$D$18,MATCH($F593,Cluster_Master!$B$4:$B$18,0)),"")</f>
        <v/>
      </c>
      <c r="J593">
        <f>IFERROR(INDEX(Cluster_Master!$E$4:$E$18,MATCH($F593,Cluster_Master!$B$4:$B$18,0)),"")</f>
        <v/>
      </c>
      <c r="K593">
        <f>IFERROR(INDEX(Cluster_Master!$F$4:$F$18,MATCH($F593,Cluster_Master!$B$4:$B$18,0)),"")</f>
        <v/>
      </c>
      <c r="L593">
        <f>IFERROR(INDEX(Cluster_Master!$G$4:$G$18,MATCH($F593,Cluster_Master!$B$4:$B$18,0)),"")</f>
        <v/>
      </c>
      <c r="M593">
        <f>IFERROR(INDEX(Cluster_Master!$H$4:$H$18,MATCH($F593,Cluster_Master!$B$4:$B$18,0)),"")</f>
        <v/>
      </c>
      <c r="AI593">
        <f>IF(COUNTA(T593:AH593)=0,"",SUM(T593:AH593))</f>
        <v/>
      </c>
      <c r="AJ593">
        <f>IF(COUNTA(T593:AH593)=0,"",AI593/(COUNT(KPI_Weights!$A$4:$A$18)*5))</f>
        <v/>
      </c>
      <c r="AK593">
        <f>IF(COUNTA(T593:AH593)=0,"",SUMPRODUCT(T593:AH593,KPI_Weights!$B$4:$B$18)/5)</f>
        <v/>
      </c>
      <c r="AL593">
        <f>IF(COUNTA(T593:AH593)=0,"",IF(SUMPRODUCT(--(T593:AH593&lt;=1),--(KPI_Weights!$C$4:$C$18="YES"))&gt;0,"YES","NO"))</f>
        <v/>
      </c>
      <c r="AM593">
        <f>IF(AJ593="","",IF(AND(AL593="NO",AJ593&gt;=0.75),"YES","NO"))</f>
        <v/>
      </c>
      <c r="AN593">
        <f>IF(AJ593="","",IF(AJ593&lt;0.4,"Critical",IF(AJ593&lt;0.6,"Poor",IF(AJ593&lt;0.75,"Needs Improvement",IF(AJ593&lt;0.9,"Good","Excellent")))))</f>
        <v/>
      </c>
    </row>
    <row r="594" ht="15" customHeight="1" s="45">
      <c r="A594">
        <f>IF($B594="","",TEXT($B594,"yyyymmdd")&amp;"-"&amp;SUBSTITUTE($F594," ","")&amp;"-"&amp;TEXT(COUNTIF($F$4:F594,$F594),"00"))</f>
        <v/>
      </c>
      <c r="C594">
        <f>IF($B594="","",WEEKNUM($B594,2))</f>
        <v/>
      </c>
      <c r="D594">
        <f>IF($B594="","",TEXT($B594,"yyyy-mm"))</f>
        <v/>
      </c>
      <c r="G594">
        <f>IF(OR($E594="",$F594=""),"",IFERROR(IF($E594=INDEX(Cluster_Master!$A$4:$A$18,MATCH($F594,Cluster_Master!$B$4:$B$18,0)),"OK","CHECK"),"CHECK"))</f>
        <v/>
      </c>
      <c r="H594">
        <f>IFERROR(INDEX(Cluster_Master!$C$4:$C$18,MATCH($F594,Cluster_Master!$B$4:$B$18,0)),"")</f>
        <v/>
      </c>
      <c r="I594">
        <f>IFERROR(INDEX(Cluster_Master!$D$4:$D$18,MATCH($F594,Cluster_Master!$B$4:$B$18,0)),"")</f>
        <v/>
      </c>
      <c r="J594">
        <f>IFERROR(INDEX(Cluster_Master!$E$4:$E$18,MATCH($F594,Cluster_Master!$B$4:$B$18,0)),"")</f>
        <v/>
      </c>
      <c r="K594">
        <f>IFERROR(INDEX(Cluster_Master!$F$4:$F$18,MATCH($F594,Cluster_Master!$B$4:$B$18,0)),"")</f>
        <v/>
      </c>
      <c r="L594">
        <f>IFERROR(INDEX(Cluster_Master!$G$4:$G$18,MATCH($F594,Cluster_Master!$B$4:$B$18,0)),"")</f>
        <v/>
      </c>
      <c r="M594">
        <f>IFERROR(INDEX(Cluster_Master!$H$4:$H$18,MATCH($F594,Cluster_Master!$B$4:$B$18,0)),"")</f>
        <v/>
      </c>
      <c r="AI594">
        <f>IF(COUNTA(T594:AH594)=0,"",SUM(T594:AH594))</f>
        <v/>
      </c>
      <c r="AJ594">
        <f>IF(COUNTA(T594:AH594)=0,"",AI594/(COUNT(KPI_Weights!$A$4:$A$18)*5))</f>
        <v/>
      </c>
      <c r="AK594">
        <f>IF(COUNTA(T594:AH594)=0,"",SUMPRODUCT(T594:AH594,KPI_Weights!$B$4:$B$18)/5)</f>
        <v/>
      </c>
      <c r="AL594">
        <f>IF(COUNTA(T594:AH594)=0,"",IF(SUMPRODUCT(--(T594:AH594&lt;=1),--(KPI_Weights!$C$4:$C$18="YES"))&gt;0,"YES","NO"))</f>
        <v/>
      </c>
      <c r="AM594">
        <f>IF(AJ594="","",IF(AND(AL594="NO",AJ594&gt;=0.75),"YES","NO"))</f>
        <v/>
      </c>
      <c r="AN594">
        <f>IF(AJ594="","",IF(AJ594&lt;0.4,"Critical",IF(AJ594&lt;0.6,"Poor",IF(AJ594&lt;0.75,"Needs Improvement",IF(AJ594&lt;0.9,"Good","Excellent")))))</f>
        <v/>
      </c>
    </row>
    <row r="595" ht="15" customHeight="1" s="45">
      <c r="A595">
        <f>IF($B595="","",TEXT($B595,"yyyymmdd")&amp;"-"&amp;SUBSTITUTE($F595," ","")&amp;"-"&amp;TEXT(COUNTIF($F$4:F595,$F595),"00"))</f>
        <v/>
      </c>
      <c r="C595">
        <f>IF($B595="","",WEEKNUM($B595,2))</f>
        <v/>
      </c>
      <c r="D595">
        <f>IF($B595="","",TEXT($B595,"yyyy-mm"))</f>
        <v/>
      </c>
      <c r="G595">
        <f>IF(OR($E595="",$F595=""),"",IFERROR(IF($E595=INDEX(Cluster_Master!$A$4:$A$18,MATCH($F595,Cluster_Master!$B$4:$B$18,0)),"OK","CHECK"),"CHECK"))</f>
        <v/>
      </c>
      <c r="H595">
        <f>IFERROR(INDEX(Cluster_Master!$C$4:$C$18,MATCH($F595,Cluster_Master!$B$4:$B$18,0)),"")</f>
        <v/>
      </c>
      <c r="I595">
        <f>IFERROR(INDEX(Cluster_Master!$D$4:$D$18,MATCH($F595,Cluster_Master!$B$4:$B$18,0)),"")</f>
        <v/>
      </c>
      <c r="J595">
        <f>IFERROR(INDEX(Cluster_Master!$E$4:$E$18,MATCH($F595,Cluster_Master!$B$4:$B$18,0)),"")</f>
        <v/>
      </c>
      <c r="K595">
        <f>IFERROR(INDEX(Cluster_Master!$F$4:$F$18,MATCH($F595,Cluster_Master!$B$4:$B$18,0)),"")</f>
        <v/>
      </c>
      <c r="L595">
        <f>IFERROR(INDEX(Cluster_Master!$G$4:$G$18,MATCH($F595,Cluster_Master!$B$4:$B$18,0)),"")</f>
        <v/>
      </c>
      <c r="M595">
        <f>IFERROR(INDEX(Cluster_Master!$H$4:$H$18,MATCH($F595,Cluster_Master!$B$4:$B$18,0)),"")</f>
        <v/>
      </c>
      <c r="AI595">
        <f>IF(COUNTA(T595:AH595)=0,"",SUM(T595:AH595))</f>
        <v/>
      </c>
      <c r="AJ595">
        <f>IF(COUNTA(T595:AH595)=0,"",AI595/(COUNT(KPI_Weights!$A$4:$A$18)*5))</f>
        <v/>
      </c>
      <c r="AK595">
        <f>IF(COUNTA(T595:AH595)=0,"",SUMPRODUCT(T595:AH595,KPI_Weights!$B$4:$B$18)/5)</f>
        <v/>
      </c>
      <c r="AL595">
        <f>IF(COUNTA(T595:AH595)=0,"",IF(SUMPRODUCT(--(T595:AH595&lt;=1),--(KPI_Weights!$C$4:$C$18="YES"))&gt;0,"YES","NO"))</f>
        <v/>
      </c>
      <c r="AM595">
        <f>IF(AJ595="","",IF(AND(AL595="NO",AJ595&gt;=0.75),"YES","NO"))</f>
        <v/>
      </c>
      <c r="AN595">
        <f>IF(AJ595="","",IF(AJ595&lt;0.4,"Critical",IF(AJ595&lt;0.6,"Poor",IF(AJ595&lt;0.75,"Needs Improvement",IF(AJ595&lt;0.9,"Good","Excellent")))))</f>
        <v/>
      </c>
    </row>
    <row r="596" ht="15" customHeight="1" s="45">
      <c r="A596">
        <f>IF($B596="","",TEXT($B596,"yyyymmdd")&amp;"-"&amp;SUBSTITUTE($F596," ","")&amp;"-"&amp;TEXT(COUNTIF($F$4:F596,$F596),"00"))</f>
        <v/>
      </c>
      <c r="C596">
        <f>IF($B596="","",WEEKNUM($B596,2))</f>
        <v/>
      </c>
      <c r="D596">
        <f>IF($B596="","",TEXT($B596,"yyyy-mm"))</f>
        <v/>
      </c>
      <c r="G596">
        <f>IF(OR($E596="",$F596=""),"",IFERROR(IF($E596=INDEX(Cluster_Master!$A$4:$A$18,MATCH($F596,Cluster_Master!$B$4:$B$18,0)),"OK","CHECK"),"CHECK"))</f>
        <v/>
      </c>
      <c r="H596">
        <f>IFERROR(INDEX(Cluster_Master!$C$4:$C$18,MATCH($F596,Cluster_Master!$B$4:$B$18,0)),"")</f>
        <v/>
      </c>
      <c r="I596">
        <f>IFERROR(INDEX(Cluster_Master!$D$4:$D$18,MATCH($F596,Cluster_Master!$B$4:$B$18,0)),"")</f>
        <v/>
      </c>
      <c r="J596">
        <f>IFERROR(INDEX(Cluster_Master!$E$4:$E$18,MATCH($F596,Cluster_Master!$B$4:$B$18,0)),"")</f>
        <v/>
      </c>
      <c r="K596">
        <f>IFERROR(INDEX(Cluster_Master!$F$4:$F$18,MATCH($F596,Cluster_Master!$B$4:$B$18,0)),"")</f>
        <v/>
      </c>
      <c r="L596">
        <f>IFERROR(INDEX(Cluster_Master!$G$4:$G$18,MATCH($F596,Cluster_Master!$B$4:$B$18,0)),"")</f>
        <v/>
      </c>
      <c r="M596">
        <f>IFERROR(INDEX(Cluster_Master!$H$4:$H$18,MATCH($F596,Cluster_Master!$B$4:$B$18,0)),"")</f>
        <v/>
      </c>
      <c r="AI596">
        <f>IF(COUNTA(T596:AH596)=0,"",SUM(T596:AH596))</f>
        <v/>
      </c>
      <c r="AJ596">
        <f>IF(COUNTA(T596:AH596)=0,"",AI596/(COUNT(KPI_Weights!$A$4:$A$18)*5))</f>
        <v/>
      </c>
      <c r="AK596">
        <f>IF(COUNTA(T596:AH596)=0,"",SUMPRODUCT(T596:AH596,KPI_Weights!$B$4:$B$18)/5)</f>
        <v/>
      </c>
      <c r="AL596">
        <f>IF(COUNTA(T596:AH596)=0,"",IF(SUMPRODUCT(--(T596:AH596&lt;=1),--(KPI_Weights!$C$4:$C$18="YES"))&gt;0,"YES","NO"))</f>
        <v/>
      </c>
      <c r="AM596">
        <f>IF(AJ596="","",IF(AND(AL596="NO",AJ596&gt;=0.75),"YES","NO"))</f>
        <v/>
      </c>
      <c r="AN596">
        <f>IF(AJ596="","",IF(AJ596&lt;0.4,"Critical",IF(AJ596&lt;0.6,"Poor",IF(AJ596&lt;0.75,"Needs Improvement",IF(AJ596&lt;0.9,"Good","Excellent")))))</f>
        <v/>
      </c>
    </row>
    <row r="597" ht="15" customHeight="1" s="45">
      <c r="A597">
        <f>IF($B597="","",TEXT($B597,"yyyymmdd")&amp;"-"&amp;SUBSTITUTE($F597," ","")&amp;"-"&amp;TEXT(COUNTIF($F$4:F597,$F597),"00"))</f>
        <v/>
      </c>
      <c r="C597">
        <f>IF($B597="","",WEEKNUM($B597,2))</f>
        <v/>
      </c>
      <c r="D597">
        <f>IF($B597="","",TEXT($B597,"yyyy-mm"))</f>
        <v/>
      </c>
      <c r="G597">
        <f>IF(OR($E597="",$F597=""),"",IFERROR(IF($E597=INDEX(Cluster_Master!$A$4:$A$18,MATCH($F597,Cluster_Master!$B$4:$B$18,0)),"OK","CHECK"),"CHECK"))</f>
        <v/>
      </c>
      <c r="H597">
        <f>IFERROR(INDEX(Cluster_Master!$C$4:$C$18,MATCH($F597,Cluster_Master!$B$4:$B$18,0)),"")</f>
        <v/>
      </c>
      <c r="I597">
        <f>IFERROR(INDEX(Cluster_Master!$D$4:$D$18,MATCH($F597,Cluster_Master!$B$4:$B$18,0)),"")</f>
        <v/>
      </c>
      <c r="J597">
        <f>IFERROR(INDEX(Cluster_Master!$E$4:$E$18,MATCH($F597,Cluster_Master!$B$4:$B$18,0)),"")</f>
        <v/>
      </c>
      <c r="K597">
        <f>IFERROR(INDEX(Cluster_Master!$F$4:$F$18,MATCH($F597,Cluster_Master!$B$4:$B$18,0)),"")</f>
        <v/>
      </c>
      <c r="L597">
        <f>IFERROR(INDEX(Cluster_Master!$G$4:$G$18,MATCH($F597,Cluster_Master!$B$4:$B$18,0)),"")</f>
        <v/>
      </c>
      <c r="M597">
        <f>IFERROR(INDEX(Cluster_Master!$H$4:$H$18,MATCH($F597,Cluster_Master!$B$4:$B$18,0)),"")</f>
        <v/>
      </c>
      <c r="AI597">
        <f>IF(COUNTA(T597:AH597)=0,"",SUM(T597:AH597))</f>
        <v/>
      </c>
      <c r="AJ597">
        <f>IF(COUNTA(T597:AH597)=0,"",AI597/(COUNT(KPI_Weights!$A$4:$A$18)*5))</f>
        <v/>
      </c>
      <c r="AK597">
        <f>IF(COUNTA(T597:AH597)=0,"",SUMPRODUCT(T597:AH597,KPI_Weights!$B$4:$B$18)/5)</f>
        <v/>
      </c>
      <c r="AL597">
        <f>IF(COUNTA(T597:AH597)=0,"",IF(SUMPRODUCT(--(T597:AH597&lt;=1),--(KPI_Weights!$C$4:$C$18="YES"))&gt;0,"YES","NO"))</f>
        <v/>
      </c>
      <c r="AM597">
        <f>IF(AJ597="","",IF(AND(AL597="NO",AJ597&gt;=0.75),"YES","NO"))</f>
        <v/>
      </c>
      <c r="AN597">
        <f>IF(AJ597="","",IF(AJ597&lt;0.4,"Critical",IF(AJ597&lt;0.6,"Poor",IF(AJ597&lt;0.75,"Needs Improvement",IF(AJ597&lt;0.9,"Good","Excellent")))))</f>
        <v/>
      </c>
    </row>
    <row r="598" ht="15" customHeight="1" s="45">
      <c r="A598">
        <f>IF($B598="","",TEXT($B598,"yyyymmdd")&amp;"-"&amp;SUBSTITUTE($F598," ","")&amp;"-"&amp;TEXT(COUNTIF($F$4:F598,$F598),"00"))</f>
        <v/>
      </c>
      <c r="C598">
        <f>IF($B598="","",WEEKNUM($B598,2))</f>
        <v/>
      </c>
      <c r="D598">
        <f>IF($B598="","",TEXT($B598,"yyyy-mm"))</f>
        <v/>
      </c>
      <c r="G598">
        <f>IF(OR($E598="",$F598=""),"",IFERROR(IF($E598=INDEX(Cluster_Master!$A$4:$A$18,MATCH($F598,Cluster_Master!$B$4:$B$18,0)),"OK","CHECK"),"CHECK"))</f>
        <v/>
      </c>
      <c r="H598">
        <f>IFERROR(INDEX(Cluster_Master!$C$4:$C$18,MATCH($F598,Cluster_Master!$B$4:$B$18,0)),"")</f>
        <v/>
      </c>
      <c r="I598">
        <f>IFERROR(INDEX(Cluster_Master!$D$4:$D$18,MATCH($F598,Cluster_Master!$B$4:$B$18,0)),"")</f>
        <v/>
      </c>
      <c r="J598">
        <f>IFERROR(INDEX(Cluster_Master!$E$4:$E$18,MATCH($F598,Cluster_Master!$B$4:$B$18,0)),"")</f>
        <v/>
      </c>
      <c r="K598">
        <f>IFERROR(INDEX(Cluster_Master!$F$4:$F$18,MATCH($F598,Cluster_Master!$B$4:$B$18,0)),"")</f>
        <v/>
      </c>
      <c r="L598">
        <f>IFERROR(INDEX(Cluster_Master!$G$4:$G$18,MATCH($F598,Cluster_Master!$B$4:$B$18,0)),"")</f>
        <v/>
      </c>
      <c r="M598">
        <f>IFERROR(INDEX(Cluster_Master!$H$4:$H$18,MATCH($F598,Cluster_Master!$B$4:$B$18,0)),"")</f>
        <v/>
      </c>
      <c r="AI598">
        <f>IF(COUNTA(T598:AH598)=0,"",SUM(T598:AH598))</f>
        <v/>
      </c>
      <c r="AJ598">
        <f>IF(COUNTA(T598:AH598)=0,"",AI598/(COUNT(KPI_Weights!$A$4:$A$18)*5))</f>
        <v/>
      </c>
      <c r="AK598">
        <f>IF(COUNTA(T598:AH598)=0,"",SUMPRODUCT(T598:AH598,KPI_Weights!$B$4:$B$18)/5)</f>
        <v/>
      </c>
      <c r="AL598">
        <f>IF(COUNTA(T598:AH598)=0,"",IF(SUMPRODUCT(--(T598:AH598&lt;=1),--(KPI_Weights!$C$4:$C$18="YES"))&gt;0,"YES","NO"))</f>
        <v/>
      </c>
      <c r="AM598">
        <f>IF(AJ598="","",IF(AND(AL598="NO",AJ598&gt;=0.75),"YES","NO"))</f>
        <v/>
      </c>
      <c r="AN598">
        <f>IF(AJ598="","",IF(AJ598&lt;0.4,"Critical",IF(AJ598&lt;0.6,"Poor",IF(AJ598&lt;0.75,"Needs Improvement",IF(AJ598&lt;0.9,"Good","Excellent")))))</f>
        <v/>
      </c>
    </row>
    <row r="599" ht="15" customHeight="1" s="45">
      <c r="A599">
        <f>IF($B599="","",TEXT($B599,"yyyymmdd")&amp;"-"&amp;SUBSTITUTE($F599," ","")&amp;"-"&amp;TEXT(COUNTIF($F$4:F599,$F599),"00"))</f>
        <v/>
      </c>
      <c r="C599">
        <f>IF($B599="","",WEEKNUM($B599,2))</f>
        <v/>
      </c>
      <c r="D599">
        <f>IF($B599="","",TEXT($B599,"yyyy-mm"))</f>
        <v/>
      </c>
      <c r="G599">
        <f>IF(OR($E599="",$F599=""),"",IFERROR(IF($E599=INDEX(Cluster_Master!$A$4:$A$18,MATCH($F599,Cluster_Master!$B$4:$B$18,0)),"OK","CHECK"),"CHECK"))</f>
        <v/>
      </c>
      <c r="H599">
        <f>IFERROR(INDEX(Cluster_Master!$C$4:$C$18,MATCH($F599,Cluster_Master!$B$4:$B$18,0)),"")</f>
        <v/>
      </c>
      <c r="I599">
        <f>IFERROR(INDEX(Cluster_Master!$D$4:$D$18,MATCH($F599,Cluster_Master!$B$4:$B$18,0)),"")</f>
        <v/>
      </c>
      <c r="J599">
        <f>IFERROR(INDEX(Cluster_Master!$E$4:$E$18,MATCH($F599,Cluster_Master!$B$4:$B$18,0)),"")</f>
        <v/>
      </c>
      <c r="K599">
        <f>IFERROR(INDEX(Cluster_Master!$F$4:$F$18,MATCH($F599,Cluster_Master!$B$4:$B$18,0)),"")</f>
        <v/>
      </c>
      <c r="L599">
        <f>IFERROR(INDEX(Cluster_Master!$G$4:$G$18,MATCH($F599,Cluster_Master!$B$4:$B$18,0)),"")</f>
        <v/>
      </c>
      <c r="M599">
        <f>IFERROR(INDEX(Cluster_Master!$H$4:$H$18,MATCH($F599,Cluster_Master!$B$4:$B$18,0)),"")</f>
        <v/>
      </c>
      <c r="AI599">
        <f>IF(COUNTA(T599:AH599)=0,"",SUM(T599:AH599))</f>
        <v/>
      </c>
      <c r="AJ599">
        <f>IF(COUNTA(T599:AH599)=0,"",AI599/(COUNT(KPI_Weights!$A$4:$A$18)*5))</f>
        <v/>
      </c>
      <c r="AK599">
        <f>IF(COUNTA(T599:AH599)=0,"",SUMPRODUCT(T599:AH599,KPI_Weights!$B$4:$B$18)/5)</f>
        <v/>
      </c>
      <c r="AL599">
        <f>IF(COUNTA(T599:AH599)=0,"",IF(SUMPRODUCT(--(T599:AH599&lt;=1),--(KPI_Weights!$C$4:$C$18="YES"))&gt;0,"YES","NO"))</f>
        <v/>
      </c>
      <c r="AM599">
        <f>IF(AJ599="","",IF(AND(AL599="NO",AJ599&gt;=0.75),"YES","NO"))</f>
        <v/>
      </c>
      <c r="AN599">
        <f>IF(AJ599="","",IF(AJ599&lt;0.4,"Critical",IF(AJ599&lt;0.6,"Poor",IF(AJ599&lt;0.75,"Needs Improvement",IF(AJ599&lt;0.9,"Good","Excellent")))))</f>
        <v/>
      </c>
    </row>
    <row r="600" ht="15" customHeight="1" s="45">
      <c r="A600">
        <f>IF($B600="","",TEXT($B600,"yyyymmdd")&amp;"-"&amp;SUBSTITUTE($F600," ","")&amp;"-"&amp;TEXT(COUNTIF($F$4:F600,$F600),"00"))</f>
        <v/>
      </c>
      <c r="C600">
        <f>IF($B600="","",WEEKNUM($B600,2))</f>
        <v/>
      </c>
      <c r="D600">
        <f>IF($B600="","",TEXT($B600,"yyyy-mm"))</f>
        <v/>
      </c>
      <c r="G600">
        <f>IF(OR($E600="",$F600=""),"",IFERROR(IF($E600=INDEX(Cluster_Master!$A$4:$A$18,MATCH($F600,Cluster_Master!$B$4:$B$18,0)),"OK","CHECK"),"CHECK"))</f>
        <v/>
      </c>
      <c r="H600">
        <f>IFERROR(INDEX(Cluster_Master!$C$4:$C$18,MATCH($F600,Cluster_Master!$B$4:$B$18,0)),"")</f>
        <v/>
      </c>
      <c r="I600">
        <f>IFERROR(INDEX(Cluster_Master!$D$4:$D$18,MATCH($F600,Cluster_Master!$B$4:$B$18,0)),"")</f>
        <v/>
      </c>
      <c r="J600">
        <f>IFERROR(INDEX(Cluster_Master!$E$4:$E$18,MATCH($F600,Cluster_Master!$B$4:$B$18,0)),"")</f>
        <v/>
      </c>
      <c r="K600">
        <f>IFERROR(INDEX(Cluster_Master!$F$4:$F$18,MATCH($F600,Cluster_Master!$B$4:$B$18,0)),"")</f>
        <v/>
      </c>
      <c r="L600">
        <f>IFERROR(INDEX(Cluster_Master!$G$4:$G$18,MATCH($F600,Cluster_Master!$B$4:$B$18,0)),"")</f>
        <v/>
      </c>
      <c r="M600">
        <f>IFERROR(INDEX(Cluster_Master!$H$4:$H$18,MATCH($F600,Cluster_Master!$B$4:$B$18,0)),"")</f>
        <v/>
      </c>
      <c r="AI600">
        <f>IF(COUNTA(T600:AH600)=0,"",SUM(T600:AH600))</f>
        <v/>
      </c>
      <c r="AJ600">
        <f>IF(COUNTA(T600:AH600)=0,"",AI600/(COUNT(KPI_Weights!$A$4:$A$18)*5))</f>
        <v/>
      </c>
      <c r="AK600">
        <f>IF(COUNTA(T600:AH600)=0,"",SUMPRODUCT(T600:AH600,KPI_Weights!$B$4:$B$18)/5)</f>
        <v/>
      </c>
      <c r="AL600">
        <f>IF(COUNTA(T600:AH600)=0,"",IF(SUMPRODUCT(--(T600:AH600&lt;=1),--(KPI_Weights!$C$4:$C$18="YES"))&gt;0,"YES","NO"))</f>
        <v/>
      </c>
      <c r="AM600">
        <f>IF(AJ600="","",IF(AND(AL600="NO",AJ600&gt;=0.75),"YES","NO"))</f>
        <v/>
      </c>
      <c r="AN600">
        <f>IF(AJ600="","",IF(AJ600&lt;0.4,"Critical",IF(AJ600&lt;0.6,"Poor",IF(AJ600&lt;0.75,"Needs Improvement",IF(AJ600&lt;0.9,"Good","Excellent")))))</f>
        <v/>
      </c>
    </row>
    <row r="601" ht="15" customHeight="1" s="45">
      <c r="A601">
        <f>IF($B601="","",TEXT($B601,"yyyymmdd")&amp;"-"&amp;SUBSTITUTE($F601," ","")&amp;"-"&amp;TEXT(COUNTIF($F$4:F601,$F601),"00"))</f>
        <v/>
      </c>
      <c r="C601">
        <f>IF($B601="","",WEEKNUM($B601,2))</f>
        <v/>
      </c>
      <c r="D601">
        <f>IF($B601="","",TEXT($B601,"yyyy-mm"))</f>
        <v/>
      </c>
      <c r="G601">
        <f>IF(OR($E601="",$F601=""),"",IFERROR(IF($E601=INDEX(Cluster_Master!$A$4:$A$18,MATCH($F601,Cluster_Master!$B$4:$B$18,0)),"OK","CHECK"),"CHECK"))</f>
        <v/>
      </c>
      <c r="H601">
        <f>IFERROR(INDEX(Cluster_Master!$C$4:$C$18,MATCH($F601,Cluster_Master!$B$4:$B$18,0)),"")</f>
        <v/>
      </c>
      <c r="I601">
        <f>IFERROR(INDEX(Cluster_Master!$D$4:$D$18,MATCH($F601,Cluster_Master!$B$4:$B$18,0)),"")</f>
        <v/>
      </c>
      <c r="J601">
        <f>IFERROR(INDEX(Cluster_Master!$E$4:$E$18,MATCH($F601,Cluster_Master!$B$4:$B$18,0)),"")</f>
        <v/>
      </c>
      <c r="K601">
        <f>IFERROR(INDEX(Cluster_Master!$F$4:$F$18,MATCH($F601,Cluster_Master!$B$4:$B$18,0)),"")</f>
        <v/>
      </c>
      <c r="L601">
        <f>IFERROR(INDEX(Cluster_Master!$G$4:$G$18,MATCH($F601,Cluster_Master!$B$4:$B$18,0)),"")</f>
        <v/>
      </c>
      <c r="M601">
        <f>IFERROR(INDEX(Cluster_Master!$H$4:$H$18,MATCH($F601,Cluster_Master!$B$4:$B$18,0)),"")</f>
        <v/>
      </c>
      <c r="AI601">
        <f>IF(COUNTA(T601:AH601)=0,"",SUM(T601:AH601))</f>
        <v/>
      </c>
      <c r="AJ601">
        <f>IF(COUNTA(T601:AH601)=0,"",AI601/(COUNT(KPI_Weights!$A$4:$A$18)*5))</f>
        <v/>
      </c>
      <c r="AK601">
        <f>IF(COUNTA(T601:AH601)=0,"",SUMPRODUCT(T601:AH601,KPI_Weights!$B$4:$B$18)/5)</f>
        <v/>
      </c>
      <c r="AL601">
        <f>IF(COUNTA(T601:AH601)=0,"",IF(SUMPRODUCT(--(T601:AH601&lt;=1),--(KPI_Weights!$C$4:$C$18="YES"))&gt;0,"YES","NO"))</f>
        <v/>
      </c>
      <c r="AM601">
        <f>IF(AJ601="","",IF(AND(AL601="NO",AJ601&gt;=0.75),"YES","NO"))</f>
        <v/>
      </c>
      <c r="AN601">
        <f>IF(AJ601="","",IF(AJ601&lt;0.4,"Critical",IF(AJ601&lt;0.6,"Poor",IF(AJ601&lt;0.75,"Needs Improvement",IF(AJ601&lt;0.9,"Good","Excellent")))))</f>
        <v/>
      </c>
    </row>
    <row r="602" ht="15" customHeight="1" s="45">
      <c r="A602">
        <f>IF($B602="","",TEXT($B602,"yyyymmdd")&amp;"-"&amp;SUBSTITUTE($F602," ","")&amp;"-"&amp;TEXT(COUNTIF($F$4:F602,$F602),"00"))</f>
        <v/>
      </c>
      <c r="C602">
        <f>IF($B602="","",WEEKNUM($B602,2))</f>
        <v/>
      </c>
      <c r="D602">
        <f>IF($B602="","",TEXT($B602,"yyyy-mm"))</f>
        <v/>
      </c>
      <c r="G602">
        <f>IF(OR($E602="",$F602=""),"",IFERROR(IF($E602=INDEX(Cluster_Master!$A$4:$A$18,MATCH($F602,Cluster_Master!$B$4:$B$18,0)),"OK","CHECK"),"CHECK"))</f>
        <v/>
      </c>
      <c r="H602">
        <f>IFERROR(INDEX(Cluster_Master!$C$4:$C$18,MATCH($F602,Cluster_Master!$B$4:$B$18,0)),"")</f>
        <v/>
      </c>
      <c r="I602">
        <f>IFERROR(INDEX(Cluster_Master!$D$4:$D$18,MATCH($F602,Cluster_Master!$B$4:$B$18,0)),"")</f>
        <v/>
      </c>
      <c r="J602">
        <f>IFERROR(INDEX(Cluster_Master!$E$4:$E$18,MATCH($F602,Cluster_Master!$B$4:$B$18,0)),"")</f>
        <v/>
      </c>
      <c r="K602">
        <f>IFERROR(INDEX(Cluster_Master!$F$4:$F$18,MATCH($F602,Cluster_Master!$B$4:$B$18,0)),"")</f>
        <v/>
      </c>
      <c r="L602">
        <f>IFERROR(INDEX(Cluster_Master!$G$4:$G$18,MATCH($F602,Cluster_Master!$B$4:$B$18,0)),"")</f>
        <v/>
      </c>
      <c r="M602">
        <f>IFERROR(INDEX(Cluster_Master!$H$4:$H$18,MATCH($F602,Cluster_Master!$B$4:$B$18,0)),"")</f>
        <v/>
      </c>
      <c r="AI602">
        <f>IF(COUNTA(T602:AH602)=0,"",SUM(T602:AH602))</f>
        <v/>
      </c>
      <c r="AJ602">
        <f>IF(COUNTA(T602:AH602)=0,"",AI602/(COUNT(KPI_Weights!$A$4:$A$18)*5))</f>
        <v/>
      </c>
      <c r="AK602">
        <f>IF(COUNTA(T602:AH602)=0,"",SUMPRODUCT(T602:AH602,KPI_Weights!$B$4:$B$18)/5)</f>
        <v/>
      </c>
      <c r="AL602">
        <f>IF(COUNTA(T602:AH602)=0,"",IF(SUMPRODUCT(--(T602:AH602&lt;=1),--(KPI_Weights!$C$4:$C$18="YES"))&gt;0,"YES","NO"))</f>
        <v/>
      </c>
      <c r="AM602">
        <f>IF(AJ602="","",IF(AND(AL602="NO",AJ602&gt;=0.75),"YES","NO"))</f>
        <v/>
      </c>
      <c r="AN602">
        <f>IF(AJ602="","",IF(AJ602&lt;0.4,"Critical",IF(AJ602&lt;0.6,"Poor",IF(AJ602&lt;0.75,"Needs Improvement",IF(AJ602&lt;0.9,"Good","Excellent")))))</f>
        <v/>
      </c>
    </row>
    <row r="603" ht="15" customHeight="1" s="45">
      <c r="A603">
        <f>IF($B603="","",TEXT($B603,"yyyymmdd")&amp;"-"&amp;SUBSTITUTE($F603," ","")&amp;"-"&amp;TEXT(COUNTIF($F$4:F603,$F603),"00"))</f>
        <v/>
      </c>
      <c r="C603">
        <f>IF($B603="","",WEEKNUM($B603,2))</f>
        <v/>
      </c>
      <c r="D603">
        <f>IF($B603="","",TEXT($B603,"yyyy-mm"))</f>
        <v/>
      </c>
      <c r="G603">
        <f>IF(OR($E603="",$F603=""),"",IFERROR(IF($E603=INDEX(Cluster_Master!$A$4:$A$18,MATCH($F603,Cluster_Master!$B$4:$B$18,0)),"OK","CHECK"),"CHECK"))</f>
        <v/>
      </c>
      <c r="H603">
        <f>IFERROR(INDEX(Cluster_Master!$C$4:$C$18,MATCH($F603,Cluster_Master!$B$4:$B$18,0)),"")</f>
        <v/>
      </c>
      <c r="I603">
        <f>IFERROR(INDEX(Cluster_Master!$D$4:$D$18,MATCH($F603,Cluster_Master!$B$4:$B$18,0)),"")</f>
        <v/>
      </c>
      <c r="J603">
        <f>IFERROR(INDEX(Cluster_Master!$E$4:$E$18,MATCH($F603,Cluster_Master!$B$4:$B$18,0)),"")</f>
        <v/>
      </c>
      <c r="K603">
        <f>IFERROR(INDEX(Cluster_Master!$F$4:$F$18,MATCH($F603,Cluster_Master!$B$4:$B$18,0)),"")</f>
        <v/>
      </c>
      <c r="L603">
        <f>IFERROR(INDEX(Cluster_Master!$G$4:$G$18,MATCH($F603,Cluster_Master!$B$4:$B$18,0)),"")</f>
        <v/>
      </c>
      <c r="M603">
        <f>IFERROR(INDEX(Cluster_Master!$H$4:$H$18,MATCH($F603,Cluster_Master!$B$4:$B$18,0)),"")</f>
        <v/>
      </c>
      <c r="AI603">
        <f>IF(COUNTA(T603:AH603)=0,"",SUM(T603:AH603))</f>
        <v/>
      </c>
      <c r="AJ603">
        <f>IF(COUNTA(T603:AH603)=0,"",AI603/(COUNT(KPI_Weights!$A$4:$A$18)*5))</f>
        <v/>
      </c>
      <c r="AK603">
        <f>IF(COUNTA(T603:AH603)=0,"",SUMPRODUCT(T603:AH603,KPI_Weights!$B$4:$B$18)/5)</f>
        <v/>
      </c>
      <c r="AL603">
        <f>IF(COUNTA(T603:AH603)=0,"",IF(SUMPRODUCT(--(T603:AH603&lt;=1),--(KPI_Weights!$C$4:$C$18="YES"))&gt;0,"YES","NO"))</f>
        <v/>
      </c>
      <c r="AM603">
        <f>IF(AJ603="","",IF(AND(AL603="NO",AJ603&gt;=0.75),"YES","NO"))</f>
        <v/>
      </c>
      <c r="AN603">
        <f>IF(AJ603="","",IF(AJ603&lt;0.4,"Critical",IF(AJ603&lt;0.6,"Poor",IF(AJ603&lt;0.75,"Needs Improvement",IF(AJ603&lt;0.9,"Good","Excellent")))))</f>
        <v/>
      </c>
    </row>
    <row r="604" ht="15" customHeight="1" s="45">
      <c r="A604">
        <f>IF($B604="","",TEXT($B604,"yyyymmdd")&amp;"-"&amp;SUBSTITUTE($F604," ","")&amp;"-"&amp;TEXT(COUNTIF($F$4:F604,$F604),"00"))</f>
        <v/>
      </c>
      <c r="C604">
        <f>IF($B604="","",WEEKNUM($B604,2))</f>
        <v/>
      </c>
      <c r="D604">
        <f>IF($B604="","",TEXT($B604,"yyyy-mm"))</f>
        <v/>
      </c>
      <c r="G604">
        <f>IF(OR($E604="",$F604=""),"",IFERROR(IF($E604=INDEX(Cluster_Master!$A$4:$A$18,MATCH($F604,Cluster_Master!$B$4:$B$18,0)),"OK","CHECK"),"CHECK"))</f>
        <v/>
      </c>
      <c r="H604">
        <f>IFERROR(INDEX(Cluster_Master!$C$4:$C$18,MATCH($F604,Cluster_Master!$B$4:$B$18,0)),"")</f>
        <v/>
      </c>
      <c r="I604">
        <f>IFERROR(INDEX(Cluster_Master!$D$4:$D$18,MATCH($F604,Cluster_Master!$B$4:$B$18,0)),"")</f>
        <v/>
      </c>
      <c r="J604">
        <f>IFERROR(INDEX(Cluster_Master!$E$4:$E$18,MATCH($F604,Cluster_Master!$B$4:$B$18,0)),"")</f>
        <v/>
      </c>
      <c r="K604">
        <f>IFERROR(INDEX(Cluster_Master!$F$4:$F$18,MATCH($F604,Cluster_Master!$B$4:$B$18,0)),"")</f>
        <v/>
      </c>
      <c r="L604">
        <f>IFERROR(INDEX(Cluster_Master!$G$4:$G$18,MATCH($F604,Cluster_Master!$B$4:$B$18,0)),"")</f>
        <v/>
      </c>
      <c r="M604">
        <f>IFERROR(INDEX(Cluster_Master!$H$4:$H$18,MATCH($F604,Cluster_Master!$B$4:$B$18,0)),"")</f>
        <v/>
      </c>
      <c r="AI604">
        <f>IF(COUNTA(T604:AH604)=0,"",SUM(T604:AH604))</f>
        <v/>
      </c>
      <c r="AJ604">
        <f>IF(COUNTA(T604:AH604)=0,"",AI604/(COUNT(KPI_Weights!$A$4:$A$18)*5))</f>
        <v/>
      </c>
      <c r="AK604">
        <f>IF(COUNTA(T604:AH604)=0,"",SUMPRODUCT(T604:AH604,KPI_Weights!$B$4:$B$18)/5)</f>
        <v/>
      </c>
      <c r="AL604">
        <f>IF(COUNTA(T604:AH604)=0,"",IF(SUMPRODUCT(--(T604:AH604&lt;=1),--(KPI_Weights!$C$4:$C$18="YES"))&gt;0,"YES","NO"))</f>
        <v/>
      </c>
      <c r="AM604">
        <f>IF(AJ604="","",IF(AND(AL604="NO",AJ604&gt;=0.75),"YES","NO"))</f>
        <v/>
      </c>
      <c r="AN604">
        <f>IF(AJ604="","",IF(AJ604&lt;0.4,"Critical",IF(AJ604&lt;0.6,"Poor",IF(AJ604&lt;0.75,"Needs Improvement",IF(AJ604&lt;0.9,"Good","Excellent")))))</f>
        <v/>
      </c>
    </row>
    <row r="605" ht="15" customHeight="1" s="45">
      <c r="A605">
        <f>IF($B605="","",TEXT($B605,"yyyymmdd")&amp;"-"&amp;SUBSTITUTE($F605," ","")&amp;"-"&amp;TEXT(COUNTIF($F$4:F605,$F605),"00"))</f>
        <v/>
      </c>
      <c r="C605">
        <f>IF($B605="","",WEEKNUM($B605,2))</f>
        <v/>
      </c>
      <c r="D605">
        <f>IF($B605="","",TEXT($B605,"yyyy-mm"))</f>
        <v/>
      </c>
      <c r="G605">
        <f>IF(OR($E605="",$F605=""),"",IFERROR(IF($E605=INDEX(Cluster_Master!$A$4:$A$18,MATCH($F605,Cluster_Master!$B$4:$B$18,0)),"OK","CHECK"),"CHECK"))</f>
        <v/>
      </c>
      <c r="H605">
        <f>IFERROR(INDEX(Cluster_Master!$C$4:$C$18,MATCH($F605,Cluster_Master!$B$4:$B$18,0)),"")</f>
        <v/>
      </c>
      <c r="I605">
        <f>IFERROR(INDEX(Cluster_Master!$D$4:$D$18,MATCH($F605,Cluster_Master!$B$4:$B$18,0)),"")</f>
        <v/>
      </c>
      <c r="J605">
        <f>IFERROR(INDEX(Cluster_Master!$E$4:$E$18,MATCH($F605,Cluster_Master!$B$4:$B$18,0)),"")</f>
        <v/>
      </c>
      <c r="K605">
        <f>IFERROR(INDEX(Cluster_Master!$F$4:$F$18,MATCH($F605,Cluster_Master!$B$4:$B$18,0)),"")</f>
        <v/>
      </c>
      <c r="L605">
        <f>IFERROR(INDEX(Cluster_Master!$G$4:$G$18,MATCH($F605,Cluster_Master!$B$4:$B$18,0)),"")</f>
        <v/>
      </c>
      <c r="M605">
        <f>IFERROR(INDEX(Cluster_Master!$H$4:$H$18,MATCH($F605,Cluster_Master!$B$4:$B$18,0)),"")</f>
        <v/>
      </c>
      <c r="AI605">
        <f>IF(COUNTA(T605:AH605)=0,"",SUM(T605:AH605))</f>
        <v/>
      </c>
      <c r="AJ605">
        <f>IF(COUNTA(T605:AH605)=0,"",AI605/(COUNT(KPI_Weights!$A$4:$A$18)*5))</f>
        <v/>
      </c>
      <c r="AK605">
        <f>IF(COUNTA(T605:AH605)=0,"",SUMPRODUCT(T605:AH605,KPI_Weights!$B$4:$B$18)/5)</f>
        <v/>
      </c>
      <c r="AL605">
        <f>IF(COUNTA(T605:AH605)=0,"",IF(SUMPRODUCT(--(T605:AH605&lt;=1),--(KPI_Weights!$C$4:$C$18="YES"))&gt;0,"YES","NO"))</f>
        <v/>
      </c>
      <c r="AM605">
        <f>IF(AJ605="","",IF(AND(AL605="NO",AJ605&gt;=0.75),"YES","NO"))</f>
        <v/>
      </c>
      <c r="AN605">
        <f>IF(AJ605="","",IF(AJ605&lt;0.4,"Critical",IF(AJ605&lt;0.6,"Poor",IF(AJ605&lt;0.75,"Needs Improvement",IF(AJ605&lt;0.9,"Good","Excellent")))))</f>
        <v/>
      </c>
    </row>
    <row r="606" ht="15" customHeight="1" s="45">
      <c r="A606">
        <f>IF($B606="","",TEXT($B606,"yyyymmdd")&amp;"-"&amp;SUBSTITUTE($F606," ","")&amp;"-"&amp;TEXT(COUNTIF($F$4:F606,$F606),"00"))</f>
        <v/>
      </c>
      <c r="C606">
        <f>IF($B606="","",WEEKNUM($B606,2))</f>
        <v/>
      </c>
      <c r="D606">
        <f>IF($B606="","",TEXT($B606,"yyyy-mm"))</f>
        <v/>
      </c>
      <c r="G606">
        <f>IF(OR($E606="",$F606=""),"",IFERROR(IF($E606=INDEX(Cluster_Master!$A$4:$A$18,MATCH($F606,Cluster_Master!$B$4:$B$18,0)),"OK","CHECK"),"CHECK"))</f>
        <v/>
      </c>
      <c r="H606">
        <f>IFERROR(INDEX(Cluster_Master!$C$4:$C$18,MATCH($F606,Cluster_Master!$B$4:$B$18,0)),"")</f>
        <v/>
      </c>
      <c r="I606">
        <f>IFERROR(INDEX(Cluster_Master!$D$4:$D$18,MATCH($F606,Cluster_Master!$B$4:$B$18,0)),"")</f>
        <v/>
      </c>
      <c r="J606">
        <f>IFERROR(INDEX(Cluster_Master!$E$4:$E$18,MATCH($F606,Cluster_Master!$B$4:$B$18,0)),"")</f>
        <v/>
      </c>
      <c r="K606">
        <f>IFERROR(INDEX(Cluster_Master!$F$4:$F$18,MATCH($F606,Cluster_Master!$B$4:$B$18,0)),"")</f>
        <v/>
      </c>
      <c r="L606">
        <f>IFERROR(INDEX(Cluster_Master!$G$4:$G$18,MATCH($F606,Cluster_Master!$B$4:$B$18,0)),"")</f>
        <v/>
      </c>
      <c r="M606">
        <f>IFERROR(INDEX(Cluster_Master!$H$4:$H$18,MATCH($F606,Cluster_Master!$B$4:$B$18,0)),"")</f>
        <v/>
      </c>
      <c r="AI606">
        <f>IF(COUNTA(T606:AH606)=0,"",SUM(T606:AH606))</f>
        <v/>
      </c>
      <c r="AJ606">
        <f>IF(COUNTA(T606:AH606)=0,"",AI606/(COUNT(KPI_Weights!$A$4:$A$18)*5))</f>
        <v/>
      </c>
      <c r="AK606">
        <f>IF(COUNTA(T606:AH606)=0,"",SUMPRODUCT(T606:AH606,KPI_Weights!$B$4:$B$18)/5)</f>
        <v/>
      </c>
      <c r="AL606">
        <f>IF(COUNTA(T606:AH606)=0,"",IF(SUMPRODUCT(--(T606:AH606&lt;=1),--(KPI_Weights!$C$4:$C$18="YES"))&gt;0,"YES","NO"))</f>
        <v/>
      </c>
      <c r="AM606">
        <f>IF(AJ606="","",IF(AND(AL606="NO",AJ606&gt;=0.75),"YES","NO"))</f>
        <v/>
      </c>
      <c r="AN606">
        <f>IF(AJ606="","",IF(AJ606&lt;0.4,"Critical",IF(AJ606&lt;0.6,"Poor",IF(AJ606&lt;0.75,"Needs Improvement",IF(AJ606&lt;0.9,"Good","Excellent")))))</f>
        <v/>
      </c>
    </row>
    <row r="607" ht="15" customHeight="1" s="45">
      <c r="A607">
        <f>IF($B607="","",TEXT($B607,"yyyymmdd")&amp;"-"&amp;SUBSTITUTE($F607," ","")&amp;"-"&amp;TEXT(COUNTIF($F$4:F607,$F607),"00"))</f>
        <v/>
      </c>
      <c r="C607">
        <f>IF($B607="","",WEEKNUM($B607,2))</f>
        <v/>
      </c>
      <c r="D607">
        <f>IF($B607="","",TEXT($B607,"yyyy-mm"))</f>
        <v/>
      </c>
      <c r="G607">
        <f>IF(OR($E607="",$F607=""),"",IFERROR(IF($E607=INDEX(Cluster_Master!$A$4:$A$18,MATCH($F607,Cluster_Master!$B$4:$B$18,0)),"OK","CHECK"),"CHECK"))</f>
        <v/>
      </c>
      <c r="H607">
        <f>IFERROR(INDEX(Cluster_Master!$C$4:$C$18,MATCH($F607,Cluster_Master!$B$4:$B$18,0)),"")</f>
        <v/>
      </c>
      <c r="I607">
        <f>IFERROR(INDEX(Cluster_Master!$D$4:$D$18,MATCH($F607,Cluster_Master!$B$4:$B$18,0)),"")</f>
        <v/>
      </c>
      <c r="J607">
        <f>IFERROR(INDEX(Cluster_Master!$E$4:$E$18,MATCH($F607,Cluster_Master!$B$4:$B$18,0)),"")</f>
        <v/>
      </c>
      <c r="K607">
        <f>IFERROR(INDEX(Cluster_Master!$F$4:$F$18,MATCH($F607,Cluster_Master!$B$4:$B$18,0)),"")</f>
        <v/>
      </c>
      <c r="L607">
        <f>IFERROR(INDEX(Cluster_Master!$G$4:$G$18,MATCH($F607,Cluster_Master!$B$4:$B$18,0)),"")</f>
        <v/>
      </c>
      <c r="M607">
        <f>IFERROR(INDEX(Cluster_Master!$H$4:$H$18,MATCH($F607,Cluster_Master!$B$4:$B$18,0)),"")</f>
        <v/>
      </c>
      <c r="AI607">
        <f>IF(COUNTA(T607:AH607)=0,"",SUM(T607:AH607))</f>
        <v/>
      </c>
      <c r="AJ607">
        <f>IF(COUNTA(T607:AH607)=0,"",AI607/(COUNT(KPI_Weights!$A$4:$A$18)*5))</f>
        <v/>
      </c>
      <c r="AK607">
        <f>IF(COUNTA(T607:AH607)=0,"",SUMPRODUCT(T607:AH607,KPI_Weights!$B$4:$B$18)/5)</f>
        <v/>
      </c>
      <c r="AL607">
        <f>IF(COUNTA(T607:AH607)=0,"",IF(SUMPRODUCT(--(T607:AH607&lt;=1),--(KPI_Weights!$C$4:$C$18="YES"))&gt;0,"YES","NO"))</f>
        <v/>
      </c>
      <c r="AM607">
        <f>IF(AJ607="","",IF(AND(AL607="NO",AJ607&gt;=0.75),"YES","NO"))</f>
        <v/>
      </c>
      <c r="AN607">
        <f>IF(AJ607="","",IF(AJ607&lt;0.4,"Critical",IF(AJ607&lt;0.6,"Poor",IF(AJ607&lt;0.75,"Needs Improvement",IF(AJ607&lt;0.9,"Good","Excellent")))))</f>
        <v/>
      </c>
    </row>
    <row r="608" ht="15" customHeight="1" s="45">
      <c r="A608">
        <f>IF($B608="","",TEXT($B608,"yyyymmdd")&amp;"-"&amp;SUBSTITUTE($F608," ","")&amp;"-"&amp;TEXT(COUNTIF($F$4:F608,$F608),"00"))</f>
        <v/>
      </c>
      <c r="C608">
        <f>IF($B608="","",WEEKNUM($B608,2))</f>
        <v/>
      </c>
      <c r="D608">
        <f>IF($B608="","",TEXT($B608,"yyyy-mm"))</f>
        <v/>
      </c>
      <c r="G608">
        <f>IF(OR($E608="",$F608=""),"",IFERROR(IF($E608=INDEX(Cluster_Master!$A$4:$A$18,MATCH($F608,Cluster_Master!$B$4:$B$18,0)),"OK","CHECK"),"CHECK"))</f>
        <v/>
      </c>
      <c r="H608">
        <f>IFERROR(INDEX(Cluster_Master!$C$4:$C$18,MATCH($F608,Cluster_Master!$B$4:$B$18,0)),"")</f>
        <v/>
      </c>
      <c r="I608">
        <f>IFERROR(INDEX(Cluster_Master!$D$4:$D$18,MATCH($F608,Cluster_Master!$B$4:$B$18,0)),"")</f>
        <v/>
      </c>
      <c r="J608">
        <f>IFERROR(INDEX(Cluster_Master!$E$4:$E$18,MATCH($F608,Cluster_Master!$B$4:$B$18,0)),"")</f>
        <v/>
      </c>
      <c r="K608">
        <f>IFERROR(INDEX(Cluster_Master!$F$4:$F$18,MATCH($F608,Cluster_Master!$B$4:$B$18,0)),"")</f>
        <v/>
      </c>
      <c r="L608">
        <f>IFERROR(INDEX(Cluster_Master!$G$4:$G$18,MATCH($F608,Cluster_Master!$B$4:$B$18,0)),"")</f>
        <v/>
      </c>
      <c r="M608">
        <f>IFERROR(INDEX(Cluster_Master!$H$4:$H$18,MATCH($F608,Cluster_Master!$B$4:$B$18,0)),"")</f>
        <v/>
      </c>
      <c r="AI608">
        <f>IF(COUNTA(T608:AH608)=0,"",SUM(T608:AH608))</f>
        <v/>
      </c>
      <c r="AJ608">
        <f>IF(COUNTA(T608:AH608)=0,"",AI608/(COUNT(KPI_Weights!$A$4:$A$18)*5))</f>
        <v/>
      </c>
      <c r="AK608">
        <f>IF(COUNTA(T608:AH608)=0,"",SUMPRODUCT(T608:AH608,KPI_Weights!$B$4:$B$18)/5)</f>
        <v/>
      </c>
      <c r="AL608">
        <f>IF(COUNTA(T608:AH608)=0,"",IF(SUMPRODUCT(--(T608:AH608&lt;=1),--(KPI_Weights!$C$4:$C$18="YES"))&gt;0,"YES","NO"))</f>
        <v/>
      </c>
      <c r="AM608">
        <f>IF(AJ608="","",IF(AND(AL608="NO",AJ608&gt;=0.75),"YES","NO"))</f>
        <v/>
      </c>
      <c r="AN608">
        <f>IF(AJ608="","",IF(AJ608&lt;0.4,"Critical",IF(AJ608&lt;0.6,"Poor",IF(AJ608&lt;0.75,"Needs Improvement",IF(AJ608&lt;0.9,"Good","Excellent")))))</f>
        <v/>
      </c>
    </row>
    <row r="609" ht="15" customHeight="1" s="45">
      <c r="A609">
        <f>IF($B609="","",TEXT($B609,"yyyymmdd")&amp;"-"&amp;SUBSTITUTE($F609," ","")&amp;"-"&amp;TEXT(COUNTIF($F$4:F609,$F609),"00"))</f>
        <v/>
      </c>
      <c r="C609">
        <f>IF($B609="","",WEEKNUM($B609,2))</f>
        <v/>
      </c>
      <c r="D609">
        <f>IF($B609="","",TEXT($B609,"yyyy-mm"))</f>
        <v/>
      </c>
      <c r="G609">
        <f>IF(OR($E609="",$F609=""),"",IFERROR(IF($E609=INDEX(Cluster_Master!$A$4:$A$18,MATCH($F609,Cluster_Master!$B$4:$B$18,0)),"OK","CHECK"),"CHECK"))</f>
        <v/>
      </c>
      <c r="H609">
        <f>IFERROR(INDEX(Cluster_Master!$C$4:$C$18,MATCH($F609,Cluster_Master!$B$4:$B$18,0)),"")</f>
        <v/>
      </c>
      <c r="I609">
        <f>IFERROR(INDEX(Cluster_Master!$D$4:$D$18,MATCH($F609,Cluster_Master!$B$4:$B$18,0)),"")</f>
        <v/>
      </c>
      <c r="J609">
        <f>IFERROR(INDEX(Cluster_Master!$E$4:$E$18,MATCH($F609,Cluster_Master!$B$4:$B$18,0)),"")</f>
        <v/>
      </c>
      <c r="K609">
        <f>IFERROR(INDEX(Cluster_Master!$F$4:$F$18,MATCH($F609,Cluster_Master!$B$4:$B$18,0)),"")</f>
        <v/>
      </c>
      <c r="L609">
        <f>IFERROR(INDEX(Cluster_Master!$G$4:$G$18,MATCH($F609,Cluster_Master!$B$4:$B$18,0)),"")</f>
        <v/>
      </c>
      <c r="M609">
        <f>IFERROR(INDEX(Cluster_Master!$H$4:$H$18,MATCH($F609,Cluster_Master!$B$4:$B$18,0)),"")</f>
        <v/>
      </c>
      <c r="AI609">
        <f>IF(COUNTA(T609:AH609)=0,"",SUM(T609:AH609))</f>
        <v/>
      </c>
      <c r="AJ609">
        <f>IF(COUNTA(T609:AH609)=0,"",AI609/(COUNT(KPI_Weights!$A$4:$A$18)*5))</f>
        <v/>
      </c>
      <c r="AK609">
        <f>IF(COUNTA(T609:AH609)=0,"",SUMPRODUCT(T609:AH609,KPI_Weights!$B$4:$B$18)/5)</f>
        <v/>
      </c>
      <c r="AL609">
        <f>IF(COUNTA(T609:AH609)=0,"",IF(SUMPRODUCT(--(T609:AH609&lt;=1),--(KPI_Weights!$C$4:$C$18="YES"))&gt;0,"YES","NO"))</f>
        <v/>
      </c>
      <c r="AM609">
        <f>IF(AJ609="","",IF(AND(AL609="NO",AJ609&gt;=0.75),"YES","NO"))</f>
        <v/>
      </c>
      <c r="AN609">
        <f>IF(AJ609="","",IF(AJ609&lt;0.4,"Critical",IF(AJ609&lt;0.6,"Poor",IF(AJ609&lt;0.75,"Needs Improvement",IF(AJ609&lt;0.9,"Good","Excellent")))))</f>
        <v/>
      </c>
    </row>
    <row r="610" ht="15" customHeight="1" s="45">
      <c r="A610">
        <f>IF($B610="","",TEXT($B610,"yyyymmdd")&amp;"-"&amp;SUBSTITUTE($F610," ","")&amp;"-"&amp;TEXT(COUNTIF($F$4:F610,$F610),"00"))</f>
        <v/>
      </c>
      <c r="C610">
        <f>IF($B610="","",WEEKNUM($B610,2))</f>
        <v/>
      </c>
      <c r="D610">
        <f>IF($B610="","",TEXT($B610,"yyyy-mm"))</f>
        <v/>
      </c>
      <c r="G610">
        <f>IF(OR($E610="",$F610=""),"",IFERROR(IF($E610=INDEX(Cluster_Master!$A$4:$A$18,MATCH($F610,Cluster_Master!$B$4:$B$18,0)),"OK","CHECK"),"CHECK"))</f>
        <v/>
      </c>
      <c r="H610">
        <f>IFERROR(INDEX(Cluster_Master!$C$4:$C$18,MATCH($F610,Cluster_Master!$B$4:$B$18,0)),"")</f>
        <v/>
      </c>
      <c r="I610">
        <f>IFERROR(INDEX(Cluster_Master!$D$4:$D$18,MATCH($F610,Cluster_Master!$B$4:$B$18,0)),"")</f>
        <v/>
      </c>
      <c r="J610">
        <f>IFERROR(INDEX(Cluster_Master!$E$4:$E$18,MATCH($F610,Cluster_Master!$B$4:$B$18,0)),"")</f>
        <v/>
      </c>
      <c r="K610">
        <f>IFERROR(INDEX(Cluster_Master!$F$4:$F$18,MATCH($F610,Cluster_Master!$B$4:$B$18,0)),"")</f>
        <v/>
      </c>
      <c r="L610">
        <f>IFERROR(INDEX(Cluster_Master!$G$4:$G$18,MATCH($F610,Cluster_Master!$B$4:$B$18,0)),"")</f>
        <v/>
      </c>
      <c r="M610">
        <f>IFERROR(INDEX(Cluster_Master!$H$4:$H$18,MATCH($F610,Cluster_Master!$B$4:$B$18,0)),"")</f>
        <v/>
      </c>
      <c r="AI610">
        <f>IF(COUNTA(T610:AH610)=0,"",SUM(T610:AH610))</f>
        <v/>
      </c>
      <c r="AJ610">
        <f>IF(COUNTA(T610:AH610)=0,"",AI610/(COUNT(KPI_Weights!$A$4:$A$18)*5))</f>
        <v/>
      </c>
      <c r="AK610">
        <f>IF(COUNTA(T610:AH610)=0,"",SUMPRODUCT(T610:AH610,KPI_Weights!$B$4:$B$18)/5)</f>
        <v/>
      </c>
      <c r="AL610">
        <f>IF(COUNTA(T610:AH610)=0,"",IF(SUMPRODUCT(--(T610:AH610&lt;=1),--(KPI_Weights!$C$4:$C$18="YES"))&gt;0,"YES","NO"))</f>
        <v/>
      </c>
      <c r="AM610">
        <f>IF(AJ610="","",IF(AND(AL610="NO",AJ610&gt;=0.75),"YES","NO"))</f>
        <v/>
      </c>
      <c r="AN610">
        <f>IF(AJ610="","",IF(AJ610&lt;0.4,"Critical",IF(AJ610&lt;0.6,"Poor",IF(AJ610&lt;0.75,"Needs Improvement",IF(AJ610&lt;0.9,"Good","Excellent")))))</f>
        <v/>
      </c>
    </row>
    <row r="611" ht="15" customHeight="1" s="45">
      <c r="A611">
        <f>IF($B611="","",TEXT($B611,"yyyymmdd")&amp;"-"&amp;SUBSTITUTE($F611," ","")&amp;"-"&amp;TEXT(COUNTIF($F$4:F611,$F611),"00"))</f>
        <v/>
      </c>
      <c r="C611">
        <f>IF($B611="","",WEEKNUM($B611,2))</f>
        <v/>
      </c>
      <c r="D611">
        <f>IF($B611="","",TEXT($B611,"yyyy-mm"))</f>
        <v/>
      </c>
      <c r="G611">
        <f>IF(OR($E611="",$F611=""),"",IFERROR(IF($E611=INDEX(Cluster_Master!$A$4:$A$18,MATCH($F611,Cluster_Master!$B$4:$B$18,0)),"OK","CHECK"),"CHECK"))</f>
        <v/>
      </c>
      <c r="H611">
        <f>IFERROR(INDEX(Cluster_Master!$C$4:$C$18,MATCH($F611,Cluster_Master!$B$4:$B$18,0)),"")</f>
        <v/>
      </c>
      <c r="I611">
        <f>IFERROR(INDEX(Cluster_Master!$D$4:$D$18,MATCH($F611,Cluster_Master!$B$4:$B$18,0)),"")</f>
        <v/>
      </c>
      <c r="J611">
        <f>IFERROR(INDEX(Cluster_Master!$E$4:$E$18,MATCH($F611,Cluster_Master!$B$4:$B$18,0)),"")</f>
        <v/>
      </c>
      <c r="K611">
        <f>IFERROR(INDEX(Cluster_Master!$F$4:$F$18,MATCH($F611,Cluster_Master!$B$4:$B$18,0)),"")</f>
        <v/>
      </c>
      <c r="L611">
        <f>IFERROR(INDEX(Cluster_Master!$G$4:$G$18,MATCH($F611,Cluster_Master!$B$4:$B$18,0)),"")</f>
        <v/>
      </c>
      <c r="M611">
        <f>IFERROR(INDEX(Cluster_Master!$H$4:$H$18,MATCH($F611,Cluster_Master!$B$4:$B$18,0)),"")</f>
        <v/>
      </c>
      <c r="AI611">
        <f>IF(COUNTA(T611:AH611)=0,"",SUM(T611:AH611))</f>
        <v/>
      </c>
      <c r="AJ611">
        <f>IF(COUNTA(T611:AH611)=0,"",AI611/(COUNT(KPI_Weights!$A$4:$A$18)*5))</f>
        <v/>
      </c>
      <c r="AK611">
        <f>IF(COUNTA(T611:AH611)=0,"",SUMPRODUCT(T611:AH611,KPI_Weights!$B$4:$B$18)/5)</f>
        <v/>
      </c>
      <c r="AL611">
        <f>IF(COUNTA(T611:AH611)=0,"",IF(SUMPRODUCT(--(T611:AH611&lt;=1),--(KPI_Weights!$C$4:$C$18="YES"))&gt;0,"YES","NO"))</f>
        <v/>
      </c>
      <c r="AM611">
        <f>IF(AJ611="","",IF(AND(AL611="NO",AJ611&gt;=0.75),"YES","NO"))</f>
        <v/>
      </c>
      <c r="AN611">
        <f>IF(AJ611="","",IF(AJ611&lt;0.4,"Critical",IF(AJ611&lt;0.6,"Poor",IF(AJ611&lt;0.75,"Needs Improvement",IF(AJ611&lt;0.9,"Good","Excellent")))))</f>
        <v/>
      </c>
    </row>
    <row r="612" ht="15" customHeight="1" s="45">
      <c r="A612">
        <f>IF($B612="","",TEXT($B612,"yyyymmdd")&amp;"-"&amp;SUBSTITUTE($F612," ","")&amp;"-"&amp;TEXT(COUNTIF($F$4:F612,$F612),"00"))</f>
        <v/>
      </c>
      <c r="C612">
        <f>IF($B612="","",WEEKNUM($B612,2))</f>
        <v/>
      </c>
      <c r="D612">
        <f>IF($B612="","",TEXT($B612,"yyyy-mm"))</f>
        <v/>
      </c>
      <c r="G612">
        <f>IF(OR($E612="",$F612=""),"",IFERROR(IF($E612=INDEX(Cluster_Master!$A$4:$A$18,MATCH($F612,Cluster_Master!$B$4:$B$18,0)),"OK","CHECK"),"CHECK"))</f>
        <v/>
      </c>
      <c r="H612">
        <f>IFERROR(INDEX(Cluster_Master!$C$4:$C$18,MATCH($F612,Cluster_Master!$B$4:$B$18,0)),"")</f>
        <v/>
      </c>
      <c r="I612">
        <f>IFERROR(INDEX(Cluster_Master!$D$4:$D$18,MATCH($F612,Cluster_Master!$B$4:$B$18,0)),"")</f>
        <v/>
      </c>
      <c r="J612">
        <f>IFERROR(INDEX(Cluster_Master!$E$4:$E$18,MATCH($F612,Cluster_Master!$B$4:$B$18,0)),"")</f>
        <v/>
      </c>
      <c r="K612">
        <f>IFERROR(INDEX(Cluster_Master!$F$4:$F$18,MATCH($F612,Cluster_Master!$B$4:$B$18,0)),"")</f>
        <v/>
      </c>
      <c r="L612">
        <f>IFERROR(INDEX(Cluster_Master!$G$4:$G$18,MATCH($F612,Cluster_Master!$B$4:$B$18,0)),"")</f>
        <v/>
      </c>
      <c r="M612">
        <f>IFERROR(INDEX(Cluster_Master!$H$4:$H$18,MATCH($F612,Cluster_Master!$B$4:$B$18,0)),"")</f>
        <v/>
      </c>
      <c r="AI612">
        <f>IF(COUNTA(T612:AH612)=0,"",SUM(T612:AH612))</f>
        <v/>
      </c>
      <c r="AJ612">
        <f>IF(COUNTA(T612:AH612)=0,"",AI612/(COUNT(KPI_Weights!$A$4:$A$18)*5))</f>
        <v/>
      </c>
      <c r="AK612">
        <f>IF(COUNTA(T612:AH612)=0,"",SUMPRODUCT(T612:AH612,KPI_Weights!$B$4:$B$18)/5)</f>
        <v/>
      </c>
      <c r="AL612">
        <f>IF(COUNTA(T612:AH612)=0,"",IF(SUMPRODUCT(--(T612:AH612&lt;=1),--(KPI_Weights!$C$4:$C$18="YES"))&gt;0,"YES","NO"))</f>
        <v/>
      </c>
      <c r="AM612">
        <f>IF(AJ612="","",IF(AND(AL612="NO",AJ612&gt;=0.75),"YES","NO"))</f>
        <v/>
      </c>
      <c r="AN612">
        <f>IF(AJ612="","",IF(AJ612&lt;0.4,"Critical",IF(AJ612&lt;0.6,"Poor",IF(AJ612&lt;0.75,"Needs Improvement",IF(AJ612&lt;0.9,"Good","Excellent")))))</f>
        <v/>
      </c>
    </row>
    <row r="613" ht="15" customHeight="1" s="45">
      <c r="A613">
        <f>IF($B613="","",TEXT($B613,"yyyymmdd")&amp;"-"&amp;SUBSTITUTE($F613," ","")&amp;"-"&amp;TEXT(COUNTIF($F$4:F613,$F613),"00"))</f>
        <v/>
      </c>
      <c r="C613">
        <f>IF($B613="","",WEEKNUM($B613,2))</f>
        <v/>
      </c>
      <c r="D613">
        <f>IF($B613="","",TEXT($B613,"yyyy-mm"))</f>
        <v/>
      </c>
      <c r="G613">
        <f>IF(OR($E613="",$F613=""),"",IFERROR(IF($E613=INDEX(Cluster_Master!$A$4:$A$18,MATCH($F613,Cluster_Master!$B$4:$B$18,0)),"OK","CHECK"),"CHECK"))</f>
        <v/>
      </c>
      <c r="H613">
        <f>IFERROR(INDEX(Cluster_Master!$C$4:$C$18,MATCH($F613,Cluster_Master!$B$4:$B$18,0)),"")</f>
        <v/>
      </c>
      <c r="I613">
        <f>IFERROR(INDEX(Cluster_Master!$D$4:$D$18,MATCH($F613,Cluster_Master!$B$4:$B$18,0)),"")</f>
        <v/>
      </c>
      <c r="J613">
        <f>IFERROR(INDEX(Cluster_Master!$E$4:$E$18,MATCH($F613,Cluster_Master!$B$4:$B$18,0)),"")</f>
        <v/>
      </c>
      <c r="K613">
        <f>IFERROR(INDEX(Cluster_Master!$F$4:$F$18,MATCH($F613,Cluster_Master!$B$4:$B$18,0)),"")</f>
        <v/>
      </c>
      <c r="L613">
        <f>IFERROR(INDEX(Cluster_Master!$G$4:$G$18,MATCH($F613,Cluster_Master!$B$4:$B$18,0)),"")</f>
        <v/>
      </c>
      <c r="M613">
        <f>IFERROR(INDEX(Cluster_Master!$H$4:$H$18,MATCH($F613,Cluster_Master!$B$4:$B$18,0)),"")</f>
        <v/>
      </c>
      <c r="AI613">
        <f>IF(COUNTA(T613:AH613)=0,"",SUM(T613:AH613))</f>
        <v/>
      </c>
      <c r="AJ613">
        <f>IF(COUNTA(T613:AH613)=0,"",AI613/(COUNT(KPI_Weights!$A$4:$A$18)*5))</f>
        <v/>
      </c>
      <c r="AK613">
        <f>IF(COUNTA(T613:AH613)=0,"",SUMPRODUCT(T613:AH613,KPI_Weights!$B$4:$B$18)/5)</f>
        <v/>
      </c>
      <c r="AL613">
        <f>IF(COUNTA(T613:AH613)=0,"",IF(SUMPRODUCT(--(T613:AH613&lt;=1),--(KPI_Weights!$C$4:$C$18="YES"))&gt;0,"YES","NO"))</f>
        <v/>
      </c>
      <c r="AM613">
        <f>IF(AJ613="","",IF(AND(AL613="NO",AJ613&gt;=0.75),"YES","NO"))</f>
        <v/>
      </c>
      <c r="AN613">
        <f>IF(AJ613="","",IF(AJ613&lt;0.4,"Critical",IF(AJ613&lt;0.6,"Poor",IF(AJ613&lt;0.75,"Needs Improvement",IF(AJ613&lt;0.9,"Good","Excellent")))))</f>
        <v/>
      </c>
    </row>
    <row r="614" ht="15" customHeight="1" s="45">
      <c r="A614">
        <f>IF($B614="","",TEXT($B614,"yyyymmdd")&amp;"-"&amp;SUBSTITUTE($F614," ","")&amp;"-"&amp;TEXT(COUNTIF($F$4:F614,$F614),"00"))</f>
        <v/>
      </c>
      <c r="C614">
        <f>IF($B614="","",WEEKNUM($B614,2))</f>
        <v/>
      </c>
      <c r="D614">
        <f>IF($B614="","",TEXT($B614,"yyyy-mm"))</f>
        <v/>
      </c>
      <c r="G614">
        <f>IF(OR($E614="",$F614=""),"",IFERROR(IF($E614=INDEX(Cluster_Master!$A$4:$A$18,MATCH($F614,Cluster_Master!$B$4:$B$18,0)),"OK","CHECK"),"CHECK"))</f>
        <v/>
      </c>
      <c r="H614">
        <f>IFERROR(INDEX(Cluster_Master!$C$4:$C$18,MATCH($F614,Cluster_Master!$B$4:$B$18,0)),"")</f>
        <v/>
      </c>
      <c r="I614">
        <f>IFERROR(INDEX(Cluster_Master!$D$4:$D$18,MATCH($F614,Cluster_Master!$B$4:$B$18,0)),"")</f>
        <v/>
      </c>
      <c r="J614">
        <f>IFERROR(INDEX(Cluster_Master!$E$4:$E$18,MATCH($F614,Cluster_Master!$B$4:$B$18,0)),"")</f>
        <v/>
      </c>
      <c r="K614">
        <f>IFERROR(INDEX(Cluster_Master!$F$4:$F$18,MATCH($F614,Cluster_Master!$B$4:$B$18,0)),"")</f>
        <v/>
      </c>
      <c r="L614">
        <f>IFERROR(INDEX(Cluster_Master!$G$4:$G$18,MATCH($F614,Cluster_Master!$B$4:$B$18,0)),"")</f>
        <v/>
      </c>
      <c r="M614">
        <f>IFERROR(INDEX(Cluster_Master!$H$4:$H$18,MATCH($F614,Cluster_Master!$B$4:$B$18,0)),"")</f>
        <v/>
      </c>
      <c r="AI614">
        <f>IF(COUNTA(T614:AH614)=0,"",SUM(T614:AH614))</f>
        <v/>
      </c>
      <c r="AJ614">
        <f>IF(COUNTA(T614:AH614)=0,"",AI614/(COUNT(KPI_Weights!$A$4:$A$18)*5))</f>
        <v/>
      </c>
      <c r="AK614">
        <f>IF(COUNTA(T614:AH614)=0,"",SUMPRODUCT(T614:AH614,KPI_Weights!$B$4:$B$18)/5)</f>
        <v/>
      </c>
      <c r="AL614">
        <f>IF(COUNTA(T614:AH614)=0,"",IF(SUMPRODUCT(--(T614:AH614&lt;=1),--(KPI_Weights!$C$4:$C$18="YES"))&gt;0,"YES","NO"))</f>
        <v/>
      </c>
      <c r="AM614">
        <f>IF(AJ614="","",IF(AND(AL614="NO",AJ614&gt;=0.75),"YES","NO"))</f>
        <v/>
      </c>
      <c r="AN614">
        <f>IF(AJ614="","",IF(AJ614&lt;0.4,"Critical",IF(AJ614&lt;0.6,"Poor",IF(AJ614&lt;0.75,"Needs Improvement",IF(AJ614&lt;0.9,"Good","Excellent")))))</f>
        <v/>
      </c>
    </row>
    <row r="615" ht="15" customHeight="1" s="45">
      <c r="A615">
        <f>IF($B615="","",TEXT($B615,"yyyymmdd")&amp;"-"&amp;SUBSTITUTE($F615," ","")&amp;"-"&amp;TEXT(COUNTIF($F$4:F615,$F615),"00"))</f>
        <v/>
      </c>
      <c r="C615">
        <f>IF($B615="","",WEEKNUM($B615,2))</f>
        <v/>
      </c>
      <c r="D615">
        <f>IF($B615="","",TEXT($B615,"yyyy-mm"))</f>
        <v/>
      </c>
      <c r="G615">
        <f>IF(OR($E615="",$F615=""),"",IFERROR(IF($E615=INDEX(Cluster_Master!$A$4:$A$18,MATCH($F615,Cluster_Master!$B$4:$B$18,0)),"OK","CHECK"),"CHECK"))</f>
        <v/>
      </c>
      <c r="H615">
        <f>IFERROR(INDEX(Cluster_Master!$C$4:$C$18,MATCH($F615,Cluster_Master!$B$4:$B$18,0)),"")</f>
        <v/>
      </c>
      <c r="I615">
        <f>IFERROR(INDEX(Cluster_Master!$D$4:$D$18,MATCH($F615,Cluster_Master!$B$4:$B$18,0)),"")</f>
        <v/>
      </c>
      <c r="J615">
        <f>IFERROR(INDEX(Cluster_Master!$E$4:$E$18,MATCH($F615,Cluster_Master!$B$4:$B$18,0)),"")</f>
        <v/>
      </c>
      <c r="K615">
        <f>IFERROR(INDEX(Cluster_Master!$F$4:$F$18,MATCH($F615,Cluster_Master!$B$4:$B$18,0)),"")</f>
        <v/>
      </c>
      <c r="L615">
        <f>IFERROR(INDEX(Cluster_Master!$G$4:$G$18,MATCH($F615,Cluster_Master!$B$4:$B$18,0)),"")</f>
        <v/>
      </c>
      <c r="M615">
        <f>IFERROR(INDEX(Cluster_Master!$H$4:$H$18,MATCH($F615,Cluster_Master!$B$4:$B$18,0)),"")</f>
        <v/>
      </c>
      <c r="AI615">
        <f>IF(COUNTA(T615:AH615)=0,"",SUM(T615:AH615))</f>
        <v/>
      </c>
      <c r="AJ615">
        <f>IF(COUNTA(T615:AH615)=0,"",AI615/(COUNT(KPI_Weights!$A$4:$A$18)*5))</f>
        <v/>
      </c>
      <c r="AK615">
        <f>IF(COUNTA(T615:AH615)=0,"",SUMPRODUCT(T615:AH615,KPI_Weights!$B$4:$B$18)/5)</f>
        <v/>
      </c>
      <c r="AL615">
        <f>IF(COUNTA(T615:AH615)=0,"",IF(SUMPRODUCT(--(T615:AH615&lt;=1),--(KPI_Weights!$C$4:$C$18="YES"))&gt;0,"YES","NO"))</f>
        <v/>
      </c>
      <c r="AM615">
        <f>IF(AJ615="","",IF(AND(AL615="NO",AJ615&gt;=0.75),"YES","NO"))</f>
        <v/>
      </c>
      <c r="AN615">
        <f>IF(AJ615="","",IF(AJ615&lt;0.4,"Critical",IF(AJ615&lt;0.6,"Poor",IF(AJ615&lt;0.75,"Needs Improvement",IF(AJ615&lt;0.9,"Good","Excellent")))))</f>
        <v/>
      </c>
    </row>
    <row r="616" ht="15" customHeight="1" s="45">
      <c r="A616">
        <f>IF($B616="","",TEXT($B616,"yyyymmdd")&amp;"-"&amp;SUBSTITUTE($F616," ","")&amp;"-"&amp;TEXT(COUNTIF($F$4:F616,$F616),"00"))</f>
        <v/>
      </c>
      <c r="C616">
        <f>IF($B616="","",WEEKNUM($B616,2))</f>
        <v/>
      </c>
      <c r="D616">
        <f>IF($B616="","",TEXT($B616,"yyyy-mm"))</f>
        <v/>
      </c>
      <c r="G616">
        <f>IF(OR($E616="",$F616=""),"",IFERROR(IF($E616=INDEX(Cluster_Master!$A$4:$A$18,MATCH($F616,Cluster_Master!$B$4:$B$18,0)),"OK","CHECK"),"CHECK"))</f>
        <v/>
      </c>
      <c r="H616">
        <f>IFERROR(INDEX(Cluster_Master!$C$4:$C$18,MATCH($F616,Cluster_Master!$B$4:$B$18,0)),"")</f>
        <v/>
      </c>
      <c r="I616">
        <f>IFERROR(INDEX(Cluster_Master!$D$4:$D$18,MATCH($F616,Cluster_Master!$B$4:$B$18,0)),"")</f>
        <v/>
      </c>
      <c r="J616">
        <f>IFERROR(INDEX(Cluster_Master!$E$4:$E$18,MATCH($F616,Cluster_Master!$B$4:$B$18,0)),"")</f>
        <v/>
      </c>
      <c r="K616">
        <f>IFERROR(INDEX(Cluster_Master!$F$4:$F$18,MATCH($F616,Cluster_Master!$B$4:$B$18,0)),"")</f>
        <v/>
      </c>
      <c r="L616">
        <f>IFERROR(INDEX(Cluster_Master!$G$4:$G$18,MATCH($F616,Cluster_Master!$B$4:$B$18,0)),"")</f>
        <v/>
      </c>
      <c r="M616">
        <f>IFERROR(INDEX(Cluster_Master!$H$4:$H$18,MATCH($F616,Cluster_Master!$B$4:$B$18,0)),"")</f>
        <v/>
      </c>
      <c r="AI616">
        <f>IF(COUNTA(T616:AH616)=0,"",SUM(T616:AH616))</f>
        <v/>
      </c>
      <c r="AJ616">
        <f>IF(COUNTA(T616:AH616)=0,"",AI616/(COUNT(KPI_Weights!$A$4:$A$18)*5))</f>
        <v/>
      </c>
      <c r="AK616">
        <f>IF(COUNTA(T616:AH616)=0,"",SUMPRODUCT(T616:AH616,KPI_Weights!$B$4:$B$18)/5)</f>
        <v/>
      </c>
      <c r="AL616">
        <f>IF(COUNTA(T616:AH616)=0,"",IF(SUMPRODUCT(--(T616:AH616&lt;=1),--(KPI_Weights!$C$4:$C$18="YES"))&gt;0,"YES","NO"))</f>
        <v/>
      </c>
      <c r="AM616">
        <f>IF(AJ616="","",IF(AND(AL616="NO",AJ616&gt;=0.75),"YES","NO"))</f>
        <v/>
      </c>
      <c r="AN616">
        <f>IF(AJ616="","",IF(AJ616&lt;0.4,"Critical",IF(AJ616&lt;0.6,"Poor",IF(AJ616&lt;0.75,"Needs Improvement",IF(AJ616&lt;0.9,"Good","Excellent")))))</f>
        <v/>
      </c>
    </row>
    <row r="617" ht="15" customHeight="1" s="45">
      <c r="A617">
        <f>IF($B617="","",TEXT($B617,"yyyymmdd")&amp;"-"&amp;SUBSTITUTE($F617," ","")&amp;"-"&amp;TEXT(COUNTIF($F$4:F617,$F617),"00"))</f>
        <v/>
      </c>
      <c r="C617">
        <f>IF($B617="","",WEEKNUM($B617,2))</f>
        <v/>
      </c>
      <c r="D617">
        <f>IF($B617="","",TEXT($B617,"yyyy-mm"))</f>
        <v/>
      </c>
      <c r="G617">
        <f>IF(OR($E617="",$F617=""),"",IFERROR(IF($E617=INDEX(Cluster_Master!$A$4:$A$18,MATCH($F617,Cluster_Master!$B$4:$B$18,0)),"OK","CHECK"),"CHECK"))</f>
        <v/>
      </c>
      <c r="H617">
        <f>IFERROR(INDEX(Cluster_Master!$C$4:$C$18,MATCH($F617,Cluster_Master!$B$4:$B$18,0)),"")</f>
        <v/>
      </c>
      <c r="I617">
        <f>IFERROR(INDEX(Cluster_Master!$D$4:$D$18,MATCH($F617,Cluster_Master!$B$4:$B$18,0)),"")</f>
        <v/>
      </c>
      <c r="J617">
        <f>IFERROR(INDEX(Cluster_Master!$E$4:$E$18,MATCH($F617,Cluster_Master!$B$4:$B$18,0)),"")</f>
        <v/>
      </c>
      <c r="K617">
        <f>IFERROR(INDEX(Cluster_Master!$F$4:$F$18,MATCH($F617,Cluster_Master!$B$4:$B$18,0)),"")</f>
        <v/>
      </c>
      <c r="L617">
        <f>IFERROR(INDEX(Cluster_Master!$G$4:$G$18,MATCH($F617,Cluster_Master!$B$4:$B$18,0)),"")</f>
        <v/>
      </c>
      <c r="M617">
        <f>IFERROR(INDEX(Cluster_Master!$H$4:$H$18,MATCH($F617,Cluster_Master!$B$4:$B$18,0)),"")</f>
        <v/>
      </c>
      <c r="AI617">
        <f>IF(COUNTA(T617:AH617)=0,"",SUM(T617:AH617))</f>
        <v/>
      </c>
      <c r="AJ617">
        <f>IF(COUNTA(T617:AH617)=0,"",AI617/(COUNT(KPI_Weights!$A$4:$A$18)*5))</f>
        <v/>
      </c>
      <c r="AK617">
        <f>IF(COUNTA(T617:AH617)=0,"",SUMPRODUCT(T617:AH617,KPI_Weights!$B$4:$B$18)/5)</f>
        <v/>
      </c>
      <c r="AL617">
        <f>IF(COUNTA(T617:AH617)=0,"",IF(SUMPRODUCT(--(T617:AH617&lt;=1),--(KPI_Weights!$C$4:$C$18="YES"))&gt;0,"YES","NO"))</f>
        <v/>
      </c>
      <c r="AM617">
        <f>IF(AJ617="","",IF(AND(AL617="NO",AJ617&gt;=0.75),"YES","NO"))</f>
        <v/>
      </c>
      <c r="AN617">
        <f>IF(AJ617="","",IF(AJ617&lt;0.4,"Critical",IF(AJ617&lt;0.6,"Poor",IF(AJ617&lt;0.75,"Needs Improvement",IF(AJ617&lt;0.9,"Good","Excellent")))))</f>
        <v/>
      </c>
    </row>
    <row r="618" ht="15" customHeight="1" s="45">
      <c r="A618">
        <f>IF($B618="","",TEXT($B618,"yyyymmdd")&amp;"-"&amp;SUBSTITUTE($F618," ","")&amp;"-"&amp;TEXT(COUNTIF($F$4:F618,$F618),"00"))</f>
        <v/>
      </c>
      <c r="C618">
        <f>IF($B618="","",WEEKNUM($B618,2))</f>
        <v/>
      </c>
      <c r="D618">
        <f>IF($B618="","",TEXT($B618,"yyyy-mm"))</f>
        <v/>
      </c>
      <c r="G618">
        <f>IF(OR($E618="",$F618=""),"",IFERROR(IF($E618=INDEX(Cluster_Master!$A$4:$A$18,MATCH($F618,Cluster_Master!$B$4:$B$18,0)),"OK","CHECK"),"CHECK"))</f>
        <v/>
      </c>
      <c r="H618">
        <f>IFERROR(INDEX(Cluster_Master!$C$4:$C$18,MATCH($F618,Cluster_Master!$B$4:$B$18,0)),"")</f>
        <v/>
      </c>
      <c r="I618">
        <f>IFERROR(INDEX(Cluster_Master!$D$4:$D$18,MATCH($F618,Cluster_Master!$B$4:$B$18,0)),"")</f>
        <v/>
      </c>
      <c r="J618">
        <f>IFERROR(INDEX(Cluster_Master!$E$4:$E$18,MATCH($F618,Cluster_Master!$B$4:$B$18,0)),"")</f>
        <v/>
      </c>
      <c r="K618">
        <f>IFERROR(INDEX(Cluster_Master!$F$4:$F$18,MATCH($F618,Cluster_Master!$B$4:$B$18,0)),"")</f>
        <v/>
      </c>
      <c r="L618">
        <f>IFERROR(INDEX(Cluster_Master!$G$4:$G$18,MATCH($F618,Cluster_Master!$B$4:$B$18,0)),"")</f>
        <v/>
      </c>
      <c r="M618">
        <f>IFERROR(INDEX(Cluster_Master!$H$4:$H$18,MATCH($F618,Cluster_Master!$B$4:$B$18,0)),"")</f>
        <v/>
      </c>
      <c r="AI618">
        <f>IF(COUNTA(T618:AH618)=0,"",SUM(T618:AH618))</f>
        <v/>
      </c>
      <c r="AJ618">
        <f>IF(COUNTA(T618:AH618)=0,"",AI618/(COUNT(KPI_Weights!$A$4:$A$18)*5))</f>
        <v/>
      </c>
      <c r="AK618">
        <f>IF(COUNTA(T618:AH618)=0,"",SUMPRODUCT(T618:AH618,KPI_Weights!$B$4:$B$18)/5)</f>
        <v/>
      </c>
      <c r="AL618">
        <f>IF(COUNTA(T618:AH618)=0,"",IF(SUMPRODUCT(--(T618:AH618&lt;=1),--(KPI_Weights!$C$4:$C$18="YES"))&gt;0,"YES","NO"))</f>
        <v/>
      </c>
      <c r="AM618">
        <f>IF(AJ618="","",IF(AND(AL618="NO",AJ618&gt;=0.75),"YES","NO"))</f>
        <v/>
      </c>
      <c r="AN618">
        <f>IF(AJ618="","",IF(AJ618&lt;0.4,"Critical",IF(AJ618&lt;0.6,"Poor",IF(AJ618&lt;0.75,"Needs Improvement",IF(AJ618&lt;0.9,"Good","Excellent")))))</f>
        <v/>
      </c>
    </row>
    <row r="619" ht="15" customHeight="1" s="45">
      <c r="A619">
        <f>IF($B619="","",TEXT($B619,"yyyymmdd")&amp;"-"&amp;SUBSTITUTE($F619," ","")&amp;"-"&amp;TEXT(COUNTIF($F$4:F619,$F619),"00"))</f>
        <v/>
      </c>
      <c r="C619">
        <f>IF($B619="","",WEEKNUM($B619,2))</f>
        <v/>
      </c>
      <c r="D619">
        <f>IF($B619="","",TEXT($B619,"yyyy-mm"))</f>
        <v/>
      </c>
      <c r="G619">
        <f>IF(OR($E619="",$F619=""),"",IFERROR(IF($E619=INDEX(Cluster_Master!$A$4:$A$18,MATCH($F619,Cluster_Master!$B$4:$B$18,0)),"OK","CHECK"),"CHECK"))</f>
        <v/>
      </c>
      <c r="H619">
        <f>IFERROR(INDEX(Cluster_Master!$C$4:$C$18,MATCH($F619,Cluster_Master!$B$4:$B$18,0)),"")</f>
        <v/>
      </c>
      <c r="I619">
        <f>IFERROR(INDEX(Cluster_Master!$D$4:$D$18,MATCH($F619,Cluster_Master!$B$4:$B$18,0)),"")</f>
        <v/>
      </c>
      <c r="J619">
        <f>IFERROR(INDEX(Cluster_Master!$E$4:$E$18,MATCH($F619,Cluster_Master!$B$4:$B$18,0)),"")</f>
        <v/>
      </c>
      <c r="K619">
        <f>IFERROR(INDEX(Cluster_Master!$F$4:$F$18,MATCH($F619,Cluster_Master!$B$4:$B$18,0)),"")</f>
        <v/>
      </c>
      <c r="L619">
        <f>IFERROR(INDEX(Cluster_Master!$G$4:$G$18,MATCH($F619,Cluster_Master!$B$4:$B$18,0)),"")</f>
        <v/>
      </c>
      <c r="M619">
        <f>IFERROR(INDEX(Cluster_Master!$H$4:$H$18,MATCH($F619,Cluster_Master!$B$4:$B$18,0)),"")</f>
        <v/>
      </c>
      <c r="AI619">
        <f>IF(COUNTA(T619:AH619)=0,"",SUM(T619:AH619))</f>
        <v/>
      </c>
      <c r="AJ619">
        <f>IF(COUNTA(T619:AH619)=0,"",AI619/(COUNT(KPI_Weights!$A$4:$A$18)*5))</f>
        <v/>
      </c>
      <c r="AK619">
        <f>IF(COUNTA(T619:AH619)=0,"",SUMPRODUCT(T619:AH619,KPI_Weights!$B$4:$B$18)/5)</f>
        <v/>
      </c>
      <c r="AL619">
        <f>IF(COUNTA(T619:AH619)=0,"",IF(SUMPRODUCT(--(T619:AH619&lt;=1),--(KPI_Weights!$C$4:$C$18="YES"))&gt;0,"YES","NO"))</f>
        <v/>
      </c>
      <c r="AM619">
        <f>IF(AJ619="","",IF(AND(AL619="NO",AJ619&gt;=0.75),"YES","NO"))</f>
        <v/>
      </c>
      <c r="AN619">
        <f>IF(AJ619="","",IF(AJ619&lt;0.4,"Critical",IF(AJ619&lt;0.6,"Poor",IF(AJ619&lt;0.75,"Needs Improvement",IF(AJ619&lt;0.9,"Good","Excellent")))))</f>
        <v/>
      </c>
    </row>
    <row r="620" ht="15" customHeight="1" s="45">
      <c r="A620">
        <f>IF($B620="","",TEXT($B620,"yyyymmdd")&amp;"-"&amp;SUBSTITUTE($F620," ","")&amp;"-"&amp;TEXT(COUNTIF($F$4:F620,$F620),"00"))</f>
        <v/>
      </c>
      <c r="C620">
        <f>IF($B620="","",WEEKNUM($B620,2))</f>
        <v/>
      </c>
      <c r="D620">
        <f>IF($B620="","",TEXT($B620,"yyyy-mm"))</f>
        <v/>
      </c>
      <c r="G620">
        <f>IF(OR($E620="",$F620=""),"",IFERROR(IF($E620=INDEX(Cluster_Master!$A$4:$A$18,MATCH($F620,Cluster_Master!$B$4:$B$18,0)),"OK","CHECK"),"CHECK"))</f>
        <v/>
      </c>
      <c r="H620">
        <f>IFERROR(INDEX(Cluster_Master!$C$4:$C$18,MATCH($F620,Cluster_Master!$B$4:$B$18,0)),"")</f>
        <v/>
      </c>
      <c r="I620">
        <f>IFERROR(INDEX(Cluster_Master!$D$4:$D$18,MATCH($F620,Cluster_Master!$B$4:$B$18,0)),"")</f>
        <v/>
      </c>
      <c r="J620">
        <f>IFERROR(INDEX(Cluster_Master!$E$4:$E$18,MATCH($F620,Cluster_Master!$B$4:$B$18,0)),"")</f>
        <v/>
      </c>
      <c r="K620">
        <f>IFERROR(INDEX(Cluster_Master!$F$4:$F$18,MATCH($F620,Cluster_Master!$B$4:$B$18,0)),"")</f>
        <v/>
      </c>
      <c r="L620">
        <f>IFERROR(INDEX(Cluster_Master!$G$4:$G$18,MATCH($F620,Cluster_Master!$B$4:$B$18,0)),"")</f>
        <v/>
      </c>
      <c r="M620">
        <f>IFERROR(INDEX(Cluster_Master!$H$4:$H$18,MATCH($F620,Cluster_Master!$B$4:$B$18,0)),"")</f>
        <v/>
      </c>
      <c r="AI620">
        <f>IF(COUNTA(T620:AH620)=0,"",SUM(T620:AH620))</f>
        <v/>
      </c>
      <c r="AJ620">
        <f>IF(COUNTA(T620:AH620)=0,"",AI620/(COUNT(KPI_Weights!$A$4:$A$18)*5))</f>
        <v/>
      </c>
      <c r="AK620">
        <f>IF(COUNTA(T620:AH620)=0,"",SUMPRODUCT(T620:AH620,KPI_Weights!$B$4:$B$18)/5)</f>
        <v/>
      </c>
      <c r="AL620">
        <f>IF(COUNTA(T620:AH620)=0,"",IF(SUMPRODUCT(--(T620:AH620&lt;=1),--(KPI_Weights!$C$4:$C$18="YES"))&gt;0,"YES","NO"))</f>
        <v/>
      </c>
      <c r="AM620">
        <f>IF(AJ620="","",IF(AND(AL620="NO",AJ620&gt;=0.75),"YES","NO"))</f>
        <v/>
      </c>
      <c r="AN620">
        <f>IF(AJ620="","",IF(AJ620&lt;0.4,"Critical",IF(AJ620&lt;0.6,"Poor",IF(AJ620&lt;0.75,"Needs Improvement",IF(AJ620&lt;0.9,"Good","Excellent")))))</f>
        <v/>
      </c>
    </row>
    <row r="621" ht="15" customHeight="1" s="45">
      <c r="A621">
        <f>IF($B621="","",TEXT($B621,"yyyymmdd")&amp;"-"&amp;SUBSTITUTE($F621," ","")&amp;"-"&amp;TEXT(COUNTIF($F$4:F621,$F621),"00"))</f>
        <v/>
      </c>
      <c r="C621">
        <f>IF($B621="","",WEEKNUM($B621,2))</f>
        <v/>
      </c>
      <c r="D621">
        <f>IF($B621="","",TEXT($B621,"yyyy-mm"))</f>
        <v/>
      </c>
      <c r="G621">
        <f>IF(OR($E621="",$F621=""),"",IFERROR(IF($E621=INDEX(Cluster_Master!$A$4:$A$18,MATCH($F621,Cluster_Master!$B$4:$B$18,0)),"OK","CHECK"),"CHECK"))</f>
        <v/>
      </c>
      <c r="H621">
        <f>IFERROR(INDEX(Cluster_Master!$C$4:$C$18,MATCH($F621,Cluster_Master!$B$4:$B$18,0)),"")</f>
        <v/>
      </c>
      <c r="I621">
        <f>IFERROR(INDEX(Cluster_Master!$D$4:$D$18,MATCH($F621,Cluster_Master!$B$4:$B$18,0)),"")</f>
        <v/>
      </c>
      <c r="J621">
        <f>IFERROR(INDEX(Cluster_Master!$E$4:$E$18,MATCH($F621,Cluster_Master!$B$4:$B$18,0)),"")</f>
        <v/>
      </c>
      <c r="K621">
        <f>IFERROR(INDEX(Cluster_Master!$F$4:$F$18,MATCH($F621,Cluster_Master!$B$4:$B$18,0)),"")</f>
        <v/>
      </c>
      <c r="L621">
        <f>IFERROR(INDEX(Cluster_Master!$G$4:$G$18,MATCH($F621,Cluster_Master!$B$4:$B$18,0)),"")</f>
        <v/>
      </c>
      <c r="M621">
        <f>IFERROR(INDEX(Cluster_Master!$H$4:$H$18,MATCH($F621,Cluster_Master!$B$4:$B$18,0)),"")</f>
        <v/>
      </c>
      <c r="AI621">
        <f>IF(COUNTA(T621:AH621)=0,"",SUM(T621:AH621))</f>
        <v/>
      </c>
      <c r="AJ621">
        <f>IF(COUNTA(T621:AH621)=0,"",AI621/(COUNT(KPI_Weights!$A$4:$A$18)*5))</f>
        <v/>
      </c>
      <c r="AK621">
        <f>IF(COUNTA(T621:AH621)=0,"",SUMPRODUCT(T621:AH621,KPI_Weights!$B$4:$B$18)/5)</f>
        <v/>
      </c>
      <c r="AL621">
        <f>IF(COUNTA(T621:AH621)=0,"",IF(SUMPRODUCT(--(T621:AH621&lt;=1),--(KPI_Weights!$C$4:$C$18="YES"))&gt;0,"YES","NO"))</f>
        <v/>
      </c>
      <c r="AM621">
        <f>IF(AJ621="","",IF(AND(AL621="NO",AJ621&gt;=0.75),"YES","NO"))</f>
        <v/>
      </c>
      <c r="AN621">
        <f>IF(AJ621="","",IF(AJ621&lt;0.4,"Critical",IF(AJ621&lt;0.6,"Poor",IF(AJ621&lt;0.75,"Needs Improvement",IF(AJ621&lt;0.9,"Good","Excellent")))))</f>
        <v/>
      </c>
    </row>
    <row r="622" ht="15" customHeight="1" s="45">
      <c r="A622">
        <f>IF($B622="","",TEXT($B622,"yyyymmdd")&amp;"-"&amp;SUBSTITUTE($F622," ","")&amp;"-"&amp;TEXT(COUNTIF($F$4:F622,$F622),"00"))</f>
        <v/>
      </c>
      <c r="C622">
        <f>IF($B622="","",WEEKNUM($B622,2))</f>
        <v/>
      </c>
      <c r="D622">
        <f>IF($B622="","",TEXT($B622,"yyyy-mm"))</f>
        <v/>
      </c>
      <c r="G622">
        <f>IF(OR($E622="",$F622=""),"",IFERROR(IF($E622=INDEX(Cluster_Master!$A$4:$A$18,MATCH($F622,Cluster_Master!$B$4:$B$18,0)),"OK","CHECK"),"CHECK"))</f>
        <v/>
      </c>
      <c r="H622">
        <f>IFERROR(INDEX(Cluster_Master!$C$4:$C$18,MATCH($F622,Cluster_Master!$B$4:$B$18,0)),"")</f>
        <v/>
      </c>
      <c r="I622">
        <f>IFERROR(INDEX(Cluster_Master!$D$4:$D$18,MATCH($F622,Cluster_Master!$B$4:$B$18,0)),"")</f>
        <v/>
      </c>
      <c r="J622">
        <f>IFERROR(INDEX(Cluster_Master!$E$4:$E$18,MATCH($F622,Cluster_Master!$B$4:$B$18,0)),"")</f>
        <v/>
      </c>
      <c r="K622">
        <f>IFERROR(INDEX(Cluster_Master!$F$4:$F$18,MATCH($F622,Cluster_Master!$B$4:$B$18,0)),"")</f>
        <v/>
      </c>
      <c r="L622">
        <f>IFERROR(INDEX(Cluster_Master!$G$4:$G$18,MATCH($F622,Cluster_Master!$B$4:$B$18,0)),"")</f>
        <v/>
      </c>
      <c r="M622">
        <f>IFERROR(INDEX(Cluster_Master!$H$4:$H$18,MATCH($F622,Cluster_Master!$B$4:$B$18,0)),"")</f>
        <v/>
      </c>
      <c r="AI622">
        <f>IF(COUNTA(T622:AH622)=0,"",SUM(T622:AH622))</f>
        <v/>
      </c>
      <c r="AJ622">
        <f>IF(COUNTA(T622:AH622)=0,"",AI622/(COUNT(KPI_Weights!$A$4:$A$18)*5))</f>
        <v/>
      </c>
      <c r="AK622">
        <f>IF(COUNTA(T622:AH622)=0,"",SUMPRODUCT(T622:AH622,KPI_Weights!$B$4:$B$18)/5)</f>
        <v/>
      </c>
      <c r="AL622">
        <f>IF(COUNTA(T622:AH622)=0,"",IF(SUMPRODUCT(--(T622:AH622&lt;=1),--(KPI_Weights!$C$4:$C$18="YES"))&gt;0,"YES","NO"))</f>
        <v/>
      </c>
      <c r="AM622">
        <f>IF(AJ622="","",IF(AND(AL622="NO",AJ622&gt;=0.75),"YES","NO"))</f>
        <v/>
      </c>
      <c r="AN622">
        <f>IF(AJ622="","",IF(AJ622&lt;0.4,"Critical",IF(AJ622&lt;0.6,"Poor",IF(AJ622&lt;0.75,"Needs Improvement",IF(AJ622&lt;0.9,"Good","Excellent")))))</f>
        <v/>
      </c>
    </row>
    <row r="623" ht="15" customHeight="1" s="45">
      <c r="A623">
        <f>IF($B623="","",TEXT($B623,"yyyymmdd")&amp;"-"&amp;SUBSTITUTE($F623," ","")&amp;"-"&amp;TEXT(COUNTIF($F$4:F623,$F623),"00"))</f>
        <v/>
      </c>
      <c r="C623">
        <f>IF($B623="","",WEEKNUM($B623,2))</f>
        <v/>
      </c>
      <c r="D623">
        <f>IF($B623="","",TEXT($B623,"yyyy-mm"))</f>
        <v/>
      </c>
      <c r="G623">
        <f>IF(OR($E623="",$F623=""),"",IFERROR(IF($E623=INDEX(Cluster_Master!$A$4:$A$18,MATCH($F623,Cluster_Master!$B$4:$B$18,0)),"OK","CHECK"),"CHECK"))</f>
        <v/>
      </c>
      <c r="H623">
        <f>IFERROR(INDEX(Cluster_Master!$C$4:$C$18,MATCH($F623,Cluster_Master!$B$4:$B$18,0)),"")</f>
        <v/>
      </c>
      <c r="I623">
        <f>IFERROR(INDEX(Cluster_Master!$D$4:$D$18,MATCH($F623,Cluster_Master!$B$4:$B$18,0)),"")</f>
        <v/>
      </c>
      <c r="J623">
        <f>IFERROR(INDEX(Cluster_Master!$E$4:$E$18,MATCH($F623,Cluster_Master!$B$4:$B$18,0)),"")</f>
        <v/>
      </c>
      <c r="K623">
        <f>IFERROR(INDEX(Cluster_Master!$F$4:$F$18,MATCH($F623,Cluster_Master!$B$4:$B$18,0)),"")</f>
        <v/>
      </c>
      <c r="L623">
        <f>IFERROR(INDEX(Cluster_Master!$G$4:$G$18,MATCH($F623,Cluster_Master!$B$4:$B$18,0)),"")</f>
        <v/>
      </c>
      <c r="M623">
        <f>IFERROR(INDEX(Cluster_Master!$H$4:$H$18,MATCH($F623,Cluster_Master!$B$4:$B$18,0)),"")</f>
        <v/>
      </c>
      <c r="AI623">
        <f>IF(COUNTA(T623:AH623)=0,"",SUM(T623:AH623))</f>
        <v/>
      </c>
      <c r="AJ623">
        <f>IF(COUNTA(T623:AH623)=0,"",AI623/(COUNT(KPI_Weights!$A$4:$A$18)*5))</f>
        <v/>
      </c>
      <c r="AK623">
        <f>IF(COUNTA(T623:AH623)=0,"",SUMPRODUCT(T623:AH623,KPI_Weights!$B$4:$B$18)/5)</f>
        <v/>
      </c>
      <c r="AL623">
        <f>IF(COUNTA(T623:AH623)=0,"",IF(SUMPRODUCT(--(T623:AH623&lt;=1),--(KPI_Weights!$C$4:$C$18="YES"))&gt;0,"YES","NO"))</f>
        <v/>
      </c>
      <c r="AM623">
        <f>IF(AJ623="","",IF(AND(AL623="NO",AJ623&gt;=0.75),"YES","NO"))</f>
        <v/>
      </c>
      <c r="AN623">
        <f>IF(AJ623="","",IF(AJ623&lt;0.4,"Critical",IF(AJ623&lt;0.6,"Poor",IF(AJ623&lt;0.75,"Needs Improvement",IF(AJ623&lt;0.9,"Good","Excellent")))))</f>
        <v/>
      </c>
    </row>
    <row r="624" ht="15" customHeight="1" s="45">
      <c r="A624">
        <f>IF($B624="","",TEXT($B624,"yyyymmdd")&amp;"-"&amp;SUBSTITUTE($F624," ","")&amp;"-"&amp;TEXT(COUNTIF($F$4:F624,$F624),"00"))</f>
        <v/>
      </c>
      <c r="C624">
        <f>IF($B624="","",WEEKNUM($B624,2))</f>
        <v/>
      </c>
      <c r="D624">
        <f>IF($B624="","",TEXT($B624,"yyyy-mm"))</f>
        <v/>
      </c>
      <c r="G624">
        <f>IF(OR($E624="",$F624=""),"",IFERROR(IF($E624=INDEX(Cluster_Master!$A$4:$A$18,MATCH($F624,Cluster_Master!$B$4:$B$18,0)),"OK","CHECK"),"CHECK"))</f>
        <v/>
      </c>
      <c r="H624">
        <f>IFERROR(INDEX(Cluster_Master!$C$4:$C$18,MATCH($F624,Cluster_Master!$B$4:$B$18,0)),"")</f>
        <v/>
      </c>
      <c r="I624">
        <f>IFERROR(INDEX(Cluster_Master!$D$4:$D$18,MATCH($F624,Cluster_Master!$B$4:$B$18,0)),"")</f>
        <v/>
      </c>
      <c r="J624">
        <f>IFERROR(INDEX(Cluster_Master!$E$4:$E$18,MATCH($F624,Cluster_Master!$B$4:$B$18,0)),"")</f>
        <v/>
      </c>
      <c r="K624">
        <f>IFERROR(INDEX(Cluster_Master!$F$4:$F$18,MATCH($F624,Cluster_Master!$B$4:$B$18,0)),"")</f>
        <v/>
      </c>
      <c r="L624">
        <f>IFERROR(INDEX(Cluster_Master!$G$4:$G$18,MATCH($F624,Cluster_Master!$B$4:$B$18,0)),"")</f>
        <v/>
      </c>
      <c r="M624">
        <f>IFERROR(INDEX(Cluster_Master!$H$4:$H$18,MATCH($F624,Cluster_Master!$B$4:$B$18,0)),"")</f>
        <v/>
      </c>
      <c r="AI624">
        <f>IF(COUNTA(T624:AH624)=0,"",SUM(T624:AH624))</f>
        <v/>
      </c>
      <c r="AJ624">
        <f>IF(COUNTA(T624:AH624)=0,"",AI624/(COUNT(KPI_Weights!$A$4:$A$18)*5))</f>
        <v/>
      </c>
      <c r="AK624">
        <f>IF(COUNTA(T624:AH624)=0,"",SUMPRODUCT(T624:AH624,KPI_Weights!$B$4:$B$18)/5)</f>
        <v/>
      </c>
      <c r="AL624">
        <f>IF(COUNTA(T624:AH624)=0,"",IF(SUMPRODUCT(--(T624:AH624&lt;=1),--(KPI_Weights!$C$4:$C$18="YES"))&gt;0,"YES","NO"))</f>
        <v/>
      </c>
      <c r="AM624">
        <f>IF(AJ624="","",IF(AND(AL624="NO",AJ624&gt;=0.75),"YES","NO"))</f>
        <v/>
      </c>
      <c r="AN624">
        <f>IF(AJ624="","",IF(AJ624&lt;0.4,"Critical",IF(AJ624&lt;0.6,"Poor",IF(AJ624&lt;0.75,"Needs Improvement",IF(AJ624&lt;0.9,"Good","Excellent")))))</f>
        <v/>
      </c>
    </row>
    <row r="625" ht="15" customHeight="1" s="45">
      <c r="A625">
        <f>IF($B625="","",TEXT($B625,"yyyymmdd")&amp;"-"&amp;SUBSTITUTE($F625," ","")&amp;"-"&amp;TEXT(COUNTIF($F$4:F625,$F625),"00"))</f>
        <v/>
      </c>
      <c r="C625">
        <f>IF($B625="","",WEEKNUM($B625,2))</f>
        <v/>
      </c>
      <c r="D625">
        <f>IF($B625="","",TEXT($B625,"yyyy-mm"))</f>
        <v/>
      </c>
      <c r="G625">
        <f>IF(OR($E625="",$F625=""),"",IFERROR(IF($E625=INDEX(Cluster_Master!$A$4:$A$18,MATCH($F625,Cluster_Master!$B$4:$B$18,0)),"OK","CHECK"),"CHECK"))</f>
        <v/>
      </c>
      <c r="H625">
        <f>IFERROR(INDEX(Cluster_Master!$C$4:$C$18,MATCH($F625,Cluster_Master!$B$4:$B$18,0)),"")</f>
        <v/>
      </c>
      <c r="I625">
        <f>IFERROR(INDEX(Cluster_Master!$D$4:$D$18,MATCH($F625,Cluster_Master!$B$4:$B$18,0)),"")</f>
        <v/>
      </c>
      <c r="J625">
        <f>IFERROR(INDEX(Cluster_Master!$E$4:$E$18,MATCH($F625,Cluster_Master!$B$4:$B$18,0)),"")</f>
        <v/>
      </c>
      <c r="K625">
        <f>IFERROR(INDEX(Cluster_Master!$F$4:$F$18,MATCH($F625,Cluster_Master!$B$4:$B$18,0)),"")</f>
        <v/>
      </c>
      <c r="L625">
        <f>IFERROR(INDEX(Cluster_Master!$G$4:$G$18,MATCH($F625,Cluster_Master!$B$4:$B$18,0)),"")</f>
        <v/>
      </c>
      <c r="M625">
        <f>IFERROR(INDEX(Cluster_Master!$H$4:$H$18,MATCH($F625,Cluster_Master!$B$4:$B$18,0)),"")</f>
        <v/>
      </c>
      <c r="AI625">
        <f>IF(COUNTA(T625:AH625)=0,"",SUM(T625:AH625))</f>
        <v/>
      </c>
      <c r="AJ625">
        <f>IF(COUNTA(T625:AH625)=0,"",AI625/(COUNT(KPI_Weights!$A$4:$A$18)*5))</f>
        <v/>
      </c>
      <c r="AK625">
        <f>IF(COUNTA(T625:AH625)=0,"",SUMPRODUCT(T625:AH625,KPI_Weights!$B$4:$B$18)/5)</f>
        <v/>
      </c>
      <c r="AL625">
        <f>IF(COUNTA(T625:AH625)=0,"",IF(SUMPRODUCT(--(T625:AH625&lt;=1),--(KPI_Weights!$C$4:$C$18="YES"))&gt;0,"YES","NO"))</f>
        <v/>
      </c>
      <c r="AM625">
        <f>IF(AJ625="","",IF(AND(AL625="NO",AJ625&gt;=0.75),"YES","NO"))</f>
        <v/>
      </c>
      <c r="AN625">
        <f>IF(AJ625="","",IF(AJ625&lt;0.4,"Critical",IF(AJ625&lt;0.6,"Poor",IF(AJ625&lt;0.75,"Needs Improvement",IF(AJ625&lt;0.9,"Good","Excellent")))))</f>
        <v/>
      </c>
    </row>
    <row r="626" ht="15" customHeight="1" s="45">
      <c r="A626">
        <f>IF($B626="","",TEXT($B626,"yyyymmdd")&amp;"-"&amp;SUBSTITUTE($F626," ","")&amp;"-"&amp;TEXT(COUNTIF($F$4:F626,$F626),"00"))</f>
        <v/>
      </c>
      <c r="C626">
        <f>IF($B626="","",WEEKNUM($B626,2))</f>
        <v/>
      </c>
      <c r="D626">
        <f>IF($B626="","",TEXT($B626,"yyyy-mm"))</f>
        <v/>
      </c>
      <c r="G626">
        <f>IF(OR($E626="",$F626=""),"",IFERROR(IF($E626=INDEX(Cluster_Master!$A$4:$A$18,MATCH($F626,Cluster_Master!$B$4:$B$18,0)),"OK","CHECK"),"CHECK"))</f>
        <v/>
      </c>
      <c r="H626">
        <f>IFERROR(INDEX(Cluster_Master!$C$4:$C$18,MATCH($F626,Cluster_Master!$B$4:$B$18,0)),"")</f>
        <v/>
      </c>
      <c r="I626">
        <f>IFERROR(INDEX(Cluster_Master!$D$4:$D$18,MATCH($F626,Cluster_Master!$B$4:$B$18,0)),"")</f>
        <v/>
      </c>
      <c r="J626">
        <f>IFERROR(INDEX(Cluster_Master!$E$4:$E$18,MATCH($F626,Cluster_Master!$B$4:$B$18,0)),"")</f>
        <v/>
      </c>
      <c r="K626">
        <f>IFERROR(INDEX(Cluster_Master!$F$4:$F$18,MATCH($F626,Cluster_Master!$B$4:$B$18,0)),"")</f>
        <v/>
      </c>
      <c r="L626">
        <f>IFERROR(INDEX(Cluster_Master!$G$4:$G$18,MATCH($F626,Cluster_Master!$B$4:$B$18,0)),"")</f>
        <v/>
      </c>
      <c r="M626">
        <f>IFERROR(INDEX(Cluster_Master!$H$4:$H$18,MATCH($F626,Cluster_Master!$B$4:$B$18,0)),"")</f>
        <v/>
      </c>
      <c r="AI626">
        <f>IF(COUNTA(T626:AH626)=0,"",SUM(T626:AH626))</f>
        <v/>
      </c>
      <c r="AJ626">
        <f>IF(COUNTA(T626:AH626)=0,"",AI626/(COUNT(KPI_Weights!$A$4:$A$18)*5))</f>
        <v/>
      </c>
      <c r="AK626">
        <f>IF(COUNTA(T626:AH626)=0,"",SUMPRODUCT(T626:AH626,KPI_Weights!$B$4:$B$18)/5)</f>
        <v/>
      </c>
      <c r="AL626">
        <f>IF(COUNTA(T626:AH626)=0,"",IF(SUMPRODUCT(--(T626:AH626&lt;=1),--(KPI_Weights!$C$4:$C$18="YES"))&gt;0,"YES","NO"))</f>
        <v/>
      </c>
      <c r="AM626">
        <f>IF(AJ626="","",IF(AND(AL626="NO",AJ626&gt;=0.75),"YES","NO"))</f>
        <v/>
      </c>
      <c r="AN626">
        <f>IF(AJ626="","",IF(AJ626&lt;0.4,"Critical",IF(AJ626&lt;0.6,"Poor",IF(AJ626&lt;0.75,"Needs Improvement",IF(AJ626&lt;0.9,"Good","Excellent")))))</f>
        <v/>
      </c>
    </row>
    <row r="627" ht="15" customHeight="1" s="45">
      <c r="A627">
        <f>IF($B627="","",TEXT($B627,"yyyymmdd")&amp;"-"&amp;SUBSTITUTE($F627," ","")&amp;"-"&amp;TEXT(COUNTIF($F$4:F627,$F627),"00"))</f>
        <v/>
      </c>
      <c r="C627">
        <f>IF($B627="","",WEEKNUM($B627,2))</f>
        <v/>
      </c>
      <c r="D627">
        <f>IF($B627="","",TEXT($B627,"yyyy-mm"))</f>
        <v/>
      </c>
      <c r="G627">
        <f>IF(OR($E627="",$F627=""),"",IFERROR(IF($E627=INDEX(Cluster_Master!$A$4:$A$18,MATCH($F627,Cluster_Master!$B$4:$B$18,0)),"OK","CHECK"),"CHECK"))</f>
        <v/>
      </c>
      <c r="H627">
        <f>IFERROR(INDEX(Cluster_Master!$C$4:$C$18,MATCH($F627,Cluster_Master!$B$4:$B$18,0)),"")</f>
        <v/>
      </c>
      <c r="I627">
        <f>IFERROR(INDEX(Cluster_Master!$D$4:$D$18,MATCH($F627,Cluster_Master!$B$4:$B$18,0)),"")</f>
        <v/>
      </c>
      <c r="J627">
        <f>IFERROR(INDEX(Cluster_Master!$E$4:$E$18,MATCH($F627,Cluster_Master!$B$4:$B$18,0)),"")</f>
        <v/>
      </c>
      <c r="K627">
        <f>IFERROR(INDEX(Cluster_Master!$F$4:$F$18,MATCH($F627,Cluster_Master!$B$4:$B$18,0)),"")</f>
        <v/>
      </c>
      <c r="L627">
        <f>IFERROR(INDEX(Cluster_Master!$G$4:$G$18,MATCH($F627,Cluster_Master!$B$4:$B$18,0)),"")</f>
        <v/>
      </c>
      <c r="M627">
        <f>IFERROR(INDEX(Cluster_Master!$H$4:$H$18,MATCH($F627,Cluster_Master!$B$4:$B$18,0)),"")</f>
        <v/>
      </c>
      <c r="AI627">
        <f>IF(COUNTA(T627:AH627)=0,"",SUM(T627:AH627))</f>
        <v/>
      </c>
      <c r="AJ627">
        <f>IF(COUNTA(T627:AH627)=0,"",AI627/(COUNT(KPI_Weights!$A$4:$A$18)*5))</f>
        <v/>
      </c>
      <c r="AK627">
        <f>IF(COUNTA(T627:AH627)=0,"",SUMPRODUCT(T627:AH627,KPI_Weights!$B$4:$B$18)/5)</f>
        <v/>
      </c>
      <c r="AL627">
        <f>IF(COUNTA(T627:AH627)=0,"",IF(SUMPRODUCT(--(T627:AH627&lt;=1),--(KPI_Weights!$C$4:$C$18="YES"))&gt;0,"YES","NO"))</f>
        <v/>
      </c>
      <c r="AM627">
        <f>IF(AJ627="","",IF(AND(AL627="NO",AJ627&gt;=0.75),"YES","NO"))</f>
        <v/>
      </c>
      <c r="AN627">
        <f>IF(AJ627="","",IF(AJ627&lt;0.4,"Critical",IF(AJ627&lt;0.6,"Poor",IF(AJ627&lt;0.75,"Needs Improvement",IF(AJ627&lt;0.9,"Good","Excellent")))))</f>
        <v/>
      </c>
    </row>
    <row r="628" ht="15" customHeight="1" s="45">
      <c r="A628">
        <f>IF($B628="","",TEXT($B628,"yyyymmdd")&amp;"-"&amp;SUBSTITUTE($F628," ","")&amp;"-"&amp;TEXT(COUNTIF($F$4:F628,$F628),"00"))</f>
        <v/>
      </c>
      <c r="C628">
        <f>IF($B628="","",WEEKNUM($B628,2))</f>
        <v/>
      </c>
      <c r="D628">
        <f>IF($B628="","",TEXT($B628,"yyyy-mm"))</f>
        <v/>
      </c>
      <c r="G628">
        <f>IF(OR($E628="",$F628=""),"",IFERROR(IF($E628=INDEX(Cluster_Master!$A$4:$A$18,MATCH($F628,Cluster_Master!$B$4:$B$18,0)),"OK","CHECK"),"CHECK"))</f>
        <v/>
      </c>
      <c r="H628">
        <f>IFERROR(INDEX(Cluster_Master!$C$4:$C$18,MATCH($F628,Cluster_Master!$B$4:$B$18,0)),"")</f>
        <v/>
      </c>
      <c r="I628">
        <f>IFERROR(INDEX(Cluster_Master!$D$4:$D$18,MATCH($F628,Cluster_Master!$B$4:$B$18,0)),"")</f>
        <v/>
      </c>
      <c r="J628">
        <f>IFERROR(INDEX(Cluster_Master!$E$4:$E$18,MATCH($F628,Cluster_Master!$B$4:$B$18,0)),"")</f>
        <v/>
      </c>
      <c r="K628">
        <f>IFERROR(INDEX(Cluster_Master!$F$4:$F$18,MATCH($F628,Cluster_Master!$B$4:$B$18,0)),"")</f>
        <v/>
      </c>
      <c r="L628">
        <f>IFERROR(INDEX(Cluster_Master!$G$4:$G$18,MATCH($F628,Cluster_Master!$B$4:$B$18,0)),"")</f>
        <v/>
      </c>
      <c r="M628">
        <f>IFERROR(INDEX(Cluster_Master!$H$4:$H$18,MATCH($F628,Cluster_Master!$B$4:$B$18,0)),"")</f>
        <v/>
      </c>
      <c r="AI628">
        <f>IF(COUNTA(T628:AH628)=0,"",SUM(T628:AH628))</f>
        <v/>
      </c>
      <c r="AJ628">
        <f>IF(COUNTA(T628:AH628)=0,"",AI628/(COUNT(KPI_Weights!$A$4:$A$18)*5))</f>
        <v/>
      </c>
      <c r="AK628">
        <f>IF(COUNTA(T628:AH628)=0,"",SUMPRODUCT(T628:AH628,KPI_Weights!$B$4:$B$18)/5)</f>
        <v/>
      </c>
      <c r="AL628">
        <f>IF(COUNTA(T628:AH628)=0,"",IF(SUMPRODUCT(--(T628:AH628&lt;=1),--(KPI_Weights!$C$4:$C$18="YES"))&gt;0,"YES","NO"))</f>
        <v/>
      </c>
      <c r="AM628">
        <f>IF(AJ628="","",IF(AND(AL628="NO",AJ628&gt;=0.75),"YES","NO"))</f>
        <v/>
      </c>
      <c r="AN628">
        <f>IF(AJ628="","",IF(AJ628&lt;0.4,"Critical",IF(AJ628&lt;0.6,"Poor",IF(AJ628&lt;0.75,"Needs Improvement",IF(AJ628&lt;0.9,"Good","Excellent")))))</f>
        <v/>
      </c>
    </row>
    <row r="629" ht="15" customHeight="1" s="45">
      <c r="A629">
        <f>IF($B629="","",TEXT($B629,"yyyymmdd")&amp;"-"&amp;SUBSTITUTE($F629," ","")&amp;"-"&amp;TEXT(COUNTIF($F$4:F629,$F629),"00"))</f>
        <v/>
      </c>
      <c r="C629">
        <f>IF($B629="","",WEEKNUM($B629,2))</f>
        <v/>
      </c>
      <c r="D629">
        <f>IF($B629="","",TEXT($B629,"yyyy-mm"))</f>
        <v/>
      </c>
      <c r="G629">
        <f>IF(OR($E629="",$F629=""),"",IFERROR(IF($E629=INDEX(Cluster_Master!$A$4:$A$18,MATCH($F629,Cluster_Master!$B$4:$B$18,0)),"OK","CHECK"),"CHECK"))</f>
        <v/>
      </c>
      <c r="H629">
        <f>IFERROR(INDEX(Cluster_Master!$C$4:$C$18,MATCH($F629,Cluster_Master!$B$4:$B$18,0)),"")</f>
        <v/>
      </c>
      <c r="I629">
        <f>IFERROR(INDEX(Cluster_Master!$D$4:$D$18,MATCH($F629,Cluster_Master!$B$4:$B$18,0)),"")</f>
        <v/>
      </c>
      <c r="J629">
        <f>IFERROR(INDEX(Cluster_Master!$E$4:$E$18,MATCH($F629,Cluster_Master!$B$4:$B$18,0)),"")</f>
        <v/>
      </c>
      <c r="K629">
        <f>IFERROR(INDEX(Cluster_Master!$F$4:$F$18,MATCH($F629,Cluster_Master!$B$4:$B$18,0)),"")</f>
        <v/>
      </c>
      <c r="L629">
        <f>IFERROR(INDEX(Cluster_Master!$G$4:$G$18,MATCH($F629,Cluster_Master!$B$4:$B$18,0)),"")</f>
        <v/>
      </c>
      <c r="M629">
        <f>IFERROR(INDEX(Cluster_Master!$H$4:$H$18,MATCH($F629,Cluster_Master!$B$4:$B$18,0)),"")</f>
        <v/>
      </c>
      <c r="AI629">
        <f>IF(COUNTA(T629:AH629)=0,"",SUM(T629:AH629))</f>
        <v/>
      </c>
      <c r="AJ629">
        <f>IF(COUNTA(T629:AH629)=0,"",AI629/(COUNT(KPI_Weights!$A$4:$A$18)*5))</f>
        <v/>
      </c>
      <c r="AK629">
        <f>IF(COUNTA(T629:AH629)=0,"",SUMPRODUCT(T629:AH629,KPI_Weights!$B$4:$B$18)/5)</f>
        <v/>
      </c>
      <c r="AL629">
        <f>IF(COUNTA(T629:AH629)=0,"",IF(SUMPRODUCT(--(T629:AH629&lt;=1),--(KPI_Weights!$C$4:$C$18="YES"))&gt;0,"YES","NO"))</f>
        <v/>
      </c>
      <c r="AM629">
        <f>IF(AJ629="","",IF(AND(AL629="NO",AJ629&gt;=0.75),"YES","NO"))</f>
        <v/>
      </c>
      <c r="AN629">
        <f>IF(AJ629="","",IF(AJ629&lt;0.4,"Critical",IF(AJ629&lt;0.6,"Poor",IF(AJ629&lt;0.75,"Needs Improvement",IF(AJ629&lt;0.9,"Good","Excellent")))))</f>
        <v/>
      </c>
    </row>
    <row r="630" ht="15" customHeight="1" s="45">
      <c r="A630">
        <f>IF($B630="","",TEXT($B630,"yyyymmdd")&amp;"-"&amp;SUBSTITUTE($F630," ","")&amp;"-"&amp;TEXT(COUNTIF($F$4:F630,$F630),"00"))</f>
        <v/>
      </c>
      <c r="C630">
        <f>IF($B630="","",WEEKNUM($B630,2))</f>
        <v/>
      </c>
      <c r="D630">
        <f>IF($B630="","",TEXT($B630,"yyyy-mm"))</f>
        <v/>
      </c>
      <c r="G630">
        <f>IF(OR($E630="",$F630=""),"",IFERROR(IF($E630=INDEX(Cluster_Master!$A$4:$A$18,MATCH($F630,Cluster_Master!$B$4:$B$18,0)),"OK","CHECK"),"CHECK"))</f>
        <v/>
      </c>
      <c r="H630">
        <f>IFERROR(INDEX(Cluster_Master!$C$4:$C$18,MATCH($F630,Cluster_Master!$B$4:$B$18,0)),"")</f>
        <v/>
      </c>
      <c r="I630">
        <f>IFERROR(INDEX(Cluster_Master!$D$4:$D$18,MATCH($F630,Cluster_Master!$B$4:$B$18,0)),"")</f>
        <v/>
      </c>
      <c r="J630">
        <f>IFERROR(INDEX(Cluster_Master!$E$4:$E$18,MATCH($F630,Cluster_Master!$B$4:$B$18,0)),"")</f>
        <v/>
      </c>
      <c r="K630">
        <f>IFERROR(INDEX(Cluster_Master!$F$4:$F$18,MATCH($F630,Cluster_Master!$B$4:$B$18,0)),"")</f>
        <v/>
      </c>
      <c r="L630">
        <f>IFERROR(INDEX(Cluster_Master!$G$4:$G$18,MATCH($F630,Cluster_Master!$B$4:$B$18,0)),"")</f>
        <v/>
      </c>
      <c r="M630">
        <f>IFERROR(INDEX(Cluster_Master!$H$4:$H$18,MATCH($F630,Cluster_Master!$B$4:$B$18,0)),"")</f>
        <v/>
      </c>
      <c r="AI630">
        <f>IF(COUNTA(T630:AH630)=0,"",SUM(T630:AH630))</f>
        <v/>
      </c>
      <c r="AJ630">
        <f>IF(COUNTA(T630:AH630)=0,"",AI630/(COUNT(KPI_Weights!$A$4:$A$18)*5))</f>
        <v/>
      </c>
      <c r="AK630">
        <f>IF(COUNTA(T630:AH630)=0,"",SUMPRODUCT(T630:AH630,KPI_Weights!$B$4:$B$18)/5)</f>
        <v/>
      </c>
      <c r="AL630">
        <f>IF(COUNTA(T630:AH630)=0,"",IF(SUMPRODUCT(--(T630:AH630&lt;=1),--(KPI_Weights!$C$4:$C$18="YES"))&gt;0,"YES","NO"))</f>
        <v/>
      </c>
      <c r="AM630">
        <f>IF(AJ630="","",IF(AND(AL630="NO",AJ630&gt;=0.75),"YES","NO"))</f>
        <v/>
      </c>
      <c r="AN630">
        <f>IF(AJ630="","",IF(AJ630&lt;0.4,"Critical",IF(AJ630&lt;0.6,"Poor",IF(AJ630&lt;0.75,"Needs Improvement",IF(AJ630&lt;0.9,"Good","Excellent")))))</f>
        <v/>
      </c>
    </row>
    <row r="631" ht="15" customHeight="1" s="45">
      <c r="A631">
        <f>IF($B631="","",TEXT($B631,"yyyymmdd")&amp;"-"&amp;SUBSTITUTE($F631," ","")&amp;"-"&amp;TEXT(COUNTIF($F$4:F631,$F631),"00"))</f>
        <v/>
      </c>
      <c r="C631">
        <f>IF($B631="","",WEEKNUM($B631,2))</f>
        <v/>
      </c>
      <c r="D631">
        <f>IF($B631="","",TEXT($B631,"yyyy-mm"))</f>
        <v/>
      </c>
      <c r="G631">
        <f>IF(OR($E631="",$F631=""),"",IFERROR(IF($E631=INDEX(Cluster_Master!$A$4:$A$18,MATCH($F631,Cluster_Master!$B$4:$B$18,0)),"OK","CHECK"),"CHECK"))</f>
        <v/>
      </c>
      <c r="H631">
        <f>IFERROR(INDEX(Cluster_Master!$C$4:$C$18,MATCH($F631,Cluster_Master!$B$4:$B$18,0)),"")</f>
        <v/>
      </c>
      <c r="I631">
        <f>IFERROR(INDEX(Cluster_Master!$D$4:$D$18,MATCH($F631,Cluster_Master!$B$4:$B$18,0)),"")</f>
        <v/>
      </c>
      <c r="J631">
        <f>IFERROR(INDEX(Cluster_Master!$E$4:$E$18,MATCH($F631,Cluster_Master!$B$4:$B$18,0)),"")</f>
        <v/>
      </c>
      <c r="K631">
        <f>IFERROR(INDEX(Cluster_Master!$F$4:$F$18,MATCH($F631,Cluster_Master!$B$4:$B$18,0)),"")</f>
        <v/>
      </c>
      <c r="L631">
        <f>IFERROR(INDEX(Cluster_Master!$G$4:$G$18,MATCH($F631,Cluster_Master!$B$4:$B$18,0)),"")</f>
        <v/>
      </c>
      <c r="M631">
        <f>IFERROR(INDEX(Cluster_Master!$H$4:$H$18,MATCH($F631,Cluster_Master!$B$4:$B$18,0)),"")</f>
        <v/>
      </c>
      <c r="AI631">
        <f>IF(COUNTA(T631:AH631)=0,"",SUM(T631:AH631))</f>
        <v/>
      </c>
      <c r="AJ631">
        <f>IF(COUNTA(T631:AH631)=0,"",AI631/(COUNT(KPI_Weights!$A$4:$A$18)*5))</f>
        <v/>
      </c>
      <c r="AK631">
        <f>IF(COUNTA(T631:AH631)=0,"",SUMPRODUCT(T631:AH631,KPI_Weights!$B$4:$B$18)/5)</f>
        <v/>
      </c>
      <c r="AL631">
        <f>IF(COUNTA(T631:AH631)=0,"",IF(SUMPRODUCT(--(T631:AH631&lt;=1),--(KPI_Weights!$C$4:$C$18="YES"))&gt;0,"YES","NO"))</f>
        <v/>
      </c>
      <c r="AM631">
        <f>IF(AJ631="","",IF(AND(AL631="NO",AJ631&gt;=0.75),"YES","NO"))</f>
        <v/>
      </c>
      <c r="AN631">
        <f>IF(AJ631="","",IF(AJ631&lt;0.4,"Critical",IF(AJ631&lt;0.6,"Poor",IF(AJ631&lt;0.75,"Needs Improvement",IF(AJ631&lt;0.9,"Good","Excellent")))))</f>
        <v/>
      </c>
    </row>
    <row r="632" ht="15" customHeight="1" s="45">
      <c r="A632">
        <f>IF($B632="","",TEXT($B632,"yyyymmdd")&amp;"-"&amp;SUBSTITUTE($F632," ","")&amp;"-"&amp;TEXT(COUNTIF($F$4:F632,$F632),"00"))</f>
        <v/>
      </c>
      <c r="C632">
        <f>IF($B632="","",WEEKNUM($B632,2))</f>
        <v/>
      </c>
      <c r="D632">
        <f>IF($B632="","",TEXT($B632,"yyyy-mm"))</f>
        <v/>
      </c>
      <c r="G632">
        <f>IF(OR($E632="",$F632=""),"",IFERROR(IF($E632=INDEX(Cluster_Master!$A$4:$A$18,MATCH($F632,Cluster_Master!$B$4:$B$18,0)),"OK","CHECK"),"CHECK"))</f>
        <v/>
      </c>
      <c r="H632">
        <f>IFERROR(INDEX(Cluster_Master!$C$4:$C$18,MATCH($F632,Cluster_Master!$B$4:$B$18,0)),"")</f>
        <v/>
      </c>
      <c r="I632">
        <f>IFERROR(INDEX(Cluster_Master!$D$4:$D$18,MATCH($F632,Cluster_Master!$B$4:$B$18,0)),"")</f>
        <v/>
      </c>
      <c r="J632">
        <f>IFERROR(INDEX(Cluster_Master!$E$4:$E$18,MATCH($F632,Cluster_Master!$B$4:$B$18,0)),"")</f>
        <v/>
      </c>
      <c r="K632">
        <f>IFERROR(INDEX(Cluster_Master!$F$4:$F$18,MATCH($F632,Cluster_Master!$B$4:$B$18,0)),"")</f>
        <v/>
      </c>
      <c r="L632">
        <f>IFERROR(INDEX(Cluster_Master!$G$4:$G$18,MATCH($F632,Cluster_Master!$B$4:$B$18,0)),"")</f>
        <v/>
      </c>
      <c r="M632">
        <f>IFERROR(INDEX(Cluster_Master!$H$4:$H$18,MATCH($F632,Cluster_Master!$B$4:$B$18,0)),"")</f>
        <v/>
      </c>
      <c r="AI632">
        <f>IF(COUNTA(T632:AH632)=0,"",SUM(T632:AH632))</f>
        <v/>
      </c>
      <c r="AJ632">
        <f>IF(COUNTA(T632:AH632)=0,"",AI632/(COUNT(KPI_Weights!$A$4:$A$18)*5))</f>
        <v/>
      </c>
      <c r="AK632">
        <f>IF(COUNTA(T632:AH632)=0,"",SUMPRODUCT(T632:AH632,KPI_Weights!$B$4:$B$18)/5)</f>
        <v/>
      </c>
      <c r="AL632">
        <f>IF(COUNTA(T632:AH632)=0,"",IF(SUMPRODUCT(--(T632:AH632&lt;=1),--(KPI_Weights!$C$4:$C$18="YES"))&gt;0,"YES","NO"))</f>
        <v/>
      </c>
      <c r="AM632">
        <f>IF(AJ632="","",IF(AND(AL632="NO",AJ632&gt;=0.75),"YES","NO"))</f>
        <v/>
      </c>
      <c r="AN632">
        <f>IF(AJ632="","",IF(AJ632&lt;0.4,"Critical",IF(AJ632&lt;0.6,"Poor",IF(AJ632&lt;0.75,"Needs Improvement",IF(AJ632&lt;0.9,"Good","Excellent")))))</f>
        <v/>
      </c>
    </row>
    <row r="633" ht="15" customHeight="1" s="45">
      <c r="A633">
        <f>IF($B633="","",TEXT($B633,"yyyymmdd")&amp;"-"&amp;SUBSTITUTE($F633," ","")&amp;"-"&amp;TEXT(COUNTIF($F$4:F633,$F633),"00"))</f>
        <v/>
      </c>
      <c r="C633">
        <f>IF($B633="","",WEEKNUM($B633,2))</f>
        <v/>
      </c>
      <c r="D633">
        <f>IF($B633="","",TEXT($B633,"yyyy-mm"))</f>
        <v/>
      </c>
      <c r="G633">
        <f>IF(OR($E633="",$F633=""),"",IFERROR(IF($E633=INDEX(Cluster_Master!$A$4:$A$18,MATCH($F633,Cluster_Master!$B$4:$B$18,0)),"OK","CHECK"),"CHECK"))</f>
        <v/>
      </c>
      <c r="H633">
        <f>IFERROR(INDEX(Cluster_Master!$C$4:$C$18,MATCH($F633,Cluster_Master!$B$4:$B$18,0)),"")</f>
        <v/>
      </c>
      <c r="I633">
        <f>IFERROR(INDEX(Cluster_Master!$D$4:$D$18,MATCH($F633,Cluster_Master!$B$4:$B$18,0)),"")</f>
        <v/>
      </c>
      <c r="J633">
        <f>IFERROR(INDEX(Cluster_Master!$E$4:$E$18,MATCH($F633,Cluster_Master!$B$4:$B$18,0)),"")</f>
        <v/>
      </c>
      <c r="K633">
        <f>IFERROR(INDEX(Cluster_Master!$F$4:$F$18,MATCH($F633,Cluster_Master!$B$4:$B$18,0)),"")</f>
        <v/>
      </c>
      <c r="L633">
        <f>IFERROR(INDEX(Cluster_Master!$G$4:$G$18,MATCH($F633,Cluster_Master!$B$4:$B$18,0)),"")</f>
        <v/>
      </c>
      <c r="M633">
        <f>IFERROR(INDEX(Cluster_Master!$H$4:$H$18,MATCH($F633,Cluster_Master!$B$4:$B$18,0)),"")</f>
        <v/>
      </c>
      <c r="AI633">
        <f>IF(COUNTA(T633:AH633)=0,"",SUM(T633:AH633))</f>
        <v/>
      </c>
      <c r="AJ633">
        <f>IF(COUNTA(T633:AH633)=0,"",AI633/(COUNT(KPI_Weights!$A$4:$A$18)*5))</f>
        <v/>
      </c>
      <c r="AK633">
        <f>IF(COUNTA(T633:AH633)=0,"",SUMPRODUCT(T633:AH633,KPI_Weights!$B$4:$B$18)/5)</f>
        <v/>
      </c>
      <c r="AL633">
        <f>IF(COUNTA(T633:AH633)=0,"",IF(SUMPRODUCT(--(T633:AH633&lt;=1),--(KPI_Weights!$C$4:$C$18="YES"))&gt;0,"YES","NO"))</f>
        <v/>
      </c>
      <c r="AM633">
        <f>IF(AJ633="","",IF(AND(AL633="NO",AJ633&gt;=0.75),"YES","NO"))</f>
        <v/>
      </c>
      <c r="AN633">
        <f>IF(AJ633="","",IF(AJ633&lt;0.4,"Critical",IF(AJ633&lt;0.6,"Poor",IF(AJ633&lt;0.75,"Needs Improvement",IF(AJ633&lt;0.9,"Good","Excellent")))))</f>
        <v/>
      </c>
    </row>
    <row r="634" ht="15" customHeight="1" s="45">
      <c r="A634">
        <f>IF($B634="","",TEXT($B634,"yyyymmdd")&amp;"-"&amp;SUBSTITUTE($F634," ","")&amp;"-"&amp;TEXT(COUNTIF($F$4:F634,$F634),"00"))</f>
        <v/>
      </c>
      <c r="C634">
        <f>IF($B634="","",WEEKNUM($B634,2))</f>
        <v/>
      </c>
      <c r="D634">
        <f>IF($B634="","",TEXT($B634,"yyyy-mm"))</f>
        <v/>
      </c>
      <c r="G634">
        <f>IF(OR($E634="",$F634=""),"",IFERROR(IF($E634=INDEX(Cluster_Master!$A$4:$A$18,MATCH($F634,Cluster_Master!$B$4:$B$18,0)),"OK","CHECK"),"CHECK"))</f>
        <v/>
      </c>
      <c r="H634">
        <f>IFERROR(INDEX(Cluster_Master!$C$4:$C$18,MATCH($F634,Cluster_Master!$B$4:$B$18,0)),"")</f>
        <v/>
      </c>
      <c r="I634">
        <f>IFERROR(INDEX(Cluster_Master!$D$4:$D$18,MATCH($F634,Cluster_Master!$B$4:$B$18,0)),"")</f>
        <v/>
      </c>
      <c r="J634">
        <f>IFERROR(INDEX(Cluster_Master!$E$4:$E$18,MATCH($F634,Cluster_Master!$B$4:$B$18,0)),"")</f>
        <v/>
      </c>
      <c r="K634">
        <f>IFERROR(INDEX(Cluster_Master!$F$4:$F$18,MATCH($F634,Cluster_Master!$B$4:$B$18,0)),"")</f>
        <v/>
      </c>
      <c r="L634">
        <f>IFERROR(INDEX(Cluster_Master!$G$4:$G$18,MATCH($F634,Cluster_Master!$B$4:$B$18,0)),"")</f>
        <v/>
      </c>
      <c r="M634">
        <f>IFERROR(INDEX(Cluster_Master!$H$4:$H$18,MATCH($F634,Cluster_Master!$B$4:$B$18,0)),"")</f>
        <v/>
      </c>
      <c r="AI634">
        <f>IF(COUNTA(T634:AH634)=0,"",SUM(T634:AH634))</f>
        <v/>
      </c>
      <c r="AJ634">
        <f>IF(COUNTA(T634:AH634)=0,"",AI634/(COUNT(KPI_Weights!$A$4:$A$18)*5))</f>
        <v/>
      </c>
      <c r="AK634">
        <f>IF(COUNTA(T634:AH634)=0,"",SUMPRODUCT(T634:AH634,KPI_Weights!$B$4:$B$18)/5)</f>
        <v/>
      </c>
      <c r="AL634">
        <f>IF(COUNTA(T634:AH634)=0,"",IF(SUMPRODUCT(--(T634:AH634&lt;=1),--(KPI_Weights!$C$4:$C$18="YES"))&gt;0,"YES","NO"))</f>
        <v/>
      </c>
      <c r="AM634">
        <f>IF(AJ634="","",IF(AND(AL634="NO",AJ634&gt;=0.75),"YES","NO"))</f>
        <v/>
      </c>
      <c r="AN634">
        <f>IF(AJ634="","",IF(AJ634&lt;0.4,"Critical",IF(AJ634&lt;0.6,"Poor",IF(AJ634&lt;0.75,"Needs Improvement",IF(AJ634&lt;0.9,"Good","Excellent")))))</f>
        <v/>
      </c>
    </row>
    <row r="635" ht="15" customHeight="1" s="45">
      <c r="A635">
        <f>IF($B635="","",TEXT($B635,"yyyymmdd")&amp;"-"&amp;SUBSTITUTE($F635," ","")&amp;"-"&amp;TEXT(COUNTIF($F$4:F635,$F635),"00"))</f>
        <v/>
      </c>
      <c r="C635">
        <f>IF($B635="","",WEEKNUM($B635,2))</f>
        <v/>
      </c>
      <c r="D635">
        <f>IF($B635="","",TEXT($B635,"yyyy-mm"))</f>
        <v/>
      </c>
      <c r="G635">
        <f>IF(OR($E635="",$F635=""),"",IFERROR(IF($E635=INDEX(Cluster_Master!$A$4:$A$18,MATCH($F635,Cluster_Master!$B$4:$B$18,0)),"OK","CHECK"),"CHECK"))</f>
        <v/>
      </c>
      <c r="H635">
        <f>IFERROR(INDEX(Cluster_Master!$C$4:$C$18,MATCH($F635,Cluster_Master!$B$4:$B$18,0)),"")</f>
        <v/>
      </c>
      <c r="I635">
        <f>IFERROR(INDEX(Cluster_Master!$D$4:$D$18,MATCH($F635,Cluster_Master!$B$4:$B$18,0)),"")</f>
        <v/>
      </c>
      <c r="J635">
        <f>IFERROR(INDEX(Cluster_Master!$E$4:$E$18,MATCH($F635,Cluster_Master!$B$4:$B$18,0)),"")</f>
        <v/>
      </c>
      <c r="K635">
        <f>IFERROR(INDEX(Cluster_Master!$F$4:$F$18,MATCH($F635,Cluster_Master!$B$4:$B$18,0)),"")</f>
        <v/>
      </c>
      <c r="L635">
        <f>IFERROR(INDEX(Cluster_Master!$G$4:$G$18,MATCH($F635,Cluster_Master!$B$4:$B$18,0)),"")</f>
        <v/>
      </c>
      <c r="M635">
        <f>IFERROR(INDEX(Cluster_Master!$H$4:$H$18,MATCH($F635,Cluster_Master!$B$4:$B$18,0)),"")</f>
        <v/>
      </c>
      <c r="AI635">
        <f>IF(COUNTA(T635:AH635)=0,"",SUM(T635:AH635))</f>
        <v/>
      </c>
      <c r="AJ635">
        <f>IF(COUNTA(T635:AH635)=0,"",AI635/(COUNT(KPI_Weights!$A$4:$A$18)*5))</f>
        <v/>
      </c>
      <c r="AK635">
        <f>IF(COUNTA(T635:AH635)=0,"",SUMPRODUCT(T635:AH635,KPI_Weights!$B$4:$B$18)/5)</f>
        <v/>
      </c>
      <c r="AL635">
        <f>IF(COUNTA(T635:AH635)=0,"",IF(SUMPRODUCT(--(T635:AH635&lt;=1),--(KPI_Weights!$C$4:$C$18="YES"))&gt;0,"YES","NO"))</f>
        <v/>
      </c>
      <c r="AM635">
        <f>IF(AJ635="","",IF(AND(AL635="NO",AJ635&gt;=0.75),"YES","NO"))</f>
        <v/>
      </c>
      <c r="AN635">
        <f>IF(AJ635="","",IF(AJ635&lt;0.4,"Critical",IF(AJ635&lt;0.6,"Poor",IF(AJ635&lt;0.75,"Needs Improvement",IF(AJ635&lt;0.9,"Good","Excellent")))))</f>
        <v/>
      </c>
    </row>
    <row r="636" ht="15" customHeight="1" s="45">
      <c r="A636">
        <f>IF($B636="","",TEXT($B636,"yyyymmdd")&amp;"-"&amp;SUBSTITUTE($F636," ","")&amp;"-"&amp;TEXT(COUNTIF($F$4:F636,$F636),"00"))</f>
        <v/>
      </c>
      <c r="C636">
        <f>IF($B636="","",WEEKNUM($B636,2))</f>
        <v/>
      </c>
      <c r="D636">
        <f>IF($B636="","",TEXT($B636,"yyyy-mm"))</f>
        <v/>
      </c>
      <c r="G636">
        <f>IF(OR($E636="",$F636=""),"",IFERROR(IF($E636=INDEX(Cluster_Master!$A$4:$A$18,MATCH($F636,Cluster_Master!$B$4:$B$18,0)),"OK","CHECK"),"CHECK"))</f>
        <v/>
      </c>
      <c r="H636">
        <f>IFERROR(INDEX(Cluster_Master!$C$4:$C$18,MATCH($F636,Cluster_Master!$B$4:$B$18,0)),"")</f>
        <v/>
      </c>
      <c r="I636">
        <f>IFERROR(INDEX(Cluster_Master!$D$4:$D$18,MATCH($F636,Cluster_Master!$B$4:$B$18,0)),"")</f>
        <v/>
      </c>
      <c r="J636">
        <f>IFERROR(INDEX(Cluster_Master!$E$4:$E$18,MATCH($F636,Cluster_Master!$B$4:$B$18,0)),"")</f>
        <v/>
      </c>
      <c r="K636">
        <f>IFERROR(INDEX(Cluster_Master!$F$4:$F$18,MATCH($F636,Cluster_Master!$B$4:$B$18,0)),"")</f>
        <v/>
      </c>
      <c r="L636">
        <f>IFERROR(INDEX(Cluster_Master!$G$4:$G$18,MATCH($F636,Cluster_Master!$B$4:$B$18,0)),"")</f>
        <v/>
      </c>
      <c r="M636">
        <f>IFERROR(INDEX(Cluster_Master!$H$4:$H$18,MATCH($F636,Cluster_Master!$B$4:$B$18,0)),"")</f>
        <v/>
      </c>
      <c r="AI636">
        <f>IF(COUNTA(T636:AH636)=0,"",SUM(T636:AH636))</f>
        <v/>
      </c>
      <c r="AJ636">
        <f>IF(COUNTA(T636:AH636)=0,"",AI636/(COUNT(KPI_Weights!$A$4:$A$18)*5))</f>
        <v/>
      </c>
      <c r="AK636">
        <f>IF(COUNTA(T636:AH636)=0,"",SUMPRODUCT(T636:AH636,KPI_Weights!$B$4:$B$18)/5)</f>
        <v/>
      </c>
      <c r="AL636">
        <f>IF(COUNTA(T636:AH636)=0,"",IF(SUMPRODUCT(--(T636:AH636&lt;=1),--(KPI_Weights!$C$4:$C$18="YES"))&gt;0,"YES","NO"))</f>
        <v/>
      </c>
      <c r="AM636">
        <f>IF(AJ636="","",IF(AND(AL636="NO",AJ636&gt;=0.75),"YES","NO"))</f>
        <v/>
      </c>
      <c r="AN636">
        <f>IF(AJ636="","",IF(AJ636&lt;0.4,"Critical",IF(AJ636&lt;0.6,"Poor",IF(AJ636&lt;0.75,"Needs Improvement",IF(AJ636&lt;0.9,"Good","Excellent")))))</f>
        <v/>
      </c>
    </row>
    <row r="637" ht="15" customHeight="1" s="45">
      <c r="A637">
        <f>IF($B637="","",TEXT($B637,"yyyymmdd")&amp;"-"&amp;SUBSTITUTE($F637," ","")&amp;"-"&amp;TEXT(COUNTIF($F$4:F637,$F637),"00"))</f>
        <v/>
      </c>
      <c r="C637">
        <f>IF($B637="","",WEEKNUM($B637,2))</f>
        <v/>
      </c>
      <c r="D637">
        <f>IF($B637="","",TEXT($B637,"yyyy-mm"))</f>
        <v/>
      </c>
      <c r="G637">
        <f>IF(OR($E637="",$F637=""),"",IFERROR(IF($E637=INDEX(Cluster_Master!$A$4:$A$18,MATCH($F637,Cluster_Master!$B$4:$B$18,0)),"OK","CHECK"),"CHECK"))</f>
        <v/>
      </c>
      <c r="H637">
        <f>IFERROR(INDEX(Cluster_Master!$C$4:$C$18,MATCH($F637,Cluster_Master!$B$4:$B$18,0)),"")</f>
        <v/>
      </c>
      <c r="I637">
        <f>IFERROR(INDEX(Cluster_Master!$D$4:$D$18,MATCH($F637,Cluster_Master!$B$4:$B$18,0)),"")</f>
        <v/>
      </c>
      <c r="J637">
        <f>IFERROR(INDEX(Cluster_Master!$E$4:$E$18,MATCH($F637,Cluster_Master!$B$4:$B$18,0)),"")</f>
        <v/>
      </c>
      <c r="K637">
        <f>IFERROR(INDEX(Cluster_Master!$F$4:$F$18,MATCH($F637,Cluster_Master!$B$4:$B$18,0)),"")</f>
        <v/>
      </c>
      <c r="L637">
        <f>IFERROR(INDEX(Cluster_Master!$G$4:$G$18,MATCH($F637,Cluster_Master!$B$4:$B$18,0)),"")</f>
        <v/>
      </c>
      <c r="M637">
        <f>IFERROR(INDEX(Cluster_Master!$H$4:$H$18,MATCH($F637,Cluster_Master!$B$4:$B$18,0)),"")</f>
        <v/>
      </c>
      <c r="AI637">
        <f>IF(COUNTA(T637:AH637)=0,"",SUM(T637:AH637))</f>
        <v/>
      </c>
      <c r="AJ637">
        <f>IF(COUNTA(T637:AH637)=0,"",AI637/(COUNT(KPI_Weights!$A$4:$A$18)*5))</f>
        <v/>
      </c>
      <c r="AK637">
        <f>IF(COUNTA(T637:AH637)=0,"",SUMPRODUCT(T637:AH637,KPI_Weights!$B$4:$B$18)/5)</f>
        <v/>
      </c>
      <c r="AL637">
        <f>IF(COUNTA(T637:AH637)=0,"",IF(SUMPRODUCT(--(T637:AH637&lt;=1),--(KPI_Weights!$C$4:$C$18="YES"))&gt;0,"YES","NO"))</f>
        <v/>
      </c>
      <c r="AM637">
        <f>IF(AJ637="","",IF(AND(AL637="NO",AJ637&gt;=0.75),"YES","NO"))</f>
        <v/>
      </c>
      <c r="AN637">
        <f>IF(AJ637="","",IF(AJ637&lt;0.4,"Critical",IF(AJ637&lt;0.6,"Poor",IF(AJ637&lt;0.75,"Needs Improvement",IF(AJ637&lt;0.9,"Good","Excellent")))))</f>
        <v/>
      </c>
    </row>
    <row r="638" ht="15" customHeight="1" s="45">
      <c r="A638">
        <f>IF($B638="","",TEXT($B638,"yyyymmdd")&amp;"-"&amp;SUBSTITUTE($F638," ","")&amp;"-"&amp;TEXT(COUNTIF($F$4:F638,$F638),"00"))</f>
        <v/>
      </c>
      <c r="C638">
        <f>IF($B638="","",WEEKNUM($B638,2))</f>
        <v/>
      </c>
      <c r="D638">
        <f>IF($B638="","",TEXT($B638,"yyyy-mm"))</f>
        <v/>
      </c>
      <c r="G638">
        <f>IF(OR($E638="",$F638=""),"",IFERROR(IF($E638=INDEX(Cluster_Master!$A$4:$A$18,MATCH($F638,Cluster_Master!$B$4:$B$18,0)),"OK","CHECK"),"CHECK"))</f>
        <v/>
      </c>
      <c r="H638">
        <f>IFERROR(INDEX(Cluster_Master!$C$4:$C$18,MATCH($F638,Cluster_Master!$B$4:$B$18,0)),"")</f>
        <v/>
      </c>
      <c r="I638">
        <f>IFERROR(INDEX(Cluster_Master!$D$4:$D$18,MATCH($F638,Cluster_Master!$B$4:$B$18,0)),"")</f>
        <v/>
      </c>
      <c r="J638">
        <f>IFERROR(INDEX(Cluster_Master!$E$4:$E$18,MATCH($F638,Cluster_Master!$B$4:$B$18,0)),"")</f>
        <v/>
      </c>
      <c r="K638">
        <f>IFERROR(INDEX(Cluster_Master!$F$4:$F$18,MATCH($F638,Cluster_Master!$B$4:$B$18,0)),"")</f>
        <v/>
      </c>
      <c r="L638">
        <f>IFERROR(INDEX(Cluster_Master!$G$4:$G$18,MATCH($F638,Cluster_Master!$B$4:$B$18,0)),"")</f>
        <v/>
      </c>
      <c r="M638">
        <f>IFERROR(INDEX(Cluster_Master!$H$4:$H$18,MATCH($F638,Cluster_Master!$B$4:$B$18,0)),"")</f>
        <v/>
      </c>
      <c r="AI638">
        <f>IF(COUNTA(T638:AH638)=0,"",SUM(T638:AH638))</f>
        <v/>
      </c>
      <c r="AJ638">
        <f>IF(COUNTA(T638:AH638)=0,"",AI638/(COUNT(KPI_Weights!$A$4:$A$18)*5))</f>
        <v/>
      </c>
      <c r="AK638">
        <f>IF(COUNTA(T638:AH638)=0,"",SUMPRODUCT(T638:AH638,KPI_Weights!$B$4:$B$18)/5)</f>
        <v/>
      </c>
      <c r="AL638">
        <f>IF(COUNTA(T638:AH638)=0,"",IF(SUMPRODUCT(--(T638:AH638&lt;=1),--(KPI_Weights!$C$4:$C$18="YES"))&gt;0,"YES","NO"))</f>
        <v/>
      </c>
      <c r="AM638">
        <f>IF(AJ638="","",IF(AND(AL638="NO",AJ638&gt;=0.75),"YES","NO"))</f>
        <v/>
      </c>
      <c r="AN638">
        <f>IF(AJ638="","",IF(AJ638&lt;0.4,"Critical",IF(AJ638&lt;0.6,"Poor",IF(AJ638&lt;0.75,"Needs Improvement",IF(AJ638&lt;0.9,"Good","Excellent")))))</f>
        <v/>
      </c>
    </row>
    <row r="639" ht="15" customHeight="1" s="45">
      <c r="A639">
        <f>IF($B639="","",TEXT($B639,"yyyymmdd")&amp;"-"&amp;SUBSTITUTE($F639," ","")&amp;"-"&amp;TEXT(COUNTIF($F$4:F639,$F639),"00"))</f>
        <v/>
      </c>
      <c r="C639">
        <f>IF($B639="","",WEEKNUM($B639,2))</f>
        <v/>
      </c>
      <c r="D639">
        <f>IF($B639="","",TEXT($B639,"yyyy-mm"))</f>
        <v/>
      </c>
      <c r="G639">
        <f>IF(OR($E639="",$F639=""),"",IFERROR(IF($E639=INDEX(Cluster_Master!$A$4:$A$18,MATCH($F639,Cluster_Master!$B$4:$B$18,0)),"OK","CHECK"),"CHECK"))</f>
        <v/>
      </c>
      <c r="H639">
        <f>IFERROR(INDEX(Cluster_Master!$C$4:$C$18,MATCH($F639,Cluster_Master!$B$4:$B$18,0)),"")</f>
        <v/>
      </c>
      <c r="I639">
        <f>IFERROR(INDEX(Cluster_Master!$D$4:$D$18,MATCH($F639,Cluster_Master!$B$4:$B$18,0)),"")</f>
        <v/>
      </c>
      <c r="J639">
        <f>IFERROR(INDEX(Cluster_Master!$E$4:$E$18,MATCH($F639,Cluster_Master!$B$4:$B$18,0)),"")</f>
        <v/>
      </c>
      <c r="K639">
        <f>IFERROR(INDEX(Cluster_Master!$F$4:$F$18,MATCH($F639,Cluster_Master!$B$4:$B$18,0)),"")</f>
        <v/>
      </c>
      <c r="L639">
        <f>IFERROR(INDEX(Cluster_Master!$G$4:$G$18,MATCH($F639,Cluster_Master!$B$4:$B$18,0)),"")</f>
        <v/>
      </c>
      <c r="M639">
        <f>IFERROR(INDEX(Cluster_Master!$H$4:$H$18,MATCH($F639,Cluster_Master!$B$4:$B$18,0)),"")</f>
        <v/>
      </c>
      <c r="AI639">
        <f>IF(COUNTA(T639:AH639)=0,"",SUM(T639:AH639))</f>
        <v/>
      </c>
      <c r="AJ639">
        <f>IF(COUNTA(T639:AH639)=0,"",AI639/(COUNT(KPI_Weights!$A$4:$A$18)*5))</f>
        <v/>
      </c>
      <c r="AK639">
        <f>IF(COUNTA(T639:AH639)=0,"",SUMPRODUCT(T639:AH639,KPI_Weights!$B$4:$B$18)/5)</f>
        <v/>
      </c>
      <c r="AL639">
        <f>IF(COUNTA(T639:AH639)=0,"",IF(SUMPRODUCT(--(T639:AH639&lt;=1),--(KPI_Weights!$C$4:$C$18="YES"))&gt;0,"YES","NO"))</f>
        <v/>
      </c>
      <c r="AM639">
        <f>IF(AJ639="","",IF(AND(AL639="NO",AJ639&gt;=0.75),"YES","NO"))</f>
        <v/>
      </c>
      <c r="AN639">
        <f>IF(AJ639="","",IF(AJ639&lt;0.4,"Critical",IF(AJ639&lt;0.6,"Poor",IF(AJ639&lt;0.75,"Needs Improvement",IF(AJ639&lt;0.9,"Good","Excellent")))))</f>
        <v/>
      </c>
    </row>
    <row r="640" ht="15" customHeight="1" s="45">
      <c r="A640">
        <f>IF($B640="","",TEXT($B640,"yyyymmdd")&amp;"-"&amp;SUBSTITUTE($F640," ","")&amp;"-"&amp;TEXT(COUNTIF($F$4:F640,$F640),"00"))</f>
        <v/>
      </c>
      <c r="C640">
        <f>IF($B640="","",WEEKNUM($B640,2))</f>
        <v/>
      </c>
      <c r="D640">
        <f>IF($B640="","",TEXT($B640,"yyyy-mm"))</f>
        <v/>
      </c>
      <c r="G640">
        <f>IF(OR($E640="",$F640=""),"",IFERROR(IF($E640=INDEX(Cluster_Master!$A$4:$A$18,MATCH($F640,Cluster_Master!$B$4:$B$18,0)),"OK","CHECK"),"CHECK"))</f>
        <v/>
      </c>
      <c r="H640">
        <f>IFERROR(INDEX(Cluster_Master!$C$4:$C$18,MATCH($F640,Cluster_Master!$B$4:$B$18,0)),"")</f>
        <v/>
      </c>
      <c r="I640">
        <f>IFERROR(INDEX(Cluster_Master!$D$4:$D$18,MATCH($F640,Cluster_Master!$B$4:$B$18,0)),"")</f>
        <v/>
      </c>
      <c r="J640">
        <f>IFERROR(INDEX(Cluster_Master!$E$4:$E$18,MATCH($F640,Cluster_Master!$B$4:$B$18,0)),"")</f>
        <v/>
      </c>
      <c r="K640">
        <f>IFERROR(INDEX(Cluster_Master!$F$4:$F$18,MATCH($F640,Cluster_Master!$B$4:$B$18,0)),"")</f>
        <v/>
      </c>
      <c r="L640">
        <f>IFERROR(INDEX(Cluster_Master!$G$4:$G$18,MATCH($F640,Cluster_Master!$B$4:$B$18,0)),"")</f>
        <v/>
      </c>
      <c r="M640">
        <f>IFERROR(INDEX(Cluster_Master!$H$4:$H$18,MATCH($F640,Cluster_Master!$B$4:$B$18,0)),"")</f>
        <v/>
      </c>
      <c r="AI640">
        <f>IF(COUNTA(T640:AH640)=0,"",SUM(T640:AH640))</f>
        <v/>
      </c>
      <c r="AJ640">
        <f>IF(COUNTA(T640:AH640)=0,"",AI640/(COUNT(KPI_Weights!$A$4:$A$18)*5))</f>
        <v/>
      </c>
      <c r="AK640">
        <f>IF(COUNTA(T640:AH640)=0,"",SUMPRODUCT(T640:AH640,KPI_Weights!$B$4:$B$18)/5)</f>
        <v/>
      </c>
      <c r="AL640">
        <f>IF(COUNTA(T640:AH640)=0,"",IF(SUMPRODUCT(--(T640:AH640&lt;=1),--(KPI_Weights!$C$4:$C$18="YES"))&gt;0,"YES","NO"))</f>
        <v/>
      </c>
      <c r="AM640">
        <f>IF(AJ640="","",IF(AND(AL640="NO",AJ640&gt;=0.75),"YES","NO"))</f>
        <v/>
      </c>
      <c r="AN640">
        <f>IF(AJ640="","",IF(AJ640&lt;0.4,"Critical",IF(AJ640&lt;0.6,"Poor",IF(AJ640&lt;0.75,"Needs Improvement",IF(AJ640&lt;0.9,"Good","Excellent")))))</f>
        <v/>
      </c>
    </row>
    <row r="641" ht="15" customHeight="1" s="45">
      <c r="A641">
        <f>IF($B641="","",TEXT($B641,"yyyymmdd")&amp;"-"&amp;SUBSTITUTE($F641," ","")&amp;"-"&amp;TEXT(COUNTIF($F$4:F641,$F641),"00"))</f>
        <v/>
      </c>
      <c r="C641">
        <f>IF($B641="","",WEEKNUM($B641,2))</f>
        <v/>
      </c>
      <c r="D641">
        <f>IF($B641="","",TEXT($B641,"yyyy-mm"))</f>
        <v/>
      </c>
      <c r="G641">
        <f>IF(OR($E641="",$F641=""),"",IFERROR(IF($E641=INDEX(Cluster_Master!$A$4:$A$18,MATCH($F641,Cluster_Master!$B$4:$B$18,0)),"OK","CHECK"),"CHECK"))</f>
        <v/>
      </c>
      <c r="H641">
        <f>IFERROR(INDEX(Cluster_Master!$C$4:$C$18,MATCH($F641,Cluster_Master!$B$4:$B$18,0)),"")</f>
        <v/>
      </c>
      <c r="I641">
        <f>IFERROR(INDEX(Cluster_Master!$D$4:$D$18,MATCH($F641,Cluster_Master!$B$4:$B$18,0)),"")</f>
        <v/>
      </c>
      <c r="J641">
        <f>IFERROR(INDEX(Cluster_Master!$E$4:$E$18,MATCH($F641,Cluster_Master!$B$4:$B$18,0)),"")</f>
        <v/>
      </c>
      <c r="K641">
        <f>IFERROR(INDEX(Cluster_Master!$F$4:$F$18,MATCH($F641,Cluster_Master!$B$4:$B$18,0)),"")</f>
        <v/>
      </c>
      <c r="L641">
        <f>IFERROR(INDEX(Cluster_Master!$G$4:$G$18,MATCH($F641,Cluster_Master!$B$4:$B$18,0)),"")</f>
        <v/>
      </c>
      <c r="M641">
        <f>IFERROR(INDEX(Cluster_Master!$H$4:$H$18,MATCH($F641,Cluster_Master!$B$4:$B$18,0)),"")</f>
        <v/>
      </c>
      <c r="AI641">
        <f>IF(COUNTA(T641:AH641)=0,"",SUM(T641:AH641))</f>
        <v/>
      </c>
      <c r="AJ641">
        <f>IF(COUNTA(T641:AH641)=0,"",AI641/(COUNT(KPI_Weights!$A$4:$A$18)*5))</f>
        <v/>
      </c>
      <c r="AK641">
        <f>IF(COUNTA(T641:AH641)=0,"",SUMPRODUCT(T641:AH641,KPI_Weights!$B$4:$B$18)/5)</f>
        <v/>
      </c>
      <c r="AL641">
        <f>IF(COUNTA(T641:AH641)=0,"",IF(SUMPRODUCT(--(T641:AH641&lt;=1),--(KPI_Weights!$C$4:$C$18="YES"))&gt;0,"YES","NO"))</f>
        <v/>
      </c>
      <c r="AM641">
        <f>IF(AJ641="","",IF(AND(AL641="NO",AJ641&gt;=0.75),"YES","NO"))</f>
        <v/>
      </c>
      <c r="AN641">
        <f>IF(AJ641="","",IF(AJ641&lt;0.4,"Critical",IF(AJ641&lt;0.6,"Poor",IF(AJ641&lt;0.75,"Needs Improvement",IF(AJ641&lt;0.9,"Good","Excellent")))))</f>
        <v/>
      </c>
    </row>
    <row r="642" ht="15" customHeight="1" s="45">
      <c r="A642">
        <f>IF($B642="","",TEXT($B642,"yyyymmdd")&amp;"-"&amp;SUBSTITUTE($F642," ","")&amp;"-"&amp;TEXT(COUNTIF($F$4:F642,$F642),"00"))</f>
        <v/>
      </c>
      <c r="C642">
        <f>IF($B642="","",WEEKNUM($B642,2))</f>
        <v/>
      </c>
      <c r="D642">
        <f>IF($B642="","",TEXT($B642,"yyyy-mm"))</f>
        <v/>
      </c>
      <c r="G642">
        <f>IF(OR($E642="",$F642=""),"",IFERROR(IF($E642=INDEX(Cluster_Master!$A$4:$A$18,MATCH($F642,Cluster_Master!$B$4:$B$18,0)),"OK","CHECK"),"CHECK"))</f>
        <v/>
      </c>
      <c r="H642">
        <f>IFERROR(INDEX(Cluster_Master!$C$4:$C$18,MATCH($F642,Cluster_Master!$B$4:$B$18,0)),"")</f>
        <v/>
      </c>
      <c r="I642">
        <f>IFERROR(INDEX(Cluster_Master!$D$4:$D$18,MATCH($F642,Cluster_Master!$B$4:$B$18,0)),"")</f>
        <v/>
      </c>
      <c r="J642">
        <f>IFERROR(INDEX(Cluster_Master!$E$4:$E$18,MATCH($F642,Cluster_Master!$B$4:$B$18,0)),"")</f>
        <v/>
      </c>
      <c r="K642">
        <f>IFERROR(INDEX(Cluster_Master!$F$4:$F$18,MATCH($F642,Cluster_Master!$B$4:$B$18,0)),"")</f>
        <v/>
      </c>
      <c r="L642">
        <f>IFERROR(INDEX(Cluster_Master!$G$4:$G$18,MATCH($F642,Cluster_Master!$B$4:$B$18,0)),"")</f>
        <v/>
      </c>
      <c r="M642">
        <f>IFERROR(INDEX(Cluster_Master!$H$4:$H$18,MATCH($F642,Cluster_Master!$B$4:$B$18,0)),"")</f>
        <v/>
      </c>
      <c r="AI642">
        <f>IF(COUNTA(T642:AH642)=0,"",SUM(T642:AH642))</f>
        <v/>
      </c>
      <c r="AJ642">
        <f>IF(COUNTA(T642:AH642)=0,"",AI642/(COUNT(KPI_Weights!$A$4:$A$18)*5))</f>
        <v/>
      </c>
      <c r="AK642">
        <f>IF(COUNTA(T642:AH642)=0,"",SUMPRODUCT(T642:AH642,KPI_Weights!$B$4:$B$18)/5)</f>
        <v/>
      </c>
      <c r="AL642">
        <f>IF(COUNTA(T642:AH642)=0,"",IF(SUMPRODUCT(--(T642:AH642&lt;=1),--(KPI_Weights!$C$4:$C$18="YES"))&gt;0,"YES","NO"))</f>
        <v/>
      </c>
      <c r="AM642">
        <f>IF(AJ642="","",IF(AND(AL642="NO",AJ642&gt;=0.75),"YES","NO"))</f>
        <v/>
      </c>
      <c r="AN642">
        <f>IF(AJ642="","",IF(AJ642&lt;0.4,"Critical",IF(AJ642&lt;0.6,"Poor",IF(AJ642&lt;0.75,"Needs Improvement",IF(AJ642&lt;0.9,"Good","Excellent")))))</f>
        <v/>
      </c>
    </row>
    <row r="643" ht="15" customHeight="1" s="45">
      <c r="A643">
        <f>IF($B643="","",TEXT($B643,"yyyymmdd")&amp;"-"&amp;SUBSTITUTE($F643," ","")&amp;"-"&amp;TEXT(COUNTIF($F$4:F643,$F643),"00"))</f>
        <v/>
      </c>
      <c r="C643">
        <f>IF($B643="","",WEEKNUM($B643,2))</f>
        <v/>
      </c>
      <c r="D643">
        <f>IF($B643="","",TEXT($B643,"yyyy-mm"))</f>
        <v/>
      </c>
      <c r="G643">
        <f>IF(OR($E643="",$F643=""),"",IFERROR(IF($E643=INDEX(Cluster_Master!$A$4:$A$18,MATCH($F643,Cluster_Master!$B$4:$B$18,0)),"OK","CHECK"),"CHECK"))</f>
        <v/>
      </c>
      <c r="H643">
        <f>IFERROR(INDEX(Cluster_Master!$C$4:$C$18,MATCH($F643,Cluster_Master!$B$4:$B$18,0)),"")</f>
        <v/>
      </c>
      <c r="I643">
        <f>IFERROR(INDEX(Cluster_Master!$D$4:$D$18,MATCH($F643,Cluster_Master!$B$4:$B$18,0)),"")</f>
        <v/>
      </c>
      <c r="J643">
        <f>IFERROR(INDEX(Cluster_Master!$E$4:$E$18,MATCH($F643,Cluster_Master!$B$4:$B$18,0)),"")</f>
        <v/>
      </c>
      <c r="K643">
        <f>IFERROR(INDEX(Cluster_Master!$F$4:$F$18,MATCH($F643,Cluster_Master!$B$4:$B$18,0)),"")</f>
        <v/>
      </c>
      <c r="L643">
        <f>IFERROR(INDEX(Cluster_Master!$G$4:$G$18,MATCH($F643,Cluster_Master!$B$4:$B$18,0)),"")</f>
        <v/>
      </c>
      <c r="M643">
        <f>IFERROR(INDEX(Cluster_Master!$H$4:$H$18,MATCH($F643,Cluster_Master!$B$4:$B$18,0)),"")</f>
        <v/>
      </c>
      <c r="AI643">
        <f>IF(COUNTA(T643:AH643)=0,"",SUM(T643:AH643))</f>
        <v/>
      </c>
      <c r="AJ643">
        <f>IF(COUNTA(T643:AH643)=0,"",AI643/(COUNT(KPI_Weights!$A$4:$A$18)*5))</f>
        <v/>
      </c>
      <c r="AK643">
        <f>IF(COUNTA(T643:AH643)=0,"",SUMPRODUCT(T643:AH643,KPI_Weights!$B$4:$B$18)/5)</f>
        <v/>
      </c>
      <c r="AL643">
        <f>IF(COUNTA(T643:AH643)=0,"",IF(SUMPRODUCT(--(T643:AH643&lt;=1),--(KPI_Weights!$C$4:$C$18="YES"))&gt;0,"YES","NO"))</f>
        <v/>
      </c>
      <c r="AM643">
        <f>IF(AJ643="","",IF(AND(AL643="NO",AJ643&gt;=0.75),"YES","NO"))</f>
        <v/>
      </c>
      <c r="AN643">
        <f>IF(AJ643="","",IF(AJ643&lt;0.4,"Critical",IF(AJ643&lt;0.6,"Poor",IF(AJ643&lt;0.75,"Needs Improvement",IF(AJ643&lt;0.9,"Good","Excellent")))))</f>
        <v/>
      </c>
    </row>
    <row r="644" ht="15" customHeight="1" s="45">
      <c r="A644">
        <f>IF($B644="","",TEXT($B644,"yyyymmdd")&amp;"-"&amp;SUBSTITUTE($F644," ","")&amp;"-"&amp;TEXT(COUNTIF($F$4:F644,$F644),"00"))</f>
        <v/>
      </c>
      <c r="C644">
        <f>IF($B644="","",WEEKNUM($B644,2))</f>
        <v/>
      </c>
      <c r="D644">
        <f>IF($B644="","",TEXT($B644,"yyyy-mm"))</f>
        <v/>
      </c>
      <c r="G644">
        <f>IF(OR($E644="",$F644=""),"",IFERROR(IF($E644=INDEX(Cluster_Master!$A$4:$A$18,MATCH($F644,Cluster_Master!$B$4:$B$18,0)),"OK","CHECK"),"CHECK"))</f>
        <v/>
      </c>
      <c r="H644">
        <f>IFERROR(INDEX(Cluster_Master!$C$4:$C$18,MATCH($F644,Cluster_Master!$B$4:$B$18,0)),"")</f>
        <v/>
      </c>
      <c r="I644">
        <f>IFERROR(INDEX(Cluster_Master!$D$4:$D$18,MATCH($F644,Cluster_Master!$B$4:$B$18,0)),"")</f>
        <v/>
      </c>
      <c r="J644">
        <f>IFERROR(INDEX(Cluster_Master!$E$4:$E$18,MATCH($F644,Cluster_Master!$B$4:$B$18,0)),"")</f>
        <v/>
      </c>
      <c r="K644">
        <f>IFERROR(INDEX(Cluster_Master!$F$4:$F$18,MATCH($F644,Cluster_Master!$B$4:$B$18,0)),"")</f>
        <v/>
      </c>
      <c r="L644">
        <f>IFERROR(INDEX(Cluster_Master!$G$4:$G$18,MATCH($F644,Cluster_Master!$B$4:$B$18,0)),"")</f>
        <v/>
      </c>
      <c r="M644">
        <f>IFERROR(INDEX(Cluster_Master!$H$4:$H$18,MATCH($F644,Cluster_Master!$B$4:$B$18,0)),"")</f>
        <v/>
      </c>
      <c r="AI644">
        <f>IF(COUNTA(T644:AH644)=0,"",SUM(T644:AH644))</f>
        <v/>
      </c>
      <c r="AJ644">
        <f>IF(COUNTA(T644:AH644)=0,"",AI644/(COUNT(KPI_Weights!$A$4:$A$18)*5))</f>
        <v/>
      </c>
      <c r="AK644">
        <f>IF(COUNTA(T644:AH644)=0,"",SUMPRODUCT(T644:AH644,KPI_Weights!$B$4:$B$18)/5)</f>
        <v/>
      </c>
      <c r="AL644">
        <f>IF(COUNTA(T644:AH644)=0,"",IF(SUMPRODUCT(--(T644:AH644&lt;=1),--(KPI_Weights!$C$4:$C$18="YES"))&gt;0,"YES","NO"))</f>
        <v/>
      </c>
      <c r="AM644">
        <f>IF(AJ644="","",IF(AND(AL644="NO",AJ644&gt;=0.75),"YES","NO"))</f>
        <v/>
      </c>
      <c r="AN644">
        <f>IF(AJ644="","",IF(AJ644&lt;0.4,"Critical",IF(AJ644&lt;0.6,"Poor",IF(AJ644&lt;0.75,"Needs Improvement",IF(AJ644&lt;0.9,"Good","Excellent")))))</f>
        <v/>
      </c>
    </row>
    <row r="645" ht="15" customHeight="1" s="45">
      <c r="A645">
        <f>IF($B645="","",TEXT($B645,"yyyymmdd")&amp;"-"&amp;SUBSTITUTE($F645," ","")&amp;"-"&amp;TEXT(COUNTIF($F$4:F645,$F645),"00"))</f>
        <v/>
      </c>
      <c r="C645">
        <f>IF($B645="","",WEEKNUM($B645,2))</f>
        <v/>
      </c>
      <c r="D645">
        <f>IF($B645="","",TEXT($B645,"yyyy-mm"))</f>
        <v/>
      </c>
      <c r="G645">
        <f>IF(OR($E645="",$F645=""),"",IFERROR(IF($E645=INDEX(Cluster_Master!$A$4:$A$18,MATCH($F645,Cluster_Master!$B$4:$B$18,0)),"OK","CHECK"),"CHECK"))</f>
        <v/>
      </c>
      <c r="H645">
        <f>IFERROR(INDEX(Cluster_Master!$C$4:$C$18,MATCH($F645,Cluster_Master!$B$4:$B$18,0)),"")</f>
        <v/>
      </c>
      <c r="I645">
        <f>IFERROR(INDEX(Cluster_Master!$D$4:$D$18,MATCH($F645,Cluster_Master!$B$4:$B$18,0)),"")</f>
        <v/>
      </c>
      <c r="J645">
        <f>IFERROR(INDEX(Cluster_Master!$E$4:$E$18,MATCH($F645,Cluster_Master!$B$4:$B$18,0)),"")</f>
        <v/>
      </c>
      <c r="K645">
        <f>IFERROR(INDEX(Cluster_Master!$F$4:$F$18,MATCH($F645,Cluster_Master!$B$4:$B$18,0)),"")</f>
        <v/>
      </c>
      <c r="L645">
        <f>IFERROR(INDEX(Cluster_Master!$G$4:$G$18,MATCH($F645,Cluster_Master!$B$4:$B$18,0)),"")</f>
        <v/>
      </c>
      <c r="M645">
        <f>IFERROR(INDEX(Cluster_Master!$H$4:$H$18,MATCH($F645,Cluster_Master!$B$4:$B$18,0)),"")</f>
        <v/>
      </c>
      <c r="AI645">
        <f>IF(COUNTA(T645:AH645)=0,"",SUM(T645:AH645))</f>
        <v/>
      </c>
      <c r="AJ645">
        <f>IF(COUNTA(T645:AH645)=0,"",AI645/(COUNT(KPI_Weights!$A$4:$A$18)*5))</f>
        <v/>
      </c>
      <c r="AK645">
        <f>IF(COUNTA(T645:AH645)=0,"",SUMPRODUCT(T645:AH645,KPI_Weights!$B$4:$B$18)/5)</f>
        <v/>
      </c>
      <c r="AL645">
        <f>IF(COUNTA(T645:AH645)=0,"",IF(SUMPRODUCT(--(T645:AH645&lt;=1),--(KPI_Weights!$C$4:$C$18="YES"))&gt;0,"YES","NO"))</f>
        <v/>
      </c>
      <c r="AM645">
        <f>IF(AJ645="","",IF(AND(AL645="NO",AJ645&gt;=0.75),"YES","NO"))</f>
        <v/>
      </c>
      <c r="AN645">
        <f>IF(AJ645="","",IF(AJ645&lt;0.4,"Critical",IF(AJ645&lt;0.6,"Poor",IF(AJ645&lt;0.75,"Needs Improvement",IF(AJ645&lt;0.9,"Good","Excellent")))))</f>
        <v/>
      </c>
    </row>
    <row r="646" ht="15" customHeight="1" s="45">
      <c r="A646">
        <f>IF($B646="","",TEXT($B646,"yyyymmdd")&amp;"-"&amp;SUBSTITUTE($F646," ","")&amp;"-"&amp;TEXT(COUNTIF($F$4:F646,$F646),"00"))</f>
        <v/>
      </c>
      <c r="C646">
        <f>IF($B646="","",WEEKNUM($B646,2))</f>
        <v/>
      </c>
      <c r="D646">
        <f>IF($B646="","",TEXT($B646,"yyyy-mm"))</f>
        <v/>
      </c>
      <c r="G646">
        <f>IF(OR($E646="",$F646=""),"",IFERROR(IF($E646=INDEX(Cluster_Master!$A$4:$A$18,MATCH($F646,Cluster_Master!$B$4:$B$18,0)),"OK","CHECK"),"CHECK"))</f>
        <v/>
      </c>
      <c r="H646">
        <f>IFERROR(INDEX(Cluster_Master!$C$4:$C$18,MATCH($F646,Cluster_Master!$B$4:$B$18,0)),"")</f>
        <v/>
      </c>
      <c r="I646">
        <f>IFERROR(INDEX(Cluster_Master!$D$4:$D$18,MATCH($F646,Cluster_Master!$B$4:$B$18,0)),"")</f>
        <v/>
      </c>
      <c r="J646">
        <f>IFERROR(INDEX(Cluster_Master!$E$4:$E$18,MATCH($F646,Cluster_Master!$B$4:$B$18,0)),"")</f>
        <v/>
      </c>
      <c r="K646">
        <f>IFERROR(INDEX(Cluster_Master!$F$4:$F$18,MATCH($F646,Cluster_Master!$B$4:$B$18,0)),"")</f>
        <v/>
      </c>
      <c r="L646">
        <f>IFERROR(INDEX(Cluster_Master!$G$4:$G$18,MATCH($F646,Cluster_Master!$B$4:$B$18,0)),"")</f>
        <v/>
      </c>
      <c r="M646">
        <f>IFERROR(INDEX(Cluster_Master!$H$4:$H$18,MATCH($F646,Cluster_Master!$B$4:$B$18,0)),"")</f>
        <v/>
      </c>
      <c r="AI646">
        <f>IF(COUNTA(T646:AH646)=0,"",SUM(T646:AH646))</f>
        <v/>
      </c>
      <c r="AJ646">
        <f>IF(COUNTA(T646:AH646)=0,"",AI646/(COUNT(KPI_Weights!$A$4:$A$18)*5))</f>
        <v/>
      </c>
      <c r="AK646">
        <f>IF(COUNTA(T646:AH646)=0,"",SUMPRODUCT(T646:AH646,KPI_Weights!$B$4:$B$18)/5)</f>
        <v/>
      </c>
      <c r="AL646">
        <f>IF(COUNTA(T646:AH646)=0,"",IF(SUMPRODUCT(--(T646:AH646&lt;=1),--(KPI_Weights!$C$4:$C$18="YES"))&gt;0,"YES","NO"))</f>
        <v/>
      </c>
      <c r="AM646">
        <f>IF(AJ646="","",IF(AND(AL646="NO",AJ646&gt;=0.75),"YES","NO"))</f>
        <v/>
      </c>
      <c r="AN646">
        <f>IF(AJ646="","",IF(AJ646&lt;0.4,"Critical",IF(AJ646&lt;0.6,"Poor",IF(AJ646&lt;0.75,"Needs Improvement",IF(AJ646&lt;0.9,"Good","Excellent")))))</f>
        <v/>
      </c>
    </row>
    <row r="647" ht="15" customHeight="1" s="45">
      <c r="A647">
        <f>IF($B647="","",TEXT($B647,"yyyymmdd")&amp;"-"&amp;SUBSTITUTE($F647," ","")&amp;"-"&amp;TEXT(COUNTIF($F$4:F647,$F647),"00"))</f>
        <v/>
      </c>
      <c r="C647">
        <f>IF($B647="","",WEEKNUM($B647,2))</f>
        <v/>
      </c>
      <c r="D647">
        <f>IF($B647="","",TEXT($B647,"yyyy-mm"))</f>
        <v/>
      </c>
      <c r="G647">
        <f>IF(OR($E647="",$F647=""),"",IFERROR(IF($E647=INDEX(Cluster_Master!$A$4:$A$18,MATCH($F647,Cluster_Master!$B$4:$B$18,0)),"OK","CHECK"),"CHECK"))</f>
        <v/>
      </c>
      <c r="H647">
        <f>IFERROR(INDEX(Cluster_Master!$C$4:$C$18,MATCH($F647,Cluster_Master!$B$4:$B$18,0)),"")</f>
        <v/>
      </c>
      <c r="I647">
        <f>IFERROR(INDEX(Cluster_Master!$D$4:$D$18,MATCH($F647,Cluster_Master!$B$4:$B$18,0)),"")</f>
        <v/>
      </c>
      <c r="J647">
        <f>IFERROR(INDEX(Cluster_Master!$E$4:$E$18,MATCH($F647,Cluster_Master!$B$4:$B$18,0)),"")</f>
        <v/>
      </c>
      <c r="K647">
        <f>IFERROR(INDEX(Cluster_Master!$F$4:$F$18,MATCH($F647,Cluster_Master!$B$4:$B$18,0)),"")</f>
        <v/>
      </c>
      <c r="L647">
        <f>IFERROR(INDEX(Cluster_Master!$G$4:$G$18,MATCH($F647,Cluster_Master!$B$4:$B$18,0)),"")</f>
        <v/>
      </c>
      <c r="M647">
        <f>IFERROR(INDEX(Cluster_Master!$H$4:$H$18,MATCH($F647,Cluster_Master!$B$4:$B$18,0)),"")</f>
        <v/>
      </c>
      <c r="AI647">
        <f>IF(COUNTA(T647:AH647)=0,"",SUM(T647:AH647))</f>
        <v/>
      </c>
      <c r="AJ647">
        <f>IF(COUNTA(T647:AH647)=0,"",AI647/(COUNT(KPI_Weights!$A$4:$A$18)*5))</f>
        <v/>
      </c>
      <c r="AK647">
        <f>IF(COUNTA(T647:AH647)=0,"",SUMPRODUCT(T647:AH647,KPI_Weights!$B$4:$B$18)/5)</f>
        <v/>
      </c>
      <c r="AL647">
        <f>IF(COUNTA(T647:AH647)=0,"",IF(SUMPRODUCT(--(T647:AH647&lt;=1),--(KPI_Weights!$C$4:$C$18="YES"))&gt;0,"YES","NO"))</f>
        <v/>
      </c>
      <c r="AM647">
        <f>IF(AJ647="","",IF(AND(AL647="NO",AJ647&gt;=0.75),"YES","NO"))</f>
        <v/>
      </c>
      <c r="AN647">
        <f>IF(AJ647="","",IF(AJ647&lt;0.4,"Critical",IF(AJ647&lt;0.6,"Poor",IF(AJ647&lt;0.75,"Needs Improvement",IF(AJ647&lt;0.9,"Good","Excellent")))))</f>
        <v/>
      </c>
    </row>
    <row r="648" ht="15" customHeight="1" s="45">
      <c r="A648">
        <f>IF($B648="","",TEXT($B648,"yyyymmdd")&amp;"-"&amp;SUBSTITUTE($F648," ","")&amp;"-"&amp;TEXT(COUNTIF($F$4:F648,$F648),"00"))</f>
        <v/>
      </c>
      <c r="C648">
        <f>IF($B648="","",WEEKNUM($B648,2))</f>
        <v/>
      </c>
      <c r="D648">
        <f>IF($B648="","",TEXT($B648,"yyyy-mm"))</f>
        <v/>
      </c>
      <c r="G648">
        <f>IF(OR($E648="",$F648=""),"",IFERROR(IF($E648=INDEX(Cluster_Master!$A$4:$A$18,MATCH($F648,Cluster_Master!$B$4:$B$18,0)),"OK","CHECK"),"CHECK"))</f>
        <v/>
      </c>
      <c r="H648">
        <f>IFERROR(INDEX(Cluster_Master!$C$4:$C$18,MATCH($F648,Cluster_Master!$B$4:$B$18,0)),"")</f>
        <v/>
      </c>
      <c r="I648">
        <f>IFERROR(INDEX(Cluster_Master!$D$4:$D$18,MATCH($F648,Cluster_Master!$B$4:$B$18,0)),"")</f>
        <v/>
      </c>
      <c r="J648">
        <f>IFERROR(INDEX(Cluster_Master!$E$4:$E$18,MATCH($F648,Cluster_Master!$B$4:$B$18,0)),"")</f>
        <v/>
      </c>
      <c r="K648">
        <f>IFERROR(INDEX(Cluster_Master!$F$4:$F$18,MATCH($F648,Cluster_Master!$B$4:$B$18,0)),"")</f>
        <v/>
      </c>
      <c r="L648">
        <f>IFERROR(INDEX(Cluster_Master!$G$4:$G$18,MATCH($F648,Cluster_Master!$B$4:$B$18,0)),"")</f>
        <v/>
      </c>
      <c r="M648">
        <f>IFERROR(INDEX(Cluster_Master!$H$4:$H$18,MATCH($F648,Cluster_Master!$B$4:$B$18,0)),"")</f>
        <v/>
      </c>
      <c r="AI648">
        <f>IF(COUNTA(T648:AH648)=0,"",SUM(T648:AH648))</f>
        <v/>
      </c>
      <c r="AJ648">
        <f>IF(COUNTA(T648:AH648)=0,"",AI648/(COUNT(KPI_Weights!$A$4:$A$18)*5))</f>
        <v/>
      </c>
      <c r="AK648">
        <f>IF(COUNTA(T648:AH648)=0,"",SUMPRODUCT(T648:AH648,KPI_Weights!$B$4:$B$18)/5)</f>
        <v/>
      </c>
      <c r="AL648">
        <f>IF(COUNTA(T648:AH648)=0,"",IF(SUMPRODUCT(--(T648:AH648&lt;=1),--(KPI_Weights!$C$4:$C$18="YES"))&gt;0,"YES","NO"))</f>
        <v/>
      </c>
      <c r="AM648">
        <f>IF(AJ648="","",IF(AND(AL648="NO",AJ648&gt;=0.75),"YES","NO"))</f>
        <v/>
      </c>
      <c r="AN648">
        <f>IF(AJ648="","",IF(AJ648&lt;0.4,"Critical",IF(AJ648&lt;0.6,"Poor",IF(AJ648&lt;0.75,"Needs Improvement",IF(AJ648&lt;0.9,"Good","Excellent")))))</f>
        <v/>
      </c>
    </row>
    <row r="649" ht="15" customHeight="1" s="45">
      <c r="A649">
        <f>IF($B649="","",TEXT($B649,"yyyymmdd")&amp;"-"&amp;SUBSTITUTE($F649," ","")&amp;"-"&amp;TEXT(COUNTIF($F$4:F649,$F649),"00"))</f>
        <v/>
      </c>
      <c r="C649">
        <f>IF($B649="","",WEEKNUM($B649,2))</f>
        <v/>
      </c>
      <c r="D649">
        <f>IF($B649="","",TEXT($B649,"yyyy-mm"))</f>
        <v/>
      </c>
      <c r="G649">
        <f>IF(OR($E649="",$F649=""),"",IFERROR(IF($E649=INDEX(Cluster_Master!$A$4:$A$18,MATCH($F649,Cluster_Master!$B$4:$B$18,0)),"OK","CHECK"),"CHECK"))</f>
        <v/>
      </c>
      <c r="H649">
        <f>IFERROR(INDEX(Cluster_Master!$C$4:$C$18,MATCH($F649,Cluster_Master!$B$4:$B$18,0)),"")</f>
        <v/>
      </c>
      <c r="I649">
        <f>IFERROR(INDEX(Cluster_Master!$D$4:$D$18,MATCH($F649,Cluster_Master!$B$4:$B$18,0)),"")</f>
        <v/>
      </c>
      <c r="J649">
        <f>IFERROR(INDEX(Cluster_Master!$E$4:$E$18,MATCH($F649,Cluster_Master!$B$4:$B$18,0)),"")</f>
        <v/>
      </c>
      <c r="K649">
        <f>IFERROR(INDEX(Cluster_Master!$F$4:$F$18,MATCH($F649,Cluster_Master!$B$4:$B$18,0)),"")</f>
        <v/>
      </c>
      <c r="L649">
        <f>IFERROR(INDEX(Cluster_Master!$G$4:$G$18,MATCH($F649,Cluster_Master!$B$4:$B$18,0)),"")</f>
        <v/>
      </c>
      <c r="M649">
        <f>IFERROR(INDEX(Cluster_Master!$H$4:$H$18,MATCH($F649,Cluster_Master!$B$4:$B$18,0)),"")</f>
        <v/>
      </c>
      <c r="AI649">
        <f>IF(COUNTA(T649:AH649)=0,"",SUM(T649:AH649))</f>
        <v/>
      </c>
      <c r="AJ649">
        <f>IF(COUNTA(T649:AH649)=0,"",AI649/(COUNT(KPI_Weights!$A$4:$A$18)*5))</f>
        <v/>
      </c>
      <c r="AK649">
        <f>IF(COUNTA(T649:AH649)=0,"",SUMPRODUCT(T649:AH649,KPI_Weights!$B$4:$B$18)/5)</f>
        <v/>
      </c>
      <c r="AL649">
        <f>IF(COUNTA(T649:AH649)=0,"",IF(SUMPRODUCT(--(T649:AH649&lt;=1),--(KPI_Weights!$C$4:$C$18="YES"))&gt;0,"YES","NO"))</f>
        <v/>
      </c>
      <c r="AM649">
        <f>IF(AJ649="","",IF(AND(AL649="NO",AJ649&gt;=0.75),"YES","NO"))</f>
        <v/>
      </c>
      <c r="AN649">
        <f>IF(AJ649="","",IF(AJ649&lt;0.4,"Critical",IF(AJ649&lt;0.6,"Poor",IF(AJ649&lt;0.75,"Needs Improvement",IF(AJ649&lt;0.9,"Good","Excellent")))))</f>
        <v/>
      </c>
    </row>
    <row r="650" ht="15" customHeight="1" s="45">
      <c r="A650">
        <f>IF($B650="","",TEXT($B650,"yyyymmdd")&amp;"-"&amp;SUBSTITUTE($F650," ","")&amp;"-"&amp;TEXT(COUNTIF($F$4:F650,$F650),"00"))</f>
        <v/>
      </c>
      <c r="C650">
        <f>IF($B650="","",WEEKNUM($B650,2))</f>
        <v/>
      </c>
      <c r="D650">
        <f>IF($B650="","",TEXT($B650,"yyyy-mm"))</f>
        <v/>
      </c>
      <c r="G650">
        <f>IF(OR($E650="",$F650=""),"",IFERROR(IF($E650=INDEX(Cluster_Master!$A$4:$A$18,MATCH($F650,Cluster_Master!$B$4:$B$18,0)),"OK","CHECK"),"CHECK"))</f>
        <v/>
      </c>
      <c r="H650">
        <f>IFERROR(INDEX(Cluster_Master!$C$4:$C$18,MATCH($F650,Cluster_Master!$B$4:$B$18,0)),"")</f>
        <v/>
      </c>
      <c r="I650">
        <f>IFERROR(INDEX(Cluster_Master!$D$4:$D$18,MATCH($F650,Cluster_Master!$B$4:$B$18,0)),"")</f>
        <v/>
      </c>
      <c r="J650">
        <f>IFERROR(INDEX(Cluster_Master!$E$4:$E$18,MATCH($F650,Cluster_Master!$B$4:$B$18,0)),"")</f>
        <v/>
      </c>
      <c r="K650">
        <f>IFERROR(INDEX(Cluster_Master!$F$4:$F$18,MATCH($F650,Cluster_Master!$B$4:$B$18,0)),"")</f>
        <v/>
      </c>
      <c r="L650">
        <f>IFERROR(INDEX(Cluster_Master!$G$4:$G$18,MATCH($F650,Cluster_Master!$B$4:$B$18,0)),"")</f>
        <v/>
      </c>
      <c r="M650">
        <f>IFERROR(INDEX(Cluster_Master!$H$4:$H$18,MATCH($F650,Cluster_Master!$B$4:$B$18,0)),"")</f>
        <v/>
      </c>
      <c r="AI650">
        <f>IF(COUNTA(T650:AH650)=0,"",SUM(T650:AH650))</f>
        <v/>
      </c>
      <c r="AJ650">
        <f>IF(COUNTA(T650:AH650)=0,"",AI650/(COUNT(KPI_Weights!$A$4:$A$18)*5))</f>
        <v/>
      </c>
      <c r="AK650">
        <f>IF(COUNTA(T650:AH650)=0,"",SUMPRODUCT(T650:AH650,KPI_Weights!$B$4:$B$18)/5)</f>
        <v/>
      </c>
      <c r="AL650">
        <f>IF(COUNTA(T650:AH650)=0,"",IF(SUMPRODUCT(--(T650:AH650&lt;=1),--(KPI_Weights!$C$4:$C$18="YES"))&gt;0,"YES","NO"))</f>
        <v/>
      </c>
      <c r="AM650">
        <f>IF(AJ650="","",IF(AND(AL650="NO",AJ650&gt;=0.75),"YES","NO"))</f>
        <v/>
      </c>
      <c r="AN650">
        <f>IF(AJ650="","",IF(AJ650&lt;0.4,"Critical",IF(AJ650&lt;0.6,"Poor",IF(AJ650&lt;0.75,"Needs Improvement",IF(AJ650&lt;0.9,"Good","Excellent")))))</f>
        <v/>
      </c>
    </row>
    <row r="651" ht="15" customHeight="1" s="45">
      <c r="A651">
        <f>IF($B651="","",TEXT($B651,"yyyymmdd")&amp;"-"&amp;SUBSTITUTE($F651," ","")&amp;"-"&amp;TEXT(COUNTIF($F$4:F651,$F651),"00"))</f>
        <v/>
      </c>
      <c r="C651">
        <f>IF($B651="","",WEEKNUM($B651,2))</f>
        <v/>
      </c>
      <c r="D651">
        <f>IF($B651="","",TEXT($B651,"yyyy-mm"))</f>
        <v/>
      </c>
      <c r="G651">
        <f>IF(OR($E651="",$F651=""),"",IFERROR(IF($E651=INDEX(Cluster_Master!$A$4:$A$18,MATCH($F651,Cluster_Master!$B$4:$B$18,0)),"OK","CHECK"),"CHECK"))</f>
        <v/>
      </c>
      <c r="H651">
        <f>IFERROR(INDEX(Cluster_Master!$C$4:$C$18,MATCH($F651,Cluster_Master!$B$4:$B$18,0)),"")</f>
        <v/>
      </c>
      <c r="I651">
        <f>IFERROR(INDEX(Cluster_Master!$D$4:$D$18,MATCH($F651,Cluster_Master!$B$4:$B$18,0)),"")</f>
        <v/>
      </c>
      <c r="J651">
        <f>IFERROR(INDEX(Cluster_Master!$E$4:$E$18,MATCH($F651,Cluster_Master!$B$4:$B$18,0)),"")</f>
        <v/>
      </c>
      <c r="K651">
        <f>IFERROR(INDEX(Cluster_Master!$F$4:$F$18,MATCH($F651,Cluster_Master!$B$4:$B$18,0)),"")</f>
        <v/>
      </c>
      <c r="L651">
        <f>IFERROR(INDEX(Cluster_Master!$G$4:$G$18,MATCH($F651,Cluster_Master!$B$4:$B$18,0)),"")</f>
        <v/>
      </c>
      <c r="M651">
        <f>IFERROR(INDEX(Cluster_Master!$H$4:$H$18,MATCH($F651,Cluster_Master!$B$4:$B$18,0)),"")</f>
        <v/>
      </c>
      <c r="AI651">
        <f>IF(COUNTA(T651:AH651)=0,"",SUM(T651:AH651))</f>
        <v/>
      </c>
      <c r="AJ651">
        <f>IF(COUNTA(T651:AH651)=0,"",AI651/(COUNT(KPI_Weights!$A$4:$A$18)*5))</f>
        <v/>
      </c>
      <c r="AK651">
        <f>IF(COUNTA(T651:AH651)=0,"",SUMPRODUCT(T651:AH651,KPI_Weights!$B$4:$B$18)/5)</f>
        <v/>
      </c>
      <c r="AL651">
        <f>IF(COUNTA(T651:AH651)=0,"",IF(SUMPRODUCT(--(T651:AH651&lt;=1),--(KPI_Weights!$C$4:$C$18="YES"))&gt;0,"YES","NO"))</f>
        <v/>
      </c>
      <c r="AM651">
        <f>IF(AJ651="","",IF(AND(AL651="NO",AJ651&gt;=0.75),"YES","NO"))</f>
        <v/>
      </c>
      <c r="AN651">
        <f>IF(AJ651="","",IF(AJ651&lt;0.4,"Critical",IF(AJ651&lt;0.6,"Poor",IF(AJ651&lt;0.75,"Needs Improvement",IF(AJ651&lt;0.9,"Good","Excellent")))))</f>
        <v/>
      </c>
    </row>
    <row r="652" ht="15" customHeight="1" s="45">
      <c r="A652">
        <f>IF($B652="","",TEXT($B652,"yyyymmdd")&amp;"-"&amp;SUBSTITUTE($F652," ","")&amp;"-"&amp;TEXT(COUNTIF($F$4:F652,$F652),"00"))</f>
        <v/>
      </c>
      <c r="C652">
        <f>IF($B652="","",WEEKNUM($B652,2))</f>
        <v/>
      </c>
      <c r="D652">
        <f>IF($B652="","",TEXT($B652,"yyyy-mm"))</f>
        <v/>
      </c>
      <c r="G652">
        <f>IF(OR($E652="",$F652=""),"",IFERROR(IF($E652=INDEX(Cluster_Master!$A$4:$A$18,MATCH($F652,Cluster_Master!$B$4:$B$18,0)),"OK","CHECK"),"CHECK"))</f>
        <v/>
      </c>
      <c r="H652">
        <f>IFERROR(INDEX(Cluster_Master!$C$4:$C$18,MATCH($F652,Cluster_Master!$B$4:$B$18,0)),"")</f>
        <v/>
      </c>
      <c r="I652">
        <f>IFERROR(INDEX(Cluster_Master!$D$4:$D$18,MATCH($F652,Cluster_Master!$B$4:$B$18,0)),"")</f>
        <v/>
      </c>
      <c r="J652">
        <f>IFERROR(INDEX(Cluster_Master!$E$4:$E$18,MATCH($F652,Cluster_Master!$B$4:$B$18,0)),"")</f>
        <v/>
      </c>
      <c r="K652">
        <f>IFERROR(INDEX(Cluster_Master!$F$4:$F$18,MATCH($F652,Cluster_Master!$B$4:$B$18,0)),"")</f>
        <v/>
      </c>
      <c r="L652">
        <f>IFERROR(INDEX(Cluster_Master!$G$4:$G$18,MATCH($F652,Cluster_Master!$B$4:$B$18,0)),"")</f>
        <v/>
      </c>
      <c r="M652">
        <f>IFERROR(INDEX(Cluster_Master!$H$4:$H$18,MATCH($F652,Cluster_Master!$B$4:$B$18,0)),"")</f>
        <v/>
      </c>
      <c r="AI652">
        <f>IF(COUNTA(T652:AH652)=0,"",SUM(T652:AH652))</f>
        <v/>
      </c>
      <c r="AJ652">
        <f>IF(COUNTA(T652:AH652)=0,"",AI652/(COUNT(KPI_Weights!$A$4:$A$18)*5))</f>
        <v/>
      </c>
      <c r="AK652">
        <f>IF(COUNTA(T652:AH652)=0,"",SUMPRODUCT(T652:AH652,KPI_Weights!$B$4:$B$18)/5)</f>
        <v/>
      </c>
      <c r="AL652">
        <f>IF(COUNTA(T652:AH652)=0,"",IF(SUMPRODUCT(--(T652:AH652&lt;=1),--(KPI_Weights!$C$4:$C$18="YES"))&gt;0,"YES","NO"))</f>
        <v/>
      </c>
      <c r="AM652">
        <f>IF(AJ652="","",IF(AND(AL652="NO",AJ652&gt;=0.75),"YES","NO"))</f>
        <v/>
      </c>
      <c r="AN652">
        <f>IF(AJ652="","",IF(AJ652&lt;0.4,"Critical",IF(AJ652&lt;0.6,"Poor",IF(AJ652&lt;0.75,"Needs Improvement",IF(AJ652&lt;0.9,"Good","Excellent")))))</f>
        <v/>
      </c>
    </row>
    <row r="653" ht="15" customHeight="1" s="45">
      <c r="A653">
        <f>IF($B653="","",TEXT($B653,"yyyymmdd")&amp;"-"&amp;SUBSTITUTE($F653," ","")&amp;"-"&amp;TEXT(COUNTIF($F$4:F653,$F653),"00"))</f>
        <v/>
      </c>
      <c r="C653">
        <f>IF($B653="","",WEEKNUM($B653,2))</f>
        <v/>
      </c>
      <c r="D653">
        <f>IF($B653="","",TEXT($B653,"yyyy-mm"))</f>
        <v/>
      </c>
      <c r="G653">
        <f>IF(OR($E653="",$F653=""),"",IFERROR(IF($E653=INDEX(Cluster_Master!$A$4:$A$18,MATCH($F653,Cluster_Master!$B$4:$B$18,0)),"OK","CHECK"),"CHECK"))</f>
        <v/>
      </c>
      <c r="H653">
        <f>IFERROR(INDEX(Cluster_Master!$C$4:$C$18,MATCH($F653,Cluster_Master!$B$4:$B$18,0)),"")</f>
        <v/>
      </c>
      <c r="I653">
        <f>IFERROR(INDEX(Cluster_Master!$D$4:$D$18,MATCH($F653,Cluster_Master!$B$4:$B$18,0)),"")</f>
        <v/>
      </c>
      <c r="J653">
        <f>IFERROR(INDEX(Cluster_Master!$E$4:$E$18,MATCH($F653,Cluster_Master!$B$4:$B$18,0)),"")</f>
        <v/>
      </c>
      <c r="K653">
        <f>IFERROR(INDEX(Cluster_Master!$F$4:$F$18,MATCH($F653,Cluster_Master!$B$4:$B$18,0)),"")</f>
        <v/>
      </c>
      <c r="L653">
        <f>IFERROR(INDEX(Cluster_Master!$G$4:$G$18,MATCH($F653,Cluster_Master!$B$4:$B$18,0)),"")</f>
        <v/>
      </c>
      <c r="M653">
        <f>IFERROR(INDEX(Cluster_Master!$H$4:$H$18,MATCH($F653,Cluster_Master!$B$4:$B$18,0)),"")</f>
        <v/>
      </c>
      <c r="AI653">
        <f>IF(COUNTA(T653:AH653)=0,"",SUM(T653:AH653))</f>
        <v/>
      </c>
      <c r="AJ653">
        <f>IF(COUNTA(T653:AH653)=0,"",AI653/(COUNT(KPI_Weights!$A$4:$A$18)*5))</f>
        <v/>
      </c>
      <c r="AK653">
        <f>IF(COUNTA(T653:AH653)=0,"",SUMPRODUCT(T653:AH653,KPI_Weights!$B$4:$B$18)/5)</f>
        <v/>
      </c>
      <c r="AL653">
        <f>IF(COUNTA(T653:AH653)=0,"",IF(SUMPRODUCT(--(T653:AH653&lt;=1),--(KPI_Weights!$C$4:$C$18="YES"))&gt;0,"YES","NO"))</f>
        <v/>
      </c>
      <c r="AM653">
        <f>IF(AJ653="","",IF(AND(AL653="NO",AJ653&gt;=0.75),"YES","NO"))</f>
        <v/>
      </c>
      <c r="AN653">
        <f>IF(AJ653="","",IF(AJ653&lt;0.4,"Critical",IF(AJ653&lt;0.6,"Poor",IF(AJ653&lt;0.75,"Needs Improvement",IF(AJ653&lt;0.9,"Good","Excellent")))))</f>
        <v/>
      </c>
    </row>
    <row r="654" ht="15" customHeight="1" s="45">
      <c r="A654">
        <f>IF($B654="","",TEXT($B654,"yyyymmdd")&amp;"-"&amp;SUBSTITUTE($F654," ","")&amp;"-"&amp;TEXT(COUNTIF($F$4:F654,$F654),"00"))</f>
        <v/>
      </c>
      <c r="C654">
        <f>IF($B654="","",WEEKNUM($B654,2))</f>
        <v/>
      </c>
      <c r="D654">
        <f>IF($B654="","",TEXT($B654,"yyyy-mm"))</f>
        <v/>
      </c>
      <c r="G654">
        <f>IF(OR($E654="",$F654=""),"",IFERROR(IF($E654=INDEX(Cluster_Master!$A$4:$A$18,MATCH($F654,Cluster_Master!$B$4:$B$18,0)),"OK","CHECK"),"CHECK"))</f>
        <v/>
      </c>
      <c r="H654">
        <f>IFERROR(INDEX(Cluster_Master!$C$4:$C$18,MATCH($F654,Cluster_Master!$B$4:$B$18,0)),"")</f>
        <v/>
      </c>
      <c r="I654">
        <f>IFERROR(INDEX(Cluster_Master!$D$4:$D$18,MATCH($F654,Cluster_Master!$B$4:$B$18,0)),"")</f>
        <v/>
      </c>
      <c r="J654">
        <f>IFERROR(INDEX(Cluster_Master!$E$4:$E$18,MATCH($F654,Cluster_Master!$B$4:$B$18,0)),"")</f>
        <v/>
      </c>
      <c r="K654">
        <f>IFERROR(INDEX(Cluster_Master!$F$4:$F$18,MATCH($F654,Cluster_Master!$B$4:$B$18,0)),"")</f>
        <v/>
      </c>
      <c r="L654">
        <f>IFERROR(INDEX(Cluster_Master!$G$4:$G$18,MATCH($F654,Cluster_Master!$B$4:$B$18,0)),"")</f>
        <v/>
      </c>
      <c r="M654">
        <f>IFERROR(INDEX(Cluster_Master!$H$4:$H$18,MATCH($F654,Cluster_Master!$B$4:$B$18,0)),"")</f>
        <v/>
      </c>
      <c r="AI654">
        <f>IF(COUNTA(T654:AH654)=0,"",SUM(T654:AH654))</f>
        <v/>
      </c>
      <c r="AJ654">
        <f>IF(COUNTA(T654:AH654)=0,"",AI654/(COUNT(KPI_Weights!$A$4:$A$18)*5))</f>
        <v/>
      </c>
      <c r="AK654">
        <f>IF(COUNTA(T654:AH654)=0,"",SUMPRODUCT(T654:AH654,KPI_Weights!$B$4:$B$18)/5)</f>
        <v/>
      </c>
      <c r="AL654">
        <f>IF(COUNTA(T654:AH654)=0,"",IF(SUMPRODUCT(--(T654:AH654&lt;=1),--(KPI_Weights!$C$4:$C$18="YES"))&gt;0,"YES","NO"))</f>
        <v/>
      </c>
      <c r="AM654">
        <f>IF(AJ654="","",IF(AND(AL654="NO",AJ654&gt;=0.75),"YES","NO"))</f>
        <v/>
      </c>
      <c r="AN654">
        <f>IF(AJ654="","",IF(AJ654&lt;0.4,"Critical",IF(AJ654&lt;0.6,"Poor",IF(AJ654&lt;0.75,"Needs Improvement",IF(AJ654&lt;0.9,"Good","Excellent")))))</f>
        <v/>
      </c>
    </row>
    <row r="655" ht="15" customHeight="1" s="45">
      <c r="A655">
        <f>IF($B655="","",TEXT($B655,"yyyymmdd")&amp;"-"&amp;SUBSTITUTE($F655," ","")&amp;"-"&amp;TEXT(COUNTIF($F$4:F655,$F655),"00"))</f>
        <v/>
      </c>
      <c r="C655">
        <f>IF($B655="","",WEEKNUM($B655,2))</f>
        <v/>
      </c>
      <c r="D655">
        <f>IF($B655="","",TEXT($B655,"yyyy-mm"))</f>
        <v/>
      </c>
      <c r="G655">
        <f>IF(OR($E655="",$F655=""),"",IFERROR(IF($E655=INDEX(Cluster_Master!$A$4:$A$18,MATCH($F655,Cluster_Master!$B$4:$B$18,0)),"OK","CHECK"),"CHECK"))</f>
        <v/>
      </c>
      <c r="H655">
        <f>IFERROR(INDEX(Cluster_Master!$C$4:$C$18,MATCH($F655,Cluster_Master!$B$4:$B$18,0)),"")</f>
        <v/>
      </c>
      <c r="I655">
        <f>IFERROR(INDEX(Cluster_Master!$D$4:$D$18,MATCH($F655,Cluster_Master!$B$4:$B$18,0)),"")</f>
        <v/>
      </c>
      <c r="J655">
        <f>IFERROR(INDEX(Cluster_Master!$E$4:$E$18,MATCH($F655,Cluster_Master!$B$4:$B$18,0)),"")</f>
        <v/>
      </c>
      <c r="K655">
        <f>IFERROR(INDEX(Cluster_Master!$F$4:$F$18,MATCH($F655,Cluster_Master!$B$4:$B$18,0)),"")</f>
        <v/>
      </c>
      <c r="L655">
        <f>IFERROR(INDEX(Cluster_Master!$G$4:$G$18,MATCH($F655,Cluster_Master!$B$4:$B$18,0)),"")</f>
        <v/>
      </c>
      <c r="M655">
        <f>IFERROR(INDEX(Cluster_Master!$H$4:$H$18,MATCH($F655,Cluster_Master!$B$4:$B$18,0)),"")</f>
        <v/>
      </c>
      <c r="AI655">
        <f>IF(COUNTA(T655:AH655)=0,"",SUM(T655:AH655))</f>
        <v/>
      </c>
      <c r="AJ655">
        <f>IF(COUNTA(T655:AH655)=0,"",AI655/(COUNT(KPI_Weights!$A$4:$A$18)*5))</f>
        <v/>
      </c>
      <c r="AK655">
        <f>IF(COUNTA(T655:AH655)=0,"",SUMPRODUCT(T655:AH655,KPI_Weights!$B$4:$B$18)/5)</f>
        <v/>
      </c>
      <c r="AL655">
        <f>IF(COUNTA(T655:AH655)=0,"",IF(SUMPRODUCT(--(T655:AH655&lt;=1),--(KPI_Weights!$C$4:$C$18="YES"))&gt;0,"YES","NO"))</f>
        <v/>
      </c>
      <c r="AM655">
        <f>IF(AJ655="","",IF(AND(AL655="NO",AJ655&gt;=0.75),"YES","NO"))</f>
        <v/>
      </c>
      <c r="AN655">
        <f>IF(AJ655="","",IF(AJ655&lt;0.4,"Critical",IF(AJ655&lt;0.6,"Poor",IF(AJ655&lt;0.75,"Needs Improvement",IF(AJ655&lt;0.9,"Good","Excellent")))))</f>
        <v/>
      </c>
    </row>
    <row r="656" ht="15" customHeight="1" s="45">
      <c r="A656">
        <f>IF($B656="","",TEXT($B656,"yyyymmdd")&amp;"-"&amp;SUBSTITUTE($F656," ","")&amp;"-"&amp;TEXT(COUNTIF($F$4:F656,$F656),"00"))</f>
        <v/>
      </c>
      <c r="C656">
        <f>IF($B656="","",WEEKNUM($B656,2))</f>
        <v/>
      </c>
      <c r="D656">
        <f>IF($B656="","",TEXT($B656,"yyyy-mm"))</f>
        <v/>
      </c>
      <c r="G656">
        <f>IF(OR($E656="",$F656=""),"",IFERROR(IF($E656=INDEX(Cluster_Master!$A$4:$A$18,MATCH($F656,Cluster_Master!$B$4:$B$18,0)),"OK","CHECK"),"CHECK"))</f>
        <v/>
      </c>
      <c r="H656">
        <f>IFERROR(INDEX(Cluster_Master!$C$4:$C$18,MATCH($F656,Cluster_Master!$B$4:$B$18,0)),"")</f>
        <v/>
      </c>
      <c r="I656">
        <f>IFERROR(INDEX(Cluster_Master!$D$4:$D$18,MATCH($F656,Cluster_Master!$B$4:$B$18,0)),"")</f>
        <v/>
      </c>
      <c r="J656">
        <f>IFERROR(INDEX(Cluster_Master!$E$4:$E$18,MATCH($F656,Cluster_Master!$B$4:$B$18,0)),"")</f>
        <v/>
      </c>
      <c r="K656">
        <f>IFERROR(INDEX(Cluster_Master!$F$4:$F$18,MATCH($F656,Cluster_Master!$B$4:$B$18,0)),"")</f>
        <v/>
      </c>
      <c r="L656">
        <f>IFERROR(INDEX(Cluster_Master!$G$4:$G$18,MATCH($F656,Cluster_Master!$B$4:$B$18,0)),"")</f>
        <v/>
      </c>
      <c r="M656">
        <f>IFERROR(INDEX(Cluster_Master!$H$4:$H$18,MATCH($F656,Cluster_Master!$B$4:$B$18,0)),"")</f>
        <v/>
      </c>
      <c r="AI656">
        <f>IF(COUNTA(T656:AH656)=0,"",SUM(T656:AH656))</f>
        <v/>
      </c>
      <c r="AJ656">
        <f>IF(COUNTA(T656:AH656)=0,"",AI656/(COUNT(KPI_Weights!$A$4:$A$18)*5))</f>
        <v/>
      </c>
      <c r="AK656">
        <f>IF(COUNTA(T656:AH656)=0,"",SUMPRODUCT(T656:AH656,KPI_Weights!$B$4:$B$18)/5)</f>
        <v/>
      </c>
      <c r="AL656">
        <f>IF(COUNTA(T656:AH656)=0,"",IF(SUMPRODUCT(--(T656:AH656&lt;=1),--(KPI_Weights!$C$4:$C$18="YES"))&gt;0,"YES","NO"))</f>
        <v/>
      </c>
      <c r="AM656">
        <f>IF(AJ656="","",IF(AND(AL656="NO",AJ656&gt;=0.75),"YES","NO"))</f>
        <v/>
      </c>
      <c r="AN656">
        <f>IF(AJ656="","",IF(AJ656&lt;0.4,"Critical",IF(AJ656&lt;0.6,"Poor",IF(AJ656&lt;0.75,"Needs Improvement",IF(AJ656&lt;0.9,"Good","Excellent")))))</f>
        <v/>
      </c>
    </row>
    <row r="657" ht="15" customHeight="1" s="45">
      <c r="A657">
        <f>IF($B657="","",TEXT($B657,"yyyymmdd")&amp;"-"&amp;SUBSTITUTE($F657," ","")&amp;"-"&amp;TEXT(COUNTIF($F$4:F657,$F657),"00"))</f>
        <v/>
      </c>
      <c r="C657">
        <f>IF($B657="","",WEEKNUM($B657,2))</f>
        <v/>
      </c>
      <c r="D657">
        <f>IF($B657="","",TEXT($B657,"yyyy-mm"))</f>
        <v/>
      </c>
      <c r="G657">
        <f>IF(OR($E657="",$F657=""),"",IFERROR(IF($E657=INDEX(Cluster_Master!$A$4:$A$18,MATCH($F657,Cluster_Master!$B$4:$B$18,0)),"OK","CHECK"),"CHECK"))</f>
        <v/>
      </c>
      <c r="H657">
        <f>IFERROR(INDEX(Cluster_Master!$C$4:$C$18,MATCH($F657,Cluster_Master!$B$4:$B$18,0)),"")</f>
        <v/>
      </c>
      <c r="I657">
        <f>IFERROR(INDEX(Cluster_Master!$D$4:$D$18,MATCH($F657,Cluster_Master!$B$4:$B$18,0)),"")</f>
        <v/>
      </c>
      <c r="J657">
        <f>IFERROR(INDEX(Cluster_Master!$E$4:$E$18,MATCH($F657,Cluster_Master!$B$4:$B$18,0)),"")</f>
        <v/>
      </c>
      <c r="K657">
        <f>IFERROR(INDEX(Cluster_Master!$F$4:$F$18,MATCH($F657,Cluster_Master!$B$4:$B$18,0)),"")</f>
        <v/>
      </c>
      <c r="L657">
        <f>IFERROR(INDEX(Cluster_Master!$G$4:$G$18,MATCH($F657,Cluster_Master!$B$4:$B$18,0)),"")</f>
        <v/>
      </c>
      <c r="M657">
        <f>IFERROR(INDEX(Cluster_Master!$H$4:$H$18,MATCH($F657,Cluster_Master!$B$4:$B$18,0)),"")</f>
        <v/>
      </c>
      <c r="AI657">
        <f>IF(COUNTA(T657:AH657)=0,"",SUM(T657:AH657))</f>
        <v/>
      </c>
      <c r="AJ657">
        <f>IF(COUNTA(T657:AH657)=0,"",AI657/(COUNT(KPI_Weights!$A$4:$A$18)*5))</f>
        <v/>
      </c>
      <c r="AK657">
        <f>IF(COUNTA(T657:AH657)=0,"",SUMPRODUCT(T657:AH657,KPI_Weights!$B$4:$B$18)/5)</f>
        <v/>
      </c>
      <c r="AL657">
        <f>IF(COUNTA(T657:AH657)=0,"",IF(SUMPRODUCT(--(T657:AH657&lt;=1),--(KPI_Weights!$C$4:$C$18="YES"))&gt;0,"YES","NO"))</f>
        <v/>
      </c>
      <c r="AM657">
        <f>IF(AJ657="","",IF(AND(AL657="NO",AJ657&gt;=0.75),"YES","NO"))</f>
        <v/>
      </c>
      <c r="AN657">
        <f>IF(AJ657="","",IF(AJ657&lt;0.4,"Critical",IF(AJ657&lt;0.6,"Poor",IF(AJ657&lt;0.75,"Needs Improvement",IF(AJ657&lt;0.9,"Good","Excellent")))))</f>
        <v/>
      </c>
    </row>
    <row r="658" ht="15" customHeight="1" s="45">
      <c r="A658">
        <f>IF($B658="","",TEXT($B658,"yyyymmdd")&amp;"-"&amp;SUBSTITUTE($F658," ","")&amp;"-"&amp;TEXT(COUNTIF($F$4:F658,$F658),"00"))</f>
        <v/>
      </c>
      <c r="C658">
        <f>IF($B658="","",WEEKNUM($B658,2))</f>
        <v/>
      </c>
      <c r="D658">
        <f>IF($B658="","",TEXT($B658,"yyyy-mm"))</f>
        <v/>
      </c>
      <c r="G658">
        <f>IF(OR($E658="",$F658=""),"",IFERROR(IF($E658=INDEX(Cluster_Master!$A$4:$A$18,MATCH($F658,Cluster_Master!$B$4:$B$18,0)),"OK","CHECK"),"CHECK"))</f>
        <v/>
      </c>
      <c r="H658">
        <f>IFERROR(INDEX(Cluster_Master!$C$4:$C$18,MATCH($F658,Cluster_Master!$B$4:$B$18,0)),"")</f>
        <v/>
      </c>
      <c r="I658">
        <f>IFERROR(INDEX(Cluster_Master!$D$4:$D$18,MATCH($F658,Cluster_Master!$B$4:$B$18,0)),"")</f>
        <v/>
      </c>
      <c r="J658">
        <f>IFERROR(INDEX(Cluster_Master!$E$4:$E$18,MATCH($F658,Cluster_Master!$B$4:$B$18,0)),"")</f>
        <v/>
      </c>
      <c r="K658">
        <f>IFERROR(INDEX(Cluster_Master!$F$4:$F$18,MATCH($F658,Cluster_Master!$B$4:$B$18,0)),"")</f>
        <v/>
      </c>
      <c r="L658">
        <f>IFERROR(INDEX(Cluster_Master!$G$4:$G$18,MATCH($F658,Cluster_Master!$B$4:$B$18,0)),"")</f>
        <v/>
      </c>
      <c r="M658">
        <f>IFERROR(INDEX(Cluster_Master!$H$4:$H$18,MATCH($F658,Cluster_Master!$B$4:$B$18,0)),"")</f>
        <v/>
      </c>
      <c r="AI658">
        <f>IF(COUNTA(T658:AH658)=0,"",SUM(T658:AH658))</f>
        <v/>
      </c>
      <c r="AJ658">
        <f>IF(COUNTA(T658:AH658)=0,"",AI658/(COUNT(KPI_Weights!$A$4:$A$18)*5))</f>
        <v/>
      </c>
      <c r="AK658">
        <f>IF(COUNTA(T658:AH658)=0,"",SUMPRODUCT(T658:AH658,KPI_Weights!$B$4:$B$18)/5)</f>
        <v/>
      </c>
      <c r="AL658">
        <f>IF(COUNTA(T658:AH658)=0,"",IF(SUMPRODUCT(--(T658:AH658&lt;=1),--(KPI_Weights!$C$4:$C$18="YES"))&gt;0,"YES","NO"))</f>
        <v/>
      </c>
      <c r="AM658">
        <f>IF(AJ658="","",IF(AND(AL658="NO",AJ658&gt;=0.75),"YES","NO"))</f>
        <v/>
      </c>
      <c r="AN658">
        <f>IF(AJ658="","",IF(AJ658&lt;0.4,"Critical",IF(AJ658&lt;0.6,"Poor",IF(AJ658&lt;0.75,"Needs Improvement",IF(AJ658&lt;0.9,"Good","Excellent")))))</f>
        <v/>
      </c>
    </row>
    <row r="659" ht="15" customHeight="1" s="45">
      <c r="A659">
        <f>IF($B659="","",TEXT($B659,"yyyymmdd")&amp;"-"&amp;SUBSTITUTE($F659," ","")&amp;"-"&amp;TEXT(COUNTIF($F$4:F659,$F659),"00"))</f>
        <v/>
      </c>
      <c r="C659">
        <f>IF($B659="","",WEEKNUM($B659,2))</f>
        <v/>
      </c>
      <c r="D659">
        <f>IF($B659="","",TEXT($B659,"yyyy-mm"))</f>
        <v/>
      </c>
      <c r="G659">
        <f>IF(OR($E659="",$F659=""),"",IFERROR(IF($E659=INDEX(Cluster_Master!$A$4:$A$18,MATCH($F659,Cluster_Master!$B$4:$B$18,0)),"OK","CHECK"),"CHECK"))</f>
        <v/>
      </c>
      <c r="H659">
        <f>IFERROR(INDEX(Cluster_Master!$C$4:$C$18,MATCH($F659,Cluster_Master!$B$4:$B$18,0)),"")</f>
        <v/>
      </c>
      <c r="I659">
        <f>IFERROR(INDEX(Cluster_Master!$D$4:$D$18,MATCH($F659,Cluster_Master!$B$4:$B$18,0)),"")</f>
        <v/>
      </c>
      <c r="J659">
        <f>IFERROR(INDEX(Cluster_Master!$E$4:$E$18,MATCH($F659,Cluster_Master!$B$4:$B$18,0)),"")</f>
        <v/>
      </c>
      <c r="K659">
        <f>IFERROR(INDEX(Cluster_Master!$F$4:$F$18,MATCH($F659,Cluster_Master!$B$4:$B$18,0)),"")</f>
        <v/>
      </c>
      <c r="L659">
        <f>IFERROR(INDEX(Cluster_Master!$G$4:$G$18,MATCH($F659,Cluster_Master!$B$4:$B$18,0)),"")</f>
        <v/>
      </c>
      <c r="M659">
        <f>IFERROR(INDEX(Cluster_Master!$H$4:$H$18,MATCH($F659,Cluster_Master!$B$4:$B$18,0)),"")</f>
        <v/>
      </c>
      <c r="AI659">
        <f>IF(COUNTA(T659:AH659)=0,"",SUM(T659:AH659))</f>
        <v/>
      </c>
      <c r="AJ659">
        <f>IF(COUNTA(T659:AH659)=0,"",AI659/(COUNT(KPI_Weights!$A$4:$A$18)*5))</f>
        <v/>
      </c>
      <c r="AK659">
        <f>IF(COUNTA(T659:AH659)=0,"",SUMPRODUCT(T659:AH659,KPI_Weights!$B$4:$B$18)/5)</f>
        <v/>
      </c>
      <c r="AL659">
        <f>IF(COUNTA(T659:AH659)=0,"",IF(SUMPRODUCT(--(T659:AH659&lt;=1),--(KPI_Weights!$C$4:$C$18="YES"))&gt;0,"YES","NO"))</f>
        <v/>
      </c>
      <c r="AM659">
        <f>IF(AJ659="","",IF(AND(AL659="NO",AJ659&gt;=0.75),"YES","NO"))</f>
        <v/>
      </c>
      <c r="AN659">
        <f>IF(AJ659="","",IF(AJ659&lt;0.4,"Critical",IF(AJ659&lt;0.6,"Poor",IF(AJ659&lt;0.75,"Needs Improvement",IF(AJ659&lt;0.9,"Good","Excellent")))))</f>
        <v/>
      </c>
    </row>
    <row r="660" ht="15" customHeight="1" s="45">
      <c r="A660">
        <f>IF($B660="","",TEXT($B660,"yyyymmdd")&amp;"-"&amp;SUBSTITUTE($F660," ","")&amp;"-"&amp;TEXT(COUNTIF($F$4:F660,$F660),"00"))</f>
        <v/>
      </c>
      <c r="C660">
        <f>IF($B660="","",WEEKNUM($B660,2))</f>
        <v/>
      </c>
      <c r="D660">
        <f>IF($B660="","",TEXT($B660,"yyyy-mm"))</f>
        <v/>
      </c>
      <c r="G660">
        <f>IF(OR($E660="",$F660=""),"",IFERROR(IF($E660=INDEX(Cluster_Master!$A$4:$A$18,MATCH($F660,Cluster_Master!$B$4:$B$18,0)),"OK","CHECK"),"CHECK"))</f>
        <v/>
      </c>
      <c r="H660">
        <f>IFERROR(INDEX(Cluster_Master!$C$4:$C$18,MATCH($F660,Cluster_Master!$B$4:$B$18,0)),"")</f>
        <v/>
      </c>
      <c r="I660">
        <f>IFERROR(INDEX(Cluster_Master!$D$4:$D$18,MATCH($F660,Cluster_Master!$B$4:$B$18,0)),"")</f>
        <v/>
      </c>
      <c r="J660">
        <f>IFERROR(INDEX(Cluster_Master!$E$4:$E$18,MATCH($F660,Cluster_Master!$B$4:$B$18,0)),"")</f>
        <v/>
      </c>
      <c r="K660">
        <f>IFERROR(INDEX(Cluster_Master!$F$4:$F$18,MATCH($F660,Cluster_Master!$B$4:$B$18,0)),"")</f>
        <v/>
      </c>
      <c r="L660">
        <f>IFERROR(INDEX(Cluster_Master!$G$4:$G$18,MATCH($F660,Cluster_Master!$B$4:$B$18,0)),"")</f>
        <v/>
      </c>
      <c r="M660">
        <f>IFERROR(INDEX(Cluster_Master!$H$4:$H$18,MATCH($F660,Cluster_Master!$B$4:$B$18,0)),"")</f>
        <v/>
      </c>
      <c r="AI660">
        <f>IF(COUNTA(T660:AH660)=0,"",SUM(T660:AH660))</f>
        <v/>
      </c>
      <c r="AJ660">
        <f>IF(COUNTA(T660:AH660)=0,"",AI660/(COUNT(KPI_Weights!$A$4:$A$18)*5))</f>
        <v/>
      </c>
      <c r="AK660">
        <f>IF(COUNTA(T660:AH660)=0,"",SUMPRODUCT(T660:AH660,KPI_Weights!$B$4:$B$18)/5)</f>
        <v/>
      </c>
      <c r="AL660">
        <f>IF(COUNTA(T660:AH660)=0,"",IF(SUMPRODUCT(--(T660:AH660&lt;=1),--(KPI_Weights!$C$4:$C$18="YES"))&gt;0,"YES","NO"))</f>
        <v/>
      </c>
      <c r="AM660">
        <f>IF(AJ660="","",IF(AND(AL660="NO",AJ660&gt;=0.75),"YES","NO"))</f>
        <v/>
      </c>
      <c r="AN660">
        <f>IF(AJ660="","",IF(AJ660&lt;0.4,"Critical",IF(AJ660&lt;0.6,"Poor",IF(AJ660&lt;0.75,"Needs Improvement",IF(AJ660&lt;0.9,"Good","Excellent")))))</f>
        <v/>
      </c>
    </row>
    <row r="661" ht="15" customHeight="1" s="45">
      <c r="A661">
        <f>IF($B661="","",TEXT($B661,"yyyymmdd")&amp;"-"&amp;SUBSTITUTE($F661," ","")&amp;"-"&amp;TEXT(COUNTIF($F$4:F661,$F661),"00"))</f>
        <v/>
      </c>
      <c r="C661">
        <f>IF($B661="","",WEEKNUM($B661,2))</f>
        <v/>
      </c>
      <c r="D661">
        <f>IF($B661="","",TEXT($B661,"yyyy-mm"))</f>
        <v/>
      </c>
      <c r="G661">
        <f>IF(OR($E661="",$F661=""),"",IFERROR(IF($E661=INDEX(Cluster_Master!$A$4:$A$18,MATCH($F661,Cluster_Master!$B$4:$B$18,0)),"OK","CHECK"),"CHECK"))</f>
        <v/>
      </c>
      <c r="H661">
        <f>IFERROR(INDEX(Cluster_Master!$C$4:$C$18,MATCH($F661,Cluster_Master!$B$4:$B$18,0)),"")</f>
        <v/>
      </c>
      <c r="I661">
        <f>IFERROR(INDEX(Cluster_Master!$D$4:$D$18,MATCH($F661,Cluster_Master!$B$4:$B$18,0)),"")</f>
        <v/>
      </c>
      <c r="J661">
        <f>IFERROR(INDEX(Cluster_Master!$E$4:$E$18,MATCH($F661,Cluster_Master!$B$4:$B$18,0)),"")</f>
        <v/>
      </c>
      <c r="K661">
        <f>IFERROR(INDEX(Cluster_Master!$F$4:$F$18,MATCH($F661,Cluster_Master!$B$4:$B$18,0)),"")</f>
        <v/>
      </c>
      <c r="L661">
        <f>IFERROR(INDEX(Cluster_Master!$G$4:$G$18,MATCH($F661,Cluster_Master!$B$4:$B$18,0)),"")</f>
        <v/>
      </c>
      <c r="M661">
        <f>IFERROR(INDEX(Cluster_Master!$H$4:$H$18,MATCH($F661,Cluster_Master!$B$4:$B$18,0)),"")</f>
        <v/>
      </c>
      <c r="AI661">
        <f>IF(COUNTA(T661:AH661)=0,"",SUM(T661:AH661))</f>
        <v/>
      </c>
      <c r="AJ661">
        <f>IF(COUNTA(T661:AH661)=0,"",AI661/(COUNT(KPI_Weights!$A$4:$A$18)*5))</f>
        <v/>
      </c>
      <c r="AK661">
        <f>IF(COUNTA(T661:AH661)=0,"",SUMPRODUCT(T661:AH661,KPI_Weights!$B$4:$B$18)/5)</f>
        <v/>
      </c>
      <c r="AL661">
        <f>IF(COUNTA(T661:AH661)=0,"",IF(SUMPRODUCT(--(T661:AH661&lt;=1),--(KPI_Weights!$C$4:$C$18="YES"))&gt;0,"YES","NO"))</f>
        <v/>
      </c>
      <c r="AM661">
        <f>IF(AJ661="","",IF(AND(AL661="NO",AJ661&gt;=0.75),"YES","NO"))</f>
        <v/>
      </c>
      <c r="AN661">
        <f>IF(AJ661="","",IF(AJ661&lt;0.4,"Critical",IF(AJ661&lt;0.6,"Poor",IF(AJ661&lt;0.75,"Needs Improvement",IF(AJ661&lt;0.9,"Good","Excellent")))))</f>
        <v/>
      </c>
    </row>
    <row r="662" ht="15" customHeight="1" s="45">
      <c r="A662">
        <f>IF($B662="","",TEXT($B662,"yyyymmdd")&amp;"-"&amp;SUBSTITUTE($F662," ","")&amp;"-"&amp;TEXT(COUNTIF($F$4:F662,$F662),"00"))</f>
        <v/>
      </c>
      <c r="C662">
        <f>IF($B662="","",WEEKNUM($B662,2))</f>
        <v/>
      </c>
      <c r="D662">
        <f>IF($B662="","",TEXT($B662,"yyyy-mm"))</f>
        <v/>
      </c>
      <c r="G662">
        <f>IF(OR($E662="",$F662=""),"",IFERROR(IF($E662=INDEX(Cluster_Master!$A$4:$A$18,MATCH($F662,Cluster_Master!$B$4:$B$18,0)),"OK","CHECK"),"CHECK"))</f>
        <v/>
      </c>
      <c r="H662">
        <f>IFERROR(INDEX(Cluster_Master!$C$4:$C$18,MATCH($F662,Cluster_Master!$B$4:$B$18,0)),"")</f>
        <v/>
      </c>
      <c r="I662">
        <f>IFERROR(INDEX(Cluster_Master!$D$4:$D$18,MATCH($F662,Cluster_Master!$B$4:$B$18,0)),"")</f>
        <v/>
      </c>
      <c r="J662">
        <f>IFERROR(INDEX(Cluster_Master!$E$4:$E$18,MATCH($F662,Cluster_Master!$B$4:$B$18,0)),"")</f>
        <v/>
      </c>
      <c r="K662">
        <f>IFERROR(INDEX(Cluster_Master!$F$4:$F$18,MATCH($F662,Cluster_Master!$B$4:$B$18,0)),"")</f>
        <v/>
      </c>
      <c r="L662">
        <f>IFERROR(INDEX(Cluster_Master!$G$4:$G$18,MATCH($F662,Cluster_Master!$B$4:$B$18,0)),"")</f>
        <v/>
      </c>
      <c r="M662">
        <f>IFERROR(INDEX(Cluster_Master!$H$4:$H$18,MATCH($F662,Cluster_Master!$B$4:$B$18,0)),"")</f>
        <v/>
      </c>
      <c r="AI662">
        <f>IF(COUNTA(T662:AH662)=0,"",SUM(T662:AH662))</f>
        <v/>
      </c>
      <c r="AJ662">
        <f>IF(COUNTA(T662:AH662)=0,"",AI662/(COUNT(KPI_Weights!$A$4:$A$18)*5))</f>
        <v/>
      </c>
      <c r="AK662">
        <f>IF(COUNTA(T662:AH662)=0,"",SUMPRODUCT(T662:AH662,KPI_Weights!$B$4:$B$18)/5)</f>
        <v/>
      </c>
      <c r="AL662">
        <f>IF(COUNTA(T662:AH662)=0,"",IF(SUMPRODUCT(--(T662:AH662&lt;=1),--(KPI_Weights!$C$4:$C$18="YES"))&gt;0,"YES","NO"))</f>
        <v/>
      </c>
      <c r="AM662">
        <f>IF(AJ662="","",IF(AND(AL662="NO",AJ662&gt;=0.75),"YES","NO"))</f>
        <v/>
      </c>
      <c r="AN662">
        <f>IF(AJ662="","",IF(AJ662&lt;0.4,"Critical",IF(AJ662&lt;0.6,"Poor",IF(AJ662&lt;0.75,"Needs Improvement",IF(AJ662&lt;0.9,"Good","Excellent")))))</f>
        <v/>
      </c>
    </row>
    <row r="663" ht="15" customHeight="1" s="45">
      <c r="A663">
        <f>IF($B663="","",TEXT($B663,"yyyymmdd")&amp;"-"&amp;SUBSTITUTE($F663," ","")&amp;"-"&amp;TEXT(COUNTIF($F$4:F663,$F663),"00"))</f>
        <v/>
      </c>
      <c r="C663">
        <f>IF($B663="","",WEEKNUM($B663,2))</f>
        <v/>
      </c>
      <c r="D663">
        <f>IF($B663="","",TEXT($B663,"yyyy-mm"))</f>
        <v/>
      </c>
      <c r="G663">
        <f>IF(OR($E663="",$F663=""),"",IFERROR(IF($E663=INDEX(Cluster_Master!$A$4:$A$18,MATCH($F663,Cluster_Master!$B$4:$B$18,0)),"OK","CHECK"),"CHECK"))</f>
        <v/>
      </c>
      <c r="H663">
        <f>IFERROR(INDEX(Cluster_Master!$C$4:$C$18,MATCH($F663,Cluster_Master!$B$4:$B$18,0)),"")</f>
        <v/>
      </c>
      <c r="I663">
        <f>IFERROR(INDEX(Cluster_Master!$D$4:$D$18,MATCH($F663,Cluster_Master!$B$4:$B$18,0)),"")</f>
        <v/>
      </c>
      <c r="J663">
        <f>IFERROR(INDEX(Cluster_Master!$E$4:$E$18,MATCH($F663,Cluster_Master!$B$4:$B$18,0)),"")</f>
        <v/>
      </c>
      <c r="K663">
        <f>IFERROR(INDEX(Cluster_Master!$F$4:$F$18,MATCH($F663,Cluster_Master!$B$4:$B$18,0)),"")</f>
        <v/>
      </c>
      <c r="L663">
        <f>IFERROR(INDEX(Cluster_Master!$G$4:$G$18,MATCH($F663,Cluster_Master!$B$4:$B$18,0)),"")</f>
        <v/>
      </c>
      <c r="M663">
        <f>IFERROR(INDEX(Cluster_Master!$H$4:$H$18,MATCH($F663,Cluster_Master!$B$4:$B$18,0)),"")</f>
        <v/>
      </c>
      <c r="AI663">
        <f>IF(COUNTA(T663:AH663)=0,"",SUM(T663:AH663))</f>
        <v/>
      </c>
      <c r="AJ663">
        <f>IF(COUNTA(T663:AH663)=0,"",AI663/(COUNT(KPI_Weights!$A$4:$A$18)*5))</f>
        <v/>
      </c>
      <c r="AK663">
        <f>IF(COUNTA(T663:AH663)=0,"",SUMPRODUCT(T663:AH663,KPI_Weights!$B$4:$B$18)/5)</f>
        <v/>
      </c>
      <c r="AL663">
        <f>IF(COUNTA(T663:AH663)=0,"",IF(SUMPRODUCT(--(T663:AH663&lt;=1),--(KPI_Weights!$C$4:$C$18="YES"))&gt;0,"YES","NO"))</f>
        <v/>
      </c>
      <c r="AM663">
        <f>IF(AJ663="","",IF(AND(AL663="NO",AJ663&gt;=0.75),"YES","NO"))</f>
        <v/>
      </c>
      <c r="AN663">
        <f>IF(AJ663="","",IF(AJ663&lt;0.4,"Critical",IF(AJ663&lt;0.6,"Poor",IF(AJ663&lt;0.75,"Needs Improvement",IF(AJ663&lt;0.9,"Good","Excellent")))))</f>
        <v/>
      </c>
    </row>
    <row r="664" ht="15" customHeight="1" s="45">
      <c r="A664">
        <f>IF($B664="","",TEXT($B664,"yyyymmdd")&amp;"-"&amp;SUBSTITUTE($F664," ","")&amp;"-"&amp;TEXT(COUNTIF($F$4:F664,$F664),"00"))</f>
        <v/>
      </c>
      <c r="C664">
        <f>IF($B664="","",WEEKNUM($B664,2))</f>
        <v/>
      </c>
      <c r="D664">
        <f>IF($B664="","",TEXT($B664,"yyyy-mm"))</f>
        <v/>
      </c>
      <c r="G664">
        <f>IF(OR($E664="",$F664=""),"",IFERROR(IF($E664=INDEX(Cluster_Master!$A$4:$A$18,MATCH($F664,Cluster_Master!$B$4:$B$18,0)),"OK","CHECK"),"CHECK"))</f>
        <v/>
      </c>
      <c r="H664">
        <f>IFERROR(INDEX(Cluster_Master!$C$4:$C$18,MATCH($F664,Cluster_Master!$B$4:$B$18,0)),"")</f>
        <v/>
      </c>
      <c r="I664">
        <f>IFERROR(INDEX(Cluster_Master!$D$4:$D$18,MATCH($F664,Cluster_Master!$B$4:$B$18,0)),"")</f>
        <v/>
      </c>
      <c r="J664">
        <f>IFERROR(INDEX(Cluster_Master!$E$4:$E$18,MATCH($F664,Cluster_Master!$B$4:$B$18,0)),"")</f>
        <v/>
      </c>
      <c r="K664">
        <f>IFERROR(INDEX(Cluster_Master!$F$4:$F$18,MATCH($F664,Cluster_Master!$B$4:$B$18,0)),"")</f>
        <v/>
      </c>
      <c r="L664">
        <f>IFERROR(INDEX(Cluster_Master!$G$4:$G$18,MATCH($F664,Cluster_Master!$B$4:$B$18,0)),"")</f>
        <v/>
      </c>
      <c r="M664">
        <f>IFERROR(INDEX(Cluster_Master!$H$4:$H$18,MATCH($F664,Cluster_Master!$B$4:$B$18,0)),"")</f>
        <v/>
      </c>
      <c r="AI664">
        <f>IF(COUNTA(T664:AH664)=0,"",SUM(T664:AH664))</f>
        <v/>
      </c>
      <c r="AJ664">
        <f>IF(COUNTA(T664:AH664)=0,"",AI664/(COUNT(KPI_Weights!$A$4:$A$18)*5))</f>
        <v/>
      </c>
      <c r="AK664">
        <f>IF(COUNTA(T664:AH664)=0,"",SUMPRODUCT(T664:AH664,KPI_Weights!$B$4:$B$18)/5)</f>
        <v/>
      </c>
      <c r="AL664">
        <f>IF(COUNTA(T664:AH664)=0,"",IF(SUMPRODUCT(--(T664:AH664&lt;=1),--(KPI_Weights!$C$4:$C$18="YES"))&gt;0,"YES","NO"))</f>
        <v/>
      </c>
      <c r="AM664">
        <f>IF(AJ664="","",IF(AND(AL664="NO",AJ664&gt;=0.75),"YES","NO"))</f>
        <v/>
      </c>
      <c r="AN664">
        <f>IF(AJ664="","",IF(AJ664&lt;0.4,"Critical",IF(AJ664&lt;0.6,"Poor",IF(AJ664&lt;0.75,"Needs Improvement",IF(AJ664&lt;0.9,"Good","Excellent")))))</f>
        <v/>
      </c>
    </row>
    <row r="665" ht="15" customHeight="1" s="45">
      <c r="A665">
        <f>IF($B665="","",TEXT($B665,"yyyymmdd")&amp;"-"&amp;SUBSTITUTE($F665," ","")&amp;"-"&amp;TEXT(COUNTIF($F$4:F665,$F665),"00"))</f>
        <v/>
      </c>
      <c r="C665">
        <f>IF($B665="","",WEEKNUM($B665,2))</f>
        <v/>
      </c>
      <c r="D665">
        <f>IF($B665="","",TEXT($B665,"yyyy-mm"))</f>
        <v/>
      </c>
      <c r="G665">
        <f>IF(OR($E665="",$F665=""),"",IFERROR(IF($E665=INDEX(Cluster_Master!$A$4:$A$18,MATCH($F665,Cluster_Master!$B$4:$B$18,0)),"OK","CHECK"),"CHECK"))</f>
        <v/>
      </c>
      <c r="H665">
        <f>IFERROR(INDEX(Cluster_Master!$C$4:$C$18,MATCH($F665,Cluster_Master!$B$4:$B$18,0)),"")</f>
        <v/>
      </c>
      <c r="I665">
        <f>IFERROR(INDEX(Cluster_Master!$D$4:$D$18,MATCH($F665,Cluster_Master!$B$4:$B$18,0)),"")</f>
        <v/>
      </c>
      <c r="J665">
        <f>IFERROR(INDEX(Cluster_Master!$E$4:$E$18,MATCH($F665,Cluster_Master!$B$4:$B$18,0)),"")</f>
        <v/>
      </c>
      <c r="K665">
        <f>IFERROR(INDEX(Cluster_Master!$F$4:$F$18,MATCH($F665,Cluster_Master!$B$4:$B$18,0)),"")</f>
        <v/>
      </c>
      <c r="L665">
        <f>IFERROR(INDEX(Cluster_Master!$G$4:$G$18,MATCH($F665,Cluster_Master!$B$4:$B$18,0)),"")</f>
        <v/>
      </c>
      <c r="M665">
        <f>IFERROR(INDEX(Cluster_Master!$H$4:$H$18,MATCH($F665,Cluster_Master!$B$4:$B$18,0)),"")</f>
        <v/>
      </c>
      <c r="AI665">
        <f>IF(COUNTA(T665:AH665)=0,"",SUM(T665:AH665))</f>
        <v/>
      </c>
      <c r="AJ665">
        <f>IF(COUNTA(T665:AH665)=0,"",AI665/(COUNT(KPI_Weights!$A$4:$A$18)*5))</f>
        <v/>
      </c>
      <c r="AK665">
        <f>IF(COUNTA(T665:AH665)=0,"",SUMPRODUCT(T665:AH665,KPI_Weights!$B$4:$B$18)/5)</f>
        <v/>
      </c>
      <c r="AL665">
        <f>IF(COUNTA(T665:AH665)=0,"",IF(SUMPRODUCT(--(T665:AH665&lt;=1),--(KPI_Weights!$C$4:$C$18="YES"))&gt;0,"YES","NO"))</f>
        <v/>
      </c>
      <c r="AM665">
        <f>IF(AJ665="","",IF(AND(AL665="NO",AJ665&gt;=0.75),"YES","NO"))</f>
        <v/>
      </c>
      <c r="AN665">
        <f>IF(AJ665="","",IF(AJ665&lt;0.4,"Critical",IF(AJ665&lt;0.6,"Poor",IF(AJ665&lt;0.75,"Needs Improvement",IF(AJ665&lt;0.9,"Good","Excellent")))))</f>
        <v/>
      </c>
    </row>
    <row r="666" ht="15" customHeight="1" s="45">
      <c r="A666">
        <f>IF($B666="","",TEXT($B666,"yyyymmdd")&amp;"-"&amp;SUBSTITUTE($F666," ","")&amp;"-"&amp;TEXT(COUNTIF($F$4:F666,$F666),"00"))</f>
        <v/>
      </c>
      <c r="C666">
        <f>IF($B666="","",WEEKNUM($B666,2))</f>
        <v/>
      </c>
      <c r="D666">
        <f>IF($B666="","",TEXT($B666,"yyyy-mm"))</f>
        <v/>
      </c>
      <c r="G666">
        <f>IF(OR($E666="",$F666=""),"",IFERROR(IF($E666=INDEX(Cluster_Master!$A$4:$A$18,MATCH($F666,Cluster_Master!$B$4:$B$18,0)),"OK","CHECK"),"CHECK"))</f>
        <v/>
      </c>
      <c r="H666">
        <f>IFERROR(INDEX(Cluster_Master!$C$4:$C$18,MATCH($F666,Cluster_Master!$B$4:$B$18,0)),"")</f>
        <v/>
      </c>
      <c r="I666">
        <f>IFERROR(INDEX(Cluster_Master!$D$4:$D$18,MATCH($F666,Cluster_Master!$B$4:$B$18,0)),"")</f>
        <v/>
      </c>
      <c r="J666">
        <f>IFERROR(INDEX(Cluster_Master!$E$4:$E$18,MATCH($F666,Cluster_Master!$B$4:$B$18,0)),"")</f>
        <v/>
      </c>
      <c r="K666">
        <f>IFERROR(INDEX(Cluster_Master!$F$4:$F$18,MATCH($F666,Cluster_Master!$B$4:$B$18,0)),"")</f>
        <v/>
      </c>
      <c r="L666">
        <f>IFERROR(INDEX(Cluster_Master!$G$4:$G$18,MATCH($F666,Cluster_Master!$B$4:$B$18,0)),"")</f>
        <v/>
      </c>
      <c r="M666">
        <f>IFERROR(INDEX(Cluster_Master!$H$4:$H$18,MATCH($F666,Cluster_Master!$B$4:$B$18,0)),"")</f>
        <v/>
      </c>
      <c r="AI666">
        <f>IF(COUNTA(T666:AH666)=0,"",SUM(T666:AH666))</f>
        <v/>
      </c>
      <c r="AJ666">
        <f>IF(COUNTA(T666:AH666)=0,"",AI666/(COUNT(KPI_Weights!$A$4:$A$18)*5))</f>
        <v/>
      </c>
      <c r="AK666">
        <f>IF(COUNTA(T666:AH666)=0,"",SUMPRODUCT(T666:AH666,KPI_Weights!$B$4:$B$18)/5)</f>
        <v/>
      </c>
      <c r="AL666">
        <f>IF(COUNTA(T666:AH666)=0,"",IF(SUMPRODUCT(--(T666:AH666&lt;=1),--(KPI_Weights!$C$4:$C$18="YES"))&gt;0,"YES","NO"))</f>
        <v/>
      </c>
      <c r="AM666">
        <f>IF(AJ666="","",IF(AND(AL666="NO",AJ666&gt;=0.75),"YES","NO"))</f>
        <v/>
      </c>
      <c r="AN666">
        <f>IF(AJ666="","",IF(AJ666&lt;0.4,"Critical",IF(AJ666&lt;0.6,"Poor",IF(AJ666&lt;0.75,"Needs Improvement",IF(AJ666&lt;0.9,"Good","Excellent")))))</f>
        <v/>
      </c>
    </row>
    <row r="667" ht="15" customHeight="1" s="45">
      <c r="A667">
        <f>IF($B667="","",TEXT($B667,"yyyymmdd")&amp;"-"&amp;SUBSTITUTE($F667," ","")&amp;"-"&amp;TEXT(COUNTIF($F$4:F667,$F667),"00"))</f>
        <v/>
      </c>
      <c r="C667">
        <f>IF($B667="","",WEEKNUM($B667,2))</f>
        <v/>
      </c>
      <c r="D667">
        <f>IF($B667="","",TEXT($B667,"yyyy-mm"))</f>
        <v/>
      </c>
      <c r="G667">
        <f>IF(OR($E667="",$F667=""),"",IFERROR(IF($E667=INDEX(Cluster_Master!$A$4:$A$18,MATCH($F667,Cluster_Master!$B$4:$B$18,0)),"OK","CHECK"),"CHECK"))</f>
        <v/>
      </c>
      <c r="H667">
        <f>IFERROR(INDEX(Cluster_Master!$C$4:$C$18,MATCH($F667,Cluster_Master!$B$4:$B$18,0)),"")</f>
        <v/>
      </c>
      <c r="I667">
        <f>IFERROR(INDEX(Cluster_Master!$D$4:$D$18,MATCH($F667,Cluster_Master!$B$4:$B$18,0)),"")</f>
        <v/>
      </c>
      <c r="J667">
        <f>IFERROR(INDEX(Cluster_Master!$E$4:$E$18,MATCH($F667,Cluster_Master!$B$4:$B$18,0)),"")</f>
        <v/>
      </c>
      <c r="K667">
        <f>IFERROR(INDEX(Cluster_Master!$F$4:$F$18,MATCH($F667,Cluster_Master!$B$4:$B$18,0)),"")</f>
        <v/>
      </c>
      <c r="L667">
        <f>IFERROR(INDEX(Cluster_Master!$G$4:$G$18,MATCH($F667,Cluster_Master!$B$4:$B$18,0)),"")</f>
        <v/>
      </c>
      <c r="M667">
        <f>IFERROR(INDEX(Cluster_Master!$H$4:$H$18,MATCH($F667,Cluster_Master!$B$4:$B$18,0)),"")</f>
        <v/>
      </c>
      <c r="AI667">
        <f>IF(COUNTA(T667:AH667)=0,"",SUM(T667:AH667))</f>
        <v/>
      </c>
      <c r="AJ667">
        <f>IF(COUNTA(T667:AH667)=0,"",AI667/(COUNT(KPI_Weights!$A$4:$A$18)*5))</f>
        <v/>
      </c>
      <c r="AK667">
        <f>IF(COUNTA(T667:AH667)=0,"",SUMPRODUCT(T667:AH667,KPI_Weights!$B$4:$B$18)/5)</f>
        <v/>
      </c>
      <c r="AL667">
        <f>IF(COUNTA(T667:AH667)=0,"",IF(SUMPRODUCT(--(T667:AH667&lt;=1),--(KPI_Weights!$C$4:$C$18="YES"))&gt;0,"YES","NO"))</f>
        <v/>
      </c>
      <c r="AM667">
        <f>IF(AJ667="","",IF(AND(AL667="NO",AJ667&gt;=0.75),"YES","NO"))</f>
        <v/>
      </c>
      <c r="AN667">
        <f>IF(AJ667="","",IF(AJ667&lt;0.4,"Critical",IF(AJ667&lt;0.6,"Poor",IF(AJ667&lt;0.75,"Needs Improvement",IF(AJ667&lt;0.9,"Good","Excellent")))))</f>
        <v/>
      </c>
    </row>
    <row r="668" ht="15" customHeight="1" s="45">
      <c r="A668">
        <f>IF($B668="","",TEXT($B668,"yyyymmdd")&amp;"-"&amp;SUBSTITUTE($F668," ","")&amp;"-"&amp;TEXT(COUNTIF($F$4:F668,$F668),"00"))</f>
        <v/>
      </c>
      <c r="C668">
        <f>IF($B668="","",WEEKNUM($B668,2))</f>
        <v/>
      </c>
      <c r="D668">
        <f>IF($B668="","",TEXT($B668,"yyyy-mm"))</f>
        <v/>
      </c>
      <c r="G668">
        <f>IF(OR($E668="",$F668=""),"",IFERROR(IF($E668=INDEX(Cluster_Master!$A$4:$A$18,MATCH($F668,Cluster_Master!$B$4:$B$18,0)),"OK","CHECK"),"CHECK"))</f>
        <v/>
      </c>
      <c r="H668">
        <f>IFERROR(INDEX(Cluster_Master!$C$4:$C$18,MATCH($F668,Cluster_Master!$B$4:$B$18,0)),"")</f>
        <v/>
      </c>
      <c r="I668">
        <f>IFERROR(INDEX(Cluster_Master!$D$4:$D$18,MATCH($F668,Cluster_Master!$B$4:$B$18,0)),"")</f>
        <v/>
      </c>
      <c r="J668">
        <f>IFERROR(INDEX(Cluster_Master!$E$4:$E$18,MATCH($F668,Cluster_Master!$B$4:$B$18,0)),"")</f>
        <v/>
      </c>
      <c r="K668">
        <f>IFERROR(INDEX(Cluster_Master!$F$4:$F$18,MATCH($F668,Cluster_Master!$B$4:$B$18,0)),"")</f>
        <v/>
      </c>
      <c r="L668">
        <f>IFERROR(INDEX(Cluster_Master!$G$4:$G$18,MATCH($F668,Cluster_Master!$B$4:$B$18,0)),"")</f>
        <v/>
      </c>
      <c r="M668">
        <f>IFERROR(INDEX(Cluster_Master!$H$4:$H$18,MATCH($F668,Cluster_Master!$B$4:$B$18,0)),"")</f>
        <v/>
      </c>
      <c r="AI668">
        <f>IF(COUNTA(T668:AH668)=0,"",SUM(T668:AH668))</f>
        <v/>
      </c>
      <c r="AJ668">
        <f>IF(COUNTA(T668:AH668)=0,"",AI668/(COUNT(KPI_Weights!$A$4:$A$18)*5))</f>
        <v/>
      </c>
      <c r="AK668">
        <f>IF(COUNTA(T668:AH668)=0,"",SUMPRODUCT(T668:AH668,KPI_Weights!$B$4:$B$18)/5)</f>
        <v/>
      </c>
      <c r="AL668">
        <f>IF(COUNTA(T668:AH668)=0,"",IF(SUMPRODUCT(--(T668:AH668&lt;=1),--(KPI_Weights!$C$4:$C$18="YES"))&gt;0,"YES","NO"))</f>
        <v/>
      </c>
      <c r="AM668">
        <f>IF(AJ668="","",IF(AND(AL668="NO",AJ668&gt;=0.75),"YES","NO"))</f>
        <v/>
      </c>
      <c r="AN668">
        <f>IF(AJ668="","",IF(AJ668&lt;0.4,"Critical",IF(AJ668&lt;0.6,"Poor",IF(AJ668&lt;0.75,"Needs Improvement",IF(AJ668&lt;0.9,"Good","Excellent")))))</f>
        <v/>
      </c>
    </row>
    <row r="669" ht="15" customHeight="1" s="45">
      <c r="A669">
        <f>IF($B669="","",TEXT($B669,"yyyymmdd")&amp;"-"&amp;SUBSTITUTE($F669," ","")&amp;"-"&amp;TEXT(COUNTIF($F$4:F669,$F669),"00"))</f>
        <v/>
      </c>
      <c r="C669">
        <f>IF($B669="","",WEEKNUM($B669,2))</f>
        <v/>
      </c>
      <c r="D669">
        <f>IF($B669="","",TEXT($B669,"yyyy-mm"))</f>
        <v/>
      </c>
      <c r="G669">
        <f>IF(OR($E669="",$F669=""),"",IFERROR(IF($E669=INDEX(Cluster_Master!$A$4:$A$18,MATCH($F669,Cluster_Master!$B$4:$B$18,0)),"OK","CHECK"),"CHECK"))</f>
        <v/>
      </c>
      <c r="H669">
        <f>IFERROR(INDEX(Cluster_Master!$C$4:$C$18,MATCH($F669,Cluster_Master!$B$4:$B$18,0)),"")</f>
        <v/>
      </c>
      <c r="I669">
        <f>IFERROR(INDEX(Cluster_Master!$D$4:$D$18,MATCH($F669,Cluster_Master!$B$4:$B$18,0)),"")</f>
        <v/>
      </c>
      <c r="J669">
        <f>IFERROR(INDEX(Cluster_Master!$E$4:$E$18,MATCH($F669,Cluster_Master!$B$4:$B$18,0)),"")</f>
        <v/>
      </c>
      <c r="K669">
        <f>IFERROR(INDEX(Cluster_Master!$F$4:$F$18,MATCH($F669,Cluster_Master!$B$4:$B$18,0)),"")</f>
        <v/>
      </c>
      <c r="L669">
        <f>IFERROR(INDEX(Cluster_Master!$G$4:$G$18,MATCH($F669,Cluster_Master!$B$4:$B$18,0)),"")</f>
        <v/>
      </c>
      <c r="M669">
        <f>IFERROR(INDEX(Cluster_Master!$H$4:$H$18,MATCH($F669,Cluster_Master!$B$4:$B$18,0)),"")</f>
        <v/>
      </c>
      <c r="AI669">
        <f>IF(COUNTA(T669:AH669)=0,"",SUM(T669:AH669))</f>
        <v/>
      </c>
      <c r="AJ669">
        <f>IF(COUNTA(T669:AH669)=0,"",AI669/(COUNT(KPI_Weights!$A$4:$A$18)*5))</f>
        <v/>
      </c>
      <c r="AK669">
        <f>IF(COUNTA(T669:AH669)=0,"",SUMPRODUCT(T669:AH669,KPI_Weights!$B$4:$B$18)/5)</f>
        <v/>
      </c>
      <c r="AL669">
        <f>IF(COUNTA(T669:AH669)=0,"",IF(SUMPRODUCT(--(T669:AH669&lt;=1),--(KPI_Weights!$C$4:$C$18="YES"))&gt;0,"YES","NO"))</f>
        <v/>
      </c>
      <c r="AM669">
        <f>IF(AJ669="","",IF(AND(AL669="NO",AJ669&gt;=0.75),"YES","NO"))</f>
        <v/>
      </c>
      <c r="AN669">
        <f>IF(AJ669="","",IF(AJ669&lt;0.4,"Critical",IF(AJ669&lt;0.6,"Poor",IF(AJ669&lt;0.75,"Needs Improvement",IF(AJ669&lt;0.9,"Good","Excellent")))))</f>
        <v/>
      </c>
    </row>
    <row r="670" ht="15" customHeight="1" s="45">
      <c r="A670">
        <f>IF($B670="","",TEXT($B670,"yyyymmdd")&amp;"-"&amp;SUBSTITUTE($F670," ","")&amp;"-"&amp;TEXT(COUNTIF($F$4:F670,$F670),"00"))</f>
        <v/>
      </c>
      <c r="C670">
        <f>IF($B670="","",WEEKNUM($B670,2))</f>
        <v/>
      </c>
      <c r="D670">
        <f>IF($B670="","",TEXT($B670,"yyyy-mm"))</f>
        <v/>
      </c>
      <c r="G670">
        <f>IF(OR($E670="",$F670=""),"",IFERROR(IF($E670=INDEX(Cluster_Master!$A$4:$A$18,MATCH($F670,Cluster_Master!$B$4:$B$18,0)),"OK","CHECK"),"CHECK"))</f>
        <v/>
      </c>
      <c r="H670">
        <f>IFERROR(INDEX(Cluster_Master!$C$4:$C$18,MATCH($F670,Cluster_Master!$B$4:$B$18,0)),"")</f>
        <v/>
      </c>
      <c r="I670">
        <f>IFERROR(INDEX(Cluster_Master!$D$4:$D$18,MATCH($F670,Cluster_Master!$B$4:$B$18,0)),"")</f>
        <v/>
      </c>
      <c r="J670">
        <f>IFERROR(INDEX(Cluster_Master!$E$4:$E$18,MATCH($F670,Cluster_Master!$B$4:$B$18,0)),"")</f>
        <v/>
      </c>
      <c r="K670">
        <f>IFERROR(INDEX(Cluster_Master!$F$4:$F$18,MATCH($F670,Cluster_Master!$B$4:$B$18,0)),"")</f>
        <v/>
      </c>
      <c r="L670">
        <f>IFERROR(INDEX(Cluster_Master!$G$4:$G$18,MATCH($F670,Cluster_Master!$B$4:$B$18,0)),"")</f>
        <v/>
      </c>
      <c r="M670">
        <f>IFERROR(INDEX(Cluster_Master!$H$4:$H$18,MATCH($F670,Cluster_Master!$B$4:$B$18,0)),"")</f>
        <v/>
      </c>
      <c r="AI670">
        <f>IF(COUNTA(T670:AH670)=0,"",SUM(T670:AH670))</f>
        <v/>
      </c>
      <c r="AJ670">
        <f>IF(COUNTA(T670:AH670)=0,"",AI670/(COUNT(KPI_Weights!$A$4:$A$18)*5))</f>
        <v/>
      </c>
      <c r="AK670">
        <f>IF(COUNTA(T670:AH670)=0,"",SUMPRODUCT(T670:AH670,KPI_Weights!$B$4:$B$18)/5)</f>
        <v/>
      </c>
      <c r="AL670">
        <f>IF(COUNTA(T670:AH670)=0,"",IF(SUMPRODUCT(--(T670:AH670&lt;=1),--(KPI_Weights!$C$4:$C$18="YES"))&gt;0,"YES","NO"))</f>
        <v/>
      </c>
      <c r="AM670">
        <f>IF(AJ670="","",IF(AND(AL670="NO",AJ670&gt;=0.75),"YES","NO"))</f>
        <v/>
      </c>
      <c r="AN670">
        <f>IF(AJ670="","",IF(AJ670&lt;0.4,"Critical",IF(AJ670&lt;0.6,"Poor",IF(AJ670&lt;0.75,"Needs Improvement",IF(AJ670&lt;0.9,"Good","Excellent")))))</f>
        <v/>
      </c>
    </row>
    <row r="671" ht="15" customHeight="1" s="45">
      <c r="A671">
        <f>IF($B671="","",TEXT($B671,"yyyymmdd")&amp;"-"&amp;SUBSTITUTE($F671," ","")&amp;"-"&amp;TEXT(COUNTIF($F$4:F671,$F671),"00"))</f>
        <v/>
      </c>
      <c r="C671">
        <f>IF($B671="","",WEEKNUM($B671,2))</f>
        <v/>
      </c>
      <c r="D671">
        <f>IF($B671="","",TEXT($B671,"yyyy-mm"))</f>
        <v/>
      </c>
      <c r="G671">
        <f>IF(OR($E671="",$F671=""),"",IFERROR(IF($E671=INDEX(Cluster_Master!$A$4:$A$18,MATCH($F671,Cluster_Master!$B$4:$B$18,0)),"OK","CHECK"),"CHECK"))</f>
        <v/>
      </c>
      <c r="H671">
        <f>IFERROR(INDEX(Cluster_Master!$C$4:$C$18,MATCH($F671,Cluster_Master!$B$4:$B$18,0)),"")</f>
        <v/>
      </c>
      <c r="I671">
        <f>IFERROR(INDEX(Cluster_Master!$D$4:$D$18,MATCH($F671,Cluster_Master!$B$4:$B$18,0)),"")</f>
        <v/>
      </c>
      <c r="J671">
        <f>IFERROR(INDEX(Cluster_Master!$E$4:$E$18,MATCH($F671,Cluster_Master!$B$4:$B$18,0)),"")</f>
        <v/>
      </c>
      <c r="K671">
        <f>IFERROR(INDEX(Cluster_Master!$F$4:$F$18,MATCH($F671,Cluster_Master!$B$4:$B$18,0)),"")</f>
        <v/>
      </c>
      <c r="L671">
        <f>IFERROR(INDEX(Cluster_Master!$G$4:$G$18,MATCH($F671,Cluster_Master!$B$4:$B$18,0)),"")</f>
        <v/>
      </c>
      <c r="M671">
        <f>IFERROR(INDEX(Cluster_Master!$H$4:$H$18,MATCH($F671,Cluster_Master!$B$4:$B$18,0)),"")</f>
        <v/>
      </c>
      <c r="AI671">
        <f>IF(COUNTA(T671:AH671)=0,"",SUM(T671:AH671))</f>
        <v/>
      </c>
      <c r="AJ671">
        <f>IF(COUNTA(T671:AH671)=0,"",AI671/(COUNT(KPI_Weights!$A$4:$A$18)*5))</f>
        <v/>
      </c>
      <c r="AK671">
        <f>IF(COUNTA(T671:AH671)=0,"",SUMPRODUCT(T671:AH671,KPI_Weights!$B$4:$B$18)/5)</f>
        <v/>
      </c>
      <c r="AL671">
        <f>IF(COUNTA(T671:AH671)=0,"",IF(SUMPRODUCT(--(T671:AH671&lt;=1),--(KPI_Weights!$C$4:$C$18="YES"))&gt;0,"YES","NO"))</f>
        <v/>
      </c>
      <c r="AM671">
        <f>IF(AJ671="","",IF(AND(AL671="NO",AJ671&gt;=0.75),"YES","NO"))</f>
        <v/>
      </c>
      <c r="AN671">
        <f>IF(AJ671="","",IF(AJ671&lt;0.4,"Critical",IF(AJ671&lt;0.6,"Poor",IF(AJ671&lt;0.75,"Needs Improvement",IF(AJ671&lt;0.9,"Good","Excellent")))))</f>
        <v/>
      </c>
    </row>
    <row r="672" ht="15" customHeight="1" s="45">
      <c r="A672">
        <f>IF($B672="","",TEXT($B672,"yyyymmdd")&amp;"-"&amp;SUBSTITUTE($F672," ","")&amp;"-"&amp;TEXT(COUNTIF($F$4:F672,$F672),"00"))</f>
        <v/>
      </c>
      <c r="C672">
        <f>IF($B672="","",WEEKNUM($B672,2))</f>
        <v/>
      </c>
      <c r="D672">
        <f>IF($B672="","",TEXT($B672,"yyyy-mm"))</f>
        <v/>
      </c>
      <c r="G672">
        <f>IF(OR($E672="",$F672=""),"",IFERROR(IF($E672=INDEX(Cluster_Master!$A$4:$A$18,MATCH($F672,Cluster_Master!$B$4:$B$18,0)),"OK","CHECK"),"CHECK"))</f>
        <v/>
      </c>
      <c r="H672">
        <f>IFERROR(INDEX(Cluster_Master!$C$4:$C$18,MATCH($F672,Cluster_Master!$B$4:$B$18,0)),"")</f>
        <v/>
      </c>
      <c r="I672">
        <f>IFERROR(INDEX(Cluster_Master!$D$4:$D$18,MATCH($F672,Cluster_Master!$B$4:$B$18,0)),"")</f>
        <v/>
      </c>
      <c r="J672">
        <f>IFERROR(INDEX(Cluster_Master!$E$4:$E$18,MATCH($F672,Cluster_Master!$B$4:$B$18,0)),"")</f>
        <v/>
      </c>
      <c r="K672">
        <f>IFERROR(INDEX(Cluster_Master!$F$4:$F$18,MATCH($F672,Cluster_Master!$B$4:$B$18,0)),"")</f>
        <v/>
      </c>
      <c r="L672">
        <f>IFERROR(INDEX(Cluster_Master!$G$4:$G$18,MATCH($F672,Cluster_Master!$B$4:$B$18,0)),"")</f>
        <v/>
      </c>
      <c r="M672">
        <f>IFERROR(INDEX(Cluster_Master!$H$4:$H$18,MATCH($F672,Cluster_Master!$B$4:$B$18,0)),"")</f>
        <v/>
      </c>
      <c r="AI672">
        <f>IF(COUNTA(T672:AH672)=0,"",SUM(T672:AH672))</f>
        <v/>
      </c>
      <c r="AJ672">
        <f>IF(COUNTA(T672:AH672)=0,"",AI672/(COUNT(KPI_Weights!$A$4:$A$18)*5))</f>
        <v/>
      </c>
      <c r="AK672">
        <f>IF(COUNTA(T672:AH672)=0,"",SUMPRODUCT(T672:AH672,KPI_Weights!$B$4:$B$18)/5)</f>
        <v/>
      </c>
      <c r="AL672">
        <f>IF(COUNTA(T672:AH672)=0,"",IF(SUMPRODUCT(--(T672:AH672&lt;=1),--(KPI_Weights!$C$4:$C$18="YES"))&gt;0,"YES","NO"))</f>
        <v/>
      </c>
      <c r="AM672">
        <f>IF(AJ672="","",IF(AND(AL672="NO",AJ672&gt;=0.75),"YES","NO"))</f>
        <v/>
      </c>
      <c r="AN672">
        <f>IF(AJ672="","",IF(AJ672&lt;0.4,"Critical",IF(AJ672&lt;0.6,"Poor",IF(AJ672&lt;0.75,"Needs Improvement",IF(AJ672&lt;0.9,"Good","Excellent")))))</f>
        <v/>
      </c>
    </row>
    <row r="673" ht="15" customHeight="1" s="45">
      <c r="A673">
        <f>IF($B673="","",TEXT($B673,"yyyymmdd")&amp;"-"&amp;SUBSTITUTE($F673," ","")&amp;"-"&amp;TEXT(COUNTIF($F$4:F673,$F673),"00"))</f>
        <v/>
      </c>
      <c r="C673">
        <f>IF($B673="","",WEEKNUM($B673,2))</f>
        <v/>
      </c>
      <c r="D673">
        <f>IF($B673="","",TEXT($B673,"yyyy-mm"))</f>
        <v/>
      </c>
      <c r="G673">
        <f>IF(OR($E673="",$F673=""),"",IFERROR(IF($E673=INDEX(Cluster_Master!$A$4:$A$18,MATCH($F673,Cluster_Master!$B$4:$B$18,0)),"OK","CHECK"),"CHECK"))</f>
        <v/>
      </c>
      <c r="H673">
        <f>IFERROR(INDEX(Cluster_Master!$C$4:$C$18,MATCH($F673,Cluster_Master!$B$4:$B$18,0)),"")</f>
        <v/>
      </c>
      <c r="I673">
        <f>IFERROR(INDEX(Cluster_Master!$D$4:$D$18,MATCH($F673,Cluster_Master!$B$4:$B$18,0)),"")</f>
        <v/>
      </c>
      <c r="J673">
        <f>IFERROR(INDEX(Cluster_Master!$E$4:$E$18,MATCH($F673,Cluster_Master!$B$4:$B$18,0)),"")</f>
        <v/>
      </c>
      <c r="K673">
        <f>IFERROR(INDEX(Cluster_Master!$F$4:$F$18,MATCH($F673,Cluster_Master!$B$4:$B$18,0)),"")</f>
        <v/>
      </c>
      <c r="L673">
        <f>IFERROR(INDEX(Cluster_Master!$G$4:$G$18,MATCH($F673,Cluster_Master!$B$4:$B$18,0)),"")</f>
        <v/>
      </c>
      <c r="M673">
        <f>IFERROR(INDEX(Cluster_Master!$H$4:$H$18,MATCH($F673,Cluster_Master!$B$4:$B$18,0)),"")</f>
        <v/>
      </c>
      <c r="AI673">
        <f>IF(COUNTA(T673:AH673)=0,"",SUM(T673:AH673))</f>
        <v/>
      </c>
      <c r="AJ673">
        <f>IF(COUNTA(T673:AH673)=0,"",AI673/(COUNT(KPI_Weights!$A$4:$A$18)*5))</f>
        <v/>
      </c>
      <c r="AK673">
        <f>IF(COUNTA(T673:AH673)=0,"",SUMPRODUCT(T673:AH673,KPI_Weights!$B$4:$B$18)/5)</f>
        <v/>
      </c>
      <c r="AL673">
        <f>IF(COUNTA(T673:AH673)=0,"",IF(SUMPRODUCT(--(T673:AH673&lt;=1),--(KPI_Weights!$C$4:$C$18="YES"))&gt;0,"YES","NO"))</f>
        <v/>
      </c>
      <c r="AM673">
        <f>IF(AJ673="","",IF(AND(AL673="NO",AJ673&gt;=0.75),"YES","NO"))</f>
        <v/>
      </c>
      <c r="AN673">
        <f>IF(AJ673="","",IF(AJ673&lt;0.4,"Critical",IF(AJ673&lt;0.6,"Poor",IF(AJ673&lt;0.75,"Needs Improvement",IF(AJ673&lt;0.9,"Good","Excellent")))))</f>
        <v/>
      </c>
    </row>
    <row r="674" ht="15" customHeight="1" s="45">
      <c r="A674">
        <f>IF($B674="","",TEXT($B674,"yyyymmdd")&amp;"-"&amp;SUBSTITUTE($F674," ","")&amp;"-"&amp;TEXT(COUNTIF($F$4:F674,$F674),"00"))</f>
        <v/>
      </c>
      <c r="C674">
        <f>IF($B674="","",WEEKNUM($B674,2))</f>
        <v/>
      </c>
      <c r="D674">
        <f>IF($B674="","",TEXT($B674,"yyyy-mm"))</f>
        <v/>
      </c>
      <c r="G674">
        <f>IF(OR($E674="",$F674=""),"",IFERROR(IF($E674=INDEX(Cluster_Master!$A$4:$A$18,MATCH($F674,Cluster_Master!$B$4:$B$18,0)),"OK","CHECK"),"CHECK"))</f>
        <v/>
      </c>
      <c r="H674">
        <f>IFERROR(INDEX(Cluster_Master!$C$4:$C$18,MATCH($F674,Cluster_Master!$B$4:$B$18,0)),"")</f>
        <v/>
      </c>
      <c r="I674">
        <f>IFERROR(INDEX(Cluster_Master!$D$4:$D$18,MATCH($F674,Cluster_Master!$B$4:$B$18,0)),"")</f>
        <v/>
      </c>
      <c r="J674">
        <f>IFERROR(INDEX(Cluster_Master!$E$4:$E$18,MATCH($F674,Cluster_Master!$B$4:$B$18,0)),"")</f>
        <v/>
      </c>
      <c r="K674">
        <f>IFERROR(INDEX(Cluster_Master!$F$4:$F$18,MATCH($F674,Cluster_Master!$B$4:$B$18,0)),"")</f>
        <v/>
      </c>
      <c r="L674">
        <f>IFERROR(INDEX(Cluster_Master!$G$4:$G$18,MATCH($F674,Cluster_Master!$B$4:$B$18,0)),"")</f>
        <v/>
      </c>
      <c r="M674">
        <f>IFERROR(INDEX(Cluster_Master!$H$4:$H$18,MATCH($F674,Cluster_Master!$B$4:$B$18,0)),"")</f>
        <v/>
      </c>
      <c r="AI674">
        <f>IF(COUNTA(T674:AH674)=0,"",SUM(T674:AH674))</f>
        <v/>
      </c>
      <c r="AJ674">
        <f>IF(COUNTA(T674:AH674)=0,"",AI674/(COUNT(KPI_Weights!$A$4:$A$18)*5))</f>
        <v/>
      </c>
      <c r="AK674">
        <f>IF(COUNTA(T674:AH674)=0,"",SUMPRODUCT(T674:AH674,KPI_Weights!$B$4:$B$18)/5)</f>
        <v/>
      </c>
      <c r="AL674">
        <f>IF(COUNTA(T674:AH674)=0,"",IF(SUMPRODUCT(--(T674:AH674&lt;=1),--(KPI_Weights!$C$4:$C$18="YES"))&gt;0,"YES","NO"))</f>
        <v/>
      </c>
      <c r="AM674">
        <f>IF(AJ674="","",IF(AND(AL674="NO",AJ674&gt;=0.75),"YES","NO"))</f>
        <v/>
      </c>
      <c r="AN674">
        <f>IF(AJ674="","",IF(AJ674&lt;0.4,"Critical",IF(AJ674&lt;0.6,"Poor",IF(AJ674&lt;0.75,"Needs Improvement",IF(AJ674&lt;0.9,"Good","Excellent")))))</f>
        <v/>
      </c>
    </row>
    <row r="675" ht="15" customHeight="1" s="45">
      <c r="A675">
        <f>IF($B675="","",TEXT($B675,"yyyymmdd")&amp;"-"&amp;SUBSTITUTE($F675," ","")&amp;"-"&amp;TEXT(COUNTIF($F$4:F675,$F675),"00"))</f>
        <v/>
      </c>
      <c r="C675">
        <f>IF($B675="","",WEEKNUM($B675,2))</f>
        <v/>
      </c>
      <c r="D675">
        <f>IF($B675="","",TEXT($B675,"yyyy-mm"))</f>
        <v/>
      </c>
      <c r="G675">
        <f>IF(OR($E675="",$F675=""),"",IFERROR(IF($E675=INDEX(Cluster_Master!$A$4:$A$18,MATCH($F675,Cluster_Master!$B$4:$B$18,0)),"OK","CHECK"),"CHECK"))</f>
        <v/>
      </c>
      <c r="H675">
        <f>IFERROR(INDEX(Cluster_Master!$C$4:$C$18,MATCH($F675,Cluster_Master!$B$4:$B$18,0)),"")</f>
        <v/>
      </c>
      <c r="I675">
        <f>IFERROR(INDEX(Cluster_Master!$D$4:$D$18,MATCH($F675,Cluster_Master!$B$4:$B$18,0)),"")</f>
        <v/>
      </c>
      <c r="J675">
        <f>IFERROR(INDEX(Cluster_Master!$E$4:$E$18,MATCH($F675,Cluster_Master!$B$4:$B$18,0)),"")</f>
        <v/>
      </c>
      <c r="K675">
        <f>IFERROR(INDEX(Cluster_Master!$F$4:$F$18,MATCH($F675,Cluster_Master!$B$4:$B$18,0)),"")</f>
        <v/>
      </c>
      <c r="L675">
        <f>IFERROR(INDEX(Cluster_Master!$G$4:$G$18,MATCH($F675,Cluster_Master!$B$4:$B$18,0)),"")</f>
        <v/>
      </c>
      <c r="M675">
        <f>IFERROR(INDEX(Cluster_Master!$H$4:$H$18,MATCH($F675,Cluster_Master!$B$4:$B$18,0)),"")</f>
        <v/>
      </c>
      <c r="AI675">
        <f>IF(COUNTA(T675:AH675)=0,"",SUM(T675:AH675))</f>
        <v/>
      </c>
      <c r="AJ675">
        <f>IF(COUNTA(T675:AH675)=0,"",AI675/(COUNT(KPI_Weights!$A$4:$A$18)*5))</f>
        <v/>
      </c>
      <c r="AK675">
        <f>IF(COUNTA(T675:AH675)=0,"",SUMPRODUCT(T675:AH675,KPI_Weights!$B$4:$B$18)/5)</f>
        <v/>
      </c>
      <c r="AL675">
        <f>IF(COUNTA(T675:AH675)=0,"",IF(SUMPRODUCT(--(T675:AH675&lt;=1),--(KPI_Weights!$C$4:$C$18="YES"))&gt;0,"YES","NO"))</f>
        <v/>
      </c>
      <c r="AM675">
        <f>IF(AJ675="","",IF(AND(AL675="NO",AJ675&gt;=0.75),"YES","NO"))</f>
        <v/>
      </c>
      <c r="AN675">
        <f>IF(AJ675="","",IF(AJ675&lt;0.4,"Critical",IF(AJ675&lt;0.6,"Poor",IF(AJ675&lt;0.75,"Needs Improvement",IF(AJ675&lt;0.9,"Good","Excellent")))))</f>
        <v/>
      </c>
    </row>
    <row r="676" ht="15" customHeight="1" s="45">
      <c r="A676">
        <f>IF($B676="","",TEXT($B676,"yyyymmdd")&amp;"-"&amp;SUBSTITUTE($F676," ","")&amp;"-"&amp;TEXT(COUNTIF($F$4:F676,$F676),"00"))</f>
        <v/>
      </c>
      <c r="C676">
        <f>IF($B676="","",WEEKNUM($B676,2))</f>
        <v/>
      </c>
      <c r="D676">
        <f>IF($B676="","",TEXT($B676,"yyyy-mm"))</f>
        <v/>
      </c>
      <c r="G676">
        <f>IF(OR($E676="",$F676=""),"",IFERROR(IF($E676=INDEX(Cluster_Master!$A$4:$A$18,MATCH($F676,Cluster_Master!$B$4:$B$18,0)),"OK","CHECK"),"CHECK"))</f>
        <v/>
      </c>
      <c r="H676">
        <f>IFERROR(INDEX(Cluster_Master!$C$4:$C$18,MATCH($F676,Cluster_Master!$B$4:$B$18,0)),"")</f>
        <v/>
      </c>
      <c r="I676">
        <f>IFERROR(INDEX(Cluster_Master!$D$4:$D$18,MATCH($F676,Cluster_Master!$B$4:$B$18,0)),"")</f>
        <v/>
      </c>
      <c r="J676">
        <f>IFERROR(INDEX(Cluster_Master!$E$4:$E$18,MATCH($F676,Cluster_Master!$B$4:$B$18,0)),"")</f>
        <v/>
      </c>
      <c r="K676">
        <f>IFERROR(INDEX(Cluster_Master!$F$4:$F$18,MATCH($F676,Cluster_Master!$B$4:$B$18,0)),"")</f>
        <v/>
      </c>
      <c r="L676">
        <f>IFERROR(INDEX(Cluster_Master!$G$4:$G$18,MATCH($F676,Cluster_Master!$B$4:$B$18,0)),"")</f>
        <v/>
      </c>
      <c r="M676">
        <f>IFERROR(INDEX(Cluster_Master!$H$4:$H$18,MATCH($F676,Cluster_Master!$B$4:$B$18,0)),"")</f>
        <v/>
      </c>
      <c r="AI676">
        <f>IF(COUNTA(T676:AH676)=0,"",SUM(T676:AH676))</f>
        <v/>
      </c>
      <c r="AJ676">
        <f>IF(COUNTA(T676:AH676)=0,"",AI676/(COUNT(KPI_Weights!$A$4:$A$18)*5))</f>
        <v/>
      </c>
      <c r="AK676">
        <f>IF(COUNTA(T676:AH676)=0,"",SUMPRODUCT(T676:AH676,KPI_Weights!$B$4:$B$18)/5)</f>
        <v/>
      </c>
      <c r="AL676">
        <f>IF(COUNTA(T676:AH676)=0,"",IF(SUMPRODUCT(--(T676:AH676&lt;=1),--(KPI_Weights!$C$4:$C$18="YES"))&gt;0,"YES","NO"))</f>
        <v/>
      </c>
      <c r="AM676">
        <f>IF(AJ676="","",IF(AND(AL676="NO",AJ676&gt;=0.75),"YES","NO"))</f>
        <v/>
      </c>
      <c r="AN676">
        <f>IF(AJ676="","",IF(AJ676&lt;0.4,"Critical",IF(AJ676&lt;0.6,"Poor",IF(AJ676&lt;0.75,"Needs Improvement",IF(AJ676&lt;0.9,"Good","Excellent")))))</f>
        <v/>
      </c>
    </row>
    <row r="677" ht="15" customHeight="1" s="45">
      <c r="A677">
        <f>IF($B677="","",TEXT($B677,"yyyymmdd")&amp;"-"&amp;SUBSTITUTE($F677," ","")&amp;"-"&amp;TEXT(COUNTIF($F$4:F677,$F677),"00"))</f>
        <v/>
      </c>
      <c r="C677">
        <f>IF($B677="","",WEEKNUM($B677,2))</f>
        <v/>
      </c>
      <c r="D677">
        <f>IF($B677="","",TEXT($B677,"yyyy-mm"))</f>
        <v/>
      </c>
      <c r="G677">
        <f>IF(OR($E677="",$F677=""),"",IFERROR(IF($E677=INDEX(Cluster_Master!$A$4:$A$18,MATCH($F677,Cluster_Master!$B$4:$B$18,0)),"OK","CHECK"),"CHECK"))</f>
        <v/>
      </c>
      <c r="H677">
        <f>IFERROR(INDEX(Cluster_Master!$C$4:$C$18,MATCH($F677,Cluster_Master!$B$4:$B$18,0)),"")</f>
        <v/>
      </c>
      <c r="I677">
        <f>IFERROR(INDEX(Cluster_Master!$D$4:$D$18,MATCH($F677,Cluster_Master!$B$4:$B$18,0)),"")</f>
        <v/>
      </c>
      <c r="J677">
        <f>IFERROR(INDEX(Cluster_Master!$E$4:$E$18,MATCH($F677,Cluster_Master!$B$4:$B$18,0)),"")</f>
        <v/>
      </c>
      <c r="K677">
        <f>IFERROR(INDEX(Cluster_Master!$F$4:$F$18,MATCH($F677,Cluster_Master!$B$4:$B$18,0)),"")</f>
        <v/>
      </c>
      <c r="L677">
        <f>IFERROR(INDEX(Cluster_Master!$G$4:$G$18,MATCH($F677,Cluster_Master!$B$4:$B$18,0)),"")</f>
        <v/>
      </c>
      <c r="M677">
        <f>IFERROR(INDEX(Cluster_Master!$H$4:$H$18,MATCH($F677,Cluster_Master!$B$4:$B$18,0)),"")</f>
        <v/>
      </c>
      <c r="AI677">
        <f>IF(COUNTA(T677:AH677)=0,"",SUM(T677:AH677))</f>
        <v/>
      </c>
      <c r="AJ677">
        <f>IF(COUNTA(T677:AH677)=0,"",AI677/(COUNT(KPI_Weights!$A$4:$A$18)*5))</f>
        <v/>
      </c>
      <c r="AK677">
        <f>IF(COUNTA(T677:AH677)=0,"",SUMPRODUCT(T677:AH677,KPI_Weights!$B$4:$B$18)/5)</f>
        <v/>
      </c>
      <c r="AL677">
        <f>IF(COUNTA(T677:AH677)=0,"",IF(SUMPRODUCT(--(T677:AH677&lt;=1),--(KPI_Weights!$C$4:$C$18="YES"))&gt;0,"YES","NO"))</f>
        <v/>
      </c>
      <c r="AM677">
        <f>IF(AJ677="","",IF(AND(AL677="NO",AJ677&gt;=0.75),"YES","NO"))</f>
        <v/>
      </c>
      <c r="AN677">
        <f>IF(AJ677="","",IF(AJ677&lt;0.4,"Critical",IF(AJ677&lt;0.6,"Poor",IF(AJ677&lt;0.75,"Needs Improvement",IF(AJ677&lt;0.9,"Good","Excellent")))))</f>
        <v/>
      </c>
    </row>
    <row r="678" ht="15" customHeight="1" s="45">
      <c r="A678">
        <f>IF($B678="","",TEXT($B678,"yyyymmdd")&amp;"-"&amp;SUBSTITUTE($F678," ","")&amp;"-"&amp;TEXT(COUNTIF($F$4:F678,$F678),"00"))</f>
        <v/>
      </c>
      <c r="C678">
        <f>IF($B678="","",WEEKNUM($B678,2))</f>
        <v/>
      </c>
      <c r="D678">
        <f>IF($B678="","",TEXT($B678,"yyyy-mm"))</f>
        <v/>
      </c>
      <c r="G678">
        <f>IF(OR($E678="",$F678=""),"",IFERROR(IF($E678=INDEX(Cluster_Master!$A$4:$A$18,MATCH($F678,Cluster_Master!$B$4:$B$18,0)),"OK","CHECK"),"CHECK"))</f>
        <v/>
      </c>
      <c r="H678">
        <f>IFERROR(INDEX(Cluster_Master!$C$4:$C$18,MATCH($F678,Cluster_Master!$B$4:$B$18,0)),"")</f>
        <v/>
      </c>
      <c r="I678">
        <f>IFERROR(INDEX(Cluster_Master!$D$4:$D$18,MATCH($F678,Cluster_Master!$B$4:$B$18,0)),"")</f>
        <v/>
      </c>
      <c r="J678">
        <f>IFERROR(INDEX(Cluster_Master!$E$4:$E$18,MATCH($F678,Cluster_Master!$B$4:$B$18,0)),"")</f>
        <v/>
      </c>
      <c r="K678">
        <f>IFERROR(INDEX(Cluster_Master!$F$4:$F$18,MATCH($F678,Cluster_Master!$B$4:$B$18,0)),"")</f>
        <v/>
      </c>
      <c r="L678">
        <f>IFERROR(INDEX(Cluster_Master!$G$4:$G$18,MATCH($F678,Cluster_Master!$B$4:$B$18,0)),"")</f>
        <v/>
      </c>
      <c r="M678">
        <f>IFERROR(INDEX(Cluster_Master!$H$4:$H$18,MATCH($F678,Cluster_Master!$B$4:$B$18,0)),"")</f>
        <v/>
      </c>
      <c r="AI678">
        <f>IF(COUNTA(T678:AH678)=0,"",SUM(T678:AH678))</f>
        <v/>
      </c>
      <c r="AJ678">
        <f>IF(COUNTA(T678:AH678)=0,"",AI678/(COUNT(KPI_Weights!$A$4:$A$18)*5))</f>
        <v/>
      </c>
      <c r="AK678">
        <f>IF(COUNTA(T678:AH678)=0,"",SUMPRODUCT(T678:AH678,KPI_Weights!$B$4:$B$18)/5)</f>
        <v/>
      </c>
      <c r="AL678">
        <f>IF(COUNTA(T678:AH678)=0,"",IF(SUMPRODUCT(--(T678:AH678&lt;=1),--(KPI_Weights!$C$4:$C$18="YES"))&gt;0,"YES","NO"))</f>
        <v/>
      </c>
      <c r="AM678">
        <f>IF(AJ678="","",IF(AND(AL678="NO",AJ678&gt;=0.75),"YES","NO"))</f>
        <v/>
      </c>
      <c r="AN678">
        <f>IF(AJ678="","",IF(AJ678&lt;0.4,"Critical",IF(AJ678&lt;0.6,"Poor",IF(AJ678&lt;0.75,"Needs Improvement",IF(AJ678&lt;0.9,"Good","Excellent")))))</f>
        <v/>
      </c>
    </row>
    <row r="679" ht="15" customHeight="1" s="45">
      <c r="A679">
        <f>IF($B679="","",TEXT($B679,"yyyymmdd")&amp;"-"&amp;SUBSTITUTE($F679," ","")&amp;"-"&amp;TEXT(COUNTIF($F$4:F679,$F679),"00"))</f>
        <v/>
      </c>
      <c r="C679">
        <f>IF($B679="","",WEEKNUM($B679,2))</f>
        <v/>
      </c>
      <c r="D679">
        <f>IF($B679="","",TEXT($B679,"yyyy-mm"))</f>
        <v/>
      </c>
      <c r="G679">
        <f>IF(OR($E679="",$F679=""),"",IFERROR(IF($E679=INDEX(Cluster_Master!$A$4:$A$18,MATCH($F679,Cluster_Master!$B$4:$B$18,0)),"OK","CHECK"),"CHECK"))</f>
        <v/>
      </c>
      <c r="H679">
        <f>IFERROR(INDEX(Cluster_Master!$C$4:$C$18,MATCH($F679,Cluster_Master!$B$4:$B$18,0)),"")</f>
        <v/>
      </c>
      <c r="I679">
        <f>IFERROR(INDEX(Cluster_Master!$D$4:$D$18,MATCH($F679,Cluster_Master!$B$4:$B$18,0)),"")</f>
        <v/>
      </c>
      <c r="J679">
        <f>IFERROR(INDEX(Cluster_Master!$E$4:$E$18,MATCH($F679,Cluster_Master!$B$4:$B$18,0)),"")</f>
        <v/>
      </c>
      <c r="K679">
        <f>IFERROR(INDEX(Cluster_Master!$F$4:$F$18,MATCH($F679,Cluster_Master!$B$4:$B$18,0)),"")</f>
        <v/>
      </c>
      <c r="L679">
        <f>IFERROR(INDEX(Cluster_Master!$G$4:$G$18,MATCH($F679,Cluster_Master!$B$4:$B$18,0)),"")</f>
        <v/>
      </c>
      <c r="M679">
        <f>IFERROR(INDEX(Cluster_Master!$H$4:$H$18,MATCH($F679,Cluster_Master!$B$4:$B$18,0)),"")</f>
        <v/>
      </c>
      <c r="AI679">
        <f>IF(COUNTA(T679:AH679)=0,"",SUM(T679:AH679))</f>
        <v/>
      </c>
      <c r="AJ679">
        <f>IF(COUNTA(T679:AH679)=0,"",AI679/(COUNT(KPI_Weights!$A$4:$A$18)*5))</f>
        <v/>
      </c>
      <c r="AK679">
        <f>IF(COUNTA(T679:AH679)=0,"",SUMPRODUCT(T679:AH679,KPI_Weights!$B$4:$B$18)/5)</f>
        <v/>
      </c>
      <c r="AL679">
        <f>IF(COUNTA(T679:AH679)=0,"",IF(SUMPRODUCT(--(T679:AH679&lt;=1),--(KPI_Weights!$C$4:$C$18="YES"))&gt;0,"YES","NO"))</f>
        <v/>
      </c>
      <c r="AM679">
        <f>IF(AJ679="","",IF(AND(AL679="NO",AJ679&gt;=0.75),"YES","NO"))</f>
        <v/>
      </c>
      <c r="AN679">
        <f>IF(AJ679="","",IF(AJ679&lt;0.4,"Critical",IF(AJ679&lt;0.6,"Poor",IF(AJ679&lt;0.75,"Needs Improvement",IF(AJ679&lt;0.9,"Good","Excellent")))))</f>
        <v/>
      </c>
    </row>
    <row r="680" ht="15" customHeight="1" s="45">
      <c r="A680">
        <f>IF($B680="","",TEXT($B680,"yyyymmdd")&amp;"-"&amp;SUBSTITUTE($F680," ","")&amp;"-"&amp;TEXT(COUNTIF($F$4:F680,$F680),"00"))</f>
        <v/>
      </c>
      <c r="C680">
        <f>IF($B680="","",WEEKNUM($B680,2))</f>
        <v/>
      </c>
      <c r="D680">
        <f>IF($B680="","",TEXT($B680,"yyyy-mm"))</f>
        <v/>
      </c>
      <c r="G680">
        <f>IF(OR($E680="",$F680=""),"",IFERROR(IF($E680=INDEX(Cluster_Master!$A$4:$A$18,MATCH($F680,Cluster_Master!$B$4:$B$18,0)),"OK","CHECK"),"CHECK"))</f>
        <v/>
      </c>
      <c r="H680">
        <f>IFERROR(INDEX(Cluster_Master!$C$4:$C$18,MATCH($F680,Cluster_Master!$B$4:$B$18,0)),"")</f>
        <v/>
      </c>
      <c r="I680">
        <f>IFERROR(INDEX(Cluster_Master!$D$4:$D$18,MATCH($F680,Cluster_Master!$B$4:$B$18,0)),"")</f>
        <v/>
      </c>
      <c r="J680">
        <f>IFERROR(INDEX(Cluster_Master!$E$4:$E$18,MATCH($F680,Cluster_Master!$B$4:$B$18,0)),"")</f>
        <v/>
      </c>
      <c r="K680">
        <f>IFERROR(INDEX(Cluster_Master!$F$4:$F$18,MATCH($F680,Cluster_Master!$B$4:$B$18,0)),"")</f>
        <v/>
      </c>
      <c r="L680">
        <f>IFERROR(INDEX(Cluster_Master!$G$4:$G$18,MATCH($F680,Cluster_Master!$B$4:$B$18,0)),"")</f>
        <v/>
      </c>
      <c r="M680">
        <f>IFERROR(INDEX(Cluster_Master!$H$4:$H$18,MATCH($F680,Cluster_Master!$B$4:$B$18,0)),"")</f>
        <v/>
      </c>
      <c r="AI680">
        <f>IF(COUNTA(T680:AH680)=0,"",SUM(T680:AH680))</f>
        <v/>
      </c>
      <c r="AJ680">
        <f>IF(COUNTA(T680:AH680)=0,"",AI680/(COUNT(KPI_Weights!$A$4:$A$18)*5))</f>
        <v/>
      </c>
      <c r="AK680">
        <f>IF(COUNTA(T680:AH680)=0,"",SUMPRODUCT(T680:AH680,KPI_Weights!$B$4:$B$18)/5)</f>
        <v/>
      </c>
      <c r="AL680">
        <f>IF(COUNTA(T680:AH680)=0,"",IF(SUMPRODUCT(--(T680:AH680&lt;=1),--(KPI_Weights!$C$4:$C$18="YES"))&gt;0,"YES","NO"))</f>
        <v/>
      </c>
      <c r="AM680">
        <f>IF(AJ680="","",IF(AND(AL680="NO",AJ680&gt;=0.75),"YES","NO"))</f>
        <v/>
      </c>
      <c r="AN680">
        <f>IF(AJ680="","",IF(AJ680&lt;0.4,"Critical",IF(AJ680&lt;0.6,"Poor",IF(AJ680&lt;0.75,"Needs Improvement",IF(AJ680&lt;0.9,"Good","Excellent")))))</f>
        <v/>
      </c>
    </row>
    <row r="681" ht="15" customHeight="1" s="45">
      <c r="A681">
        <f>IF($B681="","",TEXT($B681,"yyyymmdd")&amp;"-"&amp;SUBSTITUTE($F681," ","")&amp;"-"&amp;TEXT(COUNTIF($F$4:F681,$F681),"00"))</f>
        <v/>
      </c>
      <c r="C681">
        <f>IF($B681="","",WEEKNUM($B681,2))</f>
        <v/>
      </c>
      <c r="D681">
        <f>IF($B681="","",TEXT($B681,"yyyy-mm"))</f>
        <v/>
      </c>
      <c r="G681">
        <f>IF(OR($E681="",$F681=""),"",IFERROR(IF($E681=INDEX(Cluster_Master!$A$4:$A$18,MATCH($F681,Cluster_Master!$B$4:$B$18,0)),"OK","CHECK"),"CHECK"))</f>
        <v/>
      </c>
      <c r="H681">
        <f>IFERROR(INDEX(Cluster_Master!$C$4:$C$18,MATCH($F681,Cluster_Master!$B$4:$B$18,0)),"")</f>
        <v/>
      </c>
      <c r="I681">
        <f>IFERROR(INDEX(Cluster_Master!$D$4:$D$18,MATCH($F681,Cluster_Master!$B$4:$B$18,0)),"")</f>
        <v/>
      </c>
      <c r="J681">
        <f>IFERROR(INDEX(Cluster_Master!$E$4:$E$18,MATCH($F681,Cluster_Master!$B$4:$B$18,0)),"")</f>
        <v/>
      </c>
      <c r="K681">
        <f>IFERROR(INDEX(Cluster_Master!$F$4:$F$18,MATCH($F681,Cluster_Master!$B$4:$B$18,0)),"")</f>
        <v/>
      </c>
      <c r="L681">
        <f>IFERROR(INDEX(Cluster_Master!$G$4:$G$18,MATCH($F681,Cluster_Master!$B$4:$B$18,0)),"")</f>
        <v/>
      </c>
      <c r="M681">
        <f>IFERROR(INDEX(Cluster_Master!$H$4:$H$18,MATCH($F681,Cluster_Master!$B$4:$B$18,0)),"")</f>
        <v/>
      </c>
      <c r="AI681">
        <f>IF(COUNTA(T681:AH681)=0,"",SUM(T681:AH681))</f>
        <v/>
      </c>
      <c r="AJ681">
        <f>IF(COUNTA(T681:AH681)=0,"",AI681/(COUNT(KPI_Weights!$A$4:$A$18)*5))</f>
        <v/>
      </c>
      <c r="AK681">
        <f>IF(COUNTA(T681:AH681)=0,"",SUMPRODUCT(T681:AH681,KPI_Weights!$B$4:$B$18)/5)</f>
        <v/>
      </c>
      <c r="AL681">
        <f>IF(COUNTA(T681:AH681)=0,"",IF(SUMPRODUCT(--(T681:AH681&lt;=1),--(KPI_Weights!$C$4:$C$18="YES"))&gt;0,"YES","NO"))</f>
        <v/>
      </c>
      <c r="AM681">
        <f>IF(AJ681="","",IF(AND(AL681="NO",AJ681&gt;=0.75),"YES","NO"))</f>
        <v/>
      </c>
      <c r="AN681">
        <f>IF(AJ681="","",IF(AJ681&lt;0.4,"Critical",IF(AJ681&lt;0.6,"Poor",IF(AJ681&lt;0.75,"Needs Improvement",IF(AJ681&lt;0.9,"Good","Excellent")))))</f>
        <v/>
      </c>
    </row>
    <row r="682" ht="15" customHeight="1" s="45">
      <c r="A682">
        <f>IF($B682="","",TEXT($B682,"yyyymmdd")&amp;"-"&amp;SUBSTITUTE($F682," ","")&amp;"-"&amp;TEXT(COUNTIF($F$4:F682,$F682),"00"))</f>
        <v/>
      </c>
      <c r="C682">
        <f>IF($B682="","",WEEKNUM($B682,2))</f>
        <v/>
      </c>
      <c r="D682">
        <f>IF($B682="","",TEXT($B682,"yyyy-mm"))</f>
        <v/>
      </c>
      <c r="G682">
        <f>IF(OR($E682="",$F682=""),"",IFERROR(IF($E682=INDEX(Cluster_Master!$A$4:$A$18,MATCH($F682,Cluster_Master!$B$4:$B$18,0)),"OK","CHECK"),"CHECK"))</f>
        <v/>
      </c>
      <c r="H682">
        <f>IFERROR(INDEX(Cluster_Master!$C$4:$C$18,MATCH($F682,Cluster_Master!$B$4:$B$18,0)),"")</f>
        <v/>
      </c>
      <c r="I682">
        <f>IFERROR(INDEX(Cluster_Master!$D$4:$D$18,MATCH($F682,Cluster_Master!$B$4:$B$18,0)),"")</f>
        <v/>
      </c>
      <c r="J682">
        <f>IFERROR(INDEX(Cluster_Master!$E$4:$E$18,MATCH($F682,Cluster_Master!$B$4:$B$18,0)),"")</f>
        <v/>
      </c>
      <c r="K682">
        <f>IFERROR(INDEX(Cluster_Master!$F$4:$F$18,MATCH($F682,Cluster_Master!$B$4:$B$18,0)),"")</f>
        <v/>
      </c>
      <c r="L682">
        <f>IFERROR(INDEX(Cluster_Master!$G$4:$G$18,MATCH($F682,Cluster_Master!$B$4:$B$18,0)),"")</f>
        <v/>
      </c>
      <c r="M682">
        <f>IFERROR(INDEX(Cluster_Master!$H$4:$H$18,MATCH($F682,Cluster_Master!$B$4:$B$18,0)),"")</f>
        <v/>
      </c>
      <c r="AI682">
        <f>IF(COUNTA(T682:AH682)=0,"",SUM(T682:AH682))</f>
        <v/>
      </c>
      <c r="AJ682">
        <f>IF(COUNTA(T682:AH682)=0,"",AI682/(COUNT(KPI_Weights!$A$4:$A$18)*5))</f>
        <v/>
      </c>
      <c r="AK682">
        <f>IF(COUNTA(T682:AH682)=0,"",SUMPRODUCT(T682:AH682,KPI_Weights!$B$4:$B$18)/5)</f>
        <v/>
      </c>
      <c r="AL682">
        <f>IF(COUNTA(T682:AH682)=0,"",IF(SUMPRODUCT(--(T682:AH682&lt;=1),--(KPI_Weights!$C$4:$C$18="YES"))&gt;0,"YES","NO"))</f>
        <v/>
      </c>
      <c r="AM682">
        <f>IF(AJ682="","",IF(AND(AL682="NO",AJ682&gt;=0.75),"YES","NO"))</f>
        <v/>
      </c>
      <c r="AN682">
        <f>IF(AJ682="","",IF(AJ682&lt;0.4,"Critical",IF(AJ682&lt;0.6,"Poor",IF(AJ682&lt;0.75,"Needs Improvement",IF(AJ682&lt;0.9,"Good","Excellent")))))</f>
        <v/>
      </c>
    </row>
    <row r="683" ht="15" customHeight="1" s="45">
      <c r="A683">
        <f>IF($B683="","",TEXT($B683,"yyyymmdd")&amp;"-"&amp;SUBSTITUTE($F683," ","")&amp;"-"&amp;TEXT(COUNTIF($F$4:F683,$F683),"00"))</f>
        <v/>
      </c>
      <c r="C683">
        <f>IF($B683="","",WEEKNUM($B683,2))</f>
        <v/>
      </c>
      <c r="D683">
        <f>IF($B683="","",TEXT($B683,"yyyy-mm"))</f>
        <v/>
      </c>
      <c r="G683">
        <f>IF(OR($E683="",$F683=""),"",IFERROR(IF($E683=INDEX(Cluster_Master!$A$4:$A$18,MATCH($F683,Cluster_Master!$B$4:$B$18,0)),"OK","CHECK"),"CHECK"))</f>
        <v/>
      </c>
      <c r="H683">
        <f>IFERROR(INDEX(Cluster_Master!$C$4:$C$18,MATCH($F683,Cluster_Master!$B$4:$B$18,0)),"")</f>
        <v/>
      </c>
      <c r="I683">
        <f>IFERROR(INDEX(Cluster_Master!$D$4:$D$18,MATCH($F683,Cluster_Master!$B$4:$B$18,0)),"")</f>
        <v/>
      </c>
      <c r="J683">
        <f>IFERROR(INDEX(Cluster_Master!$E$4:$E$18,MATCH($F683,Cluster_Master!$B$4:$B$18,0)),"")</f>
        <v/>
      </c>
      <c r="K683">
        <f>IFERROR(INDEX(Cluster_Master!$F$4:$F$18,MATCH($F683,Cluster_Master!$B$4:$B$18,0)),"")</f>
        <v/>
      </c>
      <c r="L683">
        <f>IFERROR(INDEX(Cluster_Master!$G$4:$G$18,MATCH($F683,Cluster_Master!$B$4:$B$18,0)),"")</f>
        <v/>
      </c>
      <c r="M683">
        <f>IFERROR(INDEX(Cluster_Master!$H$4:$H$18,MATCH($F683,Cluster_Master!$B$4:$B$18,0)),"")</f>
        <v/>
      </c>
      <c r="AI683">
        <f>IF(COUNTA(T683:AH683)=0,"",SUM(T683:AH683))</f>
        <v/>
      </c>
      <c r="AJ683">
        <f>IF(COUNTA(T683:AH683)=0,"",AI683/(COUNT(KPI_Weights!$A$4:$A$18)*5))</f>
        <v/>
      </c>
      <c r="AK683">
        <f>IF(COUNTA(T683:AH683)=0,"",SUMPRODUCT(T683:AH683,KPI_Weights!$B$4:$B$18)/5)</f>
        <v/>
      </c>
      <c r="AL683">
        <f>IF(COUNTA(T683:AH683)=0,"",IF(SUMPRODUCT(--(T683:AH683&lt;=1),--(KPI_Weights!$C$4:$C$18="YES"))&gt;0,"YES","NO"))</f>
        <v/>
      </c>
      <c r="AM683">
        <f>IF(AJ683="","",IF(AND(AL683="NO",AJ683&gt;=0.75),"YES","NO"))</f>
        <v/>
      </c>
      <c r="AN683">
        <f>IF(AJ683="","",IF(AJ683&lt;0.4,"Critical",IF(AJ683&lt;0.6,"Poor",IF(AJ683&lt;0.75,"Needs Improvement",IF(AJ683&lt;0.9,"Good","Excellent")))))</f>
        <v/>
      </c>
    </row>
    <row r="684" ht="15" customHeight="1" s="45">
      <c r="A684">
        <f>IF($B684="","",TEXT($B684,"yyyymmdd")&amp;"-"&amp;SUBSTITUTE($F684," ","")&amp;"-"&amp;TEXT(COUNTIF($F$4:F684,$F684),"00"))</f>
        <v/>
      </c>
      <c r="C684">
        <f>IF($B684="","",WEEKNUM($B684,2))</f>
        <v/>
      </c>
      <c r="D684">
        <f>IF($B684="","",TEXT($B684,"yyyy-mm"))</f>
        <v/>
      </c>
      <c r="G684">
        <f>IF(OR($E684="",$F684=""),"",IFERROR(IF($E684=INDEX(Cluster_Master!$A$4:$A$18,MATCH($F684,Cluster_Master!$B$4:$B$18,0)),"OK","CHECK"),"CHECK"))</f>
        <v/>
      </c>
      <c r="H684">
        <f>IFERROR(INDEX(Cluster_Master!$C$4:$C$18,MATCH($F684,Cluster_Master!$B$4:$B$18,0)),"")</f>
        <v/>
      </c>
      <c r="I684">
        <f>IFERROR(INDEX(Cluster_Master!$D$4:$D$18,MATCH($F684,Cluster_Master!$B$4:$B$18,0)),"")</f>
        <v/>
      </c>
      <c r="J684">
        <f>IFERROR(INDEX(Cluster_Master!$E$4:$E$18,MATCH($F684,Cluster_Master!$B$4:$B$18,0)),"")</f>
        <v/>
      </c>
      <c r="K684">
        <f>IFERROR(INDEX(Cluster_Master!$F$4:$F$18,MATCH($F684,Cluster_Master!$B$4:$B$18,0)),"")</f>
        <v/>
      </c>
      <c r="L684">
        <f>IFERROR(INDEX(Cluster_Master!$G$4:$G$18,MATCH($F684,Cluster_Master!$B$4:$B$18,0)),"")</f>
        <v/>
      </c>
      <c r="M684">
        <f>IFERROR(INDEX(Cluster_Master!$H$4:$H$18,MATCH($F684,Cluster_Master!$B$4:$B$18,0)),"")</f>
        <v/>
      </c>
      <c r="AI684">
        <f>IF(COUNTA(T684:AH684)=0,"",SUM(T684:AH684))</f>
        <v/>
      </c>
      <c r="AJ684">
        <f>IF(COUNTA(T684:AH684)=0,"",AI684/(COUNT(KPI_Weights!$A$4:$A$18)*5))</f>
        <v/>
      </c>
      <c r="AK684">
        <f>IF(COUNTA(T684:AH684)=0,"",SUMPRODUCT(T684:AH684,KPI_Weights!$B$4:$B$18)/5)</f>
        <v/>
      </c>
      <c r="AL684">
        <f>IF(COUNTA(T684:AH684)=0,"",IF(SUMPRODUCT(--(T684:AH684&lt;=1),--(KPI_Weights!$C$4:$C$18="YES"))&gt;0,"YES","NO"))</f>
        <v/>
      </c>
      <c r="AM684">
        <f>IF(AJ684="","",IF(AND(AL684="NO",AJ684&gt;=0.75),"YES","NO"))</f>
        <v/>
      </c>
      <c r="AN684">
        <f>IF(AJ684="","",IF(AJ684&lt;0.4,"Critical",IF(AJ684&lt;0.6,"Poor",IF(AJ684&lt;0.75,"Needs Improvement",IF(AJ684&lt;0.9,"Good","Excellent")))))</f>
        <v/>
      </c>
    </row>
    <row r="685" ht="15" customHeight="1" s="45">
      <c r="A685">
        <f>IF($B685="","",TEXT($B685,"yyyymmdd")&amp;"-"&amp;SUBSTITUTE($F685," ","")&amp;"-"&amp;TEXT(COUNTIF($F$4:F685,$F685),"00"))</f>
        <v/>
      </c>
      <c r="C685">
        <f>IF($B685="","",WEEKNUM($B685,2))</f>
        <v/>
      </c>
      <c r="D685">
        <f>IF($B685="","",TEXT($B685,"yyyy-mm"))</f>
        <v/>
      </c>
      <c r="G685">
        <f>IF(OR($E685="",$F685=""),"",IFERROR(IF($E685=INDEX(Cluster_Master!$A$4:$A$18,MATCH($F685,Cluster_Master!$B$4:$B$18,0)),"OK","CHECK"),"CHECK"))</f>
        <v/>
      </c>
      <c r="H685">
        <f>IFERROR(INDEX(Cluster_Master!$C$4:$C$18,MATCH($F685,Cluster_Master!$B$4:$B$18,0)),"")</f>
        <v/>
      </c>
      <c r="I685">
        <f>IFERROR(INDEX(Cluster_Master!$D$4:$D$18,MATCH($F685,Cluster_Master!$B$4:$B$18,0)),"")</f>
        <v/>
      </c>
      <c r="J685">
        <f>IFERROR(INDEX(Cluster_Master!$E$4:$E$18,MATCH($F685,Cluster_Master!$B$4:$B$18,0)),"")</f>
        <v/>
      </c>
      <c r="K685">
        <f>IFERROR(INDEX(Cluster_Master!$F$4:$F$18,MATCH($F685,Cluster_Master!$B$4:$B$18,0)),"")</f>
        <v/>
      </c>
      <c r="L685">
        <f>IFERROR(INDEX(Cluster_Master!$G$4:$G$18,MATCH($F685,Cluster_Master!$B$4:$B$18,0)),"")</f>
        <v/>
      </c>
      <c r="M685">
        <f>IFERROR(INDEX(Cluster_Master!$H$4:$H$18,MATCH($F685,Cluster_Master!$B$4:$B$18,0)),"")</f>
        <v/>
      </c>
      <c r="AI685">
        <f>IF(COUNTA(T685:AH685)=0,"",SUM(T685:AH685))</f>
        <v/>
      </c>
      <c r="AJ685">
        <f>IF(COUNTA(T685:AH685)=0,"",AI685/(COUNT(KPI_Weights!$A$4:$A$18)*5))</f>
        <v/>
      </c>
      <c r="AK685">
        <f>IF(COUNTA(T685:AH685)=0,"",SUMPRODUCT(T685:AH685,KPI_Weights!$B$4:$B$18)/5)</f>
        <v/>
      </c>
      <c r="AL685">
        <f>IF(COUNTA(T685:AH685)=0,"",IF(SUMPRODUCT(--(T685:AH685&lt;=1),--(KPI_Weights!$C$4:$C$18="YES"))&gt;0,"YES","NO"))</f>
        <v/>
      </c>
      <c r="AM685">
        <f>IF(AJ685="","",IF(AND(AL685="NO",AJ685&gt;=0.75),"YES","NO"))</f>
        <v/>
      </c>
      <c r="AN685">
        <f>IF(AJ685="","",IF(AJ685&lt;0.4,"Critical",IF(AJ685&lt;0.6,"Poor",IF(AJ685&lt;0.75,"Needs Improvement",IF(AJ685&lt;0.9,"Good","Excellent")))))</f>
        <v/>
      </c>
    </row>
    <row r="686" ht="15" customHeight="1" s="45">
      <c r="A686">
        <f>IF($B686="","",TEXT($B686,"yyyymmdd")&amp;"-"&amp;SUBSTITUTE($F686," ","")&amp;"-"&amp;TEXT(COUNTIF($F$4:F686,$F686),"00"))</f>
        <v/>
      </c>
      <c r="C686">
        <f>IF($B686="","",WEEKNUM($B686,2))</f>
        <v/>
      </c>
      <c r="D686">
        <f>IF($B686="","",TEXT($B686,"yyyy-mm"))</f>
        <v/>
      </c>
      <c r="G686">
        <f>IF(OR($E686="",$F686=""),"",IFERROR(IF($E686=INDEX(Cluster_Master!$A$4:$A$18,MATCH($F686,Cluster_Master!$B$4:$B$18,0)),"OK","CHECK"),"CHECK"))</f>
        <v/>
      </c>
      <c r="H686">
        <f>IFERROR(INDEX(Cluster_Master!$C$4:$C$18,MATCH($F686,Cluster_Master!$B$4:$B$18,0)),"")</f>
        <v/>
      </c>
      <c r="I686">
        <f>IFERROR(INDEX(Cluster_Master!$D$4:$D$18,MATCH($F686,Cluster_Master!$B$4:$B$18,0)),"")</f>
        <v/>
      </c>
      <c r="J686">
        <f>IFERROR(INDEX(Cluster_Master!$E$4:$E$18,MATCH($F686,Cluster_Master!$B$4:$B$18,0)),"")</f>
        <v/>
      </c>
      <c r="K686">
        <f>IFERROR(INDEX(Cluster_Master!$F$4:$F$18,MATCH($F686,Cluster_Master!$B$4:$B$18,0)),"")</f>
        <v/>
      </c>
      <c r="L686">
        <f>IFERROR(INDEX(Cluster_Master!$G$4:$G$18,MATCH($F686,Cluster_Master!$B$4:$B$18,0)),"")</f>
        <v/>
      </c>
      <c r="M686">
        <f>IFERROR(INDEX(Cluster_Master!$H$4:$H$18,MATCH($F686,Cluster_Master!$B$4:$B$18,0)),"")</f>
        <v/>
      </c>
      <c r="AI686">
        <f>IF(COUNTA(T686:AH686)=0,"",SUM(T686:AH686))</f>
        <v/>
      </c>
      <c r="AJ686">
        <f>IF(COUNTA(T686:AH686)=0,"",AI686/(COUNT(KPI_Weights!$A$4:$A$18)*5))</f>
        <v/>
      </c>
      <c r="AK686">
        <f>IF(COUNTA(T686:AH686)=0,"",SUMPRODUCT(T686:AH686,KPI_Weights!$B$4:$B$18)/5)</f>
        <v/>
      </c>
      <c r="AL686">
        <f>IF(COUNTA(T686:AH686)=0,"",IF(SUMPRODUCT(--(T686:AH686&lt;=1),--(KPI_Weights!$C$4:$C$18="YES"))&gt;0,"YES","NO"))</f>
        <v/>
      </c>
      <c r="AM686">
        <f>IF(AJ686="","",IF(AND(AL686="NO",AJ686&gt;=0.75),"YES","NO"))</f>
        <v/>
      </c>
      <c r="AN686">
        <f>IF(AJ686="","",IF(AJ686&lt;0.4,"Critical",IF(AJ686&lt;0.6,"Poor",IF(AJ686&lt;0.75,"Needs Improvement",IF(AJ686&lt;0.9,"Good","Excellent")))))</f>
        <v/>
      </c>
    </row>
    <row r="687" ht="15" customHeight="1" s="45">
      <c r="A687">
        <f>IF($B687="","",TEXT($B687,"yyyymmdd")&amp;"-"&amp;SUBSTITUTE($F687," ","")&amp;"-"&amp;TEXT(COUNTIF($F$4:F687,$F687),"00"))</f>
        <v/>
      </c>
      <c r="C687">
        <f>IF($B687="","",WEEKNUM($B687,2))</f>
        <v/>
      </c>
      <c r="D687">
        <f>IF($B687="","",TEXT($B687,"yyyy-mm"))</f>
        <v/>
      </c>
      <c r="G687">
        <f>IF(OR($E687="",$F687=""),"",IFERROR(IF($E687=INDEX(Cluster_Master!$A$4:$A$18,MATCH($F687,Cluster_Master!$B$4:$B$18,0)),"OK","CHECK"),"CHECK"))</f>
        <v/>
      </c>
      <c r="H687">
        <f>IFERROR(INDEX(Cluster_Master!$C$4:$C$18,MATCH($F687,Cluster_Master!$B$4:$B$18,0)),"")</f>
        <v/>
      </c>
      <c r="I687">
        <f>IFERROR(INDEX(Cluster_Master!$D$4:$D$18,MATCH($F687,Cluster_Master!$B$4:$B$18,0)),"")</f>
        <v/>
      </c>
      <c r="J687">
        <f>IFERROR(INDEX(Cluster_Master!$E$4:$E$18,MATCH($F687,Cluster_Master!$B$4:$B$18,0)),"")</f>
        <v/>
      </c>
      <c r="K687">
        <f>IFERROR(INDEX(Cluster_Master!$F$4:$F$18,MATCH($F687,Cluster_Master!$B$4:$B$18,0)),"")</f>
        <v/>
      </c>
      <c r="L687">
        <f>IFERROR(INDEX(Cluster_Master!$G$4:$G$18,MATCH($F687,Cluster_Master!$B$4:$B$18,0)),"")</f>
        <v/>
      </c>
      <c r="M687">
        <f>IFERROR(INDEX(Cluster_Master!$H$4:$H$18,MATCH($F687,Cluster_Master!$B$4:$B$18,0)),"")</f>
        <v/>
      </c>
      <c r="AI687">
        <f>IF(COUNTA(T687:AH687)=0,"",SUM(T687:AH687))</f>
        <v/>
      </c>
      <c r="AJ687">
        <f>IF(COUNTA(T687:AH687)=0,"",AI687/(COUNT(KPI_Weights!$A$4:$A$18)*5))</f>
        <v/>
      </c>
      <c r="AK687">
        <f>IF(COUNTA(T687:AH687)=0,"",SUMPRODUCT(T687:AH687,KPI_Weights!$B$4:$B$18)/5)</f>
        <v/>
      </c>
      <c r="AL687">
        <f>IF(COUNTA(T687:AH687)=0,"",IF(SUMPRODUCT(--(T687:AH687&lt;=1),--(KPI_Weights!$C$4:$C$18="YES"))&gt;0,"YES","NO"))</f>
        <v/>
      </c>
      <c r="AM687">
        <f>IF(AJ687="","",IF(AND(AL687="NO",AJ687&gt;=0.75),"YES","NO"))</f>
        <v/>
      </c>
      <c r="AN687">
        <f>IF(AJ687="","",IF(AJ687&lt;0.4,"Critical",IF(AJ687&lt;0.6,"Poor",IF(AJ687&lt;0.75,"Needs Improvement",IF(AJ687&lt;0.9,"Good","Excellent")))))</f>
        <v/>
      </c>
    </row>
    <row r="688" ht="15" customHeight="1" s="45">
      <c r="A688">
        <f>IF($B688="","",TEXT($B688,"yyyymmdd")&amp;"-"&amp;SUBSTITUTE($F688," ","")&amp;"-"&amp;TEXT(COUNTIF($F$4:F688,$F688),"00"))</f>
        <v/>
      </c>
      <c r="C688">
        <f>IF($B688="","",WEEKNUM($B688,2))</f>
        <v/>
      </c>
      <c r="D688">
        <f>IF($B688="","",TEXT($B688,"yyyy-mm"))</f>
        <v/>
      </c>
      <c r="G688">
        <f>IF(OR($E688="",$F688=""),"",IFERROR(IF($E688=INDEX(Cluster_Master!$A$4:$A$18,MATCH($F688,Cluster_Master!$B$4:$B$18,0)),"OK","CHECK"),"CHECK"))</f>
        <v/>
      </c>
      <c r="H688">
        <f>IFERROR(INDEX(Cluster_Master!$C$4:$C$18,MATCH($F688,Cluster_Master!$B$4:$B$18,0)),"")</f>
        <v/>
      </c>
      <c r="I688">
        <f>IFERROR(INDEX(Cluster_Master!$D$4:$D$18,MATCH($F688,Cluster_Master!$B$4:$B$18,0)),"")</f>
        <v/>
      </c>
      <c r="J688">
        <f>IFERROR(INDEX(Cluster_Master!$E$4:$E$18,MATCH($F688,Cluster_Master!$B$4:$B$18,0)),"")</f>
        <v/>
      </c>
      <c r="K688">
        <f>IFERROR(INDEX(Cluster_Master!$F$4:$F$18,MATCH($F688,Cluster_Master!$B$4:$B$18,0)),"")</f>
        <v/>
      </c>
      <c r="L688">
        <f>IFERROR(INDEX(Cluster_Master!$G$4:$G$18,MATCH($F688,Cluster_Master!$B$4:$B$18,0)),"")</f>
        <v/>
      </c>
      <c r="M688">
        <f>IFERROR(INDEX(Cluster_Master!$H$4:$H$18,MATCH($F688,Cluster_Master!$B$4:$B$18,0)),"")</f>
        <v/>
      </c>
      <c r="AI688">
        <f>IF(COUNTA(T688:AH688)=0,"",SUM(T688:AH688))</f>
        <v/>
      </c>
      <c r="AJ688">
        <f>IF(COUNTA(T688:AH688)=0,"",AI688/(COUNT(KPI_Weights!$A$4:$A$18)*5))</f>
        <v/>
      </c>
      <c r="AK688">
        <f>IF(COUNTA(T688:AH688)=0,"",SUMPRODUCT(T688:AH688,KPI_Weights!$B$4:$B$18)/5)</f>
        <v/>
      </c>
      <c r="AL688">
        <f>IF(COUNTA(T688:AH688)=0,"",IF(SUMPRODUCT(--(T688:AH688&lt;=1),--(KPI_Weights!$C$4:$C$18="YES"))&gt;0,"YES","NO"))</f>
        <v/>
      </c>
      <c r="AM688">
        <f>IF(AJ688="","",IF(AND(AL688="NO",AJ688&gt;=0.75),"YES","NO"))</f>
        <v/>
      </c>
      <c r="AN688">
        <f>IF(AJ688="","",IF(AJ688&lt;0.4,"Critical",IF(AJ688&lt;0.6,"Poor",IF(AJ688&lt;0.75,"Needs Improvement",IF(AJ688&lt;0.9,"Good","Excellent")))))</f>
        <v/>
      </c>
    </row>
    <row r="689" ht="15" customHeight="1" s="45">
      <c r="A689">
        <f>IF($B689="","",TEXT($B689,"yyyymmdd")&amp;"-"&amp;SUBSTITUTE($F689," ","")&amp;"-"&amp;TEXT(COUNTIF($F$4:F689,$F689),"00"))</f>
        <v/>
      </c>
      <c r="C689">
        <f>IF($B689="","",WEEKNUM($B689,2))</f>
        <v/>
      </c>
      <c r="D689">
        <f>IF($B689="","",TEXT($B689,"yyyy-mm"))</f>
        <v/>
      </c>
      <c r="G689">
        <f>IF(OR($E689="",$F689=""),"",IFERROR(IF($E689=INDEX(Cluster_Master!$A$4:$A$18,MATCH($F689,Cluster_Master!$B$4:$B$18,0)),"OK","CHECK"),"CHECK"))</f>
        <v/>
      </c>
      <c r="H689">
        <f>IFERROR(INDEX(Cluster_Master!$C$4:$C$18,MATCH($F689,Cluster_Master!$B$4:$B$18,0)),"")</f>
        <v/>
      </c>
      <c r="I689">
        <f>IFERROR(INDEX(Cluster_Master!$D$4:$D$18,MATCH($F689,Cluster_Master!$B$4:$B$18,0)),"")</f>
        <v/>
      </c>
      <c r="J689">
        <f>IFERROR(INDEX(Cluster_Master!$E$4:$E$18,MATCH($F689,Cluster_Master!$B$4:$B$18,0)),"")</f>
        <v/>
      </c>
      <c r="K689">
        <f>IFERROR(INDEX(Cluster_Master!$F$4:$F$18,MATCH($F689,Cluster_Master!$B$4:$B$18,0)),"")</f>
        <v/>
      </c>
      <c r="L689">
        <f>IFERROR(INDEX(Cluster_Master!$G$4:$G$18,MATCH($F689,Cluster_Master!$B$4:$B$18,0)),"")</f>
        <v/>
      </c>
      <c r="M689">
        <f>IFERROR(INDEX(Cluster_Master!$H$4:$H$18,MATCH($F689,Cluster_Master!$B$4:$B$18,0)),"")</f>
        <v/>
      </c>
      <c r="AI689">
        <f>IF(COUNTA(T689:AH689)=0,"",SUM(T689:AH689))</f>
        <v/>
      </c>
      <c r="AJ689">
        <f>IF(COUNTA(T689:AH689)=0,"",AI689/(COUNT(KPI_Weights!$A$4:$A$18)*5))</f>
        <v/>
      </c>
      <c r="AK689">
        <f>IF(COUNTA(T689:AH689)=0,"",SUMPRODUCT(T689:AH689,KPI_Weights!$B$4:$B$18)/5)</f>
        <v/>
      </c>
      <c r="AL689">
        <f>IF(COUNTA(T689:AH689)=0,"",IF(SUMPRODUCT(--(T689:AH689&lt;=1),--(KPI_Weights!$C$4:$C$18="YES"))&gt;0,"YES","NO"))</f>
        <v/>
      </c>
      <c r="AM689">
        <f>IF(AJ689="","",IF(AND(AL689="NO",AJ689&gt;=0.75),"YES","NO"))</f>
        <v/>
      </c>
      <c r="AN689">
        <f>IF(AJ689="","",IF(AJ689&lt;0.4,"Critical",IF(AJ689&lt;0.6,"Poor",IF(AJ689&lt;0.75,"Needs Improvement",IF(AJ689&lt;0.9,"Good","Excellent")))))</f>
        <v/>
      </c>
    </row>
    <row r="690" ht="15" customHeight="1" s="45">
      <c r="A690">
        <f>IF($B690="","",TEXT($B690,"yyyymmdd")&amp;"-"&amp;SUBSTITUTE($F690," ","")&amp;"-"&amp;TEXT(COUNTIF($F$4:F690,$F690),"00"))</f>
        <v/>
      </c>
      <c r="C690">
        <f>IF($B690="","",WEEKNUM($B690,2))</f>
        <v/>
      </c>
      <c r="D690">
        <f>IF($B690="","",TEXT($B690,"yyyy-mm"))</f>
        <v/>
      </c>
      <c r="G690">
        <f>IF(OR($E690="",$F690=""),"",IFERROR(IF($E690=INDEX(Cluster_Master!$A$4:$A$18,MATCH($F690,Cluster_Master!$B$4:$B$18,0)),"OK","CHECK"),"CHECK"))</f>
        <v/>
      </c>
      <c r="H690">
        <f>IFERROR(INDEX(Cluster_Master!$C$4:$C$18,MATCH($F690,Cluster_Master!$B$4:$B$18,0)),"")</f>
        <v/>
      </c>
      <c r="I690">
        <f>IFERROR(INDEX(Cluster_Master!$D$4:$D$18,MATCH($F690,Cluster_Master!$B$4:$B$18,0)),"")</f>
        <v/>
      </c>
      <c r="J690">
        <f>IFERROR(INDEX(Cluster_Master!$E$4:$E$18,MATCH($F690,Cluster_Master!$B$4:$B$18,0)),"")</f>
        <v/>
      </c>
      <c r="K690">
        <f>IFERROR(INDEX(Cluster_Master!$F$4:$F$18,MATCH($F690,Cluster_Master!$B$4:$B$18,0)),"")</f>
        <v/>
      </c>
      <c r="L690">
        <f>IFERROR(INDEX(Cluster_Master!$G$4:$G$18,MATCH($F690,Cluster_Master!$B$4:$B$18,0)),"")</f>
        <v/>
      </c>
      <c r="M690">
        <f>IFERROR(INDEX(Cluster_Master!$H$4:$H$18,MATCH($F690,Cluster_Master!$B$4:$B$18,0)),"")</f>
        <v/>
      </c>
      <c r="AI690">
        <f>IF(COUNTA(T690:AH690)=0,"",SUM(T690:AH690))</f>
        <v/>
      </c>
      <c r="AJ690">
        <f>IF(COUNTA(T690:AH690)=0,"",AI690/(COUNT(KPI_Weights!$A$4:$A$18)*5))</f>
        <v/>
      </c>
      <c r="AK690">
        <f>IF(COUNTA(T690:AH690)=0,"",SUMPRODUCT(T690:AH690,KPI_Weights!$B$4:$B$18)/5)</f>
        <v/>
      </c>
      <c r="AL690">
        <f>IF(COUNTA(T690:AH690)=0,"",IF(SUMPRODUCT(--(T690:AH690&lt;=1),--(KPI_Weights!$C$4:$C$18="YES"))&gt;0,"YES","NO"))</f>
        <v/>
      </c>
      <c r="AM690">
        <f>IF(AJ690="","",IF(AND(AL690="NO",AJ690&gt;=0.75),"YES","NO"))</f>
        <v/>
      </c>
      <c r="AN690">
        <f>IF(AJ690="","",IF(AJ690&lt;0.4,"Critical",IF(AJ690&lt;0.6,"Poor",IF(AJ690&lt;0.75,"Needs Improvement",IF(AJ690&lt;0.9,"Good","Excellent")))))</f>
        <v/>
      </c>
    </row>
    <row r="691" ht="15" customHeight="1" s="45">
      <c r="A691">
        <f>IF($B691="","",TEXT($B691,"yyyymmdd")&amp;"-"&amp;SUBSTITUTE($F691," ","")&amp;"-"&amp;TEXT(COUNTIF($F$4:F691,$F691),"00"))</f>
        <v/>
      </c>
      <c r="C691">
        <f>IF($B691="","",WEEKNUM($B691,2))</f>
        <v/>
      </c>
      <c r="D691">
        <f>IF($B691="","",TEXT($B691,"yyyy-mm"))</f>
        <v/>
      </c>
      <c r="G691">
        <f>IF(OR($E691="",$F691=""),"",IFERROR(IF($E691=INDEX(Cluster_Master!$A$4:$A$18,MATCH($F691,Cluster_Master!$B$4:$B$18,0)),"OK","CHECK"),"CHECK"))</f>
        <v/>
      </c>
      <c r="H691">
        <f>IFERROR(INDEX(Cluster_Master!$C$4:$C$18,MATCH($F691,Cluster_Master!$B$4:$B$18,0)),"")</f>
        <v/>
      </c>
      <c r="I691">
        <f>IFERROR(INDEX(Cluster_Master!$D$4:$D$18,MATCH($F691,Cluster_Master!$B$4:$B$18,0)),"")</f>
        <v/>
      </c>
      <c r="J691">
        <f>IFERROR(INDEX(Cluster_Master!$E$4:$E$18,MATCH($F691,Cluster_Master!$B$4:$B$18,0)),"")</f>
        <v/>
      </c>
      <c r="K691">
        <f>IFERROR(INDEX(Cluster_Master!$F$4:$F$18,MATCH($F691,Cluster_Master!$B$4:$B$18,0)),"")</f>
        <v/>
      </c>
      <c r="L691">
        <f>IFERROR(INDEX(Cluster_Master!$G$4:$G$18,MATCH($F691,Cluster_Master!$B$4:$B$18,0)),"")</f>
        <v/>
      </c>
      <c r="M691">
        <f>IFERROR(INDEX(Cluster_Master!$H$4:$H$18,MATCH($F691,Cluster_Master!$B$4:$B$18,0)),"")</f>
        <v/>
      </c>
      <c r="AI691">
        <f>IF(COUNTA(T691:AH691)=0,"",SUM(T691:AH691))</f>
        <v/>
      </c>
      <c r="AJ691">
        <f>IF(COUNTA(T691:AH691)=0,"",AI691/(COUNT(KPI_Weights!$A$4:$A$18)*5))</f>
        <v/>
      </c>
      <c r="AK691">
        <f>IF(COUNTA(T691:AH691)=0,"",SUMPRODUCT(T691:AH691,KPI_Weights!$B$4:$B$18)/5)</f>
        <v/>
      </c>
      <c r="AL691">
        <f>IF(COUNTA(T691:AH691)=0,"",IF(SUMPRODUCT(--(T691:AH691&lt;=1),--(KPI_Weights!$C$4:$C$18="YES"))&gt;0,"YES","NO"))</f>
        <v/>
      </c>
      <c r="AM691">
        <f>IF(AJ691="","",IF(AND(AL691="NO",AJ691&gt;=0.75),"YES","NO"))</f>
        <v/>
      </c>
      <c r="AN691">
        <f>IF(AJ691="","",IF(AJ691&lt;0.4,"Critical",IF(AJ691&lt;0.6,"Poor",IF(AJ691&lt;0.75,"Needs Improvement",IF(AJ691&lt;0.9,"Good","Excellent")))))</f>
        <v/>
      </c>
    </row>
    <row r="692" ht="15" customHeight="1" s="45">
      <c r="A692">
        <f>IF($B692="","",TEXT($B692,"yyyymmdd")&amp;"-"&amp;SUBSTITUTE($F692," ","")&amp;"-"&amp;TEXT(COUNTIF($F$4:F692,$F692),"00"))</f>
        <v/>
      </c>
      <c r="C692">
        <f>IF($B692="","",WEEKNUM($B692,2))</f>
        <v/>
      </c>
      <c r="D692">
        <f>IF($B692="","",TEXT($B692,"yyyy-mm"))</f>
        <v/>
      </c>
      <c r="G692">
        <f>IF(OR($E692="",$F692=""),"",IFERROR(IF($E692=INDEX(Cluster_Master!$A$4:$A$18,MATCH($F692,Cluster_Master!$B$4:$B$18,0)),"OK","CHECK"),"CHECK"))</f>
        <v/>
      </c>
      <c r="H692">
        <f>IFERROR(INDEX(Cluster_Master!$C$4:$C$18,MATCH($F692,Cluster_Master!$B$4:$B$18,0)),"")</f>
        <v/>
      </c>
      <c r="I692">
        <f>IFERROR(INDEX(Cluster_Master!$D$4:$D$18,MATCH($F692,Cluster_Master!$B$4:$B$18,0)),"")</f>
        <v/>
      </c>
      <c r="J692">
        <f>IFERROR(INDEX(Cluster_Master!$E$4:$E$18,MATCH($F692,Cluster_Master!$B$4:$B$18,0)),"")</f>
        <v/>
      </c>
      <c r="K692">
        <f>IFERROR(INDEX(Cluster_Master!$F$4:$F$18,MATCH($F692,Cluster_Master!$B$4:$B$18,0)),"")</f>
        <v/>
      </c>
      <c r="L692">
        <f>IFERROR(INDEX(Cluster_Master!$G$4:$G$18,MATCH($F692,Cluster_Master!$B$4:$B$18,0)),"")</f>
        <v/>
      </c>
      <c r="M692">
        <f>IFERROR(INDEX(Cluster_Master!$H$4:$H$18,MATCH($F692,Cluster_Master!$B$4:$B$18,0)),"")</f>
        <v/>
      </c>
      <c r="AI692">
        <f>IF(COUNTA(T692:AH692)=0,"",SUM(T692:AH692))</f>
        <v/>
      </c>
      <c r="AJ692">
        <f>IF(COUNTA(T692:AH692)=0,"",AI692/(COUNT(KPI_Weights!$A$4:$A$18)*5))</f>
        <v/>
      </c>
      <c r="AK692">
        <f>IF(COUNTA(T692:AH692)=0,"",SUMPRODUCT(T692:AH692,KPI_Weights!$B$4:$B$18)/5)</f>
        <v/>
      </c>
      <c r="AL692">
        <f>IF(COUNTA(T692:AH692)=0,"",IF(SUMPRODUCT(--(T692:AH692&lt;=1),--(KPI_Weights!$C$4:$C$18="YES"))&gt;0,"YES","NO"))</f>
        <v/>
      </c>
      <c r="AM692">
        <f>IF(AJ692="","",IF(AND(AL692="NO",AJ692&gt;=0.75),"YES","NO"))</f>
        <v/>
      </c>
      <c r="AN692">
        <f>IF(AJ692="","",IF(AJ692&lt;0.4,"Critical",IF(AJ692&lt;0.6,"Poor",IF(AJ692&lt;0.75,"Needs Improvement",IF(AJ692&lt;0.9,"Good","Excellent")))))</f>
        <v/>
      </c>
    </row>
    <row r="693" ht="15" customHeight="1" s="45">
      <c r="A693">
        <f>IF($B693="","",TEXT($B693,"yyyymmdd")&amp;"-"&amp;SUBSTITUTE($F693," ","")&amp;"-"&amp;TEXT(COUNTIF($F$4:F693,$F693),"00"))</f>
        <v/>
      </c>
      <c r="C693">
        <f>IF($B693="","",WEEKNUM($B693,2))</f>
        <v/>
      </c>
      <c r="D693">
        <f>IF($B693="","",TEXT($B693,"yyyy-mm"))</f>
        <v/>
      </c>
      <c r="G693">
        <f>IF(OR($E693="",$F693=""),"",IFERROR(IF($E693=INDEX(Cluster_Master!$A$4:$A$18,MATCH($F693,Cluster_Master!$B$4:$B$18,0)),"OK","CHECK"),"CHECK"))</f>
        <v/>
      </c>
      <c r="H693">
        <f>IFERROR(INDEX(Cluster_Master!$C$4:$C$18,MATCH($F693,Cluster_Master!$B$4:$B$18,0)),"")</f>
        <v/>
      </c>
      <c r="I693">
        <f>IFERROR(INDEX(Cluster_Master!$D$4:$D$18,MATCH($F693,Cluster_Master!$B$4:$B$18,0)),"")</f>
        <v/>
      </c>
      <c r="J693">
        <f>IFERROR(INDEX(Cluster_Master!$E$4:$E$18,MATCH($F693,Cluster_Master!$B$4:$B$18,0)),"")</f>
        <v/>
      </c>
      <c r="K693">
        <f>IFERROR(INDEX(Cluster_Master!$F$4:$F$18,MATCH($F693,Cluster_Master!$B$4:$B$18,0)),"")</f>
        <v/>
      </c>
      <c r="L693">
        <f>IFERROR(INDEX(Cluster_Master!$G$4:$G$18,MATCH($F693,Cluster_Master!$B$4:$B$18,0)),"")</f>
        <v/>
      </c>
      <c r="M693">
        <f>IFERROR(INDEX(Cluster_Master!$H$4:$H$18,MATCH($F693,Cluster_Master!$B$4:$B$18,0)),"")</f>
        <v/>
      </c>
      <c r="AI693">
        <f>IF(COUNTA(T693:AH693)=0,"",SUM(T693:AH693))</f>
        <v/>
      </c>
      <c r="AJ693">
        <f>IF(COUNTA(T693:AH693)=0,"",AI693/(COUNT(KPI_Weights!$A$4:$A$18)*5))</f>
        <v/>
      </c>
      <c r="AK693">
        <f>IF(COUNTA(T693:AH693)=0,"",SUMPRODUCT(T693:AH693,KPI_Weights!$B$4:$B$18)/5)</f>
        <v/>
      </c>
      <c r="AL693">
        <f>IF(COUNTA(T693:AH693)=0,"",IF(SUMPRODUCT(--(T693:AH693&lt;=1),--(KPI_Weights!$C$4:$C$18="YES"))&gt;0,"YES","NO"))</f>
        <v/>
      </c>
      <c r="AM693">
        <f>IF(AJ693="","",IF(AND(AL693="NO",AJ693&gt;=0.75),"YES","NO"))</f>
        <v/>
      </c>
      <c r="AN693">
        <f>IF(AJ693="","",IF(AJ693&lt;0.4,"Critical",IF(AJ693&lt;0.6,"Poor",IF(AJ693&lt;0.75,"Needs Improvement",IF(AJ693&lt;0.9,"Good","Excellent")))))</f>
        <v/>
      </c>
    </row>
    <row r="694" ht="15" customHeight="1" s="45">
      <c r="A694">
        <f>IF($B694="","",TEXT($B694,"yyyymmdd")&amp;"-"&amp;SUBSTITUTE($F694," ","")&amp;"-"&amp;TEXT(COUNTIF($F$4:F694,$F694),"00"))</f>
        <v/>
      </c>
      <c r="C694">
        <f>IF($B694="","",WEEKNUM($B694,2))</f>
        <v/>
      </c>
      <c r="D694">
        <f>IF($B694="","",TEXT($B694,"yyyy-mm"))</f>
        <v/>
      </c>
      <c r="G694">
        <f>IF(OR($E694="",$F694=""),"",IFERROR(IF($E694=INDEX(Cluster_Master!$A$4:$A$18,MATCH($F694,Cluster_Master!$B$4:$B$18,0)),"OK","CHECK"),"CHECK"))</f>
        <v/>
      </c>
      <c r="H694">
        <f>IFERROR(INDEX(Cluster_Master!$C$4:$C$18,MATCH($F694,Cluster_Master!$B$4:$B$18,0)),"")</f>
        <v/>
      </c>
      <c r="I694">
        <f>IFERROR(INDEX(Cluster_Master!$D$4:$D$18,MATCH($F694,Cluster_Master!$B$4:$B$18,0)),"")</f>
        <v/>
      </c>
      <c r="J694">
        <f>IFERROR(INDEX(Cluster_Master!$E$4:$E$18,MATCH($F694,Cluster_Master!$B$4:$B$18,0)),"")</f>
        <v/>
      </c>
      <c r="K694">
        <f>IFERROR(INDEX(Cluster_Master!$F$4:$F$18,MATCH($F694,Cluster_Master!$B$4:$B$18,0)),"")</f>
        <v/>
      </c>
      <c r="L694">
        <f>IFERROR(INDEX(Cluster_Master!$G$4:$G$18,MATCH($F694,Cluster_Master!$B$4:$B$18,0)),"")</f>
        <v/>
      </c>
      <c r="M694">
        <f>IFERROR(INDEX(Cluster_Master!$H$4:$H$18,MATCH($F694,Cluster_Master!$B$4:$B$18,0)),"")</f>
        <v/>
      </c>
      <c r="AI694">
        <f>IF(COUNTA(T694:AH694)=0,"",SUM(T694:AH694))</f>
        <v/>
      </c>
      <c r="AJ694">
        <f>IF(COUNTA(T694:AH694)=0,"",AI694/(COUNT(KPI_Weights!$A$4:$A$18)*5))</f>
        <v/>
      </c>
      <c r="AK694">
        <f>IF(COUNTA(T694:AH694)=0,"",SUMPRODUCT(T694:AH694,KPI_Weights!$B$4:$B$18)/5)</f>
        <v/>
      </c>
      <c r="AL694">
        <f>IF(COUNTA(T694:AH694)=0,"",IF(SUMPRODUCT(--(T694:AH694&lt;=1),--(KPI_Weights!$C$4:$C$18="YES"))&gt;0,"YES","NO"))</f>
        <v/>
      </c>
      <c r="AM694">
        <f>IF(AJ694="","",IF(AND(AL694="NO",AJ694&gt;=0.75),"YES","NO"))</f>
        <v/>
      </c>
      <c r="AN694">
        <f>IF(AJ694="","",IF(AJ694&lt;0.4,"Critical",IF(AJ694&lt;0.6,"Poor",IF(AJ694&lt;0.75,"Needs Improvement",IF(AJ694&lt;0.9,"Good","Excellent")))))</f>
        <v/>
      </c>
    </row>
    <row r="695" ht="15" customHeight="1" s="45">
      <c r="A695">
        <f>IF($B695="","",TEXT($B695,"yyyymmdd")&amp;"-"&amp;SUBSTITUTE($F695," ","")&amp;"-"&amp;TEXT(COUNTIF($F$4:F695,$F695),"00"))</f>
        <v/>
      </c>
      <c r="C695">
        <f>IF($B695="","",WEEKNUM($B695,2))</f>
        <v/>
      </c>
      <c r="D695">
        <f>IF($B695="","",TEXT($B695,"yyyy-mm"))</f>
        <v/>
      </c>
      <c r="G695">
        <f>IF(OR($E695="",$F695=""),"",IFERROR(IF($E695=INDEX(Cluster_Master!$A$4:$A$18,MATCH($F695,Cluster_Master!$B$4:$B$18,0)),"OK","CHECK"),"CHECK"))</f>
        <v/>
      </c>
      <c r="H695">
        <f>IFERROR(INDEX(Cluster_Master!$C$4:$C$18,MATCH($F695,Cluster_Master!$B$4:$B$18,0)),"")</f>
        <v/>
      </c>
      <c r="I695">
        <f>IFERROR(INDEX(Cluster_Master!$D$4:$D$18,MATCH($F695,Cluster_Master!$B$4:$B$18,0)),"")</f>
        <v/>
      </c>
      <c r="J695">
        <f>IFERROR(INDEX(Cluster_Master!$E$4:$E$18,MATCH($F695,Cluster_Master!$B$4:$B$18,0)),"")</f>
        <v/>
      </c>
      <c r="K695">
        <f>IFERROR(INDEX(Cluster_Master!$F$4:$F$18,MATCH($F695,Cluster_Master!$B$4:$B$18,0)),"")</f>
        <v/>
      </c>
      <c r="L695">
        <f>IFERROR(INDEX(Cluster_Master!$G$4:$G$18,MATCH($F695,Cluster_Master!$B$4:$B$18,0)),"")</f>
        <v/>
      </c>
      <c r="M695">
        <f>IFERROR(INDEX(Cluster_Master!$H$4:$H$18,MATCH($F695,Cluster_Master!$B$4:$B$18,0)),"")</f>
        <v/>
      </c>
      <c r="AI695">
        <f>IF(COUNTA(T695:AH695)=0,"",SUM(T695:AH695))</f>
        <v/>
      </c>
      <c r="AJ695">
        <f>IF(COUNTA(T695:AH695)=0,"",AI695/(COUNT(KPI_Weights!$A$4:$A$18)*5))</f>
        <v/>
      </c>
      <c r="AK695">
        <f>IF(COUNTA(T695:AH695)=0,"",SUMPRODUCT(T695:AH695,KPI_Weights!$B$4:$B$18)/5)</f>
        <v/>
      </c>
      <c r="AL695">
        <f>IF(COUNTA(T695:AH695)=0,"",IF(SUMPRODUCT(--(T695:AH695&lt;=1),--(KPI_Weights!$C$4:$C$18="YES"))&gt;0,"YES","NO"))</f>
        <v/>
      </c>
      <c r="AM695">
        <f>IF(AJ695="","",IF(AND(AL695="NO",AJ695&gt;=0.75),"YES","NO"))</f>
        <v/>
      </c>
      <c r="AN695">
        <f>IF(AJ695="","",IF(AJ695&lt;0.4,"Critical",IF(AJ695&lt;0.6,"Poor",IF(AJ695&lt;0.75,"Needs Improvement",IF(AJ695&lt;0.9,"Good","Excellent")))))</f>
        <v/>
      </c>
    </row>
    <row r="696" ht="15" customHeight="1" s="45">
      <c r="A696">
        <f>IF($B696="","",TEXT($B696,"yyyymmdd")&amp;"-"&amp;SUBSTITUTE($F696," ","")&amp;"-"&amp;TEXT(COUNTIF($F$4:F696,$F696),"00"))</f>
        <v/>
      </c>
      <c r="C696">
        <f>IF($B696="","",WEEKNUM($B696,2))</f>
        <v/>
      </c>
      <c r="D696">
        <f>IF($B696="","",TEXT($B696,"yyyy-mm"))</f>
        <v/>
      </c>
      <c r="G696">
        <f>IF(OR($E696="",$F696=""),"",IFERROR(IF($E696=INDEX(Cluster_Master!$A$4:$A$18,MATCH($F696,Cluster_Master!$B$4:$B$18,0)),"OK","CHECK"),"CHECK"))</f>
        <v/>
      </c>
      <c r="H696">
        <f>IFERROR(INDEX(Cluster_Master!$C$4:$C$18,MATCH($F696,Cluster_Master!$B$4:$B$18,0)),"")</f>
        <v/>
      </c>
      <c r="I696">
        <f>IFERROR(INDEX(Cluster_Master!$D$4:$D$18,MATCH($F696,Cluster_Master!$B$4:$B$18,0)),"")</f>
        <v/>
      </c>
      <c r="J696">
        <f>IFERROR(INDEX(Cluster_Master!$E$4:$E$18,MATCH($F696,Cluster_Master!$B$4:$B$18,0)),"")</f>
        <v/>
      </c>
      <c r="K696">
        <f>IFERROR(INDEX(Cluster_Master!$F$4:$F$18,MATCH($F696,Cluster_Master!$B$4:$B$18,0)),"")</f>
        <v/>
      </c>
      <c r="L696">
        <f>IFERROR(INDEX(Cluster_Master!$G$4:$G$18,MATCH($F696,Cluster_Master!$B$4:$B$18,0)),"")</f>
        <v/>
      </c>
      <c r="M696">
        <f>IFERROR(INDEX(Cluster_Master!$H$4:$H$18,MATCH($F696,Cluster_Master!$B$4:$B$18,0)),"")</f>
        <v/>
      </c>
      <c r="AI696">
        <f>IF(COUNTA(T696:AH696)=0,"",SUM(T696:AH696))</f>
        <v/>
      </c>
      <c r="AJ696">
        <f>IF(COUNTA(T696:AH696)=0,"",AI696/(COUNT(KPI_Weights!$A$4:$A$18)*5))</f>
        <v/>
      </c>
      <c r="AK696">
        <f>IF(COUNTA(T696:AH696)=0,"",SUMPRODUCT(T696:AH696,KPI_Weights!$B$4:$B$18)/5)</f>
        <v/>
      </c>
      <c r="AL696">
        <f>IF(COUNTA(T696:AH696)=0,"",IF(SUMPRODUCT(--(T696:AH696&lt;=1),--(KPI_Weights!$C$4:$C$18="YES"))&gt;0,"YES","NO"))</f>
        <v/>
      </c>
      <c r="AM696">
        <f>IF(AJ696="","",IF(AND(AL696="NO",AJ696&gt;=0.75),"YES","NO"))</f>
        <v/>
      </c>
      <c r="AN696">
        <f>IF(AJ696="","",IF(AJ696&lt;0.4,"Critical",IF(AJ696&lt;0.6,"Poor",IF(AJ696&lt;0.75,"Needs Improvement",IF(AJ696&lt;0.9,"Good","Excellent")))))</f>
        <v/>
      </c>
    </row>
    <row r="697" ht="15" customHeight="1" s="45">
      <c r="A697">
        <f>IF($B697="","",TEXT($B697,"yyyymmdd")&amp;"-"&amp;SUBSTITUTE($F697," ","")&amp;"-"&amp;TEXT(COUNTIF($F$4:F697,$F697),"00"))</f>
        <v/>
      </c>
      <c r="C697">
        <f>IF($B697="","",WEEKNUM($B697,2))</f>
        <v/>
      </c>
      <c r="D697">
        <f>IF($B697="","",TEXT($B697,"yyyy-mm"))</f>
        <v/>
      </c>
      <c r="G697">
        <f>IF(OR($E697="",$F697=""),"",IFERROR(IF($E697=INDEX(Cluster_Master!$A$4:$A$18,MATCH($F697,Cluster_Master!$B$4:$B$18,0)),"OK","CHECK"),"CHECK"))</f>
        <v/>
      </c>
      <c r="H697">
        <f>IFERROR(INDEX(Cluster_Master!$C$4:$C$18,MATCH($F697,Cluster_Master!$B$4:$B$18,0)),"")</f>
        <v/>
      </c>
      <c r="I697">
        <f>IFERROR(INDEX(Cluster_Master!$D$4:$D$18,MATCH($F697,Cluster_Master!$B$4:$B$18,0)),"")</f>
        <v/>
      </c>
      <c r="J697">
        <f>IFERROR(INDEX(Cluster_Master!$E$4:$E$18,MATCH($F697,Cluster_Master!$B$4:$B$18,0)),"")</f>
        <v/>
      </c>
      <c r="K697">
        <f>IFERROR(INDEX(Cluster_Master!$F$4:$F$18,MATCH($F697,Cluster_Master!$B$4:$B$18,0)),"")</f>
        <v/>
      </c>
      <c r="L697">
        <f>IFERROR(INDEX(Cluster_Master!$G$4:$G$18,MATCH($F697,Cluster_Master!$B$4:$B$18,0)),"")</f>
        <v/>
      </c>
      <c r="M697">
        <f>IFERROR(INDEX(Cluster_Master!$H$4:$H$18,MATCH($F697,Cluster_Master!$B$4:$B$18,0)),"")</f>
        <v/>
      </c>
      <c r="AI697">
        <f>IF(COUNTA(T697:AH697)=0,"",SUM(T697:AH697))</f>
        <v/>
      </c>
      <c r="AJ697">
        <f>IF(COUNTA(T697:AH697)=0,"",AI697/(COUNT(KPI_Weights!$A$4:$A$18)*5))</f>
        <v/>
      </c>
      <c r="AK697">
        <f>IF(COUNTA(T697:AH697)=0,"",SUMPRODUCT(T697:AH697,KPI_Weights!$B$4:$B$18)/5)</f>
        <v/>
      </c>
      <c r="AL697">
        <f>IF(COUNTA(T697:AH697)=0,"",IF(SUMPRODUCT(--(T697:AH697&lt;=1),--(KPI_Weights!$C$4:$C$18="YES"))&gt;0,"YES","NO"))</f>
        <v/>
      </c>
      <c r="AM697">
        <f>IF(AJ697="","",IF(AND(AL697="NO",AJ697&gt;=0.75),"YES","NO"))</f>
        <v/>
      </c>
      <c r="AN697">
        <f>IF(AJ697="","",IF(AJ697&lt;0.4,"Critical",IF(AJ697&lt;0.6,"Poor",IF(AJ697&lt;0.75,"Needs Improvement",IF(AJ697&lt;0.9,"Good","Excellent")))))</f>
        <v/>
      </c>
    </row>
    <row r="698" ht="15" customHeight="1" s="45">
      <c r="A698">
        <f>IF($B698="","",TEXT($B698,"yyyymmdd")&amp;"-"&amp;SUBSTITUTE($F698," ","")&amp;"-"&amp;TEXT(COUNTIF($F$4:F698,$F698),"00"))</f>
        <v/>
      </c>
      <c r="C698">
        <f>IF($B698="","",WEEKNUM($B698,2))</f>
        <v/>
      </c>
      <c r="D698">
        <f>IF($B698="","",TEXT($B698,"yyyy-mm"))</f>
        <v/>
      </c>
      <c r="G698">
        <f>IF(OR($E698="",$F698=""),"",IFERROR(IF($E698=INDEX(Cluster_Master!$A$4:$A$18,MATCH($F698,Cluster_Master!$B$4:$B$18,0)),"OK","CHECK"),"CHECK"))</f>
        <v/>
      </c>
      <c r="H698">
        <f>IFERROR(INDEX(Cluster_Master!$C$4:$C$18,MATCH($F698,Cluster_Master!$B$4:$B$18,0)),"")</f>
        <v/>
      </c>
      <c r="I698">
        <f>IFERROR(INDEX(Cluster_Master!$D$4:$D$18,MATCH($F698,Cluster_Master!$B$4:$B$18,0)),"")</f>
        <v/>
      </c>
      <c r="J698">
        <f>IFERROR(INDEX(Cluster_Master!$E$4:$E$18,MATCH($F698,Cluster_Master!$B$4:$B$18,0)),"")</f>
        <v/>
      </c>
      <c r="K698">
        <f>IFERROR(INDEX(Cluster_Master!$F$4:$F$18,MATCH($F698,Cluster_Master!$B$4:$B$18,0)),"")</f>
        <v/>
      </c>
      <c r="L698">
        <f>IFERROR(INDEX(Cluster_Master!$G$4:$G$18,MATCH($F698,Cluster_Master!$B$4:$B$18,0)),"")</f>
        <v/>
      </c>
      <c r="M698">
        <f>IFERROR(INDEX(Cluster_Master!$H$4:$H$18,MATCH($F698,Cluster_Master!$B$4:$B$18,0)),"")</f>
        <v/>
      </c>
      <c r="AI698">
        <f>IF(COUNTA(T698:AH698)=0,"",SUM(T698:AH698))</f>
        <v/>
      </c>
      <c r="AJ698">
        <f>IF(COUNTA(T698:AH698)=0,"",AI698/(COUNT(KPI_Weights!$A$4:$A$18)*5))</f>
        <v/>
      </c>
      <c r="AK698">
        <f>IF(COUNTA(T698:AH698)=0,"",SUMPRODUCT(T698:AH698,KPI_Weights!$B$4:$B$18)/5)</f>
        <v/>
      </c>
      <c r="AL698">
        <f>IF(COUNTA(T698:AH698)=0,"",IF(SUMPRODUCT(--(T698:AH698&lt;=1),--(KPI_Weights!$C$4:$C$18="YES"))&gt;0,"YES","NO"))</f>
        <v/>
      </c>
      <c r="AM698">
        <f>IF(AJ698="","",IF(AND(AL698="NO",AJ698&gt;=0.75),"YES","NO"))</f>
        <v/>
      </c>
      <c r="AN698">
        <f>IF(AJ698="","",IF(AJ698&lt;0.4,"Critical",IF(AJ698&lt;0.6,"Poor",IF(AJ698&lt;0.75,"Needs Improvement",IF(AJ698&lt;0.9,"Good","Excellent")))))</f>
        <v/>
      </c>
    </row>
    <row r="699" ht="15" customHeight="1" s="45">
      <c r="A699">
        <f>IF($B699="","",TEXT($B699,"yyyymmdd")&amp;"-"&amp;SUBSTITUTE($F699," ","")&amp;"-"&amp;TEXT(COUNTIF($F$4:F699,$F699),"00"))</f>
        <v/>
      </c>
      <c r="C699">
        <f>IF($B699="","",WEEKNUM($B699,2))</f>
        <v/>
      </c>
      <c r="D699">
        <f>IF($B699="","",TEXT($B699,"yyyy-mm"))</f>
        <v/>
      </c>
      <c r="G699">
        <f>IF(OR($E699="",$F699=""),"",IFERROR(IF($E699=INDEX(Cluster_Master!$A$4:$A$18,MATCH($F699,Cluster_Master!$B$4:$B$18,0)),"OK","CHECK"),"CHECK"))</f>
        <v/>
      </c>
      <c r="H699">
        <f>IFERROR(INDEX(Cluster_Master!$C$4:$C$18,MATCH($F699,Cluster_Master!$B$4:$B$18,0)),"")</f>
        <v/>
      </c>
      <c r="I699">
        <f>IFERROR(INDEX(Cluster_Master!$D$4:$D$18,MATCH($F699,Cluster_Master!$B$4:$B$18,0)),"")</f>
        <v/>
      </c>
      <c r="J699">
        <f>IFERROR(INDEX(Cluster_Master!$E$4:$E$18,MATCH($F699,Cluster_Master!$B$4:$B$18,0)),"")</f>
        <v/>
      </c>
      <c r="K699">
        <f>IFERROR(INDEX(Cluster_Master!$F$4:$F$18,MATCH($F699,Cluster_Master!$B$4:$B$18,0)),"")</f>
        <v/>
      </c>
      <c r="L699">
        <f>IFERROR(INDEX(Cluster_Master!$G$4:$G$18,MATCH($F699,Cluster_Master!$B$4:$B$18,0)),"")</f>
        <v/>
      </c>
      <c r="M699">
        <f>IFERROR(INDEX(Cluster_Master!$H$4:$H$18,MATCH($F699,Cluster_Master!$B$4:$B$18,0)),"")</f>
        <v/>
      </c>
      <c r="AI699">
        <f>IF(COUNTA(T699:AH699)=0,"",SUM(T699:AH699))</f>
        <v/>
      </c>
      <c r="AJ699">
        <f>IF(COUNTA(T699:AH699)=0,"",AI699/(COUNT(KPI_Weights!$A$4:$A$18)*5))</f>
        <v/>
      </c>
      <c r="AK699">
        <f>IF(COUNTA(T699:AH699)=0,"",SUMPRODUCT(T699:AH699,KPI_Weights!$B$4:$B$18)/5)</f>
        <v/>
      </c>
      <c r="AL699">
        <f>IF(COUNTA(T699:AH699)=0,"",IF(SUMPRODUCT(--(T699:AH699&lt;=1),--(KPI_Weights!$C$4:$C$18="YES"))&gt;0,"YES","NO"))</f>
        <v/>
      </c>
      <c r="AM699">
        <f>IF(AJ699="","",IF(AND(AL699="NO",AJ699&gt;=0.75),"YES","NO"))</f>
        <v/>
      </c>
      <c r="AN699">
        <f>IF(AJ699="","",IF(AJ699&lt;0.4,"Critical",IF(AJ699&lt;0.6,"Poor",IF(AJ699&lt;0.75,"Needs Improvement",IF(AJ699&lt;0.9,"Good","Excellent")))))</f>
        <v/>
      </c>
    </row>
    <row r="700" ht="15" customHeight="1" s="45">
      <c r="A700">
        <f>IF($B700="","",TEXT($B700,"yyyymmdd")&amp;"-"&amp;SUBSTITUTE($F700," ","")&amp;"-"&amp;TEXT(COUNTIF($F$4:F700,$F700),"00"))</f>
        <v/>
      </c>
      <c r="C700">
        <f>IF($B700="","",WEEKNUM($B700,2))</f>
        <v/>
      </c>
      <c r="D700">
        <f>IF($B700="","",TEXT($B700,"yyyy-mm"))</f>
        <v/>
      </c>
      <c r="G700">
        <f>IF(OR($E700="",$F700=""),"",IFERROR(IF($E700=INDEX(Cluster_Master!$A$4:$A$18,MATCH($F700,Cluster_Master!$B$4:$B$18,0)),"OK","CHECK"),"CHECK"))</f>
        <v/>
      </c>
      <c r="H700">
        <f>IFERROR(INDEX(Cluster_Master!$C$4:$C$18,MATCH($F700,Cluster_Master!$B$4:$B$18,0)),"")</f>
        <v/>
      </c>
      <c r="I700">
        <f>IFERROR(INDEX(Cluster_Master!$D$4:$D$18,MATCH($F700,Cluster_Master!$B$4:$B$18,0)),"")</f>
        <v/>
      </c>
      <c r="J700">
        <f>IFERROR(INDEX(Cluster_Master!$E$4:$E$18,MATCH($F700,Cluster_Master!$B$4:$B$18,0)),"")</f>
        <v/>
      </c>
      <c r="K700">
        <f>IFERROR(INDEX(Cluster_Master!$F$4:$F$18,MATCH($F700,Cluster_Master!$B$4:$B$18,0)),"")</f>
        <v/>
      </c>
      <c r="L700">
        <f>IFERROR(INDEX(Cluster_Master!$G$4:$G$18,MATCH($F700,Cluster_Master!$B$4:$B$18,0)),"")</f>
        <v/>
      </c>
      <c r="M700">
        <f>IFERROR(INDEX(Cluster_Master!$H$4:$H$18,MATCH($F700,Cluster_Master!$B$4:$B$18,0)),"")</f>
        <v/>
      </c>
      <c r="AI700">
        <f>IF(COUNTA(T700:AH700)=0,"",SUM(T700:AH700))</f>
        <v/>
      </c>
      <c r="AJ700">
        <f>IF(COUNTA(T700:AH700)=0,"",AI700/(COUNT(KPI_Weights!$A$4:$A$18)*5))</f>
        <v/>
      </c>
      <c r="AK700">
        <f>IF(COUNTA(T700:AH700)=0,"",SUMPRODUCT(T700:AH700,KPI_Weights!$B$4:$B$18)/5)</f>
        <v/>
      </c>
      <c r="AL700">
        <f>IF(COUNTA(T700:AH700)=0,"",IF(SUMPRODUCT(--(T700:AH700&lt;=1),--(KPI_Weights!$C$4:$C$18="YES"))&gt;0,"YES","NO"))</f>
        <v/>
      </c>
      <c r="AM700">
        <f>IF(AJ700="","",IF(AND(AL700="NO",AJ700&gt;=0.75),"YES","NO"))</f>
        <v/>
      </c>
      <c r="AN700">
        <f>IF(AJ700="","",IF(AJ700&lt;0.4,"Critical",IF(AJ700&lt;0.6,"Poor",IF(AJ700&lt;0.75,"Needs Improvement",IF(AJ700&lt;0.9,"Good","Excellent")))))</f>
        <v/>
      </c>
    </row>
    <row r="701" ht="15" customHeight="1" s="45">
      <c r="A701">
        <f>IF($B701="","",TEXT($B701,"yyyymmdd")&amp;"-"&amp;SUBSTITUTE($F701," ","")&amp;"-"&amp;TEXT(COUNTIF($F$4:F701,$F701),"00"))</f>
        <v/>
      </c>
      <c r="C701">
        <f>IF($B701="","",WEEKNUM($B701,2))</f>
        <v/>
      </c>
      <c r="D701">
        <f>IF($B701="","",TEXT($B701,"yyyy-mm"))</f>
        <v/>
      </c>
      <c r="G701">
        <f>IF(OR($E701="",$F701=""),"",IFERROR(IF($E701=INDEX(Cluster_Master!$A$4:$A$18,MATCH($F701,Cluster_Master!$B$4:$B$18,0)),"OK","CHECK"),"CHECK"))</f>
        <v/>
      </c>
      <c r="H701">
        <f>IFERROR(INDEX(Cluster_Master!$C$4:$C$18,MATCH($F701,Cluster_Master!$B$4:$B$18,0)),"")</f>
        <v/>
      </c>
      <c r="I701">
        <f>IFERROR(INDEX(Cluster_Master!$D$4:$D$18,MATCH($F701,Cluster_Master!$B$4:$B$18,0)),"")</f>
        <v/>
      </c>
      <c r="J701">
        <f>IFERROR(INDEX(Cluster_Master!$E$4:$E$18,MATCH($F701,Cluster_Master!$B$4:$B$18,0)),"")</f>
        <v/>
      </c>
      <c r="K701">
        <f>IFERROR(INDEX(Cluster_Master!$F$4:$F$18,MATCH($F701,Cluster_Master!$B$4:$B$18,0)),"")</f>
        <v/>
      </c>
      <c r="L701">
        <f>IFERROR(INDEX(Cluster_Master!$G$4:$G$18,MATCH($F701,Cluster_Master!$B$4:$B$18,0)),"")</f>
        <v/>
      </c>
      <c r="M701">
        <f>IFERROR(INDEX(Cluster_Master!$H$4:$H$18,MATCH($F701,Cluster_Master!$B$4:$B$18,0)),"")</f>
        <v/>
      </c>
      <c r="AI701">
        <f>IF(COUNTA(T701:AH701)=0,"",SUM(T701:AH701))</f>
        <v/>
      </c>
      <c r="AJ701">
        <f>IF(COUNTA(T701:AH701)=0,"",AI701/(COUNT(KPI_Weights!$A$4:$A$18)*5))</f>
        <v/>
      </c>
      <c r="AK701">
        <f>IF(COUNTA(T701:AH701)=0,"",SUMPRODUCT(T701:AH701,KPI_Weights!$B$4:$B$18)/5)</f>
        <v/>
      </c>
      <c r="AL701">
        <f>IF(COUNTA(T701:AH701)=0,"",IF(SUMPRODUCT(--(T701:AH701&lt;=1),--(KPI_Weights!$C$4:$C$18="YES"))&gt;0,"YES","NO"))</f>
        <v/>
      </c>
      <c r="AM701">
        <f>IF(AJ701="","",IF(AND(AL701="NO",AJ701&gt;=0.75),"YES","NO"))</f>
        <v/>
      </c>
      <c r="AN701">
        <f>IF(AJ701="","",IF(AJ701&lt;0.4,"Critical",IF(AJ701&lt;0.6,"Poor",IF(AJ701&lt;0.75,"Needs Improvement",IF(AJ701&lt;0.9,"Good","Excellent")))))</f>
        <v/>
      </c>
    </row>
    <row r="702" ht="15" customHeight="1" s="45">
      <c r="A702">
        <f>IF($B702="","",TEXT($B702,"yyyymmdd")&amp;"-"&amp;SUBSTITUTE($F702," ","")&amp;"-"&amp;TEXT(COUNTIF($F$4:F702,$F702),"00"))</f>
        <v/>
      </c>
      <c r="C702">
        <f>IF($B702="","",WEEKNUM($B702,2))</f>
        <v/>
      </c>
      <c r="D702">
        <f>IF($B702="","",TEXT($B702,"yyyy-mm"))</f>
        <v/>
      </c>
      <c r="G702">
        <f>IF(OR($E702="",$F702=""),"",IFERROR(IF($E702=INDEX(Cluster_Master!$A$4:$A$18,MATCH($F702,Cluster_Master!$B$4:$B$18,0)),"OK","CHECK"),"CHECK"))</f>
        <v/>
      </c>
      <c r="H702">
        <f>IFERROR(INDEX(Cluster_Master!$C$4:$C$18,MATCH($F702,Cluster_Master!$B$4:$B$18,0)),"")</f>
        <v/>
      </c>
      <c r="I702">
        <f>IFERROR(INDEX(Cluster_Master!$D$4:$D$18,MATCH($F702,Cluster_Master!$B$4:$B$18,0)),"")</f>
        <v/>
      </c>
      <c r="J702">
        <f>IFERROR(INDEX(Cluster_Master!$E$4:$E$18,MATCH($F702,Cluster_Master!$B$4:$B$18,0)),"")</f>
        <v/>
      </c>
      <c r="K702">
        <f>IFERROR(INDEX(Cluster_Master!$F$4:$F$18,MATCH($F702,Cluster_Master!$B$4:$B$18,0)),"")</f>
        <v/>
      </c>
      <c r="L702">
        <f>IFERROR(INDEX(Cluster_Master!$G$4:$G$18,MATCH($F702,Cluster_Master!$B$4:$B$18,0)),"")</f>
        <v/>
      </c>
      <c r="M702">
        <f>IFERROR(INDEX(Cluster_Master!$H$4:$H$18,MATCH($F702,Cluster_Master!$B$4:$B$18,0)),"")</f>
        <v/>
      </c>
      <c r="AI702">
        <f>IF(COUNTA(T702:AH702)=0,"",SUM(T702:AH702))</f>
        <v/>
      </c>
      <c r="AJ702">
        <f>IF(COUNTA(T702:AH702)=0,"",AI702/(COUNT(KPI_Weights!$A$4:$A$18)*5))</f>
        <v/>
      </c>
      <c r="AK702">
        <f>IF(COUNTA(T702:AH702)=0,"",SUMPRODUCT(T702:AH702,KPI_Weights!$B$4:$B$18)/5)</f>
        <v/>
      </c>
      <c r="AL702">
        <f>IF(COUNTA(T702:AH702)=0,"",IF(SUMPRODUCT(--(T702:AH702&lt;=1),--(KPI_Weights!$C$4:$C$18="YES"))&gt;0,"YES","NO"))</f>
        <v/>
      </c>
      <c r="AM702">
        <f>IF(AJ702="","",IF(AND(AL702="NO",AJ702&gt;=0.75),"YES","NO"))</f>
        <v/>
      </c>
      <c r="AN702">
        <f>IF(AJ702="","",IF(AJ702&lt;0.4,"Critical",IF(AJ702&lt;0.6,"Poor",IF(AJ702&lt;0.75,"Needs Improvement",IF(AJ702&lt;0.9,"Good","Excellent")))))</f>
        <v/>
      </c>
    </row>
    <row r="703" ht="15" customHeight="1" s="45">
      <c r="A703">
        <f>IF($B703="","",TEXT($B703,"yyyymmdd")&amp;"-"&amp;SUBSTITUTE($F703," ","")&amp;"-"&amp;TEXT(COUNTIF($F$4:F703,$F703),"00"))</f>
        <v/>
      </c>
      <c r="C703">
        <f>IF($B703="","",WEEKNUM($B703,2))</f>
        <v/>
      </c>
      <c r="D703">
        <f>IF($B703="","",TEXT($B703,"yyyy-mm"))</f>
        <v/>
      </c>
      <c r="G703">
        <f>IF(OR($E703="",$F703=""),"",IFERROR(IF($E703=INDEX(Cluster_Master!$A$4:$A$18,MATCH($F703,Cluster_Master!$B$4:$B$18,0)),"OK","CHECK"),"CHECK"))</f>
        <v/>
      </c>
      <c r="H703">
        <f>IFERROR(INDEX(Cluster_Master!$C$4:$C$18,MATCH($F703,Cluster_Master!$B$4:$B$18,0)),"")</f>
        <v/>
      </c>
      <c r="I703">
        <f>IFERROR(INDEX(Cluster_Master!$D$4:$D$18,MATCH($F703,Cluster_Master!$B$4:$B$18,0)),"")</f>
        <v/>
      </c>
      <c r="J703">
        <f>IFERROR(INDEX(Cluster_Master!$E$4:$E$18,MATCH($F703,Cluster_Master!$B$4:$B$18,0)),"")</f>
        <v/>
      </c>
      <c r="K703">
        <f>IFERROR(INDEX(Cluster_Master!$F$4:$F$18,MATCH($F703,Cluster_Master!$B$4:$B$18,0)),"")</f>
        <v/>
      </c>
      <c r="L703">
        <f>IFERROR(INDEX(Cluster_Master!$G$4:$G$18,MATCH($F703,Cluster_Master!$B$4:$B$18,0)),"")</f>
        <v/>
      </c>
      <c r="M703">
        <f>IFERROR(INDEX(Cluster_Master!$H$4:$H$18,MATCH($F703,Cluster_Master!$B$4:$B$18,0)),"")</f>
        <v/>
      </c>
      <c r="AI703">
        <f>IF(COUNTA(T703:AH703)=0,"",SUM(T703:AH703))</f>
        <v/>
      </c>
      <c r="AJ703">
        <f>IF(COUNTA(T703:AH703)=0,"",AI703/(COUNT(KPI_Weights!$A$4:$A$18)*5))</f>
        <v/>
      </c>
      <c r="AK703">
        <f>IF(COUNTA(T703:AH703)=0,"",SUMPRODUCT(T703:AH703,KPI_Weights!$B$4:$B$18)/5)</f>
        <v/>
      </c>
      <c r="AL703">
        <f>IF(COUNTA(T703:AH703)=0,"",IF(SUMPRODUCT(--(T703:AH703&lt;=1),--(KPI_Weights!$C$4:$C$18="YES"))&gt;0,"YES","NO"))</f>
        <v/>
      </c>
      <c r="AM703">
        <f>IF(AJ703="","",IF(AND(AL703="NO",AJ703&gt;=0.75),"YES","NO"))</f>
        <v/>
      </c>
      <c r="AN703">
        <f>IF(AJ703="","",IF(AJ703&lt;0.4,"Critical",IF(AJ703&lt;0.6,"Poor",IF(AJ703&lt;0.75,"Needs Improvement",IF(AJ703&lt;0.9,"Good","Excellent")))))</f>
        <v/>
      </c>
    </row>
    <row r="704" ht="15" customHeight="1" s="45">
      <c r="A704">
        <f>IF($B704="","",TEXT($B704,"yyyymmdd")&amp;"-"&amp;SUBSTITUTE($F704," ","")&amp;"-"&amp;TEXT(COUNTIF($F$4:F704,$F704),"00"))</f>
        <v/>
      </c>
      <c r="C704">
        <f>IF($B704="","",WEEKNUM($B704,2))</f>
        <v/>
      </c>
      <c r="D704">
        <f>IF($B704="","",TEXT($B704,"yyyy-mm"))</f>
        <v/>
      </c>
      <c r="G704">
        <f>IF(OR($E704="",$F704=""),"",IFERROR(IF($E704=INDEX(Cluster_Master!$A$4:$A$18,MATCH($F704,Cluster_Master!$B$4:$B$18,0)),"OK","CHECK"),"CHECK"))</f>
        <v/>
      </c>
      <c r="H704">
        <f>IFERROR(INDEX(Cluster_Master!$C$4:$C$18,MATCH($F704,Cluster_Master!$B$4:$B$18,0)),"")</f>
        <v/>
      </c>
      <c r="I704">
        <f>IFERROR(INDEX(Cluster_Master!$D$4:$D$18,MATCH($F704,Cluster_Master!$B$4:$B$18,0)),"")</f>
        <v/>
      </c>
      <c r="J704">
        <f>IFERROR(INDEX(Cluster_Master!$E$4:$E$18,MATCH($F704,Cluster_Master!$B$4:$B$18,0)),"")</f>
        <v/>
      </c>
      <c r="K704">
        <f>IFERROR(INDEX(Cluster_Master!$F$4:$F$18,MATCH($F704,Cluster_Master!$B$4:$B$18,0)),"")</f>
        <v/>
      </c>
      <c r="L704">
        <f>IFERROR(INDEX(Cluster_Master!$G$4:$G$18,MATCH($F704,Cluster_Master!$B$4:$B$18,0)),"")</f>
        <v/>
      </c>
      <c r="M704">
        <f>IFERROR(INDEX(Cluster_Master!$H$4:$H$18,MATCH($F704,Cluster_Master!$B$4:$B$18,0)),"")</f>
        <v/>
      </c>
      <c r="AI704">
        <f>IF(COUNTA(T704:AH704)=0,"",SUM(T704:AH704))</f>
        <v/>
      </c>
      <c r="AJ704">
        <f>IF(COUNTA(T704:AH704)=0,"",AI704/(COUNT(KPI_Weights!$A$4:$A$18)*5))</f>
        <v/>
      </c>
      <c r="AK704">
        <f>IF(COUNTA(T704:AH704)=0,"",SUMPRODUCT(T704:AH704,KPI_Weights!$B$4:$B$18)/5)</f>
        <v/>
      </c>
      <c r="AL704">
        <f>IF(COUNTA(T704:AH704)=0,"",IF(SUMPRODUCT(--(T704:AH704&lt;=1),--(KPI_Weights!$C$4:$C$18="YES"))&gt;0,"YES","NO"))</f>
        <v/>
      </c>
      <c r="AM704">
        <f>IF(AJ704="","",IF(AND(AL704="NO",AJ704&gt;=0.75),"YES","NO"))</f>
        <v/>
      </c>
      <c r="AN704">
        <f>IF(AJ704="","",IF(AJ704&lt;0.4,"Critical",IF(AJ704&lt;0.6,"Poor",IF(AJ704&lt;0.75,"Needs Improvement",IF(AJ704&lt;0.9,"Good","Excellent")))))</f>
        <v/>
      </c>
    </row>
    <row r="705" ht="15" customHeight="1" s="45">
      <c r="A705">
        <f>IF($B705="","",TEXT($B705,"yyyymmdd")&amp;"-"&amp;SUBSTITUTE($F705," ","")&amp;"-"&amp;TEXT(COUNTIF($F$4:F705,$F705),"00"))</f>
        <v/>
      </c>
      <c r="C705">
        <f>IF($B705="","",WEEKNUM($B705,2))</f>
        <v/>
      </c>
      <c r="D705">
        <f>IF($B705="","",TEXT($B705,"yyyy-mm"))</f>
        <v/>
      </c>
      <c r="G705">
        <f>IF(OR($E705="",$F705=""),"",IFERROR(IF($E705=INDEX(Cluster_Master!$A$4:$A$18,MATCH($F705,Cluster_Master!$B$4:$B$18,0)),"OK","CHECK"),"CHECK"))</f>
        <v/>
      </c>
      <c r="H705">
        <f>IFERROR(INDEX(Cluster_Master!$C$4:$C$18,MATCH($F705,Cluster_Master!$B$4:$B$18,0)),"")</f>
        <v/>
      </c>
      <c r="I705">
        <f>IFERROR(INDEX(Cluster_Master!$D$4:$D$18,MATCH($F705,Cluster_Master!$B$4:$B$18,0)),"")</f>
        <v/>
      </c>
      <c r="J705">
        <f>IFERROR(INDEX(Cluster_Master!$E$4:$E$18,MATCH($F705,Cluster_Master!$B$4:$B$18,0)),"")</f>
        <v/>
      </c>
      <c r="K705">
        <f>IFERROR(INDEX(Cluster_Master!$F$4:$F$18,MATCH($F705,Cluster_Master!$B$4:$B$18,0)),"")</f>
        <v/>
      </c>
      <c r="L705">
        <f>IFERROR(INDEX(Cluster_Master!$G$4:$G$18,MATCH($F705,Cluster_Master!$B$4:$B$18,0)),"")</f>
        <v/>
      </c>
      <c r="M705">
        <f>IFERROR(INDEX(Cluster_Master!$H$4:$H$18,MATCH($F705,Cluster_Master!$B$4:$B$18,0)),"")</f>
        <v/>
      </c>
      <c r="AI705">
        <f>IF(COUNTA(T705:AH705)=0,"",SUM(T705:AH705))</f>
        <v/>
      </c>
      <c r="AJ705">
        <f>IF(COUNTA(T705:AH705)=0,"",AI705/(COUNT(KPI_Weights!$A$4:$A$18)*5))</f>
        <v/>
      </c>
      <c r="AK705">
        <f>IF(COUNTA(T705:AH705)=0,"",SUMPRODUCT(T705:AH705,KPI_Weights!$B$4:$B$18)/5)</f>
        <v/>
      </c>
      <c r="AL705">
        <f>IF(COUNTA(T705:AH705)=0,"",IF(SUMPRODUCT(--(T705:AH705&lt;=1),--(KPI_Weights!$C$4:$C$18="YES"))&gt;0,"YES","NO"))</f>
        <v/>
      </c>
      <c r="AM705">
        <f>IF(AJ705="","",IF(AND(AL705="NO",AJ705&gt;=0.75),"YES","NO"))</f>
        <v/>
      </c>
      <c r="AN705">
        <f>IF(AJ705="","",IF(AJ705&lt;0.4,"Critical",IF(AJ705&lt;0.6,"Poor",IF(AJ705&lt;0.75,"Needs Improvement",IF(AJ705&lt;0.9,"Good","Excellent")))))</f>
        <v/>
      </c>
    </row>
    <row r="706" ht="15" customHeight="1" s="45">
      <c r="A706">
        <f>IF($B706="","",TEXT($B706,"yyyymmdd")&amp;"-"&amp;SUBSTITUTE($F706," ","")&amp;"-"&amp;TEXT(COUNTIF($F$4:F706,$F706),"00"))</f>
        <v/>
      </c>
      <c r="C706">
        <f>IF($B706="","",WEEKNUM($B706,2))</f>
        <v/>
      </c>
      <c r="D706">
        <f>IF($B706="","",TEXT($B706,"yyyy-mm"))</f>
        <v/>
      </c>
      <c r="G706">
        <f>IF(OR($E706="",$F706=""),"",IFERROR(IF($E706=INDEX(Cluster_Master!$A$4:$A$18,MATCH($F706,Cluster_Master!$B$4:$B$18,0)),"OK","CHECK"),"CHECK"))</f>
        <v/>
      </c>
      <c r="H706">
        <f>IFERROR(INDEX(Cluster_Master!$C$4:$C$18,MATCH($F706,Cluster_Master!$B$4:$B$18,0)),"")</f>
        <v/>
      </c>
      <c r="I706">
        <f>IFERROR(INDEX(Cluster_Master!$D$4:$D$18,MATCH($F706,Cluster_Master!$B$4:$B$18,0)),"")</f>
        <v/>
      </c>
      <c r="J706">
        <f>IFERROR(INDEX(Cluster_Master!$E$4:$E$18,MATCH($F706,Cluster_Master!$B$4:$B$18,0)),"")</f>
        <v/>
      </c>
      <c r="K706">
        <f>IFERROR(INDEX(Cluster_Master!$F$4:$F$18,MATCH($F706,Cluster_Master!$B$4:$B$18,0)),"")</f>
        <v/>
      </c>
      <c r="L706">
        <f>IFERROR(INDEX(Cluster_Master!$G$4:$G$18,MATCH($F706,Cluster_Master!$B$4:$B$18,0)),"")</f>
        <v/>
      </c>
      <c r="M706">
        <f>IFERROR(INDEX(Cluster_Master!$H$4:$H$18,MATCH($F706,Cluster_Master!$B$4:$B$18,0)),"")</f>
        <v/>
      </c>
      <c r="AI706">
        <f>IF(COUNTA(T706:AH706)=0,"",SUM(T706:AH706))</f>
        <v/>
      </c>
      <c r="AJ706">
        <f>IF(COUNTA(T706:AH706)=0,"",AI706/(COUNT(KPI_Weights!$A$4:$A$18)*5))</f>
        <v/>
      </c>
      <c r="AK706">
        <f>IF(COUNTA(T706:AH706)=0,"",SUMPRODUCT(T706:AH706,KPI_Weights!$B$4:$B$18)/5)</f>
        <v/>
      </c>
      <c r="AL706">
        <f>IF(COUNTA(T706:AH706)=0,"",IF(SUMPRODUCT(--(T706:AH706&lt;=1),--(KPI_Weights!$C$4:$C$18="YES"))&gt;0,"YES","NO"))</f>
        <v/>
      </c>
      <c r="AM706">
        <f>IF(AJ706="","",IF(AND(AL706="NO",AJ706&gt;=0.75),"YES","NO"))</f>
        <v/>
      </c>
      <c r="AN706">
        <f>IF(AJ706="","",IF(AJ706&lt;0.4,"Critical",IF(AJ706&lt;0.6,"Poor",IF(AJ706&lt;0.75,"Needs Improvement",IF(AJ706&lt;0.9,"Good","Excellent")))))</f>
        <v/>
      </c>
    </row>
    <row r="707" ht="15" customHeight="1" s="45">
      <c r="A707">
        <f>IF($B707="","",TEXT($B707,"yyyymmdd")&amp;"-"&amp;SUBSTITUTE($F707," ","")&amp;"-"&amp;TEXT(COUNTIF($F$4:F707,$F707),"00"))</f>
        <v/>
      </c>
      <c r="C707">
        <f>IF($B707="","",WEEKNUM($B707,2))</f>
        <v/>
      </c>
      <c r="D707">
        <f>IF($B707="","",TEXT($B707,"yyyy-mm"))</f>
        <v/>
      </c>
      <c r="G707">
        <f>IF(OR($E707="",$F707=""),"",IFERROR(IF($E707=INDEX(Cluster_Master!$A$4:$A$18,MATCH($F707,Cluster_Master!$B$4:$B$18,0)),"OK","CHECK"),"CHECK"))</f>
        <v/>
      </c>
      <c r="H707">
        <f>IFERROR(INDEX(Cluster_Master!$C$4:$C$18,MATCH($F707,Cluster_Master!$B$4:$B$18,0)),"")</f>
        <v/>
      </c>
      <c r="I707">
        <f>IFERROR(INDEX(Cluster_Master!$D$4:$D$18,MATCH($F707,Cluster_Master!$B$4:$B$18,0)),"")</f>
        <v/>
      </c>
      <c r="J707">
        <f>IFERROR(INDEX(Cluster_Master!$E$4:$E$18,MATCH($F707,Cluster_Master!$B$4:$B$18,0)),"")</f>
        <v/>
      </c>
      <c r="K707">
        <f>IFERROR(INDEX(Cluster_Master!$F$4:$F$18,MATCH($F707,Cluster_Master!$B$4:$B$18,0)),"")</f>
        <v/>
      </c>
      <c r="L707">
        <f>IFERROR(INDEX(Cluster_Master!$G$4:$G$18,MATCH($F707,Cluster_Master!$B$4:$B$18,0)),"")</f>
        <v/>
      </c>
      <c r="M707">
        <f>IFERROR(INDEX(Cluster_Master!$H$4:$H$18,MATCH($F707,Cluster_Master!$B$4:$B$18,0)),"")</f>
        <v/>
      </c>
      <c r="AI707">
        <f>IF(COUNTA(T707:AH707)=0,"",SUM(T707:AH707))</f>
        <v/>
      </c>
      <c r="AJ707">
        <f>IF(COUNTA(T707:AH707)=0,"",AI707/(COUNT(KPI_Weights!$A$4:$A$18)*5))</f>
        <v/>
      </c>
      <c r="AK707">
        <f>IF(COUNTA(T707:AH707)=0,"",SUMPRODUCT(T707:AH707,KPI_Weights!$B$4:$B$18)/5)</f>
        <v/>
      </c>
      <c r="AL707">
        <f>IF(COUNTA(T707:AH707)=0,"",IF(SUMPRODUCT(--(T707:AH707&lt;=1),--(KPI_Weights!$C$4:$C$18="YES"))&gt;0,"YES","NO"))</f>
        <v/>
      </c>
      <c r="AM707">
        <f>IF(AJ707="","",IF(AND(AL707="NO",AJ707&gt;=0.75),"YES","NO"))</f>
        <v/>
      </c>
      <c r="AN707">
        <f>IF(AJ707="","",IF(AJ707&lt;0.4,"Critical",IF(AJ707&lt;0.6,"Poor",IF(AJ707&lt;0.75,"Needs Improvement",IF(AJ707&lt;0.9,"Good","Excellent")))))</f>
        <v/>
      </c>
    </row>
    <row r="708" ht="15" customHeight="1" s="45">
      <c r="A708">
        <f>IF($B708="","",TEXT($B708,"yyyymmdd")&amp;"-"&amp;SUBSTITUTE($F708," ","")&amp;"-"&amp;TEXT(COUNTIF($F$4:F708,$F708),"00"))</f>
        <v/>
      </c>
      <c r="C708">
        <f>IF($B708="","",WEEKNUM($B708,2))</f>
        <v/>
      </c>
      <c r="D708">
        <f>IF($B708="","",TEXT($B708,"yyyy-mm"))</f>
        <v/>
      </c>
      <c r="G708">
        <f>IF(OR($E708="",$F708=""),"",IFERROR(IF($E708=INDEX(Cluster_Master!$A$4:$A$18,MATCH($F708,Cluster_Master!$B$4:$B$18,0)),"OK","CHECK"),"CHECK"))</f>
        <v/>
      </c>
      <c r="H708">
        <f>IFERROR(INDEX(Cluster_Master!$C$4:$C$18,MATCH($F708,Cluster_Master!$B$4:$B$18,0)),"")</f>
        <v/>
      </c>
      <c r="I708">
        <f>IFERROR(INDEX(Cluster_Master!$D$4:$D$18,MATCH($F708,Cluster_Master!$B$4:$B$18,0)),"")</f>
        <v/>
      </c>
      <c r="J708">
        <f>IFERROR(INDEX(Cluster_Master!$E$4:$E$18,MATCH($F708,Cluster_Master!$B$4:$B$18,0)),"")</f>
        <v/>
      </c>
      <c r="K708">
        <f>IFERROR(INDEX(Cluster_Master!$F$4:$F$18,MATCH($F708,Cluster_Master!$B$4:$B$18,0)),"")</f>
        <v/>
      </c>
      <c r="L708">
        <f>IFERROR(INDEX(Cluster_Master!$G$4:$G$18,MATCH($F708,Cluster_Master!$B$4:$B$18,0)),"")</f>
        <v/>
      </c>
      <c r="M708">
        <f>IFERROR(INDEX(Cluster_Master!$H$4:$H$18,MATCH($F708,Cluster_Master!$B$4:$B$18,0)),"")</f>
        <v/>
      </c>
      <c r="AI708">
        <f>IF(COUNTA(T708:AH708)=0,"",SUM(T708:AH708))</f>
        <v/>
      </c>
      <c r="AJ708">
        <f>IF(COUNTA(T708:AH708)=0,"",AI708/(COUNT(KPI_Weights!$A$4:$A$18)*5))</f>
        <v/>
      </c>
      <c r="AK708">
        <f>IF(COUNTA(T708:AH708)=0,"",SUMPRODUCT(T708:AH708,KPI_Weights!$B$4:$B$18)/5)</f>
        <v/>
      </c>
      <c r="AL708">
        <f>IF(COUNTA(T708:AH708)=0,"",IF(SUMPRODUCT(--(T708:AH708&lt;=1),--(KPI_Weights!$C$4:$C$18="YES"))&gt;0,"YES","NO"))</f>
        <v/>
      </c>
      <c r="AM708">
        <f>IF(AJ708="","",IF(AND(AL708="NO",AJ708&gt;=0.75),"YES","NO"))</f>
        <v/>
      </c>
      <c r="AN708">
        <f>IF(AJ708="","",IF(AJ708&lt;0.4,"Critical",IF(AJ708&lt;0.6,"Poor",IF(AJ708&lt;0.75,"Needs Improvement",IF(AJ708&lt;0.9,"Good","Excellent")))))</f>
        <v/>
      </c>
    </row>
    <row r="709" ht="15" customHeight="1" s="45">
      <c r="A709">
        <f>IF($B709="","",TEXT($B709,"yyyymmdd")&amp;"-"&amp;SUBSTITUTE($F709," ","")&amp;"-"&amp;TEXT(COUNTIF($F$4:F709,$F709),"00"))</f>
        <v/>
      </c>
      <c r="C709">
        <f>IF($B709="","",WEEKNUM($B709,2))</f>
        <v/>
      </c>
      <c r="D709">
        <f>IF($B709="","",TEXT($B709,"yyyy-mm"))</f>
        <v/>
      </c>
      <c r="G709">
        <f>IF(OR($E709="",$F709=""),"",IFERROR(IF($E709=INDEX(Cluster_Master!$A$4:$A$18,MATCH($F709,Cluster_Master!$B$4:$B$18,0)),"OK","CHECK"),"CHECK"))</f>
        <v/>
      </c>
      <c r="H709">
        <f>IFERROR(INDEX(Cluster_Master!$C$4:$C$18,MATCH($F709,Cluster_Master!$B$4:$B$18,0)),"")</f>
        <v/>
      </c>
      <c r="I709">
        <f>IFERROR(INDEX(Cluster_Master!$D$4:$D$18,MATCH($F709,Cluster_Master!$B$4:$B$18,0)),"")</f>
        <v/>
      </c>
      <c r="J709">
        <f>IFERROR(INDEX(Cluster_Master!$E$4:$E$18,MATCH($F709,Cluster_Master!$B$4:$B$18,0)),"")</f>
        <v/>
      </c>
      <c r="K709">
        <f>IFERROR(INDEX(Cluster_Master!$F$4:$F$18,MATCH($F709,Cluster_Master!$B$4:$B$18,0)),"")</f>
        <v/>
      </c>
      <c r="L709">
        <f>IFERROR(INDEX(Cluster_Master!$G$4:$G$18,MATCH($F709,Cluster_Master!$B$4:$B$18,0)),"")</f>
        <v/>
      </c>
      <c r="M709">
        <f>IFERROR(INDEX(Cluster_Master!$H$4:$H$18,MATCH($F709,Cluster_Master!$B$4:$B$18,0)),"")</f>
        <v/>
      </c>
      <c r="AI709">
        <f>IF(COUNTA(T709:AH709)=0,"",SUM(T709:AH709))</f>
        <v/>
      </c>
      <c r="AJ709">
        <f>IF(COUNTA(T709:AH709)=0,"",AI709/(COUNT(KPI_Weights!$A$4:$A$18)*5))</f>
        <v/>
      </c>
      <c r="AK709">
        <f>IF(COUNTA(T709:AH709)=0,"",SUMPRODUCT(T709:AH709,KPI_Weights!$B$4:$B$18)/5)</f>
        <v/>
      </c>
      <c r="AL709">
        <f>IF(COUNTA(T709:AH709)=0,"",IF(SUMPRODUCT(--(T709:AH709&lt;=1),--(KPI_Weights!$C$4:$C$18="YES"))&gt;0,"YES","NO"))</f>
        <v/>
      </c>
      <c r="AM709">
        <f>IF(AJ709="","",IF(AND(AL709="NO",AJ709&gt;=0.75),"YES","NO"))</f>
        <v/>
      </c>
      <c r="AN709">
        <f>IF(AJ709="","",IF(AJ709&lt;0.4,"Critical",IF(AJ709&lt;0.6,"Poor",IF(AJ709&lt;0.75,"Needs Improvement",IF(AJ709&lt;0.9,"Good","Excellent")))))</f>
        <v/>
      </c>
    </row>
    <row r="710" ht="15" customHeight="1" s="45">
      <c r="A710">
        <f>IF($B710="","",TEXT($B710,"yyyymmdd")&amp;"-"&amp;SUBSTITUTE($F710," ","")&amp;"-"&amp;TEXT(COUNTIF($F$4:F710,$F710),"00"))</f>
        <v/>
      </c>
      <c r="C710">
        <f>IF($B710="","",WEEKNUM($B710,2))</f>
        <v/>
      </c>
      <c r="D710">
        <f>IF($B710="","",TEXT($B710,"yyyy-mm"))</f>
        <v/>
      </c>
      <c r="G710">
        <f>IF(OR($E710="",$F710=""),"",IFERROR(IF($E710=INDEX(Cluster_Master!$A$4:$A$18,MATCH($F710,Cluster_Master!$B$4:$B$18,0)),"OK","CHECK"),"CHECK"))</f>
        <v/>
      </c>
      <c r="H710">
        <f>IFERROR(INDEX(Cluster_Master!$C$4:$C$18,MATCH($F710,Cluster_Master!$B$4:$B$18,0)),"")</f>
        <v/>
      </c>
      <c r="I710">
        <f>IFERROR(INDEX(Cluster_Master!$D$4:$D$18,MATCH($F710,Cluster_Master!$B$4:$B$18,0)),"")</f>
        <v/>
      </c>
      <c r="J710">
        <f>IFERROR(INDEX(Cluster_Master!$E$4:$E$18,MATCH($F710,Cluster_Master!$B$4:$B$18,0)),"")</f>
        <v/>
      </c>
      <c r="K710">
        <f>IFERROR(INDEX(Cluster_Master!$F$4:$F$18,MATCH($F710,Cluster_Master!$B$4:$B$18,0)),"")</f>
        <v/>
      </c>
      <c r="L710">
        <f>IFERROR(INDEX(Cluster_Master!$G$4:$G$18,MATCH($F710,Cluster_Master!$B$4:$B$18,0)),"")</f>
        <v/>
      </c>
      <c r="M710">
        <f>IFERROR(INDEX(Cluster_Master!$H$4:$H$18,MATCH($F710,Cluster_Master!$B$4:$B$18,0)),"")</f>
        <v/>
      </c>
      <c r="AI710">
        <f>IF(COUNTA(T710:AH710)=0,"",SUM(T710:AH710))</f>
        <v/>
      </c>
      <c r="AJ710">
        <f>IF(COUNTA(T710:AH710)=0,"",AI710/(COUNT(KPI_Weights!$A$4:$A$18)*5))</f>
        <v/>
      </c>
      <c r="AK710">
        <f>IF(COUNTA(T710:AH710)=0,"",SUMPRODUCT(T710:AH710,KPI_Weights!$B$4:$B$18)/5)</f>
        <v/>
      </c>
      <c r="AL710">
        <f>IF(COUNTA(T710:AH710)=0,"",IF(SUMPRODUCT(--(T710:AH710&lt;=1),--(KPI_Weights!$C$4:$C$18="YES"))&gt;0,"YES","NO"))</f>
        <v/>
      </c>
      <c r="AM710">
        <f>IF(AJ710="","",IF(AND(AL710="NO",AJ710&gt;=0.75),"YES","NO"))</f>
        <v/>
      </c>
      <c r="AN710">
        <f>IF(AJ710="","",IF(AJ710&lt;0.4,"Critical",IF(AJ710&lt;0.6,"Poor",IF(AJ710&lt;0.75,"Needs Improvement",IF(AJ710&lt;0.9,"Good","Excellent")))))</f>
        <v/>
      </c>
    </row>
    <row r="711" ht="15" customHeight="1" s="45">
      <c r="A711">
        <f>IF($B711="","",TEXT($B711,"yyyymmdd")&amp;"-"&amp;SUBSTITUTE($F711," ","")&amp;"-"&amp;TEXT(COUNTIF($F$4:F711,$F711),"00"))</f>
        <v/>
      </c>
      <c r="C711">
        <f>IF($B711="","",WEEKNUM($B711,2))</f>
        <v/>
      </c>
      <c r="D711">
        <f>IF($B711="","",TEXT($B711,"yyyy-mm"))</f>
        <v/>
      </c>
      <c r="G711">
        <f>IF(OR($E711="",$F711=""),"",IFERROR(IF($E711=INDEX(Cluster_Master!$A$4:$A$18,MATCH($F711,Cluster_Master!$B$4:$B$18,0)),"OK","CHECK"),"CHECK"))</f>
        <v/>
      </c>
      <c r="H711">
        <f>IFERROR(INDEX(Cluster_Master!$C$4:$C$18,MATCH($F711,Cluster_Master!$B$4:$B$18,0)),"")</f>
        <v/>
      </c>
      <c r="I711">
        <f>IFERROR(INDEX(Cluster_Master!$D$4:$D$18,MATCH($F711,Cluster_Master!$B$4:$B$18,0)),"")</f>
        <v/>
      </c>
      <c r="J711">
        <f>IFERROR(INDEX(Cluster_Master!$E$4:$E$18,MATCH($F711,Cluster_Master!$B$4:$B$18,0)),"")</f>
        <v/>
      </c>
      <c r="K711">
        <f>IFERROR(INDEX(Cluster_Master!$F$4:$F$18,MATCH($F711,Cluster_Master!$B$4:$B$18,0)),"")</f>
        <v/>
      </c>
      <c r="L711">
        <f>IFERROR(INDEX(Cluster_Master!$G$4:$G$18,MATCH($F711,Cluster_Master!$B$4:$B$18,0)),"")</f>
        <v/>
      </c>
      <c r="M711">
        <f>IFERROR(INDEX(Cluster_Master!$H$4:$H$18,MATCH($F711,Cluster_Master!$B$4:$B$18,0)),"")</f>
        <v/>
      </c>
      <c r="AI711">
        <f>IF(COUNTA(T711:AH711)=0,"",SUM(T711:AH711))</f>
        <v/>
      </c>
      <c r="AJ711">
        <f>IF(COUNTA(T711:AH711)=0,"",AI711/(COUNT(KPI_Weights!$A$4:$A$18)*5))</f>
        <v/>
      </c>
      <c r="AK711">
        <f>IF(COUNTA(T711:AH711)=0,"",SUMPRODUCT(T711:AH711,KPI_Weights!$B$4:$B$18)/5)</f>
        <v/>
      </c>
      <c r="AL711">
        <f>IF(COUNTA(T711:AH711)=0,"",IF(SUMPRODUCT(--(T711:AH711&lt;=1),--(KPI_Weights!$C$4:$C$18="YES"))&gt;0,"YES","NO"))</f>
        <v/>
      </c>
      <c r="AM711">
        <f>IF(AJ711="","",IF(AND(AL711="NO",AJ711&gt;=0.75),"YES","NO"))</f>
        <v/>
      </c>
      <c r="AN711">
        <f>IF(AJ711="","",IF(AJ711&lt;0.4,"Critical",IF(AJ711&lt;0.6,"Poor",IF(AJ711&lt;0.75,"Needs Improvement",IF(AJ711&lt;0.9,"Good","Excellent")))))</f>
        <v/>
      </c>
    </row>
    <row r="712" ht="15" customHeight="1" s="45">
      <c r="A712">
        <f>IF($B712="","",TEXT($B712,"yyyymmdd")&amp;"-"&amp;SUBSTITUTE($F712," ","")&amp;"-"&amp;TEXT(COUNTIF($F$4:F712,$F712),"00"))</f>
        <v/>
      </c>
      <c r="C712">
        <f>IF($B712="","",WEEKNUM($B712,2))</f>
        <v/>
      </c>
      <c r="D712">
        <f>IF($B712="","",TEXT($B712,"yyyy-mm"))</f>
        <v/>
      </c>
      <c r="G712">
        <f>IF(OR($E712="",$F712=""),"",IFERROR(IF($E712=INDEX(Cluster_Master!$A$4:$A$18,MATCH($F712,Cluster_Master!$B$4:$B$18,0)),"OK","CHECK"),"CHECK"))</f>
        <v/>
      </c>
      <c r="H712">
        <f>IFERROR(INDEX(Cluster_Master!$C$4:$C$18,MATCH($F712,Cluster_Master!$B$4:$B$18,0)),"")</f>
        <v/>
      </c>
      <c r="I712">
        <f>IFERROR(INDEX(Cluster_Master!$D$4:$D$18,MATCH($F712,Cluster_Master!$B$4:$B$18,0)),"")</f>
        <v/>
      </c>
      <c r="J712">
        <f>IFERROR(INDEX(Cluster_Master!$E$4:$E$18,MATCH($F712,Cluster_Master!$B$4:$B$18,0)),"")</f>
        <v/>
      </c>
      <c r="K712">
        <f>IFERROR(INDEX(Cluster_Master!$F$4:$F$18,MATCH($F712,Cluster_Master!$B$4:$B$18,0)),"")</f>
        <v/>
      </c>
      <c r="L712">
        <f>IFERROR(INDEX(Cluster_Master!$G$4:$G$18,MATCH($F712,Cluster_Master!$B$4:$B$18,0)),"")</f>
        <v/>
      </c>
      <c r="M712">
        <f>IFERROR(INDEX(Cluster_Master!$H$4:$H$18,MATCH($F712,Cluster_Master!$B$4:$B$18,0)),"")</f>
        <v/>
      </c>
      <c r="AI712">
        <f>IF(COUNTA(T712:AH712)=0,"",SUM(T712:AH712))</f>
        <v/>
      </c>
      <c r="AJ712">
        <f>IF(COUNTA(T712:AH712)=0,"",AI712/(COUNT(KPI_Weights!$A$4:$A$18)*5))</f>
        <v/>
      </c>
      <c r="AK712">
        <f>IF(COUNTA(T712:AH712)=0,"",SUMPRODUCT(T712:AH712,KPI_Weights!$B$4:$B$18)/5)</f>
        <v/>
      </c>
      <c r="AL712">
        <f>IF(COUNTA(T712:AH712)=0,"",IF(SUMPRODUCT(--(T712:AH712&lt;=1),--(KPI_Weights!$C$4:$C$18="YES"))&gt;0,"YES","NO"))</f>
        <v/>
      </c>
      <c r="AM712">
        <f>IF(AJ712="","",IF(AND(AL712="NO",AJ712&gt;=0.75),"YES","NO"))</f>
        <v/>
      </c>
      <c r="AN712">
        <f>IF(AJ712="","",IF(AJ712&lt;0.4,"Critical",IF(AJ712&lt;0.6,"Poor",IF(AJ712&lt;0.75,"Needs Improvement",IF(AJ712&lt;0.9,"Good","Excellent")))))</f>
        <v/>
      </c>
    </row>
    <row r="713" ht="15" customHeight="1" s="45">
      <c r="A713">
        <f>IF($B713="","",TEXT($B713,"yyyymmdd")&amp;"-"&amp;SUBSTITUTE($F713," ","")&amp;"-"&amp;TEXT(COUNTIF($F$4:F713,$F713),"00"))</f>
        <v/>
      </c>
      <c r="C713">
        <f>IF($B713="","",WEEKNUM($B713,2))</f>
        <v/>
      </c>
      <c r="D713">
        <f>IF($B713="","",TEXT($B713,"yyyy-mm"))</f>
        <v/>
      </c>
      <c r="G713">
        <f>IF(OR($E713="",$F713=""),"",IFERROR(IF($E713=INDEX(Cluster_Master!$A$4:$A$18,MATCH($F713,Cluster_Master!$B$4:$B$18,0)),"OK","CHECK"),"CHECK"))</f>
        <v/>
      </c>
      <c r="H713">
        <f>IFERROR(INDEX(Cluster_Master!$C$4:$C$18,MATCH($F713,Cluster_Master!$B$4:$B$18,0)),"")</f>
        <v/>
      </c>
      <c r="I713">
        <f>IFERROR(INDEX(Cluster_Master!$D$4:$D$18,MATCH($F713,Cluster_Master!$B$4:$B$18,0)),"")</f>
        <v/>
      </c>
      <c r="J713">
        <f>IFERROR(INDEX(Cluster_Master!$E$4:$E$18,MATCH($F713,Cluster_Master!$B$4:$B$18,0)),"")</f>
        <v/>
      </c>
      <c r="K713">
        <f>IFERROR(INDEX(Cluster_Master!$F$4:$F$18,MATCH($F713,Cluster_Master!$B$4:$B$18,0)),"")</f>
        <v/>
      </c>
      <c r="L713">
        <f>IFERROR(INDEX(Cluster_Master!$G$4:$G$18,MATCH($F713,Cluster_Master!$B$4:$B$18,0)),"")</f>
        <v/>
      </c>
      <c r="M713">
        <f>IFERROR(INDEX(Cluster_Master!$H$4:$H$18,MATCH($F713,Cluster_Master!$B$4:$B$18,0)),"")</f>
        <v/>
      </c>
      <c r="AI713">
        <f>IF(COUNTA(T713:AH713)=0,"",SUM(T713:AH713))</f>
        <v/>
      </c>
      <c r="AJ713">
        <f>IF(COUNTA(T713:AH713)=0,"",AI713/(COUNT(KPI_Weights!$A$4:$A$18)*5))</f>
        <v/>
      </c>
      <c r="AK713">
        <f>IF(COUNTA(T713:AH713)=0,"",SUMPRODUCT(T713:AH713,KPI_Weights!$B$4:$B$18)/5)</f>
        <v/>
      </c>
      <c r="AL713">
        <f>IF(COUNTA(T713:AH713)=0,"",IF(SUMPRODUCT(--(T713:AH713&lt;=1),--(KPI_Weights!$C$4:$C$18="YES"))&gt;0,"YES","NO"))</f>
        <v/>
      </c>
      <c r="AM713">
        <f>IF(AJ713="","",IF(AND(AL713="NO",AJ713&gt;=0.75),"YES","NO"))</f>
        <v/>
      </c>
      <c r="AN713">
        <f>IF(AJ713="","",IF(AJ713&lt;0.4,"Critical",IF(AJ713&lt;0.6,"Poor",IF(AJ713&lt;0.75,"Needs Improvement",IF(AJ713&lt;0.9,"Good","Excellent")))))</f>
        <v/>
      </c>
    </row>
    <row r="714" ht="15" customHeight="1" s="45">
      <c r="A714">
        <f>IF($B714="","",TEXT($B714,"yyyymmdd")&amp;"-"&amp;SUBSTITUTE($F714," ","")&amp;"-"&amp;TEXT(COUNTIF($F$4:F714,$F714),"00"))</f>
        <v/>
      </c>
      <c r="C714">
        <f>IF($B714="","",WEEKNUM($B714,2))</f>
        <v/>
      </c>
      <c r="D714">
        <f>IF($B714="","",TEXT($B714,"yyyy-mm"))</f>
        <v/>
      </c>
      <c r="G714">
        <f>IF(OR($E714="",$F714=""),"",IFERROR(IF($E714=INDEX(Cluster_Master!$A$4:$A$18,MATCH($F714,Cluster_Master!$B$4:$B$18,0)),"OK","CHECK"),"CHECK"))</f>
        <v/>
      </c>
      <c r="H714">
        <f>IFERROR(INDEX(Cluster_Master!$C$4:$C$18,MATCH($F714,Cluster_Master!$B$4:$B$18,0)),"")</f>
        <v/>
      </c>
      <c r="I714">
        <f>IFERROR(INDEX(Cluster_Master!$D$4:$D$18,MATCH($F714,Cluster_Master!$B$4:$B$18,0)),"")</f>
        <v/>
      </c>
      <c r="J714">
        <f>IFERROR(INDEX(Cluster_Master!$E$4:$E$18,MATCH($F714,Cluster_Master!$B$4:$B$18,0)),"")</f>
        <v/>
      </c>
      <c r="K714">
        <f>IFERROR(INDEX(Cluster_Master!$F$4:$F$18,MATCH($F714,Cluster_Master!$B$4:$B$18,0)),"")</f>
        <v/>
      </c>
      <c r="L714">
        <f>IFERROR(INDEX(Cluster_Master!$G$4:$G$18,MATCH($F714,Cluster_Master!$B$4:$B$18,0)),"")</f>
        <v/>
      </c>
      <c r="M714">
        <f>IFERROR(INDEX(Cluster_Master!$H$4:$H$18,MATCH($F714,Cluster_Master!$B$4:$B$18,0)),"")</f>
        <v/>
      </c>
      <c r="AI714">
        <f>IF(COUNTA(T714:AH714)=0,"",SUM(T714:AH714))</f>
        <v/>
      </c>
      <c r="AJ714">
        <f>IF(COUNTA(T714:AH714)=0,"",AI714/(COUNT(KPI_Weights!$A$4:$A$18)*5))</f>
        <v/>
      </c>
      <c r="AK714">
        <f>IF(COUNTA(T714:AH714)=0,"",SUMPRODUCT(T714:AH714,KPI_Weights!$B$4:$B$18)/5)</f>
        <v/>
      </c>
      <c r="AL714">
        <f>IF(COUNTA(T714:AH714)=0,"",IF(SUMPRODUCT(--(T714:AH714&lt;=1),--(KPI_Weights!$C$4:$C$18="YES"))&gt;0,"YES","NO"))</f>
        <v/>
      </c>
      <c r="AM714">
        <f>IF(AJ714="","",IF(AND(AL714="NO",AJ714&gt;=0.75),"YES","NO"))</f>
        <v/>
      </c>
      <c r="AN714">
        <f>IF(AJ714="","",IF(AJ714&lt;0.4,"Critical",IF(AJ714&lt;0.6,"Poor",IF(AJ714&lt;0.75,"Needs Improvement",IF(AJ714&lt;0.9,"Good","Excellent")))))</f>
        <v/>
      </c>
    </row>
    <row r="715" ht="15" customHeight="1" s="45">
      <c r="A715">
        <f>IF($B715="","",TEXT($B715,"yyyymmdd")&amp;"-"&amp;SUBSTITUTE($F715," ","")&amp;"-"&amp;TEXT(COUNTIF($F$4:F715,$F715),"00"))</f>
        <v/>
      </c>
      <c r="C715">
        <f>IF($B715="","",WEEKNUM($B715,2))</f>
        <v/>
      </c>
      <c r="D715">
        <f>IF($B715="","",TEXT($B715,"yyyy-mm"))</f>
        <v/>
      </c>
      <c r="G715">
        <f>IF(OR($E715="",$F715=""),"",IFERROR(IF($E715=INDEX(Cluster_Master!$A$4:$A$18,MATCH($F715,Cluster_Master!$B$4:$B$18,0)),"OK","CHECK"),"CHECK"))</f>
        <v/>
      </c>
      <c r="H715">
        <f>IFERROR(INDEX(Cluster_Master!$C$4:$C$18,MATCH($F715,Cluster_Master!$B$4:$B$18,0)),"")</f>
        <v/>
      </c>
      <c r="I715">
        <f>IFERROR(INDEX(Cluster_Master!$D$4:$D$18,MATCH($F715,Cluster_Master!$B$4:$B$18,0)),"")</f>
        <v/>
      </c>
      <c r="J715">
        <f>IFERROR(INDEX(Cluster_Master!$E$4:$E$18,MATCH($F715,Cluster_Master!$B$4:$B$18,0)),"")</f>
        <v/>
      </c>
      <c r="K715">
        <f>IFERROR(INDEX(Cluster_Master!$F$4:$F$18,MATCH($F715,Cluster_Master!$B$4:$B$18,0)),"")</f>
        <v/>
      </c>
      <c r="L715">
        <f>IFERROR(INDEX(Cluster_Master!$G$4:$G$18,MATCH($F715,Cluster_Master!$B$4:$B$18,0)),"")</f>
        <v/>
      </c>
      <c r="M715">
        <f>IFERROR(INDEX(Cluster_Master!$H$4:$H$18,MATCH($F715,Cluster_Master!$B$4:$B$18,0)),"")</f>
        <v/>
      </c>
      <c r="AI715">
        <f>IF(COUNTA(T715:AH715)=0,"",SUM(T715:AH715))</f>
        <v/>
      </c>
      <c r="AJ715">
        <f>IF(COUNTA(T715:AH715)=0,"",AI715/(COUNT(KPI_Weights!$A$4:$A$18)*5))</f>
        <v/>
      </c>
      <c r="AK715">
        <f>IF(COUNTA(T715:AH715)=0,"",SUMPRODUCT(T715:AH715,KPI_Weights!$B$4:$B$18)/5)</f>
        <v/>
      </c>
      <c r="AL715">
        <f>IF(COUNTA(T715:AH715)=0,"",IF(SUMPRODUCT(--(T715:AH715&lt;=1),--(KPI_Weights!$C$4:$C$18="YES"))&gt;0,"YES","NO"))</f>
        <v/>
      </c>
      <c r="AM715">
        <f>IF(AJ715="","",IF(AND(AL715="NO",AJ715&gt;=0.75),"YES","NO"))</f>
        <v/>
      </c>
      <c r="AN715">
        <f>IF(AJ715="","",IF(AJ715&lt;0.4,"Critical",IF(AJ715&lt;0.6,"Poor",IF(AJ715&lt;0.75,"Needs Improvement",IF(AJ715&lt;0.9,"Good","Excellent")))))</f>
        <v/>
      </c>
    </row>
    <row r="716" ht="15" customHeight="1" s="45">
      <c r="A716">
        <f>IF($B716="","",TEXT($B716,"yyyymmdd")&amp;"-"&amp;SUBSTITUTE($F716," ","")&amp;"-"&amp;TEXT(COUNTIF($F$4:F716,$F716),"00"))</f>
        <v/>
      </c>
      <c r="C716">
        <f>IF($B716="","",WEEKNUM($B716,2))</f>
        <v/>
      </c>
      <c r="D716">
        <f>IF($B716="","",TEXT($B716,"yyyy-mm"))</f>
        <v/>
      </c>
      <c r="G716">
        <f>IF(OR($E716="",$F716=""),"",IFERROR(IF($E716=INDEX(Cluster_Master!$A$4:$A$18,MATCH($F716,Cluster_Master!$B$4:$B$18,0)),"OK","CHECK"),"CHECK"))</f>
        <v/>
      </c>
      <c r="H716">
        <f>IFERROR(INDEX(Cluster_Master!$C$4:$C$18,MATCH($F716,Cluster_Master!$B$4:$B$18,0)),"")</f>
        <v/>
      </c>
      <c r="I716">
        <f>IFERROR(INDEX(Cluster_Master!$D$4:$D$18,MATCH($F716,Cluster_Master!$B$4:$B$18,0)),"")</f>
        <v/>
      </c>
      <c r="J716">
        <f>IFERROR(INDEX(Cluster_Master!$E$4:$E$18,MATCH($F716,Cluster_Master!$B$4:$B$18,0)),"")</f>
        <v/>
      </c>
      <c r="K716">
        <f>IFERROR(INDEX(Cluster_Master!$F$4:$F$18,MATCH($F716,Cluster_Master!$B$4:$B$18,0)),"")</f>
        <v/>
      </c>
      <c r="L716">
        <f>IFERROR(INDEX(Cluster_Master!$G$4:$G$18,MATCH($F716,Cluster_Master!$B$4:$B$18,0)),"")</f>
        <v/>
      </c>
      <c r="M716">
        <f>IFERROR(INDEX(Cluster_Master!$H$4:$H$18,MATCH($F716,Cluster_Master!$B$4:$B$18,0)),"")</f>
        <v/>
      </c>
      <c r="AI716">
        <f>IF(COUNTA(T716:AH716)=0,"",SUM(T716:AH716))</f>
        <v/>
      </c>
      <c r="AJ716">
        <f>IF(COUNTA(T716:AH716)=0,"",AI716/(COUNT(KPI_Weights!$A$4:$A$18)*5))</f>
        <v/>
      </c>
      <c r="AK716">
        <f>IF(COUNTA(T716:AH716)=0,"",SUMPRODUCT(T716:AH716,KPI_Weights!$B$4:$B$18)/5)</f>
        <v/>
      </c>
      <c r="AL716">
        <f>IF(COUNTA(T716:AH716)=0,"",IF(SUMPRODUCT(--(T716:AH716&lt;=1),--(KPI_Weights!$C$4:$C$18="YES"))&gt;0,"YES","NO"))</f>
        <v/>
      </c>
      <c r="AM716">
        <f>IF(AJ716="","",IF(AND(AL716="NO",AJ716&gt;=0.75),"YES","NO"))</f>
        <v/>
      </c>
      <c r="AN716">
        <f>IF(AJ716="","",IF(AJ716&lt;0.4,"Critical",IF(AJ716&lt;0.6,"Poor",IF(AJ716&lt;0.75,"Needs Improvement",IF(AJ716&lt;0.9,"Good","Excellent")))))</f>
        <v/>
      </c>
    </row>
    <row r="717" ht="15" customHeight="1" s="45">
      <c r="A717">
        <f>IF($B717="","",TEXT($B717,"yyyymmdd")&amp;"-"&amp;SUBSTITUTE($F717," ","")&amp;"-"&amp;TEXT(COUNTIF($F$4:F717,$F717),"00"))</f>
        <v/>
      </c>
      <c r="C717">
        <f>IF($B717="","",WEEKNUM($B717,2))</f>
        <v/>
      </c>
      <c r="D717">
        <f>IF($B717="","",TEXT($B717,"yyyy-mm"))</f>
        <v/>
      </c>
      <c r="G717">
        <f>IF(OR($E717="",$F717=""),"",IFERROR(IF($E717=INDEX(Cluster_Master!$A$4:$A$18,MATCH($F717,Cluster_Master!$B$4:$B$18,0)),"OK","CHECK"),"CHECK"))</f>
        <v/>
      </c>
      <c r="H717">
        <f>IFERROR(INDEX(Cluster_Master!$C$4:$C$18,MATCH($F717,Cluster_Master!$B$4:$B$18,0)),"")</f>
        <v/>
      </c>
      <c r="I717">
        <f>IFERROR(INDEX(Cluster_Master!$D$4:$D$18,MATCH($F717,Cluster_Master!$B$4:$B$18,0)),"")</f>
        <v/>
      </c>
      <c r="J717">
        <f>IFERROR(INDEX(Cluster_Master!$E$4:$E$18,MATCH($F717,Cluster_Master!$B$4:$B$18,0)),"")</f>
        <v/>
      </c>
      <c r="K717">
        <f>IFERROR(INDEX(Cluster_Master!$F$4:$F$18,MATCH($F717,Cluster_Master!$B$4:$B$18,0)),"")</f>
        <v/>
      </c>
      <c r="L717">
        <f>IFERROR(INDEX(Cluster_Master!$G$4:$G$18,MATCH($F717,Cluster_Master!$B$4:$B$18,0)),"")</f>
        <v/>
      </c>
      <c r="M717">
        <f>IFERROR(INDEX(Cluster_Master!$H$4:$H$18,MATCH($F717,Cluster_Master!$B$4:$B$18,0)),"")</f>
        <v/>
      </c>
      <c r="AI717">
        <f>IF(COUNTA(T717:AH717)=0,"",SUM(T717:AH717))</f>
        <v/>
      </c>
      <c r="AJ717">
        <f>IF(COUNTA(T717:AH717)=0,"",AI717/(COUNT(KPI_Weights!$A$4:$A$18)*5))</f>
        <v/>
      </c>
      <c r="AK717">
        <f>IF(COUNTA(T717:AH717)=0,"",SUMPRODUCT(T717:AH717,KPI_Weights!$B$4:$B$18)/5)</f>
        <v/>
      </c>
      <c r="AL717">
        <f>IF(COUNTA(T717:AH717)=0,"",IF(SUMPRODUCT(--(T717:AH717&lt;=1),--(KPI_Weights!$C$4:$C$18="YES"))&gt;0,"YES","NO"))</f>
        <v/>
      </c>
      <c r="AM717">
        <f>IF(AJ717="","",IF(AND(AL717="NO",AJ717&gt;=0.75),"YES","NO"))</f>
        <v/>
      </c>
      <c r="AN717">
        <f>IF(AJ717="","",IF(AJ717&lt;0.4,"Critical",IF(AJ717&lt;0.6,"Poor",IF(AJ717&lt;0.75,"Needs Improvement",IF(AJ717&lt;0.9,"Good","Excellent")))))</f>
        <v/>
      </c>
    </row>
    <row r="718" ht="15" customHeight="1" s="45">
      <c r="A718">
        <f>IF($B718="","",TEXT($B718,"yyyymmdd")&amp;"-"&amp;SUBSTITUTE($F718," ","")&amp;"-"&amp;TEXT(COUNTIF($F$4:F718,$F718),"00"))</f>
        <v/>
      </c>
      <c r="C718">
        <f>IF($B718="","",WEEKNUM($B718,2))</f>
        <v/>
      </c>
      <c r="D718">
        <f>IF($B718="","",TEXT($B718,"yyyy-mm"))</f>
        <v/>
      </c>
      <c r="G718">
        <f>IF(OR($E718="",$F718=""),"",IFERROR(IF($E718=INDEX(Cluster_Master!$A$4:$A$18,MATCH($F718,Cluster_Master!$B$4:$B$18,0)),"OK","CHECK"),"CHECK"))</f>
        <v/>
      </c>
      <c r="H718">
        <f>IFERROR(INDEX(Cluster_Master!$C$4:$C$18,MATCH($F718,Cluster_Master!$B$4:$B$18,0)),"")</f>
        <v/>
      </c>
      <c r="I718">
        <f>IFERROR(INDEX(Cluster_Master!$D$4:$D$18,MATCH($F718,Cluster_Master!$B$4:$B$18,0)),"")</f>
        <v/>
      </c>
      <c r="J718">
        <f>IFERROR(INDEX(Cluster_Master!$E$4:$E$18,MATCH($F718,Cluster_Master!$B$4:$B$18,0)),"")</f>
        <v/>
      </c>
      <c r="K718">
        <f>IFERROR(INDEX(Cluster_Master!$F$4:$F$18,MATCH($F718,Cluster_Master!$B$4:$B$18,0)),"")</f>
        <v/>
      </c>
      <c r="L718">
        <f>IFERROR(INDEX(Cluster_Master!$G$4:$G$18,MATCH($F718,Cluster_Master!$B$4:$B$18,0)),"")</f>
        <v/>
      </c>
      <c r="M718">
        <f>IFERROR(INDEX(Cluster_Master!$H$4:$H$18,MATCH($F718,Cluster_Master!$B$4:$B$18,0)),"")</f>
        <v/>
      </c>
      <c r="AI718">
        <f>IF(COUNTA(T718:AH718)=0,"",SUM(T718:AH718))</f>
        <v/>
      </c>
      <c r="AJ718">
        <f>IF(COUNTA(T718:AH718)=0,"",AI718/(COUNT(KPI_Weights!$A$4:$A$18)*5))</f>
        <v/>
      </c>
      <c r="AK718">
        <f>IF(COUNTA(T718:AH718)=0,"",SUMPRODUCT(T718:AH718,KPI_Weights!$B$4:$B$18)/5)</f>
        <v/>
      </c>
      <c r="AL718">
        <f>IF(COUNTA(T718:AH718)=0,"",IF(SUMPRODUCT(--(T718:AH718&lt;=1),--(KPI_Weights!$C$4:$C$18="YES"))&gt;0,"YES","NO"))</f>
        <v/>
      </c>
      <c r="AM718">
        <f>IF(AJ718="","",IF(AND(AL718="NO",AJ718&gt;=0.75),"YES","NO"))</f>
        <v/>
      </c>
      <c r="AN718">
        <f>IF(AJ718="","",IF(AJ718&lt;0.4,"Critical",IF(AJ718&lt;0.6,"Poor",IF(AJ718&lt;0.75,"Needs Improvement",IF(AJ718&lt;0.9,"Good","Excellent")))))</f>
        <v/>
      </c>
    </row>
    <row r="719" ht="15" customHeight="1" s="45">
      <c r="A719">
        <f>IF($B719="","",TEXT($B719,"yyyymmdd")&amp;"-"&amp;SUBSTITUTE($F719," ","")&amp;"-"&amp;TEXT(COUNTIF($F$4:F719,$F719),"00"))</f>
        <v/>
      </c>
      <c r="C719">
        <f>IF($B719="","",WEEKNUM($B719,2))</f>
        <v/>
      </c>
      <c r="D719">
        <f>IF($B719="","",TEXT($B719,"yyyy-mm"))</f>
        <v/>
      </c>
      <c r="G719">
        <f>IF(OR($E719="",$F719=""),"",IFERROR(IF($E719=INDEX(Cluster_Master!$A$4:$A$18,MATCH($F719,Cluster_Master!$B$4:$B$18,0)),"OK","CHECK"),"CHECK"))</f>
        <v/>
      </c>
      <c r="H719">
        <f>IFERROR(INDEX(Cluster_Master!$C$4:$C$18,MATCH($F719,Cluster_Master!$B$4:$B$18,0)),"")</f>
        <v/>
      </c>
      <c r="I719">
        <f>IFERROR(INDEX(Cluster_Master!$D$4:$D$18,MATCH($F719,Cluster_Master!$B$4:$B$18,0)),"")</f>
        <v/>
      </c>
      <c r="J719">
        <f>IFERROR(INDEX(Cluster_Master!$E$4:$E$18,MATCH($F719,Cluster_Master!$B$4:$B$18,0)),"")</f>
        <v/>
      </c>
      <c r="K719">
        <f>IFERROR(INDEX(Cluster_Master!$F$4:$F$18,MATCH($F719,Cluster_Master!$B$4:$B$18,0)),"")</f>
        <v/>
      </c>
      <c r="L719">
        <f>IFERROR(INDEX(Cluster_Master!$G$4:$G$18,MATCH($F719,Cluster_Master!$B$4:$B$18,0)),"")</f>
        <v/>
      </c>
      <c r="M719">
        <f>IFERROR(INDEX(Cluster_Master!$H$4:$H$18,MATCH($F719,Cluster_Master!$B$4:$B$18,0)),"")</f>
        <v/>
      </c>
      <c r="AI719">
        <f>IF(COUNTA(T719:AH719)=0,"",SUM(T719:AH719))</f>
        <v/>
      </c>
      <c r="AJ719">
        <f>IF(COUNTA(T719:AH719)=0,"",AI719/(COUNT(KPI_Weights!$A$4:$A$18)*5))</f>
        <v/>
      </c>
      <c r="AK719">
        <f>IF(COUNTA(T719:AH719)=0,"",SUMPRODUCT(T719:AH719,KPI_Weights!$B$4:$B$18)/5)</f>
        <v/>
      </c>
      <c r="AL719">
        <f>IF(COUNTA(T719:AH719)=0,"",IF(SUMPRODUCT(--(T719:AH719&lt;=1),--(KPI_Weights!$C$4:$C$18="YES"))&gt;0,"YES","NO"))</f>
        <v/>
      </c>
      <c r="AM719">
        <f>IF(AJ719="","",IF(AND(AL719="NO",AJ719&gt;=0.75),"YES","NO"))</f>
        <v/>
      </c>
      <c r="AN719">
        <f>IF(AJ719="","",IF(AJ719&lt;0.4,"Critical",IF(AJ719&lt;0.6,"Poor",IF(AJ719&lt;0.75,"Needs Improvement",IF(AJ719&lt;0.9,"Good","Excellent")))))</f>
        <v/>
      </c>
    </row>
    <row r="720" ht="15" customHeight="1" s="45">
      <c r="A720">
        <f>IF($B720="","",TEXT($B720,"yyyymmdd")&amp;"-"&amp;SUBSTITUTE($F720," ","")&amp;"-"&amp;TEXT(COUNTIF($F$4:F720,$F720),"00"))</f>
        <v/>
      </c>
      <c r="C720">
        <f>IF($B720="","",WEEKNUM($B720,2))</f>
        <v/>
      </c>
      <c r="D720">
        <f>IF($B720="","",TEXT($B720,"yyyy-mm"))</f>
        <v/>
      </c>
      <c r="G720">
        <f>IF(OR($E720="",$F720=""),"",IFERROR(IF($E720=INDEX(Cluster_Master!$A$4:$A$18,MATCH($F720,Cluster_Master!$B$4:$B$18,0)),"OK","CHECK"),"CHECK"))</f>
        <v/>
      </c>
      <c r="H720">
        <f>IFERROR(INDEX(Cluster_Master!$C$4:$C$18,MATCH($F720,Cluster_Master!$B$4:$B$18,0)),"")</f>
        <v/>
      </c>
      <c r="I720">
        <f>IFERROR(INDEX(Cluster_Master!$D$4:$D$18,MATCH($F720,Cluster_Master!$B$4:$B$18,0)),"")</f>
        <v/>
      </c>
      <c r="J720">
        <f>IFERROR(INDEX(Cluster_Master!$E$4:$E$18,MATCH($F720,Cluster_Master!$B$4:$B$18,0)),"")</f>
        <v/>
      </c>
      <c r="K720">
        <f>IFERROR(INDEX(Cluster_Master!$F$4:$F$18,MATCH($F720,Cluster_Master!$B$4:$B$18,0)),"")</f>
        <v/>
      </c>
      <c r="L720">
        <f>IFERROR(INDEX(Cluster_Master!$G$4:$G$18,MATCH($F720,Cluster_Master!$B$4:$B$18,0)),"")</f>
        <v/>
      </c>
      <c r="M720">
        <f>IFERROR(INDEX(Cluster_Master!$H$4:$H$18,MATCH($F720,Cluster_Master!$B$4:$B$18,0)),"")</f>
        <v/>
      </c>
      <c r="AI720">
        <f>IF(COUNTA(T720:AH720)=0,"",SUM(T720:AH720))</f>
        <v/>
      </c>
      <c r="AJ720">
        <f>IF(COUNTA(T720:AH720)=0,"",AI720/(COUNT(KPI_Weights!$A$4:$A$18)*5))</f>
        <v/>
      </c>
      <c r="AK720">
        <f>IF(COUNTA(T720:AH720)=0,"",SUMPRODUCT(T720:AH720,KPI_Weights!$B$4:$B$18)/5)</f>
        <v/>
      </c>
      <c r="AL720">
        <f>IF(COUNTA(T720:AH720)=0,"",IF(SUMPRODUCT(--(T720:AH720&lt;=1),--(KPI_Weights!$C$4:$C$18="YES"))&gt;0,"YES","NO"))</f>
        <v/>
      </c>
      <c r="AM720">
        <f>IF(AJ720="","",IF(AND(AL720="NO",AJ720&gt;=0.75),"YES","NO"))</f>
        <v/>
      </c>
      <c r="AN720">
        <f>IF(AJ720="","",IF(AJ720&lt;0.4,"Critical",IF(AJ720&lt;0.6,"Poor",IF(AJ720&lt;0.75,"Needs Improvement",IF(AJ720&lt;0.9,"Good","Excellent")))))</f>
        <v/>
      </c>
    </row>
    <row r="721" ht="15" customHeight="1" s="45">
      <c r="A721">
        <f>IF($B721="","",TEXT($B721,"yyyymmdd")&amp;"-"&amp;SUBSTITUTE($F721," ","")&amp;"-"&amp;TEXT(COUNTIF($F$4:F721,$F721),"00"))</f>
        <v/>
      </c>
      <c r="C721">
        <f>IF($B721="","",WEEKNUM($B721,2))</f>
        <v/>
      </c>
      <c r="D721">
        <f>IF($B721="","",TEXT($B721,"yyyy-mm"))</f>
        <v/>
      </c>
      <c r="G721">
        <f>IF(OR($E721="",$F721=""),"",IFERROR(IF($E721=INDEX(Cluster_Master!$A$4:$A$18,MATCH($F721,Cluster_Master!$B$4:$B$18,0)),"OK","CHECK"),"CHECK"))</f>
        <v/>
      </c>
      <c r="H721">
        <f>IFERROR(INDEX(Cluster_Master!$C$4:$C$18,MATCH($F721,Cluster_Master!$B$4:$B$18,0)),"")</f>
        <v/>
      </c>
      <c r="I721">
        <f>IFERROR(INDEX(Cluster_Master!$D$4:$D$18,MATCH($F721,Cluster_Master!$B$4:$B$18,0)),"")</f>
        <v/>
      </c>
      <c r="J721">
        <f>IFERROR(INDEX(Cluster_Master!$E$4:$E$18,MATCH($F721,Cluster_Master!$B$4:$B$18,0)),"")</f>
        <v/>
      </c>
      <c r="K721">
        <f>IFERROR(INDEX(Cluster_Master!$F$4:$F$18,MATCH($F721,Cluster_Master!$B$4:$B$18,0)),"")</f>
        <v/>
      </c>
      <c r="L721">
        <f>IFERROR(INDEX(Cluster_Master!$G$4:$G$18,MATCH($F721,Cluster_Master!$B$4:$B$18,0)),"")</f>
        <v/>
      </c>
      <c r="M721">
        <f>IFERROR(INDEX(Cluster_Master!$H$4:$H$18,MATCH($F721,Cluster_Master!$B$4:$B$18,0)),"")</f>
        <v/>
      </c>
      <c r="AI721">
        <f>IF(COUNTA(T721:AH721)=0,"",SUM(T721:AH721))</f>
        <v/>
      </c>
      <c r="AJ721">
        <f>IF(COUNTA(T721:AH721)=0,"",AI721/(COUNT(KPI_Weights!$A$4:$A$18)*5))</f>
        <v/>
      </c>
      <c r="AK721">
        <f>IF(COUNTA(T721:AH721)=0,"",SUMPRODUCT(T721:AH721,KPI_Weights!$B$4:$B$18)/5)</f>
        <v/>
      </c>
      <c r="AL721">
        <f>IF(COUNTA(T721:AH721)=0,"",IF(SUMPRODUCT(--(T721:AH721&lt;=1),--(KPI_Weights!$C$4:$C$18="YES"))&gt;0,"YES","NO"))</f>
        <v/>
      </c>
      <c r="AM721">
        <f>IF(AJ721="","",IF(AND(AL721="NO",AJ721&gt;=0.75),"YES","NO"))</f>
        <v/>
      </c>
      <c r="AN721">
        <f>IF(AJ721="","",IF(AJ721&lt;0.4,"Critical",IF(AJ721&lt;0.6,"Poor",IF(AJ721&lt;0.75,"Needs Improvement",IF(AJ721&lt;0.9,"Good","Excellent")))))</f>
        <v/>
      </c>
    </row>
    <row r="722" ht="15" customHeight="1" s="45">
      <c r="A722">
        <f>IF($B722="","",TEXT($B722,"yyyymmdd")&amp;"-"&amp;SUBSTITUTE($F722," ","")&amp;"-"&amp;TEXT(COUNTIF($F$4:F722,$F722),"00"))</f>
        <v/>
      </c>
      <c r="C722">
        <f>IF($B722="","",WEEKNUM($B722,2))</f>
        <v/>
      </c>
      <c r="D722">
        <f>IF($B722="","",TEXT($B722,"yyyy-mm"))</f>
        <v/>
      </c>
      <c r="G722">
        <f>IF(OR($E722="",$F722=""),"",IFERROR(IF($E722=INDEX(Cluster_Master!$A$4:$A$18,MATCH($F722,Cluster_Master!$B$4:$B$18,0)),"OK","CHECK"),"CHECK"))</f>
        <v/>
      </c>
      <c r="H722">
        <f>IFERROR(INDEX(Cluster_Master!$C$4:$C$18,MATCH($F722,Cluster_Master!$B$4:$B$18,0)),"")</f>
        <v/>
      </c>
      <c r="I722">
        <f>IFERROR(INDEX(Cluster_Master!$D$4:$D$18,MATCH($F722,Cluster_Master!$B$4:$B$18,0)),"")</f>
        <v/>
      </c>
      <c r="J722">
        <f>IFERROR(INDEX(Cluster_Master!$E$4:$E$18,MATCH($F722,Cluster_Master!$B$4:$B$18,0)),"")</f>
        <v/>
      </c>
      <c r="K722">
        <f>IFERROR(INDEX(Cluster_Master!$F$4:$F$18,MATCH($F722,Cluster_Master!$B$4:$B$18,0)),"")</f>
        <v/>
      </c>
      <c r="L722">
        <f>IFERROR(INDEX(Cluster_Master!$G$4:$G$18,MATCH($F722,Cluster_Master!$B$4:$B$18,0)),"")</f>
        <v/>
      </c>
      <c r="M722">
        <f>IFERROR(INDEX(Cluster_Master!$H$4:$H$18,MATCH($F722,Cluster_Master!$B$4:$B$18,0)),"")</f>
        <v/>
      </c>
      <c r="AI722">
        <f>IF(COUNTA(T722:AH722)=0,"",SUM(T722:AH722))</f>
        <v/>
      </c>
      <c r="AJ722">
        <f>IF(COUNTA(T722:AH722)=0,"",AI722/(COUNT(KPI_Weights!$A$4:$A$18)*5))</f>
        <v/>
      </c>
      <c r="AK722">
        <f>IF(COUNTA(T722:AH722)=0,"",SUMPRODUCT(T722:AH722,KPI_Weights!$B$4:$B$18)/5)</f>
        <v/>
      </c>
      <c r="AL722">
        <f>IF(COUNTA(T722:AH722)=0,"",IF(SUMPRODUCT(--(T722:AH722&lt;=1),--(KPI_Weights!$C$4:$C$18="YES"))&gt;0,"YES","NO"))</f>
        <v/>
      </c>
      <c r="AM722">
        <f>IF(AJ722="","",IF(AND(AL722="NO",AJ722&gt;=0.75),"YES","NO"))</f>
        <v/>
      </c>
      <c r="AN722">
        <f>IF(AJ722="","",IF(AJ722&lt;0.4,"Critical",IF(AJ722&lt;0.6,"Poor",IF(AJ722&lt;0.75,"Needs Improvement",IF(AJ722&lt;0.9,"Good","Excellent")))))</f>
        <v/>
      </c>
    </row>
    <row r="723" ht="15" customHeight="1" s="45">
      <c r="A723">
        <f>IF($B723="","",TEXT($B723,"yyyymmdd")&amp;"-"&amp;SUBSTITUTE($F723," ","")&amp;"-"&amp;TEXT(COUNTIF($F$4:F723,$F723),"00"))</f>
        <v/>
      </c>
      <c r="C723">
        <f>IF($B723="","",WEEKNUM($B723,2))</f>
        <v/>
      </c>
      <c r="D723">
        <f>IF($B723="","",TEXT($B723,"yyyy-mm"))</f>
        <v/>
      </c>
      <c r="G723">
        <f>IF(OR($E723="",$F723=""),"",IFERROR(IF($E723=INDEX(Cluster_Master!$A$4:$A$18,MATCH($F723,Cluster_Master!$B$4:$B$18,0)),"OK","CHECK"),"CHECK"))</f>
        <v/>
      </c>
      <c r="H723">
        <f>IFERROR(INDEX(Cluster_Master!$C$4:$C$18,MATCH($F723,Cluster_Master!$B$4:$B$18,0)),"")</f>
        <v/>
      </c>
      <c r="I723">
        <f>IFERROR(INDEX(Cluster_Master!$D$4:$D$18,MATCH($F723,Cluster_Master!$B$4:$B$18,0)),"")</f>
        <v/>
      </c>
      <c r="J723">
        <f>IFERROR(INDEX(Cluster_Master!$E$4:$E$18,MATCH($F723,Cluster_Master!$B$4:$B$18,0)),"")</f>
        <v/>
      </c>
      <c r="K723">
        <f>IFERROR(INDEX(Cluster_Master!$F$4:$F$18,MATCH($F723,Cluster_Master!$B$4:$B$18,0)),"")</f>
        <v/>
      </c>
      <c r="L723">
        <f>IFERROR(INDEX(Cluster_Master!$G$4:$G$18,MATCH($F723,Cluster_Master!$B$4:$B$18,0)),"")</f>
        <v/>
      </c>
      <c r="M723">
        <f>IFERROR(INDEX(Cluster_Master!$H$4:$H$18,MATCH($F723,Cluster_Master!$B$4:$B$18,0)),"")</f>
        <v/>
      </c>
      <c r="AI723">
        <f>IF(COUNTA(T723:AH723)=0,"",SUM(T723:AH723))</f>
        <v/>
      </c>
      <c r="AJ723">
        <f>IF(COUNTA(T723:AH723)=0,"",AI723/(COUNT(KPI_Weights!$A$4:$A$18)*5))</f>
        <v/>
      </c>
      <c r="AK723">
        <f>IF(COUNTA(T723:AH723)=0,"",SUMPRODUCT(T723:AH723,KPI_Weights!$B$4:$B$18)/5)</f>
        <v/>
      </c>
      <c r="AL723">
        <f>IF(COUNTA(T723:AH723)=0,"",IF(SUMPRODUCT(--(T723:AH723&lt;=1),--(KPI_Weights!$C$4:$C$18="YES"))&gt;0,"YES","NO"))</f>
        <v/>
      </c>
      <c r="AM723">
        <f>IF(AJ723="","",IF(AND(AL723="NO",AJ723&gt;=0.75),"YES","NO"))</f>
        <v/>
      </c>
      <c r="AN723">
        <f>IF(AJ723="","",IF(AJ723&lt;0.4,"Critical",IF(AJ723&lt;0.6,"Poor",IF(AJ723&lt;0.75,"Needs Improvement",IF(AJ723&lt;0.9,"Good","Excellent")))))</f>
        <v/>
      </c>
    </row>
    <row r="724" ht="15" customHeight="1" s="45">
      <c r="A724">
        <f>IF($B724="","",TEXT($B724,"yyyymmdd")&amp;"-"&amp;SUBSTITUTE($F724," ","")&amp;"-"&amp;TEXT(COUNTIF($F$4:F724,$F724),"00"))</f>
        <v/>
      </c>
      <c r="C724">
        <f>IF($B724="","",WEEKNUM($B724,2))</f>
        <v/>
      </c>
      <c r="D724">
        <f>IF($B724="","",TEXT($B724,"yyyy-mm"))</f>
        <v/>
      </c>
      <c r="G724">
        <f>IF(OR($E724="",$F724=""),"",IFERROR(IF($E724=INDEX(Cluster_Master!$A$4:$A$18,MATCH($F724,Cluster_Master!$B$4:$B$18,0)),"OK","CHECK"),"CHECK"))</f>
        <v/>
      </c>
      <c r="H724">
        <f>IFERROR(INDEX(Cluster_Master!$C$4:$C$18,MATCH($F724,Cluster_Master!$B$4:$B$18,0)),"")</f>
        <v/>
      </c>
      <c r="I724">
        <f>IFERROR(INDEX(Cluster_Master!$D$4:$D$18,MATCH($F724,Cluster_Master!$B$4:$B$18,0)),"")</f>
        <v/>
      </c>
      <c r="J724">
        <f>IFERROR(INDEX(Cluster_Master!$E$4:$E$18,MATCH($F724,Cluster_Master!$B$4:$B$18,0)),"")</f>
        <v/>
      </c>
      <c r="K724">
        <f>IFERROR(INDEX(Cluster_Master!$F$4:$F$18,MATCH($F724,Cluster_Master!$B$4:$B$18,0)),"")</f>
        <v/>
      </c>
      <c r="L724">
        <f>IFERROR(INDEX(Cluster_Master!$G$4:$G$18,MATCH($F724,Cluster_Master!$B$4:$B$18,0)),"")</f>
        <v/>
      </c>
      <c r="M724">
        <f>IFERROR(INDEX(Cluster_Master!$H$4:$H$18,MATCH($F724,Cluster_Master!$B$4:$B$18,0)),"")</f>
        <v/>
      </c>
      <c r="AI724">
        <f>IF(COUNTA(T724:AH724)=0,"",SUM(T724:AH724))</f>
        <v/>
      </c>
      <c r="AJ724">
        <f>IF(COUNTA(T724:AH724)=0,"",AI724/(COUNT(KPI_Weights!$A$4:$A$18)*5))</f>
        <v/>
      </c>
      <c r="AK724">
        <f>IF(COUNTA(T724:AH724)=0,"",SUMPRODUCT(T724:AH724,KPI_Weights!$B$4:$B$18)/5)</f>
        <v/>
      </c>
      <c r="AL724">
        <f>IF(COUNTA(T724:AH724)=0,"",IF(SUMPRODUCT(--(T724:AH724&lt;=1),--(KPI_Weights!$C$4:$C$18="YES"))&gt;0,"YES","NO"))</f>
        <v/>
      </c>
      <c r="AM724">
        <f>IF(AJ724="","",IF(AND(AL724="NO",AJ724&gt;=0.75),"YES","NO"))</f>
        <v/>
      </c>
      <c r="AN724">
        <f>IF(AJ724="","",IF(AJ724&lt;0.4,"Critical",IF(AJ724&lt;0.6,"Poor",IF(AJ724&lt;0.75,"Needs Improvement",IF(AJ724&lt;0.9,"Good","Excellent")))))</f>
        <v/>
      </c>
    </row>
    <row r="725" ht="15" customHeight="1" s="45">
      <c r="A725">
        <f>IF($B725="","",TEXT($B725,"yyyymmdd")&amp;"-"&amp;SUBSTITUTE($F725," ","")&amp;"-"&amp;TEXT(COUNTIF($F$4:F725,$F725),"00"))</f>
        <v/>
      </c>
      <c r="C725">
        <f>IF($B725="","",WEEKNUM($B725,2))</f>
        <v/>
      </c>
      <c r="D725">
        <f>IF($B725="","",TEXT($B725,"yyyy-mm"))</f>
        <v/>
      </c>
      <c r="G725">
        <f>IF(OR($E725="",$F725=""),"",IFERROR(IF($E725=INDEX(Cluster_Master!$A$4:$A$18,MATCH($F725,Cluster_Master!$B$4:$B$18,0)),"OK","CHECK"),"CHECK"))</f>
        <v/>
      </c>
      <c r="H725">
        <f>IFERROR(INDEX(Cluster_Master!$C$4:$C$18,MATCH($F725,Cluster_Master!$B$4:$B$18,0)),"")</f>
        <v/>
      </c>
      <c r="I725">
        <f>IFERROR(INDEX(Cluster_Master!$D$4:$D$18,MATCH($F725,Cluster_Master!$B$4:$B$18,0)),"")</f>
        <v/>
      </c>
      <c r="J725">
        <f>IFERROR(INDEX(Cluster_Master!$E$4:$E$18,MATCH($F725,Cluster_Master!$B$4:$B$18,0)),"")</f>
        <v/>
      </c>
      <c r="K725">
        <f>IFERROR(INDEX(Cluster_Master!$F$4:$F$18,MATCH($F725,Cluster_Master!$B$4:$B$18,0)),"")</f>
        <v/>
      </c>
      <c r="L725">
        <f>IFERROR(INDEX(Cluster_Master!$G$4:$G$18,MATCH($F725,Cluster_Master!$B$4:$B$18,0)),"")</f>
        <v/>
      </c>
      <c r="M725">
        <f>IFERROR(INDEX(Cluster_Master!$H$4:$H$18,MATCH($F725,Cluster_Master!$B$4:$B$18,0)),"")</f>
        <v/>
      </c>
      <c r="AI725">
        <f>IF(COUNTA(T725:AH725)=0,"",SUM(T725:AH725))</f>
        <v/>
      </c>
      <c r="AJ725">
        <f>IF(COUNTA(T725:AH725)=0,"",AI725/(COUNT(KPI_Weights!$A$4:$A$18)*5))</f>
        <v/>
      </c>
      <c r="AK725">
        <f>IF(COUNTA(T725:AH725)=0,"",SUMPRODUCT(T725:AH725,KPI_Weights!$B$4:$B$18)/5)</f>
        <v/>
      </c>
      <c r="AL725">
        <f>IF(COUNTA(T725:AH725)=0,"",IF(SUMPRODUCT(--(T725:AH725&lt;=1),--(KPI_Weights!$C$4:$C$18="YES"))&gt;0,"YES","NO"))</f>
        <v/>
      </c>
      <c r="AM725">
        <f>IF(AJ725="","",IF(AND(AL725="NO",AJ725&gt;=0.75),"YES","NO"))</f>
        <v/>
      </c>
      <c r="AN725">
        <f>IF(AJ725="","",IF(AJ725&lt;0.4,"Critical",IF(AJ725&lt;0.6,"Poor",IF(AJ725&lt;0.75,"Needs Improvement",IF(AJ725&lt;0.9,"Good","Excellent")))))</f>
        <v/>
      </c>
    </row>
    <row r="726" ht="15" customHeight="1" s="45">
      <c r="A726">
        <f>IF($B726="","",TEXT($B726,"yyyymmdd")&amp;"-"&amp;SUBSTITUTE($F726," ","")&amp;"-"&amp;TEXT(COUNTIF($F$4:F726,$F726),"00"))</f>
        <v/>
      </c>
      <c r="C726">
        <f>IF($B726="","",WEEKNUM($B726,2))</f>
        <v/>
      </c>
      <c r="D726">
        <f>IF($B726="","",TEXT($B726,"yyyy-mm"))</f>
        <v/>
      </c>
      <c r="G726">
        <f>IF(OR($E726="",$F726=""),"",IFERROR(IF($E726=INDEX(Cluster_Master!$A$4:$A$18,MATCH($F726,Cluster_Master!$B$4:$B$18,0)),"OK","CHECK"),"CHECK"))</f>
        <v/>
      </c>
      <c r="H726">
        <f>IFERROR(INDEX(Cluster_Master!$C$4:$C$18,MATCH($F726,Cluster_Master!$B$4:$B$18,0)),"")</f>
        <v/>
      </c>
      <c r="I726">
        <f>IFERROR(INDEX(Cluster_Master!$D$4:$D$18,MATCH($F726,Cluster_Master!$B$4:$B$18,0)),"")</f>
        <v/>
      </c>
      <c r="J726">
        <f>IFERROR(INDEX(Cluster_Master!$E$4:$E$18,MATCH($F726,Cluster_Master!$B$4:$B$18,0)),"")</f>
        <v/>
      </c>
      <c r="K726">
        <f>IFERROR(INDEX(Cluster_Master!$F$4:$F$18,MATCH($F726,Cluster_Master!$B$4:$B$18,0)),"")</f>
        <v/>
      </c>
      <c r="L726">
        <f>IFERROR(INDEX(Cluster_Master!$G$4:$G$18,MATCH($F726,Cluster_Master!$B$4:$B$18,0)),"")</f>
        <v/>
      </c>
      <c r="M726">
        <f>IFERROR(INDEX(Cluster_Master!$H$4:$H$18,MATCH($F726,Cluster_Master!$B$4:$B$18,0)),"")</f>
        <v/>
      </c>
      <c r="AI726">
        <f>IF(COUNTA(T726:AH726)=0,"",SUM(T726:AH726))</f>
        <v/>
      </c>
      <c r="AJ726">
        <f>IF(COUNTA(T726:AH726)=0,"",AI726/(COUNT(KPI_Weights!$A$4:$A$18)*5))</f>
        <v/>
      </c>
      <c r="AK726">
        <f>IF(COUNTA(T726:AH726)=0,"",SUMPRODUCT(T726:AH726,KPI_Weights!$B$4:$B$18)/5)</f>
        <v/>
      </c>
      <c r="AL726">
        <f>IF(COUNTA(T726:AH726)=0,"",IF(SUMPRODUCT(--(T726:AH726&lt;=1),--(KPI_Weights!$C$4:$C$18="YES"))&gt;0,"YES","NO"))</f>
        <v/>
      </c>
      <c r="AM726">
        <f>IF(AJ726="","",IF(AND(AL726="NO",AJ726&gt;=0.75),"YES","NO"))</f>
        <v/>
      </c>
      <c r="AN726">
        <f>IF(AJ726="","",IF(AJ726&lt;0.4,"Critical",IF(AJ726&lt;0.6,"Poor",IF(AJ726&lt;0.75,"Needs Improvement",IF(AJ726&lt;0.9,"Good","Excellent")))))</f>
        <v/>
      </c>
    </row>
    <row r="727" ht="15" customHeight="1" s="45">
      <c r="A727">
        <f>IF($B727="","",TEXT($B727,"yyyymmdd")&amp;"-"&amp;SUBSTITUTE($F727," ","")&amp;"-"&amp;TEXT(COUNTIF($F$4:F727,$F727),"00"))</f>
        <v/>
      </c>
      <c r="C727">
        <f>IF($B727="","",WEEKNUM($B727,2))</f>
        <v/>
      </c>
      <c r="D727">
        <f>IF($B727="","",TEXT($B727,"yyyy-mm"))</f>
        <v/>
      </c>
      <c r="G727">
        <f>IF(OR($E727="",$F727=""),"",IFERROR(IF($E727=INDEX(Cluster_Master!$A$4:$A$18,MATCH($F727,Cluster_Master!$B$4:$B$18,0)),"OK","CHECK"),"CHECK"))</f>
        <v/>
      </c>
      <c r="H727">
        <f>IFERROR(INDEX(Cluster_Master!$C$4:$C$18,MATCH($F727,Cluster_Master!$B$4:$B$18,0)),"")</f>
        <v/>
      </c>
      <c r="I727">
        <f>IFERROR(INDEX(Cluster_Master!$D$4:$D$18,MATCH($F727,Cluster_Master!$B$4:$B$18,0)),"")</f>
        <v/>
      </c>
      <c r="J727">
        <f>IFERROR(INDEX(Cluster_Master!$E$4:$E$18,MATCH($F727,Cluster_Master!$B$4:$B$18,0)),"")</f>
        <v/>
      </c>
      <c r="K727">
        <f>IFERROR(INDEX(Cluster_Master!$F$4:$F$18,MATCH($F727,Cluster_Master!$B$4:$B$18,0)),"")</f>
        <v/>
      </c>
      <c r="L727">
        <f>IFERROR(INDEX(Cluster_Master!$G$4:$G$18,MATCH($F727,Cluster_Master!$B$4:$B$18,0)),"")</f>
        <v/>
      </c>
      <c r="M727">
        <f>IFERROR(INDEX(Cluster_Master!$H$4:$H$18,MATCH($F727,Cluster_Master!$B$4:$B$18,0)),"")</f>
        <v/>
      </c>
      <c r="AI727">
        <f>IF(COUNTA(T727:AH727)=0,"",SUM(T727:AH727))</f>
        <v/>
      </c>
      <c r="AJ727">
        <f>IF(COUNTA(T727:AH727)=0,"",AI727/(COUNT(KPI_Weights!$A$4:$A$18)*5))</f>
        <v/>
      </c>
      <c r="AK727">
        <f>IF(COUNTA(T727:AH727)=0,"",SUMPRODUCT(T727:AH727,KPI_Weights!$B$4:$B$18)/5)</f>
        <v/>
      </c>
      <c r="AL727">
        <f>IF(COUNTA(T727:AH727)=0,"",IF(SUMPRODUCT(--(T727:AH727&lt;=1),--(KPI_Weights!$C$4:$C$18="YES"))&gt;0,"YES","NO"))</f>
        <v/>
      </c>
      <c r="AM727">
        <f>IF(AJ727="","",IF(AND(AL727="NO",AJ727&gt;=0.75),"YES","NO"))</f>
        <v/>
      </c>
      <c r="AN727">
        <f>IF(AJ727="","",IF(AJ727&lt;0.4,"Critical",IF(AJ727&lt;0.6,"Poor",IF(AJ727&lt;0.75,"Needs Improvement",IF(AJ727&lt;0.9,"Good","Excellent")))))</f>
        <v/>
      </c>
    </row>
    <row r="728" ht="15" customHeight="1" s="45">
      <c r="A728">
        <f>IF($B728="","",TEXT($B728,"yyyymmdd")&amp;"-"&amp;SUBSTITUTE($F728," ","")&amp;"-"&amp;TEXT(COUNTIF($F$4:F728,$F728),"00"))</f>
        <v/>
      </c>
      <c r="C728">
        <f>IF($B728="","",WEEKNUM($B728,2))</f>
        <v/>
      </c>
      <c r="D728">
        <f>IF($B728="","",TEXT($B728,"yyyy-mm"))</f>
        <v/>
      </c>
      <c r="G728">
        <f>IF(OR($E728="",$F728=""),"",IFERROR(IF($E728=INDEX(Cluster_Master!$A$4:$A$18,MATCH($F728,Cluster_Master!$B$4:$B$18,0)),"OK","CHECK"),"CHECK"))</f>
        <v/>
      </c>
      <c r="H728">
        <f>IFERROR(INDEX(Cluster_Master!$C$4:$C$18,MATCH($F728,Cluster_Master!$B$4:$B$18,0)),"")</f>
        <v/>
      </c>
      <c r="I728">
        <f>IFERROR(INDEX(Cluster_Master!$D$4:$D$18,MATCH($F728,Cluster_Master!$B$4:$B$18,0)),"")</f>
        <v/>
      </c>
      <c r="J728">
        <f>IFERROR(INDEX(Cluster_Master!$E$4:$E$18,MATCH($F728,Cluster_Master!$B$4:$B$18,0)),"")</f>
        <v/>
      </c>
      <c r="K728">
        <f>IFERROR(INDEX(Cluster_Master!$F$4:$F$18,MATCH($F728,Cluster_Master!$B$4:$B$18,0)),"")</f>
        <v/>
      </c>
      <c r="L728">
        <f>IFERROR(INDEX(Cluster_Master!$G$4:$G$18,MATCH($F728,Cluster_Master!$B$4:$B$18,0)),"")</f>
        <v/>
      </c>
      <c r="M728">
        <f>IFERROR(INDEX(Cluster_Master!$H$4:$H$18,MATCH($F728,Cluster_Master!$B$4:$B$18,0)),"")</f>
        <v/>
      </c>
      <c r="AI728">
        <f>IF(COUNTA(T728:AH728)=0,"",SUM(T728:AH728))</f>
        <v/>
      </c>
      <c r="AJ728">
        <f>IF(COUNTA(T728:AH728)=0,"",AI728/(COUNT(KPI_Weights!$A$4:$A$18)*5))</f>
        <v/>
      </c>
      <c r="AK728">
        <f>IF(COUNTA(T728:AH728)=0,"",SUMPRODUCT(T728:AH728,KPI_Weights!$B$4:$B$18)/5)</f>
        <v/>
      </c>
      <c r="AL728">
        <f>IF(COUNTA(T728:AH728)=0,"",IF(SUMPRODUCT(--(T728:AH728&lt;=1),--(KPI_Weights!$C$4:$C$18="YES"))&gt;0,"YES","NO"))</f>
        <v/>
      </c>
      <c r="AM728">
        <f>IF(AJ728="","",IF(AND(AL728="NO",AJ728&gt;=0.75),"YES","NO"))</f>
        <v/>
      </c>
      <c r="AN728">
        <f>IF(AJ728="","",IF(AJ728&lt;0.4,"Critical",IF(AJ728&lt;0.6,"Poor",IF(AJ728&lt;0.75,"Needs Improvement",IF(AJ728&lt;0.9,"Good","Excellent")))))</f>
        <v/>
      </c>
    </row>
    <row r="729" ht="15" customHeight="1" s="45">
      <c r="A729">
        <f>IF($B729="","",TEXT($B729,"yyyymmdd")&amp;"-"&amp;SUBSTITUTE($F729," ","")&amp;"-"&amp;TEXT(COUNTIF($F$4:F729,$F729),"00"))</f>
        <v/>
      </c>
      <c r="C729">
        <f>IF($B729="","",WEEKNUM($B729,2))</f>
        <v/>
      </c>
      <c r="D729">
        <f>IF($B729="","",TEXT($B729,"yyyy-mm"))</f>
        <v/>
      </c>
      <c r="G729">
        <f>IF(OR($E729="",$F729=""),"",IFERROR(IF($E729=INDEX(Cluster_Master!$A$4:$A$18,MATCH($F729,Cluster_Master!$B$4:$B$18,0)),"OK","CHECK"),"CHECK"))</f>
        <v/>
      </c>
      <c r="H729">
        <f>IFERROR(INDEX(Cluster_Master!$C$4:$C$18,MATCH($F729,Cluster_Master!$B$4:$B$18,0)),"")</f>
        <v/>
      </c>
      <c r="I729">
        <f>IFERROR(INDEX(Cluster_Master!$D$4:$D$18,MATCH($F729,Cluster_Master!$B$4:$B$18,0)),"")</f>
        <v/>
      </c>
      <c r="J729">
        <f>IFERROR(INDEX(Cluster_Master!$E$4:$E$18,MATCH($F729,Cluster_Master!$B$4:$B$18,0)),"")</f>
        <v/>
      </c>
      <c r="K729">
        <f>IFERROR(INDEX(Cluster_Master!$F$4:$F$18,MATCH($F729,Cluster_Master!$B$4:$B$18,0)),"")</f>
        <v/>
      </c>
      <c r="L729">
        <f>IFERROR(INDEX(Cluster_Master!$G$4:$G$18,MATCH($F729,Cluster_Master!$B$4:$B$18,0)),"")</f>
        <v/>
      </c>
      <c r="M729">
        <f>IFERROR(INDEX(Cluster_Master!$H$4:$H$18,MATCH($F729,Cluster_Master!$B$4:$B$18,0)),"")</f>
        <v/>
      </c>
      <c r="AI729">
        <f>IF(COUNTA(T729:AH729)=0,"",SUM(T729:AH729))</f>
        <v/>
      </c>
      <c r="AJ729">
        <f>IF(COUNTA(T729:AH729)=0,"",AI729/(COUNT(KPI_Weights!$A$4:$A$18)*5))</f>
        <v/>
      </c>
      <c r="AK729">
        <f>IF(COUNTA(T729:AH729)=0,"",SUMPRODUCT(T729:AH729,KPI_Weights!$B$4:$B$18)/5)</f>
        <v/>
      </c>
      <c r="AL729">
        <f>IF(COUNTA(T729:AH729)=0,"",IF(SUMPRODUCT(--(T729:AH729&lt;=1),--(KPI_Weights!$C$4:$C$18="YES"))&gt;0,"YES","NO"))</f>
        <v/>
      </c>
      <c r="AM729">
        <f>IF(AJ729="","",IF(AND(AL729="NO",AJ729&gt;=0.75),"YES","NO"))</f>
        <v/>
      </c>
      <c r="AN729">
        <f>IF(AJ729="","",IF(AJ729&lt;0.4,"Critical",IF(AJ729&lt;0.6,"Poor",IF(AJ729&lt;0.75,"Needs Improvement",IF(AJ729&lt;0.9,"Good","Excellent")))))</f>
        <v/>
      </c>
    </row>
    <row r="730" ht="15" customHeight="1" s="45">
      <c r="A730">
        <f>IF($B730="","",TEXT($B730,"yyyymmdd")&amp;"-"&amp;SUBSTITUTE($F730," ","")&amp;"-"&amp;TEXT(COUNTIF($F$4:F730,$F730),"00"))</f>
        <v/>
      </c>
      <c r="C730">
        <f>IF($B730="","",WEEKNUM($B730,2))</f>
        <v/>
      </c>
      <c r="D730">
        <f>IF($B730="","",TEXT($B730,"yyyy-mm"))</f>
        <v/>
      </c>
      <c r="G730">
        <f>IF(OR($E730="",$F730=""),"",IFERROR(IF($E730=INDEX(Cluster_Master!$A$4:$A$18,MATCH($F730,Cluster_Master!$B$4:$B$18,0)),"OK","CHECK"),"CHECK"))</f>
        <v/>
      </c>
      <c r="H730">
        <f>IFERROR(INDEX(Cluster_Master!$C$4:$C$18,MATCH($F730,Cluster_Master!$B$4:$B$18,0)),"")</f>
        <v/>
      </c>
      <c r="I730">
        <f>IFERROR(INDEX(Cluster_Master!$D$4:$D$18,MATCH($F730,Cluster_Master!$B$4:$B$18,0)),"")</f>
        <v/>
      </c>
      <c r="J730">
        <f>IFERROR(INDEX(Cluster_Master!$E$4:$E$18,MATCH($F730,Cluster_Master!$B$4:$B$18,0)),"")</f>
        <v/>
      </c>
      <c r="K730">
        <f>IFERROR(INDEX(Cluster_Master!$F$4:$F$18,MATCH($F730,Cluster_Master!$B$4:$B$18,0)),"")</f>
        <v/>
      </c>
      <c r="L730">
        <f>IFERROR(INDEX(Cluster_Master!$G$4:$G$18,MATCH($F730,Cluster_Master!$B$4:$B$18,0)),"")</f>
        <v/>
      </c>
      <c r="M730">
        <f>IFERROR(INDEX(Cluster_Master!$H$4:$H$18,MATCH($F730,Cluster_Master!$B$4:$B$18,0)),"")</f>
        <v/>
      </c>
      <c r="AI730">
        <f>IF(COUNTA(T730:AH730)=0,"",SUM(T730:AH730))</f>
        <v/>
      </c>
      <c r="AJ730">
        <f>IF(COUNTA(T730:AH730)=0,"",AI730/(COUNT(KPI_Weights!$A$4:$A$18)*5))</f>
        <v/>
      </c>
      <c r="AK730">
        <f>IF(COUNTA(T730:AH730)=0,"",SUMPRODUCT(T730:AH730,KPI_Weights!$B$4:$B$18)/5)</f>
        <v/>
      </c>
      <c r="AL730">
        <f>IF(COUNTA(T730:AH730)=0,"",IF(SUMPRODUCT(--(T730:AH730&lt;=1),--(KPI_Weights!$C$4:$C$18="YES"))&gt;0,"YES","NO"))</f>
        <v/>
      </c>
      <c r="AM730">
        <f>IF(AJ730="","",IF(AND(AL730="NO",AJ730&gt;=0.75),"YES","NO"))</f>
        <v/>
      </c>
      <c r="AN730">
        <f>IF(AJ730="","",IF(AJ730&lt;0.4,"Critical",IF(AJ730&lt;0.6,"Poor",IF(AJ730&lt;0.75,"Needs Improvement",IF(AJ730&lt;0.9,"Good","Excellent")))))</f>
        <v/>
      </c>
    </row>
    <row r="731" ht="15" customHeight="1" s="45">
      <c r="A731">
        <f>IF($B731="","",TEXT($B731,"yyyymmdd")&amp;"-"&amp;SUBSTITUTE($F731," ","")&amp;"-"&amp;TEXT(COUNTIF($F$4:F731,$F731),"00"))</f>
        <v/>
      </c>
      <c r="C731">
        <f>IF($B731="","",WEEKNUM($B731,2))</f>
        <v/>
      </c>
      <c r="D731">
        <f>IF($B731="","",TEXT($B731,"yyyy-mm"))</f>
        <v/>
      </c>
      <c r="G731">
        <f>IF(OR($E731="",$F731=""),"",IFERROR(IF($E731=INDEX(Cluster_Master!$A$4:$A$18,MATCH($F731,Cluster_Master!$B$4:$B$18,0)),"OK","CHECK"),"CHECK"))</f>
        <v/>
      </c>
      <c r="H731">
        <f>IFERROR(INDEX(Cluster_Master!$C$4:$C$18,MATCH($F731,Cluster_Master!$B$4:$B$18,0)),"")</f>
        <v/>
      </c>
      <c r="I731">
        <f>IFERROR(INDEX(Cluster_Master!$D$4:$D$18,MATCH($F731,Cluster_Master!$B$4:$B$18,0)),"")</f>
        <v/>
      </c>
      <c r="J731">
        <f>IFERROR(INDEX(Cluster_Master!$E$4:$E$18,MATCH($F731,Cluster_Master!$B$4:$B$18,0)),"")</f>
        <v/>
      </c>
      <c r="K731">
        <f>IFERROR(INDEX(Cluster_Master!$F$4:$F$18,MATCH($F731,Cluster_Master!$B$4:$B$18,0)),"")</f>
        <v/>
      </c>
      <c r="L731">
        <f>IFERROR(INDEX(Cluster_Master!$G$4:$G$18,MATCH($F731,Cluster_Master!$B$4:$B$18,0)),"")</f>
        <v/>
      </c>
      <c r="M731">
        <f>IFERROR(INDEX(Cluster_Master!$H$4:$H$18,MATCH($F731,Cluster_Master!$B$4:$B$18,0)),"")</f>
        <v/>
      </c>
      <c r="AI731">
        <f>IF(COUNTA(T731:AH731)=0,"",SUM(T731:AH731))</f>
        <v/>
      </c>
      <c r="AJ731">
        <f>IF(COUNTA(T731:AH731)=0,"",AI731/(COUNT(KPI_Weights!$A$4:$A$18)*5))</f>
        <v/>
      </c>
      <c r="AK731">
        <f>IF(COUNTA(T731:AH731)=0,"",SUMPRODUCT(T731:AH731,KPI_Weights!$B$4:$B$18)/5)</f>
        <v/>
      </c>
      <c r="AL731">
        <f>IF(COUNTA(T731:AH731)=0,"",IF(SUMPRODUCT(--(T731:AH731&lt;=1),--(KPI_Weights!$C$4:$C$18="YES"))&gt;0,"YES","NO"))</f>
        <v/>
      </c>
      <c r="AM731">
        <f>IF(AJ731="","",IF(AND(AL731="NO",AJ731&gt;=0.75),"YES","NO"))</f>
        <v/>
      </c>
      <c r="AN731">
        <f>IF(AJ731="","",IF(AJ731&lt;0.4,"Critical",IF(AJ731&lt;0.6,"Poor",IF(AJ731&lt;0.75,"Needs Improvement",IF(AJ731&lt;0.9,"Good","Excellent")))))</f>
        <v/>
      </c>
    </row>
    <row r="732" ht="15" customHeight="1" s="45">
      <c r="A732">
        <f>IF($B732="","",TEXT($B732,"yyyymmdd")&amp;"-"&amp;SUBSTITUTE($F732," ","")&amp;"-"&amp;TEXT(COUNTIF($F$4:F732,$F732),"00"))</f>
        <v/>
      </c>
      <c r="C732">
        <f>IF($B732="","",WEEKNUM($B732,2))</f>
        <v/>
      </c>
      <c r="D732">
        <f>IF($B732="","",TEXT($B732,"yyyy-mm"))</f>
        <v/>
      </c>
      <c r="G732">
        <f>IF(OR($E732="",$F732=""),"",IFERROR(IF($E732=INDEX(Cluster_Master!$A$4:$A$18,MATCH($F732,Cluster_Master!$B$4:$B$18,0)),"OK","CHECK"),"CHECK"))</f>
        <v/>
      </c>
      <c r="H732">
        <f>IFERROR(INDEX(Cluster_Master!$C$4:$C$18,MATCH($F732,Cluster_Master!$B$4:$B$18,0)),"")</f>
        <v/>
      </c>
      <c r="I732">
        <f>IFERROR(INDEX(Cluster_Master!$D$4:$D$18,MATCH($F732,Cluster_Master!$B$4:$B$18,0)),"")</f>
        <v/>
      </c>
      <c r="J732">
        <f>IFERROR(INDEX(Cluster_Master!$E$4:$E$18,MATCH($F732,Cluster_Master!$B$4:$B$18,0)),"")</f>
        <v/>
      </c>
      <c r="K732">
        <f>IFERROR(INDEX(Cluster_Master!$F$4:$F$18,MATCH($F732,Cluster_Master!$B$4:$B$18,0)),"")</f>
        <v/>
      </c>
      <c r="L732">
        <f>IFERROR(INDEX(Cluster_Master!$G$4:$G$18,MATCH($F732,Cluster_Master!$B$4:$B$18,0)),"")</f>
        <v/>
      </c>
      <c r="M732">
        <f>IFERROR(INDEX(Cluster_Master!$H$4:$H$18,MATCH($F732,Cluster_Master!$B$4:$B$18,0)),"")</f>
        <v/>
      </c>
      <c r="AI732">
        <f>IF(COUNTA(T732:AH732)=0,"",SUM(T732:AH732))</f>
        <v/>
      </c>
      <c r="AJ732">
        <f>IF(COUNTA(T732:AH732)=0,"",AI732/(COUNT(KPI_Weights!$A$4:$A$18)*5))</f>
        <v/>
      </c>
      <c r="AK732">
        <f>IF(COUNTA(T732:AH732)=0,"",SUMPRODUCT(T732:AH732,KPI_Weights!$B$4:$B$18)/5)</f>
        <v/>
      </c>
      <c r="AL732">
        <f>IF(COUNTA(T732:AH732)=0,"",IF(SUMPRODUCT(--(T732:AH732&lt;=1),--(KPI_Weights!$C$4:$C$18="YES"))&gt;0,"YES","NO"))</f>
        <v/>
      </c>
      <c r="AM732">
        <f>IF(AJ732="","",IF(AND(AL732="NO",AJ732&gt;=0.75),"YES","NO"))</f>
        <v/>
      </c>
      <c r="AN732">
        <f>IF(AJ732="","",IF(AJ732&lt;0.4,"Critical",IF(AJ732&lt;0.6,"Poor",IF(AJ732&lt;0.75,"Needs Improvement",IF(AJ732&lt;0.9,"Good","Excellent")))))</f>
        <v/>
      </c>
    </row>
    <row r="733" ht="15" customHeight="1" s="45">
      <c r="A733">
        <f>IF($B733="","",TEXT($B733,"yyyymmdd")&amp;"-"&amp;SUBSTITUTE($F733," ","")&amp;"-"&amp;TEXT(COUNTIF($F$4:F733,$F733),"00"))</f>
        <v/>
      </c>
      <c r="C733">
        <f>IF($B733="","",WEEKNUM($B733,2))</f>
        <v/>
      </c>
      <c r="D733">
        <f>IF($B733="","",TEXT($B733,"yyyy-mm"))</f>
        <v/>
      </c>
      <c r="G733">
        <f>IF(OR($E733="",$F733=""),"",IFERROR(IF($E733=INDEX(Cluster_Master!$A$4:$A$18,MATCH($F733,Cluster_Master!$B$4:$B$18,0)),"OK","CHECK"),"CHECK"))</f>
        <v/>
      </c>
      <c r="H733">
        <f>IFERROR(INDEX(Cluster_Master!$C$4:$C$18,MATCH($F733,Cluster_Master!$B$4:$B$18,0)),"")</f>
        <v/>
      </c>
      <c r="I733">
        <f>IFERROR(INDEX(Cluster_Master!$D$4:$D$18,MATCH($F733,Cluster_Master!$B$4:$B$18,0)),"")</f>
        <v/>
      </c>
      <c r="J733">
        <f>IFERROR(INDEX(Cluster_Master!$E$4:$E$18,MATCH($F733,Cluster_Master!$B$4:$B$18,0)),"")</f>
        <v/>
      </c>
      <c r="K733">
        <f>IFERROR(INDEX(Cluster_Master!$F$4:$F$18,MATCH($F733,Cluster_Master!$B$4:$B$18,0)),"")</f>
        <v/>
      </c>
      <c r="L733">
        <f>IFERROR(INDEX(Cluster_Master!$G$4:$G$18,MATCH($F733,Cluster_Master!$B$4:$B$18,0)),"")</f>
        <v/>
      </c>
      <c r="M733">
        <f>IFERROR(INDEX(Cluster_Master!$H$4:$H$18,MATCH($F733,Cluster_Master!$B$4:$B$18,0)),"")</f>
        <v/>
      </c>
      <c r="AI733">
        <f>IF(COUNTA(T733:AH733)=0,"",SUM(T733:AH733))</f>
        <v/>
      </c>
      <c r="AJ733">
        <f>IF(COUNTA(T733:AH733)=0,"",AI733/(COUNT(KPI_Weights!$A$4:$A$18)*5))</f>
        <v/>
      </c>
      <c r="AK733">
        <f>IF(COUNTA(T733:AH733)=0,"",SUMPRODUCT(T733:AH733,KPI_Weights!$B$4:$B$18)/5)</f>
        <v/>
      </c>
      <c r="AL733">
        <f>IF(COUNTA(T733:AH733)=0,"",IF(SUMPRODUCT(--(T733:AH733&lt;=1),--(KPI_Weights!$C$4:$C$18="YES"))&gt;0,"YES","NO"))</f>
        <v/>
      </c>
      <c r="AM733">
        <f>IF(AJ733="","",IF(AND(AL733="NO",AJ733&gt;=0.75),"YES","NO"))</f>
        <v/>
      </c>
      <c r="AN733">
        <f>IF(AJ733="","",IF(AJ733&lt;0.4,"Critical",IF(AJ733&lt;0.6,"Poor",IF(AJ733&lt;0.75,"Needs Improvement",IF(AJ733&lt;0.9,"Good","Excellent")))))</f>
        <v/>
      </c>
    </row>
    <row r="734" ht="15" customHeight="1" s="45">
      <c r="A734">
        <f>IF($B734="","",TEXT($B734,"yyyymmdd")&amp;"-"&amp;SUBSTITUTE($F734," ","")&amp;"-"&amp;TEXT(COUNTIF($F$4:F734,$F734),"00"))</f>
        <v/>
      </c>
      <c r="C734">
        <f>IF($B734="","",WEEKNUM($B734,2))</f>
        <v/>
      </c>
      <c r="D734">
        <f>IF($B734="","",TEXT($B734,"yyyy-mm"))</f>
        <v/>
      </c>
      <c r="G734">
        <f>IF(OR($E734="",$F734=""),"",IFERROR(IF($E734=INDEX(Cluster_Master!$A$4:$A$18,MATCH($F734,Cluster_Master!$B$4:$B$18,0)),"OK","CHECK"),"CHECK"))</f>
        <v/>
      </c>
      <c r="H734">
        <f>IFERROR(INDEX(Cluster_Master!$C$4:$C$18,MATCH($F734,Cluster_Master!$B$4:$B$18,0)),"")</f>
        <v/>
      </c>
      <c r="I734">
        <f>IFERROR(INDEX(Cluster_Master!$D$4:$D$18,MATCH($F734,Cluster_Master!$B$4:$B$18,0)),"")</f>
        <v/>
      </c>
      <c r="J734">
        <f>IFERROR(INDEX(Cluster_Master!$E$4:$E$18,MATCH($F734,Cluster_Master!$B$4:$B$18,0)),"")</f>
        <v/>
      </c>
      <c r="K734">
        <f>IFERROR(INDEX(Cluster_Master!$F$4:$F$18,MATCH($F734,Cluster_Master!$B$4:$B$18,0)),"")</f>
        <v/>
      </c>
      <c r="L734">
        <f>IFERROR(INDEX(Cluster_Master!$G$4:$G$18,MATCH($F734,Cluster_Master!$B$4:$B$18,0)),"")</f>
        <v/>
      </c>
      <c r="M734">
        <f>IFERROR(INDEX(Cluster_Master!$H$4:$H$18,MATCH($F734,Cluster_Master!$B$4:$B$18,0)),"")</f>
        <v/>
      </c>
      <c r="AI734">
        <f>IF(COUNTA(T734:AH734)=0,"",SUM(T734:AH734))</f>
        <v/>
      </c>
      <c r="AJ734">
        <f>IF(COUNTA(T734:AH734)=0,"",AI734/(COUNT(KPI_Weights!$A$4:$A$18)*5))</f>
        <v/>
      </c>
      <c r="AK734">
        <f>IF(COUNTA(T734:AH734)=0,"",SUMPRODUCT(T734:AH734,KPI_Weights!$B$4:$B$18)/5)</f>
        <v/>
      </c>
      <c r="AL734">
        <f>IF(COUNTA(T734:AH734)=0,"",IF(SUMPRODUCT(--(T734:AH734&lt;=1),--(KPI_Weights!$C$4:$C$18="YES"))&gt;0,"YES","NO"))</f>
        <v/>
      </c>
      <c r="AM734">
        <f>IF(AJ734="","",IF(AND(AL734="NO",AJ734&gt;=0.75),"YES","NO"))</f>
        <v/>
      </c>
      <c r="AN734">
        <f>IF(AJ734="","",IF(AJ734&lt;0.4,"Critical",IF(AJ734&lt;0.6,"Poor",IF(AJ734&lt;0.75,"Needs Improvement",IF(AJ734&lt;0.9,"Good","Excellent")))))</f>
        <v/>
      </c>
    </row>
    <row r="735" ht="15" customHeight="1" s="45">
      <c r="A735">
        <f>IF($B735="","",TEXT($B735,"yyyymmdd")&amp;"-"&amp;SUBSTITUTE($F735," ","")&amp;"-"&amp;TEXT(COUNTIF($F$4:F735,$F735),"00"))</f>
        <v/>
      </c>
      <c r="C735">
        <f>IF($B735="","",WEEKNUM($B735,2))</f>
        <v/>
      </c>
      <c r="D735">
        <f>IF($B735="","",TEXT($B735,"yyyy-mm"))</f>
        <v/>
      </c>
      <c r="G735">
        <f>IF(OR($E735="",$F735=""),"",IFERROR(IF($E735=INDEX(Cluster_Master!$A$4:$A$18,MATCH($F735,Cluster_Master!$B$4:$B$18,0)),"OK","CHECK"),"CHECK"))</f>
        <v/>
      </c>
      <c r="H735">
        <f>IFERROR(INDEX(Cluster_Master!$C$4:$C$18,MATCH($F735,Cluster_Master!$B$4:$B$18,0)),"")</f>
        <v/>
      </c>
      <c r="I735">
        <f>IFERROR(INDEX(Cluster_Master!$D$4:$D$18,MATCH($F735,Cluster_Master!$B$4:$B$18,0)),"")</f>
        <v/>
      </c>
      <c r="J735">
        <f>IFERROR(INDEX(Cluster_Master!$E$4:$E$18,MATCH($F735,Cluster_Master!$B$4:$B$18,0)),"")</f>
        <v/>
      </c>
      <c r="K735">
        <f>IFERROR(INDEX(Cluster_Master!$F$4:$F$18,MATCH($F735,Cluster_Master!$B$4:$B$18,0)),"")</f>
        <v/>
      </c>
      <c r="L735">
        <f>IFERROR(INDEX(Cluster_Master!$G$4:$G$18,MATCH($F735,Cluster_Master!$B$4:$B$18,0)),"")</f>
        <v/>
      </c>
      <c r="M735">
        <f>IFERROR(INDEX(Cluster_Master!$H$4:$H$18,MATCH($F735,Cluster_Master!$B$4:$B$18,0)),"")</f>
        <v/>
      </c>
      <c r="AI735">
        <f>IF(COUNTA(T735:AH735)=0,"",SUM(T735:AH735))</f>
        <v/>
      </c>
      <c r="AJ735">
        <f>IF(COUNTA(T735:AH735)=0,"",AI735/(COUNT(KPI_Weights!$A$4:$A$18)*5))</f>
        <v/>
      </c>
      <c r="AK735">
        <f>IF(COUNTA(T735:AH735)=0,"",SUMPRODUCT(T735:AH735,KPI_Weights!$B$4:$B$18)/5)</f>
        <v/>
      </c>
      <c r="AL735">
        <f>IF(COUNTA(T735:AH735)=0,"",IF(SUMPRODUCT(--(T735:AH735&lt;=1),--(KPI_Weights!$C$4:$C$18="YES"))&gt;0,"YES","NO"))</f>
        <v/>
      </c>
      <c r="AM735">
        <f>IF(AJ735="","",IF(AND(AL735="NO",AJ735&gt;=0.75),"YES","NO"))</f>
        <v/>
      </c>
      <c r="AN735">
        <f>IF(AJ735="","",IF(AJ735&lt;0.4,"Critical",IF(AJ735&lt;0.6,"Poor",IF(AJ735&lt;0.75,"Needs Improvement",IF(AJ735&lt;0.9,"Good","Excellent")))))</f>
        <v/>
      </c>
    </row>
    <row r="736" ht="15" customHeight="1" s="45">
      <c r="A736">
        <f>IF($B736="","",TEXT($B736,"yyyymmdd")&amp;"-"&amp;SUBSTITUTE($F736," ","")&amp;"-"&amp;TEXT(COUNTIF($F$4:F736,$F736),"00"))</f>
        <v/>
      </c>
      <c r="C736">
        <f>IF($B736="","",WEEKNUM($B736,2))</f>
        <v/>
      </c>
      <c r="D736">
        <f>IF($B736="","",TEXT($B736,"yyyy-mm"))</f>
        <v/>
      </c>
      <c r="G736">
        <f>IF(OR($E736="",$F736=""),"",IFERROR(IF($E736=INDEX(Cluster_Master!$A$4:$A$18,MATCH($F736,Cluster_Master!$B$4:$B$18,0)),"OK","CHECK"),"CHECK"))</f>
        <v/>
      </c>
      <c r="H736">
        <f>IFERROR(INDEX(Cluster_Master!$C$4:$C$18,MATCH($F736,Cluster_Master!$B$4:$B$18,0)),"")</f>
        <v/>
      </c>
      <c r="I736">
        <f>IFERROR(INDEX(Cluster_Master!$D$4:$D$18,MATCH($F736,Cluster_Master!$B$4:$B$18,0)),"")</f>
        <v/>
      </c>
      <c r="J736">
        <f>IFERROR(INDEX(Cluster_Master!$E$4:$E$18,MATCH($F736,Cluster_Master!$B$4:$B$18,0)),"")</f>
        <v/>
      </c>
      <c r="K736">
        <f>IFERROR(INDEX(Cluster_Master!$F$4:$F$18,MATCH($F736,Cluster_Master!$B$4:$B$18,0)),"")</f>
        <v/>
      </c>
      <c r="L736">
        <f>IFERROR(INDEX(Cluster_Master!$G$4:$G$18,MATCH($F736,Cluster_Master!$B$4:$B$18,0)),"")</f>
        <v/>
      </c>
      <c r="M736">
        <f>IFERROR(INDEX(Cluster_Master!$H$4:$H$18,MATCH($F736,Cluster_Master!$B$4:$B$18,0)),"")</f>
        <v/>
      </c>
      <c r="AI736">
        <f>IF(COUNTA(T736:AH736)=0,"",SUM(T736:AH736))</f>
        <v/>
      </c>
      <c r="AJ736">
        <f>IF(COUNTA(T736:AH736)=0,"",AI736/(COUNT(KPI_Weights!$A$4:$A$18)*5))</f>
        <v/>
      </c>
      <c r="AK736">
        <f>IF(COUNTA(T736:AH736)=0,"",SUMPRODUCT(T736:AH736,KPI_Weights!$B$4:$B$18)/5)</f>
        <v/>
      </c>
      <c r="AL736">
        <f>IF(COUNTA(T736:AH736)=0,"",IF(SUMPRODUCT(--(T736:AH736&lt;=1),--(KPI_Weights!$C$4:$C$18="YES"))&gt;0,"YES","NO"))</f>
        <v/>
      </c>
      <c r="AM736">
        <f>IF(AJ736="","",IF(AND(AL736="NO",AJ736&gt;=0.75),"YES","NO"))</f>
        <v/>
      </c>
      <c r="AN736">
        <f>IF(AJ736="","",IF(AJ736&lt;0.4,"Critical",IF(AJ736&lt;0.6,"Poor",IF(AJ736&lt;0.75,"Needs Improvement",IF(AJ736&lt;0.9,"Good","Excellent")))))</f>
        <v/>
      </c>
    </row>
    <row r="737" ht="15" customHeight="1" s="45">
      <c r="A737">
        <f>IF($B737="","",TEXT($B737,"yyyymmdd")&amp;"-"&amp;SUBSTITUTE($F737," ","")&amp;"-"&amp;TEXT(COUNTIF($F$4:F737,$F737),"00"))</f>
        <v/>
      </c>
      <c r="C737">
        <f>IF($B737="","",WEEKNUM($B737,2))</f>
        <v/>
      </c>
      <c r="D737">
        <f>IF($B737="","",TEXT($B737,"yyyy-mm"))</f>
        <v/>
      </c>
      <c r="G737">
        <f>IF(OR($E737="",$F737=""),"",IFERROR(IF($E737=INDEX(Cluster_Master!$A$4:$A$18,MATCH($F737,Cluster_Master!$B$4:$B$18,0)),"OK","CHECK"),"CHECK"))</f>
        <v/>
      </c>
      <c r="H737">
        <f>IFERROR(INDEX(Cluster_Master!$C$4:$C$18,MATCH($F737,Cluster_Master!$B$4:$B$18,0)),"")</f>
        <v/>
      </c>
      <c r="I737">
        <f>IFERROR(INDEX(Cluster_Master!$D$4:$D$18,MATCH($F737,Cluster_Master!$B$4:$B$18,0)),"")</f>
        <v/>
      </c>
      <c r="J737">
        <f>IFERROR(INDEX(Cluster_Master!$E$4:$E$18,MATCH($F737,Cluster_Master!$B$4:$B$18,0)),"")</f>
        <v/>
      </c>
      <c r="K737">
        <f>IFERROR(INDEX(Cluster_Master!$F$4:$F$18,MATCH($F737,Cluster_Master!$B$4:$B$18,0)),"")</f>
        <v/>
      </c>
      <c r="L737">
        <f>IFERROR(INDEX(Cluster_Master!$G$4:$G$18,MATCH($F737,Cluster_Master!$B$4:$B$18,0)),"")</f>
        <v/>
      </c>
      <c r="M737">
        <f>IFERROR(INDEX(Cluster_Master!$H$4:$H$18,MATCH($F737,Cluster_Master!$B$4:$B$18,0)),"")</f>
        <v/>
      </c>
      <c r="AI737">
        <f>IF(COUNTA(T737:AH737)=0,"",SUM(T737:AH737))</f>
        <v/>
      </c>
      <c r="AJ737">
        <f>IF(COUNTA(T737:AH737)=0,"",AI737/(COUNT(KPI_Weights!$A$4:$A$18)*5))</f>
        <v/>
      </c>
      <c r="AK737">
        <f>IF(COUNTA(T737:AH737)=0,"",SUMPRODUCT(T737:AH737,KPI_Weights!$B$4:$B$18)/5)</f>
        <v/>
      </c>
      <c r="AL737">
        <f>IF(COUNTA(T737:AH737)=0,"",IF(SUMPRODUCT(--(T737:AH737&lt;=1),--(KPI_Weights!$C$4:$C$18="YES"))&gt;0,"YES","NO"))</f>
        <v/>
      </c>
      <c r="AM737">
        <f>IF(AJ737="","",IF(AND(AL737="NO",AJ737&gt;=0.75),"YES","NO"))</f>
        <v/>
      </c>
      <c r="AN737">
        <f>IF(AJ737="","",IF(AJ737&lt;0.4,"Critical",IF(AJ737&lt;0.6,"Poor",IF(AJ737&lt;0.75,"Needs Improvement",IF(AJ737&lt;0.9,"Good","Excellent")))))</f>
        <v/>
      </c>
    </row>
    <row r="738" ht="15" customHeight="1" s="45">
      <c r="A738">
        <f>IF($B738="","",TEXT($B738,"yyyymmdd")&amp;"-"&amp;SUBSTITUTE($F738," ","")&amp;"-"&amp;TEXT(COUNTIF($F$4:F738,$F738),"00"))</f>
        <v/>
      </c>
      <c r="C738">
        <f>IF($B738="","",WEEKNUM($B738,2))</f>
        <v/>
      </c>
      <c r="D738">
        <f>IF($B738="","",TEXT($B738,"yyyy-mm"))</f>
        <v/>
      </c>
      <c r="G738">
        <f>IF(OR($E738="",$F738=""),"",IFERROR(IF($E738=INDEX(Cluster_Master!$A$4:$A$18,MATCH($F738,Cluster_Master!$B$4:$B$18,0)),"OK","CHECK"),"CHECK"))</f>
        <v/>
      </c>
      <c r="H738">
        <f>IFERROR(INDEX(Cluster_Master!$C$4:$C$18,MATCH($F738,Cluster_Master!$B$4:$B$18,0)),"")</f>
        <v/>
      </c>
      <c r="I738">
        <f>IFERROR(INDEX(Cluster_Master!$D$4:$D$18,MATCH($F738,Cluster_Master!$B$4:$B$18,0)),"")</f>
        <v/>
      </c>
      <c r="J738">
        <f>IFERROR(INDEX(Cluster_Master!$E$4:$E$18,MATCH($F738,Cluster_Master!$B$4:$B$18,0)),"")</f>
        <v/>
      </c>
      <c r="K738">
        <f>IFERROR(INDEX(Cluster_Master!$F$4:$F$18,MATCH($F738,Cluster_Master!$B$4:$B$18,0)),"")</f>
        <v/>
      </c>
      <c r="L738">
        <f>IFERROR(INDEX(Cluster_Master!$G$4:$G$18,MATCH($F738,Cluster_Master!$B$4:$B$18,0)),"")</f>
        <v/>
      </c>
      <c r="M738">
        <f>IFERROR(INDEX(Cluster_Master!$H$4:$H$18,MATCH($F738,Cluster_Master!$B$4:$B$18,0)),"")</f>
        <v/>
      </c>
      <c r="AI738">
        <f>IF(COUNTA(T738:AH738)=0,"",SUM(T738:AH738))</f>
        <v/>
      </c>
      <c r="AJ738">
        <f>IF(COUNTA(T738:AH738)=0,"",AI738/(COUNT(KPI_Weights!$A$4:$A$18)*5))</f>
        <v/>
      </c>
      <c r="AK738">
        <f>IF(COUNTA(T738:AH738)=0,"",SUMPRODUCT(T738:AH738,KPI_Weights!$B$4:$B$18)/5)</f>
        <v/>
      </c>
      <c r="AL738">
        <f>IF(COUNTA(T738:AH738)=0,"",IF(SUMPRODUCT(--(T738:AH738&lt;=1),--(KPI_Weights!$C$4:$C$18="YES"))&gt;0,"YES","NO"))</f>
        <v/>
      </c>
      <c r="AM738">
        <f>IF(AJ738="","",IF(AND(AL738="NO",AJ738&gt;=0.75),"YES","NO"))</f>
        <v/>
      </c>
      <c r="AN738">
        <f>IF(AJ738="","",IF(AJ738&lt;0.4,"Critical",IF(AJ738&lt;0.6,"Poor",IF(AJ738&lt;0.75,"Needs Improvement",IF(AJ738&lt;0.9,"Good","Excellent")))))</f>
        <v/>
      </c>
    </row>
    <row r="739" ht="15" customHeight="1" s="45">
      <c r="A739">
        <f>IF($B739="","",TEXT($B739,"yyyymmdd")&amp;"-"&amp;SUBSTITUTE($F739," ","")&amp;"-"&amp;TEXT(COUNTIF($F$4:F739,$F739),"00"))</f>
        <v/>
      </c>
      <c r="C739">
        <f>IF($B739="","",WEEKNUM($B739,2))</f>
        <v/>
      </c>
      <c r="D739">
        <f>IF($B739="","",TEXT($B739,"yyyy-mm"))</f>
        <v/>
      </c>
      <c r="G739">
        <f>IF(OR($E739="",$F739=""),"",IFERROR(IF($E739=INDEX(Cluster_Master!$A$4:$A$18,MATCH($F739,Cluster_Master!$B$4:$B$18,0)),"OK","CHECK"),"CHECK"))</f>
        <v/>
      </c>
      <c r="H739">
        <f>IFERROR(INDEX(Cluster_Master!$C$4:$C$18,MATCH($F739,Cluster_Master!$B$4:$B$18,0)),"")</f>
        <v/>
      </c>
      <c r="I739">
        <f>IFERROR(INDEX(Cluster_Master!$D$4:$D$18,MATCH($F739,Cluster_Master!$B$4:$B$18,0)),"")</f>
        <v/>
      </c>
      <c r="J739">
        <f>IFERROR(INDEX(Cluster_Master!$E$4:$E$18,MATCH($F739,Cluster_Master!$B$4:$B$18,0)),"")</f>
        <v/>
      </c>
      <c r="K739">
        <f>IFERROR(INDEX(Cluster_Master!$F$4:$F$18,MATCH($F739,Cluster_Master!$B$4:$B$18,0)),"")</f>
        <v/>
      </c>
      <c r="L739">
        <f>IFERROR(INDEX(Cluster_Master!$G$4:$G$18,MATCH($F739,Cluster_Master!$B$4:$B$18,0)),"")</f>
        <v/>
      </c>
      <c r="M739">
        <f>IFERROR(INDEX(Cluster_Master!$H$4:$H$18,MATCH($F739,Cluster_Master!$B$4:$B$18,0)),"")</f>
        <v/>
      </c>
      <c r="AI739">
        <f>IF(COUNTA(T739:AH739)=0,"",SUM(T739:AH739))</f>
        <v/>
      </c>
      <c r="AJ739">
        <f>IF(COUNTA(T739:AH739)=0,"",AI739/(COUNT(KPI_Weights!$A$4:$A$18)*5))</f>
        <v/>
      </c>
      <c r="AK739">
        <f>IF(COUNTA(T739:AH739)=0,"",SUMPRODUCT(T739:AH739,KPI_Weights!$B$4:$B$18)/5)</f>
        <v/>
      </c>
      <c r="AL739">
        <f>IF(COUNTA(T739:AH739)=0,"",IF(SUMPRODUCT(--(T739:AH739&lt;=1),--(KPI_Weights!$C$4:$C$18="YES"))&gt;0,"YES","NO"))</f>
        <v/>
      </c>
      <c r="AM739">
        <f>IF(AJ739="","",IF(AND(AL739="NO",AJ739&gt;=0.75),"YES","NO"))</f>
        <v/>
      </c>
      <c r="AN739">
        <f>IF(AJ739="","",IF(AJ739&lt;0.4,"Critical",IF(AJ739&lt;0.6,"Poor",IF(AJ739&lt;0.75,"Needs Improvement",IF(AJ739&lt;0.9,"Good","Excellent")))))</f>
        <v/>
      </c>
    </row>
    <row r="740" ht="15" customHeight="1" s="45">
      <c r="A740">
        <f>IF($B740="","",TEXT($B740,"yyyymmdd")&amp;"-"&amp;SUBSTITUTE($F740," ","")&amp;"-"&amp;TEXT(COUNTIF($F$4:F740,$F740),"00"))</f>
        <v/>
      </c>
      <c r="C740">
        <f>IF($B740="","",WEEKNUM($B740,2))</f>
        <v/>
      </c>
      <c r="D740">
        <f>IF($B740="","",TEXT($B740,"yyyy-mm"))</f>
        <v/>
      </c>
      <c r="G740">
        <f>IF(OR($E740="",$F740=""),"",IFERROR(IF($E740=INDEX(Cluster_Master!$A$4:$A$18,MATCH($F740,Cluster_Master!$B$4:$B$18,0)),"OK","CHECK"),"CHECK"))</f>
        <v/>
      </c>
      <c r="H740">
        <f>IFERROR(INDEX(Cluster_Master!$C$4:$C$18,MATCH($F740,Cluster_Master!$B$4:$B$18,0)),"")</f>
        <v/>
      </c>
      <c r="I740">
        <f>IFERROR(INDEX(Cluster_Master!$D$4:$D$18,MATCH($F740,Cluster_Master!$B$4:$B$18,0)),"")</f>
        <v/>
      </c>
      <c r="J740">
        <f>IFERROR(INDEX(Cluster_Master!$E$4:$E$18,MATCH($F740,Cluster_Master!$B$4:$B$18,0)),"")</f>
        <v/>
      </c>
      <c r="K740">
        <f>IFERROR(INDEX(Cluster_Master!$F$4:$F$18,MATCH($F740,Cluster_Master!$B$4:$B$18,0)),"")</f>
        <v/>
      </c>
      <c r="L740">
        <f>IFERROR(INDEX(Cluster_Master!$G$4:$G$18,MATCH($F740,Cluster_Master!$B$4:$B$18,0)),"")</f>
        <v/>
      </c>
      <c r="M740">
        <f>IFERROR(INDEX(Cluster_Master!$H$4:$H$18,MATCH($F740,Cluster_Master!$B$4:$B$18,0)),"")</f>
        <v/>
      </c>
      <c r="AI740">
        <f>IF(COUNTA(T740:AH740)=0,"",SUM(T740:AH740))</f>
        <v/>
      </c>
      <c r="AJ740">
        <f>IF(COUNTA(T740:AH740)=0,"",AI740/(COUNT(KPI_Weights!$A$4:$A$18)*5))</f>
        <v/>
      </c>
      <c r="AK740">
        <f>IF(COUNTA(T740:AH740)=0,"",SUMPRODUCT(T740:AH740,KPI_Weights!$B$4:$B$18)/5)</f>
        <v/>
      </c>
      <c r="AL740">
        <f>IF(COUNTA(T740:AH740)=0,"",IF(SUMPRODUCT(--(T740:AH740&lt;=1),--(KPI_Weights!$C$4:$C$18="YES"))&gt;0,"YES","NO"))</f>
        <v/>
      </c>
      <c r="AM740">
        <f>IF(AJ740="","",IF(AND(AL740="NO",AJ740&gt;=0.75),"YES","NO"))</f>
        <v/>
      </c>
      <c r="AN740">
        <f>IF(AJ740="","",IF(AJ740&lt;0.4,"Critical",IF(AJ740&lt;0.6,"Poor",IF(AJ740&lt;0.75,"Needs Improvement",IF(AJ740&lt;0.9,"Good","Excellent")))))</f>
        <v/>
      </c>
    </row>
    <row r="741" ht="15" customHeight="1" s="45">
      <c r="A741">
        <f>IF($B741="","",TEXT($B741,"yyyymmdd")&amp;"-"&amp;SUBSTITUTE($F741," ","")&amp;"-"&amp;TEXT(COUNTIF($F$4:F741,$F741),"00"))</f>
        <v/>
      </c>
      <c r="C741">
        <f>IF($B741="","",WEEKNUM($B741,2))</f>
        <v/>
      </c>
      <c r="D741">
        <f>IF($B741="","",TEXT($B741,"yyyy-mm"))</f>
        <v/>
      </c>
      <c r="G741">
        <f>IF(OR($E741="",$F741=""),"",IFERROR(IF($E741=INDEX(Cluster_Master!$A$4:$A$18,MATCH($F741,Cluster_Master!$B$4:$B$18,0)),"OK","CHECK"),"CHECK"))</f>
        <v/>
      </c>
      <c r="H741">
        <f>IFERROR(INDEX(Cluster_Master!$C$4:$C$18,MATCH($F741,Cluster_Master!$B$4:$B$18,0)),"")</f>
        <v/>
      </c>
      <c r="I741">
        <f>IFERROR(INDEX(Cluster_Master!$D$4:$D$18,MATCH($F741,Cluster_Master!$B$4:$B$18,0)),"")</f>
        <v/>
      </c>
      <c r="J741">
        <f>IFERROR(INDEX(Cluster_Master!$E$4:$E$18,MATCH($F741,Cluster_Master!$B$4:$B$18,0)),"")</f>
        <v/>
      </c>
      <c r="K741">
        <f>IFERROR(INDEX(Cluster_Master!$F$4:$F$18,MATCH($F741,Cluster_Master!$B$4:$B$18,0)),"")</f>
        <v/>
      </c>
      <c r="L741">
        <f>IFERROR(INDEX(Cluster_Master!$G$4:$G$18,MATCH($F741,Cluster_Master!$B$4:$B$18,0)),"")</f>
        <v/>
      </c>
      <c r="M741">
        <f>IFERROR(INDEX(Cluster_Master!$H$4:$H$18,MATCH($F741,Cluster_Master!$B$4:$B$18,0)),"")</f>
        <v/>
      </c>
      <c r="AI741">
        <f>IF(COUNTA(T741:AH741)=0,"",SUM(T741:AH741))</f>
        <v/>
      </c>
      <c r="AJ741">
        <f>IF(COUNTA(T741:AH741)=0,"",AI741/(COUNT(KPI_Weights!$A$4:$A$18)*5))</f>
        <v/>
      </c>
      <c r="AK741">
        <f>IF(COUNTA(T741:AH741)=0,"",SUMPRODUCT(T741:AH741,KPI_Weights!$B$4:$B$18)/5)</f>
        <v/>
      </c>
      <c r="AL741">
        <f>IF(COUNTA(T741:AH741)=0,"",IF(SUMPRODUCT(--(T741:AH741&lt;=1),--(KPI_Weights!$C$4:$C$18="YES"))&gt;0,"YES","NO"))</f>
        <v/>
      </c>
      <c r="AM741">
        <f>IF(AJ741="","",IF(AND(AL741="NO",AJ741&gt;=0.75),"YES","NO"))</f>
        <v/>
      </c>
      <c r="AN741">
        <f>IF(AJ741="","",IF(AJ741&lt;0.4,"Critical",IF(AJ741&lt;0.6,"Poor",IF(AJ741&lt;0.75,"Needs Improvement",IF(AJ741&lt;0.9,"Good","Excellent")))))</f>
        <v/>
      </c>
    </row>
    <row r="742" ht="15" customHeight="1" s="45">
      <c r="A742">
        <f>IF($B742="","",TEXT($B742,"yyyymmdd")&amp;"-"&amp;SUBSTITUTE($F742," ","")&amp;"-"&amp;TEXT(COUNTIF($F$4:F742,$F742),"00"))</f>
        <v/>
      </c>
      <c r="C742">
        <f>IF($B742="","",WEEKNUM($B742,2))</f>
        <v/>
      </c>
      <c r="D742">
        <f>IF($B742="","",TEXT($B742,"yyyy-mm"))</f>
        <v/>
      </c>
      <c r="G742">
        <f>IF(OR($E742="",$F742=""),"",IFERROR(IF($E742=INDEX(Cluster_Master!$A$4:$A$18,MATCH($F742,Cluster_Master!$B$4:$B$18,0)),"OK","CHECK"),"CHECK"))</f>
        <v/>
      </c>
      <c r="H742">
        <f>IFERROR(INDEX(Cluster_Master!$C$4:$C$18,MATCH($F742,Cluster_Master!$B$4:$B$18,0)),"")</f>
        <v/>
      </c>
      <c r="I742">
        <f>IFERROR(INDEX(Cluster_Master!$D$4:$D$18,MATCH($F742,Cluster_Master!$B$4:$B$18,0)),"")</f>
        <v/>
      </c>
      <c r="J742">
        <f>IFERROR(INDEX(Cluster_Master!$E$4:$E$18,MATCH($F742,Cluster_Master!$B$4:$B$18,0)),"")</f>
        <v/>
      </c>
      <c r="K742">
        <f>IFERROR(INDEX(Cluster_Master!$F$4:$F$18,MATCH($F742,Cluster_Master!$B$4:$B$18,0)),"")</f>
        <v/>
      </c>
      <c r="L742">
        <f>IFERROR(INDEX(Cluster_Master!$G$4:$G$18,MATCH($F742,Cluster_Master!$B$4:$B$18,0)),"")</f>
        <v/>
      </c>
      <c r="M742">
        <f>IFERROR(INDEX(Cluster_Master!$H$4:$H$18,MATCH($F742,Cluster_Master!$B$4:$B$18,0)),"")</f>
        <v/>
      </c>
      <c r="AI742">
        <f>IF(COUNTA(T742:AH742)=0,"",SUM(T742:AH742))</f>
        <v/>
      </c>
      <c r="AJ742">
        <f>IF(COUNTA(T742:AH742)=0,"",AI742/(COUNT(KPI_Weights!$A$4:$A$18)*5))</f>
        <v/>
      </c>
      <c r="AK742">
        <f>IF(COUNTA(T742:AH742)=0,"",SUMPRODUCT(T742:AH742,KPI_Weights!$B$4:$B$18)/5)</f>
        <v/>
      </c>
      <c r="AL742">
        <f>IF(COUNTA(T742:AH742)=0,"",IF(SUMPRODUCT(--(T742:AH742&lt;=1),--(KPI_Weights!$C$4:$C$18="YES"))&gt;0,"YES","NO"))</f>
        <v/>
      </c>
      <c r="AM742">
        <f>IF(AJ742="","",IF(AND(AL742="NO",AJ742&gt;=0.75),"YES","NO"))</f>
        <v/>
      </c>
      <c r="AN742">
        <f>IF(AJ742="","",IF(AJ742&lt;0.4,"Critical",IF(AJ742&lt;0.6,"Poor",IF(AJ742&lt;0.75,"Needs Improvement",IF(AJ742&lt;0.9,"Good","Excellent")))))</f>
        <v/>
      </c>
    </row>
    <row r="743" ht="15" customHeight="1" s="45">
      <c r="A743">
        <f>IF($B743="","",TEXT($B743,"yyyymmdd")&amp;"-"&amp;SUBSTITUTE($F743," ","")&amp;"-"&amp;TEXT(COUNTIF($F$4:F743,$F743),"00"))</f>
        <v/>
      </c>
      <c r="C743">
        <f>IF($B743="","",WEEKNUM($B743,2))</f>
        <v/>
      </c>
      <c r="D743">
        <f>IF($B743="","",TEXT($B743,"yyyy-mm"))</f>
        <v/>
      </c>
      <c r="G743">
        <f>IF(OR($E743="",$F743=""),"",IFERROR(IF($E743=INDEX(Cluster_Master!$A$4:$A$18,MATCH($F743,Cluster_Master!$B$4:$B$18,0)),"OK","CHECK"),"CHECK"))</f>
        <v/>
      </c>
      <c r="H743">
        <f>IFERROR(INDEX(Cluster_Master!$C$4:$C$18,MATCH($F743,Cluster_Master!$B$4:$B$18,0)),"")</f>
        <v/>
      </c>
      <c r="I743">
        <f>IFERROR(INDEX(Cluster_Master!$D$4:$D$18,MATCH($F743,Cluster_Master!$B$4:$B$18,0)),"")</f>
        <v/>
      </c>
      <c r="J743">
        <f>IFERROR(INDEX(Cluster_Master!$E$4:$E$18,MATCH($F743,Cluster_Master!$B$4:$B$18,0)),"")</f>
        <v/>
      </c>
      <c r="K743">
        <f>IFERROR(INDEX(Cluster_Master!$F$4:$F$18,MATCH($F743,Cluster_Master!$B$4:$B$18,0)),"")</f>
        <v/>
      </c>
      <c r="L743">
        <f>IFERROR(INDEX(Cluster_Master!$G$4:$G$18,MATCH($F743,Cluster_Master!$B$4:$B$18,0)),"")</f>
        <v/>
      </c>
      <c r="M743">
        <f>IFERROR(INDEX(Cluster_Master!$H$4:$H$18,MATCH($F743,Cluster_Master!$B$4:$B$18,0)),"")</f>
        <v/>
      </c>
      <c r="AI743">
        <f>IF(COUNTA(T743:AH743)=0,"",SUM(T743:AH743))</f>
        <v/>
      </c>
      <c r="AJ743">
        <f>IF(COUNTA(T743:AH743)=0,"",AI743/(COUNT(KPI_Weights!$A$4:$A$18)*5))</f>
        <v/>
      </c>
      <c r="AK743">
        <f>IF(COUNTA(T743:AH743)=0,"",SUMPRODUCT(T743:AH743,KPI_Weights!$B$4:$B$18)/5)</f>
        <v/>
      </c>
      <c r="AL743">
        <f>IF(COUNTA(T743:AH743)=0,"",IF(SUMPRODUCT(--(T743:AH743&lt;=1),--(KPI_Weights!$C$4:$C$18="YES"))&gt;0,"YES","NO"))</f>
        <v/>
      </c>
      <c r="AM743">
        <f>IF(AJ743="","",IF(AND(AL743="NO",AJ743&gt;=0.75),"YES","NO"))</f>
        <v/>
      </c>
      <c r="AN743">
        <f>IF(AJ743="","",IF(AJ743&lt;0.4,"Critical",IF(AJ743&lt;0.6,"Poor",IF(AJ743&lt;0.75,"Needs Improvement",IF(AJ743&lt;0.9,"Good","Excellent")))))</f>
        <v/>
      </c>
    </row>
    <row r="744" ht="15" customHeight="1" s="45">
      <c r="A744">
        <f>IF($B744="","",TEXT($B744,"yyyymmdd")&amp;"-"&amp;SUBSTITUTE($F744," ","")&amp;"-"&amp;TEXT(COUNTIF($F$4:F744,$F744),"00"))</f>
        <v/>
      </c>
      <c r="C744">
        <f>IF($B744="","",WEEKNUM($B744,2))</f>
        <v/>
      </c>
      <c r="D744">
        <f>IF($B744="","",TEXT($B744,"yyyy-mm"))</f>
        <v/>
      </c>
      <c r="G744">
        <f>IF(OR($E744="",$F744=""),"",IFERROR(IF($E744=INDEX(Cluster_Master!$A$4:$A$18,MATCH($F744,Cluster_Master!$B$4:$B$18,0)),"OK","CHECK"),"CHECK"))</f>
        <v/>
      </c>
      <c r="H744">
        <f>IFERROR(INDEX(Cluster_Master!$C$4:$C$18,MATCH($F744,Cluster_Master!$B$4:$B$18,0)),"")</f>
        <v/>
      </c>
      <c r="I744">
        <f>IFERROR(INDEX(Cluster_Master!$D$4:$D$18,MATCH($F744,Cluster_Master!$B$4:$B$18,0)),"")</f>
        <v/>
      </c>
      <c r="J744">
        <f>IFERROR(INDEX(Cluster_Master!$E$4:$E$18,MATCH($F744,Cluster_Master!$B$4:$B$18,0)),"")</f>
        <v/>
      </c>
      <c r="K744">
        <f>IFERROR(INDEX(Cluster_Master!$F$4:$F$18,MATCH($F744,Cluster_Master!$B$4:$B$18,0)),"")</f>
        <v/>
      </c>
      <c r="L744">
        <f>IFERROR(INDEX(Cluster_Master!$G$4:$G$18,MATCH($F744,Cluster_Master!$B$4:$B$18,0)),"")</f>
        <v/>
      </c>
      <c r="M744">
        <f>IFERROR(INDEX(Cluster_Master!$H$4:$H$18,MATCH($F744,Cluster_Master!$B$4:$B$18,0)),"")</f>
        <v/>
      </c>
      <c r="AI744">
        <f>IF(COUNTA(T744:AH744)=0,"",SUM(T744:AH744))</f>
        <v/>
      </c>
      <c r="AJ744">
        <f>IF(COUNTA(T744:AH744)=0,"",AI744/(COUNT(KPI_Weights!$A$4:$A$18)*5))</f>
        <v/>
      </c>
      <c r="AK744">
        <f>IF(COUNTA(T744:AH744)=0,"",SUMPRODUCT(T744:AH744,KPI_Weights!$B$4:$B$18)/5)</f>
        <v/>
      </c>
      <c r="AL744">
        <f>IF(COUNTA(T744:AH744)=0,"",IF(SUMPRODUCT(--(T744:AH744&lt;=1),--(KPI_Weights!$C$4:$C$18="YES"))&gt;0,"YES","NO"))</f>
        <v/>
      </c>
      <c r="AM744">
        <f>IF(AJ744="","",IF(AND(AL744="NO",AJ744&gt;=0.75),"YES","NO"))</f>
        <v/>
      </c>
      <c r="AN744">
        <f>IF(AJ744="","",IF(AJ744&lt;0.4,"Critical",IF(AJ744&lt;0.6,"Poor",IF(AJ744&lt;0.75,"Needs Improvement",IF(AJ744&lt;0.9,"Good","Excellent")))))</f>
        <v/>
      </c>
    </row>
    <row r="745" ht="15" customHeight="1" s="45">
      <c r="A745">
        <f>IF($B745="","",TEXT($B745,"yyyymmdd")&amp;"-"&amp;SUBSTITUTE($F745," ","")&amp;"-"&amp;TEXT(COUNTIF($F$4:F745,$F745),"00"))</f>
        <v/>
      </c>
      <c r="C745">
        <f>IF($B745="","",WEEKNUM($B745,2))</f>
        <v/>
      </c>
      <c r="D745">
        <f>IF($B745="","",TEXT($B745,"yyyy-mm"))</f>
        <v/>
      </c>
      <c r="G745">
        <f>IF(OR($E745="",$F745=""),"",IFERROR(IF($E745=INDEX(Cluster_Master!$A$4:$A$18,MATCH($F745,Cluster_Master!$B$4:$B$18,0)),"OK","CHECK"),"CHECK"))</f>
        <v/>
      </c>
      <c r="H745">
        <f>IFERROR(INDEX(Cluster_Master!$C$4:$C$18,MATCH($F745,Cluster_Master!$B$4:$B$18,0)),"")</f>
        <v/>
      </c>
      <c r="I745">
        <f>IFERROR(INDEX(Cluster_Master!$D$4:$D$18,MATCH($F745,Cluster_Master!$B$4:$B$18,0)),"")</f>
        <v/>
      </c>
      <c r="J745">
        <f>IFERROR(INDEX(Cluster_Master!$E$4:$E$18,MATCH($F745,Cluster_Master!$B$4:$B$18,0)),"")</f>
        <v/>
      </c>
      <c r="K745">
        <f>IFERROR(INDEX(Cluster_Master!$F$4:$F$18,MATCH($F745,Cluster_Master!$B$4:$B$18,0)),"")</f>
        <v/>
      </c>
      <c r="L745">
        <f>IFERROR(INDEX(Cluster_Master!$G$4:$G$18,MATCH($F745,Cluster_Master!$B$4:$B$18,0)),"")</f>
        <v/>
      </c>
      <c r="M745">
        <f>IFERROR(INDEX(Cluster_Master!$H$4:$H$18,MATCH($F745,Cluster_Master!$B$4:$B$18,0)),"")</f>
        <v/>
      </c>
      <c r="AI745">
        <f>IF(COUNTA(T745:AH745)=0,"",SUM(T745:AH745))</f>
        <v/>
      </c>
      <c r="AJ745">
        <f>IF(COUNTA(T745:AH745)=0,"",AI745/(COUNT(KPI_Weights!$A$4:$A$18)*5))</f>
        <v/>
      </c>
      <c r="AK745">
        <f>IF(COUNTA(T745:AH745)=0,"",SUMPRODUCT(T745:AH745,KPI_Weights!$B$4:$B$18)/5)</f>
        <v/>
      </c>
      <c r="AL745">
        <f>IF(COUNTA(T745:AH745)=0,"",IF(SUMPRODUCT(--(T745:AH745&lt;=1),--(KPI_Weights!$C$4:$C$18="YES"))&gt;0,"YES","NO"))</f>
        <v/>
      </c>
      <c r="AM745">
        <f>IF(AJ745="","",IF(AND(AL745="NO",AJ745&gt;=0.75),"YES","NO"))</f>
        <v/>
      </c>
      <c r="AN745">
        <f>IF(AJ745="","",IF(AJ745&lt;0.4,"Critical",IF(AJ745&lt;0.6,"Poor",IF(AJ745&lt;0.75,"Needs Improvement",IF(AJ745&lt;0.9,"Good","Excellent")))))</f>
        <v/>
      </c>
    </row>
    <row r="746" ht="15" customHeight="1" s="45">
      <c r="A746">
        <f>IF($B746="","",TEXT($B746,"yyyymmdd")&amp;"-"&amp;SUBSTITUTE($F746," ","")&amp;"-"&amp;TEXT(COUNTIF($F$4:F746,$F746),"00"))</f>
        <v/>
      </c>
      <c r="C746">
        <f>IF($B746="","",WEEKNUM($B746,2))</f>
        <v/>
      </c>
      <c r="D746">
        <f>IF($B746="","",TEXT($B746,"yyyy-mm"))</f>
        <v/>
      </c>
      <c r="G746">
        <f>IF(OR($E746="",$F746=""),"",IFERROR(IF($E746=INDEX(Cluster_Master!$A$4:$A$18,MATCH($F746,Cluster_Master!$B$4:$B$18,0)),"OK","CHECK"),"CHECK"))</f>
        <v/>
      </c>
      <c r="H746">
        <f>IFERROR(INDEX(Cluster_Master!$C$4:$C$18,MATCH($F746,Cluster_Master!$B$4:$B$18,0)),"")</f>
        <v/>
      </c>
      <c r="I746">
        <f>IFERROR(INDEX(Cluster_Master!$D$4:$D$18,MATCH($F746,Cluster_Master!$B$4:$B$18,0)),"")</f>
        <v/>
      </c>
      <c r="J746">
        <f>IFERROR(INDEX(Cluster_Master!$E$4:$E$18,MATCH($F746,Cluster_Master!$B$4:$B$18,0)),"")</f>
        <v/>
      </c>
      <c r="K746">
        <f>IFERROR(INDEX(Cluster_Master!$F$4:$F$18,MATCH($F746,Cluster_Master!$B$4:$B$18,0)),"")</f>
        <v/>
      </c>
      <c r="L746">
        <f>IFERROR(INDEX(Cluster_Master!$G$4:$G$18,MATCH($F746,Cluster_Master!$B$4:$B$18,0)),"")</f>
        <v/>
      </c>
      <c r="M746">
        <f>IFERROR(INDEX(Cluster_Master!$H$4:$H$18,MATCH($F746,Cluster_Master!$B$4:$B$18,0)),"")</f>
        <v/>
      </c>
      <c r="AI746">
        <f>IF(COUNTA(T746:AH746)=0,"",SUM(T746:AH746))</f>
        <v/>
      </c>
      <c r="AJ746">
        <f>IF(COUNTA(T746:AH746)=0,"",AI746/(COUNT(KPI_Weights!$A$4:$A$18)*5))</f>
        <v/>
      </c>
      <c r="AK746">
        <f>IF(COUNTA(T746:AH746)=0,"",SUMPRODUCT(T746:AH746,KPI_Weights!$B$4:$B$18)/5)</f>
        <v/>
      </c>
      <c r="AL746">
        <f>IF(COUNTA(T746:AH746)=0,"",IF(SUMPRODUCT(--(T746:AH746&lt;=1),--(KPI_Weights!$C$4:$C$18="YES"))&gt;0,"YES","NO"))</f>
        <v/>
      </c>
      <c r="AM746">
        <f>IF(AJ746="","",IF(AND(AL746="NO",AJ746&gt;=0.75),"YES","NO"))</f>
        <v/>
      </c>
      <c r="AN746">
        <f>IF(AJ746="","",IF(AJ746&lt;0.4,"Critical",IF(AJ746&lt;0.6,"Poor",IF(AJ746&lt;0.75,"Needs Improvement",IF(AJ746&lt;0.9,"Good","Excellent")))))</f>
        <v/>
      </c>
    </row>
    <row r="747" ht="15" customHeight="1" s="45">
      <c r="A747">
        <f>IF($B747="","",TEXT($B747,"yyyymmdd")&amp;"-"&amp;SUBSTITUTE($F747," ","")&amp;"-"&amp;TEXT(COUNTIF($F$4:F747,$F747),"00"))</f>
        <v/>
      </c>
      <c r="C747">
        <f>IF($B747="","",WEEKNUM($B747,2))</f>
        <v/>
      </c>
      <c r="D747">
        <f>IF($B747="","",TEXT($B747,"yyyy-mm"))</f>
        <v/>
      </c>
      <c r="G747">
        <f>IF(OR($E747="",$F747=""),"",IFERROR(IF($E747=INDEX(Cluster_Master!$A$4:$A$18,MATCH($F747,Cluster_Master!$B$4:$B$18,0)),"OK","CHECK"),"CHECK"))</f>
        <v/>
      </c>
      <c r="H747">
        <f>IFERROR(INDEX(Cluster_Master!$C$4:$C$18,MATCH($F747,Cluster_Master!$B$4:$B$18,0)),"")</f>
        <v/>
      </c>
      <c r="I747">
        <f>IFERROR(INDEX(Cluster_Master!$D$4:$D$18,MATCH($F747,Cluster_Master!$B$4:$B$18,0)),"")</f>
        <v/>
      </c>
      <c r="J747">
        <f>IFERROR(INDEX(Cluster_Master!$E$4:$E$18,MATCH($F747,Cluster_Master!$B$4:$B$18,0)),"")</f>
        <v/>
      </c>
      <c r="K747">
        <f>IFERROR(INDEX(Cluster_Master!$F$4:$F$18,MATCH($F747,Cluster_Master!$B$4:$B$18,0)),"")</f>
        <v/>
      </c>
      <c r="L747">
        <f>IFERROR(INDEX(Cluster_Master!$G$4:$G$18,MATCH($F747,Cluster_Master!$B$4:$B$18,0)),"")</f>
        <v/>
      </c>
      <c r="M747">
        <f>IFERROR(INDEX(Cluster_Master!$H$4:$H$18,MATCH($F747,Cluster_Master!$B$4:$B$18,0)),"")</f>
        <v/>
      </c>
      <c r="AI747">
        <f>IF(COUNTA(T747:AH747)=0,"",SUM(T747:AH747))</f>
        <v/>
      </c>
      <c r="AJ747">
        <f>IF(COUNTA(T747:AH747)=0,"",AI747/(COUNT(KPI_Weights!$A$4:$A$18)*5))</f>
        <v/>
      </c>
      <c r="AK747">
        <f>IF(COUNTA(T747:AH747)=0,"",SUMPRODUCT(T747:AH747,KPI_Weights!$B$4:$B$18)/5)</f>
        <v/>
      </c>
      <c r="AL747">
        <f>IF(COUNTA(T747:AH747)=0,"",IF(SUMPRODUCT(--(T747:AH747&lt;=1),--(KPI_Weights!$C$4:$C$18="YES"))&gt;0,"YES","NO"))</f>
        <v/>
      </c>
      <c r="AM747">
        <f>IF(AJ747="","",IF(AND(AL747="NO",AJ747&gt;=0.75),"YES","NO"))</f>
        <v/>
      </c>
      <c r="AN747">
        <f>IF(AJ747="","",IF(AJ747&lt;0.4,"Critical",IF(AJ747&lt;0.6,"Poor",IF(AJ747&lt;0.75,"Needs Improvement",IF(AJ747&lt;0.9,"Good","Excellent")))))</f>
        <v/>
      </c>
    </row>
    <row r="748" ht="15" customHeight="1" s="45">
      <c r="A748">
        <f>IF($B748="","",TEXT($B748,"yyyymmdd")&amp;"-"&amp;SUBSTITUTE($F748," ","")&amp;"-"&amp;TEXT(COUNTIF($F$4:F748,$F748),"00"))</f>
        <v/>
      </c>
      <c r="C748">
        <f>IF($B748="","",WEEKNUM($B748,2))</f>
        <v/>
      </c>
      <c r="D748">
        <f>IF($B748="","",TEXT($B748,"yyyy-mm"))</f>
        <v/>
      </c>
      <c r="G748">
        <f>IF(OR($E748="",$F748=""),"",IFERROR(IF($E748=INDEX(Cluster_Master!$A$4:$A$18,MATCH($F748,Cluster_Master!$B$4:$B$18,0)),"OK","CHECK"),"CHECK"))</f>
        <v/>
      </c>
      <c r="H748">
        <f>IFERROR(INDEX(Cluster_Master!$C$4:$C$18,MATCH($F748,Cluster_Master!$B$4:$B$18,0)),"")</f>
        <v/>
      </c>
      <c r="I748">
        <f>IFERROR(INDEX(Cluster_Master!$D$4:$D$18,MATCH($F748,Cluster_Master!$B$4:$B$18,0)),"")</f>
        <v/>
      </c>
      <c r="J748">
        <f>IFERROR(INDEX(Cluster_Master!$E$4:$E$18,MATCH($F748,Cluster_Master!$B$4:$B$18,0)),"")</f>
        <v/>
      </c>
      <c r="K748">
        <f>IFERROR(INDEX(Cluster_Master!$F$4:$F$18,MATCH($F748,Cluster_Master!$B$4:$B$18,0)),"")</f>
        <v/>
      </c>
      <c r="L748">
        <f>IFERROR(INDEX(Cluster_Master!$G$4:$G$18,MATCH($F748,Cluster_Master!$B$4:$B$18,0)),"")</f>
        <v/>
      </c>
      <c r="M748">
        <f>IFERROR(INDEX(Cluster_Master!$H$4:$H$18,MATCH($F748,Cluster_Master!$B$4:$B$18,0)),"")</f>
        <v/>
      </c>
      <c r="AI748">
        <f>IF(COUNTA(T748:AH748)=0,"",SUM(T748:AH748))</f>
        <v/>
      </c>
      <c r="AJ748">
        <f>IF(COUNTA(T748:AH748)=0,"",AI748/(COUNT(KPI_Weights!$A$4:$A$18)*5))</f>
        <v/>
      </c>
      <c r="AK748">
        <f>IF(COUNTA(T748:AH748)=0,"",SUMPRODUCT(T748:AH748,KPI_Weights!$B$4:$B$18)/5)</f>
        <v/>
      </c>
      <c r="AL748">
        <f>IF(COUNTA(T748:AH748)=0,"",IF(SUMPRODUCT(--(T748:AH748&lt;=1),--(KPI_Weights!$C$4:$C$18="YES"))&gt;0,"YES","NO"))</f>
        <v/>
      </c>
      <c r="AM748">
        <f>IF(AJ748="","",IF(AND(AL748="NO",AJ748&gt;=0.75),"YES","NO"))</f>
        <v/>
      </c>
      <c r="AN748">
        <f>IF(AJ748="","",IF(AJ748&lt;0.4,"Critical",IF(AJ748&lt;0.6,"Poor",IF(AJ748&lt;0.75,"Needs Improvement",IF(AJ748&lt;0.9,"Good","Excellent")))))</f>
        <v/>
      </c>
    </row>
    <row r="749" ht="15" customHeight="1" s="45">
      <c r="A749">
        <f>IF($B749="","",TEXT($B749,"yyyymmdd")&amp;"-"&amp;SUBSTITUTE($F749," ","")&amp;"-"&amp;TEXT(COUNTIF($F$4:F749,$F749),"00"))</f>
        <v/>
      </c>
      <c r="C749">
        <f>IF($B749="","",WEEKNUM($B749,2))</f>
        <v/>
      </c>
      <c r="D749">
        <f>IF($B749="","",TEXT($B749,"yyyy-mm"))</f>
        <v/>
      </c>
      <c r="G749">
        <f>IF(OR($E749="",$F749=""),"",IFERROR(IF($E749=INDEX(Cluster_Master!$A$4:$A$18,MATCH($F749,Cluster_Master!$B$4:$B$18,0)),"OK","CHECK"),"CHECK"))</f>
        <v/>
      </c>
      <c r="H749">
        <f>IFERROR(INDEX(Cluster_Master!$C$4:$C$18,MATCH($F749,Cluster_Master!$B$4:$B$18,0)),"")</f>
        <v/>
      </c>
      <c r="I749">
        <f>IFERROR(INDEX(Cluster_Master!$D$4:$D$18,MATCH($F749,Cluster_Master!$B$4:$B$18,0)),"")</f>
        <v/>
      </c>
      <c r="J749">
        <f>IFERROR(INDEX(Cluster_Master!$E$4:$E$18,MATCH($F749,Cluster_Master!$B$4:$B$18,0)),"")</f>
        <v/>
      </c>
      <c r="K749">
        <f>IFERROR(INDEX(Cluster_Master!$F$4:$F$18,MATCH($F749,Cluster_Master!$B$4:$B$18,0)),"")</f>
        <v/>
      </c>
      <c r="L749">
        <f>IFERROR(INDEX(Cluster_Master!$G$4:$G$18,MATCH($F749,Cluster_Master!$B$4:$B$18,0)),"")</f>
        <v/>
      </c>
      <c r="M749">
        <f>IFERROR(INDEX(Cluster_Master!$H$4:$H$18,MATCH($F749,Cluster_Master!$B$4:$B$18,0)),"")</f>
        <v/>
      </c>
      <c r="AI749">
        <f>IF(COUNTA(T749:AH749)=0,"",SUM(T749:AH749))</f>
        <v/>
      </c>
      <c r="AJ749">
        <f>IF(COUNTA(T749:AH749)=0,"",AI749/(COUNT(KPI_Weights!$A$4:$A$18)*5))</f>
        <v/>
      </c>
      <c r="AK749">
        <f>IF(COUNTA(T749:AH749)=0,"",SUMPRODUCT(T749:AH749,KPI_Weights!$B$4:$B$18)/5)</f>
        <v/>
      </c>
      <c r="AL749">
        <f>IF(COUNTA(T749:AH749)=0,"",IF(SUMPRODUCT(--(T749:AH749&lt;=1),--(KPI_Weights!$C$4:$C$18="YES"))&gt;0,"YES","NO"))</f>
        <v/>
      </c>
      <c r="AM749">
        <f>IF(AJ749="","",IF(AND(AL749="NO",AJ749&gt;=0.75),"YES","NO"))</f>
        <v/>
      </c>
      <c r="AN749">
        <f>IF(AJ749="","",IF(AJ749&lt;0.4,"Critical",IF(AJ749&lt;0.6,"Poor",IF(AJ749&lt;0.75,"Needs Improvement",IF(AJ749&lt;0.9,"Good","Excellent")))))</f>
        <v/>
      </c>
    </row>
    <row r="750" ht="15" customHeight="1" s="45">
      <c r="A750">
        <f>IF($B750="","",TEXT($B750,"yyyymmdd")&amp;"-"&amp;SUBSTITUTE($F750," ","")&amp;"-"&amp;TEXT(COUNTIF($F$4:F750,$F750),"00"))</f>
        <v/>
      </c>
      <c r="C750">
        <f>IF($B750="","",WEEKNUM($B750,2))</f>
        <v/>
      </c>
      <c r="D750">
        <f>IF($B750="","",TEXT($B750,"yyyy-mm"))</f>
        <v/>
      </c>
      <c r="G750">
        <f>IF(OR($E750="",$F750=""),"",IFERROR(IF($E750=INDEX(Cluster_Master!$A$4:$A$18,MATCH($F750,Cluster_Master!$B$4:$B$18,0)),"OK","CHECK"),"CHECK"))</f>
        <v/>
      </c>
      <c r="H750">
        <f>IFERROR(INDEX(Cluster_Master!$C$4:$C$18,MATCH($F750,Cluster_Master!$B$4:$B$18,0)),"")</f>
        <v/>
      </c>
      <c r="I750">
        <f>IFERROR(INDEX(Cluster_Master!$D$4:$D$18,MATCH($F750,Cluster_Master!$B$4:$B$18,0)),"")</f>
        <v/>
      </c>
      <c r="J750">
        <f>IFERROR(INDEX(Cluster_Master!$E$4:$E$18,MATCH($F750,Cluster_Master!$B$4:$B$18,0)),"")</f>
        <v/>
      </c>
      <c r="K750">
        <f>IFERROR(INDEX(Cluster_Master!$F$4:$F$18,MATCH($F750,Cluster_Master!$B$4:$B$18,0)),"")</f>
        <v/>
      </c>
      <c r="L750">
        <f>IFERROR(INDEX(Cluster_Master!$G$4:$G$18,MATCH($F750,Cluster_Master!$B$4:$B$18,0)),"")</f>
        <v/>
      </c>
      <c r="M750">
        <f>IFERROR(INDEX(Cluster_Master!$H$4:$H$18,MATCH($F750,Cluster_Master!$B$4:$B$18,0)),"")</f>
        <v/>
      </c>
      <c r="AI750">
        <f>IF(COUNTA(T750:AH750)=0,"",SUM(T750:AH750))</f>
        <v/>
      </c>
      <c r="AJ750">
        <f>IF(COUNTA(T750:AH750)=0,"",AI750/(COUNT(KPI_Weights!$A$4:$A$18)*5))</f>
        <v/>
      </c>
      <c r="AK750">
        <f>IF(COUNTA(T750:AH750)=0,"",SUMPRODUCT(T750:AH750,KPI_Weights!$B$4:$B$18)/5)</f>
        <v/>
      </c>
      <c r="AL750">
        <f>IF(COUNTA(T750:AH750)=0,"",IF(SUMPRODUCT(--(T750:AH750&lt;=1),--(KPI_Weights!$C$4:$C$18="YES"))&gt;0,"YES","NO"))</f>
        <v/>
      </c>
      <c r="AM750">
        <f>IF(AJ750="","",IF(AND(AL750="NO",AJ750&gt;=0.75),"YES","NO"))</f>
        <v/>
      </c>
      <c r="AN750">
        <f>IF(AJ750="","",IF(AJ750&lt;0.4,"Critical",IF(AJ750&lt;0.6,"Poor",IF(AJ750&lt;0.75,"Needs Improvement",IF(AJ750&lt;0.9,"Good","Excellent")))))</f>
        <v/>
      </c>
    </row>
    <row r="751" ht="15" customHeight="1" s="45">
      <c r="A751">
        <f>IF($B751="","",TEXT($B751,"yyyymmdd")&amp;"-"&amp;SUBSTITUTE($F751," ","")&amp;"-"&amp;TEXT(COUNTIF($F$4:F751,$F751),"00"))</f>
        <v/>
      </c>
      <c r="C751">
        <f>IF($B751="","",WEEKNUM($B751,2))</f>
        <v/>
      </c>
      <c r="D751">
        <f>IF($B751="","",TEXT($B751,"yyyy-mm"))</f>
        <v/>
      </c>
      <c r="G751">
        <f>IF(OR($E751="",$F751=""),"",IFERROR(IF($E751=INDEX(Cluster_Master!$A$4:$A$18,MATCH($F751,Cluster_Master!$B$4:$B$18,0)),"OK","CHECK"),"CHECK"))</f>
        <v/>
      </c>
      <c r="H751">
        <f>IFERROR(INDEX(Cluster_Master!$C$4:$C$18,MATCH($F751,Cluster_Master!$B$4:$B$18,0)),"")</f>
        <v/>
      </c>
      <c r="I751">
        <f>IFERROR(INDEX(Cluster_Master!$D$4:$D$18,MATCH($F751,Cluster_Master!$B$4:$B$18,0)),"")</f>
        <v/>
      </c>
      <c r="J751">
        <f>IFERROR(INDEX(Cluster_Master!$E$4:$E$18,MATCH($F751,Cluster_Master!$B$4:$B$18,0)),"")</f>
        <v/>
      </c>
      <c r="K751">
        <f>IFERROR(INDEX(Cluster_Master!$F$4:$F$18,MATCH($F751,Cluster_Master!$B$4:$B$18,0)),"")</f>
        <v/>
      </c>
      <c r="L751">
        <f>IFERROR(INDEX(Cluster_Master!$G$4:$G$18,MATCH($F751,Cluster_Master!$B$4:$B$18,0)),"")</f>
        <v/>
      </c>
      <c r="M751">
        <f>IFERROR(INDEX(Cluster_Master!$H$4:$H$18,MATCH($F751,Cluster_Master!$B$4:$B$18,0)),"")</f>
        <v/>
      </c>
      <c r="AI751">
        <f>IF(COUNTA(T751:AH751)=0,"",SUM(T751:AH751))</f>
        <v/>
      </c>
      <c r="AJ751">
        <f>IF(COUNTA(T751:AH751)=0,"",AI751/(COUNT(KPI_Weights!$A$4:$A$18)*5))</f>
        <v/>
      </c>
      <c r="AK751">
        <f>IF(COUNTA(T751:AH751)=0,"",SUMPRODUCT(T751:AH751,KPI_Weights!$B$4:$B$18)/5)</f>
        <v/>
      </c>
      <c r="AL751">
        <f>IF(COUNTA(T751:AH751)=0,"",IF(SUMPRODUCT(--(T751:AH751&lt;=1),--(KPI_Weights!$C$4:$C$18="YES"))&gt;0,"YES","NO"))</f>
        <v/>
      </c>
      <c r="AM751">
        <f>IF(AJ751="","",IF(AND(AL751="NO",AJ751&gt;=0.75),"YES","NO"))</f>
        <v/>
      </c>
      <c r="AN751">
        <f>IF(AJ751="","",IF(AJ751&lt;0.4,"Critical",IF(AJ751&lt;0.6,"Poor",IF(AJ751&lt;0.75,"Needs Improvement",IF(AJ751&lt;0.9,"Good","Excellent")))))</f>
        <v/>
      </c>
    </row>
    <row r="752" ht="15" customHeight="1" s="45">
      <c r="A752">
        <f>IF($B752="","",TEXT($B752,"yyyymmdd")&amp;"-"&amp;SUBSTITUTE($F752," ","")&amp;"-"&amp;TEXT(COUNTIF($F$4:F752,$F752),"00"))</f>
        <v/>
      </c>
      <c r="C752">
        <f>IF($B752="","",WEEKNUM($B752,2))</f>
        <v/>
      </c>
      <c r="D752">
        <f>IF($B752="","",TEXT($B752,"yyyy-mm"))</f>
        <v/>
      </c>
      <c r="G752">
        <f>IF(OR($E752="",$F752=""),"",IFERROR(IF($E752=INDEX(Cluster_Master!$A$4:$A$18,MATCH($F752,Cluster_Master!$B$4:$B$18,0)),"OK","CHECK"),"CHECK"))</f>
        <v/>
      </c>
      <c r="H752">
        <f>IFERROR(INDEX(Cluster_Master!$C$4:$C$18,MATCH($F752,Cluster_Master!$B$4:$B$18,0)),"")</f>
        <v/>
      </c>
      <c r="I752">
        <f>IFERROR(INDEX(Cluster_Master!$D$4:$D$18,MATCH($F752,Cluster_Master!$B$4:$B$18,0)),"")</f>
        <v/>
      </c>
      <c r="J752">
        <f>IFERROR(INDEX(Cluster_Master!$E$4:$E$18,MATCH($F752,Cluster_Master!$B$4:$B$18,0)),"")</f>
        <v/>
      </c>
      <c r="K752">
        <f>IFERROR(INDEX(Cluster_Master!$F$4:$F$18,MATCH($F752,Cluster_Master!$B$4:$B$18,0)),"")</f>
        <v/>
      </c>
      <c r="L752">
        <f>IFERROR(INDEX(Cluster_Master!$G$4:$G$18,MATCH($F752,Cluster_Master!$B$4:$B$18,0)),"")</f>
        <v/>
      </c>
      <c r="M752">
        <f>IFERROR(INDEX(Cluster_Master!$H$4:$H$18,MATCH($F752,Cluster_Master!$B$4:$B$18,0)),"")</f>
        <v/>
      </c>
      <c r="AI752">
        <f>IF(COUNTA(T752:AH752)=0,"",SUM(T752:AH752))</f>
        <v/>
      </c>
      <c r="AJ752">
        <f>IF(COUNTA(T752:AH752)=0,"",AI752/(COUNT(KPI_Weights!$A$4:$A$18)*5))</f>
        <v/>
      </c>
      <c r="AK752">
        <f>IF(COUNTA(T752:AH752)=0,"",SUMPRODUCT(T752:AH752,KPI_Weights!$B$4:$B$18)/5)</f>
        <v/>
      </c>
      <c r="AL752">
        <f>IF(COUNTA(T752:AH752)=0,"",IF(SUMPRODUCT(--(T752:AH752&lt;=1),--(KPI_Weights!$C$4:$C$18="YES"))&gt;0,"YES","NO"))</f>
        <v/>
      </c>
      <c r="AM752">
        <f>IF(AJ752="","",IF(AND(AL752="NO",AJ752&gt;=0.75),"YES","NO"))</f>
        <v/>
      </c>
      <c r="AN752">
        <f>IF(AJ752="","",IF(AJ752&lt;0.4,"Critical",IF(AJ752&lt;0.6,"Poor",IF(AJ752&lt;0.75,"Needs Improvement",IF(AJ752&lt;0.9,"Good","Excellent")))))</f>
        <v/>
      </c>
    </row>
    <row r="753" ht="15" customHeight="1" s="45">
      <c r="A753">
        <f>IF($B753="","",TEXT($B753,"yyyymmdd")&amp;"-"&amp;SUBSTITUTE($F753," ","")&amp;"-"&amp;TEXT(COUNTIF($F$4:F753,$F753),"00"))</f>
        <v/>
      </c>
      <c r="C753">
        <f>IF($B753="","",WEEKNUM($B753,2))</f>
        <v/>
      </c>
      <c r="D753">
        <f>IF($B753="","",TEXT($B753,"yyyy-mm"))</f>
        <v/>
      </c>
      <c r="G753">
        <f>IF(OR($E753="",$F753=""),"",IFERROR(IF($E753=INDEX(Cluster_Master!$A$4:$A$18,MATCH($F753,Cluster_Master!$B$4:$B$18,0)),"OK","CHECK"),"CHECK"))</f>
        <v/>
      </c>
      <c r="H753">
        <f>IFERROR(INDEX(Cluster_Master!$C$4:$C$18,MATCH($F753,Cluster_Master!$B$4:$B$18,0)),"")</f>
        <v/>
      </c>
      <c r="I753">
        <f>IFERROR(INDEX(Cluster_Master!$D$4:$D$18,MATCH($F753,Cluster_Master!$B$4:$B$18,0)),"")</f>
        <v/>
      </c>
      <c r="J753">
        <f>IFERROR(INDEX(Cluster_Master!$E$4:$E$18,MATCH($F753,Cluster_Master!$B$4:$B$18,0)),"")</f>
        <v/>
      </c>
      <c r="K753">
        <f>IFERROR(INDEX(Cluster_Master!$F$4:$F$18,MATCH($F753,Cluster_Master!$B$4:$B$18,0)),"")</f>
        <v/>
      </c>
      <c r="L753">
        <f>IFERROR(INDEX(Cluster_Master!$G$4:$G$18,MATCH($F753,Cluster_Master!$B$4:$B$18,0)),"")</f>
        <v/>
      </c>
      <c r="M753">
        <f>IFERROR(INDEX(Cluster_Master!$H$4:$H$18,MATCH($F753,Cluster_Master!$B$4:$B$18,0)),"")</f>
        <v/>
      </c>
      <c r="AI753">
        <f>IF(COUNTA(T753:AH753)=0,"",SUM(T753:AH753))</f>
        <v/>
      </c>
      <c r="AJ753">
        <f>IF(COUNTA(T753:AH753)=0,"",AI753/(COUNT(KPI_Weights!$A$4:$A$18)*5))</f>
        <v/>
      </c>
      <c r="AK753">
        <f>IF(COUNTA(T753:AH753)=0,"",SUMPRODUCT(T753:AH753,KPI_Weights!$B$4:$B$18)/5)</f>
        <v/>
      </c>
      <c r="AL753">
        <f>IF(COUNTA(T753:AH753)=0,"",IF(SUMPRODUCT(--(T753:AH753&lt;=1),--(KPI_Weights!$C$4:$C$18="YES"))&gt;0,"YES","NO"))</f>
        <v/>
      </c>
      <c r="AM753">
        <f>IF(AJ753="","",IF(AND(AL753="NO",AJ753&gt;=0.75),"YES","NO"))</f>
        <v/>
      </c>
      <c r="AN753">
        <f>IF(AJ753="","",IF(AJ753&lt;0.4,"Critical",IF(AJ753&lt;0.6,"Poor",IF(AJ753&lt;0.75,"Needs Improvement",IF(AJ753&lt;0.9,"Good","Excellent")))))</f>
        <v/>
      </c>
    </row>
    <row r="754" ht="15" customHeight="1" s="45">
      <c r="A754">
        <f>IF($B754="","",TEXT($B754,"yyyymmdd")&amp;"-"&amp;SUBSTITUTE($F754," ","")&amp;"-"&amp;TEXT(COUNTIF($F$4:F754,$F754),"00"))</f>
        <v/>
      </c>
      <c r="C754">
        <f>IF($B754="","",WEEKNUM($B754,2))</f>
        <v/>
      </c>
      <c r="D754">
        <f>IF($B754="","",TEXT($B754,"yyyy-mm"))</f>
        <v/>
      </c>
      <c r="G754">
        <f>IF(OR($E754="",$F754=""),"",IFERROR(IF($E754=INDEX(Cluster_Master!$A$4:$A$18,MATCH($F754,Cluster_Master!$B$4:$B$18,0)),"OK","CHECK"),"CHECK"))</f>
        <v/>
      </c>
      <c r="H754">
        <f>IFERROR(INDEX(Cluster_Master!$C$4:$C$18,MATCH($F754,Cluster_Master!$B$4:$B$18,0)),"")</f>
        <v/>
      </c>
      <c r="I754">
        <f>IFERROR(INDEX(Cluster_Master!$D$4:$D$18,MATCH($F754,Cluster_Master!$B$4:$B$18,0)),"")</f>
        <v/>
      </c>
      <c r="J754">
        <f>IFERROR(INDEX(Cluster_Master!$E$4:$E$18,MATCH($F754,Cluster_Master!$B$4:$B$18,0)),"")</f>
        <v/>
      </c>
      <c r="K754">
        <f>IFERROR(INDEX(Cluster_Master!$F$4:$F$18,MATCH($F754,Cluster_Master!$B$4:$B$18,0)),"")</f>
        <v/>
      </c>
      <c r="L754">
        <f>IFERROR(INDEX(Cluster_Master!$G$4:$G$18,MATCH($F754,Cluster_Master!$B$4:$B$18,0)),"")</f>
        <v/>
      </c>
      <c r="M754">
        <f>IFERROR(INDEX(Cluster_Master!$H$4:$H$18,MATCH($F754,Cluster_Master!$B$4:$B$18,0)),"")</f>
        <v/>
      </c>
      <c r="AI754">
        <f>IF(COUNTA(T754:AH754)=0,"",SUM(T754:AH754))</f>
        <v/>
      </c>
      <c r="AJ754">
        <f>IF(COUNTA(T754:AH754)=0,"",AI754/(COUNT(KPI_Weights!$A$4:$A$18)*5))</f>
        <v/>
      </c>
      <c r="AK754">
        <f>IF(COUNTA(T754:AH754)=0,"",SUMPRODUCT(T754:AH754,KPI_Weights!$B$4:$B$18)/5)</f>
        <v/>
      </c>
      <c r="AL754">
        <f>IF(COUNTA(T754:AH754)=0,"",IF(SUMPRODUCT(--(T754:AH754&lt;=1),--(KPI_Weights!$C$4:$C$18="YES"))&gt;0,"YES","NO"))</f>
        <v/>
      </c>
      <c r="AM754">
        <f>IF(AJ754="","",IF(AND(AL754="NO",AJ754&gt;=0.75),"YES","NO"))</f>
        <v/>
      </c>
      <c r="AN754">
        <f>IF(AJ754="","",IF(AJ754&lt;0.4,"Critical",IF(AJ754&lt;0.6,"Poor",IF(AJ754&lt;0.75,"Needs Improvement",IF(AJ754&lt;0.9,"Good","Excellent")))))</f>
        <v/>
      </c>
    </row>
    <row r="755" ht="15" customHeight="1" s="45">
      <c r="A755">
        <f>IF($B755="","",TEXT($B755,"yyyymmdd")&amp;"-"&amp;SUBSTITUTE($F755," ","")&amp;"-"&amp;TEXT(COUNTIF($F$4:F755,$F755),"00"))</f>
        <v/>
      </c>
      <c r="C755">
        <f>IF($B755="","",WEEKNUM($B755,2))</f>
        <v/>
      </c>
      <c r="D755">
        <f>IF($B755="","",TEXT($B755,"yyyy-mm"))</f>
        <v/>
      </c>
      <c r="G755">
        <f>IF(OR($E755="",$F755=""),"",IFERROR(IF($E755=INDEX(Cluster_Master!$A$4:$A$18,MATCH($F755,Cluster_Master!$B$4:$B$18,0)),"OK","CHECK"),"CHECK"))</f>
        <v/>
      </c>
      <c r="H755">
        <f>IFERROR(INDEX(Cluster_Master!$C$4:$C$18,MATCH($F755,Cluster_Master!$B$4:$B$18,0)),"")</f>
        <v/>
      </c>
      <c r="I755">
        <f>IFERROR(INDEX(Cluster_Master!$D$4:$D$18,MATCH($F755,Cluster_Master!$B$4:$B$18,0)),"")</f>
        <v/>
      </c>
      <c r="J755">
        <f>IFERROR(INDEX(Cluster_Master!$E$4:$E$18,MATCH($F755,Cluster_Master!$B$4:$B$18,0)),"")</f>
        <v/>
      </c>
      <c r="K755">
        <f>IFERROR(INDEX(Cluster_Master!$F$4:$F$18,MATCH($F755,Cluster_Master!$B$4:$B$18,0)),"")</f>
        <v/>
      </c>
      <c r="L755">
        <f>IFERROR(INDEX(Cluster_Master!$G$4:$G$18,MATCH($F755,Cluster_Master!$B$4:$B$18,0)),"")</f>
        <v/>
      </c>
      <c r="M755">
        <f>IFERROR(INDEX(Cluster_Master!$H$4:$H$18,MATCH($F755,Cluster_Master!$B$4:$B$18,0)),"")</f>
        <v/>
      </c>
      <c r="AI755">
        <f>IF(COUNTA(T755:AH755)=0,"",SUM(T755:AH755))</f>
        <v/>
      </c>
      <c r="AJ755">
        <f>IF(COUNTA(T755:AH755)=0,"",AI755/(COUNT(KPI_Weights!$A$4:$A$18)*5))</f>
        <v/>
      </c>
      <c r="AK755">
        <f>IF(COUNTA(T755:AH755)=0,"",SUMPRODUCT(T755:AH755,KPI_Weights!$B$4:$B$18)/5)</f>
        <v/>
      </c>
      <c r="AL755">
        <f>IF(COUNTA(T755:AH755)=0,"",IF(SUMPRODUCT(--(T755:AH755&lt;=1),--(KPI_Weights!$C$4:$C$18="YES"))&gt;0,"YES","NO"))</f>
        <v/>
      </c>
      <c r="AM755">
        <f>IF(AJ755="","",IF(AND(AL755="NO",AJ755&gt;=0.75),"YES","NO"))</f>
        <v/>
      </c>
      <c r="AN755">
        <f>IF(AJ755="","",IF(AJ755&lt;0.4,"Critical",IF(AJ755&lt;0.6,"Poor",IF(AJ755&lt;0.75,"Needs Improvement",IF(AJ755&lt;0.9,"Good","Excellent")))))</f>
        <v/>
      </c>
    </row>
    <row r="756" ht="15" customHeight="1" s="45">
      <c r="A756">
        <f>IF($B756="","",TEXT($B756,"yyyymmdd")&amp;"-"&amp;SUBSTITUTE($F756," ","")&amp;"-"&amp;TEXT(COUNTIF($F$4:F756,$F756),"00"))</f>
        <v/>
      </c>
      <c r="C756">
        <f>IF($B756="","",WEEKNUM($B756,2))</f>
        <v/>
      </c>
      <c r="D756">
        <f>IF($B756="","",TEXT($B756,"yyyy-mm"))</f>
        <v/>
      </c>
      <c r="G756">
        <f>IF(OR($E756="",$F756=""),"",IFERROR(IF($E756=INDEX(Cluster_Master!$A$4:$A$18,MATCH($F756,Cluster_Master!$B$4:$B$18,0)),"OK","CHECK"),"CHECK"))</f>
        <v/>
      </c>
      <c r="H756">
        <f>IFERROR(INDEX(Cluster_Master!$C$4:$C$18,MATCH($F756,Cluster_Master!$B$4:$B$18,0)),"")</f>
        <v/>
      </c>
      <c r="I756">
        <f>IFERROR(INDEX(Cluster_Master!$D$4:$D$18,MATCH($F756,Cluster_Master!$B$4:$B$18,0)),"")</f>
        <v/>
      </c>
      <c r="J756">
        <f>IFERROR(INDEX(Cluster_Master!$E$4:$E$18,MATCH($F756,Cluster_Master!$B$4:$B$18,0)),"")</f>
        <v/>
      </c>
      <c r="K756">
        <f>IFERROR(INDEX(Cluster_Master!$F$4:$F$18,MATCH($F756,Cluster_Master!$B$4:$B$18,0)),"")</f>
        <v/>
      </c>
      <c r="L756">
        <f>IFERROR(INDEX(Cluster_Master!$G$4:$G$18,MATCH($F756,Cluster_Master!$B$4:$B$18,0)),"")</f>
        <v/>
      </c>
      <c r="M756">
        <f>IFERROR(INDEX(Cluster_Master!$H$4:$H$18,MATCH($F756,Cluster_Master!$B$4:$B$18,0)),"")</f>
        <v/>
      </c>
      <c r="AI756">
        <f>IF(COUNTA(T756:AH756)=0,"",SUM(T756:AH756))</f>
        <v/>
      </c>
      <c r="AJ756">
        <f>IF(COUNTA(T756:AH756)=0,"",AI756/(COUNT(KPI_Weights!$A$4:$A$18)*5))</f>
        <v/>
      </c>
      <c r="AK756">
        <f>IF(COUNTA(T756:AH756)=0,"",SUMPRODUCT(T756:AH756,KPI_Weights!$B$4:$B$18)/5)</f>
        <v/>
      </c>
      <c r="AL756">
        <f>IF(COUNTA(T756:AH756)=0,"",IF(SUMPRODUCT(--(T756:AH756&lt;=1),--(KPI_Weights!$C$4:$C$18="YES"))&gt;0,"YES","NO"))</f>
        <v/>
      </c>
      <c r="AM756">
        <f>IF(AJ756="","",IF(AND(AL756="NO",AJ756&gt;=0.75),"YES","NO"))</f>
        <v/>
      </c>
      <c r="AN756">
        <f>IF(AJ756="","",IF(AJ756&lt;0.4,"Critical",IF(AJ756&lt;0.6,"Poor",IF(AJ756&lt;0.75,"Needs Improvement",IF(AJ756&lt;0.9,"Good","Excellent")))))</f>
        <v/>
      </c>
    </row>
    <row r="757" ht="15" customHeight="1" s="45">
      <c r="A757">
        <f>IF($B757="","",TEXT($B757,"yyyymmdd")&amp;"-"&amp;SUBSTITUTE($F757," ","")&amp;"-"&amp;TEXT(COUNTIF($F$4:F757,$F757),"00"))</f>
        <v/>
      </c>
      <c r="C757">
        <f>IF($B757="","",WEEKNUM($B757,2))</f>
        <v/>
      </c>
      <c r="D757">
        <f>IF($B757="","",TEXT($B757,"yyyy-mm"))</f>
        <v/>
      </c>
      <c r="G757">
        <f>IF(OR($E757="",$F757=""),"",IFERROR(IF($E757=INDEX(Cluster_Master!$A$4:$A$18,MATCH($F757,Cluster_Master!$B$4:$B$18,0)),"OK","CHECK"),"CHECK"))</f>
        <v/>
      </c>
      <c r="H757">
        <f>IFERROR(INDEX(Cluster_Master!$C$4:$C$18,MATCH($F757,Cluster_Master!$B$4:$B$18,0)),"")</f>
        <v/>
      </c>
      <c r="I757">
        <f>IFERROR(INDEX(Cluster_Master!$D$4:$D$18,MATCH($F757,Cluster_Master!$B$4:$B$18,0)),"")</f>
        <v/>
      </c>
      <c r="J757">
        <f>IFERROR(INDEX(Cluster_Master!$E$4:$E$18,MATCH($F757,Cluster_Master!$B$4:$B$18,0)),"")</f>
        <v/>
      </c>
      <c r="K757">
        <f>IFERROR(INDEX(Cluster_Master!$F$4:$F$18,MATCH($F757,Cluster_Master!$B$4:$B$18,0)),"")</f>
        <v/>
      </c>
      <c r="L757">
        <f>IFERROR(INDEX(Cluster_Master!$G$4:$G$18,MATCH($F757,Cluster_Master!$B$4:$B$18,0)),"")</f>
        <v/>
      </c>
      <c r="M757">
        <f>IFERROR(INDEX(Cluster_Master!$H$4:$H$18,MATCH($F757,Cluster_Master!$B$4:$B$18,0)),"")</f>
        <v/>
      </c>
      <c r="AI757">
        <f>IF(COUNTA(T757:AH757)=0,"",SUM(T757:AH757))</f>
        <v/>
      </c>
      <c r="AJ757">
        <f>IF(COUNTA(T757:AH757)=0,"",AI757/(COUNT(KPI_Weights!$A$4:$A$18)*5))</f>
        <v/>
      </c>
      <c r="AK757">
        <f>IF(COUNTA(T757:AH757)=0,"",SUMPRODUCT(T757:AH757,KPI_Weights!$B$4:$B$18)/5)</f>
        <v/>
      </c>
      <c r="AL757">
        <f>IF(COUNTA(T757:AH757)=0,"",IF(SUMPRODUCT(--(T757:AH757&lt;=1),--(KPI_Weights!$C$4:$C$18="YES"))&gt;0,"YES","NO"))</f>
        <v/>
      </c>
      <c r="AM757">
        <f>IF(AJ757="","",IF(AND(AL757="NO",AJ757&gt;=0.75),"YES","NO"))</f>
        <v/>
      </c>
      <c r="AN757">
        <f>IF(AJ757="","",IF(AJ757&lt;0.4,"Critical",IF(AJ757&lt;0.6,"Poor",IF(AJ757&lt;0.75,"Needs Improvement",IF(AJ757&lt;0.9,"Good","Excellent")))))</f>
        <v/>
      </c>
    </row>
    <row r="758" ht="15" customHeight="1" s="45">
      <c r="A758">
        <f>IF($B758="","",TEXT($B758,"yyyymmdd")&amp;"-"&amp;SUBSTITUTE($F758," ","")&amp;"-"&amp;TEXT(COUNTIF($F$4:F758,$F758),"00"))</f>
        <v/>
      </c>
      <c r="C758">
        <f>IF($B758="","",WEEKNUM($B758,2))</f>
        <v/>
      </c>
      <c r="D758">
        <f>IF($B758="","",TEXT($B758,"yyyy-mm"))</f>
        <v/>
      </c>
      <c r="G758">
        <f>IF(OR($E758="",$F758=""),"",IFERROR(IF($E758=INDEX(Cluster_Master!$A$4:$A$18,MATCH($F758,Cluster_Master!$B$4:$B$18,0)),"OK","CHECK"),"CHECK"))</f>
        <v/>
      </c>
      <c r="H758">
        <f>IFERROR(INDEX(Cluster_Master!$C$4:$C$18,MATCH($F758,Cluster_Master!$B$4:$B$18,0)),"")</f>
        <v/>
      </c>
      <c r="I758">
        <f>IFERROR(INDEX(Cluster_Master!$D$4:$D$18,MATCH($F758,Cluster_Master!$B$4:$B$18,0)),"")</f>
        <v/>
      </c>
      <c r="J758">
        <f>IFERROR(INDEX(Cluster_Master!$E$4:$E$18,MATCH($F758,Cluster_Master!$B$4:$B$18,0)),"")</f>
        <v/>
      </c>
      <c r="K758">
        <f>IFERROR(INDEX(Cluster_Master!$F$4:$F$18,MATCH($F758,Cluster_Master!$B$4:$B$18,0)),"")</f>
        <v/>
      </c>
      <c r="L758">
        <f>IFERROR(INDEX(Cluster_Master!$G$4:$G$18,MATCH($F758,Cluster_Master!$B$4:$B$18,0)),"")</f>
        <v/>
      </c>
      <c r="M758">
        <f>IFERROR(INDEX(Cluster_Master!$H$4:$H$18,MATCH($F758,Cluster_Master!$B$4:$B$18,0)),"")</f>
        <v/>
      </c>
      <c r="AI758">
        <f>IF(COUNTA(T758:AH758)=0,"",SUM(T758:AH758))</f>
        <v/>
      </c>
      <c r="AJ758">
        <f>IF(COUNTA(T758:AH758)=0,"",AI758/(COUNT(KPI_Weights!$A$4:$A$18)*5))</f>
        <v/>
      </c>
      <c r="AK758">
        <f>IF(COUNTA(T758:AH758)=0,"",SUMPRODUCT(T758:AH758,KPI_Weights!$B$4:$B$18)/5)</f>
        <v/>
      </c>
      <c r="AL758">
        <f>IF(COUNTA(T758:AH758)=0,"",IF(SUMPRODUCT(--(T758:AH758&lt;=1),--(KPI_Weights!$C$4:$C$18="YES"))&gt;0,"YES","NO"))</f>
        <v/>
      </c>
      <c r="AM758">
        <f>IF(AJ758="","",IF(AND(AL758="NO",AJ758&gt;=0.75),"YES","NO"))</f>
        <v/>
      </c>
      <c r="AN758">
        <f>IF(AJ758="","",IF(AJ758&lt;0.4,"Critical",IF(AJ758&lt;0.6,"Poor",IF(AJ758&lt;0.75,"Needs Improvement",IF(AJ758&lt;0.9,"Good","Excellent")))))</f>
        <v/>
      </c>
    </row>
    <row r="759" ht="15" customHeight="1" s="45">
      <c r="A759">
        <f>IF($B759="","",TEXT($B759,"yyyymmdd")&amp;"-"&amp;SUBSTITUTE($F759," ","")&amp;"-"&amp;TEXT(COUNTIF($F$4:F759,$F759),"00"))</f>
        <v/>
      </c>
      <c r="C759">
        <f>IF($B759="","",WEEKNUM($B759,2))</f>
        <v/>
      </c>
      <c r="D759">
        <f>IF($B759="","",TEXT($B759,"yyyy-mm"))</f>
        <v/>
      </c>
      <c r="G759">
        <f>IF(OR($E759="",$F759=""),"",IFERROR(IF($E759=INDEX(Cluster_Master!$A$4:$A$18,MATCH($F759,Cluster_Master!$B$4:$B$18,0)),"OK","CHECK"),"CHECK"))</f>
        <v/>
      </c>
      <c r="H759">
        <f>IFERROR(INDEX(Cluster_Master!$C$4:$C$18,MATCH($F759,Cluster_Master!$B$4:$B$18,0)),"")</f>
        <v/>
      </c>
      <c r="I759">
        <f>IFERROR(INDEX(Cluster_Master!$D$4:$D$18,MATCH($F759,Cluster_Master!$B$4:$B$18,0)),"")</f>
        <v/>
      </c>
      <c r="J759">
        <f>IFERROR(INDEX(Cluster_Master!$E$4:$E$18,MATCH($F759,Cluster_Master!$B$4:$B$18,0)),"")</f>
        <v/>
      </c>
      <c r="K759">
        <f>IFERROR(INDEX(Cluster_Master!$F$4:$F$18,MATCH($F759,Cluster_Master!$B$4:$B$18,0)),"")</f>
        <v/>
      </c>
      <c r="L759">
        <f>IFERROR(INDEX(Cluster_Master!$G$4:$G$18,MATCH($F759,Cluster_Master!$B$4:$B$18,0)),"")</f>
        <v/>
      </c>
      <c r="M759">
        <f>IFERROR(INDEX(Cluster_Master!$H$4:$H$18,MATCH($F759,Cluster_Master!$B$4:$B$18,0)),"")</f>
        <v/>
      </c>
      <c r="AI759">
        <f>IF(COUNTA(T759:AH759)=0,"",SUM(T759:AH759))</f>
        <v/>
      </c>
      <c r="AJ759">
        <f>IF(COUNTA(T759:AH759)=0,"",AI759/(COUNT(KPI_Weights!$A$4:$A$18)*5))</f>
        <v/>
      </c>
      <c r="AK759">
        <f>IF(COUNTA(T759:AH759)=0,"",SUMPRODUCT(T759:AH759,KPI_Weights!$B$4:$B$18)/5)</f>
        <v/>
      </c>
      <c r="AL759">
        <f>IF(COUNTA(T759:AH759)=0,"",IF(SUMPRODUCT(--(T759:AH759&lt;=1),--(KPI_Weights!$C$4:$C$18="YES"))&gt;0,"YES","NO"))</f>
        <v/>
      </c>
      <c r="AM759">
        <f>IF(AJ759="","",IF(AND(AL759="NO",AJ759&gt;=0.75),"YES","NO"))</f>
        <v/>
      </c>
      <c r="AN759">
        <f>IF(AJ759="","",IF(AJ759&lt;0.4,"Critical",IF(AJ759&lt;0.6,"Poor",IF(AJ759&lt;0.75,"Needs Improvement",IF(AJ759&lt;0.9,"Good","Excellent")))))</f>
        <v/>
      </c>
    </row>
    <row r="760" ht="15" customHeight="1" s="45">
      <c r="A760">
        <f>IF($B760="","",TEXT($B760,"yyyymmdd")&amp;"-"&amp;SUBSTITUTE($F760," ","")&amp;"-"&amp;TEXT(COUNTIF($F$4:F760,$F760),"00"))</f>
        <v/>
      </c>
      <c r="C760">
        <f>IF($B760="","",WEEKNUM($B760,2))</f>
        <v/>
      </c>
      <c r="D760">
        <f>IF($B760="","",TEXT($B760,"yyyy-mm"))</f>
        <v/>
      </c>
      <c r="G760">
        <f>IF(OR($E760="",$F760=""),"",IFERROR(IF($E760=INDEX(Cluster_Master!$A$4:$A$18,MATCH($F760,Cluster_Master!$B$4:$B$18,0)),"OK","CHECK"),"CHECK"))</f>
        <v/>
      </c>
      <c r="H760">
        <f>IFERROR(INDEX(Cluster_Master!$C$4:$C$18,MATCH($F760,Cluster_Master!$B$4:$B$18,0)),"")</f>
        <v/>
      </c>
      <c r="I760">
        <f>IFERROR(INDEX(Cluster_Master!$D$4:$D$18,MATCH($F760,Cluster_Master!$B$4:$B$18,0)),"")</f>
        <v/>
      </c>
      <c r="J760">
        <f>IFERROR(INDEX(Cluster_Master!$E$4:$E$18,MATCH($F760,Cluster_Master!$B$4:$B$18,0)),"")</f>
        <v/>
      </c>
      <c r="K760">
        <f>IFERROR(INDEX(Cluster_Master!$F$4:$F$18,MATCH($F760,Cluster_Master!$B$4:$B$18,0)),"")</f>
        <v/>
      </c>
      <c r="L760">
        <f>IFERROR(INDEX(Cluster_Master!$G$4:$G$18,MATCH($F760,Cluster_Master!$B$4:$B$18,0)),"")</f>
        <v/>
      </c>
      <c r="M760">
        <f>IFERROR(INDEX(Cluster_Master!$H$4:$H$18,MATCH($F760,Cluster_Master!$B$4:$B$18,0)),"")</f>
        <v/>
      </c>
      <c r="AI760">
        <f>IF(COUNTA(T760:AH760)=0,"",SUM(T760:AH760))</f>
        <v/>
      </c>
      <c r="AJ760">
        <f>IF(COUNTA(T760:AH760)=0,"",AI760/(COUNT(KPI_Weights!$A$4:$A$18)*5))</f>
        <v/>
      </c>
      <c r="AK760">
        <f>IF(COUNTA(T760:AH760)=0,"",SUMPRODUCT(T760:AH760,KPI_Weights!$B$4:$B$18)/5)</f>
        <v/>
      </c>
      <c r="AL760">
        <f>IF(COUNTA(T760:AH760)=0,"",IF(SUMPRODUCT(--(T760:AH760&lt;=1),--(KPI_Weights!$C$4:$C$18="YES"))&gt;0,"YES","NO"))</f>
        <v/>
      </c>
      <c r="AM760">
        <f>IF(AJ760="","",IF(AND(AL760="NO",AJ760&gt;=0.75),"YES","NO"))</f>
        <v/>
      </c>
      <c r="AN760">
        <f>IF(AJ760="","",IF(AJ760&lt;0.4,"Critical",IF(AJ760&lt;0.6,"Poor",IF(AJ760&lt;0.75,"Needs Improvement",IF(AJ760&lt;0.9,"Good","Excellent")))))</f>
        <v/>
      </c>
    </row>
    <row r="761" ht="15" customHeight="1" s="45">
      <c r="A761">
        <f>IF($B761="","",TEXT($B761,"yyyymmdd")&amp;"-"&amp;SUBSTITUTE($F761," ","")&amp;"-"&amp;TEXT(COUNTIF($F$4:F761,$F761),"00"))</f>
        <v/>
      </c>
      <c r="C761">
        <f>IF($B761="","",WEEKNUM($B761,2))</f>
        <v/>
      </c>
      <c r="D761">
        <f>IF($B761="","",TEXT($B761,"yyyy-mm"))</f>
        <v/>
      </c>
      <c r="G761">
        <f>IF(OR($E761="",$F761=""),"",IFERROR(IF($E761=INDEX(Cluster_Master!$A$4:$A$18,MATCH($F761,Cluster_Master!$B$4:$B$18,0)),"OK","CHECK"),"CHECK"))</f>
        <v/>
      </c>
      <c r="H761">
        <f>IFERROR(INDEX(Cluster_Master!$C$4:$C$18,MATCH($F761,Cluster_Master!$B$4:$B$18,0)),"")</f>
        <v/>
      </c>
      <c r="I761">
        <f>IFERROR(INDEX(Cluster_Master!$D$4:$D$18,MATCH($F761,Cluster_Master!$B$4:$B$18,0)),"")</f>
        <v/>
      </c>
      <c r="J761">
        <f>IFERROR(INDEX(Cluster_Master!$E$4:$E$18,MATCH($F761,Cluster_Master!$B$4:$B$18,0)),"")</f>
        <v/>
      </c>
      <c r="K761">
        <f>IFERROR(INDEX(Cluster_Master!$F$4:$F$18,MATCH($F761,Cluster_Master!$B$4:$B$18,0)),"")</f>
        <v/>
      </c>
      <c r="L761">
        <f>IFERROR(INDEX(Cluster_Master!$G$4:$G$18,MATCH($F761,Cluster_Master!$B$4:$B$18,0)),"")</f>
        <v/>
      </c>
      <c r="M761">
        <f>IFERROR(INDEX(Cluster_Master!$H$4:$H$18,MATCH($F761,Cluster_Master!$B$4:$B$18,0)),"")</f>
        <v/>
      </c>
      <c r="AI761">
        <f>IF(COUNTA(T761:AH761)=0,"",SUM(T761:AH761))</f>
        <v/>
      </c>
      <c r="AJ761">
        <f>IF(COUNTA(T761:AH761)=0,"",AI761/(COUNT(KPI_Weights!$A$4:$A$18)*5))</f>
        <v/>
      </c>
      <c r="AK761">
        <f>IF(COUNTA(T761:AH761)=0,"",SUMPRODUCT(T761:AH761,KPI_Weights!$B$4:$B$18)/5)</f>
        <v/>
      </c>
      <c r="AL761">
        <f>IF(COUNTA(T761:AH761)=0,"",IF(SUMPRODUCT(--(T761:AH761&lt;=1),--(KPI_Weights!$C$4:$C$18="YES"))&gt;0,"YES","NO"))</f>
        <v/>
      </c>
      <c r="AM761">
        <f>IF(AJ761="","",IF(AND(AL761="NO",AJ761&gt;=0.75),"YES","NO"))</f>
        <v/>
      </c>
      <c r="AN761">
        <f>IF(AJ761="","",IF(AJ761&lt;0.4,"Critical",IF(AJ761&lt;0.6,"Poor",IF(AJ761&lt;0.75,"Needs Improvement",IF(AJ761&lt;0.9,"Good","Excellent")))))</f>
        <v/>
      </c>
    </row>
    <row r="762" ht="15" customHeight="1" s="45">
      <c r="A762">
        <f>IF($B762="","",TEXT($B762,"yyyymmdd")&amp;"-"&amp;SUBSTITUTE($F762," ","")&amp;"-"&amp;TEXT(COUNTIF($F$4:F762,$F762),"00"))</f>
        <v/>
      </c>
      <c r="C762">
        <f>IF($B762="","",WEEKNUM($B762,2))</f>
        <v/>
      </c>
      <c r="D762">
        <f>IF($B762="","",TEXT($B762,"yyyy-mm"))</f>
        <v/>
      </c>
      <c r="G762">
        <f>IF(OR($E762="",$F762=""),"",IFERROR(IF($E762=INDEX(Cluster_Master!$A$4:$A$18,MATCH($F762,Cluster_Master!$B$4:$B$18,0)),"OK","CHECK"),"CHECK"))</f>
        <v/>
      </c>
      <c r="H762">
        <f>IFERROR(INDEX(Cluster_Master!$C$4:$C$18,MATCH($F762,Cluster_Master!$B$4:$B$18,0)),"")</f>
        <v/>
      </c>
      <c r="I762">
        <f>IFERROR(INDEX(Cluster_Master!$D$4:$D$18,MATCH($F762,Cluster_Master!$B$4:$B$18,0)),"")</f>
        <v/>
      </c>
      <c r="J762">
        <f>IFERROR(INDEX(Cluster_Master!$E$4:$E$18,MATCH($F762,Cluster_Master!$B$4:$B$18,0)),"")</f>
        <v/>
      </c>
      <c r="K762">
        <f>IFERROR(INDEX(Cluster_Master!$F$4:$F$18,MATCH($F762,Cluster_Master!$B$4:$B$18,0)),"")</f>
        <v/>
      </c>
      <c r="L762">
        <f>IFERROR(INDEX(Cluster_Master!$G$4:$G$18,MATCH($F762,Cluster_Master!$B$4:$B$18,0)),"")</f>
        <v/>
      </c>
      <c r="M762">
        <f>IFERROR(INDEX(Cluster_Master!$H$4:$H$18,MATCH($F762,Cluster_Master!$B$4:$B$18,0)),"")</f>
        <v/>
      </c>
      <c r="AI762">
        <f>IF(COUNTA(T762:AH762)=0,"",SUM(T762:AH762))</f>
        <v/>
      </c>
      <c r="AJ762">
        <f>IF(COUNTA(T762:AH762)=0,"",AI762/(COUNT(KPI_Weights!$A$4:$A$18)*5))</f>
        <v/>
      </c>
      <c r="AK762">
        <f>IF(COUNTA(T762:AH762)=0,"",SUMPRODUCT(T762:AH762,KPI_Weights!$B$4:$B$18)/5)</f>
        <v/>
      </c>
      <c r="AL762">
        <f>IF(COUNTA(T762:AH762)=0,"",IF(SUMPRODUCT(--(T762:AH762&lt;=1),--(KPI_Weights!$C$4:$C$18="YES"))&gt;0,"YES","NO"))</f>
        <v/>
      </c>
      <c r="AM762">
        <f>IF(AJ762="","",IF(AND(AL762="NO",AJ762&gt;=0.75),"YES","NO"))</f>
        <v/>
      </c>
      <c r="AN762">
        <f>IF(AJ762="","",IF(AJ762&lt;0.4,"Critical",IF(AJ762&lt;0.6,"Poor",IF(AJ762&lt;0.75,"Needs Improvement",IF(AJ762&lt;0.9,"Good","Excellent")))))</f>
        <v/>
      </c>
    </row>
    <row r="763" ht="15" customHeight="1" s="45">
      <c r="A763">
        <f>IF($B763="","",TEXT($B763,"yyyymmdd")&amp;"-"&amp;SUBSTITUTE($F763," ","")&amp;"-"&amp;TEXT(COUNTIF($F$4:F763,$F763),"00"))</f>
        <v/>
      </c>
      <c r="C763">
        <f>IF($B763="","",WEEKNUM($B763,2))</f>
        <v/>
      </c>
      <c r="D763">
        <f>IF($B763="","",TEXT($B763,"yyyy-mm"))</f>
        <v/>
      </c>
      <c r="G763">
        <f>IF(OR($E763="",$F763=""),"",IFERROR(IF($E763=INDEX(Cluster_Master!$A$4:$A$18,MATCH($F763,Cluster_Master!$B$4:$B$18,0)),"OK","CHECK"),"CHECK"))</f>
        <v/>
      </c>
      <c r="H763">
        <f>IFERROR(INDEX(Cluster_Master!$C$4:$C$18,MATCH($F763,Cluster_Master!$B$4:$B$18,0)),"")</f>
        <v/>
      </c>
      <c r="I763">
        <f>IFERROR(INDEX(Cluster_Master!$D$4:$D$18,MATCH($F763,Cluster_Master!$B$4:$B$18,0)),"")</f>
        <v/>
      </c>
      <c r="J763">
        <f>IFERROR(INDEX(Cluster_Master!$E$4:$E$18,MATCH($F763,Cluster_Master!$B$4:$B$18,0)),"")</f>
        <v/>
      </c>
      <c r="K763">
        <f>IFERROR(INDEX(Cluster_Master!$F$4:$F$18,MATCH($F763,Cluster_Master!$B$4:$B$18,0)),"")</f>
        <v/>
      </c>
      <c r="L763">
        <f>IFERROR(INDEX(Cluster_Master!$G$4:$G$18,MATCH($F763,Cluster_Master!$B$4:$B$18,0)),"")</f>
        <v/>
      </c>
      <c r="M763">
        <f>IFERROR(INDEX(Cluster_Master!$H$4:$H$18,MATCH($F763,Cluster_Master!$B$4:$B$18,0)),"")</f>
        <v/>
      </c>
      <c r="AI763">
        <f>IF(COUNTA(T763:AH763)=0,"",SUM(T763:AH763))</f>
        <v/>
      </c>
      <c r="AJ763">
        <f>IF(COUNTA(T763:AH763)=0,"",AI763/(COUNT(KPI_Weights!$A$4:$A$18)*5))</f>
        <v/>
      </c>
      <c r="AK763">
        <f>IF(COUNTA(T763:AH763)=0,"",SUMPRODUCT(T763:AH763,KPI_Weights!$B$4:$B$18)/5)</f>
        <v/>
      </c>
      <c r="AL763">
        <f>IF(COUNTA(T763:AH763)=0,"",IF(SUMPRODUCT(--(T763:AH763&lt;=1),--(KPI_Weights!$C$4:$C$18="YES"))&gt;0,"YES","NO"))</f>
        <v/>
      </c>
      <c r="AM763">
        <f>IF(AJ763="","",IF(AND(AL763="NO",AJ763&gt;=0.75),"YES","NO"))</f>
        <v/>
      </c>
      <c r="AN763">
        <f>IF(AJ763="","",IF(AJ763&lt;0.4,"Critical",IF(AJ763&lt;0.6,"Poor",IF(AJ763&lt;0.75,"Needs Improvement",IF(AJ763&lt;0.9,"Good","Excellent")))))</f>
        <v/>
      </c>
    </row>
    <row r="764" ht="15" customHeight="1" s="45">
      <c r="A764">
        <f>IF($B764="","",TEXT($B764,"yyyymmdd")&amp;"-"&amp;SUBSTITUTE($F764," ","")&amp;"-"&amp;TEXT(COUNTIF($F$4:F764,$F764),"00"))</f>
        <v/>
      </c>
      <c r="C764">
        <f>IF($B764="","",WEEKNUM($B764,2))</f>
        <v/>
      </c>
      <c r="D764">
        <f>IF($B764="","",TEXT($B764,"yyyy-mm"))</f>
        <v/>
      </c>
      <c r="G764">
        <f>IF(OR($E764="",$F764=""),"",IFERROR(IF($E764=INDEX(Cluster_Master!$A$4:$A$18,MATCH($F764,Cluster_Master!$B$4:$B$18,0)),"OK","CHECK"),"CHECK"))</f>
        <v/>
      </c>
      <c r="H764">
        <f>IFERROR(INDEX(Cluster_Master!$C$4:$C$18,MATCH($F764,Cluster_Master!$B$4:$B$18,0)),"")</f>
        <v/>
      </c>
      <c r="I764">
        <f>IFERROR(INDEX(Cluster_Master!$D$4:$D$18,MATCH($F764,Cluster_Master!$B$4:$B$18,0)),"")</f>
        <v/>
      </c>
      <c r="J764">
        <f>IFERROR(INDEX(Cluster_Master!$E$4:$E$18,MATCH($F764,Cluster_Master!$B$4:$B$18,0)),"")</f>
        <v/>
      </c>
      <c r="K764">
        <f>IFERROR(INDEX(Cluster_Master!$F$4:$F$18,MATCH($F764,Cluster_Master!$B$4:$B$18,0)),"")</f>
        <v/>
      </c>
      <c r="L764">
        <f>IFERROR(INDEX(Cluster_Master!$G$4:$G$18,MATCH($F764,Cluster_Master!$B$4:$B$18,0)),"")</f>
        <v/>
      </c>
      <c r="M764">
        <f>IFERROR(INDEX(Cluster_Master!$H$4:$H$18,MATCH($F764,Cluster_Master!$B$4:$B$18,0)),"")</f>
        <v/>
      </c>
      <c r="AI764">
        <f>IF(COUNTA(T764:AH764)=0,"",SUM(T764:AH764))</f>
        <v/>
      </c>
      <c r="AJ764">
        <f>IF(COUNTA(T764:AH764)=0,"",AI764/(COUNT(KPI_Weights!$A$4:$A$18)*5))</f>
        <v/>
      </c>
      <c r="AK764">
        <f>IF(COUNTA(T764:AH764)=0,"",SUMPRODUCT(T764:AH764,KPI_Weights!$B$4:$B$18)/5)</f>
        <v/>
      </c>
      <c r="AL764">
        <f>IF(COUNTA(T764:AH764)=0,"",IF(SUMPRODUCT(--(T764:AH764&lt;=1),--(KPI_Weights!$C$4:$C$18="YES"))&gt;0,"YES","NO"))</f>
        <v/>
      </c>
      <c r="AM764">
        <f>IF(AJ764="","",IF(AND(AL764="NO",AJ764&gt;=0.75),"YES","NO"))</f>
        <v/>
      </c>
      <c r="AN764">
        <f>IF(AJ764="","",IF(AJ764&lt;0.4,"Critical",IF(AJ764&lt;0.6,"Poor",IF(AJ764&lt;0.75,"Needs Improvement",IF(AJ764&lt;0.9,"Good","Excellent")))))</f>
        <v/>
      </c>
    </row>
    <row r="765" ht="15" customHeight="1" s="45">
      <c r="A765">
        <f>IF($B765="","",TEXT($B765,"yyyymmdd")&amp;"-"&amp;SUBSTITUTE($F765," ","")&amp;"-"&amp;TEXT(COUNTIF($F$4:F765,$F765),"00"))</f>
        <v/>
      </c>
      <c r="C765">
        <f>IF($B765="","",WEEKNUM($B765,2))</f>
        <v/>
      </c>
      <c r="D765">
        <f>IF($B765="","",TEXT($B765,"yyyy-mm"))</f>
        <v/>
      </c>
      <c r="G765">
        <f>IF(OR($E765="",$F765=""),"",IFERROR(IF($E765=INDEX(Cluster_Master!$A$4:$A$18,MATCH($F765,Cluster_Master!$B$4:$B$18,0)),"OK","CHECK"),"CHECK"))</f>
        <v/>
      </c>
      <c r="H765">
        <f>IFERROR(INDEX(Cluster_Master!$C$4:$C$18,MATCH($F765,Cluster_Master!$B$4:$B$18,0)),"")</f>
        <v/>
      </c>
      <c r="I765">
        <f>IFERROR(INDEX(Cluster_Master!$D$4:$D$18,MATCH($F765,Cluster_Master!$B$4:$B$18,0)),"")</f>
        <v/>
      </c>
      <c r="J765">
        <f>IFERROR(INDEX(Cluster_Master!$E$4:$E$18,MATCH($F765,Cluster_Master!$B$4:$B$18,0)),"")</f>
        <v/>
      </c>
      <c r="K765">
        <f>IFERROR(INDEX(Cluster_Master!$F$4:$F$18,MATCH($F765,Cluster_Master!$B$4:$B$18,0)),"")</f>
        <v/>
      </c>
      <c r="L765">
        <f>IFERROR(INDEX(Cluster_Master!$G$4:$G$18,MATCH($F765,Cluster_Master!$B$4:$B$18,0)),"")</f>
        <v/>
      </c>
      <c r="M765">
        <f>IFERROR(INDEX(Cluster_Master!$H$4:$H$18,MATCH($F765,Cluster_Master!$B$4:$B$18,0)),"")</f>
        <v/>
      </c>
      <c r="AI765">
        <f>IF(COUNTA(T765:AH765)=0,"",SUM(T765:AH765))</f>
        <v/>
      </c>
      <c r="AJ765">
        <f>IF(COUNTA(T765:AH765)=0,"",AI765/(COUNT(KPI_Weights!$A$4:$A$18)*5))</f>
        <v/>
      </c>
      <c r="AK765">
        <f>IF(COUNTA(T765:AH765)=0,"",SUMPRODUCT(T765:AH765,KPI_Weights!$B$4:$B$18)/5)</f>
        <v/>
      </c>
      <c r="AL765">
        <f>IF(COUNTA(T765:AH765)=0,"",IF(SUMPRODUCT(--(T765:AH765&lt;=1),--(KPI_Weights!$C$4:$C$18="YES"))&gt;0,"YES","NO"))</f>
        <v/>
      </c>
      <c r="AM765">
        <f>IF(AJ765="","",IF(AND(AL765="NO",AJ765&gt;=0.75),"YES","NO"))</f>
        <v/>
      </c>
      <c r="AN765">
        <f>IF(AJ765="","",IF(AJ765&lt;0.4,"Critical",IF(AJ765&lt;0.6,"Poor",IF(AJ765&lt;0.75,"Needs Improvement",IF(AJ765&lt;0.9,"Good","Excellent")))))</f>
        <v/>
      </c>
    </row>
    <row r="766" ht="15" customHeight="1" s="45">
      <c r="A766">
        <f>IF($B766="","",TEXT($B766,"yyyymmdd")&amp;"-"&amp;SUBSTITUTE($F766," ","")&amp;"-"&amp;TEXT(COUNTIF($F$4:F766,$F766),"00"))</f>
        <v/>
      </c>
      <c r="C766">
        <f>IF($B766="","",WEEKNUM($B766,2))</f>
        <v/>
      </c>
      <c r="D766">
        <f>IF($B766="","",TEXT($B766,"yyyy-mm"))</f>
        <v/>
      </c>
      <c r="G766">
        <f>IF(OR($E766="",$F766=""),"",IFERROR(IF($E766=INDEX(Cluster_Master!$A$4:$A$18,MATCH($F766,Cluster_Master!$B$4:$B$18,0)),"OK","CHECK"),"CHECK"))</f>
        <v/>
      </c>
      <c r="H766">
        <f>IFERROR(INDEX(Cluster_Master!$C$4:$C$18,MATCH($F766,Cluster_Master!$B$4:$B$18,0)),"")</f>
        <v/>
      </c>
      <c r="I766">
        <f>IFERROR(INDEX(Cluster_Master!$D$4:$D$18,MATCH($F766,Cluster_Master!$B$4:$B$18,0)),"")</f>
        <v/>
      </c>
      <c r="J766">
        <f>IFERROR(INDEX(Cluster_Master!$E$4:$E$18,MATCH($F766,Cluster_Master!$B$4:$B$18,0)),"")</f>
        <v/>
      </c>
      <c r="K766">
        <f>IFERROR(INDEX(Cluster_Master!$F$4:$F$18,MATCH($F766,Cluster_Master!$B$4:$B$18,0)),"")</f>
        <v/>
      </c>
      <c r="L766">
        <f>IFERROR(INDEX(Cluster_Master!$G$4:$G$18,MATCH($F766,Cluster_Master!$B$4:$B$18,0)),"")</f>
        <v/>
      </c>
      <c r="M766">
        <f>IFERROR(INDEX(Cluster_Master!$H$4:$H$18,MATCH($F766,Cluster_Master!$B$4:$B$18,0)),"")</f>
        <v/>
      </c>
      <c r="AI766">
        <f>IF(COUNTA(T766:AH766)=0,"",SUM(T766:AH766))</f>
        <v/>
      </c>
      <c r="AJ766">
        <f>IF(COUNTA(T766:AH766)=0,"",AI766/(COUNT(KPI_Weights!$A$4:$A$18)*5))</f>
        <v/>
      </c>
      <c r="AK766">
        <f>IF(COUNTA(T766:AH766)=0,"",SUMPRODUCT(T766:AH766,KPI_Weights!$B$4:$B$18)/5)</f>
        <v/>
      </c>
      <c r="AL766">
        <f>IF(COUNTA(T766:AH766)=0,"",IF(SUMPRODUCT(--(T766:AH766&lt;=1),--(KPI_Weights!$C$4:$C$18="YES"))&gt;0,"YES","NO"))</f>
        <v/>
      </c>
      <c r="AM766">
        <f>IF(AJ766="","",IF(AND(AL766="NO",AJ766&gt;=0.75),"YES","NO"))</f>
        <v/>
      </c>
      <c r="AN766">
        <f>IF(AJ766="","",IF(AJ766&lt;0.4,"Critical",IF(AJ766&lt;0.6,"Poor",IF(AJ766&lt;0.75,"Needs Improvement",IF(AJ766&lt;0.9,"Good","Excellent")))))</f>
        <v/>
      </c>
    </row>
    <row r="767" ht="15" customHeight="1" s="45">
      <c r="A767">
        <f>IF($B767="","",TEXT($B767,"yyyymmdd")&amp;"-"&amp;SUBSTITUTE($F767," ","")&amp;"-"&amp;TEXT(COUNTIF($F$4:F767,$F767),"00"))</f>
        <v/>
      </c>
      <c r="C767">
        <f>IF($B767="","",WEEKNUM($B767,2))</f>
        <v/>
      </c>
      <c r="D767">
        <f>IF($B767="","",TEXT($B767,"yyyy-mm"))</f>
        <v/>
      </c>
      <c r="G767">
        <f>IF(OR($E767="",$F767=""),"",IFERROR(IF($E767=INDEX(Cluster_Master!$A$4:$A$18,MATCH($F767,Cluster_Master!$B$4:$B$18,0)),"OK","CHECK"),"CHECK"))</f>
        <v/>
      </c>
      <c r="H767">
        <f>IFERROR(INDEX(Cluster_Master!$C$4:$C$18,MATCH($F767,Cluster_Master!$B$4:$B$18,0)),"")</f>
        <v/>
      </c>
      <c r="I767">
        <f>IFERROR(INDEX(Cluster_Master!$D$4:$D$18,MATCH($F767,Cluster_Master!$B$4:$B$18,0)),"")</f>
        <v/>
      </c>
      <c r="J767">
        <f>IFERROR(INDEX(Cluster_Master!$E$4:$E$18,MATCH($F767,Cluster_Master!$B$4:$B$18,0)),"")</f>
        <v/>
      </c>
      <c r="K767">
        <f>IFERROR(INDEX(Cluster_Master!$F$4:$F$18,MATCH($F767,Cluster_Master!$B$4:$B$18,0)),"")</f>
        <v/>
      </c>
      <c r="L767">
        <f>IFERROR(INDEX(Cluster_Master!$G$4:$G$18,MATCH($F767,Cluster_Master!$B$4:$B$18,0)),"")</f>
        <v/>
      </c>
      <c r="M767">
        <f>IFERROR(INDEX(Cluster_Master!$H$4:$H$18,MATCH($F767,Cluster_Master!$B$4:$B$18,0)),"")</f>
        <v/>
      </c>
      <c r="AI767">
        <f>IF(COUNTA(T767:AH767)=0,"",SUM(T767:AH767))</f>
        <v/>
      </c>
      <c r="AJ767">
        <f>IF(COUNTA(T767:AH767)=0,"",AI767/(COUNT(KPI_Weights!$A$4:$A$18)*5))</f>
        <v/>
      </c>
      <c r="AK767">
        <f>IF(COUNTA(T767:AH767)=0,"",SUMPRODUCT(T767:AH767,KPI_Weights!$B$4:$B$18)/5)</f>
        <v/>
      </c>
      <c r="AL767">
        <f>IF(COUNTA(T767:AH767)=0,"",IF(SUMPRODUCT(--(T767:AH767&lt;=1),--(KPI_Weights!$C$4:$C$18="YES"))&gt;0,"YES","NO"))</f>
        <v/>
      </c>
      <c r="AM767">
        <f>IF(AJ767="","",IF(AND(AL767="NO",AJ767&gt;=0.75),"YES","NO"))</f>
        <v/>
      </c>
      <c r="AN767">
        <f>IF(AJ767="","",IF(AJ767&lt;0.4,"Critical",IF(AJ767&lt;0.6,"Poor",IF(AJ767&lt;0.75,"Needs Improvement",IF(AJ767&lt;0.9,"Good","Excellent")))))</f>
        <v/>
      </c>
    </row>
    <row r="768" ht="15" customHeight="1" s="45">
      <c r="A768">
        <f>IF($B768="","",TEXT($B768,"yyyymmdd")&amp;"-"&amp;SUBSTITUTE($F768," ","")&amp;"-"&amp;TEXT(COUNTIF($F$4:F768,$F768),"00"))</f>
        <v/>
      </c>
      <c r="C768">
        <f>IF($B768="","",WEEKNUM($B768,2))</f>
        <v/>
      </c>
      <c r="D768">
        <f>IF($B768="","",TEXT($B768,"yyyy-mm"))</f>
        <v/>
      </c>
      <c r="G768">
        <f>IF(OR($E768="",$F768=""),"",IFERROR(IF($E768=INDEX(Cluster_Master!$A$4:$A$18,MATCH($F768,Cluster_Master!$B$4:$B$18,0)),"OK","CHECK"),"CHECK"))</f>
        <v/>
      </c>
      <c r="H768">
        <f>IFERROR(INDEX(Cluster_Master!$C$4:$C$18,MATCH($F768,Cluster_Master!$B$4:$B$18,0)),"")</f>
        <v/>
      </c>
      <c r="I768">
        <f>IFERROR(INDEX(Cluster_Master!$D$4:$D$18,MATCH($F768,Cluster_Master!$B$4:$B$18,0)),"")</f>
        <v/>
      </c>
      <c r="J768">
        <f>IFERROR(INDEX(Cluster_Master!$E$4:$E$18,MATCH($F768,Cluster_Master!$B$4:$B$18,0)),"")</f>
        <v/>
      </c>
      <c r="K768">
        <f>IFERROR(INDEX(Cluster_Master!$F$4:$F$18,MATCH($F768,Cluster_Master!$B$4:$B$18,0)),"")</f>
        <v/>
      </c>
      <c r="L768">
        <f>IFERROR(INDEX(Cluster_Master!$G$4:$G$18,MATCH($F768,Cluster_Master!$B$4:$B$18,0)),"")</f>
        <v/>
      </c>
      <c r="M768">
        <f>IFERROR(INDEX(Cluster_Master!$H$4:$H$18,MATCH($F768,Cluster_Master!$B$4:$B$18,0)),"")</f>
        <v/>
      </c>
      <c r="AI768">
        <f>IF(COUNTA(T768:AH768)=0,"",SUM(T768:AH768))</f>
        <v/>
      </c>
      <c r="AJ768">
        <f>IF(COUNTA(T768:AH768)=0,"",AI768/(COUNT(KPI_Weights!$A$4:$A$18)*5))</f>
        <v/>
      </c>
      <c r="AK768">
        <f>IF(COUNTA(T768:AH768)=0,"",SUMPRODUCT(T768:AH768,KPI_Weights!$B$4:$B$18)/5)</f>
        <v/>
      </c>
      <c r="AL768">
        <f>IF(COUNTA(T768:AH768)=0,"",IF(SUMPRODUCT(--(T768:AH768&lt;=1),--(KPI_Weights!$C$4:$C$18="YES"))&gt;0,"YES","NO"))</f>
        <v/>
      </c>
      <c r="AM768">
        <f>IF(AJ768="","",IF(AND(AL768="NO",AJ768&gt;=0.75),"YES","NO"))</f>
        <v/>
      </c>
      <c r="AN768">
        <f>IF(AJ768="","",IF(AJ768&lt;0.4,"Critical",IF(AJ768&lt;0.6,"Poor",IF(AJ768&lt;0.75,"Needs Improvement",IF(AJ768&lt;0.9,"Good","Excellent")))))</f>
        <v/>
      </c>
    </row>
    <row r="769" ht="15" customHeight="1" s="45">
      <c r="A769">
        <f>IF($B769="","",TEXT($B769,"yyyymmdd")&amp;"-"&amp;SUBSTITUTE($F769," ","")&amp;"-"&amp;TEXT(COUNTIF($F$4:F769,$F769),"00"))</f>
        <v/>
      </c>
      <c r="C769">
        <f>IF($B769="","",WEEKNUM($B769,2))</f>
        <v/>
      </c>
      <c r="D769">
        <f>IF($B769="","",TEXT($B769,"yyyy-mm"))</f>
        <v/>
      </c>
      <c r="G769">
        <f>IF(OR($E769="",$F769=""),"",IFERROR(IF($E769=INDEX(Cluster_Master!$A$4:$A$18,MATCH($F769,Cluster_Master!$B$4:$B$18,0)),"OK","CHECK"),"CHECK"))</f>
        <v/>
      </c>
      <c r="H769">
        <f>IFERROR(INDEX(Cluster_Master!$C$4:$C$18,MATCH($F769,Cluster_Master!$B$4:$B$18,0)),"")</f>
        <v/>
      </c>
      <c r="I769">
        <f>IFERROR(INDEX(Cluster_Master!$D$4:$D$18,MATCH($F769,Cluster_Master!$B$4:$B$18,0)),"")</f>
        <v/>
      </c>
      <c r="J769">
        <f>IFERROR(INDEX(Cluster_Master!$E$4:$E$18,MATCH($F769,Cluster_Master!$B$4:$B$18,0)),"")</f>
        <v/>
      </c>
      <c r="K769">
        <f>IFERROR(INDEX(Cluster_Master!$F$4:$F$18,MATCH($F769,Cluster_Master!$B$4:$B$18,0)),"")</f>
        <v/>
      </c>
      <c r="L769">
        <f>IFERROR(INDEX(Cluster_Master!$G$4:$G$18,MATCH($F769,Cluster_Master!$B$4:$B$18,0)),"")</f>
        <v/>
      </c>
      <c r="M769">
        <f>IFERROR(INDEX(Cluster_Master!$H$4:$H$18,MATCH($F769,Cluster_Master!$B$4:$B$18,0)),"")</f>
        <v/>
      </c>
      <c r="AI769">
        <f>IF(COUNTA(T769:AH769)=0,"",SUM(T769:AH769))</f>
        <v/>
      </c>
      <c r="AJ769">
        <f>IF(COUNTA(T769:AH769)=0,"",AI769/(COUNT(KPI_Weights!$A$4:$A$18)*5))</f>
        <v/>
      </c>
      <c r="AK769">
        <f>IF(COUNTA(T769:AH769)=0,"",SUMPRODUCT(T769:AH769,KPI_Weights!$B$4:$B$18)/5)</f>
        <v/>
      </c>
      <c r="AL769">
        <f>IF(COUNTA(T769:AH769)=0,"",IF(SUMPRODUCT(--(T769:AH769&lt;=1),--(KPI_Weights!$C$4:$C$18="YES"))&gt;0,"YES","NO"))</f>
        <v/>
      </c>
      <c r="AM769">
        <f>IF(AJ769="","",IF(AND(AL769="NO",AJ769&gt;=0.75),"YES","NO"))</f>
        <v/>
      </c>
      <c r="AN769">
        <f>IF(AJ769="","",IF(AJ769&lt;0.4,"Critical",IF(AJ769&lt;0.6,"Poor",IF(AJ769&lt;0.75,"Needs Improvement",IF(AJ769&lt;0.9,"Good","Excellent")))))</f>
        <v/>
      </c>
    </row>
    <row r="770" ht="15" customHeight="1" s="45">
      <c r="A770">
        <f>IF($B770="","",TEXT($B770,"yyyymmdd")&amp;"-"&amp;SUBSTITUTE($F770," ","")&amp;"-"&amp;TEXT(COUNTIF($F$4:F770,$F770),"00"))</f>
        <v/>
      </c>
      <c r="C770">
        <f>IF($B770="","",WEEKNUM($B770,2))</f>
        <v/>
      </c>
      <c r="D770">
        <f>IF($B770="","",TEXT($B770,"yyyy-mm"))</f>
        <v/>
      </c>
      <c r="G770">
        <f>IF(OR($E770="",$F770=""),"",IFERROR(IF($E770=INDEX(Cluster_Master!$A$4:$A$18,MATCH($F770,Cluster_Master!$B$4:$B$18,0)),"OK","CHECK"),"CHECK"))</f>
        <v/>
      </c>
      <c r="H770">
        <f>IFERROR(INDEX(Cluster_Master!$C$4:$C$18,MATCH($F770,Cluster_Master!$B$4:$B$18,0)),"")</f>
        <v/>
      </c>
      <c r="I770">
        <f>IFERROR(INDEX(Cluster_Master!$D$4:$D$18,MATCH($F770,Cluster_Master!$B$4:$B$18,0)),"")</f>
        <v/>
      </c>
      <c r="J770">
        <f>IFERROR(INDEX(Cluster_Master!$E$4:$E$18,MATCH($F770,Cluster_Master!$B$4:$B$18,0)),"")</f>
        <v/>
      </c>
      <c r="K770">
        <f>IFERROR(INDEX(Cluster_Master!$F$4:$F$18,MATCH($F770,Cluster_Master!$B$4:$B$18,0)),"")</f>
        <v/>
      </c>
      <c r="L770">
        <f>IFERROR(INDEX(Cluster_Master!$G$4:$G$18,MATCH($F770,Cluster_Master!$B$4:$B$18,0)),"")</f>
        <v/>
      </c>
      <c r="M770">
        <f>IFERROR(INDEX(Cluster_Master!$H$4:$H$18,MATCH($F770,Cluster_Master!$B$4:$B$18,0)),"")</f>
        <v/>
      </c>
      <c r="AI770">
        <f>IF(COUNTA(T770:AH770)=0,"",SUM(T770:AH770))</f>
        <v/>
      </c>
      <c r="AJ770">
        <f>IF(COUNTA(T770:AH770)=0,"",AI770/(COUNT(KPI_Weights!$A$4:$A$18)*5))</f>
        <v/>
      </c>
      <c r="AK770">
        <f>IF(COUNTA(T770:AH770)=0,"",SUMPRODUCT(T770:AH770,KPI_Weights!$B$4:$B$18)/5)</f>
        <v/>
      </c>
      <c r="AL770">
        <f>IF(COUNTA(T770:AH770)=0,"",IF(SUMPRODUCT(--(T770:AH770&lt;=1),--(KPI_Weights!$C$4:$C$18="YES"))&gt;0,"YES","NO"))</f>
        <v/>
      </c>
      <c r="AM770">
        <f>IF(AJ770="","",IF(AND(AL770="NO",AJ770&gt;=0.75),"YES","NO"))</f>
        <v/>
      </c>
      <c r="AN770">
        <f>IF(AJ770="","",IF(AJ770&lt;0.4,"Critical",IF(AJ770&lt;0.6,"Poor",IF(AJ770&lt;0.75,"Needs Improvement",IF(AJ770&lt;0.9,"Good","Excellent")))))</f>
        <v/>
      </c>
    </row>
    <row r="771" ht="15" customHeight="1" s="45">
      <c r="A771">
        <f>IF($B771="","",TEXT($B771,"yyyymmdd")&amp;"-"&amp;SUBSTITUTE($F771," ","")&amp;"-"&amp;TEXT(COUNTIF($F$4:F771,$F771),"00"))</f>
        <v/>
      </c>
      <c r="C771">
        <f>IF($B771="","",WEEKNUM($B771,2))</f>
        <v/>
      </c>
      <c r="D771">
        <f>IF($B771="","",TEXT($B771,"yyyy-mm"))</f>
        <v/>
      </c>
      <c r="G771">
        <f>IF(OR($E771="",$F771=""),"",IFERROR(IF($E771=INDEX(Cluster_Master!$A$4:$A$18,MATCH($F771,Cluster_Master!$B$4:$B$18,0)),"OK","CHECK"),"CHECK"))</f>
        <v/>
      </c>
      <c r="H771">
        <f>IFERROR(INDEX(Cluster_Master!$C$4:$C$18,MATCH($F771,Cluster_Master!$B$4:$B$18,0)),"")</f>
        <v/>
      </c>
      <c r="I771">
        <f>IFERROR(INDEX(Cluster_Master!$D$4:$D$18,MATCH($F771,Cluster_Master!$B$4:$B$18,0)),"")</f>
        <v/>
      </c>
      <c r="J771">
        <f>IFERROR(INDEX(Cluster_Master!$E$4:$E$18,MATCH($F771,Cluster_Master!$B$4:$B$18,0)),"")</f>
        <v/>
      </c>
      <c r="K771">
        <f>IFERROR(INDEX(Cluster_Master!$F$4:$F$18,MATCH($F771,Cluster_Master!$B$4:$B$18,0)),"")</f>
        <v/>
      </c>
      <c r="L771">
        <f>IFERROR(INDEX(Cluster_Master!$G$4:$G$18,MATCH($F771,Cluster_Master!$B$4:$B$18,0)),"")</f>
        <v/>
      </c>
      <c r="M771">
        <f>IFERROR(INDEX(Cluster_Master!$H$4:$H$18,MATCH($F771,Cluster_Master!$B$4:$B$18,0)),"")</f>
        <v/>
      </c>
      <c r="AI771">
        <f>IF(COUNTA(T771:AH771)=0,"",SUM(T771:AH771))</f>
        <v/>
      </c>
      <c r="AJ771">
        <f>IF(COUNTA(T771:AH771)=0,"",AI771/(COUNT(KPI_Weights!$A$4:$A$18)*5))</f>
        <v/>
      </c>
      <c r="AK771">
        <f>IF(COUNTA(T771:AH771)=0,"",SUMPRODUCT(T771:AH771,KPI_Weights!$B$4:$B$18)/5)</f>
        <v/>
      </c>
      <c r="AL771">
        <f>IF(COUNTA(T771:AH771)=0,"",IF(SUMPRODUCT(--(T771:AH771&lt;=1),--(KPI_Weights!$C$4:$C$18="YES"))&gt;0,"YES","NO"))</f>
        <v/>
      </c>
      <c r="AM771">
        <f>IF(AJ771="","",IF(AND(AL771="NO",AJ771&gt;=0.75),"YES","NO"))</f>
        <v/>
      </c>
      <c r="AN771">
        <f>IF(AJ771="","",IF(AJ771&lt;0.4,"Critical",IF(AJ771&lt;0.6,"Poor",IF(AJ771&lt;0.75,"Needs Improvement",IF(AJ771&lt;0.9,"Good","Excellent")))))</f>
        <v/>
      </c>
    </row>
    <row r="772" ht="15" customHeight="1" s="45">
      <c r="A772">
        <f>IF($B772="","",TEXT($B772,"yyyymmdd")&amp;"-"&amp;SUBSTITUTE($F772," ","")&amp;"-"&amp;TEXT(COUNTIF($F$4:F772,$F772),"00"))</f>
        <v/>
      </c>
      <c r="C772">
        <f>IF($B772="","",WEEKNUM($B772,2))</f>
        <v/>
      </c>
      <c r="D772">
        <f>IF($B772="","",TEXT($B772,"yyyy-mm"))</f>
        <v/>
      </c>
      <c r="G772">
        <f>IF(OR($E772="",$F772=""),"",IFERROR(IF($E772=INDEX(Cluster_Master!$A$4:$A$18,MATCH($F772,Cluster_Master!$B$4:$B$18,0)),"OK","CHECK"),"CHECK"))</f>
        <v/>
      </c>
      <c r="H772">
        <f>IFERROR(INDEX(Cluster_Master!$C$4:$C$18,MATCH($F772,Cluster_Master!$B$4:$B$18,0)),"")</f>
        <v/>
      </c>
      <c r="I772">
        <f>IFERROR(INDEX(Cluster_Master!$D$4:$D$18,MATCH($F772,Cluster_Master!$B$4:$B$18,0)),"")</f>
        <v/>
      </c>
      <c r="J772">
        <f>IFERROR(INDEX(Cluster_Master!$E$4:$E$18,MATCH($F772,Cluster_Master!$B$4:$B$18,0)),"")</f>
        <v/>
      </c>
      <c r="K772">
        <f>IFERROR(INDEX(Cluster_Master!$F$4:$F$18,MATCH($F772,Cluster_Master!$B$4:$B$18,0)),"")</f>
        <v/>
      </c>
      <c r="L772">
        <f>IFERROR(INDEX(Cluster_Master!$G$4:$G$18,MATCH($F772,Cluster_Master!$B$4:$B$18,0)),"")</f>
        <v/>
      </c>
      <c r="M772">
        <f>IFERROR(INDEX(Cluster_Master!$H$4:$H$18,MATCH($F772,Cluster_Master!$B$4:$B$18,0)),"")</f>
        <v/>
      </c>
      <c r="AI772">
        <f>IF(COUNTA(T772:AH772)=0,"",SUM(T772:AH772))</f>
        <v/>
      </c>
      <c r="AJ772">
        <f>IF(COUNTA(T772:AH772)=0,"",AI772/(COUNT(KPI_Weights!$A$4:$A$18)*5))</f>
        <v/>
      </c>
      <c r="AK772">
        <f>IF(COUNTA(T772:AH772)=0,"",SUMPRODUCT(T772:AH772,KPI_Weights!$B$4:$B$18)/5)</f>
        <v/>
      </c>
      <c r="AL772">
        <f>IF(COUNTA(T772:AH772)=0,"",IF(SUMPRODUCT(--(T772:AH772&lt;=1),--(KPI_Weights!$C$4:$C$18="YES"))&gt;0,"YES","NO"))</f>
        <v/>
      </c>
      <c r="AM772">
        <f>IF(AJ772="","",IF(AND(AL772="NO",AJ772&gt;=0.75),"YES","NO"))</f>
        <v/>
      </c>
      <c r="AN772">
        <f>IF(AJ772="","",IF(AJ772&lt;0.4,"Critical",IF(AJ772&lt;0.6,"Poor",IF(AJ772&lt;0.75,"Needs Improvement",IF(AJ772&lt;0.9,"Good","Excellent")))))</f>
        <v/>
      </c>
    </row>
    <row r="773" ht="15" customHeight="1" s="45">
      <c r="A773">
        <f>IF($B773="","",TEXT($B773,"yyyymmdd")&amp;"-"&amp;SUBSTITUTE($F773," ","")&amp;"-"&amp;TEXT(COUNTIF($F$4:F773,$F773),"00"))</f>
        <v/>
      </c>
      <c r="C773">
        <f>IF($B773="","",WEEKNUM($B773,2))</f>
        <v/>
      </c>
      <c r="D773">
        <f>IF($B773="","",TEXT($B773,"yyyy-mm"))</f>
        <v/>
      </c>
      <c r="G773">
        <f>IF(OR($E773="",$F773=""),"",IFERROR(IF($E773=INDEX(Cluster_Master!$A$4:$A$18,MATCH($F773,Cluster_Master!$B$4:$B$18,0)),"OK","CHECK"),"CHECK"))</f>
        <v/>
      </c>
      <c r="H773">
        <f>IFERROR(INDEX(Cluster_Master!$C$4:$C$18,MATCH($F773,Cluster_Master!$B$4:$B$18,0)),"")</f>
        <v/>
      </c>
      <c r="I773">
        <f>IFERROR(INDEX(Cluster_Master!$D$4:$D$18,MATCH($F773,Cluster_Master!$B$4:$B$18,0)),"")</f>
        <v/>
      </c>
      <c r="J773">
        <f>IFERROR(INDEX(Cluster_Master!$E$4:$E$18,MATCH($F773,Cluster_Master!$B$4:$B$18,0)),"")</f>
        <v/>
      </c>
      <c r="K773">
        <f>IFERROR(INDEX(Cluster_Master!$F$4:$F$18,MATCH($F773,Cluster_Master!$B$4:$B$18,0)),"")</f>
        <v/>
      </c>
      <c r="L773">
        <f>IFERROR(INDEX(Cluster_Master!$G$4:$G$18,MATCH($F773,Cluster_Master!$B$4:$B$18,0)),"")</f>
        <v/>
      </c>
      <c r="M773">
        <f>IFERROR(INDEX(Cluster_Master!$H$4:$H$18,MATCH($F773,Cluster_Master!$B$4:$B$18,0)),"")</f>
        <v/>
      </c>
      <c r="AI773">
        <f>IF(COUNTA(T773:AH773)=0,"",SUM(T773:AH773))</f>
        <v/>
      </c>
      <c r="AJ773">
        <f>IF(COUNTA(T773:AH773)=0,"",AI773/(COUNT(KPI_Weights!$A$4:$A$18)*5))</f>
        <v/>
      </c>
      <c r="AK773">
        <f>IF(COUNTA(T773:AH773)=0,"",SUMPRODUCT(T773:AH773,KPI_Weights!$B$4:$B$18)/5)</f>
        <v/>
      </c>
      <c r="AL773">
        <f>IF(COUNTA(T773:AH773)=0,"",IF(SUMPRODUCT(--(T773:AH773&lt;=1),--(KPI_Weights!$C$4:$C$18="YES"))&gt;0,"YES","NO"))</f>
        <v/>
      </c>
      <c r="AM773">
        <f>IF(AJ773="","",IF(AND(AL773="NO",AJ773&gt;=0.75),"YES","NO"))</f>
        <v/>
      </c>
      <c r="AN773">
        <f>IF(AJ773="","",IF(AJ773&lt;0.4,"Critical",IF(AJ773&lt;0.6,"Poor",IF(AJ773&lt;0.75,"Needs Improvement",IF(AJ773&lt;0.9,"Good","Excellent")))))</f>
        <v/>
      </c>
    </row>
    <row r="774" ht="15" customHeight="1" s="45">
      <c r="A774">
        <f>IF($B774="","",TEXT($B774,"yyyymmdd")&amp;"-"&amp;SUBSTITUTE($F774," ","")&amp;"-"&amp;TEXT(COUNTIF($F$4:F774,$F774),"00"))</f>
        <v/>
      </c>
      <c r="C774">
        <f>IF($B774="","",WEEKNUM($B774,2))</f>
        <v/>
      </c>
      <c r="D774">
        <f>IF($B774="","",TEXT($B774,"yyyy-mm"))</f>
        <v/>
      </c>
      <c r="G774">
        <f>IF(OR($E774="",$F774=""),"",IFERROR(IF($E774=INDEX(Cluster_Master!$A$4:$A$18,MATCH($F774,Cluster_Master!$B$4:$B$18,0)),"OK","CHECK"),"CHECK"))</f>
        <v/>
      </c>
      <c r="H774">
        <f>IFERROR(INDEX(Cluster_Master!$C$4:$C$18,MATCH($F774,Cluster_Master!$B$4:$B$18,0)),"")</f>
        <v/>
      </c>
      <c r="I774">
        <f>IFERROR(INDEX(Cluster_Master!$D$4:$D$18,MATCH($F774,Cluster_Master!$B$4:$B$18,0)),"")</f>
        <v/>
      </c>
      <c r="J774">
        <f>IFERROR(INDEX(Cluster_Master!$E$4:$E$18,MATCH($F774,Cluster_Master!$B$4:$B$18,0)),"")</f>
        <v/>
      </c>
      <c r="K774">
        <f>IFERROR(INDEX(Cluster_Master!$F$4:$F$18,MATCH($F774,Cluster_Master!$B$4:$B$18,0)),"")</f>
        <v/>
      </c>
      <c r="L774">
        <f>IFERROR(INDEX(Cluster_Master!$G$4:$G$18,MATCH($F774,Cluster_Master!$B$4:$B$18,0)),"")</f>
        <v/>
      </c>
      <c r="M774">
        <f>IFERROR(INDEX(Cluster_Master!$H$4:$H$18,MATCH($F774,Cluster_Master!$B$4:$B$18,0)),"")</f>
        <v/>
      </c>
      <c r="AI774">
        <f>IF(COUNTA(T774:AH774)=0,"",SUM(T774:AH774))</f>
        <v/>
      </c>
      <c r="AJ774">
        <f>IF(COUNTA(T774:AH774)=0,"",AI774/(COUNT(KPI_Weights!$A$4:$A$18)*5))</f>
        <v/>
      </c>
      <c r="AK774">
        <f>IF(COUNTA(T774:AH774)=0,"",SUMPRODUCT(T774:AH774,KPI_Weights!$B$4:$B$18)/5)</f>
        <v/>
      </c>
      <c r="AL774">
        <f>IF(COUNTA(T774:AH774)=0,"",IF(SUMPRODUCT(--(T774:AH774&lt;=1),--(KPI_Weights!$C$4:$C$18="YES"))&gt;0,"YES","NO"))</f>
        <v/>
      </c>
      <c r="AM774">
        <f>IF(AJ774="","",IF(AND(AL774="NO",AJ774&gt;=0.75),"YES","NO"))</f>
        <v/>
      </c>
      <c r="AN774">
        <f>IF(AJ774="","",IF(AJ774&lt;0.4,"Critical",IF(AJ774&lt;0.6,"Poor",IF(AJ774&lt;0.75,"Needs Improvement",IF(AJ774&lt;0.9,"Good","Excellent")))))</f>
        <v/>
      </c>
    </row>
    <row r="775" ht="15" customHeight="1" s="45">
      <c r="A775">
        <f>IF($B775="","",TEXT($B775,"yyyymmdd")&amp;"-"&amp;SUBSTITUTE($F775," ","")&amp;"-"&amp;TEXT(COUNTIF($F$4:F775,$F775),"00"))</f>
        <v/>
      </c>
      <c r="C775">
        <f>IF($B775="","",WEEKNUM($B775,2))</f>
        <v/>
      </c>
      <c r="D775">
        <f>IF($B775="","",TEXT($B775,"yyyy-mm"))</f>
        <v/>
      </c>
      <c r="G775">
        <f>IF(OR($E775="",$F775=""),"",IFERROR(IF($E775=INDEX(Cluster_Master!$A$4:$A$18,MATCH($F775,Cluster_Master!$B$4:$B$18,0)),"OK","CHECK"),"CHECK"))</f>
        <v/>
      </c>
      <c r="H775">
        <f>IFERROR(INDEX(Cluster_Master!$C$4:$C$18,MATCH($F775,Cluster_Master!$B$4:$B$18,0)),"")</f>
        <v/>
      </c>
      <c r="I775">
        <f>IFERROR(INDEX(Cluster_Master!$D$4:$D$18,MATCH($F775,Cluster_Master!$B$4:$B$18,0)),"")</f>
        <v/>
      </c>
      <c r="J775">
        <f>IFERROR(INDEX(Cluster_Master!$E$4:$E$18,MATCH($F775,Cluster_Master!$B$4:$B$18,0)),"")</f>
        <v/>
      </c>
      <c r="K775">
        <f>IFERROR(INDEX(Cluster_Master!$F$4:$F$18,MATCH($F775,Cluster_Master!$B$4:$B$18,0)),"")</f>
        <v/>
      </c>
      <c r="L775">
        <f>IFERROR(INDEX(Cluster_Master!$G$4:$G$18,MATCH($F775,Cluster_Master!$B$4:$B$18,0)),"")</f>
        <v/>
      </c>
      <c r="M775">
        <f>IFERROR(INDEX(Cluster_Master!$H$4:$H$18,MATCH($F775,Cluster_Master!$B$4:$B$18,0)),"")</f>
        <v/>
      </c>
      <c r="AI775">
        <f>IF(COUNTA(T775:AH775)=0,"",SUM(T775:AH775))</f>
        <v/>
      </c>
      <c r="AJ775">
        <f>IF(COUNTA(T775:AH775)=0,"",AI775/(COUNT(KPI_Weights!$A$4:$A$18)*5))</f>
        <v/>
      </c>
      <c r="AK775">
        <f>IF(COUNTA(T775:AH775)=0,"",SUMPRODUCT(T775:AH775,KPI_Weights!$B$4:$B$18)/5)</f>
        <v/>
      </c>
      <c r="AL775">
        <f>IF(COUNTA(T775:AH775)=0,"",IF(SUMPRODUCT(--(T775:AH775&lt;=1),--(KPI_Weights!$C$4:$C$18="YES"))&gt;0,"YES","NO"))</f>
        <v/>
      </c>
      <c r="AM775">
        <f>IF(AJ775="","",IF(AND(AL775="NO",AJ775&gt;=0.75),"YES","NO"))</f>
        <v/>
      </c>
      <c r="AN775">
        <f>IF(AJ775="","",IF(AJ775&lt;0.4,"Critical",IF(AJ775&lt;0.6,"Poor",IF(AJ775&lt;0.75,"Needs Improvement",IF(AJ775&lt;0.9,"Good","Excellent")))))</f>
        <v/>
      </c>
    </row>
    <row r="776" ht="15" customHeight="1" s="45">
      <c r="A776">
        <f>IF($B776="","",TEXT($B776,"yyyymmdd")&amp;"-"&amp;SUBSTITUTE($F776," ","")&amp;"-"&amp;TEXT(COUNTIF($F$4:F776,$F776),"00"))</f>
        <v/>
      </c>
      <c r="C776">
        <f>IF($B776="","",WEEKNUM($B776,2))</f>
        <v/>
      </c>
      <c r="D776">
        <f>IF($B776="","",TEXT($B776,"yyyy-mm"))</f>
        <v/>
      </c>
      <c r="G776">
        <f>IF(OR($E776="",$F776=""),"",IFERROR(IF($E776=INDEX(Cluster_Master!$A$4:$A$18,MATCH($F776,Cluster_Master!$B$4:$B$18,0)),"OK","CHECK"),"CHECK"))</f>
        <v/>
      </c>
      <c r="H776">
        <f>IFERROR(INDEX(Cluster_Master!$C$4:$C$18,MATCH($F776,Cluster_Master!$B$4:$B$18,0)),"")</f>
        <v/>
      </c>
      <c r="I776">
        <f>IFERROR(INDEX(Cluster_Master!$D$4:$D$18,MATCH($F776,Cluster_Master!$B$4:$B$18,0)),"")</f>
        <v/>
      </c>
      <c r="J776">
        <f>IFERROR(INDEX(Cluster_Master!$E$4:$E$18,MATCH($F776,Cluster_Master!$B$4:$B$18,0)),"")</f>
        <v/>
      </c>
      <c r="K776">
        <f>IFERROR(INDEX(Cluster_Master!$F$4:$F$18,MATCH($F776,Cluster_Master!$B$4:$B$18,0)),"")</f>
        <v/>
      </c>
      <c r="L776">
        <f>IFERROR(INDEX(Cluster_Master!$G$4:$G$18,MATCH($F776,Cluster_Master!$B$4:$B$18,0)),"")</f>
        <v/>
      </c>
      <c r="M776">
        <f>IFERROR(INDEX(Cluster_Master!$H$4:$H$18,MATCH($F776,Cluster_Master!$B$4:$B$18,0)),"")</f>
        <v/>
      </c>
      <c r="AI776">
        <f>IF(COUNTA(T776:AH776)=0,"",SUM(T776:AH776))</f>
        <v/>
      </c>
      <c r="AJ776">
        <f>IF(COUNTA(T776:AH776)=0,"",AI776/(COUNT(KPI_Weights!$A$4:$A$18)*5))</f>
        <v/>
      </c>
      <c r="AK776">
        <f>IF(COUNTA(T776:AH776)=0,"",SUMPRODUCT(T776:AH776,KPI_Weights!$B$4:$B$18)/5)</f>
        <v/>
      </c>
      <c r="AL776">
        <f>IF(COUNTA(T776:AH776)=0,"",IF(SUMPRODUCT(--(T776:AH776&lt;=1),--(KPI_Weights!$C$4:$C$18="YES"))&gt;0,"YES","NO"))</f>
        <v/>
      </c>
      <c r="AM776">
        <f>IF(AJ776="","",IF(AND(AL776="NO",AJ776&gt;=0.75),"YES","NO"))</f>
        <v/>
      </c>
      <c r="AN776">
        <f>IF(AJ776="","",IF(AJ776&lt;0.4,"Critical",IF(AJ776&lt;0.6,"Poor",IF(AJ776&lt;0.75,"Needs Improvement",IF(AJ776&lt;0.9,"Good","Excellent")))))</f>
        <v/>
      </c>
    </row>
    <row r="777" ht="15" customHeight="1" s="45">
      <c r="A777">
        <f>IF($B777="","",TEXT($B777,"yyyymmdd")&amp;"-"&amp;SUBSTITUTE($F777," ","")&amp;"-"&amp;TEXT(COUNTIF($F$4:F777,$F777),"00"))</f>
        <v/>
      </c>
      <c r="C777">
        <f>IF($B777="","",WEEKNUM($B777,2))</f>
        <v/>
      </c>
      <c r="D777">
        <f>IF($B777="","",TEXT($B777,"yyyy-mm"))</f>
        <v/>
      </c>
      <c r="G777">
        <f>IF(OR($E777="",$F777=""),"",IFERROR(IF($E777=INDEX(Cluster_Master!$A$4:$A$18,MATCH($F777,Cluster_Master!$B$4:$B$18,0)),"OK","CHECK"),"CHECK"))</f>
        <v/>
      </c>
      <c r="H777">
        <f>IFERROR(INDEX(Cluster_Master!$C$4:$C$18,MATCH($F777,Cluster_Master!$B$4:$B$18,0)),"")</f>
        <v/>
      </c>
      <c r="I777">
        <f>IFERROR(INDEX(Cluster_Master!$D$4:$D$18,MATCH($F777,Cluster_Master!$B$4:$B$18,0)),"")</f>
        <v/>
      </c>
      <c r="J777">
        <f>IFERROR(INDEX(Cluster_Master!$E$4:$E$18,MATCH($F777,Cluster_Master!$B$4:$B$18,0)),"")</f>
        <v/>
      </c>
      <c r="K777">
        <f>IFERROR(INDEX(Cluster_Master!$F$4:$F$18,MATCH($F777,Cluster_Master!$B$4:$B$18,0)),"")</f>
        <v/>
      </c>
      <c r="L777">
        <f>IFERROR(INDEX(Cluster_Master!$G$4:$G$18,MATCH($F777,Cluster_Master!$B$4:$B$18,0)),"")</f>
        <v/>
      </c>
      <c r="M777">
        <f>IFERROR(INDEX(Cluster_Master!$H$4:$H$18,MATCH($F777,Cluster_Master!$B$4:$B$18,0)),"")</f>
        <v/>
      </c>
      <c r="AI777">
        <f>IF(COUNTA(T777:AH777)=0,"",SUM(T777:AH777))</f>
        <v/>
      </c>
      <c r="AJ777">
        <f>IF(COUNTA(T777:AH777)=0,"",AI777/(COUNT(KPI_Weights!$A$4:$A$18)*5))</f>
        <v/>
      </c>
      <c r="AK777">
        <f>IF(COUNTA(T777:AH777)=0,"",SUMPRODUCT(T777:AH777,KPI_Weights!$B$4:$B$18)/5)</f>
        <v/>
      </c>
      <c r="AL777">
        <f>IF(COUNTA(T777:AH777)=0,"",IF(SUMPRODUCT(--(T777:AH777&lt;=1),--(KPI_Weights!$C$4:$C$18="YES"))&gt;0,"YES","NO"))</f>
        <v/>
      </c>
      <c r="AM777">
        <f>IF(AJ777="","",IF(AND(AL777="NO",AJ777&gt;=0.75),"YES","NO"))</f>
        <v/>
      </c>
      <c r="AN777">
        <f>IF(AJ777="","",IF(AJ777&lt;0.4,"Critical",IF(AJ777&lt;0.6,"Poor",IF(AJ777&lt;0.75,"Needs Improvement",IF(AJ777&lt;0.9,"Good","Excellent")))))</f>
        <v/>
      </c>
    </row>
    <row r="778" ht="15" customHeight="1" s="45">
      <c r="A778">
        <f>IF($B778="","",TEXT($B778,"yyyymmdd")&amp;"-"&amp;SUBSTITUTE($F778," ","")&amp;"-"&amp;TEXT(COUNTIF($F$4:F778,$F778),"00"))</f>
        <v/>
      </c>
      <c r="C778">
        <f>IF($B778="","",WEEKNUM($B778,2))</f>
        <v/>
      </c>
      <c r="D778">
        <f>IF($B778="","",TEXT($B778,"yyyy-mm"))</f>
        <v/>
      </c>
      <c r="G778">
        <f>IF(OR($E778="",$F778=""),"",IFERROR(IF($E778=INDEX(Cluster_Master!$A$4:$A$18,MATCH($F778,Cluster_Master!$B$4:$B$18,0)),"OK","CHECK"),"CHECK"))</f>
        <v/>
      </c>
      <c r="H778">
        <f>IFERROR(INDEX(Cluster_Master!$C$4:$C$18,MATCH($F778,Cluster_Master!$B$4:$B$18,0)),"")</f>
        <v/>
      </c>
      <c r="I778">
        <f>IFERROR(INDEX(Cluster_Master!$D$4:$D$18,MATCH($F778,Cluster_Master!$B$4:$B$18,0)),"")</f>
        <v/>
      </c>
      <c r="J778">
        <f>IFERROR(INDEX(Cluster_Master!$E$4:$E$18,MATCH($F778,Cluster_Master!$B$4:$B$18,0)),"")</f>
        <v/>
      </c>
      <c r="K778">
        <f>IFERROR(INDEX(Cluster_Master!$F$4:$F$18,MATCH($F778,Cluster_Master!$B$4:$B$18,0)),"")</f>
        <v/>
      </c>
      <c r="L778">
        <f>IFERROR(INDEX(Cluster_Master!$G$4:$G$18,MATCH($F778,Cluster_Master!$B$4:$B$18,0)),"")</f>
        <v/>
      </c>
      <c r="M778">
        <f>IFERROR(INDEX(Cluster_Master!$H$4:$H$18,MATCH($F778,Cluster_Master!$B$4:$B$18,0)),"")</f>
        <v/>
      </c>
      <c r="AI778">
        <f>IF(COUNTA(T778:AH778)=0,"",SUM(T778:AH778))</f>
        <v/>
      </c>
      <c r="AJ778">
        <f>IF(COUNTA(T778:AH778)=0,"",AI778/(COUNT(KPI_Weights!$A$4:$A$18)*5))</f>
        <v/>
      </c>
      <c r="AK778">
        <f>IF(COUNTA(T778:AH778)=0,"",SUMPRODUCT(T778:AH778,KPI_Weights!$B$4:$B$18)/5)</f>
        <v/>
      </c>
      <c r="AL778">
        <f>IF(COUNTA(T778:AH778)=0,"",IF(SUMPRODUCT(--(T778:AH778&lt;=1),--(KPI_Weights!$C$4:$C$18="YES"))&gt;0,"YES","NO"))</f>
        <v/>
      </c>
      <c r="AM778">
        <f>IF(AJ778="","",IF(AND(AL778="NO",AJ778&gt;=0.75),"YES","NO"))</f>
        <v/>
      </c>
      <c r="AN778">
        <f>IF(AJ778="","",IF(AJ778&lt;0.4,"Critical",IF(AJ778&lt;0.6,"Poor",IF(AJ778&lt;0.75,"Needs Improvement",IF(AJ778&lt;0.9,"Good","Excellent")))))</f>
        <v/>
      </c>
    </row>
    <row r="779" ht="15" customHeight="1" s="45">
      <c r="A779">
        <f>IF($B779="","",TEXT($B779,"yyyymmdd")&amp;"-"&amp;SUBSTITUTE($F779," ","")&amp;"-"&amp;TEXT(COUNTIF($F$4:F779,$F779),"00"))</f>
        <v/>
      </c>
      <c r="C779">
        <f>IF($B779="","",WEEKNUM($B779,2))</f>
        <v/>
      </c>
      <c r="D779">
        <f>IF($B779="","",TEXT($B779,"yyyy-mm"))</f>
        <v/>
      </c>
      <c r="G779">
        <f>IF(OR($E779="",$F779=""),"",IFERROR(IF($E779=INDEX(Cluster_Master!$A$4:$A$18,MATCH($F779,Cluster_Master!$B$4:$B$18,0)),"OK","CHECK"),"CHECK"))</f>
        <v/>
      </c>
      <c r="H779">
        <f>IFERROR(INDEX(Cluster_Master!$C$4:$C$18,MATCH($F779,Cluster_Master!$B$4:$B$18,0)),"")</f>
        <v/>
      </c>
      <c r="I779">
        <f>IFERROR(INDEX(Cluster_Master!$D$4:$D$18,MATCH($F779,Cluster_Master!$B$4:$B$18,0)),"")</f>
        <v/>
      </c>
      <c r="J779">
        <f>IFERROR(INDEX(Cluster_Master!$E$4:$E$18,MATCH($F779,Cluster_Master!$B$4:$B$18,0)),"")</f>
        <v/>
      </c>
      <c r="K779">
        <f>IFERROR(INDEX(Cluster_Master!$F$4:$F$18,MATCH($F779,Cluster_Master!$B$4:$B$18,0)),"")</f>
        <v/>
      </c>
      <c r="L779">
        <f>IFERROR(INDEX(Cluster_Master!$G$4:$G$18,MATCH($F779,Cluster_Master!$B$4:$B$18,0)),"")</f>
        <v/>
      </c>
      <c r="M779">
        <f>IFERROR(INDEX(Cluster_Master!$H$4:$H$18,MATCH($F779,Cluster_Master!$B$4:$B$18,0)),"")</f>
        <v/>
      </c>
      <c r="AI779">
        <f>IF(COUNTA(T779:AH779)=0,"",SUM(T779:AH779))</f>
        <v/>
      </c>
      <c r="AJ779">
        <f>IF(COUNTA(T779:AH779)=0,"",AI779/(COUNT(KPI_Weights!$A$4:$A$18)*5))</f>
        <v/>
      </c>
      <c r="AK779">
        <f>IF(COUNTA(T779:AH779)=0,"",SUMPRODUCT(T779:AH779,KPI_Weights!$B$4:$B$18)/5)</f>
        <v/>
      </c>
      <c r="AL779">
        <f>IF(COUNTA(T779:AH779)=0,"",IF(SUMPRODUCT(--(T779:AH779&lt;=1),--(KPI_Weights!$C$4:$C$18="YES"))&gt;0,"YES","NO"))</f>
        <v/>
      </c>
      <c r="AM779">
        <f>IF(AJ779="","",IF(AND(AL779="NO",AJ779&gt;=0.75),"YES","NO"))</f>
        <v/>
      </c>
      <c r="AN779">
        <f>IF(AJ779="","",IF(AJ779&lt;0.4,"Critical",IF(AJ779&lt;0.6,"Poor",IF(AJ779&lt;0.75,"Needs Improvement",IF(AJ779&lt;0.9,"Good","Excellent")))))</f>
        <v/>
      </c>
    </row>
    <row r="780" ht="15" customHeight="1" s="45">
      <c r="A780">
        <f>IF($B780="","",TEXT($B780,"yyyymmdd")&amp;"-"&amp;SUBSTITUTE($F780," ","")&amp;"-"&amp;TEXT(COUNTIF($F$4:F780,$F780),"00"))</f>
        <v/>
      </c>
      <c r="C780">
        <f>IF($B780="","",WEEKNUM($B780,2))</f>
        <v/>
      </c>
      <c r="D780">
        <f>IF($B780="","",TEXT($B780,"yyyy-mm"))</f>
        <v/>
      </c>
      <c r="G780">
        <f>IF(OR($E780="",$F780=""),"",IFERROR(IF($E780=INDEX(Cluster_Master!$A$4:$A$18,MATCH($F780,Cluster_Master!$B$4:$B$18,0)),"OK","CHECK"),"CHECK"))</f>
        <v/>
      </c>
      <c r="H780">
        <f>IFERROR(INDEX(Cluster_Master!$C$4:$C$18,MATCH($F780,Cluster_Master!$B$4:$B$18,0)),"")</f>
        <v/>
      </c>
      <c r="I780">
        <f>IFERROR(INDEX(Cluster_Master!$D$4:$D$18,MATCH($F780,Cluster_Master!$B$4:$B$18,0)),"")</f>
        <v/>
      </c>
      <c r="J780">
        <f>IFERROR(INDEX(Cluster_Master!$E$4:$E$18,MATCH($F780,Cluster_Master!$B$4:$B$18,0)),"")</f>
        <v/>
      </c>
      <c r="K780">
        <f>IFERROR(INDEX(Cluster_Master!$F$4:$F$18,MATCH($F780,Cluster_Master!$B$4:$B$18,0)),"")</f>
        <v/>
      </c>
      <c r="L780">
        <f>IFERROR(INDEX(Cluster_Master!$G$4:$G$18,MATCH($F780,Cluster_Master!$B$4:$B$18,0)),"")</f>
        <v/>
      </c>
      <c r="M780">
        <f>IFERROR(INDEX(Cluster_Master!$H$4:$H$18,MATCH($F780,Cluster_Master!$B$4:$B$18,0)),"")</f>
        <v/>
      </c>
      <c r="AI780">
        <f>IF(COUNTA(T780:AH780)=0,"",SUM(T780:AH780))</f>
        <v/>
      </c>
      <c r="AJ780">
        <f>IF(COUNTA(T780:AH780)=0,"",AI780/(COUNT(KPI_Weights!$A$4:$A$18)*5))</f>
        <v/>
      </c>
      <c r="AK780">
        <f>IF(COUNTA(T780:AH780)=0,"",SUMPRODUCT(T780:AH780,KPI_Weights!$B$4:$B$18)/5)</f>
        <v/>
      </c>
      <c r="AL780">
        <f>IF(COUNTA(T780:AH780)=0,"",IF(SUMPRODUCT(--(T780:AH780&lt;=1),--(KPI_Weights!$C$4:$C$18="YES"))&gt;0,"YES","NO"))</f>
        <v/>
      </c>
      <c r="AM780">
        <f>IF(AJ780="","",IF(AND(AL780="NO",AJ780&gt;=0.75),"YES","NO"))</f>
        <v/>
      </c>
      <c r="AN780">
        <f>IF(AJ780="","",IF(AJ780&lt;0.4,"Critical",IF(AJ780&lt;0.6,"Poor",IF(AJ780&lt;0.75,"Needs Improvement",IF(AJ780&lt;0.9,"Good","Excellent")))))</f>
        <v/>
      </c>
    </row>
    <row r="781" ht="15" customHeight="1" s="45">
      <c r="A781">
        <f>IF($B781="","",TEXT($B781,"yyyymmdd")&amp;"-"&amp;SUBSTITUTE($F781," ","")&amp;"-"&amp;TEXT(COUNTIF($F$4:F781,$F781),"00"))</f>
        <v/>
      </c>
      <c r="C781">
        <f>IF($B781="","",WEEKNUM($B781,2))</f>
        <v/>
      </c>
      <c r="D781">
        <f>IF($B781="","",TEXT($B781,"yyyy-mm"))</f>
        <v/>
      </c>
      <c r="G781">
        <f>IF(OR($E781="",$F781=""),"",IFERROR(IF($E781=INDEX(Cluster_Master!$A$4:$A$18,MATCH($F781,Cluster_Master!$B$4:$B$18,0)),"OK","CHECK"),"CHECK"))</f>
        <v/>
      </c>
      <c r="H781">
        <f>IFERROR(INDEX(Cluster_Master!$C$4:$C$18,MATCH($F781,Cluster_Master!$B$4:$B$18,0)),"")</f>
        <v/>
      </c>
      <c r="I781">
        <f>IFERROR(INDEX(Cluster_Master!$D$4:$D$18,MATCH($F781,Cluster_Master!$B$4:$B$18,0)),"")</f>
        <v/>
      </c>
      <c r="J781">
        <f>IFERROR(INDEX(Cluster_Master!$E$4:$E$18,MATCH($F781,Cluster_Master!$B$4:$B$18,0)),"")</f>
        <v/>
      </c>
      <c r="K781">
        <f>IFERROR(INDEX(Cluster_Master!$F$4:$F$18,MATCH($F781,Cluster_Master!$B$4:$B$18,0)),"")</f>
        <v/>
      </c>
      <c r="L781">
        <f>IFERROR(INDEX(Cluster_Master!$G$4:$G$18,MATCH($F781,Cluster_Master!$B$4:$B$18,0)),"")</f>
        <v/>
      </c>
      <c r="M781">
        <f>IFERROR(INDEX(Cluster_Master!$H$4:$H$18,MATCH($F781,Cluster_Master!$B$4:$B$18,0)),"")</f>
        <v/>
      </c>
      <c r="AI781">
        <f>IF(COUNTA(T781:AH781)=0,"",SUM(T781:AH781))</f>
        <v/>
      </c>
      <c r="AJ781">
        <f>IF(COUNTA(T781:AH781)=0,"",AI781/(COUNT(KPI_Weights!$A$4:$A$18)*5))</f>
        <v/>
      </c>
      <c r="AK781">
        <f>IF(COUNTA(T781:AH781)=0,"",SUMPRODUCT(T781:AH781,KPI_Weights!$B$4:$B$18)/5)</f>
        <v/>
      </c>
      <c r="AL781">
        <f>IF(COUNTA(T781:AH781)=0,"",IF(SUMPRODUCT(--(T781:AH781&lt;=1),--(KPI_Weights!$C$4:$C$18="YES"))&gt;0,"YES","NO"))</f>
        <v/>
      </c>
      <c r="AM781">
        <f>IF(AJ781="","",IF(AND(AL781="NO",AJ781&gt;=0.75),"YES","NO"))</f>
        <v/>
      </c>
      <c r="AN781">
        <f>IF(AJ781="","",IF(AJ781&lt;0.4,"Critical",IF(AJ781&lt;0.6,"Poor",IF(AJ781&lt;0.75,"Needs Improvement",IF(AJ781&lt;0.9,"Good","Excellent")))))</f>
        <v/>
      </c>
    </row>
    <row r="782" ht="15" customHeight="1" s="45">
      <c r="A782">
        <f>IF($B782="","",TEXT($B782,"yyyymmdd")&amp;"-"&amp;SUBSTITUTE($F782," ","")&amp;"-"&amp;TEXT(COUNTIF($F$4:F782,$F782),"00"))</f>
        <v/>
      </c>
      <c r="C782">
        <f>IF($B782="","",WEEKNUM($B782,2))</f>
        <v/>
      </c>
      <c r="D782">
        <f>IF($B782="","",TEXT($B782,"yyyy-mm"))</f>
        <v/>
      </c>
      <c r="G782">
        <f>IF(OR($E782="",$F782=""),"",IFERROR(IF($E782=INDEX(Cluster_Master!$A$4:$A$18,MATCH($F782,Cluster_Master!$B$4:$B$18,0)),"OK","CHECK"),"CHECK"))</f>
        <v/>
      </c>
      <c r="H782">
        <f>IFERROR(INDEX(Cluster_Master!$C$4:$C$18,MATCH($F782,Cluster_Master!$B$4:$B$18,0)),"")</f>
        <v/>
      </c>
      <c r="I782">
        <f>IFERROR(INDEX(Cluster_Master!$D$4:$D$18,MATCH($F782,Cluster_Master!$B$4:$B$18,0)),"")</f>
        <v/>
      </c>
      <c r="J782">
        <f>IFERROR(INDEX(Cluster_Master!$E$4:$E$18,MATCH($F782,Cluster_Master!$B$4:$B$18,0)),"")</f>
        <v/>
      </c>
      <c r="K782">
        <f>IFERROR(INDEX(Cluster_Master!$F$4:$F$18,MATCH($F782,Cluster_Master!$B$4:$B$18,0)),"")</f>
        <v/>
      </c>
      <c r="L782">
        <f>IFERROR(INDEX(Cluster_Master!$G$4:$G$18,MATCH($F782,Cluster_Master!$B$4:$B$18,0)),"")</f>
        <v/>
      </c>
      <c r="M782">
        <f>IFERROR(INDEX(Cluster_Master!$H$4:$H$18,MATCH($F782,Cluster_Master!$B$4:$B$18,0)),"")</f>
        <v/>
      </c>
      <c r="AI782">
        <f>IF(COUNTA(T782:AH782)=0,"",SUM(T782:AH782))</f>
        <v/>
      </c>
      <c r="AJ782">
        <f>IF(COUNTA(T782:AH782)=0,"",AI782/(COUNT(KPI_Weights!$A$4:$A$18)*5))</f>
        <v/>
      </c>
      <c r="AK782">
        <f>IF(COUNTA(T782:AH782)=0,"",SUMPRODUCT(T782:AH782,KPI_Weights!$B$4:$B$18)/5)</f>
        <v/>
      </c>
      <c r="AL782">
        <f>IF(COUNTA(T782:AH782)=0,"",IF(SUMPRODUCT(--(T782:AH782&lt;=1),--(KPI_Weights!$C$4:$C$18="YES"))&gt;0,"YES","NO"))</f>
        <v/>
      </c>
      <c r="AM782">
        <f>IF(AJ782="","",IF(AND(AL782="NO",AJ782&gt;=0.75),"YES","NO"))</f>
        <v/>
      </c>
      <c r="AN782">
        <f>IF(AJ782="","",IF(AJ782&lt;0.4,"Critical",IF(AJ782&lt;0.6,"Poor",IF(AJ782&lt;0.75,"Needs Improvement",IF(AJ782&lt;0.9,"Good","Excellent")))))</f>
        <v/>
      </c>
    </row>
    <row r="783" ht="15" customHeight="1" s="45">
      <c r="A783">
        <f>IF($B783="","",TEXT($B783,"yyyymmdd")&amp;"-"&amp;SUBSTITUTE($F783," ","")&amp;"-"&amp;TEXT(COUNTIF($F$4:F783,$F783),"00"))</f>
        <v/>
      </c>
      <c r="C783">
        <f>IF($B783="","",WEEKNUM($B783,2))</f>
        <v/>
      </c>
      <c r="D783">
        <f>IF($B783="","",TEXT($B783,"yyyy-mm"))</f>
        <v/>
      </c>
      <c r="G783">
        <f>IF(OR($E783="",$F783=""),"",IFERROR(IF($E783=INDEX(Cluster_Master!$A$4:$A$18,MATCH($F783,Cluster_Master!$B$4:$B$18,0)),"OK","CHECK"),"CHECK"))</f>
        <v/>
      </c>
      <c r="H783">
        <f>IFERROR(INDEX(Cluster_Master!$C$4:$C$18,MATCH($F783,Cluster_Master!$B$4:$B$18,0)),"")</f>
        <v/>
      </c>
      <c r="I783">
        <f>IFERROR(INDEX(Cluster_Master!$D$4:$D$18,MATCH($F783,Cluster_Master!$B$4:$B$18,0)),"")</f>
        <v/>
      </c>
      <c r="J783">
        <f>IFERROR(INDEX(Cluster_Master!$E$4:$E$18,MATCH($F783,Cluster_Master!$B$4:$B$18,0)),"")</f>
        <v/>
      </c>
      <c r="K783">
        <f>IFERROR(INDEX(Cluster_Master!$F$4:$F$18,MATCH($F783,Cluster_Master!$B$4:$B$18,0)),"")</f>
        <v/>
      </c>
      <c r="L783">
        <f>IFERROR(INDEX(Cluster_Master!$G$4:$G$18,MATCH($F783,Cluster_Master!$B$4:$B$18,0)),"")</f>
        <v/>
      </c>
      <c r="M783">
        <f>IFERROR(INDEX(Cluster_Master!$H$4:$H$18,MATCH($F783,Cluster_Master!$B$4:$B$18,0)),"")</f>
        <v/>
      </c>
      <c r="AI783">
        <f>IF(COUNTA(T783:AH783)=0,"",SUM(T783:AH783))</f>
        <v/>
      </c>
      <c r="AJ783">
        <f>IF(COUNTA(T783:AH783)=0,"",AI783/(COUNT(KPI_Weights!$A$4:$A$18)*5))</f>
        <v/>
      </c>
      <c r="AK783">
        <f>IF(COUNTA(T783:AH783)=0,"",SUMPRODUCT(T783:AH783,KPI_Weights!$B$4:$B$18)/5)</f>
        <v/>
      </c>
      <c r="AL783">
        <f>IF(COUNTA(T783:AH783)=0,"",IF(SUMPRODUCT(--(T783:AH783&lt;=1),--(KPI_Weights!$C$4:$C$18="YES"))&gt;0,"YES","NO"))</f>
        <v/>
      </c>
      <c r="AM783">
        <f>IF(AJ783="","",IF(AND(AL783="NO",AJ783&gt;=0.75),"YES","NO"))</f>
        <v/>
      </c>
      <c r="AN783">
        <f>IF(AJ783="","",IF(AJ783&lt;0.4,"Critical",IF(AJ783&lt;0.6,"Poor",IF(AJ783&lt;0.75,"Needs Improvement",IF(AJ783&lt;0.9,"Good","Excellent")))))</f>
        <v/>
      </c>
    </row>
    <row r="784" ht="15" customHeight="1" s="45">
      <c r="A784">
        <f>IF($B784="","",TEXT($B784,"yyyymmdd")&amp;"-"&amp;SUBSTITUTE($F784," ","")&amp;"-"&amp;TEXT(COUNTIF($F$4:F784,$F784),"00"))</f>
        <v/>
      </c>
      <c r="C784">
        <f>IF($B784="","",WEEKNUM($B784,2))</f>
        <v/>
      </c>
      <c r="D784">
        <f>IF($B784="","",TEXT($B784,"yyyy-mm"))</f>
        <v/>
      </c>
      <c r="G784">
        <f>IF(OR($E784="",$F784=""),"",IFERROR(IF($E784=INDEX(Cluster_Master!$A$4:$A$18,MATCH($F784,Cluster_Master!$B$4:$B$18,0)),"OK","CHECK"),"CHECK"))</f>
        <v/>
      </c>
      <c r="H784">
        <f>IFERROR(INDEX(Cluster_Master!$C$4:$C$18,MATCH($F784,Cluster_Master!$B$4:$B$18,0)),"")</f>
        <v/>
      </c>
      <c r="I784">
        <f>IFERROR(INDEX(Cluster_Master!$D$4:$D$18,MATCH($F784,Cluster_Master!$B$4:$B$18,0)),"")</f>
        <v/>
      </c>
      <c r="J784">
        <f>IFERROR(INDEX(Cluster_Master!$E$4:$E$18,MATCH($F784,Cluster_Master!$B$4:$B$18,0)),"")</f>
        <v/>
      </c>
      <c r="K784">
        <f>IFERROR(INDEX(Cluster_Master!$F$4:$F$18,MATCH($F784,Cluster_Master!$B$4:$B$18,0)),"")</f>
        <v/>
      </c>
      <c r="L784">
        <f>IFERROR(INDEX(Cluster_Master!$G$4:$G$18,MATCH($F784,Cluster_Master!$B$4:$B$18,0)),"")</f>
        <v/>
      </c>
      <c r="M784">
        <f>IFERROR(INDEX(Cluster_Master!$H$4:$H$18,MATCH($F784,Cluster_Master!$B$4:$B$18,0)),"")</f>
        <v/>
      </c>
      <c r="AI784">
        <f>IF(COUNTA(T784:AH784)=0,"",SUM(T784:AH784))</f>
        <v/>
      </c>
      <c r="AJ784">
        <f>IF(COUNTA(T784:AH784)=0,"",AI784/(COUNT(KPI_Weights!$A$4:$A$18)*5))</f>
        <v/>
      </c>
      <c r="AK784">
        <f>IF(COUNTA(T784:AH784)=0,"",SUMPRODUCT(T784:AH784,KPI_Weights!$B$4:$B$18)/5)</f>
        <v/>
      </c>
      <c r="AL784">
        <f>IF(COUNTA(T784:AH784)=0,"",IF(SUMPRODUCT(--(T784:AH784&lt;=1),--(KPI_Weights!$C$4:$C$18="YES"))&gt;0,"YES","NO"))</f>
        <v/>
      </c>
      <c r="AM784">
        <f>IF(AJ784="","",IF(AND(AL784="NO",AJ784&gt;=0.75),"YES","NO"))</f>
        <v/>
      </c>
      <c r="AN784">
        <f>IF(AJ784="","",IF(AJ784&lt;0.4,"Critical",IF(AJ784&lt;0.6,"Poor",IF(AJ784&lt;0.75,"Needs Improvement",IF(AJ784&lt;0.9,"Good","Excellent")))))</f>
        <v/>
      </c>
    </row>
    <row r="785" ht="15" customHeight="1" s="45">
      <c r="A785">
        <f>IF($B785="","",TEXT($B785,"yyyymmdd")&amp;"-"&amp;SUBSTITUTE($F785," ","")&amp;"-"&amp;TEXT(COUNTIF($F$4:F785,$F785),"00"))</f>
        <v/>
      </c>
      <c r="C785">
        <f>IF($B785="","",WEEKNUM($B785,2))</f>
        <v/>
      </c>
      <c r="D785">
        <f>IF($B785="","",TEXT($B785,"yyyy-mm"))</f>
        <v/>
      </c>
      <c r="G785">
        <f>IF(OR($E785="",$F785=""),"",IFERROR(IF($E785=INDEX(Cluster_Master!$A$4:$A$18,MATCH($F785,Cluster_Master!$B$4:$B$18,0)),"OK","CHECK"),"CHECK"))</f>
        <v/>
      </c>
      <c r="H785">
        <f>IFERROR(INDEX(Cluster_Master!$C$4:$C$18,MATCH($F785,Cluster_Master!$B$4:$B$18,0)),"")</f>
        <v/>
      </c>
      <c r="I785">
        <f>IFERROR(INDEX(Cluster_Master!$D$4:$D$18,MATCH($F785,Cluster_Master!$B$4:$B$18,0)),"")</f>
        <v/>
      </c>
      <c r="J785">
        <f>IFERROR(INDEX(Cluster_Master!$E$4:$E$18,MATCH($F785,Cluster_Master!$B$4:$B$18,0)),"")</f>
        <v/>
      </c>
      <c r="K785">
        <f>IFERROR(INDEX(Cluster_Master!$F$4:$F$18,MATCH($F785,Cluster_Master!$B$4:$B$18,0)),"")</f>
        <v/>
      </c>
      <c r="L785">
        <f>IFERROR(INDEX(Cluster_Master!$G$4:$G$18,MATCH($F785,Cluster_Master!$B$4:$B$18,0)),"")</f>
        <v/>
      </c>
      <c r="M785">
        <f>IFERROR(INDEX(Cluster_Master!$H$4:$H$18,MATCH($F785,Cluster_Master!$B$4:$B$18,0)),"")</f>
        <v/>
      </c>
      <c r="AI785">
        <f>IF(COUNTA(T785:AH785)=0,"",SUM(T785:AH785))</f>
        <v/>
      </c>
      <c r="AJ785">
        <f>IF(COUNTA(T785:AH785)=0,"",AI785/(COUNT(KPI_Weights!$A$4:$A$18)*5))</f>
        <v/>
      </c>
      <c r="AK785">
        <f>IF(COUNTA(T785:AH785)=0,"",SUMPRODUCT(T785:AH785,KPI_Weights!$B$4:$B$18)/5)</f>
        <v/>
      </c>
      <c r="AL785">
        <f>IF(COUNTA(T785:AH785)=0,"",IF(SUMPRODUCT(--(T785:AH785&lt;=1),--(KPI_Weights!$C$4:$C$18="YES"))&gt;0,"YES","NO"))</f>
        <v/>
      </c>
      <c r="AM785">
        <f>IF(AJ785="","",IF(AND(AL785="NO",AJ785&gt;=0.75),"YES","NO"))</f>
        <v/>
      </c>
      <c r="AN785">
        <f>IF(AJ785="","",IF(AJ785&lt;0.4,"Critical",IF(AJ785&lt;0.6,"Poor",IF(AJ785&lt;0.75,"Needs Improvement",IF(AJ785&lt;0.9,"Good","Excellent")))))</f>
        <v/>
      </c>
    </row>
    <row r="786" ht="15" customHeight="1" s="45">
      <c r="A786">
        <f>IF($B786="","",TEXT($B786,"yyyymmdd")&amp;"-"&amp;SUBSTITUTE($F786," ","")&amp;"-"&amp;TEXT(COUNTIF($F$4:F786,$F786),"00"))</f>
        <v/>
      </c>
      <c r="C786">
        <f>IF($B786="","",WEEKNUM($B786,2))</f>
        <v/>
      </c>
      <c r="D786">
        <f>IF($B786="","",TEXT($B786,"yyyy-mm"))</f>
        <v/>
      </c>
      <c r="G786">
        <f>IF(OR($E786="",$F786=""),"",IFERROR(IF($E786=INDEX(Cluster_Master!$A$4:$A$18,MATCH($F786,Cluster_Master!$B$4:$B$18,0)),"OK","CHECK"),"CHECK"))</f>
        <v/>
      </c>
      <c r="H786">
        <f>IFERROR(INDEX(Cluster_Master!$C$4:$C$18,MATCH($F786,Cluster_Master!$B$4:$B$18,0)),"")</f>
        <v/>
      </c>
      <c r="I786">
        <f>IFERROR(INDEX(Cluster_Master!$D$4:$D$18,MATCH($F786,Cluster_Master!$B$4:$B$18,0)),"")</f>
        <v/>
      </c>
      <c r="J786">
        <f>IFERROR(INDEX(Cluster_Master!$E$4:$E$18,MATCH($F786,Cluster_Master!$B$4:$B$18,0)),"")</f>
        <v/>
      </c>
      <c r="K786">
        <f>IFERROR(INDEX(Cluster_Master!$F$4:$F$18,MATCH($F786,Cluster_Master!$B$4:$B$18,0)),"")</f>
        <v/>
      </c>
      <c r="L786">
        <f>IFERROR(INDEX(Cluster_Master!$G$4:$G$18,MATCH($F786,Cluster_Master!$B$4:$B$18,0)),"")</f>
        <v/>
      </c>
      <c r="M786">
        <f>IFERROR(INDEX(Cluster_Master!$H$4:$H$18,MATCH($F786,Cluster_Master!$B$4:$B$18,0)),"")</f>
        <v/>
      </c>
      <c r="AI786">
        <f>IF(COUNTA(T786:AH786)=0,"",SUM(T786:AH786))</f>
        <v/>
      </c>
      <c r="AJ786">
        <f>IF(COUNTA(T786:AH786)=0,"",AI786/(COUNT(KPI_Weights!$A$4:$A$18)*5))</f>
        <v/>
      </c>
      <c r="AK786">
        <f>IF(COUNTA(T786:AH786)=0,"",SUMPRODUCT(T786:AH786,KPI_Weights!$B$4:$B$18)/5)</f>
        <v/>
      </c>
      <c r="AL786">
        <f>IF(COUNTA(T786:AH786)=0,"",IF(SUMPRODUCT(--(T786:AH786&lt;=1),--(KPI_Weights!$C$4:$C$18="YES"))&gt;0,"YES","NO"))</f>
        <v/>
      </c>
      <c r="AM786">
        <f>IF(AJ786="","",IF(AND(AL786="NO",AJ786&gt;=0.75),"YES","NO"))</f>
        <v/>
      </c>
      <c r="AN786">
        <f>IF(AJ786="","",IF(AJ786&lt;0.4,"Critical",IF(AJ786&lt;0.6,"Poor",IF(AJ786&lt;0.75,"Needs Improvement",IF(AJ786&lt;0.9,"Good","Excellent")))))</f>
        <v/>
      </c>
    </row>
    <row r="787" ht="15" customHeight="1" s="45">
      <c r="A787">
        <f>IF($B787="","",TEXT($B787,"yyyymmdd")&amp;"-"&amp;SUBSTITUTE($F787," ","")&amp;"-"&amp;TEXT(COUNTIF($F$4:F787,$F787),"00"))</f>
        <v/>
      </c>
      <c r="C787">
        <f>IF($B787="","",WEEKNUM($B787,2))</f>
        <v/>
      </c>
      <c r="D787">
        <f>IF($B787="","",TEXT($B787,"yyyy-mm"))</f>
        <v/>
      </c>
      <c r="G787">
        <f>IF(OR($E787="",$F787=""),"",IFERROR(IF($E787=INDEX(Cluster_Master!$A$4:$A$18,MATCH($F787,Cluster_Master!$B$4:$B$18,0)),"OK","CHECK"),"CHECK"))</f>
        <v/>
      </c>
      <c r="H787">
        <f>IFERROR(INDEX(Cluster_Master!$C$4:$C$18,MATCH($F787,Cluster_Master!$B$4:$B$18,0)),"")</f>
        <v/>
      </c>
      <c r="I787">
        <f>IFERROR(INDEX(Cluster_Master!$D$4:$D$18,MATCH($F787,Cluster_Master!$B$4:$B$18,0)),"")</f>
        <v/>
      </c>
      <c r="J787">
        <f>IFERROR(INDEX(Cluster_Master!$E$4:$E$18,MATCH($F787,Cluster_Master!$B$4:$B$18,0)),"")</f>
        <v/>
      </c>
      <c r="K787">
        <f>IFERROR(INDEX(Cluster_Master!$F$4:$F$18,MATCH($F787,Cluster_Master!$B$4:$B$18,0)),"")</f>
        <v/>
      </c>
      <c r="L787">
        <f>IFERROR(INDEX(Cluster_Master!$G$4:$G$18,MATCH($F787,Cluster_Master!$B$4:$B$18,0)),"")</f>
        <v/>
      </c>
      <c r="M787">
        <f>IFERROR(INDEX(Cluster_Master!$H$4:$H$18,MATCH($F787,Cluster_Master!$B$4:$B$18,0)),"")</f>
        <v/>
      </c>
      <c r="AI787">
        <f>IF(COUNTA(T787:AH787)=0,"",SUM(T787:AH787))</f>
        <v/>
      </c>
      <c r="AJ787">
        <f>IF(COUNTA(T787:AH787)=0,"",AI787/(COUNT(KPI_Weights!$A$4:$A$18)*5))</f>
        <v/>
      </c>
      <c r="AK787">
        <f>IF(COUNTA(T787:AH787)=0,"",SUMPRODUCT(T787:AH787,KPI_Weights!$B$4:$B$18)/5)</f>
        <v/>
      </c>
      <c r="AL787">
        <f>IF(COUNTA(T787:AH787)=0,"",IF(SUMPRODUCT(--(T787:AH787&lt;=1),--(KPI_Weights!$C$4:$C$18="YES"))&gt;0,"YES","NO"))</f>
        <v/>
      </c>
      <c r="AM787">
        <f>IF(AJ787="","",IF(AND(AL787="NO",AJ787&gt;=0.75),"YES","NO"))</f>
        <v/>
      </c>
      <c r="AN787">
        <f>IF(AJ787="","",IF(AJ787&lt;0.4,"Critical",IF(AJ787&lt;0.6,"Poor",IF(AJ787&lt;0.75,"Needs Improvement",IF(AJ787&lt;0.9,"Good","Excellent")))))</f>
        <v/>
      </c>
    </row>
    <row r="788" ht="15" customHeight="1" s="45">
      <c r="A788">
        <f>IF($B788="","",TEXT($B788,"yyyymmdd")&amp;"-"&amp;SUBSTITUTE($F788," ","")&amp;"-"&amp;TEXT(COUNTIF($F$4:F788,$F788),"00"))</f>
        <v/>
      </c>
      <c r="C788">
        <f>IF($B788="","",WEEKNUM($B788,2))</f>
        <v/>
      </c>
      <c r="D788">
        <f>IF($B788="","",TEXT($B788,"yyyy-mm"))</f>
        <v/>
      </c>
      <c r="G788">
        <f>IF(OR($E788="",$F788=""),"",IFERROR(IF($E788=INDEX(Cluster_Master!$A$4:$A$18,MATCH($F788,Cluster_Master!$B$4:$B$18,0)),"OK","CHECK"),"CHECK"))</f>
        <v/>
      </c>
      <c r="H788">
        <f>IFERROR(INDEX(Cluster_Master!$C$4:$C$18,MATCH($F788,Cluster_Master!$B$4:$B$18,0)),"")</f>
        <v/>
      </c>
      <c r="I788">
        <f>IFERROR(INDEX(Cluster_Master!$D$4:$D$18,MATCH($F788,Cluster_Master!$B$4:$B$18,0)),"")</f>
        <v/>
      </c>
      <c r="J788">
        <f>IFERROR(INDEX(Cluster_Master!$E$4:$E$18,MATCH($F788,Cluster_Master!$B$4:$B$18,0)),"")</f>
        <v/>
      </c>
      <c r="K788">
        <f>IFERROR(INDEX(Cluster_Master!$F$4:$F$18,MATCH($F788,Cluster_Master!$B$4:$B$18,0)),"")</f>
        <v/>
      </c>
      <c r="L788">
        <f>IFERROR(INDEX(Cluster_Master!$G$4:$G$18,MATCH($F788,Cluster_Master!$B$4:$B$18,0)),"")</f>
        <v/>
      </c>
      <c r="M788">
        <f>IFERROR(INDEX(Cluster_Master!$H$4:$H$18,MATCH($F788,Cluster_Master!$B$4:$B$18,0)),"")</f>
        <v/>
      </c>
      <c r="AI788">
        <f>IF(COUNTA(T788:AH788)=0,"",SUM(T788:AH788))</f>
        <v/>
      </c>
      <c r="AJ788">
        <f>IF(COUNTA(T788:AH788)=0,"",AI788/(COUNT(KPI_Weights!$A$4:$A$18)*5))</f>
        <v/>
      </c>
      <c r="AK788">
        <f>IF(COUNTA(T788:AH788)=0,"",SUMPRODUCT(T788:AH788,KPI_Weights!$B$4:$B$18)/5)</f>
        <v/>
      </c>
      <c r="AL788">
        <f>IF(COUNTA(T788:AH788)=0,"",IF(SUMPRODUCT(--(T788:AH788&lt;=1),--(KPI_Weights!$C$4:$C$18="YES"))&gt;0,"YES","NO"))</f>
        <v/>
      </c>
      <c r="AM788">
        <f>IF(AJ788="","",IF(AND(AL788="NO",AJ788&gt;=0.75),"YES","NO"))</f>
        <v/>
      </c>
      <c r="AN788">
        <f>IF(AJ788="","",IF(AJ788&lt;0.4,"Critical",IF(AJ788&lt;0.6,"Poor",IF(AJ788&lt;0.75,"Needs Improvement",IF(AJ788&lt;0.9,"Good","Excellent")))))</f>
        <v/>
      </c>
    </row>
    <row r="789" ht="15" customHeight="1" s="45">
      <c r="A789">
        <f>IF($B789="","",TEXT($B789,"yyyymmdd")&amp;"-"&amp;SUBSTITUTE($F789," ","")&amp;"-"&amp;TEXT(COUNTIF($F$4:F789,$F789),"00"))</f>
        <v/>
      </c>
      <c r="C789">
        <f>IF($B789="","",WEEKNUM($B789,2))</f>
        <v/>
      </c>
      <c r="D789">
        <f>IF($B789="","",TEXT($B789,"yyyy-mm"))</f>
        <v/>
      </c>
      <c r="G789">
        <f>IF(OR($E789="",$F789=""),"",IFERROR(IF($E789=INDEX(Cluster_Master!$A$4:$A$18,MATCH($F789,Cluster_Master!$B$4:$B$18,0)),"OK","CHECK"),"CHECK"))</f>
        <v/>
      </c>
      <c r="H789">
        <f>IFERROR(INDEX(Cluster_Master!$C$4:$C$18,MATCH($F789,Cluster_Master!$B$4:$B$18,0)),"")</f>
        <v/>
      </c>
      <c r="I789">
        <f>IFERROR(INDEX(Cluster_Master!$D$4:$D$18,MATCH($F789,Cluster_Master!$B$4:$B$18,0)),"")</f>
        <v/>
      </c>
      <c r="J789">
        <f>IFERROR(INDEX(Cluster_Master!$E$4:$E$18,MATCH($F789,Cluster_Master!$B$4:$B$18,0)),"")</f>
        <v/>
      </c>
      <c r="K789">
        <f>IFERROR(INDEX(Cluster_Master!$F$4:$F$18,MATCH($F789,Cluster_Master!$B$4:$B$18,0)),"")</f>
        <v/>
      </c>
      <c r="L789">
        <f>IFERROR(INDEX(Cluster_Master!$G$4:$G$18,MATCH($F789,Cluster_Master!$B$4:$B$18,0)),"")</f>
        <v/>
      </c>
      <c r="M789">
        <f>IFERROR(INDEX(Cluster_Master!$H$4:$H$18,MATCH($F789,Cluster_Master!$B$4:$B$18,0)),"")</f>
        <v/>
      </c>
      <c r="AI789">
        <f>IF(COUNTA(T789:AH789)=0,"",SUM(T789:AH789))</f>
        <v/>
      </c>
      <c r="AJ789">
        <f>IF(COUNTA(T789:AH789)=0,"",AI789/(COUNT(KPI_Weights!$A$4:$A$18)*5))</f>
        <v/>
      </c>
      <c r="AK789">
        <f>IF(COUNTA(T789:AH789)=0,"",SUMPRODUCT(T789:AH789,KPI_Weights!$B$4:$B$18)/5)</f>
        <v/>
      </c>
      <c r="AL789">
        <f>IF(COUNTA(T789:AH789)=0,"",IF(SUMPRODUCT(--(T789:AH789&lt;=1),--(KPI_Weights!$C$4:$C$18="YES"))&gt;0,"YES","NO"))</f>
        <v/>
      </c>
      <c r="AM789">
        <f>IF(AJ789="","",IF(AND(AL789="NO",AJ789&gt;=0.75),"YES","NO"))</f>
        <v/>
      </c>
      <c r="AN789">
        <f>IF(AJ789="","",IF(AJ789&lt;0.4,"Critical",IF(AJ789&lt;0.6,"Poor",IF(AJ789&lt;0.75,"Needs Improvement",IF(AJ789&lt;0.9,"Good","Excellent")))))</f>
        <v/>
      </c>
    </row>
    <row r="790" ht="15" customHeight="1" s="45">
      <c r="A790">
        <f>IF($B790="","",TEXT($B790,"yyyymmdd")&amp;"-"&amp;SUBSTITUTE($F790," ","")&amp;"-"&amp;TEXT(COUNTIF($F$4:F790,$F790),"00"))</f>
        <v/>
      </c>
      <c r="C790">
        <f>IF($B790="","",WEEKNUM($B790,2))</f>
        <v/>
      </c>
      <c r="D790">
        <f>IF($B790="","",TEXT($B790,"yyyy-mm"))</f>
        <v/>
      </c>
      <c r="G790">
        <f>IF(OR($E790="",$F790=""),"",IFERROR(IF($E790=INDEX(Cluster_Master!$A$4:$A$18,MATCH($F790,Cluster_Master!$B$4:$B$18,0)),"OK","CHECK"),"CHECK"))</f>
        <v/>
      </c>
      <c r="H790">
        <f>IFERROR(INDEX(Cluster_Master!$C$4:$C$18,MATCH($F790,Cluster_Master!$B$4:$B$18,0)),"")</f>
        <v/>
      </c>
      <c r="I790">
        <f>IFERROR(INDEX(Cluster_Master!$D$4:$D$18,MATCH($F790,Cluster_Master!$B$4:$B$18,0)),"")</f>
        <v/>
      </c>
      <c r="J790">
        <f>IFERROR(INDEX(Cluster_Master!$E$4:$E$18,MATCH($F790,Cluster_Master!$B$4:$B$18,0)),"")</f>
        <v/>
      </c>
      <c r="K790">
        <f>IFERROR(INDEX(Cluster_Master!$F$4:$F$18,MATCH($F790,Cluster_Master!$B$4:$B$18,0)),"")</f>
        <v/>
      </c>
      <c r="L790">
        <f>IFERROR(INDEX(Cluster_Master!$G$4:$G$18,MATCH($F790,Cluster_Master!$B$4:$B$18,0)),"")</f>
        <v/>
      </c>
      <c r="M790">
        <f>IFERROR(INDEX(Cluster_Master!$H$4:$H$18,MATCH($F790,Cluster_Master!$B$4:$B$18,0)),"")</f>
        <v/>
      </c>
      <c r="AI790">
        <f>IF(COUNTA(T790:AH790)=0,"",SUM(T790:AH790))</f>
        <v/>
      </c>
      <c r="AJ790">
        <f>IF(COUNTA(T790:AH790)=0,"",AI790/(COUNT(KPI_Weights!$A$4:$A$18)*5))</f>
        <v/>
      </c>
      <c r="AK790">
        <f>IF(COUNTA(T790:AH790)=0,"",SUMPRODUCT(T790:AH790,KPI_Weights!$B$4:$B$18)/5)</f>
        <v/>
      </c>
      <c r="AL790">
        <f>IF(COUNTA(T790:AH790)=0,"",IF(SUMPRODUCT(--(T790:AH790&lt;=1),--(KPI_Weights!$C$4:$C$18="YES"))&gt;0,"YES","NO"))</f>
        <v/>
      </c>
      <c r="AM790">
        <f>IF(AJ790="","",IF(AND(AL790="NO",AJ790&gt;=0.75),"YES","NO"))</f>
        <v/>
      </c>
      <c r="AN790">
        <f>IF(AJ790="","",IF(AJ790&lt;0.4,"Critical",IF(AJ790&lt;0.6,"Poor",IF(AJ790&lt;0.75,"Needs Improvement",IF(AJ790&lt;0.9,"Good","Excellent")))))</f>
        <v/>
      </c>
    </row>
    <row r="791" ht="15" customHeight="1" s="45">
      <c r="A791">
        <f>IF($B791="","",TEXT($B791,"yyyymmdd")&amp;"-"&amp;SUBSTITUTE($F791," ","")&amp;"-"&amp;TEXT(COUNTIF($F$4:F791,$F791),"00"))</f>
        <v/>
      </c>
      <c r="C791">
        <f>IF($B791="","",WEEKNUM($B791,2))</f>
        <v/>
      </c>
      <c r="D791">
        <f>IF($B791="","",TEXT($B791,"yyyy-mm"))</f>
        <v/>
      </c>
      <c r="G791">
        <f>IF(OR($E791="",$F791=""),"",IFERROR(IF($E791=INDEX(Cluster_Master!$A$4:$A$18,MATCH($F791,Cluster_Master!$B$4:$B$18,0)),"OK","CHECK"),"CHECK"))</f>
        <v/>
      </c>
      <c r="H791">
        <f>IFERROR(INDEX(Cluster_Master!$C$4:$C$18,MATCH($F791,Cluster_Master!$B$4:$B$18,0)),"")</f>
        <v/>
      </c>
      <c r="I791">
        <f>IFERROR(INDEX(Cluster_Master!$D$4:$D$18,MATCH($F791,Cluster_Master!$B$4:$B$18,0)),"")</f>
        <v/>
      </c>
      <c r="J791">
        <f>IFERROR(INDEX(Cluster_Master!$E$4:$E$18,MATCH($F791,Cluster_Master!$B$4:$B$18,0)),"")</f>
        <v/>
      </c>
      <c r="K791">
        <f>IFERROR(INDEX(Cluster_Master!$F$4:$F$18,MATCH($F791,Cluster_Master!$B$4:$B$18,0)),"")</f>
        <v/>
      </c>
      <c r="L791">
        <f>IFERROR(INDEX(Cluster_Master!$G$4:$G$18,MATCH($F791,Cluster_Master!$B$4:$B$18,0)),"")</f>
        <v/>
      </c>
      <c r="M791">
        <f>IFERROR(INDEX(Cluster_Master!$H$4:$H$18,MATCH($F791,Cluster_Master!$B$4:$B$18,0)),"")</f>
        <v/>
      </c>
      <c r="AI791">
        <f>IF(COUNTA(T791:AH791)=0,"",SUM(T791:AH791))</f>
        <v/>
      </c>
      <c r="AJ791">
        <f>IF(COUNTA(T791:AH791)=0,"",AI791/(COUNT(KPI_Weights!$A$4:$A$18)*5))</f>
        <v/>
      </c>
      <c r="AK791">
        <f>IF(COUNTA(T791:AH791)=0,"",SUMPRODUCT(T791:AH791,KPI_Weights!$B$4:$B$18)/5)</f>
        <v/>
      </c>
      <c r="AL791">
        <f>IF(COUNTA(T791:AH791)=0,"",IF(SUMPRODUCT(--(T791:AH791&lt;=1),--(KPI_Weights!$C$4:$C$18="YES"))&gt;0,"YES","NO"))</f>
        <v/>
      </c>
      <c r="AM791">
        <f>IF(AJ791="","",IF(AND(AL791="NO",AJ791&gt;=0.75),"YES","NO"))</f>
        <v/>
      </c>
      <c r="AN791">
        <f>IF(AJ791="","",IF(AJ791&lt;0.4,"Critical",IF(AJ791&lt;0.6,"Poor",IF(AJ791&lt;0.75,"Needs Improvement",IF(AJ791&lt;0.9,"Good","Excellent")))))</f>
        <v/>
      </c>
    </row>
    <row r="792" ht="15" customHeight="1" s="45">
      <c r="A792">
        <f>IF($B792="","",TEXT($B792,"yyyymmdd")&amp;"-"&amp;SUBSTITUTE($F792," ","")&amp;"-"&amp;TEXT(COUNTIF($F$4:F792,$F792),"00"))</f>
        <v/>
      </c>
      <c r="C792">
        <f>IF($B792="","",WEEKNUM($B792,2))</f>
        <v/>
      </c>
      <c r="D792">
        <f>IF($B792="","",TEXT($B792,"yyyy-mm"))</f>
        <v/>
      </c>
      <c r="G792">
        <f>IF(OR($E792="",$F792=""),"",IFERROR(IF($E792=INDEX(Cluster_Master!$A$4:$A$18,MATCH($F792,Cluster_Master!$B$4:$B$18,0)),"OK","CHECK"),"CHECK"))</f>
        <v/>
      </c>
      <c r="H792">
        <f>IFERROR(INDEX(Cluster_Master!$C$4:$C$18,MATCH($F792,Cluster_Master!$B$4:$B$18,0)),"")</f>
        <v/>
      </c>
      <c r="I792">
        <f>IFERROR(INDEX(Cluster_Master!$D$4:$D$18,MATCH($F792,Cluster_Master!$B$4:$B$18,0)),"")</f>
        <v/>
      </c>
      <c r="J792">
        <f>IFERROR(INDEX(Cluster_Master!$E$4:$E$18,MATCH($F792,Cluster_Master!$B$4:$B$18,0)),"")</f>
        <v/>
      </c>
      <c r="K792">
        <f>IFERROR(INDEX(Cluster_Master!$F$4:$F$18,MATCH($F792,Cluster_Master!$B$4:$B$18,0)),"")</f>
        <v/>
      </c>
      <c r="L792">
        <f>IFERROR(INDEX(Cluster_Master!$G$4:$G$18,MATCH($F792,Cluster_Master!$B$4:$B$18,0)),"")</f>
        <v/>
      </c>
      <c r="M792">
        <f>IFERROR(INDEX(Cluster_Master!$H$4:$H$18,MATCH($F792,Cluster_Master!$B$4:$B$18,0)),"")</f>
        <v/>
      </c>
      <c r="AI792">
        <f>IF(COUNTA(T792:AH792)=0,"",SUM(T792:AH792))</f>
        <v/>
      </c>
      <c r="AJ792">
        <f>IF(COUNTA(T792:AH792)=0,"",AI792/(COUNT(KPI_Weights!$A$4:$A$18)*5))</f>
        <v/>
      </c>
      <c r="AK792">
        <f>IF(COUNTA(T792:AH792)=0,"",SUMPRODUCT(T792:AH792,KPI_Weights!$B$4:$B$18)/5)</f>
        <v/>
      </c>
      <c r="AL792">
        <f>IF(COUNTA(T792:AH792)=0,"",IF(SUMPRODUCT(--(T792:AH792&lt;=1),--(KPI_Weights!$C$4:$C$18="YES"))&gt;0,"YES","NO"))</f>
        <v/>
      </c>
      <c r="AM792">
        <f>IF(AJ792="","",IF(AND(AL792="NO",AJ792&gt;=0.75),"YES","NO"))</f>
        <v/>
      </c>
      <c r="AN792">
        <f>IF(AJ792="","",IF(AJ792&lt;0.4,"Critical",IF(AJ792&lt;0.6,"Poor",IF(AJ792&lt;0.75,"Needs Improvement",IF(AJ792&lt;0.9,"Good","Excellent")))))</f>
        <v/>
      </c>
    </row>
    <row r="793" ht="15" customHeight="1" s="45">
      <c r="A793">
        <f>IF($B793="","",TEXT($B793,"yyyymmdd")&amp;"-"&amp;SUBSTITUTE($F793," ","")&amp;"-"&amp;TEXT(COUNTIF($F$4:F793,$F793),"00"))</f>
        <v/>
      </c>
      <c r="C793">
        <f>IF($B793="","",WEEKNUM($B793,2))</f>
        <v/>
      </c>
      <c r="D793">
        <f>IF($B793="","",TEXT($B793,"yyyy-mm"))</f>
        <v/>
      </c>
      <c r="G793">
        <f>IF(OR($E793="",$F793=""),"",IFERROR(IF($E793=INDEX(Cluster_Master!$A$4:$A$18,MATCH($F793,Cluster_Master!$B$4:$B$18,0)),"OK","CHECK"),"CHECK"))</f>
        <v/>
      </c>
      <c r="H793">
        <f>IFERROR(INDEX(Cluster_Master!$C$4:$C$18,MATCH($F793,Cluster_Master!$B$4:$B$18,0)),"")</f>
        <v/>
      </c>
      <c r="I793">
        <f>IFERROR(INDEX(Cluster_Master!$D$4:$D$18,MATCH($F793,Cluster_Master!$B$4:$B$18,0)),"")</f>
        <v/>
      </c>
      <c r="J793">
        <f>IFERROR(INDEX(Cluster_Master!$E$4:$E$18,MATCH($F793,Cluster_Master!$B$4:$B$18,0)),"")</f>
        <v/>
      </c>
      <c r="K793">
        <f>IFERROR(INDEX(Cluster_Master!$F$4:$F$18,MATCH($F793,Cluster_Master!$B$4:$B$18,0)),"")</f>
        <v/>
      </c>
      <c r="L793">
        <f>IFERROR(INDEX(Cluster_Master!$G$4:$G$18,MATCH($F793,Cluster_Master!$B$4:$B$18,0)),"")</f>
        <v/>
      </c>
      <c r="M793">
        <f>IFERROR(INDEX(Cluster_Master!$H$4:$H$18,MATCH($F793,Cluster_Master!$B$4:$B$18,0)),"")</f>
        <v/>
      </c>
      <c r="AI793">
        <f>IF(COUNTA(T793:AH793)=0,"",SUM(T793:AH793))</f>
        <v/>
      </c>
      <c r="AJ793">
        <f>IF(COUNTA(T793:AH793)=0,"",AI793/(COUNT(KPI_Weights!$A$4:$A$18)*5))</f>
        <v/>
      </c>
      <c r="AK793">
        <f>IF(COUNTA(T793:AH793)=0,"",SUMPRODUCT(T793:AH793,KPI_Weights!$B$4:$B$18)/5)</f>
        <v/>
      </c>
      <c r="AL793">
        <f>IF(COUNTA(T793:AH793)=0,"",IF(SUMPRODUCT(--(T793:AH793&lt;=1),--(KPI_Weights!$C$4:$C$18="YES"))&gt;0,"YES","NO"))</f>
        <v/>
      </c>
      <c r="AM793">
        <f>IF(AJ793="","",IF(AND(AL793="NO",AJ793&gt;=0.75),"YES","NO"))</f>
        <v/>
      </c>
      <c r="AN793">
        <f>IF(AJ793="","",IF(AJ793&lt;0.4,"Critical",IF(AJ793&lt;0.6,"Poor",IF(AJ793&lt;0.75,"Needs Improvement",IF(AJ793&lt;0.9,"Good","Excellent")))))</f>
        <v/>
      </c>
    </row>
    <row r="794" ht="15" customHeight="1" s="45">
      <c r="A794">
        <f>IF($B794="","",TEXT($B794,"yyyymmdd")&amp;"-"&amp;SUBSTITUTE($F794," ","")&amp;"-"&amp;TEXT(COUNTIF($F$4:F794,$F794),"00"))</f>
        <v/>
      </c>
      <c r="C794">
        <f>IF($B794="","",WEEKNUM($B794,2))</f>
        <v/>
      </c>
      <c r="D794">
        <f>IF($B794="","",TEXT($B794,"yyyy-mm"))</f>
        <v/>
      </c>
      <c r="G794">
        <f>IF(OR($E794="",$F794=""),"",IFERROR(IF($E794=INDEX(Cluster_Master!$A$4:$A$18,MATCH($F794,Cluster_Master!$B$4:$B$18,0)),"OK","CHECK"),"CHECK"))</f>
        <v/>
      </c>
      <c r="H794">
        <f>IFERROR(INDEX(Cluster_Master!$C$4:$C$18,MATCH($F794,Cluster_Master!$B$4:$B$18,0)),"")</f>
        <v/>
      </c>
      <c r="I794">
        <f>IFERROR(INDEX(Cluster_Master!$D$4:$D$18,MATCH($F794,Cluster_Master!$B$4:$B$18,0)),"")</f>
        <v/>
      </c>
      <c r="J794">
        <f>IFERROR(INDEX(Cluster_Master!$E$4:$E$18,MATCH($F794,Cluster_Master!$B$4:$B$18,0)),"")</f>
        <v/>
      </c>
      <c r="K794">
        <f>IFERROR(INDEX(Cluster_Master!$F$4:$F$18,MATCH($F794,Cluster_Master!$B$4:$B$18,0)),"")</f>
        <v/>
      </c>
      <c r="L794">
        <f>IFERROR(INDEX(Cluster_Master!$G$4:$G$18,MATCH($F794,Cluster_Master!$B$4:$B$18,0)),"")</f>
        <v/>
      </c>
      <c r="M794">
        <f>IFERROR(INDEX(Cluster_Master!$H$4:$H$18,MATCH($F794,Cluster_Master!$B$4:$B$18,0)),"")</f>
        <v/>
      </c>
      <c r="AI794">
        <f>IF(COUNTA(T794:AH794)=0,"",SUM(T794:AH794))</f>
        <v/>
      </c>
      <c r="AJ794">
        <f>IF(COUNTA(T794:AH794)=0,"",AI794/(COUNT(KPI_Weights!$A$4:$A$18)*5))</f>
        <v/>
      </c>
      <c r="AK794">
        <f>IF(COUNTA(T794:AH794)=0,"",SUMPRODUCT(T794:AH794,KPI_Weights!$B$4:$B$18)/5)</f>
        <v/>
      </c>
      <c r="AL794">
        <f>IF(COUNTA(T794:AH794)=0,"",IF(SUMPRODUCT(--(T794:AH794&lt;=1),--(KPI_Weights!$C$4:$C$18="YES"))&gt;0,"YES","NO"))</f>
        <v/>
      </c>
      <c r="AM794">
        <f>IF(AJ794="","",IF(AND(AL794="NO",AJ794&gt;=0.75),"YES","NO"))</f>
        <v/>
      </c>
      <c r="AN794">
        <f>IF(AJ794="","",IF(AJ794&lt;0.4,"Critical",IF(AJ794&lt;0.6,"Poor",IF(AJ794&lt;0.75,"Needs Improvement",IF(AJ794&lt;0.9,"Good","Excellent")))))</f>
        <v/>
      </c>
    </row>
    <row r="795" ht="15" customHeight="1" s="45">
      <c r="A795">
        <f>IF($B795="","",TEXT($B795,"yyyymmdd")&amp;"-"&amp;SUBSTITUTE($F795," ","")&amp;"-"&amp;TEXT(COUNTIF($F$4:F795,$F795),"00"))</f>
        <v/>
      </c>
      <c r="C795">
        <f>IF($B795="","",WEEKNUM($B795,2))</f>
        <v/>
      </c>
      <c r="D795">
        <f>IF($B795="","",TEXT($B795,"yyyy-mm"))</f>
        <v/>
      </c>
      <c r="G795">
        <f>IF(OR($E795="",$F795=""),"",IFERROR(IF($E795=INDEX(Cluster_Master!$A$4:$A$18,MATCH($F795,Cluster_Master!$B$4:$B$18,0)),"OK","CHECK"),"CHECK"))</f>
        <v/>
      </c>
      <c r="H795">
        <f>IFERROR(INDEX(Cluster_Master!$C$4:$C$18,MATCH($F795,Cluster_Master!$B$4:$B$18,0)),"")</f>
        <v/>
      </c>
      <c r="I795">
        <f>IFERROR(INDEX(Cluster_Master!$D$4:$D$18,MATCH($F795,Cluster_Master!$B$4:$B$18,0)),"")</f>
        <v/>
      </c>
      <c r="J795">
        <f>IFERROR(INDEX(Cluster_Master!$E$4:$E$18,MATCH($F795,Cluster_Master!$B$4:$B$18,0)),"")</f>
        <v/>
      </c>
      <c r="K795">
        <f>IFERROR(INDEX(Cluster_Master!$F$4:$F$18,MATCH($F795,Cluster_Master!$B$4:$B$18,0)),"")</f>
        <v/>
      </c>
      <c r="L795">
        <f>IFERROR(INDEX(Cluster_Master!$G$4:$G$18,MATCH($F795,Cluster_Master!$B$4:$B$18,0)),"")</f>
        <v/>
      </c>
      <c r="M795">
        <f>IFERROR(INDEX(Cluster_Master!$H$4:$H$18,MATCH($F795,Cluster_Master!$B$4:$B$18,0)),"")</f>
        <v/>
      </c>
      <c r="AI795">
        <f>IF(COUNTA(T795:AH795)=0,"",SUM(T795:AH795))</f>
        <v/>
      </c>
      <c r="AJ795">
        <f>IF(COUNTA(T795:AH795)=0,"",AI795/(COUNT(KPI_Weights!$A$4:$A$18)*5))</f>
        <v/>
      </c>
      <c r="AK795">
        <f>IF(COUNTA(T795:AH795)=0,"",SUMPRODUCT(T795:AH795,KPI_Weights!$B$4:$B$18)/5)</f>
        <v/>
      </c>
      <c r="AL795">
        <f>IF(COUNTA(T795:AH795)=0,"",IF(SUMPRODUCT(--(T795:AH795&lt;=1),--(KPI_Weights!$C$4:$C$18="YES"))&gt;0,"YES","NO"))</f>
        <v/>
      </c>
      <c r="AM795">
        <f>IF(AJ795="","",IF(AND(AL795="NO",AJ795&gt;=0.75),"YES","NO"))</f>
        <v/>
      </c>
      <c r="AN795">
        <f>IF(AJ795="","",IF(AJ795&lt;0.4,"Critical",IF(AJ795&lt;0.6,"Poor",IF(AJ795&lt;0.75,"Needs Improvement",IF(AJ795&lt;0.9,"Good","Excellent")))))</f>
        <v/>
      </c>
    </row>
    <row r="796" ht="15" customHeight="1" s="45">
      <c r="A796">
        <f>IF($B796="","",TEXT($B796,"yyyymmdd")&amp;"-"&amp;SUBSTITUTE($F796," ","")&amp;"-"&amp;TEXT(COUNTIF($F$4:F796,$F796),"00"))</f>
        <v/>
      </c>
      <c r="C796">
        <f>IF($B796="","",WEEKNUM($B796,2))</f>
        <v/>
      </c>
      <c r="D796">
        <f>IF($B796="","",TEXT($B796,"yyyy-mm"))</f>
        <v/>
      </c>
      <c r="G796">
        <f>IF(OR($E796="",$F796=""),"",IFERROR(IF($E796=INDEX(Cluster_Master!$A$4:$A$18,MATCH($F796,Cluster_Master!$B$4:$B$18,0)),"OK","CHECK"),"CHECK"))</f>
        <v/>
      </c>
      <c r="H796">
        <f>IFERROR(INDEX(Cluster_Master!$C$4:$C$18,MATCH($F796,Cluster_Master!$B$4:$B$18,0)),"")</f>
        <v/>
      </c>
      <c r="I796">
        <f>IFERROR(INDEX(Cluster_Master!$D$4:$D$18,MATCH($F796,Cluster_Master!$B$4:$B$18,0)),"")</f>
        <v/>
      </c>
      <c r="J796">
        <f>IFERROR(INDEX(Cluster_Master!$E$4:$E$18,MATCH($F796,Cluster_Master!$B$4:$B$18,0)),"")</f>
        <v/>
      </c>
      <c r="K796">
        <f>IFERROR(INDEX(Cluster_Master!$F$4:$F$18,MATCH($F796,Cluster_Master!$B$4:$B$18,0)),"")</f>
        <v/>
      </c>
      <c r="L796">
        <f>IFERROR(INDEX(Cluster_Master!$G$4:$G$18,MATCH($F796,Cluster_Master!$B$4:$B$18,0)),"")</f>
        <v/>
      </c>
      <c r="M796">
        <f>IFERROR(INDEX(Cluster_Master!$H$4:$H$18,MATCH($F796,Cluster_Master!$B$4:$B$18,0)),"")</f>
        <v/>
      </c>
      <c r="AI796">
        <f>IF(COUNTA(T796:AH796)=0,"",SUM(T796:AH796))</f>
        <v/>
      </c>
      <c r="AJ796">
        <f>IF(COUNTA(T796:AH796)=0,"",AI796/(COUNT(KPI_Weights!$A$4:$A$18)*5))</f>
        <v/>
      </c>
      <c r="AK796">
        <f>IF(COUNTA(T796:AH796)=0,"",SUMPRODUCT(T796:AH796,KPI_Weights!$B$4:$B$18)/5)</f>
        <v/>
      </c>
      <c r="AL796">
        <f>IF(COUNTA(T796:AH796)=0,"",IF(SUMPRODUCT(--(T796:AH796&lt;=1),--(KPI_Weights!$C$4:$C$18="YES"))&gt;0,"YES","NO"))</f>
        <v/>
      </c>
      <c r="AM796">
        <f>IF(AJ796="","",IF(AND(AL796="NO",AJ796&gt;=0.75),"YES","NO"))</f>
        <v/>
      </c>
      <c r="AN796">
        <f>IF(AJ796="","",IF(AJ796&lt;0.4,"Critical",IF(AJ796&lt;0.6,"Poor",IF(AJ796&lt;0.75,"Needs Improvement",IF(AJ796&lt;0.9,"Good","Excellent")))))</f>
        <v/>
      </c>
    </row>
    <row r="797" ht="15" customHeight="1" s="45">
      <c r="A797">
        <f>IF($B797="","",TEXT($B797,"yyyymmdd")&amp;"-"&amp;SUBSTITUTE($F797," ","")&amp;"-"&amp;TEXT(COUNTIF($F$4:F797,$F797),"00"))</f>
        <v/>
      </c>
      <c r="C797">
        <f>IF($B797="","",WEEKNUM($B797,2))</f>
        <v/>
      </c>
      <c r="D797">
        <f>IF($B797="","",TEXT($B797,"yyyy-mm"))</f>
        <v/>
      </c>
      <c r="G797">
        <f>IF(OR($E797="",$F797=""),"",IFERROR(IF($E797=INDEX(Cluster_Master!$A$4:$A$18,MATCH($F797,Cluster_Master!$B$4:$B$18,0)),"OK","CHECK"),"CHECK"))</f>
        <v/>
      </c>
      <c r="H797">
        <f>IFERROR(INDEX(Cluster_Master!$C$4:$C$18,MATCH($F797,Cluster_Master!$B$4:$B$18,0)),"")</f>
        <v/>
      </c>
      <c r="I797">
        <f>IFERROR(INDEX(Cluster_Master!$D$4:$D$18,MATCH($F797,Cluster_Master!$B$4:$B$18,0)),"")</f>
        <v/>
      </c>
      <c r="J797">
        <f>IFERROR(INDEX(Cluster_Master!$E$4:$E$18,MATCH($F797,Cluster_Master!$B$4:$B$18,0)),"")</f>
        <v/>
      </c>
      <c r="K797">
        <f>IFERROR(INDEX(Cluster_Master!$F$4:$F$18,MATCH($F797,Cluster_Master!$B$4:$B$18,0)),"")</f>
        <v/>
      </c>
      <c r="L797">
        <f>IFERROR(INDEX(Cluster_Master!$G$4:$G$18,MATCH($F797,Cluster_Master!$B$4:$B$18,0)),"")</f>
        <v/>
      </c>
      <c r="M797">
        <f>IFERROR(INDEX(Cluster_Master!$H$4:$H$18,MATCH($F797,Cluster_Master!$B$4:$B$18,0)),"")</f>
        <v/>
      </c>
      <c r="AI797">
        <f>IF(COUNTA(T797:AH797)=0,"",SUM(T797:AH797))</f>
        <v/>
      </c>
      <c r="AJ797">
        <f>IF(COUNTA(T797:AH797)=0,"",AI797/(COUNT(KPI_Weights!$A$4:$A$18)*5))</f>
        <v/>
      </c>
      <c r="AK797">
        <f>IF(COUNTA(T797:AH797)=0,"",SUMPRODUCT(T797:AH797,KPI_Weights!$B$4:$B$18)/5)</f>
        <v/>
      </c>
      <c r="AL797">
        <f>IF(COUNTA(T797:AH797)=0,"",IF(SUMPRODUCT(--(T797:AH797&lt;=1),--(KPI_Weights!$C$4:$C$18="YES"))&gt;0,"YES","NO"))</f>
        <v/>
      </c>
      <c r="AM797">
        <f>IF(AJ797="","",IF(AND(AL797="NO",AJ797&gt;=0.75),"YES","NO"))</f>
        <v/>
      </c>
      <c r="AN797">
        <f>IF(AJ797="","",IF(AJ797&lt;0.4,"Critical",IF(AJ797&lt;0.6,"Poor",IF(AJ797&lt;0.75,"Needs Improvement",IF(AJ797&lt;0.9,"Good","Excellent")))))</f>
        <v/>
      </c>
    </row>
    <row r="798" ht="15" customHeight="1" s="45">
      <c r="A798">
        <f>IF($B798="","",TEXT($B798,"yyyymmdd")&amp;"-"&amp;SUBSTITUTE($F798," ","")&amp;"-"&amp;TEXT(COUNTIF($F$4:F798,$F798),"00"))</f>
        <v/>
      </c>
      <c r="C798">
        <f>IF($B798="","",WEEKNUM($B798,2))</f>
        <v/>
      </c>
      <c r="D798">
        <f>IF($B798="","",TEXT($B798,"yyyy-mm"))</f>
        <v/>
      </c>
      <c r="G798">
        <f>IF(OR($E798="",$F798=""),"",IFERROR(IF($E798=INDEX(Cluster_Master!$A$4:$A$18,MATCH($F798,Cluster_Master!$B$4:$B$18,0)),"OK","CHECK"),"CHECK"))</f>
        <v/>
      </c>
      <c r="H798">
        <f>IFERROR(INDEX(Cluster_Master!$C$4:$C$18,MATCH($F798,Cluster_Master!$B$4:$B$18,0)),"")</f>
        <v/>
      </c>
      <c r="I798">
        <f>IFERROR(INDEX(Cluster_Master!$D$4:$D$18,MATCH($F798,Cluster_Master!$B$4:$B$18,0)),"")</f>
        <v/>
      </c>
      <c r="J798">
        <f>IFERROR(INDEX(Cluster_Master!$E$4:$E$18,MATCH($F798,Cluster_Master!$B$4:$B$18,0)),"")</f>
        <v/>
      </c>
      <c r="K798">
        <f>IFERROR(INDEX(Cluster_Master!$F$4:$F$18,MATCH($F798,Cluster_Master!$B$4:$B$18,0)),"")</f>
        <v/>
      </c>
      <c r="L798">
        <f>IFERROR(INDEX(Cluster_Master!$G$4:$G$18,MATCH($F798,Cluster_Master!$B$4:$B$18,0)),"")</f>
        <v/>
      </c>
      <c r="M798">
        <f>IFERROR(INDEX(Cluster_Master!$H$4:$H$18,MATCH($F798,Cluster_Master!$B$4:$B$18,0)),"")</f>
        <v/>
      </c>
      <c r="AI798">
        <f>IF(COUNTA(T798:AH798)=0,"",SUM(T798:AH798))</f>
        <v/>
      </c>
      <c r="AJ798">
        <f>IF(COUNTA(T798:AH798)=0,"",AI798/(COUNT(KPI_Weights!$A$4:$A$18)*5))</f>
        <v/>
      </c>
      <c r="AK798">
        <f>IF(COUNTA(T798:AH798)=0,"",SUMPRODUCT(T798:AH798,KPI_Weights!$B$4:$B$18)/5)</f>
        <v/>
      </c>
      <c r="AL798">
        <f>IF(COUNTA(T798:AH798)=0,"",IF(SUMPRODUCT(--(T798:AH798&lt;=1),--(KPI_Weights!$C$4:$C$18="YES"))&gt;0,"YES","NO"))</f>
        <v/>
      </c>
      <c r="AM798">
        <f>IF(AJ798="","",IF(AND(AL798="NO",AJ798&gt;=0.75),"YES","NO"))</f>
        <v/>
      </c>
      <c r="AN798">
        <f>IF(AJ798="","",IF(AJ798&lt;0.4,"Critical",IF(AJ798&lt;0.6,"Poor",IF(AJ798&lt;0.75,"Needs Improvement",IF(AJ798&lt;0.9,"Good","Excellent")))))</f>
        <v/>
      </c>
    </row>
    <row r="799" ht="15" customHeight="1" s="45">
      <c r="A799">
        <f>IF($B799="","",TEXT($B799,"yyyymmdd")&amp;"-"&amp;SUBSTITUTE($F799," ","")&amp;"-"&amp;TEXT(COUNTIF($F$4:F799,$F799),"00"))</f>
        <v/>
      </c>
      <c r="C799">
        <f>IF($B799="","",WEEKNUM($B799,2))</f>
        <v/>
      </c>
      <c r="D799">
        <f>IF($B799="","",TEXT($B799,"yyyy-mm"))</f>
        <v/>
      </c>
      <c r="G799">
        <f>IF(OR($E799="",$F799=""),"",IFERROR(IF($E799=INDEX(Cluster_Master!$A$4:$A$18,MATCH($F799,Cluster_Master!$B$4:$B$18,0)),"OK","CHECK"),"CHECK"))</f>
        <v/>
      </c>
      <c r="H799">
        <f>IFERROR(INDEX(Cluster_Master!$C$4:$C$18,MATCH($F799,Cluster_Master!$B$4:$B$18,0)),"")</f>
        <v/>
      </c>
      <c r="I799">
        <f>IFERROR(INDEX(Cluster_Master!$D$4:$D$18,MATCH($F799,Cluster_Master!$B$4:$B$18,0)),"")</f>
        <v/>
      </c>
      <c r="J799">
        <f>IFERROR(INDEX(Cluster_Master!$E$4:$E$18,MATCH($F799,Cluster_Master!$B$4:$B$18,0)),"")</f>
        <v/>
      </c>
      <c r="K799">
        <f>IFERROR(INDEX(Cluster_Master!$F$4:$F$18,MATCH($F799,Cluster_Master!$B$4:$B$18,0)),"")</f>
        <v/>
      </c>
      <c r="L799">
        <f>IFERROR(INDEX(Cluster_Master!$G$4:$G$18,MATCH($F799,Cluster_Master!$B$4:$B$18,0)),"")</f>
        <v/>
      </c>
      <c r="M799">
        <f>IFERROR(INDEX(Cluster_Master!$H$4:$H$18,MATCH($F799,Cluster_Master!$B$4:$B$18,0)),"")</f>
        <v/>
      </c>
      <c r="AI799">
        <f>IF(COUNTA(T799:AH799)=0,"",SUM(T799:AH799))</f>
        <v/>
      </c>
      <c r="AJ799">
        <f>IF(COUNTA(T799:AH799)=0,"",AI799/(COUNT(KPI_Weights!$A$4:$A$18)*5))</f>
        <v/>
      </c>
      <c r="AK799">
        <f>IF(COUNTA(T799:AH799)=0,"",SUMPRODUCT(T799:AH799,KPI_Weights!$B$4:$B$18)/5)</f>
        <v/>
      </c>
      <c r="AL799">
        <f>IF(COUNTA(T799:AH799)=0,"",IF(SUMPRODUCT(--(T799:AH799&lt;=1),--(KPI_Weights!$C$4:$C$18="YES"))&gt;0,"YES","NO"))</f>
        <v/>
      </c>
      <c r="AM799">
        <f>IF(AJ799="","",IF(AND(AL799="NO",AJ799&gt;=0.75),"YES","NO"))</f>
        <v/>
      </c>
      <c r="AN799">
        <f>IF(AJ799="","",IF(AJ799&lt;0.4,"Critical",IF(AJ799&lt;0.6,"Poor",IF(AJ799&lt;0.75,"Needs Improvement",IF(AJ799&lt;0.9,"Good","Excellent")))))</f>
        <v/>
      </c>
    </row>
    <row r="800" ht="15" customHeight="1" s="45">
      <c r="A800">
        <f>IF($B800="","",TEXT($B800,"yyyymmdd")&amp;"-"&amp;SUBSTITUTE($F800," ","")&amp;"-"&amp;TEXT(COUNTIF($F$4:F800,$F800),"00"))</f>
        <v/>
      </c>
      <c r="C800">
        <f>IF($B800="","",WEEKNUM($B800,2))</f>
        <v/>
      </c>
      <c r="D800">
        <f>IF($B800="","",TEXT($B800,"yyyy-mm"))</f>
        <v/>
      </c>
      <c r="G800">
        <f>IF(OR($E800="",$F800=""),"",IFERROR(IF($E800=INDEX(Cluster_Master!$A$4:$A$18,MATCH($F800,Cluster_Master!$B$4:$B$18,0)),"OK","CHECK"),"CHECK"))</f>
        <v/>
      </c>
      <c r="H800">
        <f>IFERROR(INDEX(Cluster_Master!$C$4:$C$18,MATCH($F800,Cluster_Master!$B$4:$B$18,0)),"")</f>
        <v/>
      </c>
      <c r="I800">
        <f>IFERROR(INDEX(Cluster_Master!$D$4:$D$18,MATCH($F800,Cluster_Master!$B$4:$B$18,0)),"")</f>
        <v/>
      </c>
      <c r="J800">
        <f>IFERROR(INDEX(Cluster_Master!$E$4:$E$18,MATCH($F800,Cluster_Master!$B$4:$B$18,0)),"")</f>
        <v/>
      </c>
      <c r="K800">
        <f>IFERROR(INDEX(Cluster_Master!$F$4:$F$18,MATCH($F800,Cluster_Master!$B$4:$B$18,0)),"")</f>
        <v/>
      </c>
      <c r="L800">
        <f>IFERROR(INDEX(Cluster_Master!$G$4:$G$18,MATCH($F800,Cluster_Master!$B$4:$B$18,0)),"")</f>
        <v/>
      </c>
      <c r="M800">
        <f>IFERROR(INDEX(Cluster_Master!$H$4:$H$18,MATCH($F800,Cluster_Master!$B$4:$B$18,0)),"")</f>
        <v/>
      </c>
      <c r="AI800">
        <f>IF(COUNTA(T800:AH800)=0,"",SUM(T800:AH800))</f>
        <v/>
      </c>
      <c r="AJ800">
        <f>IF(COUNTA(T800:AH800)=0,"",AI800/(COUNT(KPI_Weights!$A$4:$A$18)*5))</f>
        <v/>
      </c>
      <c r="AK800">
        <f>IF(COUNTA(T800:AH800)=0,"",SUMPRODUCT(T800:AH800,KPI_Weights!$B$4:$B$18)/5)</f>
        <v/>
      </c>
      <c r="AL800">
        <f>IF(COUNTA(T800:AH800)=0,"",IF(SUMPRODUCT(--(T800:AH800&lt;=1),--(KPI_Weights!$C$4:$C$18="YES"))&gt;0,"YES","NO"))</f>
        <v/>
      </c>
      <c r="AM800">
        <f>IF(AJ800="","",IF(AND(AL800="NO",AJ800&gt;=0.75),"YES","NO"))</f>
        <v/>
      </c>
      <c r="AN800">
        <f>IF(AJ800="","",IF(AJ800&lt;0.4,"Critical",IF(AJ800&lt;0.6,"Poor",IF(AJ800&lt;0.75,"Needs Improvement",IF(AJ800&lt;0.9,"Good","Excellent")))))</f>
        <v/>
      </c>
    </row>
    <row r="801" ht="15" customHeight="1" s="45">
      <c r="A801">
        <f>IF($B801="","",TEXT($B801,"yyyymmdd")&amp;"-"&amp;SUBSTITUTE($F801," ","")&amp;"-"&amp;TEXT(COUNTIF($F$4:F801,$F801),"00"))</f>
        <v/>
      </c>
      <c r="C801">
        <f>IF($B801="","",WEEKNUM($B801,2))</f>
        <v/>
      </c>
      <c r="D801">
        <f>IF($B801="","",TEXT($B801,"yyyy-mm"))</f>
        <v/>
      </c>
      <c r="G801">
        <f>IF(OR($E801="",$F801=""),"",IFERROR(IF($E801=INDEX(Cluster_Master!$A$4:$A$18,MATCH($F801,Cluster_Master!$B$4:$B$18,0)),"OK","CHECK"),"CHECK"))</f>
        <v/>
      </c>
      <c r="H801">
        <f>IFERROR(INDEX(Cluster_Master!$C$4:$C$18,MATCH($F801,Cluster_Master!$B$4:$B$18,0)),"")</f>
        <v/>
      </c>
      <c r="I801">
        <f>IFERROR(INDEX(Cluster_Master!$D$4:$D$18,MATCH($F801,Cluster_Master!$B$4:$B$18,0)),"")</f>
        <v/>
      </c>
      <c r="J801">
        <f>IFERROR(INDEX(Cluster_Master!$E$4:$E$18,MATCH($F801,Cluster_Master!$B$4:$B$18,0)),"")</f>
        <v/>
      </c>
      <c r="K801">
        <f>IFERROR(INDEX(Cluster_Master!$F$4:$F$18,MATCH($F801,Cluster_Master!$B$4:$B$18,0)),"")</f>
        <v/>
      </c>
      <c r="L801">
        <f>IFERROR(INDEX(Cluster_Master!$G$4:$G$18,MATCH($F801,Cluster_Master!$B$4:$B$18,0)),"")</f>
        <v/>
      </c>
      <c r="M801">
        <f>IFERROR(INDEX(Cluster_Master!$H$4:$H$18,MATCH($F801,Cluster_Master!$B$4:$B$18,0)),"")</f>
        <v/>
      </c>
      <c r="AI801">
        <f>IF(COUNTA(T801:AH801)=0,"",SUM(T801:AH801))</f>
        <v/>
      </c>
      <c r="AJ801">
        <f>IF(COUNTA(T801:AH801)=0,"",AI801/(COUNT(KPI_Weights!$A$4:$A$18)*5))</f>
        <v/>
      </c>
      <c r="AK801">
        <f>IF(COUNTA(T801:AH801)=0,"",SUMPRODUCT(T801:AH801,KPI_Weights!$B$4:$B$18)/5)</f>
        <v/>
      </c>
      <c r="AL801">
        <f>IF(COUNTA(T801:AH801)=0,"",IF(SUMPRODUCT(--(T801:AH801&lt;=1),--(KPI_Weights!$C$4:$C$18="YES"))&gt;0,"YES","NO"))</f>
        <v/>
      </c>
      <c r="AM801">
        <f>IF(AJ801="","",IF(AND(AL801="NO",AJ801&gt;=0.75),"YES","NO"))</f>
        <v/>
      </c>
      <c r="AN801">
        <f>IF(AJ801="","",IF(AJ801&lt;0.4,"Critical",IF(AJ801&lt;0.6,"Poor",IF(AJ801&lt;0.75,"Needs Improvement",IF(AJ801&lt;0.9,"Good","Excellent")))))</f>
        <v/>
      </c>
    </row>
    <row r="802" ht="15" customHeight="1" s="45">
      <c r="A802">
        <f>IF($B802="","",TEXT($B802,"yyyymmdd")&amp;"-"&amp;SUBSTITUTE($F802," ","")&amp;"-"&amp;TEXT(COUNTIF($F$4:F802,$F802),"00"))</f>
        <v/>
      </c>
      <c r="C802">
        <f>IF($B802="","",WEEKNUM($B802,2))</f>
        <v/>
      </c>
      <c r="D802">
        <f>IF($B802="","",TEXT($B802,"yyyy-mm"))</f>
        <v/>
      </c>
      <c r="G802">
        <f>IF(OR($E802="",$F802=""),"",IFERROR(IF($E802=INDEX(Cluster_Master!$A$4:$A$18,MATCH($F802,Cluster_Master!$B$4:$B$18,0)),"OK","CHECK"),"CHECK"))</f>
        <v/>
      </c>
      <c r="H802">
        <f>IFERROR(INDEX(Cluster_Master!$C$4:$C$18,MATCH($F802,Cluster_Master!$B$4:$B$18,0)),"")</f>
        <v/>
      </c>
      <c r="I802">
        <f>IFERROR(INDEX(Cluster_Master!$D$4:$D$18,MATCH($F802,Cluster_Master!$B$4:$B$18,0)),"")</f>
        <v/>
      </c>
      <c r="J802">
        <f>IFERROR(INDEX(Cluster_Master!$E$4:$E$18,MATCH($F802,Cluster_Master!$B$4:$B$18,0)),"")</f>
        <v/>
      </c>
      <c r="K802">
        <f>IFERROR(INDEX(Cluster_Master!$F$4:$F$18,MATCH($F802,Cluster_Master!$B$4:$B$18,0)),"")</f>
        <v/>
      </c>
      <c r="L802">
        <f>IFERROR(INDEX(Cluster_Master!$G$4:$G$18,MATCH($F802,Cluster_Master!$B$4:$B$18,0)),"")</f>
        <v/>
      </c>
      <c r="M802">
        <f>IFERROR(INDEX(Cluster_Master!$H$4:$H$18,MATCH($F802,Cluster_Master!$B$4:$B$18,0)),"")</f>
        <v/>
      </c>
      <c r="AI802">
        <f>IF(COUNTA(T802:AH802)=0,"",SUM(T802:AH802))</f>
        <v/>
      </c>
      <c r="AJ802">
        <f>IF(COUNTA(T802:AH802)=0,"",AI802/(COUNT(KPI_Weights!$A$4:$A$18)*5))</f>
        <v/>
      </c>
      <c r="AK802">
        <f>IF(COUNTA(T802:AH802)=0,"",SUMPRODUCT(T802:AH802,KPI_Weights!$B$4:$B$18)/5)</f>
        <v/>
      </c>
      <c r="AL802">
        <f>IF(COUNTA(T802:AH802)=0,"",IF(SUMPRODUCT(--(T802:AH802&lt;=1),--(KPI_Weights!$C$4:$C$18="YES"))&gt;0,"YES","NO"))</f>
        <v/>
      </c>
      <c r="AM802">
        <f>IF(AJ802="","",IF(AND(AL802="NO",AJ802&gt;=0.75),"YES","NO"))</f>
        <v/>
      </c>
      <c r="AN802">
        <f>IF(AJ802="","",IF(AJ802&lt;0.4,"Critical",IF(AJ802&lt;0.6,"Poor",IF(AJ802&lt;0.75,"Needs Improvement",IF(AJ802&lt;0.9,"Good","Excellent")))))</f>
        <v/>
      </c>
    </row>
    <row r="803" ht="15" customHeight="1" s="45">
      <c r="A803">
        <f>IF($B803="","",TEXT($B803,"yyyymmdd")&amp;"-"&amp;SUBSTITUTE($F803," ","")&amp;"-"&amp;TEXT(COUNTIF($F$4:F803,$F803),"00"))</f>
        <v/>
      </c>
      <c r="C803">
        <f>IF($B803="","",WEEKNUM($B803,2))</f>
        <v/>
      </c>
      <c r="D803">
        <f>IF($B803="","",TEXT($B803,"yyyy-mm"))</f>
        <v/>
      </c>
      <c r="G803">
        <f>IF(OR($E803="",$F803=""),"",IFERROR(IF($E803=INDEX(Cluster_Master!$A$4:$A$18,MATCH($F803,Cluster_Master!$B$4:$B$18,0)),"OK","CHECK"),"CHECK"))</f>
        <v/>
      </c>
      <c r="H803">
        <f>IFERROR(INDEX(Cluster_Master!$C$4:$C$18,MATCH($F803,Cluster_Master!$B$4:$B$18,0)),"")</f>
        <v/>
      </c>
      <c r="I803">
        <f>IFERROR(INDEX(Cluster_Master!$D$4:$D$18,MATCH($F803,Cluster_Master!$B$4:$B$18,0)),"")</f>
        <v/>
      </c>
      <c r="J803">
        <f>IFERROR(INDEX(Cluster_Master!$E$4:$E$18,MATCH($F803,Cluster_Master!$B$4:$B$18,0)),"")</f>
        <v/>
      </c>
      <c r="K803">
        <f>IFERROR(INDEX(Cluster_Master!$F$4:$F$18,MATCH($F803,Cluster_Master!$B$4:$B$18,0)),"")</f>
        <v/>
      </c>
      <c r="L803">
        <f>IFERROR(INDEX(Cluster_Master!$G$4:$G$18,MATCH($F803,Cluster_Master!$B$4:$B$18,0)),"")</f>
        <v/>
      </c>
      <c r="M803">
        <f>IFERROR(INDEX(Cluster_Master!$H$4:$H$18,MATCH($F803,Cluster_Master!$B$4:$B$18,0)),"")</f>
        <v/>
      </c>
      <c r="AI803">
        <f>IF(COUNTA(T803:AH803)=0,"",SUM(T803:AH803))</f>
        <v/>
      </c>
      <c r="AJ803">
        <f>IF(COUNTA(T803:AH803)=0,"",AI803/(COUNT(KPI_Weights!$A$4:$A$18)*5))</f>
        <v/>
      </c>
      <c r="AK803">
        <f>IF(COUNTA(T803:AH803)=0,"",SUMPRODUCT(T803:AH803,KPI_Weights!$B$4:$B$18)/5)</f>
        <v/>
      </c>
      <c r="AL803">
        <f>IF(COUNTA(T803:AH803)=0,"",IF(SUMPRODUCT(--(T803:AH803&lt;=1),--(KPI_Weights!$C$4:$C$18="YES"))&gt;0,"YES","NO"))</f>
        <v/>
      </c>
      <c r="AM803">
        <f>IF(AJ803="","",IF(AND(AL803="NO",AJ803&gt;=0.75),"YES","NO"))</f>
        <v/>
      </c>
      <c r="AN803">
        <f>IF(AJ803="","",IF(AJ803&lt;0.4,"Critical",IF(AJ803&lt;0.6,"Poor",IF(AJ803&lt;0.75,"Needs Improvement",IF(AJ803&lt;0.9,"Good","Excellent")))))</f>
        <v/>
      </c>
    </row>
    <row r="804" ht="15" customHeight="1" s="45">
      <c r="A804">
        <f>IF($B804="","",TEXT($B804,"yyyymmdd")&amp;"-"&amp;SUBSTITUTE($F804," ","")&amp;"-"&amp;TEXT(COUNTIF($F$4:F804,$F804),"00"))</f>
        <v/>
      </c>
      <c r="C804">
        <f>IF($B804="","",WEEKNUM($B804,2))</f>
        <v/>
      </c>
      <c r="D804">
        <f>IF($B804="","",TEXT($B804,"yyyy-mm"))</f>
        <v/>
      </c>
      <c r="G804">
        <f>IF(OR($E804="",$F804=""),"",IFERROR(IF($E804=INDEX(Cluster_Master!$A$4:$A$18,MATCH($F804,Cluster_Master!$B$4:$B$18,0)),"OK","CHECK"),"CHECK"))</f>
        <v/>
      </c>
      <c r="H804">
        <f>IFERROR(INDEX(Cluster_Master!$C$4:$C$18,MATCH($F804,Cluster_Master!$B$4:$B$18,0)),"")</f>
        <v/>
      </c>
      <c r="I804">
        <f>IFERROR(INDEX(Cluster_Master!$D$4:$D$18,MATCH($F804,Cluster_Master!$B$4:$B$18,0)),"")</f>
        <v/>
      </c>
      <c r="J804">
        <f>IFERROR(INDEX(Cluster_Master!$E$4:$E$18,MATCH($F804,Cluster_Master!$B$4:$B$18,0)),"")</f>
        <v/>
      </c>
      <c r="K804">
        <f>IFERROR(INDEX(Cluster_Master!$F$4:$F$18,MATCH($F804,Cluster_Master!$B$4:$B$18,0)),"")</f>
        <v/>
      </c>
      <c r="L804">
        <f>IFERROR(INDEX(Cluster_Master!$G$4:$G$18,MATCH($F804,Cluster_Master!$B$4:$B$18,0)),"")</f>
        <v/>
      </c>
      <c r="M804">
        <f>IFERROR(INDEX(Cluster_Master!$H$4:$H$18,MATCH($F804,Cluster_Master!$B$4:$B$18,0)),"")</f>
        <v/>
      </c>
      <c r="AI804">
        <f>IF(COUNTA(T804:AH804)=0,"",SUM(T804:AH804))</f>
        <v/>
      </c>
      <c r="AJ804">
        <f>IF(COUNTA(T804:AH804)=0,"",AI804/(COUNT(KPI_Weights!$A$4:$A$18)*5))</f>
        <v/>
      </c>
      <c r="AK804">
        <f>IF(COUNTA(T804:AH804)=0,"",SUMPRODUCT(T804:AH804,KPI_Weights!$B$4:$B$18)/5)</f>
        <v/>
      </c>
      <c r="AL804">
        <f>IF(COUNTA(T804:AH804)=0,"",IF(SUMPRODUCT(--(T804:AH804&lt;=1),--(KPI_Weights!$C$4:$C$18="YES"))&gt;0,"YES","NO"))</f>
        <v/>
      </c>
      <c r="AM804">
        <f>IF(AJ804="","",IF(AND(AL804="NO",AJ804&gt;=0.75),"YES","NO"))</f>
        <v/>
      </c>
      <c r="AN804">
        <f>IF(AJ804="","",IF(AJ804&lt;0.4,"Critical",IF(AJ804&lt;0.6,"Poor",IF(AJ804&lt;0.75,"Needs Improvement",IF(AJ804&lt;0.9,"Good","Excellent")))))</f>
        <v/>
      </c>
    </row>
    <row r="805" ht="15" customHeight="1" s="45">
      <c r="A805">
        <f>IF($B805="","",TEXT($B805,"yyyymmdd")&amp;"-"&amp;SUBSTITUTE($F805," ","")&amp;"-"&amp;TEXT(COUNTIF($F$4:F805,$F805),"00"))</f>
        <v/>
      </c>
      <c r="C805">
        <f>IF($B805="","",WEEKNUM($B805,2))</f>
        <v/>
      </c>
      <c r="D805">
        <f>IF($B805="","",TEXT($B805,"yyyy-mm"))</f>
        <v/>
      </c>
      <c r="G805">
        <f>IF(OR($E805="",$F805=""),"",IFERROR(IF($E805=INDEX(Cluster_Master!$A$4:$A$18,MATCH($F805,Cluster_Master!$B$4:$B$18,0)),"OK","CHECK"),"CHECK"))</f>
        <v/>
      </c>
      <c r="H805">
        <f>IFERROR(INDEX(Cluster_Master!$C$4:$C$18,MATCH($F805,Cluster_Master!$B$4:$B$18,0)),"")</f>
        <v/>
      </c>
      <c r="I805">
        <f>IFERROR(INDEX(Cluster_Master!$D$4:$D$18,MATCH($F805,Cluster_Master!$B$4:$B$18,0)),"")</f>
        <v/>
      </c>
      <c r="J805">
        <f>IFERROR(INDEX(Cluster_Master!$E$4:$E$18,MATCH($F805,Cluster_Master!$B$4:$B$18,0)),"")</f>
        <v/>
      </c>
      <c r="K805">
        <f>IFERROR(INDEX(Cluster_Master!$F$4:$F$18,MATCH($F805,Cluster_Master!$B$4:$B$18,0)),"")</f>
        <v/>
      </c>
      <c r="L805">
        <f>IFERROR(INDEX(Cluster_Master!$G$4:$G$18,MATCH($F805,Cluster_Master!$B$4:$B$18,0)),"")</f>
        <v/>
      </c>
      <c r="M805">
        <f>IFERROR(INDEX(Cluster_Master!$H$4:$H$18,MATCH($F805,Cluster_Master!$B$4:$B$18,0)),"")</f>
        <v/>
      </c>
      <c r="AI805">
        <f>IF(COUNTA(T805:AH805)=0,"",SUM(T805:AH805))</f>
        <v/>
      </c>
      <c r="AJ805">
        <f>IF(COUNTA(T805:AH805)=0,"",AI805/(COUNT(KPI_Weights!$A$4:$A$18)*5))</f>
        <v/>
      </c>
      <c r="AK805">
        <f>IF(COUNTA(T805:AH805)=0,"",SUMPRODUCT(T805:AH805,KPI_Weights!$B$4:$B$18)/5)</f>
        <v/>
      </c>
      <c r="AL805">
        <f>IF(COUNTA(T805:AH805)=0,"",IF(SUMPRODUCT(--(T805:AH805&lt;=1),--(KPI_Weights!$C$4:$C$18="YES"))&gt;0,"YES","NO"))</f>
        <v/>
      </c>
      <c r="AM805">
        <f>IF(AJ805="","",IF(AND(AL805="NO",AJ805&gt;=0.75),"YES","NO"))</f>
        <v/>
      </c>
      <c r="AN805">
        <f>IF(AJ805="","",IF(AJ805&lt;0.4,"Critical",IF(AJ805&lt;0.6,"Poor",IF(AJ805&lt;0.75,"Needs Improvement",IF(AJ805&lt;0.9,"Good","Excellent")))))</f>
        <v/>
      </c>
    </row>
    <row r="806" ht="15" customHeight="1" s="45">
      <c r="A806">
        <f>IF($B806="","",TEXT($B806,"yyyymmdd")&amp;"-"&amp;SUBSTITUTE($F806," ","")&amp;"-"&amp;TEXT(COUNTIF($F$4:F806,$F806),"00"))</f>
        <v/>
      </c>
      <c r="C806">
        <f>IF($B806="","",WEEKNUM($B806,2))</f>
        <v/>
      </c>
      <c r="D806">
        <f>IF($B806="","",TEXT($B806,"yyyy-mm"))</f>
        <v/>
      </c>
      <c r="G806">
        <f>IF(OR($E806="",$F806=""),"",IFERROR(IF($E806=INDEX(Cluster_Master!$A$4:$A$18,MATCH($F806,Cluster_Master!$B$4:$B$18,0)),"OK","CHECK"),"CHECK"))</f>
        <v/>
      </c>
      <c r="H806">
        <f>IFERROR(INDEX(Cluster_Master!$C$4:$C$18,MATCH($F806,Cluster_Master!$B$4:$B$18,0)),"")</f>
        <v/>
      </c>
      <c r="I806">
        <f>IFERROR(INDEX(Cluster_Master!$D$4:$D$18,MATCH($F806,Cluster_Master!$B$4:$B$18,0)),"")</f>
        <v/>
      </c>
      <c r="J806">
        <f>IFERROR(INDEX(Cluster_Master!$E$4:$E$18,MATCH($F806,Cluster_Master!$B$4:$B$18,0)),"")</f>
        <v/>
      </c>
      <c r="K806">
        <f>IFERROR(INDEX(Cluster_Master!$F$4:$F$18,MATCH($F806,Cluster_Master!$B$4:$B$18,0)),"")</f>
        <v/>
      </c>
      <c r="L806">
        <f>IFERROR(INDEX(Cluster_Master!$G$4:$G$18,MATCH($F806,Cluster_Master!$B$4:$B$18,0)),"")</f>
        <v/>
      </c>
      <c r="M806">
        <f>IFERROR(INDEX(Cluster_Master!$H$4:$H$18,MATCH($F806,Cluster_Master!$B$4:$B$18,0)),"")</f>
        <v/>
      </c>
      <c r="AI806">
        <f>IF(COUNTA(T806:AH806)=0,"",SUM(T806:AH806))</f>
        <v/>
      </c>
      <c r="AJ806">
        <f>IF(COUNTA(T806:AH806)=0,"",AI806/(COUNT(KPI_Weights!$A$4:$A$18)*5))</f>
        <v/>
      </c>
      <c r="AK806">
        <f>IF(COUNTA(T806:AH806)=0,"",SUMPRODUCT(T806:AH806,KPI_Weights!$B$4:$B$18)/5)</f>
        <v/>
      </c>
      <c r="AL806">
        <f>IF(COUNTA(T806:AH806)=0,"",IF(SUMPRODUCT(--(T806:AH806&lt;=1),--(KPI_Weights!$C$4:$C$18="YES"))&gt;0,"YES","NO"))</f>
        <v/>
      </c>
      <c r="AM806">
        <f>IF(AJ806="","",IF(AND(AL806="NO",AJ806&gt;=0.75),"YES","NO"))</f>
        <v/>
      </c>
      <c r="AN806">
        <f>IF(AJ806="","",IF(AJ806&lt;0.4,"Critical",IF(AJ806&lt;0.6,"Poor",IF(AJ806&lt;0.75,"Needs Improvement",IF(AJ806&lt;0.9,"Good","Excellent")))))</f>
        <v/>
      </c>
    </row>
    <row r="807" ht="15" customHeight="1" s="45">
      <c r="A807">
        <f>IF($B807="","",TEXT($B807,"yyyymmdd")&amp;"-"&amp;SUBSTITUTE($F807," ","")&amp;"-"&amp;TEXT(COUNTIF($F$4:F807,$F807),"00"))</f>
        <v/>
      </c>
      <c r="C807">
        <f>IF($B807="","",WEEKNUM($B807,2))</f>
        <v/>
      </c>
      <c r="D807">
        <f>IF($B807="","",TEXT($B807,"yyyy-mm"))</f>
        <v/>
      </c>
      <c r="G807">
        <f>IF(OR($E807="",$F807=""),"",IFERROR(IF($E807=INDEX(Cluster_Master!$A$4:$A$18,MATCH($F807,Cluster_Master!$B$4:$B$18,0)),"OK","CHECK"),"CHECK"))</f>
        <v/>
      </c>
      <c r="H807">
        <f>IFERROR(INDEX(Cluster_Master!$C$4:$C$18,MATCH($F807,Cluster_Master!$B$4:$B$18,0)),"")</f>
        <v/>
      </c>
      <c r="I807">
        <f>IFERROR(INDEX(Cluster_Master!$D$4:$D$18,MATCH($F807,Cluster_Master!$B$4:$B$18,0)),"")</f>
        <v/>
      </c>
      <c r="J807">
        <f>IFERROR(INDEX(Cluster_Master!$E$4:$E$18,MATCH($F807,Cluster_Master!$B$4:$B$18,0)),"")</f>
        <v/>
      </c>
      <c r="K807">
        <f>IFERROR(INDEX(Cluster_Master!$F$4:$F$18,MATCH($F807,Cluster_Master!$B$4:$B$18,0)),"")</f>
        <v/>
      </c>
      <c r="L807">
        <f>IFERROR(INDEX(Cluster_Master!$G$4:$G$18,MATCH($F807,Cluster_Master!$B$4:$B$18,0)),"")</f>
        <v/>
      </c>
      <c r="M807">
        <f>IFERROR(INDEX(Cluster_Master!$H$4:$H$18,MATCH($F807,Cluster_Master!$B$4:$B$18,0)),"")</f>
        <v/>
      </c>
      <c r="AI807">
        <f>IF(COUNTA(T807:AH807)=0,"",SUM(T807:AH807))</f>
        <v/>
      </c>
      <c r="AJ807">
        <f>IF(COUNTA(T807:AH807)=0,"",AI807/(COUNT(KPI_Weights!$A$4:$A$18)*5))</f>
        <v/>
      </c>
      <c r="AK807">
        <f>IF(COUNTA(T807:AH807)=0,"",SUMPRODUCT(T807:AH807,KPI_Weights!$B$4:$B$18)/5)</f>
        <v/>
      </c>
      <c r="AL807">
        <f>IF(COUNTA(T807:AH807)=0,"",IF(SUMPRODUCT(--(T807:AH807&lt;=1),--(KPI_Weights!$C$4:$C$18="YES"))&gt;0,"YES","NO"))</f>
        <v/>
      </c>
      <c r="AM807">
        <f>IF(AJ807="","",IF(AND(AL807="NO",AJ807&gt;=0.75),"YES","NO"))</f>
        <v/>
      </c>
      <c r="AN807">
        <f>IF(AJ807="","",IF(AJ807&lt;0.4,"Critical",IF(AJ807&lt;0.6,"Poor",IF(AJ807&lt;0.75,"Needs Improvement",IF(AJ807&lt;0.9,"Good","Excellent")))))</f>
        <v/>
      </c>
    </row>
    <row r="808" ht="15" customHeight="1" s="45">
      <c r="A808">
        <f>IF($B808="","",TEXT($B808,"yyyymmdd")&amp;"-"&amp;SUBSTITUTE($F808," ","")&amp;"-"&amp;TEXT(COUNTIF($F$4:F808,$F808),"00"))</f>
        <v/>
      </c>
      <c r="C808">
        <f>IF($B808="","",WEEKNUM($B808,2))</f>
        <v/>
      </c>
      <c r="D808">
        <f>IF($B808="","",TEXT($B808,"yyyy-mm"))</f>
        <v/>
      </c>
      <c r="G808">
        <f>IF(OR($E808="",$F808=""),"",IFERROR(IF($E808=INDEX(Cluster_Master!$A$4:$A$18,MATCH($F808,Cluster_Master!$B$4:$B$18,0)),"OK","CHECK"),"CHECK"))</f>
        <v/>
      </c>
      <c r="H808">
        <f>IFERROR(INDEX(Cluster_Master!$C$4:$C$18,MATCH($F808,Cluster_Master!$B$4:$B$18,0)),"")</f>
        <v/>
      </c>
      <c r="I808">
        <f>IFERROR(INDEX(Cluster_Master!$D$4:$D$18,MATCH($F808,Cluster_Master!$B$4:$B$18,0)),"")</f>
        <v/>
      </c>
      <c r="J808">
        <f>IFERROR(INDEX(Cluster_Master!$E$4:$E$18,MATCH($F808,Cluster_Master!$B$4:$B$18,0)),"")</f>
        <v/>
      </c>
      <c r="K808">
        <f>IFERROR(INDEX(Cluster_Master!$F$4:$F$18,MATCH($F808,Cluster_Master!$B$4:$B$18,0)),"")</f>
        <v/>
      </c>
      <c r="L808">
        <f>IFERROR(INDEX(Cluster_Master!$G$4:$G$18,MATCH($F808,Cluster_Master!$B$4:$B$18,0)),"")</f>
        <v/>
      </c>
      <c r="M808">
        <f>IFERROR(INDEX(Cluster_Master!$H$4:$H$18,MATCH($F808,Cluster_Master!$B$4:$B$18,0)),"")</f>
        <v/>
      </c>
      <c r="AI808">
        <f>IF(COUNTA(T808:AH808)=0,"",SUM(T808:AH808))</f>
        <v/>
      </c>
      <c r="AJ808">
        <f>IF(COUNTA(T808:AH808)=0,"",AI808/(COUNT(KPI_Weights!$A$4:$A$18)*5))</f>
        <v/>
      </c>
      <c r="AK808">
        <f>IF(COUNTA(T808:AH808)=0,"",SUMPRODUCT(T808:AH808,KPI_Weights!$B$4:$B$18)/5)</f>
        <v/>
      </c>
      <c r="AL808">
        <f>IF(COUNTA(T808:AH808)=0,"",IF(SUMPRODUCT(--(T808:AH808&lt;=1),--(KPI_Weights!$C$4:$C$18="YES"))&gt;0,"YES","NO"))</f>
        <v/>
      </c>
      <c r="AM808">
        <f>IF(AJ808="","",IF(AND(AL808="NO",AJ808&gt;=0.75),"YES","NO"))</f>
        <v/>
      </c>
      <c r="AN808">
        <f>IF(AJ808="","",IF(AJ808&lt;0.4,"Critical",IF(AJ808&lt;0.6,"Poor",IF(AJ808&lt;0.75,"Needs Improvement",IF(AJ808&lt;0.9,"Good","Excellent")))))</f>
        <v/>
      </c>
    </row>
    <row r="809" ht="15" customHeight="1" s="45">
      <c r="A809">
        <f>IF($B809="","",TEXT($B809,"yyyymmdd")&amp;"-"&amp;SUBSTITUTE($F809," ","")&amp;"-"&amp;TEXT(COUNTIF($F$4:F809,$F809),"00"))</f>
        <v/>
      </c>
      <c r="C809">
        <f>IF($B809="","",WEEKNUM($B809,2))</f>
        <v/>
      </c>
      <c r="D809">
        <f>IF($B809="","",TEXT($B809,"yyyy-mm"))</f>
        <v/>
      </c>
      <c r="G809">
        <f>IF(OR($E809="",$F809=""),"",IFERROR(IF($E809=INDEX(Cluster_Master!$A$4:$A$18,MATCH($F809,Cluster_Master!$B$4:$B$18,0)),"OK","CHECK"),"CHECK"))</f>
        <v/>
      </c>
      <c r="H809">
        <f>IFERROR(INDEX(Cluster_Master!$C$4:$C$18,MATCH($F809,Cluster_Master!$B$4:$B$18,0)),"")</f>
        <v/>
      </c>
      <c r="I809">
        <f>IFERROR(INDEX(Cluster_Master!$D$4:$D$18,MATCH($F809,Cluster_Master!$B$4:$B$18,0)),"")</f>
        <v/>
      </c>
      <c r="J809">
        <f>IFERROR(INDEX(Cluster_Master!$E$4:$E$18,MATCH($F809,Cluster_Master!$B$4:$B$18,0)),"")</f>
        <v/>
      </c>
      <c r="K809">
        <f>IFERROR(INDEX(Cluster_Master!$F$4:$F$18,MATCH($F809,Cluster_Master!$B$4:$B$18,0)),"")</f>
        <v/>
      </c>
      <c r="L809">
        <f>IFERROR(INDEX(Cluster_Master!$G$4:$G$18,MATCH($F809,Cluster_Master!$B$4:$B$18,0)),"")</f>
        <v/>
      </c>
      <c r="M809">
        <f>IFERROR(INDEX(Cluster_Master!$H$4:$H$18,MATCH($F809,Cluster_Master!$B$4:$B$18,0)),"")</f>
        <v/>
      </c>
      <c r="AI809">
        <f>IF(COUNTA(T809:AH809)=0,"",SUM(T809:AH809))</f>
        <v/>
      </c>
      <c r="AJ809">
        <f>IF(COUNTA(T809:AH809)=0,"",AI809/(COUNT(KPI_Weights!$A$4:$A$18)*5))</f>
        <v/>
      </c>
      <c r="AK809">
        <f>IF(COUNTA(T809:AH809)=0,"",SUMPRODUCT(T809:AH809,KPI_Weights!$B$4:$B$18)/5)</f>
        <v/>
      </c>
      <c r="AL809">
        <f>IF(COUNTA(T809:AH809)=0,"",IF(SUMPRODUCT(--(T809:AH809&lt;=1),--(KPI_Weights!$C$4:$C$18="YES"))&gt;0,"YES","NO"))</f>
        <v/>
      </c>
      <c r="AM809">
        <f>IF(AJ809="","",IF(AND(AL809="NO",AJ809&gt;=0.75),"YES","NO"))</f>
        <v/>
      </c>
      <c r="AN809">
        <f>IF(AJ809="","",IF(AJ809&lt;0.4,"Critical",IF(AJ809&lt;0.6,"Poor",IF(AJ809&lt;0.75,"Needs Improvement",IF(AJ809&lt;0.9,"Good","Excellent")))))</f>
        <v/>
      </c>
    </row>
    <row r="810" ht="15" customHeight="1" s="45">
      <c r="A810">
        <f>IF($B810="","",TEXT($B810,"yyyymmdd")&amp;"-"&amp;SUBSTITUTE($F810," ","")&amp;"-"&amp;TEXT(COUNTIF($F$4:F810,$F810),"00"))</f>
        <v/>
      </c>
      <c r="C810">
        <f>IF($B810="","",WEEKNUM($B810,2))</f>
        <v/>
      </c>
      <c r="D810">
        <f>IF($B810="","",TEXT($B810,"yyyy-mm"))</f>
        <v/>
      </c>
      <c r="G810">
        <f>IF(OR($E810="",$F810=""),"",IFERROR(IF($E810=INDEX(Cluster_Master!$A$4:$A$18,MATCH($F810,Cluster_Master!$B$4:$B$18,0)),"OK","CHECK"),"CHECK"))</f>
        <v/>
      </c>
      <c r="H810">
        <f>IFERROR(INDEX(Cluster_Master!$C$4:$C$18,MATCH($F810,Cluster_Master!$B$4:$B$18,0)),"")</f>
        <v/>
      </c>
      <c r="I810">
        <f>IFERROR(INDEX(Cluster_Master!$D$4:$D$18,MATCH($F810,Cluster_Master!$B$4:$B$18,0)),"")</f>
        <v/>
      </c>
      <c r="J810">
        <f>IFERROR(INDEX(Cluster_Master!$E$4:$E$18,MATCH($F810,Cluster_Master!$B$4:$B$18,0)),"")</f>
        <v/>
      </c>
      <c r="K810">
        <f>IFERROR(INDEX(Cluster_Master!$F$4:$F$18,MATCH($F810,Cluster_Master!$B$4:$B$18,0)),"")</f>
        <v/>
      </c>
      <c r="L810">
        <f>IFERROR(INDEX(Cluster_Master!$G$4:$G$18,MATCH($F810,Cluster_Master!$B$4:$B$18,0)),"")</f>
        <v/>
      </c>
      <c r="M810">
        <f>IFERROR(INDEX(Cluster_Master!$H$4:$H$18,MATCH($F810,Cluster_Master!$B$4:$B$18,0)),"")</f>
        <v/>
      </c>
      <c r="AI810">
        <f>IF(COUNTA(T810:AH810)=0,"",SUM(T810:AH810))</f>
        <v/>
      </c>
      <c r="AJ810">
        <f>IF(COUNTA(T810:AH810)=0,"",AI810/(COUNT(KPI_Weights!$A$4:$A$18)*5))</f>
        <v/>
      </c>
      <c r="AK810">
        <f>IF(COUNTA(T810:AH810)=0,"",SUMPRODUCT(T810:AH810,KPI_Weights!$B$4:$B$18)/5)</f>
        <v/>
      </c>
      <c r="AL810">
        <f>IF(COUNTA(T810:AH810)=0,"",IF(SUMPRODUCT(--(T810:AH810&lt;=1),--(KPI_Weights!$C$4:$C$18="YES"))&gt;0,"YES","NO"))</f>
        <v/>
      </c>
      <c r="AM810">
        <f>IF(AJ810="","",IF(AND(AL810="NO",AJ810&gt;=0.75),"YES","NO"))</f>
        <v/>
      </c>
      <c r="AN810">
        <f>IF(AJ810="","",IF(AJ810&lt;0.4,"Critical",IF(AJ810&lt;0.6,"Poor",IF(AJ810&lt;0.75,"Needs Improvement",IF(AJ810&lt;0.9,"Good","Excellent")))))</f>
        <v/>
      </c>
    </row>
    <row r="811" ht="15" customHeight="1" s="45">
      <c r="A811">
        <f>IF($B811="","",TEXT($B811,"yyyymmdd")&amp;"-"&amp;SUBSTITUTE($F811," ","")&amp;"-"&amp;TEXT(COUNTIF($F$4:F811,$F811),"00"))</f>
        <v/>
      </c>
      <c r="C811">
        <f>IF($B811="","",WEEKNUM($B811,2))</f>
        <v/>
      </c>
      <c r="D811">
        <f>IF($B811="","",TEXT($B811,"yyyy-mm"))</f>
        <v/>
      </c>
      <c r="G811">
        <f>IF(OR($E811="",$F811=""),"",IFERROR(IF($E811=INDEX(Cluster_Master!$A$4:$A$18,MATCH($F811,Cluster_Master!$B$4:$B$18,0)),"OK","CHECK"),"CHECK"))</f>
        <v/>
      </c>
      <c r="H811">
        <f>IFERROR(INDEX(Cluster_Master!$C$4:$C$18,MATCH($F811,Cluster_Master!$B$4:$B$18,0)),"")</f>
        <v/>
      </c>
      <c r="I811">
        <f>IFERROR(INDEX(Cluster_Master!$D$4:$D$18,MATCH($F811,Cluster_Master!$B$4:$B$18,0)),"")</f>
        <v/>
      </c>
      <c r="J811">
        <f>IFERROR(INDEX(Cluster_Master!$E$4:$E$18,MATCH($F811,Cluster_Master!$B$4:$B$18,0)),"")</f>
        <v/>
      </c>
      <c r="K811">
        <f>IFERROR(INDEX(Cluster_Master!$F$4:$F$18,MATCH($F811,Cluster_Master!$B$4:$B$18,0)),"")</f>
        <v/>
      </c>
      <c r="L811">
        <f>IFERROR(INDEX(Cluster_Master!$G$4:$G$18,MATCH($F811,Cluster_Master!$B$4:$B$18,0)),"")</f>
        <v/>
      </c>
      <c r="M811">
        <f>IFERROR(INDEX(Cluster_Master!$H$4:$H$18,MATCH($F811,Cluster_Master!$B$4:$B$18,0)),"")</f>
        <v/>
      </c>
      <c r="AI811">
        <f>IF(COUNTA(T811:AH811)=0,"",SUM(T811:AH811))</f>
        <v/>
      </c>
      <c r="AJ811">
        <f>IF(COUNTA(T811:AH811)=0,"",AI811/(COUNT(KPI_Weights!$A$4:$A$18)*5))</f>
        <v/>
      </c>
      <c r="AK811">
        <f>IF(COUNTA(T811:AH811)=0,"",SUMPRODUCT(T811:AH811,KPI_Weights!$B$4:$B$18)/5)</f>
        <v/>
      </c>
      <c r="AL811">
        <f>IF(COUNTA(T811:AH811)=0,"",IF(SUMPRODUCT(--(T811:AH811&lt;=1),--(KPI_Weights!$C$4:$C$18="YES"))&gt;0,"YES","NO"))</f>
        <v/>
      </c>
      <c r="AM811">
        <f>IF(AJ811="","",IF(AND(AL811="NO",AJ811&gt;=0.75),"YES","NO"))</f>
        <v/>
      </c>
      <c r="AN811">
        <f>IF(AJ811="","",IF(AJ811&lt;0.4,"Critical",IF(AJ811&lt;0.6,"Poor",IF(AJ811&lt;0.75,"Needs Improvement",IF(AJ811&lt;0.9,"Good","Excellent")))))</f>
        <v/>
      </c>
    </row>
    <row r="812" ht="15" customHeight="1" s="45">
      <c r="A812">
        <f>IF($B812="","",TEXT($B812,"yyyymmdd")&amp;"-"&amp;SUBSTITUTE($F812," ","")&amp;"-"&amp;TEXT(COUNTIF($F$4:F812,$F812),"00"))</f>
        <v/>
      </c>
      <c r="C812">
        <f>IF($B812="","",WEEKNUM($B812,2))</f>
        <v/>
      </c>
      <c r="D812">
        <f>IF($B812="","",TEXT($B812,"yyyy-mm"))</f>
        <v/>
      </c>
      <c r="G812">
        <f>IF(OR($E812="",$F812=""),"",IFERROR(IF($E812=INDEX(Cluster_Master!$A$4:$A$18,MATCH($F812,Cluster_Master!$B$4:$B$18,0)),"OK","CHECK"),"CHECK"))</f>
        <v/>
      </c>
      <c r="H812">
        <f>IFERROR(INDEX(Cluster_Master!$C$4:$C$18,MATCH($F812,Cluster_Master!$B$4:$B$18,0)),"")</f>
        <v/>
      </c>
      <c r="I812">
        <f>IFERROR(INDEX(Cluster_Master!$D$4:$D$18,MATCH($F812,Cluster_Master!$B$4:$B$18,0)),"")</f>
        <v/>
      </c>
      <c r="J812">
        <f>IFERROR(INDEX(Cluster_Master!$E$4:$E$18,MATCH($F812,Cluster_Master!$B$4:$B$18,0)),"")</f>
        <v/>
      </c>
      <c r="K812">
        <f>IFERROR(INDEX(Cluster_Master!$F$4:$F$18,MATCH($F812,Cluster_Master!$B$4:$B$18,0)),"")</f>
        <v/>
      </c>
      <c r="L812">
        <f>IFERROR(INDEX(Cluster_Master!$G$4:$G$18,MATCH($F812,Cluster_Master!$B$4:$B$18,0)),"")</f>
        <v/>
      </c>
      <c r="M812">
        <f>IFERROR(INDEX(Cluster_Master!$H$4:$H$18,MATCH($F812,Cluster_Master!$B$4:$B$18,0)),"")</f>
        <v/>
      </c>
      <c r="AI812">
        <f>IF(COUNTA(T812:AH812)=0,"",SUM(T812:AH812))</f>
        <v/>
      </c>
      <c r="AJ812">
        <f>IF(COUNTA(T812:AH812)=0,"",AI812/(COUNT(KPI_Weights!$A$4:$A$18)*5))</f>
        <v/>
      </c>
      <c r="AK812">
        <f>IF(COUNTA(T812:AH812)=0,"",SUMPRODUCT(T812:AH812,KPI_Weights!$B$4:$B$18)/5)</f>
        <v/>
      </c>
      <c r="AL812">
        <f>IF(COUNTA(T812:AH812)=0,"",IF(SUMPRODUCT(--(T812:AH812&lt;=1),--(KPI_Weights!$C$4:$C$18="YES"))&gt;0,"YES","NO"))</f>
        <v/>
      </c>
      <c r="AM812">
        <f>IF(AJ812="","",IF(AND(AL812="NO",AJ812&gt;=0.75),"YES","NO"))</f>
        <v/>
      </c>
      <c r="AN812">
        <f>IF(AJ812="","",IF(AJ812&lt;0.4,"Critical",IF(AJ812&lt;0.6,"Poor",IF(AJ812&lt;0.75,"Needs Improvement",IF(AJ812&lt;0.9,"Good","Excellent")))))</f>
        <v/>
      </c>
    </row>
    <row r="813" ht="15" customHeight="1" s="45">
      <c r="A813">
        <f>IF($B813="","",TEXT($B813,"yyyymmdd")&amp;"-"&amp;SUBSTITUTE($F813," ","")&amp;"-"&amp;TEXT(COUNTIF($F$4:F813,$F813),"00"))</f>
        <v/>
      </c>
      <c r="C813">
        <f>IF($B813="","",WEEKNUM($B813,2))</f>
        <v/>
      </c>
      <c r="D813">
        <f>IF($B813="","",TEXT($B813,"yyyy-mm"))</f>
        <v/>
      </c>
      <c r="G813">
        <f>IF(OR($E813="",$F813=""),"",IFERROR(IF($E813=INDEX(Cluster_Master!$A$4:$A$18,MATCH($F813,Cluster_Master!$B$4:$B$18,0)),"OK","CHECK"),"CHECK"))</f>
        <v/>
      </c>
      <c r="H813">
        <f>IFERROR(INDEX(Cluster_Master!$C$4:$C$18,MATCH($F813,Cluster_Master!$B$4:$B$18,0)),"")</f>
        <v/>
      </c>
      <c r="I813">
        <f>IFERROR(INDEX(Cluster_Master!$D$4:$D$18,MATCH($F813,Cluster_Master!$B$4:$B$18,0)),"")</f>
        <v/>
      </c>
      <c r="J813">
        <f>IFERROR(INDEX(Cluster_Master!$E$4:$E$18,MATCH($F813,Cluster_Master!$B$4:$B$18,0)),"")</f>
        <v/>
      </c>
      <c r="K813">
        <f>IFERROR(INDEX(Cluster_Master!$F$4:$F$18,MATCH($F813,Cluster_Master!$B$4:$B$18,0)),"")</f>
        <v/>
      </c>
      <c r="L813">
        <f>IFERROR(INDEX(Cluster_Master!$G$4:$G$18,MATCH($F813,Cluster_Master!$B$4:$B$18,0)),"")</f>
        <v/>
      </c>
      <c r="M813">
        <f>IFERROR(INDEX(Cluster_Master!$H$4:$H$18,MATCH($F813,Cluster_Master!$B$4:$B$18,0)),"")</f>
        <v/>
      </c>
      <c r="AI813">
        <f>IF(COUNTA(T813:AH813)=0,"",SUM(T813:AH813))</f>
        <v/>
      </c>
      <c r="AJ813">
        <f>IF(COUNTA(T813:AH813)=0,"",AI813/(COUNT(KPI_Weights!$A$4:$A$18)*5))</f>
        <v/>
      </c>
      <c r="AK813">
        <f>IF(COUNTA(T813:AH813)=0,"",SUMPRODUCT(T813:AH813,KPI_Weights!$B$4:$B$18)/5)</f>
        <v/>
      </c>
      <c r="AL813">
        <f>IF(COUNTA(T813:AH813)=0,"",IF(SUMPRODUCT(--(T813:AH813&lt;=1),--(KPI_Weights!$C$4:$C$18="YES"))&gt;0,"YES","NO"))</f>
        <v/>
      </c>
      <c r="AM813">
        <f>IF(AJ813="","",IF(AND(AL813="NO",AJ813&gt;=0.75),"YES","NO"))</f>
        <v/>
      </c>
      <c r="AN813">
        <f>IF(AJ813="","",IF(AJ813&lt;0.4,"Critical",IF(AJ813&lt;0.6,"Poor",IF(AJ813&lt;0.75,"Needs Improvement",IF(AJ813&lt;0.9,"Good","Excellent")))))</f>
        <v/>
      </c>
    </row>
    <row r="814" ht="15" customHeight="1" s="45">
      <c r="A814">
        <f>IF($B814="","",TEXT($B814,"yyyymmdd")&amp;"-"&amp;SUBSTITUTE($F814," ","")&amp;"-"&amp;TEXT(COUNTIF($F$4:F814,$F814),"00"))</f>
        <v/>
      </c>
      <c r="C814">
        <f>IF($B814="","",WEEKNUM($B814,2))</f>
        <v/>
      </c>
      <c r="D814">
        <f>IF($B814="","",TEXT($B814,"yyyy-mm"))</f>
        <v/>
      </c>
      <c r="G814">
        <f>IF(OR($E814="",$F814=""),"",IFERROR(IF($E814=INDEX(Cluster_Master!$A$4:$A$18,MATCH($F814,Cluster_Master!$B$4:$B$18,0)),"OK","CHECK"),"CHECK"))</f>
        <v/>
      </c>
      <c r="H814">
        <f>IFERROR(INDEX(Cluster_Master!$C$4:$C$18,MATCH($F814,Cluster_Master!$B$4:$B$18,0)),"")</f>
        <v/>
      </c>
      <c r="I814">
        <f>IFERROR(INDEX(Cluster_Master!$D$4:$D$18,MATCH($F814,Cluster_Master!$B$4:$B$18,0)),"")</f>
        <v/>
      </c>
      <c r="J814">
        <f>IFERROR(INDEX(Cluster_Master!$E$4:$E$18,MATCH($F814,Cluster_Master!$B$4:$B$18,0)),"")</f>
        <v/>
      </c>
      <c r="K814">
        <f>IFERROR(INDEX(Cluster_Master!$F$4:$F$18,MATCH($F814,Cluster_Master!$B$4:$B$18,0)),"")</f>
        <v/>
      </c>
      <c r="L814">
        <f>IFERROR(INDEX(Cluster_Master!$G$4:$G$18,MATCH($F814,Cluster_Master!$B$4:$B$18,0)),"")</f>
        <v/>
      </c>
      <c r="M814">
        <f>IFERROR(INDEX(Cluster_Master!$H$4:$H$18,MATCH($F814,Cluster_Master!$B$4:$B$18,0)),"")</f>
        <v/>
      </c>
      <c r="AI814">
        <f>IF(COUNTA(T814:AH814)=0,"",SUM(T814:AH814))</f>
        <v/>
      </c>
      <c r="AJ814">
        <f>IF(COUNTA(T814:AH814)=0,"",AI814/(COUNT(KPI_Weights!$A$4:$A$18)*5))</f>
        <v/>
      </c>
      <c r="AK814">
        <f>IF(COUNTA(T814:AH814)=0,"",SUMPRODUCT(T814:AH814,KPI_Weights!$B$4:$B$18)/5)</f>
        <v/>
      </c>
      <c r="AL814">
        <f>IF(COUNTA(T814:AH814)=0,"",IF(SUMPRODUCT(--(T814:AH814&lt;=1),--(KPI_Weights!$C$4:$C$18="YES"))&gt;0,"YES","NO"))</f>
        <v/>
      </c>
      <c r="AM814">
        <f>IF(AJ814="","",IF(AND(AL814="NO",AJ814&gt;=0.75),"YES","NO"))</f>
        <v/>
      </c>
      <c r="AN814">
        <f>IF(AJ814="","",IF(AJ814&lt;0.4,"Critical",IF(AJ814&lt;0.6,"Poor",IF(AJ814&lt;0.75,"Needs Improvement",IF(AJ814&lt;0.9,"Good","Excellent")))))</f>
        <v/>
      </c>
    </row>
    <row r="815" ht="15" customHeight="1" s="45">
      <c r="A815">
        <f>IF($B815="","",TEXT($B815,"yyyymmdd")&amp;"-"&amp;SUBSTITUTE($F815," ","")&amp;"-"&amp;TEXT(COUNTIF($F$4:F815,$F815),"00"))</f>
        <v/>
      </c>
      <c r="C815">
        <f>IF($B815="","",WEEKNUM($B815,2))</f>
        <v/>
      </c>
      <c r="D815">
        <f>IF($B815="","",TEXT($B815,"yyyy-mm"))</f>
        <v/>
      </c>
      <c r="G815">
        <f>IF(OR($E815="",$F815=""),"",IFERROR(IF($E815=INDEX(Cluster_Master!$A$4:$A$18,MATCH($F815,Cluster_Master!$B$4:$B$18,0)),"OK","CHECK"),"CHECK"))</f>
        <v/>
      </c>
      <c r="H815">
        <f>IFERROR(INDEX(Cluster_Master!$C$4:$C$18,MATCH($F815,Cluster_Master!$B$4:$B$18,0)),"")</f>
        <v/>
      </c>
      <c r="I815">
        <f>IFERROR(INDEX(Cluster_Master!$D$4:$D$18,MATCH($F815,Cluster_Master!$B$4:$B$18,0)),"")</f>
        <v/>
      </c>
      <c r="J815">
        <f>IFERROR(INDEX(Cluster_Master!$E$4:$E$18,MATCH($F815,Cluster_Master!$B$4:$B$18,0)),"")</f>
        <v/>
      </c>
      <c r="K815">
        <f>IFERROR(INDEX(Cluster_Master!$F$4:$F$18,MATCH($F815,Cluster_Master!$B$4:$B$18,0)),"")</f>
        <v/>
      </c>
      <c r="L815">
        <f>IFERROR(INDEX(Cluster_Master!$G$4:$G$18,MATCH($F815,Cluster_Master!$B$4:$B$18,0)),"")</f>
        <v/>
      </c>
      <c r="M815">
        <f>IFERROR(INDEX(Cluster_Master!$H$4:$H$18,MATCH($F815,Cluster_Master!$B$4:$B$18,0)),"")</f>
        <v/>
      </c>
      <c r="AI815">
        <f>IF(COUNTA(T815:AH815)=0,"",SUM(T815:AH815))</f>
        <v/>
      </c>
      <c r="AJ815">
        <f>IF(COUNTA(T815:AH815)=0,"",AI815/(COUNT(KPI_Weights!$A$4:$A$18)*5))</f>
        <v/>
      </c>
      <c r="AK815">
        <f>IF(COUNTA(T815:AH815)=0,"",SUMPRODUCT(T815:AH815,KPI_Weights!$B$4:$B$18)/5)</f>
        <v/>
      </c>
      <c r="AL815">
        <f>IF(COUNTA(T815:AH815)=0,"",IF(SUMPRODUCT(--(T815:AH815&lt;=1),--(KPI_Weights!$C$4:$C$18="YES"))&gt;0,"YES","NO"))</f>
        <v/>
      </c>
      <c r="AM815">
        <f>IF(AJ815="","",IF(AND(AL815="NO",AJ815&gt;=0.75),"YES","NO"))</f>
        <v/>
      </c>
      <c r="AN815">
        <f>IF(AJ815="","",IF(AJ815&lt;0.4,"Critical",IF(AJ815&lt;0.6,"Poor",IF(AJ815&lt;0.75,"Needs Improvement",IF(AJ815&lt;0.9,"Good","Excellent")))))</f>
        <v/>
      </c>
    </row>
    <row r="816" ht="15" customHeight="1" s="45">
      <c r="A816">
        <f>IF($B816="","",TEXT($B816,"yyyymmdd")&amp;"-"&amp;SUBSTITUTE($F816," ","")&amp;"-"&amp;TEXT(COUNTIF($F$4:F816,$F816),"00"))</f>
        <v/>
      </c>
      <c r="C816">
        <f>IF($B816="","",WEEKNUM($B816,2))</f>
        <v/>
      </c>
      <c r="D816">
        <f>IF($B816="","",TEXT($B816,"yyyy-mm"))</f>
        <v/>
      </c>
      <c r="G816">
        <f>IF(OR($E816="",$F816=""),"",IFERROR(IF($E816=INDEX(Cluster_Master!$A$4:$A$18,MATCH($F816,Cluster_Master!$B$4:$B$18,0)),"OK","CHECK"),"CHECK"))</f>
        <v/>
      </c>
      <c r="H816">
        <f>IFERROR(INDEX(Cluster_Master!$C$4:$C$18,MATCH($F816,Cluster_Master!$B$4:$B$18,0)),"")</f>
        <v/>
      </c>
      <c r="I816">
        <f>IFERROR(INDEX(Cluster_Master!$D$4:$D$18,MATCH($F816,Cluster_Master!$B$4:$B$18,0)),"")</f>
        <v/>
      </c>
      <c r="J816">
        <f>IFERROR(INDEX(Cluster_Master!$E$4:$E$18,MATCH($F816,Cluster_Master!$B$4:$B$18,0)),"")</f>
        <v/>
      </c>
      <c r="K816">
        <f>IFERROR(INDEX(Cluster_Master!$F$4:$F$18,MATCH($F816,Cluster_Master!$B$4:$B$18,0)),"")</f>
        <v/>
      </c>
      <c r="L816">
        <f>IFERROR(INDEX(Cluster_Master!$G$4:$G$18,MATCH($F816,Cluster_Master!$B$4:$B$18,0)),"")</f>
        <v/>
      </c>
      <c r="M816">
        <f>IFERROR(INDEX(Cluster_Master!$H$4:$H$18,MATCH($F816,Cluster_Master!$B$4:$B$18,0)),"")</f>
        <v/>
      </c>
      <c r="AI816">
        <f>IF(COUNTA(T816:AH816)=0,"",SUM(T816:AH816))</f>
        <v/>
      </c>
      <c r="AJ816">
        <f>IF(COUNTA(T816:AH816)=0,"",AI816/(COUNT(KPI_Weights!$A$4:$A$18)*5))</f>
        <v/>
      </c>
      <c r="AK816">
        <f>IF(COUNTA(T816:AH816)=0,"",SUMPRODUCT(T816:AH816,KPI_Weights!$B$4:$B$18)/5)</f>
        <v/>
      </c>
      <c r="AL816">
        <f>IF(COUNTA(T816:AH816)=0,"",IF(SUMPRODUCT(--(T816:AH816&lt;=1),--(KPI_Weights!$C$4:$C$18="YES"))&gt;0,"YES","NO"))</f>
        <v/>
      </c>
      <c r="AM816">
        <f>IF(AJ816="","",IF(AND(AL816="NO",AJ816&gt;=0.75),"YES","NO"))</f>
        <v/>
      </c>
      <c r="AN816">
        <f>IF(AJ816="","",IF(AJ816&lt;0.4,"Critical",IF(AJ816&lt;0.6,"Poor",IF(AJ816&lt;0.75,"Needs Improvement",IF(AJ816&lt;0.9,"Good","Excellent")))))</f>
        <v/>
      </c>
    </row>
    <row r="817" ht="15" customHeight="1" s="45">
      <c r="A817">
        <f>IF($B817="","",TEXT($B817,"yyyymmdd")&amp;"-"&amp;SUBSTITUTE($F817," ","")&amp;"-"&amp;TEXT(COUNTIF($F$4:F817,$F817),"00"))</f>
        <v/>
      </c>
      <c r="C817">
        <f>IF($B817="","",WEEKNUM($B817,2))</f>
        <v/>
      </c>
      <c r="D817">
        <f>IF($B817="","",TEXT($B817,"yyyy-mm"))</f>
        <v/>
      </c>
      <c r="G817">
        <f>IF(OR($E817="",$F817=""),"",IFERROR(IF($E817=INDEX(Cluster_Master!$A$4:$A$18,MATCH($F817,Cluster_Master!$B$4:$B$18,0)),"OK","CHECK"),"CHECK"))</f>
        <v/>
      </c>
      <c r="H817">
        <f>IFERROR(INDEX(Cluster_Master!$C$4:$C$18,MATCH($F817,Cluster_Master!$B$4:$B$18,0)),"")</f>
        <v/>
      </c>
      <c r="I817">
        <f>IFERROR(INDEX(Cluster_Master!$D$4:$D$18,MATCH($F817,Cluster_Master!$B$4:$B$18,0)),"")</f>
        <v/>
      </c>
      <c r="J817">
        <f>IFERROR(INDEX(Cluster_Master!$E$4:$E$18,MATCH($F817,Cluster_Master!$B$4:$B$18,0)),"")</f>
        <v/>
      </c>
      <c r="K817">
        <f>IFERROR(INDEX(Cluster_Master!$F$4:$F$18,MATCH($F817,Cluster_Master!$B$4:$B$18,0)),"")</f>
        <v/>
      </c>
      <c r="L817">
        <f>IFERROR(INDEX(Cluster_Master!$G$4:$G$18,MATCH($F817,Cluster_Master!$B$4:$B$18,0)),"")</f>
        <v/>
      </c>
      <c r="M817">
        <f>IFERROR(INDEX(Cluster_Master!$H$4:$H$18,MATCH($F817,Cluster_Master!$B$4:$B$18,0)),"")</f>
        <v/>
      </c>
      <c r="AI817">
        <f>IF(COUNTA(T817:AH817)=0,"",SUM(T817:AH817))</f>
        <v/>
      </c>
      <c r="AJ817">
        <f>IF(COUNTA(T817:AH817)=0,"",AI817/(COUNT(KPI_Weights!$A$4:$A$18)*5))</f>
        <v/>
      </c>
      <c r="AK817">
        <f>IF(COUNTA(T817:AH817)=0,"",SUMPRODUCT(T817:AH817,KPI_Weights!$B$4:$B$18)/5)</f>
        <v/>
      </c>
      <c r="AL817">
        <f>IF(COUNTA(T817:AH817)=0,"",IF(SUMPRODUCT(--(T817:AH817&lt;=1),--(KPI_Weights!$C$4:$C$18="YES"))&gt;0,"YES","NO"))</f>
        <v/>
      </c>
      <c r="AM817">
        <f>IF(AJ817="","",IF(AND(AL817="NO",AJ817&gt;=0.75),"YES","NO"))</f>
        <v/>
      </c>
      <c r="AN817">
        <f>IF(AJ817="","",IF(AJ817&lt;0.4,"Critical",IF(AJ817&lt;0.6,"Poor",IF(AJ817&lt;0.75,"Needs Improvement",IF(AJ817&lt;0.9,"Good","Excellent")))))</f>
        <v/>
      </c>
    </row>
    <row r="818" ht="15" customHeight="1" s="45">
      <c r="A818">
        <f>IF($B818="","",TEXT($B818,"yyyymmdd")&amp;"-"&amp;SUBSTITUTE($F818," ","")&amp;"-"&amp;TEXT(COUNTIF($F$4:F818,$F818),"00"))</f>
        <v/>
      </c>
      <c r="C818">
        <f>IF($B818="","",WEEKNUM($B818,2))</f>
        <v/>
      </c>
      <c r="D818">
        <f>IF($B818="","",TEXT($B818,"yyyy-mm"))</f>
        <v/>
      </c>
      <c r="G818">
        <f>IF(OR($E818="",$F818=""),"",IFERROR(IF($E818=INDEX(Cluster_Master!$A$4:$A$18,MATCH($F818,Cluster_Master!$B$4:$B$18,0)),"OK","CHECK"),"CHECK"))</f>
        <v/>
      </c>
      <c r="H818">
        <f>IFERROR(INDEX(Cluster_Master!$C$4:$C$18,MATCH($F818,Cluster_Master!$B$4:$B$18,0)),"")</f>
        <v/>
      </c>
      <c r="I818">
        <f>IFERROR(INDEX(Cluster_Master!$D$4:$D$18,MATCH($F818,Cluster_Master!$B$4:$B$18,0)),"")</f>
        <v/>
      </c>
      <c r="J818">
        <f>IFERROR(INDEX(Cluster_Master!$E$4:$E$18,MATCH($F818,Cluster_Master!$B$4:$B$18,0)),"")</f>
        <v/>
      </c>
      <c r="K818">
        <f>IFERROR(INDEX(Cluster_Master!$F$4:$F$18,MATCH($F818,Cluster_Master!$B$4:$B$18,0)),"")</f>
        <v/>
      </c>
      <c r="L818">
        <f>IFERROR(INDEX(Cluster_Master!$G$4:$G$18,MATCH($F818,Cluster_Master!$B$4:$B$18,0)),"")</f>
        <v/>
      </c>
      <c r="M818">
        <f>IFERROR(INDEX(Cluster_Master!$H$4:$H$18,MATCH($F818,Cluster_Master!$B$4:$B$18,0)),"")</f>
        <v/>
      </c>
      <c r="AI818">
        <f>IF(COUNTA(T818:AH818)=0,"",SUM(T818:AH818))</f>
        <v/>
      </c>
      <c r="AJ818">
        <f>IF(COUNTA(T818:AH818)=0,"",AI818/(COUNT(KPI_Weights!$A$4:$A$18)*5))</f>
        <v/>
      </c>
      <c r="AK818">
        <f>IF(COUNTA(T818:AH818)=0,"",SUMPRODUCT(T818:AH818,KPI_Weights!$B$4:$B$18)/5)</f>
        <v/>
      </c>
      <c r="AL818">
        <f>IF(COUNTA(T818:AH818)=0,"",IF(SUMPRODUCT(--(T818:AH818&lt;=1),--(KPI_Weights!$C$4:$C$18="YES"))&gt;0,"YES","NO"))</f>
        <v/>
      </c>
      <c r="AM818">
        <f>IF(AJ818="","",IF(AND(AL818="NO",AJ818&gt;=0.75),"YES","NO"))</f>
        <v/>
      </c>
      <c r="AN818">
        <f>IF(AJ818="","",IF(AJ818&lt;0.4,"Critical",IF(AJ818&lt;0.6,"Poor",IF(AJ818&lt;0.75,"Needs Improvement",IF(AJ818&lt;0.9,"Good","Excellent")))))</f>
        <v/>
      </c>
    </row>
    <row r="819" ht="15" customHeight="1" s="45">
      <c r="A819">
        <f>IF($B819="","",TEXT($B819,"yyyymmdd")&amp;"-"&amp;SUBSTITUTE($F819," ","")&amp;"-"&amp;TEXT(COUNTIF($F$4:F819,$F819),"00"))</f>
        <v/>
      </c>
      <c r="C819">
        <f>IF($B819="","",WEEKNUM($B819,2))</f>
        <v/>
      </c>
      <c r="D819">
        <f>IF($B819="","",TEXT($B819,"yyyy-mm"))</f>
        <v/>
      </c>
      <c r="G819">
        <f>IF(OR($E819="",$F819=""),"",IFERROR(IF($E819=INDEX(Cluster_Master!$A$4:$A$18,MATCH($F819,Cluster_Master!$B$4:$B$18,0)),"OK","CHECK"),"CHECK"))</f>
        <v/>
      </c>
      <c r="H819">
        <f>IFERROR(INDEX(Cluster_Master!$C$4:$C$18,MATCH($F819,Cluster_Master!$B$4:$B$18,0)),"")</f>
        <v/>
      </c>
      <c r="I819">
        <f>IFERROR(INDEX(Cluster_Master!$D$4:$D$18,MATCH($F819,Cluster_Master!$B$4:$B$18,0)),"")</f>
        <v/>
      </c>
      <c r="J819">
        <f>IFERROR(INDEX(Cluster_Master!$E$4:$E$18,MATCH($F819,Cluster_Master!$B$4:$B$18,0)),"")</f>
        <v/>
      </c>
      <c r="K819">
        <f>IFERROR(INDEX(Cluster_Master!$F$4:$F$18,MATCH($F819,Cluster_Master!$B$4:$B$18,0)),"")</f>
        <v/>
      </c>
      <c r="L819">
        <f>IFERROR(INDEX(Cluster_Master!$G$4:$G$18,MATCH($F819,Cluster_Master!$B$4:$B$18,0)),"")</f>
        <v/>
      </c>
      <c r="M819">
        <f>IFERROR(INDEX(Cluster_Master!$H$4:$H$18,MATCH($F819,Cluster_Master!$B$4:$B$18,0)),"")</f>
        <v/>
      </c>
      <c r="AI819">
        <f>IF(COUNTA(T819:AH819)=0,"",SUM(T819:AH819))</f>
        <v/>
      </c>
      <c r="AJ819">
        <f>IF(COUNTA(T819:AH819)=0,"",AI819/(COUNT(KPI_Weights!$A$4:$A$18)*5))</f>
        <v/>
      </c>
      <c r="AK819">
        <f>IF(COUNTA(T819:AH819)=0,"",SUMPRODUCT(T819:AH819,KPI_Weights!$B$4:$B$18)/5)</f>
        <v/>
      </c>
      <c r="AL819">
        <f>IF(COUNTA(T819:AH819)=0,"",IF(SUMPRODUCT(--(T819:AH819&lt;=1),--(KPI_Weights!$C$4:$C$18="YES"))&gt;0,"YES","NO"))</f>
        <v/>
      </c>
      <c r="AM819">
        <f>IF(AJ819="","",IF(AND(AL819="NO",AJ819&gt;=0.75),"YES","NO"))</f>
        <v/>
      </c>
      <c r="AN819">
        <f>IF(AJ819="","",IF(AJ819&lt;0.4,"Critical",IF(AJ819&lt;0.6,"Poor",IF(AJ819&lt;0.75,"Needs Improvement",IF(AJ819&lt;0.9,"Good","Excellent")))))</f>
        <v/>
      </c>
    </row>
    <row r="820" ht="15" customHeight="1" s="45">
      <c r="A820">
        <f>IF($B820="","",TEXT($B820,"yyyymmdd")&amp;"-"&amp;SUBSTITUTE($F820," ","")&amp;"-"&amp;TEXT(COUNTIF($F$4:F820,$F820),"00"))</f>
        <v/>
      </c>
      <c r="C820">
        <f>IF($B820="","",WEEKNUM($B820,2))</f>
        <v/>
      </c>
      <c r="D820">
        <f>IF($B820="","",TEXT($B820,"yyyy-mm"))</f>
        <v/>
      </c>
      <c r="G820">
        <f>IF(OR($E820="",$F820=""),"",IFERROR(IF($E820=INDEX(Cluster_Master!$A$4:$A$18,MATCH($F820,Cluster_Master!$B$4:$B$18,0)),"OK","CHECK"),"CHECK"))</f>
        <v/>
      </c>
      <c r="H820">
        <f>IFERROR(INDEX(Cluster_Master!$C$4:$C$18,MATCH($F820,Cluster_Master!$B$4:$B$18,0)),"")</f>
        <v/>
      </c>
      <c r="I820">
        <f>IFERROR(INDEX(Cluster_Master!$D$4:$D$18,MATCH($F820,Cluster_Master!$B$4:$B$18,0)),"")</f>
        <v/>
      </c>
      <c r="J820">
        <f>IFERROR(INDEX(Cluster_Master!$E$4:$E$18,MATCH($F820,Cluster_Master!$B$4:$B$18,0)),"")</f>
        <v/>
      </c>
      <c r="K820">
        <f>IFERROR(INDEX(Cluster_Master!$F$4:$F$18,MATCH($F820,Cluster_Master!$B$4:$B$18,0)),"")</f>
        <v/>
      </c>
      <c r="L820">
        <f>IFERROR(INDEX(Cluster_Master!$G$4:$G$18,MATCH($F820,Cluster_Master!$B$4:$B$18,0)),"")</f>
        <v/>
      </c>
      <c r="M820">
        <f>IFERROR(INDEX(Cluster_Master!$H$4:$H$18,MATCH($F820,Cluster_Master!$B$4:$B$18,0)),"")</f>
        <v/>
      </c>
      <c r="AI820">
        <f>IF(COUNTA(T820:AH820)=0,"",SUM(T820:AH820))</f>
        <v/>
      </c>
      <c r="AJ820">
        <f>IF(COUNTA(T820:AH820)=0,"",AI820/(COUNT(KPI_Weights!$A$4:$A$18)*5))</f>
        <v/>
      </c>
      <c r="AK820">
        <f>IF(COUNTA(T820:AH820)=0,"",SUMPRODUCT(T820:AH820,KPI_Weights!$B$4:$B$18)/5)</f>
        <v/>
      </c>
      <c r="AL820">
        <f>IF(COUNTA(T820:AH820)=0,"",IF(SUMPRODUCT(--(T820:AH820&lt;=1),--(KPI_Weights!$C$4:$C$18="YES"))&gt;0,"YES","NO"))</f>
        <v/>
      </c>
      <c r="AM820">
        <f>IF(AJ820="","",IF(AND(AL820="NO",AJ820&gt;=0.75),"YES","NO"))</f>
        <v/>
      </c>
      <c r="AN820">
        <f>IF(AJ820="","",IF(AJ820&lt;0.4,"Critical",IF(AJ820&lt;0.6,"Poor",IF(AJ820&lt;0.75,"Needs Improvement",IF(AJ820&lt;0.9,"Good","Excellent")))))</f>
        <v/>
      </c>
    </row>
    <row r="821" ht="15" customHeight="1" s="45">
      <c r="A821">
        <f>IF($B821="","",TEXT($B821,"yyyymmdd")&amp;"-"&amp;SUBSTITUTE($F821," ","")&amp;"-"&amp;TEXT(COUNTIF($F$4:F821,$F821),"00"))</f>
        <v/>
      </c>
      <c r="C821">
        <f>IF($B821="","",WEEKNUM($B821,2))</f>
        <v/>
      </c>
      <c r="D821">
        <f>IF($B821="","",TEXT($B821,"yyyy-mm"))</f>
        <v/>
      </c>
      <c r="G821">
        <f>IF(OR($E821="",$F821=""),"",IFERROR(IF($E821=INDEX(Cluster_Master!$A$4:$A$18,MATCH($F821,Cluster_Master!$B$4:$B$18,0)),"OK","CHECK"),"CHECK"))</f>
        <v/>
      </c>
      <c r="H821">
        <f>IFERROR(INDEX(Cluster_Master!$C$4:$C$18,MATCH($F821,Cluster_Master!$B$4:$B$18,0)),"")</f>
        <v/>
      </c>
      <c r="I821">
        <f>IFERROR(INDEX(Cluster_Master!$D$4:$D$18,MATCH($F821,Cluster_Master!$B$4:$B$18,0)),"")</f>
        <v/>
      </c>
      <c r="J821">
        <f>IFERROR(INDEX(Cluster_Master!$E$4:$E$18,MATCH($F821,Cluster_Master!$B$4:$B$18,0)),"")</f>
        <v/>
      </c>
      <c r="K821">
        <f>IFERROR(INDEX(Cluster_Master!$F$4:$F$18,MATCH($F821,Cluster_Master!$B$4:$B$18,0)),"")</f>
        <v/>
      </c>
      <c r="L821">
        <f>IFERROR(INDEX(Cluster_Master!$G$4:$G$18,MATCH($F821,Cluster_Master!$B$4:$B$18,0)),"")</f>
        <v/>
      </c>
      <c r="M821">
        <f>IFERROR(INDEX(Cluster_Master!$H$4:$H$18,MATCH($F821,Cluster_Master!$B$4:$B$18,0)),"")</f>
        <v/>
      </c>
      <c r="AI821">
        <f>IF(COUNTA(T821:AH821)=0,"",SUM(T821:AH821))</f>
        <v/>
      </c>
      <c r="AJ821">
        <f>IF(COUNTA(T821:AH821)=0,"",AI821/(COUNT(KPI_Weights!$A$4:$A$18)*5))</f>
        <v/>
      </c>
      <c r="AK821">
        <f>IF(COUNTA(T821:AH821)=0,"",SUMPRODUCT(T821:AH821,KPI_Weights!$B$4:$B$18)/5)</f>
        <v/>
      </c>
      <c r="AL821">
        <f>IF(COUNTA(T821:AH821)=0,"",IF(SUMPRODUCT(--(T821:AH821&lt;=1),--(KPI_Weights!$C$4:$C$18="YES"))&gt;0,"YES","NO"))</f>
        <v/>
      </c>
      <c r="AM821">
        <f>IF(AJ821="","",IF(AND(AL821="NO",AJ821&gt;=0.75),"YES","NO"))</f>
        <v/>
      </c>
      <c r="AN821">
        <f>IF(AJ821="","",IF(AJ821&lt;0.4,"Critical",IF(AJ821&lt;0.6,"Poor",IF(AJ821&lt;0.75,"Needs Improvement",IF(AJ821&lt;0.9,"Good","Excellent")))))</f>
        <v/>
      </c>
    </row>
    <row r="822" ht="15" customHeight="1" s="45">
      <c r="A822">
        <f>IF($B822="","",TEXT($B822,"yyyymmdd")&amp;"-"&amp;SUBSTITUTE($F822," ","")&amp;"-"&amp;TEXT(COUNTIF($F$4:F822,$F822),"00"))</f>
        <v/>
      </c>
      <c r="C822">
        <f>IF($B822="","",WEEKNUM($B822,2))</f>
        <v/>
      </c>
      <c r="D822">
        <f>IF($B822="","",TEXT($B822,"yyyy-mm"))</f>
        <v/>
      </c>
      <c r="G822">
        <f>IF(OR($E822="",$F822=""),"",IFERROR(IF($E822=INDEX(Cluster_Master!$A$4:$A$18,MATCH($F822,Cluster_Master!$B$4:$B$18,0)),"OK","CHECK"),"CHECK"))</f>
        <v/>
      </c>
      <c r="H822">
        <f>IFERROR(INDEX(Cluster_Master!$C$4:$C$18,MATCH($F822,Cluster_Master!$B$4:$B$18,0)),"")</f>
        <v/>
      </c>
      <c r="I822">
        <f>IFERROR(INDEX(Cluster_Master!$D$4:$D$18,MATCH($F822,Cluster_Master!$B$4:$B$18,0)),"")</f>
        <v/>
      </c>
      <c r="J822">
        <f>IFERROR(INDEX(Cluster_Master!$E$4:$E$18,MATCH($F822,Cluster_Master!$B$4:$B$18,0)),"")</f>
        <v/>
      </c>
      <c r="K822">
        <f>IFERROR(INDEX(Cluster_Master!$F$4:$F$18,MATCH($F822,Cluster_Master!$B$4:$B$18,0)),"")</f>
        <v/>
      </c>
      <c r="L822">
        <f>IFERROR(INDEX(Cluster_Master!$G$4:$G$18,MATCH($F822,Cluster_Master!$B$4:$B$18,0)),"")</f>
        <v/>
      </c>
      <c r="M822">
        <f>IFERROR(INDEX(Cluster_Master!$H$4:$H$18,MATCH($F822,Cluster_Master!$B$4:$B$18,0)),"")</f>
        <v/>
      </c>
      <c r="AI822">
        <f>IF(COUNTA(T822:AH822)=0,"",SUM(T822:AH822))</f>
        <v/>
      </c>
      <c r="AJ822">
        <f>IF(COUNTA(T822:AH822)=0,"",AI822/(COUNT(KPI_Weights!$A$4:$A$18)*5))</f>
        <v/>
      </c>
      <c r="AK822">
        <f>IF(COUNTA(T822:AH822)=0,"",SUMPRODUCT(T822:AH822,KPI_Weights!$B$4:$B$18)/5)</f>
        <v/>
      </c>
      <c r="AL822">
        <f>IF(COUNTA(T822:AH822)=0,"",IF(SUMPRODUCT(--(T822:AH822&lt;=1),--(KPI_Weights!$C$4:$C$18="YES"))&gt;0,"YES","NO"))</f>
        <v/>
      </c>
      <c r="AM822">
        <f>IF(AJ822="","",IF(AND(AL822="NO",AJ822&gt;=0.75),"YES","NO"))</f>
        <v/>
      </c>
      <c r="AN822">
        <f>IF(AJ822="","",IF(AJ822&lt;0.4,"Critical",IF(AJ822&lt;0.6,"Poor",IF(AJ822&lt;0.75,"Needs Improvement",IF(AJ822&lt;0.9,"Good","Excellent")))))</f>
        <v/>
      </c>
    </row>
    <row r="823" ht="15" customHeight="1" s="45">
      <c r="A823">
        <f>IF($B823="","",TEXT($B823,"yyyymmdd")&amp;"-"&amp;SUBSTITUTE($F823," ","")&amp;"-"&amp;TEXT(COUNTIF($F$4:F823,$F823),"00"))</f>
        <v/>
      </c>
      <c r="C823">
        <f>IF($B823="","",WEEKNUM($B823,2))</f>
        <v/>
      </c>
      <c r="D823">
        <f>IF($B823="","",TEXT($B823,"yyyy-mm"))</f>
        <v/>
      </c>
      <c r="G823">
        <f>IF(OR($E823="",$F823=""),"",IFERROR(IF($E823=INDEX(Cluster_Master!$A$4:$A$18,MATCH($F823,Cluster_Master!$B$4:$B$18,0)),"OK","CHECK"),"CHECK"))</f>
        <v/>
      </c>
      <c r="H823">
        <f>IFERROR(INDEX(Cluster_Master!$C$4:$C$18,MATCH($F823,Cluster_Master!$B$4:$B$18,0)),"")</f>
        <v/>
      </c>
      <c r="I823">
        <f>IFERROR(INDEX(Cluster_Master!$D$4:$D$18,MATCH($F823,Cluster_Master!$B$4:$B$18,0)),"")</f>
        <v/>
      </c>
      <c r="J823">
        <f>IFERROR(INDEX(Cluster_Master!$E$4:$E$18,MATCH($F823,Cluster_Master!$B$4:$B$18,0)),"")</f>
        <v/>
      </c>
      <c r="K823">
        <f>IFERROR(INDEX(Cluster_Master!$F$4:$F$18,MATCH($F823,Cluster_Master!$B$4:$B$18,0)),"")</f>
        <v/>
      </c>
      <c r="L823">
        <f>IFERROR(INDEX(Cluster_Master!$G$4:$G$18,MATCH($F823,Cluster_Master!$B$4:$B$18,0)),"")</f>
        <v/>
      </c>
      <c r="M823">
        <f>IFERROR(INDEX(Cluster_Master!$H$4:$H$18,MATCH($F823,Cluster_Master!$B$4:$B$18,0)),"")</f>
        <v/>
      </c>
      <c r="AI823">
        <f>IF(COUNTA(T823:AH823)=0,"",SUM(T823:AH823))</f>
        <v/>
      </c>
      <c r="AJ823">
        <f>IF(COUNTA(T823:AH823)=0,"",AI823/(COUNT(KPI_Weights!$A$4:$A$18)*5))</f>
        <v/>
      </c>
      <c r="AK823">
        <f>IF(COUNTA(T823:AH823)=0,"",SUMPRODUCT(T823:AH823,KPI_Weights!$B$4:$B$18)/5)</f>
        <v/>
      </c>
      <c r="AL823">
        <f>IF(COUNTA(T823:AH823)=0,"",IF(SUMPRODUCT(--(T823:AH823&lt;=1),--(KPI_Weights!$C$4:$C$18="YES"))&gt;0,"YES","NO"))</f>
        <v/>
      </c>
      <c r="AM823">
        <f>IF(AJ823="","",IF(AND(AL823="NO",AJ823&gt;=0.75),"YES","NO"))</f>
        <v/>
      </c>
      <c r="AN823">
        <f>IF(AJ823="","",IF(AJ823&lt;0.4,"Critical",IF(AJ823&lt;0.6,"Poor",IF(AJ823&lt;0.75,"Needs Improvement",IF(AJ823&lt;0.9,"Good","Excellent")))))</f>
        <v/>
      </c>
    </row>
    <row r="824" ht="15" customHeight="1" s="45">
      <c r="A824">
        <f>IF($B824="","",TEXT($B824,"yyyymmdd")&amp;"-"&amp;SUBSTITUTE($F824," ","")&amp;"-"&amp;TEXT(COUNTIF($F$4:F824,$F824),"00"))</f>
        <v/>
      </c>
      <c r="C824">
        <f>IF($B824="","",WEEKNUM($B824,2))</f>
        <v/>
      </c>
      <c r="D824">
        <f>IF($B824="","",TEXT($B824,"yyyy-mm"))</f>
        <v/>
      </c>
      <c r="G824">
        <f>IF(OR($E824="",$F824=""),"",IFERROR(IF($E824=INDEX(Cluster_Master!$A$4:$A$18,MATCH($F824,Cluster_Master!$B$4:$B$18,0)),"OK","CHECK"),"CHECK"))</f>
        <v/>
      </c>
      <c r="H824">
        <f>IFERROR(INDEX(Cluster_Master!$C$4:$C$18,MATCH($F824,Cluster_Master!$B$4:$B$18,0)),"")</f>
        <v/>
      </c>
      <c r="I824">
        <f>IFERROR(INDEX(Cluster_Master!$D$4:$D$18,MATCH($F824,Cluster_Master!$B$4:$B$18,0)),"")</f>
        <v/>
      </c>
      <c r="J824">
        <f>IFERROR(INDEX(Cluster_Master!$E$4:$E$18,MATCH($F824,Cluster_Master!$B$4:$B$18,0)),"")</f>
        <v/>
      </c>
      <c r="K824">
        <f>IFERROR(INDEX(Cluster_Master!$F$4:$F$18,MATCH($F824,Cluster_Master!$B$4:$B$18,0)),"")</f>
        <v/>
      </c>
      <c r="L824">
        <f>IFERROR(INDEX(Cluster_Master!$G$4:$G$18,MATCH($F824,Cluster_Master!$B$4:$B$18,0)),"")</f>
        <v/>
      </c>
      <c r="M824">
        <f>IFERROR(INDEX(Cluster_Master!$H$4:$H$18,MATCH($F824,Cluster_Master!$B$4:$B$18,0)),"")</f>
        <v/>
      </c>
      <c r="AI824">
        <f>IF(COUNTA(T824:AH824)=0,"",SUM(T824:AH824))</f>
        <v/>
      </c>
      <c r="AJ824">
        <f>IF(COUNTA(T824:AH824)=0,"",AI824/(COUNT(KPI_Weights!$A$4:$A$18)*5))</f>
        <v/>
      </c>
      <c r="AK824">
        <f>IF(COUNTA(T824:AH824)=0,"",SUMPRODUCT(T824:AH824,KPI_Weights!$B$4:$B$18)/5)</f>
        <v/>
      </c>
      <c r="AL824">
        <f>IF(COUNTA(T824:AH824)=0,"",IF(SUMPRODUCT(--(T824:AH824&lt;=1),--(KPI_Weights!$C$4:$C$18="YES"))&gt;0,"YES","NO"))</f>
        <v/>
      </c>
      <c r="AM824">
        <f>IF(AJ824="","",IF(AND(AL824="NO",AJ824&gt;=0.75),"YES","NO"))</f>
        <v/>
      </c>
      <c r="AN824">
        <f>IF(AJ824="","",IF(AJ824&lt;0.4,"Critical",IF(AJ824&lt;0.6,"Poor",IF(AJ824&lt;0.75,"Needs Improvement",IF(AJ824&lt;0.9,"Good","Excellent")))))</f>
        <v/>
      </c>
    </row>
    <row r="825" ht="15" customHeight="1" s="45">
      <c r="A825">
        <f>IF($B825="","",TEXT($B825,"yyyymmdd")&amp;"-"&amp;SUBSTITUTE($F825," ","")&amp;"-"&amp;TEXT(COUNTIF($F$4:F825,$F825),"00"))</f>
        <v/>
      </c>
      <c r="C825">
        <f>IF($B825="","",WEEKNUM($B825,2))</f>
        <v/>
      </c>
      <c r="D825">
        <f>IF($B825="","",TEXT($B825,"yyyy-mm"))</f>
        <v/>
      </c>
      <c r="G825">
        <f>IF(OR($E825="",$F825=""),"",IFERROR(IF($E825=INDEX(Cluster_Master!$A$4:$A$18,MATCH($F825,Cluster_Master!$B$4:$B$18,0)),"OK","CHECK"),"CHECK"))</f>
        <v/>
      </c>
      <c r="H825">
        <f>IFERROR(INDEX(Cluster_Master!$C$4:$C$18,MATCH($F825,Cluster_Master!$B$4:$B$18,0)),"")</f>
        <v/>
      </c>
      <c r="I825">
        <f>IFERROR(INDEX(Cluster_Master!$D$4:$D$18,MATCH($F825,Cluster_Master!$B$4:$B$18,0)),"")</f>
        <v/>
      </c>
      <c r="J825">
        <f>IFERROR(INDEX(Cluster_Master!$E$4:$E$18,MATCH($F825,Cluster_Master!$B$4:$B$18,0)),"")</f>
        <v/>
      </c>
      <c r="K825">
        <f>IFERROR(INDEX(Cluster_Master!$F$4:$F$18,MATCH($F825,Cluster_Master!$B$4:$B$18,0)),"")</f>
        <v/>
      </c>
      <c r="L825">
        <f>IFERROR(INDEX(Cluster_Master!$G$4:$G$18,MATCH($F825,Cluster_Master!$B$4:$B$18,0)),"")</f>
        <v/>
      </c>
      <c r="M825">
        <f>IFERROR(INDEX(Cluster_Master!$H$4:$H$18,MATCH($F825,Cluster_Master!$B$4:$B$18,0)),"")</f>
        <v/>
      </c>
      <c r="AI825">
        <f>IF(COUNTA(T825:AH825)=0,"",SUM(T825:AH825))</f>
        <v/>
      </c>
      <c r="AJ825">
        <f>IF(COUNTA(T825:AH825)=0,"",AI825/(COUNT(KPI_Weights!$A$4:$A$18)*5))</f>
        <v/>
      </c>
      <c r="AK825">
        <f>IF(COUNTA(T825:AH825)=0,"",SUMPRODUCT(T825:AH825,KPI_Weights!$B$4:$B$18)/5)</f>
        <v/>
      </c>
      <c r="AL825">
        <f>IF(COUNTA(T825:AH825)=0,"",IF(SUMPRODUCT(--(T825:AH825&lt;=1),--(KPI_Weights!$C$4:$C$18="YES"))&gt;0,"YES","NO"))</f>
        <v/>
      </c>
      <c r="AM825">
        <f>IF(AJ825="","",IF(AND(AL825="NO",AJ825&gt;=0.75),"YES","NO"))</f>
        <v/>
      </c>
      <c r="AN825">
        <f>IF(AJ825="","",IF(AJ825&lt;0.4,"Critical",IF(AJ825&lt;0.6,"Poor",IF(AJ825&lt;0.75,"Needs Improvement",IF(AJ825&lt;0.9,"Good","Excellent")))))</f>
        <v/>
      </c>
    </row>
    <row r="826" ht="15" customHeight="1" s="45">
      <c r="A826">
        <f>IF($B826="","",TEXT($B826,"yyyymmdd")&amp;"-"&amp;SUBSTITUTE($F826," ","")&amp;"-"&amp;TEXT(COUNTIF($F$4:F826,$F826),"00"))</f>
        <v/>
      </c>
      <c r="C826">
        <f>IF($B826="","",WEEKNUM($B826,2))</f>
        <v/>
      </c>
      <c r="D826">
        <f>IF($B826="","",TEXT($B826,"yyyy-mm"))</f>
        <v/>
      </c>
      <c r="G826">
        <f>IF(OR($E826="",$F826=""),"",IFERROR(IF($E826=INDEX(Cluster_Master!$A$4:$A$18,MATCH($F826,Cluster_Master!$B$4:$B$18,0)),"OK","CHECK"),"CHECK"))</f>
        <v/>
      </c>
      <c r="H826">
        <f>IFERROR(INDEX(Cluster_Master!$C$4:$C$18,MATCH($F826,Cluster_Master!$B$4:$B$18,0)),"")</f>
        <v/>
      </c>
      <c r="I826">
        <f>IFERROR(INDEX(Cluster_Master!$D$4:$D$18,MATCH($F826,Cluster_Master!$B$4:$B$18,0)),"")</f>
        <v/>
      </c>
      <c r="J826">
        <f>IFERROR(INDEX(Cluster_Master!$E$4:$E$18,MATCH($F826,Cluster_Master!$B$4:$B$18,0)),"")</f>
        <v/>
      </c>
      <c r="K826">
        <f>IFERROR(INDEX(Cluster_Master!$F$4:$F$18,MATCH($F826,Cluster_Master!$B$4:$B$18,0)),"")</f>
        <v/>
      </c>
      <c r="L826">
        <f>IFERROR(INDEX(Cluster_Master!$G$4:$G$18,MATCH($F826,Cluster_Master!$B$4:$B$18,0)),"")</f>
        <v/>
      </c>
      <c r="M826">
        <f>IFERROR(INDEX(Cluster_Master!$H$4:$H$18,MATCH($F826,Cluster_Master!$B$4:$B$18,0)),"")</f>
        <v/>
      </c>
      <c r="AI826">
        <f>IF(COUNTA(T826:AH826)=0,"",SUM(T826:AH826))</f>
        <v/>
      </c>
      <c r="AJ826">
        <f>IF(COUNTA(T826:AH826)=0,"",AI826/(COUNT(KPI_Weights!$A$4:$A$18)*5))</f>
        <v/>
      </c>
      <c r="AK826">
        <f>IF(COUNTA(T826:AH826)=0,"",SUMPRODUCT(T826:AH826,KPI_Weights!$B$4:$B$18)/5)</f>
        <v/>
      </c>
      <c r="AL826">
        <f>IF(COUNTA(T826:AH826)=0,"",IF(SUMPRODUCT(--(T826:AH826&lt;=1),--(KPI_Weights!$C$4:$C$18="YES"))&gt;0,"YES","NO"))</f>
        <v/>
      </c>
      <c r="AM826">
        <f>IF(AJ826="","",IF(AND(AL826="NO",AJ826&gt;=0.75),"YES","NO"))</f>
        <v/>
      </c>
      <c r="AN826">
        <f>IF(AJ826="","",IF(AJ826&lt;0.4,"Critical",IF(AJ826&lt;0.6,"Poor",IF(AJ826&lt;0.75,"Needs Improvement",IF(AJ826&lt;0.9,"Good","Excellent")))))</f>
        <v/>
      </c>
    </row>
    <row r="827" ht="15" customHeight="1" s="45">
      <c r="A827">
        <f>IF($B827="","",TEXT($B827,"yyyymmdd")&amp;"-"&amp;SUBSTITUTE($F827," ","")&amp;"-"&amp;TEXT(COUNTIF($F$4:F827,$F827),"00"))</f>
        <v/>
      </c>
      <c r="C827">
        <f>IF($B827="","",WEEKNUM($B827,2))</f>
        <v/>
      </c>
      <c r="D827">
        <f>IF($B827="","",TEXT($B827,"yyyy-mm"))</f>
        <v/>
      </c>
      <c r="G827">
        <f>IF(OR($E827="",$F827=""),"",IFERROR(IF($E827=INDEX(Cluster_Master!$A$4:$A$18,MATCH($F827,Cluster_Master!$B$4:$B$18,0)),"OK","CHECK"),"CHECK"))</f>
        <v/>
      </c>
      <c r="H827">
        <f>IFERROR(INDEX(Cluster_Master!$C$4:$C$18,MATCH($F827,Cluster_Master!$B$4:$B$18,0)),"")</f>
        <v/>
      </c>
      <c r="I827">
        <f>IFERROR(INDEX(Cluster_Master!$D$4:$D$18,MATCH($F827,Cluster_Master!$B$4:$B$18,0)),"")</f>
        <v/>
      </c>
      <c r="J827">
        <f>IFERROR(INDEX(Cluster_Master!$E$4:$E$18,MATCH($F827,Cluster_Master!$B$4:$B$18,0)),"")</f>
        <v/>
      </c>
      <c r="K827">
        <f>IFERROR(INDEX(Cluster_Master!$F$4:$F$18,MATCH($F827,Cluster_Master!$B$4:$B$18,0)),"")</f>
        <v/>
      </c>
      <c r="L827">
        <f>IFERROR(INDEX(Cluster_Master!$G$4:$G$18,MATCH($F827,Cluster_Master!$B$4:$B$18,0)),"")</f>
        <v/>
      </c>
      <c r="M827">
        <f>IFERROR(INDEX(Cluster_Master!$H$4:$H$18,MATCH($F827,Cluster_Master!$B$4:$B$18,0)),"")</f>
        <v/>
      </c>
      <c r="AI827">
        <f>IF(COUNTA(T827:AH827)=0,"",SUM(T827:AH827))</f>
        <v/>
      </c>
      <c r="AJ827">
        <f>IF(COUNTA(T827:AH827)=0,"",AI827/(COUNT(KPI_Weights!$A$4:$A$18)*5))</f>
        <v/>
      </c>
      <c r="AK827">
        <f>IF(COUNTA(T827:AH827)=0,"",SUMPRODUCT(T827:AH827,KPI_Weights!$B$4:$B$18)/5)</f>
        <v/>
      </c>
      <c r="AL827">
        <f>IF(COUNTA(T827:AH827)=0,"",IF(SUMPRODUCT(--(T827:AH827&lt;=1),--(KPI_Weights!$C$4:$C$18="YES"))&gt;0,"YES","NO"))</f>
        <v/>
      </c>
      <c r="AM827">
        <f>IF(AJ827="","",IF(AND(AL827="NO",AJ827&gt;=0.75),"YES","NO"))</f>
        <v/>
      </c>
      <c r="AN827">
        <f>IF(AJ827="","",IF(AJ827&lt;0.4,"Critical",IF(AJ827&lt;0.6,"Poor",IF(AJ827&lt;0.75,"Needs Improvement",IF(AJ827&lt;0.9,"Good","Excellent")))))</f>
        <v/>
      </c>
    </row>
    <row r="828" ht="15" customHeight="1" s="45">
      <c r="A828">
        <f>IF($B828="","",TEXT($B828,"yyyymmdd")&amp;"-"&amp;SUBSTITUTE($F828," ","")&amp;"-"&amp;TEXT(COUNTIF($F$4:F828,$F828),"00"))</f>
        <v/>
      </c>
      <c r="C828">
        <f>IF($B828="","",WEEKNUM($B828,2))</f>
        <v/>
      </c>
      <c r="D828">
        <f>IF($B828="","",TEXT($B828,"yyyy-mm"))</f>
        <v/>
      </c>
      <c r="G828">
        <f>IF(OR($E828="",$F828=""),"",IFERROR(IF($E828=INDEX(Cluster_Master!$A$4:$A$18,MATCH($F828,Cluster_Master!$B$4:$B$18,0)),"OK","CHECK"),"CHECK"))</f>
        <v/>
      </c>
      <c r="H828">
        <f>IFERROR(INDEX(Cluster_Master!$C$4:$C$18,MATCH($F828,Cluster_Master!$B$4:$B$18,0)),"")</f>
        <v/>
      </c>
      <c r="I828">
        <f>IFERROR(INDEX(Cluster_Master!$D$4:$D$18,MATCH($F828,Cluster_Master!$B$4:$B$18,0)),"")</f>
        <v/>
      </c>
      <c r="J828">
        <f>IFERROR(INDEX(Cluster_Master!$E$4:$E$18,MATCH($F828,Cluster_Master!$B$4:$B$18,0)),"")</f>
        <v/>
      </c>
      <c r="K828">
        <f>IFERROR(INDEX(Cluster_Master!$F$4:$F$18,MATCH($F828,Cluster_Master!$B$4:$B$18,0)),"")</f>
        <v/>
      </c>
      <c r="L828">
        <f>IFERROR(INDEX(Cluster_Master!$G$4:$G$18,MATCH($F828,Cluster_Master!$B$4:$B$18,0)),"")</f>
        <v/>
      </c>
      <c r="M828">
        <f>IFERROR(INDEX(Cluster_Master!$H$4:$H$18,MATCH($F828,Cluster_Master!$B$4:$B$18,0)),"")</f>
        <v/>
      </c>
      <c r="AI828">
        <f>IF(COUNTA(T828:AH828)=0,"",SUM(T828:AH828))</f>
        <v/>
      </c>
      <c r="AJ828">
        <f>IF(COUNTA(T828:AH828)=0,"",AI828/(COUNT(KPI_Weights!$A$4:$A$18)*5))</f>
        <v/>
      </c>
      <c r="AK828">
        <f>IF(COUNTA(T828:AH828)=0,"",SUMPRODUCT(T828:AH828,KPI_Weights!$B$4:$B$18)/5)</f>
        <v/>
      </c>
      <c r="AL828">
        <f>IF(COUNTA(T828:AH828)=0,"",IF(SUMPRODUCT(--(T828:AH828&lt;=1),--(KPI_Weights!$C$4:$C$18="YES"))&gt;0,"YES","NO"))</f>
        <v/>
      </c>
      <c r="AM828">
        <f>IF(AJ828="","",IF(AND(AL828="NO",AJ828&gt;=0.75),"YES","NO"))</f>
        <v/>
      </c>
      <c r="AN828">
        <f>IF(AJ828="","",IF(AJ828&lt;0.4,"Critical",IF(AJ828&lt;0.6,"Poor",IF(AJ828&lt;0.75,"Needs Improvement",IF(AJ828&lt;0.9,"Good","Excellent")))))</f>
        <v/>
      </c>
    </row>
    <row r="829" ht="15" customHeight="1" s="45">
      <c r="A829">
        <f>IF($B829="","",TEXT($B829,"yyyymmdd")&amp;"-"&amp;SUBSTITUTE($F829," ","")&amp;"-"&amp;TEXT(COUNTIF($F$4:F829,$F829),"00"))</f>
        <v/>
      </c>
      <c r="C829">
        <f>IF($B829="","",WEEKNUM($B829,2))</f>
        <v/>
      </c>
      <c r="D829">
        <f>IF($B829="","",TEXT($B829,"yyyy-mm"))</f>
        <v/>
      </c>
      <c r="G829">
        <f>IF(OR($E829="",$F829=""),"",IFERROR(IF($E829=INDEX(Cluster_Master!$A$4:$A$18,MATCH($F829,Cluster_Master!$B$4:$B$18,0)),"OK","CHECK"),"CHECK"))</f>
        <v/>
      </c>
      <c r="H829">
        <f>IFERROR(INDEX(Cluster_Master!$C$4:$C$18,MATCH($F829,Cluster_Master!$B$4:$B$18,0)),"")</f>
        <v/>
      </c>
      <c r="I829">
        <f>IFERROR(INDEX(Cluster_Master!$D$4:$D$18,MATCH($F829,Cluster_Master!$B$4:$B$18,0)),"")</f>
        <v/>
      </c>
      <c r="J829">
        <f>IFERROR(INDEX(Cluster_Master!$E$4:$E$18,MATCH($F829,Cluster_Master!$B$4:$B$18,0)),"")</f>
        <v/>
      </c>
      <c r="K829">
        <f>IFERROR(INDEX(Cluster_Master!$F$4:$F$18,MATCH($F829,Cluster_Master!$B$4:$B$18,0)),"")</f>
        <v/>
      </c>
      <c r="L829">
        <f>IFERROR(INDEX(Cluster_Master!$G$4:$G$18,MATCH($F829,Cluster_Master!$B$4:$B$18,0)),"")</f>
        <v/>
      </c>
      <c r="M829">
        <f>IFERROR(INDEX(Cluster_Master!$H$4:$H$18,MATCH($F829,Cluster_Master!$B$4:$B$18,0)),"")</f>
        <v/>
      </c>
      <c r="AI829">
        <f>IF(COUNTA(T829:AH829)=0,"",SUM(T829:AH829))</f>
        <v/>
      </c>
      <c r="AJ829">
        <f>IF(COUNTA(T829:AH829)=0,"",AI829/(COUNT(KPI_Weights!$A$4:$A$18)*5))</f>
        <v/>
      </c>
      <c r="AK829">
        <f>IF(COUNTA(T829:AH829)=0,"",SUMPRODUCT(T829:AH829,KPI_Weights!$B$4:$B$18)/5)</f>
        <v/>
      </c>
      <c r="AL829">
        <f>IF(COUNTA(T829:AH829)=0,"",IF(SUMPRODUCT(--(T829:AH829&lt;=1),--(KPI_Weights!$C$4:$C$18="YES"))&gt;0,"YES","NO"))</f>
        <v/>
      </c>
      <c r="AM829">
        <f>IF(AJ829="","",IF(AND(AL829="NO",AJ829&gt;=0.75),"YES","NO"))</f>
        <v/>
      </c>
      <c r="AN829">
        <f>IF(AJ829="","",IF(AJ829&lt;0.4,"Critical",IF(AJ829&lt;0.6,"Poor",IF(AJ829&lt;0.75,"Needs Improvement",IF(AJ829&lt;0.9,"Good","Excellent")))))</f>
        <v/>
      </c>
    </row>
    <row r="830" ht="15" customHeight="1" s="45">
      <c r="A830">
        <f>IF($B830="","",TEXT($B830,"yyyymmdd")&amp;"-"&amp;SUBSTITUTE($F830," ","")&amp;"-"&amp;TEXT(COUNTIF($F$4:F830,$F830),"00"))</f>
        <v/>
      </c>
      <c r="C830">
        <f>IF($B830="","",WEEKNUM($B830,2))</f>
        <v/>
      </c>
      <c r="D830">
        <f>IF($B830="","",TEXT($B830,"yyyy-mm"))</f>
        <v/>
      </c>
      <c r="G830">
        <f>IF(OR($E830="",$F830=""),"",IFERROR(IF($E830=INDEX(Cluster_Master!$A$4:$A$18,MATCH($F830,Cluster_Master!$B$4:$B$18,0)),"OK","CHECK"),"CHECK"))</f>
        <v/>
      </c>
      <c r="H830">
        <f>IFERROR(INDEX(Cluster_Master!$C$4:$C$18,MATCH($F830,Cluster_Master!$B$4:$B$18,0)),"")</f>
        <v/>
      </c>
      <c r="I830">
        <f>IFERROR(INDEX(Cluster_Master!$D$4:$D$18,MATCH($F830,Cluster_Master!$B$4:$B$18,0)),"")</f>
        <v/>
      </c>
      <c r="J830">
        <f>IFERROR(INDEX(Cluster_Master!$E$4:$E$18,MATCH($F830,Cluster_Master!$B$4:$B$18,0)),"")</f>
        <v/>
      </c>
      <c r="K830">
        <f>IFERROR(INDEX(Cluster_Master!$F$4:$F$18,MATCH($F830,Cluster_Master!$B$4:$B$18,0)),"")</f>
        <v/>
      </c>
      <c r="L830">
        <f>IFERROR(INDEX(Cluster_Master!$G$4:$G$18,MATCH($F830,Cluster_Master!$B$4:$B$18,0)),"")</f>
        <v/>
      </c>
      <c r="M830">
        <f>IFERROR(INDEX(Cluster_Master!$H$4:$H$18,MATCH($F830,Cluster_Master!$B$4:$B$18,0)),"")</f>
        <v/>
      </c>
      <c r="AI830">
        <f>IF(COUNTA(T830:AH830)=0,"",SUM(T830:AH830))</f>
        <v/>
      </c>
      <c r="AJ830">
        <f>IF(COUNTA(T830:AH830)=0,"",AI830/(COUNT(KPI_Weights!$A$4:$A$18)*5))</f>
        <v/>
      </c>
      <c r="AK830">
        <f>IF(COUNTA(T830:AH830)=0,"",SUMPRODUCT(T830:AH830,KPI_Weights!$B$4:$B$18)/5)</f>
        <v/>
      </c>
      <c r="AL830">
        <f>IF(COUNTA(T830:AH830)=0,"",IF(SUMPRODUCT(--(T830:AH830&lt;=1),--(KPI_Weights!$C$4:$C$18="YES"))&gt;0,"YES","NO"))</f>
        <v/>
      </c>
      <c r="AM830">
        <f>IF(AJ830="","",IF(AND(AL830="NO",AJ830&gt;=0.75),"YES","NO"))</f>
        <v/>
      </c>
      <c r="AN830">
        <f>IF(AJ830="","",IF(AJ830&lt;0.4,"Critical",IF(AJ830&lt;0.6,"Poor",IF(AJ830&lt;0.75,"Needs Improvement",IF(AJ830&lt;0.9,"Good","Excellent")))))</f>
        <v/>
      </c>
    </row>
    <row r="831" ht="15" customHeight="1" s="45">
      <c r="A831">
        <f>IF($B831="","",TEXT($B831,"yyyymmdd")&amp;"-"&amp;SUBSTITUTE($F831," ","")&amp;"-"&amp;TEXT(COUNTIF($F$4:F831,$F831),"00"))</f>
        <v/>
      </c>
      <c r="C831">
        <f>IF($B831="","",WEEKNUM($B831,2))</f>
        <v/>
      </c>
      <c r="D831">
        <f>IF($B831="","",TEXT($B831,"yyyy-mm"))</f>
        <v/>
      </c>
      <c r="G831">
        <f>IF(OR($E831="",$F831=""),"",IFERROR(IF($E831=INDEX(Cluster_Master!$A$4:$A$18,MATCH($F831,Cluster_Master!$B$4:$B$18,0)),"OK","CHECK"),"CHECK"))</f>
        <v/>
      </c>
      <c r="H831">
        <f>IFERROR(INDEX(Cluster_Master!$C$4:$C$18,MATCH($F831,Cluster_Master!$B$4:$B$18,0)),"")</f>
        <v/>
      </c>
      <c r="I831">
        <f>IFERROR(INDEX(Cluster_Master!$D$4:$D$18,MATCH($F831,Cluster_Master!$B$4:$B$18,0)),"")</f>
        <v/>
      </c>
      <c r="J831">
        <f>IFERROR(INDEX(Cluster_Master!$E$4:$E$18,MATCH($F831,Cluster_Master!$B$4:$B$18,0)),"")</f>
        <v/>
      </c>
      <c r="K831">
        <f>IFERROR(INDEX(Cluster_Master!$F$4:$F$18,MATCH($F831,Cluster_Master!$B$4:$B$18,0)),"")</f>
        <v/>
      </c>
      <c r="L831">
        <f>IFERROR(INDEX(Cluster_Master!$G$4:$G$18,MATCH($F831,Cluster_Master!$B$4:$B$18,0)),"")</f>
        <v/>
      </c>
      <c r="M831">
        <f>IFERROR(INDEX(Cluster_Master!$H$4:$H$18,MATCH($F831,Cluster_Master!$B$4:$B$18,0)),"")</f>
        <v/>
      </c>
      <c r="AI831">
        <f>IF(COUNTA(T831:AH831)=0,"",SUM(T831:AH831))</f>
        <v/>
      </c>
      <c r="AJ831">
        <f>IF(COUNTA(T831:AH831)=0,"",AI831/(COUNT(KPI_Weights!$A$4:$A$18)*5))</f>
        <v/>
      </c>
      <c r="AK831">
        <f>IF(COUNTA(T831:AH831)=0,"",SUMPRODUCT(T831:AH831,KPI_Weights!$B$4:$B$18)/5)</f>
        <v/>
      </c>
      <c r="AL831">
        <f>IF(COUNTA(T831:AH831)=0,"",IF(SUMPRODUCT(--(T831:AH831&lt;=1),--(KPI_Weights!$C$4:$C$18="YES"))&gt;0,"YES","NO"))</f>
        <v/>
      </c>
      <c r="AM831">
        <f>IF(AJ831="","",IF(AND(AL831="NO",AJ831&gt;=0.75),"YES","NO"))</f>
        <v/>
      </c>
      <c r="AN831">
        <f>IF(AJ831="","",IF(AJ831&lt;0.4,"Critical",IF(AJ831&lt;0.6,"Poor",IF(AJ831&lt;0.75,"Needs Improvement",IF(AJ831&lt;0.9,"Good","Excellent")))))</f>
        <v/>
      </c>
    </row>
    <row r="832" ht="15" customHeight="1" s="45">
      <c r="A832">
        <f>IF($B832="","",TEXT($B832,"yyyymmdd")&amp;"-"&amp;SUBSTITUTE($F832," ","")&amp;"-"&amp;TEXT(COUNTIF($F$4:F832,$F832),"00"))</f>
        <v/>
      </c>
      <c r="C832">
        <f>IF($B832="","",WEEKNUM($B832,2))</f>
        <v/>
      </c>
      <c r="D832">
        <f>IF($B832="","",TEXT($B832,"yyyy-mm"))</f>
        <v/>
      </c>
      <c r="G832">
        <f>IF(OR($E832="",$F832=""),"",IFERROR(IF($E832=INDEX(Cluster_Master!$A$4:$A$18,MATCH($F832,Cluster_Master!$B$4:$B$18,0)),"OK","CHECK"),"CHECK"))</f>
        <v/>
      </c>
      <c r="H832">
        <f>IFERROR(INDEX(Cluster_Master!$C$4:$C$18,MATCH($F832,Cluster_Master!$B$4:$B$18,0)),"")</f>
        <v/>
      </c>
      <c r="I832">
        <f>IFERROR(INDEX(Cluster_Master!$D$4:$D$18,MATCH($F832,Cluster_Master!$B$4:$B$18,0)),"")</f>
        <v/>
      </c>
      <c r="J832">
        <f>IFERROR(INDEX(Cluster_Master!$E$4:$E$18,MATCH($F832,Cluster_Master!$B$4:$B$18,0)),"")</f>
        <v/>
      </c>
      <c r="K832">
        <f>IFERROR(INDEX(Cluster_Master!$F$4:$F$18,MATCH($F832,Cluster_Master!$B$4:$B$18,0)),"")</f>
        <v/>
      </c>
      <c r="L832">
        <f>IFERROR(INDEX(Cluster_Master!$G$4:$G$18,MATCH($F832,Cluster_Master!$B$4:$B$18,0)),"")</f>
        <v/>
      </c>
      <c r="M832">
        <f>IFERROR(INDEX(Cluster_Master!$H$4:$H$18,MATCH($F832,Cluster_Master!$B$4:$B$18,0)),"")</f>
        <v/>
      </c>
      <c r="AI832">
        <f>IF(COUNTA(T832:AH832)=0,"",SUM(T832:AH832))</f>
        <v/>
      </c>
      <c r="AJ832">
        <f>IF(COUNTA(T832:AH832)=0,"",AI832/(COUNT(KPI_Weights!$A$4:$A$18)*5))</f>
        <v/>
      </c>
      <c r="AK832">
        <f>IF(COUNTA(T832:AH832)=0,"",SUMPRODUCT(T832:AH832,KPI_Weights!$B$4:$B$18)/5)</f>
        <v/>
      </c>
      <c r="AL832">
        <f>IF(COUNTA(T832:AH832)=0,"",IF(SUMPRODUCT(--(T832:AH832&lt;=1),--(KPI_Weights!$C$4:$C$18="YES"))&gt;0,"YES","NO"))</f>
        <v/>
      </c>
      <c r="AM832">
        <f>IF(AJ832="","",IF(AND(AL832="NO",AJ832&gt;=0.75),"YES","NO"))</f>
        <v/>
      </c>
      <c r="AN832">
        <f>IF(AJ832="","",IF(AJ832&lt;0.4,"Critical",IF(AJ832&lt;0.6,"Poor",IF(AJ832&lt;0.75,"Needs Improvement",IF(AJ832&lt;0.9,"Good","Excellent")))))</f>
        <v/>
      </c>
    </row>
    <row r="833" ht="15" customHeight="1" s="45">
      <c r="A833">
        <f>IF($B833="","",TEXT($B833,"yyyymmdd")&amp;"-"&amp;SUBSTITUTE($F833," ","")&amp;"-"&amp;TEXT(COUNTIF($F$4:F833,$F833),"00"))</f>
        <v/>
      </c>
      <c r="C833">
        <f>IF($B833="","",WEEKNUM($B833,2))</f>
        <v/>
      </c>
      <c r="D833">
        <f>IF($B833="","",TEXT($B833,"yyyy-mm"))</f>
        <v/>
      </c>
      <c r="G833">
        <f>IF(OR($E833="",$F833=""),"",IFERROR(IF($E833=INDEX(Cluster_Master!$A$4:$A$18,MATCH($F833,Cluster_Master!$B$4:$B$18,0)),"OK","CHECK"),"CHECK"))</f>
        <v/>
      </c>
      <c r="H833">
        <f>IFERROR(INDEX(Cluster_Master!$C$4:$C$18,MATCH($F833,Cluster_Master!$B$4:$B$18,0)),"")</f>
        <v/>
      </c>
      <c r="I833">
        <f>IFERROR(INDEX(Cluster_Master!$D$4:$D$18,MATCH($F833,Cluster_Master!$B$4:$B$18,0)),"")</f>
        <v/>
      </c>
      <c r="J833">
        <f>IFERROR(INDEX(Cluster_Master!$E$4:$E$18,MATCH($F833,Cluster_Master!$B$4:$B$18,0)),"")</f>
        <v/>
      </c>
      <c r="K833">
        <f>IFERROR(INDEX(Cluster_Master!$F$4:$F$18,MATCH($F833,Cluster_Master!$B$4:$B$18,0)),"")</f>
        <v/>
      </c>
      <c r="L833">
        <f>IFERROR(INDEX(Cluster_Master!$G$4:$G$18,MATCH($F833,Cluster_Master!$B$4:$B$18,0)),"")</f>
        <v/>
      </c>
      <c r="M833">
        <f>IFERROR(INDEX(Cluster_Master!$H$4:$H$18,MATCH($F833,Cluster_Master!$B$4:$B$18,0)),"")</f>
        <v/>
      </c>
      <c r="AI833">
        <f>IF(COUNTA(T833:AH833)=0,"",SUM(T833:AH833))</f>
        <v/>
      </c>
      <c r="AJ833">
        <f>IF(COUNTA(T833:AH833)=0,"",AI833/(COUNT(KPI_Weights!$A$4:$A$18)*5))</f>
        <v/>
      </c>
      <c r="AK833">
        <f>IF(COUNTA(T833:AH833)=0,"",SUMPRODUCT(T833:AH833,KPI_Weights!$B$4:$B$18)/5)</f>
        <v/>
      </c>
      <c r="AL833">
        <f>IF(COUNTA(T833:AH833)=0,"",IF(SUMPRODUCT(--(T833:AH833&lt;=1),--(KPI_Weights!$C$4:$C$18="YES"))&gt;0,"YES","NO"))</f>
        <v/>
      </c>
      <c r="AM833">
        <f>IF(AJ833="","",IF(AND(AL833="NO",AJ833&gt;=0.75),"YES","NO"))</f>
        <v/>
      </c>
      <c r="AN833">
        <f>IF(AJ833="","",IF(AJ833&lt;0.4,"Critical",IF(AJ833&lt;0.6,"Poor",IF(AJ833&lt;0.75,"Needs Improvement",IF(AJ833&lt;0.9,"Good","Excellent")))))</f>
        <v/>
      </c>
    </row>
    <row r="834" ht="15" customHeight="1" s="45">
      <c r="A834">
        <f>IF($B834="","",TEXT($B834,"yyyymmdd")&amp;"-"&amp;SUBSTITUTE($F834," ","")&amp;"-"&amp;TEXT(COUNTIF($F$4:F834,$F834),"00"))</f>
        <v/>
      </c>
      <c r="C834">
        <f>IF($B834="","",WEEKNUM($B834,2))</f>
        <v/>
      </c>
      <c r="D834">
        <f>IF($B834="","",TEXT($B834,"yyyy-mm"))</f>
        <v/>
      </c>
      <c r="G834">
        <f>IF(OR($E834="",$F834=""),"",IFERROR(IF($E834=INDEX(Cluster_Master!$A$4:$A$18,MATCH($F834,Cluster_Master!$B$4:$B$18,0)),"OK","CHECK"),"CHECK"))</f>
        <v/>
      </c>
      <c r="H834">
        <f>IFERROR(INDEX(Cluster_Master!$C$4:$C$18,MATCH($F834,Cluster_Master!$B$4:$B$18,0)),"")</f>
        <v/>
      </c>
      <c r="I834">
        <f>IFERROR(INDEX(Cluster_Master!$D$4:$D$18,MATCH($F834,Cluster_Master!$B$4:$B$18,0)),"")</f>
        <v/>
      </c>
      <c r="J834">
        <f>IFERROR(INDEX(Cluster_Master!$E$4:$E$18,MATCH($F834,Cluster_Master!$B$4:$B$18,0)),"")</f>
        <v/>
      </c>
      <c r="K834">
        <f>IFERROR(INDEX(Cluster_Master!$F$4:$F$18,MATCH($F834,Cluster_Master!$B$4:$B$18,0)),"")</f>
        <v/>
      </c>
      <c r="L834">
        <f>IFERROR(INDEX(Cluster_Master!$G$4:$G$18,MATCH($F834,Cluster_Master!$B$4:$B$18,0)),"")</f>
        <v/>
      </c>
      <c r="M834">
        <f>IFERROR(INDEX(Cluster_Master!$H$4:$H$18,MATCH($F834,Cluster_Master!$B$4:$B$18,0)),"")</f>
        <v/>
      </c>
      <c r="AI834">
        <f>IF(COUNTA(T834:AH834)=0,"",SUM(T834:AH834))</f>
        <v/>
      </c>
      <c r="AJ834">
        <f>IF(COUNTA(T834:AH834)=0,"",AI834/(COUNT(KPI_Weights!$A$4:$A$18)*5))</f>
        <v/>
      </c>
      <c r="AK834">
        <f>IF(COUNTA(T834:AH834)=0,"",SUMPRODUCT(T834:AH834,KPI_Weights!$B$4:$B$18)/5)</f>
        <v/>
      </c>
      <c r="AL834">
        <f>IF(COUNTA(T834:AH834)=0,"",IF(SUMPRODUCT(--(T834:AH834&lt;=1),--(KPI_Weights!$C$4:$C$18="YES"))&gt;0,"YES","NO"))</f>
        <v/>
      </c>
      <c r="AM834">
        <f>IF(AJ834="","",IF(AND(AL834="NO",AJ834&gt;=0.75),"YES","NO"))</f>
        <v/>
      </c>
      <c r="AN834">
        <f>IF(AJ834="","",IF(AJ834&lt;0.4,"Critical",IF(AJ834&lt;0.6,"Poor",IF(AJ834&lt;0.75,"Needs Improvement",IF(AJ834&lt;0.9,"Good","Excellent")))))</f>
        <v/>
      </c>
    </row>
    <row r="835" ht="15" customHeight="1" s="45">
      <c r="A835">
        <f>IF($B835="","",TEXT($B835,"yyyymmdd")&amp;"-"&amp;SUBSTITUTE($F835," ","")&amp;"-"&amp;TEXT(COUNTIF($F$4:F835,$F835),"00"))</f>
        <v/>
      </c>
      <c r="C835">
        <f>IF($B835="","",WEEKNUM($B835,2))</f>
        <v/>
      </c>
      <c r="D835">
        <f>IF($B835="","",TEXT($B835,"yyyy-mm"))</f>
        <v/>
      </c>
      <c r="G835">
        <f>IF(OR($E835="",$F835=""),"",IFERROR(IF($E835=INDEX(Cluster_Master!$A$4:$A$18,MATCH($F835,Cluster_Master!$B$4:$B$18,0)),"OK","CHECK"),"CHECK"))</f>
        <v/>
      </c>
      <c r="H835">
        <f>IFERROR(INDEX(Cluster_Master!$C$4:$C$18,MATCH($F835,Cluster_Master!$B$4:$B$18,0)),"")</f>
        <v/>
      </c>
      <c r="I835">
        <f>IFERROR(INDEX(Cluster_Master!$D$4:$D$18,MATCH($F835,Cluster_Master!$B$4:$B$18,0)),"")</f>
        <v/>
      </c>
      <c r="J835">
        <f>IFERROR(INDEX(Cluster_Master!$E$4:$E$18,MATCH($F835,Cluster_Master!$B$4:$B$18,0)),"")</f>
        <v/>
      </c>
      <c r="K835">
        <f>IFERROR(INDEX(Cluster_Master!$F$4:$F$18,MATCH($F835,Cluster_Master!$B$4:$B$18,0)),"")</f>
        <v/>
      </c>
      <c r="L835">
        <f>IFERROR(INDEX(Cluster_Master!$G$4:$G$18,MATCH($F835,Cluster_Master!$B$4:$B$18,0)),"")</f>
        <v/>
      </c>
      <c r="M835">
        <f>IFERROR(INDEX(Cluster_Master!$H$4:$H$18,MATCH($F835,Cluster_Master!$B$4:$B$18,0)),"")</f>
        <v/>
      </c>
      <c r="AI835">
        <f>IF(COUNTA(T835:AH835)=0,"",SUM(T835:AH835))</f>
        <v/>
      </c>
      <c r="AJ835">
        <f>IF(COUNTA(T835:AH835)=0,"",AI835/(COUNT(KPI_Weights!$A$4:$A$18)*5))</f>
        <v/>
      </c>
      <c r="AK835">
        <f>IF(COUNTA(T835:AH835)=0,"",SUMPRODUCT(T835:AH835,KPI_Weights!$B$4:$B$18)/5)</f>
        <v/>
      </c>
      <c r="AL835">
        <f>IF(COUNTA(T835:AH835)=0,"",IF(SUMPRODUCT(--(T835:AH835&lt;=1),--(KPI_Weights!$C$4:$C$18="YES"))&gt;0,"YES","NO"))</f>
        <v/>
      </c>
      <c r="AM835">
        <f>IF(AJ835="","",IF(AND(AL835="NO",AJ835&gt;=0.75),"YES","NO"))</f>
        <v/>
      </c>
      <c r="AN835">
        <f>IF(AJ835="","",IF(AJ835&lt;0.4,"Critical",IF(AJ835&lt;0.6,"Poor",IF(AJ835&lt;0.75,"Needs Improvement",IF(AJ835&lt;0.9,"Good","Excellent")))))</f>
        <v/>
      </c>
    </row>
    <row r="836" ht="15" customHeight="1" s="45">
      <c r="A836">
        <f>IF($B836="","",TEXT($B836,"yyyymmdd")&amp;"-"&amp;SUBSTITUTE($F836," ","")&amp;"-"&amp;TEXT(COUNTIF($F$4:F836,$F836),"00"))</f>
        <v/>
      </c>
      <c r="C836">
        <f>IF($B836="","",WEEKNUM($B836,2))</f>
        <v/>
      </c>
      <c r="D836">
        <f>IF($B836="","",TEXT($B836,"yyyy-mm"))</f>
        <v/>
      </c>
      <c r="G836">
        <f>IF(OR($E836="",$F836=""),"",IFERROR(IF($E836=INDEX(Cluster_Master!$A$4:$A$18,MATCH($F836,Cluster_Master!$B$4:$B$18,0)),"OK","CHECK"),"CHECK"))</f>
        <v/>
      </c>
      <c r="H836">
        <f>IFERROR(INDEX(Cluster_Master!$C$4:$C$18,MATCH($F836,Cluster_Master!$B$4:$B$18,0)),"")</f>
        <v/>
      </c>
      <c r="I836">
        <f>IFERROR(INDEX(Cluster_Master!$D$4:$D$18,MATCH($F836,Cluster_Master!$B$4:$B$18,0)),"")</f>
        <v/>
      </c>
      <c r="J836">
        <f>IFERROR(INDEX(Cluster_Master!$E$4:$E$18,MATCH($F836,Cluster_Master!$B$4:$B$18,0)),"")</f>
        <v/>
      </c>
      <c r="K836">
        <f>IFERROR(INDEX(Cluster_Master!$F$4:$F$18,MATCH($F836,Cluster_Master!$B$4:$B$18,0)),"")</f>
        <v/>
      </c>
      <c r="L836">
        <f>IFERROR(INDEX(Cluster_Master!$G$4:$G$18,MATCH($F836,Cluster_Master!$B$4:$B$18,0)),"")</f>
        <v/>
      </c>
      <c r="M836">
        <f>IFERROR(INDEX(Cluster_Master!$H$4:$H$18,MATCH($F836,Cluster_Master!$B$4:$B$18,0)),"")</f>
        <v/>
      </c>
      <c r="AI836">
        <f>IF(COUNTA(T836:AH836)=0,"",SUM(T836:AH836))</f>
        <v/>
      </c>
      <c r="AJ836">
        <f>IF(COUNTA(T836:AH836)=0,"",AI836/(COUNT(KPI_Weights!$A$4:$A$18)*5))</f>
        <v/>
      </c>
      <c r="AK836">
        <f>IF(COUNTA(T836:AH836)=0,"",SUMPRODUCT(T836:AH836,KPI_Weights!$B$4:$B$18)/5)</f>
        <v/>
      </c>
      <c r="AL836">
        <f>IF(COUNTA(T836:AH836)=0,"",IF(SUMPRODUCT(--(T836:AH836&lt;=1),--(KPI_Weights!$C$4:$C$18="YES"))&gt;0,"YES","NO"))</f>
        <v/>
      </c>
      <c r="AM836">
        <f>IF(AJ836="","",IF(AND(AL836="NO",AJ836&gt;=0.75),"YES","NO"))</f>
        <v/>
      </c>
      <c r="AN836">
        <f>IF(AJ836="","",IF(AJ836&lt;0.4,"Critical",IF(AJ836&lt;0.6,"Poor",IF(AJ836&lt;0.75,"Needs Improvement",IF(AJ836&lt;0.9,"Good","Excellent")))))</f>
        <v/>
      </c>
    </row>
    <row r="837" ht="15" customHeight="1" s="45">
      <c r="A837">
        <f>IF($B837="","",TEXT($B837,"yyyymmdd")&amp;"-"&amp;SUBSTITUTE($F837," ","")&amp;"-"&amp;TEXT(COUNTIF($F$4:F837,$F837),"00"))</f>
        <v/>
      </c>
      <c r="C837">
        <f>IF($B837="","",WEEKNUM($B837,2))</f>
        <v/>
      </c>
      <c r="D837">
        <f>IF($B837="","",TEXT($B837,"yyyy-mm"))</f>
        <v/>
      </c>
      <c r="G837">
        <f>IF(OR($E837="",$F837=""),"",IFERROR(IF($E837=INDEX(Cluster_Master!$A$4:$A$18,MATCH($F837,Cluster_Master!$B$4:$B$18,0)),"OK","CHECK"),"CHECK"))</f>
        <v/>
      </c>
      <c r="H837">
        <f>IFERROR(INDEX(Cluster_Master!$C$4:$C$18,MATCH($F837,Cluster_Master!$B$4:$B$18,0)),"")</f>
        <v/>
      </c>
      <c r="I837">
        <f>IFERROR(INDEX(Cluster_Master!$D$4:$D$18,MATCH($F837,Cluster_Master!$B$4:$B$18,0)),"")</f>
        <v/>
      </c>
      <c r="J837">
        <f>IFERROR(INDEX(Cluster_Master!$E$4:$E$18,MATCH($F837,Cluster_Master!$B$4:$B$18,0)),"")</f>
        <v/>
      </c>
      <c r="K837">
        <f>IFERROR(INDEX(Cluster_Master!$F$4:$F$18,MATCH($F837,Cluster_Master!$B$4:$B$18,0)),"")</f>
        <v/>
      </c>
      <c r="L837">
        <f>IFERROR(INDEX(Cluster_Master!$G$4:$G$18,MATCH($F837,Cluster_Master!$B$4:$B$18,0)),"")</f>
        <v/>
      </c>
      <c r="M837">
        <f>IFERROR(INDEX(Cluster_Master!$H$4:$H$18,MATCH($F837,Cluster_Master!$B$4:$B$18,0)),"")</f>
        <v/>
      </c>
      <c r="AI837">
        <f>IF(COUNTA(T837:AH837)=0,"",SUM(T837:AH837))</f>
        <v/>
      </c>
      <c r="AJ837">
        <f>IF(COUNTA(T837:AH837)=0,"",AI837/(COUNT(KPI_Weights!$A$4:$A$18)*5))</f>
        <v/>
      </c>
      <c r="AK837">
        <f>IF(COUNTA(T837:AH837)=0,"",SUMPRODUCT(T837:AH837,KPI_Weights!$B$4:$B$18)/5)</f>
        <v/>
      </c>
      <c r="AL837">
        <f>IF(COUNTA(T837:AH837)=0,"",IF(SUMPRODUCT(--(T837:AH837&lt;=1),--(KPI_Weights!$C$4:$C$18="YES"))&gt;0,"YES","NO"))</f>
        <v/>
      </c>
      <c r="AM837">
        <f>IF(AJ837="","",IF(AND(AL837="NO",AJ837&gt;=0.75),"YES","NO"))</f>
        <v/>
      </c>
      <c r="AN837">
        <f>IF(AJ837="","",IF(AJ837&lt;0.4,"Critical",IF(AJ837&lt;0.6,"Poor",IF(AJ837&lt;0.75,"Needs Improvement",IF(AJ837&lt;0.9,"Good","Excellent")))))</f>
        <v/>
      </c>
    </row>
    <row r="838" ht="15" customHeight="1" s="45">
      <c r="A838">
        <f>IF($B838="","",TEXT($B838,"yyyymmdd")&amp;"-"&amp;SUBSTITUTE($F838," ","")&amp;"-"&amp;TEXT(COUNTIF($F$4:F838,$F838),"00"))</f>
        <v/>
      </c>
      <c r="C838">
        <f>IF($B838="","",WEEKNUM($B838,2))</f>
        <v/>
      </c>
      <c r="D838">
        <f>IF($B838="","",TEXT($B838,"yyyy-mm"))</f>
        <v/>
      </c>
      <c r="G838">
        <f>IF(OR($E838="",$F838=""),"",IFERROR(IF($E838=INDEX(Cluster_Master!$A$4:$A$18,MATCH($F838,Cluster_Master!$B$4:$B$18,0)),"OK","CHECK"),"CHECK"))</f>
        <v/>
      </c>
      <c r="H838">
        <f>IFERROR(INDEX(Cluster_Master!$C$4:$C$18,MATCH($F838,Cluster_Master!$B$4:$B$18,0)),"")</f>
        <v/>
      </c>
      <c r="I838">
        <f>IFERROR(INDEX(Cluster_Master!$D$4:$D$18,MATCH($F838,Cluster_Master!$B$4:$B$18,0)),"")</f>
        <v/>
      </c>
      <c r="J838">
        <f>IFERROR(INDEX(Cluster_Master!$E$4:$E$18,MATCH($F838,Cluster_Master!$B$4:$B$18,0)),"")</f>
        <v/>
      </c>
      <c r="K838">
        <f>IFERROR(INDEX(Cluster_Master!$F$4:$F$18,MATCH($F838,Cluster_Master!$B$4:$B$18,0)),"")</f>
        <v/>
      </c>
      <c r="L838">
        <f>IFERROR(INDEX(Cluster_Master!$G$4:$G$18,MATCH($F838,Cluster_Master!$B$4:$B$18,0)),"")</f>
        <v/>
      </c>
      <c r="M838">
        <f>IFERROR(INDEX(Cluster_Master!$H$4:$H$18,MATCH($F838,Cluster_Master!$B$4:$B$18,0)),"")</f>
        <v/>
      </c>
      <c r="AI838">
        <f>IF(COUNTA(T838:AH838)=0,"",SUM(T838:AH838))</f>
        <v/>
      </c>
      <c r="AJ838">
        <f>IF(COUNTA(T838:AH838)=0,"",AI838/(COUNT(KPI_Weights!$A$4:$A$18)*5))</f>
        <v/>
      </c>
      <c r="AK838">
        <f>IF(COUNTA(T838:AH838)=0,"",SUMPRODUCT(T838:AH838,KPI_Weights!$B$4:$B$18)/5)</f>
        <v/>
      </c>
      <c r="AL838">
        <f>IF(COUNTA(T838:AH838)=0,"",IF(SUMPRODUCT(--(T838:AH838&lt;=1),--(KPI_Weights!$C$4:$C$18="YES"))&gt;0,"YES","NO"))</f>
        <v/>
      </c>
      <c r="AM838">
        <f>IF(AJ838="","",IF(AND(AL838="NO",AJ838&gt;=0.75),"YES","NO"))</f>
        <v/>
      </c>
      <c r="AN838">
        <f>IF(AJ838="","",IF(AJ838&lt;0.4,"Critical",IF(AJ838&lt;0.6,"Poor",IF(AJ838&lt;0.75,"Needs Improvement",IF(AJ838&lt;0.9,"Good","Excellent")))))</f>
        <v/>
      </c>
    </row>
    <row r="839" ht="15" customHeight="1" s="45">
      <c r="A839">
        <f>IF($B839="","",TEXT($B839,"yyyymmdd")&amp;"-"&amp;SUBSTITUTE($F839," ","")&amp;"-"&amp;TEXT(COUNTIF($F$4:F839,$F839),"00"))</f>
        <v/>
      </c>
      <c r="C839">
        <f>IF($B839="","",WEEKNUM($B839,2))</f>
        <v/>
      </c>
      <c r="D839">
        <f>IF($B839="","",TEXT($B839,"yyyy-mm"))</f>
        <v/>
      </c>
      <c r="G839">
        <f>IF(OR($E839="",$F839=""),"",IFERROR(IF($E839=INDEX(Cluster_Master!$A$4:$A$18,MATCH($F839,Cluster_Master!$B$4:$B$18,0)),"OK","CHECK"),"CHECK"))</f>
        <v/>
      </c>
      <c r="H839">
        <f>IFERROR(INDEX(Cluster_Master!$C$4:$C$18,MATCH($F839,Cluster_Master!$B$4:$B$18,0)),"")</f>
        <v/>
      </c>
      <c r="I839">
        <f>IFERROR(INDEX(Cluster_Master!$D$4:$D$18,MATCH($F839,Cluster_Master!$B$4:$B$18,0)),"")</f>
        <v/>
      </c>
      <c r="J839">
        <f>IFERROR(INDEX(Cluster_Master!$E$4:$E$18,MATCH($F839,Cluster_Master!$B$4:$B$18,0)),"")</f>
        <v/>
      </c>
      <c r="K839">
        <f>IFERROR(INDEX(Cluster_Master!$F$4:$F$18,MATCH($F839,Cluster_Master!$B$4:$B$18,0)),"")</f>
        <v/>
      </c>
      <c r="L839">
        <f>IFERROR(INDEX(Cluster_Master!$G$4:$G$18,MATCH($F839,Cluster_Master!$B$4:$B$18,0)),"")</f>
        <v/>
      </c>
      <c r="M839">
        <f>IFERROR(INDEX(Cluster_Master!$H$4:$H$18,MATCH($F839,Cluster_Master!$B$4:$B$18,0)),"")</f>
        <v/>
      </c>
      <c r="AI839">
        <f>IF(COUNTA(T839:AH839)=0,"",SUM(T839:AH839))</f>
        <v/>
      </c>
      <c r="AJ839">
        <f>IF(COUNTA(T839:AH839)=0,"",AI839/(COUNT(KPI_Weights!$A$4:$A$18)*5))</f>
        <v/>
      </c>
      <c r="AK839">
        <f>IF(COUNTA(T839:AH839)=0,"",SUMPRODUCT(T839:AH839,KPI_Weights!$B$4:$B$18)/5)</f>
        <v/>
      </c>
      <c r="AL839">
        <f>IF(COUNTA(T839:AH839)=0,"",IF(SUMPRODUCT(--(T839:AH839&lt;=1),--(KPI_Weights!$C$4:$C$18="YES"))&gt;0,"YES","NO"))</f>
        <v/>
      </c>
      <c r="AM839">
        <f>IF(AJ839="","",IF(AND(AL839="NO",AJ839&gt;=0.75),"YES","NO"))</f>
        <v/>
      </c>
      <c r="AN839">
        <f>IF(AJ839="","",IF(AJ839&lt;0.4,"Critical",IF(AJ839&lt;0.6,"Poor",IF(AJ839&lt;0.75,"Needs Improvement",IF(AJ839&lt;0.9,"Good","Excellent")))))</f>
        <v/>
      </c>
    </row>
    <row r="840" ht="15" customHeight="1" s="45">
      <c r="A840">
        <f>IF($B840="","",TEXT($B840,"yyyymmdd")&amp;"-"&amp;SUBSTITUTE($F840," ","")&amp;"-"&amp;TEXT(COUNTIF($F$4:F840,$F840),"00"))</f>
        <v/>
      </c>
      <c r="C840">
        <f>IF($B840="","",WEEKNUM($B840,2))</f>
        <v/>
      </c>
      <c r="D840">
        <f>IF($B840="","",TEXT($B840,"yyyy-mm"))</f>
        <v/>
      </c>
      <c r="G840">
        <f>IF(OR($E840="",$F840=""),"",IFERROR(IF($E840=INDEX(Cluster_Master!$A$4:$A$18,MATCH($F840,Cluster_Master!$B$4:$B$18,0)),"OK","CHECK"),"CHECK"))</f>
        <v/>
      </c>
      <c r="H840">
        <f>IFERROR(INDEX(Cluster_Master!$C$4:$C$18,MATCH($F840,Cluster_Master!$B$4:$B$18,0)),"")</f>
        <v/>
      </c>
      <c r="I840">
        <f>IFERROR(INDEX(Cluster_Master!$D$4:$D$18,MATCH($F840,Cluster_Master!$B$4:$B$18,0)),"")</f>
        <v/>
      </c>
      <c r="J840">
        <f>IFERROR(INDEX(Cluster_Master!$E$4:$E$18,MATCH($F840,Cluster_Master!$B$4:$B$18,0)),"")</f>
        <v/>
      </c>
      <c r="K840">
        <f>IFERROR(INDEX(Cluster_Master!$F$4:$F$18,MATCH($F840,Cluster_Master!$B$4:$B$18,0)),"")</f>
        <v/>
      </c>
      <c r="L840">
        <f>IFERROR(INDEX(Cluster_Master!$G$4:$G$18,MATCH($F840,Cluster_Master!$B$4:$B$18,0)),"")</f>
        <v/>
      </c>
      <c r="M840">
        <f>IFERROR(INDEX(Cluster_Master!$H$4:$H$18,MATCH($F840,Cluster_Master!$B$4:$B$18,0)),"")</f>
        <v/>
      </c>
      <c r="AI840">
        <f>IF(COUNTA(T840:AH840)=0,"",SUM(T840:AH840))</f>
        <v/>
      </c>
      <c r="AJ840">
        <f>IF(COUNTA(T840:AH840)=0,"",AI840/(COUNT(KPI_Weights!$A$4:$A$18)*5))</f>
        <v/>
      </c>
      <c r="AK840">
        <f>IF(COUNTA(T840:AH840)=0,"",SUMPRODUCT(T840:AH840,KPI_Weights!$B$4:$B$18)/5)</f>
        <v/>
      </c>
      <c r="AL840">
        <f>IF(COUNTA(T840:AH840)=0,"",IF(SUMPRODUCT(--(T840:AH840&lt;=1),--(KPI_Weights!$C$4:$C$18="YES"))&gt;0,"YES","NO"))</f>
        <v/>
      </c>
      <c r="AM840">
        <f>IF(AJ840="","",IF(AND(AL840="NO",AJ840&gt;=0.75),"YES","NO"))</f>
        <v/>
      </c>
      <c r="AN840">
        <f>IF(AJ840="","",IF(AJ840&lt;0.4,"Critical",IF(AJ840&lt;0.6,"Poor",IF(AJ840&lt;0.75,"Needs Improvement",IF(AJ840&lt;0.9,"Good","Excellent")))))</f>
        <v/>
      </c>
    </row>
    <row r="841" ht="15" customHeight="1" s="45">
      <c r="A841">
        <f>IF($B841="","",TEXT($B841,"yyyymmdd")&amp;"-"&amp;SUBSTITUTE($F841," ","")&amp;"-"&amp;TEXT(COUNTIF($F$4:F841,$F841),"00"))</f>
        <v/>
      </c>
      <c r="C841">
        <f>IF($B841="","",WEEKNUM($B841,2))</f>
        <v/>
      </c>
      <c r="D841">
        <f>IF($B841="","",TEXT($B841,"yyyy-mm"))</f>
        <v/>
      </c>
      <c r="G841">
        <f>IF(OR($E841="",$F841=""),"",IFERROR(IF($E841=INDEX(Cluster_Master!$A$4:$A$18,MATCH($F841,Cluster_Master!$B$4:$B$18,0)),"OK","CHECK"),"CHECK"))</f>
        <v/>
      </c>
      <c r="H841">
        <f>IFERROR(INDEX(Cluster_Master!$C$4:$C$18,MATCH($F841,Cluster_Master!$B$4:$B$18,0)),"")</f>
        <v/>
      </c>
      <c r="I841">
        <f>IFERROR(INDEX(Cluster_Master!$D$4:$D$18,MATCH($F841,Cluster_Master!$B$4:$B$18,0)),"")</f>
        <v/>
      </c>
      <c r="J841">
        <f>IFERROR(INDEX(Cluster_Master!$E$4:$E$18,MATCH($F841,Cluster_Master!$B$4:$B$18,0)),"")</f>
        <v/>
      </c>
      <c r="K841">
        <f>IFERROR(INDEX(Cluster_Master!$F$4:$F$18,MATCH($F841,Cluster_Master!$B$4:$B$18,0)),"")</f>
        <v/>
      </c>
      <c r="L841">
        <f>IFERROR(INDEX(Cluster_Master!$G$4:$G$18,MATCH($F841,Cluster_Master!$B$4:$B$18,0)),"")</f>
        <v/>
      </c>
      <c r="M841">
        <f>IFERROR(INDEX(Cluster_Master!$H$4:$H$18,MATCH($F841,Cluster_Master!$B$4:$B$18,0)),"")</f>
        <v/>
      </c>
      <c r="AI841">
        <f>IF(COUNTA(T841:AH841)=0,"",SUM(T841:AH841))</f>
        <v/>
      </c>
      <c r="AJ841">
        <f>IF(COUNTA(T841:AH841)=0,"",AI841/(COUNT(KPI_Weights!$A$4:$A$18)*5))</f>
        <v/>
      </c>
      <c r="AK841">
        <f>IF(COUNTA(T841:AH841)=0,"",SUMPRODUCT(T841:AH841,KPI_Weights!$B$4:$B$18)/5)</f>
        <v/>
      </c>
      <c r="AL841">
        <f>IF(COUNTA(T841:AH841)=0,"",IF(SUMPRODUCT(--(T841:AH841&lt;=1),--(KPI_Weights!$C$4:$C$18="YES"))&gt;0,"YES","NO"))</f>
        <v/>
      </c>
      <c r="AM841">
        <f>IF(AJ841="","",IF(AND(AL841="NO",AJ841&gt;=0.75),"YES","NO"))</f>
        <v/>
      </c>
      <c r="AN841">
        <f>IF(AJ841="","",IF(AJ841&lt;0.4,"Critical",IF(AJ841&lt;0.6,"Poor",IF(AJ841&lt;0.75,"Needs Improvement",IF(AJ841&lt;0.9,"Good","Excellent")))))</f>
        <v/>
      </c>
    </row>
    <row r="842" ht="15" customHeight="1" s="45">
      <c r="A842">
        <f>IF($B842="","",TEXT($B842,"yyyymmdd")&amp;"-"&amp;SUBSTITUTE($F842," ","")&amp;"-"&amp;TEXT(COUNTIF($F$4:F842,$F842),"00"))</f>
        <v/>
      </c>
      <c r="C842">
        <f>IF($B842="","",WEEKNUM($B842,2))</f>
        <v/>
      </c>
      <c r="D842">
        <f>IF($B842="","",TEXT($B842,"yyyy-mm"))</f>
        <v/>
      </c>
      <c r="G842">
        <f>IF(OR($E842="",$F842=""),"",IFERROR(IF($E842=INDEX(Cluster_Master!$A$4:$A$18,MATCH($F842,Cluster_Master!$B$4:$B$18,0)),"OK","CHECK"),"CHECK"))</f>
        <v/>
      </c>
      <c r="H842">
        <f>IFERROR(INDEX(Cluster_Master!$C$4:$C$18,MATCH($F842,Cluster_Master!$B$4:$B$18,0)),"")</f>
        <v/>
      </c>
      <c r="I842">
        <f>IFERROR(INDEX(Cluster_Master!$D$4:$D$18,MATCH($F842,Cluster_Master!$B$4:$B$18,0)),"")</f>
        <v/>
      </c>
      <c r="J842">
        <f>IFERROR(INDEX(Cluster_Master!$E$4:$E$18,MATCH($F842,Cluster_Master!$B$4:$B$18,0)),"")</f>
        <v/>
      </c>
      <c r="K842">
        <f>IFERROR(INDEX(Cluster_Master!$F$4:$F$18,MATCH($F842,Cluster_Master!$B$4:$B$18,0)),"")</f>
        <v/>
      </c>
      <c r="L842">
        <f>IFERROR(INDEX(Cluster_Master!$G$4:$G$18,MATCH($F842,Cluster_Master!$B$4:$B$18,0)),"")</f>
        <v/>
      </c>
      <c r="M842">
        <f>IFERROR(INDEX(Cluster_Master!$H$4:$H$18,MATCH($F842,Cluster_Master!$B$4:$B$18,0)),"")</f>
        <v/>
      </c>
      <c r="AI842">
        <f>IF(COUNTA(T842:AH842)=0,"",SUM(T842:AH842))</f>
        <v/>
      </c>
      <c r="AJ842">
        <f>IF(COUNTA(T842:AH842)=0,"",AI842/(COUNT(KPI_Weights!$A$4:$A$18)*5))</f>
        <v/>
      </c>
      <c r="AK842">
        <f>IF(COUNTA(T842:AH842)=0,"",SUMPRODUCT(T842:AH842,KPI_Weights!$B$4:$B$18)/5)</f>
        <v/>
      </c>
      <c r="AL842">
        <f>IF(COUNTA(T842:AH842)=0,"",IF(SUMPRODUCT(--(T842:AH842&lt;=1),--(KPI_Weights!$C$4:$C$18="YES"))&gt;0,"YES","NO"))</f>
        <v/>
      </c>
      <c r="AM842">
        <f>IF(AJ842="","",IF(AND(AL842="NO",AJ842&gt;=0.75),"YES","NO"))</f>
        <v/>
      </c>
      <c r="AN842">
        <f>IF(AJ842="","",IF(AJ842&lt;0.4,"Critical",IF(AJ842&lt;0.6,"Poor",IF(AJ842&lt;0.75,"Needs Improvement",IF(AJ842&lt;0.9,"Good","Excellent")))))</f>
        <v/>
      </c>
    </row>
    <row r="843" ht="15" customHeight="1" s="45">
      <c r="A843">
        <f>IF($B843="","",TEXT($B843,"yyyymmdd")&amp;"-"&amp;SUBSTITUTE($F843," ","")&amp;"-"&amp;TEXT(COUNTIF($F$4:F843,$F843),"00"))</f>
        <v/>
      </c>
      <c r="C843">
        <f>IF($B843="","",WEEKNUM($B843,2))</f>
        <v/>
      </c>
      <c r="D843">
        <f>IF($B843="","",TEXT($B843,"yyyy-mm"))</f>
        <v/>
      </c>
      <c r="G843">
        <f>IF(OR($E843="",$F843=""),"",IFERROR(IF($E843=INDEX(Cluster_Master!$A$4:$A$18,MATCH($F843,Cluster_Master!$B$4:$B$18,0)),"OK","CHECK"),"CHECK"))</f>
        <v/>
      </c>
      <c r="H843">
        <f>IFERROR(INDEX(Cluster_Master!$C$4:$C$18,MATCH($F843,Cluster_Master!$B$4:$B$18,0)),"")</f>
        <v/>
      </c>
      <c r="I843">
        <f>IFERROR(INDEX(Cluster_Master!$D$4:$D$18,MATCH($F843,Cluster_Master!$B$4:$B$18,0)),"")</f>
        <v/>
      </c>
      <c r="J843">
        <f>IFERROR(INDEX(Cluster_Master!$E$4:$E$18,MATCH($F843,Cluster_Master!$B$4:$B$18,0)),"")</f>
        <v/>
      </c>
      <c r="K843">
        <f>IFERROR(INDEX(Cluster_Master!$F$4:$F$18,MATCH($F843,Cluster_Master!$B$4:$B$18,0)),"")</f>
        <v/>
      </c>
      <c r="L843">
        <f>IFERROR(INDEX(Cluster_Master!$G$4:$G$18,MATCH($F843,Cluster_Master!$B$4:$B$18,0)),"")</f>
        <v/>
      </c>
      <c r="M843">
        <f>IFERROR(INDEX(Cluster_Master!$H$4:$H$18,MATCH($F843,Cluster_Master!$B$4:$B$18,0)),"")</f>
        <v/>
      </c>
      <c r="AI843">
        <f>IF(COUNTA(T843:AH843)=0,"",SUM(T843:AH843))</f>
        <v/>
      </c>
      <c r="AJ843">
        <f>IF(COUNTA(T843:AH843)=0,"",AI843/(COUNT(KPI_Weights!$A$4:$A$18)*5))</f>
        <v/>
      </c>
      <c r="AK843">
        <f>IF(COUNTA(T843:AH843)=0,"",SUMPRODUCT(T843:AH843,KPI_Weights!$B$4:$B$18)/5)</f>
        <v/>
      </c>
      <c r="AL843">
        <f>IF(COUNTA(T843:AH843)=0,"",IF(SUMPRODUCT(--(T843:AH843&lt;=1),--(KPI_Weights!$C$4:$C$18="YES"))&gt;0,"YES","NO"))</f>
        <v/>
      </c>
      <c r="AM843">
        <f>IF(AJ843="","",IF(AND(AL843="NO",AJ843&gt;=0.75),"YES","NO"))</f>
        <v/>
      </c>
      <c r="AN843">
        <f>IF(AJ843="","",IF(AJ843&lt;0.4,"Critical",IF(AJ843&lt;0.6,"Poor",IF(AJ843&lt;0.75,"Needs Improvement",IF(AJ843&lt;0.9,"Good","Excellent")))))</f>
        <v/>
      </c>
    </row>
    <row r="844" ht="15" customHeight="1" s="45">
      <c r="A844">
        <f>IF($B844="","",TEXT($B844,"yyyymmdd")&amp;"-"&amp;SUBSTITUTE($F844," ","")&amp;"-"&amp;TEXT(COUNTIF($F$4:F844,$F844),"00"))</f>
        <v/>
      </c>
      <c r="C844">
        <f>IF($B844="","",WEEKNUM($B844,2))</f>
        <v/>
      </c>
      <c r="D844">
        <f>IF($B844="","",TEXT($B844,"yyyy-mm"))</f>
        <v/>
      </c>
      <c r="G844">
        <f>IF(OR($E844="",$F844=""),"",IFERROR(IF($E844=INDEX(Cluster_Master!$A$4:$A$18,MATCH($F844,Cluster_Master!$B$4:$B$18,0)),"OK","CHECK"),"CHECK"))</f>
        <v/>
      </c>
      <c r="H844">
        <f>IFERROR(INDEX(Cluster_Master!$C$4:$C$18,MATCH($F844,Cluster_Master!$B$4:$B$18,0)),"")</f>
        <v/>
      </c>
      <c r="I844">
        <f>IFERROR(INDEX(Cluster_Master!$D$4:$D$18,MATCH($F844,Cluster_Master!$B$4:$B$18,0)),"")</f>
        <v/>
      </c>
      <c r="J844">
        <f>IFERROR(INDEX(Cluster_Master!$E$4:$E$18,MATCH($F844,Cluster_Master!$B$4:$B$18,0)),"")</f>
        <v/>
      </c>
      <c r="K844">
        <f>IFERROR(INDEX(Cluster_Master!$F$4:$F$18,MATCH($F844,Cluster_Master!$B$4:$B$18,0)),"")</f>
        <v/>
      </c>
      <c r="L844">
        <f>IFERROR(INDEX(Cluster_Master!$G$4:$G$18,MATCH($F844,Cluster_Master!$B$4:$B$18,0)),"")</f>
        <v/>
      </c>
      <c r="M844">
        <f>IFERROR(INDEX(Cluster_Master!$H$4:$H$18,MATCH($F844,Cluster_Master!$B$4:$B$18,0)),"")</f>
        <v/>
      </c>
      <c r="AI844">
        <f>IF(COUNTA(T844:AH844)=0,"",SUM(T844:AH844))</f>
        <v/>
      </c>
      <c r="AJ844">
        <f>IF(COUNTA(T844:AH844)=0,"",AI844/(COUNT(KPI_Weights!$A$4:$A$18)*5))</f>
        <v/>
      </c>
      <c r="AK844">
        <f>IF(COUNTA(T844:AH844)=0,"",SUMPRODUCT(T844:AH844,KPI_Weights!$B$4:$B$18)/5)</f>
        <v/>
      </c>
      <c r="AL844">
        <f>IF(COUNTA(T844:AH844)=0,"",IF(SUMPRODUCT(--(T844:AH844&lt;=1),--(KPI_Weights!$C$4:$C$18="YES"))&gt;0,"YES","NO"))</f>
        <v/>
      </c>
      <c r="AM844">
        <f>IF(AJ844="","",IF(AND(AL844="NO",AJ844&gt;=0.75),"YES","NO"))</f>
        <v/>
      </c>
      <c r="AN844">
        <f>IF(AJ844="","",IF(AJ844&lt;0.4,"Critical",IF(AJ844&lt;0.6,"Poor",IF(AJ844&lt;0.75,"Needs Improvement",IF(AJ844&lt;0.9,"Good","Excellent")))))</f>
        <v/>
      </c>
    </row>
    <row r="845" ht="15" customHeight="1" s="45">
      <c r="A845">
        <f>IF($B845="","",TEXT($B845,"yyyymmdd")&amp;"-"&amp;SUBSTITUTE($F845," ","")&amp;"-"&amp;TEXT(COUNTIF($F$4:F845,$F845),"00"))</f>
        <v/>
      </c>
      <c r="C845">
        <f>IF($B845="","",WEEKNUM($B845,2))</f>
        <v/>
      </c>
      <c r="D845">
        <f>IF($B845="","",TEXT($B845,"yyyy-mm"))</f>
        <v/>
      </c>
      <c r="G845">
        <f>IF(OR($E845="",$F845=""),"",IFERROR(IF($E845=INDEX(Cluster_Master!$A$4:$A$18,MATCH($F845,Cluster_Master!$B$4:$B$18,0)),"OK","CHECK"),"CHECK"))</f>
        <v/>
      </c>
      <c r="H845">
        <f>IFERROR(INDEX(Cluster_Master!$C$4:$C$18,MATCH($F845,Cluster_Master!$B$4:$B$18,0)),"")</f>
        <v/>
      </c>
      <c r="I845">
        <f>IFERROR(INDEX(Cluster_Master!$D$4:$D$18,MATCH($F845,Cluster_Master!$B$4:$B$18,0)),"")</f>
        <v/>
      </c>
      <c r="J845">
        <f>IFERROR(INDEX(Cluster_Master!$E$4:$E$18,MATCH($F845,Cluster_Master!$B$4:$B$18,0)),"")</f>
        <v/>
      </c>
      <c r="K845">
        <f>IFERROR(INDEX(Cluster_Master!$F$4:$F$18,MATCH($F845,Cluster_Master!$B$4:$B$18,0)),"")</f>
        <v/>
      </c>
      <c r="L845">
        <f>IFERROR(INDEX(Cluster_Master!$G$4:$G$18,MATCH($F845,Cluster_Master!$B$4:$B$18,0)),"")</f>
        <v/>
      </c>
      <c r="M845">
        <f>IFERROR(INDEX(Cluster_Master!$H$4:$H$18,MATCH($F845,Cluster_Master!$B$4:$B$18,0)),"")</f>
        <v/>
      </c>
      <c r="AI845">
        <f>IF(COUNTA(T845:AH845)=0,"",SUM(T845:AH845))</f>
        <v/>
      </c>
      <c r="AJ845">
        <f>IF(COUNTA(T845:AH845)=0,"",AI845/(COUNT(KPI_Weights!$A$4:$A$18)*5))</f>
        <v/>
      </c>
      <c r="AK845">
        <f>IF(COUNTA(T845:AH845)=0,"",SUMPRODUCT(T845:AH845,KPI_Weights!$B$4:$B$18)/5)</f>
        <v/>
      </c>
      <c r="AL845">
        <f>IF(COUNTA(T845:AH845)=0,"",IF(SUMPRODUCT(--(T845:AH845&lt;=1),--(KPI_Weights!$C$4:$C$18="YES"))&gt;0,"YES","NO"))</f>
        <v/>
      </c>
      <c r="AM845">
        <f>IF(AJ845="","",IF(AND(AL845="NO",AJ845&gt;=0.75),"YES","NO"))</f>
        <v/>
      </c>
      <c r="AN845">
        <f>IF(AJ845="","",IF(AJ845&lt;0.4,"Critical",IF(AJ845&lt;0.6,"Poor",IF(AJ845&lt;0.75,"Needs Improvement",IF(AJ845&lt;0.9,"Good","Excellent")))))</f>
        <v/>
      </c>
    </row>
    <row r="846" ht="15" customHeight="1" s="45">
      <c r="A846">
        <f>IF($B846="","",TEXT($B846,"yyyymmdd")&amp;"-"&amp;SUBSTITUTE($F846," ","")&amp;"-"&amp;TEXT(COUNTIF($F$4:F846,$F846),"00"))</f>
        <v/>
      </c>
      <c r="C846">
        <f>IF($B846="","",WEEKNUM($B846,2))</f>
        <v/>
      </c>
      <c r="D846">
        <f>IF($B846="","",TEXT($B846,"yyyy-mm"))</f>
        <v/>
      </c>
      <c r="G846">
        <f>IF(OR($E846="",$F846=""),"",IFERROR(IF($E846=INDEX(Cluster_Master!$A$4:$A$18,MATCH($F846,Cluster_Master!$B$4:$B$18,0)),"OK","CHECK"),"CHECK"))</f>
        <v/>
      </c>
      <c r="H846">
        <f>IFERROR(INDEX(Cluster_Master!$C$4:$C$18,MATCH($F846,Cluster_Master!$B$4:$B$18,0)),"")</f>
        <v/>
      </c>
      <c r="I846">
        <f>IFERROR(INDEX(Cluster_Master!$D$4:$D$18,MATCH($F846,Cluster_Master!$B$4:$B$18,0)),"")</f>
        <v/>
      </c>
      <c r="J846">
        <f>IFERROR(INDEX(Cluster_Master!$E$4:$E$18,MATCH($F846,Cluster_Master!$B$4:$B$18,0)),"")</f>
        <v/>
      </c>
      <c r="K846">
        <f>IFERROR(INDEX(Cluster_Master!$F$4:$F$18,MATCH($F846,Cluster_Master!$B$4:$B$18,0)),"")</f>
        <v/>
      </c>
      <c r="L846">
        <f>IFERROR(INDEX(Cluster_Master!$G$4:$G$18,MATCH($F846,Cluster_Master!$B$4:$B$18,0)),"")</f>
        <v/>
      </c>
      <c r="M846">
        <f>IFERROR(INDEX(Cluster_Master!$H$4:$H$18,MATCH($F846,Cluster_Master!$B$4:$B$18,0)),"")</f>
        <v/>
      </c>
      <c r="AI846">
        <f>IF(COUNTA(T846:AH846)=0,"",SUM(T846:AH846))</f>
        <v/>
      </c>
      <c r="AJ846">
        <f>IF(COUNTA(T846:AH846)=0,"",AI846/(COUNT(KPI_Weights!$A$4:$A$18)*5))</f>
        <v/>
      </c>
      <c r="AK846">
        <f>IF(COUNTA(T846:AH846)=0,"",SUMPRODUCT(T846:AH846,KPI_Weights!$B$4:$B$18)/5)</f>
        <v/>
      </c>
      <c r="AL846">
        <f>IF(COUNTA(T846:AH846)=0,"",IF(SUMPRODUCT(--(T846:AH846&lt;=1),--(KPI_Weights!$C$4:$C$18="YES"))&gt;0,"YES","NO"))</f>
        <v/>
      </c>
      <c r="AM846">
        <f>IF(AJ846="","",IF(AND(AL846="NO",AJ846&gt;=0.75),"YES","NO"))</f>
        <v/>
      </c>
      <c r="AN846">
        <f>IF(AJ846="","",IF(AJ846&lt;0.4,"Critical",IF(AJ846&lt;0.6,"Poor",IF(AJ846&lt;0.75,"Needs Improvement",IF(AJ846&lt;0.9,"Good","Excellent")))))</f>
        <v/>
      </c>
    </row>
    <row r="847" ht="15" customHeight="1" s="45">
      <c r="A847">
        <f>IF($B847="","",TEXT($B847,"yyyymmdd")&amp;"-"&amp;SUBSTITUTE($F847," ","")&amp;"-"&amp;TEXT(COUNTIF($F$4:F847,$F847),"00"))</f>
        <v/>
      </c>
      <c r="C847">
        <f>IF($B847="","",WEEKNUM($B847,2))</f>
        <v/>
      </c>
      <c r="D847">
        <f>IF($B847="","",TEXT($B847,"yyyy-mm"))</f>
        <v/>
      </c>
      <c r="G847">
        <f>IF(OR($E847="",$F847=""),"",IFERROR(IF($E847=INDEX(Cluster_Master!$A$4:$A$18,MATCH($F847,Cluster_Master!$B$4:$B$18,0)),"OK","CHECK"),"CHECK"))</f>
        <v/>
      </c>
      <c r="H847">
        <f>IFERROR(INDEX(Cluster_Master!$C$4:$C$18,MATCH($F847,Cluster_Master!$B$4:$B$18,0)),"")</f>
        <v/>
      </c>
      <c r="I847">
        <f>IFERROR(INDEX(Cluster_Master!$D$4:$D$18,MATCH($F847,Cluster_Master!$B$4:$B$18,0)),"")</f>
        <v/>
      </c>
      <c r="J847">
        <f>IFERROR(INDEX(Cluster_Master!$E$4:$E$18,MATCH($F847,Cluster_Master!$B$4:$B$18,0)),"")</f>
        <v/>
      </c>
      <c r="K847">
        <f>IFERROR(INDEX(Cluster_Master!$F$4:$F$18,MATCH($F847,Cluster_Master!$B$4:$B$18,0)),"")</f>
        <v/>
      </c>
      <c r="L847">
        <f>IFERROR(INDEX(Cluster_Master!$G$4:$G$18,MATCH($F847,Cluster_Master!$B$4:$B$18,0)),"")</f>
        <v/>
      </c>
      <c r="M847">
        <f>IFERROR(INDEX(Cluster_Master!$H$4:$H$18,MATCH($F847,Cluster_Master!$B$4:$B$18,0)),"")</f>
        <v/>
      </c>
      <c r="AI847">
        <f>IF(COUNTA(T847:AH847)=0,"",SUM(T847:AH847))</f>
        <v/>
      </c>
      <c r="AJ847">
        <f>IF(COUNTA(T847:AH847)=0,"",AI847/(COUNT(KPI_Weights!$A$4:$A$18)*5))</f>
        <v/>
      </c>
      <c r="AK847">
        <f>IF(COUNTA(T847:AH847)=0,"",SUMPRODUCT(T847:AH847,KPI_Weights!$B$4:$B$18)/5)</f>
        <v/>
      </c>
      <c r="AL847">
        <f>IF(COUNTA(T847:AH847)=0,"",IF(SUMPRODUCT(--(T847:AH847&lt;=1),--(KPI_Weights!$C$4:$C$18="YES"))&gt;0,"YES","NO"))</f>
        <v/>
      </c>
      <c r="AM847">
        <f>IF(AJ847="","",IF(AND(AL847="NO",AJ847&gt;=0.75),"YES","NO"))</f>
        <v/>
      </c>
      <c r="AN847">
        <f>IF(AJ847="","",IF(AJ847&lt;0.4,"Critical",IF(AJ847&lt;0.6,"Poor",IF(AJ847&lt;0.75,"Needs Improvement",IF(AJ847&lt;0.9,"Good","Excellent")))))</f>
        <v/>
      </c>
    </row>
    <row r="848" ht="15" customHeight="1" s="45">
      <c r="A848">
        <f>IF($B848="","",TEXT($B848,"yyyymmdd")&amp;"-"&amp;SUBSTITUTE($F848," ","")&amp;"-"&amp;TEXT(COUNTIF($F$4:F848,$F848),"00"))</f>
        <v/>
      </c>
      <c r="C848">
        <f>IF($B848="","",WEEKNUM($B848,2))</f>
        <v/>
      </c>
      <c r="D848">
        <f>IF($B848="","",TEXT($B848,"yyyy-mm"))</f>
        <v/>
      </c>
      <c r="G848">
        <f>IF(OR($E848="",$F848=""),"",IFERROR(IF($E848=INDEX(Cluster_Master!$A$4:$A$18,MATCH($F848,Cluster_Master!$B$4:$B$18,0)),"OK","CHECK"),"CHECK"))</f>
        <v/>
      </c>
      <c r="H848">
        <f>IFERROR(INDEX(Cluster_Master!$C$4:$C$18,MATCH($F848,Cluster_Master!$B$4:$B$18,0)),"")</f>
        <v/>
      </c>
      <c r="I848">
        <f>IFERROR(INDEX(Cluster_Master!$D$4:$D$18,MATCH($F848,Cluster_Master!$B$4:$B$18,0)),"")</f>
        <v/>
      </c>
      <c r="J848">
        <f>IFERROR(INDEX(Cluster_Master!$E$4:$E$18,MATCH($F848,Cluster_Master!$B$4:$B$18,0)),"")</f>
        <v/>
      </c>
      <c r="K848">
        <f>IFERROR(INDEX(Cluster_Master!$F$4:$F$18,MATCH($F848,Cluster_Master!$B$4:$B$18,0)),"")</f>
        <v/>
      </c>
      <c r="L848">
        <f>IFERROR(INDEX(Cluster_Master!$G$4:$G$18,MATCH($F848,Cluster_Master!$B$4:$B$18,0)),"")</f>
        <v/>
      </c>
      <c r="M848">
        <f>IFERROR(INDEX(Cluster_Master!$H$4:$H$18,MATCH($F848,Cluster_Master!$B$4:$B$18,0)),"")</f>
        <v/>
      </c>
      <c r="AI848">
        <f>IF(COUNTA(T848:AH848)=0,"",SUM(T848:AH848))</f>
        <v/>
      </c>
      <c r="AJ848">
        <f>IF(COUNTA(T848:AH848)=0,"",AI848/(COUNT(KPI_Weights!$A$4:$A$18)*5))</f>
        <v/>
      </c>
      <c r="AK848">
        <f>IF(COUNTA(T848:AH848)=0,"",SUMPRODUCT(T848:AH848,KPI_Weights!$B$4:$B$18)/5)</f>
        <v/>
      </c>
      <c r="AL848">
        <f>IF(COUNTA(T848:AH848)=0,"",IF(SUMPRODUCT(--(T848:AH848&lt;=1),--(KPI_Weights!$C$4:$C$18="YES"))&gt;0,"YES","NO"))</f>
        <v/>
      </c>
      <c r="AM848">
        <f>IF(AJ848="","",IF(AND(AL848="NO",AJ848&gt;=0.75),"YES","NO"))</f>
        <v/>
      </c>
      <c r="AN848">
        <f>IF(AJ848="","",IF(AJ848&lt;0.4,"Critical",IF(AJ848&lt;0.6,"Poor",IF(AJ848&lt;0.75,"Needs Improvement",IF(AJ848&lt;0.9,"Good","Excellent")))))</f>
        <v/>
      </c>
    </row>
    <row r="849" ht="15" customHeight="1" s="45">
      <c r="A849">
        <f>IF($B849="","",TEXT($B849,"yyyymmdd")&amp;"-"&amp;SUBSTITUTE($F849," ","")&amp;"-"&amp;TEXT(COUNTIF($F$4:F849,$F849),"00"))</f>
        <v/>
      </c>
      <c r="C849">
        <f>IF($B849="","",WEEKNUM($B849,2))</f>
        <v/>
      </c>
      <c r="D849">
        <f>IF($B849="","",TEXT($B849,"yyyy-mm"))</f>
        <v/>
      </c>
      <c r="G849">
        <f>IF(OR($E849="",$F849=""),"",IFERROR(IF($E849=INDEX(Cluster_Master!$A$4:$A$18,MATCH($F849,Cluster_Master!$B$4:$B$18,0)),"OK","CHECK"),"CHECK"))</f>
        <v/>
      </c>
      <c r="H849">
        <f>IFERROR(INDEX(Cluster_Master!$C$4:$C$18,MATCH($F849,Cluster_Master!$B$4:$B$18,0)),"")</f>
        <v/>
      </c>
      <c r="I849">
        <f>IFERROR(INDEX(Cluster_Master!$D$4:$D$18,MATCH($F849,Cluster_Master!$B$4:$B$18,0)),"")</f>
        <v/>
      </c>
      <c r="J849">
        <f>IFERROR(INDEX(Cluster_Master!$E$4:$E$18,MATCH($F849,Cluster_Master!$B$4:$B$18,0)),"")</f>
        <v/>
      </c>
      <c r="K849">
        <f>IFERROR(INDEX(Cluster_Master!$F$4:$F$18,MATCH($F849,Cluster_Master!$B$4:$B$18,0)),"")</f>
        <v/>
      </c>
      <c r="L849">
        <f>IFERROR(INDEX(Cluster_Master!$G$4:$G$18,MATCH($F849,Cluster_Master!$B$4:$B$18,0)),"")</f>
        <v/>
      </c>
      <c r="M849">
        <f>IFERROR(INDEX(Cluster_Master!$H$4:$H$18,MATCH($F849,Cluster_Master!$B$4:$B$18,0)),"")</f>
        <v/>
      </c>
      <c r="AI849">
        <f>IF(COUNTA(T849:AH849)=0,"",SUM(T849:AH849))</f>
        <v/>
      </c>
      <c r="AJ849">
        <f>IF(COUNTA(T849:AH849)=0,"",AI849/(COUNT(KPI_Weights!$A$4:$A$18)*5))</f>
        <v/>
      </c>
      <c r="AK849">
        <f>IF(COUNTA(T849:AH849)=0,"",SUMPRODUCT(T849:AH849,KPI_Weights!$B$4:$B$18)/5)</f>
        <v/>
      </c>
      <c r="AL849">
        <f>IF(COUNTA(T849:AH849)=0,"",IF(SUMPRODUCT(--(T849:AH849&lt;=1),--(KPI_Weights!$C$4:$C$18="YES"))&gt;0,"YES","NO"))</f>
        <v/>
      </c>
      <c r="AM849">
        <f>IF(AJ849="","",IF(AND(AL849="NO",AJ849&gt;=0.75),"YES","NO"))</f>
        <v/>
      </c>
      <c r="AN849">
        <f>IF(AJ849="","",IF(AJ849&lt;0.4,"Critical",IF(AJ849&lt;0.6,"Poor",IF(AJ849&lt;0.75,"Needs Improvement",IF(AJ849&lt;0.9,"Good","Excellent")))))</f>
        <v/>
      </c>
    </row>
    <row r="850" ht="15" customHeight="1" s="45">
      <c r="A850">
        <f>IF($B850="","",TEXT($B850,"yyyymmdd")&amp;"-"&amp;SUBSTITUTE($F850," ","")&amp;"-"&amp;TEXT(COUNTIF($F$4:F850,$F850),"00"))</f>
        <v/>
      </c>
      <c r="C850">
        <f>IF($B850="","",WEEKNUM($B850,2))</f>
        <v/>
      </c>
      <c r="D850">
        <f>IF($B850="","",TEXT($B850,"yyyy-mm"))</f>
        <v/>
      </c>
      <c r="G850">
        <f>IF(OR($E850="",$F850=""),"",IFERROR(IF($E850=INDEX(Cluster_Master!$A$4:$A$18,MATCH($F850,Cluster_Master!$B$4:$B$18,0)),"OK","CHECK"),"CHECK"))</f>
        <v/>
      </c>
      <c r="H850">
        <f>IFERROR(INDEX(Cluster_Master!$C$4:$C$18,MATCH($F850,Cluster_Master!$B$4:$B$18,0)),"")</f>
        <v/>
      </c>
      <c r="I850">
        <f>IFERROR(INDEX(Cluster_Master!$D$4:$D$18,MATCH($F850,Cluster_Master!$B$4:$B$18,0)),"")</f>
        <v/>
      </c>
      <c r="J850">
        <f>IFERROR(INDEX(Cluster_Master!$E$4:$E$18,MATCH($F850,Cluster_Master!$B$4:$B$18,0)),"")</f>
        <v/>
      </c>
      <c r="K850">
        <f>IFERROR(INDEX(Cluster_Master!$F$4:$F$18,MATCH($F850,Cluster_Master!$B$4:$B$18,0)),"")</f>
        <v/>
      </c>
      <c r="L850">
        <f>IFERROR(INDEX(Cluster_Master!$G$4:$G$18,MATCH($F850,Cluster_Master!$B$4:$B$18,0)),"")</f>
        <v/>
      </c>
      <c r="M850">
        <f>IFERROR(INDEX(Cluster_Master!$H$4:$H$18,MATCH($F850,Cluster_Master!$B$4:$B$18,0)),"")</f>
        <v/>
      </c>
      <c r="AI850">
        <f>IF(COUNTA(T850:AH850)=0,"",SUM(T850:AH850))</f>
        <v/>
      </c>
      <c r="AJ850">
        <f>IF(COUNTA(T850:AH850)=0,"",AI850/(COUNT(KPI_Weights!$A$4:$A$18)*5))</f>
        <v/>
      </c>
      <c r="AK850">
        <f>IF(COUNTA(T850:AH850)=0,"",SUMPRODUCT(T850:AH850,KPI_Weights!$B$4:$B$18)/5)</f>
        <v/>
      </c>
      <c r="AL850">
        <f>IF(COUNTA(T850:AH850)=0,"",IF(SUMPRODUCT(--(T850:AH850&lt;=1),--(KPI_Weights!$C$4:$C$18="YES"))&gt;0,"YES","NO"))</f>
        <v/>
      </c>
      <c r="AM850">
        <f>IF(AJ850="","",IF(AND(AL850="NO",AJ850&gt;=0.75),"YES","NO"))</f>
        <v/>
      </c>
      <c r="AN850">
        <f>IF(AJ850="","",IF(AJ850&lt;0.4,"Critical",IF(AJ850&lt;0.6,"Poor",IF(AJ850&lt;0.75,"Needs Improvement",IF(AJ850&lt;0.9,"Good","Excellent")))))</f>
        <v/>
      </c>
    </row>
    <row r="851" ht="15" customHeight="1" s="45">
      <c r="A851">
        <f>IF($B851="","",TEXT($B851,"yyyymmdd")&amp;"-"&amp;SUBSTITUTE($F851," ","")&amp;"-"&amp;TEXT(COUNTIF($F$4:F851,$F851),"00"))</f>
        <v/>
      </c>
      <c r="C851">
        <f>IF($B851="","",WEEKNUM($B851,2))</f>
        <v/>
      </c>
      <c r="D851">
        <f>IF($B851="","",TEXT($B851,"yyyy-mm"))</f>
        <v/>
      </c>
      <c r="G851">
        <f>IF(OR($E851="",$F851=""),"",IFERROR(IF($E851=INDEX(Cluster_Master!$A$4:$A$18,MATCH($F851,Cluster_Master!$B$4:$B$18,0)),"OK","CHECK"),"CHECK"))</f>
        <v/>
      </c>
      <c r="H851">
        <f>IFERROR(INDEX(Cluster_Master!$C$4:$C$18,MATCH($F851,Cluster_Master!$B$4:$B$18,0)),"")</f>
        <v/>
      </c>
      <c r="I851">
        <f>IFERROR(INDEX(Cluster_Master!$D$4:$D$18,MATCH($F851,Cluster_Master!$B$4:$B$18,0)),"")</f>
        <v/>
      </c>
      <c r="J851">
        <f>IFERROR(INDEX(Cluster_Master!$E$4:$E$18,MATCH($F851,Cluster_Master!$B$4:$B$18,0)),"")</f>
        <v/>
      </c>
      <c r="K851">
        <f>IFERROR(INDEX(Cluster_Master!$F$4:$F$18,MATCH($F851,Cluster_Master!$B$4:$B$18,0)),"")</f>
        <v/>
      </c>
      <c r="L851">
        <f>IFERROR(INDEX(Cluster_Master!$G$4:$G$18,MATCH($F851,Cluster_Master!$B$4:$B$18,0)),"")</f>
        <v/>
      </c>
      <c r="M851">
        <f>IFERROR(INDEX(Cluster_Master!$H$4:$H$18,MATCH($F851,Cluster_Master!$B$4:$B$18,0)),"")</f>
        <v/>
      </c>
      <c r="AI851">
        <f>IF(COUNTA(T851:AH851)=0,"",SUM(T851:AH851))</f>
        <v/>
      </c>
      <c r="AJ851">
        <f>IF(COUNTA(T851:AH851)=0,"",AI851/(COUNT(KPI_Weights!$A$4:$A$18)*5))</f>
        <v/>
      </c>
      <c r="AK851">
        <f>IF(COUNTA(T851:AH851)=0,"",SUMPRODUCT(T851:AH851,KPI_Weights!$B$4:$B$18)/5)</f>
        <v/>
      </c>
      <c r="AL851">
        <f>IF(COUNTA(T851:AH851)=0,"",IF(SUMPRODUCT(--(T851:AH851&lt;=1),--(KPI_Weights!$C$4:$C$18="YES"))&gt;0,"YES","NO"))</f>
        <v/>
      </c>
      <c r="AM851">
        <f>IF(AJ851="","",IF(AND(AL851="NO",AJ851&gt;=0.75),"YES","NO"))</f>
        <v/>
      </c>
      <c r="AN851">
        <f>IF(AJ851="","",IF(AJ851&lt;0.4,"Critical",IF(AJ851&lt;0.6,"Poor",IF(AJ851&lt;0.75,"Needs Improvement",IF(AJ851&lt;0.9,"Good","Excellent")))))</f>
        <v/>
      </c>
    </row>
    <row r="852" ht="15" customHeight="1" s="45">
      <c r="A852">
        <f>IF($B852="","",TEXT($B852,"yyyymmdd")&amp;"-"&amp;SUBSTITUTE($F852," ","")&amp;"-"&amp;TEXT(COUNTIF($F$4:F852,$F852),"00"))</f>
        <v/>
      </c>
      <c r="C852">
        <f>IF($B852="","",WEEKNUM($B852,2))</f>
        <v/>
      </c>
      <c r="D852">
        <f>IF($B852="","",TEXT($B852,"yyyy-mm"))</f>
        <v/>
      </c>
      <c r="G852">
        <f>IF(OR($E852="",$F852=""),"",IFERROR(IF($E852=INDEX(Cluster_Master!$A$4:$A$18,MATCH($F852,Cluster_Master!$B$4:$B$18,0)),"OK","CHECK"),"CHECK"))</f>
        <v/>
      </c>
      <c r="H852">
        <f>IFERROR(INDEX(Cluster_Master!$C$4:$C$18,MATCH($F852,Cluster_Master!$B$4:$B$18,0)),"")</f>
        <v/>
      </c>
      <c r="I852">
        <f>IFERROR(INDEX(Cluster_Master!$D$4:$D$18,MATCH($F852,Cluster_Master!$B$4:$B$18,0)),"")</f>
        <v/>
      </c>
      <c r="J852">
        <f>IFERROR(INDEX(Cluster_Master!$E$4:$E$18,MATCH($F852,Cluster_Master!$B$4:$B$18,0)),"")</f>
        <v/>
      </c>
      <c r="K852">
        <f>IFERROR(INDEX(Cluster_Master!$F$4:$F$18,MATCH($F852,Cluster_Master!$B$4:$B$18,0)),"")</f>
        <v/>
      </c>
      <c r="L852">
        <f>IFERROR(INDEX(Cluster_Master!$G$4:$G$18,MATCH($F852,Cluster_Master!$B$4:$B$18,0)),"")</f>
        <v/>
      </c>
      <c r="M852">
        <f>IFERROR(INDEX(Cluster_Master!$H$4:$H$18,MATCH($F852,Cluster_Master!$B$4:$B$18,0)),"")</f>
        <v/>
      </c>
      <c r="AI852">
        <f>IF(COUNTA(T852:AH852)=0,"",SUM(T852:AH852))</f>
        <v/>
      </c>
      <c r="AJ852">
        <f>IF(COUNTA(T852:AH852)=0,"",AI852/(COUNT(KPI_Weights!$A$4:$A$18)*5))</f>
        <v/>
      </c>
      <c r="AK852">
        <f>IF(COUNTA(T852:AH852)=0,"",SUMPRODUCT(T852:AH852,KPI_Weights!$B$4:$B$18)/5)</f>
        <v/>
      </c>
      <c r="AL852">
        <f>IF(COUNTA(T852:AH852)=0,"",IF(SUMPRODUCT(--(T852:AH852&lt;=1),--(KPI_Weights!$C$4:$C$18="YES"))&gt;0,"YES","NO"))</f>
        <v/>
      </c>
      <c r="AM852">
        <f>IF(AJ852="","",IF(AND(AL852="NO",AJ852&gt;=0.75),"YES","NO"))</f>
        <v/>
      </c>
      <c r="AN852">
        <f>IF(AJ852="","",IF(AJ852&lt;0.4,"Critical",IF(AJ852&lt;0.6,"Poor",IF(AJ852&lt;0.75,"Needs Improvement",IF(AJ852&lt;0.9,"Good","Excellent")))))</f>
        <v/>
      </c>
    </row>
    <row r="853" ht="15" customHeight="1" s="45">
      <c r="A853">
        <f>IF($B853="","",TEXT($B853,"yyyymmdd")&amp;"-"&amp;SUBSTITUTE($F853," ","")&amp;"-"&amp;TEXT(COUNTIF($F$4:F853,$F853),"00"))</f>
        <v/>
      </c>
      <c r="C853">
        <f>IF($B853="","",WEEKNUM($B853,2))</f>
        <v/>
      </c>
      <c r="D853">
        <f>IF($B853="","",TEXT($B853,"yyyy-mm"))</f>
        <v/>
      </c>
      <c r="G853">
        <f>IF(OR($E853="",$F853=""),"",IFERROR(IF($E853=INDEX(Cluster_Master!$A$4:$A$18,MATCH($F853,Cluster_Master!$B$4:$B$18,0)),"OK","CHECK"),"CHECK"))</f>
        <v/>
      </c>
      <c r="H853">
        <f>IFERROR(INDEX(Cluster_Master!$C$4:$C$18,MATCH($F853,Cluster_Master!$B$4:$B$18,0)),"")</f>
        <v/>
      </c>
      <c r="I853">
        <f>IFERROR(INDEX(Cluster_Master!$D$4:$D$18,MATCH($F853,Cluster_Master!$B$4:$B$18,0)),"")</f>
        <v/>
      </c>
      <c r="J853">
        <f>IFERROR(INDEX(Cluster_Master!$E$4:$E$18,MATCH($F853,Cluster_Master!$B$4:$B$18,0)),"")</f>
        <v/>
      </c>
      <c r="K853">
        <f>IFERROR(INDEX(Cluster_Master!$F$4:$F$18,MATCH($F853,Cluster_Master!$B$4:$B$18,0)),"")</f>
        <v/>
      </c>
      <c r="L853">
        <f>IFERROR(INDEX(Cluster_Master!$G$4:$G$18,MATCH($F853,Cluster_Master!$B$4:$B$18,0)),"")</f>
        <v/>
      </c>
      <c r="M853">
        <f>IFERROR(INDEX(Cluster_Master!$H$4:$H$18,MATCH($F853,Cluster_Master!$B$4:$B$18,0)),"")</f>
        <v/>
      </c>
      <c r="AI853">
        <f>IF(COUNTA(T853:AH853)=0,"",SUM(T853:AH853))</f>
        <v/>
      </c>
      <c r="AJ853">
        <f>IF(COUNTA(T853:AH853)=0,"",AI853/(COUNT(KPI_Weights!$A$4:$A$18)*5))</f>
        <v/>
      </c>
      <c r="AK853">
        <f>IF(COUNTA(T853:AH853)=0,"",SUMPRODUCT(T853:AH853,KPI_Weights!$B$4:$B$18)/5)</f>
        <v/>
      </c>
      <c r="AL853">
        <f>IF(COUNTA(T853:AH853)=0,"",IF(SUMPRODUCT(--(T853:AH853&lt;=1),--(KPI_Weights!$C$4:$C$18="YES"))&gt;0,"YES","NO"))</f>
        <v/>
      </c>
      <c r="AM853">
        <f>IF(AJ853="","",IF(AND(AL853="NO",AJ853&gt;=0.75),"YES","NO"))</f>
        <v/>
      </c>
      <c r="AN853">
        <f>IF(AJ853="","",IF(AJ853&lt;0.4,"Critical",IF(AJ853&lt;0.6,"Poor",IF(AJ853&lt;0.75,"Needs Improvement",IF(AJ853&lt;0.9,"Good","Excellent")))))</f>
        <v/>
      </c>
    </row>
    <row r="854" ht="15" customHeight="1" s="45">
      <c r="A854">
        <f>IF($B854="","",TEXT($B854,"yyyymmdd")&amp;"-"&amp;SUBSTITUTE($F854," ","")&amp;"-"&amp;TEXT(COUNTIF($F$4:F854,$F854),"00"))</f>
        <v/>
      </c>
      <c r="C854">
        <f>IF($B854="","",WEEKNUM($B854,2))</f>
        <v/>
      </c>
      <c r="D854">
        <f>IF($B854="","",TEXT($B854,"yyyy-mm"))</f>
        <v/>
      </c>
      <c r="G854">
        <f>IF(OR($E854="",$F854=""),"",IFERROR(IF($E854=INDEX(Cluster_Master!$A$4:$A$18,MATCH($F854,Cluster_Master!$B$4:$B$18,0)),"OK","CHECK"),"CHECK"))</f>
        <v/>
      </c>
      <c r="H854">
        <f>IFERROR(INDEX(Cluster_Master!$C$4:$C$18,MATCH($F854,Cluster_Master!$B$4:$B$18,0)),"")</f>
        <v/>
      </c>
      <c r="I854">
        <f>IFERROR(INDEX(Cluster_Master!$D$4:$D$18,MATCH($F854,Cluster_Master!$B$4:$B$18,0)),"")</f>
        <v/>
      </c>
      <c r="J854">
        <f>IFERROR(INDEX(Cluster_Master!$E$4:$E$18,MATCH($F854,Cluster_Master!$B$4:$B$18,0)),"")</f>
        <v/>
      </c>
      <c r="K854">
        <f>IFERROR(INDEX(Cluster_Master!$F$4:$F$18,MATCH($F854,Cluster_Master!$B$4:$B$18,0)),"")</f>
        <v/>
      </c>
      <c r="L854">
        <f>IFERROR(INDEX(Cluster_Master!$G$4:$G$18,MATCH($F854,Cluster_Master!$B$4:$B$18,0)),"")</f>
        <v/>
      </c>
      <c r="M854">
        <f>IFERROR(INDEX(Cluster_Master!$H$4:$H$18,MATCH($F854,Cluster_Master!$B$4:$B$18,0)),"")</f>
        <v/>
      </c>
      <c r="AI854">
        <f>IF(COUNTA(T854:AH854)=0,"",SUM(T854:AH854))</f>
        <v/>
      </c>
      <c r="AJ854">
        <f>IF(COUNTA(T854:AH854)=0,"",AI854/(COUNT(KPI_Weights!$A$4:$A$18)*5))</f>
        <v/>
      </c>
      <c r="AK854">
        <f>IF(COUNTA(T854:AH854)=0,"",SUMPRODUCT(T854:AH854,KPI_Weights!$B$4:$B$18)/5)</f>
        <v/>
      </c>
      <c r="AL854">
        <f>IF(COUNTA(T854:AH854)=0,"",IF(SUMPRODUCT(--(T854:AH854&lt;=1),--(KPI_Weights!$C$4:$C$18="YES"))&gt;0,"YES","NO"))</f>
        <v/>
      </c>
      <c r="AM854">
        <f>IF(AJ854="","",IF(AND(AL854="NO",AJ854&gt;=0.75),"YES","NO"))</f>
        <v/>
      </c>
      <c r="AN854">
        <f>IF(AJ854="","",IF(AJ854&lt;0.4,"Critical",IF(AJ854&lt;0.6,"Poor",IF(AJ854&lt;0.75,"Needs Improvement",IF(AJ854&lt;0.9,"Good","Excellent")))))</f>
        <v/>
      </c>
    </row>
    <row r="855" ht="15" customHeight="1" s="45">
      <c r="A855">
        <f>IF($B855="","",TEXT($B855,"yyyymmdd")&amp;"-"&amp;SUBSTITUTE($F855," ","")&amp;"-"&amp;TEXT(COUNTIF($F$4:F855,$F855),"00"))</f>
        <v/>
      </c>
      <c r="C855">
        <f>IF($B855="","",WEEKNUM($B855,2))</f>
        <v/>
      </c>
      <c r="D855">
        <f>IF($B855="","",TEXT($B855,"yyyy-mm"))</f>
        <v/>
      </c>
      <c r="G855">
        <f>IF(OR($E855="",$F855=""),"",IFERROR(IF($E855=INDEX(Cluster_Master!$A$4:$A$18,MATCH($F855,Cluster_Master!$B$4:$B$18,0)),"OK","CHECK"),"CHECK"))</f>
        <v/>
      </c>
      <c r="H855">
        <f>IFERROR(INDEX(Cluster_Master!$C$4:$C$18,MATCH($F855,Cluster_Master!$B$4:$B$18,0)),"")</f>
        <v/>
      </c>
      <c r="I855">
        <f>IFERROR(INDEX(Cluster_Master!$D$4:$D$18,MATCH($F855,Cluster_Master!$B$4:$B$18,0)),"")</f>
        <v/>
      </c>
      <c r="J855">
        <f>IFERROR(INDEX(Cluster_Master!$E$4:$E$18,MATCH($F855,Cluster_Master!$B$4:$B$18,0)),"")</f>
        <v/>
      </c>
      <c r="K855">
        <f>IFERROR(INDEX(Cluster_Master!$F$4:$F$18,MATCH($F855,Cluster_Master!$B$4:$B$18,0)),"")</f>
        <v/>
      </c>
      <c r="L855">
        <f>IFERROR(INDEX(Cluster_Master!$G$4:$G$18,MATCH($F855,Cluster_Master!$B$4:$B$18,0)),"")</f>
        <v/>
      </c>
      <c r="M855">
        <f>IFERROR(INDEX(Cluster_Master!$H$4:$H$18,MATCH($F855,Cluster_Master!$B$4:$B$18,0)),"")</f>
        <v/>
      </c>
      <c r="AI855">
        <f>IF(COUNTA(T855:AH855)=0,"",SUM(T855:AH855))</f>
        <v/>
      </c>
      <c r="AJ855">
        <f>IF(COUNTA(T855:AH855)=0,"",AI855/(COUNT(KPI_Weights!$A$4:$A$18)*5))</f>
        <v/>
      </c>
      <c r="AK855">
        <f>IF(COUNTA(T855:AH855)=0,"",SUMPRODUCT(T855:AH855,KPI_Weights!$B$4:$B$18)/5)</f>
        <v/>
      </c>
      <c r="AL855">
        <f>IF(COUNTA(T855:AH855)=0,"",IF(SUMPRODUCT(--(T855:AH855&lt;=1),--(KPI_Weights!$C$4:$C$18="YES"))&gt;0,"YES","NO"))</f>
        <v/>
      </c>
      <c r="AM855">
        <f>IF(AJ855="","",IF(AND(AL855="NO",AJ855&gt;=0.75),"YES","NO"))</f>
        <v/>
      </c>
      <c r="AN855">
        <f>IF(AJ855="","",IF(AJ855&lt;0.4,"Critical",IF(AJ855&lt;0.6,"Poor",IF(AJ855&lt;0.75,"Needs Improvement",IF(AJ855&lt;0.9,"Good","Excellent")))))</f>
        <v/>
      </c>
    </row>
    <row r="856" ht="15" customHeight="1" s="45">
      <c r="A856">
        <f>IF($B856="","",TEXT($B856,"yyyymmdd")&amp;"-"&amp;SUBSTITUTE($F856," ","")&amp;"-"&amp;TEXT(COUNTIF($F$4:F856,$F856),"00"))</f>
        <v/>
      </c>
      <c r="C856">
        <f>IF($B856="","",WEEKNUM($B856,2))</f>
        <v/>
      </c>
      <c r="D856">
        <f>IF($B856="","",TEXT($B856,"yyyy-mm"))</f>
        <v/>
      </c>
      <c r="G856">
        <f>IF(OR($E856="",$F856=""),"",IFERROR(IF($E856=INDEX(Cluster_Master!$A$4:$A$18,MATCH($F856,Cluster_Master!$B$4:$B$18,0)),"OK","CHECK"),"CHECK"))</f>
        <v/>
      </c>
      <c r="H856">
        <f>IFERROR(INDEX(Cluster_Master!$C$4:$C$18,MATCH($F856,Cluster_Master!$B$4:$B$18,0)),"")</f>
        <v/>
      </c>
      <c r="I856">
        <f>IFERROR(INDEX(Cluster_Master!$D$4:$D$18,MATCH($F856,Cluster_Master!$B$4:$B$18,0)),"")</f>
        <v/>
      </c>
      <c r="J856">
        <f>IFERROR(INDEX(Cluster_Master!$E$4:$E$18,MATCH($F856,Cluster_Master!$B$4:$B$18,0)),"")</f>
        <v/>
      </c>
      <c r="K856">
        <f>IFERROR(INDEX(Cluster_Master!$F$4:$F$18,MATCH($F856,Cluster_Master!$B$4:$B$18,0)),"")</f>
        <v/>
      </c>
      <c r="L856">
        <f>IFERROR(INDEX(Cluster_Master!$G$4:$G$18,MATCH($F856,Cluster_Master!$B$4:$B$18,0)),"")</f>
        <v/>
      </c>
      <c r="M856">
        <f>IFERROR(INDEX(Cluster_Master!$H$4:$H$18,MATCH($F856,Cluster_Master!$B$4:$B$18,0)),"")</f>
        <v/>
      </c>
      <c r="AI856">
        <f>IF(COUNTA(T856:AH856)=0,"",SUM(T856:AH856))</f>
        <v/>
      </c>
      <c r="AJ856">
        <f>IF(COUNTA(T856:AH856)=0,"",AI856/(COUNT(KPI_Weights!$A$4:$A$18)*5))</f>
        <v/>
      </c>
      <c r="AK856">
        <f>IF(COUNTA(T856:AH856)=0,"",SUMPRODUCT(T856:AH856,KPI_Weights!$B$4:$B$18)/5)</f>
        <v/>
      </c>
      <c r="AL856">
        <f>IF(COUNTA(T856:AH856)=0,"",IF(SUMPRODUCT(--(T856:AH856&lt;=1),--(KPI_Weights!$C$4:$C$18="YES"))&gt;0,"YES","NO"))</f>
        <v/>
      </c>
      <c r="AM856">
        <f>IF(AJ856="","",IF(AND(AL856="NO",AJ856&gt;=0.75),"YES","NO"))</f>
        <v/>
      </c>
      <c r="AN856">
        <f>IF(AJ856="","",IF(AJ856&lt;0.4,"Critical",IF(AJ856&lt;0.6,"Poor",IF(AJ856&lt;0.75,"Needs Improvement",IF(AJ856&lt;0.9,"Good","Excellent")))))</f>
        <v/>
      </c>
    </row>
    <row r="857" ht="15" customHeight="1" s="45">
      <c r="A857">
        <f>IF($B857="","",TEXT($B857,"yyyymmdd")&amp;"-"&amp;SUBSTITUTE($F857," ","")&amp;"-"&amp;TEXT(COUNTIF($F$4:F857,$F857),"00"))</f>
        <v/>
      </c>
      <c r="C857">
        <f>IF($B857="","",WEEKNUM($B857,2))</f>
        <v/>
      </c>
      <c r="D857">
        <f>IF($B857="","",TEXT($B857,"yyyy-mm"))</f>
        <v/>
      </c>
      <c r="G857">
        <f>IF(OR($E857="",$F857=""),"",IFERROR(IF($E857=INDEX(Cluster_Master!$A$4:$A$18,MATCH($F857,Cluster_Master!$B$4:$B$18,0)),"OK","CHECK"),"CHECK"))</f>
        <v/>
      </c>
      <c r="H857">
        <f>IFERROR(INDEX(Cluster_Master!$C$4:$C$18,MATCH($F857,Cluster_Master!$B$4:$B$18,0)),"")</f>
        <v/>
      </c>
      <c r="I857">
        <f>IFERROR(INDEX(Cluster_Master!$D$4:$D$18,MATCH($F857,Cluster_Master!$B$4:$B$18,0)),"")</f>
        <v/>
      </c>
      <c r="J857">
        <f>IFERROR(INDEX(Cluster_Master!$E$4:$E$18,MATCH($F857,Cluster_Master!$B$4:$B$18,0)),"")</f>
        <v/>
      </c>
      <c r="K857">
        <f>IFERROR(INDEX(Cluster_Master!$F$4:$F$18,MATCH($F857,Cluster_Master!$B$4:$B$18,0)),"")</f>
        <v/>
      </c>
      <c r="L857">
        <f>IFERROR(INDEX(Cluster_Master!$G$4:$G$18,MATCH($F857,Cluster_Master!$B$4:$B$18,0)),"")</f>
        <v/>
      </c>
      <c r="M857">
        <f>IFERROR(INDEX(Cluster_Master!$H$4:$H$18,MATCH($F857,Cluster_Master!$B$4:$B$18,0)),"")</f>
        <v/>
      </c>
      <c r="AI857">
        <f>IF(COUNTA(T857:AH857)=0,"",SUM(T857:AH857))</f>
        <v/>
      </c>
      <c r="AJ857">
        <f>IF(COUNTA(T857:AH857)=0,"",AI857/(COUNT(KPI_Weights!$A$4:$A$18)*5))</f>
        <v/>
      </c>
      <c r="AK857">
        <f>IF(COUNTA(T857:AH857)=0,"",SUMPRODUCT(T857:AH857,KPI_Weights!$B$4:$B$18)/5)</f>
        <v/>
      </c>
      <c r="AL857">
        <f>IF(COUNTA(T857:AH857)=0,"",IF(SUMPRODUCT(--(T857:AH857&lt;=1),--(KPI_Weights!$C$4:$C$18="YES"))&gt;0,"YES","NO"))</f>
        <v/>
      </c>
      <c r="AM857">
        <f>IF(AJ857="","",IF(AND(AL857="NO",AJ857&gt;=0.75),"YES","NO"))</f>
        <v/>
      </c>
      <c r="AN857">
        <f>IF(AJ857="","",IF(AJ857&lt;0.4,"Critical",IF(AJ857&lt;0.6,"Poor",IF(AJ857&lt;0.75,"Needs Improvement",IF(AJ857&lt;0.9,"Good","Excellent")))))</f>
        <v/>
      </c>
    </row>
    <row r="858" ht="15" customHeight="1" s="45">
      <c r="A858">
        <f>IF($B858="","",TEXT($B858,"yyyymmdd")&amp;"-"&amp;SUBSTITUTE($F858," ","")&amp;"-"&amp;TEXT(COUNTIF($F$4:F858,$F858),"00"))</f>
        <v/>
      </c>
      <c r="C858">
        <f>IF($B858="","",WEEKNUM($B858,2))</f>
        <v/>
      </c>
      <c r="D858">
        <f>IF($B858="","",TEXT($B858,"yyyy-mm"))</f>
        <v/>
      </c>
      <c r="G858">
        <f>IF(OR($E858="",$F858=""),"",IFERROR(IF($E858=INDEX(Cluster_Master!$A$4:$A$18,MATCH($F858,Cluster_Master!$B$4:$B$18,0)),"OK","CHECK"),"CHECK"))</f>
        <v/>
      </c>
      <c r="H858">
        <f>IFERROR(INDEX(Cluster_Master!$C$4:$C$18,MATCH($F858,Cluster_Master!$B$4:$B$18,0)),"")</f>
        <v/>
      </c>
      <c r="I858">
        <f>IFERROR(INDEX(Cluster_Master!$D$4:$D$18,MATCH($F858,Cluster_Master!$B$4:$B$18,0)),"")</f>
        <v/>
      </c>
      <c r="J858">
        <f>IFERROR(INDEX(Cluster_Master!$E$4:$E$18,MATCH($F858,Cluster_Master!$B$4:$B$18,0)),"")</f>
        <v/>
      </c>
      <c r="K858">
        <f>IFERROR(INDEX(Cluster_Master!$F$4:$F$18,MATCH($F858,Cluster_Master!$B$4:$B$18,0)),"")</f>
        <v/>
      </c>
      <c r="L858">
        <f>IFERROR(INDEX(Cluster_Master!$G$4:$G$18,MATCH($F858,Cluster_Master!$B$4:$B$18,0)),"")</f>
        <v/>
      </c>
      <c r="M858">
        <f>IFERROR(INDEX(Cluster_Master!$H$4:$H$18,MATCH($F858,Cluster_Master!$B$4:$B$18,0)),"")</f>
        <v/>
      </c>
      <c r="AI858">
        <f>IF(COUNTA(T858:AH858)=0,"",SUM(T858:AH858))</f>
        <v/>
      </c>
      <c r="AJ858">
        <f>IF(COUNTA(T858:AH858)=0,"",AI858/(COUNT(KPI_Weights!$A$4:$A$18)*5))</f>
        <v/>
      </c>
      <c r="AK858">
        <f>IF(COUNTA(T858:AH858)=0,"",SUMPRODUCT(T858:AH858,KPI_Weights!$B$4:$B$18)/5)</f>
        <v/>
      </c>
      <c r="AL858">
        <f>IF(COUNTA(T858:AH858)=0,"",IF(SUMPRODUCT(--(T858:AH858&lt;=1),--(KPI_Weights!$C$4:$C$18="YES"))&gt;0,"YES","NO"))</f>
        <v/>
      </c>
      <c r="AM858">
        <f>IF(AJ858="","",IF(AND(AL858="NO",AJ858&gt;=0.75),"YES","NO"))</f>
        <v/>
      </c>
      <c r="AN858">
        <f>IF(AJ858="","",IF(AJ858&lt;0.4,"Critical",IF(AJ858&lt;0.6,"Poor",IF(AJ858&lt;0.75,"Needs Improvement",IF(AJ858&lt;0.9,"Good","Excellent")))))</f>
        <v/>
      </c>
    </row>
    <row r="859" ht="15" customHeight="1" s="45">
      <c r="A859">
        <f>IF($B859="","",TEXT($B859,"yyyymmdd")&amp;"-"&amp;SUBSTITUTE($F859," ","")&amp;"-"&amp;TEXT(COUNTIF($F$4:F859,$F859),"00"))</f>
        <v/>
      </c>
      <c r="C859">
        <f>IF($B859="","",WEEKNUM($B859,2))</f>
        <v/>
      </c>
      <c r="D859">
        <f>IF($B859="","",TEXT($B859,"yyyy-mm"))</f>
        <v/>
      </c>
      <c r="G859">
        <f>IF(OR($E859="",$F859=""),"",IFERROR(IF($E859=INDEX(Cluster_Master!$A$4:$A$18,MATCH($F859,Cluster_Master!$B$4:$B$18,0)),"OK","CHECK"),"CHECK"))</f>
        <v/>
      </c>
      <c r="H859">
        <f>IFERROR(INDEX(Cluster_Master!$C$4:$C$18,MATCH($F859,Cluster_Master!$B$4:$B$18,0)),"")</f>
        <v/>
      </c>
      <c r="I859">
        <f>IFERROR(INDEX(Cluster_Master!$D$4:$D$18,MATCH($F859,Cluster_Master!$B$4:$B$18,0)),"")</f>
        <v/>
      </c>
      <c r="J859">
        <f>IFERROR(INDEX(Cluster_Master!$E$4:$E$18,MATCH($F859,Cluster_Master!$B$4:$B$18,0)),"")</f>
        <v/>
      </c>
      <c r="K859">
        <f>IFERROR(INDEX(Cluster_Master!$F$4:$F$18,MATCH($F859,Cluster_Master!$B$4:$B$18,0)),"")</f>
        <v/>
      </c>
      <c r="L859">
        <f>IFERROR(INDEX(Cluster_Master!$G$4:$G$18,MATCH($F859,Cluster_Master!$B$4:$B$18,0)),"")</f>
        <v/>
      </c>
      <c r="M859">
        <f>IFERROR(INDEX(Cluster_Master!$H$4:$H$18,MATCH($F859,Cluster_Master!$B$4:$B$18,0)),"")</f>
        <v/>
      </c>
      <c r="AI859">
        <f>IF(COUNTA(T859:AH859)=0,"",SUM(T859:AH859))</f>
        <v/>
      </c>
      <c r="AJ859">
        <f>IF(COUNTA(T859:AH859)=0,"",AI859/(COUNT(KPI_Weights!$A$4:$A$18)*5))</f>
        <v/>
      </c>
      <c r="AK859">
        <f>IF(COUNTA(T859:AH859)=0,"",SUMPRODUCT(T859:AH859,KPI_Weights!$B$4:$B$18)/5)</f>
        <v/>
      </c>
      <c r="AL859">
        <f>IF(COUNTA(T859:AH859)=0,"",IF(SUMPRODUCT(--(T859:AH859&lt;=1),--(KPI_Weights!$C$4:$C$18="YES"))&gt;0,"YES","NO"))</f>
        <v/>
      </c>
      <c r="AM859">
        <f>IF(AJ859="","",IF(AND(AL859="NO",AJ859&gt;=0.75),"YES","NO"))</f>
        <v/>
      </c>
      <c r="AN859">
        <f>IF(AJ859="","",IF(AJ859&lt;0.4,"Critical",IF(AJ859&lt;0.6,"Poor",IF(AJ859&lt;0.75,"Needs Improvement",IF(AJ859&lt;0.9,"Good","Excellent")))))</f>
        <v/>
      </c>
    </row>
    <row r="860" ht="15" customHeight="1" s="45">
      <c r="A860">
        <f>IF($B860="","",TEXT($B860,"yyyymmdd")&amp;"-"&amp;SUBSTITUTE($F860," ","")&amp;"-"&amp;TEXT(COUNTIF($F$4:F860,$F860),"00"))</f>
        <v/>
      </c>
      <c r="C860">
        <f>IF($B860="","",WEEKNUM($B860,2))</f>
        <v/>
      </c>
      <c r="D860">
        <f>IF($B860="","",TEXT($B860,"yyyy-mm"))</f>
        <v/>
      </c>
      <c r="G860">
        <f>IF(OR($E860="",$F860=""),"",IFERROR(IF($E860=INDEX(Cluster_Master!$A$4:$A$18,MATCH($F860,Cluster_Master!$B$4:$B$18,0)),"OK","CHECK"),"CHECK"))</f>
        <v/>
      </c>
      <c r="H860">
        <f>IFERROR(INDEX(Cluster_Master!$C$4:$C$18,MATCH($F860,Cluster_Master!$B$4:$B$18,0)),"")</f>
        <v/>
      </c>
      <c r="I860">
        <f>IFERROR(INDEX(Cluster_Master!$D$4:$D$18,MATCH($F860,Cluster_Master!$B$4:$B$18,0)),"")</f>
        <v/>
      </c>
      <c r="J860">
        <f>IFERROR(INDEX(Cluster_Master!$E$4:$E$18,MATCH($F860,Cluster_Master!$B$4:$B$18,0)),"")</f>
        <v/>
      </c>
      <c r="K860">
        <f>IFERROR(INDEX(Cluster_Master!$F$4:$F$18,MATCH($F860,Cluster_Master!$B$4:$B$18,0)),"")</f>
        <v/>
      </c>
      <c r="L860">
        <f>IFERROR(INDEX(Cluster_Master!$G$4:$G$18,MATCH($F860,Cluster_Master!$B$4:$B$18,0)),"")</f>
        <v/>
      </c>
      <c r="M860">
        <f>IFERROR(INDEX(Cluster_Master!$H$4:$H$18,MATCH($F860,Cluster_Master!$B$4:$B$18,0)),"")</f>
        <v/>
      </c>
      <c r="AI860">
        <f>IF(COUNTA(T860:AH860)=0,"",SUM(T860:AH860))</f>
        <v/>
      </c>
      <c r="AJ860">
        <f>IF(COUNTA(T860:AH860)=0,"",AI860/(COUNT(KPI_Weights!$A$4:$A$18)*5))</f>
        <v/>
      </c>
      <c r="AK860">
        <f>IF(COUNTA(T860:AH860)=0,"",SUMPRODUCT(T860:AH860,KPI_Weights!$B$4:$B$18)/5)</f>
        <v/>
      </c>
      <c r="AL860">
        <f>IF(COUNTA(T860:AH860)=0,"",IF(SUMPRODUCT(--(T860:AH860&lt;=1),--(KPI_Weights!$C$4:$C$18="YES"))&gt;0,"YES","NO"))</f>
        <v/>
      </c>
      <c r="AM860">
        <f>IF(AJ860="","",IF(AND(AL860="NO",AJ860&gt;=0.75),"YES","NO"))</f>
        <v/>
      </c>
      <c r="AN860">
        <f>IF(AJ860="","",IF(AJ860&lt;0.4,"Critical",IF(AJ860&lt;0.6,"Poor",IF(AJ860&lt;0.75,"Needs Improvement",IF(AJ860&lt;0.9,"Good","Excellent")))))</f>
        <v/>
      </c>
    </row>
    <row r="861" ht="15" customHeight="1" s="45">
      <c r="A861">
        <f>IF($B861="","",TEXT($B861,"yyyymmdd")&amp;"-"&amp;SUBSTITUTE($F861," ","")&amp;"-"&amp;TEXT(COUNTIF($F$4:F861,$F861),"00"))</f>
        <v/>
      </c>
      <c r="C861">
        <f>IF($B861="","",WEEKNUM($B861,2))</f>
        <v/>
      </c>
      <c r="D861">
        <f>IF($B861="","",TEXT($B861,"yyyy-mm"))</f>
        <v/>
      </c>
      <c r="G861">
        <f>IF(OR($E861="",$F861=""),"",IFERROR(IF($E861=INDEX(Cluster_Master!$A$4:$A$18,MATCH($F861,Cluster_Master!$B$4:$B$18,0)),"OK","CHECK"),"CHECK"))</f>
        <v/>
      </c>
      <c r="H861">
        <f>IFERROR(INDEX(Cluster_Master!$C$4:$C$18,MATCH($F861,Cluster_Master!$B$4:$B$18,0)),"")</f>
        <v/>
      </c>
      <c r="I861">
        <f>IFERROR(INDEX(Cluster_Master!$D$4:$D$18,MATCH($F861,Cluster_Master!$B$4:$B$18,0)),"")</f>
        <v/>
      </c>
      <c r="J861">
        <f>IFERROR(INDEX(Cluster_Master!$E$4:$E$18,MATCH($F861,Cluster_Master!$B$4:$B$18,0)),"")</f>
        <v/>
      </c>
      <c r="K861">
        <f>IFERROR(INDEX(Cluster_Master!$F$4:$F$18,MATCH($F861,Cluster_Master!$B$4:$B$18,0)),"")</f>
        <v/>
      </c>
      <c r="L861">
        <f>IFERROR(INDEX(Cluster_Master!$G$4:$G$18,MATCH($F861,Cluster_Master!$B$4:$B$18,0)),"")</f>
        <v/>
      </c>
      <c r="M861">
        <f>IFERROR(INDEX(Cluster_Master!$H$4:$H$18,MATCH($F861,Cluster_Master!$B$4:$B$18,0)),"")</f>
        <v/>
      </c>
      <c r="AI861">
        <f>IF(COUNTA(T861:AH861)=0,"",SUM(T861:AH861))</f>
        <v/>
      </c>
      <c r="AJ861">
        <f>IF(COUNTA(T861:AH861)=0,"",AI861/(COUNT(KPI_Weights!$A$4:$A$18)*5))</f>
        <v/>
      </c>
      <c r="AK861">
        <f>IF(COUNTA(T861:AH861)=0,"",SUMPRODUCT(T861:AH861,KPI_Weights!$B$4:$B$18)/5)</f>
        <v/>
      </c>
      <c r="AL861">
        <f>IF(COUNTA(T861:AH861)=0,"",IF(SUMPRODUCT(--(T861:AH861&lt;=1),--(KPI_Weights!$C$4:$C$18="YES"))&gt;0,"YES","NO"))</f>
        <v/>
      </c>
      <c r="AM861">
        <f>IF(AJ861="","",IF(AND(AL861="NO",AJ861&gt;=0.75),"YES","NO"))</f>
        <v/>
      </c>
      <c r="AN861">
        <f>IF(AJ861="","",IF(AJ861&lt;0.4,"Critical",IF(AJ861&lt;0.6,"Poor",IF(AJ861&lt;0.75,"Needs Improvement",IF(AJ861&lt;0.9,"Good","Excellent")))))</f>
        <v/>
      </c>
    </row>
    <row r="862" ht="15" customHeight="1" s="45">
      <c r="A862">
        <f>IF($B862="","",TEXT($B862,"yyyymmdd")&amp;"-"&amp;SUBSTITUTE($F862," ","")&amp;"-"&amp;TEXT(COUNTIF($F$4:F862,$F862),"00"))</f>
        <v/>
      </c>
      <c r="C862">
        <f>IF($B862="","",WEEKNUM($B862,2))</f>
        <v/>
      </c>
      <c r="D862">
        <f>IF($B862="","",TEXT($B862,"yyyy-mm"))</f>
        <v/>
      </c>
      <c r="G862">
        <f>IF(OR($E862="",$F862=""),"",IFERROR(IF($E862=INDEX(Cluster_Master!$A$4:$A$18,MATCH($F862,Cluster_Master!$B$4:$B$18,0)),"OK","CHECK"),"CHECK"))</f>
        <v/>
      </c>
      <c r="H862">
        <f>IFERROR(INDEX(Cluster_Master!$C$4:$C$18,MATCH($F862,Cluster_Master!$B$4:$B$18,0)),"")</f>
        <v/>
      </c>
      <c r="I862">
        <f>IFERROR(INDEX(Cluster_Master!$D$4:$D$18,MATCH($F862,Cluster_Master!$B$4:$B$18,0)),"")</f>
        <v/>
      </c>
      <c r="J862">
        <f>IFERROR(INDEX(Cluster_Master!$E$4:$E$18,MATCH($F862,Cluster_Master!$B$4:$B$18,0)),"")</f>
        <v/>
      </c>
      <c r="K862">
        <f>IFERROR(INDEX(Cluster_Master!$F$4:$F$18,MATCH($F862,Cluster_Master!$B$4:$B$18,0)),"")</f>
        <v/>
      </c>
      <c r="L862">
        <f>IFERROR(INDEX(Cluster_Master!$G$4:$G$18,MATCH($F862,Cluster_Master!$B$4:$B$18,0)),"")</f>
        <v/>
      </c>
      <c r="M862">
        <f>IFERROR(INDEX(Cluster_Master!$H$4:$H$18,MATCH($F862,Cluster_Master!$B$4:$B$18,0)),"")</f>
        <v/>
      </c>
      <c r="AI862">
        <f>IF(COUNTA(T862:AH862)=0,"",SUM(T862:AH862))</f>
        <v/>
      </c>
      <c r="AJ862">
        <f>IF(COUNTA(T862:AH862)=0,"",AI862/(COUNT(KPI_Weights!$A$4:$A$18)*5))</f>
        <v/>
      </c>
      <c r="AK862">
        <f>IF(COUNTA(T862:AH862)=0,"",SUMPRODUCT(T862:AH862,KPI_Weights!$B$4:$B$18)/5)</f>
        <v/>
      </c>
      <c r="AL862">
        <f>IF(COUNTA(T862:AH862)=0,"",IF(SUMPRODUCT(--(T862:AH862&lt;=1),--(KPI_Weights!$C$4:$C$18="YES"))&gt;0,"YES","NO"))</f>
        <v/>
      </c>
      <c r="AM862">
        <f>IF(AJ862="","",IF(AND(AL862="NO",AJ862&gt;=0.75),"YES","NO"))</f>
        <v/>
      </c>
      <c r="AN862">
        <f>IF(AJ862="","",IF(AJ862&lt;0.4,"Critical",IF(AJ862&lt;0.6,"Poor",IF(AJ862&lt;0.75,"Needs Improvement",IF(AJ862&lt;0.9,"Good","Excellent")))))</f>
        <v/>
      </c>
    </row>
    <row r="863" ht="15" customHeight="1" s="45">
      <c r="A863">
        <f>IF($B863="","",TEXT($B863,"yyyymmdd")&amp;"-"&amp;SUBSTITUTE($F863," ","")&amp;"-"&amp;TEXT(COUNTIF($F$4:F863,$F863),"00"))</f>
        <v/>
      </c>
      <c r="C863">
        <f>IF($B863="","",WEEKNUM($B863,2))</f>
        <v/>
      </c>
      <c r="D863">
        <f>IF($B863="","",TEXT($B863,"yyyy-mm"))</f>
        <v/>
      </c>
      <c r="G863">
        <f>IF(OR($E863="",$F863=""),"",IFERROR(IF($E863=INDEX(Cluster_Master!$A$4:$A$18,MATCH($F863,Cluster_Master!$B$4:$B$18,0)),"OK","CHECK"),"CHECK"))</f>
        <v/>
      </c>
      <c r="H863">
        <f>IFERROR(INDEX(Cluster_Master!$C$4:$C$18,MATCH($F863,Cluster_Master!$B$4:$B$18,0)),"")</f>
        <v/>
      </c>
      <c r="I863">
        <f>IFERROR(INDEX(Cluster_Master!$D$4:$D$18,MATCH($F863,Cluster_Master!$B$4:$B$18,0)),"")</f>
        <v/>
      </c>
      <c r="J863">
        <f>IFERROR(INDEX(Cluster_Master!$E$4:$E$18,MATCH($F863,Cluster_Master!$B$4:$B$18,0)),"")</f>
        <v/>
      </c>
      <c r="K863">
        <f>IFERROR(INDEX(Cluster_Master!$F$4:$F$18,MATCH($F863,Cluster_Master!$B$4:$B$18,0)),"")</f>
        <v/>
      </c>
      <c r="L863">
        <f>IFERROR(INDEX(Cluster_Master!$G$4:$G$18,MATCH($F863,Cluster_Master!$B$4:$B$18,0)),"")</f>
        <v/>
      </c>
      <c r="M863">
        <f>IFERROR(INDEX(Cluster_Master!$H$4:$H$18,MATCH($F863,Cluster_Master!$B$4:$B$18,0)),"")</f>
        <v/>
      </c>
      <c r="AI863">
        <f>IF(COUNTA(T863:AH863)=0,"",SUM(T863:AH863))</f>
        <v/>
      </c>
      <c r="AJ863">
        <f>IF(COUNTA(T863:AH863)=0,"",AI863/(COUNT(KPI_Weights!$A$4:$A$18)*5))</f>
        <v/>
      </c>
      <c r="AK863">
        <f>IF(COUNTA(T863:AH863)=0,"",SUMPRODUCT(T863:AH863,KPI_Weights!$B$4:$B$18)/5)</f>
        <v/>
      </c>
      <c r="AL863">
        <f>IF(COUNTA(T863:AH863)=0,"",IF(SUMPRODUCT(--(T863:AH863&lt;=1),--(KPI_Weights!$C$4:$C$18="YES"))&gt;0,"YES","NO"))</f>
        <v/>
      </c>
      <c r="AM863">
        <f>IF(AJ863="","",IF(AND(AL863="NO",AJ863&gt;=0.75),"YES","NO"))</f>
        <v/>
      </c>
      <c r="AN863">
        <f>IF(AJ863="","",IF(AJ863&lt;0.4,"Critical",IF(AJ863&lt;0.6,"Poor",IF(AJ863&lt;0.75,"Needs Improvement",IF(AJ863&lt;0.9,"Good","Excellent")))))</f>
        <v/>
      </c>
    </row>
    <row r="864" ht="15" customHeight="1" s="45">
      <c r="A864">
        <f>IF($B864="","",TEXT($B864,"yyyymmdd")&amp;"-"&amp;SUBSTITUTE($F864," ","")&amp;"-"&amp;TEXT(COUNTIF($F$4:F864,$F864),"00"))</f>
        <v/>
      </c>
      <c r="C864">
        <f>IF($B864="","",WEEKNUM($B864,2))</f>
        <v/>
      </c>
      <c r="D864">
        <f>IF($B864="","",TEXT($B864,"yyyy-mm"))</f>
        <v/>
      </c>
      <c r="G864">
        <f>IF(OR($E864="",$F864=""),"",IFERROR(IF($E864=INDEX(Cluster_Master!$A$4:$A$18,MATCH($F864,Cluster_Master!$B$4:$B$18,0)),"OK","CHECK"),"CHECK"))</f>
        <v/>
      </c>
      <c r="H864">
        <f>IFERROR(INDEX(Cluster_Master!$C$4:$C$18,MATCH($F864,Cluster_Master!$B$4:$B$18,0)),"")</f>
        <v/>
      </c>
      <c r="I864">
        <f>IFERROR(INDEX(Cluster_Master!$D$4:$D$18,MATCH($F864,Cluster_Master!$B$4:$B$18,0)),"")</f>
        <v/>
      </c>
      <c r="J864">
        <f>IFERROR(INDEX(Cluster_Master!$E$4:$E$18,MATCH($F864,Cluster_Master!$B$4:$B$18,0)),"")</f>
        <v/>
      </c>
      <c r="K864">
        <f>IFERROR(INDEX(Cluster_Master!$F$4:$F$18,MATCH($F864,Cluster_Master!$B$4:$B$18,0)),"")</f>
        <v/>
      </c>
      <c r="L864">
        <f>IFERROR(INDEX(Cluster_Master!$G$4:$G$18,MATCH($F864,Cluster_Master!$B$4:$B$18,0)),"")</f>
        <v/>
      </c>
      <c r="M864">
        <f>IFERROR(INDEX(Cluster_Master!$H$4:$H$18,MATCH($F864,Cluster_Master!$B$4:$B$18,0)),"")</f>
        <v/>
      </c>
      <c r="AI864">
        <f>IF(COUNTA(T864:AH864)=0,"",SUM(T864:AH864))</f>
        <v/>
      </c>
      <c r="AJ864">
        <f>IF(COUNTA(T864:AH864)=0,"",AI864/(COUNT(KPI_Weights!$A$4:$A$18)*5))</f>
        <v/>
      </c>
      <c r="AK864">
        <f>IF(COUNTA(T864:AH864)=0,"",SUMPRODUCT(T864:AH864,KPI_Weights!$B$4:$B$18)/5)</f>
        <v/>
      </c>
      <c r="AL864">
        <f>IF(COUNTA(T864:AH864)=0,"",IF(SUMPRODUCT(--(T864:AH864&lt;=1),--(KPI_Weights!$C$4:$C$18="YES"))&gt;0,"YES","NO"))</f>
        <v/>
      </c>
      <c r="AM864">
        <f>IF(AJ864="","",IF(AND(AL864="NO",AJ864&gt;=0.75),"YES","NO"))</f>
        <v/>
      </c>
      <c r="AN864">
        <f>IF(AJ864="","",IF(AJ864&lt;0.4,"Critical",IF(AJ864&lt;0.6,"Poor",IF(AJ864&lt;0.75,"Needs Improvement",IF(AJ864&lt;0.9,"Good","Excellent")))))</f>
        <v/>
      </c>
    </row>
    <row r="865" ht="15" customHeight="1" s="45">
      <c r="A865">
        <f>IF($B865="","",TEXT($B865,"yyyymmdd")&amp;"-"&amp;SUBSTITUTE($F865," ","")&amp;"-"&amp;TEXT(COUNTIF($F$4:F865,$F865),"00"))</f>
        <v/>
      </c>
      <c r="C865">
        <f>IF($B865="","",WEEKNUM($B865,2))</f>
        <v/>
      </c>
      <c r="D865">
        <f>IF($B865="","",TEXT($B865,"yyyy-mm"))</f>
        <v/>
      </c>
      <c r="G865">
        <f>IF(OR($E865="",$F865=""),"",IFERROR(IF($E865=INDEX(Cluster_Master!$A$4:$A$18,MATCH($F865,Cluster_Master!$B$4:$B$18,0)),"OK","CHECK"),"CHECK"))</f>
        <v/>
      </c>
      <c r="H865">
        <f>IFERROR(INDEX(Cluster_Master!$C$4:$C$18,MATCH($F865,Cluster_Master!$B$4:$B$18,0)),"")</f>
        <v/>
      </c>
      <c r="I865">
        <f>IFERROR(INDEX(Cluster_Master!$D$4:$D$18,MATCH($F865,Cluster_Master!$B$4:$B$18,0)),"")</f>
        <v/>
      </c>
      <c r="J865">
        <f>IFERROR(INDEX(Cluster_Master!$E$4:$E$18,MATCH($F865,Cluster_Master!$B$4:$B$18,0)),"")</f>
        <v/>
      </c>
      <c r="K865">
        <f>IFERROR(INDEX(Cluster_Master!$F$4:$F$18,MATCH($F865,Cluster_Master!$B$4:$B$18,0)),"")</f>
        <v/>
      </c>
      <c r="L865">
        <f>IFERROR(INDEX(Cluster_Master!$G$4:$G$18,MATCH($F865,Cluster_Master!$B$4:$B$18,0)),"")</f>
        <v/>
      </c>
      <c r="M865">
        <f>IFERROR(INDEX(Cluster_Master!$H$4:$H$18,MATCH($F865,Cluster_Master!$B$4:$B$18,0)),"")</f>
        <v/>
      </c>
      <c r="AI865">
        <f>IF(COUNTA(T865:AH865)=0,"",SUM(T865:AH865))</f>
        <v/>
      </c>
      <c r="AJ865">
        <f>IF(COUNTA(T865:AH865)=0,"",AI865/(COUNT(KPI_Weights!$A$4:$A$18)*5))</f>
        <v/>
      </c>
      <c r="AK865">
        <f>IF(COUNTA(T865:AH865)=0,"",SUMPRODUCT(T865:AH865,KPI_Weights!$B$4:$B$18)/5)</f>
        <v/>
      </c>
      <c r="AL865">
        <f>IF(COUNTA(T865:AH865)=0,"",IF(SUMPRODUCT(--(T865:AH865&lt;=1),--(KPI_Weights!$C$4:$C$18="YES"))&gt;0,"YES","NO"))</f>
        <v/>
      </c>
      <c r="AM865">
        <f>IF(AJ865="","",IF(AND(AL865="NO",AJ865&gt;=0.75),"YES","NO"))</f>
        <v/>
      </c>
      <c r="AN865">
        <f>IF(AJ865="","",IF(AJ865&lt;0.4,"Critical",IF(AJ865&lt;0.6,"Poor",IF(AJ865&lt;0.75,"Needs Improvement",IF(AJ865&lt;0.9,"Good","Excellent")))))</f>
        <v/>
      </c>
    </row>
    <row r="866" ht="15" customHeight="1" s="45">
      <c r="A866">
        <f>IF($B866="","",TEXT($B866,"yyyymmdd")&amp;"-"&amp;SUBSTITUTE($F866," ","")&amp;"-"&amp;TEXT(COUNTIF($F$4:F866,$F866),"00"))</f>
        <v/>
      </c>
      <c r="C866">
        <f>IF($B866="","",WEEKNUM($B866,2))</f>
        <v/>
      </c>
      <c r="D866">
        <f>IF($B866="","",TEXT($B866,"yyyy-mm"))</f>
        <v/>
      </c>
      <c r="G866">
        <f>IF(OR($E866="",$F866=""),"",IFERROR(IF($E866=INDEX(Cluster_Master!$A$4:$A$18,MATCH($F866,Cluster_Master!$B$4:$B$18,0)),"OK","CHECK"),"CHECK"))</f>
        <v/>
      </c>
      <c r="H866">
        <f>IFERROR(INDEX(Cluster_Master!$C$4:$C$18,MATCH($F866,Cluster_Master!$B$4:$B$18,0)),"")</f>
        <v/>
      </c>
      <c r="I866">
        <f>IFERROR(INDEX(Cluster_Master!$D$4:$D$18,MATCH($F866,Cluster_Master!$B$4:$B$18,0)),"")</f>
        <v/>
      </c>
      <c r="J866">
        <f>IFERROR(INDEX(Cluster_Master!$E$4:$E$18,MATCH($F866,Cluster_Master!$B$4:$B$18,0)),"")</f>
        <v/>
      </c>
      <c r="K866">
        <f>IFERROR(INDEX(Cluster_Master!$F$4:$F$18,MATCH($F866,Cluster_Master!$B$4:$B$18,0)),"")</f>
        <v/>
      </c>
      <c r="L866">
        <f>IFERROR(INDEX(Cluster_Master!$G$4:$G$18,MATCH($F866,Cluster_Master!$B$4:$B$18,0)),"")</f>
        <v/>
      </c>
      <c r="M866">
        <f>IFERROR(INDEX(Cluster_Master!$H$4:$H$18,MATCH($F866,Cluster_Master!$B$4:$B$18,0)),"")</f>
        <v/>
      </c>
      <c r="AI866">
        <f>IF(COUNTA(T866:AH866)=0,"",SUM(T866:AH866))</f>
        <v/>
      </c>
      <c r="AJ866">
        <f>IF(COUNTA(T866:AH866)=0,"",AI866/(COUNT(KPI_Weights!$A$4:$A$18)*5))</f>
        <v/>
      </c>
      <c r="AK866">
        <f>IF(COUNTA(T866:AH866)=0,"",SUMPRODUCT(T866:AH866,KPI_Weights!$B$4:$B$18)/5)</f>
        <v/>
      </c>
      <c r="AL866">
        <f>IF(COUNTA(T866:AH866)=0,"",IF(SUMPRODUCT(--(T866:AH866&lt;=1),--(KPI_Weights!$C$4:$C$18="YES"))&gt;0,"YES","NO"))</f>
        <v/>
      </c>
      <c r="AM866">
        <f>IF(AJ866="","",IF(AND(AL866="NO",AJ866&gt;=0.75),"YES","NO"))</f>
        <v/>
      </c>
      <c r="AN866">
        <f>IF(AJ866="","",IF(AJ866&lt;0.4,"Critical",IF(AJ866&lt;0.6,"Poor",IF(AJ866&lt;0.75,"Needs Improvement",IF(AJ866&lt;0.9,"Good","Excellent")))))</f>
        <v/>
      </c>
    </row>
    <row r="867" ht="15" customHeight="1" s="45">
      <c r="A867">
        <f>IF($B867="","",TEXT($B867,"yyyymmdd")&amp;"-"&amp;SUBSTITUTE($F867," ","")&amp;"-"&amp;TEXT(COUNTIF($F$4:F867,$F867),"00"))</f>
        <v/>
      </c>
      <c r="C867">
        <f>IF($B867="","",WEEKNUM($B867,2))</f>
        <v/>
      </c>
      <c r="D867">
        <f>IF($B867="","",TEXT($B867,"yyyy-mm"))</f>
        <v/>
      </c>
      <c r="G867">
        <f>IF(OR($E867="",$F867=""),"",IFERROR(IF($E867=INDEX(Cluster_Master!$A$4:$A$18,MATCH($F867,Cluster_Master!$B$4:$B$18,0)),"OK","CHECK"),"CHECK"))</f>
        <v/>
      </c>
      <c r="H867">
        <f>IFERROR(INDEX(Cluster_Master!$C$4:$C$18,MATCH($F867,Cluster_Master!$B$4:$B$18,0)),"")</f>
        <v/>
      </c>
      <c r="I867">
        <f>IFERROR(INDEX(Cluster_Master!$D$4:$D$18,MATCH($F867,Cluster_Master!$B$4:$B$18,0)),"")</f>
        <v/>
      </c>
      <c r="J867">
        <f>IFERROR(INDEX(Cluster_Master!$E$4:$E$18,MATCH($F867,Cluster_Master!$B$4:$B$18,0)),"")</f>
        <v/>
      </c>
      <c r="K867">
        <f>IFERROR(INDEX(Cluster_Master!$F$4:$F$18,MATCH($F867,Cluster_Master!$B$4:$B$18,0)),"")</f>
        <v/>
      </c>
      <c r="L867">
        <f>IFERROR(INDEX(Cluster_Master!$G$4:$G$18,MATCH($F867,Cluster_Master!$B$4:$B$18,0)),"")</f>
        <v/>
      </c>
      <c r="M867">
        <f>IFERROR(INDEX(Cluster_Master!$H$4:$H$18,MATCH($F867,Cluster_Master!$B$4:$B$18,0)),"")</f>
        <v/>
      </c>
      <c r="AI867">
        <f>IF(COUNTA(T867:AH867)=0,"",SUM(T867:AH867))</f>
        <v/>
      </c>
      <c r="AJ867">
        <f>IF(COUNTA(T867:AH867)=0,"",AI867/(COUNT(KPI_Weights!$A$4:$A$18)*5))</f>
        <v/>
      </c>
      <c r="AK867">
        <f>IF(COUNTA(T867:AH867)=0,"",SUMPRODUCT(T867:AH867,KPI_Weights!$B$4:$B$18)/5)</f>
        <v/>
      </c>
      <c r="AL867">
        <f>IF(COUNTA(T867:AH867)=0,"",IF(SUMPRODUCT(--(T867:AH867&lt;=1),--(KPI_Weights!$C$4:$C$18="YES"))&gt;0,"YES","NO"))</f>
        <v/>
      </c>
      <c r="AM867">
        <f>IF(AJ867="","",IF(AND(AL867="NO",AJ867&gt;=0.75),"YES","NO"))</f>
        <v/>
      </c>
      <c r="AN867">
        <f>IF(AJ867="","",IF(AJ867&lt;0.4,"Critical",IF(AJ867&lt;0.6,"Poor",IF(AJ867&lt;0.75,"Needs Improvement",IF(AJ867&lt;0.9,"Good","Excellent")))))</f>
        <v/>
      </c>
    </row>
    <row r="868" ht="15" customHeight="1" s="45">
      <c r="A868">
        <f>IF($B868="","",TEXT($B868,"yyyymmdd")&amp;"-"&amp;SUBSTITUTE($F868," ","")&amp;"-"&amp;TEXT(COUNTIF($F$4:F868,$F868),"00"))</f>
        <v/>
      </c>
      <c r="C868">
        <f>IF($B868="","",WEEKNUM($B868,2))</f>
        <v/>
      </c>
      <c r="D868">
        <f>IF($B868="","",TEXT($B868,"yyyy-mm"))</f>
        <v/>
      </c>
      <c r="G868">
        <f>IF(OR($E868="",$F868=""),"",IFERROR(IF($E868=INDEX(Cluster_Master!$A$4:$A$18,MATCH($F868,Cluster_Master!$B$4:$B$18,0)),"OK","CHECK"),"CHECK"))</f>
        <v/>
      </c>
      <c r="H868">
        <f>IFERROR(INDEX(Cluster_Master!$C$4:$C$18,MATCH($F868,Cluster_Master!$B$4:$B$18,0)),"")</f>
        <v/>
      </c>
      <c r="I868">
        <f>IFERROR(INDEX(Cluster_Master!$D$4:$D$18,MATCH($F868,Cluster_Master!$B$4:$B$18,0)),"")</f>
        <v/>
      </c>
      <c r="J868">
        <f>IFERROR(INDEX(Cluster_Master!$E$4:$E$18,MATCH($F868,Cluster_Master!$B$4:$B$18,0)),"")</f>
        <v/>
      </c>
      <c r="K868">
        <f>IFERROR(INDEX(Cluster_Master!$F$4:$F$18,MATCH($F868,Cluster_Master!$B$4:$B$18,0)),"")</f>
        <v/>
      </c>
      <c r="L868">
        <f>IFERROR(INDEX(Cluster_Master!$G$4:$G$18,MATCH($F868,Cluster_Master!$B$4:$B$18,0)),"")</f>
        <v/>
      </c>
      <c r="M868">
        <f>IFERROR(INDEX(Cluster_Master!$H$4:$H$18,MATCH($F868,Cluster_Master!$B$4:$B$18,0)),"")</f>
        <v/>
      </c>
      <c r="AI868">
        <f>IF(COUNTA(T868:AH868)=0,"",SUM(T868:AH868))</f>
        <v/>
      </c>
      <c r="AJ868">
        <f>IF(COUNTA(T868:AH868)=0,"",AI868/(COUNT(KPI_Weights!$A$4:$A$18)*5))</f>
        <v/>
      </c>
      <c r="AK868">
        <f>IF(COUNTA(T868:AH868)=0,"",SUMPRODUCT(T868:AH868,KPI_Weights!$B$4:$B$18)/5)</f>
        <v/>
      </c>
      <c r="AL868">
        <f>IF(COUNTA(T868:AH868)=0,"",IF(SUMPRODUCT(--(T868:AH868&lt;=1),--(KPI_Weights!$C$4:$C$18="YES"))&gt;0,"YES","NO"))</f>
        <v/>
      </c>
      <c r="AM868">
        <f>IF(AJ868="","",IF(AND(AL868="NO",AJ868&gt;=0.75),"YES","NO"))</f>
        <v/>
      </c>
      <c r="AN868">
        <f>IF(AJ868="","",IF(AJ868&lt;0.4,"Critical",IF(AJ868&lt;0.6,"Poor",IF(AJ868&lt;0.75,"Needs Improvement",IF(AJ868&lt;0.9,"Good","Excellent")))))</f>
        <v/>
      </c>
    </row>
    <row r="869" ht="15" customHeight="1" s="45">
      <c r="A869">
        <f>IF($B869="","",TEXT($B869,"yyyymmdd")&amp;"-"&amp;SUBSTITUTE($F869," ","")&amp;"-"&amp;TEXT(COUNTIF($F$4:F869,$F869),"00"))</f>
        <v/>
      </c>
      <c r="C869">
        <f>IF($B869="","",WEEKNUM($B869,2))</f>
        <v/>
      </c>
      <c r="D869">
        <f>IF($B869="","",TEXT($B869,"yyyy-mm"))</f>
        <v/>
      </c>
      <c r="G869">
        <f>IF(OR($E869="",$F869=""),"",IFERROR(IF($E869=INDEX(Cluster_Master!$A$4:$A$18,MATCH($F869,Cluster_Master!$B$4:$B$18,0)),"OK","CHECK"),"CHECK"))</f>
        <v/>
      </c>
      <c r="H869">
        <f>IFERROR(INDEX(Cluster_Master!$C$4:$C$18,MATCH($F869,Cluster_Master!$B$4:$B$18,0)),"")</f>
        <v/>
      </c>
      <c r="I869">
        <f>IFERROR(INDEX(Cluster_Master!$D$4:$D$18,MATCH($F869,Cluster_Master!$B$4:$B$18,0)),"")</f>
        <v/>
      </c>
      <c r="J869">
        <f>IFERROR(INDEX(Cluster_Master!$E$4:$E$18,MATCH($F869,Cluster_Master!$B$4:$B$18,0)),"")</f>
        <v/>
      </c>
      <c r="K869">
        <f>IFERROR(INDEX(Cluster_Master!$F$4:$F$18,MATCH($F869,Cluster_Master!$B$4:$B$18,0)),"")</f>
        <v/>
      </c>
      <c r="L869">
        <f>IFERROR(INDEX(Cluster_Master!$G$4:$G$18,MATCH($F869,Cluster_Master!$B$4:$B$18,0)),"")</f>
        <v/>
      </c>
      <c r="M869">
        <f>IFERROR(INDEX(Cluster_Master!$H$4:$H$18,MATCH($F869,Cluster_Master!$B$4:$B$18,0)),"")</f>
        <v/>
      </c>
      <c r="AI869">
        <f>IF(COUNTA(T869:AH869)=0,"",SUM(T869:AH869))</f>
        <v/>
      </c>
      <c r="AJ869">
        <f>IF(COUNTA(T869:AH869)=0,"",AI869/(COUNT(KPI_Weights!$A$4:$A$18)*5))</f>
        <v/>
      </c>
      <c r="AK869">
        <f>IF(COUNTA(T869:AH869)=0,"",SUMPRODUCT(T869:AH869,KPI_Weights!$B$4:$B$18)/5)</f>
        <v/>
      </c>
      <c r="AL869">
        <f>IF(COUNTA(T869:AH869)=0,"",IF(SUMPRODUCT(--(T869:AH869&lt;=1),--(KPI_Weights!$C$4:$C$18="YES"))&gt;0,"YES","NO"))</f>
        <v/>
      </c>
      <c r="AM869">
        <f>IF(AJ869="","",IF(AND(AL869="NO",AJ869&gt;=0.75),"YES","NO"))</f>
        <v/>
      </c>
      <c r="AN869">
        <f>IF(AJ869="","",IF(AJ869&lt;0.4,"Critical",IF(AJ869&lt;0.6,"Poor",IF(AJ869&lt;0.75,"Needs Improvement",IF(AJ869&lt;0.9,"Good","Excellent")))))</f>
        <v/>
      </c>
    </row>
    <row r="870" ht="15" customHeight="1" s="45">
      <c r="A870">
        <f>IF($B870="","",TEXT($B870,"yyyymmdd")&amp;"-"&amp;SUBSTITUTE($F870," ","")&amp;"-"&amp;TEXT(COUNTIF($F$4:F870,$F870),"00"))</f>
        <v/>
      </c>
      <c r="C870">
        <f>IF($B870="","",WEEKNUM($B870,2))</f>
        <v/>
      </c>
      <c r="D870">
        <f>IF($B870="","",TEXT($B870,"yyyy-mm"))</f>
        <v/>
      </c>
      <c r="G870">
        <f>IF(OR($E870="",$F870=""),"",IFERROR(IF($E870=INDEX(Cluster_Master!$A$4:$A$18,MATCH($F870,Cluster_Master!$B$4:$B$18,0)),"OK","CHECK"),"CHECK"))</f>
        <v/>
      </c>
      <c r="H870">
        <f>IFERROR(INDEX(Cluster_Master!$C$4:$C$18,MATCH($F870,Cluster_Master!$B$4:$B$18,0)),"")</f>
        <v/>
      </c>
      <c r="I870">
        <f>IFERROR(INDEX(Cluster_Master!$D$4:$D$18,MATCH($F870,Cluster_Master!$B$4:$B$18,0)),"")</f>
        <v/>
      </c>
      <c r="J870">
        <f>IFERROR(INDEX(Cluster_Master!$E$4:$E$18,MATCH($F870,Cluster_Master!$B$4:$B$18,0)),"")</f>
        <v/>
      </c>
      <c r="K870">
        <f>IFERROR(INDEX(Cluster_Master!$F$4:$F$18,MATCH($F870,Cluster_Master!$B$4:$B$18,0)),"")</f>
        <v/>
      </c>
      <c r="L870">
        <f>IFERROR(INDEX(Cluster_Master!$G$4:$G$18,MATCH($F870,Cluster_Master!$B$4:$B$18,0)),"")</f>
        <v/>
      </c>
      <c r="M870">
        <f>IFERROR(INDEX(Cluster_Master!$H$4:$H$18,MATCH($F870,Cluster_Master!$B$4:$B$18,0)),"")</f>
        <v/>
      </c>
      <c r="AI870">
        <f>IF(COUNTA(T870:AH870)=0,"",SUM(T870:AH870))</f>
        <v/>
      </c>
      <c r="AJ870">
        <f>IF(COUNTA(T870:AH870)=0,"",AI870/(COUNT(KPI_Weights!$A$4:$A$18)*5))</f>
        <v/>
      </c>
      <c r="AK870">
        <f>IF(COUNTA(T870:AH870)=0,"",SUMPRODUCT(T870:AH870,KPI_Weights!$B$4:$B$18)/5)</f>
        <v/>
      </c>
      <c r="AL870">
        <f>IF(COUNTA(T870:AH870)=0,"",IF(SUMPRODUCT(--(T870:AH870&lt;=1),--(KPI_Weights!$C$4:$C$18="YES"))&gt;0,"YES","NO"))</f>
        <v/>
      </c>
      <c r="AM870">
        <f>IF(AJ870="","",IF(AND(AL870="NO",AJ870&gt;=0.75),"YES","NO"))</f>
        <v/>
      </c>
      <c r="AN870">
        <f>IF(AJ870="","",IF(AJ870&lt;0.4,"Critical",IF(AJ870&lt;0.6,"Poor",IF(AJ870&lt;0.75,"Needs Improvement",IF(AJ870&lt;0.9,"Good","Excellent")))))</f>
        <v/>
      </c>
    </row>
    <row r="871" ht="15" customHeight="1" s="45">
      <c r="A871">
        <f>IF($B871="","",TEXT($B871,"yyyymmdd")&amp;"-"&amp;SUBSTITUTE($F871," ","")&amp;"-"&amp;TEXT(COUNTIF($F$4:F871,$F871),"00"))</f>
        <v/>
      </c>
      <c r="C871">
        <f>IF($B871="","",WEEKNUM($B871,2))</f>
        <v/>
      </c>
      <c r="D871">
        <f>IF($B871="","",TEXT($B871,"yyyy-mm"))</f>
        <v/>
      </c>
      <c r="G871">
        <f>IF(OR($E871="",$F871=""),"",IFERROR(IF($E871=INDEX(Cluster_Master!$A$4:$A$18,MATCH($F871,Cluster_Master!$B$4:$B$18,0)),"OK","CHECK"),"CHECK"))</f>
        <v/>
      </c>
      <c r="H871">
        <f>IFERROR(INDEX(Cluster_Master!$C$4:$C$18,MATCH($F871,Cluster_Master!$B$4:$B$18,0)),"")</f>
        <v/>
      </c>
      <c r="I871">
        <f>IFERROR(INDEX(Cluster_Master!$D$4:$D$18,MATCH($F871,Cluster_Master!$B$4:$B$18,0)),"")</f>
        <v/>
      </c>
      <c r="J871">
        <f>IFERROR(INDEX(Cluster_Master!$E$4:$E$18,MATCH($F871,Cluster_Master!$B$4:$B$18,0)),"")</f>
        <v/>
      </c>
      <c r="K871">
        <f>IFERROR(INDEX(Cluster_Master!$F$4:$F$18,MATCH($F871,Cluster_Master!$B$4:$B$18,0)),"")</f>
        <v/>
      </c>
      <c r="L871">
        <f>IFERROR(INDEX(Cluster_Master!$G$4:$G$18,MATCH($F871,Cluster_Master!$B$4:$B$18,0)),"")</f>
        <v/>
      </c>
      <c r="M871">
        <f>IFERROR(INDEX(Cluster_Master!$H$4:$H$18,MATCH($F871,Cluster_Master!$B$4:$B$18,0)),"")</f>
        <v/>
      </c>
      <c r="AI871">
        <f>IF(COUNTA(T871:AH871)=0,"",SUM(T871:AH871))</f>
        <v/>
      </c>
      <c r="AJ871">
        <f>IF(COUNTA(T871:AH871)=0,"",AI871/(COUNT(KPI_Weights!$A$4:$A$18)*5))</f>
        <v/>
      </c>
      <c r="AK871">
        <f>IF(COUNTA(T871:AH871)=0,"",SUMPRODUCT(T871:AH871,KPI_Weights!$B$4:$B$18)/5)</f>
        <v/>
      </c>
      <c r="AL871">
        <f>IF(COUNTA(T871:AH871)=0,"",IF(SUMPRODUCT(--(T871:AH871&lt;=1),--(KPI_Weights!$C$4:$C$18="YES"))&gt;0,"YES","NO"))</f>
        <v/>
      </c>
      <c r="AM871">
        <f>IF(AJ871="","",IF(AND(AL871="NO",AJ871&gt;=0.75),"YES","NO"))</f>
        <v/>
      </c>
      <c r="AN871">
        <f>IF(AJ871="","",IF(AJ871&lt;0.4,"Critical",IF(AJ871&lt;0.6,"Poor",IF(AJ871&lt;0.75,"Needs Improvement",IF(AJ871&lt;0.9,"Good","Excellent")))))</f>
        <v/>
      </c>
    </row>
    <row r="872" ht="15" customHeight="1" s="45">
      <c r="A872">
        <f>IF($B872="","",TEXT($B872,"yyyymmdd")&amp;"-"&amp;SUBSTITUTE($F872," ","")&amp;"-"&amp;TEXT(COUNTIF($F$4:F872,$F872),"00"))</f>
        <v/>
      </c>
      <c r="C872">
        <f>IF($B872="","",WEEKNUM($B872,2))</f>
        <v/>
      </c>
      <c r="D872">
        <f>IF($B872="","",TEXT($B872,"yyyy-mm"))</f>
        <v/>
      </c>
      <c r="G872">
        <f>IF(OR($E872="",$F872=""),"",IFERROR(IF($E872=INDEX(Cluster_Master!$A$4:$A$18,MATCH($F872,Cluster_Master!$B$4:$B$18,0)),"OK","CHECK"),"CHECK"))</f>
        <v/>
      </c>
      <c r="H872">
        <f>IFERROR(INDEX(Cluster_Master!$C$4:$C$18,MATCH($F872,Cluster_Master!$B$4:$B$18,0)),"")</f>
        <v/>
      </c>
      <c r="I872">
        <f>IFERROR(INDEX(Cluster_Master!$D$4:$D$18,MATCH($F872,Cluster_Master!$B$4:$B$18,0)),"")</f>
        <v/>
      </c>
      <c r="J872">
        <f>IFERROR(INDEX(Cluster_Master!$E$4:$E$18,MATCH($F872,Cluster_Master!$B$4:$B$18,0)),"")</f>
        <v/>
      </c>
      <c r="K872">
        <f>IFERROR(INDEX(Cluster_Master!$F$4:$F$18,MATCH($F872,Cluster_Master!$B$4:$B$18,0)),"")</f>
        <v/>
      </c>
      <c r="L872">
        <f>IFERROR(INDEX(Cluster_Master!$G$4:$G$18,MATCH($F872,Cluster_Master!$B$4:$B$18,0)),"")</f>
        <v/>
      </c>
      <c r="M872">
        <f>IFERROR(INDEX(Cluster_Master!$H$4:$H$18,MATCH($F872,Cluster_Master!$B$4:$B$18,0)),"")</f>
        <v/>
      </c>
      <c r="AI872">
        <f>IF(COUNTA(T872:AH872)=0,"",SUM(T872:AH872))</f>
        <v/>
      </c>
      <c r="AJ872">
        <f>IF(COUNTA(T872:AH872)=0,"",AI872/(COUNT(KPI_Weights!$A$4:$A$18)*5))</f>
        <v/>
      </c>
      <c r="AK872">
        <f>IF(COUNTA(T872:AH872)=0,"",SUMPRODUCT(T872:AH872,KPI_Weights!$B$4:$B$18)/5)</f>
        <v/>
      </c>
      <c r="AL872">
        <f>IF(COUNTA(T872:AH872)=0,"",IF(SUMPRODUCT(--(T872:AH872&lt;=1),--(KPI_Weights!$C$4:$C$18="YES"))&gt;0,"YES","NO"))</f>
        <v/>
      </c>
      <c r="AM872">
        <f>IF(AJ872="","",IF(AND(AL872="NO",AJ872&gt;=0.75),"YES","NO"))</f>
        <v/>
      </c>
      <c r="AN872">
        <f>IF(AJ872="","",IF(AJ872&lt;0.4,"Critical",IF(AJ872&lt;0.6,"Poor",IF(AJ872&lt;0.75,"Needs Improvement",IF(AJ872&lt;0.9,"Good","Excellent")))))</f>
        <v/>
      </c>
    </row>
    <row r="873" ht="15" customHeight="1" s="45">
      <c r="A873">
        <f>IF($B873="","",TEXT($B873,"yyyymmdd")&amp;"-"&amp;SUBSTITUTE($F873," ","")&amp;"-"&amp;TEXT(COUNTIF($F$4:F873,$F873),"00"))</f>
        <v/>
      </c>
      <c r="C873">
        <f>IF($B873="","",WEEKNUM($B873,2))</f>
        <v/>
      </c>
      <c r="D873">
        <f>IF($B873="","",TEXT($B873,"yyyy-mm"))</f>
        <v/>
      </c>
      <c r="G873">
        <f>IF(OR($E873="",$F873=""),"",IFERROR(IF($E873=INDEX(Cluster_Master!$A$4:$A$18,MATCH($F873,Cluster_Master!$B$4:$B$18,0)),"OK","CHECK"),"CHECK"))</f>
        <v/>
      </c>
      <c r="H873">
        <f>IFERROR(INDEX(Cluster_Master!$C$4:$C$18,MATCH($F873,Cluster_Master!$B$4:$B$18,0)),"")</f>
        <v/>
      </c>
      <c r="I873">
        <f>IFERROR(INDEX(Cluster_Master!$D$4:$D$18,MATCH($F873,Cluster_Master!$B$4:$B$18,0)),"")</f>
        <v/>
      </c>
      <c r="J873">
        <f>IFERROR(INDEX(Cluster_Master!$E$4:$E$18,MATCH($F873,Cluster_Master!$B$4:$B$18,0)),"")</f>
        <v/>
      </c>
      <c r="K873">
        <f>IFERROR(INDEX(Cluster_Master!$F$4:$F$18,MATCH($F873,Cluster_Master!$B$4:$B$18,0)),"")</f>
        <v/>
      </c>
      <c r="L873">
        <f>IFERROR(INDEX(Cluster_Master!$G$4:$G$18,MATCH($F873,Cluster_Master!$B$4:$B$18,0)),"")</f>
        <v/>
      </c>
      <c r="M873">
        <f>IFERROR(INDEX(Cluster_Master!$H$4:$H$18,MATCH($F873,Cluster_Master!$B$4:$B$18,0)),"")</f>
        <v/>
      </c>
      <c r="AI873">
        <f>IF(COUNTA(T873:AH873)=0,"",SUM(T873:AH873))</f>
        <v/>
      </c>
      <c r="AJ873">
        <f>IF(COUNTA(T873:AH873)=0,"",AI873/(COUNT(KPI_Weights!$A$4:$A$18)*5))</f>
        <v/>
      </c>
      <c r="AK873">
        <f>IF(COUNTA(T873:AH873)=0,"",SUMPRODUCT(T873:AH873,KPI_Weights!$B$4:$B$18)/5)</f>
        <v/>
      </c>
      <c r="AL873">
        <f>IF(COUNTA(T873:AH873)=0,"",IF(SUMPRODUCT(--(T873:AH873&lt;=1),--(KPI_Weights!$C$4:$C$18="YES"))&gt;0,"YES","NO"))</f>
        <v/>
      </c>
      <c r="AM873">
        <f>IF(AJ873="","",IF(AND(AL873="NO",AJ873&gt;=0.75),"YES","NO"))</f>
        <v/>
      </c>
      <c r="AN873">
        <f>IF(AJ873="","",IF(AJ873&lt;0.4,"Critical",IF(AJ873&lt;0.6,"Poor",IF(AJ873&lt;0.75,"Needs Improvement",IF(AJ873&lt;0.9,"Good","Excellent")))))</f>
        <v/>
      </c>
    </row>
    <row r="874" ht="15" customHeight="1" s="45">
      <c r="A874">
        <f>IF($B874="","",TEXT($B874,"yyyymmdd")&amp;"-"&amp;SUBSTITUTE($F874," ","")&amp;"-"&amp;TEXT(COUNTIF($F$4:F874,$F874),"00"))</f>
        <v/>
      </c>
      <c r="C874">
        <f>IF($B874="","",WEEKNUM($B874,2))</f>
        <v/>
      </c>
      <c r="D874">
        <f>IF($B874="","",TEXT($B874,"yyyy-mm"))</f>
        <v/>
      </c>
      <c r="G874">
        <f>IF(OR($E874="",$F874=""),"",IFERROR(IF($E874=INDEX(Cluster_Master!$A$4:$A$18,MATCH($F874,Cluster_Master!$B$4:$B$18,0)),"OK","CHECK"),"CHECK"))</f>
        <v/>
      </c>
      <c r="H874">
        <f>IFERROR(INDEX(Cluster_Master!$C$4:$C$18,MATCH($F874,Cluster_Master!$B$4:$B$18,0)),"")</f>
        <v/>
      </c>
      <c r="I874">
        <f>IFERROR(INDEX(Cluster_Master!$D$4:$D$18,MATCH($F874,Cluster_Master!$B$4:$B$18,0)),"")</f>
        <v/>
      </c>
      <c r="J874">
        <f>IFERROR(INDEX(Cluster_Master!$E$4:$E$18,MATCH($F874,Cluster_Master!$B$4:$B$18,0)),"")</f>
        <v/>
      </c>
      <c r="K874">
        <f>IFERROR(INDEX(Cluster_Master!$F$4:$F$18,MATCH($F874,Cluster_Master!$B$4:$B$18,0)),"")</f>
        <v/>
      </c>
      <c r="L874">
        <f>IFERROR(INDEX(Cluster_Master!$G$4:$G$18,MATCH($F874,Cluster_Master!$B$4:$B$18,0)),"")</f>
        <v/>
      </c>
      <c r="M874">
        <f>IFERROR(INDEX(Cluster_Master!$H$4:$H$18,MATCH($F874,Cluster_Master!$B$4:$B$18,0)),"")</f>
        <v/>
      </c>
      <c r="AI874">
        <f>IF(COUNTA(T874:AH874)=0,"",SUM(T874:AH874))</f>
        <v/>
      </c>
      <c r="AJ874">
        <f>IF(COUNTA(T874:AH874)=0,"",AI874/(COUNT(KPI_Weights!$A$4:$A$18)*5))</f>
        <v/>
      </c>
      <c r="AK874">
        <f>IF(COUNTA(T874:AH874)=0,"",SUMPRODUCT(T874:AH874,KPI_Weights!$B$4:$B$18)/5)</f>
        <v/>
      </c>
      <c r="AL874">
        <f>IF(COUNTA(T874:AH874)=0,"",IF(SUMPRODUCT(--(T874:AH874&lt;=1),--(KPI_Weights!$C$4:$C$18="YES"))&gt;0,"YES","NO"))</f>
        <v/>
      </c>
      <c r="AM874">
        <f>IF(AJ874="","",IF(AND(AL874="NO",AJ874&gt;=0.75),"YES","NO"))</f>
        <v/>
      </c>
      <c r="AN874">
        <f>IF(AJ874="","",IF(AJ874&lt;0.4,"Critical",IF(AJ874&lt;0.6,"Poor",IF(AJ874&lt;0.75,"Needs Improvement",IF(AJ874&lt;0.9,"Good","Excellent")))))</f>
        <v/>
      </c>
    </row>
    <row r="875" ht="15" customHeight="1" s="45">
      <c r="A875">
        <f>IF($B875="","",TEXT($B875,"yyyymmdd")&amp;"-"&amp;SUBSTITUTE($F875," ","")&amp;"-"&amp;TEXT(COUNTIF($F$4:F875,$F875),"00"))</f>
        <v/>
      </c>
      <c r="C875">
        <f>IF($B875="","",WEEKNUM($B875,2))</f>
        <v/>
      </c>
      <c r="D875">
        <f>IF($B875="","",TEXT($B875,"yyyy-mm"))</f>
        <v/>
      </c>
      <c r="G875">
        <f>IF(OR($E875="",$F875=""),"",IFERROR(IF($E875=INDEX(Cluster_Master!$A$4:$A$18,MATCH($F875,Cluster_Master!$B$4:$B$18,0)),"OK","CHECK"),"CHECK"))</f>
        <v/>
      </c>
      <c r="H875">
        <f>IFERROR(INDEX(Cluster_Master!$C$4:$C$18,MATCH($F875,Cluster_Master!$B$4:$B$18,0)),"")</f>
        <v/>
      </c>
      <c r="I875">
        <f>IFERROR(INDEX(Cluster_Master!$D$4:$D$18,MATCH($F875,Cluster_Master!$B$4:$B$18,0)),"")</f>
        <v/>
      </c>
      <c r="J875">
        <f>IFERROR(INDEX(Cluster_Master!$E$4:$E$18,MATCH($F875,Cluster_Master!$B$4:$B$18,0)),"")</f>
        <v/>
      </c>
      <c r="K875">
        <f>IFERROR(INDEX(Cluster_Master!$F$4:$F$18,MATCH($F875,Cluster_Master!$B$4:$B$18,0)),"")</f>
        <v/>
      </c>
      <c r="L875">
        <f>IFERROR(INDEX(Cluster_Master!$G$4:$G$18,MATCH($F875,Cluster_Master!$B$4:$B$18,0)),"")</f>
        <v/>
      </c>
      <c r="M875">
        <f>IFERROR(INDEX(Cluster_Master!$H$4:$H$18,MATCH($F875,Cluster_Master!$B$4:$B$18,0)),"")</f>
        <v/>
      </c>
      <c r="AI875">
        <f>IF(COUNTA(T875:AH875)=0,"",SUM(T875:AH875))</f>
        <v/>
      </c>
      <c r="AJ875">
        <f>IF(COUNTA(T875:AH875)=0,"",AI875/(COUNT(KPI_Weights!$A$4:$A$18)*5))</f>
        <v/>
      </c>
      <c r="AK875">
        <f>IF(COUNTA(T875:AH875)=0,"",SUMPRODUCT(T875:AH875,KPI_Weights!$B$4:$B$18)/5)</f>
        <v/>
      </c>
      <c r="AL875">
        <f>IF(COUNTA(T875:AH875)=0,"",IF(SUMPRODUCT(--(T875:AH875&lt;=1),--(KPI_Weights!$C$4:$C$18="YES"))&gt;0,"YES","NO"))</f>
        <v/>
      </c>
      <c r="AM875">
        <f>IF(AJ875="","",IF(AND(AL875="NO",AJ875&gt;=0.75),"YES","NO"))</f>
        <v/>
      </c>
      <c r="AN875">
        <f>IF(AJ875="","",IF(AJ875&lt;0.4,"Critical",IF(AJ875&lt;0.6,"Poor",IF(AJ875&lt;0.75,"Needs Improvement",IF(AJ875&lt;0.9,"Good","Excellent")))))</f>
        <v/>
      </c>
    </row>
    <row r="876" ht="15" customHeight="1" s="45">
      <c r="A876">
        <f>IF($B876="","",TEXT($B876,"yyyymmdd")&amp;"-"&amp;SUBSTITUTE($F876," ","")&amp;"-"&amp;TEXT(COUNTIF($F$4:F876,$F876),"00"))</f>
        <v/>
      </c>
      <c r="C876">
        <f>IF($B876="","",WEEKNUM($B876,2))</f>
        <v/>
      </c>
      <c r="D876">
        <f>IF($B876="","",TEXT($B876,"yyyy-mm"))</f>
        <v/>
      </c>
      <c r="G876">
        <f>IF(OR($E876="",$F876=""),"",IFERROR(IF($E876=INDEX(Cluster_Master!$A$4:$A$18,MATCH($F876,Cluster_Master!$B$4:$B$18,0)),"OK","CHECK"),"CHECK"))</f>
        <v/>
      </c>
      <c r="H876">
        <f>IFERROR(INDEX(Cluster_Master!$C$4:$C$18,MATCH($F876,Cluster_Master!$B$4:$B$18,0)),"")</f>
        <v/>
      </c>
      <c r="I876">
        <f>IFERROR(INDEX(Cluster_Master!$D$4:$D$18,MATCH($F876,Cluster_Master!$B$4:$B$18,0)),"")</f>
        <v/>
      </c>
      <c r="J876">
        <f>IFERROR(INDEX(Cluster_Master!$E$4:$E$18,MATCH($F876,Cluster_Master!$B$4:$B$18,0)),"")</f>
        <v/>
      </c>
      <c r="K876">
        <f>IFERROR(INDEX(Cluster_Master!$F$4:$F$18,MATCH($F876,Cluster_Master!$B$4:$B$18,0)),"")</f>
        <v/>
      </c>
      <c r="L876">
        <f>IFERROR(INDEX(Cluster_Master!$G$4:$G$18,MATCH($F876,Cluster_Master!$B$4:$B$18,0)),"")</f>
        <v/>
      </c>
      <c r="M876">
        <f>IFERROR(INDEX(Cluster_Master!$H$4:$H$18,MATCH($F876,Cluster_Master!$B$4:$B$18,0)),"")</f>
        <v/>
      </c>
      <c r="AI876">
        <f>IF(COUNTA(T876:AH876)=0,"",SUM(T876:AH876))</f>
        <v/>
      </c>
      <c r="AJ876">
        <f>IF(COUNTA(T876:AH876)=0,"",AI876/(COUNT(KPI_Weights!$A$4:$A$18)*5))</f>
        <v/>
      </c>
      <c r="AK876">
        <f>IF(COUNTA(T876:AH876)=0,"",SUMPRODUCT(T876:AH876,KPI_Weights!$B$4:$B$18)/5)</f>
        <v/>
      </c>
      <c r="AL876">
        <f>IF(COUNTA(T876:AH876)=0,"",IF(SUMPRODUCT(--(T876:AH876&lt;=1),--(KPI_Weights!$C$4:$C$18="YES"))&gt;0,"YES","NO"))</f>
        <v/>
      </c>
      <c r="AM876">
        <f>IF(AJ876="","",IF(AND(AL876="NO",AJ876&gt;=0.75),"YES","NO"))</f>
        <v/>
      </c>
      <c r="AN876">
        <f>IF(AJ876="","",IF(AJ876&lt;0.4,"Critical",IF(AJ876&lt;0.6,"Poor",IF(AJ876&lt;0.75,"Needs Improvement",IF(AJ876&lt;0.9,"Good","Excellent")))))</f>
        <v/>
      </c>
    </row>
    <row r="877" ht="15" customHeight="1" s="45">
      <c r="A877">
        <f>IF($B877="","",TEXT($B877,"yyyymmdd")&amp;"-"&amp;SUBSTITUTE($F877," ","")&amp;"-"&amp;TEXT(COUNTIF($F$4:F877,$F877),"00"))</f>
        <v/>
      </c>
      <c r="C877">
        <f>IF($B877="","",WEEKNUM($B877,2))</f>
        <v/>
      </c>
      <c r="D877">
        <f>IF($B877="","",TEXT($B877,"yyyy-mm"))</f>
        <v/>
      </c>
      <c r="G877">
        <f>IF(OR($E877="",$F877=""),"",IFERROR(IF($E877=INDEX(Cluster_Master!$A$4:$A$18,MATCH($F877,Cluster_Master!$B$4:$B$18,0)),"OK","CHECK"),"CHECK"))</f>
        <v/>
      </c>
      <c r="H877">
        <f>IFERROR(INDEX(Cluster_Master!$C$4:$C$18,MATCH($F877,Cluster_Master!$B$4:$B$18,0)),"")</f>
        <v/>
      </c>
      <c r="I877">
        <f>IFERROR(INDEX(Cluster_Master!$D$4:$D$18,MATCH($F877,Cluster_Master!$B$4:$B$18,0)),"")</f>
        <v/>
      </c>
      <c r="J877">
        <f>IFERROR(INDEX(Cluster_Master!$E$4:$E$18,MATCH($F877,Cluster_Master!$B$4:$B$18,0)),"")</f>
        <v/>
      </c>
      <c r="K877">
        <f>IFERROR(INDEX(Cluster_Master!$F$4:$F$18,MATCH($F877,Cluster_Master!$B$4:$B$18,0)),"")</f>
        <v/>
      </c>
      <c r="L877">
        <f>IFERROR(INDEX(Cluster_Master!$G$4:$G$18,MATCH($F877,Cluster_Master!$B$4:$B$18,0)),"")</f>
        <v/>
      </c>
      <c r="M877">
        <f>IFERROR(INDEX(Cluster_Master!$H$4:$H$18,MATCH($F877,Cluster_Master!$B$4:$B$18,0)),"")</f>
        <v/>
      </c>
      <c r="AI877">
        <f>IF(COUNTA(T877:AH877)=0,"",SUM(T877:AH877))</f>
        <v/>
      </c>
      <c r="AJ877">
        <f>IF(COUNTA(T877:AH877)=0,"",AI877/(COUNT(KPI_Weights!$A$4:$A$18)*5))</f>
        <v/>
      </c>
      <c r="AK877">
        <f>IF(COUNTA(T877:AH877)=0,"",SUMPRODUCT(T877:AH877,KPI_Weights!$B$4:$B$18)/5)</f>
        <v/>
      </c>
      <c r="AL877">
        <f>IF(COUNTA(T877:AH877)=0,"",IF(SUMPRODUCT(--(T877:AH877&lt;=1),--(KPI_Weights!$C$4:$C$18="YES"))&gt;0,"YES","NO"))</f>
        <v/>
      </c>
      <c r="AM877">
        <f>IF(AJ877="","",IF(AND(AL877="NO",AJ877&gt;=0.75),"YES","NO"))</f>
        <v/>
      </c>
      <c r="AN877">
        <f>IF(AJ877="","",IF(AJ877&lt;0.4,"Critical",IF(AJ877&lt;0.6,"Poor",IF(AJ877&lt;0.75,"Needs Improvement",IF(AJ877&lt;0.9,"Good","Excellent")))))</f>
        <v/>
      </c>
    </row>
    <row r="878" ht="15" customHeight="1" s="45">
      <c r="A878">
        <f>IF($B878="","",TEXT($B878,"yyyymmdd")&amp;"-"&amp;SUBSTITUTE($F878," ","")&amp;"-"&amp;TEXT(COUNTIF($F$4:F878,$F878),"00"))</f>
        <v/>
      </c>
      <c r="C878">
        <f>IF($B878="","",WEEKNUM($B878,2))</f>
        <v/>
      </c>
      <c r="D878">
        <f>IF($B878="","",TEXT($B878,"yyyy-mm"))</f>
        <v/>
      </c>
      <c r="G878">
        <f>IF(OR($E878="",$F878=""),"",IFERROR(IF($E878=INDEX(Cluster_Master!$A$4:$A$18,MATCH($F878,Cluster_Master!$B$4:$B$18,0)),"OK","CHECK"),"CHECK"))</f>
        <v/>
      </c>
      <c r="H878">
        <f>IFERROR(INDEX(Cluster_Master!$C$4:$C$18,MATCH($F878,Cluster_Master!$B$4:$B$18,0)),"")</f>
        <v/>
      </c>
      <c r="I878">
        <f>IFERROR(INDEX(Cluster_Master!$D$4:$D$18,MATCH($F878,Cluster_Master!$B$4:$B$18,0)),"")</f>
        <v/>
      </c>
      <c r="J878">
        <f>IFERROR(INDEX(Cluster_Master!$E$4:$E$18,MATCH($F878,Cluster_Master!$B$4:$B$18,0)),"")</f>
        <v/>
      </c>
      <c r="K878">
        <f>IFERROR(INDEX(Cluster_Master!$F$4:$F$18,MATCH($F878,Cluster_Master!$B$4:$B$18,0)),"")</f>
        <v/>
      </c>
      <c r="L878">
        <f>IFERROR(INDEX(Cluster_Master!$G$4:$G$18,MATCH($F878,Cluster_Master!$B$4:$B$18,0)),"")</f>
        <v/>
      </c>
      <c r="M878">
        <f>IFERROR(INDEX(Cluster_Master!$H$4:$H$18,MATCH($F878,Cluster_Master!$B$4:$B$18,0)),"")</f>
        <v/>
      </c>
      <c r="AI878">
        <f>IF(COUNTA(T878:AH878)=0,"",SUM(T878:AH878))</f>
        <v/>
      </c>
      <c r="AJ878">
        <f>IF(COUNTA(T878:AH878)=0,"",AI878/(COUNT(KPI_Weights!$A$4:$A$18)*5))</f>
        <v/>
      </c>
      <c r="AK878">
        <f>IF(COUNTA(T878:AH878)=0,"",SUMPRODUCT(T878:AH878,KPI_Weights!$B$4:$B$18)/5)</f>
        <v/>
      </c>
      <c r="AL878">
        <f>IF(COUNTA(T878:AH878)=0,"",IF(SUMPRODUCT(--(T878:AH878&lt;=1),--(KPI_Weights!$C$4:$C$18="YES"))&gt;0,"YES","NO"))</f>
        <v/>
      </c>
      <c r="AM878">
        <f>IF(AJ878="","",IF(AND(AL878="NO",AJ878&gt;=0.75),"YES","NO"))</f>
        <v/>
      </c>
      <c r="AN878">
        <f>IF(AJ878="","",IF(AJ878&lt;0.4,"Critical",IF(AJ878&lt;0.6,"Poor",IF(AJ878&lt;0.75,"Needs Improvement",IF(AJ878&lt;0.9,"Good","Excellent")))))</f>
        <v/>
      </c>
    </row>
    <row r="879" ht="15" customHeight="1" s="45">
      <c r="A879">
        <f>IF($B879="","",TEXT($B879,"yyyymmdd")&amp;"-"&amp;SUBSTITUTE($F879," ","")&amp;"-"&amp;TEXT(COUNTIF($F$4:F879,$F879),"00"))</f>
        <v/>
      </c>
      <c r="C879">
        <f>IF($B879="","",WEEKNUM($B879,2))</f>
        <v/>
      </c>
      <c r="D879">
        <f>IF($B879="","",TEXT($B879,"yyyy-mm"))</f>
        <v/>
      </c>
      <c r="G879">
        <f>IF(OR($E879="",$F879=""),"",IFERROR(IF($E879=INDEX(Cluster_Master!$A$4:$A$18,MATCH($F879,Cluster_Master!$B$4:$B$18,0)),"OK","CHECK"),"CHECK"))</f>
        <v/>
      </c>
      <c r="H879">
        <f>IFERROR(INDEX(Cluster_Master!$C$4:$C$18,MATCH($F879,Cluster_Master!$B$4:$B$18,0)),"")</f>
        <v/>
      </c>
      <c r="I879">
        <f>IFERROR(INDEX(Cluster_Master!$D$4:$D$18,MATCH($F879,Cluster_Master!$B$4:$B$18,0)),"")</f>
        <v/>
      </c>
      <c r="J879">
        <f>IFERROR(INDEX(Cluster_Master!$E$4:$E$18,MATCH($F879,Cluster_Master!$B$4:$B$18,0)),"")</f>
        <v/>
      </c>
      <c r="K879">
        <f>IFERROR(INDEX(Cluster_Master!$F$4:$F$18,MATCH($F879,Cluster_Master!$B$4:$B$18,0)),"")</f>
        <v/>
      </c>
      <c r="L879">
        <f>IFERROR(INDEX(Cluster_Master!$G$4:$G$18,MATCH($F879,Cluster_Master!$B$4:$B$18,0)),"")</f>
        <v/>
      </c>
      <c r="M879">
        <f>IFERROR(INDEX(Cluster_Master!$H$4:$H$18,MATCH($F879,Cluster_Master!$B$4:$B$18,0)),"")</f>
        <v/>
      </c>
      <c r="AI879">
        <f>IF(COUNTA(T879:AH879)=0,"",SUM(T879:AH879))</f>
        <v/>
      </c>
      <c r="AJ879">
        <f>IF(COUNTA(T879:AH879)=0,"",AI879/(COUNT(KPI_Weights!$A$4:$A$18)*5))</f>
        <v/>
      </c>
      <c r="AK879">
        <f>IF(COUNTA(T879:AH879)=0,"",SUMPRODUCT(T879:AH879,KPI_Weights!$B$4:$B$18)/5)</f>
        <v/>
      </c>
      <c r="AL879">
        <f>IF(COUNTA(T879:AH879)=0,"",IF(SUMPRODUCT(--(T879:AH879&lt;=1),--(KPI_Weights!$C$4:$C$18="YES"))&gt;0,"YES","NO"))</f>
        <v/>
      </c>
      <c r="AM879">
        <f>IF(AJ879="","",IF(AND(AL879="NO",AJ879&gt;=0.75),"YES","NO"))</f>
        <v/>
      </c>
      <c r="AN879">
        <f>IF(AJ879="","",IF(AJ879&lt;0.4,"Critical",IF(AJ879&lt;0.6,"Poor",IF(AJ879&lt;0.75,"Needs Improvement",IF(AJ879&lt;0.9,"Good","Excellent")))))</f>
        <v/>
      </c>
    </row>
    <row r="880" ht="15" customHeight="1" s="45">
      <c r="A880">
        <f>IF($B880="","",TEXT($B880,"yyyymmdd")&amp;"-"&amp;SUBSTITUTE($F880," ","")&amp;"-"&amp;TEXT(COUNTIF($F$4:F880,$F880),"00"))</f>
        <v/>
      </c>
      <c r="C880">
        <f>IF($B880="","",WEEKNUM($B880,2))</f>
        <v/>
      </c>
      <c r="D880">
        <f>IF($B880="","",TEXT($B880,"yyyy-mm"))</f>
        <v/>
      </c>
      <c r="G880">
        <f>IF(OR($E880="",$F880=""),"",IFERROR(IF($E880=INDEX(Cluster_Master!$A$4:$A$18,MATCH($F880,Cluster_Master!$B$4:$B$18,0)),"OK","CHECK"),"CHECK"))</f>
        <v/>
      </c>
      <c r="H880">
        <f>IFERROR(INDEX(Cluster_Master!$C$4:$C$18,MATCH($F880,Cluster_Master!$B$4:$B$18,0)),"")</f>
        <v/>
      </c>
      <c r="I880">
        <f>IFERROR(INDEX(Cluster_Master!$D$4:$D$18,MATCH($F880,Cluster_Master!$B$4:$B$18,0)),"")</f>
        <v/>
      </c>
      <c r="J880">
        <f>IFERROR(INDEX(Cluster_Master!$E$4:$E$18,MATCH($F880,Cluster_Master!$B$4:$B$18,0)),"")</f>
        <v/>
      </c>
      <c r="K880">
        <f>IFERROR(INDEX(Cluster_Master!$F$4:$F$18,MATCH($F880,Cluster_Master!$B$4:$B$18,0)),"")</f>
        <v/>
      </c>
      <c r="L880">
        <f>IFERROR(INDEX(Cluster_Master!$G$4:$G$18,MATCH($F880,Cluster_Master!$B$4:$B$18,0)),"")</f>
        <v/>
      </c>
      <c r="M880">
        <f>IFERROR(INDEX(Cluster_Master!$H$4:$H$18,MATCH($F880,Cluster_Master!$B$4:$B$18,0)),"")</f>
        <v/>
      </c>
      <c r="AI880">
        <f>IF(COUNTA(T880:AH880)=0,"",SUM(T880:AH880))</f>
        <v/>
      </c>
      <c r="AJ880">
        <f>IF(COUNTA(T880:AH880)=0,"",AI880/(COUNT(KPI_Weights!$A$4:$A$18)*5))</f>
        <v/>
      </c>
      <c r="AK880">
        <f>IF(COUNTA(T880:AH880)=0,"",SUMPRODUCT(T880:AH880,KPI_Weights!$B$4:$B$18)/5)</f>
        <v/>
      </c>
      <c r="AL880">
        <f>IF(COUNTA(T880:AH880)=0,"",IF(SUMPRODUCT(--(T880:AH880&lt;=1),--(KPI_Weights!$C$4:$C$18="YES"))&gt;0,"YES","NO"))</f>
        <v/>
      </c>
      <c r="AM880">
        <f>IF(AJ880="","",IF(AND(AL880="NO",AJ880&gt;=0.75),"YES","NO"))</f>
        <v/>
      </c>
      <c r="AN880">
        <f>IF(AJ880="","",IF(AJ880&lt;0.4,"Critical",IF(AJ880&lt;0.6,"Poor",IF(AJ880&lt;0.75,"Needs Improvement",IF(AJ880&lt;0.9,"Good","Excellent")))))</f>
        <v/>
      </c>
    </row>
    <row r="881" ht="15" customHeight="1" s="45">
      <c r="A881">
        <f>IF($B881="","",TEXT($B881,"yyyymmdd")&amp;"-"&amp;SUBSTITUTE($F881," ","")&amp;"-"&amp;TEXT(COUNTIF($F$4:F881,$F881),"00"))</f>
        <v/>
      </c>
      <c r="C881">
        <f>IF($B881="","",WEEKNUM($B881,2))</f>
        <v/>
      </c>
      <c r="D881">
        <f>IF($B881="","",TEXT($B881,"yyyy-mm"))</f>
        <v/>
      </c>
      <c r="G881">
        <f>IF(OR($E881="",$F881=""),"",IFERROR(IF($E881=INDEX(Cluster_Master!$A$4:$A$18,MATCH($F881,Cluster_Master!$B$4:$B$18,0)),"OK","CHECK"),"CHECK"))</f>
        <v/>
      </c>
      <c r="H881">
        <f>IFERROR(INDEX(Cluster_Master!$C$4:$C$18,MATCH($F881,Cluster_Master!$B$4:$B$18,0)),"")</f>
        <v/>
      </c>
      <c r="I881">
        <f>IFERROR(INDEX(Cluster_Master!$D$4:$D$18,MATCH($F881,Cluster_Master!$B$4:$B$18,0)),"")</f>
        <v/>
      </c>
      <c r="J881">
        <f>IFERROR(INDEX(Cluster_Master!$E$4:$E$18,MATCH($F881,Cluster_Master!$B$4:$B$18,0)),"")</f>
        <v/>
      </c>
      <c r="K881">
        <f>IFERROR(INDEX(Cluster_Master!$F$4:$F$18,MATCH($F881,Cluster_Master!$B$4:$B$18,0)),"")</f>
        <v/>
      </c>
      <c r="L881">
        <f>IFERROR(INDEX(Cluster_Master!$G$4:$G$18,MATCH($F881,Cluster_Master!$B$4:$B$18,0)),"")</f>
        <v/>
      </c>
      <c r="M881">
        <f>IFERROR(INDEX(Cluster_Master!$H$4:$H$18,MATCH($F881,Cluster_Master!$B$4:$B$18,0)),"")</f>
        <v/>
      </c>
      <c r="AI881">
        <f>IF(COUNTA(T881:AH881)=0,"",SUM(T881:AH881))</f>
        <v/>
      </c>
      <c r="AJ881">
        <f>IF(COUNTA(T881:AH881)=0,"",AI881/(COUNT(KPI_Weights!$A$4:$A$18)*5))</f>
        <v/>
      </c>
      <c r="AK881">
        <f>IF(COUNTA(T881:AH881)=0,"",SUMPRODUCT(T881:AH881,KPI_Weights!$B$4:$B$18)/5)</f>
        <v/>
      </c>
      <c r="AL881">
        <f>IF(COUNTA(T881:AH881)=0,"",IF(SUMPRODUCT(--(T881:AH881&lt;=1),--(KPI_Weights!$C$4:$C$18="YES"))&gt;0,"YES","NO"))</f>
        <v/>
      </c>
      <c r="AM881">
        <f>IF(AJ881="","",IF(AND(AL881="NO",AJ881&gt;=0.75),"YES","NO"))</f>
        <v/>
      </c>
      <c r="AN881">
        <f>IF(AJ881="","",IF(AJ881&lt;0.4,"Critical",IF(AJ881&lt;0.6,"Poor",IF(AJ881&lt;0.75,"Needs Improvement",IF(AJ881&lt;0.9,"Good","Excellent")))))</f>
        <v/>
      </c>
    </row>
    <row r="882" ht="15" customHeight="1" s="45">
      <c r="A882">
        <f>IF($B882="","",TEXT($B882,"yyyymmdd")&amp;"-"&amp;SUBSTITUTE($F882," ","")&amp;"-"&amp;TEXT(COUNTIF($F$4:F882,$F882),"00"))</f>
        <v/>
      </c>
      <c r="C882">
        <f>IF($B882="","",WEEKNUM($B882,2))</f>
        <v/>
      </c>
      <c r="D882">
        <f>IF($B882="","",TEXT($B882,"yyyy-mm"))</f>
        <v/>
      </c>
      <c r="G882">
        <f>IF(OR($E882="",$F882=""),"",IFERROR(IF($E882=INDEX(Cluster_Master!$A$4:$A$18,MATCH($F882,Cluster_Master!$B$4:$B$18,0)),"OK","CHECK"),"CHECK"))</f>
        <v/>
      </c>
      <c r="H882">
        <f>IFERROR(INDEX(Cluster_Master!$C$4:$C$18,MATCH($F882,Cluster_Master!$B$4:$B$18,0)),"")</f>
        <v/>
      </c>
      <c r="I882">
        <f>IFERROR(INDEX(Cluster_Master!$D$4:$D$18,MATCH($F882,Cluster_Master!$B$4:$B$18,0)),"")</f>
        <v/>
      </c>
      <c r="J882">
        <f>IFERROR(INDEX(Cluster_Master!$E$4:$E$18,MATCH($F882,Cluster_Master!$B$4:$B$18,0)),"")</f>
        <v/>
      </c>
      <c r="K882">
        <f>IFERROR(INDEX(Cluster_Master!$F$4:$F$18,MATCH($F882,Cluster_Master!$B$4:$B$18,0)),"")</f>
        <v/>
      </c>
      <c r="L882">
        <f>IFERROR(INDEX(Cluster_Master!$G$4:$G$18,MATCH($F882,Cluster_Master!$B$4:$B$18,0)),"")</f>
        <v/>
      </c>
      <c r="M882">
        <f>IFERROR(INDEX(Cluster_Master!$H$4:$H$18,MATCH($F882,Cluster_Master!$B$4:$B$18,0)),"")</f>
        <v/>
      </c>
      <c r="AI882">
        <f>IF(COUNTA(T882:AH882)=0,"",SUM(T882:AH882))</f>
        <v/>
      </c>
      <c r="AJ882">
        <f>IF(COUNTA(T882:AH882)=0,"",AI882/(COUNT(KPI_Weights!$A$4:$A$18)*5))</f>
        <v/>
      </c>
      <c r="AK882">
        <f>IF(COUNTA(T882:AH882)=0,"",SUMPRODUCT(T882:AH882,KPI_Weights!$B$4:$B$18)/5)</f>
        <v/>
      </c>
      <c r="AL882">
        <f>IF(COUNTA(T882:AH882)=0,"",IF(SUMPRODUCT(--(T882:AH882&lt;=1),--(KPI_Weights!$C$4:$C$18="YES"))&gt;0,"YES","NO"))</f>
        <v/>
      </c>
      <c r="AM882">
        <f>IF(AJ882="","",IF(AND(AL882="NO",AJ882&gt;=0.75),"YES","NO"))</f>
        <v/>
      </c>
      <c r="AN882">
        <f>IF(AJ882="","",IF(AJ882&lt;0.4,"Critical",IF(AJ882&lt;0.6,"Poor",IF(AJ882&lt;0.75,"Needs Improvement",IF(AJ882&lt;0.9,"Good","Excellent")))))</f>
        <v/>
      </c>
    </row>
    <row r="883" ht="15" customHeight="1" s="45">
      <c r="A883">
        <f>IF($B883="","",TEXT($B883,"yyyymmdd")&amp;"-"&amp;SUBSTITUTE($F883," ","")&amp;"-"&amp;TEXT(COUNTIF($F$4:F883,$F883),"00"))</f>
        <v/>
      </c>
      <c r="C883">
        <f>IF($B883="","",WEEKNUM($B883,2))</f>
        <v/>
      </c>
      <c r="D883">
        <f>IF($B883="","",TEXT($B883,"yyyy-mm"))</f>
        <v/>
      </c>
      <c r="G883">
        <f>IF(OR($E883="",$F883=""),"",IFERROR(IF($E883=INDEX(Cluster_Master!$A$4:$A$18,MATCH($F883,Cluster_Master!$B$4:$B$18,0)),"OK","CHECK"),"CHECK"))</f>
        <v/>
      </c>
      <c r="H883">
        <f>IFERROR(INDEX(Cluster_Master!$C$4:$C$18,MATCH($F883,Cluster_Master!$B$4:$B$18,0)),"")</f>
        <v/>
      </c>
      <c r="I883">
        <f>IFERROR(INDEX(Cluster_Master!$D$4:$D$18,MATCH($F883,Cluster_Master!$B$4:$B$18,0)),"")</f>
        <v/>
      </c>
      <c r="J883">
        <f>IFERROR(INDEX(Cluster_Master!$E$4:$E$18,MATCH($F883,Cluster_Master!$B$4:$B$18,0)),"")</f>
        <v/>
      </c>
      <c r="K883">
        <f>IFERROR(INDEX(Cluster_Master!$F$4:$F$18,MATCH($F883,Cluster_Master!$B$4:$B$18,0)),"")</f>
        <v/>
      </c>
      <c r="L883">
        <f>IFERROR(INDEX(Cluster_Master!$G$4:$G$18,MATCH($F883,Cluster_Master!$B$4:$B$18,0)),"")</f>
        <v/>
      </c>
      <c r="M883">
        <f>IFERROR(INDEX(Cluster_Master!$H$4:$H$18,MATCH($F883,Cluster_Master!$B$4:$B$18,0)),"")</f>
        <v/>
      </c>
      <c r="AI883">
        <f>IF(COUNTA(T883:AH883)=0,"",SUM(T883:AH883))</f>
        <v/>
      </c>
      <c r="AJ883">
        <f>IF(COUNTA(T883:AH883)=0,"",AI883/(COUNT(KPI_Weights!$A$4:$A$18)*5))</f>
        <v/>
      </c>
      <c r="AK883">
        <f>IF(COUNTA(T883:AH883)=0,"",SUMPRODUCT(T883:AH883,KPI_Weights!$B$4:$B$18)/5)</f>
        <v/>
      </c>
      <c r="AL883">
        <f>IF(COUNTA(T883:AH883)=0,"",IF(SUMPRODUCT(--(T883:AH883&lt;=1),--(KPI_Weights!$C$4:$C$18="YES"))&gt;0,"YES","NO"))</f>
        <v/>
      </c>
      <c r="AM883">
        <f>IF(AJ883="","",IF(AND(AL883="NO",AJ883&gt;=0.75),"YES","NO"))</f>
        <v/>
      </c>
      <c r="AN883">
        <f>IF(AJ883="","",IF(AJ883&lt;0.4,"Critical",IF(AJ883&lt;0.6,"Poor",IF(AJ883&lt;0.75,"Needs Improvement",IF(AJ883&lt;0.9,"Good","Excellent")))))</f>
        <v/>
      </c>
    </row>
    <row r="884" ht="15" customHeight="1" s="45">
      <c r="A884">
        <f>IF($B884="","",TEXT($B884,"yyyymmdd")&amp;"-"&amp;SUBSTITUTE($F884," ","")&amp;"-"&amp;TEXT(COUNTIF($F$4:F884,$F884),"00"))</f>
        <v/>
      </c>
      <c r="C884">
        <f>IF($B884="","",WEEKNUM($B884,2))</f>
        <v/>
      </c>
      <c r="D884">
        <f>IF($B884="","",TEXT($B884,"yyyy-mm"))</f>
        <v/>
      </c>
      <c r="G884">
        <f>IF(OR($E884="",$F884=""),"",IFERROR(IF($E884=INDEX(Cluster_Master!$A$4:$A$18,MATCH($F884,Cluster_Master!$B$4:$B$18,0)),"OK","CHECK"),"CHECK"))</f>
        <v/>
      </c>
      <c r="H884">
        <f>IFERROR(INDEX(Cluster_Master!$C$4:$C$18,MATCH($F884,Cluster_Master!$B$4:$B$18,0)),"")</f>
        <v/>
      </c>
      <c r="I884">
        <f>IFERROR(INDEX(Cluster_Master!$D$4:$D$18,MATCH($F884,Cluster_Master!$B$4:$B$18,0)),"")</f>
        <v/>
      </c>
      <c r="J884">
        <f>IFERROR(INDEX(Cluster_Master!$E$4:$E$18,MATCH($F884,Cluster_Master!$B$4:$B$18,0)),"")</f>
        <v/>
      </c>
      <c r="K884">
        <f>IFERROR(INDEX(Cluster_Master!$F$4:$F$18,MATCH($F884,Cluster_Master!$B$4:$B$18,0)),"")</f>
        <v/>
      </c>
      <c r="L884">
        <f>IFERROR(INDEX(Cluster_Master!$G$4:$G$18,MATCH($F884,Cluster_Master!$B$4:$B$18,0)),"")</f>
        <v/>
      </c>
      <c r="M884">
        <f>IFERROR(INDEX(Cluster_Master!$H$4:$H$18,MATCH($F884,Cluster_Master!$B$4:$B$18,0)),"")</f>
        <v/>
      </c>
      <c r="AI884">
        <f>IF(COUNTA(T884:AH884)=0,"",SUM(T884:AH884))</f>
        <v/>
      </c>
      <c r="AJ884">
        <f>IF(COUNTA(T884:AH884)=0,"",AI884/(COUNT(KPI_Weights!$A$4:$A$18)*5))</f>
        <v/>
      </c>
      <c r="AK884">
        <f>IF(COUNTA(T884:AH884)=0,"",SUMPRODUCT(T884:AH884,KPI_Weights!$B$4:$B$18)/5)</f>
        <v/>
      </c>
      <c r="AL884">
        <f>IF(COUNTA(T884:AH884)=0,"",IF(SUMPRODUCT(--(T884:AH884&lt;=1),--(KPI_Weights!$C$4:$C$18="YES"))&gt;0,"YES","NO"))</f>
        <v/>
      </c>
      <c r="AM884">
        <f>IF(AJ884="","",IF(AND(AL884="NO",AJ884&gt;=0.75),"YES","NO"))</f>
        <v/>
      </c>
      <c r="AN884">
        <f>IF(AJ884="","",IF(AJ884&lt;0.4,"Critical",IF(AJ884&lt;0.6,"Poor",IF(AJ884&lt;0.75,"Needs Improvement",IF(AJ884&lt;0.9,"Good","Excellent")))))</f>
        <v/>
      </c>
    </row>
    <row r="885" ht="15" customHeight="1" s="45">
      <c r="A885">
        <f>IF($B885="","",TEXT($B885,"yyyymmdd")&amp;"-"&amp;SUBSTITUTE($F885," ","")&amp;"-"&amp;TEXT(COUNTIF($F$4:F885,$F885),"00"))</f>
        <v/>
      </c>
      <c r="C885">
        <f>IF($B885="","",WEEKNUM($B885,2))</f>
        <v/>
      </c>
      <c r="D885">
        <f>IF($B885="","",TEXT($B885,"yyyy-mm"))</f>
        <v/>
      </c>
      <c r="G885">
        <f>IF(OR($E885="",$F885=""),"",IFERROR(IF($E885=INDEX(Cluster_Master!$A$4:$A$18,MATCH($F885,Cluster_Master!$B$4:$B$18,0)),"OK","CHECK"),"CHECK"))</f>
        <v/>
      </c>
      <c r="H885">
        <f>IFERROR(INDEX(Cluster_Master!$C$4:$C$18,MATCH($F885,Cluster_Master!$B$4:$B$18,0)),"")</f>
        <v/>
      </c>
      <c r="I885">
        <f>IFERROR(INDEX(Cluster_Master!$D$4:$D$18,MATCH($F885,Cluster_Master!$B$4:$B$18,0)),"")</f>
        <v/>
      </c>
      <c r="J885">
        <f>IFERROR(INDEX(Cluster_Master!$E$4:$E$18,MATCH($F885,Cluster_Master!$B$4:$B$18,0)),"")</f>
        <v/>
      </c>
      <c r="K885">
        <f>IFERROR(INDEX(Cluster_Master!$F$4:$F$18,MATCH($F885,Cluster_Master!$B$4:$B$18,0)),"")</f>
        <v/>
      </c>
      <c r="L885">
        <f>IFERROR(INDEX(Cluster_Master!$G$4:$G$18,MATCH($F885,Cluster_Master!$B$4:$B$18,0)),"")</f>
        <v/>
      </c>
      <c r="M885">
        <f>IFERROR(INDEX(Cluster_Master!$H$4:$H$18,MATCH($F885,Cluster_Master!$B$4:$B$18,0)),"")</f>
        <v/>
      </c>
      <c r="AI885">
        <f>IF(COUNTA(T885:AH885)=0,"",SUM(T885:AH885))</f>
        <v/>
      </c>
      <c r="AJ885">
        <f>IF(COUNTA(T885:AH885)=0,"",AI885/(COUNT(KPI_Weights!$A$4:$A$18)*5))</f>
        <v/>
      </c>
      <c r="AK885">
        <f>IF(COUNTA(T885:AH885)=0,"",SUMPRODUCT(T885:AH885,KPI_Weights!$B$4:$B$18)/5)</f>
        <v/>
      </c>
      <c r="AL885">
        <f>IF(COUNTA(T885:AH885)=0,"",IF(SUMPRODUCT(--(T885:AH885&lt;=1),--(KPI_Weights!$C$4:$C$18="YES"))&gt;0,"YES","NO"))</f>
        <v/>
      </c>
      <c r="AM885">
        <f>IF(AJ885="","",IF(AND(AL885="NO",AJ885&gt;=0.75),"YES","NO"))</f>
        <v/>
      </c>
      <c r="AN885">
        <f>IF(AJ885="","",IF(AJ885&lt;0.4,"Critical",IF(AJ885&lt;0.6,"Poor",IF(AJ885&lt;0.75,"Needs Improvement",IF(AJ885&lt;0.9,"Good","Excellent")))))</f>
        <v/>
      </c>
    </row>
    <row r="886" ht="15" customHeight="1" s="45">
      <c r="A886">
        <f>IF($B886="","",TEXT($B886,"yyyymmdd")&amp;"-"&amp;SUBSTITUTE($F886," ","")&amp;"-"&amp;TEXT(COUNTIF($F$4:F886,$F886),"00"))</f>
        <v/>
      </c>
      <c r="C886">
        <f>IF($B886="","",WEEKNUM($B886,2))</f>
        <v/>
      </c>
      <c r="D886">
        <f>IF($B886="","",TEXT($B886,"yyyy-mm"))</f>
        <v/>
      </c>
      <c r="G886">
        <f>IF(OR($E886="",$F886=""),"",IFERROR(IF($E886=INDEX(Cluster_Master!$A$4:$A$18,MATCH($F886,Cluster_Master!$B$4:$B$18,0)),"OK","CHECK"),"CHECK"))</f>
        <v/>
      </c>
      <c r="H886">
        <f>IFERROR(INDEX(Cluster_Master!$C$4:$C$18,MATCH($F886,Cluster_Master!$B$4:$B$18,0)),"")</f>
        <v/>
      </c>
      <c r="I886">
        <f>IFERROR(INDEX(Cluster_Master!$D$4:$D$18,MATCH($F886,Cluster_Master!$B$4:$B$18,0)),"")</f>
        <v/>
      </c>
      <c r="J886">
        <f>IFERROR(INDEX(Cluster_Master!$E$4:$E$18,MATCH($F886,Cluster_Master!$B$4:$B$18,0)),"")</f>
        <v/>
      </c>
      <c r="K886">
        <f>IFERROR(INDEX(Cluster_Master!$F$4:$F$18,MATCH($F886,Cluster_Master!$B$4:$B$18,0)),"")</f>
        <v/>
      </c>
      <c r="L886">
        <f>IFERROR(INDEX(Cluster_Master!$G$4:$G$18,MATCH($F886,Cluster_Master!$B$4:$B$18,0)),"")</f>
        <v/>
      </c>
      <c r="M886">
        <f>IFERROR(INDEX(Cluster_Master!$H$4:$H$18,MATCH($F886,Cluster_Master!$B$4:$B$18,0)),"")</f>
        <v/>
      </c>
      <c r="AI886">
        <f>IF(COUNTA(T886:AH886)=0,"",SUM(T886:AH886))</f>
        <v/>
      </c>
      <c r="AJ886">
        <f>IF(COUNTA(T886:AH886)=0,"",AI886/(COUNT(KPI_Weights!$A$4:$A$18)*5))</f>
        <v/>
      </c>
      <c r="AK886">
        <f>IF(COUNTA(T886:AH886)=0,"",SUMPRODUCT(T886:AH886,KPI_Weights!$B$4:$B$18)/5)</f>
        <v/>
      </c>
      <c r="AL886">
        <f>IF(COUNTA(T886:AH886)=0,"",IF(SUMPRODUCT(--(T886:AH886&lt;=1),--(KPI_Weights!$C$4:$C$18="YES"))&gt;0,"YES","NO"))</f>
        <v/>
      </c>
      <c r="AM886">
        <f>IF(AJ886="","",IF(AND(AL886="NO",AJ886&gt;=0.75),"YES","NO"))</f>
        <v/>
      </c>
      <c r="AN886">
        <f>IF(AJ886="","",IF(AJ886&lt;0.4,"Critical",IF(AJ886&lt;0.6,"Poor",IF(AJ886&lt;0.75,"Needs Improvement",IF(AJ886&lt;0.9,"Good","Excellent")))))</f>
        <v/>
      </c>
    </row>
    <row r="887" ht="15" customHeight="1" s="45">
      <c r="A887">
        <f>IF($B887="","",TEXT($B887,"yyyymmdd")&amp;"-"&amp;SUBSTITUTE($F887," ","")&amp;"-"&amp;TEXT(COUNTIF($F$4:F887,$F887),"00"))</f>
        <v/>
      </c>
      <c r="C887">
        <f>IF($B887="","",WEEKNUM($B887,2))</f>
        <v/>
      </c>
      <c r="D887">
        <f>IF($B887="","",TEXT($B887,"yyyy-mm"))</f>
        <v/>
      </c>
      <c r="G887">
        <f>IF(OR($E887="",$F887=""),"",IFERROR(IF($E887=INDEX(Cluster_Master!$A$4:$A$18,MATCH($F887,Cluster_Master!$B$4:$B$18,0)),"OK","CHECK"),"CHECK"))</f>
        <v/>
      </c>
      <c r="H887">
        <f>IFERROR(INDEX(Cluster_Master!$C$4:$C$18,MATCH($F887,Cluster_Master!$B$4:$B$18,0)),"")</f>
        <v/>
      </c>
      <c r="I887">
        <f>IFERROR(INDEX(Cluster_Master!$D$4:$D$18,MATCH($F887,Cluster_Master!$B$4:$B$18,0)),"")</f>
        <v/>
      </c>
      <c r="J887">
        <f>IFERROR(INDEX(Cluster_Master!$E$4:$E$18,MATCH($F887,Cluster_Master!$B$4:$B$18,0)),"")</f>
        <v/>
      </c>
      <c r="K887">
        <f>IFERROR(INDEX(Cluster_Master!$F$4:$F$18,MATCH($F887,Cluster_Master!$B$4:$B$18,0)),"")</f>
        <v/>
      </c>
      <c r="L887">
        <f>IFERROR(INDEX(Cluster_Master!$G$4:$G$18,MATCH($F887,Cluster_Master!$B$4:$B$18,0)),"")</f>
        <v/>
      </c>
      <c r="M887">
        <f>IFERROR(INDEX(Cluster_Master!$H$4:$H$18,MATCH($F887,Cluster_Master!$B$4:$B$18,0)),"")</f>
        <v/>
      </c>
      <c r="AI887">
        <f>IF(COUNTA(T887:AH887)=0,"",SUM(T887:AH887))</f>
        <v/>
      </c>
      <c r="AJ887">
        <f>IF(COUNTA(T887:AH887)=0,"",AI887/(COUNT(KPI_Weights!$A$4:$A$18)*5))</f>
        <v/>
      </c>
      <c r="AK887">
        <f>IF(COUNTA(T887:AH887)=0,"",SUMPRODUCT(T887:AH887,KPI_Weights!$B$4:$B$18)/5)</f>
        <v/>
      </c>
      <c r="AL887">
        <f>IF(COUNTA(T887:AH887)=0,"",IF(SUMPRODUCT(--(T887:AH887&lt;=1),--(KPI_Weights!$C$4:$C$18="YES"))&gt;0,"YES","NO"))</f>
        <v/>
      </c>
      <c r="AM887">
        <f>IF(AJ887="","",IF(AND(AL887="NO",AJ887&gt;=0.75),"YES","NO"))</f>
        <v/>
      </c>
      <c r="AN887">
        <f>IF(AJ887="","",IF(AJ887&lt;0.4,"Critical",IF(AJ887&lt;0.6,"Poor",IF(AJ887&lt;0.75,"Needs Improvement",IF(AJ887&lt;0.9,"Good","Excellent")))))</f>
        <v/>
      </c>
    </row>
    <row r="888" ht="15" customHeight="1" s="45">
      <c r="A888">
        <f>IF($B888="","",TEXT($B888,"yyyymmdd")&amp;"-"&amp;SUBSTITUTE($F888," ","")&amp;"-"&amp;TEXT(COUNTIF($F$4:F888,$F888),"00"))</f>
        <v/>
      </c>
      <c r="C888">
        <f>IF($B888="","",WEEKNUM($B888,2))</f>
        <v/>
      </c>
      <c r="D888">
        <f>IF($B888="","",TEXT($B888,"yyyy-mm"))</f>
        <v/>
      </c>
      <c r="G888">
        <f>IF(OR($E888="",$F888=""),"",IFERROR(IF($E888=INDEX(Cluster_Master!$A$4:$A$18,MATCH($F888,Cluster_Master!$B$4:$B$18,0)),"OK","CHECK"),"CHECK"))</f>
        <v/>
      </c>
      <c r="H888">
        <f>IFERROR(INDEX(Cluster_Master!$C$4:$C$18,MATCH($F888,Cluster_Master!$B$4:$B$18,0)),"")</f>
        <v/>
      </c>
      <c r="I888">
        <f>IFERROR(INDEX(Cluster_Master!$D$4:$D$18,MATCH($F888,Cluster_Master!$B$4:$B$18,0)),"")</f>
        <v/>
      </c>
      <c r="J888">
        <f>IFERROR(INDEX(Cluster_Master!$E$4:$E$18,MATCH($F888,Cluster_Master!$B$4:$B$18,0)),"")</f>
        <v/>
      </c>
      <c r="K888">
        <f>IFERROR(INDEX(Cluster_Master!$F$4:$F$18,MATCH($F888,Cluster_Master!$B$4:$B$18,0)),"")</f>
        <v/>
      </c>
      <c r="L888">
        <f>IFERROR(INDEX(Cluster_Master!$G$4:$G$18,MATCH($F888,Cluster_Master!$B$4:$B$18,0)),"")</f>
        <v/>
      </c>
      <c r="M888">
        <f>IFERROR(INDEX(Cluster_Master!$H$4:$H$18,MATCH($F888,Cluster_Master!$B$4:$B$18,0)),"")</f>
        <v/>
      </c>
      <c r="AI888">
        <f>IF(COUNTA(T888:AH888)=0,"",SUM(T888:AH888))</f>
        <v/>
      </c>
      <c r="AJ888">
        <f>IF(COUNTA(T888:AH888)=0,"",AI888/(COUNT(KPI_Weights!$A$4:$A$18)*5))</f>
        <v/>
      </c>
      <c r="AK888">
        <f>IF(COUNTA(T888:AH888)=0,"",SUMPRODUCT(T888:AH888,KPI_Weights!$B$4:$B$18)/5)</f>
        <v/>
      </c>
      <c r="AL888">
        <f>IF(COUNTA(T888:AH888)=0,"",IF(SUMPRODUCT(--(T888:AH888&lt;=1),--(KPI_Weights!$C$4:$C$18="YES"))&gt;0,"YES","NO"))</f>
        <v/>
      </c>
      <c r="AM888">
        <f>IF(AJ888="","",IF(AND(AL888="NO",AJ888&gt;=0.75),"YES","NO"))</f>
        <v/>
      </c>
      <c r="AN888">
        <f>IF(AJ888="","",IF(AJ888&lt;0.4,"Critical",IF(AJ888&lt;0.6,"Poor",IF(AJ888&lt;0.75,"Needs Improvement",IF(AJ888&lt;0.9,"Good","Excellent")))))</f>
        <v/>
      </c>
    </row>
    <row r="889" ht="15" customHeight="1" s="45">
      <c r="A889">
        <f>IF($B889="","",TEXT($B889,"yyyymmdd")&amp;"-"&amp;SUBSTITUTE($F889," ","")&amp;"-"&amp;TEXT(COUNTIF($F$4:F889,$F889),"00"))</f>
        <v/>
      </c>
      <c r="C889">
        <f>IF($B889="","",WEEKNUM($B889,2))</f>
        <v/>
      </c>
      <c r="D889">
        <f>IF($B889="","",TEXT($B889,"yyyy-mm"))</f>
        <v/>
      </c>
      <c r="G889">
        <f>IF(OR($E889="",$F889=""),"",IFERROR(IF($E889=INDEX(Cluster_Master!$A$4:$A$18,MATCH($F889,Cluster_Master!$B$4:$B$18,0)),"OK","CHECK"),"CHECK"))</f>
        <v/>
      </c>
      <c r="H889">
        <f>IFERROR(INDEX(Cluster_Master!$C$4:$C$18,MATCH($F889,Cluster_Master!$B$4:$B$18,0)),"")</f>
        <v/>
      </c>
      <c r="I889">
        <f>IFERROR(INDEX(Cluster_Master!$D$4:$D$18,MATCH($F889,Cluster_Master!$B$4:$B$18,0)),"")</f>
        <v/>
      </c>
      <c r="J889">
        <f>IFERROR(INDEX(Cluster_Master!$E$4:$E$18,MATCH($F889,Cluster_Master!$B$4:$B$18,0)),"")</f>
        <v/>
      </c>
      <c r="K889">
        <f>IFERROR(INDEX(Cluster_Master!$F$4:$F$18,MATCH($F889,Cluster_Master!$B$4:$B$18,0)),"")</f>
        <v/>
      </c>
      <c r="L889">
        <f>IFERROR(INDEX(Cluster_Master!$G$4:$G$18,MATCH($F889,Cluster_Master!$B$4:$B$18,0)),"")</f>
        <v/>
      </c>
      <c r="M889">
        <f>IFERROR(INDEX(Cluster_Master!$H$4:$H$18,MATCH($F889,Cluster_Master!$B$4:$B$18,0)),"")</f>
        <v/>
      </c>
      <c r="AI889">
        <f>IF(COUNTA(T889:AH889)=0,"",SUM(T889:AH889))</f>
        <v/>
      </c>
      <c r="AJ889">
        <f>IF(COUNTA(T889:AH889)=0,"",AI889/(COUNT(KPI_Weights!$A$4:$A$18)*5))</f>
        <v/>
      </c>
      <c r="AK889">
        <f>IF(COUNTA(T889:AH889)=0,"",SUMPRODUCT(T889:AH889,KPI_Weights!$B$4:$B$18)/5)</f>
        <v/>
      </c>
      <c r="AL889">
        <f>IF(COUNTA(T889:AH889)=0,"",IF(SUMPRODUCT(--(T889:AH889&lt;=1),--(KPI_Weights!$C$4:$C$18="YES"))&gt;0,"YES","NO"))</f>
        <v/>
      </c>
      <c r="AM889">
        <f>IF(AJ889="","",IF(AND(AL889="NO",AJ889&gt;=0.75),"YES","NO"))</f>
        <v/>
      </c>
      <c r="AN889">
        <f>IF(AJ889="","",IF(AJ889&lt;0.4,"Critical",IF(AJ889&lt;0.6,"Poor",IF(AJ889&lt;0.75,"Needs Improvement",IF(AJ889&lt;0.9,"Good","Excellent")))))</f>
        <v/>
      </c>
    </row>
    <row r="890" ht="15" customHeight="1" s="45">
      <c r="A890">
        <f>IF($B890="","",TEXT($B890,"yyyymmdd")&amp;"-"&amp;SUBSTITUTE($F890," ","")&amp;"-"&amp;TEXT(COUNTIF($F$4:F890,$F890),"00"))</f>
        <v/>
      </c>
      <c r="C890">
        <f>IF($B890="","",WEEKNUM($B890,2))</f>
        <v/>
      </c>
      <c r="D890">
        <f>IF($B890="","",TEXT($B890,"yyyy-mm"))</f>
        <v/>
      </c>
      <c r="G890">
        <f>IF(OR($E890="",$F890=""),"",IFERROR(IF($E890=INDEX(Cluster_Master!$A$4:$A$18,MATCH($F890,Cluster_Master!$B$4:$B$18,0)),"OK","CHECK"),"CHECK"))</f>
        <v/>
      </c>
      <c r="H890">
        <f>IFERROR(INDEX(Cluster_Master!$C$4:$C$18,MATCH($F890,Cluster_Master!$B$4:$B$18,0)),"")</f>
        <v/>
      </c>
      <c r="I890">
        <f>IFERROR(INDEX(Cluster_Master!$D$4:$D$18,MATCH($F890,Cluster_Master!$B$4:$B$18,0)),"")</f>
        <v/>
      </c>
      <c r="J890">
        <f>IFERROR(INDEX(Cluster_Master!$E$4:$E$18,MATCH($F890,Cluster_Master!$B$4:$B$18,0)),"")</f>
        <v/>
      </c>
      <c r="K890">
        <f>IFERROR(INDEX(Cluster_Master!$F$4:$F$18,MATCH($F890,Cluster_Master!$B$4:$B$18,0)),"")</f>
        <v/>
      </c>
      <c r="L890">
        <f>IFERROR(INDEX(Cluster_Master!$G$4:$G$18,MATCH($F890,Cluster_Master!$B$4:$B$18,0)),"")</f>
        <v/>
      </c>
      <c r="M890">
        <f>IFERROR(INDEX(Cluster_Master!$H$4:$H$18,MATCH($F890,Cluster_Master!$B$4:$B$18,0)),"")</f>
        <v/>
      </c>
      <c r="AI890">
        <f>IF(COUNTA(T890:AH890)=0,"",SUM(T890:AH890))</f>
        <v/>
      </c>
      <c r="AJ890">
        <f>IF(COUNTA(T890:AH890)=0,"",AI890/(COUNT(KPI_Weights!$A$4:$A$18)*5))</f>
        <v/>
      </c>
      <c r="AK890">
        <f>IF(COUNTA(T890:AH890)=0,"",SUMPRODUCT(T890:AH890,KPI_Weights!$B$4:$B$18)/5)</f>
        <v/>
      </c>
      <c r="AL890">
        <f>IF(COUNTA(T890:AH890)=0,"",IF(SUMPRODUCT(--(T890:AH890&lt;=1),--(KPI_Weights!$C$4:$C$18="YES"))&gt;0,"YES","NO"))</f>
        <v/>
      </c>
      <c r="AM890">
        <f>IF(AJ890="","",IF(AND(AL890="NO",AJ890&gt;=0.75),"YES","NO"))</f>
        <v/>
      </c>
      <c r="AN890">
        <f>IF(AJ890="","",IF(AJ890&lt;0.4,"Critical",IF(AJ890&lt;0.6,"Poor",IF(AJ890&lt;0.75,"Needs Improvement",IF(AJ890&lt;0.9,"Good","Excellent")))))</f>
        <v/>
      </c>
    </row>
    <row r="891" ht="15" customHeight="1" s="45">
      <c r="A891">
        <f>IF($B891="","",TEXT($B891,"yyyymmdd")&amp;"-"&amp;SUBSTITUTE($F891," ","")&amp;"-"&amp;TEXT(COUNTIF($F$4:F891,$F891),"00"))</f>
        <v/>
      </c>
      <c r="C891">
        <f>IF($B891="","",WEEKNUM($B891,2))</f>
        <v/>
      </c>
      <c r="D891">
        <f>IF($B891="","",TEXT($B891,"yyyy-mm"))</f>
        <v/>
      </c>
      <c r="G891">
        <f>IF(OR($E891="",$F891=""),"",IFERROR(IF($E891=INDEX(Cluster_Master!$A$4:$A$18,MATCH($F891,Cluster_Master!$B$4:$B$18,0)),"OK","CHECK"),"CHECK"))</f>
        <v/>
      </c>
      <c r="H891">
        <f>IFERROR(INDEX(Cluster_Master!$C$4:$C$18,MATCH($F891,Cluster_Master!$B$4:$B$18,0)),"")</f>
        <v/>
      </c>
      <c r="I891">
        <f>IFERROR(INDEX(Cluster_Master!$D$4:$D$18,MATCH($F891,Cluster_Master!$B$4:$B$18,0)),"")</f>
        <v/>
      </c>
      <c r="J891">
        <f>IFERROR(INDEX(Cluster_Master!$E$4:$E$18,MATCH($F891,Cluster_Master!$B$4:$B$18,0)),"")</f>
        <v/>
      </c>
      <c r="K891">
        <f>IFERROR(INDEX(Cluster_Master!$F$4:$F$18,MATCH($F891,Cluster_Master!$B$4:$B$18,0)),"")</f>
        <v/>
      </c>
      <c r="L891">
        <f>IFERROR(INDEX(Cluster_Master!$G$4:$G$18,MATCH($F891,Cluster_Master!$B$4:$B$18,0)),"")</f>
        <v/>
      </c>
      <c r="M891">
        <f>IFERROR(INDEX(Cluster_Master!$H$4:$H$18,MATCH($F891,Cluster_Master!$B$4:$B$18,0)),"")</f>
        <v/>
      </c>
      <c r="AI891">
        <f>IF(COUNTA(T891:AH891)=0,"",SUM(T891:AH891))</f>
        <v/>
      </c>
      <c r="AJ891">
        <f>IF(COUNTA(T891:AH891)=0,"",AI891/(COUNT(KPI_Weights!$A$4:$A$18)*5))</f>
        <v/>
      </c>
      <c r="AK891">
        <f>IF(COUNTA(T891:AH891)=0,"",SUMPRODUCT(T891:AH891,KPI_Weights!$B$4:$B$18)/5)</f>
        <v/>
      </c>
      <c r="AL891">
        <f>IF(COUNTA(T891:AH891)=0,"",IF(SUMPRODUCT(--(T891:AH891&lt;=1),--(KPI_Weights!$C$4:$C$18="YES"))&gt;0,"YES","NO"))</f>
        <v/>
      </c>
      <c r="AM891">
        <f>IF(AJ891="","",IF(AND(AL891="NO",AJ891&gt;=0.75),"YES","NO"))</f>
        <v/>
      </c>
      <c r="AN891">
        <f>IF(AJ891="","",IF(AJ891&lt;0.4,"Critical",IF(AJ891&lt;0.6,"Poor",IF(AJ891&lt;0.75,"Needs Improvement",IF(AJ891&lt;0.9,"Good","Excellent")))))</f>
        <v/>
      </c>
    </row>
    <row r="892" ht="15" customHeight="1" s="45">
      <c r="A892">
        <f>IF($B892="","",TEXT($B892,"yyyymmdd")&amp;"-"&amp;SUBSTITUTE($F892," ","")&amp;"-"&amp;TEXT(COUNTIF($F$4:F892,$F892),"00"))</f>
        <v/>
      </c>
      <c r="C892">
        <f>IF($B892="","",WEEKNUM($B892,2))</f>
        <v/>
      </c>
      <c r="D892">
        <f>IF($B892="","",TEXT($B892,"yyyy-mm"))</f>
        <v/>
      </c>
      <c r="G892">
        <f>IF(OR($E892="",$F892=""),"",IFERROR(IF($E892=INDEX(Cluster_Master!$A$4:$A$18,MATCH($F892,Cluster_Master!$B$4:$B$18,0)),"OK","CHECK"),"CHECK"))</f>
        <v/>
      </c>
      <c r="H892">
        <f>IFERROR(INDEX(Cluster_Master!$C$4:$C$18,MATCH($F892,Cluster_Master!$B$4:$B$18,0)),"")</f>
        <v/>
      </c>
      <c r="I892">
        <f>IFERROR(INDEX(Cluster_Master!$D$4:$D$18,MATCH($F892,Cluster_Master!$B$4:$B$18,0)),"")</f>
        <v/>
      </c>
      <c r="J892">
        <f>IFERROR(INDEX(Cluster_Master!$E$4:$E$18,MATCH($F892,Cluster_Master!$B$4:$B$18,0)),"")</f>
        <v/>
      </c>
      <c r="K892">
        <f>IFERROR(INDEX(Cluster_Master!$F$4:$F$18,MATCH($F892,Cluster_Master!$B$4:$B$18,0)),"")</f>
        <v/>
      </c>
      <c r="L892">
        <f>IFERROR(INDEX(Cluster_Master!$G$4:$G$18,MATCH($F892,Cluster_Master!$B$4:$B$18,0)),"")</f>
        <v/>
      </c>
      <c r="M892">
        <f>IFERROR(INDEX(Cluster_Master!$H$4:$H$18,MATCH($F892,Cluster_Master!$B$4:$B$18,0)),"")</f>
        <v/>
      </c>
      <c r="AI892">
        <f>IF(COUNTA(T892:AH892)=0,"",SUM(T892:AH892))</f>
        <v/>
      </c>
      <c r="AJ892">
        <f>IF(COUNTA(T892:AH892)=0,"",AI892/(COUNT(KPI_Weights!$A$4:$A$18)*5))</f>
        <v/>
      </c>
      <c r="AK892">
        <f>IF(COUNTA(T892:AH892)=0,"",SUMPRODUCT(T892:AH892,KPI_Weights!$B$4:$B$18)/5)</f>
        <v/>
      </c>
      <c r="AL892">
        <f>IF(COUNTA(T892:AH892)=0,"",IF(SUMPRODUCT(--(T892:AH892&lt;=1),--(KPI_Weights!$C$4:$C$18="YES"))&gt;0,"YES","NO"))</f>
        <v/>
      </c>
      <c r="AM892">
        <f>IF(AJ892="","",IF(AND(AL892="NO",AJ892&gt;=0.75),"YES","NO"))</f>
        <v/>
      </c>
      <c r="AN892">
        <f>IF(AJ892="","",IF(AJ892&lt;0.4,"Critical",IF(AJ892&lt;0.6,"Poor",IF(AJ892&lt;0.75,"Needs Improvement",IF(AJ892&lt;0.9,"Good","Excellent")))))</f>
        <v/>
      </c>
    </row>
    <row r="893" ht="15" customHeight="1" s="45">
      <c r="A893">
        <f>IF($B893="","",TEXT($B893,"yyyymmdd")&amp;"-"&amp;SUBSTITUTE($F893," ","")&amp;"-"&amp;TEXT(COUNTIF($F$4:F893,$F893),"00"))</f>
        <v/>
      </c>
      <c r="C893">
        <f>IF($B893="","",WEEKNUM($B893,2))</f>
        <v/>
      </c>
      <c r="D893">
        <f>IF($B893="","",TEXT($B893,"yyyy-mm"))</f>
        <v/>
      </c>
      <c r="G893">
        <f>IF(OR($E893="",$F893=""),"",IFERROR(IF($E893=INDEX(Cluster_Master!$A$4:$A$18,MATCH($F893,Cluster_Master!$B$4:$B$18,0)),"OK","CHECK"),"CHECK"))</f>
        <v/>
      </c>
      <c r="H893">
        <f>IFERROR(INDEX(Cluster_Master!$C$4:$C$18,MATCH($F893,Cluster_Master!$B$4:$B$18,0)),"")</f>
        <v/>
      </c>
      <c r="I893">
        <f>IFERROR(INDEX(Cluster_Master!$D$4:$D$18,MATCH($F893,Cluster_Master!$B$4:$B$18,0)),"")</f>
        <v/>
      </c>
      <c r="J893">
        <f>IFERROR(INDEX(Cluster_Master!$E$4:$E$18,MATCH($F893,Cluster_Master!$B$4:$B$18,0)),"")</f>
        <v/>
      </c>
      <c r="K893">
        <f>IFERROR(INDEX(Cluster_Master!$F$4:$F$18,MATCH($F893,Cluster_Master!$B$4:$B$18,0)),"")</f>
        <v/>
      </c>
      <c r="L893">
        <f>IFERROR(INDEX(Cluster_Master!$G$4:$G$18,MATCH($F893,Cluster_Master!$B$4:$B$18,0)),"")</f>
        <v/>
      </c>
      <c r="M893">
        <f>IFERROR(INDEX(Cluster_Master!$H$4:$H$18,MATCH($F893,Cluster_Master!$B$4:$B$18,0)),"")</f>
        <v/>
      </c>
      <c r="AI893">
        <f>IF(COUNTA(T893:AH893)=0,"",SUM(T893:AH893))</f>
        <v/>
      </c>
      <c r="AJ893">
        <f>IF(COUNTA(T893:AH893)=0,"",AI893/(COUNT(KPI_Weights!$A$4:$A$18)*5))</f>
        <v/>
      </c>
      <c r="AK893">
        <f>IF(COUNTA(T893:AH893)=0,"",SUMPRODUCT(T893:AH893,KPI_Weights!$B$4:$B$18)/5)</f>
        <v/>
      </c>
      <c r="AL893">
        <f>IF(COUNTA(T893:AH893)=0,"",IF(SUMPRODUCT(--(T893:AH893&lt;=1),--(KPI_Weights!$C$4:$C$18="YES"))&gt;0,"YES","NO"))</f>
        <v/>
      </c>
      <c r="AM893">
        <f>IF(AJ893="","",IF(AND(AL893="NO",AJ893&gt;=0.75),"YES","NO"))</f>
        <v/>
      </c>
      <c r="AN893">
        <f>IF(AJ893="","",IF(AJ893&lt;0.4,"Critical",IF(AJ893&lt;0.6,"Poor",IF(AJ893&lt;0.75,"Needs Improvement",IF(AJ893&lt;0.9,"Good","Excellent")))))</f>
        <v/>
      </c>
    </row>
    <row r="894" ht="15" customHeight="1" s="45">
      <c r="A894">
        <f>IF($B894="","",TEXT($B894,"yyyymmdd")&amp;"-"&amp;SUBSTITUTE($F894," ","")&amp;"-"&amp;TEXT(COUNTIF($F$4:F894,$F894),"00"))</f>
        <v/>
      </c>
      <c r="C894">
        <f>IF($B894="","",WEEKNUM($B894,2))</f>
        <v/>
      </c>
      <c r="D894">
        <f>IF($B894="","",TEXT($B894,"yyyy-mm"))</f>
        <v/>
      </c>
      <c r="G894">
        <f>IF(OR($E894="",$F894=""),"",IFERROR(IF($E894=INDEX(Cluster_Master!$A$4:$A$18,MATCH($F894,Cluster_Master!$B$4:$B$18,0)),"OK","CHECK"),"CHECK"))</f>
        <v/>
      </c>
      <c r="H894">
        <f>IFERROR(INDEX(Cluster_Master!$C$4:$C$18,MATCH($F894,Cluster_Master!$B$4:$B$18,0)),"")</f>
        <v/>
      </c>
      <c r="I894">
        <f>IFERROR(INDEX(Cluster_Master!$D$4:$D$18,MATCH($F894,Cluster_Master!$B$4:$B$18,0)),"")</f>
        <v/>
      </c>
      <c r="J894">
        <f>IFERROR(INDEX(Cluster_Master!$E$4:$E$18,MATCH($F894,Cluster_Master!$B$4:$B$18,0)),"")</f>
        <v/>
      </c>
      <c r="K894">
        <f>IFERROR(INDEX(Cluster_Master!$F$4:$F$18,MATCH($F894,Cluster_Master!$B$4:$B$18,0)),"")</f>
        <v/>
      </c>
      <c r="L894">
        <f>IFERROR(INDEX(Cluster_Master!$G$4:$G$18,MATCH($F894,Cluster_Master!$B$4:$B$18,0)),"")</f>
        <v/>
      </c>
      <c r="M894">
        <f>IFERROR(INDEX(Cluster_Master!$H$4:$H$18,MATCH($F894,Cluster_Master!$B$4:$B$18,0)),"")</f>
        <v/>
      </c>
      <c r="AI894">
        <f>IF(COUNTA(T894:AH894)=0,"",SUM(T894:AH894))</f>
        <v/>
      </c>
      <c r="AJ894">
        <f>IF(COUNTA(T894:AH894)=0,"",AI894/(COUNT(KPI_Weights!$A$4:$A$18)*5))</f>
        <v/>
      </c>
      <c r="AK894">
        <f>IF(COUNTA(T894:AH894)=0,"",SUMPRODUCT(T894:AH894,KPI_Weights!$B$4:$B$18)/5)</f>
        <v/>
      </c>
      <c r="AL894">
        <f>IF(COUNTA(T894:AH894)=0,"",IF(SUMPRODUCT(--(T894:AH894&lt;=1),--(KPI_Weights!$C$4:$C$18="YES"))&gt;0,"YES","NO"))</f>
        <v/>
      </c>
      <c r="AM894">
        <f>IF(AJ894="","",IF(AND(AL894="NO",AJ894&gt;=0.75),"YES","NO"))</f>
        <v/>
      </c>
      <c r="AN894">
        <f>IF(AJ894="","",IF(AJ894&lt;0.4,"Critical",IF(AJ894&lt;0.6,"Poor",IF(AJ894&lt;0.75,"Needs Improvement",IF(AJ894&lt;0.9,"Good","Excellent")))))</f>
        <v/>
      </c>
    </row>
    <row r="895" ht="15" customHeight="1" s="45">
      <c r="A895">
        <f>IF($B895="","",TEXT($B895,"yyyymmdd")&amp;"-"&amp;SUBSTITUTE($F895," ","")&amp;"-"&amp;TEXT(COUNTIF($F$4:F895,$F895),"00"))</f>
        <v/>
      </c>
      <c r="C895">
        <f>IF($B895="","",WEEKNUM($B895,2))</f>
        <v/>
      </c>
      <c r="D895">
        <f>IF($B895="","",TEXT($B895,"yyyy-mm"))</f>
        <v/>
      </c>
      <c r="G895">
        <f>IF(OR($E895="",$F895=""),"",IFERROR(IF($E895=INDEX(Cluster_Master!$A$4:$A$18,MATCH($F895,Cluster_Master!$B$4:$B$18,0)),"OK","CHECK"),"CHECK"))</f>
        <v/>
      </c>
      <c r="H895">
        <f>IFERROR(INDEX(Cluster_Master!$C$4:$C$18,MATCH($F895,Cluster_Master!$B$4:$B$18,0)),"")</f>
        <v/>
      </c>
      <c r="I895">
        <f>IFERROR(INDEX(Cluster_Master!$D$4:$D$18,MATCH($F895,Cluster_Master!$B$4:$B$18,0)),"")</f>
        <v/>
      </c>
      <c r="J895">
        <f>IFERROR(INDEX(Cluster_Master!$E$4:$E$18,MATCH($F895,Cluster_Master!$B$4:$B$18,0)),"")</f>
        <v/>
      </c>
      <c r="K895">
        <f>IFERROR(INDEX(Cluster_Master!$F$4:$F$18,MATCH($F895,Cluster_Master!$B$4:$B$18,0)),"")</f>
        <v/>
      </c>
      <c r="L895">
        <f>IFERROR(INDEX(Cluster_Master!$G$4:$G$18,MATCH($F895,Cluster_Master!$B$4:$B$18,0)),"")</f>
        <v/>
      </c>
      <c r="M895">
        <f>IFERROR(INDEX(Cluster_Master!$H$4:$H$18,MATCH($F895,Cluster_Master!$B$4:$B$18,0)),"")</f>
        <v/>
      </c>
      <c r="AI895">
        <f>IF(COUNTA(T895:AH895)=0,"",SUM(T895:AH895))</f>
        <v/>
      </c>
      <c r="AJ895">
        <f>IF(COUNTA(T895:AH895)=0,"",AI895/(COUNT(KPI_Weights!$A$4:$A$18)*5))</f>
        <v/>
      </c>
      <c r="AK895">
        <f>IF(COUNTA(T895:AH895)=0,"",SUMPRODUCT(T895:AH895,KPI_Weights!$B$4:$B$18)/5)</f>
        <v/>
      </c>
      <c r="AL895">
        <f>IF(COUNTA(T895:AH895)=0,"",IF(SUMPRODUCT(--(T895:AH895&lt;=1),--(KPI_Weights!$C$4:$C$18="YES"))&gt;0,"YES","NO"))</f>
        <v/>
      </c>
      <c r="AM895">
        <f>IF(AJ895="","",IF(AND(AL895="NO",AJ895&gt;=0.75),"YES","NO"))</f>
        <v/>
      </c>
      <c r="AN895">
        <f>IF(AJ895="","",IF(AJ895&lt;0.4,"Critical",IF(AJ895&lt;0.6,"Poor",IF(AJ895&lt;0.75,"Needs Improvement",IF(AJ895&lt;0.9,"Good","Excellent")))))</f>
        <v/>
      </c>
    </row>
    <row r="896" ht="15" customHeight="1" s="45">
      <c r="A896">
        <f>IF($B896="","",TEXT($B896,"yyyymmdd")&amp;"-"&amp;SUBSTITUTE($F896," ","")&amp;"-"&amp;TEXT(COUNTIF($F$4:F896,$F896),"00"))</f>
        <v/>
      </c>
      <c r="C896">
        <f>IF($B896="","",WEEKNUM($B896,2))</f>
        <v/>
      </c>
      <c r="D896">
        <f>IF($B896="","",TEXT($B896,"yyyy-mm"))</f>
        <v/>
      </c>
      <c r="G896">
        <f>IF(OR($E896="",$F896=""),"",IFERROR(IF($E896=INDEX(Cluster_Master!$A$4:$A$18,MATCH($F896,Cluster_Master!$B$4:$B$18,0)),"OK","CHECK"),"CHECK"))</f>
        <v/>
      </c>
      <c r="H896">
        <f>IFERROR(INDEX(Cluster_Master!$C$4:$C$18,MATCH($F896,Cluster_Master!$B$4:$B$18,0)),"")</f>
        <v/>
      </c>
      <c r="I896">
        <f>IFERROR(INDEX(Cluster_Master!$D$4:$D$18,MATCH($F896,Cluster_Master!$B$4:$B$18,0)),"")</f>
        <v/>
      </c>
      <c r="J896">
        <f>IFERROR(INDEX(Cluster_Master!$E$4:$E$18,MATCH($F896,Cluster_Master!$B$4:$B$18,0)),"")</f>
        <v/>
      </c>
      <c r="K896">
        <f>IFERROR(INDEX(Cluster_Master!$F$4:$F$18,MATCH($F896,Cluster_Master!$B$4:$B$18,0)),"")</f>
        <v/>
      </c>
      <c r="L896">
        <f>IFERROR(INDEX(Cluster_Master!$G$4:$G$18,MATCH($F896,Cluster_Master!$B$4:$B$18,0)),"")</f>
        <v/>
      </c>
      <c r="M896">
        <f>IFERROR(INDEX(Cluster_Master!$H$4:$H$18,MATCH($F896,Cluster_Master!$B$4:$B$18,0)),"")</f>
        <v/>
      </c>
      <c r="AI896">
        <f>IF(COUNTA(T896:AH896)=0,"",SUM(T896:AH896))</f>
        <v/>
      </c>
      <c r="AJ896">
        <f>IF(COUNTA(T896:AH896)=0,"",AI896/(COUNT(KPI_Weights!$A$4:$A$18)*5))</f>
        <v/>
      </c>
      <c r="AK896">
        <f>IF(COUNTA(T896:AH896)=0,"",SUMPRODUCT(T896:AH896,KPI_Weights!$B$4:$B$18)/5)</f>
        <v/>
      </c>
      <c r="AL896">
        <f>IF(COUNTA(T896:AH896)=0,"",IF(SUMPRODUCT(--(T896:AH896&lt;=1),--(KPI_Weights!$C$4:$C$18="YES"))&gt;0,"YES","NO"))</f>
        <v/>
      </c>
      <c r="AM896">
        <f>IF(AJ896="","",IF(AND(AL896="NO",AJ896&gt;=0.75),"YES","NO"))</f>
        <v/>
      </c>
      <c r="AN896">
        <f>IF(AJ896="","",IF(AJ896&lt;0.4,"Critical",IF(AJ896&lt;0.6,"Poor",IF(AJ896&lt;0.75,"Needs Improvement",IF(AJ896&lt;0.9,"Good","Excellent")))))</f>
        <v/>
      </c>
    </row>
    <row r="897" ht="15" customHeight="1" s="45">
      <c r="A897">
        <f>IF($B897="","",TEXT($B897,"yyyymmdd")&amp;"-"&amp;SUBSTITUTE($F897," ","")&amp;"-"&amp;TEXT(COUNTIF($F$4:F897,$F897),"00"))</f>
        <v/>
      </c>
      <c r="C897">
        <f>IF($B897="","",WEEKNUM($B897,2))</f>
        <v/>
      </c>
      <c r="D897">
        <f>IF($B897="","",TEXT($B897,"yyyy-mm"))</f>
        <v/>
      </c>
      <c r="G897">
        <f>IF(OR($E897="",$F897=""),"",IFERROR(IF($E897=INDEX(Cluster_Master!$A$4:$A$18,MATCH($F897,Cluster_Master!$B$4:$B$18,0)),"OK","CHECK"),"CHECK"))</f>
        <v/>
      </c>
      <c r="H897">
        <f>IFERROR(INDEX(Cluster_Master!$C$4:$C$18,MATCH($F897,Cluster_Master!$B$4:$B$18,0)),"")</f>
        <v/>
      </c>
      <c r="I897">
        <f>IFERROR(INDEX(Cluster_Master!$D$4:$D$18,MATCH($F897,Cluster_Master!$B$4:$B$18,0)),"")</f>
        <v/>
      </c>
      <c r="J897">
        <f>IFERROR(INDEX(Cluster_Master!$E$4:$E$18,MATCH($F897,Cluster_Master!$B$4:$B$18,0)),"")</f>
        <v/>
      </c>
      <c r="K897">
        <f>IFERROR(INDEX(Cluster_Master!$F$4:$F$18,MATCH($F897,Cluster_Master!$B$4:$B$18,0)),"")</f>
        <v/>
      </c>
      <c r="L897">
        <f>IFERROR(INDEX(Cluster_Master!$G$4:$G$18,MATCH($F897,Cluster_Master!$B$4:$B$18,0)),"")</f>
        <v/>
      </c>
      <c r="M897">
        <f>IFERROR(INDEX(Cluster_Master!$H$4:$H$18,MATCH($F897,Cluster_Master!$B$4:$B$18,0)),"")</f>
        <v/>
      </c>
      <c r="AI897">
        <f>IF(COUNTA(T897:AH897)=0,"",SUM(T897:AH897))</f>
        <v/>
      </c>
      <c r="AJ897">
        <f>IF(COUNTA(T897:AH897)=0,"",AI897/(COUNT(KPI_Weights!$A$4:$A$18)*5))</f>
        <v/>
      </c>
      <c r="AK897">
        <f>IF(COUNTA(T897:AH897)=0,"",SUMPRODUCT(T897:AH897,KPI_Weights!$B$4:$B$18)/5)</f>
        <v/>
      </c>
      <c r="AL897">
        <f>IF(COUNTA(T897:AH897)=0,"",IF(SUMPRODUCT(--(T897:AH897&lt;=1),--(KPI_Weights!$C$4:$C$18="YES"))&gt;0,"YES","NO"))</f>
        <v/>
      </c>
      <c r="AM897">
        <f>IF(AJ897="","",IF(AND(AL897="NO",AJ897&gt;=0.75),"YES","NO"))</f>
        <v/>
      </c>
      <c r="AN897">
        <f>IF(AJ897="","",IF(AJ897&lt;0.4,"Critical",IF(AJ897&lt;0.6,"Poor",IF(AJ897&lt;0.75,"Needs Improvement",IF(AJ897&lt;0.9,"Good","Excellent")))))</f>
        <v/>
      </c>
    </row>
    <row r="898" ht="15" customHeight="1" s="45">
      <c r="A898">
        <f>IF($B898="","",TEXT($B898,"yyyymmdd")&amp;"-"&amp;SUBSTITUTE($F898," ","")&amp;"-"&amp;TEXT(COUNTIF($F$4:F898,$F898),"00"))</f>
        <v/>
      </c>
      <c r="C898">
        <f>IF($B898="","",WEEKNUM($B898,2))</f>
        <v/>
      </c>
      <c r="D898">
        <f>IF($B898="","",TEXT($B898,"yyyy-mm"))</f>
        <v/>
      </c>
      <c r="G898">
        <f>IF(OR($E898="",$F898=""),"",IFERROR(IF($E898=INDEX(Cluster_Master!$A$4:$A$18,MATCH($F898,Cluster_Master!$B$4:$B$18,0)),"OK","CHECK"),"CHECK"))</f>
        <v/>
      </c>
      <c r="H898">
        <f>IFERROR(INDEX(Cluster_Master!$C$4:$C$18,MATCH($F898,Cluster_Master!$B$4:$B$18,0)),"")</f>
        <v/>
      </c>
      <c r="I898">
        <f>IFERROR(INDEX(Cluster_Master!$D$4:$D$18,MATCH($F898,Cluster_Master!$B$4:$B$18,0)),"")</f>
        <v/>
      </c>
      <c r="J898">
        <f>IFERROR(INDEX(Cluster_Master!$E$4:$E$18,MATCH($F898,Cluster_Master!$B$4:$B$18,0)),"")</f>
        <v/>
      </c>
      <c r="K898">
        <f>IFERROR(INDEX(Cluster_Master!$F$4:$F$18,MATCH($F898,Cluster_Master!$B$4:$B$18,0)),"")</f>
        <v/>
      </c>
      <c r="L898">
        <f>IFERROR(INDEX(Cluster_Master!$G$4:$G$18,MATCH($F898,Cluster_Master!$B$4:$B$18,0)),"")</f>
        <v/>
      </c>
      <c r="M898">
        <f>IFERROR(INDEX(Cluster_Master!$H$4:$H$18,MATCH($F898,Cluster_Master!$B$4:$B$18,0)),"")</f>
        <v/>
      </c>
      <c r="AI898">
        <f>IF(COUNTA(T898:AH898)=0,"",SUM(T898:AH898))</f>
        <v/>
      </c>
      <c r="AJ898">
        <f>IF(COUNTA(T898:AH898)=0,"",AI898/(COUNT(KPI_Weights!$A$4:$A$18)*5))</f>
        <v/>
      </c>
      <c r="AK898">
        <f>IF(COUNTA(T898:AH898)=0,"",SUMPRODUCT(T898:AH898,KPI_Weights!$B$4:$B$18)/5)</f>
        <v/>
      </c>
      <c r="AL898">
        <f>IF(COUNTA(T898:AH898)=0,"",IF(SUMPRODUCT(--(T898:AH898&lt;=1),--(KPI_Weights!$C$4:$C$18="YES"))&gt;0,"YES","NO"))</f>
        <v/>
      </c>
      <c r="AM898">
        <f>IF(AJ898="","",IF(AND(AL898="NO",AJ898&gt;=0.75),"YES","NO"))</f>
        <v/>
      </c>
      <c r="AN898">
        <f>IF(AJ898="","",IF(AJ898&lt;0.4,"Critical",IF(AJ898&lt;0.6,"Poor",IF(AJ898&lt;0.75,"Needs Improvement",IF(AJ898&lt;0.9,"Good","Excellent")))))</f>
        <v/>
      </c>
    </row>
    <row r="899" ht="15" customHeight="1" s="45">
      <c r="A899">
        <f>IF($B899="","",TEXT($B899,"yyyymmdd")&amp;"-"&amp;SUBSTITUTE($F899," ","")&amp;"-"&amp;TEXT(COUNTIF($F$4:F899,$F899),"00"))</f>
        <v/>
      </c>
      <c r="C899">
        <f>IF($B899="","",WEEKNUM($B899,2))</f>
        <v/>
      </c>
      <c r="D899">
        <f>IF($B899="","",TEXT($B899,"yyyy-mm"))</f>
        <v/>
      </c>
      <c r="G899">
        <f>IF(OR($E899="",$F899=""),"",IFERROR(IF($E899=INDEX(Cluster_Master!$A$4:$A$18,MATCH($F899,Cluster_Master!$B$4:$B$18,0)),"OK","CHECK"),"CHECK"))</f>
        <v/>
      </c>
      <c r="H899">
        <f>IFERROR(INDEX(Cluster_Master!$C$4:$C$18,MATCH($F899,Cluster_Master!$B$4:$B$18,0)),"")</f>
        <v/>
      </c>
      <c r="I899">
        <f>IFERROR(INDEX(Cluster_Master!$D$4:$D$18,MATCH($F899,Cluster_Master!$B$4:$B$18,0)),"")</f>
        <v/>
      </c>
      <c r="J899">
        <f>IFERROR(INDEX(Cluster_Master!$E$4:$E$18,MATCH($F899,Cluster_Master!$B$4:$B$18,0)),"")</f>
        <v/>
      </c>
      <c r="K899">
        <f>IFERROR(INDEX(Cluster_Master!$F$4:$F$18,MATCH($F899,Cluster_Master!$B$4:$B$18,0)),"")</f>
        <v/>
      </c>
      <c r="L899">
        <f>IFERROR(INDEX(Cluster_Master!$G$4:$G$18,MATCH($F899,Cluster_Master!$B$4:$B$18,0)),"")</f>
        <v/>
      </c>
      <c r="M899">
        <f>IFERROR(INDEX(Cluster_Master!$H$4:$H$18,MATCH($F899,Cluster_Master!$B$4:$B$18,0)),"")</f>
        <v/>
      </c>
      <c r="AI899">
        <f>IF(COUNTA(T899:AH899)=0,"",SUM(T899:AH899))</f>
        <v/>
      </c>
      <c r="AJ899">
        <f>IF(COUNTA(T899:AH899)=0,"",AI899/(COUNT(KPI_Weights!$A$4:$A$18)*5))</f>
        <v/>
      </c>
      <c r="AK899">
        <f>IF(COUNTA(T899:AH899)=0,"",SUMPRODUCT(T899:AH899,KPI_Weights!$B$4:$B$18)/5)</f>
        <v/>
      </c>
      <c r="AL899">
        <f>IF(COUNTA(T899:AH899)=0,"",IF(SUMPRODUCT(--(T899:AH899&lt;=1),--(KPI_Weights!$C$4:$C$18="YES"))&gt;0,"YES","NO"))</f>
        <v/>
      </c>
      <c r="AM899">
        <f>IF(AJ899="","",IF(AND(AL899="NO",AJ899&gt;=0.75),"YES","NO"))</f>
        <v/>
      </c>
      <c r="AN899">
        <f>IF(AJ899="","",IF(AJ899&lt;0.4,"Critical",IF(AJ899&lt;0.6,"Poor",IF(AJ899&lt;0.75,"Needs Improvement",IF(AJ899&lt;0.9,"Good","Excellent")))))</f>
        <v/>
      </c>
    </row>
    <row r="900" ht="15" customHeight="1" s="45">
      <c r="A900">
        <f>IF($B900="","",TEXT($B900,"yyyymmdd")&amp;"-"&amp;SUBSTITUTE($F900," ","")&amp;"-"&amp;TEXT(COUNTIF($F$4:F900,$F900),"00"))</f>
        <v/>
      </c>
      <c r="C900">
        <f>IF($B900="","",WEEKNUM($B900,2))</f>
        <v/>
      </c>
      <c r="D900">
        <f>IF($B900="","",TEXT($B900,"yyyy-mm"))</f>
        <v/>
      </c>
      <c r="G900">
        <f>IF(OR($E900="",$F900=""),"",IFERROR(IF($E900=INDEX(Cluster_Master!$A$4:$A$18,MATCH($F900,Cluster_Master!$B$4:$B$18,0)),"OK","CHECK"),"CHECK"))</f>
        <v/>
      </c>
      <c r="H900">
        <f>IFERROR(INDEX(Cluster_Master!$C$4:$C$18,MATCH($F900,Cluster_Master!$B$4:$B$18,0)),"")</f>
        <v/>
      </c>
      <c r="I900">
        <f>IFERROR(INDEX(Cluster_Master!$D$4:$D$18,MATCH($F900,Cluster_Master!$B$4:$B$18,0)),"")</f>
        <v/>
      </c>
      <c r="J900">
        <f>IFERROR(INDEX(Cluster_Master!$E$4:$E$18,MATCH($F900,Cluster_Master!$B$4:$B$18,0)),"")</f>
        <v/>
      </c>
      <c r="K900">
        <f>IFERROR(INDEX(Cluster_Master!$F$4:$F$18,MATCH($F900,Cluster_Master!$B$4:$B$18,0)),"")</f>
        <v/>
      </c>
      <c r="L900">
        <f>IFERROR(INDEX(Cluster_Master!$G$4:$G$18,MATCH($F900,Cluster_Master!$B$4:$B$18,0)),"")</f>
        <v/>
      </c>
      <c r="M900">
        <f>IFERROR(INDEX(Cluster_Master!$H$4:$H$18,MATCH($F900,Cluster_Master!$B$4:$B$18,0)),"")</f>
        <v/>
      </c>
      <c r="AI900">
        <f>IF(COUNTA(T900:AH900)=0,"",SUM(T900:AH900))</f>
        <v/>
      </c>
      <c r="AJ900">
        <f>IF(COUNTA(T900:AH900)=0,"",AI900/(COUNT(KPI_Weights!$A$4:$A$18)*5))</f>
        <v/>
      </c>
      <c r="AK900">
        <f>IF(COUNTA(T900:AH900)=0,"",SUMPRODUCT(T900:AH900,KPI_Weights!$B$4:$B$18)/5)</f>
        <v/>
      </c>
      <c r="AL900">
        <f>IF(COUNTA(T900:AH900)=0,"",IF(SUMPRODUCT(--(T900:AH900&lt;=1),--(KPI_Weights!$C$4:$C$18="YES"))&gt;0,"YES","NO"))</f>
        <v/>
      </c>
      <c r="AM900">
        <f>IF(AJ900="","",IF(AND(AL900="NO",AJ900&gt;=0.75),"YES","NO"))</f>
        <v/>
      </c>
      <c r="AN900">
        <f>IF(AJ900="","",IF(AJ900&lt;0.4,"Critical",IF(AJ900&lt;0.6,"Poor",IF(AJ900&lt;0.75,"Needs Improvement",IF(AJ900&lt;0.9,"Good","Excellent")))))</f>
        <v/>
      </c>
    </row>
    <row r="901" ht="15" customHeight="1" s="45">
      <c r="A901">
        <f>IF($B901="","",TEXT($B901,"yyyymmdd")&amp;"-"&amp;SUBSTITUTE($F901," ","")&amp;"-"&amp;TEXT(COUNTIF($F$4:F901,$F901),"00"))</f>
        <v/>
      </c>
      <c r="C901">
        <f>IF($B901="","",WEEKNUM($B901,2))</f>
        <v/>
      </c>
      <c r="D901">
        <f>IF($B901="","",TEXT($B901,"yyyy-mm"))</f>
        <v/>
      </c>
      <c r="G901">
        <f>IF(OR($E901="",$F901=""),"",IFERROR(IF($E901=INDEX(Cluster_Master!$A$4:$A$18,MATCH($F901,Cluster_Master!$B$4:$B$18,0)),"OK","CHECK"),"CHECK"))</f>
        <v/>
      </c>
      <c r="H901">
        <f>IFERROR(INDEX(Cluster_Master!$C$4:$C$18,MATCH($F901,Cluster_Master!$B$4:$B$18,0)),"")</f>
        <v/>
      </c>
      <c r="I901">
        <f>IFERROR(INDEX(Cluster_Master!$D$4:$D$18,MATCH($F901,Cluster_Master!$B$4:$B$18,0)),"")</f>
        <v/>
      </c>
      <c r="J901">
        <f>IFERROR(INDEX(Cluster_Master!$E$4:$E$18,MATCH($F901,Cluster_Master!$B$4:$B$18,0)),"")</f>
        <v/>
      </c>
      <c r="K901">
        <f>IFERROR(INDEX(Cluster_Master!$F$4:$F$18,MATCH($F901,Cluster_Master!$B$4:$B$18,0)),"")</f>
        <v/>
      </c>
      <c r="L901">
        <f>IFERROR(INDEX(Cluster_Master!$G$4:$G$18,MATCH($F901,Cluster_Master!$B$4:$B$18,0)),"")</f>
        <v/>
      </c>
      <c r="M901">
        <f>IFERROR(INDEX(Cluster_Master!$H$4:$H$18,MATCH($F901,Cluster_Master!$B$4:$B$18,0)),"")</f>
        <v/>
      </c>
      <c r="AI901">
        <f>IF(COUNTA(T901:AH901)=0,"",SUM(T901:AH901))</f>
        <v/>
      </c>
      <c r="AJ901">
        <f>IF(COUNTA(T901:AH901)=0,"",AI901/(COUNT(KPI_Weights!$A$4:$A$18)*5))</f>
        <v/>
      </c>
      <c r="AK901">
        <f>IF(COUNTA(T901:AH901)=0,"",SUMPRODUCT(T901:AH901,KPI_Weights!$B$4:$B$18)/5)</f>
        <v/>
      </c>
      <c r="AL901">
        <f>IF(COUNTA(T901:AH901)=0,"",IF(SUMPRODUCT(--(T901:AH901&lt;=1),--(KPI_Weights!$C$4:$C$18="YES"))&gt;0,"YES","NO"))</f>
        <v/>
      </c>
      <c r="AM901">
        <f>IF(AJ901="","",IF(AND(AL901="NO",AJ901&gt;=0.75),"YES","NO"))</f>
        <v/>
      </c>
      <c r="AN901">
        <f>IF(AJ901="","",IF(AJ901&lt;0.4,"Critical",IF(AJ901&lt;0.6,"Poor",IF(AJ901&lt;0.75,"Needs Improvement",IF(AJ901&lt;0.9,"Good","Excellent")))))</f>
        <v/>
      </c>
    </row>
    <row r="902" ht="15" customHeight="1" s="45">
      <c r="A902">
        <f>IF($B902="","",TEXT($B902,"yyyymmdd")&amp;"-"&amp;SUBSTITUTE($F902," ","")&amp;"-"&amp;TEXT(COUNTIF($F$4:F902,$F902),"00"))</f>
        <v/>
      </c>
      <c r="C902">
        <f>IF($B902="","",WEEKNUM($B902,2))</f>
        <v/>
      </c>
      <c r="D902">
        <f>IF($B902="","",TEXT($B902,"yyyy-mm"))</f>
        <v/>
      </c>
      <c r="G902">
        <f>IF(OR($E902="",$F902=""),"",IFERROR(IF($E902=INDEX(Cluster_Master!$A$4:$A$18,MATCH($F902,Cluster_Master!$B$4:$B$18,0)),"OK","CHECK"),"CHECK"))</f>
        <v/>
      </c>
      <c r="H902">
        <f>IFERROR(INDEX(Cluster_Master!$C$4:$C$18,MATCH($F902,Cluster_Master!$B$4:$B$18,0)),"")</f>
        <v/>
      </c>
      <c r="I902">
        <f>IFERROR(INDEX(Cluster_Master!$D$4:$D$18,MATCH($F902,Cluster_Master!$B$4:$B$18,0)),"")</f>
        <v/>
      </c>
      <c r="J902">
        <f>IFERROR(INDEX(Cluster_Master!$E$4:$E$18,MATCH($F902,Cluster_Master!$B$4:$B$18,0)),"")</f>
        <v/>
      </c>
      <c r="K902">
        <f>IFERROR(INDEX(Cluster_Master!$F$4:$F$18,MATCH($F902,Cluster_Master!$B$4:$B$18,0)),"")</f>
        <v/>
      </c>
      <c r="L902">
        <f>IFERROR(INDEX(Cluster_Master!$G$4:$G$18,MATCH($F902,Cluster_Master!$B$4:$B$18,0)),"")</f>
        <v/>
      </c>
      <c r="M902">
        <f>IFERROR(INDEX(Cluster_Master!$H$4:$H$18,MATCH($F902,Cluster_Master!$B$4:$B$18,0)),"")</f>
        <v/>
      </c>
      <c r="AI902">
        <f>IF(COUNTA(T902:AH902)=0,"",SUM(T902:AH902))</f>
        <v/>
      </c>
      <c r="AJ902">
        <f>IF(COUNTA(T902:AH902)=0,"",AI902/(COUNT(KPI_Weights!$A$4:$A$18)*5))</f>
        <v/>
      </c>
      <c r="AK902">
        <f>IF(COUNTA(T902:AH902)=0,"",SUMPRODUCT(T902:AH902,KPI_Weights!$B$4:$B$18)/5)</f>
        <v/>
      </c>
      <c r="AL902">
        <f>IF(COUNTA(T902:AH902)=0,"",IF(SUMPRODUCT(--(T902:AH902&lt;=1),--(KPI_Weights!$C$4:$C$18="YES"))&gt;0,"YES","NO"))</f>
        <v/>
      </c>
      <c r="AM902">
        <f>IF(AJ902="","",IF(AND(AL902="NO",AJ902&gt;=0.75),"YES","NO"))</f>
        <v/>
      </c>
      <c r="AN902">
        <f>IF(AJ902="","",IF(AJ902&lt;0.4,"Critical",IF(AJ902&lt;0.6,"Poor",IF(AJ902&lt;0.75,"Needs Improvement",IF(AJ902&lt;0.9,"Good","Excellent")))))</f>
        <v/>
      </c>
    </row>
    <row r="903" ht="15" customHeight="1" s="45">
      <c r="A903">
        <f>IF($B903="","",TEXT($B903,"yyyymmdd")&amp;"-"&amp;SUBSTITUTE($F903," ","")&amp;"-"&amp;TEXT(COUNTIF($F$4:F903,$F903),"00"))</f>
        <v/>
      </c>
      <c r="C903">
        <f>IF($B903="","",WEEKNUM($B903,2))</f>
        <v/>
      </c>
      <c r="D903">
        <f>IF($B903="","",TEXT($B903,"yyyy-mm"))</f>
        <v/>
      </c>
      <c r="G903">
        <f>IF(OR($E903="",$F903=""),"",IFERROR(IF($E903=INDEX(Cluster_Master!$A$4:$A$18,MATCH($F903,Cluster_Master!$B$4:$B$18,0)),"OK","CHECK"),"CHECK"))</f>
        <v/>
      </c>
      <c r="H903">
        <f>IFERROR(INDEX(Cluster_Master!$C$4:$C$18,MATCH($F903,Cluster_Master!$B$4:$B$18,0)),"")</f>
        <v/>
      </c>
      <c r="I903">
        <f>IFERROR(INDEX(Cluster_Master!$D$4:$D$18,MATCH($F903,Cluster_Master!$B$4:$B$18,0)),"")</f>
        <v/>
      </c>
      <c r="J903">
        <f>IFERROR(INDEX(Cluster_Master!$E$4:$E$18,MATCH($F903,Cluster_Master!$B$4:$B$18,0)),"")</f>
        <v/>
      </c>
      <c r="K903">
        <f>IFERROR(INDEX(Cluster_Master!$F$4:$F$18,MATCH($F903,Cluster_Master!$B$4:$B$18,0)),"")</f>
        <v/>
      </c>
      <c r="L903">
        <f>IFERROR(INDEX(Cluster_Master!$G$4:$G$18,MATCH($F903,Cluster_Master!$B$4:$B$18,0)),"")</f>
        <v/>
      </c>
      <c r="M903">
        <f>IFERROR(INDEX(Cluster_Master!$H$4:$H$18,MATCH($F903,Cluster_Master!$B$4:$B$18,0)),"")</f>
        <v/>
      </c>
      <c r="AI903">
        <f>IF(COUNTA(T903:AH903)=0,"",SUM(T903:AH903))</f>
        <v/>
      </c>
      <c r="AJ903">
        <f>IF(COUNTA(T903:AH903)=0,"",AI903/(COUNT(KPI_Weights!$A$4:$A$18)*5))</f>
        <v/>
      </c>
      <c r="AK903">
        <f>IF(COUNTA(T903:AH903)=0,"",SUMPRODUCT(T903:AH903,KPI_Weights!$B$4:$B$18)/5)</f>
        <v/>
      </c>
      <c r="AL903">
        <f>IF(COUNTA(T903:AH903)=0,"",IF(SUMPRODUCT(--(T903:AH903&lt;=1),--(KPI_Weights!$C$4:$C$18="YES"))&gt;0,"YES","NO"))</f>
        <v/>
      </c>
      <c r="AM903">
        <f>IF(AJ903="","",IF(AND(AL903="NO",AJ903&gt;=0.75),"YES","NO"))</f>
        <v/>
      </c>
      <c r="AN903">
        <f>IF(AJ903="","",IF(AJ903&lt;0.4,"Critical",IF(AJ903&lt;0.6,"Poor",IF(AJ903&lt;0.75,"Needs Improvement",IF(AJ903&lt;0.9,"Good","Excellent")))))</f>
        <v/>
      </c>
    </row>
    <row r="904" ht="15" customHeight="1" s="45">
      <c r="A904">
        <f>IF($B904="","",TEXT($B904,"yyyymmdd")&amp;"-"&amp;SUBSTITUTE($F904," ","")&amp;"-"&amp;TEXT(COUNTIF($F$4:F904,$F904),"00"))</f>
        <v/>
      </c>
      <c r="C904">
        <f>IF($B904="","",WEEKNUM($B904,2))</f>
        <v/>
      </c>
      <c r="D904">
        <f>IF($B904="","",TEXT($B904,"yyyy-mm"))</f>
        <v/>
      </c>
      <c r="G904">
        <f>IF(OR($E904="",$F904=""),"",IFERROR(IF($E904=INDEX(Cluster_Master!$A$4:$A$18,MATCH($F904,Cluster_Master!$B$4:$B$18,0)),"OK","CHECK"),"CHECK"))</f>
        <v/>
      </c>
      <c r="H904">
        <f>IFERROR(INDEX(Cluster_Master!$C$4:$C$18,MATCH($F904,Cluster_Master!$B$4:$B$18,0)),"")</f>
        <v/>
      </c>
      <c r="I904">
        <f>IFERROR(INDEX(Cluster_Master!$D$4:$D$18,MATCH($F904,Cluster_Master!$B$4:$B$18,0)),"")</f>
        <v/>
      </c>
      <c r="J904">
        <f>IFERROR(INDEX(Cluster_Master!$E$4:$E$18,MATCH($F904,Cluster_Master!$B$4:$B$18,0)),"")</f>
        <v/>
      </c>
      <c r="K904">
        <f>IFERROR(INDEX(Cluster_Master!$F$4:$F$18,MATCH($F904,Cluster_Master!$B$4:$B$18,0)),"")</f>
        <v/>
      </c>
      <c r="L904">
        <f>IFERROR(INDEX(Cluster_Master!$G$4:$G$18,MATCH($F904,Cluster_Master!$B$4:$B$18,0)),"")</f>
        <v/>
      </c>
      <c r="M904">
        <f>IFERROR(INDEX(Cluster_Master!$H$4:$H$18,MATCH($F904,Cluster_Master!$B$4:$B$18,0)),"")</f>
        <v/>
      </c>
      <c r="AI904">
        <f>IF(COUNTA(T904:AH904)=0,"",SUM(T904:AH904))</f>
        <v/>
      </c>
      <c r="AJ904">
        <f>IF(COUNTA(T904:AH904)=0,"",AI904/(COUNT(KPI_Weights!$A$4:$A$18)*5))</f>
        <v/>
      </c>
      <c r="AK904">
        <f>IF(COUNTA(T904:AH904)=0,"",SUMPRODUCT(T904:AH904,KPI_Weights!$B$4:$B$18)/5)</f>
        <v/>
      </c>
      <c r="AL904">
        <f>IF(COUNTA(T904:AH904)=0,"",IF(SUMPRODUCT(--(T904:AH904&lt;=1),--(KPI_Weights!$C$4:$C$18="YES"))&gt;0,"YES","NO"))</f>
        <v/>
      </c>
      <c r="AM904">
        <f>IF(AJ904="","",IF(AND(AL904="NO",AJ904&gt;=0.75),"YES","NO"))</f>
        <v/>
      </c>
      <c r="AN904">
        <f>IF(AJ904="","",IF(AJ904&lt;0.4,"Critical",IF(AJ904&lt;0.6,"Poor",IF(AJ904&lt;0.75,"Needs Improvement",IF(AJ904&lt;0.9,"Good","Excellent")))))</f>
        <v/>
      </c>
    </row>
    <row r="905" ht="15" customHeight="1" s="45">
      <c r="A905">
        <f>IF($B905="","",TEXT($B905,"yyyymmdd")&amp;"-"&amp;SUBSTITUTE($F905," ","")&amp;"-"&amp;TEXT(COUNTIF($F$4:F905,$F905),"00"))</f>
        <v/>
      </c>
      <c r="C905">
        <f>IF($B905="","",WEEKNUM($B905,2))</f>
        <v/>
      </c>
      <c r="D905">
        <f>IF($B905="","",TEXT($B905,"yyyy-mm"))</f>
        <v/>
      </c>
      <c r="G905">
        <f>IF(OR($E905="",$F905=""),"",IFERROR(IF($E905=INDEX(Cluster_Master!$A$4:$A$18,MATCH($F905,Cluster_Master!$B$4:$B$18,0)),"OK","CHECK"),"CHECK"))</f>
        <v/>
      </c>
      <c r="H905">
        <f>IFERROR(INDEX(Cluster_Master!$C$4:$C$18,MATCH($F905,Cluster_Master!$B$4:$B$18,0)),"")</f>
        <v/>
      </c>
      <c r="I905">
        <f>IFERROR(INDEX(Cluster_Master!$D$4:$D$18,MATCH($F905,Cluster_Master!$B$4:$B$18,0)),"")</f>
        <v/>
      </c>
      <c r="J905">
        <f>IFERROR(INDEX(Cluster_Master!$E$4:$E$18,MATCH($F905,Cluster_Master!$B$4:$B$18,0)),"")</f>
        <v/>
      </c>
      <c r="K905">
        <f>IFERROR(INDEX(Cluster_Master!$F$4:$F$18,MATCH($F905,Cluster_Master!$B$4:$B$18,0)),"")</f>
        <v/>
      </c>
      <c r="L905">
        <f>IFERROR(INDEX(Cluster_Master!$G$4:$G$18,MATCH($F905,Cluster_Master!$B$4:$B$18,0)),"")</f>
        <v/>
      </c>
      <c r="M905">
        <f>IFERROR(INDEX(Cluster_Master!$H$4:$H$18,MATCH($F905,Cluster_Master!$B$4:$B$18,0)),"")</f>
        <v/>
      </c>
      <c r="AI905">
        <f>IF(COUNTA(T905:AH905)=0,"",SUM(T905:AH905))</f>
        <v/>
      </c>
      <c r="AJ905">
        <f>IF(COUNTA(T905:AH905)=0,"",AI905/(COUNT(KPI_Weights!$A$4:$A$18)*5))</f>
        <v/>
      </c>
      <c r="AK905">
        <f>IF(COUNTA(T905:AH905)=0,"",SUMPRODUCT(T905:AH905,KPI_Weights!$B$4:$B$18)/5)</f>
        <v/>
      </c>
      <c r="AL905">
        <f>IF(COUNTA(T905:AH905)=0,"",IF(SUMPRODUCT(--(T905:AH905&lt;=1),--(KPI_Weights!$C$4:$C$18="YES"))&gt;0,"YES","NO"))</f>
        <v/>
      </c>
      <c r="AM905">
        <f>IF(AJ905="","",IF(AND(AL905="NO",AJ905&gt;=0.75),"YES","NO"))</f>
        <v/>
      </c>
      <c r="AN905">
        <f>IF(AJ905="","",IF(AJ905&lt;0.4,"Critical",IF(AJ905&lt;0.6,"Poor",IF(AJ905&lt;0.75,"Needs Improvement",IF(AJ905&lt;0.9,"Good","Excellent")))))</f>
        <v/>
      </c>
    </row>
    <row r="906" ht="15" customHeight="1" s="45">
      <c r="A906">
        <f>IF($B906="","",TEXT($B906,"yyyymmdd")&amp;"-"&amp;SUBSTITUTE($F906," ","")&amp;"-"&amp;TEXT(COUNTIF($F$4:F906,$F906),"00"))</f>
        <v/>
      </c>
      <c r="C906">
        <f>IF($B906="","",WEEKNUM($B906,2))</f>
        <v/>
      </c>
      <c r="D906">
        <f>IF($B906="","",TEXT($B906,"yyyy-mm"))</f>
        <v/>
      </c>
      <c r="G906">
        <f>IF(OR($E906="",$F906=""),"",IFERROR(IF($E906=INDEX(Cluster_Master!$A$4:$A$18,MATCH($F906,Cluster_Master!$B$4:$B$18,0)),"OK","CHECK"),"CHECK"))</f>
        <v/>
      </c>
      <c r="H906">
        <f>IFERROR(INDEX(Cluster_Master!$C$4:$C$18,MATCH($F906,Cluster_Master!$B$4:$B$18,0)),"")</f>
        <v/>
      </c>
      <c r="I906">
        <f>IFERROR(INDEX(Cluster_Master!$D$4:$D$18,MATCH($F906,Cluster_Master!$B$4:$B$18,0)),"")</f>
        <v/>
      </c>
      <c r="J906">
        <f>IFERROR(INDEX(Cluster_Master!$E$4:$E$18,MATCH($F906,Cluster_Master!$B$4:$B$18,0)),"")</f>
        <v/>
      </c>
      <c r="K906">
        <f>IFERROR(INDEX(Cluster_Master!$F$4:$F$18,MATCH($F906,Cluster_Master!$B$4:$B$18,0)),"")</f>
        <v/>
      </c>
      <c r="L906">
        <f>IFERROR(INDEX(Cluster_Master!$G$4:$G$18,MATCH($F906,Cluster_Master!$B$4:$B$18,0)),"")</f>
        <v/>
      </c>
      <c r="M906">
        <f>IFERROR(INDEX(Cluster_Master!$H$4:$H$18,MATCH($F906,Cluster_Master!$B$4:$B$18,0)),"")</f>
        <v/>
      </c>
      <c r="AI906">
        <f>IF(COUNTA(T906:AH906)=0,"",SUM(T906:AH906))</f>
        <v/>
      </c>
      <c r="AJ906">
        <f>IF(COUNTA(T906:AH906)=0,"",AI906/(COUNT(KPI_Weights!$A$4:$A$18)*5))</f>
        <v/>
      </c>
      <c r="AK906">
        <f>IF(COUNTA(T906:AH906)=0,"",SUMPRODUCT(T906:AH906,KPI_Weights!$B$4:$B$18)/5)</f>
        <v/>
      </c>
      <c r="AL906">
        <f>IF(COUNTA(T906:AH906)=0,"",IF(SUMPRODUCT(--(T906:AH906&lt;=1),--(KPI_Weights!$C$4:$C$18="YES"))&gt;0,"YES","NO"))</f>
        <v/>
      </c>
      <c r="AM906">
        <f>IF(AJ906="","",IF(AND(AL906="NO",AJ906&gt;=0.75),"YES","NO"))</f>
        <v/>
      </c>
      <c r="AN906">
        <f>IF(AJ906="","",IF(AJ906&lt;0.4,"Critical",IF(AJ906&lt;0.6,"Poor",IF(AJ906&lt;0.75,"Needs Improvement",IF(AJ906&lt;0.9,"Good","Excellent")))))</f>
        <v/>
      </c>
    </row>
    <row r="907" ht="15" customHeight="1" s="45">
      <c r="A907">
        <f>IF($B907="","",TEXT($B907,"yyyymmdd")&amp;"-"&amp;SUBSTITUTE($F907," ","")&amp;"-"&amp;TEXT(COUNTIF($F$4:F907,$F907),"00"))</f>
        <v/>
      </c>
      <c r="C907">
        <f>IF($B907="","",WEEKNUM($B907,2))</f>
        <v/>
      </c>
      <c r="D907">
        <f>IF($B907="","",TEXT($B907,"yyyy-mm"))</f>
        <v/>
      </c>
      <c r="G907">
        <f>IF(OR($E907="",$F907=""),"",IFERROR(IF($E907=INDEX(Cluster_Master!$A$4:$A$18,MATCH($F907,Cluster_Master!$B$4:$B$18,0)),"OK","CHECK"),"CHECK"))</f>
        <v/>
      </c>
      <c r="H907">
        <f>IFERROR(INDEX(Cluster_Master!$C$4:$C$18,MATCH($F907,Cluster_Master!$B$4:$B$18,0)),"")</f>
        <v/>
      </c>
      <c r="I907">
        <f>IFERROR(INDEX(Cluster_Master!$D$4:$D$18,MATCH($F907,Cluster_Master!$B$4:$B$18,0)),"")</f>
        <v/>
      </c>
      <c r="J907">
        <f>IFERROR(INDEX(Cluster_Master!$E$4:$E$18,MATCH($F907,Cluster_Master!$B$4:$B$18,0)),"")</f>
        <v/>
      </c>
      <c r="K907">
        <f>IFERROR(INDEX(Cluster_Master!$F$4:$F$18,MATCH($F907,Cluster_Master!$B$4:$B$18,0)),"")</f>
        <v/>
      </c>
      <c r="L907">
        <f>IFERROR(INDEX(Cluster_Master!$G$4:$G$18,MATCH($F907,Cluster_Master!$B$4:$B$18,0)),"")</f>
        <v/>
      </c>
      <c r="M907">
        <f>IFERROR(INDEX(Cluster_Master!$H$4:$H$18,MATCH($F907,Cluster_Master!$B$4:$B$18,0)),"")</f>
        <v/>
      </c>
      <c r="AI907">
        <f>IF(COUNTA(T907:AH907)=0,"",SUM(T907:AH907))</f>
        <v/>
      </c>
      <c r="AJ907">
        <f>IF(COUNTA(T907:AH907)=0,"",AI907/(COUNT(KPI_Weights!$A$4:$A$18)*5))</f>
        <v/>
      </c>
      <c r="AK907">
        <f>IF(COUNTA(T907:AH907)=0,"",SUMPRODUCT(T907:AH907,KPI_Weights!$B$4:$B$18)/5)</f>
        <v/>
      </c>
      <c r="AL907">
        <f>IF(COUNTA(T907:AH907)=0,"",IF(SUMPRODUCT(--(T907:AH907&lt;=1),--(KPI_Weights!$C$4:$C$18="YES"))&gt;0,"YES","NO"))</f>
        <v/>
      </c>
      <c r="AM907">
        <f>IF(AJ907="","",IF(AND(AL907="NO",AJ907&gt;=0.75),"YES","NO"))</f>
        <v/>
      </c>
      <c r="AN907">
        <f>IF(AJ907="","",IF(AJ907&lt;0.4,"Critical",IF(AJ907&lt;0.6,"Poor",IF(AJ907&lt;0.75,"Needs Improvement",IF(AJ907&lt;0.9,"Good","Excellent")))))</f>
        <v/>
      </c>
    </row>
    <row r="908" ht="15" customHeight="1" s="45">
      <c r="A908">
        <f>IF($B908="","",TEXT($B908,"yyyymmdd")&amp;"-"&amp;SUBSTITUTE($F908," ","")&amp;"-"&amp;TEXT(COUNTIF($F$4:F908,$F908),"00"))</f>
        <v/>
      </c>
      <c r="C908">
        <f>IF($B908="","",WEEKNUM($B908,2))</f>
        <v/>
      </c>
      <c r="D908">
        <f>IF($B908="","",TEXT($B908,"yyyy-mm"))</f>
        <v/>
      </c>
      <c r="G908">
        <f>IF(OR($E908="",$F908=""),"",IFERROR(IF($E908=INDEX(Cluster_Master!$A$4:$A$18,MATCH($F908,Cluster_Master!$B$4:$B$18,0)),"OK","CHECK"),"CHECK"))</f>
        <v/>
      </c>
      <c r="H908">
        <f>IFERROR(INDEX(Cluster_Master!$C$4:$C$18,MATCH($F908,Cluster_Master!$B$4:$B$18,0)),"")</f>
        <v/>
      </c>
      <c r="I908">
        <f>IFERROR(INDEX(Cluster_Master!$D$4:$D$18,MATCH($F908,Cluster_Master!$B$4:$B$18,0)),"")</f>
        <v/>
      </c>
      <c r="J908">
        <f>IFERROR(INDEX(Cluster_Master!$E$4:$E$18,MATCH($F908,Cluster_Master!$B$4:$B$18,0)),"")</f>
        <v/>
      </c>
      <c r="K908">
        <f>IFERROR(INDEX(Cluster_Master!$F$4:$F$18,MATCH($F908,Cluster_Master!$B$4:$B$18,0)),"")</f>
        <v/>
      </c>
      <c r="L908">
        <f>IFERROR(INDEX(Cluster_Master!$G$4:$G$18,MATCH($F908,Cluster_Master!$B$4:$B$18,0)),"")</f>
        <v/>
      </c>
      <c r="M908">
        <f>IFERROR(INDEX(Cluster_Master!$H$4:$H$18,MATCH($F908,Cluster_Master!$B$4:$B$18,0)),"")</f>
        <v/>
      </c>
      <c r="AI908">
        <f>IF(COUNTA(T908:AH908)=0,"",SUM(T908:AH908))</f>
        <v/>
      </c>
      <c r="AJ908">
        <f>IF(COUNTA(T908:AH908)=0,"",AI908/(COUNT(KPI_Weights!$A$4:$A$18)*5))</f>
        <v/>
      </c>
      <c r="AK908">
        <f>IF(COUNTA(T908:AH908)=0,"",SUMPRODUCT(T908:AH908,KPI_Weights!$B$4:$B$18)/5)</f>
        <v/>
      </c>
      <c r="AL908">
        <f>IF(COUNTA(T908:AH908)=0,"",IF(SUMPRODUCT(--(T908:AH908&lt;=1),--(KPI_Weights!$C$4:$C$18="YES"))&gt;0,"YES","NO"))</f>
        <v/>
      </c>
      <c r="AM908">
        <f>IF(AJ908="","",IF(AND(AL908="NO",AJ908&gt;=0.75),"YES","NO"))</f>
        <v/>
      </c>
      <c r="AN908">
        <f>IF(AJ908="","",IF(AJ908&lt;0.4,"Critical",IF(AJ908&lt;0.6,"Poor",IF(AJ908&lt;0.75,"Needs Improvement",IF(AJ908&lt;0.9,"Good","Excellent")))))</f>
        <v/>
      </c>
    </row>
    <row r="909" ht="15" customHeight="1" s="45">
      <c r="A909">
        <f>IF($B909="","",TEXT($B909,"yyyymmdd")&amp;"-"&amp;SUBSTITUTE($F909," ","")&amp;"-"&amp;TEXT(COUNTIF($F$4:F909,$F909),"00"))</f>
        <v/>
      </c>
      <c r="C909">
        <f>IF($B909="","",WEEKNUM($B909,2))</f>
        <v/>
      </c>
      <c r="D909">
        <f>IF($B909="","",TEXT($B909,"yyyy-mm"))</f>
        <v/>
      </c>
      <c r="G909">
        <f>IF(OR($E909="",$F909=""),"",IFERROR(IF($E909=INDEX(Cluster_Master!$A$4:$A$18,MATCH($F909,Cluster_Master!$B$4:$B$18,0)),"OK","CHECK"),"CHECK"))</f>
        <v/>
      </c>
      <c r="H909">
        <f>IFERROR(INDEX(Cluster_Master!$C$4:$C$18,MATCH($F909,Cluster_Master!$B$4:$B$18,0)),"")</f>
        <v/>
      </c>
      <c r="I909">
        <f>IFERROR(INDEX(Cluster_Master!$D$4:$D$18,MATCH($F909,Cluster_Master!$B$4:$B$18,0)),"")</f>
        <v/>
      </c>
      <c r="J909">
        <f>IFERROR(INDEX(Cluster_Master!$E$4:$E$18,MATCH($F909,Cluster_Master!$B$4:$B$18,0)),"")</f>
        <v/>
      </c>
      <c r="K909">
        <f>IFERROR(INDEX(Cluster_Master!$F$4:$F$18,MATCH($F909,Cluster_Master!$B$4:$B$18,0)),"")</f>
        <v/>
      </c>
      <c r="L909">
        <f>IFERROR(INDEX(Cluster_Master!$G$4:$G$18,MATCH($F909,Cluster_Master!$B$4:$B$18,0)),"")</f>
        <v/>
      </c>
      <c r="M909">
        <f>IFERROR(INDEX(Cluster_Master!$H$4:$H$18,MATCH($F909,Cluster_Master!$B$4:$B$18,0)),"")</f>
        <v/>
      </c>
      <c r="AI909">
        <f>IF(COUNTA(T909:AH909)=0,"",SUM(T909:AH909))</f>
        <v/>
      </c>
      <c r="AJ909">
        <f>IF(COUNTA(T909:AH909)=0,"",AI909/(COUNT(KPI_Weights!$A$4:$A$18)*5))</f>
        <v/>
      </c>
      <c r="AK909">
        <f>IF(COUNTA(T909:AH909)=0,"",SUMPRODUCT(T909:AH909,KPI_Weights!$B$4:$B$18)/5)</f>
        <v/>
      </c>
      <c r="AL909">
        <f>IF(COUNTA(T909:AH909)=0,"",IF(SUMPRODUCT(--(T909:AH909&lt;=1),--(KPI_Weights!$C$4:$C$18="YES"))&gt;0,"YES","NO"))</f>
        <v/>
      </c>
      <c r="AM909">
        <f>IF(AJ909="","",IF(AND(AL909="NO",AJ909&gt;=0.75),"YES","NO"))</f>
        <v/>
      </c>
      <c r="AN909">
        <f>IF(AJ909="","",IF(AJ909&lt;0.4,"Critical",IF(AJ909&lt;0.6,"Poor",IF(AJ909&lt;0.75,"Needs Improvement",IF(AJ909&lt;0.9,"Good","Excellent")))))</f>
        <v/>
      </c>
    </row>
    <row r="910" ht="15" customHeight="1" s="45">
      <c r="A910">
        <f>IF($B910="","",TEXT($B910,"yyyymmdd")&amp;"-"&amp;SUBSTITUTE($F910," ","")&amp;"-"&amp;TEXT(COUNTIF($F$4:F910,$F910),"00"))</f>
        <v/>
      </c>
      <c r="C910">
        <f>IF($B910="","",WEEKNUM($B910,2))</f>
        <v/>
      </c>
      <c r="D910">
        <f>IF($B910="","",TEXT($B910,"yyyy-mm"))</f>
        <v/>
      </c>
      <c r="G910">
        <f>IF(OR($E910="",$F910=""),"",IFERROR(IF($E910=INDEX(Cluster_Master!$A$4:$A$18,MATCH($F910,Cluster_Master!$B$4:$B$18,0)),"OK","CHECK"),"CHECK"))</f>
        <v/>
      </c>
      <c r="H910">
        <f>IFERROR(INDEX(Cluster_Master!$C$4:$C$18,MATCH($F910,Cluster_Master!$B$4:$B$18,0)),"")</f>
        <v/>
      </c>
      <c r="I910">
        <f>IFERROR(INDEX(Cluster_Master!$D$4:$D$18,MATCH($F910,Cluster_Master!$B$4:$B$18,0)),"")</f>
        <v/>
      </c>
      <c r="J910">
        <f>IFERROR(INDEX(Cluster_Master!$E$4:$E$18,MATCH($F910,Cluster_Master!$B$4:$B$18,0)),"")</f>
        <v/>
      </c>
      <c r="K910">
        <f>IFERROR(INDEX(Cluster_Master!$F$4:$F$18,MATCH($F910,Cluster_Master!$B$4:$B$18,0)),"")</f>
        <v/>
      </c>
      <c r="L910">
        <f>IFERROR(INDEX(Cluster_Master!$G$4:$G$18,MATCH($F910,Cluster_Master!$B$4:$B$18,0)),"")</f>
        <v/>
      </c>
      <c r="M910">
        <f>IFERROR(INDEX(Cluster_Master!$H$4:$H$18,MATCH($F910,Cluster_Master!$B$4:$B$18,0)),"")</f>
        <v/>
      </c>
      <c r="AI910">
        <f>IF(COUNTA(T910:AH910)=0,"",SUM(T910:AH910))</f>
        <v/>
      </c>
      <c r="AJ910">
        <f>IF(COUNTA(T910:AH910)=0,"",AI910/(COUNT(KPI_Weights!$A$4:$A$18)*5))</f>
        <v/>
      </c>
      <c r="AK910">
        <f>IF(COUNTA(T910:AH910)=0,"",SUMPRODUCT(T910:AH910,KPI_Weights!$B$4:$B$18)/5)</f>
        <v/>
      </c>
      <c r="AL910">
        <f>IF(COUNTA(T910:AH910)=0,"",IF(SUMPRODUCT(--(T910:AH910&lt;=1),--(KPI_Weights!$C$4:$C$18="YES"))&gt;0,"YES","NO"))</f>
        <v/>
      </c>
      <c r="AM910">
        <f>IF(AJ910="","",IF(AND(AL910="NO",AJ910&gt;=0.75),"YES","NO"))</f>
        <v/>
      </c>
      <c r="AN910">
        <f>IF(AJ910="","",IF(AJ910&lt;0.4,"Critical",IF(AJ910&lt;0.6,"Poor",IF(AJ910&lt;0.75,"Needs Improvement",IF(AJ910&lt;0.9,"Good","Excellent")))))</f>
        <v/>
      </c>
    </row>
    <row r="911" ht="15" customHeight="1" s="45">
      <c r="A911">
        <f>IF($B911="","",TEXT($B911,"yyyymmdd")&amp;"-"&amp;SUBSTITUTE($F911," ","")&amp;"-"&amp;TEXT(COUNTIF($F$4:F911,$F911),"00"))</f>
        <v/>
      </c>
      <c r="C911">
        <f>IF($B911="","",WEEKNUM($B911,2))</f>
        <v/>
      </c>
      <c r="D911">
        <f>IF($B911="","",TEXT($B911,"yyyy-mm"))</f>
        <v/>
      </c>
      <c r="G911">
        <f>IF(OR($E911="",$F911=""),"",IFERROR(IF($E911=INDEX(Cluster_Master!$A$4:$A$18,MATCH($F911,Cluster_Master!$B$4:$B$18,0)),"OK","CHECK"),"CHECK"))</f>
        <v/>
      </c>
      <c r="H911">
        <f>IFERROR(INDEX(Cluster_Master!$C$4:$C$18,MATCH($F911,Cluster_Master!$B$4:$B$18,0)),"")</f>
        <v/>
      </c>
      <c r="I911">
        <f>IFERROR(INDEX(Cluster_Master!$D$4:$D$18,MATCH($F911,Cluster_Master!$B$4:$B$18,0)),"")</f>
        <v/>
      </c>
      <c r="J911">
        <f>IFERROR(INDEX(Cluster_Master!$E$4:$E$18,MATCH($F911,Cluster_Master!$B$4:$B$18,0)),"")</f>
        <v/>
      </c>
      <c r="K911">
        <f>IFERROR(INDEX(Cluster_Master!$F$4:$F$18,MATCH($F911,Cluster_Master!$B$4:$B$18,0)),"")</f>
        <v/>
      </c>
      <c r="L911">
        <f>IFERROR(INDEX(Cluster_Master!$G$4:$G$18,MATCH($F911,Cluster_Master!$B$4:$B$18,0)),"")</f>
        <v/>
      </c>
      <c r="M911">
        <f>IFERROR(INDEX(Cluster_Master!$H$4:$H$18,MATCH($F911,Cluster_Master!$B$4:$B$18,0)),"")</f>
        <v/>
      </c>
      <c r="AI911">
        <f>IF(COUNTA(T911:AH911)=0,"",SUM(T911:AH911))</f>
        <v/>
      </c>
      <c r="AJ911">
        <f>IF(COUNTA(T911:AH911)=0,"",AI911/(COUNT(KPI_Weights!$A$4:$A$18)*5))</f>
        <v/>
      </c>
      <c r="AK911">
        <f>IF(COUNTA(T911:AH911)=0,"",SUMPRODUCT(T911:AH911,KPI_Weights!$B$4:$B$18)/5)</f>
        <v/>
      </c>
      <c r="AL911">
        <f>IF(COUNTA(T911:AH911)=0,"",IF(SUMPRODUCT(--(T911:AH911&lt;=1),--(KPI_Weights!$C$4:$C$18="YES"))&gt;0,"YES","NO"))</f>
        <v/>
      </c>
      <c r="AM911">
        <f>IF(AJ911="","",IF(AND(AL911="NO",AJ911&gt;=0.75),"YES","NO"))</f>
        <v/>
      </c>
      <c r="AN911">
        <f>IF(AJ911="","",IF(AJ911&lt;0.4,"Critical",IF(AJ911&lt;0.6,"Poor",IF(AJ911&lt;0.75,"Needs Improvement",IF(AJ911&lt;0.9,"Good","Excellent")))))</f>
        <v/>
      </c>
    </row>
    <row r="912" ht="15" customHeight="1" s="45">
      <c r="A912">
        <f>IF($B912="","",TEXT($B912,"yyyymmdd")&amp;"-"&amp;SUBSTITUTE($F912," ","")&amp;"-"&amp;TEXT(COUNTIF($F$4:F912,$F912),"00"))</f>
        <v/>
      </c>
      <c r="C912">
        <f>IF($B912="","",WEEKNUM($B912,2))</f>
        <v/>
      </c>
      <c r="D912">
        <f>IF($B912="","",TEXT($B912,"yyyy-mm"))</f>
        <v/>
      </c>
      <c r="G912">
        <f>IF(OR($E912="",$F912=""),"",IFERROR(IF($E912=INDEX(Cluster_Master!$A$4:$A$18,MATCH($F912,Cluster_Master!$B$4:$B$18,0)),"OK","CHECK"),"CHECK"))</f>
        <v/>
      </c>
      <c r="H912">
        <f>IFERROR(INDEX(Cluster_Master!$C$4:$C$18,MATCH($F912,Cluster_Master!$B$4:$B$18,0)),"")</f>
        <v/>
      </c>
      <c r="I912">
        <f>IFERROR(INDEX(Cluster_Master!$D$4:$D$18,MATCH($F912,Cluster_Master!$B$4:$B$18,0)),"")</f>
        <v/>
      </c>
      <c r="J912">
        <f>IFERROR(INDEX(Cluster_Master!$E$4:$E$18,MATCH($F912,Cluster_Master!$B$4:$B$18,0)),"")</f>
        <v/>
      </c>
      <c r="K912">
        <f>IFERROR(INDEX(Cluster_Master!$F$4:$F$18,MATCH($F912,Cluster_Master!$B$4:$B$18,0)),"")</f>
        <v/>
      </c>
      <c r="L912">
        <f>IFERROR(INDEX(Cluster_Master!$G$4:$G$18,MATCH($F912,Cluster_Master!$B$4:$B$18,0)),"")</f>
        <v/>
      </c>
      <c r="M912">
        <f>IFERROR(INDEX(Cluster_Master!$H$4:$H$18,MATCH($F912,Cluster_Master!$B$4:$B$18,0)),"")</f>
        <v/>
      </c>
      <c r="AI912">
        <f>IF(COUNTA(T912:AH912)=0,"",SUM(T912:AH912))</f>
        <v/>
      </c>
      <c r="AJ912">
        <f>IF(COUNTA(T912:AH912)=0,"",AI912/(COUNT(KPI_Weights!$A$4:$A$18)*5))</f>
        <v/>
      </c>
      <c r="AK912">
        <f>IF(COUNTA(T912:AH912)=0,"",SUMPRODUCT(T912:AH912,KPI_Weights!$B$4:$B$18)/5)</f>
        <v/>
      </c>
      <c r="AL912">
        <f>IF(COUNTA(T912:AH912)=0,"",IF(SUMPRODUCT(--(T912:AH912&lt;=1),--(KPI_Weights!$C$4:$C$18="YES"))&gt;0,"YES","NO"))</f>
        <v/>
      </c>
      <c r="AM912">
        <f>IF(AJ912="","",IF(AND(AL912="NO",AJ912&gt;=0.75),"YES","NO"))</f>
        <v/>
      </c>
      <c r="AN912">
        <f>IF(AJ912="","",IF(AJ912&lt;0.4,"Critical",IF(AJ912&lt;0.6,"Poor",IF(AJ912&lt;0.75,"Needs Improvement",IF(AJ912&lt;0.9,"Good","Excellent")))))</f>
        <v/>
      </c>
    </row>
    <row r="913" ht="15" customHeight="1" s="45">
      <c r="A913">
        <f>IF($B913="","",TEXT($B913,"yyyymmdd")&amp;"-"&amp;SUBSTITUTE($F913," ","")&amp;"-"&amp;TEXT(COUNTIF($F$4:F913,$F913),"00"))</f>
        <v/>
      </c>
      <c r="C913">
        <f>IF($B913="","",WEEKNUM($B913,2))</f>
        <v/>
      </c>
      <c r="D913">
        <f>IF($B913="","",TEXT($B913,"yyyy-mm"))</f>
        <v/>
      </c>
      <c r="G913">
        <f>IF(OR($E913="",$F913=""),"",IFERROR(IF($E913=INDEX(Cluster_Master!$A$4:$A$18,MATCH($F913,Cluster_Master!$B$4:$B$18,0)),"OK","CHECK"),"CHECK"))</f>
        <v/>
      </c>
      <c r="H913">
        <f>IFERROR(INDEX(Cluster_Master!$C$4:$C$18,MATCH($F913,Cluster_Master!$B$4:$B$18,0)),"")</f>
        <v/>
      </c>
      <c r="I913">
        <f>IFERROR(INDEX(Cluster_Master!$D$4:$D$18,MATCH($F913,Cluster_Master!$B$4:$B$18,0)),"")</f>
        <v/>
      </c>
      <c r="J913">
        <f>IFERROR(INDEX(Cluster_Master!$E$4:$E$18,MATCH($F913,Cluster_Master!$B$4:$B$18,0)),"")</f>
        <v/>
      </c>
      <c r="K913">
        <f>IFERROR(INDEX(Cluster_Master!$F$4:$F$18,MATCH($F913,Cluster_Master!$B$4:$B$18,0)),"")</f>
        <v/>
      </c>
      <c r="L913">
        <f>IFERROR(INDEX(Cluster_Master!$G$4:$G$18,MATCH($F913,Cluster_Master!$B$4:$B$18,0)),"")</f>
        <v/>
      </c>
      <c r="M913">
        <f>IFERROR(INDEX(Cluster_Master!$H$4:$H$18,MATCH($F913,Cluster_Master!$B$4:$B$18,0)),"")</f>
        <v/>
      </c>
      <c r="AI913">
        <f>IF(COUNTA(T913:AH913)=0,"",SUM(T913:AH913))</f>
        <v/>
      </c>
      <c r="AJ913">
        <f>IF(COUNTA(T913:AH913)=0,"",AI913/(COUNT(KPI_Weights!$A$4:$A$18)*5))</f>
        <v/>
      </c>
      <c r="AK913">
        <f>IF(COUNTA(T913:AH913)=0,"",SUMPRODUCT(T913:AH913,KPI_Weights!$B$4:$B$18)/5)</f>
        <v/>
      </c>
      <c r="AL913">
        <f>IF(COUNTA(T913:AH913)=0,"",IF(SUMPRODUCT(--(T913:AH913&lt;=1),--(KPI_Weights!$C$4:$C$18="YES"))&gt;0,"YES","NO"))</f>
        <v/>
      </c>
      <c r="AM913">
        <f>IF(AJ913="","",IF(AND(AL913="NO",AJ913&gt;=0.75),"YES","NO"))</f>
        <v/>
      </c>
      <c r="AN913">
        <f>IF(AJ913="","",IF(AJ913&lt;0.4,"Critical",IF(AJ913&lt;0.6,"Poor",IF(AJ913&lt;0.75,"Needs Improvement",IF(AJ913&lt;0.9,"Good","Excellent")))))</f>
        <v/>
      </c>
    </row>
    <row r="914" ht="15" customHeight="1" s="45">
      <c r="A914">
        <f>IF($B914="","",TEXT($B914,"yyyymmdd")&amp;"-"&amp;SUBSTITUTE($F914," ","")&amp;"-"&amp;TEXT(COUNTIF($F$4:F914,$F914),"00"))</f>
        <v/>
      </c>
      <c r="C914">
        <f>IF($B914="","",WEEKNUM($B914,2))</f>
        <v/>
      </c>
      <c r="D914">
        <f>IF($B914="","",TEXT($B914,"yyyy-mm"))</f>
        <v/>
      </c>
      <c r="G914">
        <f>IF(OR($E914="",$F914=""),"",IFERROR(IF($E914=INDEX(Cluster_Master!$A$4:$A$18,MATCH($F914,Cluster_Master!$B$4:$B$18,0)),"OK","CHECK"),"CHECK"))</f>
        <v/>
      </c>
      <c r="H914">
        <f>IFERROR(INDEX(Cluster_Master!$C$4:$C$18,MATCH($F914,Cluster_Master!$B$4:$B$18,0)),"")</f>
        <v/>
      </c>
      <c r="I914">
        <f>IFERROR(INDEX(Cluster_Master!$D$4:$D$18,MATCH($F914,Cluster_Master!$B$4:$B$18,0)),"")</f>
        <v/>
      </c>
      <c r="J914">
        <f>IFERROR(INDEX(Cluster_Master!$E$4:$E$18,MATCH($F914,Cluster_Master!$B$4:$B$18,0)),"")</f>
        <v/>
      </c>
      <c r="K914">
        <f>IFERROR(INDEX(Cluster_Master!$F$4:$F$18,MATCH($F914,Cluster_Master!$B$4:$B$18,0)),"")</f>
        <v/>
      </c>
      <c r="L914">
        <f>IFERROR(INDEX(Cluster_Master!$G$4:$G$18,MATCH($F914,Cluster_Master!$B$4:$B$18,0)),"")</f>
        <v/>
      </c>
      <c r="M914">
        <f>IFERROR(INDEX(Cluster_Master!$H$4:$H$18,MATCH($F914,Cluster_Master!$B$4:$B$18,0)),"")</f>
        <v/>
      </c>
      <c r="AI914">
        <f>IF(COUNTA(T914:AH914)=0,"",SUM(T914:AH914))</f>
        <v/>
      </c>
      <c r="AJ914">
        <f>IF(COUNTA(T914:AH914)=0,"",AI914/(COUNT(KPI_Weights!$A$4:$A$18)*5))</f>
        <v/>
      </c>
      <c r="AK914">
        <f>IF(COUNTA(T914:AH914)=0,"",SUMPRODUCT(T914:AH914,KPI_Weights!$B$4:$B$18)/5)</f>
        <v/>
      </c>
      <c r="AL914">
        <f>IF(COUNTA(T914:AH914)=0,"",IF(SUMPRODUCT(--(T914:AH914&lt;=1),--(KPI_Weights!$C$4:$C$18="YES"))&gt;0,"YES","NO"))</f>
        <v/>
      </c>
      <c r="AM914">
        <f>IF(AJ914="","",IF(AND(AL914="NO",AJ914&gt;=0.75),"YES","NO"))</f>
        <v/>
      </c>
      <c r="AN914">
        <f>IF(AJ914="","",IF(AJ914&lt;0.4,"Critical",IF(AJ914&lt;0.6,"Poor",IF(AJ914&lt;0.75,"Needs Improvement",IF(AJ914&lt;0.9,"Good","Excellent")))))</f>
        <v/>
      </c>
    </row>
    <row r="915" ht="15" customHeight="1" s="45">
      <c r="A915">
        <f>IF($B915="","",TEXT($B915,"yyyymmdd")&amp;"-"&amp;SUBSTITUTE($F915," ","")&amp;"-"&amp;TEXT(COUNTIF($F$4:F915,$F915),"00"))</f>
        <v/>
      </c>
      <c r="C915">
        <f>IF($B915="","",WEEKNUM($B915,2))</f>
        <v/>
      </c>
      <c r="D915">
        <f>IF($B915="","",TEXT($B915,"yyyy-mm"))</f>
        <v/>
      </c>
      <c r="G915">
        <f>IF(OR($E915="",$F915=""),"",IFERROR(IF($E915=INDEX(Cluster_Master!$A$4:$A$18,MATCH($F915,Cluster_Master!$B$4:$B$18,0)),"OK","CHECK"),"CHECK"))</f>
        <v/>
      </c>
      <c r="H915">
        <f>IFERROR(INDEX(Cluster_Master!$C$4:$C$18,MATCH($F915,Cluster_Master!$B$4:$B$18,0)),"")</f>
        <v/>
      </c>
      <c r="I915">
        <f>IFERROR(INDEX(Cluster_Master!$D$4:$D$18,MATCH($F915,Cluster_Master!$B$4:$B$18,0)),"")</f>
        <v/>
      </c>
      <c r="J915">
        <f>IFERROR(INDEX(Cluster_Master!$E$4:$E$18,MATCH($F915,Cluster_Master!$B$4:$B$18,0)),"")</f>
        <v/>
      </c>
      <c r="K915">
        <f>IFERROR(INDEX(Cluster_Master!$F$4:$F$18,MATCH($F915,Cluster_Master!$B$4:$B$18,0)),"")</f>
        <v/>
      </c>
      <c r="L915">
        <f>IFERROR(INDEX(Cluster_Master!$G$4:$G$18,MATCH($F915,Cluster_Master!$B$4:$B$18,0)),"")</f>
        <v/>
      </c>
      <c r="M915">
        <f>IFERROR(INDEX(Cluster_Master!$H$4:$H$18,MATCH($F915,Cluster_Master!$B$4:$B$18,0)),"")</f>
        <v/>
      </c>
      <c r="AI915">
        <f>IF(COUNTA(T915:AH915)=0,"",SUM(T915:AH915))</f>
        <v/>
      </c>
      <c r="AJ915">
        <f>IF(COUNTA(T915:AH915)=0,"",AI915/(COUNT(KPI_Weights!$A$4:$A$18)*5))</f>
        <v/>
      </c>
      <c r="AK915">
        <f>IF(COUNTA(T915:AH915)=0,"",SUMPRODUCT(T915:AH915,KPI_Weights!$B$4:$B$18)/5)</f>
        <v/>
      </c>
      <c r="AL915">
        <f>IF(COUNTA(T915:AH915)=0,"",IF(SUMPRODUCT(--(T915:AH915&lt;=1),--(KPI_Weights!$C$4:$C$18="YES"))&gt;0,"YES","NO"))</f>
        <v/>
      </c>
      <c r="AM915">
        <f>IF(AJ915="","",IF(AND(AL915="NO",AJ915&gt;=0.75),"YES","NO"))</f>
        <v/>
      </c>
      <c r="AN915">
        <f>IF(AJ915="","",IF(AJ915&lt;0.4,"Critical",IF(AJ915&lt;0.6,"Poor",IF(AJ915&lt;0.75,"Needs Improvement",IF(AJ915&lt;0.9,"Good","Excellent")))))</f>
        <v/>
      </c>
    </row>
    <row r="916" ht="15" customHeight="1" s="45">
      <c r="A916">
        <f>IF($B916="","",TEXT($B916,"yyyymmdd")&amp;"-"&amp;SUBSTITUTE($F916," ","")&amp;"-"&amp;TEXT(COUNTIF($F$4:F916,$F916),"00"))</f>
        <v/>
      </c>
      <c r="C916">
        <f>IF($B916="","",WEEKNUM($B916,2))</f>
        <v/>
      </c>
      <c r="D916">
        <f>IF($B916="","",TEXT($B916,"yyyy-mm"))</f>
        <v/>
      </c>
      <c r="G916">
        <f>IF(OR($E916="",$F916=""),"",IFERROR(IF($E916=INDEX(Cluster_Master!$A$4:$A$18,MATCH($F916,Cluster_Master!$B$4:$B$18,0)),"OK","CHECK"),"CHECK"))</f>
        <v/>
      </c>
      <c r="H916">
        <f>IFERROR(INDEX(Cluster_Master!$C$4:$C$18,MATCH($F916,Cluster_Master!$B$4:$B$18,0)),"")</f>
        <v/>
      </c>
      <c r="I916">
        <f>IFERROR(INDEX(Cluster_Master!$D$4:$D$18,MATCH($F916,Cluster_Master!$B$4:$B$18,0)),"")</f>
        <v/>
      </c>
      <c r="J916">
        <f>IFERROR(INDEX(Cluster_Master!$E$4:$E$18,MATCH($F916,Cluster_Master!$B$4:$B$18,0)),"")</f>
        <v/>
      </c>
      <c r="K916">
        <f>IFERROR(INDEX(Cluster_Master!$F$4:$F$18,MATCH($F916,Cluster_Master!$B$4:$B$18,0)),"")</f>
        <v/>
      </c>
      <c r="L916">
        <f>IFERROR(INDEX(Cluster_Master!$G$4:$G$18,MATCH($F916,Cluster_Master!$B$4:$B$18,0)),"")</f>
        <v/>
      </c>
      <c r="M916">
        <f>IFERROR(INDEX(Cluster_Master!$H$4:$H$18,MATCH($F916,Cluster_Master!$B$4:$B$18,0)),"")</f>
        <v/>
      </c>
      <c r="AI916">
        <f>IF(COUNTA(T916:AH916)=0,"",SUM(T916:AH916))</f>
        <v/>
      </c>
      <c r="AJ916">
        <f>IF(COUNTA(T916:AH916)=0,"",AI916/(COUNT(KPI_Weights!$A$4:$A$18)*5))</f>
        <v/>
      </c>
      <c r="AK916">
        <f>IF(COUNTA(T916:AH916)=0,"",SUMPRODUCT(T916:AH916,KPI_Weights!$B$4:$B$18)/5)</f>
        <v/>
      </c>
      <c r="AL916">
        <f>IF(COUNTA(T916:AH916)=0,"",IF(SUMPRODUCT(--(T916:AH916&lt;=1),--(KPI_Weights!$C$4:$C$18="YES"))&gt;0,"YES","NO"))</f>
        <v/>
      </c>
      <c r="AM916">
        <f>IF(AJ916="","",IF(AND(AL916="NO",AJ916&gt;=0.75),"YES","NO"))</f>
        <v/>
      </c>
      <c r="AN916">
        <f>IF(AJ916="","",IF(AJ916&lt;0.4,"Critical",IF(AJ916&lt;0.6,"Poor",IF(AJ916&lt;0.75,"Needs Improvement",IF(AJ916&lt;0.9,"Good","Excellent")))))</f>
        <v/>
      </c>
    </row>
    <row r="917" ht="15" customHeight="1" s="45">
      <c r="A917">
        <f>IF($B917="","",TEXT($B917,"yyyymmdd")&amp;"-"&amp;SUBSTITUTE($F917," ","")&amp;"-"&amp;TEXT(COUNTIF($F$4:F917,$F917),"00"))</f>
        <v/>
      </c>
      <c r="C917">
        <f>IF($B917="","",WEEKNUM($B917,2))</f>
        <v/>
      </c>
      <c r="D917">
        <f>IF($B917="","",TEXT($B917,"yyyy-mm"))</f>
        <v/>
      </c>
      <c r="G917">
        <f>IF(OR($E917="",$F917=""),"",IFERROR(IF($E917=INDEX(Cluster_Master!$A$4:$A$18,MATCH($F917,Cluster_Master!$B$4:$B$18,0)),"OK","CHECK"),"CHECK"))</f>
        <v/>
      </c>
      <c r="H917">
        <f>IFERROR(INDEX(Cluster_Master!$C$4:$C$18,MATCH($F917,Cluster_Master!$B$4:$B$18,0)),"")</f>
        <v/>
      </c>
      <c r="I917">
        <f>IFERROR(INDEX(Cluster_Master!$D$4:$D$18,MATCH($F917,Cluster_Master!$B$4:$B$18,0)),"")</f>
        <v/>
      </c>
      <c r="J917">
        <f>IFERROR(INDEX(Cluster_Master!$E$4:$E$18,MATCH($F917,Cluster_Master!$B$4:$B$18,0)),"")</f>
        <v/>
      </c>
      <c r="K917">
        <f>IFERROR(INDEX(Cluster_Master!$F$4:$F$18,MATCH($F917,Cluster_Master!$B$4:$B$18,0)),"")</f>
        <v/>
      </c>
      <c r="L917">
        <f>IFERROR(INDEX(Cluster_Master!$G$4:$G$18,MATCH($F917,Cluster_Master!$B$4:$B$18,0)),"")</f>
        <v/>
      </c>
      <c r="M917">
        <f>IFERROR(INDEX(Cluster_Master!$H$4:$H$18,MATCH($F917,Cluster_Master!$B$4:$B$18,0)),"")</f>
        <v/>
      </c>
      <c r="AI917">
        <f>IF(COUNTA(T917:AH917)=0,"",SUM(T917:AH917))</f>
        <v/>
      </c>
      <c r="AJ917">
        <f>IF(COUNTA(T917:AH917)=0,"",AI917/(COUNT(KPI_Weights!$A$4:$A$18)*5))</f>
        <v/>
      </c>
      <c r="AK917">
        <f>IF(COUNTA(T917:AH917)=0,"",SUMPRODUCT(T917:AH917,KPI_Weights!$B$4:$B$18)/5)</f>
        <v/>
      </c>
      <c r="AL917">
        <f>IF(COUNTA(T917:AH917)=0,"",IF(SUMPRODUCT(--(T917:AH917&lt;=1),--(KPI_Weights!$C$4:$C$18="YES"))&gt;0,"YES","NO"))</f>
        <v/>
      </c>
      <c r="AM917">
        <f>IF(AJ917="","",IF(AND(AL917="NO",AJ917&gt;=0.75),"YES","NO"))</f>
        <v/>
      </c>
      <c r="AN917">
        <f>IF(AJ917="","",IF(AJ917&lt;0.4,"Critical",IF(AJ917&lt;0.6,"Poor",IF(AJ917&lt;0.75,"Needs Improvement",IF(AJ917&lt;0.9,"Good","Excellent")))))</f>
        <v/>
      </c>
    </row>
    <row r="918" ht="15" customHeight="1" s="45">
      <c r="A918">
        <f>IF($B918="","",TEXT($B918,"yyyymmdd")&amp;"-"&amp;SUBSTITUTE($F918," ","")&amp;"-"&amp;TEXT(COUNTIF($F$4:F918,$F918),"00"))</f>
        <v/>
      </c>
      <c r="C918">
        <f>IF($B918="","",WEEKNUM($B918,2))</f>
        <v/>
      </c>
      <c r="D918">
        <f>IF($B918="","",TEXT($B918,"yyyy-mm"))</f>
        <v/>
      </c>
      <c r="G918">
        <f>IF(OR($E918="",$F918=""),"",IFERROR(IF($E918=INDEX(Cluster_Master!$A$4:$A$18,MATCH($F918,Cluster_Master!$B$4:$B$18,0)),"OK","CHECK"),"CHECK"))</f>
        <v/>
      </c>
      <c r="H918">
        <f>IFERROR(INDEX(Cluster_Master!$C$4:$C$18,MATCH($F918,Cluster_Master!$B$4:$B$18,0)),"")</f>
        <v/>
      </c>
      <c r="I918">
        <f>IFERROR(INDEX(Cluster_Master!$D$4:$D$18,MATCH($F918,Cluster_Master!$B$4:$B$18,0)),"")</f>
        <v/>
      </c>
      <c r="J918">
        <f>IFERROR(INDEX(Cluster_Master!$E$4:$E$18,MATCH($F918,Cluster_Master!$B$4:$B$18,0)),"")</f>
        <v/>
      </c>
      <c r="K918">
        <f>IFERROR(INDEX(Cluster_Master!$F$4:$F$18,MATCH($F918,Cluster_Master!$B$4:$B$18,0)),"")</f>
        <v/>
      </c>
      <c r="L918">
        <f>IFERROR(INDEX(Cluster_Master!$G$4:$G$18,MATCH($F918,Cluster_Master!$B$4:$B$18,0)),"")</f>
        <v/>
      </c>
      <c r="M918">
        <f>IFERROR(INDEX(Cluster_Master!$H$4:$H$18,MATCH($F918,Cluster_Master!$B$4:$B$18,0)),"")</f>
        <v/>
      </c>
      <c r="AI918">
        <f>IF(COUNTA(T918:AH918)=0,"",SUM(T918:AH918))</f>
        <v/>
      </c>
      <c r="AJ918">
        <f>IF(COUNTA(T918:AH918)=0,"",AI918/(COUNT(KPI_Weights!$A$4:$A$18)*5))</f>
        <v/>
      </c>
      <c r="AK918">
        <f>IF(COUNTA(T918:AH918)=0,"",SUMPRODUCT(T918:AH918,KPI_Weights!$B$4:$B$18)/5)</f>
        <v/>
      </c>
      <c r="AL918">
        <f>IF(COUNTA(T918:AH918)=0,"",IF(SUMPRODUCT(--(T918:AH918&lt;=1),--(KPI_Weights!$C$4:$C$18="YES"))&gt;0,"YES","NO"))</f>
        <v/>
      </c>
      <c r="AM918">
        <f>IF(AJ918="","",IF(AND(AL918="NO",AJ918&gt;=0.75),"YES","NO"))</f>
        <v/>
      </c>
      <c r="AN918">
        <f>IF(AJ918="","",IF(AJ918&lt;0.4,"Critical",IF(AJ918&lt;0.6,"Poor",IF(AJ918&lt;0.75,"Needs Improvement",IF(AJ918&lt;0.9,"Good","Excellent")))))</f>
        <v/>
      </c>
    </row>
    <row r="919" ht="15" customHeight="1" s="45">
      <c r="A919">
        <f>IF($B919="","",TEXT($B919,"yyyymmdd")&amp;"-"&amp;SUBSTITUTE($F919," ","")&amp;"-"&amp;TEXT(COUNTIF($F$4:F919,$F919),"00"))</f>
        <v/>
      </c>
      <c r="C919">
        <f>IF($B919="","",WEEKNUM($B919,2))</f>
        <v/>
      </c>
      <c r="D919">
        <f>IF($B919="","",TEXT($B919,"yyyy-mm"))</f>
        <v/>
      </c>
      <c r="G919">
        <f>IF(OR($E919="",$F919=""),"",IFERROR(IF($E919=INDEX(Cluster_Master!$A$4:$A$18,MATCH($F919,Cluster_Master!$B$4:$B$18,0)),"OK","CHECK"),"CHECK"))</f>
        <v/>
      </c>
      <c r="H919">
        <f>IFERROR(INDEX(Cluster_Master!$C$4:$C$18,MATCH($F919,Cluster_Master!$B$4:$B$18,0)),"")</f>
        <v/>
      </c>
      <c r="I919">
        <f>IFERROR(INDEX(Cluster_Master!$D$4:$D$18,MATCH($F919,Cluster_Master!$B$4:$B$18,0)),"")</f>
        <v/>
      </c>
      <c r="J919">
        <f>IFERROR(INDEX(Cluster_Master!$E$4:$E$18,MATCH($F919,Cluster_Master!$B$4:$B$18,0)),"")</f>
        <v/>
      </c>
      <c r="K919">
        <f>IFERROR(INDEX(Cluster_Master!$F$4:$F$18,MATCH($F919,Cluster_Master!$B$4:$B$18,0)),"")</f>
        <v/>
      </c>
      <c r="L919">
        <f>IFERROR(INDEX(Cluster_Master!$G$4:$G$18,MATCH($F919,Cluster_Master!$B$4:$B$18,0)),"")</f>
        <v/>
      </c>
      <c r="M919">
        <f>IFERROR(INDEX(Cluster_Master!$H$4:$H$18,MATCH($F919,Cluster_Master!$B$4:$B$18,0)),"")</f>
        <v/>
      </c>
      <c r="AI919">
        <f>IF(COUNTA(T919:AH919)=0,"",SUM(T919:AH919))</f>
        <v/>
      </c>
      <c r="AJ919">
        <f>IF(COUNTA(T919:AH919)=0,"",AI919/(COUNT(KPI_Weights!$A$4:$A$18)*5))</f>
        <v/>
      </c>
      <c r="AK919">
        <f>IF(COUNTA(T919:AH919)=0,"",SUMPRODUCT(T919:AH919,KPI_Weights!$B$4:$B$18)/5)</f>
        <v/>
      </c>
      <c r="AL919">
        <f>IF(COUNTA(T919:AH919)=0,"",IF(SUMPRODUCT(--(T919:AH919&lt;=1),--(KPI_Weights!$C$4:$C$18="YES"))&gt;0,"YES","NO"))</f>
        <v/>
      </c>
      <c r="AM919">
        <f>IF(AJ919="","",IF(AND(AL919="NO",AJ919&gt;=0.75),"YES","NO"))</f>
        <v/>
      </c>
      <c r="AN919">
        <f>IF(AJ919="","",IF(AJ919&lt;0.4,"Critical",IF(AJ919&lt;0.6,"Poor",IF(AJ919&lt;0.75,"Needs Improvement",IF(AJ919&lt;0.9,"Good","Excellent")))))</f>
        <v/>
      </c>
    </row>
    <row r="920" ht="15" customHeight="1" s="45">
      <c r="A920">
        <f>IF($B920="","",TEXT($B920,"yyyymmdd")&amp;"-"&amp;SUBSTITUTE($F920," ","")&amp;"-"&amp;TEXT(COUNTIF($F$4:F920,$F920),"00"))</f>
        <v/>
      </c>
      <c r="C920">
        <f>IF($B920="","",WEEKNUM($B920,2))</f>
        <v/>
      </c>
      <c r="D920">
        <f>IF($B920="","",TEXT($B920,"yyyy-mm"))</f>
        <v/>
      </c>
      <c r="G920">
        <f>IF(OR($E920="",$F920=""),"",IFERROR(IF($E920=INDEX(Cluster_Master!$A$4:$A$18,MATCH($F920,Cluster_Master!$B$4:$B$18,0)),"OK","CHECK"),"CHECK"))</f>
        <v/>
      </c>
      <c r="H920">
        <f>IFERROR(INDEX(Cluster_Master!$C$4:$C$18,MATCH($F920,Cluster_Master!$B$4:$B$18,0)),"")</f>
        <v/>
      </c>
      <c r="I920">
        <f>IFERROR(INDEX(Cluster_Master!$D$4:$D$18,MATCH($F920,Cluster_Master!$B$4:$B$18,0)),"")</f>
        <v/>
      </c>
      <c r="J920">
        <f>IFERROR(INDEX(Cluster_Master!$E$4:$E$18,MATCH($F920,Cluster_Master!$B$4:$B$18,0)),"")</f>
        <v/>
      </c>
      <c r="K920">
        <f>IFERROR(INDEX(Cluster_Master!$F$4:$F$18,MATCH($F920,Cluster_Master!$B$4:$B$18,0)),"")</f>
        <v/>
      </c>
      <c r="L920">
        <f>IFERROR(INDEX(Cluster_Master!$G$4:$G$18,MATCH($F920,Cluster_Master!$B$4:$B$18,0)),"")</f>
        <v/>
      </c>
      <c r="M920">
        <f>IFERROR(INDEX(Cluster_Master!$H$4:$H$18,MATCH($F920,Cluster_Master!$B$4:$B$18,0)),"")</f>
        <v/>
      </c>
      <c r="AI920">
        <f>IF(COUNTA(T920:AH920)=0,"",SUM(T920:AH920))</f>
        <v/>
      </c>
      <c r="AJ920">
        <f>IF(COUNTA(T920:AH920)=0,"",AI920/(COUNT(KPI_Weights!$A$4:$A$18)*5))</f>
        <v/>
      </c>
      <c r="AK920">
        <f>IF(COUNTA(T920:AH920)=0,"",SUMPRODUCT(T920:AH920,KPI_Weights!$B$4:$B$18)/5)</f>
        <v/>
      </c>
      <c r="AL920">
        <f>IF(COUNTA(T920:AH920)=0,"",IF(SUMPRODUCT(--(T920:AH920&lt;=1),--(KPI_Weights!$C$4:$C$18="YES"))&gt;0,"YES","NO"))</f>
        <v/>
      </c>
      <c r="AM920">
        <f>IF(AJ920="","",IF(AND(AL920="NO",AJ920&gt;=0.75),"YES","NO"))</f>
        <v/>
      </c>
      <c r="AN920">
        <f>IF(AJ920="","",IF(AJ920&lt;0.4,"Critical",IF(AJ920&lt;0.6,"Poor",IF(AJ920&lt;0.75,"Needs Improvement",IF(AJ920&lt;0.9,"Good","Excellent")))))</f>
        <v/>
      </c>
    </row>
    <row r="921" ht="15" customHeight="1" s="45">
      <c r="A921">
        <f>IF($B921="","",TEXT($B921,"yyyymmdd")&amp;"-"&amp;SUBSTITUTE($F921," ","")&amp;"-"&amp;TEXT(COUNTIF($F$4:F921,$F921),"00"))</f>
        <v/>
      </c>
      <c r="C921">
        <f>IF($B921="","",WEEKNUM($B921,2))</f>
        <v/>
      </c>
      <c r="D921">
        <f>IF($B921="","",TEXT($B921,"yyyy-mm"))</f>
        <v/>
      </c>
      <c r="G921">
        <f>IF(OR($E921="",$F921=""),"",IFERROR(IF($E921=INDEX(Cluster_Master!$A$4:$A$18,MATCH($F921,Cluster_Master!$B$4:$B$18,0)),"OK","CHECK"),"CHECK"))</f>
        <v/>
      </c>
      <c r="H921">
        <f>IFERROR(INDEX(Cluster_Master!$C$4:$C$18,MATCH($F921,Cluster_Master!$B$4:$B$18,0)),"")</f>
        <v/>
      </c>
      <c r="I921">
        <f>IFERROR(INDEX(Cluster_Master!$D$4:$D$18,MATCH($F921,Cluster_Master!$B$4:$B$18,0)),"")</f>
        <v/>
      </c>
      <c r="J921">
        <f>IFERROR(INDEX(Cluster_Master!$E$4:$E$18,MATCH($F921,Cluster_Master!$B$4:$B$18,0)),"")</f>
        <v/>
      </c>
      <c r="K921">
        <f>IFERROR(INDEX(Cluster_Master!$F$4:$F$18,MATCH($F921,Cluster_Master!$B$4:$B$18,0)),"")</f>
        <v/>
      </c>
      <c r="L921">
        <f>IFERROR(INDEX(Cluster_Master!$G$4:$G$18,MATCH($F921,Cluster_Master!$B$4:$B$18,0)),"")</f>
        <v/>
      </c>
      <c r="M921">
        <f>IFERROR(INDEX(Cluster_Master!$H$4:$H$18,MATCH($F921,Cluster_Master!$B$4:$B$18,0)),"")</f>
        <v/>
      </c>
      <c r="AI921">
        <f>IF(COUNTA(T921:AH921)=0,"",SUM(T921:AH921))</f>
        <v/>
      </c>
      <c r="AJ921">
        <f>IF(COUNTA(T921:AH921)=0,"",AI921/(COUNT(KPI_Weights!$A$4:$A$18)*5))</f>
        <v/>
      </c>
      <c r="AK921">
        <f>IF(COUNTA(T921:AH921)=0,"",SUMPRODUCT(T921:AH921,KPI_Weights!$B$4:$B$18)/5)</f>
        <v/>
      </c>
      <c r="AL921">
        <f>IF(COUNTA(T921:AH921)=0,"",IF(SUMPRODUCT(--(T921:AH921&lt;=1),--(KPI_Weights!$C$4:$C$18="YES"))&gt;0,"YES","NO"))</f>
        <v/>
      </c>
      <c r="AM921">
        <f>IF(AJ921="","",IF(AND(AL921="NO",AJ921&gt;=0.75),"YES","NO"))</f>
        <v/>
      </c>
      <c r="AN921">
        <f>IF(AJ921="","",IF(AJ921&lt;0.4,"Critical",IF(AJ921&lt;0.6,"Poor",IF(AJ921&lt;0.75,"Needs Improvement",IF(AJ921&lt;0.9,"Good","Excellent")))))</f>
        <v/>
      </c>
    </row>
    <row r="922" ht="15" customHeight="1" s="45">
      <c r="A922">
        <f>IF($B922="","",TEXT($B922,"yyyymmdd")&amp;"-"&amp;SUBSTITUTE($F922," ","")&amp;"-"&amp;TEXT(COUNTIF($F$4:F922,$F922),"00"))</f>
        <v/>
      </c>
      <c r="C922">
        <f>IF($B922="","",WEEKNUM($B922,2))</f>
        <v/>
      </c>
      <c r="D922">
        <f>IF($B922="","",TEXT($B922,"yyyy-mm"))</f>
        <v/>
      </c>
      <c r="G922">
        <f>IF(OR($E922="",$F922=""),"",IFERROR(IF($E922=INDEX(Cluster_Master!$A$4:$A$18,MATCH($F922,Cluster_Master!$B$4:$B$18,0)),"OK","CHECK"),"CHECK"))</f>
        <v/>
      </c>
      <c r="H922">
        <f>IFERROR(INDEX(Cluster_Master!$C$4:$C$18,MATCH($F922,Cluster_Master!$B$4:$B$18,0)),"")</f>
        <v/>
      </c>
      <c r="I922">
        <f>IFERROR(INDEX(Cluster_Master!$D$4:$D$18,MATCH($F922,Cluster_Master!$B$4:$B$18,0)),"")</f>
        <v/>
      </c>
      <c r="J922">
        <f>IFERROR(INDEX(Cluster_Master!$E$4:$E$18,MATCH($F922,Cluster_Master!$B$4:$B$18,0)),"")</f>
        <v/>
      </c>
      <c r="K922">
        <f>IFERROR(INDEX(Cluster_Master!$F$4:$F$18,MATCH($F922,Cluster_Master!$B$4:$B$18,0)),"")</f>
        <v/>
      </c>
      <c r="L922">
        <f>IFERROR(INDEX(Cluster_Master!$G$4:$G$18,MATCH($F922,Cluster_Master!$B$4:$B$18,0)),"")</f>
        <v/>
      </c>
      <c r="M922">
        <f>IFERROR(INDEX(Cluster_Master!$H$4:$H$18,MATCH($F922,Cluster_Master!$B$4:$B$18,0)),"")</f>
        <v/>
      </c>
      <c r="AI922">
        <f>IF(COUNTA(T922:AH922)=0,"",SUM(T922:AH922))</f>
        <v/>
      </c>
      <c r="AJ922">
        <f>IF(COUNTA(T922:AH922)=0,"",AI922/(COUNT(KPI_Weights!$A$4:$A$18)*5))</f>
        <v/>
      </c>
      <c r="AK922">
        <f>IF(COUNTA(T922:AH922)=0,"",SUMPRODUCT(T922:AH922,KPI_Weights!$B$4:$B$18)/5)</f>
        <v/>
      </c>
      <c r="AL922">
        <f>IF(COUNTA(T922:AH922)=0,"",IF(SUMPRODUCT(--(T922:AH922&lt;=1),--(KPI_Weights!$C$4:$C$18="YES"))&gt;0,"YES","NO"))</f>
        <v/>
      </c>
      <c r="AM922">
        <f>IF(AJ922="","",IF(AND(AL922="NO",AJ922&gt;=0.75),"YES","NO"))</f>
        <v/>
      </c>
      <c r="AN922">
        <f>IF(AJ922="","",IF(AJ922&lt;0.4,"Critical",IF(AJ922&lt;0.6,"Poor",IF(AJ922&lt;0.75,"Needs Improvement",IF(AJ922&lt;0.9,"Good","Excellent")))))</f>
        <v/>
      </c>
    </row>
    <row r="923" ht="15" customHeight="1" s="45">
      <c r="A923">
        <f>IF($B923="","",TEXT($B923,"yyyymmdd")&amp;"-"&amp;SUBSTITUTE($F923," ","")&amp;"-"&amp;TEXT(COUNTIF($F$4:F923,$F923),"00"))</f>
        <v/>
      </c>
      <c r="C923">
        <f>IF($B923="","",WEEKNUM($B923,2))</f>
        <v/>
      </c>
      <c r="D923">
        <f>IF($B923="","",TEXT($B923,"yyyy-mm"))</f>
        <v/>
      </c>
      <c r="G923">
        <f>IF(OR($E923="",$F923=""),"",IFERROR(IF($E923=INDEX(Cluster_Master!$A$4:$A$18,MATCH($F923,Cluster_Master!$B$4:$B$18,0)),"OK","CHECK"),"CHECK"))</f>
        <v/>
      </c>
      <c r="H923">
        <f>IFERROR(INDEX(Cluster_Master!$C$4:$C$18,MATCH($F923,Cluster_Master!$B$4:$B$18,0)),"")</f>
        <v/>
      </c>
      <c r="I923">
        <f>IFERROR(INDEX(Cluster_Master!$D$4:$D$18,MATCH($F923,Cluster_Master!$B$4:$B$18,0)),"")</f>
        <v/>
      </c>
      <c r="J923">
        <f>IFERROR(INDEX(Cluster_Master!$E$4:$E$18,MATCH($F923,Cluster_Master!$B$4:$B$18,0)),"")</f>
        <v/>
      </c>
      <c r="K923">
        <f>IFERROR(INDEX(Cluster_Master!$F$4:$F$18,MATCH($F923,Cluster_Master!$B$4:$B$18,0)),"")</f>
        <v/>
      </c>
      <c r="L923">
        <f>IFERROR(INDEX(Cluster_Master!$G$4:$G$18,MATCH($F923,Cluster_Master!$B$4:$B$18,0)),"")</f>
        <v/>
      </c>
      <c r="M923">
        <f>IFERROR(INDEX(Cluster_Master!$H$4:$H$18,MATCH($F923,Cluster_Master!$B$4:$B$18,0)),"")</f>
        <v/>
      </c>
      <c r="AI923">
        <f>IF(COUNTA(T923:AH923)=0,"",SUM(T923:AH923))</f>
        <v/>
      </c>
      <c r="AJ923">
        <f>IF(COUNTA(T923:AH923)=0,"",AI923/(COUNT(KPI_Weights!$A$4:$A$18)*5))</f>
        <v/>
      </c>
      <c r="AK923">
        <f>IF(COUNTA(T923:AH923)=0,"",SUMPRODUCT(T923:AH923,KPI_Weights!$B$4:$B$18)/5)</f>
        <v/>
      </c>
      <c r="AL923">
        <f>IF(COUNTA(T923:AH923)=0,"",IF(SUMPRODUCT(--(T923:AH923&lt;=1),--(KPI_Weights!$C$4:$C$18="YES"))&gt;0,"YES","NO"))</f>
        <v/>
      </c>
      <c r="AM923">
        <f>IF(AJ923="","",IF(AND(AL923="NO",AJ923&gt;=0.75),"YES","NO"))</f>
        <v/>
      </c>
      <c r="AN923">
        <f>IF(AJ923="","",IF(AJ923&lt;0.4,"Critical",IF(AJ923&lt;0.6,"Poor",IF(AJ923&lt;0.75,"Needs Improvement",IF(AJ923&lt;0.9,"Good","Excellent")))))</f>
        <v/>
      </c>
    </row>
    <row r="924" ht="15" customHeight="1" s="45">
      <c r="A924">
        <f>IF($B924="","",TEXT($B924,"yyyymmdd")&amp;"-"&amp;SUBSTITUTE($F924," ","")&amp;"-"&amp;TEXT(COUNTIF($F$4:F924,$F924),"00"))</f>
        <v/>
      </c>
      <c r="C924">
        <f>IF($B924="","",WEEKNUM($B924,2))</f>
        <v/>
      </c>
      <c r="D924">
        <f>IF($B924="","",TEXT($B924,"yyyy-mm"))</f>
        <v/>
      </c>
      <c r="G924">
        <f>IF(OR($E924="",$F924=""),"",IFERROR(IF($E924=INDEX(Cluster_Master!$A$4:$A$18,MATCH($F924,Cluster_Master!$B$4:$B$18,0)),"OK","CHECK"),"CHECK"))</f>
        <v/>
      </c>
      <c r="H924">
        <f>IFERROR(INDEX(Cluster_Master!$C$4:$C$18,MATCH($F924,Cluster_Master!$B$4:$B$18,0)),"")</f>
        <v/>
      </c>
      <c r="I924">
        <f>IFERROR(INDEX(Cluster_Master!$D$4:$D$18,MATCH($F924,Cluster_Master!$B$4:$B$18,0)),"")</f>
        <v/>
      </c>
      <c r="J924">
        <f>IFERROR(INDEX(Cluster_Master!$E$4:$E$18,MATCH($F924,Cluster_Master!$B$4:$B$18,0)),"")</f>
        <v/>
      </c>
      <c r="K924">
        <f>IFERROR(INDEX(Cluster_Master!$F$4:$F$18,MATCH($F924,Cluster_Master!$B$4:$B$18,0)),"")</f>
        <v/>
      </c>
      <c r="L924">
        <f>IFERROR(INDEX(Cluster_Master!$G$4:$G$18,MATCH($F924,Cluster_Master!$B$4:$B$18,0)),"")</f>
        <v/>
      </c>
      <c r="M924">
        <f>IFERROR(INDEX(Cluster_Master!$H$4:$H$18,MATCH($F924,Cluster_Master!$B$4:$B$18,0)),"")</f>
        <v/>
      </c>
      <c r="AI924">
        <f>IF(COUNTA(T924:AH924)=0,"",SUM(T924:AH924))</f>
        <v/>
      </c>
      <c r="AJ924">
        <f>IF(COUNTA(T924:AH924)=0,"",AI924/(COUNT(KPI_Weights!$A$4:$A$18)*5))</f>
        <v/>
      </c>
      <c r="AK924">
        <f>IF(COUNTA(T924:AH924)=0,"",SUMPRODUCT(T924:AH924,KPI_Weights!$B$4:$B$18)/5)</f>
        <v/>
      </c>
      <c r="AL924">
        <f>IF(COUNTA(T924:AH924)=0,"",IF(SUMPRODUCT(--(T924:AH924&lt;=1),--(KPI_Weights!$C$4:$C$18="YES"))&gt;0,"YES","NO"))</f>
        <v/>
      </c>
      <c r="AM924">
        <f>IF(AJ924="","",IF(AND(AL924="NO",AJ924&gt;=0.75),"YES","NO"))</f>
        <v/>
      </c>
      <c r="AN924">
        <f>IF(AJ924="","",IF(AJ924&lt;0.4,"Critical",IF(AJ924&lt;0.6,"Poor",IF(AJ924&lt;0.75,"Needs Improvement",IF(AJ924&lt;0.9,"Good","Excellent")))))</f>
        <v/>
      </c>
    </row>
    <row r="925" ht="15" customHeight="1" s="45">
      <c r="A925">
        <f>IF($B925="","",TEXT($B925,"yyyymmdd")&amp;"-"&amp;SUBSTITUTE($F925," ","")&amp;"-"&amp;TEXT(COUNTIF($F$4:F925,$F925),"00"))</f>
        <v/>
      </c>
      <c r="C925">
        <f>IF($B925="","",WEEKNUM($B925,2))</f>
        <v/>
      </c>
      <c r="D925">
        <f>IF($B925="","",TEXT($B925,"yyyy-mm"))</f>
        <v/>
      </c>
      <c r="G925">
        <f>IF(OR($E925="",$F925=""),"",IFERROR(IF($E925=INDEX(Cluster_Master!$A$4:$A$18,MATCH($F925,Cluster_Master!$B$4:$B$18,0)),"OK","CHECK"),"CHECK"))</f>
        <v/>
      </c>
      <c r="H925">
        <f>IFERROR(INDEX(Cluster_Master!$C$4:$C$18,MATCH($F925,Cluster_Master!$B$4:$B$18,0)),"")</f>
        <v/>
      </c>
      <c r="I925">
        <f>IFERROR(INDEX(Cluster_Master!$D$4:$D$18,MATCH($F925,Cluster_Master!$B$4:$B$18,0)),"")</f>
        <v/>
      </c>
      <c r="J925">
        <f>IFERROR(INDEX(Cluster_Master!$E$4:$E$18,MATCH($F925,Cluster_Master!$B$4:$B$18,0)),"")</f>
        <v/>
      </c>
      <c r="K925">
        <f>IFERROR(INDEX(Cluster_Master!$F$4:$F$18,MATCH($F925,Cluster_Master!$B$4:$B$18,0)),"")</f>
        <v/>
      </c>
      <c r="L925">
        <f>IFERROR(INDEX(Cluster_Master!$G$4:$G$18,MATCH($F925,Cluster_Master!$B$4:$B$18,0)),"")</f>
        <v/>
      </c>
      <c r="M925">
        <f>IFERROR(INDEX(Cluster_Master!$H$4:$H$18,MATCH($F925,Cluster_Master!$B$4:$B$18,0)),"")</f>
        <v/>
      </c>
      <c r="AI925">
        <f>IF(COUNTA(T925:AH925)=0,"",SUM(T925:AH925))</f>
        <v/>
      </c>
      <c r="AJ925">
        <f>IF(COUNTA(T925:AH925)=0,"",AI925/(COUNT(KPI_Weights!$A$4:$A$18)*5))</f>
        <v/>
      </c>
      <c r="AK925">
        <f>IF(COUNTA(T925:AH925)=0,"",SUMPRODUCT(T925:AH925,KPI_Weights!$B$4:$B$18)/5)</f>
        <v/>
      </c>
      <c r="AL925">
        <f>IF(COUNTA(T925:AH925)=0,"",IF(SUMPRODUCT(--(T925:AH925&lt;=1),--(KPI_Weights!$C$4:$C$18="YES"))&gt;0,"YES","NO"))</f>
        <v/>
      </c>
      <c r="AM925">
        <f>IF(AJ925="","",IF(AND(AL925="NO",AJ925&gt;=0.75),"YES","NO"))</f>
        <v/>
      </c>
      <c r="AN925">
        <f>IF(AJ925="","",IF(AJ925&lt;0.4,"Critical",IF(AJ925&lt;0.6,"Poor",IF(AJ925&lt;0.75,"Needs Improvement",IF(AJ925&lt;0.9,"Good","Excellent")))))</f>
        <v/>
      </c>
    </row>
    <row r="926" ht="15" customHeight="1" s="45">
      <c r="A926">
        <f>IF($B926="","",TEXT($B926,"yyyymmdd")&amp;"-"&amp;SUBSTITUTE($F926," ","")&amp;"-"&amp;TEXT(COUNTIF($F$4:F926,$F926),"00"))</f>
        <v/>
      </c>
      <c r="C926">
        <f>IF($B926="","",WEEKNUM($B926,2))</f>
        <v/>
      </c>
      <c r="D926">
        <f>IF($B926="","",TEXT($B926,"yyyy-mm"))</f>
        <v/>
      </c>
      <c r="G926">
        <f>IF(OR($E926="",$F926=""),"",IFERROR(IF($E926=INDEX(Cluster_Master!$A$4:$A$18,MATCH($F926,Cluster_Master!$B$4:$B$18,0)),"OK","CHECK"),"CHECK"))</f>
        <v/>
      </c>
      <c r="H926">
        <f>IFERROR(INDEX(Cluster_Master!$C$4:$C$18,MATCH($F926,Cluster_Master!$B$4:$B$18,0)),"")</f>
        <v/>
      </c>
      <c r="I926">
        <f>IFERROR(INDEX(Cluster_Master!$D$4:$D$18,MATCH($F926,Cluster_Master!$B$4:$B$18,0)),"")</f>
        <v/>
      </c>
      <c r="J926">
        <f>IFERROR(INDEX(Cluster_Master!$E$4:$E$18,MATCH($F926,Cluster_Master!$B$4:$B$18,0)),"")</f>
        <v/>
      </c>
      <c r="K926">
        <f>IFERROR(INDEX(Cluster_Master!$F$4:$F$18,MATCH($F926,Cluster_Master!$B$4:$B$18,0)),"")</f>
        <v/>
      </c>
      <c r="L926">
        <f>IFERROR(INDEX(Cluster_Master!$G$4:$G$18,MATCH($F926,Cluster_Master!$B$4:$B$18,0)),"")</f>
        <v/>
      </c>
      <c r="M926">
        <f>IFERROR(INDEX(Cluster_Master!$H$4:$H$18,MATCH($F926,Cluster_Master!$B$4:$B$18,0)),"")</f>
        <v/>
      </c>
      <c r="AI926">
        <f>IF(COUNTA(T926:AH926)=0,"",SUM(T926:AH926))</f>
        <v/>
      </c>
      <c r="AJ926">
        <f>IF(COUNTA(T926:AH926)=0,"",AI926/(COUNT(KPI_Weights!$A$4:$A$18)*5))</f>
        <v/>
      </c>
      <c r="AK926">
        <f>IF(COUNTA(T926:AH926)=0,"",SUMPRODUCT(T926:AH926,KPI_Weights!$B$4:$B$18)/5)</f>
        <v/>
      </c>
      <c r="AL926">
        <f>IF(COUNTA(T926:AH926)=0,"",IF(SUMPRODUCT(--(T926:AH926&lt;=1),--(KPI_Weights!$C$4:$C$18="YES"))&gt;0,"YES","NO"))</f>
        <v/>
      </c>
      <c r="AM926">
        <f>IF(AJ926="","",IF(AND(AL926="NO",AJ926&gt;=0.75),"YES","NO"))</f>
        <v/>
      </c>
      <c r="AN926">
        <f>IF(AJ926="","",IF(AJ926&lt;0.4,"Critical",IF(AJ926&lt;0.6,"Poor",IF(AJ926&lt;0.75,"Needs Improvement",IF(AJ926&lt;0.9,"Good","Excellent")))))</f>
        <v/>
      </c>
    </row>
    <row r="927" ht="15" customHeight="1" s="45">
      <c r="A927">
        <f>IF($B927="","",TEXT($B927,"yyyymmdd")&amp;"-"&amp;SUBSTITUTE($F927," ","")&amp;"-"&amp;TEXT(COUNTIF($F$4:F927,$F927),"00"))</f>
        <v/>
      </c>
      <c r="C927">
        <f>IF($B927="","",WEEKNUM($B927,2))</f>
        <v/>
      </c>
      <c r="D927">
        <f>IF($B927="","",TEXT($B927,"yyyy-mm"))</f>
        <v/>
      </c>
      <c r="G927">
        <f>IF(OR($E927="",$F927=""),"",IFERROR(IF($E927=INDEX(Cluster_Master!$A$4:$A$18,MATCH($F927,Cluster_Master!$B$4:$B$18,0)),"OK","CHECK"),"CHECK"))</f>
        <v/>
      </c>
      <c r="H927">
        <f>IFERROR(INDEX(Cluster_Master!$C$4:$C$18,MATCH($F927,Cluster_Master!$B$4:$B$18,0)),"")</f>
        <v/>
      </c>
      <c r="I927">
        <f>IFERROR(INDEX(Cluster_Master!$D$4:$D$18,MATCH($F927,Cluster_Master!$B$4:$B$18,0)),"")</f>
        <v/>
      </c>
      <c r="J927">
        <f>IFERROR(INDEX(Cluster_Master!$E$4:$E$18,MATCH($F927,Cluster_Master!$B$4:$B$18,0)),"")</f>
        <v/>
      </c>
      <c r="K927">
        <f>IFERROR(INDEX(Cluster_Master!$F$4:$F$18,MATCH($F927,Cluster_Master!$B$4:$B$18,0)),"")</f>
        <v/>
      </c>
      <c r="L927">
        <f>IFERROR(INDEX(Cluster_Master!$G$4:$G$18,MATCH($F927,Cluster_Master!$B$4:$B$18,0)),"")</f>
        <v/>
      </c>
      <c r="M927">
        <f>IFERROR(INDEX(Cluster_Master!$H$4:$H$18,MATCH($F927,Cluster_Master!$B$4:$B$18,0)),"")</f>
        <v/>
      </c>
      <c r="AI927">
        <f>IF(COUNTA(T927:AH927)=0,"",SUM(T927:AH927))</f>
        <v/>
      </c>
      <c r="AJ927">
        <f>IF(COUNTA(T927:AH927)=0,"",AI927/(COUNT(KPI_Weights!$A$4:$A$18)*5))</f>
        <v/>
      </c>
      <c r="AK927">
        <f>IF(COUNTA(T927:AH927)=0,"",SUMPRODUCT(T927:AH927,KPI_Weights!$B$4:$B$18)/5)</f>
        <v/>
      </c>
      <c r="AL927">
        <f>IF(COUNTA(T927:AH927)=0,"",IF(SUMPRODUCT(--(T927:AH927&lt;=1),--(KPI_Weights!$C$4:$C$18="YES"))&gt;0,"YES","NO"))</f>
        <v/>
      </c>
      <c r="AM927">
        <f>IF(AJ927="","",IF(AND(AL927="NO",AJ927&gt;=0.75),"YES","NO"))</f>
        <v/>
      </c>
      <c r="AN927">
        <f>IF(AJ927="","",IF(AJ927&lt;0.4,"Critical",IF(AJ927&lt;0.6,"Poor",IF(AJ927&lt;0.75,"Needs Improvement",IF(AJ927&lt;0.9,"Good","Excellent")))))</f>
        <v/>
      </c>
    </row>
    <row r="928" ht="15" customHeight="1" s="45">
      <c r="A928">
        <f>IF($B928="","",TEXT($B928,"yyyymmdd")&amp;"-"&amp;SUBSTITUTE($F928," ","")&amp;"-"&amp;TEXT(COUNTIF($F$4:F928,$F928),"00"))</f>
        <v/>
      </c>
      <c r="C928">
        <f>IF($B928="","",WEEKNUM($B928,2))</f>
        <v/>
      </c>
      <c r="D928">
        <f>IF($B928="","",TEXT($B928,"yyyy-mm"))</f>
        <v/>
      </c>
      <c r="G928">
        <f>IF(OR($E928="",$F928=""),"",IFERROR(IF($E928=INDEX(Cluster_Master!$A$4:$A$18,MATCH($F928,Cluster_Master!$B$4:$B$18,0)),"OK","CHECK"),"CHECK"))</f>
        <v/>
      </c>
      <c r="H928">
        <f>IFERROR(INDEX(Cluster_Master!$C$4:$C$18,MATCH($F928,Cluster_Master!$B$4:$B$18,0)),"")</f>
        <v/>
      </c>
      <c r="I928">
        <f>IFERROR(INDEX(Cluster_Master!$D$4:$D$18,MATCH($F928,Cluster_Master!$B$4:$B$18,0)),"")</f>
        <v/>
      </c>
      <c r="J928">
        <f>IFERROR(INDEX(Cluster_Master!$E$4:$E$18,MATCH($F928,Cluster_Master!$B$4:$B$18,0)),"")</f>
        <v/>
      </c>
      <c r="K928">
        <f>IFERROR(INDEX(Cluster_Master!$F$4:$F$18,MATCH($F928,Cluster_Master!$B$4:$B$18,0)),"")</f>
        <v/>
      </c>
      <c r="L928">
        <f>IFERROR(INDEX(Cluster_Master!$G$4:$G$18,MATCH($F928,Cluster_Master!$B$4:$B$18,0)),"")</f>
        <v/>
      </c>
      <c r="M928">
        <f>IFERROR(INDEX(Cluster_Master!$H$4:$H$18,MATCH($F928,Cluster_Master!$B$4:$B$18,0)),"")</f>
        <v/>
      </c>
      <c r="AI928">
        <f>IF(COUNTA(T928:AH928)=0,"",SUM(T928:AH928))</f>
        <v/>
      </c>
      <c r="AJ928">
        <f>IF(COUNTA(T928:AH928)=0,"",AI928/(COUNT(KPI_Weights!$A$4:$A$18)*5))</f>
        <v/>
      </c>
      <c r="AK928">
        <f>IF(COUNTA(T928:AH928)=0,"",SUMPRODUCT(T928:AH928,KPI_Weights!$B$4:$B$18)/5)</f>
        <v/>
      </c>
      <c r="AL928">
        <f>IF(COUNTA(T928:AH928)=0,"",IF(SUMPRODUCT(--(T928:AH928&lt;=1),--(KPI_Weights!$C$4:$C$18="YES"))&gt;0,"YES","NO"))</f>
        <v/>
      </c>
      <c r="AM928">
        <f>IF(AJ928="","",IF(AND(AL928="NO",AJ928&gt;=0.75),"YES","NO"))</f>
        <v/>
      </c>
      <c r="AN928">
        <f>IF(AJ928="","",IF(AJ928&lt;0.4,"Critical",IF(AJ928&lt;0.6,"Poor",IF(AJ928&lt;0.75,"Needs Improvement",IF(AJ928&lt;0.9,"Good","Excellent")))))</f>
        <v/>
      </c>
    </row>
    <row r="929" ht="15" customHeight="1" s="45">
      <c r="A929">
        <f>IF($B929="","",TEXT($B929,"yyyymmdd")&amp;"-"&amp;SUBSTITUTE($F929," ","")&amp;"-"&amp;TEXT(COUNTIF($F$4:F929,$F929),"00"))</f>
        <v/>
      </c>
      <c r="C929">
        <f>IF($B929="","",WEEKNUM($B929,2))</f>
        <v/>
      </c>
      <c r="D929">
        <f>IF($B929="","",TEXT($B929,"yyyy-mm"))</f>
        <v/>
      </c>
      <c r="G929">
        <f>IF(OR($E929="",$F929=""),"",IFERROR(IF($E929=INDEX(Cluster_Master!$A$4:$A$18,MATCH($F929,Cluster_Master!$B$4:$B$18,0)),"OK","CHECK"),"CHECK"))</f>
        <v/>
      </c>
      <c r="H929">
        <f>IFERROR(INDEX(Cluster_Master!$C$4:$C$18,MATCH($F929,Cluster_Master!$B$4:$B$18,0)),"")</f>
        <v/>
      </c>
      <c r="I929">
        <f>IFERROR(INDEX(Cluster_Master!$D$4:$D$18,MATCH($F929,Cluster_Master!$B$4:$B$18,0)),"")</f>
        <v/>
      </c>
      <c r="J929">
        <f>IFERROR(INDEX(Cluster_Master!$E$4:$E$18,MATCH($F929,Cluster_Master!$B$4:$B$18,0)),"")</f>
        <v/>
      </c>
      <c r="K929">
        <f>IFERROR(INDEX(Cluster_Master!$F$4:$F$18,MATCH($F929,Cluster_Master!$B$4:$B$18,0)),"")</f>
        <v/>
      </c>
      <c r="L929">
        <f>IFERROR(INDEX(Cluster_Master!$G$4:$G$18,MATCH($F929,Cluster_Master!$B$4:$B$18,0)),"")</f>
        <v/>
      </c>
      <c r="M929">
        <f>IFERROR(INDEX(Cluster_Master!$H$4:$H$18,MATCH($F929,Cluster_Master!$B$4:$B$18,0)),"")</f>
        <v/>
      </c>
      <c r="AI929">
        <f>IF(COUNTA(T929:AH929)=0,"",SUM(T929:AH929))</f>
        <v/>
      </c>
      <c r="AJ929">
        <f>IF(COUNTA(T929:AH929)=0,"",AI929/(COUNT(KPI_Weights!$A$4:$A$18)*5))</f>
        <v/>
      </c>
      <c r="AK929">
        <f>IF(COUNTA(T929:AH929)=0,"",SUMPRODUCT(T929:AH929,KPI_Weights!$B$4:$B$18)/5)</f>
        <v/>
      </c>
      <c r="AL929">
        <f>IF(COUNTA(T929:AH929)=0,"",IF(SUMPRODUCT(--(T929:AH929&lt;=1),--(KPI_Weights!$C$4:$C$18="YES"))&gt;0,"YES","NO"))</f>
        <v/>
      </c>
      <c r="AM929">
        <f>IF(AJ929="","",IF(AND(AL929="NO",AJ929&gt;=0.75),"YES","NO"))</f>
        <v/>
      </c>
      <c r="AN929">
        <f>IF(AJ929="","",IF(AJ929&lt;0.4,"Critical",IF(AJ929&lt;0.6,"Poor",IF(AJ929&lt;0.75,"Needs Improvement",IF(AJ929&lt;0.9,"Good","Excellent")))))</f>
        <v/>
      </c>
    </row>
    <row r="930" ht="15" customHeight="1" s="45">
      <c r="A930">
        <f>IF($B930="","",TEXT($B930,"yyyymmdd")&amp;"-"&amp;SUBSTITUTE($F930," ","")&amp;"-"&amp;TEXT(COUNTIF($F$4:F930,$F930),"00"))</f>
        <v/>
      </c>
      <c r="C930">
        <f>IF($B930="","",WEEKNUM($B930,2))</f>
        <v/>
      </c>
      <c r="D930">
        <f>IF($B930="","",TEXT($B930,"yyyy-mm"))</f>
        <v/>
      </c>
      <c r="G930">
        <f>IF(OR($E930="",$F930=""),"",IFERROR(IF($E930=INDEX(Cluster_Master!$A$4:$A$18,MATCH($F930,Cluster_Master!$B$4:$B$18,0)),"OK","CHECK"),"CHECK"))</f>
        <v/>
      </c>
      <c r="H930">
        <f>IFERROR(INDEX(Cluster_Master!$C$4:$C$18,MATCH($F930,Cluster_Master!$B$4:$B$18,0)),"")</f>
        <v/>
      </c>
      <c r="I930">
        <f>IFERROR(INDEX(Cluster_Master!$D$4:$D$18,MATCH($F930,Cluster_Master!$B$4:$B$18,0)),"")</f>
        <v/>
      </c>
      <c r="J930">
        <f>IFERROR(INDEX(Cluster_Master!$E$4:$E$18,MATCH($F930,Cluster_Master!$B$4:$B$18,0)),"")</f>
        <v/>
      </c>
      <c r="K930">
        <f>IFERROR(INDEX(Cluster_Master!$F$4:$F$18,MATCH($F930,Cluster_Master!$B$4:$B$18,0)),"")</f>
        <v/>
      </c>
      <c r="L930">
        <f>IFERROR(INDEX(Cluster_Master!$G$4:$G$18,MATCH($F930,Cluster_Master!$B$4:$B$18,0)),"")</f>
        <v/>
      </c>
      <c r="M930">
        <f>IFERROR(INDEX(Cluster_Master!$H$4:$H$18,MATCH($F930,Cluster_Master!$B$4:$B$18,0)),"")</f>
        <v/>
      </c>
      <c r="AI930">
        <f>IF(COUNTA(T930:AH930)=0,"",SUM(T930:AH930))</f>
        <v/>
      </c>
      <c r="AJ930">
        <f>IF(COUNTA(T930:AH930)=0,"",AI930/(COUNT(KPI_Weights!$A$4:$A$18)*5))</f>
        <v/>
      </c>
      <c r="AK930">
        <f>IF(COUNTA(T930:AH930)=0,"",SUMPRODUCT(T930:AH930,KPI_Weights!$B$4:$B$18)/5)</f>
        <v/>
      </c>
      <c r="AL930">
        <f>IF(COUNTA(T930:AH930)=0,"",IF(SUMPRODUCT(--(T930:AH930&lt;=1),--(KPI_Weights!$C$4:$C$18="YES"))&gt;0,"YES","NO"))</f>
        <v/>
      </c>
      <c r="AM930">
        <f>IF(AJ930="","",IF(AND(AL930="NO",AJ930&gt;=0.75),"YES","NO"))</f>
        <v/>
      </c>
      <c r="AN930">
        <f>IF(AJ930="","",IF(AJ930&lt;0.4,"Critical",IF(AJ930&lt;0.6,"Poor",IF(AJ930&lt;0.75,"Needs Improvement",IF(AJ930&lt;0.9,"Good","Excellent")))))</f>
        <v/>
      </c>
    </row>
    <row r="931" ht="15" customHeight="1" s="45">
      <c r="A931">
        <f>IF($B931="","",TEXT($B931,"yyyymmdd")&amp;"-"&amp;SUBSTITUTE($F931," ","")&amp;"-"&amp;TEXT(COUNTIF($F$4:F931,$F931),"00"))</f>
        <v/>
      </c>
      <c r="C931">
        <f>IF($B931="","",WEEKNUM($B931,2))</f>
        <v/>
      </c>
      <c r="D931">
        <f>IF($B931="","",TEXT($B931,"yyyy-mm"))</f>
        <v/>
      </c>
      <c r="G931">
        <f>IF(OR($E931="",$F931=""),"",IFERROR(IF($E931=INDEX(Cluster_Master!$A$4:$A$18,MATCH($F931,Cluster_Master!$B$4:$B$18,0)),"OK","CHECK"),"CHECK"))</f>
        <v/>
      </c>
      <c r="H931">
        <f>IFERROR(INDEX(Cluster_Master!$C$4:$C$18,MATCH($F931,Cluster_Master!$B$4:$B$18,0)),"")</f>
        <v/>
      </c>
      <c r="I931">
        <f>IFERROR(INDEX(Cluster_Master!$D$4:$D$18,MATCH($F931,Cluster_Master!$B$4:$B$18,0)),"")</f>
        <v/>
      </c>
      <c r="J931">
        <f>IFERROR(INDEX(Cluster_Master!$E$4:$E$18,MATCH($F931,Cluster_Master!$B$4:$B$18,0)),"")</f>
        <v/>
      </c>
      <c r="K931">
        <f>IFERROR(INDEX(Cluster_Master!$F$4:$F$18,MATCH($F931,Cluster_Master!$B$4:$B$18,0)),"")</f>
        <v/>
      </c>
      <c r="L931">
        <f>IFERROR(INDEX(Cluster_Master!$G$4:$G$18,MATCH($F931,Cluster_Master!$B$4:$B$18,0)),"")</f>
        <v/>
      </c>
      <c r="M931">
        <f>IFERROR(INDEX(Cluster_Master!$H$4:$H$18,MATCH($F931,Cluster_Master!$B$4:$B$18,0)),"")</f>
        <v/>
      </c>
      <c r="AI931">
        <f>IF(COUNTA(T931:AH931)=0,"",SUM(T931:AH931))</f>
        <v/>
      </c>
      <c r="AJ931">
        <f>IF(COUNTA(T931:AH931)=0,"",AI931/(COUNT(KPI_Weights!$A$4:$A$18)*5))</f>
        <v/>
      </c>
      <c r="AK931">
        <f>IF(COUNTA(T931:AH931)=0,"",SUMPRODUCT(T931:AH931,KPI_Weights!$B$4:$B$18)/5)</f>
        <v/>
      </c>
      <c r="AL931">
        <f>IF(COUNTA(T931:AH931)=0,"",IF(SUMPRODUCT(--(T931:AH931&lt;=1),--(KPI_Weights!$C$4:$C$18="YES"))&gt;0,"YES","NO"))</f>
        <v/>
      </c>
      <c r="AM931">
        <f>IF(AJ931="","",IF(AND(AL931="NO",AJ931&gt;=0.75),"YES","NO"))</f>
        <v/>
      </c>
      <c r="AN931">
        <f>IF(AJ931="","",IF(AJ931&lt;0.4,"Critical",IF(AJ931&lt;0.6,"Poor",IF(AJ931&lt;0.75,"Needs Improvement",IF(AJ931&lt;0.9,"Good","Excellent")))))</f>
        <v/>
      </c>
    </row>
    <row r="932" ht="15" customHeight="1" s="45">
      <c r="A932">
        <f>IF($B932="","",TEXT($B932,"yyyymmdd")&amp;"-"&amp;SUBSTITUTE($F932," ","")&amp;"-"&amp;TEXT(COUNTIF($F$4:F932,$F932),"00"))</f>
        <v/>
      </c>
      <c r="C932">
        <f>IF($B932="","",WEEKNUM($B932,2))</f>
        <v/>
      </c>
      <c r="D932">
        <f>IF($B932="","",TEXT($B932,"yyyy-mm"))</f>
        <v/>
      </c>
      <c r="G932">
        <f>IF(OR($E932="",$F932=""),"",IFERROR(IF($E932=INDEX(Cluster_Master!$A$4:$A$18,MATCH($F932,Cluster_Master!$B$4:$B$18,0)),"OK","CHECK"),"CHECK"))</f>
        <v/>
      </c>
      <c r="H932">
        <f>IFERROR(INDEX(Cluster_Master!$C$4:$C$18,MATCH($F932,Cluster_Master!$B$4:$B$18,0)),"")</f>
        <v/>
      </c>
      <c r="I932">
        <f>IFERROR(INDEX(Cluster_Master!$D$4:$D$18,MATCH($F932,Cluster_Master!$B$4:$B$18,0)),"")</f>
        <v/>
      </c>
      <c r="J932">
        <f>IFERROR(INDEX(Cluster_Master!$E$4:$E$18,MATCH($F932,Cluster_Master!$B$4:$B$18,0)),"")</f>
        <v/>
      </c>
      <c r="K932">
        <f>IFERROR(INDEX(Cluster_Master!$F$4:$F$18,MATCH($F932,Cluster_Master!$B$4:$B$18,0)),"")</f>
        <v/>
      </c>
      <c r="L932">
        <f>IFERROR(INDEX(Cluster_Master!$G$4:$G$18,MATCH($F932,Cluster_Master!$B$4:$B$18,0)),"")</f>
        <v/>
      </c>
      <c r="M932">
        <f>IFERROR(INDEX(Cluster_Master!$H$4:$H$18,MATCH($F932,Cluster_Master!$B$4:$B$18,0)),"")</f>
        <v/>
      </c>
      <c r="AI932">
        <f>IF(COUNTA(T932:AH932)=0,"",SUM(T932:AH932))</f>
        <v/>
      </c>
      <c r="AJ932">
        <f>IF(COUNTA(T932:AH932)=0,"",AI932/(COUNT(KPI_Weights!$A$4:$A$18)*5))</f>
        <v/>
      </c>
      <c r="AK932">
        <f>IF(COUNTA(T932:AH932)=0,"",SUMPRODUCT(T932:AH932,KPI_Weights!$B$4:$B$18)/5)</f>
        <v/>
      </c>
      <c r="AL932">
        <f>IF(COUNTA(T932:AH932)=0,"",IF(SUMPRODUCT(--(T932:AH932&lt;=1),--(KPI_Weights!$C$4:$C$18="YES"))&gt;0,"YES","NO"))</f>
        <v/>
      </c>
      <c r="AM932">
        <f>IF(AJ932="","",IF(AND(AL932="NO",AJ932&gt;=0.75),"YES","NO"))</f>
        <v/>
      </c>
      <c r="AN932">
        <f>IF(AJ932="","",IF(AJ932&lt;0.4,"Critical",IF(AJ932&lt;0.6,"Poor",IF(AJ932&lt;0.75,"Needs Improvement",IF(AJ932&lt;0.9,"Good","Excellent")))))</f>
        <v/>
      </c>
    </row>
    <row r="933" ht="15" customHeight="1" s="45">
      <c r="A933">
        <f>IF($B933="","",TEXT($B933,"yyyymmdd")&amp;"-"&amp;SUBSTITUTE($F933," ","")&amp;"-"&amp;TEXT(COUNTIF($F$4:F933,$F933),"00"))</f>
        <v/>
      </c>
      <c r="C933">
        <f>IF($B933="","",WEEKNUM($B933,2))</f>
        <v/>
      </c>
      <c r="D933">
        <f>IF($B933="","",TEXT($B933,"yyyy-mm"))</f>
        <v/>
      </c>
      <c r="G933">
        <f>IF(OR($E933="",$F933=""),"",IFERROR(IF($E933=INDEX(Cluster_Master!$A$4:$A$18,MATCH($F933,Cluster_Master!$B$4:$B$18,0)),"OK","CHECK"),"CHECK"))</f>
        <v/>
      </c>
      <c r="H933">
        <f>IFERROR(INDEX(Cluster_Master!$C$4:$C$18,MATCH($F933,Cluster_Master!$B$4:$B$18,0)),"")</f>
        <v/>
      </c>
      <c r="I933">
        <f>IFERROR(INDEX(Cluster_Master!$D$4:$D$18,MATCH($F933,Cluster_Master!$B$4:$B$18,0)),"")</f>
        <v/>
      </c>
      <c r="J933">
        <f>IFERROR(INDEX(Cluster_Master!$E$4:$E$18,MATCH($F933,Cluster_Master!$B$4:$B$18,0)),"")</f>
        <v/>
      </c>
      <c r="K933">
        <f>IFERROR(INDEX(Cluster_Master!$F$4:$F$18,MATCH($F933,Cluster_Master!$B$4:$B$18,0)),"")</f>
        <v/>
      </c>
      <c r="L933">
        <f>IFERROR(INDEX(Cluster_Master!$G$4:$G$18,MATCH($F933,Cluster_Master!$B$4:$B$18,0)),"")</f>
        <v/>
      </c>
      <c r="M933">
        <f>IFERROR(INDEX(Cluster_Master!$H$4:$H$18,MATCH($F933,Cluster_Master!$B$4:$B$18,0)),"")</f>
        <v/>
      </c>
      <c r="AI933">
        <f>IF(COUNTA(T933:AH933)=0,"",SUM(T933:AH933))</f>
        <v/>
      </c>
      <c r="AJ933">
        <f>IF(COUNTA(T933:AH933)=0,"",AI933/(COUNT(KPI_Weights!$A$4:$A$18)*5))</f>
        <v/>
      </c>
      <c r="AK933">
        <f>IF(COUNTA(T933:AH933)=0,"",SUMPRODUCT(T933:AH933,KPI_Weights!$B$4:$B$18)/5)</f>
        <v/>
      </c>
      <c r="AL933">
        <f>IF(COUNTA(T933:AH933)=0,"",IF(SUMPRODUCT(--(T933:AH933&lt;=1),--(KPI_Weights!$C$4:$C$18="YES"))&gt;0,"YES","NO"))</f>
        <v/>
      </c>
      <c r="AM933">
        <f>IF(AJ933="","",IF(AND(AL933="NO",AJ933&gt;=0.75),"YES","NO"))</f>
        <v/>
      </c>
      <c r="AN933">
        <f>IF(AJ933="","",IF(AJ933&lt;0.4,"Critical",IF(AJ933&lt;0.6,"Poor",IF(AJ933&lt;0.75,"Needs Improvement",IF(AJ933&lt;0.9,"Good","Excellent")))))</f>
        <v/>
      </c>
    </row>
    <row r="934" ht="15" customHeight="1" s="45">
      <c r="A934">
        <f>IF($B934="","",TEXT($B934,"yyyymmdd")&amp;"-"&amp;SUBSTITUTE($F934," ","")&amp;"-"&amp;TEXT(COUNTIF($F$4:F934,$F934),"00"))</f>
        <v/>
      </c>
      <c r="C934">
        <f>IF($B934="","",WEEKNUM($B934,2))</f>
        <v/>
      </c>
      <c r="D934">
        <f>IF($B934="","",TEXT($B934,"yyyy-mm"))</f>
        <v/>
      </c>
      <c r="G934">
        <f>IF(OR($E934="",$F934=""),"",IFERROR(IF($E934=INDEX(Cluster_Master!$A$4:$A$18,MATCH($F934,Cluster_Master!$B$4:$B$18,0)),"OK","CHECK"),"CHECK"))</f>
        <v/>
      </c>
      <c r="H934">
        <f>IFERROR(INDEX(Cluster_Master!$C$4:$C$18,MATCH($F934,Cluster_Master!$B$4:$B$18,0)),"")</f>
        <v/>
      </c>
      <c r="I934">
        <f>IFERROR(INDEX(Cluster_Master!$D$4:$D$18,MATCH($F934,Cluster_Master!$B$4:$B$18,0)),"")</f>
        <v/>
      </c>
      <c r="J934">
        <f>IFERROR(INDEX(Cluster_Master!$E$4:$E$18,MATCH($F934,Cluster_Master!$B$4:$B$18,0)),"")</f>
        <v/>
      </c>
      <c r="K934">
        <f>IFERROR(INDEX(Cluster_Master!$F$4:$F$18,MATCH($F934,Cluster_Master!$B$4:$B$18,0)),"")</f>
        <v/>
      </c>
      <c r="L934">
        <f>IFERROR(INDEX(Cluster_Master!$G$4:$G$18,MATCH($F934,Cluster_Master!$B$4:$B$18,0)),"")</f>
        <v/>
      </c>
      <c r="M934">
        <f>IFERROR(INDEX(Cluster_Master!$H$4:$H$18,MATCH($F934,Cluster_Master!$B$4:$B$18,0)),"")</f>
        <v/>
      </c>
      <c r="AI934">
        <f>IF(COUNTA(T934:AH934)=0,"",SUM(T934:AH934))</f>
        <v/>
      </c>
      <c r="AJ934">
        <f>IF(COUNTA(T934:AH934)=0,"",AI934/(COUNT(KPI_Weights!$A$4:$A$18)*5))</f>
        <v/>
      </c>
      <c r="AK934">
        <f>IF(COUNTA(T934:AH934)=0,"",SUMPRODUCT(T934:AH934,KPI_Weights!$B$4:$B$18)/5)</f>
        <v/>
      </c>
      <c r="AL934">
        <f>IF(COUNTA(T934:AH934)=0,"",IF(SUMPRODUCT(--(T934:AH934&lt;=1),--(KPI_Weights!$C$4:$C$18="YES"))&gt;0,"YES","NO"))</f>
        <v/>
      </c>
      <c r="AM934">
        <f>IF(AJ934="","",IF(AND(AL934="NO",AJ934&gt;=0.75),"YES","NO"))</f>
        <v/>
      </c>
      <c r="AN934">
        <f>IF(AJ934="","",IF(AJ934&lt;0.4,"Critical",IF(AJ934&lt;0.6,"Poor",IF(AJ934&lt;0.75,"Needs Improvement",IF(AJ934&lt;0.9,"Good","Excellent")))))</f>
        <v/>
      </c>
    </row>
    <row r="935" ht="15" customHeight="1" s="45">
      <c r="A935">
        <f>IF($B935="","",TEXT($B935,"yyyymmdd")&amp;"-"&amp;SUBSTITUTE($F935," ","")&amp;"-"&amp;TEXT(COUNTIF($F$4:F935,$F935),"00"))</f>
        <v/>
      </c>
      <c r="C935">
        <f>IF($B935="","",WEEKNUM($B935,2))</f>
        <v/>
      </c>
      <c r="D935">
        <f>IF($B935="","",TEXT($B935,"yyyy-mm"))</f>
        <v/>
      </c>
      <c r="G935">
        <f>IF(OR($E935="",$F935=""),"",IFERROR(IF($E935=INDEX(Cluster_Master!$A$4:$A$18,MATCH($F935,Cluster_Master!$B$4:$B$18,0)),"OK","CHECK"),"CHECK"))</f>
        <v/>
      </c>
      <c r="H935">
        <f>IFERROR(INDEX(Cluster_Master!$C$4:$C$18,MATCH($F935,Cluster_Master!$B$4:$B$18,0)),"")</f>
        <v/>
      </c>
      <c r="I935">
        <f>IFERROR(INDEX(Cluster_Master!$D$4:$D$18,MATCH($F935,Cluster_Master!$B$4:$B$18,0)),"")</f>
        <v/>
      </c>
      <c r="J935">
        <f>IFERROR(INDEX(Cluster_Master!$E$4:$E$18,MATCH($F935,Cluster_Master!$B$4:$B$18,0)),"")</f>
        <v/>
      </c>
      <c r="K935">
        <f>IFERROR(INDEX(Cluster_Master!$F$4:$F$18,MATCH($F935,Cluster_Master!$B$4:$B$18,0)),"")</f>
        <v/>
      </c>
      <c r="L935">
        <f>IFERROR(INDEX(Cluster_Master!$G$4:$G$18,MATCH($F935,Cluster_Master!$B$4:$B$18,0)),"")</f>
        <v/>
      </c>
      <c r="M935">
        <f>IFERROR(INDEX(Cluster_Master!$H$4:$H$18,MATCH($F935,Cluster_Master!$B$4:$B$18,0)),"")</f>
        <v/>
      </c>
      <c r="AI935">
        <f>IF(COUNTA(T935:AH935)=0,"",SUM(T935:AH935))</f>
        <v/>
      </c>
      <c r="AJ935">
        <f>IF(COUNTA(T935:AH935)=0,"",AI935/(COUNT(KPI_Weights!$A$4:$A$18)*5))</f>
        <v/>
      </c>
      <c r="AK935">
        <f>IF(COUNTA(T935:AH935)=0,"",SUMPRODUCT(T935:AH935,KPI_Weights!$B$4:$B$18)/5)</f>
        <v/>
      </c>
      <c r="AL935">
        <f>IF(COUNTA(T935:AH935)=0,"",IF(SUMPRODUCT(--(T935:AH935&lt;=1),--(KPI_Weights!$C$4:$C$18="YES"))&gt;0,"YES","NO"))</f>
        <v/>
      </c>
      <c r="AM935">
        <f>IF(AJ935="","",IF(AND(AL935="NO",AJ935&gt;=0.75),"YES","NO"))</f>
        <v/>
      </c>
      <c r="AN935">
        <f>IF(AJ935="","",IF(AJ935&lt;0.4,"Critical",IF(AJ935&lt;0.6,"Poor",IF(AJ935&lt;0.75,"Needs Improvement",IF(AJ935&lt;0.9,"Good","Excellent")))))</f>
        <v/>
      </c>
    </row>
    <row r="936" ht="15" customHeight="1" s="45">
      <c r="A936">
        <f>IF($B936="","",TEXT($B936,"yyyymmdd")&amp;"-"&amp;SUBSTITUTE($F936," ","")&amp;"-"&amp;TEXT(COUNTIF($F$4:F936,$F936),"00"))</f>
        <v/>
      </c>
      <c r="C936">
        <f>IF($B936="","",WEEKNUM($B936,2))</f>
        <v/>
      </c>
      <c r="D936">
        <f>IF($B936="","",TEXT($B936,"yyyy-mm"))</f>
        <v/>
      </c>
      <c r="G936">
        <f>IF(OR($E936="",$F936=""),"",IFERROR(IF($E936=INDEX(Cluster_Master!$A$4:$A$18,MATCH($F936,Cluster_Master!$B$4:$B$18,0)),"OK","CHECK"),"CHECK"))</f>
        <v/>
      </c>
      <c r="H936">
        <f>IFERROR(INDEX(Cluster_Master!$C$4:$C$18,MATCH($F936,Cluster_Master!$B$4:$B$18,0)),"")</f>
        <v/>
      </c>
      <c r="I936">
        <f>IFERROR(INDEX(Cluster_Master!$D$4:$D$18,MATCH($F936,Cluster_Master!$B$4:$B$18,0)),"")</f>
        <v/>
      </c>
      <c r="J936">
        <f>IFERROR(INDEX(Cluster_Master!$E$4:$E$18,MATCH($F936,Cluster_Master!$B$4:$B$18,0)),"")</f>
        <v/>
      </c>
      <c r="K936">
        <f>IFERROR(INDEX(Cluster_Master!$F$4:$F$18,MATCH($F936,Cluster_Master!$B$4:$B$18,0)),"")</f>
        <v/>
      </c>
      <c r="L936">
        <f>IFERROR(INDEX(Cluster_Master!$G$4:$G$18,MATCH($F936,Cluster_Master!$B$4:$B$18,0)),"")</f>
        <v/>
      </c>
      <c r="M936">
        <f>IFERROR(INDEX(Cluster_Master!$H$4:$H$18,MATCH($F936,Cluster_Master!$B$4:$B$18,0)),"")</f>
        <v/>
      </c>
      <c r="AI936">
        <f>IF(COUNTA(T936:AH936)=0,"",SUM(T936:AH936))</f>
        <v/>
      </c>
      <c r="AJ936">
        <f>IF(COUNTA(T936:AH936)=0,"",AI936/(COUNT(KPI_Weights!$A$4:$A$18)*5))</f>
        <v/>
      </c>
      <c r="AK936">
        <f>IF(COUNTA(T936:AH936)=0,"",SUMPRODUCT(T936:AH936,KPI_Weights!$B$4:$B$18)/5)</f>
        <v/>
      </c>
      <c r="AL936">
        <f>IF(COUNTA(T936:AH936)=0,"",IF(SUMPRODUCT(--(T936:AH936&lt;=1),--(KPI_Weights!$C$4:$C$18="YES"))&gt;0,"YES","NO"))</f>
        <v/>
      </c>
      <c r="AM936">
        <f>IF(AJ936="","",IF(AND(AL936="NO",AJ936&gt;=0.75),"YES","NO"))</f>
        <v/>
      </c>
      <c r="AN936">
        <f>IF(AJ936="","",IF(AJ936&lt;0.4,"Critical",IF(AJ936&lt;0.6,"Poor",IF(AJ936&lt;0.75,"Needs Improvement",IF(AJ936&lt;0.9,"Good","Excellent")))))</f>
        <v/>
      </c>
    </row>
    <row r="937" ht="15" customHeight="1" s="45">
      <c r="A937">
        <f>IF($B937="","",TEXT($B937,"yyyymmdd")&amp;"-"&amp;SUBSTITUTE($F937," ","")&amp;"-"&amp;TEXT(COUNTIF($F$4:F937,$F937),"00"))</f>
        <v/>
      </c>
      <c r="C937">
        <f>IF($B937="","",WEEKNUM($B937,2))</f>
        <v/>
      </c>
      <c r="D937">
        <f>IF($B937="","",TEXT($B937,"yyyy-mm"))</f>
        <v/>
      </c>
      <c r="G937">
        <f>IF(OR($E937="",$F937=""),"",IFERROR(IF($E937=INDEX(Cluster_Master!$A$4:$A$18,MATCH($F937,Cluster_Master!$B$4:$B$18,0)),"OK","CHECK"),"CHECK"))</f>
        <v/>
      </c>
      <c r="H937">
        <f>IFERROR(INDEX(Cluster_Master!$C$4:$C$18,MATCH($F937,Cluster_Master!$B$4:$B$18,0)),"")</f>
        <v/>
      </c>
      <c r="I937">
        <f>IFERROR(INDEX(Cluster_Master!$D$4:$D$18,MATCH($F937,Cluster_Master!$B$4:$B$18,0)),"")</f>
        <v/>
      </c>
      <c r="J937">
        <f>IFERROR(INDEX(Cluster_Master!$E$4:$E$18,MATCH($F937,Cluster_Master!$B$4:$B$18,0)),"")</f>
        <v/>
      </c>
      <c r="K937">
        <f>IFERROR(INDEX(Cluster_Master!$F$4:$F$18,MATCH($F937,Cluster_Master!$B$4:$B$18,0)),"")</f>
        <v/>
      </c>
      <c r="L937">
        <f>IFERROR(INDEX(Cluster_Master!$G$4:$G$18,MATCH($F937,Cluster_Master!$B$4:$B$18,0)),"")</f>
        <v/>
      </c>
      <c r="M937">
        <f>IFERROR(INDEX(Cluster_Master!$H$4:$H$18,MATCH($F937,Cluster_Master!$B$4:$B$18,0)),"")</f>
        <v/>
      </c>
      <c r="AI937">
        <f>IF(COUNTA(T937:AH937)=0,"",SUM(T937:AH937))</f>
        <v/>
      </c>
      <c r="AJ937">
        <f>IF(COUNTA(T937:AH937)=0,"",AI937/(COUNT(KPI_Weights!$A$4:$A$18)*5))</f>
        <v/>
      </c>
      <c r="AK937">
        <f>IF(COUNTA(T937:AH937)=0,"",SUMPRODUCT(T937:AH937,KPI_Weights!$B$4:$B$18)/5)</f>
        <v/>
      </c>
      <c r="AL937">
        <f>IF(COUNTA(T937:AH937)=0,"",IF(SUMPRODUCT(--(T937:AH937&lt;=1),--(KPI_Weights!$C$4:$C$18="YES"))&gt;0,"YES","NO"))</f>
        <v/>
      </c>
      <c r="AM937">
        <f>IF(AJ937="","",IF(AND(AL937="NO",AJ937&gt;=0.75),"YES","NO"))</f>
        <v/>
      </c>
      <c r="AN937">
        <f>IF(AJ937="","",IF(AJ937&lt;0.4,"Critical",IF(AJ937&lt;0.6,"Poor",IF(AJ937&lt;0.75,"Needs Improvement",IF(AJ937&lt;0.9,"Good","Excellent")))))</f>
        <v/>
      </c>
    </row>
    <row r="938" ht="15" customHeight="1" s="45">
      <c r="A938">
        <f>IF($B938="","",TEXT($B938,"yyyymmdd")&amp;"-"&amp;SUBSTITUTE($F938," ","")&amp;"-"&amp;TEXT(COUNTIF($F$4:F938,$F938),"00"))</f>
        <v/>
      </c>
      <c r="C938">
        <f>IF($B938="","",WEEKNUM($B938,2))</f>
        <v/>
      </c>
      <c r="D938">
        <f>IF($B938="","",TEXT($B938,"yyyy-mm"))</f>
        <v/>
      </c>
      <c r="G938">
        <f>IF(OR($E938="",$F938=""),"",IFERROR(IF($E938=INDEX(Cluster_Master!$A$4:$A$18,MATCH($F938,Cluster_Master!$B$4:$B$18,0)),"OK","CHECK"),"CHECK"))</f>
        <v/>
      </c>
      <c r="H938">
        <f>IFERROR(INDEX(Cluster_Master!$C$4:$C$18,MATCH($F938,Cluster_Master!$B$4:$B$18,0)),"")</f>
        <v/>
      </c>
      <c r="I938">
        <f>IFERROR(INDEX(Cluster_Master!$D$4:$D$18,MATCH($F938,Cluster_Master!$B$4:$B$18,0)),"")</f>
        <v/>
      </c>
      <c r="J938">
        <f>IFERROR(INDEX(Cluster_Master!$E$4:$E$18,MATCH($F938,Cluster_Master!$B$4:$B$18,0)),"")</f>
        <v/>
      </c>
      <c r="K938">
        <f>IFERROR(INDEX(Cluster_Master!$F$4:$F$18,MATCH($F938,Cluster_Master!$B$4:$B$18,0)),"")</f>
        <v/>
      </c>
      <c r="L938">
        <f>IFERROR(INDEX(Cluster_Master!$G$4:$G$18,MATCH($F938,Cluster_Master!$B$4:$B$18,0)),"")</f>
        <v/>
      </c>
      <c r="M938">
        <f>IFERROR(INDEX(Cluster_Master!$H$4:$H$18,MATCH($F938,Cluster_Master!$B$4:$B$18,0)),"")</f>
        <v/>
      </c>
      <c r="AI938">
        <f>IF(COUNTA(T938:AH938)=0,"",SUM(T938:AH938))</f>
        <v/>
      </c>
      <c r="AJ938">
        <f>IF(COUNTA(T938:AH938)=0,"",AI938/(COUNT(KPI_Weights!$A$4:$A$18)*5))</f>
        <v/>
      </c>
      <c r="AK938">
        <f>IF(COUNTA(T938:AH938)=0,"",SUMPRODUCT(T938:AH938,KPI_Weights!$B$4:$B$18)/5)</f>
        <v/>
      </c>
      <c r="AL938">
        <f>IF(COUNTA(T938:AH938)=0,"",IF(SUMPRODUCT(--(T938:AH938&lt;=1),--(KPI_Weights!$C$4:$C$18="YES"))&gt;0,"YES","NO"))</f>
        <v/>
      </c>
      <c r="AM938">
        <f>IF(AJ938="","",IF(AND(AL938="NO",AJ938&gt;=0.75),"YES","NO"))</f>
        <v/>
      </c>
      <c r="AN938">
        <f>IF(AJ938="","",IF(AJ938&lt;0.4,"Critical",IF(AJ938&lt;0.6,"Poor",IF(AJ938&lt;0.75,"Needs Improvement",IF(AJ938&lt;0.9,"Good","Excellent")))))</f>
        <v/>
      </c>
    </row>
    <row r="939" ht="15" customHeight="1" s="45">
      <c r="A939">
        <f>IF($B939="","",TEXT($B939,"yyyymmdd")&amp;"-"&amp;SUBSTITUTE($F939," ","")&amp;"-"&amp;TEXT(COUNTIF($F$4:F939,$F939),"00"))</f>
        <v/>
      </c>
      <c r="C939">
        <f>IF($B939="","",WEEKNUM($B939,2))</f>
        <v/>
      </c>
      <c r="D939">
        <f>IF($B939="","",TEXT($B939,"yyyy-mm"))</f>
        <v/>
      </c>
      <c r="G939">
        <f>IF(OR($E939="",$F939=""),"",IFERROR(IF($E939=INDEX(Cluster_Master!$A$4:$A$18,MATCH($F939,Cluster_Master!$B$4:$B$18,0)),"OK","CHECK"),"CHECK"))</f>
        <v/>
      </c>
      <c r="H939">
        <f>IFERROR(INDEX(Cluster_Master!$C$4:$C$18,MATCH($F939,Cluster_Master!$B$4:$B$18,0)),"")</f>
        <v/>
      </c>
      <c r="I939">
        <f>IFERROR(INDEX(Cluster_Master!$D$4:$D$18,MATCH($F939,Cluster_Master!$B$4:$B$18,0)),"")</f>
        <v/>
      </c>
      <c r="J939">
        <f>IFERROR(INDEX(Cluster_Master!$E$4:$E$18,MATCH($F939,Cluster_Master!$B$4:$B$18,0)),"")</f>
        <v/>
      </c>
      <c r="K939">
        <f>IFERROR(INDEX(Cluster_Master!$F$4:$F$18,MATCH($F939,Cluster_Master!$B$4:$B$18,0)),"")</f>
        <v/>
      </c>
      <c r="L939">
        <f>IFERROR(INDEX(Cluster_Master!$G$4:$G$18,MATCH($F939,Cluster_Master!$B$4:$B$18,0)),"")</f>
        <v/>
      </c>
      <c r="M939">
        <f>IFERROR(INDEX(Cluster_Master!$H$4:$H$18,MATCH($F939,Cluster_Master!$B$4:$B$18,0)),"")</f>
        <v/>
      </c>
      <c r="AI939">
        <f>IF(COUNTA(T939:AH939)=0,"",SUM(T939:AH939))</f>
        <v/>
      </c>
      <c r="AJ939">
        <f>IF(COUNTA(T939:AH939)=0,"",AI939/(COUNT(KPI_Weights!$A$4:$A$18)*5))</f>
        <v/>
      </c>
      <c r="AK939">
        <f>IF(COUNTA(T939:AH939)=0,"",SUMPRODUCT(T939:AH939,KPI_Weights!$B$4:$B$18)/5)</f>
        <v/>
      </c>
      <c r="AL939">
        <f>IF(COUNTA(T939:AH939)=0,"",IF(SUMPRODUCT(--(T939:AH939&lt;=1),--(KPI_Weights!$C$4:$C$18="YES"))&gt;0,"YES","NO"))</f>
        <v/>
      </c>
      <c r="AM939">
        <f>IF(AJ939="","",IF(AND(AL939="NO",AJ939&gt;=0.75),"YES","NO"))</f>
        <v/>
      </c>
      <c r="AN939">
        <f>IF(AJ939="","",IF(AJ939&lt;0.4,"Critical",IF(AJ939&lt;0.6,"Poor",IF(AJ939&lt;0.75,"Needs Improvement",IF(AJ939&lt;0.9,"Good","Excellent")))))</f>
        <v/>
      </c>
    </row>
    <row r="940" ht="15" customHeight="1" s="45">
      <c r="A940">
        <f>IF($B940="","",TEXT($B940,"yyyymmdd")&amp;"-"&amp;SUBSTITUTE($F940," ","")&amp;"-"&amp;TEXT(COUNTIF($F$4:F940,$F940),"00"))</f>
        <v/>
      </c>
      <c r="C940">
        <f>IF($B940="","",WEEKNUM($B940,2))</f>
        <v/>
      </c>
      <c r="D940">
        <f>IF($B940="","",TEXT($B940,"yyyy-mm"))</f>
        <v/>
      </c>
      <c r="G940">
        <f>IF(OR($E940="",$F940=""),"",IFERROR(IF($E940=INDEX(Cluster_Master!$A$4:$A$18,MATCH($F940,Cluster_Master!$B$4:$B$18,0)),"OK","CHECK"),"CHECK"))</f>
        <v/>
      </c>
      <c r="H940">
        <f>IFERROR(INDEX(Cluster_Master!$C$4:$C$18,MATCH($F940,Cluster_Master!$B$4:$B$18,0)),"")</f>
        <v/>
      </c>
      <c r="I940">
        <f>IFERROR(INDEX(Cluster_Master!$D$4:$D$18,MATCH($F940,Cluster_Master!$B$4:$B$18,0)),"")</f>
        <v/>
      </c>
      <c r="J940">
        <f>IFERROR(INDEX(Cluster_Master!$E$4:$E$18,MATCH($F940,Cluster_Master!$B$4:$B$18,0)),"")</f>
        <v/>
      </c>
      <c r="K940">
        <f>IFERROR(INDEX(Cluster_Master!$F$4:$F$18,MATCH($F940,Cluster_Master!$B$4:$B$18,0)),"")</f>
        <v/>
      </c>
      <c r="L940">
        <f>IFERROR(INDEX(Cluster_Master!$G$4:$G$18,MATCH($F940,Cluster_Master!$B$4:$B$18,0)),"")</f>
        <v/>
      </c>
      <c r="M940">
        <f>IFERROR(INDEX(Cluster_Master!$H$4:$H$18,MATCH($F940,Cluster_Master!$B$4:$B$18,0)),"")</f>
        <v/>
      </c>
      <c r="AI940">
        <f>IF(COUNTA(T940:AH940)=0,"",SUM(T940:AH940))</f>
        <v/>
      </c>
      <c r="AJ940">
        <f>IF(COUNTA(T940:AH940)=0,"",AI940/(COUNT(KPI_Weights!$A$4:$A$18)*5))</f>
        <v/>
      </c>
      <c r="AK940">
        <f>IF(COUNTA(T940:AH940)=0,"",SUMPRODUCT(T940:AH940,KPI_Weights!$B$4:$B$18)/5)</f>
        <v/>
      </c>
      <c r="AL940">
        <f>IF(COUNTA(T940:AH940)=0,"",IF(SUMPRODUCT(--(T940:AH940&lt;=1),--(KPI_Weights!$C$4:$C$18="YES"))&gt;0,"YES","NO"))</f>
        <v/>
      </c>
      <c r="AM940">
        <f>IF(AJ940="","",IF(AND(AL940="NO",AJ940&gt;=0.75),"YES","NO"))</f>
        <v/>
      </c>
      <c r="AN940">
        <f>IF(AJ940="","",IF(AJ940&lt;0.4,"Critical",IF(AJ940&lt;0.6,"Poor",IF(AJ940&lt;0.75,"Needs Improvement",IF(AJ940&lt;0.9,"Good","Excellent")))))</f>
        <v/>
      </c>
    </row>
    <row r="941" ht="15" customHeight="1" s="45">
      <c r="A941">
        <f>IF($B941="","",TEXT($B941,"yyyymmdd")&amp;"-"&amp;SUBSTITUTE($F941," ","")&amp;"-"&amp;TEXT(COUNTIF($F$4:F941,$F941),"00"))</f>
        <v/>
      </c>
      <c r="C941">
        <f>IF($B941="","",WEEKNUM($B941,2))</f>
        <v/>
      </c>
      <c r="D941">
        <f>IF($B941="","",TEXT($B941,"yyyy-mm"))</f>
        <v/>
      </c>
      <c r="G941">
        <f>IF(OR($E941="",$F941=""),"",IFERROR(IF($E941=INDEX(Cluster_Master!$A$4:$A$18,MATCH($F941,Cluster_Master!$B$4:$B$18,0)),"OK","CHECK"),"CHECK"))</f>
        <v/>
      </c>
      <c r="H941">
        <f>IFERROR(INDEX(Cluster_Master!$C$4:$C$18,MATCH($F941,Cluster_Master!$B$4:$B$18,0)),"")</f>
        <v/>
      </c>
      <c r="I941">
        <f>IFERROR(INDEX(Cluster_Master!$D$4:$D$18,MATCH($F941,Cluster_Master!$B$4:$B$18,0)),"")</f>
        <v/>
      </c>
      <c r="J941">
        <f>IFERROR(INDEX(Cluster_Master!$E$4:$E$18,MATCH($F941,Cluster_Master!$B$4:$B$18,0)),"")</f>
        <v/>
      </c>
      <c r="K941">
        <f>IFERROR(INDEX(Cluster_Master!$F$4:$F$18,MATCH($F941,Cluster_Master!$B$4:$B$18,0)),"")</f>
        <v/>
      </c>
      <c r="L941">
        <f>IFERROR(INDEX(Cluster_Master!$G$4:$G$18,MATCH($F941,Cluster_Master!$B$4:$B$18,0)),"")</f>
        <v/>
      </c>
      <c r="M941">
        <f>IFERROR(INDEX(Cluster_Master!$H$4:$H$18,MATCH($F941,Cluster_Master!$B$4:$B$18,0)),"")</f>
        <v/>
      </c>
      <c r="AI941">
        <f>IF(COUNTA(T941:AH941)=0,"",SUM(T941:AH941))</f>
        <v/>
      </c>
      <c r="AJ941">
        <f>IF(COUNTA(T941:AH941)=0,"",AI941/(COUNT(KPI_Weights!$A$4:$A$18)*5))</f>
        <v/>
      </c>
      <c r="AK941">
        <f>IF(COUNTA(T941:AH941)=0,"",SUMPRODUCT(T941:AH941,KPI_Weights!$B$4:$B$18)/5)</f>
        <v/>
      </c>
      <c r="AL941">
        <f>IF(COUNTA(T941:AH941)=0,"",IF(SUMPRODUCT(--(T941:AH941&lt;=1),--(KPI_Weights!$C$4:$C$18="YES"))&gt;0,"YES","NO"))</f>
        <v/>
      </c>
      <c r="AM941">
        <f>IF(AJ941="","",IF(AND(AL941="NO",AJ941&gt;=0.75),"YES","NO"))</f>
        <v/>
      </c>
      <c r="AN941">
        <f>IF(AJ941="","",IF(AJ941&lt;0.4,"Critical",IF(AJ941&lt;0.6,"Poor",IF(AJ941&lt;0.75,"Needs Improvement",IF(AJ941&lt;0.9,"Good","Excellent")))))</f>
        <v/>
      </c>
    </row>
    <row r="942" ht="15" customHeight="1" s="45">
      <c r="A942">
        <f>IF($B942="","",TEXT($B942,"yyyymmdd")&amp;"-"&amp;SUBSTITUTE($F942," ","")&amp;"-"&amp;TEXT(COUNTIF($F$4:F942,$F942),"00"))</f>
        <v/>
      </c>
      <c r="C942">
        <f>IF($B942="","",WEEKNUM($B942,2))</f>
        <v/>
      </c>
      <c r="D942">
        <f>IF($B942="","",TEXT($B942,"yyyy-mm"))</f>
        <v/>
      </c>
      <c r="G942">
        <f>IF(OR($E942="",$F942=""),"",IFERROR(IF($E942=INDEX(Cluster_Master!$A$4:$A$18,MATCH($F942,Cluster_Master!$B$4:$B$18,0)),"OK","CHECK"),"CHECK"))</f>
        <v/>
      </c>
      <c r="H942">
        <f>IFERROR(INDEX(Cluster_Master!$C$4:$C$18,MATCH($F942,Cluster_Master!$B$4:$B$18,0)),"")</f>
        <v/>
      </c>
      <c r="I942">
        <f>IFERROR(INDEX(Cluster_Master!$D$4:$D$18,MATCH($F942,Cluster_Master!$B$4:$B$18,0)),"")</f>
        <v/>
      </c>
      <c r="J942">
        <f>IFERROR(INDEX(Cluster_Master!$E$4:$E$18,MATCH($F942,Cluster_Master!$B$4:$B$18,0)),"")</f>
        <v/>
      </c>
      <c r="K942">
        <f>IFERROR(INDEX(Cluster_Master!$F$4:$F$18,MATCH($F942,Cluster_Master!$B$4:$B$18,0)),"")</f>
        <v/>
      </c>
      <c r="L942">
        <f>IFERROR(INDEX(Cluster_Master!$G$4:$G$18,MATCH($F942,Cluster_Master!$B$4:$B$18,0)),"")</f>
        <v/>
      </c>
      <c r="M942">
        <f>IFERROR(INDEX(Cluster_Master!$H$4:$H$18,MATCH($F942,Cluster_Master!$B$4:$B$18,0)),"")</f>
        <v/>
      </c>
      <c r="AI942">
        <f>IF(COUNTA(T942:AH942)=0,"",SUM(T942:AH942))</f>
        <v/>
      </c>
      <c r="AJ942">
        <f>IF(COUNTA(T942:AH942)=0,"",AI942/(COUNT(KPI_Weights!$A$4:$A$18)*5))</f>
        <v/>
      </c>
      <c r="AK942">
        <f>IF(COUNTA(T942:AH942)=0,"",SUMPRODUCT(T942:AH942,KPI_Weights!$B$4:$B$18)/5)</f>
        <v/>
      </c>
      <c r="AL942">
        <f>IF(COUNTA(T942:AH942)=0,"",IF(SUMPRODUCT(--(T942:AH942&lt;=1),--(KPI_Weights!$C$4:$C$18="YES"))&gt;0,"YES","NO"))</f>
        <v/>
      </c>
      <c r="AM942">
        <f>IF(AJ942="","",IF(AND(AL942="NO",AJ942&gt;=0.75),"YES","NO"))</f>
        <v/>
      </c>
      <c r="AN942">
        <f>IF(AJ942="","",IF(AJ942&lt;0.4,"Critical",IF(AJ942&lt;0.6,"Poor",IF(AJ942&lt;0.75,"Needs Improvement",IF(AJ942&lt;0.9,"Good","Excellent")))))</f>
        <v/>
      </c>
    </row>
    <row r="943" ht="15" customHeight="1" s="45">
      <c r="A943">
        <f>IF($B943="","",TEXT($B943,"yyyymmdd")&amp;"-"&amp;SUBSTITUTE($F943," ","")&amp;"-"&amp;TEXT(COUNTIF($F$4:F943,$F943),"00"))</f>
        <v/>
      </c>
      <c r="C943">
        <f>IF($B943="","",WEEKNUM($B943,2))</f>
        <v/>
      </c>
      <c r="D943">
        <f>IF($B943="","",TEXT($B943,"yyyy-mm"))</f>
        <v/>
      </c>
      <c r="G943">
        <f>IF(OR($E943="",$F943=""),"",IFERROR(IF($E943=INDEX(Cluster_Master!$A$4:$A$18,MATCH($F943,Cluster_Master!$B$4:$B$18,0)),"OK","CHECK"),"CHECK"))</f>
        <v/>
      </c>
      <c r="H943">
        <f>IFERROR(INDEX(Cluster_Master!$C$4:$C$18,MATCH($F943,Cluster_Master!$B$4:$B$18,0)),"")</f>
        <v/>
      </c>
      <c r="I943">
        <f>IFERROR(INDEX(Cluster_Master!$D$4:$D$18,MATCH($F943,Cluster_Master!$B$4:$B$18,0)),"")</f>
        <v/>
      </c>
      <c r="J943">
        <f>IFERROR(INDEX(Cluster_Master!$E$4:$E$18,MATCH($F943,Cluster_Master!$B$4:$B$18,0)),"")</f>
        <v/>
      </c>
      <c r="K943">
        <f>IFERROR(INDEX(Cluster_Master!$F$4:$F$18,MATCH($F943,Cluster_Master!$B$4:$B$18,0)),"")</f>
        <v/>
      </c>
      <c r="L943">
        <f>IFERROR(INDEX(Cluster_Master!$G$4:$G$18,MATCH($F943,Cluster_Master!$B$4:$B$18,0)),"")</f>
        <v/>
      </c>
      <c r="M943">
        <f>IFERROR(INDEX(Cluster_Master!$H$4:$H$18,MATCH($F943,Cluster_Master!$B$4:$B$18,0)),"")</f>
        <v/>
      </c>
      <c r="AI943">
        <f>IF(COUNTA(T943:AH943)=0,"",SUM(T943:AH943))</f>
        <v/>
      </c>
      <c r="AJ943">
        <f>IF(COUNTA(T943:AH943)=0,"",AI943/(COUNT(KPI_Weights!$A$4:$A$18)*5))</f>
        <v/>
      </c>
      <c r="AK943">
        <f>IF(COUNTA(T943:AH943)=0,"",SUMPRODUCT(T943:AH943,KPI_Weights!$B$4:$B$18)/5)</f>
        <v/>
      </c>
      <c r="AL943">
        <f>IF(COUNTA(T943:AH943)=0,"",IF(SUMPRODUCT(--(T943:AH943&lt;=1),--(KPI_Weights!$C$4:$C$18="YES"))&gt;0,"YES","NO"))</f>
        <v/>
      </c>
      <c r="AM943">
        <f>IF(AJ943="","",IF(AND(AL943="NO",AJ943&gt;=0.75),"YES","NO"))</f>
        <v/>
      </c>
      <c r="AN943">
        <f>IF(AJ943="","",IF(AJ943&lt;0.4,"Critical",IF(AJ943&lt;0.6,"Poor",IF(AJ943&lt;0.75,"Needs Improvement",IF(AJ943&lt;0.9,"Good","Excellent")))))</f>
        <v/>
      </c>
    </row>
    <row r="944" ht="15" customHeight="1" s="45">
      <c r="A944">
        <f>IF($B944="","",TEXT($B944,"yyyymmdd")&amp;"-"&amp;SUBSTITUTE($F944," ","")&amp;"-"&amp;TEXT(COUNTIF($F$4:F944,$F944),"00"))</f>
        <v/>
      </c>
      <c r="C944">
        <f>IF($B944="","",WEEKNUM($B944,2))</f>
        <v/>
      </c>
      <c r="D944">
        <f>IF($B944="","",TEXT($B944,"yyyy-mm"))</f>
        <v/>
      </c>
      <c r="G944">
        <f>IF(OR($E944="",$F944=""),"",IFERROR(IF($E944=INDEX(Cluster_Master!$A$4:$A$18,MATCH($F944,Cluster_Master!$B$4:$B$18,0)),"OK","CHECK"),"CHECK"))</f>
        <v/>
      </c>
      <c r="H944">
        <f>IFERROR(INDEX(Cluster_Master!$C$4:$C$18,MATCH($F944,Cluster_Master!$B$4:$B$18,0)),"")</f>
        <v/>
      </c>
      <c r="I944">
        <f>IFERROR(INDEX(Cluster_Master!$D$4:$D$18,MATCH($F944,Cluster_Master!$B$4:$B$18,0)),"")</f>
        <v/>
      </c>
      <c r="J944">
        <f>IFERROR(INDEX(Cluster_Master!$E$4:$E$18,MATCH($F944,Cluster_Master!$B$4:$B$18,0)),"")</f>
        <v/>
      </c>
      <c r="K944">
        <f>IFERROR(INDEX(Cluster_Master!$F$4:$F$18,MATCH($F944,Cluster_Master!$B$4:$B$18,0)),"")</f>
        <v/>
      </c>
      <c r="L944">
        <f>IFERROR(INDEX(Cluster_Master!$G$4:$G$18,MATCH($F944,Cluster_Master!$B$4:$B$18,0)),"")</f>
        <v/>
      </c>
      <c r="M944">
        <f>IFERROR(INDEX(Cluster_Master!$H$4:$H$18,MATCH($F944,Cluster_Master!$B$4:$B$18,0)),"")</f>
        <v/>
      </c>
      <c r="AI944">
        <f>IF(COUNTA(T944:AH944)=0,"",SUM(T944:AH944))</f>
        <v/>
      </c>
      <c r="AJ944">
        <f>IF(COUNTA(T944:AH944)=0,"",AI944/(COUNT(KPI_Weights!$A$4:$A$18)*5))</f>
        <v/>
      </c>
      <c r="AK944">
        <f>IF(COUNTA(T944:AH944)=0,"",SUMPRODUCT(T944:AH944,KPI_Weights!$B$4:$B$18)/5)</f>
        <v/>
      </c>
      <c r="AL944">
        <f>IF(COUNTA(T944:AH944)=0,"",IF(SUMPRODUCT(--(T944:AH944&lt;=1),--(KPI_Weights!$C$4:$C$18="YES"))&gt;0,"YES","NO"))</f>
        <v/>
      </c>
      <c r="AM944">
        <f>IF(AJ944="","",IF(AND(AL944="NO",AJ944&gt;=0.75),"YES","NO"))</f>
        <v/>
      </c>
      <c r="AN944">
        <f>IF(AJ944="","",IF(AJ944&lt;0.4,"Critical",IF(AJ944&lt;0.6,"Poor",IF(AJ944&lt;0.75,"Needs Improvement",IF(AJ944&lt;0.9,"Good","Excellent")))))</f>
        <v/>
      </c>
    </row>
    <row r="945" ht="15" customHeight="1" s="45">
      <c r="A945">
        <f>IF($B945="","",TEXT($B945,"yyyymmdd")&amp;"-"&amp;SUBSTITUTE($F945," ","")&amp;"-"&amp;TEXT(COUNTIF($F$4:F945,$F945),"00"))</f>
        <v/>
      </c>
      <c r="C945">
        <f>IF($B945="","",WEEKNUM($B945,2))</f>
        <v/>
      </c>
      <c r="D945">
        <f>IF($B945="","",TEXT($B945,"yyyy-mm"))</f>
        <v/>
      </c>
      <c r="G945">
        <f>IF(OR($E945="",$F945=""),"",IFERROR(IF($E945=INDEX(Cluster_Master!$A$4:$A$18,MATCH($F945,Cluster_Master!$B$4:$B$18,0)),"OK","CHECK"),"CHECK"))</f>
        <v/>
      </c>
      <c r="H945">
        <f>IFERROR(INDEX(Cluster_Master!$C$4:$C$18,MATCH($F945,Cluster_Master!$B$4:$B$18,0)),"")</f>
        <v/>
      </c>
      <c r="I945">
        <f>IFERROR(INDEX(Cluster_Master!$D$4:$D$18,MATCH($F945,Cluster_Master!$B$4:$B$18,0)),"")</f>
        <v/>
      </c>
      <c r="J945">
        <f>IFERROR(INDEX(Cluster_Master!$E$4:$E$18,MATCH($F945,Cluster_Master!$B$4:$B$18,0)),"")</f>
        <v/>
      </c>
      <c r="K945">
        <f>IFERROR(INDEX(Cluster_Master!$F$4:$F$18,MATCH($F945,Cluster_Master!$B$4:$B$18,0)),"")</f>
        <v/>
      </c>
      <c r="L945">
        <f>IFERROR(INDEX(Cluster_Master!$G$4:$G$18,MATCH($F945,Cluster_Master!$B$4:$B$18,0)),"")</f>
        <v/>
      </c>
      <c r="M945">
        <f>IFERROR(INDEX(Cluster_Master!$H$4:$H$18,MATCH($F945,Cluster_Master!$B$4:$B$18,0)),"")</f>
        <v/>
      </c>
      <c r="AI945">
        <f>IF(COUNTA(T945:AH945)=0,"",SUM(T945:AH945))</f>
        <v/>
      </c>
      <c r="AJ945">
        <f>IF(COUNTA(T945:AH945)=0,"",AI945/(COUNT(KPI_Weights!$A$4:$A$18)*5))</f>
        <v/>
      </c>
      <c r="AK945">
        <f>IF(COUNTA(T945:AH945)=0,"",SUMPRODUCT(T945:AH945,KPI_Weights!$B$4:$B$18)/5)</f>
        <v/>
      </c>
      <c r="AL945">
        <f>IF(COUNTA(T945:AH945)=0,"",IF(SUMPRODUCT(--(T945:AH945&lt;=1),--(KPI_Weights!$C$4:$C$18="YES"))&gt;0,"YES","NO"))</f>
        <v/>
      </c>
      <c r="AM945">
        <f>IF(AJ945="","",IF(AND(AL945="NO",AJ945&gt;=0.75),"YES","NO"))</f>
        <v/>
      </c>
      <c r="AN945">
        <f>IF(AJ945="","",IF(AJ945&lt;0.4,"Critical",IF(AJ945&lt;0.6,"Poor",IF(AJ945&lt;0.75,"Needs Improvement",IF(AJ945&lt;0.9,"Good","Excellent")))))</f>
        <v/>
      </c>
    </row>
    <row r="946" ht="15" customHeight="1" s="45">
      <c r="A946">
        <f>IF($B946="","",TEXT($B946,"yyyymmdd")&amp;"-"&amp;SUBSTITUTE($F946," ","")&amp;"-"&amp;TEXT(COUNTIF($F$4:F946,$F946),"00"))</f>
        <v/>
      </c>
      <c r="C946">
        <f>IF($B946="","",WEEKNUM($B946,2))</f>
        <v/>
      </c>
      <c r="D946">
        <f>IF($B946="","",TEXT($B946,"yyyy-mm"))</f>
        <v/>
      </c>
      <c r="G946">
        <f>IF(OR($E946="",$F946=""),"",IFERROR(IF($E946=INDEX(Cluster_Master!$A$4:$A$18,MATCH($F946,Cluster_Master!$B$4:$B$18,0)),"OK","CHECK"),"CHECK"))</f>
        <v/>
      </c>
      <c r="H946">
        <f>IFERROR(INDEX(Cluster_Master!$C$4:$C$18,MATCH($F946,Cluster_Master!$B$4:$B$18,0)),"")</f>
        <v/>
      </c>
      <c r="I946">
        <f>IFERROR(INDEX(Cluster_Master!$D$4:$D$18,MATCH($F946,Cluster_Master!$B$4:$B$18,0)),"")</f>
        <v/>
      </c>
      <c r="J946">
        <f>IFERROR(INDEX(Cluster_Master!$E$4:$E$18,MATCH($F946,Cluster_Master!$B$4:$B$18,0)),"")</f>
        <v/>
      </c>
      <c r="K946">
        <f>IFERROR(INDEX(Cluster_Master!$F$4:$F$18,MATCH($F946,Cluster_Master!$B$4:$B$18,0)),"")</f>
        <v/>
      </c>
      <c r="L946">
        <f>IFERROR(INDEX(Cluster_Master!$G$4:$G$18,MATCH($F946,Cluster_Master!$B$4:$B$18,0)),"")</f>
        <v/>
      </c>
      <c r="M946">
        <f>IFERROR(INDEX(Cluster_Master!$H$4:$H$18,MATCH($F946,Cluster_Master!$B$4:$B$18,0)),"")</f>
        <v/>
      </c>
      <c r="AI946">
        <f>IF(COUNTA(T946:AH946)=0,"",SUM(T946:AH946))</f>
        <v/>
      </c>
      <c r="AJ946">
        <f>IF(COUNTA(T946:AH946)=0,"",AI946/(COUNT(KPI_Weights!$A$4:$A$18)*5))</f>
        <v/>
      </c>
      <c r="AK946">
        <f>IF(COUNTA(T946:AH946)=0,"",SUMPRODUCT(T946:AH946,KPI_Weights!$B$4:$B$18)/5)</f>
        <v/>
      </c>
      <c r="AL946">
        <f>IF(COUNTA(T946:AH946)=0,"",IF(SUMPRODUCT(--(T946:AH946&lt;=1),--(KPI_Weights!$C$4:$C$18="YES"))&gt;0,"YES","NO"))</f>
        <v/>
      </c>
      <c r="AM946">
        <f>IF(AJ946="","",IF(AND(AL946="NO",AJ946&gt;=0.75),"YES","NO"))</f>
        <v/>
      </c>
      <c r="AN946">
        <f>IF(AJ946="","",IF(AJ946&lt;0.4,"Critical",IF(AJ946&lt;0.6,"Poor",IF(AJ946&lt;0.75,"Needs Improvement",IF(AJ946&lt;0.9,"Good","Excellent")))))</f>
        <v/>
      </c>
    </row>
    <row r="947" ht="15" customHeight="1" s="45">
      <c r="A947">
        <f>IF($B947="","",TEXT($B947,"yyyymmdd")&amp;"-"&amp;SUBSTITUTE($F947," ","")&amp;"-"&amp;TEXT(COUNTIF($F$4:F947,$F947),"00"))</f>
        <v/>
      </c>
      <c r="C947">
        <f>IF($B947="","",WEEKNUM($B947,2))</f>
        <v/>
      </c>
      <c r="D947">
        <f>IF($B947="","",TEXT($B947,"yyyy-mm"))</f>
        <v/>
      </c>
      <c r="G947">
        <f>IF(OR($E947="",$F947=""),"",IFERROR(IF($E947=INDEX(Cluster_Master!$A$4:$A$18,MATCH($F947,Cluster_Master!$B$4:$B$18,0)),"OK","CHECK"),"CHECK"))</f>
        <v/>
      </c>
      <c r="H947">
        <f>IFERROR(INDEX(Cluster_Master!$C$4:$C$18,MATCH($F947,Cluster_Master!$B$4:$B$18,0)),"")</f>
        <v/>
      </c>
      <c r="I947">
        <f>IFERROR(INDEX(Cluster_Master!$D$4:$D$18,MATCH($F947,Cluster_Master!$B$4:$B$18,0)),"")</f>
        <v/>
      </c>
      <c r="J947">
        <f>IFERROR(INDEX(Cluster_Master!$E$4:$E$18,MATCH($F947,Cluster_Master!$B$4:$B$18,0)),"")</f>
        <v/>
      </c>
      <c r="K947">
        <f>IFERROR(INDEX(Cluster_Master!$F$4:$F$18,MATCH($F947,Cluster_Master!$B$4:$B$18,0)),"")</f>
        <v/>
      </c>
      <c r="L947">
        <f>IFERROR(INDEX(Cluster_Master!$G$4:$G$18,MATCH($F947,Cluster_Master!$B$4:$B$18,0)),"")</f>
        <v/>
      </c>
      <c r="M947">
        <f>IFERROR(INDEX(Cluster_Master!$H$4:$H$18,MATCH($F947,Cluster_Master!$B$4:$B$18,0)),"")</f>
        <v/>
      </c>
      <c r="AI947">
        <f>IF(COUNTA(T947:AH947)=0,"",SUM(T947:AH947))</f>
        <v/>
      </c>
      <c r="AJ947">
        <f>IF(COUNTA(T947:AH947)=0,"",AI947/(COUNT(KPI_Weights!$A$4:$A$18)*5))</f>
        <v/>
      </c>
      <c r="AK947">
        <f>IF(COUNTA(T947:AH947)=0,"",SUMPRODUCT(T947:AH947,KPI_Weights!$B$4:$B$18)/5)</f>
        <v/>
      </c>
      <c r="AL947">
        <f>IF(COUNTA(T947:AH947)=0,"",IF(SUMPRODUCT(--(T947:AH947&lt;=1),--(KPI_Weights!$C$4:$C$18="YES"))&gt;0,"YES","NO"))</f>
        <v/>
      </c>
      <c r="AM947">
        <f>IF(AJ947="","",IF(AND(AL947="NO",AJ947&gt;=0.75),"YES","NO"))</f>
        <v/>
      </c>
      <c r="AN947">
        <f>IF(AJ947="","",IF(AJ947&lt;0.4,"Critical",IF(AJ947&lt;0.6,"Poor",IF(AJ947&lt;0.75,"Needs Improvement",IF(AJ947&lt;0.9,"Good","Excellent")))))</f>
        <v/>
      </c>
    </row>
    <row r="948" ht="15" customHeight="1" s="45">
      <c r="A948">
        <f>IF($B948="","",TEXT($B948,"yyyymmdd")&amp;"-"&amp;SUBSTITUTE($F948," ","")&amp;"-"&amp;TEXT(COUNTIF($F$4:F948,$F948),"00"))</f>
        <v/>
      </c>
      <c r="C948">
        <f>IF($B948="","",WEEKNUM($B948,2))</f>
        <v/>
      </c>
      <c r="D948">
        <f>IF($B948="","",TEXT($B948,"yyyy-mm"))</f>
        <v/>
      </c>
      <c r="G948">
        <f>IF(OR($E948="",$F948=""),"",IFERROR(IF($E948=INDEX(Cluster_Master!$A$4:$A$18,MATCH($F948,Cluster_Master!$B$4:$B$18,0)),"OK","CHECK"),"CHECK"))</f>
        <v/>
      </c>
      <c r="H948">
        <f>IFERROR(INDEX(Cluster_Master!$C$4:$C$18,MATCH($F948,Cluster_Master!$B$4:$B$18,0)),"")</f>
        <v/>
      </c>
      <c r="I948">
        <f>IFERROR(INDEX(Cluster_Master!$D$4:$D$18,MATCH($F948,Cluster_Master!$B$4:$B$18,0)),"")</f>
        <v/>
      </c>
      <c r="J948">
        <f>IFERROR(INDEX(Cluster_Master!$E$4:$E$18,MATCH($F948,Cluster_Master!$B$4:$B$18,0)),"")</f>
        <v/>
      </c>
      <c r="K948">
        <f>IFERROR(INDEX(Cluster_Master!$F$4:$F$18,MATCH($F948,Cluster_Master!$B$4:$B$18,0)),"")</f>
        <v/>
      </c>
      <c r="L948">
        <f>IFERROR(INDEX(Cluster_Master!$G$4:$G$18,MATCH($F948,Cluster_Master!$B$4:$B$18,0)),"")</f>
        <v/>
      </c>
      <c r="M948">
        <f>IFERROR(INDEX(Cluster_Master!$H$4:$H$18,MATCH($F948,Cluster_Master!$B$4:$B$18,0)),"")</f>
        <v/>
      </c>
      <c r="AI948">
        <f>IF(COUNTA(T948:AH948)=0,"",SUM(T948:AH948))</f>
        <v/>
      </c>
      <c r="AJ948">
        <f>IF(COUNTA(T948:AH948)=0,"",AI948/(COUNT(KPI_Weights!$A$4:$A$18)*5))</f>
        <v/>
      </c>
      <c r="AK948">
        <f>IF(COUNTA(T948:AH948)=0,"",SUMPRODUCT(T948:AH948,KPI_Weights!$B$4:$B$18)/5)</f>
        <v/>
      </c>
      <c r="AL948">
        <f>IF(COUNTA(T948:AH948)=0,"",IF(SUMPRODUCT(--(T948:AH948&lt;=1),--(KPI_Weights!$C$4:$C$18="YES"))&gt;0,"YES","NO"))</f>
        <v/>
      </c>
      <c r="AM948">
        <f>IF(AJ948="","",IF(AND(AL948="NO",AJ948&gt;=0.75),"YES","NO"))</f>
        <v/>
      </c>
      <c r="AN948">
        <f>IF(AJ948="","",IF(AJ948&lt;0.4,"Critical",IF(AJ948&lt;0.6,"Poor",IF(AJ948&lt;0.75,"Needs Improvement",IF(AJ948&lt;0.9,"Good","Excellent")))))</f>
        <v/>
      </c>
    </row>
    <row r="949" ht="15" customHeight="1" s="45">
      <c r="A949">
        <f>IF($B949="","",TEXT($B949,"yyyymmdd")&amp;"-"&amp;SUBSTITUTE($F949," ","")&amp;"-"&amp;TEXT(COUNTIF($F$4:F949,$F949),"00"))</f>
        <v/>
      </c>
      <c r="C949">
        <f>IF($B949="","",WEEKNUM($B949,2))</f>
        <v/>
      </c>
      <c r="D949">
        <f>IF($B949="","",TEXT($B949,"yyyy-mm"))</f>
        <v/>
      </c>
      <c r="G949">
        <f>IF(OR($E949="",$F949=""),"",IFERROR(IF($E949=INDEX(Cluster_Master!$A$4:$A$18,MATCH($F949,Cluster_Master!$B$4:$B$18,0)),"OK","CHECK"),"CHECK"))</f>
        <v/>
      </c>
      <c r="H949">
        <f>IFERROR(INDEX(Cluster_Master!$C$4:$C$18,MATCH($F949,Cluster_Master!$B$4:$B$18,0)),"")</f>
        <v/>
      </c>
      <c r="I949">
        <f>IFERROR(INDEX(Cluster_Master!$D$4:$D$18,MATCH($F949,Cluster_Master!$B$4:$B$18,0)),"")</f>
        <v/>
      </c>
      <c r="J949">
        <f>IFERROR(INDEX(Cluster_Master!$E$4:$E$18,MATCH($F949,Cluster_Master!$B$4:$B$18,0)),"")</f>
        <v/>
      </c>
      <c r="K949">
        <f>IFERROR(INDEX(Cluster_Master!$F$4:$F$18,MATCH($F949,Cluster_Master!$B$4:$B$18,0)),"")</f>
        <v/>
      </c>
      <c r="L949">
        <f>IFERROR(INDEX(Cluster_Master!$G$4:$G$18,MATCH($F949,Cluster_Master!$B$4:$B$18,0)),"")</f>
        <v/>
      </c>
      <c r="M949">
        <f>IFERROR(INDEX(Cluster_Master!$H$4:$H$18,MATCH($F949,Cluster_Master!$B$4:$B$18,0)),"")</f>
        <v/>
      </c>
      <c r="AI949">
        <f>IF(COUNTA(T949:AH949)=0,"",SUM(T949:AH949))</f>
        <v/>
      </c>
      <c r="AJ949">
        <f>IF(COUNTA(T949:AH949)=0,"",AI949/(COUNT(KPI_Weights!$A$4:$A$18)*5))</f>
        <v/>
      </c>
      <c r="AK949">
        <f>IF(COUNTA(T949:AH949)=0,"",SUMPRODUCT(T949:AH949,KPI_Weights!$B$4:$B$18)/5)</f>
        <v/>
      </c>
      <c r="AL949">
        <f>IF(COUNTA(T949:AH949)=0,"",IF(SUMPRODUCT(--(T949:AH949&lt;=1),--(KPI_Weights!$C$4:$C$18="YES"))&gt;0,"YES","NO"))</f>
        <v/>
      </c>
      <c r="AM949">
        <f>IF(AJ949="","",IF(AND(AL949="NO",AJ949&gt;=0.75),"YES","NO"))</f>
        <v/>
      </c>
      <c r="AN949">
        <f>IF(AJ949="","",IF(AJ949&lt;0.4,"Critical",IF(AJ949&lt;0.6,"Poor",IF(AJ949&lt;0.75,"Needs Improvement",IF(AJ949&lt;0.9,"Good","Excellent")))))</f>
        <v/>
      </c>
    </row>
    <row r="950" ht="15" customHeight="1" s="45">
      <c r="A950">
        <f>IF($B950="","",TEXT($B950,"yyyymmdd")&amp;"-"&amp;SUBSTITUTE($F950," ","")&amp;"-"&amp;TEXT(COUNTIF($F$4:F950,$F950),"00"))</f>
        <v/>
      </c>
      <c r="C950">
        <f>IF($B950="","",WEEKNUM($B950,2))</f>
        <v/>
      </c>
      <c r="D950">
        <f>IF($B950="","",TEXT($B950,"yyyy-mm"))</f>
        <v/>
      </c>
      <c r="G950">
        <f>IF(OR($E950="",$F950=""),"",IFERROR(IF($E950=INDEX(Cluster_Master!$A$4:$A$18,MATCH($F950,Cluster_Master!$B$4:$B$18,0)),"OK","CHECK"),"CHECK"))</f>
        <v/>
      </c>
      <c r="H950">
        <f>IFERROR(INDEX(Cluster_Master!$C$4:$C$18,MATCH($F950,Cluster_Master!$B$4:$B$18,0)),"")</f>
        <v/>
      </c>
      <c r="I950">
        <f>IFERROR(INDEX(Cluster_Master!$D$4:$D$18,MATCH($F950,Cluster_Master!$B$4:$B$18,0)),"")</f>
        <v/>
      </c>
      <c r="J950">
        <f>IFERROR(INDEX(Cluster_Master!$E$4:$E$18,MATCH($F950,Cluster_Master!$B$4:$B$18,0)),"")</f>
        <v/>
      </c>
      <c r="K950">
        <f>IFERROR(INDEX(Cluster_Master!$F$4:$F$18,MATCH($F950,Cluster_Master!$B$4:$B$18,0)),"")</f>
        <v/>
      </c>
      <c r="L950">
        <f>IFERROR(INDEX(Cluster_Master!$G$4:$G$18,MATCH($F950,Cluster_Master!$B$4:$B$18,0)),"")</f>
        <v/>
      </c>
      <c r="M950">
        <f>IFERROR(INDEX(Cluster_Master!$H$4:$H$18,MATCH($F950,Cluster_Master!$B$4:$B$18,0)),"")</f>
        <v/>
      </c>
      <c r="AI950">
        <f>IF(COUNTA(T950:AH950)=0,"",SUM(T950:AH950))</f>
        <v/>
      </c>
      <c r="AJ950">
        <f>IF(COUNTA(T950:AH950)=0,"",AI950/(COUNT(KPI_Weights!$A$4:$A$18)*5))</f>
        <v/>
      </c>
      <c r="AK950">
        <f>IF(COUNTA(T950:AH950)=0,"",SUMPRODUCT(T950:AH950,KPI_Weights!$B$4:$B$18)/5)</f>
        <v/>
      </c>
      <c r="AL950">
        <f>IF(COUNTA(T950:AH950)=0,"",IF(SUMPRODUCT(--(T950:AH950&lt;=1),--(KPI_Weights!$C$4:$C$18="YES"))&gt;0,"YES","NO"))</f>
        <v/>
      </c>
      <c r="AM950">
        <f>IF(AJ950="","",IF(AND(AL950="NO",AJ950&gt;=0.75),"YES","NO"))</f>
        <v/>
      </c>
      <c r="AN950">
        <f>IF(AJ950="","",IF(AJ950&lt;0.4,"Critical",IF(AJ950&lt;0.6,"Poor",IF(AJ950&lt;0.75,"Needs Improvement",IF(AJ950&lt;0.9,"Good","Excellent")))))</f>
        <v/>
      </c>
    </row>
    <row r="951" ht="15" customHeight="1" s="45">
      <c r="A951">
        <f>IF($B951="","",TEXT($B951,"yyyymmdd")&amp;"-"&amp;SUBSTITUTE($F951," ","")&amp;"-"&amp;TEXT(COUNTIF($F$4:F951,$F951),"00"))</f>
        <v/>
      </c>
      <c r="C951">
        <f>IF($B951="","",WEEKNUM($B951,2))</f>
        <v/>
      </c>
      <c r="D951">
        <f>IF($B951="","",TEXT($B951,"yyyy-mm"))</f>
        <v/>
      </c>
      <c r="G951">
        <f>IF(OR($E951="",$F951=""),"",IFERROR(IF($E951=INDEX(Cluster_Master!$A$4:$A$18,MATCH($F951,Cluster_Master!$B$4:$B$18,0)),"OK","CHECK"),"CHECK"))</f>
        <v/>
      </c>
      <c r="H951">
        <f>IFERROR(INDEX(Cluster_Master!$C$4:$C$18,MATCH($F951,Cluster_Master!$B$4:$B$18,0)),"")</f>
        <v/>
      </c>
      <c r="I951">
        <f>IFERROR(INDEX(Cluster_Master!$D$4:$D$18,MATCH($F951,Cluster_Master!$B$4:$B$18,0)),"")</f>
        <v/>
      </c>
      <c r="J951">
        <f>IFERROR(INDEX(Cluster_Master!$E$4:$E$18,MATCH($F951,Cluster_Master!$B$4:$B$18,0)),"")</f>
        <v/>
      </c>
      <c r="K951">
        <f>IFERROR(INDEX(Cluster_Master!$F$4:$F$18,MATCH($F951,Cluster_Master!$B$4:$B$18,0)),"")</f>
        <v/>
      </c>
      <c r="L951">
        <f>IFERROR(INDEX(Cluster_Master!$G$4:$G$18,MATCH($F951,Cluster_Master!$B$4:$B$18,0)),"")</f>
        <v/>
      </c>
      <c r="M951">
        <f>IFERROR(INDEX(Cluster_Master!$H$4:$H$18,MATCH($F951,Cluster_Master!$B$4:$B$18,0)),"")</f>
        <v/>
      </c>
      <c r="AI951">
        <f>IF(COUNTA(T951:AH951)=0,"",SUM(T951:AH951))</f>
        <v/>
      </c>
      <c r="AJ951">
        <f>IF(COUNTA(T951:AH951)=0,"",AI951/(COUNT(KPI_Weights!$A$4:$A$18)*5))</f>
        <v/>
      </c>
      <c r="AK951">
        <f>IF(COUNTA(T951:AH951)=0,"",SUMPRODUCT(T951:AH951,KPI_Weights!$B$4:$B$18)/5)</f>
        <v/>
      </c>
      <c r="AL951">
        <f>IF(COUNTA(T951:AH951)=0,"",IF(SUMPRODUCT(--(T951:AH951&lt;=1),--(KPI_Weights!$C$4:$C$18="YES"))&gt;0,"YES","NO"))</f>
        <v/>
      </c>
      <c r="AM951">
        <f>IF(AJ951="","",IF(AND(AL951="NO",AJ951&gt;=0.75),"YES","NO"))</f>
        <v/>
      </c>
      <c r="AN951">
        <f>IF(AJ951="","",IF(AJ951&lt;0.4,"Critical",IF(AJ951&lt;0.6,"Poor",IF(AJ951&lt;0.75,"Needs Improvement",IF(AJ951&lt;0.9,"Good","Excellent")))))</f>
        <v/>
      </c>
    </row>
    <row r="952" ht="15" customHeight="1" s="45">
      <c r="A952">
        <f>IF($B952="","",TEXT($B952,"yyyymmdd")&amp;"-"&amp;SUBSTITUTE($F952," ","")&amp;"-"&amp;TEXT(COUNTIF($F$4:F952,$F952),"00"))</f>
        <v/>
      </c>
      <c r="C952">
        <f>IF($B952="","",WEEKNUM($B952,2))</f>
        <v/>
      </c>
      <c r="D952">
        <f>IF($B952="","",TEXT($B952,"yyyy-mm"))</f>
        <v/>
      </c>
      <c r="G952">
        <f>IF(OR($E952="",$F952=""),"",IFERROR(IF($E952=INDEX(Cluster_Master!$A$4:$A$18,MATCH($F952,Cluster_Master!$B$4:$B$18,0)),"OK","CHECK"),"CHECK"))</f>
        <v/>
      </c>
      <c r="H952">
        <f>IFERROR(INDEX(Cluster_Master!$C$4:$C$18,MATCH($F952,Cluster_Master!$B$4:$B$18,0)),"")</f>
        <v/>
      </c>
      <c r="I952">
        <f>IFERROR(INDEX(Cluster_Master!$D$4:$D$18,MATCH($F952,Cluster_Master!$B$4:$B$18,0)),"")</f>
        <v/>
      </c>
      <c r="J952">
        <f>IFERROR(INDEX(Cluster_Master!$E$4:$E$18,MATCH($F952,Cluster_Master!$B$4:$B$18,0)),"")</f>
        <v/>
      </c>
      <c r="K952">
        <f>IFERROR(INDEX(Cluster_Master!$F$4:$F$18,MATCH($F952,Cluster_Master!$B$4:$B$18,0)),"")</f>
        <v/>
      </c>
      <c r="L952">
        <f>IFERROR(INDEX(Cluster_Master!$G$4:$G$18,MATCH($F952,Cluster_Master!$B$4:$B$18,0)),"")</f>
        <v/>
      </c>
      <c r="M952">
        <f>IFERROR(INDEX(Cluster_Master!$H$4:$H$18,MATCH($F952,Cluster_Master!$B$4:$B$18,0)),"")</f>
        <v/>
      </c>
      <c r="AI952">
        <f>IF(COUNTA(T952:AH952)=0,"",SUM(T952:AH952))</f>
        <v/>
      </c>
      <c r="AJ952">
        <f>IF(COUNTA(T952:AH952)=0,"",AI952/(COUNT(KPI_Weights!$A$4:$A$18)*5))</f>
        <v/>
      </c>
      <c r="AK952">
        <f>IF(COUNTA(T952:AH952)=0,"",SUMPRODUCT(T952:AH952,KPI_Weights!$B$4:$B$18)/5)</f>
        <v/>
      </c>
      <c r="AL952">
        <f>IF(COUNTA(T952:AH952)=0,"",IF(SUMPRODUCT(--(T952:AH952&lt;=1),--(KPI_Weights!$C$4:$C$18="YES"))&gt;0,"YES","NO"))</f>
        <v/>
      </c>
      <c r="AM952">
        <f>IF(AJ952="","",IF(AND(AL952="NO",AJ952&gt;=0.75),"YES","NO"))</f>
        <v/>
      </c>
      <c r="AN952">
        <f>IF(AJ952="","",IF(AJ952&lt;0.4,"Critical",IF(AJ952&lt;0.6,"Poor",IF(AJ952&lt;0.75,"Needs Improvement",IF(AJ952&lt;0.9,"Good","Excellent")))))</f>
        <v/>
      </c>
    </row>
    <row r="953" ht="15" customHeight="1" s="45">
      <c r="A953">
        <f>IF($B953="","",TEXT($B953,"yyyymmdd")&amp;"-"&amp;SUBSTITUTE($F953," ","")&amp;"-"&amp;TEXT(COUNTIF($F$4:F953,$F953),"00"))</f>
        <v/>
      </c>
      <c r="C953">
        <f>IF($B953="","",WEEKNUM($B953,2))</f>
        <v/>
      </c>
      <c r="D953">
        <f>IF($B953="","",TEXT($B953,"yyyy-mm"))</f>
        <v/>
      </c>
      <c r="G953">
        <f>IF(OR($E953="",$F953=""),"",IFERROR(IF($E953=INDEX(Cluster_Master!$A$4:$A$18,MATCH($F953,Cluster_Master!$B$4:$B$18,0)),"OK","CHECK"),"CHECK"))</f>
        <v/>
      </c>
      <c r="H953">
        <f>IFERROR(INDEX(Cluster_Master!$C$4:$C$18,MATCH($F953,Cluster_Master!$B$4:$B$18,0)),"")</f>
        <v/>
      </c>
      <c r="I953">
        <f>IFERROR(INDEX(Cluster_Master!$D$4:$D$18,MATCH($F953,Cluster_Master!$B$4:$B$18,0)),"")</f>
        <v/>
      </c>
      <c r="J953">
        <f>IFERROR(INDEX(Cluster_Master!$E$4:$E$18,MATCH($F953,Cluster_Master!$B$4:$B$18,0)),"")</f>
        <v/>
      </c>
      <c r="K953">
        <f>IFERROR(INDEX(Cluster_Master!$F$4:$F$18,MATCH($F953,Cluster_Master!$B$4:$B$18,0)),"")</f>
        <v/>
      </c>
      <c r="L953">
        <f>IFERROR(INDEX(Cluster_Master!$G$4:$G$18,MATCH($F953,Cluster_Master!$B$4:$B$18,0)),"")</f>
        <v/>
      </c>
      <c r="M953">
        <f>IFERROR(INDEX(Cluster_Master!$H$4:$H$18,MATCH($F953,Cluster_Master!$B$4:$B$18,0)),"")</f>
        <v/>
      </c>
      <c r="AI953">
        <f>IF(COUNTA(T953:AH953)=0,"",SUM(T953:AH953))</f>
        <v/>
      </c>
      <c r="AJ953">
        <f>IF(COUNTA(T953:AH953)=0,"",AI953/(COUNT(KPI_Weights!$A$4:$A$18)*5))</f>
        <v/>
      </c>
      <c r="AK953">
        <f>IF(COUNTA(T953:AH953)=0,"",SUMPRODUCT(T953:AH953,KPI_Weights!$B$4:$B$18)/5)</f>
        <v/>
      </c>
      <c r="AL953">
        <f>IF(COUNTA(T953:AH953)=0,"",IF(SUMPRODUCT(--(T953:AH953&lt;=1),--(KPI_Weights!$C$4:$C$18="YES"))&gt;0,"YES","NO"))</f>
        <v/>
      </c>
      <c r="AM953">
        <f>IF(AJ953="","",IF(AND(AL953="NO",AJ953&gt;=0.75),"YES","NO"))</f>
        <v/>
      </c>
      <c r="AN953">
        <f>IF(AJ953="","",IF(AJ953&lt;0.4,"Critical",IF(AJ953&lt;0.6,"Poor",IF(AJ953&lt;0.75,"Needs Improvement",IF(AJ953&lt;0.9,"Good","Excellent")))))</f>
        <v/>
      </c>
    </row>
    <row r="954" ht="15" customHeight="1" s="45">
      <c r="A954">
        <f>IF($B954="","",TEXT($B954,"yyyymmdd")&amp;"-"&amp;SUBSTITUTE($F954," ","")&amp;"-"&amp;TEXT(COUNTIF($F$4:F954,$F954),"00"))</f>
        <v/>
      </c>
      <c r="C954">
        <f>IF($B954="","",WEEKNUM($B954,2))</f>
        <v/>
      </c>
      <c r="D954">
        <f>IF($B954="","",TEXT($B954,"yyyy-mm"))</f>
        <v/>
      </c>
      <c r="G954">
        <f>IF(OR($E954="",$F954=""),"",IFERROR(IF($E954=INDEX(Cluster_Master!$A$4:$A$18,MATCH($F954,Cluster_Master!$B$4:$B$18,0)),"OK","CHECK"),"CHECK"))</f>
        <v/>
      </c>
      <c r="H954">
        <f>IFERROR(INDEX(Cluster_Master!$C$4:$C$18,MATCH($F954,Cluster_Master!$B$4:$B$18,0)),"")</f>
        <v/>
      </c>
      <c r="I954">
        <f>IFERROR(INDEX(Cluster_Master!$D$4:$D$18,MATCH($F954,Cluster_Master!$B$4:$B$18,0)),"")</f>
        <v/>
      </c>
      <c r="J954">
        <f>IFERROR(INDEX(Cluster_Master!$E$4:$E$18,MATCH($F954,Cluster_Master!$B$4:$B$18,0)),"")</f>
        <v/>
      </c>
      <c r="K954">
        <f>IFERROR(INDEX(Cluster_Master!$F$4:$F$18,MATCH($F954,Cluster_Master!$B$4:$B$18,0)),"")</f>
        <v/>
      </c>
      <c r="L954">
        <f>IFERROR(INDEX(Cluster_Master!$G$4:$G$18,MATCH($F954,Cluster_Master!$B$4:$B$18,0)),"")</f>
        <v/>
      </c>
      <c r="M954">
        <f>IFERROR(INDEX(Cluster_Master!$H$4:$H$18,MATCH($F954,Cluster_Master!$B$4:$B$18,0)),"")</f>
        <v/>
      </c>
      <c r="AI954">
        <f>IF(COUNTA(T954:AH954)=0,"",SUM(T954:AH954))</f>
        <v/>
      </c>
      <c r="AJ954">
        <f>IF(COUNTA(T954:AH954)=0,"",AI954/(COUNT(KPI_Weights!$A$4:$A$18)*5))</f>
        <v/>
      </c>
      <c r="AK954">
        <f>IF(COUNTA(T954:AH954)=0,"",SUMPRODUCT(T954:AH954,KPI_Weights!$B$4:$B$18)/5)</f>
        <v/>
      </c>
      <c r="AL954">
        <f>IF(COUNTA(T954:AH954)=0,"",IF(SUMPRODUCT(--(T954:AH954&lt;=1),--(KPI_Weights!$C$4:$C$18="YES"))&gt;0,"YES","NO"))</f>
        <v/>
      </c>
      <c r="AM954">
        <f>IF(AJ954="","",IF(AND(AL954="NO",AJ954&gt;=0.75),"YES","NO"))</f>
        <v/>
      </c>
      <c r="AN954">
        <f>IF(AJ954="","",IF(AJ954&lt;0.4,"Critical",IF(AJ954&lt;0.6,"Poor",IF(AJ954&lt;0.75,"Needs Improvement",IF(AJ954&lt;0.9,"Good","Excellent")))))</f>
        <v/>
      </c>
    </row>
    <row r="955" ht="15" customHeight="1" s="45">
      <c r="A955">
        <f>IF($B955="","",TEXT($B955,"yyyymmdd")&amp;"-"&amp;SUBSTITUTE($F955," ","")&amp;"-"&amp;TEXT(COUNTIF($F$4:F955,$F955),"00"))</f>
        <v/>
      </c>
      <c r="C955">
        <f>IF($B955="","",WEEKNUM($B955,2))</f>
        <v/>
      </c>
      <c r="D955">
        <f>IF($B955="","",TEXT($B955,"yyyy-mm"))</f>
        <v/>
      </c>
      <c r="G955">
        <f>IF(OR($E955="",$F955=""),"",IFERROR(IF($E955=INDEX(Cluster_Master!$A$4:$A$18,MATCH($F955,Cluster_Master!$B$4:$B$18,0)),"OK","CHECK"),"CHECK"))</f>
        <v/>
      </c>
      <c r="H955">
        <f>IFERROR(INDEX(Cluster_Master!$C$4:$C$18,MATCH($F955,Cluster_Master!$B$4:$B$18,0)),"")</f>
        <v/>
      </c>
      <c r="I955">
        <f>IFERROR(INDEX(Cluster_Master!$D$4:$D$18,MATCH($F955,Cluster_Master!$B$4:$B$18,0)),"")</f>
        <v/>
      </c>
      <c r="J955">
        <f>IFERROR(INDEX(Cluster_Master!$E$4:$E$18,MATCH($F955,Cluster_Master!$B$4:$B$18,0)),"")</f>
        <v/>
      </c>
      <c r="K955">
        <f>IFERROR(INDEX(Cluster_Master!$F$4:$F$18,MATCH($F955,Cluster_Master!$B$4:$B$18,0)),"")</f>
        <v/>
      </c>
      <c r="L955">
        <f>IFERROR(INDEX(Cluster_Master!$G$4:$G$18,MATCH($F955,Cluster_Master!$B$4:$B$18,0)),"")</f>
        <v/>
      </c>
      <c r="M955">
        <f>IFERROR(INDEX(Cluster_Master!$H$4:$H$18,MATCH($F955,Cluster_Master!$B$4:$B$18,0)),"")</f>
        <v/>
      </c>
      <c r="AI955">
        <f>IF(COUNTA(T955:AH955)=0,"",SUM(T955:AH955))</f>
        <v/>
      </c>
      <c r="AJ955">
        <f>IF(COUNTA(T955:AH955)=0,"",AI955/(COUNT(KPI_Weights!$A$4:$A$18)*5))</f>
        <v/>
      </c>
      <c r="AK955">
        <f>IF(COUNTA(T955:AH955)=0,"",SUMPRODUCT(T955:AH955,KPI_Weights!$B$4:$B$18)/5)</f>
        <v/>
      </c>
      <c r="AL955">
        <f>IF(COUNTA(T955:AH955)=0,"",IF(SUMPRODUCT(--(T955:AH955&lt;=1),--(KPI_Weights!$C$4:$C$18="YES"))&gt;0,"YES","NO"))</f>
        <v/>
      </c>
      <c r="AM955">
        <f>IF(AJ955="","",IF(AND(AL955="NO",AJ955&gt;=0.75),"YES","NO"))</f>
        <v/>
      </c>
      <c r="AN955">
        <f>IF(AJ955="","",IF(AJ955&lt;0.4,"Critical",IF(AJ955&lt;0.6,"Poor",IF(AJ955&lt;0.75,"Needs Improvement",IF(AJ955&lt;0.9,"Good","Excellent")))))</f>
        <v/>
      </c>
    </row>
    <row r="956" ht="15" customHeight="1" s="45">
      <c r="A956">
        <f>IF($B956="","",TEXT($B956,"yyyymmdd")&amp;"-"&amp;SUBSTITUTE($F956," ","")&amp;"-"&amp;TEXT(COUNTIF($F$4:F956,$F956),"00"))</f>
        <v/>
      </c>
      <c r="C956">
        <f>IF($B956="","",WEEKNUM($B956,2))</f>
        <v/>
      </c>
      <c r="D956">
        <f>IF($B956="","",TEXT($B956,"yyyy-mm"))</f>
        <v/>
      </c>
      <c r="G956">
        <f>IF(OR($E956="",$F956=""),"",IFERROR(IF($E956=INDEX(Cluster_Master!$A$4:$A$18,MATCH($F956,Cluster_Master!$B$4:$B$18,0)),"OK","CHECK"),"CHECK"))</f>
        <v/>
      </c>
      <c r="H956">
        <f>IFERROR(INDEX(Cluster_Master!$C$4:$C$18,MATCH($F956,Cluster_Master!$B$4:$B$18,0)),"")</f>
        <v/>
      </c>
      <c r="I956">
        <f>IFERROR(INDEX(Cluster_Master!$D$4:$D$18,MATCH($F956,Cluster_Master!$B$4:$B$18,0)),"")</f>
        <v/>
      </c>
      <c r="J956">
        <f>IFERROR(INDEX(Cluster_Master!$E$4:$E$18,MATCH($F956,Cluster_Master!$B$4:$B$18,0)),"")</f>
        <v/>
      </c>
      <c r="K956">
        <f>IFERROR(INDEX(Cluster_Master!$F$4:$F$18,MATCH($F956,Cluster_Master!$B$4:$B$18,0)),"")</f>
        <v/>
      </c>
      <c r="L956">
        <f>IFERROR(INDEX(Cluster_Master!$G$4:$G$18,MATCH($F956,Cluster_Master!$B$4:$B$18,0)),"")</f>
        <v/>
      </c>
      <c r="M956">
        <f>IFERROR(INDEX(Cluster_Master!$H$4:$H$18,MATCH($F956,Cluster_Master!$B$4:$B$18,0)),"")</f>
        <v/>
      </c>
      <c r="AI956">
        <f>IF(COUNTA(T956:AH956)=0,"",SUM(T956:AH956))</f>
        <v/>
      </c>
      <c r="AJ956">
        <f>IF(COUNTA(T956:AH956)=0,"",AI956/(COUNT(KPI_Weights!$A$4:$A$18)*5))</f>
        <v/>
      </c>
      <c r="AK956">
        <f>IF(COUNTA(T956:AH956)=0,"",SUMPRODUCT(T956:AH956,KPI_Weights!$B$4:$B$18)/5)</f>
        <v/>
      </c>
      <c r="AL956">
        <f>IF(COUNTA(T956:AH956)=0,"",IF(SUMPRODUCT(--(T956:AH956&lt;=1),--(KPI_Weights!$C$4:$C$18="YES"))&gt;0,"YES","NO"))</f>
        <v/>
      </c>
      <c r="AM956">
        <f>IF(AJ956="","",IF(AND(AL956="NO",AJ956&gt;=0.75),"YES","NO"))</f>
        <v/>
      </c>
      <c r="AN956">
        <f>IF(AJ956="","",IF(AJ956&lt;0.4,"Critical",IF(AJ956&lt;0.6,"Poor",IF(AJ956&lt;0.75,"Needs Improvement",IF(AJ956&lt;0.9,"Good","Excellent")))))</f>
        <v/>
      </c>
    </row>
    <row r="957" ht="15" customHeight="1" s="45">
      <c r="A957">
        <f>IF($B957="","",TEXT($B957,"yyyymmdd")&amp;"-"&amp;SUBSTITUTE($F957," ","")&amp;"-"&amp;TEXT(COUNTIF($F$4:F957,$F957),"00"))</f>
        <v/>
      </c>
      <c r="C957">
        <f>IF($B957="","",WEEKNUM($B957,2))</f>
        <v/>
      </c>
      <c r="D957">
        <f>IF($B957="","",TEXT($B957,"yyyy-mm"))</f>
        <v/>
      </c>
      <c r="G957">
        <f>IF(OR($E957="",$F957=""),"",IFERROR(IF($E957=INDEX(Cluster_Master!$A$4:$A$18,MATCH($F957,Cluster_Master!$B$4:$B$18,0)),"OK","CHECK"),"CHECK"))</f>
        <v/>
      </c>
      <c r="H957">
        <f>IFERROR(INDEX(Cluster_Master!$C$4:$C$18,MATCH($F957,Cluster_Master!$B$4:$B$18,0)),"")</f>
        <v/>
      </c>
      <c r="I957">
        <f>IFERROR(INDEX(Cluster_Master!$D$4:$D$18,MATCH($F957,Cluster_Master!$B$4:$B$18,0)),"")</f>
        <v/>
      </c>
      <c r="J957">
        <f>IFERROR(INDEX(Cluster_Master!$E$4:$E$18,MATCH($F957,Cluster_Master!$B$4:$B$18,0)),"")</f>
        <v/>
      </c>
      <c r="K957">
        <f>IFERROR(INDEX(Cluster_Master!$F$4:$F$18,MATCH($F957,Cluster_Master!$B$4:$B$18,0)),"")</f>
        <v/>
      </c>
      <c r="L957">
        <f>IFERROR(INDEX(Cluster_Master!$G$4:$G$18,MATCH($F957,Cluster_Master!$B$4:$B$18,0)),"")</f>
        <v/>
      </c>
      <c r="M957">
        <f>IFERROR(INDEX(Cluster_Master!$H$4:$H$18,MATCH($F957,Cluster_Master!$B$4:$B$18,0)),"")</f>
        <v/>
      </c>
      <c r="AI957">
        <f>IF(COUNTA(T957:AH957)=0,"",SUM(T957:AH957))</f>
        <v/>
      </c>
      <c r="AJ957">
        <f>IF(COUNTA(T957:AH957)=0,"",AI957/(COUNT(KPI_Weights!$A$4:$A$18)*5))</f>
        <v/>
      </c>
      <c r="AK957">
        <f>IF(COUNTA(T957:AH957)=0,"",SUMPRODUCT(T957:AH957,KPI_Weights!$B$4:$B$18)/5)</f>
        <v/>
      </c>
      <c r="AL957">
        <f>IF(COUNTA(T957:AH957)=0,"",IF(SUMPRODUCT(--(T957:AH957&lt;=1),--(KPI_Weights!$C$4:$C$18="YES"))&gt;0,"YES","NO"))</f>
        <v/>
      </c>
      <c r="AM957">
        <f>IF(AJ957="","",IF(AND(AL957="NO",AJ957&gt;=0.75),"YES","NO"))</f>
        <v/>
      </c>
      <c r="AN957">
        <f>IF(AJ957="","",IF(AJ957&lt;0.4,"Critical",IF(AJ957&lt;0.6,"Poor",IF(AJ957&lt;0.75,"Needs Improvement",IF(AJ957&lt;0.9,"Good","Excellent")))))</f>
        <v/>
      </c>
    </row>
    <row r="958" ht="15" customHeight="1" s="45">
      <c r="A958">
        <f>IF($B958="","",TEXT($B958,"yyyymmdd")&amp;"-"&amp;SUBSTITUTE($F958," ","")&amp;"-"&amp;TEXT(COUNTIF($F$4:F958,$F958),"00"))</f>
        <v/>
      </c>
      <c r="C958">
        <f>IF($B958="","",WEEKNUM($B958,2))</f>
        <v/>
      </c>
      <c r="D958">
        <f>IF($B958="","",TEXT($B958,"yyyy-mm"))</f>
        <v/>
      </c>
      <c r="G958">
        <f>IF(OR($E958="",$F958=""),"",IFERROR(IF($E958=INDEX(Cluster_Master!$A$4:$A$18,MATCH($F958,Cluster_Master!$B$4:$B$18,0)),"OK","CHECK"),"CHECK"))</f>
        <v/>
      </c>
      <c r="H958">
        <f>IFERROR(INDEX(Cluster_Master!$C$4:$C$18,MATCH($F958,Cluster_Master!$B$4:$B$18,0)),"")</f>
        <v/>
      </c>
      <c r="I958">
        <f>IFERROR(INDEX(Cluster_Master!$D$4:$D$18,MATCH($F958,Cluster_Master!$B$4:$B$18,0)),"")</f>
        <v/>
      </c>
      <c r="J958">
        <f>IFERROR(INDEX(Cluster_Master!$E$4:$E$18,MATCH($F958,Cluster_Master!$B$4:$B$18,0)),"")</f>
        <v/>
      </c>
      <c r="K958">
        <f>IFERROR(INDEX(Cluster_Master!$F$4:$F$18,MATCH($F958,Cluster_Master!$B$4:$B$18,0)),"")</f>
        <v/>
      </c>
      <c r="L958">
        <f>IFERROR(INDEX(Cluster_Master!$G$4:$G$18,MATCH($F958,Cluster_Master!$B$4:$B$18,0)),"")</f>
        <v/>
      </c>
      <c r="M958">
        <f>IFERROR(INDEX(Cluster_Master!$H$4:$H$18,MATCH($F958,Cluster_Master!$B$4:$B$18,0)),"")</f>
        <v/>
      </c>
      <c r="AI958">
        <f>IF(COUNTA(T958:AH958)=0,"",SUM(T958:AH958))</f>
        <v/>
      </c>
      <c r="AJ958">
        <f>IF(COUNTA(T958:AH958)=0,"",AI958/(COUNT(KPI_Weights!$A$4:$A$18)*5))</f>
        <v/>
      </c>
      <c r="AK958">
        <f>IF(COUNTA(T958:AH958)=0,"",SUMPRODUCT(T958:AH958,KPI_Weights!$B$4:$B$18)/5)</f>
        <v/>
      </c>
      <c r="AL958">
        <f>IF(COUNTA(T958:AH958)=0,"",IF(SUMPRODUCT(--(T958:AH958&lt;=1),--(KPI_Weights!$C$4:$C$18="YES"))&gt;0,"YES","NO"))</f>
        <v/>
      </c>
      <c r="AM958">
        <f>IF(AJ958="","",IF(AND(AL958="NO",AJ958&gt;=0.75),"YES","NO"))</f>
        <v/>
      </c>
      <c r="AN958">
        <f>IF(AJ958="","",IF(AJ958&lt;0.4,"Critical",IF(AJ958&lt;0.6,"Poor",IF(AJ958&lt;0.75,"Needs Improvement",IF(AJ958&lt;0.9,"Good","Excellent")))))</f>
        <v/>
      </c>
    </row>
    <row r="959" ht="15" customHeight="1" s="45">
      <c r="A959">
        <f>IF($B959="","",TEXT($B959,"yyyymmdd")&amp;"-"&amp;SUBSTITUTE($F959," ","")&amp;"-"&amp;TEXT(COUNTIF($F$4:F959,$F959),"00"))</f>
        <v/>
      </c>
      <c r="C959">
        <f>IF($B959="","",WEEKNUM($B959,2))</f>
        <v/>
      </c>
      <c r="D959">
        <f>IF($B959="","",TEXT($B959,"yyyy-mm"))</f>
        <v/>
      </c>
      <c r="G959">
        <f>IF(OR($E959="",$F959=""),"",IFERROR(IF($E959=INDEX(Cluster_Master!$A$4:$A$18,MATCH($F959,Cluster_Master!$B$4:$B$18,0)),"OK","CHECK"),"CHECK"))</f>
        <v/>
      </c>
      <c r="H959">
        <f>IFERROR(INDEX(Cluster_Master!$C$4:$C$18,MATCH($F959,Cluster_Master!$B$4:$B$18,0)),"")</f>
        <v/>
      </c>
      <c r="I959">
        <f>IFERROR(INDEX(Cluster_Master!$D$4:$D$18,MATCH($F959,Cluster_Master!$B$4:$B$18,0)),"")</f>
        <v/>
      </c>
      <c r="J959">
        <f>IFERROR(INDEX(Cluster_Master!$E$4:$E$18,MATCH($F959,Cluster_Master!$B$4:$B$18,0)),"")</f>
        <v/>
      </c>
      <c r="K959">
        <f>IFERROR(INDEX(Cluster_Master!$F$4:$F$18,MATCH($F959,Cluster_Master!$B$4:$B$18,0)),"")</f>
        <v/>
      </c>
      <c r="L959">
        <f>IFERROR(INDEX(Cluster_Master!$G$4:$G$18,MATCH($F959,Cluster_Master!$B$4:$B$18,0)),"")</f>
        <v/>
      </c>
      <c r="M959">
        <f>IFERROR(INDEX(Cluster_Master!$H$4:$H$18,MATCH($F959,Cluster_Master!$B$4:$B$18,0)),"")</f>
        <v/>
      </c>
      <c r="AI959">
        <f>IF(COUNTA(T959:AH959)=0,"",SUM(T959:AH959))</f>
        <v/>
      </c>
      <c r="AJ959">
        <f>IF(COUNTA(T959:AH959)=0,"",AI959/(COUNT(KPI_Weights!$A$4:$A$18)*5))</f>
        <v/>
      </c>
      <c r="AK959">
        <f>IF(COUNTA(T959:AH959)=0,"",SUMPRODUCT(T959:AH959,KPI_Weights!$B$4:$B$18)/5)</f>
        <v/>
      </c>
      <c r="AL959">
        <f>IF(COUNTA(T959:AH959)=0,"",IF(SUMPRODUCT(--(T959:AH959&lt;=1),--(KPI_Weights!$C$4:$C$18="YES"))&gt;0,"YES","NO"))</f>
        <v/>
      </c>
      <c r="AM959">
        <f>IF(AJ959="","",IF(AND(AL959="NO",AJ959&gt;=0.75),"YES","NO"))</f>
        <v/>
      </c>
      <c r="AN959">
        <f>IF(AJ959="","",IF(AJ959&lt;0.4,"Critical",IF(AJ959&lt;0.6,"Poor",IF(AJ959&lt;0.75,"Needs Improvement",IF(AJ959&lt;0.9,"Good","Excellent")))))</f>
        <v/>
      </c>
    </row>
    <row r="960" ht="15" customHeight="1" s="45">
      <c r="A960">
        <f>IF($B960="","",TEXT($B960,"yyyymmdd")&amp;"-"&amp;SUBSTITUTE($F960," ","")&amp;"-"&amp;TEXT(COUNTIF($F$4:F960,$F960),"00"))</f>
        <v/>
      </c>
      <c r="C960">
        <f>IF($B960="","",WEEKNUM($B960,2))</f>
        <v/>
      </c>
      <c r="D960">
        <f>IF($B960="","",TEXT($B960,"yyyy-mm"))</f>
        <v/>
      </c>
      <c r="G960">
        <f>IF(OR($E960="",$F960=""),"",IFERROR(IF($E960=INDEX(Cluster_Master!$A$4:$A$18,MATCH($F960,Cluster_Master!$B$4:$B$18,0)),"OK","CHECK"),"CHECK"))</f>
        <v/>
      </c>
      <c r="H960">
        <f>IFERROR(INDEX(Cluster_Master!$C$4:$C$18,MATCH($F960,Cluster_Master!$B$4:$B$18,0)),"")</f>
        <v/>
      </c>
      <c r="I960">
        <f>IFERROR(INDEX(Cluster_Master!$D$4:$D$18,MATCH($F960,Cluster_Master!$B$4:$B$18,0)),"")</f>
        <v/>
      </c>
      <c r="J960">
        <f>IFERROR(INDEX(Cluster_Master!$E$4:$E$18,MATCH($F960,Cluster_Master!$B$4:$B$18,0)),"")</f>
        <v/>
      </c>
      <c r="K960">
        <f>IFERROR(INDEX(Cluster_Master!$F$4:$F$18,MATCH($F960,Cluster_Master!$B$4:$B$18,0)),"")</f>
        <v/>
      </c>
      <c r="L960">
        <f>IFERROR(INDEX(Cluster_Master!$G$4:$G$18,MATCH($F960,Cluster_Master!$B$4:$B$18,0)),"")</f>
        <v/>
      </c>
      <c r="M960">
        <f>IFERROR(INDEX(Cluster_Master!$H$4:$H$18,MATCH($F960,Cluster_Master!$B$4:$B$18,0)),"")</f>
        <v/>
      </c>
      <c r="AI960">
        <f>IF(COUNTA(T960:AH960)=0,"",SUM(T960:AH960))</f>
        <v/>
      </c>
      <c r="AJ960">
        <f>IF(COUNTA(T960:AH960)=0,"",AI960/(COUNT(KPI_Weights!$A$4:$A$18)*5))</f>
        <v/>
      </c>
      <c r="AK960">
        <f>IF(COUNTA(T960:AH960)=0,"",SUMPRODUCT(T960:AH960,KPI_Weights!$B$4:$B$18)/5)</f>
        <v/>
      </c>
      <c r="AL960">
        <f>IF(COUNTA(T960:AH960)=0,"",IF(SUMPRODUCT(--(T960:AH960&lt;=1),--(KPI_Weights!$C$4:$C$18="YES"))&gt;0,"YES","NO"))</f>
        <v/>
      </c>
      <c r="AM960">
        <f>IF(AJ960="","",IF(AND(AL960="NO",AJ960&gt;=0.75),"YES","NO"))</f>
        <v/>
      </c>
      <c r="AN960">
        <f>IF(AJ960="","",IF(AJ960&lt;0.4,"Critical",IF(AJ960&lt;0.6,"Poor",IF(AJ960&lt;0.75,"Needs Improvement",IF(AJ960&lt;0.9,"Good","Excellent")))))</f>
        <v/>
      </c>
    </row>
    <row r="961" ht="15" customHeight="1" s="45">
      <c r="A961">
        <f>IF($B961="","",TEXT($B961,"yyyymmdd")&amp;"-"&amp;SUBSTITUTE($F961," ","")&amp;"-"&amp;TEXT(COUNTIF($F$4:F961,$F961),"00"))</f>
        <v/>
      </c>
      <c r="C961">
        <f>IF($B961="","",WEEKNUM($B961,2))</f>
        <v/>
      </c>
      <c r="D961">
        <f>IF($B961="","",TEXT($B961,"yyyy-mm"))</f>
        <v/>
      </c>
      <c r="G961">
        <f>IF(OR($E961="",$F961=""),"",IFERROR(IF($E961=INDEX(Cluster_Master!$A$4:$A$18,MATCH($F961,Cluster_Master!$B$4:$B$18,0)),"OK","CHECK"),"CHECK"))</f>
        <v/>
      </c>
      <c r="H961">
        <f>IFERROR(INDEX(Cluster_Master!$C$4:$C$18,MATCH($F961,Cluster_Master!$B$4:$B$18,0)),"")</f>
        <v/>
      </c>
      <c r="I961">
        <f>IFERROR(INDEX(Cluster_Master!$D$4:$D$18,MATCH($F961,Cluster_Master!$B$4:$B$18,0)),"")</f>
        <v/>
      </c>
      <c r="J961">
        <f>IFERROR(INDEX(Cluster_Master!$E$4:$E$18,MATCH($F961,Cluster_Master!$B$4:$B$18,0)),"")</f>
        <v/>
      </c>
      <c r="K961">
        <f>IFERROR(INDEX(Cluster_Master!$F$4:$F$18,MATCH($F961,Cluster_Master!$B$4:$B$18,0)),"")</f>
        <v/>
      </c>
      <c r="L961">
        <f>IFERROR(INDEX(Cluster_Master!$G$4:$G$18,MATCH($F961,Cluster_Master!$B$4:$B$18,0)),"")</f>
        <v/>
      </c>
      <c r="M961">
        <f>IFERROR(INDEX(Cluster_Master!$H$4:$H$18,MATCH($F961,Cluster_Master!$B$4:$B$18,0)),"")</f>
        <v/>
      </c>
      <c r="AI961">
        <f>IF(COUNTA(T961:AH961)=0,"",SUM(T961:AH961))</f>
        <v/>
      </c>
      <c r="AJ961">
        <f>IF(COUNTA(T961:AH961)=0,"",AI961/(COUNT(KPI_Weights!$A$4:$A$18)*5))</f>
        <v/>
      </c>
      <c r="AK961">
        <f>IF(COUNTA(T961:AH961)=0,"",SUMPRODUCT(T961:AH961,KPI_Weights!$B$4:$B$18)/5)</f>
        <v/>
      </c>
      <c r="AL961">
        <f>IF(COUNTA(T961:AH961)=0,"",IF(SUMPRODUCT(--(T961:AH961&lt;=1),--(KPI_Weights!$C$4:$C$18="YES"))&gt;0,"YES","NO"))</f>
        <v/>
      </c>
      <c r="AM961">
        <f>IF(AJ961="","",IF(AND(AL961="NO",AJ961&gt;=0.75),"YES","NO"))</f>
        <v/>
      </c>
      <c r="AN961">
        <f>IF(AJ961="","",IF(AJ961&lt;0.4,"Critical",IF(AJ961&lt;0.6,"Poor",IF(AJ961&lt;0.75,"Needs Improvement",IF(AJ961&lt;0.9,"Good","Excellent")))))</f>
        <v/>
      </c>
    </row>
    <row r="962" ht="15" customHeight="1" s="45">
      <c r="A962">
        <f>IF($B962="","",TEXT($B962,"yyyymmdd")&amp;"-"&amp;SUBSTITUTE($F962," ","")&amp;"-"&amp;TEXT(COUNTIF($F$4:F962,$F962),"00"))</f>
        <v/>
      </c>
      <c r="C962">
        <f>IF($B962="","",WEEKNUM($B962,2))</f>
        <v/>
      </c>
      <c r="D962">
        <f>IF($B962="","",TEXT($B962,"yyyy-mm"))</f>
        <v/>
      </c>
      <c r="G962">
        <f>IF(OR($E962="",$F962=""),"",IFERROR(IF($E962=INDEX(Cluster_Master!$A$4:$A$18,MATCH($F962,Cluster_Master!$B$4:$B$18,0)),"OK","CHECK"),"CHECK"))</f>
        <v/>
      </c>
      <c r="H962">
        <f>IFERROR(INDEX(Cluster_Master!$C$4:$C$18,MATCH($F962,Cluster_Master!$B$4:$B$18,0)),"")</f>
        <v/>
      </c>
      <c r="I962">
        <f>IFERROR(INDEX(Cluster_Master!$D$4:$D$18,MATCH($F962,Cluster_Master!$B$4:$B$18,0)),"")</f>
        <v/>
      </c>
      <c r="J962">
        <f>IFERROR(INDEX(Cluster_Master!$E$4:$E$18,MATCH($F962,Cluster_Master!$B$4:$B$18,0)),"")</f>
        <v/>
      </c>
      <c r="K962">
        <f>IFERROR(INDEX(Cluster_Master!$F$4:$F$18,MATCH($F962,Cluster_Master!$B$4:$B$18,0)),"")</f>
        <v/>
      </c>
      <c r="L962">
        <f>IFERROR(INDEX(Cluster_Master!$G$4:$G$18,MATCH($F962,Cluster_Master!$B$4:$B$18,0)),"")</f>
        <v/>
      </c>
      <c r="M962">
        <f>IFERROR(INDEX(Cluster_Master!$H$4:$H$18,MATCH($F962,Cluster_Master!$B$4:$B$18,0)),"")</f>
        <v/>
      </c>
      <c r="AI962">
        <f>IF(COUNTA(T962:AH962)=0,"",SUM(T962:AH962))</f>
        <v/>
      </c>
      <c r="AJ962">
        <f>IF(COUNTA(T962:AH962)=0,"",AI962/(COUNT(KPI_Weights!$A$4:$A$18)*5))</f>
        <v/>
      </c>
      <c r="AK962">
        <f>IF(COUNTA(T962:AH962)=0,"",SUMPRODUCT(T962:AH962,KPI_Weights!$B$4:$B$18)/5)</f>
        <v/>
      </c>
      <c r="AL962">
        <f>IF(COUNTA(T962:AH962)=0,"",IF(SUMPRODUCT(--(T962:AH962&lt;=1),--(KPI_Weights!$C$4:$C$18="YES"))&gt;0,"YES","NO"))</f>
        <v/>
      </c>
      <c r="AM962">
        <f>IF(AJ962="","",IF(AND(AL962="NO",AJ962&gt;=0.75),"YES","NO"))</f>
        <v/>
      </c>
      <c r="AN962">
        <f>IF(AJ962="","",IF(AJ962&lt;0.4,"Critical",IF(AJ962&lt;0.6,"Poor",IF(AJ962&lt;0.75,"Needs Improvement",IF(AJ962&lt;0.9,"Good","Excellent")))))</f>
        <v/>
      </c>
    </row>
    <row r="963" ht="15" customHeight="1" s="45">
      <c r="A963">
        <f>IF($B963="","",TEXT($B963,"yyyymmdd")&amp;"-"&amp;SUBSTITUTE($F963," ","")&amp;"-"&amp;TEXT(COUNTIF($F$4:F963,$F963),"00"))</f>
        <v/>
      </c>
      <c r="C963">
        <f>IF($B963="","",WEEKNUM($B963,2))</f>
        <v/>
      </c>
      <c r="D963">
        <f>IF($B963="","",TEXT($B963,"yyyy-mm"))</f>
        <v/>
      </c>
      <c r="G963">
        <f>IF(OR($E963="",$F963=""),"",IFERROR(IF($E963=INDEX(Cluster_Master!$A$4:$A$18,MATCH($F963,Cluster_Master!$B$4:$B$18,0)),"OK","CHECK"),"CHECK"))</f>
        <v/>
      </c>
      <c r="H963">
        <f>IFERROR(INDEX(Cluster_Master!$C$4:$C$18,MATCH($F963,Cluster_Master!$B$4:$B$18,0)),"")</f>
        <v/>
      </c>
      <c r="I963">
        <f>IFERROR(INDEX(Cluster_Master!$D$4:$D$18,MATCH($F963,Cluster_Master!$B$4:$B$18,0)),"")</f>
        <v/>
      </c>
      <c r="J963">
        <f>IFERROR(INDEX(Cluster_Master!$E$4:$E$18,MATCH($F963,Cluster_Master!$B$4:$B$18,0)),"")</f>
        <v/>
      </c>
      <c r="K963">
        <f>IFERROR(INDEX(Cluster_Master!$F$4:$F$18,MATCH($F963,Cluster_Master!$B$4:$B$18,0)),"")</f>
        <v/>
      </c>
      <c r="L963">
        <f>IFERROR(INDEX(Cluster_Master!$G$4:$G$18,MATCH($F963,Cluster_Master!$B$4:$B$18,0)),"")</f>
        <v/>
      </c>
      <c r="M963">
        <f>IFERROR(INDEX(Cluster_Master!$H$4:$H$18,MATCH($F963,Cluster_Master!$B$4:$B$18,0)),"")</f>
        <v/>
      </c>
      <c r="AI963">
        <f>IF(COUNTA(T963:AH963)=0,"",SUM(T963:AH963))</f>
        <v/>
      </c>
      <c r="AJ963">
        <f>IF(COUNTA(T963:AH963)=0,"",AI963/(COUNT(KPI_Weights!$A$4:$A$18)*5))</f>
        <v/>
      </c>
      <c r="AK963">
        <f>IF(COUNTA(T963:AH963)=0,"",SUMPRODUCT(T963:AH963,KPI_Weights!$B$4:$B$18)/5)</f>
        <v/>
      </c>
      <c r="AL963">
        <f>IF(COUNTA(T963:AH963)=0,"",IF(SUMPRODUCT(--(T963:AH963&lt;=1),--(KPI_Weights!$C$4:$C$18="YES"))&gt;0,"YES","NO"))</f>
        <v/>
      </c>
      <c r="AM963">
        <f>IF(AJ963="","",IF(AND(AL963="NO",AJ963&gt;=0.75),"YES","NO"))</f>
        <v/>
      </c>
      <c r="AN963">
        <f>IF(AJ963="","",IF(AJ963&lt;0.4,"Critical",IF(AJ963&lt;0.6,"Poor",IF(AJ963&lt;0.75,"Needs Improvement",IF(AJ963&lt;0.9,"Good","Excellent")))))</f>
        <v/>
      </c>
    </row>
    <row r="964" ht="15" customHeight="1" s="45">
      <c r="A964">
        <f>IF($B964="","",TEXT($B964,"yyyymmdd")&amp;"-"&amp;SUBSTITUTE($F964," ","")&amp;"-"&amp;TEXT(COUNTIF($F$4:F964,$F964),"00"))</f>
        <v/>
      </c>
      <c r="C964">
        <f>IF($B964="","",WEEKNUM($B964,2))</f>
        <v/>
      </c>
      <c r="D964">
        <f>IF($B964="","",TEXT($B964,"yyyy-mm"))</f>
        <v/>
      </c>
      <c r="G964">
        <f>IF(OR($E964="",$F964=""),"",IFERROR(IF($E964=INDEX(Cluster_Master!$A$4:$A$18,MATCH($F964,Cluster_Master!$B$4:$B$18,0)),"OK","CHECK"),"CHECK"))</f>
        <v/>
      </c>
      <c r="H964">
        <f>IFERROR(INDEX(Cluster_Master!$C$4:$C$18,MATCH($F964,Cluster_Master!$B$4:$B$18,0)),"")</f>
        <v/>
      </c>
      <c r="I964">
        <f>IFERROR(INDEX(Cluster_Master!$D$4:$D$18,MATCH($F964,Cluster_Master!$B$4:$B$18,0)),"")</f>
        <v/>
      </c>
      <c r="J964">
        <f>IFERROR(INDEX(Cluster_Master!$E$4:$E$18,MATCH($F964,Cluster_Master!$B$4:$B$18,0)),"")</f>
        <v/>
      </c>
      <c r="K964">
        <f>IFERROR(INDEX(Cluster_Master!$F$4:$F$18,MATCH($F964,Cluster_Master!$B$4:$B$18,0)),"")</f>
        <v/>
      </c>
      <c r="L964">
        <f>IFERROR(INDEX(Cluster_Master!$G$4:$G$18,MATCH($F964,Cluster_Master!$B$4:$B$18,0)),"")</f>
        <v/>
      </c>
      <c r="M964">
        <f>IFERROR(INDEX(Cluster_Master!$H$4:$H$18,MATCH($F964,Cluster_Master!$B$4:$B$18,0)),"")</f>
        <v/>
      </c>
      <c r="AI964">
        <f>IF(COUNTA(T964:AH964)=0,"",SUM(T964:AH964))</f>
        <v/>
      </c>
      <c r="AJ964">
        <f>IF(COUNTA(T964:AH964)=0,"",AI964/(COUNT(KPI_Weights!$A$4:$A$18)*5))</f>
        <v/>
      </c>
      <c r="AK964">
        <f>IF(COUNTA(T964:AH964)=0,"",SUMPRODUCT(T964:AH964,KPI_Weights!$B$4:$B$18)/5)</f>
        <v/>
      </c>
      <c r="AL964">
        <f>IF(COUNTA(T964:AH964)=0,"",IF(SUMPRODUCT(--(T964:AH964&lt;=1),--(KPI_Weights!$C$4:$C$18="YES"))&gt;0,"YES","NO"))</f>
        <v/>
      </c>
      <c r="AM964">
        <f>IF(AJ964="","",IF(AND(AL964="NO",AJ964&gt;=0.75),"YES","NO"))</f>
        <v/>
      </c>
      <c r="AN964">
        <f>IF(AJ964="","",IF(AJ964&lt;0.4,"Critical",IF(AJ964&lt;0.6,"Poor",IF(AJ964&lt;0.75,"Needs Improvement",IF(AJ964&lt;0.9,"Good","Excellent")))))</f>
        <v/>
      </c>
    </row>
    <row r="965" ht="15" customHeight="1" s="45">
      <c r="A965">
        <f>IF($B965="","",TEXT($B965,"yyyymmdd")&amp;"-"&amp;SUBSTITUTE($F965," ","")&amp;"-"&amp;TEXT(COUNTIF($F$4:F965,$F965),"00"))</f>
        <v/>
      </c>
      <c r="C965">
        <f>IF($B965="","",WEEKNUM($B965,2))</f>
        <v/>
      </c>
      <c r="D965">
        <f>IF($B965="","",TEXT($B965,"yyyy-mm"))</f>
        <v/>
      </c>
      <c r="G965">
        <f>IF(OR($E965="",$F965=""),"",IFERROR(IF($E965=INDEX(Cluster_Master!$A$4:$A$18,MATCH($F965,Cluster_Master!$B$4:$B$18,0)),"OK","CHECK"),"CHECK"))</f>
        <v/>
      </c>
      <c r="H965">
        <f>IFERROR(INDEX(Cluster_Master!$C$4:$C$18,MATCH($F965,Cluster_Master!$B$4:$B$18,0)),"")</f>
        <v/>
      </c>
      <c r="I965">
        <f>IFERROR(INDEX(Cluster_Master!$D$4:$D$18,MATCH($F965,Cluster_Master!$B$4:$B$18,0)),"")</f>
        <v/>
      </c>
      <c r="J965">
        <f>IFERROR(INDEX(Cluster_Master!$E$4:$E$18,MATCH($F965,Cluster_Master!$B$4:$B$18,0)),"")</f>
        <v/>
      </c>
      <c r="K965">
        <f>IFERROR(INDEX(Cluster_Master!$F$4:$F$18,MATCH($F965,Cluster_Master!$B$4:$B$18,0)),"")</f>
        <v/>
      </c>
      <c r="L965">
        <f>IFERROR(INDEX(Cluster_Master!$G$4:$G$18,MATCH($F965,Cluster_Master!$B$4:$B$18,0)),"")</f>
        <v/>
      </c>
      <c r="M965">
        <f>IFERROR(INDEX(Cluster_Master!$H$4:$H$18,MATCH($F965,Cluster_Master!$B$4:$B$18,0)),"")</f>
        <v/>
      </c>
      <c r="AI965">
        <f>IF(COUNTA(T965:AH965)=0,"",SUM(T965:AH965))</f>
        <v/>
      </c>
      <c r="AJ965">
        <f>IF(COUNTA(T965:AH965)=0,"",AI965/(COUNT(KPI_Weights!$A$4:$A$18)*5))</f>
        <v/>
      </c>
      <c r="AK965">
        <f>IF(COUNTA(T965:AH965)=0,"",SUMPRODUCT(T965:AH965,KPI_Weights!$B$4:$B$18)/5)</f>
        <v/>
      </c>
      <c r="AL965">
        <f>IF(COUNTA(T965:AH965)=0,"",IF(SUMPRODUCT(--(T965:AH965&lt;=1),--(KPI_Weights!$C$4:$C$18="YES"))&gt;0,"YES","NO"))</f>
        <v/>
      </c>
      <c r="AM965">
        <f>IF(AJ965="","",IF(AND(AL965="NO",AJ965&gt;=0.75),"YES","NO"))</f>
        <v/>
      </c>
      <c r="AN965">
        <f>IF(AJ965="","",IF(AJ965&lt;0.4,"Critical",IF(AJ965&lt;0.6,"Poor",IF(AJ965&lt;0.75,"Needs Improvement",IF(AJ965&lt;0.9,"Good","Excellent")))))</f>
        <v/>
      </c>
    </row>
    <row r="966" ht="15" customHeight="1" s="45">
      <c r="A966">
        <f>IF($B966="","",TEXT($B966,"yyyymmdd")&amp;"-"&amp;SUBSTITUTE($F966," ","")&amp;"-"&amp;TEXT(COUNTIF($F$4:F966,$F966),"00"))</f>
        <v/>
      </c>
      <c r="C966">
        <f>IF($B966="","",WEEKNUM($B966,2))</f>
        <v/>
      </c>
      <c r="D966">
        <f>IF($B966="","",TEXT($B966,"yyyy-mm"))</f>
        <v/>
      </c>
      <c r="G966">
        <f>IF(OR($E966="",$F966=""),"",IFERROR(IF($E966=INDEX(Cluster_Master!$A$4:$A$18,MATCH($F966,Cluster_Master!$B$4:$B$18,0)),"OK","CHECK"),"CHECK"))</f>
        <v/>
      </c>
      <c r="H966">
        <f>IFERROR(INDEX(Cluster_Master!$C$4:$C$18,MATCH($F966,Cluster_Master!$B$4:$B$18,0)),"")</f>
        <v/>
      </c>
      <c r="I966">
        <f>IFERROR(INDEX(Cluster_Master!$D$4:$D$18,MATCH($F966,Cluster_Master!$B$4:$B$18,0)),"")</f>
        <v/>
      </c>
      <c r="J966">
        <f>IFERROR(INDEX(Cluster_Master!$E$4:$E$18,MATCH($F966,Cluster_Master!$B$4:$B$18,0)),"")</f>
        <v/>
      </c>
      <c r="K966">
        <f>IFERROR(INDEX(Cluster_Master!$F$4:$F$18,MATCH($F966,Cluster_Master!$B$4:$B$18,0)),"")</f>
        <v/>
      </c>
      <c r="L966">
        <f>IFERROR(INDEX(Cluster_Master!$G$4:$G$18,MATCH($F966,Cluster_Master!$B$4:$B$18,0)),"")</f>
        <v/>
      </c>
      <c r="M966">
        <f>IFERROR(INDEX(Cluster_Master!$H$4:$H$18,MATCH($F966,Cluster_Master!$B$4:$B$18,0)),"")</f>
        <v/>
      </c>
      <c r="AI966">
        <f>IF(COUNTA(T966:AH966)=0,"",SUM(T966:AH966))</f>
        <v/>
      </c>
      <c r="AJ966">
        <f>IF(COUNTA(T966:AH966)=0,"",AI966/(COUNT(KPI_Weights!$A$4:$A$18)*5))</f>
        <v/>
      </c>
      <c r="AK966">
        <f>IF(COUNTA(T966:AH966)=0,"",SUMPRODUCT(T966:AH966,KPI_Weights!$B$4:$B$18)/5)</f>
        <v/>
      </c>
      <c r="AL966">
        <f>IF(COUNTA(T966:AH966)=0,"",IF(SUMPRODUCT(--(T966:AH966&lt;=1),--(KPI_Weights!$C$4:$C$18="YES"))&gt;0,"YES","NO"))</f>
        <v/>
      </c>
      <c r="AM966">
        <f>IF(AJ966="","",IF(AND(AL966="NO",AJ966&gt;=0.75),"YES","NO"))</f>
        <v/>
      </c>
      <c r="AN966">
        <f>IF(AJ966="","",IF(AJ966&lt;0.4,"Critical",IF(AJ966&lt;0.6,"Poor",IF(AJ966&lt;0.75,"Needs Improvement",IF(AJ966&lt;0.9,"Good","Excellent")))))</f>
        <v/>
      </c>
    </row>
    <row r="967" ht="15" customHeight="1" s="45">
      <c r="A967">
        <f>IF($B967="","",TEXT($B967,"yyyymmdd")&amp;"-"&amp;SUBSTITUTE($F967," ","")&amp;"-"&amp;TEXT(COUNTIF($F$4:F967,$F967),"00"))</f>
        <v/>
      </c>
      <c r="C967">
        <f>IF($B967="","",WEEKNUM($B967,2))</f>
        <v/>
      </c>
      <c r="D967">
        <f>IF($B967="","",TEXT($B967,"yyyy-mm"))</f>
        <v/>
      </c>
      <c r="G967">
        <f>IF(OR($E967="",$F967=""),"",IFERROR(IF($E967=INDEX(Cluster_Master!$A$4:$A$18,MATCH($F967,Cluster_Master!$B$4:$B$18,0)),"OK","CHECK"),"CHECK"))</f>
        <v/>
      </c>
      <c r="H967">
        <f>IFERROR(INDEX(Cluster_Master!$C$4:$C$18,MATCH($F967,Cluster_Master!$B$4:$B$18,0)),"")</f>
        <v/>
      </c>
      <c r="I967">
        <f>IFERROR(INDEX(Cluster_Master!$D$4:$D$18,MATCH($F967,Cluster_Master!$B$4:$B$18,0)),"")</f>
        <v/>
      </c>
      <c r="J967">
        <f>IFERROR(INDEX(Cluster_Master!$E$4:$E$18,MATCH($F967,Cluster_Master!$B$4:$B$18,0)),"")</f>
        <v/>
      </c>
      <c r="K967">
        <f>IFERROR(INDEX(Cluster_Master!$F$4:$F$18,MATCH($F967,Cluster_Master!$B$4:$B$18,0)),"")</f>
        <v/>
      </c>
      <c r="L967">
        <f>IFERROR(INDEX(Cluster_Master!$G$4:$G$18,MATCH($F967,Cluster_Master!$B$4:$B$18,0)),"")</f>
        <v/>
      </c>
      <c r="M967">
        <f>IFERROR(INDEX(Cluster_Master!$H$4:$H$18,MATCH($F967,Cluster_Master!$B$4:$B$18,0)),"")</f>
        <v/>
      </c>
      <c r="AI967">
        <f>IF(COUNTA(T967:AH967)=0,"",SUM(T967:AH967))</f>
        <v/>
      </c>
      <c r="AJ967">
        <f>IF(COUNTA(T967:AH967)=0,"",AI967/(COUNT(KPI_Weights!$A$4:$A$18)*5))</f>
        <v/>
      </c>
      <c r="AK967">
        <f>IF(COUNTA(T967:AH967)=0,"",SUMPRODUCT(T967:AH967,KPI_Weights!$B$4:$B$18)/5)</f>
        <v/>
      </c>
      <c r="AL967">
        <f>IF(COUNTA(T967:AH967)=0,"",IF(SUMPRODUCT(--(T967:AH967&lt;=1),--(KPI_Weights!$C$4:$C$18="YES"))&gt;0,"YES","NO"))</f>
        <v/>
      </c>
      <c r="AM967">
        <f>IF(AJ967="","",IF(AND(AL967="NO",AJ967&gt;=0.75),"YES","NO"))</f>
        <v/>
      </c>
      <c r="AN967">
        <f>IF(AJ967="","",IF(AJ967&lt;0.4,"Critical",IF(AJ967&lt;0.6,"Poor",IF(AJ967&lt;0.75,"Needs Improvement",IF(AJ967&lt;0.9,"Good","Excellent")))))</f>
        <v/>
      </c>
    </row>
    <row r="968" ht="15" customHeight="1" s="45">
      <c r="A968">
        <f>IF($B968="","",TEXT($B968,"yyyymmdd")&amp;"-"&amp;SUBSTITUTE($F968," ","")&amp;"-"&amp;TEXT(COUNTIF($F$4:F968,$F968),"00"))</f>
        <v/>
      </c>
      <c r="C968">
        <f>IF($B968="","",WEEKNUM($B968,2))</f>
        <v/>
      </c>
      <c r="D968">
        <f>IF($B968="","",TEXT($B968,"yyyy-mm"))</f>
        <v/>
      </c>
      <c r="G968">
        <f>IF(OR($E968="",$F968=""),"",IFERROR(IF($E968=INDEX(Cluster_Master!$A$4:$A$18,MATCH($F968,Cluster_Master!$B$4:$B$18,0)),"OK","CHECK"),"CHECK"))</f>
        <v/>
      </c>
      <c r="H968">
        <f>IFERROR(INDEX(Cluster_Master!$C$4:$C$18,MATCH($F968,Cluster_Master!$B$4:$B$18,0)),"")</f>
        <v/>
      </c>
      <c r="I968">
        <f>IFERROR(INDEX(Cluster_Master!$D$4:$D$18,MATCH($F968,Cluster_Master!$B$4:$B$18,0)),"")</f>
        <v/>
      </c>
      <c r="J968">
        <f>IFERROR(INDEX(Cluster_Master!$E$4:$E$18,MATCH($F968,Cluster_Master!$B$4:$B$18,0)),"")</f>
        <v/>
      </c>
      <c r="K968">
        <f>IFERROR(INDEX(Cluster_Master!$F$4:$F$18,MATCH($F968,Cluster_Master!$B$4:$B$18,0)),"")</f>
        <v/>
      </c>
      <c r="L968">
        <f>IFERROR(INDEX(Cluster_Master!$G$4:$G$18,MATCH($F968,Cluster_Master!$B$4:$B$18,0)),"")</f>
        <v/>
      </c>
      <c r="M968">
        <f>IFERROR(INDEX(Cluster_Master!$H$4:$H$18,MATCH($F968,Cluster_Master!$B$4:$B$18,0)),"")</f>
        <v/>
      </c>
      <c r="AI968">
        <f>IF(COUNTA(T968:AH968)=0,"",SUM(T968:AH968))</f>
        <v/>
      </c>
      <c r="AJ968">
        <f>IF(COUNTA(T968:AH968)=0,"",AI968/(COUNT(KPI_Weights!$A$4:$A$18)*5))</f>
        <v/>
      </c>
      <c r="AK968">
        <f>IF(COUNTA(T968:AH968)=0,"",SUMPRODUCT(T968:AH968,KPI_Weights!$B$4:$B$18)/5)</f>
        <v/>
      </c>
      <c r="AL968">
        <f>IF(COUNTA(T968:AH968)=0,"",IF(SUMPRODUCT(--(T968:AH968&lt;=1),--(KPI_Weights!$C$4:$C$18="YES"))&gt;0,"YES","NO"))</f>
        <v/>
      </c>
      <c r="AM968">
        <f>IF(AJ968="","",IF(AND(AL968="NO",AJ968&gt;=0.75),"YES","NO"))</f>
        <v/>
      </c>
      <c r="AN968">
        <f>IF(AJ968="","",IF(AJ968&lt;0.4,"Critical",IF(AJ968&lt;0.6,"Poor",IF(AJ968&lt;0.75,"Needs Improvement",IF(AJ968&lt;0.9,"Good","Excellent")))))</f>
        <v/>
      </c>
    </row>
    <row r="969" ht="15" customHeight="1" s="45">
      <c r="A969">
        <f>IF($B969="","",TEXT($B969,"yyyymmdd")&amp;"-"&amp;SUBSTITUTE($F969," ","")&amp;"-"&amp;TEXT(COUNTIF($F$4:F969,$F969),"00"))</f>
        <v/>
      </c>
      <c r="C969">
        <f>IF($B969="","",WEEKNUM($B969,2))</f>
        <v/>
      </c>
      <c r="D969">
        <f>IF($B969="","",TEXT($B969,"yyyy-mm"))</f>
        <v/>
      </c>
      <c r="G969">
        <f>IF(OR($E969="",$F969=""),"",IFERROR(IF($E969=INDEX(Cluster_Master!$A$4:$A$18,MATCH($F969,Cluster_Master!$B$4:$B$18,0)),"OK","CHECK"),"CHECK"))</f>
        <v/>
      </c>
      <c r="H969">
        <f>IFERROR(INDEX(Cluster_Master!$C$4:$C$18,MATCH($F969,Cluster_Master!$B$4:$B$18,0)),"")</f>
        <v/>
      </c>
      <c r="I969">
        <f>IFERROR(INDEX(Cluster_Master!$D$4:$D$18,MATCH($F969,Cluster_Master!$B$4:$B$18,0)),"")</f>
        <v/>
      </c>
      <c r="J969">
        <f>IFERROR(INDEX(Cluster_Master!$E$4:$E$18,MATCH($F969,Cluster_Master!$B$4:$B$18,0)),"")</f>
        <v/>
      </c>
      <c r="K969">
        <f>IFERROR(INDEX(Cluster_Master!$F$4:$F$18,MATCH($F969,Cluster_Master!$B$4:$B$18,0)),"")</f>
        <v/>
      </c>
      <c r="L969">
        <f>IFERROR(INDEX(Cluster_Master!$G$4:$G$18,MATCH($F969,Cluster_Master!$B$4:$B$18,0)),"")</f>
        <v/>
      </c>
      <c r="M969">
        <f>IFERROR(INDEX(Cluster_Master!$H$4:$H$18,MATCH($F969,Cluster_Master!$B$4:$B$18,0)),"")</f>
        <v/>
      </c>
      <c r="AI969">
        <f>IF(COUNTA(T969:AH969)=0,"",SUM(T969:AH969))</f>
        <v/>
      </c>
      <c r="AJ969">
        <f>IF(COUNTA(T969:AH969)=0,"",AI969/(COUNT(KPI_Weights!$A$4:$A$18)*5))</f>
        <v/>
      </c>
      <c r="AK969">
        <f>IF(COUNTA(T969:AH969)=0,"",SUMPRODUCT(T969:AH969,KPI_Weights!$B$4:$B$18)/5)</f>
        <v/>
      </c>
      <c r="AL969">
        <f>IF(COUNTA(T969:AH969)=0,"",IF(SUMPRODUCT(--(T969:AH969&lt;=1),--(KPI_Weights!$C$4:$C$18="YES"))&gt;0,"YES","NO"))</f>
        <v/>
      </c>
      <c r="AM969">
        <f>IF(AJ969="","",IF(AND(AL969="NO",AJ969&gt;=0.75),"YES","NO"))</f>
        <v/>
      </c>
      <c r="AN969">
        <f>IF(AJ969="","",IF(AJ969&lt;0.4,"Critical",IF(AJ969&lt;0.6,"Poor",IF(AJ969&lt;0.75,"Needs Improvement",IF(AJ969&lt;0.9,"Good","Excellent")))))</f>
        <v/>
      </c>
    </row>
    <row r="970" ht="15" customHeight="1" s="45">
      <c r="A970">
        <f>IF($B970="","",TEXT($B970,"yyyymmdd")&amp;"-"&amp;SUBSTITUTE($F970," ","")&amp;"-"&amp;TEXT(COUNTIF($F$4:F970,$F970),"00"))</f>
        <v/>
      </c>
      <c r="C970">
        <f>IF($B970="","",WEEKNUM($B970,2))</f>
        <v/>
      </c>
      <c r="D970">
        <f>IF($B970="","",TEXT($B970,"yyyy-mm"))</f>
        <v/>
      </c>
      <c r="G970">
        <f>IF(OR($E970="",$F970=""),"",IFERROR(IF($E970=INDEX(Cluster_Master!$A$4:$A$18,MATCH($F970,Cluster_Master!$B$4:$B$18,0)),"OK","CHECK"),"CHECK"))</f>
        <v/>
      </c>
      <c r="H970">
        <f>IFERROR(INDEX(Cluster_Master!$C$4:$C$18,MATCH($F970,Cluster_Master!$B$4:$B$18,0)),"")</f>
        <v/>
      </c>
      <c r="I970">
        <f>IFERROR(INDEX(Cluster_Master!$D$4:$D$18,MATCH($F970,Cluster_Master!$B$4:$B$18,0)),"")</f>
        <v/>
      </c>
      <c r="J970">
        <f>IFERROR(INDEX(Cluster_Master!$E$4:$E$18,MATCH($F970,Cluster_Master!$B$4:$B$18,0)),"")</f>
        <v/>
      </c>
      <c r="K970">
        <f>IFERROR(INDEX(Cluster_Master!$F$4:$F$18,MATCH($F970,Cluster_Master!$B$4:$B$18,0)),"")</f>
        <v/>
      </c>
      <c r="L970">
        <f>IFERROR(INDEX(Cluster_Master!$G$4:$G$18,MATCH($F970,Cluster_Master!$B$4:$B$18,0)),"")</f>
        <v/>
      </c>
      <c r="M970">
        <f>IFERROR(INDEX(Cluster_Master!$H$4:$H$18,MATCH($F970,Cluster_Master!$B$4:$B$18,0)),"")</f>
        <v/>
      </c>
      <c r="AI970">
        <f>IF(COUNTA(T970:AH970)=0,"",SUM(T970:AH970))</f>
        <v/>
      </c>
      <c r="AJ970">
        <f>IF(COUNTA(T970:AH970)=0,"",AI970/(COUNT(KPI_Weights!$A$4:$A$18)*5))</f>
        <v/>
      </c>
      <c r="AK970">
        <f>IF(COUNTA(T970:AH970)=0,"",SUMPRODUCT(T970:AH970,KPI_Weights!$B$4:$B$18)/5)</f>
        <v/>
      </c>
      <c r="AL970">
        <f>IF(COUNTA(T970:AH970)=0,"",IF(SUMPRODUCT(--(T970:AH970&lt;=1),--(KPI_Weights!$C$4:$C$18="YES"))&gt;0,"YES","NO"))</f>
        <v/>
      </c>
      <c r="AM970">
        <f>IF(AJ970="","",IF(AND(AL970="NO",AJ970&gt;=0.75),"YES","NO"))</f>
        <v/>
      </c>
      <c r="AN970">
        <f>IF(AJ970="","",IF(AJ970&lt;0.4,"Critical",IF(AJ970&lt;0.6,"Poor",IF(AJ970&lt;0.75,"Needs Improvement",IF(AJ970&lt;0.9,"Good","Excellent")))))</f>
        <v/>
      </c>
    </row>
    <row r="971" ht="15" customHeight="1" s="45">
      <c r="A971">
        <f>IF($B971="","",TEXT($B971,"yyyymmdd")&amp;"-"&amp;SUBSTITUTE($F971," ","")&amp;"-"&amp;TEXT(COUNTIF($F$4:F971,$F971),"00"))</f>
        <v/>
      </c>
      <c r="C971">
        <f>IF($B971="","",WEEKNUM($B971,2))</f>
        <v/>
      </c>
      <c r="D971">
        <f>IF($B971="","",TEXT($B971,"yyyy-mm"))</f>
        <v/>
      </c>
      <c r="G971">
        <f>IF(OR($E971="",$F971=""),"",IFERROR(IF($E971=INDEX(Cluster_Master!$A$4:$A$18,MATCH($F971,Cluster_Master!$B$4:$B$18,0)),"OK","CHECK"),"CHECK"))</f>
        <v/>
      </c>
      <c r="H971">
        <f>IFERROR(INDEX(Cluster_Master!$C$4:$C$18,MATCH($F971,Cluster_Master!$B$4:$B$18,0)),"")</f>
        <v/>
      </c>
      <c r="I971">
        <f>IFERROR(INDEX(Cluster_Master!$D$4:$D$18,MATCH($F971,Cluster_Master!$B$4:$B$18,0)),"")</f>
        <v/>
      </c>
      <c r="J971">
        <f>IFERROR(INDEX(Cluster_Master!$E$4:$E$18,MATCH($F971,Cluster_Master!$B$4:$B$18,0)),"")</f>
        <v/>
      </c>
      <c r="K971">
        <f>IFERROR(INDEX(Cluster_Master!$F$4:$F$18,MATCH($F971,Cluster_Master!$B$4:$B$18,0)),"")</f>
        <v/>
      </c>
      <c r="L971">
        <f>IFERROR(INDEX(Cluster_Master!$G$4:$G$18,MATCH($F971,Cluster_Master!$B$4:$B$18,0)),"")</f>
        <v/>
      </c>
      <c r="M971">
        <f>IFERROR(INDEX(Cluster_Master!$H$4:$H$18,MATCH($F971,Cluster_Master!$B$4:$B$18,0)),"")</f>
        <v/>
      </c>
      <c r="AI971">
        <f>IF(COUNTA(T971:AH971)=0,"",SUM(T971:AH971))</f>
        <v/>
      </c>
      <c r="AJ971">
        <f>IF(COUNTA(T971:AH971)=0,"",AI971/(COUNT(KPI_Weights!$A$4:$A$18)*5))</f>
        <v/>
      </c>
      <c r="AK971">
        <f>IF(COUNTA(T971:AH971)=0,"",SUMPRODUCT(T971:AH971,KPI_Weights!$B$4:$B$18)/5)</f>
        <v/>
      </c>
      <c r="AL971">
        <f>IF(COUNTA(T971:AH971)=0,"",IF(SUMPRODUCT(--(T971:AH971&lt;=1),--(KPI_Weights!$C$4:$C$18="YES"))&gt;0,"YES","NO"))</f>
        <v/>
      </c>
      <c r="AM971">
        <f>IF(AJ971="","",IF(AND(AL971="NO",AJ971&gt;=0.75),"YES","NO"))</f>
        <v/>
      </c>
      <c r="AN971">
        <f>IF(AJ971="","",IF(AJ971&lt;0.4,"Critical",IF(AJ971&lt;0.6,"Poor",IF(AJ971&lt;0.75,"Needs Improvement",IF(AJ971&lt;0.9,"Good","Excellent")))))</f>
        <v/>
      </c>
    </row>
    <row r="972" ht="15" customHeight="1" s="45">
      <c r="A972">
        <f>IF($B972="","",TEXT($B972,"yyyymmdd")&amp;"-"&amp;SUBSTITUTE($F972," ","")&amp;"-"&amp;TEXT(COUNTIF($F$4:F972,$F972),"00"))</f>
        <v/>
      </c>
      <c r="C972">
        <f>IF($B972="","",WEEKNUM($B972,2))</f>
        <v/>
      </c>
      <c r="D972">
        <f>IF($B972="","",TEXT($B972,"yyyy-mm"))</f>
        <v/>
      </c>
      <c r="G972">
        <f>IF(OR($E972="",$F972=""),"",IFERROR(IF($E972=INDEX(Cluster_Master!$A$4:$A$18,MATCH($F972,Cluster_Master!$B$4:$B$18,0)),"OK","CHECK"),"CHECK"))</f>
        <v/>
      </c>
      <c r="H972">
        <f>IFERROR(INDEX(Cluster_Master!$C$4:$C$18,MATCH($F972,Cluster_Master!$B$4:$B$18,0)),"")</f>
        <v/>
      </c>
      <c r="I972">
        <f>IFERROR(INDEX(Cluster_Master!$D$4:$D$18,MATCH($F972,Cluster_Master!$B$4:$B$18,0)),"")</f>
        <v/>
      </c>
      <c r="J972">
        <f>IFERROR(INDEX(Cluster_Master!$E$4:$E$18,MATCH($F972,Cluster_Master!$B$4:$B$18,0)),"")</f>
        <v/>
      </c>
      <c r="K972">
        <f>IFERROR(INDEX(Cluster_Master!$F$4:$F$18,MATCH($F972,Cluster_Master!$B$4:$B$18,0)),"")</f>
        <v/>
      </c>
      <c r="L972">
        <f>IFERROR(INDEX(Cluster_Master!$G$4:$G$18,MATCH($F972,Cluster_Master!$B$4:$B$18,0)),"")</f>
        <v/>
      </c>
      <c r="M972">
        <f>IFERROR(INDEX(Cluster_Master!$H$4:$H$18,MATCH($F972,Cluster_Master!$B$4:$B$18,0)),"")</f>
        <v/>
      </c>
      <c r="AI972">
        <f>IF(COUNTA(T972:AH972)=0,"",SUM(T972:AH972))</f>
        <v/>
      </c>
      <c r="AJ972">
        <f>IF(COUNTA(T972:AH972)=0,"",AI972/(COUNT(KPI_Weights!$A$4:$A$18)*5))</f>
        <v/>
      </c>
      <c r="AK972">
        <f>IF(COUNTA(T972:AH972)=0,"",SUMPRODUCT(T972:AH972,KPI_Weights!$B$4:$B$18)/5)</f>
        <v/>
      </c>
      <c r="AL972">
        <f>IF(COUNTA(T972:AH972)=0,"",IF(SUMPRODUCT(--(T972:AH972&lt;=1),--(KPI_Weights!$C$4:$C$18="YES"))&gt;0,"YES","NO"))</f>
        <v/>
      </c>
      <c r="AM972">
        <f>IF(AJ972="","",IF(AND(AL972="NO",AJ972&gt;=0.75),"YES","NO"))</f>
        <v/>
      </c>
      <c r="AN972">
        <f>IF(AJ972="","",IF(AJ972&lt;0.4,"Critical",IF(AJ972&lt;0.6,"Poor",IF(AJ972&lt;0.75,"Needs Improvement",IF(AJ972&lt;0.9,"Good","Excellent")))))</f>
        <v/>
      </c>
    </row>
    <row r="973" ht="15" customHeight="1" s="45">
      <c r="A973">
        <f>IF($B973="","",TEXT($B973,"yyyymmdd")&amp;"-"&amp;SUBSTITUTE($F973," ","")&amp;"-"&amp;TEXT(COUNTIF($F$4:F973,$F973),"00"))</f>
        <v/>
      </c>
      <c r="C973">
        <f>IF($B973="","",WEEKNUM($B973,2))</f>
        <v/>
      </c>
      <c r="D973">
        <f>IF($B973="","",TEXT($B973,"yyyy-mm"))</f>
        <v/>
      </c>
      <c r="G973">
        <f>IF(OR($E973="",$F973=""),"",IFERROR(IF($E973=INDEX(Cluster_Master!$A$4:$A$18,MATCH($F973,Cluster_Master!$B$4:$B$18,0)),"OK","CHECK"),"CHECK"))</f>
        <v/>
      </c>
      <c r="H973">
        <f>IFERROR(INDEX(Cluster_Master!$C$4:$C$18,MATCH($F973,Cluster_Master!$B$4:$B$18,0)),"")</f>
        <v/>
      </c>
      <c r="I973">
        <f>IFERROR(INDEX(Cluster_Master!$D$4:$D$18,MATCH($F973,Cluster_Master!$B$4:$B$18,0)),"")</f>
        <v/>
      </c>
      <c r="J973">
        <f>IFERROR(INDEX(Cluster_Master!$E$4:$E$18,MATCH($F973,Cluster_Master!$B$4:$B$18,0)),"")</f>
        <v/>
      </c>
      <c r="K973">
        <f>IFERROR(INDEX(Cluster_Master!$F$4:$F$18,MATCH($F973,Cluster_Master!$B$4:$B$18,0)),"")</f>
        <v/>
      </c>
      <c r="L973">
        <f>IFERROR(INDEX(Cluster_Master!$G$4:$G$18,MATCH($F973,Cluster_Master!$B$4:$B$18,0)),"")</f>
        <v/>
      </c>
      <c r="M973">
        <f>IFERROR(INDEX(Cluster_Master!$H$4:$H$18,MATCH($F973,Cluster_Master!$B$4:$B$18,0)),"")</f>
        <v/>
      </c>
      <c r="AI973">
        <f>IF(COUNTA(T973:AH973)=0,"",SUM(T973:AH973))</f>
        <v/>
      </c>
      <c r="AJ973">
        <f>IF(COUNTA(T973:AH973)=0,"",AI973/(COUNT(KPI_Weights!$A$4:$A$18)*5))</f>
        <v/>
      </c>
      <c r="AK973">
        <f>IF(COUNTA(T973:AH973)=0,"",SUMPRODUCT(T973:AH973,KPI_Weights!$B$4:$B$18)/5)</f>
        <v/>
      </c>
      <c r="AL973">
        <f>IF(COUNTA(T973:AH973)=0,"",IF(SUMPRODUCT(--(T973:AH973&lt;=1),--(KPI_Weights!$C$4:$C$18="YES"))&gt;0,"YES","NO"))</f>
        <v/>
      </c>
      <c r="AM973">
        <f>IF(AJ973="","",IF(AND(AL973="NO",AJ973&gt;=0.75),"YES","NO"))</f>
        <v/>
      </c>
      <c r="AN973">
        <f>IF(AJ973="","",IF(AJ973&lt;0.4,"Critical",IF(AJ973&lt;0.6,"Poor",IF(AJ973&lt;0.75,"Needs Improvement",IF(AJ973&lt;0.9,"Good","Excellent")))))</f>
        <v/>
      </c>
    </row>
    <row r="974" ht="15" customHeight="1" s="45">
      <c r="A974">
        <f>IF($B974="","",TEXT($B974,"yyyymmdd")&amp;"-"&amp;SUBSTITUTE($F974," ","")&amp;"-"&amp;TEXT(COUNTIF($F$4:F974,$F974),"00"))</f>
        <v/>
      </c>
      <c r="C974">
        <f>IF($B974="","",WEEKNUM($B974,2))</f>
        <v/>
      </c>
      <c r="D974">
        <f>IF($B974="","",TEXT($B974,"yyyy-mm"))</f>
        <v/>
      </c>
      <c r="G974">
        <f>IF(OR($E974="",$F974=""),"",IFERROR(IF($E974=INDEX(Cluster_Master!$A$4:$A$18,MATCH($F974,Cluster_Master!$B$4:$B$18,0)),"OK","CHECK"),"CHECK"))</f>
        <v/>
      </c>
      <c r="H974">
        <f>IFERROR(INDEX(Cluster_Master!$C$4:$C$18,MATCH($F974,Cluster_Master!$B$4:$B$18,0)),"")</f>
        <v/>
      </c>
      <c r="I974">
        <f>IFERROR(INDEX(Cluster_Master!$D$4:$D$18,MATCH($F974,Cluster_Master!$B$4:$B$18,0)),"")</f>
        <v/>
      </c>
      <c r="J974">
        <f>IFERROR(INDEX(Cluster_Master!$E$4:$E$18,MATCH($F974,Cluster_Master!$B$4:$B$18,0)),"")</f>
        <v/>
      </c>
      <c r="K974">
        <f>IFERROR(INDEX(Cluster_Master!$F$4:$F$18,MATCH($F974,Cluster_Master!$B$4:$B$18,0)),"")</f>
        <v/>
      </c>
      <c r="L974">
        <f>IFERROR(INDEX(Cluster_Master!$G$4:$G$18,MATCH($F974,Cluster_Master!$B$4:$B$18,0)),"")</f>
        <v/>
      </c>
      <c r="M974">
        <f>IFERROR(INDEX(Cluster_Master!$H$4:$H$18,MATCH($F974,Cluster_Master!$B$4:$B$18,0)),"")</f>
        <v/>
      </c>
      <c r="AI974">
        <f>IF(COUNTA(T974:AH974)=0,"",SUM(T974:AH974))</f>
        <v/>
      </c>
      <c r="AJ974">
        <f>IF(COUNTA(T974:AH974)=0,"",AI974/(COUNT(KPI_Weights!$A$4:$A$18)*5))</f>
        <v/>
      </c>
      <c r="AK974">
        <f>IF(COUNTA(T974:AH974)=0,"",SUMPRODUCT(T974:AH974,KPI_Weights!$B$4:$B$18)/5)</f>
        <v/>
      </c>
      <c r="AL974">
        <f>IF(COUNTA(T974:AH974)=0,"",IF(SUMPRODUCT(--(T974:AH974&lt;=1),--(KPI_Weights!$C$4:$C$18="YES"))&gt;0,"YES","NO"))</f>
        <v/>
      </c>
      <c r="AM974">
        <f>IF(AJ974="","",IF(AND(AL974="NO",AJ974&gt;=0.75),"YES","NO"))</f>
        <v/>
      </c>
      <c r="AN974">
        <f>IF(AJ974="","",IF(AJ974&lt;0.4,"Critical",IF(AJ974&lt;0.6,"Poor",IF(AJ974&lt;0.75,"Needs Improvement",IF(AJ974&lt;0.9,"Good","Excellent")))))</f>
        <v/>
      </c>
    </row>
    <row r="975" ht="15" customHeight="1" s="45">
      <c r="A975">
        <f>IF($B975="","",TEXT($B975,"yyyymmdd")&amp;"-"&amp;SUBSTITUTE($F975," ","")&amp;"-"&amp;TEXT(COUNTIF($F$4:F975,$F975),"00"))</f>
        <v/>
      </c>
      <c r="C975">
        <f>IF($B975="","",WEEKNUM($B975,2))</f>
        <v/>
      </c>
      <c r="D975">
        <f>IF($B975="","",TEXT($B975,"yyyy-mm"))</f>
        <v/>
      </c>
      <c r="G975">
        <f>IF(OR($E975="",$F975=""),"",IFERROR(IF($E975=INDEX(Cluster_Master!$A$4:$A$18,MATCH($F975,Cluster_Master!$B$4:$B$18,0)),"OK","CHECK"),"CHECK"))</f>
        <v/>
      </c>
      <c r="H975">
        <f>IFERROR(INDEX(Cluster_Master!$C$4:$C$18,MATCH($F975,Cluster_Master!$B$4:$B$18,0)),"")</f>
        <v/>
      </c>
      <c r="I975">
        <f>IFERROR(INDEX(Cluster_Master!$D$4:$D$18,MATCH($F975,Cluster_Master!$B$4:$B$18,0)),"")</f>
        <v/>
      </c>
      <c r="J975">
        <f>IFERROR(INDEX(Cluster_Master!$E$4:$E$18,MATCH($F975,Cluster_Master!$B$4:$B$18,0)),"")</f>
        <v/>
      </c>
      <c r="K975">
        <f>IFERROR(INDEX(Cluster_Master!$F$4:$F$18,MATCH($F975,Cluster_Master!$B$4:$B$18,0)),"")</f>
        <v/>
      </c>
      <c r="L975">
        <f>IFERROR(INDEX(Cluster_Master!$G$4:$G$18,MATCH($F975,Cluster_Master!$B$4:$B$18,0)),"")</f>
        <v/>
      </c>
      <c r="M975">
        <f>IFERROR(INDEX(Cluster_Master!$H$4:$H$18,MATCH($F975,Cluster_Master!$B$4:$B$18,0)),"")</f>
        <v/>
      </c>
      <c r="AI975">
        <f>IF(COUNTA(T975:AH975)=0,"",SUM(T975:AH975))</f>
        <v/>
      </c>
      <c r="AJ975">
        <f>IF(COUNTA(T975:AH975)=0,"",AI975/(COUNT(KPI_Weights!$A$4:$A$18)*5))</f>
        <v/>
      </c>
      <c r="AK975">
        <f>IF(COUNTA(T975:AH975)=0,"",SUMPRODUCT(T975:AH975,KPI_Weights!$B$4:$B$18)/5)</f>
        <v/>
      </c>
      <c r="AL975">
        <f>IF(COUNTA(T975:AH975)=0,"",IF(SUMPRODUCT(--(T975:AH975&lt;=1),--(KPI_Weights!$C$4:$C$18="YES"))&gt;0,"YES","NO"))</f>
        <v/>
      </c>
      <c r="AM975">
        <f>IF(AJ975="","",IF(AND(AL975="NO",AJ975&gt;=0.75),"YES","NO"))</f>
        <v/>
      </c>
      <c r="AN975">
        <f>IF(AJ975="","",IF(AJ975&lt;0.4,"Critical",IF(AJ975&lt;0.6,"Poor",IF(AJ975&lt;0.75,"Needs Improvement",IF(AJ975&lt;0.9,"Good","Excellent")))))</f>
        <v/>
      </c>
    </row>
    <row r="976" ht="15" customHeight="1" s="45">
      <c r="A976">
        <f>IF($B976="","",TEXT($B976,"yyyymmdd")&amp;"-"&amp;SUBSTITUTE($F976," ","")&amp;"-"&amp;TEXT(COUNTIF($F$4:F976,$F976),"00"))</f>
        <v/>
      </c>
      <c r="C976">
        <f>IF($B976="","",WEEKNUM($B976,2))</f>
        <v/>
      </c>
      <c r="D976">
        <f>IF($B976="","",TEXT($B976,"yyyy-mm"))</f>
        <v/>
      </c>
      <c r="G976">
        <f>IF(OR($E976="",$F976=""),"",IFERROR(IF($E976=INDEX(Cluster_Master!$A$4:$A$18,MATCH($F976,Cluster_Master!$B$4:$B$18,0)),"OK","CHECK"),"CHECK"))</f>
        <v/>
      </c>
      <c r="H976">
        <f>IFERROR(INDEX(Cluster_Master!$C$4:$C$18,MATCH($F976,Cluster_Master!$B$4:$B$18,0)),"")</f>
        <v/>
      </c>
      <c r="I976">
        <f>IFERROR(INDEX(Cluster_Master!$D$4:$D$18,MATCH($F976,Cluster_Master!$B$4:$B$18,0)),"")</f>
        <v/>
      </c>
      <c r="J976">
        <f>IFERROR(INDEX(Cluster_Master!$E$4:$E$18,MATCH($F976,Cluster_Master!$B$4:$B$18,0)),"")</f>
        <v/>
      </c>
      <c r="K976">
        <f>IFERROR(INDEX(Cluster_Master!$F$4:$F$18,MATCH($F976,Cluster_Master!$B$4:$B$18,0)),"")</f>
        <v/>
      </c>
      <c r="L976">
        <f>IFERROR(INDEX(Cluster_Master!$G$4:$G$18,MATCH($F976,Cluster_Master!$B$4:$B$18,0)),"")</f>
        <v/>
      </c>
      <c r="M976">
        <f>IFERROR(INDEX(Cluster_Master!$H$4:$H$18,MATCH($F976,Cluster_Master!$B$4:$B$18,0)),"")</f>
        <v/>
      </c>
      <c r="AI976">
        <f>IF(COUNTA(T976:AH976)=0,"",SUM(T976:AH976))</f>
        <v/>
      </c>
      <c r="AJ976">
        <f>IF(COUNTA(T976:AH976)=0,"",AI976/(COUNT(KPI_Weights!$A$4:$A$18)*5))</f>
        <v/>
      </c>
      <c r="AK976">
        <f>IF(COUNTA(T976:AH976)=0,"",SUMPRODUCT(T976:AH976,KPI_Weights!$B$4:$B$18)/5)</f>
        <v/>
      </c>
      <c r="AL976">
        <f>IF(COUNTA(T976:AH976)=0,"",IF(SUMPRODUCT(--(T976:AH976&lt;=1),--(KPI_Weights!$C$4:$C$18="YES"))&gt;0,"YES","NO"))</f>
        <v/>
      </c>
      <c r="AM976">
        <f>IF(AJ976="","",IF(AND(AL976="NO",AJ976&gt;=0.75),"YES","NO"))</f>
        <v/>
      </c>
      <c r="AN976">
        <f>IF(AJ976="","",IF(AJ976&lt;0.4,"Critical",IF(AJ976&lt;0.6,"Poor",IF(AJ976&lt;0.75,"Needs Improvement",IF(AJ976&lt;0.9,"Good","Excellent")))))</f>
        <v/>
      </c>
    </row>
    <row r="977" ht="15" customHeight="1" s="45">
      <c r="A977">
        <f>IF($B977="","",TEXT($B977,"yyyymmdd")&amp;"-"&amp;SUBSTITUTE($F977," ","")&amp;"-"&amp;TEXT(COUNTIF($F$4:F977,$F977),"00"))</f>
        <v/>
      </c>
      <c r="C977">
        <f>IF($B977="","",WEEKNUM($B977,2))</f>
        <v/>
      </c>
      <c r="D977">
        <f>IF($B977="","",TEXT($B977,"yyyy-mm"))</f>
        <v/>
      </c>
      <c r="G977">
        <f>IF(OR($E977="",$F977=""),"",IFERROR(IF($E977=INDEX(Cluster_Master!$A$4:$A$18,MATCH($F977,Cluster_Master!$B$4:$B$18,0)),"OK","CHECK"),"CHECK"))</f>
        <v/>
      </c>
      <c r="H977">
        <f>IFERROR(INDEX(Cluster_Master!$C$4:$C$18,MATCH($F977,Cluster_Master!$B$4:$B$18,0)),"")</f>
        <v/>
      </c>
      <c r="I977">
        <f>IFERROR(INDEX(Cluster_Master!$D$4:$D$18,MATCH($F977,Cluster_Master!$B$4:$B$18,0)),"")</f>
        <v/>
      </c>
      <c r="J977">
        <f>IFERROR(INDEX(Cluster_Master!$E$4:$E$18,MATCH($F977,Cluster_Master!$B$4:$B$18,0)),"")</f>
        <v/>
      </c>
      <c r="K977">
        <f>IFERROR(INDEX(Cluster_Master!$F$4:$F$18,MATCH($F977,Cluster_Master!$B$4:$B$18,0)),"")</f>
        <v/>
      </c>
      <c r="L977">
        <f>IFERROR(INDEX(Cluster_Master!$G$4:$G$18,MATCH($F977,Cluster_Master!$B$4:$B$18,0)),"")</f>
        <v/>
      </c>
      <c r="M977">
        <f>IFERROR(INDEX(Cluster_Master!$H$4:$H$18,MATCH($F977,Cluster_Master!$B$4:$B$18,0)),"")</f>
        <v/>
      </c>
      <c r="AI977">
        <f>IF(COUNTA(T977:AH977)=0,"",SUM(T977:AH977))</f>
        <v/>
      </c>
      <c r="AJ977">
        <f>IF(COUNTA(T977:AH977)=0,"",AI977/(COUNT(KPI_Weights!$A$4:$A$18)*5))</f>
        <v/>
      </c>
      <c r="AK977">
        <f>IF(COUNTA(T977:AH977)=0,"",SUMPRODUCT(T977:AH977,KPI_Weights!$B$4:$B$18)/5)</f>
        <v/>
      </c>
      <c r="AL977">
        <f>IF(COUNTA(T977:AH977)=0,"",IF(SUMPRODUCT(--(T977:AH977&lt;=1),--(KPI_Weights!$C$4:$C$18="YES"))&gt;0,"YES","NO"))</f>
        <v/>
      </c>
      <c r="AM977">
        <f>IF(AJ977="","",IF(AND(AL977="NO",AJ977&gt;=0.75),"YES","NO"))</f>
        <v/>
      </c>
      <c r="AN977">
        <f>IF(AJ977="","",IF(AJ977&lt;0.4,"Critical",IF(AJ977&lt;0.6,"Poor",IF(AJ977&lt;0.75,"Needs Improvement",IF(AJ977&lt;0.9,"Good","Excellent")))))</f>
        <v/>
      </c>
    </row>
    <row r="978" ht="15" customHeight="1" s="45">
      <c r="A978">
        <f>IF($B978="","",TEXT($B978,"yyyymmdd")&amp;"-"&amp;SUBSTITUTE($F978," ","")&amp;"-"&amp;TEXT(COUNTIF($F$4:F978,$F978),"00"))</f>
        <v/>
      </c>
      <c r="C978">
        <f>IF($B978="","",WEEKNUM($B978,2))</f>
        <v/>
      </c>
      <c r="D978">
        <f>IF($B978="","",TEXT($B978,"yyyy-mm"))</f>
        <v/>
      </c>
      <c r="G978">
        <f>IF(OR($E978="",$F978=""),"",IFERROR(IF($E978=INDEX(Cluster_Master!$A$4:$A$18,MATCH($F978,Cluster_Master!$B$4:$B$18,0)),"OK","CHECK"),"CHECK"))</f>
        <v/>
      </c>
      <c r="H978">
        <f>IFERROR(INDEX(Cluster_Master!$C$4:$C$18,MATCH($F978,Cluster_Master!$B$4:$B$18,0)),"")</f>
        <v/>
      </c>
      <c r="I978">
        <f>IFERROR(INDEX(Cluster_Master!$D$4:$D$18,MATCH($F978,Cluster_Master!$B$4:$B$18,0)),"")</f>
        <v/>
      </c>
      <c r="J978">
        <f>IFERROR(INDEX(Cluster_Master!$E$4:$E$18,MATCH($F978,Cluster_Master!$B$4:$B$18,0)),"")</f>
        <v/>
      </c>
      <c r="K978">
        <f>IFERROR(INDEX(Cluster_Master!$F$4:$F$18,MATCH($F978,Cluster_Master!$B$4:$B$18,0)),"")</f>
        <v/>
      </c>
      <c r="L978">
        <f>IFERROR(INDEX(Cluster_Master!$G$4:$G$18,MATCH($F978,Cluster_Master!$B$4:$B$18,0)),"")</f>
        <v/>
      </c>
      <c r="M978">
        <f>IFERROR(INDEX(Cluster_Master!$H$4:$H$18,MATCH($F978,Cluster_Master!$B$4:$B$18,0)),"")</f>
        <v/>
      </c>
      <c r="AI978">
        <f>IF(COUNTA(T978:AH978)=0,"",SUM(T978:AH978))</f>
        <v/>
      </c>
      <c r="AJ978">
        <f>IF(COUNTA(T978:AH978)=0,"",AI978/(COUNT(KPI_Weights!$A$4:$A$18)*5))</f>
        <v/>
      </c>
      <c r="AK978">
        <f>IF(COUNTA(T978:AH978)=0,"",SUMPRODUCT(T978:AH978,KPI_Weights!$B$4:$B$18)/5)</f>
        <v/>
      </c>
      <c r="AL978">
        <f>IF(COUNTA(T978:AH978)=0,"",IF(SUMPRODUCT(--(T978:AH978&lt;=1),--(KPI_Weights!$C$4:$C$18="YES"))&gt;0,"YES","NO"))</f>
        <v/>
      </c>
      <c r="AM978">
        <f>IF(AJ978="","",IF(AND(AL978="NO",AJ978&gt;=0.75),"YES","NO"))</f>
        <v/>
      </c>
      <c r="AN978">
        <f>IF(AJ978="","",IF(AJ978&lt;0.4,"Critical",IF(AJ978&lt;0.6,"Poor",IF(AJ978&lt;0.75,"Needs Improvement",IF(AJ978&lt;0.9,"Good","Excellent")))))</f>
        <v/>
      </c>
    </row>
    <row r="979" ht="15" customHeight="1" s="45">
      <c r="A979">
        <f>IF($B979="","",TEXT($B979,"yyyymmdd")&amp;"-"&amp;SUBSTITUTE($F979," ","")&amp;"-"&amp;TEXT(COUNTIF($F$4:F979,$F979),"00"))</f>
        <v/>
      </c>
      <c r="C979">
        <f>IF($B979="","",WEEKNUM($B979,2))</f>
        <v/>
      </c>
      <c r="D979">
        <f>IF($B979="","",TEXT($B979,"yyyy-mm"))</f>
        <v/>
      </c>
      <c r="G979">
        <f>IF(OR($E979="",$F979=""),"",IFERROR(IF($E979=INDEX(Cluster_Master!$A$4:$A$18,MATCH($F979,Cluster_Master!$B$4:$B$18,0)),"OK","CHECK"),"CHECK"))</f>
        <v/>
      </c>
      <c r="H979">
        <f>IFERROR(INDEX(Cluster_Master!$C$4:$C$18,MATCH($F979,Cluster_Master!$B$4:$B$18,0)),"")</f>
        <v/>
      </c>
      <c r="I979">
        <f>IFERROR(INDEX(Cluster_Master!$D$4:$D$18,MATCH($F979,Cluster_Master!$B$4:$B$18,0)),"")</f>
        <v/>
      </c>
      <c r="J979">
        <f>IFERROR(INDEX(Cluster_Master!$E$4:$E$18,MATCH($F979,Cluster_Master!$B$4:$B$18,0)),"")</f>
        <v/>
      </c>
      <c r="K979">
        <f>IFERROR(INDEX(Cluster_Master!$F$4:$F$18,MATCH($F979,Cluster_Master!$B$4:$B$18,0)),"")</f>
        <v/>
      </c>
      <c r="L979">
        <f>IFERROR(INDEX(Cluster_Master!$G$4:$G$18,MATCH($F979,Cluster_Master!$B$4:$B$18,0)),"")</f>
        <v/>
      </c>
      <c r="M979">
        <f>IFERROR(INDEX(Cluster_Master!$H$4:$H$18,MATCH($F979,Cluster_Master!$B$4:$B$18,0)),"")</f>
        <v/>
      </c>
      <c r="AI979">
        <f>IF(COUNTA(T979:AH979)=0,"",SUM(T979:AH979))</f>
        <v/>
      </c>
      <c r="AJ979">
        <f>IF(COUNTA(T979:AH979)=0,"",AI979/(COUNT(KPI_Weights!$A$4:$A$18)*5))</f>
        <v/>
      </c>
      <c r="AK979">
        <f>IF(COUNTA(T979:AH979)=0,"",SUMPRODUCT(T979:AH979,KPI_Weights!$B$4:$B$18)/5)</f>
        <v/>
      </c>
      <c r="AL979">
        <f>IF(COUNTA(T979:AH979)=0,"",IF(SUMPRODUCT(--(T979:AH979&lt;=1),--(KPI_Weights!$C$4:$C$18="YES"))&gt;0,"YES","NO"))</f>
        <v/>
      </c>
      <c r="AM979">
        <f>IF(AJ979="","",IF(AND(AL979="NO",AJ979&gt;=0.75),"YES","NO"))</f>
        <v/>
      </c>
      <c r="AN979">
        <f>IF(AJ979="","",IF(AJ979&lt;0.4,"Critical",IF(AJ979&lt;0.6,"Poor",IF(AJ979&lt;0.75,"Needs Improvement",IF(AJ979&lt;0.9,"Good","Excellent")))))</f>
        <v/>
      </c>
    </row>
    <row r="980" ht="15" customHeight="1" s="45">
      <c r="A980">
        <f>IF($B980="","",TEXT($B980,"yyyymmdd")&amp;"-"&amp;SUBSTITUTE($F980," ","")&amp;"-"&amp;TEXT(COUNTIF($F$4:F980,$F980),"00"))</f>
        <v/>
      </c>
      <c r="C980">
        <f>IF($B980="","",WEEKNUM($B980,2))</f>
        <v/>
      </c>
      <c r="D980">
        <f>IF($B980="","",TEXT($B980,"yyyy-mm"))</f>
        <v/>
      </c>
      <c r="G980">
        <f>IF(OR($E980="",$F980=""),"",IFERROR(IF($E980=INDEX(Cluster_Master!$A$4:$A$18,MATCH($F980,Cluster_Master!$B$4:$B$18,0)),"OK","CHECK"),"CHECK"))</f>
        <v/>
      </c>
      <c r="H980">
        <f>IFERROR(INDEX(Cluster_Master!$C$4:$C$18,MATCH($F980,Cluster_Master!$B$4:$B$18,0)),"")</f>
        <v/>
      </c>
      <c r="I980">
        <f>IFERROR(INDEX(Cluster_Master!$D$4:$D$18,MATCH($F980,Cluster_Master!$B$4:$B$18,0)),"")</f>
        <v/>
      </c>
      <c r="J980">
        <f>IFERROR(INDEX(Cluster_Master!$E$4:$E$18,MATCH($F980,Cluster_Master!$B$4:$B$18,0)),"")</f>
        <v/>
      </c>
      <c r="K980">
        <f>IFERROR(INDEX(Cluster_Master!$F$4:$F$18,MATCH($F980,Cluster_Master!$B$4:$B$18,0)),"")</f>
        <v/>
      </c>
      <c r="L980">
        <f>IFERROR(INDEX(Cluster_Master!$G$4:$G$18,MATCH($F980,Cluster_Master!$B$4:$B$18,0)),"")</f>
        <v/>
      </c>
      <c r="M980">
        <f>IFERROR(INDEX(Cluster_Master!$H$4:$H$18,MATCH($F980,Cluster_Master!$B$4:$B$18,0)),"")</f>
        <v/>
      </c>
      <c r="AI980">
        <f>IF(COUNTA(T980:AH980)=0,"",SUM(T980:AH980))</f>
        <v/>
      </c>
      <c r="AJ980">
        <f>IF(COUNTA(T980:AH980)=0,"",AI980/(COUNT(KPI_Weights!$A$4:$A$18)*5))</f>
        <v/>
      </c>
      <c r="AK980">
        <f>IF(COUNTA(T980:AH980)=0,"",SUMPRODUCT(T980:AH980,KPI_Weights!$B$4:$B$18)/5)</f>
        <v/>
      </c>
      <c r="AL980">
        <f>IF(COUNTA(T980:AH980)=0,"",IF(SUMPRODUCT(--(T980:AH980&lt;=1),--(KPI_Weights!$C$4:$C$18="YES"))&gt;0,"YES","NO"))</f>
        <v/>
      </c>
      <c r="AM980">
        <f>IF(AJ980="","",IF(AND(AL980="NO",AJ980&gt;=0.75),"YES","NO"))</f>
        <v/>
      </c>
      <c r="AN980">
        <f>IF(AJ980="","",IF(AJ980&lt;0.4,"Critical",IF(AJ980&lt;0.6,"Poor",IF(AJ980&lt;0.75,"Needs Improvement",IF(AJ980&lt;0.9,"Good","Excellent")))))</f>
        <v/>
      </c>
    </row>
    <row r="981" ht="15" customHeight="1" s="45">
      <c r="A981">
        <f>IF($B981="","",TEXT($B981,"yyyymmdd")&amp;"-"&amp;SUBSTITUTE($F981," ","")&amp;"-"&amp;TEXT(COUNTIF($F$4:F981,$F981),"00"))</f>
        <v/>
      </c>
      <c r="C981">
        <f>IF($B981="","",WEEKNUM($B981,2))</f>
        <v/>
      </c>
      <c r="D981">
        <f>IF($B981="","",TEXT($B981,"yyyy-mm"))</f>
        <v/>
      </c>
      <c r="G981">
        <f>IF(OR($E981="",$F981=""),"",IFERROR(IF($E981=INDEX(Cluster_Master!$A$4:$A$18,MATCH($F981,Cluster_Master!$B$4:$B$18,0)),"OK","CHECK"),"CHECK"))</f>
        <v/>
      </c>
      <c r="H981">
        <f>IFERROR(INDEX(Cluster_Master!$C$4:$C$18,MATCH($F981,Cluster_Master!$B$4:$B$18,0)),"")</f>
        <v/>
      </c>
      <c r="I981">
        <f>IFERROR(INDEX(Cluster_Master!$D$4:$D$18,MATCH($F981,Cluster_Master!$B$4:$B$18,0)),"")</f>
        <v/>
      </c>
      <c r="J981">
        <f>IFERROR(INDEX(Cluster_Master!$E$4:$E$18,MATCH($F981,Cluster_Master!$B$4:$B$18,0)),"")</f>
        <v/>
      </c>
      <c r="K981">
        <f>IFERROR(INDEX(Cluster_Master!$F$4:$F$18,MATCH($F981,Cluster_Master!$B$4:$B$18,0)),"")</f>
        <v/>
      </c>
      <c r="L981">
        <f>IFERROR(INDEX(Cluster_Master!$G$4:$G$18,MATCH($F981,Cluster_Master!$B$4:$B$18,0)),"")</f>
        <v/>
      </c>
      <c r="M981">
        <f>IFERROR(INDEX(Cluster_Master!$H$4:$H$18,MATCH($F981,Cluster_Master!$B$4:$B$18,0)),"")</f>
        <v/>
      </c>
      <c r="AI981">
        <f>IF(COUNTA(T981:AH981)=0,"",SUM(T981:AH981))</f>
        <v/>
      </c>
      <c r="AJ981">
        <f>IF(COUNTA(T981:AH981)=0,"",AI981/(COUNT(KPI_Weights!$A$4:$A$18)*5))</f>
        <v/>
      </c>
      <c r="AK981">
        <f>IF(COUNTA(T981:AH981)=0,"",SUMPRODUCT(T981:AH981,KPI_Weights!$B$4:$B$18)/5)</f>
        <v/>
      </c>
      <c r="AL981">
        <f>IF(COUNTA(T981:AH981)=0,"",IF(SUMPRODUCT(--(T981:AH981&lt;=1),--(KPI_Weights!$C$4:$C$18="YES"))&gt;0,"YES","NO"))</f>
        <v/>
      </c>
      <c r="AM981">
        <f>IF(AJ981="","",IF(AND(AL981="NO",AJ981&gt;=0.75),"YES","NO"))</f>
        <v/>
      </c>
      <c r="AN981">
        <f>IF(AJ981="","",IF(AJ981&lt;0.4,"Critical",IF(AJ981&lt;0.6,"Poor",IF(AJ981&lt;0.75,"Needs Improvement",IF(AJ981&lt;0.9,"Good","Excellent")))))</f>
        <v/>
      </c>
    </row>
    <row r="982" ht="15" customHeight="1" s="45">
      <c r="A982">
        <f>IF($B982="","",TEXT($B982,"yyyymmdd")&amp;"-"&amp;SUBSTITUTE($F982," ","")&amp;"-"&amp;TEXT(COUNTIF($F$4:F982,$F982),"00"))</f>
        <v/>
      </c>
      <c r="C982">
        <f>IF($B982="","",WEEKNUM($B982,2))</f>
        <v/>
      </c>
      <c r="D982">
        <f>IF($B982="","",TEXT($B982,"yyyy-mm"))</f>
        <v/>
      </c>
      <c r="G982">
        <f>IF(OR($E982="",$F982=""),"",IFERROR(IF($E982=INDEX(Cluster_Master!$A$4:$A$18,MATCH($F982,Cluster_Master!$B$4:$B$18,0)),"OK","CHECK"),"CHECK"))</f>
        <v/>
      </c>
      <c r="H982">
        <f>IFERROR(INDEX(Cluster_Master!$C$4:$C$18,MATCH($F982,Cluster_Master!$B$4:$B$18,0)),"")</f>
        <v/>
      </c>
      <c r="I982">
        <f>IFERROR(INDEX(Cluster_Master!$D$4:$D$18,MATCH($F982,Cluster_Master!$B$4:$B$18,0)),"")</f>
        <v/>
      </c>
      <c r="J982">
        <f>IFERROR(INDEX(Cluster_Master!$E$4:$E$18,MATCH($F982,Cluster_Master!$B$4:$B$18,0)),"")</f>
        <v/>
      </c>
      <c r="K982">
        <f>IFERROR(INDEX(Cluster_Master!$F$4:$F$18,MATCH($F982,Cluster_Master!$B$4:$B$18,0)),"")</f>
        <v/>
      </c>
      <c r="L982">
        <f>IFERROR(INDEX(Cluster_Master!$G$4:$G$18,MATCH($F982,Cluster_Master!$B$4:$B$18,0)),"")</f>
        <v/>
      </c>
      <c r="M982">
        <f>IFERROR(INDEX(Cluster_Master!$H$4:$H$18,MATCH($F982,Cluster_Master!$B$4:$B$18,0)),"")</f>
        <v/>
      </c>
      <c r="AI982">
        <f>IF(COUNTA(T982:AH982)=0,"",SUM(T982:AH982))</f>
        <v/>
      </c>
      <c r="AJ982">
        <f>IF(COUNTA(T982:AH982)=0,"",AI982/(COUNT(KPI_Weights!$A$4:$A$18)*5))</f>
        <v/>
      </c>
      <c r="AK982">
        <f>IF(COUNTA(T982:AH982)=0,"",SUMPRODUCT(T982:AH982,KPI_Weights!$B$4:$B$18)/5)</f>
        <v/>
      </c>
      <c r="AL982">
        <f>IF(COUNTA(T982:AH982)=0,"",IF(SUMPRODUCT(--(T982:AH982&lt;=1),--(KPI_Weights!$C$4:$C$18="YES"))&gt;0,"YES","NO"))</f>
        <v/>
      </c>
      <c r="AM982">
        <f>IF(AJ982="","",IF(AND(AL982="NO",AJ982&gt;=0.75),"YES","NO"))</f>
        <v/>
      </c>
      <c r="AN982">
        <f>IF(AJ982="","",IF(AJ982&lt;0.4,"Critical",IF(AJ982&lt;0.6,"Poor",IF(AJ982&lt;0.75,"Needs Improvement",IF(AJ982&lt;0.9,"Good","Excellent")))))</f>
        <v/>
      </c>
    </row>
    <row r="983" ht="15" customHeight="1" s="45">
      <c r="A983">
        <f>IF($B983="","",TEXT($B983,"yyyymmdd")&amp;"-"&amp;SUBSTITUTE($F983," ","")&amp;"-"&amp;TEXT(COUNTIF($F$4:F983,$F983),"00"))</f>
        <v/>
      </c>
      <c r="C983">
        <f>IF($B983="","",WEEKNUM($B983,2))</f>
        <v/>
      </c>
      <c r="D983">
        <f>IF($B983="","",TEXT($B983,"yyyy-mm"))</f>
        <v/>
      </c>
      <c r="G983">
        <f>IF(OR($E983="",$F983=""),"",IFERROR(IF($E983=INDEX(Cluster_Master!$A$4:$A$18,MATCH($F983,Cluster_Master!$B$4:$B$18,0)),"OK","CHECK"),"CHECK"))</f>
        <v/>
      </c>
      <c r="H983">
        <f>IFERROR(INDEX(Cluster_Master!$C$4:$C$18,MATCH($F983,Cluster_Master!$B$4:$B$18,0)),"")</f>
        <v/>
      </c>
      <c r="I983">
        <f>IFERROR(INDEX(Cluster_Master!$D$4:$D$18,MATCH($F983,Cluster_Master!$B$4:$B$18,0)),"")</f>
        <v/>
      </c>
      <c r="J983">
        <f>IFERROR(INDEX(Cluster_Master!$E$4:$E$18,MATCH($F983,Cluster_Master!$B$4:$B$18,0)),"")</f>
        <v/>
      </c>
      <c r="K983">
        <f>IFERROR(INDEX(Cluster_Master!$F$4:$F$18,MATCH($F983,Cluster_Master!$B$4:$B$18,0)),"")</f>
        <v/>
      </c>
      <c r="L983">
        <f>IFERROR(INDEX(Cluster_Master!$G$4:$G$18,MATCH($F983,Cluster_Master!$B$4:$B$18,0)),"")</f>
        <v/>
      </c>
      <c r="M983">
        <f>IFERROR(INDEX(Cluster_Master!$H$4:$H$18,MATCH($F983,Cluster_Master!$B$4:$B$18,0)),"")</f>
        <v/>
      </c>
      <c r="AI983">
        <f>IF(COUNTA(T983:AH983)=0,"",SUM(T983:AH983))</f>
        <v/>
      </c>
      <c r="AJ983">
        <f>IF(COUNTA(T983:AH983)=0,"",AI983/(COUNT(KPI_Weights!$A$4:$A$18)*5))</f>
        <v/>
      </c>
      <c r="AK983">
        <f>IF(COUNTA(T983:AH983)=0,"",SUMPRODUCT(T983:AH983,KPI_Weights!$B$4:$B$18)/5)</f>
        <v/>
      </c>
      <c r="AL983">
        <f>IF(COUNTA(T983:AH983)=0,"",IF(SUMPRODUCT(--(T983:AH983&lt;=1),--(KPI_Weights!$C$4:$C$18="YES"))&gt;0,"YES","NO"))</f>
        <v/>
      </c>
      <c r="AM983">
        <f>IF(AJ983="","",IF(AND(AL983="NO",AJ983&gt;=0.75),"YES","NO"))</f>
        <v/>
      </c>
      <c r="AN983">
        <f>IF(AJ983="","",IF(AJ983&lt;0.4,"Critical",IF(AJ983&lt;0.6,"Poor",IF(AJ983&lt;0.75,"Needs Improvement",IF(AJ983&lt;0.9,"Good","Excellent")))))</f>
        <v/>
      </c>
    </row>
    <row r="984" ht="15" customHeight="1" s="45">
      <c r="A984">
        <f>IF($B984="","",TEXT($B984,"yyyymmdd")&amp;"-"&amp;SUBSTITUTE($F984," ","")&amp;"-"&amp;TEXT(COUNTIF($F$4:F984,$F984),"00"))</f>
        <v/>
      </c>
      <c r="C984">
        <f>IF($B984="","",WEEKNUM($B984,2))</f>
        <v/>
      </c>
      <c r="D984">
        <f>IF($B984="","",TEXT($B984,"yyyy-mm"))</f>
        <v/>
      </c>
      <c r="G984">
        <f>IF(OR($E984="",$F984=""),"",IFERROR(IF($E984=INDEX(Cluster_Master!$A$4:$A$18,MATCH($F984,Cluster_Master!$B$4:$B$18,0)),"OK","CHECK"),"CHECK"))</f>
        <v/>
      </c>
      <c r="H984">
        <f>IFERROR(INDEX(Cluster_Master!$C$4:$C$18,MATCH($F984,Cluster_Master!$B$4:$B$18,0)),"")</f>
        <v/>
      </c>
      <c r="I984">
        <f>IFERROR(INDEX(Cluster_Master!$D$4:$D$18,MATCH($F984,Cluster_Master!$B$4:$B$18,0)),"")</f>
        <v/>
      </c>
      <c r="J984">
        <f>IFERROR(INDEX(Cluster_Master!$E$4:$E$18,MATCH($F984,Cluster_Master!$B$4:$B$18,0)),"")</f>
        <v/>
      </c>
      <c r="K984">
        <f>IFERROR(INDEX(Cluster_Master!$F$4:$F$18,MATCH($F984,Cluster_Master!$B$4:$B$18,0)),"")</f>
        <v/>
      </c>
      <c r="L984">
        <f>IFERROR(INDEX(Cluster_Master!$G$4:$G$18,MATCH($F984,Cluster_Master!$B$4:$B$18,0)),"")</f>
        <v/>
      </c>
      <c r="M984">
        <f>IFERROR(INDEX(Cluster_Master!$H$4:$H$18,MATCH($F984,Cluster_Master!$B$4:$B$18,0)),"")</f>
        <v/>
      </c>
      <c r="AI984">
        <f>IF(COUNTA(T984:AH984)=0,"",SUM(T984:AH984))</f>
        <v/>
      </c>
      <c r="AJ984">
        <f>IF(COUNTA(T984:AH984)=0,"",AI984/(COUNT(KPI_Weights!$A$4:$A$18)*5))</f>
        <v/>
      </c>
      <c r="AK984">
        <f>IF(COUNTA(T984:AH984)=0,"",SUMPRODUCT(T984:AH984,KPI_Weights!$B$4:$B$18)/5)</f>
        <v/>
      </c>
      <c r="AL984">
        <f>IF(COUNTA(T984:AH984)=0,"",IF(SUMPRODUCT(--(T984:AH984&lt;=1),--(KPI_Weights!$C$4:$C$18="YES"))&gt;0,"YES","NO"))</f>
        <v/>
      </c>
      <c r="AM984">
        <f>IF(AJ984="","",IF(AND(AL984="NO",AJ984&gt;=0.75),"YES","NO"))</f>
        <v/>
      </c>
      <c r="AN984">
        <f>IF(AJ984="","",IF(AJ984&lt;0.4,"Critical",IF(AJ984&lt;0.6,"Poor",IF(AJ984&lt;0.75,"Needs Improvement",IF(AJ984&lt;0.9,"Good","Excellent")))))</f>
        <v/>
      </c>
    </row>
    <row r="985" ht="15" customHeight="1" s="45">
      <c r="A985">
        <f>IF($B985="","",TEXT($B985,"yyyymmdd")&amp;"-"&amp;SUBSTITUTE($F985," ","")&amp;"-"&amp;TEXT(COUNTIF($F$4:F985,$F985),"00"))</f>
        <v/>
      </c>
      <c r="C985">
        <f>IF($B985="","",WEEKNUM($B985,2))</f>
        <v/>
      </c>
      <c r="D985">
        <f>IF($B985="","",TEXT($B985,"yyyy-mm"))</f>
        <v/>
      </c>
      <c r="G985">
        <f>IF(OR($E985="",$F985=""),"",IFERROR(IF($E985=INDEX(Cluster_Master!$A$4:$A$18,MATCH($F985,Cluster_Master!$B$4:$B$18,0)),"OK","CHECK"),"CHECK"))</f>
        <v/>
      </c>
      <c r="H985">
        <f>IFERROR(INDEX(Cluster_Master!$C$4:$C$18,MATCH($F985,Cluster_Master!$B$4:$B$18,0)),"")</f>
        <v/>
      </c>
      <c r="I985">
        <f>IFERROR(INDEX(Cluster_Master!$D$4:$D$18,MATCH($F985,Cluster_Master!$B$4:$B$18,0)),"")</f>
        <v/>
      </c>
      <c r="J985">
        <f>IFERROR(INDEX(Cluster_Master!$E$4:$E$18,MATCH($F985,Cluster_Master!$B$4:$B$18,0)),"")</f>
        <v/>
      </c>
      <c r="K985">
        <f>IFERROR(INDEX(Cluster_Master!$F$4:$F$18,MATCH($F985,Cluster_Master!$B$4:$B$18,0)),"")</f>
        <v/>
      </c>
      <c r="L985">
        <f>IFERROR(INDEX(Cluster_Master!$G$4:$G$18,MATCH($F985,Cluster_Master!$B$4:$B$18,0)),"")</f>
        <v/>
      </c>
      <c r="M985">
        <f>IFERROR(INDEX(Cluster_Master!$H$4:$H$18,MATCH($F985,Cluster_Master!$B$4:$B$18,0)),"")</f>
        <v/>
      </c>
      <c r="AI985">
        <f>IF(COUNTA(T985:AH985)=0,"",SUM(T985:AH985))</f>
        <v/>
      </c>
      <c r="AJ985">
        <f>IF(COUNTA(T985:AH985)=0,"",AI985/(COUNT(KPI_Weights!$A$4:$A$18)*5))</f>
        <v/>
      </c>
      <c r="AK985">
        <f>IF(COUNTA(T985:AH985)=0,"",SUMPRODUCT(T985:AH985,KPI_Weights!$B$4:$B$18)/5)</f>
        <v/>
      </c>
      <c r="AL985">
        <f>IF(COUNTA(T985:AH985)=0,"",IF(SUMPRODUCT(--(T985:AH985&lt;=1),--(KPI_Weights!$C$4:$C$18="YES"))&gt;0,"YES","NO"))</f>
        <v/>
      </c>
      <c r="AM985">
        <f>IF(AJ985="","",IF(AND(AL985="NO",AJ985&gt;=0.75),"YES","NO"))</f>
        <v/>
      </c>
      <c r="AN985">
        <f>IF(AJ985="","",IF(AJ985&lt;0.4,"Critical",IF(AJ985&lt;0.6,"Poor",IF(AJ985&lt;0.75,"Needs Improvement",IF(AJ985&lt;0.9,"Good","Excellent")))))</f>
        <v/>
      </c>
    </row>
    <row r="986" ht="15" customHeight="1" s="45">
      <c r="A986">
        <f>IF($B986="","",TEXT($B986,"yyyymmdd")&amp;"-"&amp;SUBSTITUTE($F986," ","")&amp;"-"&amp;TEXT(COUNTIF($F$4:F986,$F986),"00"))</f>
        <v/>
      </c>
      <c r="C986">
        <f>IF($B986="","",WEEKNUM($B986,2))</f>
        <v/>
      </c>
      <c r="D986">
        <f>IF($B986="","",TEXT($B986,"yyyy-mm"))</f>
        <v/>
      </c>
      <c r="G986">
        <f>IF(OR($E986="",$F986=""),"",IFERROR(IF($E986=INDEX(Cluster_Master!$A$4:$A$18,MATCH($F986,Cluster_Master!$B$4:$B$18,0)),"OK","CHECK"),"CHECK"))</f>
        <v/>
      </c>
      <c r="H986">
        <f>IFERROR(INDEX(Cluster_Master!$C$4:$C$18,MATCH($F986,Cluster_Master!$B$4:$B$18,0)),"")</f>
        <v/>
      </c>
      <c r="I986">
        <f>IFERROR(INDEX(Cluster_Master!$D$4:$D$18,MATCH($F986,Cluster_Master!$B$4:$B$18,0)),"")</f>
        <v/>
      </c>
      <c r="J986">
        <f>IFERROR(INDEX(Cluster_Master!$E$4:$E$18,MATCH($F986,Cluster_Master!$B$4:$B$18,0)),"")</f>
        <v/>
      </c>
      <c r="K986">
        <f>IFERROR(INDEX(Cluster_Master!$F$4:$F$18,MATCH($F986,Cluster_Master!$B$4:$B$18,0)),"")</f>
        <v/>
      </c>
      <c r="L986">
        <f>IFERROR(INDEX(Cluster_Master!$G$4:$G$18,MATCH($F986,Cluster_Master!$B$4:$B$18,0)),"")</f>
        <v/>
      </c>
      <c r="M986">
        <f>IFERROR(INDEX(Cluster_Master!$H$4:$H$18,MATCH($F986,Cluster_Master!$B$4:$B$18,0)),"")</f>
        <v/>
      </c>
      <c r="AI986">
        <f>IF(COUNTA(T986:AH986)=0,"",SUM(T986:AH986))</f>
        <v/>
      </c>
      <c r="AJ986">
        <f>IF(COUNTA(T986:AH986)=0,"",AI986/(COUNT(KPI_Weights!$A$4:$A$18)*5))</f>
        <v/>
      </c>
      <c r="AK986">
        <f>IF(COUNTA(T986:AH986)=0,"",SUMPRODUCT(T986:AH986,KPI_Weights!$B$4:$B$18)/5)</f>
        <v/>
      </c>
      <c r="AL986">
        <f>IF(COUNTA(T986:AH986)=0,"",IF(SUMPRODUCT(--(T986:AH986&lt;=1),--(KPI_Weights!$C$4:$C$18="YES"))&gt;0,"YES","NO"))</f>
        <v/>
      </c>
      <c r="AM986">
        <f>IF(AJ986="","",IF(AND(AL986="NO",AJ986&gt;=0.75),"YES","NO"))</f>
        <v/>
      </c>
      <c r="AN986">
        <f>IF(AJ986="","",IF(AJ986&lt;0.4,"Critical",IF(AJ986&lt;0.6,"Poor",IF(AJ986&lt;0.75,"Needs Improvement",IF(AJ986&lt;0.9,"Good","Excellent")))))</f>
        <v/>
      </c>
    </row>
    <row r="987" ht="15" customHeight="1" s="45">
      <c r="A987">
        <f>IF($B987="","",TEXT($B987,"yyyymmdd")&amp;"-"&amp;SUBSTITUTE($F987," ","")&amp;"-"&amp;TEXT(COUNTIF($F$4:F987,$F987),"00"))</f>
        <v/>
      </c>
      <c r="C987">
        <f>IF($B987="","",WEEKNUM($B987,2))</f>
        <v/>
      </c>
      <c r="D987">
        <f>IF($B987="","",TEXT($B987,"yyyy-mm"))</f>
        <v/>
      </c>
      <c r="G987">
        <f>IF(OR($E987="",$F987=""),"",IFERROR(IF($E987=INDEX(Cluster_Master!$A$4:$A$18,MATCH($F987,Cluster_Master!$B$4:$B$18,0)),"OK","CHECK"),"CHECK"))</f>
        <v/>
      </c>
      <c r="H987">
        <f>IFERROR(INDEX(Cluster_Master!$C$4:$C$18,MATCH($F987,Cluster_Master!$B$4:$B$18,0)),"")</f>
        <v/>
      </c>
      <c r="I987">
        <f>IFERROR(INDEX(Cluster_Master!$D$4:$D$18,MATCH($F987,Cluster_Master!$B$4:$B$18,0)),"")</f>
        <v/>
      </c>
      <c r="J987">
        <f>IFERROR(INDEX(Cluster_Master!$E$4:$E$18,MATCH($F987,Cluster_Master!$B$4:$B$18,0)),"")</f>
        <v/>
      </c>
      <c r="K987">
        <f>IFERROR(INDEX(Cluster_Master!$F$4:$F$18,MATCH($F987,Cluster_Master!$B$4:$B$18,0)),"")</f>
        <v/>
      </c>
      <c r="L987">
        <f>IFERROR(INDEX(Cluster_Master!$G$4:$G$18,MATCH($F987,Cluster_Master!$B$4:$B$18,0)),"")</f>
        <v/>
      </c>
      <c r="M987">
        <f>IFERROR(INDEX(Cluster_Master!$H$4:$H$18,MATCH($F987,Cluster_Master!$B$4:$B$18,0)),"")</f>
        <v/>
      </c>
      <c r="AI987">
        <f>IF(COUNTA(T987:AH987)=0,"",SUM(T987:AH987))</f>
        <v/>
      </c>
      <c r="AJ987">
        <f>IF(COUNTA(T987:AH987)=0,"",AI987/(COUNT(KPI_Weights!$A$4:$A$18)*5))</f>
        <v/>
      </c>
      <c r="AK987">
        <f>IF(COUNTA(T987:AH987)=0,"",SUMPRODUCT(T987:AH987,KPI_Weights!$B$4:$B$18)/5)</f>
        <v/>
      </c>
      <c r="AL987">
        <f>IF(COUNTA(T987:AH987)=0,"",IF(SUMPRODUCT(--(T987:AH987&lt;=1),--(KPI_Weights!$C$4:$C$18="YES"))&gt;0,"YES","NO"))</f>
        <v/>
      </c>
      <c r="AM987">
        <f>IF(AJ987="","",IF(AND(AL987="NO",AJ987&gt;=0.75),"YES","NO"))</f>
        <v/>
      </c>
      <c r="AN987">
        <f>IF(AJ987="","",IF(AJ987&lt;0.4,"Critical",IF(AJ987&lt;0.6,"Poor",IF(AJ987&lt;0.75,"Needs Improvement",IF(AJ987&lt;0.9,"Good","Excellent")))))</f>
        <v/>
      </c>
    </row>
    <row r="988" ht="15" customHeight="1" s="45">
      <c r="A988">
        <f>IF($B988="","",TEXT($B988,"yyyymmdd")&amp;"-"&amp;SUBSTITUTE($F988," ","")&amp;"-"&amp;TEXT(COUNTIF($F$4:F988,$F988),"00"))</f>
        <v/>
      </c>
      <c r="C988">
        <f>IF($B988="","",WEEKNUM($B988,2))</f>
        <v/>
      </c>
      <c r="D988">
        <f>IF($B988="","",TEXT($B988,"yyyy-mm"))</f>
        <v/>
      </c>
      <c r="G988">
        <f>IF(OR($E988="",$F988=""),"",IFERROR(IF($E988=INDEX(Cluster_Master!$A$4:$A$18,MATCH($F988,Cluster_Master!$B$4:$B$18,0)),"OK","CHECK"),"CHECK"))</f>
        <v/>
      </c>
      <c r="H988">
        <f>IFERROR(INDEX(Cluster_Master!$C$4:$C$18,MATCH($F988,Cluster_Master!$B$4:$B$18,0)),"")</f>
        <v/>
      </c>
      <c r="I988">
        <f>IFERROR(INDEX(Cluster_Master!$D$4:$D$18,MATCH($F988,Cluster_Master!$B$4:$B$18,0)),"")</f>
        <v/>
      </c>
      <c r="J988">
        <f>IFERROR(INDEX(Cluster_Master!$E$4:$E$18,MATCH($F988,Cluster_Master!$B$4:$B$18,0)),"")</f>
        <v/>
      </c>
      <c r="K988">
        <f>IFERROR(INDEX(Cluster_Master!$F$4:$F$18,MATCH($F988,Cluster_Master!$B$4:$B$18,0)),"")</f>
        <v/>
      </c>
      <c r="L988">
        <f>IFERROR(INDEX(Cluster_Master!$G$4:$G$18,MATCH($F988,Cluster_Master!$B$4:$B$18,0)),"")</f>
        <v/>
      </c>
      <c r="M988">
        <f>IFERROR(INDEX(Cluster_Master!$H$4:$H$18,MATCH($F988,Cluster_Master!$B$4:$B$18,0)),"")</f>
        <v/>
      </c>
      <c r="AI988">
        <f>IF(COUNTA(T988:AH988)=0,"",SUM(T988:AH988))</f>
        <v/>
      </c>
      <c r="AJ988">
        <f>IF(COUNTA(T988:AH988)=0,"",AI988/(COUNT(KPI_Weights!$A$4:$A$18)*5))</f>
        <v/>
      </c>
      <c r="AK988">
        <f>IF(COUNTA(T988:AH988)=0,"",SUMPRODUCT(T988:AH988,KPI_Weights!$B$4:$B$18)/5)</f>
        <v/>
      </c>
      <c r="AL988">
        <f>IF(COUNTA(T988:AH988)=0,"",IF(SUMPRODUCT(--(T988:AH988&lt;=1),--(KPI_Weights!$C$4:$C$18="YES"))&gt;0,"YES","NO"))</f>
        <v/>
      </c>
      <c r="AM988">
        <f>IF(AJ988="","",IF(AND(AL988="NO",AJ988&gt;=0.75),"YES","NO"))</f>
        <v/>
      </c>
      <c r="AN988">
        <f>IF(AJ988="","",IF(AJ988&lt;0.4,"Critical",IF(AJ988&lt;0.6,"Poor",IF(AJ988&lt;0.75,"Needs Improvement",IF(AJ988&lt;0.9,"Good","Excellent")))))</f>
        <v/>
      </c>
    </row>
    <row r="989" ht="15" customHeight="1" s="45">
      <c r="A989">
        <f>IF($B989="","",TEXT($B989,"yyyymmdd")&amp;"-"&amp;SUBSTITUTE($F989," ","")&amp;"-"&amp;TEXT(COUNTIF($F$4:F989,$F989),"00"))</f>
        <v/>
      </c>
      <c r="C989">
        <f>IF($B989="","",WEEKNUM($B989,2))</f>
        <v/>
      </c>
      <c r="D989">
        <f>IF($B989="","",TEXT($B989,"yyyy-mm"))</f>
        <v/>
      </c>
      <c r="G989">
        <f>IF(OR($E989="",$F989=""),"",IFERROR(IF($E989=INDEX(Cluster_Master!$A$4:$A$18,MATCH($F989,Cluster_Master!$B$4:$B$18,0)),"OK","CHECK"),"CHECK"))</f>
        <v/>
      </c>
      <c r="H989">
        <f>IFERROR(INDEX(Cluster_Master!$C$4:$C$18,MATCH($F989,Cluster_Master!$B$4:$B$18,0)),"")</f>
        <v/>
      </c>
      <c r="I989">
        <f>IFERROR(INDEX(Cluster_Master!$D$4:$D$18,MATCH($F989,Cluster_Master!$B$4:$B$18,0)),"")</f>
        <v/>
      </c>
      <c r="J989">
        <f>IFERROR(INDEX(Cluster_Master!$E$4:$E$18,MATCH($F989,Cluster_Master!$B$4:$B$18,0)),"")</f>
        <v/>
      </c>
      <c r="K989">
        <f>IFERROR(INDEX(Cluster_Master!$F$4:$F$18,MATCH($F989,Cluster_Master!$B$4:$B$18,0)),"")</f>
        <v/>
      </c>
      <c r="L989">
        <f>IFERROR(INDEX(Cluster_Master!$G$4:$G$18,MATCH($F989,Cluster_Master!$B$4:$B$18,0)),"")</f>
        <v/>
      </c>
      <c r="M989">
        <f>IFERROR(INDEX(Cluster_Master!$H$4:$H$18,MATCH($F989,Cluster_Master!$B$4:$B$18,0)),"")</f>
        <v/>
      </c>
      <c r="AI989">
        <f>IF(COUNTA(T989:AH989)=0,"",SUM(T989:AH989))</f>
        <v/>
      </c>
      <c r="AJ989">
        <f>IF(COUNTA(T989:AH989)=0,"",AI989/(COUNT(KPI_Weights!$A$4:$A$18)*5))</f>
        <v/>
      </c>
      <c r="AK989">
        <f>IF(COUNTA(T989:AH989)=0,"",SUMPRODUCT(T989:AH989,KPI_Weights!$B$4:$B$18)/5)</f>
        <v/>
      </c>
      <c r="AL989">
        <f>IF(COUNTA(T989:AH989)=0,"",IF(SUMPRODUCT(--(T989:AH989&lt;=1),--(KPI_Weights!$C$4:$C$18="YES"))&gt;0,"YES","NO"))</f>
        <v/>
      </c>
      <c r="AM989">
        <f>IF(AJ989="","",IF(AND(AL989="NO",AJ989&gt;=0.75),"YES","NO"))</f>
        <v/>
      </c>
      <c r="AN989">
        <f>IF(AJ989="","",IF(AJ989&lt;0.4,"Critical",IF(AJ989&lt;0.6,"Poor",IF(AJ989&lt;0.75,"Needs Improvement",IF(AJ989&lt;0.9,"Good","Excellent")))))</f>
        <v/>
      </c>
    </row>
    <row r="990" ht="15" customHeight="1" s="45">
      <c r="A990">
        <f>IF($B990="","",TEXT($B990,"yyyymmdd")&amp;"-"&amp;SUBSTITUTE($F990," ","")&amp;"-"&amp;TEXT(COUNTIF($F$4:F990,$F990),"00"))</f>
        <v/>
      </c>
      <c r="C990">
        <f>IF($B990="","",WEEKNUM($B990,2))</f>
        <v/>
      </c>
      <c r="D990">
        <f>IF($B990="","",TEXT($B990,"yyyy-mm"))</f>
        <v/>
      </c>
      <c r="G990">
        <f>IF(OR($E990="",$F990=""),"",IFERROR(IF($E990=INDEX(Cluster_Master!$A$4:$A$18,MATCH($F990,Cluster_Master!$B$4:$B$18,0)),"OK","CHECK"),"CHECK"))</f>
        <v/>
      </c>
      <c r="H990">
        <f>IFERROR(INDEX(Cluster_Master!$C$4:$C$18,MATCH($F990,Cluster_Master!$B$4:$B$18,0)),"")</f>
        <v/>
      </c>
      <c r="I990">
        <f>IFERROR(INDEX(Cluster_Master!$D$4:$D$18,MATCH($F990,Cluster_Master!$B$4:$B$18,0)),"")</f>
        <v/>
      </c>
      <c r="J990">
        <f>IFERROR(INDEX(Cluster_Master!$E$4:$E$18,MATCH($F990,Cluster_Master!$B$4:$B$18,0)),"")</f>
        <v/>
      </c>
      <c r="K990">
        <f>IFERROR(INDEX(Cluster_Master!$F$4:$F$18,MATCH($F990,Cluster_Master!$B$4:$B$18,0)),"")</f>
        <v/>
      </c>
      <c r="L990">
        <f>IFERROR(INDEX(Cluster_Master!$G$4:$G$18,MATCH($F990,Cluster_Master!$B$4:$B$18,0)),"")</f>
        <v/>
      </c>
      <c r="M990">
        <f>IFERROR(INDEX(Cluster_Master!$H$4:$H$18,MATCH($F990,Cluster_Master!$B$4:$B$18,0)),"")</f>
        <v/>
      </c>
      <c r="AI990">
        <f>IF(COUNTA(T990:AH990)=0,"",SUM(T990:AH990))</f>
        <v/>
      </c>
      <c r="AJ990">
        <f>IF(COUNTA(T990:AH990)=0,"",AI990/(COUNT(KPI_Weights!$A$4:$A$18)*5))</f>
        <v/>
      </c>
      <c r="AK990">
        <f>IF(COUNTA(T990:AH990)=0,"",SUMPRODUCT(T990:AH990,KPI_Weights!$B$4:$B$18)/5)</f>
        <v/>
      </c>
      <c r="AL990">
        <f>IF(COUNTA(T990:AH990)=0,"",IF(SUMPRODUCT(--(T990:AH990&lt;=1),--(KPI_Weights!$C$4:$C$18="YES"))&gt;0,"YES","NO"))</f>
        <v/>
      </c>
      <c r="AM990">
        <f>IF(AJ990="","",IF(AND(AL990="NO",AJ990&gt;=0.75),"YES","NO"))</f>
        <v/>
      </c>
      <c r="AN990">
        <f>IF(AJ990="","",IF(AJ990&lt;0.4,"Critical",IF(AJ990&lt;0.6,"Poor",IF(AJ990&lt;0.75,"Needs Improvement",IF(AJ990&lt;0.9,"Good","Excellent")))))</f>
        <v/>
      </c>
    </row>
    <row r="991" ht="15" customHeight="1" s="45">
      <c r="A991">
        <f>IF($B991="","",TEXT($B991,"yyyymmdd")&amp;"-"&amp;SUBSTITUTE($F991," ","")&amp;"-"&amp;TEXT(COUNTIF($F$4:F991,$F991),"00"))</f>
        <v/>
      </c>
      <c r="C991">
        <f>IF($B991="","",WEEKNUM($B991,2))</f>
        <v/>
      </c>
      <c r="D991">
        <f>IF($B991="","",TEXT($B991,"yyyy-mm"))</f>
        <v/>
      </c>
      <c r="G991">
        <f>IF(OR($E991="",$F991=""),"",IFERROR(IF($E991=INDEX(Cluster_Master!$A$4:$A$18,MATCH($F991,Cluster_Master!$B$4:$B$18,0)),"OK","CHECK"),"CHECK"))</f>
        <v/>
      </c>
      <c r="H991">
        <f>IFERROR(INDEX(Cluster_Master!$C$4:$C$18,MATCH($F991,Cluster_Master!$B$4:$B$18,0)),"")</f>
        <v/>
      </c>
      <c r="I991">
        <f>IFERROR(INDEX(Cluster_Master!$D$4:$D$18,MATCH($F991,Cluster_Master!$B$4:$B$18,0)),"")</f>
        <v/>
      </c>
      <c r="J991">
        <f>IFERROR(INDEX(Cluster_Master!$E$4:$E$18,MATCH($F991,Cluster_Master!$B$4:$B$18,0)),"")</f>
        <v/>
      </c>
      <c r="K991">
        <f>IFERROR(INDEX(Cluster_Master!$F$4:$F$18,MATCH($F991,Cluster_Master!$B$4:$B$18,0)),"")</f>
        <v/>
      </c>
      <c r="L991">
        <f>IFERROR(INDEX(Cluster_Master!$G$4:$G$18,MATCH($F991,Cluster_Master!$B$4:$B$18,0)),"")</f>
        <v/>
      </c>
      <c r="M991">
        <f>IFERROR(INDEX(Cluster_Master!$H$4:$H$18,MATCH($F991,Cluster_Master!$B$4:$B$18,0)),"")</f>
        <v/>
      </c>
      <c r="AI991">
        <f>IF(COUNTA(T991:AH991)=0,"",SUM(T991:AH991))</f>
        <v/>
      </c>
      <c r="AJ991">
        <f>IF(COUNTA(T991:AH991)=0,"",AI991/(COUNT(KPI_Weights!$A$4:$A$18)*5))</f>
        <v/>
      </c>
      <c r="AK991">
        <f>IF(COUNTA(T991:AH991)=0,"",SUMPRODUCT(T991:AH991,KPI_Weights!$B$4:$B$18)/5)</f>
        <v/>
      </c>
      <c r="AL991">
        <f>IF(COUNTA(T991:AH991)=0,"",IF(SUMPRODUCT(--(T991:AH991&lt;=1),--(KPI_Weights!$C$4:$C$18="YES"))&gt;0,"YES","NO"))</f>
        <v/>
      </c>
      <c r="AM991">
        <f>IF(AJ991="","",IF(AND(AL991="NO",AJ991&gt;=0.75),"YES","NO"))</f>
        <v/>
      </c>
      <c r="AN991">
        <f>IF(AJ991="","",IF(AJ991&lt;0.4,"Critical",IF(AJ991&lt;0.6,"Poor",IF(AJ991&lt;0.75,"Needs Improvement",IF(AJ991&lt;0.9,"Good","Excellent")))))</f>
        <v/>
      </c>
    </row>
    <row r="992" ht="15" customHeight="1" s="45">
      <c r="A992">
        <f>IF($B992="","",TEXT($B992,"yyyymmdd")&amp;"-"&amp;SUBSTITUTE($F992," ","")&amp;"-"&amp;TEXT(COUNTIF($F$4:F992,$F992),"00"))</f>
        <v/>
      </c>
      <c r="C992">
        <f>IF($B992="","",WEEKNUM($B992,2))</f>
        <v/>
      </c>
      <c r="D992">
        <f>IF($B992="","",TEXT($B992,"yyyy-mm"))</f>
        <v/>
      </c>
      <c r="G992">
        <f>IF(OR($E992="",$F992=""),"",IFERROR(IF($E992=INDEX(Cluster_Master!$A$4:$A$18,MATCH($F992,Cluster_Master!$B$4:$B$18,0)),"OK","CHECK"),"CHECK"))</f>
        <v/>
      </c>
      <c r="H992">
        <f>IFERROR(INDEX(Cluster_Master!$C$4:$C$18,MATCH($F992,Cluster_Master!$B$4:$B$18,0)),"")</f>
        <v/>
      </c>
      <c r="I992">
        <f>IFERROR(INDEX(Cluster_Master!$D$4:$D$18,MATCH($F992,Cluster_Master!$B$4:$B$18,0)),"")</f>
        <v/>
      </c>
      <c r="J992">
        <f>IFERROR(INDEX(Cluster_Master!$E$4:$E$18,MATCH($F992,Cluster_Master!$B$4:$B$18,0)),"")</f>
        <v/>
      </c>
      <c r="K992">
        <f>IFERROR(INDEX(Cluster_Master!$F$4:$F$18,MATCH($F992,Cluster_Master!$B$4:$B$18,0)),"")</f>
        <v/>
      </c>
      <c r="L992">
        <f>IFERROR(INDEX(Cluster_Master!$G$4:$G$18,MATCH($F992,Cluster_Master!$B$4:$B$18,0)),"")</f>
        <v/>
      </c>
      <c r="M992">
        <f>IFERROR(INDEX(Cluster_Master!$H$4:$H$18,MATCH($F992,Cluster_Master!$B$4:$B$18,0)),"")</f>
        <v/>
      </c>
      <c r="AI992">
        <f>IF(COUNTA(T992:AH992)=0,"",SUM(T992:AH992))</f>
        <v/>
      </c>
      <c r="AJ992">
        <f>IF(COUNTA(T992:AH992)=0,"",AI992/(COUNT(KPI_Weights!$A$4:$A$18)*5))</f>
        <v/>
      </c>
      <c r="AK992">
        <f>IF(COUNTA(T992:AH992)=0,"",SUMPRODUCT(T992:AH992,KPI_Weights!$B$4:$B$18)/5)</f>
        <v/>
      </c>
      <c r="AL992">
        <f>IF(COUNTA(T992:AH992)=0,"",IF(SUMPRODUCT(--(T992:AH992&lt;=1),--(KPI_Weights!$C$4:$C$18="YES"))&gt;0,"YES","NO"))</f>
        <v/>
      </c>
      <c r="AM992">
        <f>IF(AJ992="","",IF(AND(AL992="NO",AJ992&gt;=0.75),"YES","NO"))</f>
        <v/>
      </c>
      <c r="AN992">
        <f>IF(AJ992="","",IF(AJ992&lt;0.4,"Critical",IF(AJ992&lt;0.6,"Poor",IF(AJ992&lt;0.75,"Needs Improvement",IF(AJ992&lt;0.9,"Good","Excellent")))))</f>
        <v/>
      </c>
    </row>
    <row r="993" ht="15" customHeight="1" s="45">
      <c r="A993">
        <f>IF($B993="","",TEXT($B993,"yyyymmdd")&amp;"-"&amp;SUBSTITUTE($F993," ","")&amp;"-"&amp;TEXT(COUNTIF($F$4:F993,$F993),"00"))</f>
        <v/>
      </c>
      <c r="C993">
        <f>IF($B993="","",WEEKNUM($B993,2))</f>
        <v/>
      </c>
      <c r="D993">
        <f>IF($B993="","",TEXT($B993,"yyyy-mm"))</f>
        <v/>
      </c>
      <c r="G993">
        <f>IF(OR($E993="",$F993=""),"",IFERROR(IF($E993=INDEX(Cluster_Master!$A$4:$A$18,MATCH($F993,Cluster_Master!$B$4:$B$18,0)),"OK","CHECK"),"CHECK"))</f>
        <v/>
      </c>
      <c r="H993">
        <f>IFERROR(INDEX(Cluster_Master!$C$4:$C$18,MATCH($F993,Cluster_Master!$B$4:$B$18,0)),"")</f>
        <v/>
      </c>
      <c r="I993">
        <f>IFERROR(INDEX(Cluster_Master!$D$4:$D$18,MATCH($F993,Cluster_Master!$B$4:$B$18,0)),"")</f>
        <v/>
      </c>
      <c r="J993">
        <f>IFERROR(INDEX(Cluster_Master!$E$4:$E$18,MATCH($F993,Cluster_Master!$B$4:$B$18,0)),"")</f>
        <v/>
      </c>
      <c r="K993">
        <f>IFERROR(INDEX(Cluster_Master!$F$4:$F$18,MATCH($F993,Cluster_Master!$B$4:$B$18,0)),"")</f>
        <v/>
      </c>
      <c r="L993">
        <f>IFERROR(INDEX(Cluster_Master!$G$4:$G$18,MATCH($F993,Cluster_Master!$B$4:$B$18,0)),"")</f>
        <v/>
      </c>
      <c r="M993">
        <f>IFERROR(INDEX(Cluster_Master!$H$4:$H$18,MATCH($F993,Cluster_Master!$B$4:$B$18,0)),"")</f>
        <v/>
      </c>
      <c r="AI993">
        <f>IF(COUNTA(T993:AH993)=0,"",SUM(T993:AH993))</f>
        <v/>
      </c>
      <c r="AJ993">
        <f>IF(COUNTA(T993:AH993)=0,"",AI993/(COUNT(KPI_Weights!$A$4:$A$18)*5))</f>
        <v/>
      </c>
      <c r="AK993">
        <f>IF(COUNTA(T993:AH993)=0,"",SUMPRODUCT(T993:AH993,KPI_Weights!$B$4:$B$18)/5)</f>
        <v/>
      </c>
      <c r="AL993">
        <f>IF(COUNTA(T993:AH993)=0,"",IF(SUMPRODUCT(--(T993:AH993&lt;=1),--(KPI_Weights!$C$4:$C$18="YES"))&gt;0,"YES","NO"))</f>
        <v/>
      </c>
      <c r="AM993">
        <f>IF(AJ993="","",IF(AND(AL993="NO",AJ993&gt;=0.75),"YES","NO"))</f>
        <v/>
      </c>
      <c r="AN993">
        <f>IF(AJ993="","",IF(AJ993&lt;0.4,"Critical",IF(AJ993&lt;0.6,"Poor",IF(AJ993&lt;0.75,"Needs Improvement",IF(AJ993&lt;0.9,"Good","Excellent")))))</f>
        <v/>
      </c>
    </row>
    <row r="994" ht="15" customHeight="1" s="45">
      <c r="A994">
        <f>IF($B994="","",TEXT($B994,"yyyymmdd")&amp;"-"&amp;SUBSTITUTE($F994," ","")&amp;"-"&amp;TEXT(COUNTIF($F$4:F994,$F994),"00"))</f>
        <v/>
      </c>
      <c r="C994">
        <f>IF($B994="","",WEEKNUM($B994,2))</f>
        <v/>
      </c>
      <c r="D994">
        <f>IF($B994="","",TEXT($B994,"yyyy-mm"))</f>
        <v/>
      </c>
      <c r="G994">
        <f>IF(OR($E994="",$F994=""),"",IFERROR(IF($E994=INDEX(Cluster_Master!$A$4:$A$18,MATCH($F994,Cluster_Master!$B$4:$B$18,0)),"OK","CHECK"),"CHECK"))</f>
        <v/>
      </c>
      <c r="H994">
        <f>IFERROR(INDEX(Cluster_Master!$C$4:$C$18,MATCH($F994,Cluster_Master!$B$4:$B$18,0)),"")</f>
        <v/>
      </c>
      <c r="I994">
        <f>IFERROR(INDEX(Cluster_Master!$D$4:$D$18,MATCH($F994,Cluster_Master!$B$4:$B$18,0)),"")</f>
        <v/>
      </c>
      <c r="J994">
        <f>IFERROR(INDEX(Cluster_Master!$E$4:$E$18,MATCH($F994,Cluster_Master!$B$4:$B$18,0)),"")</f>
        <v/>
      </c>
      <c r="K994">
        <f>IFERROR(INDEX(Cluster_Master!$F$4:$F$18,MATCH($F994,Cluster_Master!$B$4:$B$18,0)),"")</f>
        <v/>
      </c>
      <c r="L994">
        <f>IFERROR(INDEX(Cluster_Master!$G$4:$G$18,MATCH($F994,Cluster_Master!$B$4:$B$18,0)),"")</f>
        <v/>
      </c>
      <c r="M994">
        <f>IFERROR(INDEX(Cluster_Master!$H$4:$H$18,MATCH($F994,Cluster_Master!$B$4:$B$18,0)),"")</f>
        <v/>
      </c>
      <c r="AI994">
        <f>IF(COUNTA(T994:AH994)=0,"",SUM(T994:AH994))</f>
        <v/>
      </c>
      <c r="AJ994">
        <f>IF(COUNTA(T994:AH994)=0,"",AI994/(COUNT(KPI_Weights!$A$4:$A$18)*5))</f>
        <v/>
      </c>
      <c r="AK994">
        <f>IF(COUNTA(T994:AH994)=0,"",SUMPRODUCT(T994:AH994,KPI_Weights!$B$4:$B$18)/5)</f>
        <v/>
      </c>
      <c r="AL994">
        <f>IF(COUNTA(T994:AH994)=0,"",IF(SUMPRODUCT(--(T994:AH994&lt;=1),--(KPI_Weights!$C$4:$C$18="YES"))&gt;0,"YES","NO"))</f>
        <v/>
      </c>
      <c r="AM994">
        <f>IF(AJ994="","",IF(AND(AL994="NO",AJ994&gt;=0.75),"YES","NO"))</f>
        <v/>
      </c>
      <c r="AN994">
        <f>IF(AJ994="","",IF(AJ994&lt;0.4,"Critical",IF(AJ994&lt;0.6,"Poor",IF(AJ994&lt;0.75,"Needs Improvement",IF(AJ994&lt;0.9,"Good","Excellent")))))</f>
        <v/>
      </c>
    </row>
    <row r="995" ht="15" customHeight="1" s="45">
      <c r="A995">
        <f>IF($B995="","",TEXT($B995,"yyyymmdd")&amp;"-"&amp;SUBSTITUTE($F995," ","")&amp;"-"&amp;TEXT(COUNTIF($F$4:F995,$F995),"00"))</f>
        <v/>
      </c>
      <c r="C995">
        <f>IF($B995="","",WEEKNUM($B995,2))</f>
        <v/>
      </c>
      <c r="D995">
        <f>IF($B995="","",TEXT($B995,"yyyy-mm"))</f>
        <v/>
      </c>
      <c r="G995">
        <f>IF(OR($E995="",$F995=""),"",IFERROR(IF($E995=INDEX(Cluster_Master!$A$4:$A$18,MATCH($F995,Cluster_Master!$B$4:$B$18,0)),"OK","CHECK"),"CHECK"))</f>
        <v/>
      </c>
      <c r="H995">
        <f>IFERROR(INDEX(Cluster_Master!$C$4:$C$18,MATCH($F995,Cluster_Master!$B$4:$B$18,0)),"")</f>
        <v/>
      </c>
      <c r="I995">
        <f>IFERROR(INDEX(Cluster_Master!$D$4:$D$18,MATCH($F995,Cluster_Master!$B$4:$B$18,0)),"")</f>
        <v/>
      </c>
      <c r="J995">
        <f>IFERROR(INDEX(Cluster_Master!$E$4:$E$18,MATCH($F995,Cluster_Master!$B$4:$B$18,0)),"")</f>
        <v/>
      </c>
      <c r="K995">
        <f>IFERROR(INDEX(Cluster_Master!$F$4:$F$18,MATCH($F995,Cluster_Master!$B$4:$B$18,0)),"")</f>
        <v/>
      </c>
      <c r="L995">
        <f>IFERROR(INDEX(Cluster_Master!$G$4:$G$18,MATCH($F995,Cluster_Master!$B$4:$B$18,0)),"")</f>
        <v/>
      </c>
      <c r="M995">
        <f>IFERROR(INDEX(Cluster_Master!$H$4:$H$18,MATCH($F995,Cluster_Master!$B$4:$B$18,0)),"")</f>
        <v/>
      </c>
      <c r="AI995">
        <f>IF(COUNTA(T995:AH995)=0,"",SUM(T995:AH995))</f>
        <v/>
      </c>
      <c r="AJ995">
        <f>IF(COUNTA(T995:AH995)=0,"",AI995/(COUNT(KPI_Weights!$A$4:$A$18)*5))</f>
        <v/>
      </c>
      <c r="AK995">
        <f>IF(COUNTA(T995:AH995)=0,"",SUMPRODUCT(T995:AH995,KPI_Weights!$B$4:$B$18)/5)</f>
        <v/>
      </c>
      <c r="AL995">
        <f>IF(COUNTA(T995:AH995)=0,"",IF(SUMPRODUCT(--(T995:AH995&lt;=1),--(KPI_Weights!$C$4:$C$18="YES"))&gt;0,"YES","NO"))</f>
        <v/>
      </c>
      <c r="AM995">
        <f>IF(AJ995="","",IF(AND(AL995="NO",AJ995&gt;=0.75),"YES","NO"))</f>
        <v/>
      </c>
      <c r="AN995">
        <f>IF(AJ995="","",IF(AJ995&lt;0.4,"Critical",IF(AJ995&lt;0.6,"Poor",IF(AJ995&lt;0.75,"Needs Improvement",IF(AJ995&lt;0.9,"Good","Excellent")))))</f>
        <v/>
      </c>
    </row>
    <row r="996" ht="15" customHeight="1" s="45">
      <c r="A996">
        <f>IF($B996="","",TEXT($B996,"yyyymmdd")&amp;"-"&amp;SUBSTITUTE($F996," ","")&amp;"-"&amp;TEXT(COUNTIF($F$4:F996,$F996),"00"))</f>
        <v/>
      </c>
      <c r="C996">
        <f>IF($B996="","",WEEKNUM($B996,2))</f>
        <v/>
      </c>
      <c r="D996">
        <f>IF($B996="","",TEXT($B996,"yyyy-mm"))</f>
        <v/>
      </c>
      <c r="G996">
        <f>IF(OR($E996="",$F996=""),"",IFERROR(IF($E996=INDEX(Cluster_Master!$A$4:$A$18,MATCH($F996,Cluster_Master!$B$4:$B$18,0)),"OK","CHECK"),"CHECK"))</f>
        <v/>
      </c>
      <c r="H996">
        <f>IFERROR(INDEX(Cluster_Master!$C$4:$C$18,MATCH($F996,Cluster_Master!$B$4:$B$18,0)),"")</f>
        <v/>
      </c>
      <c r="I996">
        <f>IFERROR(INDEX(Cluster_Master!$D$4:$D$18,MATCH($F996,Cluster_Master!$B$4:$B$18,0)),"")</f>
        <v/>
      </c>
      <c r="J996">
        <f>IFERROR(INDEX(Cluster_Master!$E$4:$E$18,MATCH($F996,Cluster_Master!$B$4:$B$18,0)),"")</f>
        <v/>
      </c>
      <c r="K996">
        <f>IFERROR(INDEX(Cluster_Master!$F$4:$F$18,MATCH($F996,Cluster_Master!$B$4:$B$18,0)),"")</f>
        <v/>
      </c>
      <c r="L996">
        <f>IFERROR(INDEX(Cluster_Master!$G$4:$G$18,MATCH($F996,Cluster_Master!$B$4:$B$18,0)),"")</f>
        <v/>
      </c>
      <c r="M996">
        <f>IFERROR(INDEX(Cluster_Master!$H$4:$H$18,MATCH($F996,Cluster_Master!$B$4:$B$18,0)),"")</f>
        <v/>
      </c>
      <c r="AI996">
        <f>IF(COUNTA(T996:AH996)=0,"",SUM(T996:AH996))</f>
        <v/>
      </c>
      <c r="AJ996">
        <f>IF(COUNTA(T996:AH996)=0,"",AI996/(COUNT(KPI_Weights!$A$4:$A$18)*5))</f>
        <v/>
      </c>
      <c r="AK996">
        <f>IF(COUNTA(T996:AH996)=0,"",SUMPRODUCT(T996:AH996,KPI_Weights!$B$4:$B$18)/5)</f>
        <v/>
      </c>
      <c r="AL996">
        <f>IF(COUNTA(T996:AH996)=0,"",IF(SUMPRODUCT(--(T996:AH996&lt;=1),--(KPI_Weights!$C$4:$C$18="YES"))&gt;0,"YES","NO"))</f>
        <v/>
      </c>
      <c r="AM996">
        <f>IF(AJ996="","",IF(AND(AL996="NO",AJ996&gt;=0.75),"YES","NO"))</f>
        <v/>
      </c>
      <c r="AN996">
        <f>IF(AJ996="","",IF(AJ996&lt;0.4,"Critical",IF(AJ996&lt;0.6,"Poor",IF(AJ996&lt;0.75,"Needs Improvement",IF(AJ996&lt;0.9,"Good","Excellent")))))</f>
        <v/>
      </c>
    </row>
  </sheetData>
  <mergeCells count="2">
    <mergeCell ref="A2:BF2"/>
    <mergeCell ref="A1:BF1"/>
  </mergeCells>
  <conditionalFormatting sqref="G4:G499">
    <cfRule type="expression" priority="21" dxfId="0">
      <formula>G4="CHECK"</formula>
    </cfRule>
    <cfRule type="expression" priority="22" dxfId="1">
      <formula>G4="OK"</formula>
    </cfRule>
  </conditionalFormatting>
  <conditionalFormatting sqref="T4:AH499">
    <cfRule type="cellIs" priority="23" operator="lessThanOrEqual" dxfId="0">
      <formula>1</formula>
    </cfRule>
    <cfRule type="cellIs" priority="24" operator="equal" dxfId="2">
      <formula>2</formula>
    </cfRule>
    <cfRule type="cellIs" priority="25" operator="equal" dxfId="8">
      <formula>3</formula>
    </cfRule>
    <cfRule type="cellIs" priority="26" operator="greaterThanOrEqual" dxfId="1">
      <formula>4</formula>
    </cfRule>
    <cfRule type="cellIs" priority="27" operator="lessThanOrEqual" dxfId="9">
      <formula>1</formula>
    </cfRule>
    <cfRule type="cellIs" priority="28" operator="between" dxfId="8">
      <formula>2</formula>
      <formula>3</formula>
    </cfRule>
    <cfRule type="cellIs" priority="29" operator="greaterThanOrEqual" dxfId="7">
      <formula>4</formula>
    </cfRule>
  </conditionalFormatting>
  <conditionalFormatting sqref="AJ4:AK499">
    <cfRule type="colorScale" priority="30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conditionalFormatting sqref="AL4:AL499">
    <cfRule type="expression" priority="31" dxfId="0">
      <formula>AL4="YES"</formula>
    </cfRule>
  </conditionalFormatting>
  <conditionalFormatting sqref="AM4:AM499">
    <cfRule type="expression" priority="32" dxfId="1">
      <formula>AM4="YES"</formula>
    </cfRule>
  </conditionalFormatting>
  <dataValidations count="8">
    <dataValidation sqref="E4:E996" showDropDown="0" showInputMessage="0" showErrorMessage="0" allowBlank="1" errorTitle="Invalid entry" error="Use the dropdown values only." prompt="Select from the approved list." type="list">
      <formula1>=Package_List</formula1>
    </dataValidation>
    <dataValidation sqref="F4:F996 BE4:BF996" showDropDown="0" showInputMessage="0" showErrorMessage="0" allowBlank="1" errorTitle="Invalid entry" error="Use the dropdown values only." prompt="Select from the approved list." type="list">
      <formula1>=Cluster_List</formula1>
    </dataValidation>
    <dataValidation sqref="O4:O996" showDropDown="0" showInputMessage="0" showErrorMessage="0" allowBlank="1" errorTitle="Invalid entry" error="Use the dropdown values only." prompt="Select from the approved list." type="list">
      <formula1>=Evaluator_Role_List</formula1>
    </dataValidation>
    <dataValidation sqref="R4:R996" showDropDown="0" showInputMessage="0" showErrorMessage="0" allowBlank="1" errorTitle="Invalid entry" error="Use the dropdown values only." prompt="Select from the approved list." type="list">
      <formula1>=High_Risk_Activity_List</formula1>
    </dataValidation>
    <dataValidation sqref="S4:S996 AO4:AO996 BC4:BD996" showDropDown="0" showInputMessage="0" showErrorMessage="0" allowBlank="1" errorTitle="Invalid entry" error="Use the dropdown values only." prompt="Select from the approved list." type="list">
      <formula1>=Yes_No_List</formula1>
    </dataValidation>
    <dataValidation sqref="AP4:AP996" showDropDown="0" showInputMessage="0" showErrorMessage="0" allowBlank="1" errorTitle="Invalid entry" error="Use the dropdown values only." prompt="Select from the approved list." type="list">
      <formula1>=Root_Cause_List</formula1>
    </dataValidation>
    <dataValidation sqref="AX4:BB996" showDropDown="0" showInputMessage="0" showErrorMessage="0" allowBlank="1" errorTitle="Invalid entry" error="Use the dropdown values only." prompt="Select from the approved list." type="list">
      <formula1>=KPI_List</formula1>
    </dataValidation>
    <dataValidation sqref="T4:AH996" showDropDown="0" showInputMessage="0" showErrorMessage="0" allowBlank="1" errorTitle="Invalid entry" error="Use the dropdown values only." prompt="Select from the approved list." type="list">
      <formula1>"0,1,2,3,4,5"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ColWidth="8.6328125" defaultRowHeight="15"/>
  <cols>
    <col width="24" customWidth="1" style="45" min="1" max="1"/>
    <col width="10" customWidth="1" style="45" min="2" max="2"/>
    <col width="14" customWidth="1" style="45" min="3" max="4"/>
    <col width="16" customWidth="1" style="45" min="5" max="5"/>
    <col width="12" customWidth="1" style="45" min="6" max="6"/>
    <col width="14" customWidth="1" style="45" min="7" max="7"/>
    <col width="16" customWidth="1" style="45" min="8" max="8"/>
    <col width="12" customWidth="1" style="45" min="9" max="9"/>
    <col width="14" customWidth="1" style="45" min="10" max="10"/>
    <col width="12" customWidth="1" style="45" min="11" max="11"/>
    <col width="8" customWidth="1" style="45" min="12" max="12"/>
    <col width="19.36328125" customWidth="1" style="45" min="14" max="14"/>
    <col width="17.90625" customWidth="1" style="45" min="15" max="15"/>
    <col width="14" customWidth="1" style="45" min="16" max="19"/>
  </cols>
  <sheetData>
    <row r="1" ht="21.75" customHeight="1" s="45">
      <c r="A1" s="34" t="inlineStr">
        <is>
          <t>Weekly Dashboard</t>
        </is>
      </c>
    </row>
    <row r="2" ht="21.75" customHeight="1" s="45">
      <c r="A2" s="35" t="inlineStr">
        <is>
          <t>Set the control week and month in blue-font cells. This sheet summarizes weekly and current month performance by cluster and highlights weak KPIs / root causes.</t>
        </is>
      </c>
    </row>
    <row r="3" ht="21.75" customHeight="1" s="45"/>
    <row r="4" ht="21.75" customHeight="1" s="45">
      <c r="A4" s="4" t="inlineStr">
        <is>
          <t>Control inputs</t>
        </is>
      </c>
    </row>
    <row r="5" ht="15" customHeight="1" s="45">
      <c r="A5" s="24" t="inlineStr">
        <is>
          <t>Selected Week No</t>
        </is>
      </c>
      <c r="B5" s="25">
        <f>IFERROR(MAX(Weekly_Inspections!$C$4:$C$996),"")</f>
        <v/>
      </c>
    </row>
    <row r="6" ht="15" customHeight="1" s="45">
      <c r="A6" s="24" t="inlineStr">
        <is>
          <t>Selected Month (yyyy-mm)</t>
        </is>
      </c>
      <c r="B6" s="25">
        <f>IFERROR(LOOKUP(2,1/(Weekly_Inspections!$D$4:$D$996&lt;&gt;""),Weekly_Inspections!$D$4:$D$996),"")</f>
        <v/>
      </c>
    </row>
    <row r="7" ht="15" customHeight="1" s="45">
      <c r="A7" s="24" t="inlineStr">
        <is>
          <t>Previous Month (yyyy-mm)</t>
        </is>
      </c>
      <c r="B7" s="25">
        <f>IF($B$6="","",TEXT(EDATE(DATE(VALUE(LEFT($B$6,4)),VALUE(RIGHT($B$6,2)),1),-1),"yyyy-mm"))</f>
        <v/>
      </c>
    </row>
    <row r="9" ht="33.75" customHeight="1" s="45">
      <c r="A9" s="5" t="inlineStr">
        <is>
          <t>Cluster</t>
        </is>
      </c>
      <c r="B9" s="5" t="inlineStr">
        <is>
          <t>Package</t>
        </is>
      </c>
      <c r="C9" s="5" t="inlineStr">
        <is>
          <t>Contractor</t>
        </is>
      </c>
      <c r="D9" s="5" t="inlineStr">
        <is>
          <t>Week Avg Raw %</t>
        </is>
      </c>
      <c r="E9" s="5" t="inlineStr">
        <is>
          <t>Week Avg Weighted %</t>
        </is>
      </c>
      <c r="F9" s="5" t="inlineStr">
        <is>
          <t>Week Red Flags</t>
        </is>
      </c>
      <c r="G9" s="5" t="inlineStr">
        <is>
          <t>Month Avg Raw %</t>
        </is>
      </c>
      <c r="H9" s="5" t="inlineStr">
        <is>
          <t>Month Avg Weighted %</t>
        </is>
      </c>
      <c r="I9" s="5" t="inlineStr">
        <is>
          <t>Month Red Flags</t>
        </is>
      </c>
      <c r="J9" s="5" t="inlineStr">
        <is>
          <t>Month Improvement</t>
        </is>
      </c>
      <c r="K9" s="5" t="inlineStr">
        <is>
          <t>Award Eligible</t>
        </is>
      </c>
      <c r="L9" s="5" t="inlineStr">
        <is>
          <t>Rank</t>
        </is>
      </c>
    </row>
    <row r="10" ht="15" customHeight="1" s="45">
      <c r="A10" s="26" t="inlineStr">
        <is>
          <t>Cluster 7A</t>
        </is>
      </c>
      <c r="B10" s="7">
        <f>IFERROR(INDEX(Cluster_Master!$A$4:$A$18,MATCH($A10,Cluster_Master!$B$4:$B$18,0)),"")</f>
        <v/>
      </c>
      <c r="C10" s="7">
        <f>IFERROR(INDEX(Cluster_Master!$C$4:$C$18,MATCH($A10,Cluster_Master!$B$4:$B$18,0)),"")</f>
        <v/>
      </c>
      <c r="D10" s="11">
        <f>IF($B$5="","",IFERROR(AVERAGEIFS(Weekly_Inspections!$AJ$4:$AJ$996,Weekly_Inspections!$F$4:$F$996,$A10,Weekly_Inspections!$C$4:$C$996,$B$5),""))</f>
        <v/>
      </c>
      <c r="E10" s="11">
        <f>IF($B$5="","",IFERROR(AVERAGEIFS(Weekly_Inspections!$AK$4:$AK$996,Weekly_Inspections!$F$4:$F$996,$A10,Weekly_Inspections!$C$4:$C$996,$B$5),""))</f>
        <v/>
      </c>
      <c r="F10" s="7">
        <f>IF($B$5="","",COUNTIFS(Weekly_Inspections!$F$4:$F$996,$A10,Weekly_Inspections!$C$4:$C$996,$B$5,Weekly_Inspections!$AL$4:$AL$996,"YES"))</f>
        <v/>
      </c>
      <c r="G10" s="11">
        <f>IF($B$6="","",IFERROR(AVERAGEIFS(Weekly_Inspections!$AJ$4:$AJ$996,Weekly_Inspections!$F$4:$F$996,$A10,Weekly_Inspections!$D$4:$D$996,$B$6),""))</f>
        <v/>
      </c>
      <c r="H10" s="11">
        <f>IF($B$6="","",IFERROR(AVERAGEIFS(Weekly_Inspections!$AK$4:$AK$996,Weekly_Inspections!$F$4:$F$996,$A10,Weekly_Inspections!$D$4:$D$996,$B$6),""))</f>
        <v/>
      </c>
      <c r="I10" s="7">
        <f>IF($B$6="","",COUNTIFS(Weekly_Inspections!$F$4:$F$996,$A10,Weekly_Inspections!$D$4:$D$996,$B$6,Weekly_Inspections!$AL$4:$AL$996,"YES"))</f>
        <v/>
      </c>
      <c r="J10" s="11">
        <f>IF(OR($B$6="",$B$7=""),"",IFERROR((G10-AVERAGEIFS(Weekly_Inspections!$AJ$4:$AJ$996,Weekly_Inspections!$F$4:$F$996,$A10,Weekly_Inspections!$D$4:$D$996,$B$7))/AVERAGEIFS(Weekly_Inspections!$AJ$4:$AJ$996,Weekly_Inspections!$F$4:$F$996,$A10,Weekly_Inspections!$D$4:$D$996,$B$7),""))</f>
        <v/>
      </c>
      <c r="K10" s="7">
        <f>IF(G10="","",IF(AND(I10=0,G10&gt;=0.75),"YES","NO"))</f>
        <v/>
      </c>
      <c r="L10" s="7">
        <f>IF(G10="","",RANK(G10,$G$10:$G$24,0))</f>
        <v/>
      </c>
    </row>
    <row r="11" ht="15" customHeight="1" s="45">
      <c r="A11" s="26" t="inlineStr">
        <is>
          <t>Cluster 7B</t>
        </is>
      </c>
      <c r="B11" s="7">
        <f>IFERROR(INDEX(Cluster_Master!$A$4:$A$18,MATCH($A11,Cluster_Master!$B$4:$B$18,0)),"")</f>
        <v/>
      </c>
      <c r="C11" s="7">
        <f>IFERROR(INDEX(Cluster_Master!$C$4:$C$18,MATCH($A11,Cluster_Master!$B$4:$B$18,0)),"")</f>
        <v/>
      </c>
      <c r="D11" s="11">
        <f>IF($B$5="","",IFERROR(AVERAGEIFS(Weekly_Inspections!$AJ$4:$AJ$996,Weekly_Inspections!$F$4:$F$996,$A11,Weekly_Inspections!$C$4:$C$996,$B$5),""))</f>
        <v/>
      </c>
      <c r="E11" s="11">
        <f>IF($B$5="","",IFERROR(AVERAGEIFS(Weekly_Inspections!$AK$4:$AK$996,Weekly_Inspections!$F$4:$F$996,$A11,Weekly_Inspections!$C$4:$C$996,$B$5),""))</f>
        <v/>
      </c>
      <c r="F11" s="7">
        <f>IF($B$5="","",COUNTIFS(Weekly_Inspections!$F$4:$F$996,$A11,Weekly_Inspections!$C$4:$C$996,$B$5,Weekly_Inspections!$AL$4:$AL$996,"YES"))</f>
        <v/>
      </c>
      <c r="G11" s="11">
        <f>IF($B$6="","",IFERROR(AVERAGEIFS(Weekly_Inspections!$AJ$4:$AJ$996,Weekly_Inspections!$F$4:$F$996,$A11,Weekly_Inspections!$D$4:$D$996,$B$6),""))</f>
        <v/>
      </c>
      <c r="H11" s="11">
        <f>IF($B$6="","",IFERROR(AVERAGEIFS(Weekly_Inspections!$AK$4:$AK$996,Weekly_Inspections!$F$4:$F$996,$A11,Weekly_Inspections!$D$4:$D$996,$B$6),""))</f>
        <v/>
      </c>
      <c r="I11" s="7">
        <f>IF($B$6="","",COUNTIFS(Weekly_Inspections!$F$4:$F$996,$A11,Weekly_Inspections!$D$4:$D$996,$B$6,Weekly_Inspections!$AL$4:$AL$996,"YES"))</f>
        <v/>
      </c>
      <c r="J11" s="11">
        <f>IF(OR($B$6="",$B$7=""),"",IFERROR((G11-AVERAGEIFS(Weekly_Inspections!$AJ$4:$AJ$996,Weekly_Inspections!$F$4:$F$996,$A11,Weekly_Inspections!$D$4:$D$996,$B$7))/AVERAGEIFS(Weekly_Inspections!$AJ$4:$AJ$996,Weekly_Inspections!$F$4:$F$996,$A11,Weekly_Inspections!$D$4:$D$996,$B$7),""))</f>
        <v/>
      </c>
      <c r="K11" s="7">
        <f>IF(G11="","",IF(AND(I11=0,G11&gt;=0.75),"YES","NO"))</f>
        <v/>
      </c>
      <c r="L11" s="7">
        <f>IF(G11="","",RANK(G11,$G$10:$G$24,0))</f>
        <v/>
      </c>
    </row>
    <row r="12" ht="15" customHeight="1" s="45">
      <c r="A12" s="26" t="inlineStr">
        <is>
          <t>Cluster 8A</t>
        </is>
      </c>
      <c r="B12" s="7">
        <f>IFERROR(INDEX(Cluster_Master!$A$4:$A$18,MATCH($A12,Cluster_Master!$B$4:$B$18,0)),"")</f>
        <v/>
      </c>
      <c r="C12" s="7">
        <f>IFERROR(INDEX(Cluster_Master!$C$4:$C$18,MATCH($A12,Cluster_Master!$B$4:$B$18,0)),"")</f>
        <v/>
      </c>
      <c r="D12" s="11">
        <f>IF($B$5="","",IFERROR(AVERAGEIFS(Weekly_Inspections!$AJ$4:$AJ$996,Weekly_Inspections!$F$4:$F$996,$A12,Weekly_Inspections!$C$4:$C$996,$B$5),""))</f>
        <v/>
      </c>
      <c r="E12" s="11">
        <f>IF($B$5="","",IFERROR(AVERAGEIFS(Weekly_Inspections!$AK$4:$AK$996,Weekly_Inspections!$F$4:$F$996,$A12,Weekly_Inspections!$C$4:$C$996,$B$5),""))</f>
        <v/>
      </c>
      <c r="F12" s="7">
        <f>IF($B$5="","",COUNTIFS(Weekly_Inspections!$F$4:$F$996,$A12,Weekly_Inspections!$C$4:$C$996,$B$5,Weekly_Inspections!$AL$4:$AL$996,"YES"))</f>
        <v/>
      </c>
      <c r="G12" s="11">
        <f>IF($B$6="","",IFERROR(AVERAGEIFS(Weekly_Inspections!$AJ$4:$AJ$996,Weekly_Inspections!$F$4:$F$996,$A12,Weekly_Inspections!$D$4:$D$996,$B$6),""))</f>
        <v/>
      </c>
      <c r="H12" s="11">
        <f>IF($B$6="","",IFERROR(AVERAGEIFS(Weekly_Inspections!$AK$4:$AK$996,Weekly_Inspections!$F$4:$F$996,$A12,Weekly_Inspections!$D$4:$D$996,$B$6),""))</f>
        <v/>
      </c>
      <c r="I12" s="7">
        <f>IF($B$6="","",COUNTIFS(Weekly_Inspections!$F$4:$F$996,$A12,Weekly_Inspections!$D$4:$D$996,$B$6,Weekly_Inspections!$AL$4:$AL$996,"YES"))</f>
        <v/>
      </c>
      <c r="J12" s="11">
        <f>IF(OR($B$6="",$B$7=""),"",IFERROR((G12-AVERAGEIFS(Weekly_Inspections!$AJ$4:$AJ$996,Weekly_Inspections!$F$4:$F$996,$A12,Weekly_Inspections!$D$4:$D$996,$B$7))/AVERAGEIFS(Weekly_Inspections!$AJ$4:$AJ$996,Weekly_Inspections!$F$4:$F$996,$A12,Weekly_Inspections!$D$4:$D$996,$B$7),""))</f>
        <v/>
      </c>
      <c r="K12" s="7">
        <f>IF(G12="","",IF(AND(I12=0,G12&gt;=0.75),"YES","NO"))</f>
        <v/>
      </c>
      <c r="L12" s="7">
        <f>IF(G12="","",RANK(G12,$G$10:$G$24,0))</f>
        <v/>
      </c>
    </row>
    <row r="13" ht="15" customHeight="1" s="45">
      <c r="A13" s="26" t="inlineStr">
        <is>
          <t>Cluster 8B</t>
        </is>
      </c>
      <c r="B13" s="7">
        <f>IFERROR(INDEX(Cluster_Master!$A$4:$A$18,MATCH($A13,Cluster_Master!$B$4:$B$18,0)),"")</f>
        <v/>
      </c>
      <c r="C13" s="7">
        <f>IFERROR(INDEX(Cluster_Master!$C$4:$C$18,MATCH($A13,Cluster_Master!$B$4:$B$18,0)),"")</f>
        <v/>
      </c>
      <c r="D13" s="11">
        <f>IF($B$5="","",IFERROR(AVERAGEIFS(Weekly_Inspections!$AJ$4:$AJ$996,Weekly_Inspections!$F$4:$F$996,$A13,Weekly_Inspections!$C$4:$C$996,$B$5),""))</f>
        <v/>
      </c>
      <c r="E13" s="11">
        <f>IF($B$5="","",IFERROR(AVERAGEIFS(Weekly_Inspections!$AK$4:$AK$996,Weekly_Inspections!$F$4:$F$996,$A13,Weekly_Inspections!$C$4:$C$996,$B$5),""))</f>
        <v/>
      </c>
      <c r="F13" s="7">
        <f>IF($B$5="","",COUNTIFS(Weekly_Inspections!$F$4:$F$996,$A13,Weekly_Inspections!$C$4:$C$996,$B$5,Weekly_Inspections!$AL$4:$AL$996,"YES"))</f>
        <v/>
      </c>
      <c r="G13" s="11">
        <f>IF($B$6="","",IFERROR(AVERAGEIFS(Weekly_Inspections!$AJ$4:$AJ$996,Weekly_Inspections!$F$4:$F$996,$A13,Weekly_Inspections!$D$4:$D$996,$B$6),""))</f>
        <v/>
      </c>
      <c r="H13" s="11">
        <f>IF($B$6="","",IFERROR(AVERAGEIFS(Weekly_Inspections!$AK$4:$AK$996,Weekly_Inspections!$F$4:$F$996,$A13,Weekly_Inspections!$D$4:$D$996,$B$6),""))</f>
        <v/>
      </c>
      <c r="I13" s="7">
        <f>IF($B$6="","",COUNTIFS(Weekly_Inspections!$F$4:$F$996,$A13,Weekly_Inspections!$D$4:$D$996,$B$6,Weekly_Inspections!$AL$4:$AL$996,"YES"))</f>
        <v/>
      </c>
      <c r="J13" s="11">
        <f>IF(OR($B$6="",$B$7=""),"",IFERROR((G13-AVERAGEIFS(Weekly_Inspections!$AJ$4:$AJ$996,Weekly_Inspections!$F$4:$F$996,$A13,Weekly_Inspections!$D$4:$D$996,$B$7))/AVERAGEIFS(Weekly_Inspections!$AJ$4:$AJ$996,Weekly_Inspections!$F$4:$F$996,$A13,Weekly_Inspections!$D$4:$D$996,$B$7),""))</f>
        <v/>
      </c>
      <c r="K13" s="7">
        <f>IF(G13="","",IF(AND(I13=0,G13&gt;=0.75),"YES","NO"))</f>
        <v/>
      </c>
      <c r="L13" s="7">
        <f>IF(G13="","",RANK(G13,$G$10:$G$24,0))</f>
        <v/>
      </c>
    </row>
    <row r="14" ht="15" customHeight="1" s="45">
      <c r="A14" s="26" t="inlineStr">
        <is>
          <t>Cluster 8C</t>
        </is>
      </c>
      <c r="B14" s="7">
        <f>IFERROR(INDEX(Cluster_Master!$A$4:$A$18,MATCH($A14,Cluster_Master!$B$4:$B$18,0)),"")</f>
        <v/>
      </c>
      <c r="C14" s="7">
        <f>IFERROR(INDEX(Cluster_Master!$C$4:$C$18,MATCH($A14,Cluster_Master!$B$4:$B$18,0)),"")</f>
        <v/>
      </c>
      <c r="D14" s="11">
        <f>IF($B$5="","",IFERROR(AVERAGEIFS(Weekly_Inspections!$AJ$4:$AJ$996,Weekly_Inspections!$F$4:$F$996,$A14,Weekly_Inspections!$C$4:$C$996,$B$5),""))</f>
        <v/>
      </c>
      <c r="E14" s="11">
        <f>IF($B$5="","",IFERROR(AVERAGEIFS(Weekly_Inspections!$AK$4:$AK$996,Weekly_Inspections!$F$4:$F$996,$A14,Weekly_Inspections!$C$4:$C$996,$B$5),""))</f>
        <v/>
      </c>
      <c r="F14" s="7">
        <f>IF($B$5="","",COUNTIFS(Weekly_Inspections!$F$4:$F$996,$A14,Weekly_Inspections!$C$4:$C$996,$B$5,Weekly_Inspections!$AL$4:$AL$996,"YES"))</f>
        <v/>
      </c>
      <c r="G14" s="11">
        <f>IF($B$6="","",IFERROR(AVERAGEIFS(Weekly_Inspections!$AJ$4:$AJ$996,Weekly_Inspections!$F$4:$F$996,$A14,Weekly_Inspections!$D$4:$D$996,$B$6),""))</f>
        <v/>
      </c>
      <c r="H14" s="11">
        <f>IF($B$6="","",IFERROR(AVERAGEIFS(Weekly_Inspections!$AK$4:$AK$996,Weekly_Inspections!$F$4:$F$996,$A14,Weekly_Inspections!$D$4:$D$996,$B$6),""))</f>
        <v/>
      </c>
      <c r="I14" s="7">
        <f>IF($B$6="","",COUNTIFS(Weekly_Inspections!$F$4:$F$996,$A14,Weekly_Inspections!$D$4:$D$996,$B$6,Weekly_Inspections!$AL$4:$AL$996,"YES"))</f>
        <v/>
      </c>
      <c r="J14" s="11">
        <f>IF(OR($B$6="",$B$7=""),"",IFERROR((G14-AVERAGEIFS(Weekly_Inspections!$AJ$4:$AJ$996,Weekly_Inspections!$F$4:$F$996,$A14,Weekly_Inspections!$D$4:$D$996,$B$7))/AVERAGEIFS(Weekly_Inspections!$AJ$4:$AJ$996,Weekly_Inspections!$F$4:$F$996,$A14,Weekly_Inspections!$D$4:$D$996,$B$7),""))</f>
        <v/>
      </c>
      <c r="K14" s="7">
        <f>IF(G14="","",IF(AND(I14=0,G14&gt;=0.75),"YES","NO"))</f>
        <v/>
      </c>
      <c r="L14" s="7">
        <f>IF(G14="","",RANK(G14,$G$10:$G$24,0))</f>
        <v/>
      </c>
    </row>
    <row r="15" ht="15" customHeight="1" s="45">
      <c r="A15" s="26" t="inlineStr">
        <is>
          <t>Cluster 8D</t>
        </is>
      </c>
      <c r="B15" s="7">
        <f>IFERROR(INDEX(Cluster_Master!$A$4:$A$18,MATCH($A15,Cluster_Master!$B$4:$B$18,0)),"")</f>
        <v/>
      </c>
      <c r="C15" s="7">
        <f>IFERROR(INDEX(Cluster_Master!$C$4:$C$18,MATCH($A15,Cluster_Master!$B$4:$B$18,0)),"")</f>
        <v/>
      </c>
      <c r="D15" s="11">
        <f>IF($B$5="","",IFERROR(AVERAGEIFS(Weekly_Inspections!$AJ$4:$AJ$996,Weekly_Inspections!$F$4:$F$996,$A15,Weekly_Inspections!$C$4:$C$996,$B$5),""))</f>
        <v/>
      </c>
      <c r="E15" s="11">
        <f>IF($B$5="","",IFERROR(AVERAGEIFS(Weekly_Inspections!$AK$4:$AK$996,Weekly_Inspections!$F$4:$F$996,$A15,Weekly_Inspections!$C$4:$C$996,$B$5),""))</f>
        <v/>
      </c>
      <c r="F15" s="7">
        <f>IF($B$5="","",COUNTIFS(Weekly_Inspections!$F$4:$F$996,$A15,Weekly_Inspections!$C$4:$C$996,$B$5,Weekly_Inspections!$AL$4:$AL$996,"YES"))</f>
        <v/>
      </c>
      <c r="G15" s="11">
        <f>IF($B$6="","",IFERROR(AVERAGEIFS(Weekly_Inspections!$AJ$4:$AJ$996,Weekly_Inspections!$F$4:$F$996,$A15,Weekly_Inspections!$D$4:$D$996,$B$6),""))</f>
        <v/>
      </c>
      <c r="H15" s="11">
        <f>IF($B$6="","",IFERROR(AVERAGEIFS(Weekly_Inspections!$AK$4:$AK$996,Weekly_Inspections!$F$4:$F$996,$A15,Weekly_Inspections!$D$4:$D$996,$B$6),""))</f>
        <v/>
      </c>
      <c r="I15" s="7">
        <f>IF($B$6="","",COUNTIFS(Weekly_Inspections!$F$4:$F$996,$A15,Weekly_Inspections!$D$4:$D$996,$B$6,Weekly_Inspections!$AL$4:$AL$996,"YES"))</f>
        <v/>
      </c>
      <c r="J15" s="11">
        <f>IF(OR($B$6="",$B$7=""),"",IFERROR((G15-AVERAGEIFS(Weekly_Inspections!$AJ$4:$AJ$996,Weekly_Inspections!$F$4:$F$996,$A15,Weekly_Inspections!$D$4:$D$996,$B$7))/AVERAGEIFS(Weekly_Inspections!$AJ$4:$AJ$996,Weekly_Inspections!$F$4:$F$996,$A15,Weekly_Inspections!$D$4:$D$996,$B$7),""))</f>
        <v/>
      </c>
      <c r="K15" s="7">
        <f>IF(G15="","",IF(AND(I15=0,G15&gt;=0.75),"YES","NO"))</f>
        <v/>
      </c>
      <c r="L15" s="7">
        <f>IF(G15="","",RANK(G15,$G$10:$G$24,0))</f>
        <v/>
      </c>
    </row>
    <row r="16" ht="15" customHeight="1" s="45">
      <c r="A16" s="26" t="inlineStr">
        <is>
          <t>Cluster 3</t>
        </is>
      </c>
      <c r="B16" s="7">
        <f>IFERROR(INDEX(Cluster_Master!$A$4:$A$18,MATCH($A16,Cluster_Master!$B$4:$B$18,0)),"")</f>
        <v/>
      </c>
      <c r="C16" s="7">
        <f>IFERROR(INDEX(Cluster_Master!$C$4:$C$18,MATCH($A16,Cluster_Master!$B$4:$B$18,0)),"")</f>
        <v/>
      </c>
      <c r="D16" s="11">
        <f>IF($B$5="","",IFERROR(AVERAGEIFS(Weekly_Inspections!$AJ$4:$AJ$996,Weekly_Inspections!$F$4:$F$996,$A16,Weekly_Inspections!$C$4:$C$996,$B$5),""))</f>
        <v/>
      </c>
      <c r="E16" s="11">
        <f>IF($B$5="","",IFERROR(AVERAGEIFS(Weekly_Inspections!$AK$4:$AK$996,Weekly_Inspections!$F$4:$F$996,$A16,Weekly_Inspections!$C$4:$C$996,$B$5),""))</f>
        <v/>
      </c>
      <c r="F16" s="7">
        <f>IF($B$5="","",COUNTIFS(Weekly_Inspections!$F$4:$F$996,$A16,Weekly_Inspections!$C$4:$C$996,$B$5,Weekly_Inspections!$AL$4:$AL$996,"YES"))</f>
        <v/>
      </c>
      <c r="G16" s="11">
        <f>IF($B$6="","",IFERROR(AVERAGEIFS(Weekly_Inspections!$AJ$4:$AJ$996,Weekly_Inspections!$F$4:$F$996,$A16,Weekly_Inspections!$D$4:$D$996,$B$6),""))</f>
        <v/>
      </c>
      <c r="H16" s="11">
        <f>IF($B$6="","",IFERROR(AVERAGEIFS(Weekly_Inspections!$AK$4:$AK$996,Weekly_Inspections!$F$4:$F$996,$A16,Weekly_Inspections!$D$4:$D$996,$B$6),""))</f>
        <v/>
      </c>
      <c r="I16" s="7">
        <f>IF($B$6="","",COUNTIFS(Weekly_Inspections!$F$4:$F$996,$A16,Weekly_Inspections!$D$4:$D$996,$B$6,Weekly_Inspections!$AL$4:$AL$996,"YES"))</f>
        <v/>
      </c>
      <c r="J16" s="11">
        <f>IF(OR($B$6="",$B$7=""),"",IFERROR((G16-AVERAGEIFS(Weekly_Inspections!$AJ$4:$AJ$996,Weekly_Inspections!$F$4:$F$996,$A16,Weekly_Inspections!$D$4:$D$996,$B$7))/AVERAGEIFS(Weekly_Inspections!$AJ$4:$AJ$996,Weekly_Inspections!$F$4:$F$996,$A16,Weekly_Inspections!$D$4:$D$996,$B$7),""))</f>
        <v/>
      </c>
      <c r="K16" s="7">
        <f>IF(G16="","",IF(AND(I16=0,G16&gt;=0.75),"YES","NO"))</f>
        <v/>
      </c>
      <c r="L16" s="7">
        <f>IF(G16="","",RANK(G16,$G$10:$G$24,0))</f>
        <v/>
      </c>
    </row>
    <row r="17" ht="15" customHeight="1" s="45">
      <c r="A17" s="26" t="inlineStr">
        <is>
          <t>Cluster 4</t>
        </is>
      </c>
      <c r="B17" s="7">
        <f>IFERROR(INDEX(Cluster_Master!$A$4:$A$18,MATCH($A17,Cluster_Master!$B$4:$B$18,0)),"")</f>
        <v/>
      </c>
      <c r="C17" s="7">
        <f>IFERROR(INDEX(Cluster_Master!$C$4:$C$18,MATCH($A17,Cluster_Master!$B$4:$B$18,0)),"")</f>
        <v/>
      </c>
      <c r="D17" s="11">
        <f>IF($B$5="","",IFERROR(AVERAGEIFS(Weekly_Inspections!$AJ$4:$AJ$996,Weekly_Inspections!$F$4:$F$996,$A17,Weekly_Inspections!$C$4:$C$996,$B$5),""))</f>
        <v/>
      </c>
      <c r="E17" s="11">
        <f>IF($B$5="","",IFERROR(AVERAGEIFS(Weekly_Inspections!$AK$4:$AK$996,Weekly_Inspections!$F$4:$F$996,$A17,Weekly_Inspections!$C$4:$C$996,$B$5),""))</f>
        <v/>
      </c>
      <c r="F17" s="7">
        <f>IF($B$5="","",COUNTIFS(Weekly_Inspections!$F$4:$F$996,$A17,Weekly_Inspections!$C$4:$C$996,$B$5,Weekly_Inspections!$AL$4:$AL$996,"YES"))</f>
        <v/>
      </c>
      <c r="G17" s="11">
        <f>IF($B$6="","",IFERROR(AVERAGEIFS(Weekly_Inspections!$AJ$4:$AJ$996,Weekly_Inspections!$F$4:$F$996,$A17,Weekly_Inspections!$D$4:$D$996,$B$6),""))</f>
        <v/>
      </c>
      <c r="H17" s="11">
        <f>IF($B$6="","",IFERROR(AVERAGEIFS(Weekly_Inspections!$AK$4:$AK$996,Weekly_Inspections!$F$4:$F$996,$A17,Weekly_Inspections!$D$4:$D$996,$B$6),""))</f>
        <v/>
      </c>
      <c r="I17" s="7">
        <f>IF($B$6="","",COUNTIFS(Weekly_Inspections!$F$4:$F$996,$A17,Weekly_Inspections!$D$4:$D$996,$B$6,Weekly_Inspections!$AL$4:$AL$996,"YES"))</f>
        <v/>
      </c>
      <c r="J17" s="11">
        <f>IF(OR($B$6="",$B$7=""),"",IFERROR((G17-AVERAGEIFS(Weekly_Inspections!$AJ$4:$AJ$996,Weekly_Inspections!$F$4:$F$996,$A17,Weekly_Inspections!$D$4:$D$996,$B$7))/AVERAGEIFS(Weekly_Inspections!$AJ$4:$AJ$996,Weekly_Inspections!$F$4:$F$996,$A17,Weekly_Inspections!$D$4:$D$996,$B$7),""))</f>
        <v/>
      </c>
      <c r="K17" s="7">
        <f>IF(G17="","",IF(AND(I17=0,G17&gt;=0.75),"YES","NO"))</f>
        <v/>
      </c>
      <c r="L17" s="7">
        <f>IF(G17="","",RANK(G17,$G$10:$G$24,0))</f>
        <v/>
      </c>
    </row>
    <row r="18" ht="15" customHeight="1" s="45">
      <c r="A18" s="26" t="inlineStr">
        <is>
          <t>Cluster 5</t>
        </is>
      </c>
      <c r="B18" s="7">
        <f>IFERROR(INDEX(Cluster_Master!$A$4:$A$18,MATCH($A18,Cluster_Master!$B$4:$B$18,0)),"")</f>
        <v/>
      </c>
      <c r="C18" s="7">
        <f>IFERROR(INDEX(Cluster_Master!$C$4:$C$18,MATCH($A18,Cluster_Master!$B$4:$B$18,0)),"")</f>
        <v/>
      </c>
      <c r="D18" s="11">
        <f>IF($B$5="","",IFERROR(AVERAGEIFS(Weekly_Inspections!$AJ$4:$AJ$996,Weekly_Inspections!$F$4:$F$996,$A18,Weekly_Inspections!$C$4:$C$996,$B$5),""))</f>
        <v/>
      </c>
      <c r="E18" s="11">
        <f>IF($B$5="","",IFERROR(AVERAGEIFS(Weekly_Inspections!$AK$4:$AK$996,Weekly_Inspections!$F$4:$F$996,$A18,Weekly_Inspections!$C$4:$C$996,$B$5),""))</f>
        <v/>
      </c>
      <c r="F18" s="7">
        <f>IF($B$5="","",COUNTIFS(Weekly_Inspections!$F$4:$F$996,$A18,Weekly_Inspections!$C$4:$C$996,$B$5,Weekly_Inspections!$AL$4:$AL$996,"YES"))</f>
        <v/>
      </c>
      <c r="G18" s="11">
        <f>IF($B$6="","",IFERROR(AVERAGEIFS(Weekly_Inspections!$AJ$4:$AJ$996,Weekly_Inspections!$F$4:$F$996,$A18,Weekly_Inspections!$D$4:$D$996,$B$6),""))</f>
        <v/>
      </c>
      <c r="H18" s="11">
        <f>IF($B$6="","",IFERROR(AVERAGEIFS(Weekly_Inspections!$AK$4:$AK$996,Weekly_Inspections!$F$4:$F$996,$A18,Weekly_Inspections!$D$4:$D$996,$B$6),""))</f>
        <v/>
      </c>
      <c r="I18" s="7">
        <f>IF($B$6="","",COUNTIFS(Weekly_Inspections!$F$4:$F$996,$A18,Weekly_Inspections!$D$4:$D$996,$B$6,Weekly_Inspections!$AL$4:$AL$996,"YES"))</f>
        <v/>
      </c>
      <c r="J18" s="11">
        <f>IF(OR($B$6="",$B$7=""),"",IFERROR((G18-AVERAGEIFS(Weekly_Inspections!$AJ$4:$AJ$996,Weekly_Inspections!$F$4:$F$996,$A18,Weekly_Inspections!$D$4:$D$996,$B$7))/AVERAGEIFS(Weekly_Inspections!$AJ$4:$AJ$996,Weekly_Inspections!$F$4:$F$996,$A18,Weekly_Inspections!$D$4:$D$996,$B$7),""))</f>
        <v/>
      </c>
      <c r="K18" s="7">
        <f>IF(G18="","",IF(AND(I18=0,G18&gt;=0.75),"YES","NO"))</f>
        <v/>
      </c>
      <c r="L18" s="7">
        <f>IF(G18="","",RANK(G18,$G$10:$G$24,0))</f>
        <v/>
      </c>
    </row>
    <row r="19" ht="15" customHeight="1" s="45">
      <c r="A19" s="26" t="inlineStr">
        <is>
          <t>Cluster 6</t>
        </is>
      </c>
      <c r="B19" s="7">
        <f>IFERROR(INDEX(Cluster_Master!$A$4:$A$18,MATCH($A19,Cluster_Master!$B$4:$B$18,0)),"")</f>
        <v/>
      </c>
      <c r="C19" s="7">
        <f>IFERROR(INDEX(Cluster_Master!$C$4:$C$18,MATCH($A19,Cluster_Master!$B$4:$B$18,0)),"")</f>
        <v/>
      </c>
      <c r="D19" s="11">
        <f>IF($B$5="","",IFERROR(AVERAGEIFS(Weekly_Inspections!$AJ$4:$AJ$996,Weekly_Inspections!$F$4:$F$996,$A19,Weekly_Inspections!$C$4:$C$996,$B$5),""))</f>
        <v/>
      </c>
      <c r="E19" s="11">
        <f>IF($B$5="","",IFERROR(AVERAGEIFS(Weekly_Inspections!$AK$4:$AK$996,Weekly_Inspections!$F$4:$F$996,$A19,Weekly_Inspections!$C$4:$C$996,$B$5),""))</f>
        <v/>
      </c>
      <c r="F19" s="7">
        <f>IF($B$5="","",COUNTIFS(Weekly_Inspections!$F$4:$F$996,$A19,Weekly_Inspections!$C$4:$C$996,$B$5,Weekly_Inspections!$AL$4:$AL$996,"YES"))</f>
        <v/>
      </c>
      <c r="G19" s="11">
        <f>IF($B$6="","",IFERROR(AVERAGEIFS(Weekly_Inspections!$AJ$4:$AJ$996,Weekly_Inspections!$F$4:$F$996,$A19,Weekly_Inspections!$D$4:$D$996,$B$6),""))</f>
        <v/>
      </c>
      <c r="H19" s="11">
        <f>IF($B$6="","",IFERROR(AVERAGEIFS(Weekly_Inspections!$AK$4:$AK$996,Weekly_Inspections!$F$4:$F$996,$A19,Weekly_Inspections!$D$4:$D$996,$B$6),""))</f>
        <v/>
      </c>
      <c r="I19" s="7">
        <f>IF($B$6="","",COUNTIFS(Weekly_Inspections!$F$4:$F$996,$A19,Weekly_Inspections!$D$4:$D$996,$B$6,Weekly_Inspections!$AL$4:$AL$996,"YES"))</f>
        <v/>
      </c>
      <c r="J19" s="11">
        <f>IF(OR($B$6="",$B$7=""),"",IFERROR((G19-AVERAGEIFS(Weekly_Inspections!$AJ$4:$AJ$996,Weekly_Inspections!$F$4:$F$996,$A19,Weekly_Inspections!$D$4:$D$996,$B$7))/AVERAGEIFS(Weekly_Inspections!$AJ$4:$AJ$996,Weekly_Inspections!$F$4:$F$996,$A19,Weekly_Inspections!$D$4:$D$996,$B$7),""))</f>
        <v/>
      </c>
      <c r="K19" s="7">
        <f>IF(G19="","",IF(AND(I19=0,G19&gt;=0.75),"YES","NO"))</f>
        <v/>
      </c>
      <c r="L19" s="7">
        <f>IF(G19="","",RANK(G19,$G$10:$G$24,0))</f>
        <v/>
      </c>
    </row>
    <row r="20" ht="15" customHeight="1" s="45">
      <c r="A20" s="26" t="inlineStr">
        <is>
          <t>Cluster 1A</t>
        </is>
      </c>
      <c r="B20" s="7">
        <f>IFERROR(INDEX(Cluster_Master!$A$4:$A$18,MATCH($A20,Cluster_Master!$B$4:$B$18,0)),"")</f>
        <v/>
      </c>
      <c r="C20" s="7">
        <f>IFERROR(INDEX(Cluster_Master!$C$4:$C$18,MATCH($A20,Cluster_Master!$B$4:$B$18,0)),"")</f>
        <v/>
      </c>
      <c r="D20" s="11">
        <f>IF($B$5="","",IFERROR(AVERAGEIFS(Weekly_Inspections!$AJ$4:$AJ$996,Weekly_Inspections!$F$4:$F$996,$A20,Weekly_Inspections!$C$4:$C$996,$B$5),""))</f>
        <v/>
      </c>
      <c r="E20" s="11">
        <f>IF($B$5="","",IFERROR(AVERAGEIFS(Weekly_Inspections!$AK$4:$AK$996,Weekly_Inspections!$F$4:$F$996,$A20,Weekly_Inspections!$C$4:$C$996,$B$5),""))</f>
        <v/>
      </c>
      <c r="F20" s="7">
        <f>IF($B$5="","",COUNTIFS(Weekly_Inspections!$F$4:$F$996,$A20,Weekly_Inspections!$C$4:$C$996,$B$5,Weekly_Inspections!$AL$4:$AL$996,"YES"))</f>
        <v/>
      </c>
      <c r="G20" s="11">
        <f>IF($B$6="","",IFERROR(AVERAGEIFS(Weekly_Inspections!$AJ$4:$AJ$996,Weekly_Inspections!$F$4:$F$996,$A20,Weekly_Inspections!$D$4:$D$996,$B$6),""))</f>
        <v/>
      </c>
      <c r="H20" s="11">
        <f>IF($B$6="","",IFERROR(AVERAGEIFS(Weekly_Inspections!$AK$4:$AK$996,Weekly_Inspections!$F$4:$F$996,$A20,Weekly_Inspections!$D$4:$D$996,$B$6),""))</f>
        <v/>
      </c>
      <c r="I20" s="7">
        <f>IF($B$6="","",COUNTIFS(Weekly_Inspections!$F$4:$F$996,$A20,Weekly_Inspections!$D$4:$D$996,$B$6,Weekly_Inspections!$AL$4:$AL$996,"YES"))</f>
        <v/>
      </c>
      <c r="J20" s="11">
        <f>IF(OR($B$6="",$B$7=""),"",IFERROR((G20-AVERAGEIFS(Weekly_Inspections!$AJ$4:$AJ$996,Weekly_Inspections!$F$4:$F$996,$A20,Weekly_Inspections!$D$4:$D$996,$B$7))/AVERAGEIFS(Weekly_Inspections!$AJ$4:$AJ$996,Weekly_Inspections!$F$4:$F$996,$A20,Weekly_Inspections!$D$4:$D$996,$B$7),""))</f>
        <v/>
      </c>
      <c r="K20" s="7">
        <f>IF(G20="","",IF(AND(I20=0,G20&gt;=0.75),"YES","NO"))</f>
        <v/>
      </c>
      <c r="L20" s="7">
        <f>IF(G20="","",RANK(G20,$G$10:$G$24,0))</f>
        <v/>
      </c>
    </row>
    <row r="21" ht="15" customHeight="1" s="45">
      <c r="A21" s="26" t="inlineStr">
        <is>
          <t>Cluster 1B</t>
        </is>
      </c>
      <c r="B21" s="7">
        <f>IFERROR(INDEX(Cluster_Master!$A$4:$A$18,MATCH($A21,Cluster_Master!$B$4:$B$18,0)),"")</f>
        <v/>
      </c>
      <c r="C21" s="7">
        <f>IFERROR(INDEX(Cluster_Master!$C$4:$C$18,MATCH($A21,Cluster_Master!$B$4:$B$18,0)),"")</f>
        <v/>
      </c>
      <c r="D21" s="11">
        <f>IF($B$5="","",IFERROR(AVERAGEIFS(Weekly_Inspections!$AJ$4:$AJ$996,Weekly_Inspections!$F$4:$F$996,$A21,Weekly_Inspections!$C$4:$C$996,$B$5),""))</f>
        <v/>
      </c>
      <c r="E21" s="11">
        <f>IF($B$5="","",IFERROR(AVERAGEIFS(Weekly_Inspections!$AK$4:$AK$996,Weekly_Inspections!$F$4:$F$996,$A21,Weekly_Inspections!$C$4:$C$996,$B$5),""))</f>
        <v/>
      </c>
      <c r="F21" s="7">
        <f>IF($B$5="","",COUNTIFS(Weekly_Inspections!$F$4:$F$996,$A21,Weekly_Inspections!$C$4:$C$996,$B$5,Weekly_Inspections!$AL$4:$AL$996,"YES"))</f>
        <v/>
      </c>
      <c r="G21" s="11">
        <f>IF($B$6="","",IFERROR(AVERAGEIFS(Weekly_Inspections!$AJ$4:$AJ$996,Weekly_Inspections!$F$4:$F$996,$A21,Weekly_Inspections!$D$4:$D$996,$B$6),""))</f>
        <v/>
      </c>
      <c r="H21" s="11">
        <f>IF($B$6="","",IFERROR(AVERAGEIFS(Weekly_Inspections!$AK$4:$AK$996,Weekly_Inspections!$F$4:$F$996,$A21,Weekly_Inspections!$D$4:$D$996,$B$6),""))</f>
        <v/>
      </c>
      <c r="I21" s="7">
        <f>IF($B$6="","",COUNTIFS(Weekly_Inspections!$F$4:$F$996,$A21,Weekly_Inspections!$D$4:$D$996,$B$6,Weekly_Inspections!$AL$4:$AL$996,"YES"))</f>
        <v/>
      </c>
      <c r="J21" s="11">
        <f>IF(OR($B$6="",$B$7=""),"",IFERROR((G21-AVERAGEIFS(Weekly_Inspections!$AJ$4:$AJ$996,Weekly_Inspections!$F$4:$F$996,$A21,Weekly_Inspections!$D$4:$D$996,$B$7))/AVERAGEIFS(Weekly_Inspections!$AJ$4:$AJ$996,Weekly_Inspections!$F$4:$F$996,$A21,Weekly_Inspections!$D$4:$D$996,$B$7),""))</f>
        <v/>
      </c>
      <c r="K21" s="7">
        <f>IF(G21="","",IF(AND(I21=0,G21&gt;=0.75),"YES","NO"))</f>
        <v/>
      </c>
      <c r="L21" s="7">
        <f>IF(G21="","",RANK(G21,$G$10:$G$24,0))</f>
        <v/>
      </c>
    </row>
    <row r="22" ht="15" customHeight="1" s="45">
      <c r="A22" s="26" t="inlineStr">
        <is>
          <t>Cluster 2A</t>
        </is>
      </c>
      <c r="B22" s="7">
        <f>IFERROR(INDEX(Cluster_Master!$A$4:$A$18,MATCH($A22,Cluster_Master!$B$4:$B$18,0)),"")</f>
        <v/>
      </c>
      <c r="C22" s="7">
        <f>IFERROR(INDEX(Cluster_Master!$C$4:$C$18,MATCH($A22,Cluster_Master!$B$4:$B$18,0)),"")</f>
        <v/>
      </c>
      <c r="D22" s="11">
        <f>IF($B$5="","",IFERROR(AVERAGEIFS(Weekly_Inspections!$AJ$4:$AJ$996,Weekly_Inspections!$F$4:$F$996,$A22,Weekly_Inspections!$C$4:$C$996,$B$5),""))</f>
        <v/>
      </c>
      <c r="E22" s="11">
        <f>IF($B$5="","",IFERROR(AVERAGEIFS(Weekly_Inspections!$AK$4:$AK$996,Weekly_Inspections!$F$4:$F$996,$A22,Weekly_Inspections!$C$4:$C$996,$B$5),""))</f>
        <v/>
      </c>
      <c r="F22" s="7">
        <f>IF($B$5="","",COUNTIFS(Weekly_Inspections!$F$4:$F$996,$A22,Weekly_Inspections!$C$4:$C$996,$B$5,Weekly_Inspections!$AL$4:$AL$996,"YES"))</f>
        <v/>
      </c>
      <c r="G22" s="11">
        <f>IF($B$6="","",IFERROR(AVERAGEIFS(Weekly_Inspections!$AJ$4:$AJ$996,Weekly_Inspections!$F$4:$F$996,$A22,Weekly_Inspections!$D$4:$D$996,$B$6),""))</f>
        <v/>
      </c>
      <c r="H22" s="11">
        <f>IF($B$6="","",IFERROR(AVERAGEIFS(Weekly_Inspections!$AK$4:$AK$996,Weekly_Inspections!$F$4:$F$996,$A22,Weekly_Inspections!$D$4:$D$996,$B$6),""))</f>
        <v/>
      </c>
      <c r="I22" s="7">
        <f>IF($B$6="","",COUNTIFS(Weekly_Inspections!$F$4:$F$996,$A22,Weekly_Inspections!$D$4:$D$996,$B$6,Weekly_Inspections!$AL$4:$AL$996,"YES"))</f>
        <v/>
      </c>
      <c r="J22" s="11">
        <f>IF(OR($B$6="",$B$7=""),"",IFERROR((G22-AVERAGEIFS(Weekly_Inspections!$AJ$4:$AJ$996,Weekly_Inspections!$F$4:$F$996,$A22,Weekly_Inspections!$D$4:$D$996,$B$7))/AVERAGEIFS(Weekly_Inspections!$AJ$4:$AJ$996,Weekly_Inspections!$F$4:$F$996,$A22,Weekly_Inspections!$D$4:$D$996,$B$7),""))</f>
        <v/>
      </c>
      <c r="K22" s="7">
        <f>IF(G22="","",IF(AND(I22=0,G22&gt;=0.75),"YES","NO"))</f>
        <v/>
      </c>
      <c r="L22" s="7">
        <f>IF(G22="","",RANK(G22,$G$10:$G$24,0))</f>
        <v/>
      </c>
    </row>
    <row r="23" ht="15" customHeight="1" s="45">
      <c r="A23" s="26" t="inlineStr">
        <is>
          <t>Cluster 2B</t>
        </is>
      </c>
      <c r="B23" s="7">
        <f>IFERROR(INDEX(Cluster_Master!$A$4:$A$18,MATCH($A23,Cluster_Master!$B$4:$B$18,0)),"")</f>
        <v/>
      </c>
      <c r="C23" s="7">
        <f>IFERROR(INDEX(Cluster_Master!$C$4:$C$18,MATCH($A23,Cluster_Master!$B$4:$B$18,0)),"")</f>
        <v/>
      </c>
      <c r="D23" s="11">
        <f>IF($B$5="","",IFERROR(AVERAGEIFS(Weekly_Inspections!$AJ$4:$AJ$996,Weekly_Inspections!$F$4:$F$996,$A23,Weekly_Inspections!$C$4:$C$996,$B$5),""))</f>
        <v/>
      </c>
      <c r="E23" s="11">
        <f>IF($B$5="","",IFERROR(AVERAGEIFS(Weekly_Inspections!$AK$4:$AK$996,Weekly_Inspections!$F$4:$F$996,$A23,Weekly_Inspections!$C$4:$C$996,$B$5),""))</f>
        <v/>
      </c>
      <c r="F23" s="7">
        <f>IF($B$5="","",COUNTIFS(Weekly_Inspections!$F$4:$F$996,$A23,Weekly_Inspections!$C$4:$C$996,$B$5,Weekly_Inspections!$AL$4:$AL$996,"YES"))</f>
        <v/>
      </c>
      <c r="G23" s="11">
        <f>IF($B$6="","",IFERROR(AVERAGEIFS(Weekly_Inspections!$AJ$4:$AJ$996,Weekly_Inspections!$F$4:$F$996,$A23,Weekly_Inspections!$D$4:$D$996,$B$6),""))</f>
        <v/>
      </c>
      <c r="H23" s="11">
        <f>IF($B$6="","",IFERROR(AVERAGEIFS(Weekly_Inspections!$AK$4:$AK$996,Weekly_Inspections!$F$4:$F$996,$A23,Weekly_Inspections!$D$4:$D$996,$B$6),""))</f>
        <v/>
      </c>
      <c r="I23" s="7">
        <f>IF($B$6="","",COUNTIFS(Weekly_Inspections!$F$4:$F$996,$A23,Weekly_Inspections!$D$4:$D$996,$B$6,Weekly_Inspections!$AL$4:$AL$996,"YES"))</f>
        <v/>
      </c>
      <c r="J23" s="11">
        <f>IF(OR($B$6="",$B$7=""),"",IFERROR((G23-AVERAGEIFS(Weekly_Inspections!$AJ$4:$AJ$996,Weekly_Inspections!$F$4:$F$996,$A23,Weekly_Inspections!$D$4:$D$996,$B$7))/AVERAGEIFS(Weekly_Inspections!$AJ$4:$AJ$996,Weekly_Inspections!$F$4:$F$996,$A23,Weekly_Inspections!$D$4:$D$996,$B$7),""))</f>
        <v/>
      </c>
      <c r="K23" s="7">
        <f>IF(G23="","",IF(AND(I23=0,G23&gt;=0.75),"YES","NO"))</f>
        <v/>
      </c>
      <c r="L23" s="7">
        <f>IF(G23="","",RANK(G23,$G$10:$G$24,0))</f>
        <v/>
      </c>
    </row>
    <row r="24" ht="15" customHeight="1" s="45">
      <c r="A24" s="26" t="inlineStr">
        <is>
          <t>Cluster 2C</t>
        </is>
      </c>
      <c r="B24" s="7">
        <f>IFERROR(INDEX(Cluster_Master!$A$4:$A$18,MATCH($A24,Cluster_Master!$B$4:$B$18,0)),"")</f>
        <v/>
      </c>
      <c r="C24" s="7">
        <f>IFERROR(INDEX(Cluster_Master!$C$4:$C$18,MATCH($A24,Cluster_Master!$B$4:$B$18,0)),"")</f>
        <v/>
      </c>
      <c r="D24" s="11">
        <f>IF($B$5="","",IFERROR(AVERAGEIFS(Weekly_Inspections!$AJ$4:$AJ$996,Weekly_Inspections!$F$4:$F$996,$A24,Weekly_Inspections!$C$4:$C$996,$B$5),""))</f>
        <v/>
      </c>
      <c r="E24" s="11">
        <f>IF($B$5="","",IFERROR(AVERAGEIFS(Weekly_Inspections!$AK$4:$AK$996,Weekly_Inspections!$F$4:$F$996,$A24,Weekly_Inspections!$C$4:$C$996,$B$5),""))</f>
        <v/>
      </c>
      <c r="F24" s="7">
        <f>IF($B$5="","",COUNTIFS(Weekly_Inspections!$F$4:$F$996,$A24,Weekly_Inspections!$C$4:$C$996,$B$5,Weekly_Inspections!$AL$4:$AL$996,"YES"))</f>
        <v/>
      </c>
      <c r="G24" s="11">
        <f>IF($B$6="","",IFERROR(AVERAGEIFS(Weekly_Inspections!$AJ$4:$AJ$996,Weekly_Inspections!$F$4:$F$996,$A24,Weekly_Inspections!$D$4:$D$996,$B$6),""))</f>
        <v/>
      </c>
      <c r="H24" s="11">
        <f>IF($B$6="","",IFERROR(AVERAGEIFS(Weekly_Inspections!$AK$4:$AK$996,Weekly_Inspections!$F$4:$F$996,$A24,Weekly_Inspections!$D$4:$D$996,$B$6),""))</f>
        <v/>
      </c>
      <c r="I24" s="7">
        <f>IF($B$6="","",COUNTIFS(Weekly_Inspections!$F$4:$F$996,$A24,Weekly_Inspections!$D$4:$D$996,$B$6,Weekly_Inspections!$AL$4:$AL$996,"YES"))</f>
        <v/>
      </c>
      <c r="J24" s="11">
        <f>IF(OR($B$6="",$B$7=""),"",IFERROR((G24-AVERAGEIFS(Weekly_Inspections!$AJ$4:$AJ$996,Weekly_Inspections!$F$4:$F$996,$A24,Weekly_Inspections!$D$4:$D$996,$B$7))/AVERAGEIFS(Weekly_Inspections!$AJ$4:$AJ$996,Weekly_Inspections!$F$4:$F$996,$A24,Weekly_Inspections!$D$4:$D$996,$B$7),""))</f>
        <v/>
      </c>
      <c r="K24" s="7">
        <f>IF(G24="","",IF(AND(I24=0,G24&gt;=0.75),"YES","NO"))</f>
        <v/>
      </c>
      <c r="L24" s="7">
        <f>IF(G24="","",RANK(G24,$G$10:$G$24,0))</f>
        <v/>
      </c>
    </row>
    <row r="27" ht="15" customHeight="1" s="45">
      <c r="A27" s="4" t="inlineStr">
        <is>
          <t>KPI performance snapshot</t>
        </is>
      </c>
    </row>
    <row r="28" ht="33.75" customHeight="1" s="45">
      <c r="A28" s="5" t="inlineStr">
        <is>
          <t>KPI</t>
        </is>
      </c>
      <c r="B28" s="5" t="inlineStr">
        <is>
          <t>Selected Week Avg Score</t>
        </is>
      </c>
      <c r="C28" s="5" t="inlineStr">
        <is>
          <t>Selected Month Avg Score</t>
        </is>
      </c>
      <c r="D28" s="5" t="inlineStr">
        <is>
          <t>Gap to 5 (Week)</t>
        </is>
      </c>
      <c r="E28" s="5" t="inlineStr">
        <is>
          <t>Gap to 5 (Month)</t>
        </is>
      </c>
      <c r="F28" s="5" t="n"/>
      <c r="G28" s="5" t="inlineStr">
        <is>
          <t>Root Cause</t>
        </is>
      </c>
      <c r="H28" s="5" t="inlineStr">
        <is>
          <t>Selected Week Count</t>
        </is>
      </c>
      <c r="I28" s="5" t="inlineStr">
        <is>
          <t>Selected Month Count</t>
        </is>
      </c>
    </row>
    <row r="29" ht="15" customHeight="1" s="45">
      <c r="A29" s="26" t="inlineStr">
        <is>
          <t>Work at Height Control</t>
        </is>
      </c>
      <c r="B29" s="7">
        <f>IF($B$5="","",IFERROR(AVERAGEIFS(Weekly_Inspections!$T$4:$T$499,Weekly_Inspections!$C$4:$C$499,$B$5),""))</f>
        <v/>
      </c>
      <c r="C29" s="7">
        <f>IF($B$6="","",IFERROR(AVERAGEIFS(Weekly_Inspections!$T$4:$T$499,Weekly_Inspections!$D$4:$D$499,$B$6),""))</f>
        <v/>
      </c>
      <c r="D29" s="7">
        <f>IF(B29="","",5-B29)</f>
        <v/>
      </c>
      <c r="E29" s="7">
        <f>IF(C29="","",5-C29)</f>
        <v/>
      </c>
      <c r="G29" s="26" t="inlineStr">
        <is>
          <t>Leadership failure</t>
        </is>
      </c>
      <c r="H29" s="7">
        <f>IF($B$5="","",COUNTIFS(Weekly_Inspections!$AP$4:$AP$499,$G29,Weekly_Inspections!$C$4:$C$499,$B$5))</f>
        <v/>
      </c>
      <c r="I29" s="7">
        <f>IF($B$6="","",COUNTIFS(Weekly_Inspections!$AP$4:$AP$499,$G29,Weekly_Inspections!$D$4:$D$499,$B$6))</f>
        <v/>
      </c>
    </row>
    <row r="30" ht="15" customHeight="1" s="45">
      <c r="A30" s="26" t="inlineStr">
        <is>
          <t>Edge Protection</t>
        </is>
      </c>
      <c r="B30" s="7">
        <f>IF($B$5="","",IFERROR(AVERAGEIFS(Weekly_Inspections!$U$4:$U$499,Weekly_Inspections!$C$4:$C$499,$B$5),""))</f>
        <v/>
      </c>
      <c r="C30" s="7">
        <f>IF($B$6="","",IFERROR(AVERAGEIFS(Weekly_Inspections!$U$4:$U$499,Weekly_Inspections!$D$4:$D$499,$B$6),""))</f>
        <v/>
      </c>
      <c r="D30" s="7">
        <f>IF(B30="","",5-B30)</f>
        <v/>
      </c>
      <c r="E30" s="7">
        <f>IF(C30="","",5-C30)</f>
        <v/>
      </c>
      <c r="G30" s="26" t="inlineStr">
        <is>
          <t>Poor supervision</t>
        </is>
      </c>
      <c r="H30" s="7">
        <f>IF($B$5="","",COUNTIFS(Weekly_Inspections!$AP$4:$AP$499,$G30,Weekly_Inspections!$C$4:$C$499,$B$5))</f>
        <v/>
      </c>
      <c r="I30" s="7">
        <f>IF($B$6="","",COUNTIFS(Weekly_Inspections!$AP$4:$AP$499,$G30,Weekly_Inspections!$D$4:$D$499,$B$6))</f>
        <v/>
      </c>
    </row>
    <row r="31" ht="15" customHeight="1" s="45">
      <c r="A31" s="26" t="inlineStr">
        <is>
          <t>Falling Object Prevention</t>
        </is>
      </c>
      <c r="B31" s="7">
        <f>IF($B$5="","",IFERROR(AVERAGEIFS(Weekly_Inspections!$V$4:$V$499,Weekly_Inspections!$C$4:$C$499,$B$5),""))</f>
        <v/>
      </c>
      <c r="C31" s="7">
        <f>IF($B$6="","",IFERROR(AVERAGEIFS(Weekly_Inspections!$V$4:$V$499,Weekly_Inspections!$D$4:$D$499,$B$6),""))</f>
        <v/>
      </c>
      <c r="D31" s="7">
        <f>IF(B31="","",5-B31)</f>
        <v/>
      </c>
      <c r="E31" s="7">
        <f>IF(C31="","",5-C31)</f>
        <v/>
      </c>
      <c r="G31" s="26" t="inlineStr">
        <is>
          <t>Poor planning</t>
        </is>
      </c>
      <c r="H31" s="7">
        <f>IF($B$5="","",COUNTIFS(Weekly_Inspections!$AP$4:$AP$499,$G31,Weekly_Inspections!$C$4:$C$499,$B$5))</f>
        <v/>
      </c>
      <c r="I31" s="7">
        <f>IF($B$6="","",COUNTIFS(Weekly_Inspections!$AP$4:$AP$499,$G31,Weekly_Inspections!$D$4:$D$499,$B$6))</f>
        <v/>
      </c>
    </row>
    <row r="32" ht="15" customHeight="1" s="45">
      <c r="A32" s="26" t="inlineStr">
        <is>
          <t>Excavation Safety</t>
        </is>
      </c>
      <c r="B32" s="7">
        <f>IF($B$5="","",IFERROR(AVERAGEIFS(Weekly_Inspections!$W$4:$W$499,Weekly_Inspections!$C$4:$C$499,$B$5),""))</f>
        <v/>
      </c>
      <c r="C32" s="7">
        <f>IF($B$6="","",IFERROR(AVERAGEIFS(Weekly_Inspections!$W$4:$W$499,Weekly_Inspections!$D$4:$D$499,$B$6),""))</f>
        <v/>
      </c>
      <c r="D32" s="7">
        <f>IF(B32="","",5-B32)</f>
        <v/>
      </c>
      <c r="E32" s="7">
        <f>IF(C32="","",5-C32)</f>
        <v/>
      </c>
      <c r="G32" s="26" t="inlineStr">
        <is>
          <t>PTW failure</t>
        </is>
      </c>
      <c r="H32" s="7">
        <f>IF($B$5="","",COUNTIFS(Weekly_Inspections!$AP$4:$AP$499,$G32,Weekly_Inspections!$C$4:$C$499,$B$5))</f>
        <v/>
      </c>
      <c r="I32" s="7">
        <f>IF($B$6="","",COUNTIFS(Weekly_Inspections!$AP$4:$AP$499,$G32,Weekly_Inspections!$D$4:$D$499,$B$6))</f>
        <v/>
      </c>
    </row>
    <row r="33" ht="15" customHeight="1" s="45">
      <c r="A33" s="26" t="inlineStr">
        <is>
          <t>Scaffolding Compliance</t>
        </is>
      </c>
      <c r="B33" s="7">
        <f>IF($B$5="","",IFERROR(AVERAGEIFS(Weekly_Inspections!$X$4:$X$499,Weekly_Inspections!$C$4:$C$499,$B$5),""))</f>
        <v/>
      </c>
      <c r="C33" s="7">
        <f>IF($B$6="","",IFERROR(AVERAGEIFS(Weekly_Inspections!$X$4:$X$499,Weekly_Inspections!$D$4:$D$499,$B$6),""))</f>
        <v/>
      </c>
      <c r="D33" s="7">
        <f>IF(B33="","",5-B33)</f>
        <v/>
      </c>
      <c r="E33" s="7">
        <f>IF(C33="","",5-C33)</f>
        <v/>
      </c>
      <c r="G33" s="26" t="inlineStr">
        <is>
          <t>Weak MSRA</t>
        </is>
      </c>
      <c r="H33" s="7">
        <f>IF($B$5="","",COUNTIFS(Weekly_Inspections!$AP$4:$AP$499,$G33,Weekly_Inspections!$C$4:$C$499,$B$5))</f>
        <v/>
      </c>
      <c r="I33" s="7">
        <f>IF($B$6="","",COUNTIFS(Weekly_Inspections!$AP$4:$AP$499,$G33,Weekly_Inspections!$D$4:$D$499,$B$6))</f>
        <v/>
      </c>
    </row>
    <row r="34" ht="34.5" customHeight="1" s="45">
      <c r="A34" s="26" t="inlineStr">
        <is>
          <t>PTW Implementation</t>
        </is>
      </c>
      <c r="B34" s="7">
        <f>IF($B$5="","",IFERROR(AVERAGEIFS(Weekly_Inspections!$Y$4:$Y$499,Weekly_Inspections!$C$4:$C$499,$B$5),""))</f>
        <v/>
      </c>
      <c r="C34" s="7">
        <f>IF($B$6="","",IFERROR(AVERAGEIFS(Weekly_Inspections!$Y$4:$Y$499,Weekly_Inspections!$D$4:$D$499,$B$6),""))</f>
        <v/>
      </c>
      <c r="D34" s="7">
        <f>IF(B34="","",5-B34)</f>
        <v/>
      </c>
      <c r="E34" s="7">
        <f>IF(C34="","",5-C34)</f>
        <v/>
      </c>
      <c r="G34" s="26" t="inlineStr">
        <is>
          <t>Poor subcontractor control</t>
        </is>
      </c>
      <c r="H34" s="7">
        <f>IF($B$5="","",COUNTIFS(Weekly_Inspections!$AP$4:$AP$499,$G34,Weekly_Inspections!$C$4:$C$499,$B$5))</f>
        <v/>
      </c>
      <c r="I34" s="7">
        <f>IF($B$6="","",COUNTIFS(Weekly_Inspections!$AP$4:$AP$499,$G34,Weekly_Inspections!$D$4:$D$499,$B$6))</f>
        <v/>
      </c>
    </row>
    <row r="35" ht="23.25" customHeight="1" s="45">
      <c r="A35" s="26" t="inlineStr">
        <is>
          <t>PTW Field Verification</t>
        </is>
      </c>
      <c r="B35" s="7">
        <f>IF($B$5="","",IFERROR(AVERAGEIFS(Weekly_Inspections!$Z$4:$Z$499,Weekly_Inspections!$C$4:$C$499,$B$5),""))</f>
        <v/>
      </c>
      <c r="C35" s="7">
        <f>IF($B$6="","",IFERROR(AVERAGEIFS(Weekly_Inspections!$Z$4:$Z$499,Weekly_Inspections!$D$4:$D$499,$B$6),""))</f>
        <v/>
      </c>
      <c r="D35" s="7">
        <f>IF(B35="","",5-B35)</f>
        <v/>
      </c>
      <c r="E35" s="7">
        <f>IF(C35="","",5-C35)</f>
        <v/>
      </c>
      <c r="G35" s="26" t="inlineStr">
        <is>
          <t>Resource constraint</t>
        </is>
      </c>
      <c r="H35" s="7">
        <f>IF($B$5="","",COUNTIFS(Weekly_Inspections!$AP$4:$AP$499,$G35,Weekly_Inspections!$C$4:$C$499,$B$5))</f>
        <v/>
      </c>
      <c r="I35" s="7">
        <f>IF($B$6="","",COUNTIFS(Weekly_Inspections!$AP$4:$AP$499,$G35,Weekly_Inspections!$D$4:$D$499,$B$6))</f>
        <v/>
      </c>
    </row>
    <row r="36" ht="23.25" customHeight="1" s="45">
      <c r="A36" s="26" t="inlineStr">
        <is>
          <t>MSRA Quality</t>
        </is>
      </c>
      <c r="B36" s="7">
        <f>IF($B$5="","",IFERROR(AVERAGEIFS(Weekly_Inspections!$AA$4:$AA$499,Weekly_Inspections!$C$4:$C$499,$B$5),""))</f>
        <v/>
      </c>
      <c r="C36" s="7">
        <f>IF($B$6="","",IFERROR(AVERAGEIFS(Weekly_Inspections!$AA$4:$AA$499,Weekly_Inspections!$D$4:$D$499,$B$6),""))</f>
        <v/>
      </c>
      <c r="D36" s="7">
        <f>IF(B36="","",5-B36)</f>
        <v/>
      </c>
      <c r="E36" s="7">
        <f>IF(C36="","",5-C36)</f>
        <v/>
      </c>
      <c r="G36" s="26" t="inlineStr">
        <is>
          <t>Inadequate competence</t>
        </is>
      </c>
      <c r="H36" s="7">
        <f>IF($B$5="","",COUNTIFS(Weekly_Inspections!$AP$4:$AP$499,$G36,Weekly_Inspections!$C$4:$C$499,$B$5))</f>
        <v/>
      </c>
      <c r="I36" s="7">
        <f>IF($B$6="","",COUNTIFS(Weekly_Inspections!$AP$4:$AP$499,$G36,Weekly_Inspections!$D$4:$D$499,$B$6))</f>
        <v/>
      </c>
    </row>
    <row r="37" ht="34.5" customHeight="1" s="45">
      <c r="A37" s="26" t="inlineStr">
        <is>
          <t>Lifting/Precast Installation</t>
        </is>
      </c>
      <c r="B37" s="7">
        <f>IF($B$5="","",IFERROR(AVERAGEIFS(Weekly_Inspections!$AB$4:$AB$499,Weekly_Inspections!$C$4:$C$499,$B$5),""))</f>
        <v/>
      </c>
      <c r="C37" s="7">
        <f>IF($B$6="","",IFERROR(AVERAGEIFS(Weekly_Inspections!$AB$4:$AB$499,Weekly_Inspections!$D$4:$D$499,$B$6),""))</f>
        <v/>
      </c>
      <c r="D37" s="7">
        <f>IF(B37="","",5-B37)</f>
        <v/>
      </c>
      <c r="E37" s="7">
        <f>IF(C37="","",5-C37)</f>
        <v/>
      </c>
      <c r="G37" s="26" t="inlineStr">
        <is>
          <t>Poor housekeeping culture</t>
        </is>
      </c>
      <c r="H37" s="7">
        <f>IF($B$5="","",COUNTIFS(Weekly_Inspections!$AP$4:$AP$499,$G37,Weekly_Inspections!$C$4:$C$499,$B$5))</f>
        <v/>
      </c>
      <c r="I37" s="7">
        <f>IF($B$6="","",COUNTIFS(Weekly_Inspections!$AP$4:$AP$499,$G37,Weekly_Inspections!$D$4:$D$499,$B$6))</f>
        <v/>
      </c>
    </row>
    <row r="38" ht="34.5" customHeight="1" s="45">
      <c r="A38" s="26" t="inlineStr">
        <is>
          <t>Traffic &amp; Man-Machine Interface</t>
        </is>
      </c>
      <c r="B38" s="7">
        <f>IF($B$5="","",IFERROR(AVERAGEIFS(Weekly_Inspections!$AC$4:$AC$499,Weekly_Inspections!$C$4:$C$499,$B$5),""))</f>
        <v/>
      </c>
      <c r="C38" s="7">
        <f>IF($B$6="","",IFERROR(AVERAGEIFS(Weekly_Inspections!$AC$4:$AC$499,Weekly_Inspections!$D$4:$D$499,$B$6),""))</f>
        <v/>
      </c>
      <c r="D38" s="7">
        <f>IF(B38="","",5-B38)</f>
        <v/>
      </c>
      <c r="E38" s="7">
        <f>IF(C38="","",5-C38)</f>
        <v/>
      </c>
      <c r="G38" s="26" t="inlineStr">
        <is>
          <t>Interface / simultaneous activity conflict</t>
        </is>
      </c>
      <c r="H38" s="7">
        <f>IF($B$5="","",COUNTIFS(Weekly_Inspections!$AP$4:$AP$499,$G38,Weekly_Inspections!$C$4:$C$499,$B$5))</f>
        <v/>
      </c>
      <c r="I38" s="7">
        <f>IF($B$6="","",COUNTIFS(Weekly_Inspections!$AP$4:$AP$499,$G38,Weekly_Inspections!$D$4:$D$499,$B$6))</f>
        <v/>
      </c>
    </row>
    <row r="39" ht="15" customHeight="1" s="45">
      <c r="A39" s="26" t="inlineStr">
        <is>
          <t>Housekeeping/Waste Management</t>
        </is>
      </c>
      <c r="B39" s="7">
        <f>IF($B$5="","",IFERROR(AVERAGEIFS(Weekly_Inspections!$AD$4:$AD$499,Weekly_Inspections!$C$4:$C$499,$B$5),""))</f>
        <v/>
      </c>
      <c r="C39" s="7">
        <f>IF($B$6="","",IFERROR(AVERAGEIFS(Weekly_Inspections!$AD$4:$AD$499,Weekly_Inspections!$D$4:$D$499,$B$6),""))</f>
        <v/>
      </c>
      <c r="D39" s="7">
        <f>IF(B39="","",5-B39)</f>
        <v/>
      </c>
      <c r="E39" s="7">
        <f>IF(C39="","",5-C39)</f>
        <v/>
      </c>
      <c r="G39" s="26" t="inlineStr">
        <is>
          <t>Other</t>
        </is>
      </c>
      <c r="H39" s="7">
        <f>IF($B$5="","",COUNTIFS(Weekly_Inspections!$AP$4:$AP$499,$G39,Weekly_Inspections!$C$4:$C$499,$B$5))</f>
        <v/>
      </c>
      <c r="I39" s="7">
        <f>IF($B$6="","",COUNTIFS(Weekly_Inspections!$AP$4:$AP$499,$G39,Weekly_Inspections!$D$4:$D$499,$B$6))</f>
        <v/>
      </c>
    </row>
    <row r="40" ht="15" customHeight="1" s="45">
      <c r="A40" s="26" t="inlineStr">
        <is>
          <t>Welfare Arrangement</t>
        </is>
      </c>
      <c r="B40" s="7">
        <f>IF($B$5="","",IFERROR(AVERAGEIFS(Weekly_Inspections!$AE$4:$AE$499,Weekly_Inspections!$C$4:$C$499,$B$5),""))</f>
        <v/>
      </c>
      <c r="C40" s="7">
        <f>IF($B$6="","",IFERROR(AVERAGEIFS(Weekly_Inspections!$AE$4:$AE$499,Weekly_Inspections!$D$4:$D$499,$B$6),""))</f>
        <v/>
      </c>
      <c r="D40" s="7">
        <f>IF(B40="","",5-B40)</f>
        <v/>
      </c>
      <c r="E40" s="7">
        <f>IF(C40="","",5-C40)</f>
        <v/>
      </c>
    </row>
    <row r="41" ht="15" customHeight="1" s="45">
      <c r="A41" s="26" t="inlineStr">
        <is>
          <t>Fire Readiness</t>
        </is>
      </c>
      <c r="B41" s="7">
        <f>IF($B$5="","",IFERROR(AVERAGEIFS(Weekly_Inspections!$AF$4:$AF$499,Weekly_Inspections!$C$4:$C$499,$B$5),""))</f>
        <v/>
      </c>
      <c r="C41" s="7">
        <f>IF($B$6="","",IFERROR(AVERAGEIFS(Weekly_Inspections!$AF$4:$AF$499,Weekly_Inspections!$D$4:$D$499,$B$6),""))</f>
        <v/>
      </c>
      <c r="D41" s="7">
        <f>IF(B41="","",5-B41)</f>
        <v/>
      </c>
      <c r="E41" s="7">
        <f>IF(C41="","",5-C41)</f>
        <v/>
      </c>
    </row>
    <row r="42" ht="23.25" customHeight="1" s="45">
      <c r="A42" s="26" t="inlineStr">
        <is>
          <t>Supervision &amp; Subcontractor Control</t>
        </is>
      </c>
      <c r="B42" s="7">
        <f>IF($B$5="","",IFERROR(AVERAGEIFS(Weekly_Inspections!$AG$4:$AG$499,Weekly_Inspections!$C$4:$C$499,$B$5),""))</f>
        <v/>
      </c>
      <c r="C42" s="7">
        <f>IF($B$6="","",IFERROR(AVERAGEIFS(Weekly_Inspections!$AG$4:$AG$499,Weekly_Inspections!$D$4:$D$499,$B$6),""))</f>
        <v/>
      </c>
      <c r="D42" s="7">
        <f>IF(B42="","",5-B42)</f>
        <v/>
      </c>
      <c r="E42" s="7">
        <f>IF(C42="","",5-C42)</f>
        <v/>
      </c>
    </row>
    <row r="43" ht="23.25" customHeight="1" s="45">
      <c r="A43" s="26" t="inlineStr">
        <is>
          <t>Temporary Electrical &amp; Tool Safety</t>
        </is>
      </c>
      <c r="B43" s="7">
        <f>IF($B$5="","",IFERROR(AVERAGEIFS(Weekly_Inspections!$AH$4:$AH$499,Weekly_Inspections!$C$4:$C$499,$B$5),""))</f>
        <v/>
      </c>
      <c r="C43" s="7">
        <f>IF($B$6="","",IFERROR(AVERAGEIFS(Weekly_Inspections!$AH$4:$AH$499,Weekly_Inspections!$D$4:$D$499,$B$6),""))</f>
        <v/>
      </c>
      <c r="D43" s="7">
        <f>IF(B43="","",5-B43)</f>
        <v/>
      </c>
      <c r="E43" s="7">
        <f>IF(C43="","",5-C43)</f>
        <v/>
      </c>
    </row>
  </sheetData>
  <mergeCells count="2">
    <mergeCell ref="A2:L2"/>
    <mergeCell ref="A1:L1"/>
  </mergeCells>
  <conditionalFormatting sqref="D10:H24">
    <cfRule type="colorScale" priority="2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conditionalFormatting sqref="I10:I24">
    <cfRule type="cellIs" priority="4" operator="greaterThan" dxfId="2">
      <formula>0</formula>
    </cfRule>
  </conditionalFormatting>
  <conditionalFormatting sqref="K10:K24">
    <cfRule type="expression" priority="3" dxfId="1">
      <formula>K10="YES"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ColWidth="8.6328125" defaultRowHeight="15"/>
  <cols>
    <col width="20" customWidth="1" style="45" min="1" max="1"/>
    <col width="10" customWidth="1" style="45" min="2" max="2"/>
    <col width="14" customWidth="1" style="45" min="3" max="4"/>
    <col width="16" customWidth="1" style="45" min="5" max="5"/>
    <col width="10" customWidth="1" style="45" min="6" max="6"/>
    <col width="16" customWidth="1" style="45" min="7" max="7"/>
    <col width="12" customWidth="1" style="45" min="8" max="8"/>
    <col width="8" customWidth="1" style="45" min="9" max="9"/>
    <col width="12" customWidth="1" style="45" min="10" max="10"/>
    <col width="14" customWidth="1" style="45" min="11" max="11"/>
    <col width="14" customWidth="1" style="45" min="13" max="20"/>
  </cols>
  <sheetData>
    <row r="1" ht="21.75" customHeight="1" s="45">
      <c r="A1" s="34" t="inlineStr">
        <is>
          <t>Monthly Dashboard</t>
        </is>
      </c>
    </row>
    <row r="2" ht="21.75" customHeight="1" s="45">
      <c r="A2" s="35" t="inlineStr">
        <is>
          <t>Set the selected month and previous month in blue-font cells. Use this view for monthly recognition and improvement review.</t>
        </is>
      </c>
    </row>
    <row r="3" ht="21.75" customHeight="1" s="45"/>
    <row r="4" ht="21.75" customHeight="1" s="45">
      <c r="A4" s="24" t="inlineStr">
        <is>
          <t>Selected Month (yyyy-mm)</t>
        </is>
      </c>
      <c r="B4" s="27">
        <f>IFERROR(LOOKUP(2,1/(Weekly_Inspections!$D$4:$D$996&lt;&gt;""),Weekly_Inspections!$D$4:$D$996),"")</f>
        <v/>
      </c>
    </row>
    <row r="5" ht="15" customHeight="1" s="45">
      <c r="A5" s="24" t="inlineStr">
        <is>
          <t>Previous Month (yyyy-mm)</t>
        </is>
      </c>
      <c r="B5" s="27">
        <f>IF($B$4="","",TEXT(EDATE(DATE(VALUE(LEFT($B$4,4)),VALUE(RIGHT($B$4,2)),1),-1),"yyyy-mm"))</f>
        <v/>
      </c>
    </row>
    <row r="7" ht="33.75" customHeight="1" s="45">
      <c r="A7" s="5" t="inlineStr">
        <is>
          <t>Cluster</t>
        </is>
      </c>
      <c r="B7" s="5" t="inlineStr">
        <is>
          <t>Package</t>
        </is>
      </c>
      <c r="C7" s="5" t="inlineStr">
        <is>
          <t>Contractor</t>
        </is>
      </c>
      <c r="D7" s="5" t="inlineStr">
        <is>
          <t>Month Avg Raw %</t>
        </is>
      </c>
      <c r="E7" s="5" t="inlineStr">
        <is>
          <t>Month Avg Weighted %</t>
        </is>
      </c>
      <c r="F7" s="5" t="inlineStr">
        <is>
          <t>Red Flags</t>
        </is>
      </c>
      <c r="G7" s="5" t="inlineStr">
        <is>
          <t>Improvement vs Prev Month</t>
        </is>
      </c>
      <c r="H7" s="5" t="inlineStr">
        <is>
          <t>Award Eligible</t>
        </is>
      </c>
      <c r="I7" s="5" t="inlineStr">
        <is>
          <t>Rank</t>
        </is>
      </c>
      <c r="J7" s="5" t="inlineStr">
        <is>
          <t>Open Actions</t>
        </is>
      </c>
      <c r="K7" s="5" t="inlineStr">
        <is>
          <t>Overdue Actions</t>
        </is>
      </c>
    </row>
    <row r="8" ht="15" customHeight="1" s="45">
      <c r="A8" s="26" t="inlineStr">
        <is>
          <t>Cluster 7A</t>
        </is>
      </c>
      <c r="B8" s="7">
        <f>IFERROR(INDEX(Cluster_Master!$A$4:$A$18,MATCH($A8,Cluster_Master!$B$4:$B$18,0)),"")</f>
        <v/>
      </c>
      <c r="C8" s="7">
        <f>IFERROR(INDEX(Cluster_Master!$C$4:$C$18,MATCH($A8,Cluster_Master!$B$4:$B$18,0)),"")</f>
        <v/>
      </c>
      <c r="D8" s="11">
        <f>IF($B$4="","",IFERROR(AVERAGEIFS(Weekly_Inspections!$AJ$4:$AJ$996,Weekly_Inspections!$F$4:$F$996,$A8,Weekly_Inspections!$D$4:$D$996,$B$4),""))</f>
        <v/>
      </c>
      <c r="E8" s="11">
        <f>IF($B$4="","",IFERROR(AVERAGEIFS(Weekly_Inspections!$AK$4:$AK$996,Weekly_Inspections!$F$4:$F$996,$A8,Weekly_Inspections!$D$4:$D$996,$B$4),""))</f>
        <v/>
      </c>
      <c r="F8" s="7">
        <f>IF($B$4="","",COUNTIFS(Weekly_Inspections!$F$4:$F$996,$A8,Weekly_Inspections!$D$4:$D$996,$B$4,Weekly_Inspections!$AL$4:$AL$996,"YES"))</f>
        <v/>
      </c>
      <c r="G8" s="11">
        <f>IF(OR($B$4="",$B$5=""),"",IFERROR((D8-AVERAGEIFS(Weekly_Inspections!$AJ$4:$AJ$996,Weekly_Inspections!$F$4:$F$996,$A8,Weekly_Inspections!$D$4:$D$996,$B$5))/AVERAGEIFS(Weekly_Inspections!$AJ$4:$AJ$996,Weekly_Inspections!$F$4:$F$996,$A8,Weekly_Inspections!$D$4:$D$996,$B$5),""))</f>
        <v/>
      </c>
      <c r="H8" s="7">
        <f>IF(D8="","",IF(AND(F8=0,D8&gt;=0.75),"YES","NO"))</f>
        <v/>
      </c>
      <c r="I8" s="7">
        <f>IF(D8="","",RANK(D8,$D$8:$D$22,0))</f>
        <v/>
      </c>
      <c r="J8" s="7">
        <f>COUNTIFS(CAPA_Tracker!$D$4:$D$996,$A8,CAPA_Tracker!$M$4:$M$996,"&lt;&gt;Closed",CAPA_Tracker!$M$4:$M$996,"&lt;&gt;")</f>
        <v/>
      </c>
      <c r="K8" s="7">
        <f>COUNTIFS(CAPA_Tracker!$D$4:$D$996,$A8,CAPA_Tracker!$P$4:$P$996,"YES")</f>
        <v/>
      </c>
    </row>
    <row r="9" ht="15" customHeight="1" s="45">
      <c r="A9" s="26" t="inlineStr">
        <is>
          <t>Cluster 7B</t>
        </is>
      </c>
      <c r="B9" s="7">
        <f>IFERROR(INDEX(Cluster_Master!$A$4:$A$18,MATCH($A9,Cluster_Master!$B$4:$B$18,0)),"")</f>
        <v/>
      </c>
      <c r="C9" s="7">
        <f>IFERROR(INDEX(Cluster_Master!$C$4:$C$18,MATCH($A9,Cluster_Master!$B$4:$B$18,0)),"")</f>
        <v/>
      </c>
      <c r="D9" s="11">
        <f>IF($B$4="","",IFERROR(AVERAGEIFS(Weekly_Inspections!$AJ$4:$AJ$996,Weekly_Inspections!$F$4:$F$996,$A9,Weekly_Inspections!$D$4:$D$996,$B$4),""))</f>
        <v/>
      </c>
      <c r="E9" s="11">
        <f>IF($B$4="","",IFERROR(AVERAGEIFS(Weekly_Inspections!$AK$4:$AK$996,Weekly_Inspections!$F$4:$F$996,$A9,Weekly_Inspections!$D$4:$D$996,$B$4),""))</f>
        <v/>
      </c>
      <c r="F9" s="7">
        <f>IF($B$4="","",COUNTIFS(Weekly_Inspections!$F$4:$F$996,$A9,Weekly_Inspections!$D$4:$D$996,$B$4,Weekly_Inspections!$AL$4:$AL$996,"YES"))</f>
        <v/>
      </c>
      <c r="G9" s="11">
        <f>IF(OR($B$4="",$B$5=""),"",IFERROR((D9-AVERAGEIFS(Weekly_Inspections!$AJ$4:$AJ$996,Weekly_Inspections!$F$4:$F$996,$A9,Weekly_Inspections!$D$4:$D$996,$B$5))/AVERAGEIFS(Weekly_Inspections!$AJ$4:$AJ$996,Weekly_Inspections!$F$4:$F$996,$A9,Weekly_Inspections!$D$4:$D$996,$B$5),""))</f>
        <v/>
      </c>
      <c r="H9" s="7">
        <f>IF(D9="","",IF(AND(F9=0,D9&gt;=0.75),"YES","NO"))</f>
        <v/>
      </c>
      <c r="I9" s="7">
        <f>IF(D9="","",RANK(D9,$D$8:$D$22,0))</f>
        <v/>
      </c>
      <c r="J9" s="7">
        <f>COUNTIFS(CAPA_Tracker!$D$4:$D$996,$A9,CAPA_Tracker!$M$4:$M$996,"&lt;&gt;Closed",CAPA_Tracker!$M$4:$M$996,"&lt;&gt;")</f>
        <v/>
      </c>
      <c r="K9" s="7">
        <f>COUNTIFS(CAPA_Tracker!$D$4:$D$996,$A9,CAPA_Tracker!$P$4:$P$996,"YES")</f>
        <v/>
      </c>
    </row>
    <row r="10" ht="15" customHeight="1" s="45">
      <c r="A10" s="26" t="inlineStr">
        <is>
          <t>Cluster 8A</t>
        </is>
      </c>
      <c r="B10" s="7">
        <f>IFERROR(INDEX(Cluster_Master!$A$4:$A$18,MATCH($A10,Cluster_Master!$B$4:$B$18,0)),"")</f>
        <v/>
      </c>
      <c r="C10" s="7">
        <f>IFERROR(INDEX(Cluster_Master!$C$4:$C$18,MATCH($A10,Cluster_Master!$B$4:$B$18,0)),"")</f>
        <v/>
      </c>
      <c r="D10" s="11">
        <f>IF($B$4="","",IFERROR(AVERAGEIFS(Weekly_Inspections!$AJ$4:$AJ$996,Weekly_Inspections!$F$4:$F$996,$A10,Weekly_Inspections!$D$4:$D$996,$B$4),""))</f>
        <v/>
      </c>
      <c r="E10" s="11">
        <f>IF($B$4="","",IFERROR(AVERAGEIFS(Weekly_Inspections!$AK$4:$AK$996,Weekly_Inspections!$F$4:$F$996,$A10,Weekly_Inspections!$D$4:$D$996,$B$4),""))</f>
        <v/>
      </c>
      <c r="F10" s="7">
        <f>IF($B$4="","",COUNTIFS(Weekly_Inspections!$F$4:$F$996,$A10,Weekly_Inspections!$D$4:$D$996,$B$4,Weekly_Inspections!$AL$4:$AL$996,"YES"))</f>
        <v/>
      </c>
      <c r="G10" s="11">
        <f>IF(OR($B$4="",$B$5=""),"",IFERROR((D10-AVERAGEIFS(Weekly_Inspections!$AJ$4:$AJ$996,Weekly_Inspections!$F$4:$F$996,$A10,Weekly_Inspections!$D$4:$D$996,$B$5))/AVERAGEIFS(Weekly_Inspections!$AJ$4:$AJ$996,Weekly_Inspections!$F$4:$F$996,$A10,Weekly_Inspections!$D$4:$D$996,$B$5),""))</f>
        <v/>
      </c>
      <c r="H10" s="7">
        <f>IF(D10="","",IF(AND(F10=0,D10&gt;=0.75),"YES","NO"))</f>
        <v/>
      </c>
      <c r="I10" s="7">
        <f>IF(D10="","",RANK(D10,$D$8:$D$22,0))</f>
        <v/>
      </c>
      <c r="J10" s="7">
        <f>COUNTIFS(CAPA_Tracker!$D$4:$D$996,$A10,CAPA_Tracker!$M$4:$M$996,"&lt;&gt;Closed",CAPA_Tracker!$M$4:$M$996,"&lt;&gt;")</f>
        <v/>
      </c>
      <c r="K10" s="7">
        <f>COUNTIFS(CAPA_Tracker!$D$4:$D$996,$A10,CAPA_Tracker!$P$4:$P$996,"YES")</f>
        <v/>
      </c>
    </row>
    <row r="11" ht="15" customHeight="1" s="45">
      <c r="A11" s="26" t="inlineStr">
        <is>
          <t>Cluster 8B</t>
        </is>
      </c>
      <c r="B11" s="7">
        <f>IFERROR(INDEX(Cluster_Master!$A$4:$A$18,MATCH($A11,Cluster_Master!$B$4:$B$18,0)),"")</f>
        <v/>
      </c>
      <c r="C11" s="7">
        <f>IFERROR(INDEX(Cluster_Master!$C$4:$C$18,MATCH($A11,Cluster_Master!$B$4:$B$18,0)),"")</f>
        <v/>
      </c>
      <c r="D11" s="11">
        <f>IF($B$4="","",IFERROR(AVERAGEIFS(Weekly_Inspections!$AJ$4:$AJ$996,Weekly_Inspections!$F$4:$F$996,$A11,Weekly_Inspections!$D$4:$D$996,$B$4),""))</f>
        <v/>
      </c>
      <c r="E11" s="11">
        <f>IF($B$4="","",IFERROR(AVERAGEIFS(Weekly_Inspections!$AK$4:$AK$996,Weekly_Inspections!$F$4:$F$996,$A11,Weekly_Inspections!$D$4:$D$996,$B$4),""))</f>
        <v/>
      </c>
      <c r="F11" s="7">
        <f>IF($B$4="","",COUNTIFS(Weekly_Inspections!$F$4:$F$996,$A11,Weekly_Inspections!$D$4:$D$996,$B$4,Weekly_Inspections!$AL$4:$AL$996,"YES"))</f>
        <v/>
      </c>
      <c r="G11" s="11">
        <f>IF(OR($B$4="",$B$5=""),"",IFERROR((D11-AVERAGEIFS(Weekly_Inspections!$AJ$4:$AJ$996,Weekly_Inspections!$F$4:$F$996,$A11,Weekly_Inspections!$D$4:$D$996,$B$5))/AVERAGEIFS(Weekly_Inspections!$AJ$4:$AJ$996,Weekly_Inspections!$F$4:$F$996,$A11,Weekly_Inspections!$D$4:$D$996,$B$5),""))</f>
        <v/>
      </c>
      <c r="H11" s="7">
        <f>IF(D11="","",IF(AND(F11=0,D11&gt;=0.75),"YES","NO"))</f>
        <v/>
      </c>
      <c r="I11" s="7">
        <f>IF(D11="","",RANK(D11,$D$8:$D$22,0))</f>
        <v/>
      </c>
      <c r="J11" s="7">
        <f>COUNTIFS(CAPA_Tracker!$D$4:$D$996,$A11,CAPA_Tracker!$M$4:$M$996,"&lt;&gt;Closed",CAPA_Tracker!$M$4:$M$996,"&lt;&gt;")</f>
        <v/>
      </c>
      <c r="K11" s="7">
        <f>COUNTIFS(CAPA_Tracker!$D$4:$D$996,$A11,CAPA_Tracker!$P$4:$P$996,"YES")</f>
        <v/>
      </c>
    </row>
    <row r="12" ht="15" customHeight="1" s="45">
      <c r="A12" s="26" t="inlineStr">
        <is>
          <t>Cluster 8C</t>
        </is>
      </c>
      <c r="B12" s="7">
        <f>IFERROR(INDEX(Cluster_Master!$A$4:$A$18,MATCH($A12,Cluster_Master!$B$4:$B$18,0)),"")</f>
        <v/>
      </c>
      <c r="C12" s="7">
        <f>IFERROR(INDEX(Cluster_Master!$C$4:$C$18,MATCH($A12,Cluster_Master!$B$4:$B$18,0)),"")</f>
        <v/>
      </c>
      <c r="D12" s="11">
        <f>IF($B$4="","",IFERROR(AVERAGEIFS(Weekly_Inspections!$AJ$4:$AJ$996,Weekly_Inspections!$F$4:$F$996,$A12,Weekly_Inspections!$D$4:$D$996,$B$4),""))</f>
        <v/>
      </c>
      <c r="E12" s="11">
        <f>IF($B$4="","",IFERROR(AVERAGEIFS(Weekly_Inspections!$AK$4:$AK$996,Weekly_Inspections!$F$4:$F$996,$A12,Weekly_Inspections!$D$4:$D$996,$B$4),""))</f>
        <v/>
      </c>
      <c r="F12" s="7">
        <f>IF($B$4="","",COUNTIFS(Weekly_Inspections!$F$4:$F$996,$A12,Weekly_Inspections!$D$4:$D$996,$B$4,Weekly_Inspections!$AL$4:$AL$996,"YES"))</f>
        <v/>
      </c>
      <c r="G12" s="11">
        <f>IF(OR($B$4="",$B$5=""),"",IFERROR((D12-AVERAGEIFS(Weekly_Inspections!$AJ$4:$AJ$996,Weekly_Inspections!$F$4:$F$996,$A12,Weekly_Inspections!$D$4:$D$996,$B$5))/AVERAGEIFS(Weekly_Inspections!$AJ$4:$AJ$996,Weekly_Inspections!$F$4:$F$996,$A12,Weekly_Inspections!$D$4:$D$996,$B$5),""))</f>
        <v/>
      </c>
      <c r="H12" s="7">
        <f>IF(D12="","",IF(AND(F12=0,D12&gt;=0.75),"YES","NO"))</f>
        <v/>
      </c>
      <c r="I12" s="7">
        <f>IF(D12="","",RANK(D12,$D$8:$D$22,0))</f>
        <v/>
      </c>
      <c r="J12" s="7">
        <f>COUNTIFS(CAPA_Tracker!$D$4:$D$996,$A12,CAPA_Tracker!$M$4:$M$996,"&lt;&gt;Closed",CAPA_Tracker!$M$4:$M$996,"&lt;&gt;")</f>
        <v/>
      </c>
      <c r="K12" s="7">
        <f>COUNTIFS(CAPA_Tracker!$D$4:$D$996,$A12,CAPA_Tracker!$P$4:$P$996,"YES")</f>
        <v/>
      </c>
    </row>
    <row r="13" ht="15" customHeight="1" s="45">
      <c r="A13" s="26" t="inlineStr">
        <is>
          <t>Cluster 8D</t>
        </is>
      </c>
      <c r="B13" s="7">
        <f>IFERROR(INDEX(Cluster_Master!$A$4:$A$18,MATCH($A13,Cluster_Master!$B$4:$B$18,0)),"")</f>
        <v/>
      </c>
      <c r="C13" s="7">
        <f>IFERROR(INDEX(Cluster_Master!$C$4:$C$18,MATCH($A13,Cluster_Master!$B$4:$B$18,0)),"")</f>
        <v/>
      </c>
      <c r="D13" s="11">
        <f>IF($B$4="","",IFERROR(AVERAGEIFS(Weekly_Inspections!$AJ$4:$AJ$996,Weekly_Inspections!$F$4:$F$996,$A13,Weekly_Inspections!$D$4:$D$996,$B$4),""))</f>
        <v/>
      </c>
      <c r="E13" s="11">
        <f>IF($B$4="","",IFERROR(AVERAGEIFS(Weekly_Inspections!$AK$4:$AK$996,Weekly_Inspections!$F$4:$F$996,$A13,Weekly_Inspections!$D$4:$D$996,$B$4),""))</f>
        <v/>
      </c>
      <c r="F13" s="7">
        <f>IF($B$4="","",COUNTIFS(Weekly_Inspections!$F$4:$F$996,$A13,Weekly_Inspections!$D$4:$D$996,$B$4,Weekly_Inspections!$AL$4:$AL$996,"YES"))</f>
        <v/>
      </c>
      <c r="G13" s="11">
        <f>IF(OR($B$4="",$B$5=""),"",IFERROR((D13-AVERAGEIFS(Weekly_Inspections!$AJ$4:$AJ$996,Weekly_Inspections!$F$4:$F$996,$A13,Weekly_Inspections!$D$4:$D$996,$B$5))/AVERAGEIFS(Weekly_Inspections!$AJ$4:$AJ$996,Weekly_Inspections!$F$4:$F$996,$A13,Weekly_Inspections!$D$4:$D$996,$B$5),""))</f>
        <v/>
      </c>
      <c r="H13" s="7">
        <f>IF(D13="","",IF(AND(F13=0,D13&gt;=0.75),"YES","NO"))</f>
        <v/>
      </c>
      <c r="I13" s="7">
        <f>IF(D13="","",RANK(D13,$D$8:$D$22,0))</f>
        <v/>
      </c>
      <c r="J13" s="7">
        <f>COUNTIFS(CAPA_Tracker!$D$4:$D$996,$A13,CAPA_Tracker!$M$4:$M$996,"&lt;&gt;Closed",CAPA_Tracker!$M$4:$M$996,"&lt;&gt;")</f>
        <v/>
      </c>
      <c r="K13" s="7">
        <f>COUNTIFS(CAPA_Tracker!$D$4:$D$996,$A13,CAPA_Tracker!$P$4:$P$996,"YES")</f>
        <v/>
      </c>
    </row>
    <row r="14" ht="15" customHeight="1" s="45">
      <c r="A14" s="26" t="inlineStr">
        <is>
          <t>Cluster 3</t>
        </is>
      </c>
      <c r="B14" s="7">
        <f>IFERROR(INDEX(Cluster_Master!$A$4:$A$18,MATCH($A14,Cluster_Master!$B$4:$B$18,0)),"")</f>
        <v/>
      </c>
      <c r="C14" s="7">
        <f>IFERROR(INDEX(Cluster_Master!$C$4:$C$18,MATCH($A14,Cluster_Master!$B$4:$B$18,0)),"")</f>
        <v/>
      </c>
      <c r="D14" s="11">
        <f>IF($B$4="","",IFERROR(AVERAGEIFS(Weekly_Inspections!$AJ$4:$AJ$996,Weekly_Inspections!$F$4:$F$996,$A14,Weekly_Inspections!$D$4:$D$996,$B$4),""))</f>
        <v/>
      </c>
      <c r="E14" s="11">
        <f>IF($B$4="","",IFERROR(AVERAGEIFS(Weekly_Inspections!$AK$4:$AK$996,Weekly_Inspections!$F$4:$F$996,$A14,Weekly_Inspections!$D$4:$D$996,$B$4),""))</f>
        <v/>
      </c>
      <c r="F14" s="7">
        <f>IF($B$4="","",COUNTIFS(Weekly_Inspections!$F$4:$F$996,$A14,Weekly_Inspections!$D$4:$D$996,$B$4,Weekly_Inspections!$AL$4:$AL$996,"YES"))</f>
        <v/>
      </c>
      <c r="G14" s="11">
        <f>IF(OR($B$4="",$B$5=""),"",IFERROR((D14-AVERAGEIFS(Weekly_Inspections!$AJ$4:$AJ$996,Weekly_Inspections!$F$4:$F$996,$A14,Weekly_Inspections!$D$4:$D$996,$B$5))/AVERAGEIFS(Weekly_Inspections!$AJ$4:$AJ$996,Weekly_Inspections!$F$4:$F$996,$A14,Weekly_Inspections!$D$4:$D$996,$B$5),""))</f>
        <v/>
      </c>
      <c r="H14" s="7">
        <f>IF(D14="","",IF(AND(F14=0,D14&gt;=0.75),"YES","NO"))</f>
        <v/>
      </c>
      <c r="I14" s="7">
        <f>IF(D14="","",RANK(D14,$D$8:$D$22,0))</f>
        <v/>
      </c>
      <c r="J14" s="7">
        <f>COUNTIFS(CAPA_Tracker!$D$4:$D$996,$A14,CAPA_Tracker!$M$4:$M$996,"&lt;&gt;Closed",CAPA_Tracker!$M$4:$M$996,"&lt;&gt;")</f>
        <v/>
      </c>
      <c r="K14" s="7">
        <f>COUNTIFS(CAPA_Tracker!$D$4:$D$996,$A14,CAPA_Tracker!$P$4:$P$996,"YES")</f>
        <v/>
      </c>
    </row>
    <row r="15" ht="15" customHeight="1" s="45">
      <c r="A15" s="26" t="inlineStr">
        <is>
          <t>Cluster 4</t>
        </is>
      </c>
      <c r="B15" s="7">
        <f>IFERROR(INDEX(Cluster_Master!$A$4:$A$18,MATCH($A15,Cluster_Master!$B$4:$B$18,0)),"")</f>
        <v/>
      </c>
      <c r="C15" s="7">
        <f>IFERROR(INDEX(Cluster_Master!$C$4:$C$18,MATCH($A15,Cluster_Master!$B$4:$B$18,0)),"")</f>
        <v/>
      </c>
      <c r="D15" s="11">
        <f>IF($B$4="","",IFERROR(AVERAGEIFS(Weekly_Inspections!$AJ$4:$AJ$996,Weekly_Inspections!$F$4:$F$996,$A15,Weekly_Inspections!$D$4:$D$996,$B$4),""))</f>
        <v/>
      </c>
      <c r="E15" s="11">
        <f>IF($B$4="","",IFERROR(AVERAGEIFS(Weekly_Inspections!$AK$4:$AK$996,Weekly_Inspections!$F$4:$F$996,$A15,Weekly_Inspections!$D$4:$D$996,$B$4),""))</f>
        <v/>
      </c>
      <c r="F15" s="7">
        <f>IF($B$4="","",COUNTIFS(Weekly_Inspections!$F$4:$F$996,$A15,Weekly_Inspections!$D$4:$D$996,$B$4,Weekly_Inspections!$AL$4:$AL$996,"YES"))</f>
        <v/>
      </c>
      <c r="G15" s="11">
        <f>IF(OR($B$4="",$B$5=""),"",IFERROR((D15-AVERAGEIFS(Weekly_Inspections!$AJ$4:$AJ$996,Weekly_Inspections!$F$4:$F$996,$A15,Weekly_Inspections!$D$4:$D$996,$B$5))/AVERAGEIFS(Weekly_Inspections!$AJ$4:$AJ$996,Weekly_Inspections!$F$4:$F$996,$A15,Weekly_Inspections!$D$4:$D$996,$B$5),""))</f>
        <v/>
      </c>
      <c r="H15" s="7">
        <f>IF(D15="","",IF(AND(F15=0,D15&gt;=0.75),"YES","NO"))</f>
        <v/>
      </c>
      <c r="I15" s="7">
        <f>IF(D15="","",RANK(D15,$D$8:$D$22,0))</f>
        <v/>
      </c>
      <c r="J15" s="7">
        <f>COUNTIFS(CAPA_Tracker!$D$4:$D$996,$A15,CAPA_Tracker!$M$4:$M$996,"&lt;&gt;Closed",CAPA_Tracker!$M$4:$M$996,"&lt;&gt;")</f>
        <v/>
      </c>
      <c r="K15" s="7">
        <f>COUNTIFS(CAPA_Tracker!$D$4:$D$996,$A15,CAPA_Tracker!$P$4:$P$996,"YES")</f>
        <v/>
      </c>
    </row>
    <row r="16" ht="15" customHeight="1" s="45">
      <c r="A16" s="26" t="inlineStr">
        <is>
          <t>Cluster 5</t>
        </is>
      </c>
      <c r="B16" s="7">
        <f>IFERROR(INDEX(Cluster_Master!$A$4:$A$18,MATCH($A16,Cluster_Master!$B$4:$B$18,0)),"")</f>
        <v/>
      </c>
      <c r="C16" s="7">
        <f>IFERROR(INDEX(Cluster_Master!$C$4:$C$18,MATCH($A16,Cluster_Master!$B$4:$B$18,0)),"")</f>
        <v/>
      </c>
      <c r="D16" s="11">
        <f>IF($B$4="","",IFERROR(AVERAGEIFS(Weekly_Inspections!$AJ$4:$AJ$996,Weekly_Inspections!$F$4:$F$996,$A16,Weekly_Inspections!$D$4:$D$996,$B$4),""))</f>
        <v/>
      </c>
      <c r="E16" s="11">
        <f>IF($B$4="","",IFERROR(AVERAGEIFS(Weekly_Inspections!$AK$4:$AK$996,Weekly_Inspections!$F$4:$F$996,$A16,Weekly_Inspections!$D$4:$D$996,$B$4),""))</f>
        <v/>
      </c>
      <c r="F16" s="7">
        <f>IF($B$4="","",COUNTIFS(Weekly_Inspections!$F$4:$F$996,$A16,Weekly_Inspections!$D$4:$D$996,$B$4,Weekly_Inspections!$AL$4:$AL$996,"YES"))</f>
        <v/>
      </c>
      <c r="G16" s="11">
        <f>IF(OR($B$4="",$B$5=""),"",IFERROR((D16-AVERAGEIFS(Weekly_Inspections!$AJ$4:$AJ$996,Weekly_Inspections!$F$4:$F$996,$A16,Weekly_Inspections!$D$4:$D$996,$B$5))/AVERAGEIFS(Weekly_Inspections!$AJ$4:$AJ$996,Weekly_Inspections!$F$4:$F$996,$A16,Weekly_Inspections!$D$4:$D$996,$B$5),""))</f>
        <v/>
      </c>
      <c r="H16" s="7">
        <f>IF(D16="","",IF(AND(F16=0,D16&gt;=0.75),"YES","NO"))</f>
        <v/>
      </c>
      <c r="I16" s="7">
        <f>IF(D16="","",RANK(D16,$D$8:$D$22,0))</f>
        <v/>
      </c>
      <c r="J16" s="7">
        <f>COUNTIFS(CAPA_Tracker!$D$4:$D$996,$A16,CAPA_Tracker!$M$4:$M$996,"&lt;&gt;Closed",CAPA_Tracker!$M$4:$M$996,"&lt;&gt;")</f>
        <v/>
      </c>
      <c r="K16" s="7">
        <f>COUNTIFS(CAPA_Tracker!$D$4:$D$996,$A16,CAPA_Tracker!$P$4:$P$996,"YES")</f>
        <v/>
      </c>
    </row>
    <row r="17" ht="15" customHeight="1" s="45">
      <c r="A17" s="26" t="inlineStr">
        <is>
          <t>Cluster 6</t>
        </is>
      </c>
      <c r="B17" s="7">
        <f>IFERROR(INDEX(Cluster_Master!$A$4:$A$18,MATCH($A17,Cluster_Master!$B$4:$B$18,0)),"")</f>
        <v/>
      </c>
      <c r="C17" s="7">
        <f>IFERROR(INDEX(Cluster_Master!$C$4:$C$18,MATCH($A17,Cluster_Master!$B$4:$B$18,0)),"")</f>
        <v/>
      </c>
      <c r="D17" s="11">
        <f>IF($B$4="","",IFERROR(AVERAGEIFS(Weekly_Inspections!$AJ$4:$AJ$996,Weekly_Inspections!$F$4:$F$996,$A17,Weekly_Inspections!$D$4:$D$996,$B$4),""))</f>
        <v/>
      </c>
      <c r="E17" s="11">
        <f>IF($B$4="","",IFERROR(AVERAGEIFS(Weekly_Inspections!$AK$4:$AK$996,Weekly_Inspections!$F$4:$F$996,$A17,Weekly_Inspections!$D$4:$D$996,$B$4),""))</f>
        <v/>
      </c>
      <c r="F17" s="7">
        <f>IF($B$4="","",COUNTIFS(Weekly_Inspections!$F$4:$F$996,$A17,Weekly_Inspections!$D$4:$D$996,$B$4,Weekly_Inspections!$AL$4:$AL$996,"YES"))</f>
        <v/>
      </c>
      <c r="G17" s="11">
        <f>IF(OR($B$4="",$B$5=""),"",IFERROR((D17-AVERAGEIFS(Weekly_Inspections!$AJ$4:$AJ$996,Weekly_Inspections!$F$4:$F$996,$A17,Weekly_Inspections!$D$4:$D$996,$B$5))/AVERAGEIFS(Weekly_Inspections!$AJ$4:$AJ$996,Weekly_Inspections!$F$4:$F$996,$A17,Weekly_Inspections!$D$4:$D$996,$B$5),""))</f>
        <v/>
      </c>
      <c r="H17" s="7">
        <f>IF(D17="","",IF(AND(F17=0,D17&gt;=0.75),"YES","NO"))</f>
        <v/>
      </c>
      <c r="I17" s="7">
        <f>IF(D17="","",RANK(D17,$D$8:$D$22,0))</f>
        <v/>
      </c>
      <c r="J17" s="7">
        <f>COUNTIFS(CAPA_Tracker!$D$4:$D$996,$A17,CAPA_Tracker!$M$4:$M$996,"&lt;&gt;Closed",CAPA_Tracker!$M$4:$M$996,"&lt;&gt;")</f>
        <v/>
      </c>
      <c r="K17" s="7">
        <f>COUNTIFS(CAPA_Tracker!$D$4:$D$996,$A17,CAPA_Tracker!$P$4:$P$996,"YES")</f>
        <v/>
      </c>
    </row>
    <row r="18" ht="15" customHeight="1" s="45">
      <c r="A18" s="26" t="inlineStr">
        <is>
          <t>Cluster 1A</t>
        </is>
      </c>
      <c r="B18" s="7">
        <f>IFERROR(INDEX(Cluster_Master!$A$4:$A$18,MATCH($A18,Cluster_Master!$B$4:$B$18,0)),"")</f>
        <v/>
      </c>
      <c r="C18" s="7">
        <f>IFERROR(INDEX(Cluster_Master!$C$4:$C$18,MATCH($A18,Cluster_Master!$B$4:$B$18,0)),"")</f>
        <v/>
      </c>
      <c r="D18" s="11">
        <f>IF($B$4="","",IFERROR(AVERAGEIFS(Weekly_Inspections!$AJ$4:$AJ$996,Weekly_Inspections!$F$4:$F$996,$A18,Weekly_Inspections!$D$4:$D$996,$B$4),""))</f>
        <v/>
      </c>
      <c r="E18" s="11">
        <f>IF($B$4="","",IFERROR(AVERAGEIFS(Weekly_Inspections!$AK$4:$AK$996,Weekly_Inspections!$F$4:$F$996,$A18,Weekly_Inspections!$D$4:$D$996,$B$4),""))</f>
        <v/>
      </c>
      <c r="F18" s="7">
        <f>IF($B$4="","",COUNTIFS(Weekly_Inspections!$F$4:$F$996,$A18,Weekly_Inspections!$D$4:$D$996,$B$4,Weekly_Inspections!$AL$4:$AL$996,"YES"))</f>
        <v/>
      </c>
      <c r="G18" s="11">
        <f>IF(OR($B$4="",$B$5=""),"",IFERROR((D18-AVERAGEIFS(Weekly_Inspections!$AJ$4:$AJ$996,Weekly_Inspections!$F$4:$F$996,$A18,Weekly_Inspections!$D$4:$D$996,$B$5))/AVERAGEIFS(Weekly_Inspections!$AJ$4:$AJ$996,Weekly_Inspections!$F$4:$F$996,$A18,Weekly_Inspections!$D$4:$D$996,$B$5),""))</f>
        <v/>
      </c>
      <c r="H18" s="7">
        <f>IF(D18="","",IF(AND(F18=0,D18&gt;=0.75),"YES","NO"))</f>
        <v/>
      </c>
      <c r="I18" s="7">
        <f>IF(D18="","",RANK(D18,$D$8:$D$22,0))</f>
        <v/>
      </c>
      <c r="J18" s="7">
        <f>COUNTIFS(CAPA_Tracker!$D$4:$D$996,$A18,CAPA_Tracker!$M$4:$M$996,"&lt;&gt;Closed",CAPA_Tracker!$M$4:$M$996,"&lt;&gt;")</f>
        <v/>
      </c>
      <c r="K18" s="7">
        <f>COUNTIFS(CAPA_Tracker!$D$4:$D$996,$A18,CAPA_Tracker!$P$4:$P$996,"YES")</f>
        <v/>
      </c>
    </row>
    <row r="19" ht="15" customHeight="1" s="45">
      <c r="A19" s="26" t="inlineStr">
        <is>
          <t>Cluster 1B</t>
        </is>
      </c>
      <c r="B19" s="7">
        <f>IFERROR(INDEX(Cluster_Master!$A$4:$A$18,MATCH($A19,Cluster_Master!$B$4:$B$18,0)),"")</f>
        <v/>
      </c>
      <c r="C19" s="7">
        <f>IFERROR(INDEX(Cluster_Master!$C$4:$C$18,MATCH($A19,Cluster_Master!$B$4:$B$18,0)),"")</f>
        <v/>
      </c>
      <c r="D19" s="11">
        <f>IF($B$4="","",IFERROR(AVERAGEIFS(Weekly_Inspections!$AJ$4:$AJ$996,Weekly_Inspections!$F$4:$F$996,$A19,Weekly_Inspections!$D$4:$D$996,$B$4),""))</f>
        <v/>
      </c>
      <c r="E19" s="11">
        <f>IF($B$4="","",IFERROR(AVERAGEIFS(Weekly_Inspections!$AK$4:$AK$996,Weekly_Inspections!$F$4:$F$996,$A19,Weekly_Inspections!$D$4:$D$996,$B$4),""))</f>
        <v/>
      </c>
      <c r="F19" s="7">
        <f>IF($B$4="","",COUNTIFS(Weekly_Inspections!$F$4:$F$996,$A19,Weekly_Inspections!$D$4:$D$996,$B$4,Weekly_Inspections!$AL$4:$AL$996,"YES"))</f>
        <v/>
      </c>
      <c r="G19" s="11">
        <f>IF(OR($B$4="",$B$5=""),"",IFERROR((D19-AVERAGEIFS(Weekly_Inspections!$AJ$4:$AJ$996,Weekly_Inspections!$F$4:$F$996,$A19,Weekly_Inspections!$D$4:$D$996,$B$5))/AVERAGEIFS(Weekly_Inspections!$AJ$4:$AJ$996,Weekly_Inspections!$F$4:$F$996,$A19,Weekly_Inspections!$D$4:$D$996,$B$5),""))</f>
        <v/>
      </c>
      <c r="H19" s="7">
        <f>IF(D19="","",IF(AND(F19=0,D19&gt;=0.75),"YES","NO"))</f>
        <v/>
      </c>
      <c r="I19" s="7">
        <f>IF(D19="","",RANK(D19,$D$8:$D$22,0))</f>
        <v/>
      </c>
      <c r="J19" s="7">
        <f>COUNTIFS(CAPA_Tracker!$D$4:$D$996,$A19,CAPA_Tracker!$M$4:$M$996,"&lt;&gt;Closed",CAPA_Tracker!$M$4:$M$996,"&lt;&gt;")</f>
        <v/>
      </c>
      <c r="K19" s="7">
        <f>COUNTIFS(CAPA_Tracker!$D$4:$D$996,$A19,CAPA_Tracker!$P$4:$P$996,"YES")</f>
        <v/>
      </c>
    </row>
    <row r="20" ht="15" customHeight="1" s="45">
      <c r="A20" s="26" t="inlineStr">
        <is>
          <t>Cluster 2A</t>
        </is>
      </c>
      <c r="B20" s="7">
        <f>IFERROR(INDEX(Cluster_Master!$A$4:$A$18,MATCH($A20,Cluster_Master!$B$4:$B$18,0)),"")</f>
        <v/>
      </c>
      <c r="C20" s="7">
        <f>IFERROR(INDEX(Cluster_Master!$C$4:$C$18,MATCH($A20,Cluster_Master!$B$4:$B$18,0)),"")</f>
        <v/>
      </c>
      <c r="D20" s="11">
        <f>IF($B$4="","",IFERROR(AVERAGEIFS(Weekly_Inspections!$AJ$4:$AJ$996,Weekly_Inspections!$F$4:$F$996,$A20,Weekly_Inspections!$D$4:$D$996,$B$4),""))</f>
        <v/>
      </c>
      <c r="E20" s="11">
        <f>IF($B$4="","",IFERROR(AVERAGEIFS(Weekly_Inspections!$AK$4:$AK$996,Weekly_Inspections!$F$4:$F$996,$A20,Weekly_Inspections!$D$4:$D$996,$B$4),""))</f>
        <v/>
      </c>
      <c r="F20" s="7">
        <f>IF($B$4="","",COUNTIFS(Weekly_Inspections!$F$4:$F$996,$A20,Weekly_Inspections!$D$4:$D$996,$B$4,Weekly_Inspections!$AL$4:$AL$996,"YES"))</f>
        <v/>
      </c>
      <c r="G20" s="11">
        <f>IF(OR($B$4="",$B$5=""),"",IFERROR((D20-AVERAGEIFS(Weekly_Inspections!$AJ$4:$AJ$996,Weekly_Inspections!$F$4:$F$996,$A20,Weekly_Inspections!$D$4:$D$996,$B$5))/AVERAGEIFS(Weekly_Inspections!$AJ$4:$AJ$996,Weekly_Inspections!$F$4:$F$996,$A20,Weekly_Inspections!$D$4:$D$996,$B$5),""))</f>
        <v/>
      </c>
      <c r="H20" s="7">
        <f>IF(D20="","",IF(AND(F20=0,D20&gt;=0.75),"YES","NO"))</f>
        <v/>
      </c>
      <c r="I20" s="7">
        <f>IF(D20="","",RANK(D20,$D$8:$D$22,0))</f>
        <v/>
      </c>
      <c r="J20" s="7">
        <f>COUNTIFS(CAPA_Tracker!$D$4:$D$996,$A20,CAPA_Tracker!$M$4:$M$996,"&lt;&gt;Closed",CAPA_Tracker!$M$4:$M$996,"&lt;&gt;")</f>
        <v/>
      </c>
      <c r="K20" s="7">
        <f>COUNTIFS(CAPA_Tracker!$D$4:$D$996,$A20,CAPA_Tracker!$P$4:$P$996,"YES")</f>
        <v/>
      </c>
    </row>
    <row r="21" ht="15" customHeight="1" s="45">
      <c r="A21" s="26" t="inlineStr">
        <is>
          <t>Cluster 2B</t>
        </is>
      </c>
      <c r="B21" s="7">
        <f>IFERROR(INDEX(Cluster_Master!$A$4:$A$18,MATCH($A21,Cluster_Master!$B$4:$B$18,0)),"")</f>
        <v/>
      </c>
      <c r="C21" s="7">
        <f>IFERROR(INDEX(Cluster_Master!$C$4:$C$18,MATCH($A21,Cluster_Master!$B$4:$B$18,0)),"")</f>
        <v/>
      </c>
      <c r="D21" s="11">
        <f>IF($B$4="","",IFERROR(AVERAGEIFS(Weekly_Inspections!$AJ$4:$AJ$996,Weekly_Inspections!$F$4:$F$996,$A21,Weekly_Inspections!$D$4:$D$996,$B$4),""))</f>
        <v/>
      </c>
      <c r="E21" s="11">
        <f>IF($B$4="","",IFERROR(AVERAGEIFS(Weekly_Inspections!$AK$4:$AK$996,Weekly_Inspections!$F$4:$F$996,$A21,Weekly_Inspections!$D$4:$D$996,$B$4),""))</f>
        <v/>
      </c>
      <c r="F21" s="7">
        <f>IF($B$4="","",COUNTIFS(Weekly_Inspections!$F$4:$F$996,$A21,Weekly_Inspections!$D$4:$D$996,$B$4,Weekly_Inspections!$AL$4:$AL$996,"YES"))</f>
        <v/>
      </c>
      <c r="G21" s="11">
        <f>IF(OR($B$4="",$B$5=""),"",IFERROR((D21-AVERAGEIFS(Weekly_Inspections!$AJ$4:$AJ$996,Weekly_Inspections!$F$4:$F$996,$A21,Weekly_Inspections!$D$4:$D$996,$B$5))/AVERAGEIFS(Weekly_Inspections!$AJ$4:$AJ$996,Weekly_Inspections!$F$4:$F$996,$A21,Weekly_Inspections!$D$4:$D$996,$B$5),""))</f>
        <v/>
      </c>
      <c r="H21" s="7">
        <f>IF(D21="","",IF(AND(F21=0,D21&gt;=0.75),"YES","NO"))</f>
        <v/>
      </c>
      <c r="I21" s="7">
        <f>IF(D21="","",RANK(D21,$D$8:$D$22,0))</f>
        <v/>
      </c>
      <c r="J21" s="7">
        <f>COUNTIFS(CAPA_Tracker!$D$4:$D$996,$A21,CAPA_Tracker!$M$4:$M$996,"&lt;&gt;Closed",CAPA_Tracker!$M$4:$M$996,"&lt;&gt;")</f>
        <v/>
      </c>
      <c r="K21" s="7">
        <f>COUNTIFS(CAPA_Tracker!$D$4:$D$996,$A21,CAPA_Tracker!$P$4:$P$996,"YES")</f>
        <v/>
      </c>
    </row>
    <row r="22" ht="15" customHeight="1" s="45">
      <c r="A22" s="26" t="inlineStr">
        <is>
          <t>Cluster 2C</t>
        </is>
      </c>
      <c r="B22" s="7">
        <f>IFERROR(INDEX(Cluster_Master!$A$4:$A$18,MATCH($A22,Cluster_Master!$B$4:$B$18,0)),"")</f>
        <v/>
      </c>
      <c r="C22" s="7">
        <f>IFERROR(INDEX(Cluster_Master!$C$4:$C$18,MATCH($A22,Cluster_Master!$B$4:$B$18,0)),"")</f>
        <v/>
      </c>
      <c r="D22" s="11">
        <f>IF($B$4="","",IFERROR(AVERAGEIFS(Weekly_Inspections!$AJ$4:$AJ$996,Weekly_Inspections!$F$4:$F$996,$A22,Weekly_Inspections!$D$4:$D$996,$B$4),""))</f>
        <v/>
      </c>
      <c r="E22" s="11">
        <f>IF($B$4="","",IFERROR(AVERAGEIFS(Weekly_Inspections!$AK$4:$AK$996,Weekly_Inspections!$F$4:$F$996,$A22,Weekly_Inspections!$D$4:$D$996,$B$4),""))</f>
        <v/>
      </c>
      <c r="F22" s="7">
        <f>IF($B$4="","",COUNTIFS(Weekly_Inspections!$F$4:$F$996,$A22,Weekly_Inspections!$D$4:$D$996,$B$4,Weekly_Inspections!$AL$4:$AL$996,"YES"))</f>
        <v/>
      </c>
      <c r="G22" s="11">
        <f>IF(OR($B$4="",$B$5=""),"",IFERROR((D22-AVERAGEIFS(Weekly_Inspections!$AJ$4:$AJ$996,Weekly_Inspections!$F$4:$F$996,$A22,Weekly_Inspections!$D$4:$D$996,$B$5))/AVERAGEIFS(Weekly_Inspections!$AJ$4:$AJ$996,Weekly_Inspections!$F$4:$F$996,$A22,Weekly_Inspections!$D$4:$D$996,$B$5),""))</f>
        <v/>
      </c>
      <c r="H22" s="7">
        <f>IF(D22="","",IF(AND(F22=0,D22&gt;=0.75),"YES","NO"))</f>
        <v/>
      </c>
      <c r="I22" s="7">
        <f>IF(D22="","",RANK(D22,$D$8:$D$22,0))</f>
        <v/>
      </c>
      <c r="J22" s="7">
        <f>COUNTIFS(CAPA_Tracker!$D$4:$D$996,$A22,CAPA_Tracker!$M$4:$M$996,"&lt;&gt;Closed",CAPA_Tracker!$M$4:$M$996,"&lt;&gt;")</f>
        <v/>
      </c>
      <c r="K22" s="7">
        <f>COUNTIFS(CAPA_Tracker!$D$4:$D$996,$A22,CAPA_Tracker!$P$4:$P$996,"YES")</f>
        <v/>
      </c>
    </row>
  </sheetData>
  <mergeCells count="2">
    <mergeCell ref="A2:K2"/>
    <mergeCell ref="A1:K1"/>
  </mergeCells>
  <conditionalFormatting sqref="D8:E22">
    <cfRule type="colorScale" priority="2">
      <colorScale>
        <cfvo type="num" val="0"/>
        <cfvo type="num" val="0.75"/>
        <cfvo type="num" val="1"/>
        <color rgb="FFF8696B"/>
        <color rgb="FFFFEB84"/>
        <color rgb="FF63BE7B"/>
      </colorScale>
    </cfRule>
  </conditionalFormatting>
  <conditionalFormatting sqref="F8:F22">
    <cfRule type="cellIs" priority="4" operator="greaterThan" dxfId="2">
      <formula>0</formula>
    </cfRule>
  </conditionalFormatting>
  <conditionalFormatting sqref="H8:H22">
    <cfRule type="expression" priority="3" dxfId="1">
      <formula>H8="YES"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ColWidth="8.6328125" defaultRowHeight="15"/>
  <cols>
    <col width="32" customWidth="1" style="45" min="1" max="1"/>
    <col width="14" customWidth="1" style="45" min="2" max="3"/>
    <col width="18" customWidth="1" style="45" min="4" max="4"/>
    <col width="14" customWidth="1" style="45" min="5" max="5"/>
    <col width="12" customWidth="1" style="45" min="6" max="7"/>
    <col width="16" customWidth="1" style="45" min="8" max="8"/>
  </cols>
  <sheetData>
    <row r="1" ht="24" customHeight="1" s="45">
      <c r="A1" s="34" t="inlineStr">
        <is>
          <t>Gap Analysis</t>
        </is>
      </c>
    </row>
    <row r="2" ht="36" customHeight="1" s="45">
      <c r="A2" s="35" t="inlineStr">
        <is>
          <t>Use the control week and month to identify recurring gaps, weak KPIs and likely root causes. This supports weekly corrective and preventive action planning.</t>
        </is>
      </c>
    </row>
    <row r="4" ht="15" customHeight="1" s="45">
      <c r="A4" s="24" t="inlineStr">
        <is>
          <t>Selected Week No</t>
        </is>
      </c>
      <c r="B4" s="27">
        <f>Weekly_Dashboard!$B$5</f>
        <v/>
      </c>
    </row>
    <row r="5" ht="15" customHeight="1" s="45">
      <c r="A5" s="24" t="inlineStr">
        <is>
          <t>Selected Month (yyyy-mm)</t>
        </is>
      </c>
      <c r="B5" s="27">
        <f>Weekly_Dashboard!$B$6</f>
        <v/>
      </c>
    </row>
    <row r="7" ht="33.75" customHeight="1" s="45">
      <c r="A7" s="5" t="inlineStr">
        <is>
          <t>KPI</t>
        </is>
      </c>
      <c r="B7" s="5" t="inlineStr">
        <is>
          <t>Week Avg Score</t>
        </is>
      </c>
      <c r="C7" s="5" t="inlineStr">
        <is>
          <t>Month Avg Score</t>
        </is>
      </c>
      <c r="D7" s="5" t="inlineStr">
        <is>
          <t>Week Gap to 5</t>
        </is>
      </c>
      <c r="E7" s="5" t="inlineStr">
        <is>
          <t>Month Gap to 5</t>
        </is>
      </c>
      <c r="F7" s="5" t="inlineStr">
        <is>
          <t>Week Red Flags</t>
        </is>
      </c>
      <c r="G7" s="5" t="inlineStr">
        <is>
          <t>Month Red Flags</t>
        </is>
      </c>
      <c r="H7" s="5" t="inlineStr">
        <is>
          <t>Focus</t>
        </is>
      </c>
    </row>
    <row r="8" ht="15" customHeight="1" s="45">
      <c r="A8" s="26" t="inlineStr">
        <is>
          <t>Work at Height Control</t>
        </is>
      </c>
      <c r="B8" s="7">
        <f>IF($B$4="","",IFERROR(AVERAGEIFS(Weekly_Inspections!$T$4:$T$996,Weekly_Inspections!$C$4:$C$996,$B$4),""))</f>
        <v/>
      </c>
      <c r="C8" s="7">
        <f>IF($B$5="","",IFERROR(AVERAGEIFS(Weekly_Inspections!$T$4:$T$996,Weekly_Inspections!$D$4:$D$996,$B$5),""))</f>
        <v/>
      </c>
      <c r="D8" s="7">
        <f>IF(B8="","",5-B8)</f>
        <v/>
      </c>
      <c r="E8" s="7">
        <f>IF(C8="","",5-C8)</f>
        <v/>
      </c>
      <c r="F8" s="7">
        <f>IF($B$4="","",COUNTIFS(Weekly_Inspections!$T$4:$T$996,"&lt;=1",Weekly_Inspections!$C$4:$C$996,$B$4))</f>
        <v/>
      </c>
      <c r="G8" s="7">
        <f>IF($B$5="","",COUNTIFS(Weekly_Inspections!$T$4:$T$996,"&lt;=1",Weekly_Inspections!$D$4:$D$996,$B$5))</f>
        <v/>
      </c>
      <c r="H8" s="7">
        <f>IF(OR(D8="",E8=""),"",IF(OR(D8&gt;=3,E8&gt;=3),"Immediate attention","Monitor"))</f>
        <v/>
      </c>
    </row>
    <row r="9" ht="15" customHeight="1" s="45">
      <c r="A9" s="26" t="inlineStr">
        <is>
          <t>Edge Protection</t>
        </is>
      </c>
      <c r="B9" s="7">
        <f>IF($B$4="","",IFERROR(AVERAGEIFS(Weekly_Inspections!$U$4:$U$996,Weekly_Inspections!$C$4:$C$996,$B$4),""))</f>
        <v/>
      </c>
      <c r="C9" s="7">
        <f>IF($B$5="","",IFERROR(AVERAGEIFS(Weekly_Inspections!$U$4:$U$996,Weekly_Inspections!$D$4:$D$996,$B$5),""))</f>
        <v/>
      </c>
      <c r="D9" s="7">
        <f>IF(B9="","",5-B9)</f>
        <v/>
      </c>
      <c r="E9" s="7">
        <f>IF(C9="","",5-C9)</f>
        <v/>
      </c>
      <c r="F9" s="7">
        <f>IF($B$4="","",COUNTIFS(Weekly_Inspections!$U$4:$U$996,"&lt;=1",Weekly_Inspections!$C$4:$C$996,$B$4))</f>
        <v/>
      </c>
      <c r="G9" s="7">
        <f>IF($B$5="","",COUNTIFS(Weekly_Inspections!$U$4:$U$996,"&lt;=1",Weekly_Inspections!$D$4:$D$996,$B$5))</f>
        <v/>
      </c>
      <c r="H9" s="7">
        <f>IF(OR(D9="",E9=""),"",IF(OR(D9&gt;=3,E9&gt;=3),"Immediate attention","Monitor"))</f>
        <v/>
      </c>
    </row>
    <row r="10" ht="15" customHeight="1" s="45">
      <c r="A10" s="26" t="inlineStr">
        <is>
          <t>Falling Object Prevention</t>
        </is>
      </c>
      <c r="B10" s="7">
        <f>IF($B$4="","",IFERROR(AVERAGEIFS(Weekly_Inspections!$V$4:$V$996,Weekly_Inspections!$C$4:$C$996,$B$4),""))</f>
        <v/>
      </c>
      <c r="C10" s="7">
        <f>IF($B$5="","",IFERROR(AVERAGEIFS(Weekly_Inspections!$V$4:$V$996,Weekly_Inspections!$D$4:$D$996,$B$5),""))</f>
        <v/>
      </c>
      <c r="D10" s="7">
        <f>IF(B10="","",5-B10)</f>
        <v/>
      </c>
      <c r="E10" s="7">
        <f>IF(C10="","",5-C10)</f>
        <v/>
      </c>
      <c r="F10" s="7">
        <f>IF($B$4="","",COUNTIFS(Weekly_Inspections!$V$4:$V$996,"&lt;=1",Weekly_Inspections!$C$4:$C$996,$B$4))</f>
        <v/>
      </c>
      <c r="G10" s="7">
        <f>IF($B$5="","",COUNTIFS(Weekly_Inspections!$V$4:$V$996,"&lt;=1",Weekly_Inspections!$D$4:$D$996,$B$5))</f>
        <v/>
      </c>
      <c r="H10" s="7">
        <f>IF(OR(D10="",E10=""),"",IF(OR(D10&gt;=3,E10&gt;=3),"Immediate attention","Monitor"))</f>
        <v/>
      </c>
    </row>
    <row r="11" ht="15" customHeight="1" s="45">
      <c r="A11" s="26" t="inlineStr">
        <is>
          <t>Excavation Safety</t>
        </is>
      </c>
      <c r="B11" s="7">
        <f>IF($B$4="","",IFERROR(AVERAGEIFS(Weekly_Inspections!$W$4:$W$996,Weekly_Inspections!$C$4:$C$996,$B$4),""))</f>
        <v/>
      </c>
      <c r="C11" s="7">
        <f>IF($B$5="","",IFERROR(AVERAGEIFS(Weekly_Inspections!$W$4:$W$996,Weekly_Inspections!$D$4:$D$996,$B$5),""))</f>
        <v/>
      </c>
      <c r="D11" s="7">
        <f>IF(B11="","",5-B11)</f>
        <v/>
      </c>
      <c r="E11" s="7">
        <f>IF(C11="","",5-C11)</f>
        <v/>
      </c>
      <c r="F11" s="7">
        <f>IF($B$4="","",COUNTIFS(Weekly_Inspections!$W$4:$W$996,"&lt;=1",Weekly_Inspections!$C$4:$C$996,$B$4))</f>
        <v/>
      </c>
      <c r="G11" s="7">
        <f>IF($B$5="","",COUNTIFS(Weekly_Inspections!$W$4:$W$996,"&lt;=1",Weekly_Inspections!$D$4:$D$996,$B$5))</f>
        <v/>
      </c>
      <c r="H11" s="7">
        <f>IF(OR(D11="",E11=""),"",IF(OR(D11&gt;=3,E11&gt;=3),"Immediate attention","Monitor"))</f>
        <v/>
      </c>
    </row>
    <row r="12" ht="15" customHeight="1" s="45">
      <c r="A12" s="26" t="inlineStr">
        <is>
          <t>Scaffolding Compliance</t>
        </is>
      </c>
      <c r="B12" s="7">
        <f>IF($B$4="","",IFERROR(AVERAGEIFS(Weekly_Inspections!$X$4:$X$996,Weekly_Inspections!$C$4:$C$996,$B$4),""))</f>
        <v/>
      </c>
      <c r="C12" s="7">
        <f>IF($B$5="","",IFERROR(AVERAGEIFS(Weekly_Inspections!$X$4:$X$996,Weekly_Inspections!$D$4:$D$996,$B$5),""))</f>
        <v/>
      </c>
      <c r="D12" s="7">
        <f>IF(B12="","",5-B12)</f>
        <v/>
      </c>
      <c r="E12" s="7">
        <f>IF(C12="","",5-C12)</f>
        <v/>
      </c>
      <c r="F12" s="7">
        <f>IF($B$4="","",COUNTIFS(Weekly_Inspections!$X$4:$X$996,"&lt;=1",Weekly_Inspections!$C$4:$C$996,$B$4))</f>
        <v/>
      </c>
      <c r="G12" s="7">
        <f>IF($B$5="","",COUNTIFS(Weekly_Inspections!$X$4:$X$996,"&lt;=1",Weekly_Inspections!$D$4:$D$996,$B$5))</f>
        <v/>
      </c>
      <c r="H12" s="7">
        <f>IF(OR(D12="",E12=""),"",IF(OR(D12&gt;=3,E12&gt;=3),"Immediate attention","Monitor"))</f>
        <v/>
      </c>
    </row>
    <row r="13" ht="15" customHeight="1" s="45">
      <c r="A13" s="26" t="inlineStr">
        <is>
          <t>PTW Implementation</t>
        </is>
      </c>
      <c r="B13" s="7">
        <f>IF($B$4="","",IFERROR(AVERAGEIFS(Weekly_Inspections!$Y$4:$Y$996,Weekly_Inspections!$C$4:$C$996,$B$4),""))</f>
        <v/>
      </c>
      <c r="C13" s="7">
        <f>IF($B$5="","",IFERROR(AVERAGEIFS(Weekly_Inspections!$Y$4:$Y$996,Weekly_Inspections!$D$4:$D$996,$B$5),""))</f>
        <v/>
      </c>
      <c r="D13" s="7">
        <f>IF(B13="","",5-B13)</f>
        <v/>
      </c>
      <c r="E13" s="7">
        <f>IF(C13="","",5-C13)</f>
        <v/>
      </c>
      <c r="F13" s="7">
        <f>IF($B$4="","",COUNTIFS(Weekly_Inspections!$Y$4:$Y$996,"&lt;=1",Weekly_Inspections!$C$4:$C$996,$B$4))</f>
        <v/>
      </c>
      <c r="G13" s="7">
        <f>IF($B$5="","",COUNTIFS(Weekly_Inspections!$Y$4:$Y$996,"&lt;=1",Weekly_Inspections!$D$4:$D$996,$B$5))</f>
        <v/>
      </c>
      <c r="H13" s="7">
        <f>IF(OR(D13="",E13=""),"",IF(OR(D13&gt;=3,E13&gt;=3),"Immediate attention","Monitor"))</f>
        <v/>
      </c>
    </row>
    <row r="14" ht="15" customHeight="1" s="45">
      <c r="A14" s="26" t="inlineStr">
        <is>
          <t>PTW Field Verification</t>
        </is>
      </c>
      <c r="B14" s="7">
        <f>IF($B$4="","",IFERROR(AVERAGEIFS(Weekly_Inspections!$Z$4:$Z$996,Weekly_Inspections!$C$4:$C$996,$B$4),""))</f>
        <v/>
      </c>
      <c r="C14" s="7">
        <f>IF($B$5="","",IFERROR(AVERAGEIFS(Weekly_Inspections!$Z$4:$Z$996,Weekly_Inspections!$D$4:$D$996,$B$5),""))</f>
        <v/>
      </c>
      <c r="D14" s="7">
        <f>IF(B14="","",5-B14)</f>
        <v/>
      </c>
      <c r="E14" s="7">
        <f>IF(C14="","",5-C14)</f>
        <v/>
      </c>
      <c r="F14" s="7">
        <f>IF($B$4="","",COUNTIFS(Weekly_Inspections!$Z$4:$Z$996,"&lt;=1",Weekly_Inspections!$C$4:$C$996,$B$4))</f>
        <v/>
      </c>
      <c r="G14" s="7">
        <f>IF($B$5="","",COUNTIFS(Weekly_Inspections!$Z$4:$Z$996,"&lt;=1",Weekly_Inspections!$D$4:$D$996,$B$5))</f>
        <v/>
      </c>
      <c r="H14" s="7">
        <f>IF(OR(D14="",E14=""),"",IF(OR(D14&gt;=3,E14&gt;=3),"Immediate attention","Monitor"))</f>
        <v/>
      </c>
    </row>
    <row r="15" ht="15" customHeight="1" s="45">
      <c r="A15" s="26" t="inlineStr">
        <is>
          <t>MSRA Quality</t>
        </is>
      </c>
      <c r="B15" s="7">
        <f>IF($B$4="","",IFERROR(AVERAGEIFS(Weekly_Inspections!$AA$4:$AA$996,Weekly_Inspections!$C$4:$C$996,$B$4),""))</f>
        <v/>
      </c>
      <c r="C15" s="7">
        <f>IF($B$5="","",IFERROR(AVERAGEIFS(Weekly_Inspections!$AA$4:$AA$996,Weekly_Inspections!$D$4:$D$996,$B$5),""))</f>
        <v/>
      </c>
      <c r="D15" s="7">
        <f>IF(B15="","",5-B15)</f>
        <v/>
      </c>
      <c r="E15" s="7">
        <f>IF(C15="","",5-C15)</f>
        <v/>
      </c>
      <c r="F15" s="7">
        <f>IF($B$4="","",COUNTIFS(Weekly_Inspections!$AA$4:$AA$996,"&lt;=1",Weekly_Inspections!$C$4:$C$996,$B$4))</f>
        <v/>
      </c>
      <c r="G15" s="7">
        <f>IF($B$5="","",COUNTIFS(Weekly_Inspections!$AA$4:$AA$996,"&lt;=1",Weekly_Inspections!$D$4:$D$996,$B$5))</f>
        <v/>
      </c>
      <c r="H15" s="7">
        <f>IF(OR(D15="",E15=""),"",IF(OR(D15&gt;=3,E15&gt;=3),"Immediate attention","Monitor"))</f>
        <v/>
      </c>
    </row>
    <row r="16" ht="15" customHeight="1" s="45">
      <c r="A16" s="26" t="inlineStr">
        <is>
          <t>Lifting/Precast Installation</t>
        </is>
      </c>
      <c r="B16" s="7">
        <f>IF($B$4="","",IFERROR(AVERAGEIFS(Weekly_Inspections!$AB$4:$AB$996,Weekly_Inspections!$C$4:$C$996,$B$4),""))</f>
        <v/>
      </c>
      <c r="C16" s="7">
        <f>IF($B$5="","",IFERROR(AVERAGEIFS(Weekly_Inspections!$AB$4:$AB$996,Weekly_Inspections!$D$4:$D$996,$B$5),""))</f>
        <v/>
      </c>
      <c r="D16" s="7">
        <f>IF(B16="","",5-B16)</f>
        <v/>
      </c>
      <c r="E16" s="7">
        <f>IF(C16="","",5-C16)</f>
        <v/>
      </c>
      <c r="F16" s="7">
        <f>IF($B$4="","",COUNTIFS(Weekly_Inspections!$AB$4:$AB$996,"&lt;=1",Weekly_Inspections!$C$4:$C$996,$B$4))</f>
        <v/>
      </c>
      <c r="G16" s="7">
        <f>IF($B$5="","",COUNTIFS(Weekly_Inspections!$AB$4:$AB$996,"&lt;=1",Weekly_Inspections!$D$4:$D$996,$B$5))</f>
        <v/>
      </c>
      <c r="H16" s="7">
        <f>IF(OR(D16="",E16=""),"",IF(OR(D16&gt;=3,E16&gt;=3),"Immediate attention","Monitor"))</f>
        <v/>
      </c>
    </row>
    <row r="17" ht="15" customHeight="1" s="45">
      <c r="A17" s="26" t="inlineStr">
        <is>
          <t>Traffic &amp; Man-Machine Interface</t>
        </is>
      </c>
      <c r="B17" s="7">
        <f>IF($B$4="","",IFERROR(AVERAGEIFS(Weekly_Inspections!$AC$4:$AC$996,Weekly_Inspections!$C$4:$C$996,$B$4),""))</f>
        <v/>
      </c>
      <c r="C17" s="7">
        <f>IF($B$5="","",IFERROR(AVERAGEIFS(Weekly_Inspections!$AC$4:$AC$996,Weekly_Inspections!$D$4:$D$996,$B$5),""))</f>
        <v/>
      </c>
      <c r="D17" s="7">
        <f>IF(B17="","",5-B17)</f>
        <v/>
      </c>
      <c r="E17" s="7">
        <f>IF(C17="","",5-C17)</f>
        <v/>
      </c>
      <c r="F17" s="7">
        <f>IF($B$4="","",COUNTIFS(Weekly_Inspections!$AC$4:$AC$996,"&lt;=1",Weekly_Inspections!$C$4:$C$996,$B$4))</f>
        <v/>
      </c>
      <c r="G17" s="7">
        <f>IF($B$5="","",COUNTIFS(Weekly_Inspections!$AC$4:$AC$996,"&lt;=1",Weekly_Inspections!$D$4:$D$996,$B$5))</f>
        <v/>
      </c>
      <c r="H17" s="7">
        <f>IF(OR(D17="",E17=""),"",IF(OR(D17&gt;=3,E17&gt;=3),"Immediate attention","Monitor"))</f>
        <v/>
      </c>
    </row>
    <row r="18" ht="15" customHeight="1" s="45">
      <c r="A18" s="26" t="inlineStr">
        <is>
          <t>Housekeeping/Waste Management</t>
        </is>
      </c>
      <c r="B18" s="7">
        <f>IF($B$4="","",IFERROR(AVERAGEIFS(Weekly_Inspections!$AD$4:$AD$996,Weekly_Inspections!$C$4:$C$996,$B$4),""))</f>
        <v/>
      </c>
      <c r="C18" s="7">
        <f>IF($B$5="","",IFERROR(AVERAGEIFS(Weekly_Inspections!$AD$4:$AD$996,Weekly_Inspections!$D$4:$D$996,$B$5),""))</f>
        <v/>
      </c>
      <c r="D18" s="7">
        <f>IF(B18="","",5-B18)</f>
        <v/>
      </c>
      <c r="E18" s="7">
        <f>IF(C18="","",5-C18)</f>
        <v/>
      </c>
      <c r="F18" s="7">
        <f>IF($B$4="","",COUNTIFS(Weekly_Inspections!$AD$4:$AD$996,"&lt;=1",Weekly_Inspections!$C$4:$C$996,$B$4))</f>
        <v/>
      </c>
      <c r="G18" s="7">
        <f>IF($B$5="","",COUNTIFS(Weekly_Inspections!$AD$4:$AD$996,"&lt;=1",Weekly_Inspections!$D$4:$D$996,$B$5))</f>
        <v/>
      </c>
      <c r="H18" s="7">
        <f>IF(OR(D18="",E18=""),"",IF(OR(D18&gt;=3,E18&gt;=3),"Immediate attention","Monitor"))</f>
        <v/>
      </c>
    </row>
    <row r="19" ht="15" customHeight="1" s="45">
      <c r="A19" s="26" t="inlineStr">
        <is>
          <t>Welfare Arrangement</t>
        </is>
      </c>
      <c r="B19" s="7">
        <f>IF($B$4="","",IFERROR(AVERAGEIFS(Weekly_Inspections!$AE$4:$AE$996,Weekly_Inspections!$C$4:$C$996,$B$4),""))</f>
        <v/>
      </c>
      <c r="C19" s="7">
        <f>IF($B$5="","",IFERROR(AVERAGEIFS(Weekly_Inspections!$AE$4:$AE$996,Weekly_Inspections!$D$4:$D$996,$B$5),""))</f>
        <v/>
      </c>
      <c r="D19" s="7">
        <f>IF(B19="","",5-B19)</f>
        <v/>
      </c>
      <c r="E19" s="7">
        <f>IF(C19="","",5-C19)</f>
        <v/>
      </c>
      <c r="F19" s="7">
        <f>IF($B$4="","",COUNTIFS(Weekly_Inspections!$AE$4:$AE$996,"&lt;=1",Weekly_Inspections!$C$4:$C$996,$B$4))</f>
        <v/>
      </c>
      <c r="G19" s="7">
        <f>IF($B$5="","",COUNTIFS(Weekly_Inspections!$AE$4:$AE$996,"&lt;=1",Weekly_Inspections!$D$4:$D$996,$B$5))</f>
        <v/>
      </c>
      <c r="H19" s="7">
        <f>IF(OR(D19="",E19=""),"",IF(OR(D19&gt;=3,E19&gt;=3),"Immediate attention","Monitor"))</f>
        <v/>
      </c>
    </row>
    <row r="20" ht="15" customHeight="1" s="45">
      <c r="A20" s="26" t="inlineStr">
        <is>
          <t>Fire Readiness</t>
        </is>
      </c>
      <c r="B20" s="7">
        <f>IF($B$4="","",IFERROR(AVERAGEIFS(Weekly_Inspections!$AF$4:$AF$996,Weekly_Inspections!$C$4:$C$996,$B$4),""))</f>
        <v/>
      </c>
      <c r="C20" s="7">
        <f>IF($B$5="","",IFERROR(AVERAGEIFS(Weekly_Inspections!$AF$4:$AF$996,Weekly_Inspections!$D$4:$D$996,$B$5),""))</f>
        <v/>
      </c>
      <c r="D20" s="7">
        <f>IF(B20="","",5-B20)</f>
        <v/>
      </c>
      <c r="E20" s="7">
        <f>IF(C20="","",5-C20)</f>
        <v/>
      </c>
      <c r="F20" s="7">
        <f>IF($B$4="","",COUNTIFS(Weekly_Inspections!$AF$4:$AF$996,"&lt;=1",Weekly_Inspections!$C$4:$C$996,$B$4))</f>
        <v/>
      </c>
      <c r="G20" s="7">
        <f>IF($B$5="","",COUNTIFS(Weekly_Inspections!$AF$4:$AF$996,"&lt;=1",Weekly_Inspections!$D$4:$D$996,$B$5))</f>
        <v/>
      </c>
      <c r="H20" s="7">
        <f>IF(OR(D20="",E20=""),"",IF(OR(D20&gt;=3,E20&gt;=3),"Immediate attention","Monitor"))</f>
        <v/>
      </c>
    </row>
    <row r="21" ht="15" customHeight="1" s="45">
      <c r="A21" s="26" t="inlineStr">
        <is>
          <t>Supervision &amp; Subcontractor Control</t>
        </is>
      </c>
      <c r="B21" s="7">
        <f>IF($B$4="","",IFERROR(AVERAGEIFS(Weekly_Inspections!$AG$4:$AG$996,Weekly_Inspections!$C$4:$C$996,$B$4),""))</f>
        <v/>
      </c>
      <c r="C21" s="7">
        <f>IF($B$5="","",IFERROR(AVERAGEIFS(Weekly_Inspections!$AG$4:$AG$996,Weekly_Inspections!$D$4:$D$996,$B$5),""))</f>
        <v/>
      </c>
      <c r="D21" s="7">
        <f>IF(B21="","",5-B21)</f>
        <v/>
      </c>
      <c r="E21" s="7">
        <f>IF(C21="","",5-C21)</f>
        <v/>
      </c>
      <c r="F21" s="7">
        <f>IF($B$4="","",COUNTIFS(Weekly_Inspections!$AG$4:$AG$996,"&lt;=1",Weekly_Inspections!$C$4:$C$996,$B$4))</f>
        <v/>
      </c>
      <c r="G21" s="7">
        <f>IF($B$5="","",COUNTIFS(Weekly_Inspections!$AG$4:$AG$996,"&lt;=1",Weekly_Inspections!$D$4:$D$996,$B$5))</f>
        <v/>
      </c>
      <c r="H21" s="7">
        <f>IF(OR(D21="",E21=""),"",IF(OR(D21&gt;=3,E21&gt;=3),"Immediate attention","Monitor"))</f>
        <v/>
      </c>
    </row>
    <row r="22" ht="15" customHeight="1" s="45">
      <c r="A22" s="26" t="inlineStr">
        <is>
          <t>Temporary Electrical &amp; Tool Safety</t>
        </is>
      </c>
      <c r="B22" s="7">
        <f>IF($B$4="","",IFERROR(AVERAGEIFS(Weekly_Inspections!$AH$4:$AH$996,Weekly_Inspections!$C$4:$C$996,$B$4),""))</f>
        <v/>
      </c>
      <c r="C22" s="7">
        <f>IF($B$5="","",IFERROR(AVERAGEIFS(Weekly_Inspections!$AH$4:$AH$996,Weekly_Inspections!$D$4:$D$996,$B$5),""))</f>
        <v/>
      </c>
      <c r="D22" s="7">
        <f>IF(B22="","",5-B22)</f>
        <v/>
      </c>
      <c r="E22" s="7">
        <f>IF(C22="","",5-C22)</f>
        <v/>
      </c>
      <c r="F22" s="7">
        <f>IF($B$4="","",COUNTIFS(Weekly_Inspections!$AH$4:$AH$996,"&lt;=1",Weekly_Inspections!$C$4:$C$996,$B$4))</f>
        <v/>
      </c>
      <c r="G22" s="7">
        <f>IF($B$5="","",COUNTIFS(Weekly_Inspections!$AH$4:$AH$996,"&lt;=1",Weekly_Inspections!$D$4:$D$996,$B$5))</f>
        <v/>
      </c>
      <c r="H22" s="7">
        <f>IF(OR(D22="",E22=""),"",IF(OR(D22&gt;=3,E22&gt;=3),"Immediate attention","Monitor"))</f>
        <v/>
      </c>
    </row>
    <row r="25" ht="33.75" customHeight="1" s="45">
      <c r="A25" s="5" t="inlineStr">
        <is>
          <t>Root Cause</t>
        </is>
      </c>
      <c r="B25" s="5" t="inlineStr">
        <is>
          <t>Week Count</t>
        </is>
      </c>
      <c r="C25" s="5" t="inlineStr">
        <is>
          <t>Month Count</t>
        </is>
      </c>
      <c r="D25" s="5" t="inlineStr">
        <is>
          <t>Comment</t>
        </is>
      </c>
    </row>
    <row r="26" ht="15" customHeight="1" s="45">
      <c r="A26" s="26" t="inlineStr">
        <is>
          <t>Leadership failure</t>
        </is>
      </c>
      <c r="B26" s="7">
        <f>IF($B$4="","",COUNTIFS(Weekly_Inspections!$AP$4:$AP$499,$A26,Weekly_Inspections!$C$4:$C$499,$B$4))</f>
        <v/>
      </c>
      <c r="C26" s="7">
        <f>IF($B$5="","",COUNTIFS(Weekly_Inspections!$AP$4:$AP$499,$A26,Weekly_Inspections!$D$4:$D$499,$B$5))</f>
        <v/>
      </c>
      <c r="D26" s="7" t="n"/>
    </row>
    <row r="27" ht="15" customHeight="1" s="45">
      <c r="A27" s="26" t="inlineStr">
        <is>
          <t>Poor supervision</t>
        </is>
      </c>
      <c r="B27" s="7">
        <f>IF($B$4="","",COUNTIFS(Weekly_Inspections!$AP$4:$AP$499,$A27,Weekly_Inspections!$C$4:$C$499,$B$4))</f>
        <v/>
      </c>
      <c r="C27" s="7">
        <f>IF($B$5="","",COUNTIFS(Weekly_Inspections!$AP$4:$AP$499,$A27,Weekly_Inspections!$D$4:$D$499,$B$5))</f>
        <v/>
      </c>
      <c r="D27" s="7" t="n"/>
    </row>
    <row r="28" ht="15" customHeight="1" s="45">
      <c r="A28" s="26" t="inlineStr">
        <is>
          <t>Poor planning</t>
        </is>
      </c>
      <c r="B28" s="7">
        <f>IF($B$4="","",COUNTIFS(Weekly_Inspections!$AP$4:$AP$499,$A28,Weekly_Inspections!$C$4:$C$499,$B$4))</f>
        <v/>
      </c>
      <c r="C28" s="7">
        <f>IF($B$5="","",COUNTIFS(Weekly_Inspections!$AP$4:$AP$499,$A28,Weekly_Inspections!$D$4:$D$499,$B$5))</f>
        <v/>
      </c>
      <c r="D28" s="7" t="n"/>
    </row>
    <row r="29" ht="15" customHeight="1" s="45">
      <c r="A29" s="26" t="inlineStr">
        <is>
          <t>PTW failure</t>
        </is>
      </c>
      <c r="B29" s="7">
        <f>IF($B$4="","",COUNTIFS(Weekly_Inspections!$AP$4:$AP$499,$A29,Weekly_Inspections!$C$4:$C$499,$B$4))</f>
        <v/>
      </c>
      <c r="C29" s="7">
        <f>IF($B$5="","",COUNTIFS(Weekly_Inspections!$AP$4:$AP$499,$A29,Weekly_Inspections!$D$4:$D$499,$B$5))</f>
        <v/>
      </c>
      <c r="D29" s="7" t="n"/>
    </row>
    <row r="30" ht="15" customHeight="1" s="45">
      <c r="A30" s="26" t="inlineStr">
        <is>
          <t>Weak MSRA</t>
        </is>
      </c>
      <c r="B30" s="7">
        <f>IF($B$4="","",COUNTIFS(Weekly_Inspections!$AP$4:$AP$499,$A30,Weekly_Inspections!$C$4:$C$499,$B$4))</f>
        <v/>
      </c>
      <c r="C30" s="7">
        <f>IF($B$5="","",COUNTIFS(Weekly_Inspections!$AP$4:$AP$499,$A30,Weekly_Inspections!$D$4:$D$499,$B$5))</f>
        <v/>
      </c>
      <c r="D30" s="7" t="n"/>
    </row>
    <row r="31" ht="15" customHeight="1" s="45">
      <c r="A31" s="26" t="inlineStr">
        <is>
          <t>Poor subcontractor control</t>
        </is>
      </c>
      <c r="B31" s="7">
        <f>IF($B$4="","",COUNTIFS(Weekly_Inspections!$AP$4:$AP$499,$A31,Weekly_Inspections!$C$4:$C$499,$B$4))</f>
        <v/>
      </c>
      <c r="C31" s="7">
        <f>IF($B$5="","",COUNTIFS(Weekly_Inspections!$AP$4:$AP$499,$A31,Weekly_Inspections!$D$4:$D$499,$B$5))</f>
        <v/>
      </c>
      <c r="D31" s="7" t="n"/>
    </row>
    <row r="32" ht="15" customHeight="1" s="45">
      <c r="A32" s="26" t="inlineStr">
        <is>
          <t>Resource constraint</t>
        </is>
      </c>
      <c r="B32" s="7">
        <f>IF($B$4="","",COUNTIFS(Weekly_Inspections!$AP$4:$AP$499,$A32,Weekly_Inspections!$C$4:$C$499,$B$4))</f>
        <v/>
      </c>
      <c r="C32" s="7">
        <f>IF($B$5="","",COUNTIFS(Weekly_Inspections!$AP$4:$AP$499,$A32,Weekly_Inspections!$D$4:$D$499,$B$5))</f>
        <v/>
      </c>
      <c r="D32" s="7" t="n"/>
    </row>
    <row r="33" ht="15" customHeight="1" s="45">
      <c r="A33" s="26" t="inlineStr">
        <is>
          <t>Inadequate competence</t>
        </is>
      </c>
      <c r="B33" s="7">
        <f>IF($B$4="","",COUNTIFS(Weekly_Inspections!$AP$4:$AP$499,$A33,Weekly_Inspections!$C$4:$C$499,$B$4))</f>
        <v/>
      </c>
      <c r="C33" s="7">
        <f>IF($B$5="","",COUNTIFS(Weekly_Inspections!$AP$4:$AP$499,$A33,Weekly_Inspections!$D$4:$D$499,$B$5))</f>
        <v/>
      </c>
      <c r="D33" s="7" t="n"/>
    </row>
    <row r="34" ht="15" customHeight="1" s="45">
      <c r="A34" s="26" t="inlineStr">
        <is>
          <t>Poor housekeeping culture</t>
        </is>
      </c>
      <c r="B34" s="7">
        <f>IF($B$4="","",COUNTIFS(Weekly_Inspections!$AP$4:$AP$499,$A34,Weekly_Inspections!$C$4:$C$499,$B$4))</f>
        <v/>
      </c>
      <c r="C34" s="7">
        <f>IF($B$5="","",COUNTIFS(Weekly_Inspections!$AP$4:$AP$499,$A34,Weekly_Inspections!$D$4:$D$499,$B$5))</f>
        <v/>
      </c>
      <c r="D34" s="7" t="n"/>
    </row>
    <row r="35" ht="15" customHeight="1" s="45">
      <c r="A35" s="26" t="inlineStr">
        <is>
          <t>Interface / simultaneous activity conflict</t>
        </is>
      </c>
      <c r="B35" s="7">
        <f>IF($B$4="","",COUNTIFS(Weekly_Inspections!$AP$4:$AP$499,$A35,Weekly_Inspections!$C$4:$C$499,$B$4))</f>
        <v/>
      </c>
      <c r="C35" s="7">
        <f>IF($B$5="","",COUNTIFS(Weekly_Inspections!$AP$4:$AP$499,$A35,Weekly_Inspections!$D$4:$D$499,$B$5))</f>
        <v/>
      </c>
      <c r="D35" s="7" t="n"/>
    </row>
    <row r="36" ht="15" customHeight="1" s="45">
      <c r="A36" s="26" t="inlineStr">
        <is>
          <t>Other</t>
        </is>
      </c>
      <c r="B36" s="7">
        <f>IF($B$4="","",COUNTIFS(Weekly_Inspections!$AP$4:$AP$499,$A36,Weekly_Inspections!$C$4:$C$499,$B$4))</f>
        <v/>
      </c>
      <c r="C36" s="7">
        <f>IF($B$5="","",COUNTIFS(Weekly_Inspections!$AP$4:$AP$499,$A36,Weekly_Inspections!$D$4:$D$499,$B$5))</f>
        <v/>
      </c>
      <c r="D36" s="7" t="n"/>
    </row>
  </sheetData>
  <mergeCells count="2">
    <mergeCell ref="A2:H2"/>
    <mergeCell ref="A1:H1"/>
  </mergeCells>
  <conditionalFormatting sqref="B8:E22">
    <cfRule type="colorScale" priority="2">
      <colorScale>
        <cfvo type="num" val="0"/>
        <cfvo type="num" val="2.5"/>
        <cfvo type="num" val="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96"/>
  <sheetViews>
    <sheetView showGridLines="0" workbookViewId="0">
      <selection activeCell="A1" sqref="A1"/>
    </sheetView>
  </sheetViews>
  <sheetFormatPr baseColWidth="8" defaultColWidth="8.6328125" defaultRowHeight="15"/>
  <cols>
    <col width="18" customWidth="1" style="45" min="1" max="1"/>
    <col width="13" customWidth="1" style="45" min="2" max="2"/>
    <col width="10" customWidth="1" style="45" min="3" max="3"/>
    <col width="16" customWidth="1" style="45" min="4" max="4"/>
    <col width="14" customWidth="1" style="45" min="5" max="5"/>
    <col width="28" customWidth="1" style="45" min="6" max="6"/>
    <col width="26" customWidth="1" style="45" min="7" max="7"/>
    <col width="22" customWidth="1" style="45" min="8" max="8"/>
    <col width="24" customWidth="1" style="45" min="9" max="10"/>
    <col width="18" customWidth="1" style="45" min="11" max="11"/>
    <col width="13" customWidth="1" style="45" min="12" max="12"/>
    <col width="14" customWidth="1" style="45" min="13" max="13"/>
    <col width="13" customWidth="1" style="45" min="14" max="14"/>
    <col width="10" customWidth="1" style="45" min="15" max="15"/>
    <col width="12" customWidth="1" style="45" min="16" max="16"/>
    <col width="22" customWidth="1" style="45" min="17" max="17"/>
  </cols>
  <sheetData>
    <row r="1" ht="24" customHeight="1" s="45">
      <c r="A1" s="34" t="inlineStr">
        <is>
          <t>Corrective and Preventive Action (CAPA) Tracker</t>
        </is>
      </c>
    </row>
    <row r="2" ht="36" customHeight="1" s="45">
      <c r="A2" s="35" t="inlineStr">
        <is>
          <t>Automated from Weekly_Inspections. Each inspection row with a recorded gap/action appears here automatically. Close Date can be updated manually if you want to mark an action closed.</t>
        </is>
      </c>
    </row>
    <row r="3" ht="33.75" customHeight="1" s="45">
      <c r="A3" s="5" t="inlineStr">
        <is>
          <t>Action_ID</t>
        </is>
      </c>
      <c r="B3" s="5" t="inlineStr">
        <is>
          <t>Date_Raised</t>
        </is>
      </c>
      <c r="C3" s="5" t="inlineStr">
        <is>
          <t>Package</t>
        </is>
      </c>
      <c r="D3" s="5" t="inlineStr">
        <is>
          <t>Cluster</t>
        </is>
      </c>
      <c r="E3" s="5" t="inlineStr">
        <is>
          <t>Contractor</t>
        </is>
      </c>
      <c r="F3" s="5" t="inlineStr">
        <is>
          <t>KPI_Area</t>
        </is>
      </c>
      <c r="G3" s="5" t="inlineStr">
        <is>
          <t>Finding</t>
        </is>
      </c>
      <c r="H3" s="5" t="inlineStr">
        <is>
          <t>Root_Cause</t>
        </is>
      </c>
      <c r="I3" s="5" t="inlineStr">
        <is>
          <t>Immediate_Action</t>
        </is>
      </c>
      <c r="J3" s="5" t="inlineStr">
        <is>
          <t>Preventive_Action</t>
        </is>
      </c>
      <c r="K3" s="5" t="inlineStr">
        <is>
          <t>Action_Owner</t>
        </is>
      </c>
      <c r="L3" s="5" t="inlineStr">
        <is>
          <t>Target_Date</t>
        </is>
      </c>
      <c r="M3" s="5" t="inlineStr">
        <is>
          <t>Status</t>
        </is>
      </c>
      <c r="N3" s="5" t="inlineStr">
        <is>
          <t>Close_Date</t>
        </is>
      </c>
      <c r="O3" s="5" t="inlineStr">
        <is>
          <t>Days_Open</t>
        </is>
      </c>
      <c r="P3" s="5" t="inlineStr">
        <is>
          <t>Overdue_Flag</t>
        </is>
      </c>
      <c r="Q3" s="5" t="inlineStr">
        <is>
          <t>Evidence_Link</t>
        </is>
      </c>
    </row>
    <row r="4" ht="125.5" customHeight="1" s="45">
      <c r="A4" s="28">
        <f>IF(Weekly_Inspections!$B4="","",Weekly_Inspections!$A4&amp;"-A1")</f>
        <v/>
      </c>
      <c r="B4" s="46">
        <f>Weekly_Inspections!$B4</f>
        <v/>
      </c>
      <c r="C4" s="30">
        <f>Weekly_Inspections!$E4</f>
        <v/>
      </c>
      <c r="D4" s="30">
        <f>Weekly_Inspections!$F4</f>
        <v/>
      </c>
      <c r="E4" s="28">
        <f>Weekly_Inspections!$H4</f>
        <v/>
      </c>
      <c r="F4" s="30">
        <f>IF(Weekly_Inspections!$AX4&lt;&gt;"",Weekly_Inspections!$AX4,IF(Weekly_Inspections!$AY4&lt;&gt;"",Weekly_Inspections!$AY4,IF(Weekly_Inspections!$AZ4&lt;&gt;"",Weekly_Inspections!$AZ4,IF(Weekly_Inspections!$BA4&lt;&gt;"",Weekly_Inspections!$BA4,IF(Weekly_Inspections!$BB4&lt;&gt;"",Weekly_Inspections!$BB4,Weekly_Inspections!$R4)))))</f>
        <v/>
      </c>
      <c r="G4" s="30">
        <f>IF(OR(Weekly_Inspections!$AQ4&lt;&gt;"",Weekly_Inspections!$AR4&lt;&gt;"",Weekly_Inspections!$AS4&lt;&gt;""),Weekly_Inspections!$AQ4,"")</f>
        <v/>
      </c>
      <c r="H4" s="30">
        <f>Weekly_Inspections!$AP4</f>
        <v/>
      </c>
      <c r="I4" s="30">
        <f>Weekly_Inspections!$AR4</f>
        <v/>
      </c>
      <c r="J4" s="30">
        <f>Weekly_Inspections!$AS4</f>
        <v/>
      </c>
      <c r="K4" s="30">
        <f>Weekly_Inspections!$AU4</f>
        <v/>
      </c>
      <c r="L4" s="46">
        <f>Weekly_Inspections!$AV4</f>
        <v/>
      </c>
      <c r="M4" s="30">
        <f>IF($B4="","",IF($N4&lt;&gt;"","Closed",IF(OR($G4&lt;&gt;"",$I4&lt;&gt;"",$J4&lt;&gt;""),"Open","")))</f>
        <v/>
      </c>
      <c r="N4" s="46" t="n"/>
      <c r="O4" s="28">
        <f>IF($B4="","",IF($M4="Closed",IF($N4="","",$N4-$B4),TODAY()-$B4))</f>
        <v/>
      </c>
      <c r="P4" s="28">
        <f>IF(OR($B4="",$L4="",$M4="Closed"),"",IF(TODAY()&gt;$L4,"YES","NO"))</f>
        <v/>
      </c>
      <c r="Q4" s="30">
        <f>Weekly_Inspections!$AW4</f>
        <v/>
      </c>
    </row>
    <row r="5" ht="15" customHeight="1" s="45">
      <c r="A5" s="28">
        <f>IF(Weekly_Inspections!$B5="","",Weekly_Inspections!$A5&amp;"-A1")</f>
        <v/>
      </c>
      <c r="B5" s="46">
        <f>Weekly_Inspections!$B5</f>
        <v/>
      </c>
      <c r="C5" s="30">
        <f>Weekly_Inspections!$E5</f>
        <v/>
      </c>
      <c r="D5" s="30">
        <f>Weekly_Inspections!$F5</f>
        <v/>
      </c>
      <c r="E5" s="28">
        <f>Weekly_Inspections!$H5</f>
        <v/>
      </c>
      <c r="F5" s="30">
        <f>IF(Weekly_Inspections!$AX5&lt;&gt;"",Weekly_Inspections!$AX5,IF(Weekly_Inspections!$AY5&lt;&gt;"",Weekly_Inspections!$AY5,IF(Weekly_Inspections!$AZ5&lt;&gt;"",Weekly_Inspections!$AZ5,IF(Weekly_Inspections!$BA5&lt;&gt;"",Weekly_Inspections!$BA5,IF(Weekly_Inspections!$BB5&lt;&gt;"",Weekly_Inspections!$BB5,Weekly_Inspections!$R5)))))</f>
        <v/>
      </c>
      <c r="G5" s="30">
        <f>IF(OR(Weekly_Inspections!$AQ5&lt;&gt;"",Weekly_Inspections!$AR5&lt;&gt;"",Weekly_Inspections!$AS5&lt;&gt;""),Weekly_Inspections!$AQ5,"")</f>
        <v/>
      </c>
      <c r="H5" s="30">
        <f>Weekly_Inspections!$AP5</f>
        <v/>
      </c>
      <c r="I5" s="30">
        <f>Weekly_Inspections!$AR5</f>
        <v/>
      </c>
      <c r="J5" s="30">
        <f>Weekly_Inspections!$AS5</f>
        <v/>
      </c>
      <c r="K5" s="30">
        <f>Weekly_Inspections!$AU5</f>
        <v/>
      </c>
      <c r="L5" s="46">
        <f>Weekly_Inspections!$AV5</f>
        <v/>
      </c>
      <c r="M5" s="30">
        <f>IF($B5="","",IF($N5&lt;&gt;"","Closed",IF(OR($G5&lt;&gt;"",$I5&lt;&gt;"",$J5&lt;&gt;""),"Open","")))</f>
        <v/>
      </c>
      <c r="N5" s="46" t="n"/>
      <c r="O5" s="28">
        <f>IF($B5="","",IF($M5="Closed",IF($N5="","",$N5-$B5),TODAY()-$B5))</f>
        <v/>
      </c>
      <c r="P5" s="28">
        <f>IF(OR($B5="",$L5="",$M5="Closed"),"",IF(TODAY()&gt;$L5,"YES","NO"))</f>
        <v/>
      </c>
      <c r="Q5" s="30">
        <f>Weekly_Inspections!$AW5</f>
        <v/>
      </c>
    </row>
    <row r="6" ht="15" customHeight="1" s="45">
      <c r="A6" s="28">
        <f>IF(Weekly_Inspections!$B6="","",Weekly_Inspections!$A6&amp;"-A1")</f>
        <v/>
      </c>
      <c r="B6" s="46">
        <f>Weekly_Inspections!$B6</f>
        <v/>
      </c>
      <c r="C6" s="30">
        <f>Weekly_Inspections!$E6</f>
        <v/>
      </c>
      <c r="D6" s="30">
        <f>Weekly_Inspections!$F6</f>
        <v/>
      </c>
      <c r="E6" s="28">
        <f>Weekly_Inspections!$H6</f>
        <v/>
      </c>
      <c r="F6" s="30">
        <f>IF(Weekly_Inspections!$AX6&lt;&gt;"",Weekly_Inspections!$AX6,IF(Weekly_Inspections!$AY6&lt;&gt;"",Weekly_Inspections!$AY6,IF(Weekly_Inspections!$AZ6&lt;&gt;"",Weekly_Inspections!$AZ6,IF(Weekly_Inspections!$BA6&lt;&gt;"",Weekly_Inspections!$BA6,IF(Weekly_Inspections!$BB6&lt;&gt;"",Weekly_Inspections!$BB6,Weekly_Inspections!$R6)))))</f>
        <v/>
      </c>
      <c r="G6" s="30">
        <f>IF(OR(Weekly_Inspections!$AQ6&lt;&gt;"",Weekly_Inspections!$AR6&lt;&gt;"",Weekly_Inspections!$AS6&lt;&gt;""),Weekly_Inspections!$AQ6,"")</f>
        <v/>
      </c>
      <c r="H6" s="30">
        <f>Weekly_Inspections!$AP6</f>
        <v/>
      </c>
      <c r="I6" s="30">
        <f>Weekly_Inspections!$AR6</f>
        <v/>
      </c>
      <c r="J6" s="30">
        <f>Weekly_Inspections!$AS6</f>
        <v/>
      </c>
      <c r="K6" s="30">
        <f>Weekly_Inspections!$AU6</f>
        <v/>
      </c>
      <c r="L6" s="46">
        <f>Weekly_Inspections!$AV6</f>
        <v/>
      </c>
      <c r="M6" s="30">
        <f>IF($B6="","",IF($N6&lt;&gt;"","Closed",IF(OR($G6&lt;&gt;"",$I6&lt;&gt;"",$J6&lt;&gt;""),"Open","")))</f>
        <v/>
      </c>
      <c r="N6" s="46" t="n"/>
      <c r="O6" s="28">
        <f>IF($B6="","",IF($M6="Closed",IF($N6="","",$N6-$B6),TODAY()-$B6))</f>
        <v/>
      </c>
      <c r="P6" s="28">
        <f>IF(OR($B6="",$L6="",$M6="Closed"),"",IF(TODAY()&gt;$L6,"YES","NO"))</f>
        <v/>
      </c>
      <c r="Q6" s="30">
        <f>Weekly_Inspections!$AW6</f>
        <v/>
      </c>
    </row>
    <row r="7" ht="15" customHeight="1" s="45">
      <c r="A7" s="28">
        <f>IF(Weekly_Inspections!$B7="","",Weekly_Inspections!$A7&amp;"-A1")</f>
        <v/>
      </c>
      <c r="B7" s="46">
        <f>Weekly_Inspections!$B7</f>
        <v/>
      </c>
      <c r="C7" s="30">
        <f>Weekly_Inspections!$E7</f>
        <v/>
      </c>
      <c r="D7" s="30">
        <f>Weekly_Inspections!$F7</f>
        <v/>
      </c>
      <c r="E7" s="28">
        <f>Weekly_Inspections!$H7</f>
        <v/>
      </c>
      <c r="F7" s="30">
        <f>IF(Weekly_Inspections!$AX7&lt;&gt;"",Weekly_Inspections!$AX7,IF(Weekly_Inspections!$AY7&lt;&gt;"",Weekly_Inspections!$AY7,IF(Weekly_Inspections!$AZ7&lt;&gt;"",Weekly_Inspections!$AZ7,IF(Weekly_Inspections!$BA7&lt;&gt;"",Weekly_Inspections!$BA7,IF(Weekly_Inspections!$BB7&lt;&gt;"",Weekly_Inspections!$BB7,Weekly_Inspections!$R7)))))</f>
        <v/>
      </c>
      <c r="G7" s="30">
        <f>IF(OR(Weekly_Inspections!$AQ7&lt;&gt;"",Weekly_Inspections!$AR7&lt;&gt;"",Weekly_Inspections!$AS7&lt;&gt;""),Weekly_Inspections!$AQ7,"")</f>
        <v/>
      </c>
      <c r="H7" s="30">
        <f>Weekly_Inspections!$AP7</f>
        <v/>
      </c>
      <c r="I7" s="30">
        <f>Weekly_Inspections!$AR7</f>
        <v/>
      </c>
      <c r="J7" s="30">
        <f>Weekly_Inspections!$AS7</f>
        <v/>
      </c>
      <c r="K7" s="30">
        <f>Weekly_Inspections!$AU7</f>
        <v/>
      </c>
      <c r="L7" s="46">
        <f>Weekly_Inspections!$AV7</f>
        <v/>
      </c>
      <c r="M7" s="30">
        <f>IF($B7="","",IF($N7&lt;&gt;"","Closed",IF(OR($G7&lt;&gt;"",$I7&lt;&gt;"",$J7&lt;&gt;""),"Open","")))</f>
        <v/>
      </c>
      <c r="N7" s="46" t="n"/>
      <c r="O7" s="28">
        <f>IF($B7="","",IF($M7="Closed",IF($N7="","",$N7-$B7),TODAY()-$B7))</f>
        <v/>
      </c>
      <c r="P7" s="28">
        <f>IF(OR($B7="",$L7="",$M7="Closed"),"",IF(TODAY()&gt;$L7,"YES","NO"))</f>
        <v/>
      </c>
      <c r="Q7" s="30">
        <f>Weekly_Inspections!$AW7</f>
        <v/>
      </c>
    </row>
    <row r="8" ht="15" customHeight="1" s="45">
      <c r="A8" s="28">
        <f>IF(Weekly_Inspections!$B8="","",Weekly_Inspections!$A8&amp;"-A1")</f>
        <v/>
      </c>
      <c r="B8" s="46">
        <f>Weekly_Inspections!$B8</f>
        <v/>
      </c>
      <c r="C8" s="30">
        <f>Weekly_Inspections!$E8</f>
        <v/>
      </c>
      <c r="D8" s="30">
        <f>Weekly_Inspections!$F8</f>
        <v/>
      </c>
      <c r="E8" s="28">
        <f>Weekly_Inspections!$H8</f>
        <v/>
      </c>
      <c r="F8" s="30">
        <f>IF(Weekly_Inspections!$AX8&lt;&gt;"",Weekly_Inspections!$AX8,IF(Weekly_Inspections!$AY8&lt;&gt;"",Weekly_Inspections!$AY8,IF(Weekly_Inspections!$AZ8&lt;&gt;"",Weekly_Inspections!$AZ8,IF(Weekly_Inspections!$BA8&lt;&gt;"",Weekly_Inspections!$BA8,IF(Weekly_Inspections!$BB8&lt;&gt;"",Weekly_Inspections!$BB8,Weekly_Inspections!$R8)))))</f>
        <v/>
      </c>
      <c r="G8" s="30">
        <f>IF(OR(Weekly_Inspections!$AQ8&lt;&gt;"",Weekly_Inspections!$AR8&lt;&gt;"",Weekly_Inspections!$AS8&lt;&gt;""),Weekly_Inspections!$AQ8,"")</f>
        <v/>
      </c>
      <c r="H8" s="30">
        <f>Weekly_Inspections!$AP8</f>
        <v/>
      </c>
      <c r="I8" s="30">
        <f>Weekly_Inspections!$AR8</f>
        <v/>
      </c>
      <c r="J8" s="30">
        <f>Weekly_Inspections!$AS8</f>
        <v/>
      </c>
      <c r="K8" s="30">
        <f>Weekly_Inspections!$AU8</f>
        <v/>
      </c>
      <c r="L8" s="46">
        <f>Weekly_Inspections!$AV8</f>
        <v/>
      </c>
      <c r="M8" s="30">
        <f>IF($B8="","",IF($N8&lt;&gt;"","Closed",IF(OR($G8&lt;&gt;"",$I8&lt;&gt;"",$J8&lt;&gt;""),"Open","")))</f>
        <v/>
      </c>
      <c r="N8" s="46" t="n"/>
      <c r="O8" s="28">
        <f>IF($B8="","",IF($M8="Closed",IF($N8="","",$N8-$B8),TODAY()-$B8))</f>
        <v/>
      </c>
      <c r="P8" s="28">
        <f>IF(OR($B8="",$L8="",$M8="Closed"),"",IF(TODAY()&gt;$L8,"YES","NO"))</f>
        <v/>
      </c>
      <c r="Q8" s="30">
        <f>Weekly_Inspections!$AW8</f>
        <v/>
      </c>
    </row>
    <row r="9" ht="15" customHeight="1" s="45">
      <c r="A9" s="28">
        <f>IF(Weekly_Inspections!$B9="","",Weekly_Inspections!$A9&amp;"-A1")</f>
        <v/>
      </c>
      <c r="B9" s="46">
        <f>Weekly_Inspections!$B9</f>
        <v/>
      </c>
      <c r="C9" s="30">
        <f>Weekly_Inspections!$E9</f>
        <v/>
      </c>
      <c r="D9" s="30">
        <f>Weekly_Inspections!$F9</f>
        <v/>
      </c>
      <c r="E9" s="28">
        <f>Weekly_Inspections!$H9</f>
        <v/>
      </c>
      <c r="F9" s="30">
        <f>IF(Weekly_Inspections!$AX9&lt;&gt;"",Weekly_Inspections!$AX9,IF(Weekly_Inspections!$AY9&lt;&gt;"",Weekly_Inspections!$AY9,IF(Weekly_Inspections!$AZ9&lt;&gt;"",Weekly_Inspections!$AZ9,IF(Weekly_Inspections!$BA9&lt;&gt;"",Weekly_Inspections!$BA9,IF(Weekly_Inspections!$BB9&lt;&gt;"",Weekly_Inspections!$BB9,Weekly_Inspections!$R9)))))</f>
        <v/>
      </c>
      <c r="G9" s="30">
        <f>IF(OR(Weekly_Inspections!$AQ9&lt;&gt;"",Weekly_Inspections!$AR9&lt;&gt;"",Weekly_Inspections!$AS9&lt;&gt;""),Weekly_Inspections!$AQ9,"")</f>
        <v/>
      </c>
      <c r="H9" s="30">
        <f>Weekly_Inspections!$AP9</f>
        <v/>
      </c>
      <c r="I9" s="30">
        <f>Weekly_Inspections!$AR9</f>
        <v/>
      </c>
      <c r="J9" s="30">
        <f>Weekly_Inspections!$AS9</f>
        <v/>
      </c>
      <c r="K9" s="30">
        <f>Weekly_Inspections!$AU9</f>
        <v/>
      </c>
      <c r="L9" s="46">
        <f>Weekly_Inspections!$AV9</f>
        <v/>
      </c>
      <c r="M9" s="30">
        <f>IF($B9="","",IF($N9&lt;&gt;"","Closed",IF(OR($G9&lt;&gt;"",$I9&lt;&gt;"",$J9&lt;&gt;""),"Open","")))</f>
        <v/>
      </c>
      <c r="N9" s="46" t="n"/>
      <c r="O9" s="28">
        <f>IF($B9="","",IF($M9="Closed",IF($N9="","",$N9-$B9),TODAY()-$B9))</f>
        <v/>
      </c>
      <c r="P9" s="28">
        <f>IF(OR($B9="",$L9="",$M9="Closed"),"",IF(TODAY()&gt;$L9,"YES","NO"))</f>
        <v/>
      </c>
      <c r="Q9" s="30">
        <f>Weekly_Inspections!$AW9</f>
        <v/>
      </c>
    </row>
    <row r="10" ht="15" customHeight="1" s="45">
      <c r="A10" s="28">
        <f>IF(Weekly_Inspections!$B10="","",Weekly_Inspections!$A10&amp;"-A1")</f>
        <v/>
      </c>
      <c r="B10" s="46">
        <f>Weekly_Inspections!$B10</f>
        <v/>
      </c>
      <c r="C10" s="30">
        <f>Weekly_Inspections!$E10</f>
        <v/>
      </c>
      <c r="D10" s="30">
        <f>Weekly_Inspections!$F10</f>
        <v/>
      </c>
      <c r="E10" s="28">
        <f>Weekly_Inspections!$H10</f>
        <v/>
      </c>
      <c r="F10" s="30">
        <f>IF(Weekly_Inspections!$AX10&lt;&gt;"",Weekly_Inspections!$AX10,IF(Weekly_Inspections!$AY10&lt;&gt;"",Weekly_Inspections!$AY10,IF(Weekly_Inspections!$AZ10&lt;&gt;"",Weekly_Inspections!$AZ10,IF(Weekly_Inspections!$BA10&lt;&gt;"",Weekly_Inspections!$BA10,IF(Weekly_Inspections!$BB10&lt;&gt;"",Weekly_Inspections!$BB10,Weekly_Inspections!$R10)))))</f>
        <v/>
      </c>
      <c r="G10" s="30">
        <f>IF(OR(Weekly_Inspections!$AQ10&lt;&gt;"",Weekly_Inspections!$AR10&lt;&gt;"",Weekly_Inspections!$AS10&lt;&gt;""),Weekly_Inspections!$AQ10,"")</f>
        <v/>
      </c>
      <c r="H10" s="30">
        <f>Weekly_Inspections!$AP10</f>
        <v/>
      </c>
      <c r="I10" s="30">
        <f>Weekly_Inspections!$AR10</f>
        <v/>
      </c>
      <c r="J10" s="30">
        <f>Weekly_Inspections!$AS10</f>
        <v/>
      </c>
      <c r="K10" s="30">
        <f>Weekly_Inspections!$AU10</f>
        <v/>
      </c>
      <c r="L10" s="46">
        <f>Weekly_Inspections!$AV10</f>
        <v/>
      </c>
      <c r="M10" s="30">
        <f>IF($B10="","",IF($N10&lt;&gt;"","Closed",IF(OR($G10&lt;&gt;"",$I10&lt;&gt;"",$J10&lt;&gt;""),"Open","")))</f>
        <v/>
      </c>
      <c r="N10" s="46" t="n"/>
      <c r="O10" s="28">
        <f>IF($B10="","",IF($M10="Closed",IF($N10="","",$N10-$B10),TODAY()-$B10))</f>
        <v/>
      </c>
      <c r="P10" s="28">
        <f>IF(OR($B10="",$L10="",$M10="Closed"),"",IF(TODAY()&gt;$L10,"YES","NO"))</f>
        <v/>
      </c>
      <c r="Q10" s="30">
        <f>Weekly_Inspections!$AW10</f>
        <v/>
      </c>
    </row>
    <row r="11" ht="15" customHeight="1" s="45">
      <c r="A11" s="28">
        <f>IF(Weekly_Inspections!$B11="","",Weekly_Inspections!$A11&amp;"-A1")</f>
        <v/>
      </c>
      <c r="B11" s="46">
        <f>Weekly_Inspections!$B11</f>
        <v/>
      </c>
      <c r="C11" s="30">
        <f>Weekly_Inspections!$E11</f>
        <v/>
      </c>
      <c r="D11" s="30">
        <f>Weekly_Inspections!$F11</f>
        <v/>
      </c>
      <c r="E11" s="28">
        <f>Weekly_Inspections!$H11</f>
        <v/>
      </c>
      <c r="F11" s="30">
        <f>IF(Weekly_Inspections!$AX11&lt;&gt;"",Weekly_Inspections!$AX11,IF(Weekly_Inspections!$AY11&lt;&gt;"",Weekly_Inspections!$AY11,IF(Weekly_Inspections!$AZ11&lt;&gt;"",Weekly_Inspections!$AZ11,IF(Weekly_Inspections!$BA11&lt;&gt;"",Weekly_Inspections!$BA11,IF(Weekly_Inspections!$BB11&lt;&gt;"",Weekly_Inspections!$BB11,Weekly_Inspections!$R11)))))</f>
        <v/>
      </c>
      <c r="G11" s="30">
        <f>IF(OR(Weekly_Inspections!$AQ11&lt;&gt;"",Weekly_Inspections!$AR11&lt;&gt;"",Weekly_Inspections!$AS11&lt;&gt;""),Weekly_Inspections!$AQ11,"")</f>
        <v/>
      </c>
      <c r="H11" s="30">
        <f>Weekly_Inspections!$AP11</f>
        <v/>
      </c>
      <c r="I11" s="30">
        <f>Weekly_Inspections!$AR11</f>
        <v/>
      </c>
      <c r="J11" s="30">
        <f>Weekly_Inspections!$AS11</f>
        <v/>
      </c>
      <c r="K11" s="30">
        <f>Weekly_Inspections!$AU11</f>
        <v/>
      </c>
      <c r="L11" s="46">
        <f>Weekly_Inspections!$AV11</f>
        <v/>
      </c>
      <c r="M11" s="30">
        <f>IF($B11="","",IF($N11&lt;&gt;"","Closed",IF(OR($G11&lt;&gt;"",$I11&lt;&gt;"",$J11&lt;&gt;""),"Open","")))</f>
        <v/>
      </c>
      <c r="N11" s="46" t="n"/>
      <c r="O11" s="28">
        <f>IF($B11="","",IF($M11="Closed",IF($N11="","",$N11-$B11),TODAY()-$B11))</f>
        <v/>
      </c>
      <c r="P11" s="28">
        <f>IF(OR($B11="",$L11="",$M11="Closed"),"",IF(TODAY()&gt;$L11,"YES","NO"))</f>
        <v/>
      </c>
      <c r="Q11" s="30">
        <f>Weekly_Inspections!$AW11</f>
        <v/>
      </c>
    </row>
    <row r="12" ht="15" customHeight="1" s="45">
      <c r="A12" s="28">
        <f>IF(Weekly_Inspections!$B12="","",Weekly_Inspections!$A12&amp;"-A1")</f>
        <v/>
      </c>
      <c r="B12" s="46">
        <f>Weekly_Inspections!$B12</f>
        <v/>
      </c>
      <c r="C12" s="30">
        <f>Weekly_Inspections!$E12</f>
        <v/>
      </c>
      <c r="D12" s="30">
        <f>Weekly_Inspections!$F12</f>
        <v/>
      </c>
      <c r="E12" s="28">
        <f>Weekly_Inspections!$H12</f>
        <v/>
      </c>
      <c r="F12" s="30">
        <f>IF(Weekly_Inspections!$AX12&lt;&gt;"",Weekly_Inspections!$AX12,IF(Weekly_Inspections!$AY12&lt;&gt;"",Weekly_Inspections!$AY12,IF(Weekly_Inspections!$AZ12&lt;&gt;"",Weekly_Inspections!$AZ12,IF(Weekly_Inspections!$BA12&lt;&gt;"",Weekly_Inspections!$BA12,IF(Weekly_Inspections!$BB12&lt;&gt;"",Weekly_Inspections!$BB12,Weekly_Inspections!$R12)))))</f>
        <v/>
      </c>
      <c r="G12" s="30">
        <f>IF(OR(Weekly_Inspections!$AQ12&lt;&gt;"",Weekly_Inspections!$AR12&lt;&gt;"",Weekly_Inspections!$AS12&lt;&gt;""),Weekly_Inspections!$AQ12,"")</f>
        <v/>
      </c>
      <c r="H12" s="30">
        <f>Weekly_Inspections!$AP12</f>
        <v/>
      </c>
      <c r="I12" s="30">
        <f>Weekly_Inspections!$AR12</f>
        <v/>
      </c>
      <c r="J12" s="30">
        <f>Weekly_Inspections!$AS12</f>
        <v/>
      </c>
      <c r="K12" s="30">
        <f>Weekly_Inspections!$AU12</f>
        <v/>
      </c>
      <c r="L12" s="46">
        <f>Weekly_Inspections!$AV12</f>
        <v/>
      </c>
      <c r="M12" s="30">
        <f>IF($B12="","",IF($N12&lt;&gt;"","Closed",IF(OR($G12&lt;&gt;"",$I12&lt;&gt;"",$J12&lt;&gt;""),"Open","")))</f>
        <v/>
      </c>
      <c r="N12" s="46" t="n"/>
      <c r="O12" s="28">
        <f>IF($B12="","",IF($M12="Closed",IF($N12="","",$N12-$B12),TODAY()-$B12))</f>
        <v/>
      </c>
      <c r="P12" s="28">
        <f>IF(OR($B12="",$L12="",$M12="Closed"),"",IF(TODAY()&gt;$L12,"YES","NO"))</f>
        <v/>
      </c>
      <c r="Q12" s="30">
        <f>Weekly_Inspections!$AW12</f>
        <v/>
      </c>
    </row>
    <row r="13" ht="15" customHeight="1" s="45">
      <c r="A13" s="28">
        <f>IF(Weekly_Inspections!$B13="","",Weekly_Inspections!$A13&amp;"-A1")</f>
        <v/>
      </c>
      <c r="B13" s="46">
        <f>Weekly_Inspections!$B13</f>
        <v/>
      </c>
      <c r="C13" s="30">
        <f>Weekly_Inspections!$E13</f>
        <v/>
      </c>
      <c r="D13" s="30">
        <f>Weekly_Inspections!$F13</f>
        <v/>
      </c>
      <c r="E13" s="28">
        <f>Weekly_Inspections!$H13</f>
        <v/>
      </c>
      <c r="F13" s="30">
        <f>IF(Weekly_Inspections!$AX13&lt;&gt;"",Weekly_Inspections!$AX13,IF(Weekly_Inspections!$AY13&lt;&gt;"",Weekly_Inspections!$AY13,IF(Weekly_Inspections!$AZ13&lt;&gt;"",Weekly_Inspections!$AZ13,IF(Weekly_Inspections!$BA13&lt;&gt;"",Weekly_Inspections!$BA13,IF(Weekly_Inspections!$BB13&lt;&gt;"",Weekly_Inspections!$BB13,Weekly_Inspections!$R13)))))</f>
        <v/>
      </c>
      <c r="G13" s="30">
        <f>IF(OR(Weekly_Inspections!$AQ13&lt;&gt;"",Weekly_Inspections!$AR13&lt;&gt;"",Weekly_Inspections!$AS13&lt;&gt;""),Weekly_Inspections!$AQ13,"")</f>
        <v/>
      </c>
      <c r="H13" s="30">
        <f>Weekly_Inspections!$AP13</f>
        <v/>
      </c>
      <c r="I13" s="30">
        <f>Weekly_Inspections!$AR13</f>
        <v/>
      </c>
      <c r="J13" s="30">
        <f>Weekly_Inspections!$AS13</f>
        <v/>
      </c>
      <c r="K13" s="30">
        <f>Weekly_Inspections!$AU13</f>
        <v/>
      </c>
      <c r="L13" s="46">
        <f>Weekly_Inspections!$AV13</f>
        <v/>
      </c>
      <c r="M13" s="30">
        <f>IF($B13="","",IF($N13&lt;&gt;"","Closed",IF(OR($G13&lt;&gt;"",$I13&lt;&gt;"",$J13&lt;&gt;""),"Open","")))</f>
        <v/>
      </c>
      <c r="N13" s="46" t="n"/>
      <c r="O13" s="28">
        <f>IF($B13="","",IF($M13="Closed",IF($N13="","",$N13-$B13),TODAY()-$B13))</f>
        <v/>
      </c>
      <c r="P13" s="28">
        <f>IF(OR($B13="",$L13="",$M13="Closed"),"",IF(TODAY()&gt;$L13,"YES","NO"))</f>
        <v/>
      </c>
      <c r="Q13" s="30">
        <f>Weekly_Inspections!$AW13</f>
        <v/>
      </c>
    </row>
    <row r="14" ht="15" customHeight="1" s="45">
      <c r="A14" s="28">
        <f>IF(Weekly_Inspections!$B14="","",Weekly_Inspections!$A14&amp;"-A1")</f>
        <v/>
      </c>
      <c r="B14" s="46">
        <f>Weekly_Inspections!$B14</f>
        <v/>
      </c>
      <c r="C14" s="30">
        <f>Weekly_Inspections!$E14</f>
        <v/>
      </c>
      <c r="D14" s="30">
        <f>Weekly_Inspections!$F14</f>
        <v/>
      </c>
      <c r="E14" s="28">
        <f>Weekly_Inspections!$H14</f>
        <v/>
      </c>
      <c r="F14" s="30">
        <f>IF(Weekly_Inspections!$AX14&lt;&gt;"",Weekly_Inspections!$AX14,IF(Weekly_Inspections!$AY14&lt;&gt;"",Weekly_Inspections!$AY14,IF(Weekly_Inspections!$AZ14&lt;&gt;"",Weekly_Inspections!$AZ14,IF(Weekly_Inspections!$BA14&lt;&gt;"",Weekly_Inspections!$BA14,IF(Weekly_Inspections!$BB14&lt;&gt;"",Weekly_Inspections!$BB14,Weekly_Inspections!$R14)))))</f>
        <v/>
      </c>
      <c r="G14" s="30">
        <f>IF(OR(Weekly_Inspections!$AQ14&lt;&gt;"",Weekly_Inspections!$AR14&lt;&gt;"",Weekly_Inspections!$AS14&lt;&gt;""),Weekly_Inspections!$AQ14,"")</f>
        <v/>
      </c>
      <c r="H14" s="30">
        <f>Weekly_Inspections!$AP14</f>
        <v/>
      </c>
      <c r="I14" s="30">
        <f>Weekly_Inspections!$AR14</f>
        <v/>
      </c>
      <c r="J14" s="30">
        <f>Weekly_Inspections!$AS14</f>
        <v/>
      </c>
      <c r="K14" s="30">
        <f>Weekly_Inspections!$AU14</f>
        <v/>
      </c>
      <c r="L14" s="46">
        <f>Weekly_Inspections!$AV14</f>
        <v/>
      </c>
      <c r="M14" s="30">
        <f>IF($B14="","",IF($N14&lt;&gt;"","Closed",IF(OR($G14&lt;&gt;"",$I14&lt;&gt;"",$J14&lt;&gt;""),"Open","")))</f>
        <v/>
      </c>
      <c r="N14" s="46" t="n"/>
      <c r="O14" s="28">
        <f>IF($B14="","",IF($M14="Closed",IF($N14="","",$N14-$B14),TODAY()-$B14))</f>
        <v/>
      </c>
      <c r="P14" s="28">
        <f>IF(OR($B14="",$L14="",$M14="Closed"),"",IF(TODAY()&gt;$L14,"YES","NO"))</f>
        <v/>
      </c>
      <c r="Q14" s="30">
        <f>Weekly_Inspections!$AW14</f>
        <v/>
      </c>
    </row>
    <row r="15" ht="15" customHeight="1" s="45">
      <c r="A15" s="28">
        <f>IF(Weekly_Inspections!$B15="","",Weekly_Inspections!$A15&amp;"-A1")</f>
        <v/>
      </c>
      <c r="B15" s="46">
        <f>Weekly_Inspections!$B15</f>
        <v/>
      </c>
      <c r="C15" s="30">
        <f>Weekly_Inspections!$E15</f>
        <v/>
      </c>
      <c r="D15" s="30">
        <f>Weekly_Inspections!$F15</f>
        <v/>
      </c>
      <c r="E15" s="28">
        <f>Weekly_Inspections!$H15</f>
        <v/>
      </c>
      <c r="F15" s="30">
        <f>IF(Weekly_Inspections!$AX15&lt;&gt;"",Weekly_Inspections!$AX15,IF(Weekly_Inspections!$AY15&lt;&gt;"",Weekly_Inspections!$AY15,IF(Weekly_Inspections!$AZ15&lt;&gt;"",Weekly_Inspections!$AZ15,IF(Weekly_Inspections!$BA15&lt;&gt;"",Weekly_Inspections!$BA15,IF(Weekly_Inspections!$BB15&lt;&gt;"",Weekly_Inspections!$BB15,Weekly_Inspections!$R15)))))</f>
        <v/>
      </c>
      <c r="G15" s="30">
        <f>IF(OR(Weekly_Inspections!$AQ15&lt;&gt;"",Weekly_Inspections!$AR15&lt;&gt;"",Weekly_Inspections!$AS15&lt;&gt;""),Weekly_Inspections!$AQ15,"")</f>
        <v/>
      </c>
      <c r="H15" s="30">
        <f>Weekly_Inspections!$AP15</f>
        <v/>
      </c>
      <c r="I15" s="30">
        <f>Weekly_Inspections!$AR15</f>
        <v/>
      </c>
      <c r="J15" s="30">
        <f>Weekly_Inspections!$AS15</f>
        <v/>
      </c>
      <c r="K15" s="30">
        <f>Weekly_Inspections!$AU15</f>
        <v/>
      </c>
      <c r="L15" s="46">
        <f>Weekly_Inspections!$AV15</f>
        <v/>
      </c>
      <c r="M15" s="30">
        <f>IF($B15="","",IF($N15&lt;&gt;"","Closed",IF(OR($G15&lt;&gt;"",$I15&lt;&gt;"",$J15&lt;&gt;""),"Open","")))</f>
        <v/>
      </c>
      <c r="N15" s="46" t="n"/>
      <c r="O15" s="28">
        <f>IF($B15="","",IF($M15="Closed",IF($N15="","",$N15-$B15),TODAY()-$B15))</f>
        <v/>
      </c>
      <c r="P15" s="28">
        <f>IF(OR($B15="",$L15="",$M15="Closed"),"",IF(TODAY()&gt;$L15,"YES","NO"))</f>
        <v/>
      </c>
      <c r="Q15" s="30">
        <f>Weekly_Inspections!$AW15</f>
        <v/>
      </c>
    </row>
    <row r="16" ht="15" customHeight="1" s="45">
      <c r="A16" s="28">
        <f>IF(Weekly_Inspections!$B16="","",Weekly_Inspections!$A16&amp;"-A1")</f>
        <v/>
      </c>
      <c r="B16" s="46">
        <f>Weekly_Inspections!$B16</f>
        <v/>
      </c>
      <c r="C16" s="30">
        <f>Weekly_Inspections!$E16</f>
        <v/>
      </c>
      <c r="D16" s="30">
        <f>Weekly_Inspections!$F16</f>
        <v/>
      </c>
      <c r="E16" s="28">
        <f>Weekly_Inspections!$H16</f>
        <v/>
      </c>
      <c r="F16" s="30">
        <f>IF(Weekly_Inspections!$AX16&lt;&gt;"",Weekly_Inspections!$AX16,IF(Weekly_Inspections!$AY16&lt;&gt;"",Weekly_Inspections!$AY16,IF(Weekly_Inspections!$AZ16&lt;&gt;"",Weekly_Inspections!$AZ16,IF(Weekly_Inspections!$BA16&lt;&gt;"",Weekly_Inspections!$BA16,IF(Weekly_Inspections!$BB16&lt;&gt;"",Weekly_Inspections!$BB16,Weekly_Inspections!$R16)))))</f>
        <v/>
      </c>
      <c r="G16" s="30">
        <f>IF(OR(Weekly_Inspections!$AQ16&lt;&gt;"",Weekly_Inspections!$AR16&lt;&gt;"",Weekly_Inspections!$AS16&lt;&gt;""),Weekly_Inspections!$AQ16,"")</f>
        <v/>
      </c>
      <c r="H16" s="30">
        <f>Weekly_Inspections!$AP16</f>
        <v/>
      </c>
      <c r="I16" s="30">
        <f>Weekly_Inspections!$AR16</f>
        <v/>
      </c>
      <c r="J16" s="30">
        <f>Weekly_Inspections!$AS16</f>
        <v/>
      </c>
      <c r="K16" s="30">
        <f>Weekly_Inspections!$AU16</f>
        <v/>
      </c>
      <c r="L16" s="46">
        <f>Weekly_Inspections!$AV16</f>
        <v/>
      </c>
      <c r="M16" s="30">
        <f>IF($B16="","",IF($N16&lt;&gt;"","Closed",IF(OR($G16&lt;&gt;"",$I16&lt;&gt;"",$J16&lt;&gt;""),"Open","")))</f>
        <v/>
      </c>
      <c r="N16" s="46" t="n"/>
      <c r="O16" s="28">
        <f>IF($B16="","",IF($M16="Closed",IF($N16="","",$N16-$B16),TODAY()-$B16))</f>
        <v/>
      </c>
      <c r="P16" s="28">
        <f>IF(OR($B16="",$L16="",$M16="Closed"),"",IF(TODAY()&gt;$L16,"YES","NO"))</f>
        <v/>
      </c>
      <c r="Q16" s="30">
        <f>Weekly_Inspections!$AW16</f>
        <v/>
      </c>
    </row>
    <row r="17" ht="15" customHeight="1" s="45">
      <c r="A17" s="28">
        <f>IF(Weekly_Inspections!$B17="","",Weekly_Inspections!$A17&amp;"-A1")</f>
        <v/>
      </c>
      <c r="B17" s="46">
        <f>Weekly_Inspections!$B17</f>
        <v/>
      </c>
      <c r="C17" s="30">
        <f>Weekly_Inspections!$E17</f>
        <v/>
      </c>
      <c r="D17" s="30">
        <f>Weekly_Inspections!$F17</f>
        <v/>
      </c>
      <c r="E17" s="28">
        <f>Weekly_Inspections!$H17</f>
        <v/>
      </c>
      <c r="F17" s="30">
        <f>IF(Weekly_Inspections!$AX17&lt;&gt;"",Weekly_Inspections!$AX17,IF(Weekly_Inspections!$AY17&lt;&gt;"",Weekly_Inspections!$AY17,IF(Weekly_Inspections!$AZ17&lt;&gt;"",Weekly_Inspections!$AZ17,IF(Weekly_Inspections!$BA17&lt;&gt;"",Weekly_Inspections!$BA17,IF(Weekly_Inspections!$BB17&lt;&gt;"",Weekly_Inspections!$BB17,Weekly_Inspections!$R17)))))</f>
        <v/>
      </c>
      <c r="G17" s="30">
        <f>IF(OR(Weekly_Inspections!$AQ17&lt;&gt;"",Weekly_Inspections!$AR17&lt;&gt;"",Weekly_Inspections!$AS17&lt;&gt;""),Weekly_Inspections!$AQ17,"")</f>
        <v/>
      </c>
      <c r="H17" s="30">
        <f>Weekly_Inspections!$AP17</f>
        <v/>
      </c>
      <c r="I17" s="30">
        <f>Weekly_Inspections!$AR17</f>
        <v/>
      </c>
      <c r="J17" s="30">
        <f>Weekly_Inspections!$AS17</f>
        <v/>
      </c>
      <c r="K17" s="30">
        <f>Weekly_Inspections!$AU17</f>
        <v/>
      </c>
      <c r="L17" s="46">
        <f>Weekly_Inspections!$AV17</f>
        <v/>
      </c>
      <c r="M17" s="30">
        <f>IF($B17="","",IF($N17&lt;&gt;"","Closed",IF(OR($G17&lt;&gt;"",$I17&lt;&gt;"",$J17&lt;&gt;""),"Open","")))</f>
        <v/>
      </c>
      <c r="N17" s="46" t="n"/>
      <c r="O17" s="28">
        <f>IF($B17="","",IF($M17="Closed",IF($N17="","",$N17-$B17),TODAY()-$B17))</f>
        <v/>
      </c>
      <c r="P17" s="28">
        <f>IF(OR($B17="",$L17="",$M17="Closed"),"",IF(TODAY()&gt;$L17,"YES","NO"))</f>
        <v/>
      </c>
      <c r="Q17" s="30">
        <f>Weekly_Inspections!$AW17</f>
        <v/>
      </c>
    </row>
    <row r="18" ht="15" customHeight="1" s="45">
      <c r="A18" s="28">
        <f>IF(Weekly_Inspections!$B18="","",Weekly_Inspections!$A18&amp;"-A1")</f>
        <v/>
      </c>
      <c r="B18" s="46">
        <f>Weekly_Inspections!$B18</f>
        <v/>
      </c>
      <c r="C18" s="30">
        <f>Weekly_Inspections!$E18</f>
        <v/>
      </c>
      <c r="D18" s="30">
        <f>Weekly_Inspections!$F18</f>
        <v/>
      </c>
      <c r="E18" s="28">
        <f>Weekly_Inspections!$H18</f>
        <v/>
      </c>
      <c r="F18" s="30">
        <f>IF(Weekly_Inspections!$AX18&lt;&gt;"",Weekly_Inspections!$AX18,IF(Weekly_Inspections!$AY18&lt;&gt;"",Weekly_Inspections!$AY18,IF(Weekly_Inspections!$AZ18&lt;&gt;"",Weekly_Inspections!$AZ18,IF(Weekly_Inspections!$BA18&lt;&gt;"",Weekly_Inspections!$BA18,IF(Weekly_Inspections!$BB18&lt;&gt;"",Weekly_Inspections!$BB18,Weekly_Inspections!$R18)))))</f>
        <v/>
      </c>
      <c r="G18" s="30">
        <f>IF(OR(Weekly_Inspections!$AQ18&lt;&gt;"",Weekly_Inspections!$AR18&lt;&gt;"",Weekly_Inspections!$AS18&lt;&gt;""),Weekly_Inspections!$AQ18,"")</f>
        <v/>
      </c>
      <c r="H18" s="30">
        <f>Weekly_Inspections!$AP18</f>
        <v/>
      </c>
      <c r="I18" s="30">
        <f>Weekly_Inspections!$AR18</f>
        <v/>
      </c>
      <c r="J18" s="30">
        <f>Weekly_Inspections!$AS18</f>
        <v/>
      </c>
      <c r="K18" s="30">
        <f>Weekly_Inspections!$AU18</f>
        <v/>
      </c>
      <c r="L18" s="46">
        <f>Weekly_Inspections!$AV18</f>
        <v/>
      </c>
      <c r="M18" s="30">
        <f>IF($B18="","",IF($N18&lt;&gt;"","Closed",IF(OR($G18&lt;&gt;"",$I18&lt;&gt;"",$J18&lt;&gt;""),"Open","")))</f>
        <v/>
      </c>
      <c r="N18" s="46" t="n"/>
      <c r="O18" s="28">
        <f>IF($B18="","",IF($M18="Closed",IF($N18="","",$N18-$B18),TODAY()-$B18))</f>
        <v/>
      </c>
      <c r="P18" s="28">
        <f>IF(OR($B18="",$L18="",$M18="Closed"),"",IF(TODAY()&gt;$L18,"YES","NO"))</f>
        <v/>
      </c>
      <c r="Q18" s="30">
        <f>Weekly_Inspections!$AW18</f>
        <v/>
      </c>
    </row>
    <row r="19" ht="15" customHeight="1" s="45">
      <c r="A19" s="28">
        <f>IF(Weekly_Inspections!$B19="","",Weekly_Inspections!$A19&amp;"-A1")</f>
        <v/>
      </c>
      <c r="B19" s="46">
        <f>Weekly_Inspections!$B19</f>
        <v/>
      </c>
      <c r="C19" s="30">
        <f>Weekly_Inspections!$E19</f>
        <v/>
      </c>
      <c r="D19" s="30">
        <f>Weekly_Inspections!$F19</f>
        <v/>
      </c>
      <c r="E19" s="28">
        <f>Weekly_Inspections!$H19</f>
        <v/>
      </c>
      <c r="F19" s="30">
        <f>IF(Weekly_Inspections!$AX19&lt;&gt;"",Weekly_Inspections!$AX19,IF(Weekly_Inspections!$AY19&lt;&gt;"",Weekly_Inspections!$AY19,IF(Weekly_Inspections!$AZ19&lt;&gt;"",Weekly_Inspections!$AZ19,IF(Weekly_Inspections!$BA19&lt;&gt;"",Weekly_Inspections!$BA19,IF(Weekly_Inspections!$BB19&lt;&gt;"",Weekly_Inspections!$BB19,Weekly_Inspections!$R19)))))</f>
        <v/>
      </c>
      <c r="G19" s="30">
        <f>IF(OR(Weekly_Inspections!$AQ19&lt;&gt;"",Weekly_Inspections!$AR19&lt;&gt;"",Weekly_Inspections!$AS19&lt;&gt;""),Weekly_Inspections!$AQ19,"")</f>
        <v/>
      </c>
      <c r="H19" s="30">
        <f>Weekly_Inspections!$AP19</f>
        <v/>
      </c>
      <c r="I19" s="30">
        <f>Weekly_Inspections!$AR19</f>
        <v/>
      </c>
      <c r="J19" s="30">
        <f>Weekly_Inspections!$AS19</f>
        <v/>
      </c>
      <c r="K19" s="30">
        <f>Weekly_Inspections!$AU19</f>
        <v/>
      </c>
      <c r="L19" s="46">
        <f>Weekly_Inspections!$AV19</f>
        <v/>
      </c>
      <c r="M19" s="30">
        <f>IF($B19="","",IF($N19&lt;&gt;"","Closed",IF(OR($G19&lt;&gt;"",$I19&lt;&gt;"",$J19&lt;&gt;""),"Open","")))</f>
        <v/>
      </c>
      <c r="N19" s="46" t="n"/>
      <c r="O19" s="28">
        <f>IF($B19="","",IF($M19="Closed",IF($N19="","",$N19-$B19),TODAY()-$B19))</f>
        <v/>
      </c>
      <c r="P19" s="28">
        <f>IF(OR($B19="",$L19="",$M19="Closed"),"",IF(TODAY()&gt;$L19,"YES","NO"))</f>
        <v/>
      </c>
      <c r="Q19" s="30">
        <f>Weekly_Inspections!$AW19</f>
        <v/>
      </c>
    </row>
    <row r="20" ht="15" customHeight="1" s="45">
      <c r="A20" s="28">
        <f>IF(Weekly_Inspections!$B20="","",Weekly_Inspections!$A20&amp;"-A1")</f>
        <v/>
      </c>
      <c r="B20" s="46">
        <f>Weekly_Inspections!$B20</f>
        <v/>
      </c>
      <c r="C20" s="30">
        <f>Weekly_Inspections!$E20</f>
        <v/>
      </c>
      <c r="D20" s="30">
        <f>Weekly_Inspections!$F20</f>
        <v/>
      </c>
      <c r="E20" s="28">
        <f>Weekly_Inspections!$H20</f>
        <v/>
      </c>
      <c r="F20" s="30">
        <f>IF(Weekly_Inspections!$AX20&lt;&gt;"",Weekly_Inspections!$AX20,IF(Weekly_Inspections!$AY20&lt;&gt;"",Weekly_Inspections!$AY20,IF(Weekly_Inspections!$AZ20&lt;&gt;"",Weekly_Inspections!$AZ20,IF(Weekly_Inspections!$BA20&lt;&gt;"",Weekly_Inspections!$BA20,IF(Weekly_Inspections!$BB20&lt;&gt;"",Weekly_Inspections!$BB20,Weekly_Inspections!$R20)))))</f>
        <v/>
      </c>
      <c r="G20" s="30">
        <f>IF(OR(Weekly_Inspections!$AQ20&lt;&gt;"",Weekly_Inspections!$AR20&lt;&gt;"",Weekly_Inspections!$AS20&lt;&gt;""),Weekly_Inspections!$AQ20,"")</f>
        <v/>
      </c>
      <c r="H20" s="30">
        <f>Weekly_Inspections!$AP20</f>
        <v/>
      </c>
      <c r="I20" s="30">
        <f>Weekly_Inspections!$AR20</f>
        <v/>
      </c>
      <c r="J20" s="30">
        <f>Weekly_Inspections!$AS20</f>
        <v/>
      </c>
      <c r="K20" s="30">
        <f>Weekly_Inspections!$AU20</f>
        <v/>
      </c>
      <c r="L20" s="46">
        <f>Weekly_Inspections!$AV20</f>
        <v/>
      </c>
      <c r="M20" s="30">
        <f>IF($B20="","",IF($N20&lt;&gt;"","Closed",IF(OR($G20&lt;&gt;"",$I20&lt;&gt;"",$J20&lt;&gt;""),"Open","")))</f>
        <v/>
      </c>
      <c r="N20" s="46" t="n"/>
      <c r="O20" s="28">
        <f>IF($B20="","",IF($M20="Closed",IF($N20="","",$N20-$B20),TODAY()-$B20))</f>
        <v/>
      </c>
      <c r="P20" s="28">
        <f>IF(OR($B20="",$L20="",$M20="Closed"),"",IF(TODAY()&gt;$L20,"YES","NO"))</f>
        <v/>
      </c>
      <c r="Q20" s="30">
        <f>Weekly_Inspections!$AW20</f>
        <v/>
      </c>
    </row>
    <row r="21" ht="15" customHeight="1" s="45">
      <c r="A21" s="28">
        <f>IF(Weekly_Inspections!$B21="","",Weekly_Inspections!$A21&amp;"-A1")</f>
        <v/>
      </c>
      <c r="B21" s="46">
        <f>Weekly_Inspections!$B21</f>
        <v/>
      </c>
      <c r="C21" s="30">
        <f>Weekly_Inspections!$E21</f>
        <v/>
      </c>
      <c r="D21" s="30">
        <f>Weekly_Inspections!$F21</f>
        <v/>
      </c>
      <c r="E21" s="28">
        <f>Weekly_Inspections!$H21</f>
        <v/>
      </c>
      <c r="F21" s="30">
        <f>IF(Weekly_Inspections!$AX21&lt;&gt;"",Weekly_Inspections!$AX21,IF(Weekly_Inspections!$AY21&lt;&gt;"",Weekly_Inspections!$AY21,IF(Weekly_Inspections!$AZ21&lt;&gt;"",Weekly_Inspections!$AZ21,IF(Weekly_Inspections!$BA21&lt;&gt;"",Weekly_Inspections!$BA21,IF(Weekly_Inspections!$BB21&lt;&gt;"",Weekly_Inspections!$BB21,Weekly_Inspections!$R21)))))</f>
        <v/>
      </c>
      <c r="G21" s="30">
        <f>IF(OR(Weekly_Inspections!$AQ21&lt;&gt;"",Weekly_Inspections!$AR21&lt;&gt;"",Weekly_Inspections!$AS21&lt;&gt;""),Weekly_Inspections!$AQ21,"")</f>
        <v/>
      </c>
      <c r="H21" s="30">
        <f>Weekly_Inspections!$AP21</f>
        <v/>
      </c>
      <c r="I21" s="30">
        <f>Weekly_Inspections!$AR21</f>
        <v/>
      </c>
      <c r="J21" s="30">
        <f>Weekly_Inspections!$AS21</f>
        <v/>
      </c>
      <c r="K21" s="30">
        <f>Weekly_Inspections!$AU21</f>
        <v/>
      </c>
      <c r="L21" s="46">
        <f>Weekly_Inspections!$AV21</f>
        <v/>
      </c>
      <c r="M21" s="30">
        <f>IF($B21="","",IF($N21&lt;&gt;"","Closed",IF(OR($G21&lt;&gt;"",$I21&lt;&gt;"",$J21&lt;&gt;""),"Open","")))</f>
        <v/>
      </c>
      <c r="N21" s="46" t="n"/>
      <c r="O21" s="28">
        <f>IF($B21="","",IF($M21="Closed",IF($N21="","",$N21-$B21),TODAY()-$B21))</f>
        <v/>
      </c>
      <c r="P21" s="28">
        <f>IF(OR($B21="",$L21="",$M21="Closed"),"",IF(TODAY()&gt;$L21,"YES","NO"))</f>
        <v/>
      </c>
      <c r="Q21" s="30">
        <f>Weekly_Inspections!$AW21</f>
        <v/>
      </c>
    </row>
    <row r="22" ht="15" customHeight="1" s="45">
      <c r="A22" s="28">
        <f>IF(Weekly_Inspections!$B22="","",Weekly_Inspections!$A22&amp;"-A1")</f>
        <v/>
      </c>
      <c r="B22" s="46">
        <f>Weekly_Inspections!$B22</f>
        <v/>
      </c>
      <c r="C22" s="30">
        <f>Weekly_Inspections!$E22</f>
        <v/>
      </c>
      <c r="D22" s="30">
        <f>Weekly_Inspections!$F22</f>
        <v/>
      </c>
      <c r="E22" s="28">
        <f>Weekly_Inspections!$H22</f>
        <v/>
      </c>
      <c r="F22" s="30">
        <f>IF(Weekly_Inspections!$AX22&lt;&gt;"",Weekly_Inspections!$AX22,IF(Weekly_Inspections!$AY22&lt;&gt;"",Weekly_Inspections!$AY22,IF(Weekly_Inspections!$AZ22&lt;&gt;"",Weekly_Inspections!$AZ22,IF(Weekly_Inspections!$BA22&lt;&gt;"",Weekly_Inspections!$BA22,IF(Weekly_Inspections!$BB22&lt;&gt;"",Weekly_Inspections!$BB22,Weekly_Inspections!$R22)))))</f>
        <v/>
      </c>
      <c r="G22" s="30">
        <f>IF(OR(Weekly_Inspections!$AQ22&lt;&gt;"",Weekly_Inspections!$AR22&lt;&gt;"",Weekly_Inspections!$AS22&lt;&gt;""),Weekly_Inspections!$AQ22,"")</f>
        <v/>
      </c>
      <c r="H22" s="30">
        <f>Weekly_Inspections!$AP22</f>
        <v/>
      </c>
      <c r="I22" s="30">
        <f>Weekly_Inspections!$AR22</f>
        <v/>
      </c>
      <c r="J22" s="30">
        <f>Weekly_Inspections!$AS22</f>
        <v/>
      </c>
      <c r="K22" s="30">
        <f>Weekly_Inspections!$AU22</f>
        <v/>
      </c>
      <c r="L22" s="46">
        <f>Weekly_Inspections!$AV22</f>
        <v/>
      </c>
      <c r="M22" s="30">
        <f>IF($B22="","",IF($N22&lt;&gt;"","Closed",IF(OR($G22&lt;&gt;"",$I22&lt;&gt;"",$J22&lt;&gt;""),"Open","")))</f>
        <v/>
      </c>
      <c r="N22" s="46" t="n"/>
      <c r="O22" s="28">
        <f>IF($B22="","",IF($M22="Closed",IF($N22="","",$N22-$B22),TODAY()-$B22))</f>
        <v/>
      </c>
      <c r="P22" s="28">
        <f>IF(OR($B22="",$L22="",$M22="Closed"),"",IF(TODAY()&gt;$L22,"YES","NO"))</f>
        <v/>
      </c>
      <c r="Q22" s="30">
        <f>Weekly_Inspections!$AW22</f>
        <v/>
      </c>
    </row>
    <row r="23" ht="15" customHeight="1" s="45">
      <c r="A23" s="28">
        <f>IF(Weekly_Inspections!$B23="","",Weekly_Inspections!$A23&amp;"-A1")</f>
        <v/>
      </c>
      <c r="B23" s="46">
        <f>Weekly_Inspections!$B23</f>
        <v/>
      </c>
      <c r="C23" s="30">
        <f>Weekly_Inspections!$E23</f>
        <v/>
      </c>
      <c r="D23" s="30">
        <f>Weekly_Inspections!$F23</f>
        <v/>
      </c>
      <c r="E23" s="28">
        <f>Weekly_Inspections!$H23</f>
        <v/>
      </c>
      <c r="F23" s="30">
        <f>IF(Weekly_Inspections!$AX23&lt;&gt;"",Weekly_Inspections!$AX23,IF(Weekly_Inspections!$AY23&lt;&gt;"",Weekly_Inspections!$AY23,IF(Weekly_Inspections!$AZ23&lt;&gt;"",Weekly_Inspections!$AZ23,IF(Weekly_Inspections!$BA23&lt;&gt;"",Weekly_Inspections!$BA23,IF(Weekly_Inspections!$BB23&lt;&gt;"",Weekly_Inspections!$BB23,Weekly_Inspections!$R23)))))</f>
        <v/>
      </c>
      <c r="G23" s="30">
        <f>IF(OR(Weekly_Inspections!$AQ23&lt;&gt;"",Weekly_Inspections!$AR23&lt;&gt;"",Weekly_Inspections!$AS23&lt;&gt;""),Weekly_Inspections!$AQ23,"")</f>
        <v/>
      </c>
      <c r="H23" s="30">
        <f>Weekly_Inspections!$AP23</f>
        <v/>
      </c>
      <c r="I23" s="30">
        <f>Weekly_Inspections!$AR23</f>
        <v/>
      </c>
      <c r="J23" s="30">
        <f>Weekly_Inspections!$AS23</f>
        <v/>
      </c>
      <c r="K23" s="30">
        <f>Weekly_Inspections!$AU23</f>
        <v/>
      </c>
      <c r="L23" s="46">
        <f>Weekly_Inspections!$AV23</f>
        <v/>
      </c>
      <c r="M23" s="30">
        <f>IF($B23="","",IF($N23&lt;&gt;"","Closed",IF(OR($G23&lt;&gt;"",$I23&lt;&gt;"",$J23&lt;&gt;""),"Open","")))</f>
        <v/>
      </c>
      <c r="N23" s="46" t="n"/>
      <c r="O23" s="28">
        <f>IF($B23="","",IF($M23="Closed",IF($N23="","",$N23-$B23),TODAY()-$B23))</f>
        <v/>
      </c>
      <c r="P23" s="28">
        <f>IF(OR($B23="",$L23="",$M23="Closed"),"",IF(TODAY()&gt;$L23,"YES","NO"))</f>
        <v/>
      </c>
      <c r="Q23" s="30">
        <f>Weekly_Inspections!$AW23</f>
        <v/>
      </c>
    </row>
    <row r="24" ht="15" customHeight="1" s="45">
      <c r="A24" s="28">
        <f>IF(Weekly_Inspections!$B24="","",Weekly_Inspections!$A24&amp;"-A1")</f>
        <v/>
      </c>
      <c r="B24" s="46">
        <f>Weekly_Inspections!$B24</f>
        <v/>
      </c>
      <c r="C24" s="30">
        <f>Weekly_Inspections!$E24</f>
        <v/>
      </c>
      <c r="D24" s="30">
        <f>Weekly_Inspections!$F24</f>
        <v/>
      </c>
      <c r="E24" s="28">
        <f>Weekly_Inspections!$H24</f>
        <v/>
      </c>
      <c r="F24" s="30">
        <f>IF(Weekly_Inspections!$AX24&lt;&gt;"",Weekly_Inspections!$AX24,IF(Weekly_Inspections!$AY24&lt;&gt;"",Weekly_Inspections!$AY24,IF(Weekly_Inspections!$AZ24&lt;&gt;"",Weekly_Inspections!$AZ24,IF(Weekly_Inspections!$BA24&lt;&gt;"",Weekly_Inspections!$BA24,IF(Weekly_Inspections!$BB24&lt;&gt;"",Weekly_Inspections!$BB24,Weekly_Inspections!$R24)))))</f>
        <v/>
      </c>
      <c r="G24" s="30">
        <f>IF(OR(Weekly_Inspections!$AQ24&lt;&gt;"",Weekly_Inspections!$AR24&lt;&gt;"",Weekly_Inspections!$AS24&lt;&gt;""),Weekly_Inspections!$AQ24,"")</f>
        <v/>
      </c>
      <c r="H24" s="30">
        <f>Weekly_Inspections!$AP24</f>
        <v/>
      </c>
      <c r="I24" s="30">
        <f>Weekly_Inspections!$AR24</f>
        <v/>
      </c>
      <c r="J24" s="30">
        <f>Weekly_Inspections!$AS24</f>
        <v/>
      </c>
      <c r="K24" s="30">
        <f>Weekly_Inspections!$AU24</f>
        <v/>
      </c>
      <c r="L24" s="46">
        <f>Weekly_Inspections!$AV24</f>
        <v/>
      </c>
      <c r="M24" s="30">
        <f>IF($B24="","",IF($N24&lt;&gt;"","Closed",IF(OR($G24&lt;&gt;"",$I24&lt;&gt;"",$J24&lt;&gt;""),"Open","")))</f>
        <v/>
      </c>
      <c r="N24" s="46" t="n"/>
      <c r="O24" s="28">
        <f>IF($B24="","",IF($M24="Closed",IF($N24="","",$N24-$B24),TODAY()-$B24))</f>
        <v/>
      </c>
      <c r="P24" s="28">
        <f>IF(OR($B24="",$L24="",$M24="Closed"),"",IF(TODAY()&gt;$L24,"YES","NO"))</f>
        <v/>
      </c>
      <c r="Q24" s="30">
        <f>Weekly_Inspections!$AW24</f>
        <v/>
      </c>
    </row>
    <row r="25" ht="15" customHeight="1" s="45">
      <c r="A25" s="28">
        <f>IF(Weekly_Inspections!$B25="","",Weekly_Inspections!$A25&amp;"-A1")</f>
        <v/>
      </c>
      <c r="B25" s="46">
        <f>Weekly_Inspections!$B25</f>
        <v/>
      </c>
      <c r="C25" s="30">
        <f>Weekly_Inspections!$E25</f>
        <v/>
      </c>
      <c r="D25" s="30">
        <f>Weekly_Inspections!$F25</f>
        <v/>
      </c>
      <c r="E25" s="28">
        <f>Weekly_Inspections!$H25</f>
        <v/>
      </c>
      <c r="F25" s="30">
        <f>IF(Weekly_Inspections!$AX25&lt;&gt;"",Weekly_Inspections!$AX25,IF(Weekly_Inspections!$AY25&lt;&gt;"",Weekly_Inspections!$AY25,IF(Weekly_Inspections!$AZ25&lt;&gt;"",Weekly_Inspections!$AZ25,IF(Weekly_Inspections!$BA25&lt;&gt;"",Weekly_Inspections!$BA25,IF(Weekly_Inspections!$BB25&lt;&gt;"",Weekly_Inspections!$BB25,Weekly_Inspections!$R25)))))</f>
        <v/>
      </c>
      <c r="G25" s="30">
        <f>IF(OR(Weekly_Inspections!$AQ25&lt;&gt;"",Weekly_Inspections!$AR25&lt;&gt;"",Weekly_Inspections!$AS25&lt;&gt;""),Weekly_Inspections!$AQ25,"")</f>
        <v/>
      </c>
      <c r="H25" s="30">
        <f>Weekly_Inspections!$AP25</f>
        <v/>
      </c>
      <c r="I25" s="30">
        <f>Weekly_Inspections!$AR25</f>
        <v/>
      </c>
      <c r="J25" s="30">
        <f>Weekly_Inspections!$AS25</f>
        <v/>
      </c>
      <c r="K25" s="30">
        <f>Weekly_Inspections!$AU25</f>
        <v/>
      </c>
      <c r="L25" s="46">
        <f>Weekly_Inspections!$AV25</f>
        <v/>
      </c>
      <c r="M25" s="30">
        <f>IF($B25="","",IF($N25&lt;&gt;"","Closed",IF(OR($G25&lt;&gt;"",$I25&lt;&gt;"",$J25&lt;&gt;""),"Open","")))</f>
        <v/>
      </c>
      <c r="N25" s="46" t="n"/>
      <c r="O25" s="28">
        <f>IF($B25="","",IF($M25="Closed",IF($N25="","",$N25-$B25),TODAY()-$B25))</f>
        <v/>
      </c>
      <c r="P25" s="28">
        <f>IF(OR($B25="",$L25="",$M25="Closed"),"",IF(TODAY()&gt;$L25,"YES","NO"))</f>
        <v/>
      </c>
      <c r="Q25" s="30">
        <f>Weekly_Inspections!$AW25</f>
        <v/>
      </c>
    </row>
    <row r="26" ht="15" customHeight="1" s="45">
      <c r="A26" s="28">
        <f>IF(Weekly_Inspections!$B26="","",Weekly_Inspections!$A26&amp;"-A1")</f>
        <v/>
      </c>
      <c r="B26" s="46">
        <f>Weekly_Inspections!$B26</f>
        <v/>
      </c>
      <c r="C26" s="30">
        <f>Weekly_Inspections!$E26</f>
        <v/>
      </c>
      <c r="D26" s="30">
        <f>Weekly_Inspections!$F26</f>
        <v/>
      </c>
      <c r="E26" s="28">
        <f>Weekly_Inspections!$H26</f>
        <v/>
      </c>
      <c r="F26" s="30">
        <f>IF(Weekly_Inspections!$AX26&lt;&gt;"",Weekly_Inspections!$AX26,IF(Weekly_Inspections!$AY26&lt;&gt;"",Weekly_Inspections!$AY26,IF(Weekly_Inspections!$AZ26&lt;&gt;"",Weekly_Inspections!$AZ26,IF(Weekly_Inspections!$BA26&lt;&gt;"",Weekly_Inspections!$BA26,IF(Weekly_Inspections!$BB26&lt;&gt;"",Weekly_Inspections!$BB26,Weekly_Inspections!$R26)))))</f>
        <v/>
      </c>
      <c r="G26" s="30">
        <f>IF(OR(Weekly_Inspections!$AQ26&lt;&gt;"",Weekly_Inspections!$AR26&lt;&gt;"",Weekly_Inspections!$AS26&lt;&gt;""),Weekly_Inspections!$AQ26,"")</f>
        <v/>
      </c>
      <c r="H26" s="30">
        <f>Weekly_Inspections!$AP26</f>
        <v/>
      </c>
      <c r="I26" s="30">
        <f>Weekly_Inspections!$AR26</f>
        <v/>
      </c>
      <c r="J26" s="30">
        <f>Weekly_Inspections!$AS26</f>
        <v/>
      </c>
      <c r="K26" s="30">
        <f>Weekly_Inspections!$AU26</f>
        <v/>
      </c>
      <c r="L26" s="46">
        <f>Weekly_Inspections!$AV26</f>
        <v/>
      </c>
      <c r="M26" s="30">
        <f>IF($B26="","",IF($N26&lt;&gt;"","Closed",IF(OR($G26&lt;&gt;"",$I26&lt;&gt;"",$J26&lt;&gt;""),"Open","")))</f>
        <v/>
      </c>
      <c r="N26" s="46" t="n"/>
      <c r="O26" s="28">
        <f>IF($B26="","",IF($M26="Closed",IF($N26="","",$N26-$B26),TODAY()-$B26))</f>
        <v/>
      </c>
      <c r="P26" s="28">
        <f>IF(OR($B26="",$L26="",$M26="Closed"),"",IF(TODAY()&gt;$L26,"YES","NO"))</f>
        <v/>
      </c>
      <c r="Q26" s="30">
        <f>Weekly_Inspections!$AW26</f>
        <v/>
      </c>
    </row>
    <row r="27" ht="15" customHeight="1" s="45">
      <c r="A27" s="28">
        <f>IF(Weekly_Inspections!$B27="","",Weekly_Inspections!$A27&amp;"-A1")</f>
        <v/>
      </c>
      <c r="B27" s="46">
        <f>Weekly_Inspections!$B27</f>
        <v/>
      </c>
      <c r="C27" s="30">
        <f>Weekly_Inspections!$E27</f>
        <v/>
      </c>
      <c r="D27" s="30">
        <f>Weekly_Inspections!$F27</f>
        <v/>
      </c>
      <c r="E27" s="28">
        <f>Weekly_Inspections!$H27</f>
        <v/>
      </c>
      <c r="F27" s="30">
        <f>IF(Weekly_Inspections!$AX27&lt;&gt;"",Weekly_Inspections!$AX27,IF(Weekly_Inspections!$AY27&lt;&gt;"",Weekly_Inspections!$AY27,IF(Weekly_Inspections!$AZ27&lt;&gt;"",Weekly_Inspections!$AZ27,IF(Weekly_Inspections!$BA27&lt;&gt;"",Weekly_Inspections!$BA27,IF(Weekly_Inspections!$BB27&lt;&gt;"",Weekly_Inspections!$BB27,Weekly_Inspections!$R27)))))</f>
        <v/>
      </c>
      <c r="G27" s="30">
        <f>IF(OR(Weekly_Inspections!$AQ27&lt;&gt;"",Weekly_Inspections!$AR27&lt;&gt;"",Weekly_Inspections!$AS27&lt;&gt;""),Weekly_Inspections!$AQ27,"")</f>
        <v/>
      </c>
      <c r="H27" s="30">
        <f>Weekly_Inspections!$AP27</f>
        <v/>
      </c>
      <c r="I27" s="30">
        <f>Weekly_Inspections!$AR27</f>
        <v/>
      </c>
      <c r="J27" s="30">
        <f>Weekly_Inspections!$AS27</f>
        <v/>
      </c>
      <c r="K27" s="30">
        <f>Weekly_Inspections!$AU27</f>
        <v/>
      </c>
      <c r="L27" s="46">
        <f>Weekly_Inspections!$AV27</f>
        <v/>
      </c>
      <c r="M27" s="30">
        <f>IF($B27="","",IF($N27&lt;&gt;"","Closed",IF(OR($G27&lt;&gt;"",$I27&lt;&gt;"",$J27&lt;&gt;""),"Open","")))</f>
        <v/>
      </c>
      <c r="N27" s="46" t="n"/>
      <c r="O27" s="28">
        <f>IF($B27="","",IF($M27="Closed",IF($N27="","",$N27-$B27),TODAY()-$B27))</f>
        <v/>
      </c>
      <c r="P27" s="28">
        <f>IF(OR($B27="",$L27="",$M27="Closed"),"",IF(TODAY()&gt;$L27,"YES","NO"))</f>
        <v/>
      </c>
      <c r="Q27" s="30">
        <f>Weekly_Inspections!$AW27</f>
        <v/>
      </c>
    </row>
    <row r="28" ht="15" customHeight="1" s="45">
      <c r="A28" s="28">
        <f>IF(Weekly_Inspections!$B28="","",Weekly_Inspections!$A28&amp;"-A1")</f>
        <v/>
      </c>
      <c r="B28" s="46">
        <f>Weekly_Inspections!$B28</f>
        <v/>
      </c>
      <c r="C28" s="30">
        <f>Weekly_Inspections!$E28</f>
        <v/>
      </c>
      <c r="D28" s="30">
        <f>Weekly_Inspections!$F28</f>
        <v/>
      </c>
      <c r="E28" s="28">
        <f>Weekly_Inspections!$H28</f>
        <v/>
      </c>
      <c r="F28" s="30">
        <f>IF(Weekly_Inspections!$AX28&lt;&gt;"",Weekly_Inspections!$AX28,IF(Weekly_Inspections!$AY28&lt;&gt;"",Weekly_Inspections!$AY28,IF(Weekly_Inspections!$AZ28&lt;&gt;"",Weekly_Inspections!$AZ28,IF(Weekly_Inspections!$BA28&lt;&gt;"",Weekly_Inspections!$BA28,IF(Weekly_Inspections!$BB28&lt;&gt;"",Weekly_Inspections!$BB28,Weekly_Inspections!$R28)))))</f>
        <v/>
      </c>
      <c r="G28" s="30">
        <f>IF(OR(Weekly_Inspections!$AQ28&lt;&gt;"",Weekly_Inspections!$AR28&lt;&gt;"",Weekly_Inspections!$AS28&lt;&gt;""),Weekly_Inspections!$AQ28,"")</f>
        <v/>
      </c>
      <c r="H28" s="30">
        <f>Weekly_Inspections!$AP28</f>
        <v/>
      </c>
      <c r="I28" s="30">
        <f>Weekly_Inspections!$AR28</f>
        <v/>
      </c>
      <c r="J28" s="30">
        <f>Weekly_Inspections!$AS28</f>
        <v/>
      </c>
      <c r="K28" s="30">
        <f>Weekly_Inspections!$AU28</f>
        <v/>
      </c>
      <c r="L28" s="46">
        <f>Weekly_Inspections!$AV28</f>
        <v/>
      </c>
      <c r="M28" s="30">
        <f>IF($B28="","",IF($N28&lt;&gt;"","Closed",IF(OR($G28&lt;&gt;"",$I28&lt;&gt;"",$J28&lt;&gt;""),"Open","")))</f>
        <v/>
      </c>
      <c r="N28" s="46" t="n"/>
      <c r="O28" s="28">
        <f>IF($B28="","",IF($M28="Closed",IF($N28="","",$N28-$B28),TODAY()-$B28))</f>
        <v/>
      </c>
      <c r="P28" s="28">
        <f>IF(OR($B28="",$L28="",$M28="Closed"),"",IF(TODAY()&gt;$L28,"YES","NO"))</f>
        <v/>
      </c>
      <c r="Q28" s="30">
        <f>Weekly_Inspections!$AW28</f>
        <v/>
      </c>
    </row>
    <row r="29" ht="15" customHeight="1" s="45">
      <c r="A29" s="28">
        <f>IF(Weekly_Inspections!$B29="","",Weekly_Inspections!$A29&amp;"-A1")</f>
        <v/>
      </c>
      <c r="B29" s="46">
        <f>Weekly_Inspections!$B29</f>
        <v/>
      </c>
      <c r="C29" s="30">
        <f>Weekly_Inspections!$E29</f>
        <v/>
      </c>
      <c r="D29" s="30">
        <f>Weekly_Inspections!$F29</f>
        <v/>
      </c>
      <c r="E29" s="28">
        <f>Weekly_Inspections!$H29</f>
        <v/>
      </c>
      <c r="F29" s="30">
        <f>IF(Weekly_Inspections!$AX29&lt;&gt;"",Weekly_Inspections!$AX29,IF(Weekly_Inspections!$AY29&lt;&gt;"",Weekly_Inspections!$AY29,IF(Weekly_Inspections!$AZ29&lt;&gt;"",Weekly_Inspections!$AZ29,IF(Weekly_Inspections!$BA29&lt;&gt;"",Weekly_Inspections!$BA29,IF(Weekly_Inspections!$BB29&lt;&gt;"",Weekly_Inspections!$BB29,Weekly_Inspections!$R29)))))</f>
        <v/>
      </c>
      <c r="G29" s="30">
        <f>IF(OR(Weekly_Inspections!$AQ29&lt;&gt;"",Weekly_Inspections!$AR29&lt;&gt;"",Weekly_Inspections!$AS29&lt;&gt;""),Weekly_Inspections!$AQ29,"")</f>
        <v/>
      </c>
      <c r="H29" s="30">
        <f>Weekly_Inspections!$AP29</f>
        <v/>
      </c>
      <c r="I29" s="30">
        <f>Weekly_Inspections!$AR29</f>
        <v/>
      </c>
      <c r="J29" s="30">
        <f>Weekly_Inspections!$AS29</f>
        <v/>
      </c>
      <c r="K29" s="30">
        <f>Weekly_Inspections!$AU29</f>
        <v/>
      </c>
      <c r="L29" s="46">
        <f>Weekly_Inspections!$AV29</f>
        <v/>
      </c>
      <c r="M29" s="30">
        <f>IF($B29="","",IF($N29&lt;&gt;"","Closed",IF(OR($G29&lt;&gt;"",$I29&lt;&gt;"",$J29&lt;&gt;""),"Open","")))</f>
        <v/>
      </c>
      <c r="N29" s="46" t="n"/>
      <c r="O29" s="28">
        <f>IF($B29="","",IF($M29="Closed",IF($N29="","",$N29-$B29),TODAY()-$B29))</f>
        <v/>
      </c>
      <c r="P29" s="28">
        <f>IF(OR($B29="",$L29="",$M29="Closed"),"",IF(TODAY()&gt;$L29,"YES","NO"))</f>
        <v/>
      </c>
      <c r="Q29" s="30">
        <f>Weekly_Inspections!$AW29</f>
        <v/>
      </c>
    </row>
    <row r="30" ht="15" customHeight="1" s="45">
      <c r="A30" s="28">
        <f>IF(Weekly_Inspections!$B30="","",Weekly_Inspections!$A30&amp;"-A1")</f>
        <v/>
      </c>
      <c r="B30" s="46">
        <f>Weekly_Inspections!$B30</f>
        <v/>
      </c>
      <c r="C30" s="30">
        <f>Weekly_Inspections!$E30</f>
        <v/>
      </c>
      <c r="D30" s="30">
        <f>Weekly_Inspections!$F30</f>
        <v/>
      </c>
      <c r="E30" s="28">
        <f>Weekly_Inspections!$H30</f>
        <v/>
      </c>
      <c r="F30" s="30">
        <f>IF(Weekly_Inspections!$AX30&lt;&gt;"",Weekly_Inspections!$AX30,IF(Weekly_Inspections!$AY30&lt;&gt;"",Weekly_Inspections!$AY30,IF(Weekly_Inspections!$AZ30&lt;&gt;"",Weekly_Inspections!$AZ30,IF(Weekly_Inspections!$BA30&lt;&gt;"",Weekly_Inspections!$BA30,IF(Weekly_Inspections!$BB30&lt;&gt;"",Weekly_Inspections!$BB30,Weekly_Inspections!$R30)))))</f>
        <v/>
      </c>
      <c r="G30" s="30">
        <f>IF(OR(Weekly_Inspections!$AQ30&lt;&gt;"",Weekly_Inspections!$AR30&lt;&gt;"",Weekly_Inspections!$AS30&lt;&gt;""),Weekly_Inspections!$AQ30,"")</f>
        <v/>
      </c>
      <c r="H30" s="30">
        <f>Weekly_Inspections!$AP30</f>
        <v/>
      </c>
      <c r="I30" s="30">
        <f>Weekly_Inspections!$AR30</f>
        <v/>
      </c>
      <c r="J30" s="30">
        <f>Weekly_Inspections!$AS30</f>
        <v/>
      </c>
      <c r="K30" s="30">
        <f>Weekly_Inspections!$AU30</f>
        <v/>
      </c>
      <c r="L30" s="46">
        <f>Weekly_Inspections!$AV30</f>
        <v/>
      </c>
      <c r="M30" s="30">
        <f>IF($B30="","",IF($N30&lt;&gt;"","Closed",IF(OR($G30&lt;&gt;"",$I30&lt;&gt;"",$J30&lt;&gt;""),"Open","")))</f>
        <v/>
      </c>
      <c r="N30" s="46" t="n"/>
      <c r="O30" s="28">
        <f>IF($B30="","",IF($M30="Closed",IF($N30="","",$N30-$B30),TODAY()-$B30))</f>
        <v/>
      </c>
      <c r="P30" s="28">
        <f>IF(OR($B30="",$L30="",$M30="Closed"),"",IF(TODAY()&gt;$L30,"YES","NO"))</f>
        <v/>
      </c>
      <c r="Q30" s="30">
        <f>Weekly_Inspections!$AW30</f>
        <v/>
      </c>
    </row>
    <row r="31" ht="15" customHeight="1" s="45">
      <c r="A31" s="28">
        <f>IF(Weekly_Inspections!$B31="","",Weekly_Inspections!$A31&amp;"-A1")</f>
        <v/>
      </c>
      <c r="B31" s="46">
        <f>Weekly_Inspections!$B31</f>
        <v/>
      </c>
      <c r="C31" s="30">
        <f>Weekly_Inspections!$E31</f>
        <v/>
      </c>
      <c r="D31" s="30">
        <f>Weekly_Inspections!$F31</f>
        <v/>
      </c>
      <c r="E31" s="28">
        <f>Weekly_Inspections!$H31</f>
        <v/>
      </c>
      <c r="F31" s="30">
        <f>IF(Weekly_Inspections!$AX31&lt;&gt;"",Weekly_Inspections!$AX31,IF(Weekly_Inspections!$AY31&lt;&gt;"",Weekly_Inspections!$AY31,IF(Weekly_Inspections!$AZ31&lt;&gt;"",Weekly_Inspections!$AZ31,IF(Weekly_Inspections!$BA31&lt;&gt;"",Weekly_Inspections!$BA31,IF(Weekly_Inspections!$BB31&lt;&gt;"",Weekly_Inspections!$BB31,Weekly_Inspections!$R31)))))</f>
        <v/>
      </c>
      <c r="G31" s="30">
        <f>IF(OR(Weekly_Inspections!$AQ31&lt;&gt;"",Weekly_Inspections!$AR31&lt;&gt;"",Weekly_Inspections!$AS31&lt;&gt;""),Weekly_Inspections!$AQ31,"")</f>
        <v/>
      </c>
      <c r="H31" s="30">
        <f>Weekly_Inspections!$AP31</f>
        <v/>
      </c>
      <c r="I31" s="30">
        <f>Weekly_Inspections!$AR31</f>
        <v/>
      </c>
      <c r="J31" s="30">
        <f>Weekly_Inspections!$AS31</f>
        <v/>
      </c>
      <c r="K31" s="30">
        <f>Weekly_Inspections!$AU31</f>
        <v/>
      </c>
      <c r="L31" s="46">
        <f>Weekly_Inspections!$AV31</f>
        <v/>
      </c>
      <c r="M31" s="30">
        <f>IF($B31="","",IF($N31&lt;&gt;"","Closed",IF(OR($G31&lt;&gt;"",$I31&lt;&gt;"",$J31&lt;&gt;""),"Open","")))</f>
        <v/>
      </c>
      <c r="N31" s="46" t="n"/>
      <c r="O31" s="28">
        <f>IF($B31="","",IF($M31="Closed",IF($N31="","",$N31-$B31),TODAY()-$B31))</f>
        <v/>
      </c>
      <c r="P31" s="28">
        <f>IF(OR($B31="",$L31="",$M31="Closed"),"",IF(TODAY()&gt;$L31,"YES","NO"))</f>
        <v/>
      </c>
      <c r="Q31" s="30">
        <f>Weekly_Inspections!$AW31</f>
        <v/>
      </c>
    </row>
    <row r="32" ht="15" customHeight="1" s="45">
      <c r="A32" s="28">
        <f>IF(Weekly_Inspections!$B32="","",Weekly_Inspections!$A32&amp;"-A1")</f>
        <v/>
      </c>
      <c r="B32" s="46">
        <f>Weekly_Inspections!$B32</f>
        <v/>
      </c>
      <c r="C32" s="30">
        <f>Weekly_Inspections!$E32</f>
        <v/>
      </c>
      <c r="D32" s="30">
        <f>Weekly_Inspections!$F32</f>
        <v/>
      </c>
      <c r="E32" s="28">
        <f>Weekly_Inspections!$H32</f>
        <v/>
      </c>
      <c r="F32" s="30">
        <f>IF(Weekly_Inspections!$AX32&lt;&gt;"",Weekly_Inspections!$AX32,IF(Weekly_Inspections!$AY32&lt;&gt;"",Weekly_Inspections!$AY32,IF(Weekly_Inspections!$AZ32&lt;&gt;"",Weekly_Inspections!$AZ32,IF(Weekly_Inspections!$BA32&lt;&gt;"",Weekly_Inspections!$BA32,IF(Weekly_Inspections!$BB32&lt;&gt;"",Weekly_Inspections!$BB32,Weekly_Inspections!$R32)))))</f>
        <v/>
      </c>
      <c r="G32" s="30">
        <f>IF(OR(Weekly_Inspections!$AQ32&lt;&gt;"",Weekly_Inspections!$AR32&lt;&gt;"",Weekly_Inspections!$AS32&lt;&gt;""),Weekly_Inspections!$AQ32,"")</f>
        <v/>
      </c>
      <c r="H32" s="30">
        <f>Weekly_Inspections!$AP32</f>
        <v/>
      </c>
      <c r="I32" s="30">
        <f>Weekly_Inspections!$AR32</f>
        <v/>
      </c>
      <c r="J32" s="30">
        <f>Weekly_Inspections!$AS32</f>
        <v/>
      </c>
      <c r="K32" s="30">
        <f>Weekly_Inspections!$AU32</f>
        <v/>
      </c>
      <c r="L32" s="46">
        <f>Weekly_Inspections!$AV32</f>
        <v/>
      </c>
      <c r="M32" s="30">
        <f>IF($B32="","",IF($N32&lt;&gt;"","Closed",IF(OR($G32&lt;&gt;"",$I32&lt;&gt;"",$J32&lt;&gt;""),"Open","")))</f>
        <v/>
      </c>
      <c r="N32" s="46" t="n"/>
      <c r="O32" s="28">
        <f>IF($B32="","",IF($M32="Closed",IF($N32="","",$N32-$B32),TODAY()-$B32))</f>
        <v/>
      </c>
      <c r="P32" s="28">
        <f>IF(OR($B32="",$L32="",$M32="Closed"),"",IF(TODAY()&gt;$L32,"YES","NO"))</f>
        <v/>
      </c>
      <c r="Q32" s="30">
        <f>Weekly_Inspections!$AW32</f>
        <v/>
      </c>
    </row>
    <row r="33" ht="15" customHeight="1" s="45">
      <c r="A33" s="28">
        <f>IF(Weekly_Inspections!$B33="","",Weekly_Inspections!$A33&amp;"-A1")</f>
        <v/>
      </c>
      <c r="B33" s="46">
        <f>Weekly_Inspections!$B33</f>
        <v/>
      </c>
      <c r="C33" s="30">
        <f>Weekly_Inspections!$E33</f>
        <v/>
      </c>
      <c r="D33" s="30">
        <f>Weekly_Inspections!$F33</f>
        <v/>
      </c>
      <c r="E33" s="28">
        <f>Weekly_Inspections!$H33</f>
        <v/>
      </c>
      <c r="F33" s="30">
        <f>IF(Weekly_Inspections!$AX33&lt;&gt;"",Weekly_Inspections!$AX33,IF(Weekly_Inspections!$AY33&lt;&gt;"",Weekly_Inspections!$AY33,IF(Weekly_Inspections!$AZ33&lt;&gt;"",Weekly_Inspections!$AZ33,IF(Weekly_Inspections!$BA33&lt;&gt;"",Weekly_Inspections!$BA33,IF(Weekly_Inspections!$BB33&lt;&gt;"",Weekly_Inspections!$BB33,Weekly_Inspections!$R33)))))</f>
        <v/>
      </c>
      <c r="G33" s="30">
        <f>IF(OR(Weekly_Inspections!$AQ33&lt;&gt;"",Weekly_Inspections!$AR33&lt;&gt;"",Weekly_Inspections!$AS33&lt;&gt;""),Weekly_Inspections!$AQ33,"")</f>
        <v/>
      </c>
      <c r="H33" s="30">
        <f>Weekly_Inspections!$AP33</f>
        <v/>
      </c>
      <c r="I33" s="30">
        <f>Weekly_Inspections!$AR33</f>
        <v/>
      </c>
      <c r="J33" s="30">
        <f>Weekly_Inspections!$AS33</f>
        <v/>
      </c>
      <c r="K33" s="30">
        <f>Weekly_Inspections!$AU33</f>
        <v/>
      </c>
      <c r="L33" s="46">
        <f>Weekly_Inspections!$AV33</f>
        <v/>
      </c>
      <c r="M33" s="30">
        <f>IF($B33="","",IF($N33&lt;&gt;"","Closed",IF(OR($G33&lt;&gt;"",$I33&lt;&gt;"",$J33&lt;&gt;""),"Open","")))</f>
        <v/>
      </c>
      <c r="N33" s="46" t="n"/>
      <c r="O33" s="28">
        <f>IF($B33="","",IF($M33="Closed",IF($N33="","",$N33-$B33),TODAY()-$B33))</f>
        <v/>
      </c>
      <c r="P33" s="28">
        <f>IF(OR($B33="",$L33="",$M33="Closed"),"",IF(TODAY()&gt;$L33,"YES","NO"))</f>
        <v/>
      </c>
      <c r="Q33" s="30">
        <f>Weekly_Inspections!$AW33</f>
        <v/>
      </c>
    </row>
    <row r="34" ht="15" customHeight="1" s="45">
      <c r="A34" s="28">
        <f>IF(Weekly_Inspections!$B34="","",Weekly_Inspections!$A34&amp;"-A1")</f>
        <v/>
      </c>
      <c r="B34" s="46">
        <f>Weekly_Inspections!$B34</f>
        <v/>
      </c>
      <c r="C34" s="30">
        <f>Weekly_Inspections!$E34</f>
        <v/>
      </c>
      <c r="D34" s="30">
        <f>Weekly_Inspections!$F34</f>
        <v/>
      </c>
      <c r="E34" s="28">
        <f>Weekly_Inspections!$H34</f>
        <v/>
      </c>
      <c r="F34" s="30">
        <f>IF(Weekly_Inspections!$AX34&lt;&gt;"",Weekly_Inspections!$AX34,IF(Weekly_Inspections!$AY34&lt;&gt;"",Weekly_Inspections!$AY34,IF(Weekly_Inspections!$AZ34&lt;&gt;"",Weekly_Inspections!$AZ34,IF(Weekly_Inspections!$BA34&lt;&gt;"",Weekly_Inspections!$BA34,IF(Weekly_Inspections!$BB34&lt;&gt;"",Weekly_Inspections!$BB34,Weekly_Inspections!$R34)))))</f>
        <v/>
      </c>
      <c r="G34" s="30">
        <f>IF(OR(Weekly_Inspections!$AQ34&lt;&gt;"",Weekly_Inspections!$AR34&lt;&gt;"",Weekly_Inspections!$AS34&lt;&gt;""),Weekly_Inspections!$AQ34,"")</f>
        <v/>
      </c>
      <c r="H34" s="30">
        <f>Weekly_Inspections!$AP34</f>
        <v/>
      </c>
      <c r="I34" s="30">
        <f>Weekly_Inspections!$AR34</f>
        <v/>
      </c>
      <c r="J34" s="30">
        <f>Weekly_Inspections!$AS34</f>
        <v/>
      </c>
      <c r="K34" s="30">
        <f>Weekly_Inspections!$AU34</f>
        <v/>
      </c>
      <c r="L34" s="46">
        <f>Weekly_Inspections!$AV34</f>
        <v/>
      </c>
      <c r="M34" s="30">
        <f>IF($B34="","",IF($N34&lt;&gt;"","Closed",IF(OR($G34&lt;&gt;"",$I34&lt;&gt;"",$J34&lt;&gt;""),"Open","")))</f>
        <v/>
      </c>
      <c r="N34" s="46" t="n"/>
      <c r="O34" s="28">
        <f>IF($B34="","",IF($M34="Closed",IF($N34="","",$N34-$B34),TODAY()-$B34))</f>
        <v/>
      </c>
      <c r="P34" s="28">
        <f>IF(OR($B34="",$L34="",$M34="Closed"),"",IF(TODAY()&gt;$L34,"YES","NO"))</f>
        <v/>
      </c>
      <c r="Q34" s="30">
        <f>Weekly_Inspections!$AW34</f>
        <v/>
      </c>
    </row>
    <row r="35" ht="15" customHeight="1" s="45">
      <c r="A35" s="28">
        <f>IF(Weekly_Inspections!$B35="","",Weekly_Inspections!$A35&amp;"-A1")</f>
        <v/>
      </c>
      <c r="B35" s="46">
        <f>Weekly_Inspections!$B35</f>
        <v/>
      </c>
      <c r="C35" s="30">
        <f>Weekly_Inspections!$E35</f>
        <v/>
      </c>
      <c r="D35" s="30">
        <f>Weekly_Inspections!$F35</f>
        <v/>
      </c>
      <c r="E35" s="28">
        <f>Weekly_Inspections!$H35</f>
        <v/>
      </c>
      <c r="F35" s="30">
        <f>IF(Weekly_Inspections!$AX35&lt;&gt;"",Weekly_Inspections!$AX35,IF(Weekly_Inspections!$AY35&lt;&gt;"",Weekly_Inspections!$AY35,IF(Weekly_Inspections!$AZ35&lt;&gt;"",Weekly_Inspections!$AZ35,IF(Weekly_Inspections!$BA35&lt;&gt;"",Weekly_Inspections!$BA35,IF(Weekly_Inspections!$BB35&lt;&gt;"",Weekly_Inspections!$BB35,Weekly_Inspections!$R35)))))</f>
        <v/>
      </c>
      <c r="G35" s="30">
        <f>IF(OR(Weekly_Inspections!$AQ35&lt;&gt;"",Weekly_Inspections!$AR35&lt;&gt;"",Weekly_Inspections!$AS35&lt;&gt;""),Weekly_Inspections!$AQ35,"")</f>
        <v/>
      </c>
      <c r="H35" s="30">
        <f>Weekly_Inspections!$AP35</f>
        <v/>
      </c>
      <c r="I35" s="30">
        <f>Weekly_Inspections!$AR35</f>
        <v/>
      </c>
      <c r="J35" s="30">
        <f>Weekly_Inspections!$AS35</f>
        <v/>
      </c>
      <c r="K35" s="30">
        <f>Weekly_Inspections!$AU35</f>
        <v/>
      </c>
      <c r="L35" s="46">
        <f>Weekly_Inspections!$AV35</f>
        <v/>
      </c>
      <c r="M35" s="30">
        <f>IF($B35="","",IF($N35&lt;&gt;"","Closed",IF(OR($G35&lt;&gt;"",$I35&lt;&gt;"",$J35&lt;&gt;""),"Open","")))</f>
        <v/>
      </c>
      <c r="N35" s="46" t="n"/>
      <c r="O35" s="28">
        <f>IF($B35="","",IF($M35="Closed",IF($N35="","",$N35-$B35),TODAY()-$B35))</f>
        <v/>
      </c>
      <c r="P35" s="28">
        <f>IF(OR($B35="",$L35="",$M35="Closed"),"",IF(TODAY()&gt;$L35,"YES","NO"))</f>
        <v/>
      </c>
      <c r="Q35" s="30">
        <f>Weekly_Inspections!$AW35</f>
        <v/>
      </c>
    </row>
    <row r="36" ht="15" customHeight="1" s="45">
      <c r="A36" s="28">
        <f>IF(Weekly_Inspections!$B36="","",Weekly_Inspections!$A36&amp;"-A1")</f>
        <v/>
      </c>
      <c r="B36" s="46">
        <f>Weekly_Inspections!$B36</f>
        <v/>
      </c>
      <c r="C36" s="30">
        <f>Weekly_Inspections!$E36</f>
        <v/>
      </c>
      <c r="D36" s="30">
        <f>Weekly_Inspections!$F36</f>
        <v/>
      </c>
      <c r="E36" s="28">
        <f>Weekly_Inspections!$H36</f>
        <v/>
      </c>
      <c r="F36" s="30">
        <f>IF(Weekly_Inspections!$AX36&lt;&gt;"",Weekly_Inspections!$AX36,IF(Weekly_Inspections!$AY36&lt;&gt;"",Weekly_Inspections!$AY36,IF(Weekly_Inspections!$AZ36&lt;&gt;"",Weekly_Inspections!$AZ36,IF(Weekly_Inspections!$BA36&lt;&gt;"",Weekly_Inspections!$BA36,IF(Weekly_Inspections!$BB36&lt;&gt;"",Weekly_Inspections!$BB36,Weekly_Inspections!$R36)))))</f>
        <v/>
      </c>
      <c r="G36" s="30">
        <f>IF(OR(Weekly_Inspections!$AQ36&lt;&gt;"",Weekly_Inspections!$AR36&lt;&gt;"",Weekly_Inspections!$AS36&lt;&gt;""),Weekly_Inspections!$AQ36,"")</f>
        <v/>
      </c>
      <c r="H36" s="30">
        <f>Weekly_Inspections!$AP36</f>
        <v/>
      </c>
      <c r="I36" s="30">
        <f>Weekly_Inspections!$AR36</f>
        <v/>
      </c>
      <c r="J36" s="30">
        <f>Weekly_Inspections!$AS36</f>
        <v/>
      </c>
      <c r="K36" s="30">
        <f>Weekly_Inspections!$AU36</f>
        <v/>
      </c>
      <c r="L36" s="46">
        <f>Weekly_Inspections!$AV36</f>
        <v/>
      </c>
      <c r="M36" s="30">
        <f>IF($B36="","",IF($N36&lt;&gt;"","Closed",IF(OR($G36&lt;&gt;"",$I36&lt;&gt;"",$J36&lt;&gt;""),"Open","")))</f>
        <v/>
      </c>
      <c r="N36" s="46" t="n"/>
      <c r="O36" s="28">
        <f>IF($B36="","",IF($M36="Closed",IF($N36="","",$N36-$B36),TODAY()-$B36))</f>
        <v/>
      </c>
      <c r="P36" s="28">
        <f>IF(OR($B36="",$L36="",$M36="Closed"),"",IF(TODAY()&gt;$L36,"YES","NO"))</f>
        <v/>
      </c>
      <c r="Q36" s="30">
        <f>Weekly_Inspections!$AW36</f>
        <v/>
      </c>
    </row>
    <row r="37" ht="15" customHeight="1" s="45">
      <c r="A37" s="28">
        <f>IF(Weekly_Inspections!$B37="","",Weekly_Inspections!$A37&amp;"-A1")</f>
        <v/>
      </c>
      <c r="B37" s="46">
        <f>Weekly_Inspections!$B37</f>
        <v/>
      </c>
      <c r="C37" s="30">
        <f>Weekly_Inspections!$E37</f>
        <v/>
      </c>
      <c r="D37" s="30">
        <f>Weekly_Inspections!$F37</f>
        <v/>
      </c>
      <c r="E37" s="28">
        <f>Weekly_Inspections!$H37</f>
        <v/>
      </c>
      <c r="F37" s="30">
        <f>IF(Weekly_Inspections!$AX37&lt;&gt;"",Weekly_Inspections!$AX37,IF(Weekly_Inspections!$AY37&lt;&gt;"",Weekly_Inspections!$AY37,IF(Weekly_Inspections!$AZ37&lt;&gt;"",Weekly_Inspections!$AZ37,IF(Weekly_Inspections!$BA37&lt;&gt;"",Weekly_Inspections!$BA37,IF(Weekly_Inspections!$BB37&lt;&gt;"",Weekly_Inspections!$BB37,Weekly_Inspections!$R37)))))</f>
        <v/>
      </c>
      <c r="G37" s="30">
        <f>IF(OR(Weekly_Inspections!$AQ37&lt;&gt;"",Weekly_Inspections!$AR37&lt;&gt;"",Weekly_Inspections!$AS37&lt;&gt;""),Weekly_Inspections!$AQ37,"")</f>
        <v/>
      </c>
      <c r="H37" s="30">
        <f>Weekly_Inspections!$AP37</f>
        <v/>
      </c>
      <c r="I37" s="30">
        <f>Weekly_Inspections!$AR37</f>
        <v/>
      </c>
      <c r="J37" s="30">
        <f>Weekly_Inspections!$AS37</f>
        <v/>
      </c>
      <c r="K37" s="30">
        <f>Weekly_Inspections!$AU37</f>
        <v/>
      </c>
      <c r="L37" s="46">
        <f>Weekly_Inspections!$AV37</f>
        <v/>
      </c>
      <c r="M37" s="30">
        <f>IF($B37="","",IF($N37&lt;&gt;"","Closed",IF(OR($G37&lt;&gt;"",$I37&lt;&gt;"",$J37&lt;&gt;""),"Open","")))</f>
        <v/>
      </c>
      <c r="N37" s="46" t="n"/>
      <c r="O37" s="28">
        <f>IF($B37="","",IF($M37="Closed",IF($N37="","",$N37-$B37),TODAY()-$B37))</f>
        <v/>
      </c>
      <c r="P37" s="28">
        <f>IF(OR($B37="",$L37="",$M37="Closed"),"",IF(TODAY()&gt;$L37,"YES","NO"))</f>
        <v/>
      </c>
      <c r="Q37" s="30">
        <f>Weekly_Inspections!$AW37</f>
        <v/>
      </c>
    </row>
    <row r="38" ht="15" customHeight="1" s="45">
      <c r="A38" s="28">
        <f>IF(Weekly_Inspections!$B38="","",Weekly_Inspections!$A38&amp;"-A1")</f>
        <v/>
      </c>
      <c r="B38" s="46">
        <f>Weekly_Inspections!$B38</f>
        <v/>
      </c>
      <c r="C38" s="30">
        <f>Weekly_Inspections!$E38</f>
        <v/>
      </c>
      <c r="D38" s="30">
        <f>Weekly_Inspections!$F38</f>
        <v/>
      </c>
      <c r="E38" s="28">
        <f>Weekly_Inspections!$H38</f>
        <v/>
      </c>
      <c r="F38" s="30">
        <f>IF(Weekly_Inspections!$AX38&lt;&gt;"",Weekly_Inspections!$AX38,IF(Weekly_Inspections!$AY38&lt;&gt;"",Weekly_Inspections!$AY38,IF(Weekly_Inspections!$AZ38&lt;&gt;"",Weekly_Inspections!$AZ38,IF(Weekly_Inspections!$BA38&lt;&gt;"",Weekly_Inspections!$BA38,IF(Weekly_Inspections!$BB38&lt;&gt;"",Weekly_Inspections!$BB38,Weekly_Inspections!$R38)))))</f>
        <v/>
      </c>
      <c r="G38" s="30">
        <f>IF(OR(Weekly_Inspections!$AQ38&lt;&gt;"",Weekly_Inspections!$AR38&lt;&gt;"",Weekly_Inspections!$AS38&lt;&gt;""),Weekly_Inspections!$AQ38,"")</f>
        <v/>
      </c>
      <c r="H38" s="30">
        <f>Weekly_Inspections!$AP38</f>
        <v/>
      </c>
      <c r="I38" s="30">
        <f>Weekly_Inspections!$AR38</f>
        <v/>
      </c>
      <c r="J38" s="30">
        <f>Weekly_Inspections!$AS38</f>
        <v/>
      </c>
      <c r="K38" s="30">
        <f>Weekly_Inspections!$AU38</f>
        <v/>
      </c>
      <c r="L38" s="46">
        <f>Weekly_Inspections!$AV38</f>
        <v/>
      </c>
      <c r="M38" s="30">
        <f>IF($B38="","",IF($N38&lt;&gt;"","Closed",IF(OR($G38&lt;&gt;"",$I38&lt;&gt;"",$J38&lt;&gt;""),"Open","")))</f>
        <v/>
      </c>
      <c r="N38" s="46" t="n"/>
      <c r="O38" s="28">
        <f>IF($B38="","",IF($M38="Closed",IF($N38="","",$N38-$B38),TODAY()-$B38))</f>
        <v/>
      </c>
      <c r="P38" s="28">
        <f>IF(OR($B38="",$L38="",$M38="Closed"),"",IF(TODAY()&gt;$L38,"YES","NO"))</f>
        <v/>
      </c>
      <c r="Q38" s="30">
        <f>Weekly_Inspections!$AW38</f>
        <v/>
      </c>
    </row>
    <row r="39" ht="15" customHeight="1" s="45">
      <c r="A39" s="28">
        <f>IF(Weekly_Inspections!$B39="","",Weekly_Inspections!$A39&amp;"-A1")</f>
        <v/>
      </c>
      <c r="B39" s="46">
        <f>Weekly_Inspections!$B39</f>
        <v/>
      </c>
      <c r="C39" s="30">
        <f>Weekly_Inspections!$E39</f>
        <v/>
      </c>
      <c r="D39" s="30">
        <f>Weekly_Inspections!$F39</f>
        <v/>
      </c>
      <c r="E39" s="28">
        <f>Weekly_Inspections!$H39</f>
        <v/>
      </c>
      <c r="F39" s="30">
        <f>IF(Weekly_Inspections!$AX39&lt;&gt;"",Weekly_Inspections!$AX39,IF(Weekly_Inspections!$AY39&lt;&gt;"",Weekly_Inspections!$AY39,IF(Weekly_Inspections!$AZ39&lt;&gt;"",Weekly_Inspections!$AZ39,IF(Weekly_Inspections!$BA39&lt;&gt;"",Weekly_Inspections!$BA39,IF(Weekly_Inspections!$BB39&lt;&gt;"",Weekly_Inspections!$BB39,Weekly_Inspections!$R39)))))</f>
        <v/>
      </c>
      <c r="G39" s="30">
        <f>IF(OR(Weekly_Inspections!$AQ39&lt;&gt;"",Weekly_Inspections!$AR39&lt;&gt;"",Weekly_Inspections!$AS39&lt;&gt;""),Weekly_Inspections!$AQ39,"")</f>
        <v/>
      </c>
      <c r="H39" s="30">
        <f>Weekly_Inspections!$AP39</f>
        <v/>
      </c>
      <c r="I39" s="30">
        <f>Weekly_Inspections!$AR39</f>
        <v/>
      </c>
      <c r="J39" s="30">
        <f>Weekly_Inspections!$AS39</f>
        <v/>
      </c>
      <c r="K39" s="30">
        <f>Weekly_Inspections!$AU39</f>
        <v/>
      </c>
      <c r="L39" s="46">
        <f>Weekly_Inspections!$AV39</f>
        <v/>
      </c>
      <c r="M39" s="30">
        <f>IF($B39="","",IF($N39&lt;&gt;"","Closed",IF(OR($G39&lt;&gt;"",$I39&lt;&gt;"",$J39&lt;&gt;""),"Open","")))</f>
        <v/>
      </c>
      <c r="N39" s="46" t="n"/>
      <c r="O39" s="28">
        <f>IF($B39="","",IF($M39="Closed",IF($N39="","",$N39-$B39),TODAY()-$B39))</f>
        <v/>
      </c>
      <c r="P39" s="28">
        <f>IF(OR($B39="",$L39="",$M39="Closed"),"",IF(TODAY()&gt;$L39,"YES","NO"))</f>
        <v/>
      </c>
      <c r="Q39" s="30">
        <f>Weekly_Inspections!$AW39</f>
        <v/>
      </c>
    </row>
    <row r="40" ht="15" customHeight="1" s="45">
      <c r="A40" s="28">
        <f>IF(Weekly_Inspections!$B40="","",Weekly_Inspections!$A40&amp;"-A1")</f>
        <v/>
      </c>
      <c r="B40" s="46">
        <f>Weekly_Inspections!$B40</f>
        <v/>
      </c>
      <c r="C40" s="30">
        <f>Weekly_Inspections!$E40</f>
        <v/>
      </c>
      <c r="D40" s="30">
        <f>Weekly_Inspections!$F40</f>
        <v/>
      </c>
      <c r="E40" s="28">
        <f>Weekly_Inspections!$H40</f>
        <v/>
      </c>
      <c r="F40" s="30">
        <f>IF(Weekly_Inspections!$AX40&lt;&gt;"",Weekly_Inspections!$AX40,IF(Weekly_Inspections!$AY40&lt;&gt;"",Weekly_Inspections!$AY40,IF(Weekly_Inspections!$AZ40&lt;&gt;"",Weekly_Inspections!$AZ40,IF(Weekly_Inspections!$BA40&lt;&gt;"",Weekly_Inspections!$BA40,IF(Weekly_Inspections!$BB40&lt;&gt;"",Weekly_Inspections!$BB40,Weekly_Inspections!$R40)))))</f>
        <v/>
      </c>
      <c r="G40" s="30">
        <f>IF(OR(Weekly_Inspections!$AQ40&lt;&gt;"",Weekly_Inspections!$AR40&lt;&gt;"",Weekly_Inspections!$AS40&lt;&gt;""),Weekly_Inspections!$AQ40,"")</f>
        <v/>
      </c>
      <c r="H40" s="30">
        <f>Weekly_Inspections!$AP40</f>
        <v/>
      </c>
      <c r="I40" s="30">
        <f>Weekly_Inspections!$AR40</f>
        <v/>
      </c>
      <c r="J40" s="30">
        <f>Weekly_Inspections!$AS40</f>
        <v/>
      </c>
      <c r="K40" s="30">
        <f>Weekly_Inspections!$AU40</f>
        <v/>
      </c>
      <c r="L40" s="46">
        <f>Weekly_Inspections!$AV40</f>
        <v/>
      </c>
      <c r="M40" s="30">
        <f>IF($B40="","",IF($N40&lt;&gt;"","Closed",IF(OR($G40&lt;&gt;"",$I40&lt;&gt;"",$J40&lt;&gt;""),"Open","")))</f>
        <v/>
      </c>
      <c r="N40" s="46" t="n"/>
      <c r="O40" s="28">
        <f>IF($B40="","",IF($M40="Closed",IF($N40="","",$N40-$B40),TODAY()-$B40))</f>
        <v/>
      </c>
      <c r="P40" s="28">
        <f>IF(OR($B40="",$L40="",$M40="Closed"),"",IF(TODAY()&gt;$L40,"YES","NO"))</f>
        <v/>
      </c>
      <c r="Q40" s="30">
        <f>Weekly_Inspections!$AW40</f>
        <v/>
      </c>
    </row>
    <row r="41" ht="15" customHeight="1" s="45">
      <c r="A41" s="28">
        <f>IF(Weekly_Inspections!$B41="","",Weekly_Inspections!$A41&amp;"-A1")</f>
        <v/>
      </c>
      <c r="B41" s="46">
        <f>Weekly_Inspections!$B41</f>
        <v/>
      </c>
      <c r="C41" s="30">
        <f>Weekly_Inspections!$E41</f>
        <v/>
      </c>
      <c r="D41" s="30">
        <f>Weekly_Inspections!$F41</f>
        <v/>
      </c>
      <c r="E41" s="28">
        <f>Weekly_Inspections!$H41</f>
        <v/>
      </c>
      <c r="F41" s="30">
        <f>IF(Weekly_Inspections!$AX41&lt;&gt;"",Weekly_Inspections!$AX41,IF(Weekly_Inspections!$AY41&lt;&gt;"",Weekly_Inspections!$AY41,IF(Weekly_Inspections!$AZ41&lt;&gt;"",Weekly_Inspections!$AZ41,IF(Weekly_Inspections!$BA41&lt;&gt;"",Weekly_Inspections!$BA41,IF(Weekly_Inspections!$BB41&lt;&gt;"",Weekly_Inspections!$BB41,Weekly_Inspections!$R41)))))</f>
        <v/>
      </c>
      <c r="G41" s="30">
        <f>IF(OR(Weekly_Inspections!$AQ41&lt;&gt;"",Weekly_Inspections!$AR41&lt;&gt;"",Weekly_Inspections!$AS41&lt;&gt;""),Weekly_Inspections!$AQ41,"")</f>
        <v/>
      </c>
      <c r="H41" s="30">
        <f>Weekly_Inspections!$AP41</f>
        <v/>
      </c>
      <c r="I41" s="30">
        <f>Weekly_Inspections!$AR41</f>
        <v/>
      </c>
      <c r="J41" s="30">
        <f>Weekly_Inspections!$AS41</f>
        <v/>
      </c>
      <c r="K41" s="30">
        <f>Weekly_Inspections!$AU41</f>
        <v/>
      </c>
      <c r="L41" s="46">
        <f>Weekly_Inspections!$AV41</f>
        <v/>
      </c>
      <c r="M41" s="30">
        <f>IF($B41="","",IF($N41&lt;&gt;"","Closed",IF(OR($G41&lt;&gt;"",$I41&lt;&gt;"",$J41&lt;&gt;""),"Open","")))</f>
        <v/>
      </c>
      <c r="N41" s="46" t="n"/>
      <c r="O41" s="28">
        <f>IF($B41="","",IF($M41="Closed",IF($N41="","",$N41-$B41),TODAY()-$B41))</f>
        <v/>
      </c>
      <c r="P41" s="28">
        <f>IF(OR($B41="",$L41="",$M41="Closed"),"",IF(TODAY()&gt;$L41,"YES","NO"))</f>
        <v/>
      </c>
      <c r="Q41" s="30">
        <f>Weekly_Inspections!$AW41</f>
        <v/>
      </c>
    </row>
    <row r="42" ht="15" customHeight="1" s="45">
      <c r="A42" s="28">
        <f>IF(Weekly_Inspections!$B42="","",Weekly_Inspections!$A42&amp;"-A1")</f>
        <v/>
      </c>
      <c r="B42" s="46">
        <f>Weekly_Inspections!$B42</f>
        <v/>
      </c>
      <c r="C42" s="30">
        <f>Weekly_Inspections!$E42</f>
        <v/>
      </c>
      <c r="D42" s="30">
        <f>Weekly_Inspections!$F42</f>
        <v/>
      </c>
      <c r="E42" s="28">
        <f>Weekly_Inspections!$H42</f>
        <v/>
      </c>
      <c r="F42" s="30">
        <f>IF(Weekly_Inspections!$AX42&lt;&gt;"",Weekly_Inspections!$AX42,IF(Weekly_Inspections!$AY42&lt;&gt;"",Weekly_Inspections!$AY42,IF(Weekly_Inspections!$AZ42&lt;&gt;"",Weekly_Inspections!$AZ42,IF(Weekly_Inspections!$BA42&lt;&gt;"",Weekly_Inspections!$BA42,IF(Weekly_Inspections!$BB42&lt;&gt;"",Weekly_Inspections!$BB42,Weekly_Inspections!$R42)))))</f>
        <v/>
      </c>
      <c r="G42" s="30">
        <f>IF(OR(Weekly_Inspections!$AQ42&lt;&gt;"",Weekly_Inspections!$AR42&lt;&gt;"",Weekly_Inspections!$AS42&lt;&gt;""),Weekly_Inspections!$AQ42,"")</f>
        <v/>
      </c>
      <c r="H42" s="30">
        <f>Weekly_Inspections!$AP42</f>
        <v/>
      </c>
      <c r="I42" s="30">
        <f>Weekly_Inspections!$AR42</f>
        <v/>
      </c>
      <c r="J42" s="30">
        <f>Weekly_Inspections!$AS42</f>
        <v/>
      </c>
      <c r="K42" s="30">
        <f>Weekly_Inspections!$AU42</f>
        <v/>
      </c>
      <c r="L42" s="46">
        <f>Weekly_Inspections!$AV42</f>
        <v/>
      </c>
      <c r="M42" s="30">
        <f>IF($B42="","",IF($N42&lt;&gt;"","Closed",IF(OR($G42&lt;&gt;"",$I42&lt;&gt;"",$J42&lt;&gt;""),"Open","")))</f>
        <v/>
      </c>
      <c r="N42" s="46" t="n"/>
      <c r="O42" s="28">
        <f>IF($B42="","",IF($M42="Closed",IF($N42="","",$N42-$B42),TODAY()-$B42))</f>
        <v/>
      </c>
      <c r="P42" s="28">
        <f>IF(OR($B42="",$L42="",$M42="Closed"),"",IF(TODAY()&gt;$L42,"YES","NO"))</f>
        <v/>
      </c>
      <c r="Q42" s="30">
        <f>Weekly_Inspections!$AW42</f>
        <v/>
      </c>
    </row>
    <row r="43" ht="15" customHeight="1" s="45">
      <c r="A43" s="28">
        <f>IF(Weekly_Inspections!$B43="","",Weekly_Inspections!$A43&amp;"-A1")</f>
        <v/>
      </c>
      <c r="B43" s="46">
        <f>Weekly_Inspections!$B43</f>
        <v/>
      </c>
      <c r="C43" s="30">
        <f>Weekly_Inspections!$E43</f>
        <v/>
      </c>
      <c r="D43" s="30">
        <f>Weekly_Inspections!$F43</f>
        <v/>
      </c>
      <c r="E43" s="28">
        <f>Weekly_Inspections!$H43</f>
        <v/>
      </c>
      <c r="F43" s="30">
        <f>IF(Weekly_Inspections!$AX43&lt;&gt;"",Weekly_Inspections!$AX43,IF(Weekly_Inspections!$AY43&lt;&gt;"",Weekly_Inspections!$AY43,IF(Weekly_Inspections!$AZ43&lt;&gt;"",Weekly_Inspections!$AZ43,IF(Weekly_Inspections!$BA43&lt;&gt;"",Weekly_Inspections!$BA43,IF(Weekly_Inspections!$BB43&lt;&gt;"",Weekly_Inspections!$BB43,Weekly_Inspections!$R43)))))</f>
        <v/>
      </c>
      <c r="G43" s="30">
        <f>IF(OR(Weekly_Inspections!$AQ43&lt;&gt;"",Weekly_Inspections!$AR43&lt;&gt;"",Weekly_Inspections!$AS43&lt;&gt;""),Weekly_Inspections!$AQ43,"")</f>
        <v/>
      </c>
      <c r="H43" s="30">
        <f>Weekly_Inspections!$AP43</f>
        <v/>
      </c>
      <c r="I43" s="30">
        <f>Weekly_Inspections!$AR43</f>
        <v/>
      </c>
      <c r="J43" s="30">
        <f>Weekly_Inspections!$AS43</f>
        <v/>
      </c>
      <c r="K43" s="30">
        <f>Weekly_Inspections!$AU43</f>
        <v/>
      </c>
      <c r="L43" s="46">
        <f>Weekly_Inspections!$AV43</f>
        <v/>
      </c>
      <c r="M43" s="30">
        <f>IF($B43="","",IF($N43&lt;&gt;"","Closed",IF(OR($G43&lt;&gt;"",$I43&lt;&gt;"",$J43&lt;&gt;""),"Open","")))</f>
        <v/>
      </c>
      <c r="N43" s="46" t="n"/>
      <c r="O43" s="28">
        <f>IF($B43="","",IF($M43="Closed",IF($N43="","",$N43-$B43),TODAY()-$B43))</f>
        <v/>
      </c>
      <c r="P43" s="28">
        <f>IF(OR($B43="",$L43="",$M43="Closed"),"",IF(TODAY()&gt;$L43,"YES","NO"))</f>
        <v/>
      </c>
      <c r="Q43" s="30">
        <f>Weekly_Inspections!$AW43</f>
        <v/>
      </c>
    </row>
    <row r="44" ht="15" customHeight="1" s="45">
      <c r="A44" s="28">
        <f>IF(Weekly_Inspections!$B44="","",Weekly_Inspections!$A44&amp;"-A1")</f>
        <v/>
      </c>
      <c r="B44" s="46">
        <f>Weekly_Inspections!$B44</f>
        <v/>
      </c>
      <c r="C44" s="30">
        <f>Weekly_Inspections!$E44</f>
        <v/>
      </c>
      <c r="D44" s="30">
        <f>Weekly_Inspections!$F44</f>
        <v/>
      </c>
      <c r="E44" s="28">
        <f>Weekly_Inspections!$H44</f>
        <v/>
      </c>
      <c r="F44" s="30">
        <f>IF(Weekly_Inspections!$AX44&lt;&gt;"",Weekly_Inspections!$AX44,IF(Weekly_Inspections!$AY44&lt;&gt;"",Weekly_Inspections!$AY44,IF(Weekly_Inspections!$AZ44&lt;&gt;"",Weekly_Inspections!$AZ44,IF(Weekly_Inspections!$BA44&lt;&gt;"",Weekly_Inspections!$BA44,IF(Weekly_Inspections!$BB44&lt;&gt;"",Weekly_Inspections!$BB44,Weekly_Inspections!$R44)))))</f>
        <v/>
      </c>
      <c r="G44" s="30">
        <f>IF(OR(Weekly_Inspections!$AQ44&lt;&gt;"",Weekly_Inspections!$AR44&lt;&gt;"",Weekly_Inspections!$AS44&lt;&gt;""),Weekly_Inspections!$AQ44,"")</f>
        <v/>
      </c>
      <c r="H44" s="30">
        <f>Weekly_Inspections!$AP44</f>
        <v/>
      </c>
      <c r="I44" s="30">
        <f>Weekly_Inspections!$AR44</f>
        <v/>
      </c>
      <c r="J44" s="30">
        <f>Weekly_Inspections!$AS44</f>
        <v/>
      </c>
      <c r="K44" s="30">
        <f>Weekly_Inspections!$AU44</f>
        <v/>
      </c>
      <c r="L44" s="46">
        <f>Weekly_Inspections!$AV44</f>
        <v/>
      </c>
      <c r="M44" s="30">
        <f>IF($B44="","",IF($N44&lt;&gt;"","Closed",IF(OR($G44&lt;&gt;"",$I44&lt;&gt;"",$J44&lt;&gt;""),"Open","")))</f>
        <v/>
      </c>
      <c r="N44" s="46" t="n"/>
      <c r="O44" s="28">
        <f>IF($B44="","",IF($M44="Closed",IF($N44="","",$N44-$B44),TODAY()-$B44))</f>
        <v/>
      </c>
      <c r="P44" s="28">
        <f>IF(OR($B44="",$L44="",$M44="Closed"),"",IF(TODAY()&gt;$L44,"YES","NO"))</f>
        <v/>
      </c>
      <c r="Q44" s="30">
        <f>Weekly_Inspections!$AW44</f>
        <v/>
      </c>
    </row>
    <row r="45" ht="15" customHeight="1" s="45">
      <c r="A45" s="28">
        <f>IF(Weekly_Inspections!$B45="","",Weekly_Inspections!$A45&amp;"-A1")</f>
        <v/>
      </c>
      <c r="B45" s="46">
        <f>Weekly_Inspections!$B45</f>
        <v/>
      </c>
      <c r="C45" s="30">
        <f>Weekly_Inspections!$E45</f>
        <v/>
      </c>
      <c r="D45" s="30">
        <f>Weekly_Inspections!$F45</f>
        <v/>
      </c>
      <c r="E45" s="28">
        <f>Weekly_Inspections!$H45</f>
        <v/>
      </c>
      <c r="F45" s="30">
        <f>IF(Weekly_Inspections!$AX45&lt;&gt;"",Weekly_Inspections!$AX45,IF(Weekly_Inspections!$AY45&lt;&gt;"",Weekly_Inspections!$AY45,IF(Weekly_Inspections!$AZ45&lt;&gt;"",Weekly_Inspections!$AZ45,IF(Weekly_Inspections!$BA45&lt;&gt;"",Weekly_Inspections!$BA45,IF(Weekly_Inspections!$BB45&lt;&gt;"",Weekly_Inspections!$BB45,Weekly_Inspections!$R45)))))</f>
        <v/>
      </c>
      <c r="G45" s="30">
        <f>IF(OR(Weekly_Inspections!$AQ45&lt;&gt;"",Weekly_Inspections!$AR45&lt;&gt;"",Weekly_Inspections!$AS45&lt;&gt;""),Weekly_Inspections!$AQ45,"")</f>
        <v/>
      </c>
      <c r="H45" s="30">
        <f>Weekly_Inspections!$AP45</f>
        <v/>
      </c>
      <c r="I45" s="30">
        <f>Weekly_Inspections!$AR45</f>
        <v/>
      </c>
      <c r="J45" s="30">
        <f>Weekly_Inspections!$AS45</f>
        <v/>
      </c>
      <c r="K45" s="30">
        <f>Weekly_Inspections!$AU45</f>
        <v/>
      </c>
      <c r="L45" s="46">
        <f>Weekly_Inspections!$AV45</f>
        <v/>
      </c>
      <c r="M45" s="30">
        <f>IF($B45="","",IF($N45&lt;&gt;"","Closed",IF(OR($G45&lt;&gt;"",$I45&lt;&gt;"",$J45&lt;&gt;""),"Open","")))</f>
        <v/>
      </c>
      <c r="N45" s="46" t="n"/>
      <c r="O45" s="28">
        <f>IF($B45="","",IF($M45="Closed",IF($N45="","",$N45-$B45),TODAY()-$B45))</f>
        <v/>
      </c>
      <c r="P45" s="28">
        <f>IF(OR($B45="",$L45="",$M45="Closed"),"",IF(TODAY()&gt;$L45,"YES","NO"))</f>
        <v/>
      </c>
      <c r="Q45" s="30">
        <f>Weekly_Inspections!$AW45</f>
        <v/>
      </c>
    </row>
    <row r="46" ht="15" customHeight="1" s="45">
      <c r="A46" s="28">
        <f>IF(Weekly_Inspections!$B46="","",Weekly_Inspections!$A46&amp;"-A1")</f>
        <v/>
      </c>
      <c r="B46" s="46">
        <f>Weekly_Inspections!$B46</f>
        <v/>
      </c>
      <c r="C46" s="30">
        <f>Weekly_Inspections!$E46</f>
        <v/>
      </c>
      <c r="D46" s="30">
        <f>Weekly_Inspections!$F46</f>
        <v/>
      </c>
      <c r="E46" s="28">
        <f>Weekly_Inspections!$H46</f>
        <v/>
      </c>
      <c r="F46" s="30">
        <f>IF(Weekly_Inspections!$AX46&lt;&gt;"",Weekly_Inspections!$AX46,IF(Weekly_Inspections!$AY46&lt;&gt;"",Weekly_Inspections!$AY46,IF(Weekly_Inspections!$AZ46&lt;&gt;"",Weekly_Inspections!$AZ46,IF(Weekly_Inspections!$BA46&lt;&gt;"",Weekly_Inspections!$BA46,IF(Weekly_Inspections!$BB46&lt;&gt;"",Weekly_Inspections!$BB46,Weekly_Inspections!$R46)))))</f>
        <v/>
      </c>
      <c r="G46" s="30">
        <f>IF(OR(Weekly_Inspections!$AQ46&lt;&gt;"",Weekly_Inspections!$AR46&lt;&gt;"",Weekly_Inspections!$AS46&lt;&gt;""),Weekly_Inspections!$AQ46,"")</f>
        <v/>
      </c>
      <c r="H46" s="30">
        <f>Weekly_Inspections!$AP46</f>
        <v/>
      </c>
      <c r="I46" s="30">
        <f>Weekly_Inspections!$AR46</f>
        <v/>
      </c>
      <c r="J46" s="30">
        <f>Weekly_Inspections!$AS46</f>
        <v/>
      </c>
      <c r="K46" s="30">
        <f>Weekly_Inspections!$AU46</f>
        <v/>
      </c>
      <c r="L46" s="46">
        <f>Weekly_Inspections!$AV46</f>
        <v/>
      </c>
      <c r="M46" s="30">
        <f>IF($B46="","",IF($N46&lt;&gt;"","Closed",IF(OR($G46&lt;&gt;"",$I46&lt;&gt;"",$J46&lt;&gt;""),"Open","")))</f>
        <v/>
      </c>
      <c r="N46" s="46" t="n"/>
      <c r="O46" s="28">
        <f>IF($B46="","",IF($M46="Closed",IF($N46="","",$N46-$B46),TODAY()-$B46))</f>
        <v/>
      </c>
      <c r="P46" s="28">
        <f>IF(OR($B46="",$L46="",$M46="Closed"),"",IF(TODAY()&gt;$L46,"YES","NO"))</f>
        <v/>
      </c>
      <c r="Q46" s="30">
        <f>Weekly_Inspections!$AW46</f>
        <v/>
      </c>
    </row>
    <row r="47" ht="15" customHeight="1" s="45">
      <c r="A47" s="28">
        <f>IF(Weekly_Inspections!$B47="","",Weekly_Inspections!$A47&amp;"-A1")</f>
        <v/>
      </c>
      <c r="B47" s="46">
        <f>Weekly_Inspections!$B47</f>
        <v/>
      </c>
      <c r="C47" s="30">
        <f>Weekly_Inspections!$E47</f>
        <v/>
      </c>
      <c r="D47" s="30">
        <f>Weekly_Inspections!$F47</f>
        <v/>
      </c>
      <c r="E47" s="28">
        <f>Weekly_Inspections!$H47</f>
        <v/>
      </c>
      <c r="F47" s="30">
        <f>IF(Weekly_Inspections!$AX47&lt;&gt;"",Weekly_Inspections!$AX47,IF(Weekly_Inspections!$AY47&lt;&gt;"",Weekly_Inspections!$AY47,IF(Weekly_Inspections!$AZ47&lt;&gt;"",Weekly_Inspections!$AZ47,IF(Weekly_Inspections!$BA47&lt;&gt;"",Weekly_Inspections!$BA47,IF(Weekly_Inspections!$BB47&lt;&gt;"",Weekly_Inspections!$BB47,Weekly_Inspections!$R47)))))</f>
        <v/>
      </c>
      <c r="G47" s="30">
        <f>IF(OR(Weekly_Inspections!$AQ47&lt;&gt;"",Weekly_Inspections!$AR47&lt;&gt;"",Weekly_Inspections!$AS47&lt;&gt;""),Weekly_Inspections!$AQ47,"")</f>
        <v/>
      </c>
      <c r="H47" s="30">
        <f>Weekly_Inspections!$AP47</f>
        <v/>
      </c>
      <c r="I47" s="30">
        <f>Weekly_Inspections!$AR47</f>
        <v/>
      </c>
      <c r="J47" s="30">
        <f>Weekly_Inspections!$AS47</f>
        <v/>
      </c>
      <c r="K47" s="30">
        <f>Weekly_Inspections!$AU47</f>
        <v/>
      </c>
      <c r="L47" s="46">
        <f>Weekly_Inspections!$AV47</f>
        <v/>
      </c>
      <c r="M47" s="30">
        <f>IF($B47="","",IF($N47&lt;&gt;"","Closed",IF(OR($G47&lt;&gt;"",$I47&lt;&gt;"",$J47&lt;&gt;""),"Open","")))</f>
        <v/>
      </c>
      <c r="N47" s="46" t="n"/>
      <c r="O47" s="28">
        <f>IF($B47="","",IF($M47="Closed",IF($N47="","",$N47-$B47),TODAY()-$B47))</f>
        <v/>
      </c>
      <c r="P47" s="28">
        <f>IF(OR($B47="",$L47="",$M47="Closed"),"",IF(TODAY()&gt;$L47,"YES","NO"))</f>
        <v/>
      </c>
      <c r="Q47" s="30">
        <f>Weekly_Inspections!$AW47</f>
        <v/>
      </c>
    </row>
    <row r="48" ht="15" customHeight="1" s="45">
      <c r="A48" s="28">
        <f>IF(Weekly_Inspections!$B48="","",Weekly_Inspections!$A48&amp;"-A1")</f>
        <v/>
      </c>
      <c r="B48" s="46">
        <f>Weekly_Inspections!$B48</f>
        <v/>
      </c>
      <c r="C48" s="30">
        <f>Weekly_Inspections!$E48</f>
        <v/>
      </c>
      <c r="D48" s="30">
        <f>Weekly_Inspections!$F48</f>
        <v/>
      </c>
      <c r="E48" s="28">
        <f>Weekly_Inspections!$H48</f>
        <v/>
      </c>
      <c r="F48" s="30">
        <f>IF(Weekly_Inspections!$AX48&lt;&gt;"",Weekly_Inspections!$AX48,IF(Weekly_Inspections!$AY48&lt;&gt;"",Weekly_Inspections!$AY48,IF(Weekly_Inspections!$AZ48&lt;&gt;"",Weekly_Inspections!$AZ48,IF(Weekly_Inspections!$BA48&lt;&gt;"",Weekly_Inspections!$BA48,IF(Weekly_Inspections!$BB48&lt;&gt;"",Weekly_Inspections!$BB48,Weekly_Inspections!$R48)))))</f>
        <v/>
      </c>
      <c r="G48" s="30">
        <f>IF(OR(Weekly_Inspections!$AQ48&lt;&gt;"",Weekly_Inspections!$AR48&lt;&gt;"",Weekly_Inspections!$AS48&lt;&gt;""),Weekly_Inspections!$AQ48,"")</f>
        <v/>
      </c>
      <c r="H48" s="30">
        <f>Weekly_Inspections!$AP48</f>
        <v/>
      </c>
      <c r="I48" s="30">
        <f>Weekly_Inspections!$AR48</f>
        <v/>
      </c>
      <c r="J48" s="30">
        <f>Weekly_Inspections!$AS48</f>
        <v/>
      </c>
      <c r="K48" s="30">
        <f>Weekly_Inspections!$AU48</f>
        <v/>
      </c>
      <c r="L48" s="46">
        <f>Weekly_Inspections!$AV48</f>
        <v/>
      </c>
      <c r="M48" s="30">
        <f>IF($B48="","",IF($N48&lt;&gt;"","Closed",IF(OR($G48&lt;&gt;"",$I48&lt;&gt;"",$J48&lt;&gt;""),"Open","")))</f>
        <v/>
      </c>
      <c r="N48" s="46" t="n"/>
      <c r="O48" s="28">
        <f>IF($B48="","",IF($M48="Closed",IF($N48="","",$N48-$B48),TODAY()-$B48))</f>
        <v/>
      </c>
      <c r="P48" s="28">
        <f>IF(OR($B48="",$L48="",$M48="Closed"),"",IF(TODAY()&gt;$L48,"YES","NO"))</f>
        <v/>
      </c>
      <c r="Q48" s="30">
        <f>Weekly_Inspections!$AW48</f>
        <v/>
      </c>
    </row>
    <row r="49" ht="15" customHeight="1" s="45">
      <c r="A49" s="28">
        <f>IF(Weekly_Inspections!$B49="","",Weekly_Inspections!$A49&amp;"-A1")</f>
        <v/>
      </c>
      <c r="B49" s="46">
        <f>Weekly_Inspections!$B49</f>
        <v/>
      </c>
      <c r="C49" s="30">
        <f>Weekly_Inspections!$E49</f>
        <v/>
      </c>
      <c r="D49" s="30">
        <f>Weekly_Inspections!$F49</f>
        <v/>
      </c>
      <c r="E49" s="28">
        <f>Weekly_Inspections!$H49</f>
        <v/>
      </c>
      <c r="F49" s="30">
        <f>IF(Weekly_Inspections!$AX49&lt;&gt;"",Weekly_Inspections!$AX49,IF(Weekly_Inspections!$AY49&lt;&gt;"",Weekly_Inspections!$AY49,IF(Weekly_Inspections!$AZ49&lt;&gt;"",Weekly_Inspections!$AZ49,IF(Weekly_Inspections!$BA49&lt;&gt;"",Weekly_Inspections!$BA49,IF(Weekly_Inspections!$BB49&lt;&gt;"",Weekly_Inspections!$BB49,Weekly_Inspections!$R49)))))</f>
        <v/>
      </c>
      <c r="G49" s="30">
        <f>IF(OR(Weekly_Inspections!$AQ49&lt;&gt;"",Weekly_Inspections!$AR49&lt;&gt;"",Weekly_Inspections!$AS49&lt;&gt;""),Weekly_Inspections!$AQ49,"")</f>
        <v/>
      </c>
      <c r="H49" s="30">
        <f>Weekly_Inspections!$AP49</f>
        <v/>
      </c>
      <c r="I49" s="30">
        <f>Weekly_Inspections!$AR49</f>
        <v/>
      </c>
      <c r="J49" s="30">
        <f>Weekly_Inspections!$AS49</f>
        <v/>
      </c>
      <c r="K49" s="30">
        <f>Weekly_Inspections!$AU49</f>
        <v/>
      </c>
      <c r="L49" s="46">
        <f>Weekly_Inspections!$AV49</f>
        <v/>
      </c>
      <c r="M49" s="30">
        <f>IF($B49="","",IF($N49&lt;&gt;"","Closed",IF(OR($G49&lt;&gt;"",$I49&lt;&gt;"",$J49&lt;&gt;""),"Open","")))</f>
        <v/>
      </c>
      <c r="N49" s="46" t="n"/>
      <c r="O49" s="28">
        <f>IF($B49="","",IF($M49="Closed",IF($N49="","",$N49-$B49),TODAY()-$B49))</f>
        <v/>
      </c>
      <c r="P49" s="28">
        <f>IF(OR($B49="",$L49="",$M49="Closed"),"",IF(TODAY()&gt;$L49,"YES","NO"))</f>
        <v/>
      </c>
      <c r="Q49" s="30">
        <f>Weekly_Inspections!$AW49</f>
        <v/>
      </c>
    </row>
    <row r="50" ht="15" customHeight="1" s="45">
      <c r="A50" s="28">
        <f>IF(Weekly_Inspections!$B50="","",Weekly_Inspections!$A50&amp;"-A1")</f>
        <v/>
      </c>
      <c r="B50" s="46">
        <f>Weekly_Inspections!$B50</f>
        <v/>
      </c>
      <c r="C50" s="30">
        <f>Weekly_Inspections!$E50</f>
        <v/>
      </c>
      <c r="D50" s="30">
        <f>Weekly_Inspections!$F50</f>
        <v/>
      </c>
      <c r="E50" s="28">
        <f>Weekly_Inspections!$H50</f>
        <v/>
      </c>
      <c r="F50" s="30">
        <f>IF(Weekly_Inspections!$AX50&lt;&gt;"",Weekly_Inspections!$AX50,IF(Weekly_Inspections!$AY50&lt;&gt;"",Weekly_Inspections!$AY50,IF(Weekly_Inspections!$AZ50&lt;&gt;"",Weekly_Inspections!$AZ50,IF(Weekly_Inspections!$BA50&lt;&gt;"",Weekly_Inspections!$BA50,IF(Weekly_Inspections!$BB50&lt;&gt;"",Weekly_Inspections!$BB50,Weekly_Inspections!$R50)))))</f>
        <v/>
      </c>
      <c r="G50" s="30">
        <f>IF(OR(Weekly_Inspections!$AQ50&lt;&gt;"",Weekly_Inspections!$AR50&lt;&gt;"",Weekly_Inspections!$AS50&lt;&gt;""),Weekly_Inspections!$AQ50,"")</f>
        <v/>
      </c>
      <c r="H50" s="30">
        <f>Weekly_Inspections!$AP50</f>
        <v/>
      </c>
      <c r="I50" s="30">
        <f>Weekly_Inspections!$AR50</f>
        <v/>
      </c>
      <c r="J50" s="30">
        <f>Weekly_Inspections!$AS50</f>
        <v/>
      </c>
      <c r="K50" s="30">
        <f>Weekly_Inspections!$AU50</f>
        <v/>
      </c>
      <c r="L50" s="46">
        <f>Weekly_Inspections!$AV50</f>
        <v/>
      </c>
      <c r="M50" s="30">
        <f>IF($B50="","",IF($N50&lt;&gt;"","Closed",IF(OR($G50&lt;&gt;"",$I50&lt;&gt;"",$J50&lt;&gt;""),"Open","")))</f>
        <v/>
      </c>
      <c r="N50" s="46" t="n"/>
      <c r="O50" s="28">
        <f>IF($B50="","",IF($M50="Closed",IF($N50="","",$N50-$B50),TODAY()-$B50))</f>
        <v/>
      </c>
      <c r="P50" s="28">
        <f>IF(OR($B50="",$L50="",$M50="Closed"),"",IF(TODAY()&gt;$L50,"YES","NO"))</f>
        <v/>
      </c>
      <c r="Q50" s="30">
        <f>Weekly_Inspections!$AW50</f>
        <v/>
      </c>
    </row>
    <row r="51" ht="15" customHeight="1" s="45">
      <c r="A51" s="28">
        <f>IF(Weekly_Inspections!$B51="","",Weekly_Inspections!$A51&amp;"-A1")</f>
        <v/>
      </c>
      <c r="B51" s="46">
        <f>Weekly_Inspections!$B51</f>
        <v/>
      </c>
      <c r="C51" s="30">
        <f>Weekly_Inspections!$E51</f>
        <v/>
      </c>
      <c r="D51" s="30">
        <f>Weekly_Inspections!$F51</f>
        <v/>
      </c>
      <c r="E51" s="28">
        <f>Weekly_Inspections!$H51</f>
        <v/>
      </c>
      <c r="F51" s="30">
        <f>IF(Weekly_Inspections!$AX51&lt;&gt;"",Weekly_Inspections!$AX51,IF(Weekly_Inspections!$AY51&lt;&gt;"",Weekly_Inspections!$AY51,IF(Weekly_Inspections!$AZ51&lt;&gt;"",Weekly_Inspections!$AZ51,IF(Weekly_Inspections!$BA51&lt;&gt;"",Weekly_Inspections!$BA51,IF(Weekly_Inspections!$BB51&lt;&gt;"",Weekly_Inspections!$BB51,Weekly_Inspections!$R51)))))</f>
        <v/>
      </c>
      <c r="G51" s="30">
        <f>IF(OR(Weekly_Inspections!$AQ51&lt;&gt;"",Weekly_Inspections!$AR51&lt;&gt;"",Weekly_Inspections!$AS51&lt;&gt;""),Weekly_Inspections!$AQ51,"")</f>
        <v/>
      </c>
      <c r="H51" s="30">
        <f>Weekly_Inspections!$AP51</f>
        <v/>
      </c>
      <c r="I51" s="30">
        <f>Weekly_Inspections!$AR51</f>
        <v/>
      </c>
      <c r="J51" s="30">
        <f>Weekly_Inspections!$AS51</f>
        <v/>
      </c>
      <c r="K51" s="30">
        <f>Weekly_Inspections!$AU51</f>
        <v/>
      </c>
      <c r="L51" s="46">
        <f>Weekly_Inspections!$AV51</f>
        <v/>
      </c>
      <c r="M51" s="30">
        <f>IF($B51="","",IF($N51&lt;&gt;"","Closed",IF(OR($G51&lt;&gt;"",$I51&lt;&gt;"",$J51&lt;&gt;""),"Open","")))</f>
        <v/>
      </c>
      <c r="N51" s="46" t="n"/>
      <c r="O51" s="28">
        <f>IF($B51="","",IF($M51="Closed",IF($N51="","",$N51-$B51),TODAY()-$B51))</f>
        <v/>
      </c>
      <c r="P51" s="28">
        <f>IF(OR($B51="",$L51="",$M51="Closed"),"",IF(TODAY()&gt;$L51,"YES","NO"))</f>
        <v/>
      </c>
      <c r="Q51" s="30">
        <f>Weekly_Inspections!$AW51</f>
        <v/>
      </c>
    </row>
    <row r="52" ht="15" customHeight="1" s="45">
      <c r="A52" s="28">
        <f>IF(Weekly_Inspections!$B52="","",Weekly_Inspections!$A52&amp;"-A1")</f>
        <v/>
      </c>
      <c r="B52" s="46">
        <f>Weekly_Inspections!$B52</f>
        <v/>
      </c>
      <c r="C52" s="30">
        <f>Weekly_Inspections!$E52</f>
        <v/>
      </c>
      <c r="D52" s="30">
        <f>Weekly_Inspections!$F52</f>
        <v/>
      </c>
      <c r="E52" s="28">
        <f>Weekly_Inspections!$H52</f>
        <v/>
      </c>
      <c r="F52" s="30">
        <f>IF(Weekly_Inspections!$AX52&lt;&gt;"",Weekly_Inspections!$AX52,IF(Weekly_Inspections!$AY52&lt;&gt;"",Weekly_Inspections!$AY52,IF(Weekly_Inspections!$AZ52&lt;&gt;"",Weekly_Inspections!$AZ52,IF(Weekly_Inspections!$BA52&lt;&gt;"",Weekly_Inspections!$BA52,IF(Weekly_Inspections!$BB52&lt;&gt;"",Weekly_Inspections!$BB52,Weekly_Inspections!$R52)))))</f>
        <v/>
      </c>
      <c r="G52" s="30">
        <f>IF(OR(Weekly_Inspections!$AQ52&lt;&gt;"",Weekly_Inspections!$AR52&lt;&gt;"",Weekly_Inspections!$AS52&lt;&gt;""),Weekly_Inspections!$AQ52,"")</f>
        <v/>
      </c>
      <c r="H52" s="30">
        <f>Weekly_Inspections!$AP52</f>
        <v/>
      </c>
      <c r="I52" s="30">
        <f>Weekly_Inspections!$AR52</f>
        <v/>
      </c>
      <c r="J52" s="30">
        <f>Weekly_Inspections!$AS52</f>
        <v/>
      </c>
      <c r="K52" s="30">
        <f>Weekly_Inspections!$AU52</f>
        <v/>
      </c>
      <c r="L52" s="46">
        <f>Weekly_Inspections!$AV52</f>
        <v/>
      </c>
      <c r="M52" s="30">
        <f>IF($B52="","",IF($N52&lt;&gt;"","Closed",IF(OR($G52&lt;&gt;"",$I52&lt;&gt;"",$J52&lt;&gt;""),"Open","")))</f>
        <v/>
      </c>
      <c r="N52" s="46" t="n"/>
      <c r="O52" s="28">
        <f>IF($B52="","",IF($M52="Closed",IF($N52="","",$N52-$B52),TODAY()-$B52))</f>
        <v/>
      </c>
      <c r="P52" s="28">
        <f>IF(OR($B52="",$L52="",$M52="Closed"),"",IF(TODAY()&gt;$L52,"YES","NO"))</f>
        <v/>
      </c>
      <c r="Q52" s="30">
        <f>Weekly_Inspections!$AW52</f>
        <v/>
      </c>
    </row>
    <row r="53" ht="15" customHeight="1" s="45">
      <c r="A53" s="28">
        <f>IF(Weekly_Inspections!$B53="","",Weekly_Inspections!$A53&amp;"-A1")</f>
        <v/>
      </c>
      <c r="B53" s="46">
        <f>Weekly_Inspections!$B53</f>
        <v/>
      </c>
      <c r="C53" s="30">
        <f>Weekly_Inspections!$E53</f>
        <v/>
      </c>
      <c r="D53" s="30">
        <f>Weekly_Inspections!$F53</f>
        <v/>
      </c>
      <c r="E53" s="28">
        <f>Weekly_Inspections!$H53</f>
        <v/>
      </c>
      <c r="F53" s="30">
        <f>IF(Weekly_Inspections!$AX53&lt;&gt;"",Weekly_Inspections!$AX53,IF(Weekly_Inspections!$AY53&lt;&gt;"",Weekly_Inspections!$AY53,IF(Weekly_Inspections!$AZ53&lt;&gt;"",Weekly_Inspections!$AZ53,IF(Weekly_Inspections!$BA53&lt;&gt;"",Weekly_Inspections!$BA53,IF(Weekly_Inspections!$BB53&lt;&gt;"",Weekly_Inspections!$BB53,Weekly_Inspections!$R53)))))</f>
        <v/>
      </c>
      <c r="G53" s="30">
        <f>IF(OR(Weekly_Inspections!$AQ53&lt;&gt;"",Weekly_Inspections!$AR53&lt;&gt;"",Weekly_Inspections!$AS53&lt;&gt;""),Weekly_Inspections!$AQ53,"")</f>
        <v/>
      </c>
      <c r="H53" s="30">
        <f>Weekly_Inspections!$AP53</f>
        <v/>
      </c>
      <c r="I53" s="30">
        <f>Weekly_Inspections!$AR53</f>
        <v/>
      </c>
      <c r="J53" s="30">
        <f>Weekly_Inspections!$AS53</f>
        <v/>
      </c>
      <c r="K53" s="30">
        <f>Weekly_Inspections!$AU53</f>
        <v/>
      </c>
      <c r="L53" s="46">
        <f>Weekly_Inspections!$AV53</f>
        <v/>
      </c>
      <c r="M53" s="30">
        <f>IF($B53="","",IF($N53&lt;&gt;"","Closed",IF(OR($G53&lt;&gt;"",$I53&lt;&gt;"",$J53&lt;&gt;""),"Open","")))</f>
        <v/>
      </c>
      <c r="N53" s="46" t="n"/>
      <c r="O53" s="28">
        <f>IF($B53="","",IF($M53="Closed",IF($N53="","",$N53-$B53),TODAY()-$B53))</f>
        <v/>
      </c>
      <c r="P53" s="28">
        <f>IF(OR($B53="",$L53="",$M53="Closed"),"",IF(TODAY()&gt;$L53,"YES","NO"))</f>
        <v/>
      </c>
      <c r="Q53" s="30">
        <f>Weekly_Inspections!$AW53</f>
        <v/>
      </c>
    </row>
    <row r="54" ht="15" customHeight="1" s="45">
      <c r="A54" s="28">
        <f>IF(Weekly_Inspections!$B54="","",Weekly_Inspections!$A54&amp;"-A1")</f>
        <v/>
      </c>
      <c r="B54" s="46">
        <f>Weekly_Inspections!$B54</f>
        <v/>
      </c>
      <c r="C54" s="30">
        <f>Weekly_Inspections!$E54</f>
        <v/>
      </c>
      <c r="D54" s="30">
        <f>Weekly_Inspections!$F54</f>
        <v/>
      </c>
      <c r="E54" s="28">
        <f>Weekly_Inspections!$H54</f>
        <v/>
      </c>
      <c r="F54" s="30">
        <f>IF(Weekly_Inspections!$AX54&lt;&gt;"",Weekly_Inspections!$AX54,IF(Weekly_Inspections!$AY54&lt;&gt;"",Weekly_Inspections!$AY54,IF(Weekly_Inspections!$AZ54&lt;&gt;"",Weekly_Inspections!$AZ54,IF(Weekly_Inspections!$BA54&lt;&gt;"",Weekly_Inspections!$BA54,IF(Weekly_Inspections!$BB54&lt;&gt;"",Weekly_Inspections!$BB54,Weekly_Inspections!$R54)))))</f>
        <v/>
      </c>
      <c r="G54" s="30">
        <f>IF(OR(Weekly_Inspections!$AQ54&lt;&gt;"",Weekly_Inspections!$AR54&lt;&gt;"",Weekly_Inspections!$AS54&lt;&gt;""),Weekly_Inspections!$AQ54,"")</f>
        <v/>
      </c>
      <c r="H54" s="30">
        <f>Weekly_Inspections!$AP54</f>
        <v/>
      </c>
      <c r="I54" s="30">
        <f>Weekly_Inspections!$AR54</f>
        <v/>
      </c>
      <c r="J54" s="30">
        <f>Weekly_Inspections!$AS54</f>
        <v/>
      </c>
      <c r="K54" s="30">
        <f>Weekly_Inspections!$AU54</f>
        <v/>
      </c>
      <c r="L54" s="46">
        <f>Weekly_Inspections!$AV54</f>
        <v/>
      </c>
      <c r="M54" s="30">
        <f>IF($B54="","",IF($N54&lt;&gt;"","Closed",IF(OR($G54&lt;&gt;"",$I54&lt;&gt;"",$J54&lt;&gt;""),"Open","")))</f>
        <v/>
      </c>
      <c r="N54" s="46" t="n"/>
      <c r="O54" s="28">
        <f>IF($B54="","",IF($M54="Closed",IF($N54="","",$N54-$B54),TODAY()-$B54))</f>
        <v/>
      </c>
      <c r="P54" s="28">
        <f>IF(OR($B54="",$L54="",$M54="Closed"),"",IF(TODAY()&gt;$L54,"YES","NO"))</f>
        <v/>
      </c>
      <c r="Q54" s="30">
        <f>Weekly_Inspections!$AW54</f>
        <v/>
      </c>
    </row>
    <row r="55" ht="15" customHeight="1" s="45">
      <c r="A55" s="28">
        <f>IF(Weekly_Inspections!$B55="","",Weekly_Inspections!$A55&amp;"-A1")</f>
        <v/>
      </c>
      <c r="B55" s="46">
        <f>Weekly_Inspections!$B55</f>
        <v/>
      </c>
      <c r="C55" s="30">
        <f>Weekly_Inspections!$E55</f>
        <v/>
      </c>
      <c r="D55" s="30">
        <f>Weekly_Inspections!$F55</f>
        <v/>
      </c>
      <c r="E55" s="28">
        <f>Weekly_Inspections!$H55</f>
        <v/>
      </c>
      <c r="F55" s="30">
        <f>IF(Weekly_Inspections!$AX55&lt;&gt;"",Weekly_Inspections!$AX55,IF(Weekly_Inspections!$AY55&lt;&gt;"",Weekly_Inspections!$AY55,IF(Weekly_Inspections!$AZ55&lt;&gt;"",Weekly_Inspections!$AZ55,IF(Weekly_Inspections!$BA55&lt;&gt;"",Weekly_Inspections!$BA55,IF(Weekly_Inspections!$BB55&lt;&gt;"",Weekly_Inspections!$BB55,Weekly_Inspections!$R55)))))</f>
        <v/>
      </c>
      <c r="G55" s="30">
        <f>IF(OR(Weekly_Inspections!$AQ55&lt;&gt;"",Weekly_Inspections!$AR55&lt;&gt;"",Weekly_Inspections!$AS55&lt;&gt;""),Weekly_Inspections!$AQ55,"")</f>
        <v/>
      </c>
      <c r="H55" s="30">
        <f>Weekly_Inspections!$AP55</f>
        <v/>
      </c>
      <c r="I55" s="30">
        <f>Weekly_Inspections!$AR55</f>
        <v/>
      </c>
      <c r="J55" s="30">
        <f>Weekly_Inspections!$AS55</f>
        <v/>
      </c>
      <c r="K55" s="30">
        <f>Weekly_Inspections!$AU55</f>
        <v/>
      </c>
      <c r="L55" s="46">
        <f>Weekly_Inspections!$AV55</f>
        <v/>
      </c>
      <c r="M55" s="30">
        <f>IF($B55="","",IF($N55&lt;&gt;"","Closed",IF(OR($G55&lt;&gt;"",$I55&lt;&gt;"",$J55&lt;&gt;""),"Open","")))</f>
        <v/>
      </c>
      <c r="N55" s="46" t="n"/>
      <c r="O55" s="28">
        <f>IF($B55="","",IF($M55="Closed",IF($N55="","",$N55-$B55),TODAY()-$B55))</f>
        <v/>
      </c>
      <c r="P55" s="28">
        <f>IF(OR($B55="",$L55="",$M55="Closed"),"",IF(TODAY()&gt;$L55,"YES","NO"))</f>
        <v/>
      </c>
      <c r="Q55" s="30">
        <f>Weekly_Inspections!$AW55</f>
        <v/>
      </c>
    </row>
    <row r="56" ht="15" customHeight="1" s="45">
      <c r="A56" s="28">
        <f>IF(Weekly_Inspections!$B56="","",Weekly_Inspections!$A56&amp;"-A1")</f>
        <v/>
      </c>
      <c r="B56" s="46">
        <f>Weekly_Inspections!$B56</f>
        <v/>
      </c>
      <c r="C56" s="30">
        <f>Weekly_Inspections!$E56</f>
        <v/>
      </c>
      <c r="D56" s="30">
        <f>Weekly_Inspections!$F56</f>
        <v/>
      </c>
      <c r="E56" s="28">
        <f>Weekly_Inspections!$H56</f>
        <v/>
      </c>
      <c r="F56" s="30">
        <f>IF(Weekly_Inspections!$AX56&lt;&gt;"",Weekly_Inspections!$AX56,IF(Weekly_Inspections!$AY56&lt;&gt;"",Weekly_Inspections!$AY56,IF(Weekly_Inspections!$AZ56&lt;&gt;"",Weekly_Inspections!$AZ56,IF(Weekly_Inspections!$BA56&lt;&gt;"",Weekly_Inspections!$BA56,IF(Weekly_Inspections!$BB56&lt;&gt;"",Weekly_Inspections!$BB56,Weekly_Inspections!$R56)))))</f>
        <v/>
      </c>
      <c r="G56" s="30">
        <f>IF(OR(Weekly_Inspections!$AQ56&lt;&gt;"",Weekly_Inspections!$AR56&lt;&gt;"",Weekly_Inspections!$AS56&lt;&gt;""),Weekly_Inspections!$AQ56,"")</f>
        <v/>
      </c>
      <c r="H56" s="30">
        <f>Weekly_Inspections!$AP56</f>
        <v/>
      </c>
      <c r="I56" s="30">
        <f>Weekly_Inspections!$AR56</f>
        <v/>
      </c>
      <c r="J56" s="30">
        <f>Weekly_Inspections!$AS56</f>
        <v/>
      </c>
      <c r="K56" s="30">
        <f>Weekly_Inspections!$AU56</f>
        <v/>
      </c>
      <c r="L56" s="46">
        <f>Weekly_Inspections!$AV56</f>
        <v/>
      </c>
      <c r="M56" s="30">
        <f>IF($B56="","",IF($N56&lt;&gt;"","Closed",IF(OR($G56&lt;&gt;"",$I56&lt;&gt;"",$J56&lt;&gt;""),"Open","")))</f>
        <v/>
      </c>
      <c r="N56" s="46" t="n"/>
      <c r="O56" s="28">
        <f>IF($B56="","",IF($M56="Closed",IF($N56="","",$N56-$B56),TODAY()-$B56))</f>
        <v/>
      </c>
      <c r="P56" s="28">
        <f>IF(OR($B56="",$L56="",$M56="Closed"),"",IF(TODAY()&gt;$L56,"YES","NO"))</f>
        <v/>
      </c>
      <c r="Q56" s="30">
        <f>Weekly_Inspections!$AW56</f>
        <v/>
      </c>
    </row>
    <row r="57" ht="15" customHeight="1" s="45">
      <c r="A57" s="28">
        <f>IF(Weekly_Inspections!$B57="","",Weekly_Inspections!$A57&amp;"-A1")</f>
        <v/>
      </c>
      <c r="B57" s="46">
        <f>Weekly_Inspections!$B57</f>
        <v/>
      </c>
      <c r="C57" s="30">
        <f>Weekly_Inspections!$E57</f>
        <v/>
      </c>
      <c r="D57" s="30">
        <f>Weekly_Inspections!$F57</f>
        <v/>
      </c>
      <c r="E57" s="28">
        <f>Weekly_Inspections!$H57</f>
        <v/>
      </c>
      <c r="F57" s="30">
        <f>IF(Weekly_Inspections!$AX57&lt;&gt;"",Weekly_Inspections!$AX57,IF(Weekly_Inspections!$AY57&lt;&gt;"",Weekly_Inspections!$AY57,IF(Weekly_Inspections!$AZ57&lt;&gt;"",Weekly_Inspections!$AZ57,IF(Weekly_Inspections!$BA57&lt;&gt;"",Weekly_Inspections!$BA57,IF(Weekly_Inspections!$BB57&lt;&gt;"",Weekly_Inspections!$BB57,Weekly_Inspections!$R57)))))</f>
        <v/>
      </c>
      <c r="G57" s="30">
        <f>IF(OR(Weekly_Inspections!$AQ57&lt;&gt;"",Weekly_Inspections!$AR57&lt;&gt;"",Weekly_Inspections!$AS57&lt;&gt;""),Weekly_Inspections!$AQ57,"")</f>
        <v/>
      </c>
      <c r="H57" s="30">
        <f>Weekly_Inspections!$AP57</f>
        <v/>
      </c>
      <c r="I57" s="30">
        <f>Weekly_Inspections!$AR57</f>
        <v/>
      </c>
      <c r="J57" s="30">
        <f>Weekly_Inspections!$AS57</f>
        <v/>
      </c>
      <c r="K57" s="30">
        <f>Weekly_Inspections!$AU57</f>
        <v/>
      </c>
      <c r="L57" s="46">
        <f>Weekly_Inspections!$AV57</f>
        <v/>
      </c>
      <c r="M57" s="30">
        <f>IF($B57="","",IF($N57&lt;&gt;"","Closed",IF(OR($G57&lt;&gt;"",$I57&lt;&gt;"",$J57&lt;&gt;""),"Open","")))</f>
        <v/>
      </c>
      <c r="N57" s="46" t="n"/>
      <c r="O57" s="28">
        <f>IF($B57="","",IF($M57="Closed",IF($N57="","",$N57-$B57),TODAY()-$B57))</f>
        <v/>
      </c>
      <c r="P57" s="28">
        <f>IF(OR($B57="",$L57="",$M57="Closed"),"",IF(TODAY()&gt;$L57,"YES","NO"))</f>
        <v/>
      </c>
      <c r="Q57" s="30">
        <f>Weekly_Inspections!$AW57</f>
        <v/>
      </c>
    </row>
    <row r="58" ht="15" customHeight="1" s="45">
      <c r="A58" s="28">
        <f>IF(Weekly_Inspections!$B58="","",Weekly_Inspections!$A58&amp;"-A1")</f>
        <v/>
      </c>
      <c r="B58" s="46">
        <f>Weekly_Inspections!$B58</f>
        <v/>
      </c>
      <c r="C58" s="30">
        <f>Weekly_Inspections!$E58</f>
        <v/>
      </c>
      <c r="D58" s="30">
        <f>Weekly_Inspections!$F58</f>
        <v/>
      </c>
      <c r="E58" s="28">
        <f>Weekly_Inspections!$H58</f>
        <v/>
      </c>
      <c r="F58" s="30">
        <f>IF(Weekly_Inspections!$AX58&lt;&gt;"",Weekly_Inspections!$AX58,IF(Weekly_Inspections!$AY58&lt;&gt;"",Weekly_Inspections!$AY58,IF(Weekly_Inspections!$AZ58&lt;&gt;"",Weekly_Inspections!$AZ58,IF(Weekly_Inspections!$BA58&lt;&gt;"",Weekly_Inspections!$BA58,IF(Weekly_Inspections!$BB58&lt;&gt;"",Weekly_Inspections!$BB58,Weekly_Inspections!$R58)))))</f>
        <v/>
      </c>
      <c r="G58" s="30">
        <f>IF(OR(Weekly_Inspections!$AQ58&lt;&gt;"",Weekly_Inspections!$AR58&lt;&gt;"",Weekly_Inspections!$AS58&lt;&gt;""),Weekly_Inspections!$AQ58,"")</f>
        <v/>
      </c>
      <c r="H58" s="30">
        <f>Weekly_Inspections!$AP58</f>
        <v/>
      </c>
      <c r="I58" s="30">
        <f>Weekly_Inspections!$AR58</f>
        <v/>
      </c>
      <c r="J58" s="30">
        <f>Weekly_Inspections!$AS58</f>
        <v/>
      </c>
      <c r="K58" s="30">
        <f>Weekly_Inspections!$AU58</f>
        <v/>
      </c>
      <c r="L58" s="46">
        <f>Weekly_Inspections!$AV58</f>
        <v/>
      </c>
      <c r="M58" s="30">
        <f>IF($B58="","",IF($N58&lt;&gt;"","Closed",IF(OR($G58&lt;&gt;"",$I58&lt;&gt;"",$J58&lt;&gt;""),"Open","")))</f>
        <v/>
      </c>
      <c r="N58" s="46" t="n"/>
      <c r="O58" s="28">
        <f>IF($B58="","",IF($M58="Closed",IF($N58="","",$N58-$B58),TODAY()-$B58))</f>
        <v/>
      </c>
      <c r="P58" s="28">
        <f>IF(OR($B58="",$L58="",$M58="Closed"),"",IF(TODAY()&gt;$L58,"YES","NO"))</f>
        <v/>
      </c>
      <c r="Q58" s="30">
        <f>Weekly_Inspections!$AW58</f>
        <v/>
      </c>
    </row>
    <row r="59" ht="15" customHeight="1" s="45">
      <c r="A59" s="28">
        <f>IF(Weekly_Inspections!$B59="","",Weekly_Inspections!$A59&amp;"-A1")</f>
        <v/>
      </c>
      <c r="B59" s="46">
        <f>Weekly_Inspections!$B59</f>
        <v/>
      </c>
      <c r="C59" s="30">
        <f>Weekly_Inspections!$E59</f>
        <v/>
      </c>
      <c r="D59" s="30">
        <f>Weekly_Inspections!$F59</f>
        <v/>
      </c>
      <c r="E59" s="28">
        <f>Weekly_Inspections!$H59</f>
        <v/>
      </c>
      <c r="F59" s="30">
        <f>IF(Weekly_Inspections!$AX59&lt;&gt;"",Weekly_Inspections!$AX59,IF(Weekly_Inspections!$AY59&lt;&gt;"",Weekly_Inspections!$AY59,IF(Weekly_Inspections!$AZ59&lt;&gt;"",Weekly_Inspections!$AZ59,IF(Weekly_Inspections!$BA59&lt;&gt;"",Weekly_Inspections!$BA59,IF(Weekly_Inspections!$BB59&lt;&gt;"",Weekly_Inspections!$BB59,Weekly_Inspections!$R59)))))</f>
        <v/>
      </c>
      <c r="G59" s="30">
        <f>IF(OR(Weekly_Inspections!$AQ59&lt;&gt;"",Weekly_Inspections!$AR59&lt;&gt;"",Weekly_Inspections!$AS59&lt;&gt;""),Weekly_Inspections!$AQ59,"")</f>
        <v/>
      </c>
      <c r="H59" s="30">
        <f>Weekly_Inspections!$AP59</f>
        <v/>
      </c>
      <c r="I59" s="30">
        <f>Weekly_Inspections!$AR59</f>
        <v/>
      </c>
      <c r="J59" s="30">
        <f>Weekly_Inspections!$AS59</f>
        <v/>
      </c>
      <c r="K59" s="30">
        <f>Weekly_Inspections!$AU59</f>
        <v/>
      </c>
      <c r="L59" s="46">
        <f>Weekly_Inspections!$AV59</f>
        <v/>
      </c>
      <c r="M59" s="30">
        <f>IF($B59="","",IF($N59&lt;&gt;"","Closed",IF(OR($G59&lt;&gt;"",$I59&lt;&gt;"",$J59&lt;&gt;""),"Open","")))</f>
        <v/>
      </c>
      <c r="N59" s="46" t="n"/>
      <c r="O59" s="28">
        <f>IF($B59="","",IF($M59="Closed",IF($N59="","",$N59-$B59),TODAY()-$B59))</f>
        <v/>
      </c>
      <c r="P59" s="28">
        <f>IF(OR($B59="",$L59="",$M59="Closed"),"",IF(TODAY()&gt;$L59,"YES","NO"))</f>
        <v/>
      </c>
      <c r="Q59" s="30">
        <f>Weekly_Inspections!$AW59</f>
        <v/>
      </c>
    </row>
    <row r="60" ht="15" customHeight="1" s="45">
      <c r="A60" s="28">
        <f>IF(Weekly_Inspections!$B60="","",Weekly_Inspections!$A60&amp;"-A1")</f>
        <v/>
      </c>
      <c r="B60" s="46">
        <f>Weekly_Inspections!$B60</f>
        <v/>
      </c>
      <c r="C60" s="30">
        <f>Weekly_Inspections!$E60</f>
        <v/>
      </c>
      <c r="D60" s="30">
        <f>Weekly_Inspections!$F60</f>
        <v/>
      </c>
      <c r="E60" s="28">
        <f>Weekly_Inspections!$H60</f>
        <v/>
      </c>
      <c r="F60" s="30">
        <f>IF(Weekly_Inspections!$AX60&lt;&gt;"",Weekly_Inspections!$AX60,IF(Weekly_Inspections!$AY60&lt;&gt;"",Weekly_Inspections!$AY60,IF(Weekly_Inspections!$AZ60&lt;&gt;"",Weekly_Inspections!$AZ60,IF(Weekly_Inspections!$BA60&lt;&gt;"",Weekly_Inspections!$BA60,IF(Weekly_Inspections!$BB60&lt;&gt;"",Weekly_Inspections!$BB60,Weekly_Inspections!$R60)))))</f>
        <v/>
      </c>
      <c r="G60" s="30">
        <f>IF(OR(Weekly_Inspections!$AQ60&lt;&gt;"",Weekly_Inspections!$AR60&lt;&gt;"",Weekly_Inspections!$AS60&lt;&gt;""),Weekly_Inspections!$AQ60,"")</f>
        <v/>
      </c>
      <c r="H60" s="30">
        <f>Weekly_Inspections!$AP60</f>
        <v/>
      </c>
      <c r="I60" s="30">
        <f>Weekly_Inspections!$AR60</f>
        <v/>
      </c>
      <c r="J60" s="30">
        <f>Weekly_Inspections!$AS60</f>
        <v/>
      </c>
      <c r="K60" s="30">
        <f>Weekly_Inspections!$AU60</f>
        <v/>
      </c>
      <c r="L60" s="46">
        <f>Weekly_Inspections!$AV60</f>
        <v/>
      </c>
      <c r="M60" s="30">
        <f>IF($B60="","",IF($N60&lt;&gt;"","Closed",IF(OR($G60&lt;&gt;"",$I60&lt;&gt;"",$J60&lt;&gt;""),"Open","")))</f>
        <v/>
      </c>
      <c r="N60" s="46" t="n"/>
      <c r="O60" s="28">
        <f>IF($B60="","",IF($M60="Closed",IF($N60="","",$N60-$B60),TODAY()-$B60))</f>
        <v/>
      </c>
      <c r="P60" s="28">
        <f>IF(OR($B60="",$L60="",$M60="Closed"),"",IF(TODAY()&gt;$L60,"YES","NO"))</f>
        <v/>
      </c>
      <c r="Q60" s="30">
        <f>Weekly_Inspections!$AW60</f>
        <v/>
      </c>
    </row>
    <row r="61" ht="15" customHeight="1" s="45">
      <c r="A61" s="28">
        <f>IF(Weekly_Inspections!$B61="","",Weekly_Inspections!$A61&amp;"-A1")</f>
        <v/>
      </c>
      <c r="B61" s="46">
        <f>Weekly_Inspections!$B61</f>
        <v/>
      </c>
      <c r="C61" s="30">
        <f>Weekly_Inspections!$E61</f>
        <v/>
      </c>
      <c r="D61" s="30">
        <f>Weekly_Inspections!$F61</f>
        <v/>
      </c>
      <c r="E61" s="28">
        <f>Weekly_Inspections!$H61</f>
        <v/>
      </c>
      <c r="F61" s="30">
        <f>IF(Weekly_Inspections!$AX61&lt;&gt;"",Weekly_Inspections!$AX61,IF(Weekly_Inspections!$AY61&lt;&gt;"",Weekly_Inspections!$AY61,IF(Weekly_Inspections!$AZ61&lt;&gt;"",Weekly_Inspections!$AZ61,IF(Weekly_Inspections!$BA61&lt;&gt;"",Weekly_Inspections!$BA61,IF(Weekly_Inspections!$BB61&lt;&gt;"",Weekly_Inspections!$BB61,Weekly_Inspections!$R61)))))</f>
        <v/>
      </c>
      <c r="G61" s="30">
        <f>IF(OR(Weekly_Inspections!$AQ61&lt;&gt;"",Weekly_Inspections!$AR61&lt;&gt;"",Weekly_Inspections!$AS61&lt;&gt;""),Weekly_Inspections!$AQ61,"")</f>
        <v/>
      </c>
      <c r="H61" s="30">
        <f>Weekly_Inspections!$AP61</f>
        <v/>
      </c>
      <c r="I61" s="30">
        <f>Weekly_Inspections!$AR61</f>
        <v/>
      </c>
      <c r="J61" s="30">
        <f>Weekly_Inspections!$AS61</f>
        <v/>
      </c>
      <c r="K61" s="30">
        <f>Weekly_Inspections!$AU61</f>
        <v/>
      </c>
      <c r="L61" s="46">
        <f>Weekly_Inspections!$AV61</f>
        <v/>
      </c>
      <c r="M61" s="30">
        <f>IF($B61="","",IF($N61&lt;&gt;"","Closed",IF(OR($G61&lt;&gt;"",$I61&lt;&gt;"",$J61&lt;&gt;""),"Open","")))</f>
        <v/>
      </c>
      <c r="N61" s="46" t="n"/>
      <c r="O61" s="28">
        <f>IF($B61="","",IF($M61="Closed",IF($N61="","",$N61-$B61),TODAY()-$B61))</f>
        <v/>
      </c>
      <c r="P61" s="28">
        <f>IF(OR($B61="",$L61="",$M61="Closed"),"",IF(TODAY()&gt;$L61,"YES","NO"))</f>
        <v/>
      </c>
      <c r="Q61" s="30">
        <f>Weekly_Inspections!$AW61</f>
        <v/>
      </c>
    </row>
    <row r="62" ht="15" customHeight="1" s="45">
      <c r="A62" s="28">
        <f>IF(Weekly_Inspections!$B62="","",Weekly_Inspections!$A62&amp;"-A1")</f>
        <v/>
      </c>
      <c r="B62" s="46">
        <f>Weekly_Inspections!$B62</f>
        <v/>
      </c>
      <c r="C62" s="30">
        <f>Weekly_Inspections!$E62</f>
        <v/>
      </c>
      <c r="D62" s="30">
        <f>Weekly_Inspections!$F62</f>
        <v/>
      </c>
      <c r="E62" s="28">
        <f>Weekly_Inspections!$H62</f>
        <v/>
      </c>
      <c r="F62" s="30">
        <f>IF(Weekly_Inspections!$AX62&lt;&gt;"",Weekly_Inspections!$AX62,IF(Weekly_Inspections!$AY62&lt;&gt;"",Weekly_Inspections!$AY62,IF(Weekly_Inspections!$AZ62&lt;&gt;"",Weekly_Inspections!$AZ62,IF(Weekly_Inspections!$BA62&lt;&gt;"",Weekly_Inspections!$BA62,IF(Weekly_Inspections!$BB62&lt;&gt;"",Weekly_Inspections!$BB62,Weekly_Inspections!$R62)))))</f>
        <v/>
      </c>
      <c r="G62" s="30">
        <f>IF(OR(Weekly_Inspections!$AQ62&lt;&gt;"",Weekly_Inspections!$AR62&lt;&gt;"",Weekly_Inspections!$AS62&lt;&gt;""),Weekly_Inspections!$AQ62,"")</f>
        <v/>
      </c>
      <c r="H62" s="30">
        <f>Weekly_Inspections!$AP62</f>
        <v/>
      </c>
      <c r="I62" s="30">
        <f>Weekly_Inspections!$AR62</f>
        <v/>
      </c>
      <c r="J62" s="30">
        <f>Weekly_Inspections!$AS62</f>
        <v/>
      </c>
      <c r="K62" s="30">
        <f>Weekly_Inspections!$AU62</f>
        <v/>
      </c>
      <c r="L62" s="46">
        <f>Weekly_Inspections!$AV62</f>
        <v/>
      </c>
      <c r="M62" s="30">
        <f>IF($B62="","",IF($N62&lt;&gt;"","Closed",IF(OR($G62&lt;&gt;"",$I62&lt;&gt;"",$J62&lt;&gt;""),"Open","")))</f>
        <v/>
      </c>
      <c r="N62" s="46" t="n"/>
      <c r="O62" s="28">
        <f>IF($B62="","",IF($M62="Closed",IF($N62="","",$N62-$B62),TODAY()-$B62))</f>
        <v/>
      </c>
      <c r="P62" s="28">
        <f>IF(OR($B62="",$L62="",$M62="Closed"),"",IF(TODAY()&gt;$L62,"YES","NO"))</f>
        <v/>
      </c>
      <c r="Q62" s="30">
        <f>Weekly_Inspections!$AW62</f>
        <v/>
      </c>
    </row>
    <row r="63" ht="15" customHeight="1" s="45">
      <c r="A63" s="28">
        <f>IF(Weekly_Inspections!$B63="","",Weekly_Inspections!$A63&amp;"-A1")</f>
        <v/>
      </c>
      <c r="B63" s="46">
        <f>Weekly_Inspections!$B63</f>
        <v/>
      </c>
      <c r="C63" s="30">
        <f>Weekly_Inspections!$E63</f>
        <v/>
      </c>
      <c r="D63" s="30">
        <f>Weekly_Inspections!$F63</f>
        <v/>
      </c>
      <c r="E63" s="28">
        <f>Weekly_Inspections!$H63</f>
        <v/>
      </c>
      <c r="F63" s="30">
        <f>IF(Weekly_Inspections!$AX63&lt;&gt;"",Weekly_Inspections!$AX63,IF(Weekly_Inspections!$AY63&lt;&gt;"",Weekly_Inspections!$AY63,IF(Weekly_Inspections!$AZ63&lt;&gt;"",Weekly_Inspections!$AZ63,IF(Weekly_Inspections!$BA63&lt;&gt;"",Weekly_Inspections!$BA63,IF(Weekly_Inspections!$BB63&lt;&gt;"",Weekly_Inspections!$BB63,Weekly_Inspections!$R63)))))</f>
        <v/>
      </c>
      <c r="G63" s="30">
        <f>IF(OR(Weekly_Inspections!$AQ63&lt;&gt;"",Weekly_Inspections!$AR63&lt;&gt;"",Weekly_Inspections!$AS63&lt;&gt;""),Weekly_Inspections!$AQ63,"")</f>
        <v/>
      </c>
      <c r="H63" s="30">
        <f>Weekly_Inspections!$AP63</f>
        <v/>
      </c>
      <c r="I63" s="30">
        <f>Weekly_Inspections!$AR63</f>
        <v/>
      </c>
      <c r="J63" s="30">
        <f>Weekly_Inspections!$AS63</f>
        <v/>
      </c>
      <c r="K63" s="30">
        <f>Weekly_Inspections!$AU63</f>
        <v/>
      </c>
      <c r="L63" s="46">
        <f>Weekly_Inspections!$AV63</f>
        <v/>
      </c>
      <c r="M63" s="30">
        <f>IF($B63="","",IF($N63&lt;&gt;"","Closed",IF(OR($G63&lt;&gt;"",$I63&lt;&gt;"",$J63&lt;&gt;""),"Open","")))</f>
        <v/>
      </c>
      <c r="N63" s="46" t="n"/>
      <c r="O63" s="28">
        <f>IF($B63="","",IF($M63="Closed",IF($N63="","",$N63-$B63),TODAY()-$B63))</f>
        <v/>
      </c>
      <c r="P63" s="28">
        <f>IF(OR($B63="",$L63="",$M63="Closed"),"",IF(TODAY()&gt;$L63,"YES","NO"))</f>
        <v/>
      </c>
      <c r="Q63" s="30">
        <f>Weekly_Inspections!$AW63</f>
        <v/>
      </c>
    </row>
    <row r="64" ht="15" customHeight="1" s="45">
      <c r="A64" s="28">
        <f>IF(Weekly_Inspections!$B64="","",Weekly_Inspections!$A64&amp;"-A1")</f>
        <v/>
      </c>
      <c r="B64" s="46">
        <f>Weekly_Inspections!$B64</f>
        <v/>
      </c>
      <c r="C64" s="30">
        <f>Weekly_Inspections!$E64</f>
        <v/>
      </c>
      <c r="D64" s="30">
        <f>Weekly_Inspections!$F64</f>
        <v/>
      </c>
      <c r="E64" s="28">
        <f>Weekly_Inspections!$H64</f>
        <v/>
      </c>
      <c r="F64" s="30">
        <f>IF(Weekly_Inspections!$AX64&lt;&gt;"",Weekly_Inspections!$AX64,IF(Weekly_Inspections!$AY64&lt;&gt;"",Weekly_Inspections!$AY64,IF(Weekly_Inspections!$AZ64&lt;&gt;"",Weekly_Inspections!$AZ64,IF(Weekly_Inspections!$BA64&lt;&gt;"",Weekly_Inspections!$BA64,IF(Weekly_Inspections!$BB64&lt;&gt;"",Weekly_Inspections!$BB64,Weekly_Inspections!$R64)))))</f>
        <v/>
      </c>
      <c r="G64" s="30">
        <f>IF(OR(Weekly_Inspections!$AQ64&lt;&gt;"",Weekly_Inspections!$AR64&lt;&gt;"",Weekly_Inspections!$AS64&lt;&gt;""),Weekly_Inspections!$AQ64,"")</f>
        <v/>
      </c>
      <c r="H64" s="30">
        <f>Weekly_Inspections!$AP64</f>
        <v/>
      </c>
      <c r="I64" s="30">
        <f>Weekly_Inspections!$AR64</f>
        <v/>
      </c>
      <c r="J64" s="30">
        <f>Weekly_Inspections!$AS64</f>
        <v/>
      </c>
      <c r="K64" s="30">
        <f>Weekly_Inspections!$AU64</f>
        <v/>
      </c>
      <c r="L64" s="46">
        <f>Weekly_Inspections!$AV64</f>
        <v/>
      </c>
      <c r="M64" s="30">
        <f>IF($B64="","",IF($N64&lt;&gt;"","Closed",IF(OR($G64&lt;&gt;"",$I64&lt;&gt;"",$J64&lt;&gt;""),"Open","")))</f>
        <v/>
      </c>
      <c r="N64" s="46" t="n"/>
      <c r="O64" s="28">
        <f>IF($B64="","",IF($M64="Closed",IF($N64="","",$N64-$B64),TODAY()-$B64))</f>
        <v/>
      </c>
      <c r="P64" s="28">
        <f>IF(OR($B64="",$L64="",$M64="Closed"),"",IF(TODAY()&gt;$L64,"YES","NO"))</f>
        <v/>
      </c>
      <c r="Q64" s="30">
        <f>Weekly_Inspections!$AW64</f>
        <v/>
      </c>
    </row>
    <row r="65" ht="15" customHeight="1" s="45">
      <c r="A65" s="28">
        <f>IF(Weekly_Inspections!$B65="","",Weekly_Inspections!$A65&amp;"-A1")</f>
        <v/>
      </c>
      <c r="B65" s="46">
        <f>Weekly_Inspections!$B65</f>
        <v/>
      </c>
      <c r="C65" s="30">
        <f>Weekly_Inspections!$E65</f>
        <v/>
      </c>
      <c r="D65" s="30">
        <f>Weekly_Inspections!$F65</f>
        <v/>
      </c>
      <c r="E65" s="28">
        <f>Weekly_Inspections!$H65</f>
        <v/>
      </c>
      <c r="F65" s="30">
        <f>IF(Weekly_Inspections!$AX65&lt;&gt;"",Weekly_Inspections!$AX65,IF(Weekly_Inspections!$AY65&lt;&gt;"",Weekly_Inspections!$AY65,IF(Weekly_Inspections!$AZ65&lt;&gt;"",Weekly_Inspections!$AZ65,IF(Weekly_Inspections!$BA65&lt;&gt;"",Weekly_Inspections!$BA65,IF(Weekly_Inspections!$BB65&lt;&gt;"",Weekly_Inspections!$BB65,Weekly_Inspections!$R65)))))</f>
        <v/>
      </c>
      <c r="G65" s="30">
        <f>IF(OR(Weekly_Inspections!$AQ65&lt;&gt;"",Weekly_Inspections!$AR65&lt;&gt;"",Weekly_Inspections!$AS65&lt;&gt;""),Weekly_Inspections!$AQ65,"")</f>
        <v/>
      </c>
      <c r="H65" s="30">
        <f>Weekly_Inspections!$AP65</f>
        <v/>
      </c>
      <c r="I65" s="30">
        <f>Weekly_Inspections!$AR65</f>
        <v/>
      </c>
      <c r="J65" s="30">
        <f>Weekly_Inspections!$AS65</f>
        <v/>
      </c>
      <c r="K65" s="30">
        <f>Weekly_Inspections!$AU65</f>
        <v/>
      </c>
      <c r="L65" s="46">
        <f>Weekly_Inspections!$AV65</f>
        <v/>
      </c>
      <c r="M65" s="30">
        <f>IF($B65="","",IF($N65&lt;&gt;"","Closed",IF(OR($G65&lt;&gt;"",$I65&lt;&gt;"",$J65&lt;&gt;""),"Open","")))</f>
        <v/>
      </c>
      <c r="N65" s="46" t="n"/>
      <c r="O65" s="28">
        <f>IF($B65="","",IF($M65="Closed",IF($N65="","",$N65-$B65),TODAY()-$B65))</f>
        <v/>
      </c>
      <c r="P65" s="28">
        <f>IF(OR($B65="",$L65="",$M65="Closed"),"",IF(TODAY()&gt;$L65,"YES","NO"))</f>
        <v/>
      </c>
      <c r="Q65" s="30">
        <f>Weekly_Inspections!$AW65</f>
        <v/>
      </c>
    </row>
    <row r="66" ht="15" customHeight="1" s="45">
      <c r="A66" s="28">
        <f>IF(Weekly_Inspections!$B66="","",Weekly_Inspections!$A66&amp;"-A1")</f>
        <v/>
      </c>
      <c r="B66" s="46">
        <f>Weekly_Inspections!$B66</f>
        <v/>
      </c>
      <c r="C66" s="30">
        <f>Weekly_Inspections!$E66</f>
        <v/>
      </c>
      <c r="D66" s="30">
        <f>Weekly_Inspections!$F66</f>
        <v/>
      </c>
      <c r="E66" s="28">
        <f>Weekly_Inspections!$H66</f>
        <v/>
      </c>
      <c r="F66" s="30">
        <f>IF(Weekly_Inspections!$AX66&lt;&gt;"",Weekly_Inspections!$AX66,IF(Weekly_Inspections!$AY66&lt;&gt;"",Weekly_Inspections!$AY66,IF(Weekly_Inspections!$AZ66&lt;&gt;"",Weekly_Inspections!$AZ66,IF(Weekly_Inspections!$BA66&lt;&gt;"",Weekly_Inspections!$BA66,IF(Weekly_Inspections!$BB66&lt;&gt;"",Weekly_Inspections!$BB66,Weekly_Inspections!$R66)))))</f>
        <v/>
      </c>
      <c r="G66" s="30">
        <f>IF(OR(Weekly_Inspections!$AQ66&lt;&gt;"",Weekly_Inspections!$AR66&lt;&gt;"",Weekly_Inspections!$AS66&lt;&gt;""),Weekly_Inspections!$AQ66,"")</f>
        <v/>
      </c>
      <c r="H66" s="30">
        <f>Weekly_Inspections!$AP66</f>
        <v/>
      </c>
      <c r="I66" s="30">
        <f>Weekly_Inspections!$AR66</f>
        <v/>
      </c>
      <c r="J66" s="30">
        <f>Weekly_Inspections!$AS66</f>
        <v/>
      </c>
      <c r="K66" s="30">
        <f>Weekly_Inspections!$AU66</f>
        <v/>
      </c>
      <c r="L66" s="46">
        <f>Weekly_Inspections!$AV66</f>
        <v/>
      </c>
      <c r="M66" s="30">
        <f>IF($B66="","",IF($N66&lt;&gt;"","Closed",IF(OR($G66&lt;&gt;"",$I66&lt;&gt;"",$J66&lt;&gt;""),"Open","")))</f>
        <v/>
      </c>
      <c r="N66" s="46" t="n"/>
      <c r="O66" s="28">
        <f>IF($B66="","",IF($M66="Closed",IF($N66="","",$N66-$B66),TODAY()-$B66))</f>
        <v/>
      </c>
      <c r="P66" s="28">
        <f>IF(OR($B66="",$L66="",$M66="Closed"),"",IF(TODAY()&gt;$L66,"YES","NO"))</f>
        <v/>
      </c>
      <c r="Q66" s="30">
        <f>Weekly_Inspections!$AW66</f>
        <v/>
      </c>
    </row>
    <row r="67" ht="15" customHeight="1" s="45">
      <c r="A67" s="28">
        <f>IF(Weekly_Inspections!$B67="","",Weekly_Inspections!$A67&amp;"-A1")</f>
        <v/>
      </c>
      <c r="B67" s="46">
        <f>Weekly_Inspections!$B67</f>
        <v/>
      </c>
      <c r="C67" s="30">
        <f>Weekly_Inspections!$E67</f>
        <v/>
      </c>
      <c r="D67" s="30">
        <f>Weekly_Inspections!$F67</f>
        <v/>
      </c>
      <c r="E67" s="28">
        <f>Weekly_Inspections!$H67</f>
        <v/>
      </c>
      <c r="F67" s="30">
        <f>IF(Weekly_Inspections!$AX67&lt;&gt;"",Weekly_Inspections!$AX67,IF(Weekly_Inspections!$AY67&lt;&gt;"",Weekly_Inspections!$AY67,IF(Weekly_Inspections!$AZ67&lt;&gt;"",Weekly_Inspections!$AZ67,IF(Weekly_Inspections!$BA67&lt;&gt;"",Weekly_Inspections!$BA67,IF(Weekly_Inspections!$BB67&lt;&gt;"",Weekly_Inspections!$BB67,Weekly_Inspections!$R67)))))</f>
        <v/>
      </c>
      <c r="G67" s="30">
        <f>IF(OR(Weekly_Inspections!$AQ67&lt;&gt;"",Weekly_Inspections!$AR67&lt;&gt;"",Weekly_Inspections!$AS67&lt;&gt;""),Weekly_Inspections!$AQ67,"")</f>
        <v/>
      </c>
      <c r="H67" s="30">
        <f>Weekly_Inspections!$AP67</f>
        <v/>
      </c>
      <c r="I67" s="30">
        <f>Weekly_Inspections!$AR67</f>
        <v/>
      </c>
      <c r="J67" s="30">
        <f>Weekly_Inspections!$AS67</f>
        <v/>
      </c>
      <c r="K67" s="30">
        <f>Weekly_Inspections!$AU67</f>
        <v/>
      </c>
      <c r="L67" s="46">
        <f>Weekly_Inspections!$AV67</f>
        <v/>
      </c>
      <c r="M67" s="30">
        <f>IF($B67="","",IF($N67&lt;&gt;"","Closed",IF(OR($G67&lt;&gt;"",$I67&lt;&gt;"",$J67&lt;&gt;""),"Open","")))</f>
        <v/>
      </c>
      <c r="N67" s="46" t="n"/>
      <c r="O67" s="28">
        <f>IF($B67="","",IF($M67="Closed",IF($N67="","",$N67-$B67),TODAY()-$B67))</f>
        <v/>
      </c>
      <c r="P67" s="28">
        <f>IF(OR($B67="",$L67="",$M67="Closed"),"",IF(TODAY()&gt;$L67,"YES","NO"))</f>
        <v/>
      </c>
      <c r="Q67" s="30">
        <f>Weekly_Inspections!$AW67</f>
        <v/>
      </c>
    </row>
    <row r="68" ht="15" customHeight="1" s="45">
      <c r="A68" s="28">
        <f>IF(Weekly_Inspections!$B68="","",Weekly_Inspections!$A68&amp;"-A1")</f>
        <v/>
      </c>
      <c r="B68" s="46">
        <f>Weekly_Inspections!$B68</f>
        <v/>
      </c>
      <c r="C68" s="30">
        <f>Weekly_Inspections!$E68</f>
        <v/>
      </c>
      <c r="D68" s="30">
        <f>Weekly_Inspections!$F68</f>
        <v/>
      </c>
      <c r="E68" s="28">
        <f>Weekly_Inspections!$H68</f>
        <v/>
      </c>
      <c r="F68" s="30">
        <f>IF(Weekly_Inspections!$AX68&lt;&gt;"",Weekly_Inspections!$AX68,IF(Weekly_Inspections!$AY68&lt;&gt;"",Weekly_Inspections!$AY68,IF(Weekly_Inspections!$AZ68&lt;&gt;"",Weekly_Inspections!$AZ68,IF(Weekly_Inspections!$BA68&lt;&gt;"",Weekly_Inspections!$BA68,IF(Weekly_Inspections!$BB68&lt;&gt;"",Weekly_Inspections!$BB68,Weekly_Inspections!$R68)))))</f>
        <v/>
      </c>
      <c r="G68" s="30">
        <f>IF(OR(Weekly_Inspections!$AQ68&lt;&gt;"",Weekly_Inspections!$AR68&lt;&gt;"",Weekly_Inspections!$AS68&lt;&gt;""),Weekly_Inspections!$AQ68,"")</f>
        <v/>
      </c>
      <c r="H68" s="30">
        <f>Weekly_Inspections!$AP68</f>
        <v/>
      </c>
      <c r="I68" s="30">
        <f>Weekly_Inspections!$AR68</f>
        <v/>
      </c>
      <c r="J68" s="30">
        <f>Weekly_Inspections!$AS68</f>
        <v/>
      </c>
      <c r="K68" s="30">
        <f>Weekly_Inspections!$AU68</f>
        <v/>
      </c>
      <c r="L68" s="46">
        <f>Weekly_Inspections!$AV68</f>
        <v/>
      </c>
      <c r="M68" s="30">
        <f>IF($B68="","",IF($N68&lt;&gt;"","Closed",IF(OR($G68&lt;&gt;"",$I68&lt;&gt;"",$J68&lt;&gt;""),"Open","")))</f>
        <v/>
      </c>
      <c r="N68" s="46" t="n"/>
      <c r="O68" s="28">
        <f>IF($B68="","",IF($M68="Closed",IF($N68="","",$N68-$B68),TODAY()-$B68))</f>
        <v/>
      </c>
      <c r="P68" s="28">
        <f>IF(OR($B68="",$L68="",$M68="Closed"),"",IF(TODAY()&gt;$L68,"YES","NO"))</f>
        <v/>
      </c>
      <c r="Q68" s="30">
        <f>Weekly_Inspections!$AW68</f>
        <v/>
      </c>
    </row>
    <row r="69" ht="15" customHeight="1" s="45">
      <c r="A69" s="28">
        <f>IF(Weekly_Inspections!$B69="","",Weekly_Inspections!$A69&amp;"-A1")</f>
        <v/>
      </c>
      <c r="B69" s="46">
        <f>Weekly_Inspections!$B69</f>
        <v/>
      </c>
      <c r="C69" s="30">
        <f>Weekly_Inspections!$E69</f>
        <v/>
      </c>
      <c r="D69" s="30">
        <f>Weekly_Inspections!$F69</f>
        <v/>
      </c>
      <c r="E69" s="28">
        <f>Weekly_Inspections!$H69</f>
        <v/>
      </c>
      <c r="F69" s="30">
        <f>IF(Weekly_Inspections!$AX69&lt;&gt;"",Weekly_Inspections!$AX69,IF(Weekly_Inspections!$AY69&lt;&gt;"",Weekly_Inspections!$AY69,IF(Weekly_Inspections!$AZ69&lt;&gt;"",Weekly_Inspections!$AZ69,IF(Weekly_Inspections!$BA69&lt;&gt;"",Weekly_Inspections!$BA69,IF(Weekly_Inspections!$BB69&lt;&gt;"",Weekly_Inspections!$BB69,Weekly_Inspections!$R69)))))</f>
        <v/>
      </c>
      <c r="G69" s="30">
        <f>IF(OR(Weekly_Inspections!$AQ69&lt;&gt;"",Weekly_Inspections!$AR69&lt;&gt;"",Weekly_Inspections!$AS69&lt;&gt;""),Weekly_Inspections!$AQ69,"")</f>
        <v/>
      </c>
      <c r="H69" s="30">
        <f>Weekly_Inspections!$AP69</f>
        <v/>
      </c>
      <c r="I69" s="30">
        <f>Weekly_Inspections!$AR69</f>
        <v/>
      </c>
      <c r="J69" s="30">
        <f>Weekly_Inspections!$AS69</f>
        <v/>
      </c>
      <c r="K69" s="30">
        <f>Weekly_Inspections!$AU69</f>
        <v/>
      </c>
      <c r="L69" s="46">
        <f>Weekly_Inspections!$AV69</f>
        <v/>
      </c>
      <c r="M69" s="30">
        <f>IF($B69="","",IF($N69&lt;&gt;"","Closed",IF(OR($G69&lt;&gt;"",$I69&lt;&gt;"",$J69&lt;&gt;""),"Open","")))</f>
        <v/>
      </c>
      <c r="N69" s="46" t="n"/>
      <c r="O69" s="28">
        <f>IF($B69="","",IF($M69="Closed",IF($N69="","",$N69-$B69),TODAY()-$B69))</f>
        <v/>
      </c>
      <c r="P69" s="28">
        <f>IF(OR($B69="",$L69="",$M69="Closed"),"",IF(TODAY()&gt;$L69,"YES","NO"))</f>
        <v/>
      </c>
      <c r="Q69" s="30">
        <f>Weekly_Inspections!$AW69</f>
        <v/>
      </c>
    </row>
    <row r="70" ht="15" customHeight="1" s="45">
      <c r="A70" s="28">
        <f>IF(Weekly_Inspections!$B70="","",Weekly_Inspections!$A70&amp;"-A1")</f>
        <v/>
      </c>
      <c r="B70" s="46">
        <f>Weekly_Inspections!$B70</f>
        <v/>
      </c>
      <c r="C70" s="30">
        <f>Weekly_Inspections!$E70</f>
        <v/>
      </c>
      <c r="D70" s="30">
        <f>Weekly_Inspections!$F70</f>
        <v/>
      </c>
      <c r="E70" s="28">
        <f>Weekly_Inspections!$H70</f>
        <v/>
      </c>
      <c r="F70" s="30">
        <f>IF(Weekly_Inspections!$AX70&lt;&gt;"",Weekly_Inspections!$AX70,IF(Weekly_Inspections!$AY70&lt;&gt;"",Weekly_Inspections!$AY70,IF(Weekly_Inspections!$AZ70&lt;&gt;"",Weekly_Inspections!$AZ70,IF(Weekly_Inspections!$BA70&lt;&gt;"",Weekly_Inspections!$BA70,IF(Weekly_Inspections!$BB70&lt;&gt;"",Weekly_Inspections!$BB70,Weekly_Inspections!$R70)))))</f>
        <v/>
      </c>
      <c r="G70" s="30">
        <f>IF(OR(Weekly_Inspections!$AQ70&lt;&gt;"",Weekly_Inspections!$AR70&lt;&gt;"",Weekly_Inspections!$AS70&lt;&gt;""),Weekly_Inspections!$AQ70,"")</f>
        <v/>
      </c>
      <c r="H70" s="30">
        <f>Weekly_Inspections!$AP70</f>
        <v/>
      </c>
      <c r="I70" s="30">
        <f>Weekly_Inspections!$AR70</f>
        <v/>
      </c>
      <c r="J70" s="30">
        <f>Weekly_Inspections!$AS70</f>
        <v/>
      </c>
      <c r="K70" s="30">
        <f>Weekly_Inspections!$AU70</f>
        <v/>
      </c>
      <c r="L70" s="46">
        <f>Weekly_Inspections!$AV70</f>
        <v/>
      </c>
      <c r="M70" s="30">
        <f>IF($B70="","",IF($N70&lt;&gt;"","Closed",IF(OR($G70&lt;&gt;"",$I70&lt;&gt;"",$J70&lt;&gt;""),"Open","")))</f>
        <v/>
      </c>
      <c r="N70" s="46" t="n"/>
      <c r="O70" s="28">
        <f>IF($B70="","",IF($M70="Closed",IF($N70="","",$N70-$B70),TODAY()-$B70))</f>
        <v/>
      </c>
      <c r="P70" s="28">
        <f>IF(OR($B70="",$L70="",$M70="Closed"),"",IF(TODAY()&gt;$L70,"YES","NO"))</f>
        <v/>
      </c>
      <c r="Q70" s="30">
        <f>Weekly_Inspections!$AW70</f>
        <v/>
      </c>
    </row>
    <row r="71" ht="15" customHeight="1" s="45">
      <c r="A71" s="28">
        <f>IF(Weekly_Inspections!$B71="","",Weekly_Inspections!$A71&amp;"-A1")</f>
        <v/>
      </c>
      <c r="B71" s="46">
        <f>Weekly_Inspections!$B71</f>
        <v/>
      </c>
      <c r="C71" s="30">
        <f>Weekly_Inspections!$E71</f>
        <v/>
      </c>
      <c r="D71" s="30">
        <f>Weekly_Inspections!$F71</f>
        <v/>
      </c>
      <c r="E71" s="28">
        <f>Weekly_Inspections!$H71</f>
        <v/>
      </c>
      <c r="F71" s="30">
        <f>IF(Weekly_Inspections!$AX71&lt;&gt;"",Weekly_Inspections!$AX71,IF(Weekly_Inspections!$AY71&lt;&gt;"",Weekly_Inspections!$AY71,IF(Weekly_Inspections!$AZ71&lt;&gt;"",Weekly_Inspections!$AZ71,IF(Weekly_Inspections!$BA71&lt;&gt;"",Weekly_Inspections!$BA71,IF(Weekly_Inspections!$BB71&lt;&gt;"",Weekly_Inspections!$BB71,Weekly_Inspections!$R71)))))</f>
        <v/>
      </c>
      <c r="G71" s="30">
        <f>IF(OR(Weekly_Inspections!$AQ71&lt;&gt;"",Weekly_Inspections!$AR71&lt;&gt;"",Weekly_Inspections!$AS71&lt;&gt;""),Weekly_Inspections!$AQ71,"")</f>
        <v/>
      </c>
      <c r="H71" s="30">
        <f>Weekly_Inspections!$AP71</f>
        <v/>
      </c>
      <c r="I71" s="30">
        <f>Weekly_Inspections!$AR71</f>
        <v/>
      </c>
      <c r="J71" s="30">
        <f>Weekly_Inspections!$AS71</f>
        <v/>
      </c>
      <c r="K71" s="30">
        <f>Weekly_Inspections!$AU71</f>
        <v/>
      </c>
      <c r="L71" s="46">
        <f>Weekly_Inspections!$AV71</f>
        <v/>
      </c>
      <c r="M71" s="30">
        <f>IF($B71="","",IF($N71&lt;&gt;"","Closed",IF(OR($G71&lt;&gt;"",$I71&lt;&gt;"",$J71&lt;&gt;""),"Open","")))</f>
        <v/>
      </c>
      <c r="N71" s="46" t="n"/>
      <c r="O71" s="28">
        <f>IF($B71="","",IF($M71="Closed",IF($N71="","",$N71-$B71),TODAY()-$B71))</f>
        <v/>
      </c>
      <c r="P71" s="28">
        <f>IF(OR($B71="",$L71="",$M71="Closed"),"",IF(TODAY()&gt;$L71,"YES","NO"))</f>
        <v/>
      </c>
      <c r="Q71" s="30">
        <f>Weekly_Inspections!$AW71</f>
        <v/>
      </c>
    </row>
    <row r="72" ht="15" customHeight="1" s="45">
      <c r="A72" s="28">
        <f>IF(Weekly_Inspections!$B72="","",Weekly_Inspections!$A72&amp;"-A1")</f>
        <v/>
      </c>
      <c r="B72" s="46">
        <f>Weekly_Inspections!$B72</f>
        <v/>
      </c>
      <c r="C72" s="30">
        <f>Weekly_Inspections!$E72</f>
        <v/>
      </c>
      <c r="D72" s="30">
        <f>Weekly_Inspections!$F72</f>
        <v/>
      </c>
      <c r="E72" s="28">
        <f>Weekly_Inspections!$H72</f>
        <v/>
      </c>
      <c r="F72" s="30">
        <f>IF(Weekly_Inspections!$AX72&lt;&gt;"",Weekly_Inspections!$AX72,IF(Weekly_Inspections!$AY72&lt;&gt;"",Weekly_Inspections!$AY72,IF(Weekly_Inspections!$AZ72&lt;&gt;"",Weekly_Inspections!$AZ72,IF(Weekly_Inspections!$BA72&lt;&gt;"",Weekly_Inspections!$BA72,IF(Weekly_Inspections!$BB72&lt;&gt;"",Weekly_Inspections!$BB72,Weekly_Inspections!$R72)))))</f>
        <v/>
      </c>
      <c r="G72" s="30">
        <f>IF(OR(Weekly_Inspections!$AQ72&lt;&gt;"",Weekly_Inspections!$AR72&lt;&gt;"",Weekly_Inspections!$AS72&lt;&gt;""),Weekly_Inspections!$AQ72,"")</f>
        <v/>
      </c>
      <c r="H72" s="30">
        <f>Weekly_Inspections!$AP72</f>
        <v/>
      </c>
      <c r="I72" s="30">
        <f>Weekly_Inspections!$AR72</f>
        <v/>
      </c>
      <c r="J72" s="30">
        <f>Weekly_Inspections!$AS72</f>
        <v/>
      </c>
      <c r="K72" s="30">
        <f>Weekly_Inspections!$AU72</f>
        <v/>
      </c>
      <c r="L72" s="46">
        <f>Weekly_Inspections!$AV72</f>
        <v/>
      </c>
      <c r="M72" s="30">
        <f>IF($B72="","",IF($N72&lt;&gt;"","Closed",IF(OR($G72&lt;&gt;"",$I72&lt;&gt;"",$J72&lt;&gt;""),"Open","")))</f>
        <v/>
      </c>
      <c r="N72" s="46" t="n"/>
      <c r="O72" s="28">
        <f>IF($B72="","",IF($M72="Closed",IF($N72="","",$N72-$B72),TODAY()-$B72))</f>
        <v/>
      </c>
      <c r="P72" s="28">
        <f>IF(OR($B72="",$L72="",$M72="Closed"),"",IF(TODAY()&gt;$L72,"YES","NO"))</f>
        <v/>
      </c>
      <c r="Q72" s="30">
        <f>Weekly_Inspections!$AW72</f>
        <v/>
      </c>
    </row>
    <row r="73" ht="15" customHeight="1" s="45">
      <c r="A73" s="28">
        <f>IF(Weekly_Inspections!$B73="","",Weekly_Inspections!$A73&amp;"-A1")</f>
        <v/>
      </c>
      <c r="B73" s="46">
        <f>Weekly_Inspections!$B73</f>
        <v/>
      </c>
      <c r="C73" s="30">
        <f>Weekly_Inspections!$E73</f>
        <v/>
      </c>
      <c r="D73" s="30">
        <f>Weekly_Inspections!$F73</f>
        <v/>
      </c>
      <c r="E73" s="28">
        <f>Weekly_Inspections!$H73</f>
        <v/>
      </c>
      <c r="F73" s="30">
        <f>IF(Weekly_Inspections!$AX73&lt;&gt;"",Weekly_Inspections!$AX73,IF(Weekly_Inspections!$AY73&lt;&gt;"",Weekly_Inspections!$AY73,IF(Weekly_Inspections!$AZ73&lt;&gt;"",Weekly_Inspections!$AZ73,IF(Weekly_Inspections!$BA73&lt;&gt;"",Weekly_Inspections!$BA73,IF(Weekly_Inspections!$BB73&lt;&gt;"",Weekly_Inspections!$BB73,Weekly_Inspections!$R73)))))</f>
        <v/>
      </c>
      <c r="G73" s="30">
        <f>IF(OR(Weekly_Inspections!$AQ73&lt;&gt;"",Weekly_Inspections!$AR73&lt;&gt;"",Weekly_Inspections!$AS73&lt;&gt;""),Weekly_Inspections!$AQ73,"")</f>
        <v/>
      </c>
      <c r="H73" s="30">
        <f>Weekly_Inspections!$AP73</f>
        <v/>
      </c>
      <c r="I73" s="30">
        <f>Weekly_Inspections!$AR73</f>
        <v/>
      </c>
      <c r="J73" s="30">
        <f>Weekly_Inspections!$AS73</f>
        <v/>
      </c>
      <c r="K73" s="30">
        <f>Weekly_Inspections!$AU73</f>
        <v/>
      </c>
      <c r="L73" s="46">
        <f>Weekly_Inspections!$AV73</f>
        <v/>
      </c>
      <c r="M73" s="30">
        <f>IF($B73="","",IF($N73&lt;&gt;"","Closed",IF(OR($G73&lt;&gt;"",$I73&lt;&gt;"",$J73&lt;&gt;""),"Open","")))</f>
        <v/>
      </c>
      <c r="N73" s="46" t="n"/>
      <c r="O73" s="28">
        <f>IF($B73="","",IF($M73="Closed",IF($N73="","",$N73-$B73),TODAY()-$B73))</f>
        <v/>
      </c>
      <c r="P73" s="28">
        <f>IF(OR($B73="",$L73="",$M73="Closed"),"",IF(TODAY()&gt;$L73,"YES","NO"))</f>
        <v/>
      </c>
      <c r="Q73" s="30">
        <f>Weekly_Inspections!$AW73</f>
        <v/>
      </c>
    </row>
    <row r="74" ht="15" customHeight="1" s="45">
      <c r="A74" s="28">
        <f>IF(Weekly_Inspections!$B74="","",Weekly_Inspections!$A74&amp;"-A1")</f>
        <v/>
      </c>
      <c r="B74" s="46">
        <f>Weekly_Inspections!$B74</f>
        <v/>
      </c>
      <c r="C74" s="30">
        <f>Weekly_Inspections!$E74</f>
        <v/>
      </c>
      <c r="D74" s="30">
        <f>Weekly_Inspections!$F74</f>
        <v/>
      </c>
      <c r="E74" s="28">
        <f>Weekly_Inspections!$H74</f>
        <v/>
      </c>
      <c r="F74" s="30">
        <f>IF(Weekly_Inspections!$AX74&lt;&gt;"",Weekly_Inspections!$AX74,IF(Weekly_Inspections!$AY74&lt;&gt;"",Weekly_Inspections!$AY74,IF(Weekly_Inspections!$AZ74&lt;&gt;"",Weekly_Inspections!$AZ74,IF(Weekly_Inspections!$BA74&lt;&gt;"",Weekly_Inspections!$BA74,IF(Weekly_Inspections!$BB74&lt;&gt;"",Weekly_Inspections!$BB74,Weekly_Inspections!$R74)))))</f>
        <v/>
      </c>
      <c r="G74" s="30">
        <f>IF(OR(Weekly_Inspections!$AQ74&lt;&gt;"",Weekly_Inspections!$AR74&lt;&gt;"",Weekly_Inspections!$AS74&lt;&gt;""),Weekly_Inspections!$AQ74,"")</f>
        <v/>
      </c>
      <c r="H74" s="30">
        <f>Weekly_Inspections!$AP74</f>
        <v/>
      </c>
      <c r="I74" s="30">
        <f>Weekly_Inspections!$AR74</f>
        <v/>
      </c>
      <c r="J74" s="30">
        <f>Weekly_Inspections!$AS74</f>
        <v/>
      </c>
      <c r="K74" s="30">
        <f>Weekly_Inspections!$AU74</f>
        <v/>
      </c>
      <c r="L74" s="46">
        <f>Weekly_Inspections!$AV74</f>
        <v/>
      </c>
      <c r="M74" s="30">
        <f>IF($B74="","",IF($N74&lt;&gt;"","Closed",IF(OR($G74&lt;&gt;"",$I74&lt;&gt;"",$J74&lt;&gt;""),"Open","")))</f>
        <v/>
      </c>
      <c r="N74" s="46" t="n"/>
      <c r="O74" s="28">
        <f>IF($B74="","",IF($M74="Closed",IF($N74="","",$N74-$B74),TODAY()-$B74))</f>
        <v/>
      </c>
      <c r="P74" s="28">
        <f>IF(OR($B74="",$L74="",$M74="Closed"),"",IF(TODAY()&gt;$L74,"YES","NO"))</f>
        <v/>
      </c>
      <c r="Q74" s="30">
        <f>Weekly_Inspections!$AW74</f>
        <v/>
      </c>
    </row>
    <row r="75" ht="15" customHeight="1" s="45">
      <c r="A75" s="28">
        <f>IF(Weekly_Inspections!$B75="","",Weekly_Inspections!$A75&amp;"-A1")</f>
        <v/>
      </c>
      <c r="B75" s="46">
        <f>Weekly_Inspections!$B75</f>
        <v/>
      </c>
      <c r="C75" s="30">
        <f>Weekly_Inspections!$E75</f>
        <v/>
      </c>
      <c r="D75" s="30">
        <f>Weekly_Inspections!$F75</f>
        <v/>
      </c>
      <c r="E75" s="28">
        <f>Weekly_Inspections!$H75</f>
        <v/>
      </c>
      <c r="F75" s="30">
        <f>IF(Weekly_Inspections!$AX75&lt;&gt;"",Weekly_Inspections!$AX75,IF(Weekly_Inspections!$AY75&lt;&gt;"",Weekly_Inspections!$AY75,IF(Weekly_Inspections!$AZ75&lt;&gt;"",Weekly_Inspections!$AZ75,IF(Weekly_Inspections!$BA75&lt;&gt;"",Weekly_Inspections!$BA75,IF(Weekly_Inspections!$BB75&lt;&gt;"",Weekly_Inspections!$BB75,Weekly_Inspections!$R75)))))</f>
        <v/>
      </c>
      <c r="G75" s="30">
        <f>IF(OR(Weekly_Inspections!$AQ75&lt;&gt;"",Weekly_Inspections!$AR75&lt;&gt;"",Weekly_Inspections!$AS75&lt;&gt;""),Weekly_Inspections!$AQ75,"")</f>
        <v/>
      </c>
      <c r="H75" s="30">
        <f>Weekly_Inspections!$AP75</f>
        <v/>
      </c>
      <c r="I75" s="30">
        <f>Weekly_Inspections!$AR75</f>
        <v/>
      </c>
      <c r="J75" s="30">
        <f>Weekly_Inspections!$AS75</f>
        <v/>
      </c>
      <c r="K75" s="30">
        <f>Weekly_Inspections!$AU75</f>
        <v/>
      </c>
      <c r="L75" s="46">
        <f>Weekly_Inspections!$AV75</f>
        <v/>
      </c>
      <c r="M75" s="30">
        <f>IF($B75="","",IF($N75&lt;&gt;"","Closed",IF(OR($G75&lt;&gt;"",$I75&lt;&gt;"",$J75&lt;&gt;""),"Open","")))</f>
        <v/>
      </c>
      <c r="N75" s="46" t="n"/>
      <c r="O75" s="28">
        <f>IF($B75="","",IF($M75="Closed",IF($N75="","",$N75-$B75),TODAY()-$B75))</f>
        <v/>
      </c>
      <c r="P75" s="28">
        <f>IF(OR($B75="",$L75="",$M75="Closed"),"",IF(TODAY()&gt;$L75,"YES","NO"))</f>
        <v/>
      </c>
      <c r="Q75" s="30">
        <f>Weekly_Inspections!$AW75</f>
        <v/>
      </c>
    </row>
    <row r="76" ht="15" customHeight="1" s="45">
      <c r="A76" s="28">
        <f>IF(Weekly_Inspections!$B76="","",Weekly_Inspections!$A76&amp;"-A1")</f>
        <v/>
      </c>
      <c r="B76" s="46">
        <f>Weekly_Inspections!$B76</f>
        <v/>
      </c>
      <c r="C76" s="30">
        <f>Weekly_Inspections!$E76</f>
        <v/>
      </c>
      <c r="D76" s="30">
        <f>Weekly_Inspections!$F76</f>
        <v/>
      </c>
      <c r="E76" s="28">
        <f>Weekly_Inspections!$H76</f>
        <v/>
      </c>
      <c r="F76" s="30">
        <f>IF(Weekly_Inspections!$AX76&lt;&gt;"",Weekly_Inspections!$AX76,IF(Weekly_Inspections!$AY76&lt;&gt;"",Weekly_Inspections!$AY76,IF(Weekly_Inspections!$AZ76&lt;&gt;"",Weekly_Inspections!$AZ76,IF(Weekly_Inspections!$BA76&lt;&gt;"",Weekly_Inspections!$BA76,IF(Weekly_Inspections!$BB76&lt;&gt;"",Weekly_Inspections!$BB76,Weekly_Inspections!$R76)))))</f>
        <v/>
      </c>
      <c r="G76" s="30">
        <f>IF(OR(Weekly_Inspections!$AQ76&lt;&gt;"",Weekly_Inspections!$AR76&lt;&gt;"",Weekly_Inspections!$AS76&lt;&gt;""),Weekly_Inspections!$AQ76,"")</f>
        <v/>
      </c>
      <c r="H76" s="30">
        <f>Weekly_Inspections!$AP76</f>
        <v/>
      </c>
      <c r="I76" s="30">
        <f>Weekly_Inspections!$AR76</f>
        <v/>
      </c>
      <c r="J76" s="30">
        <f>Weekly_Inspections!$AS76</f>
        <v/>
      </c>
      <c r="K76" s="30">
        <f>Weekly_Inspections!$AU76</f>
        <v/>
      </c>
      <c r="L76" s="46">
        <f>Weekly_Inspections!$AV76</f>
        <v/>
      </c>
      <c r="M76" s="30">
        <f>IF($B76="","",IF($N76&lt;&gt;"","Closed",IF(OR($G76&lt;&gt;"",$I76&lt;&gt;"",$J76&lt;&gt;""),"Open","")))</f>
        <v/>
      </c>
      <c r="N76" s="46" t="n"/>
      <c r="O76" s="28">
        <f>IF($B76="","",IF($M76="Closed",IF($N76="","",$N76-$B76),TODAY()-$B76))</f>
        <v/>
      </c>
      <c r="P76" s="28">
        <f>IF(OR($B76="",$L76="",$M76="Closed"),"",IF(TODAY()&gt;$L76,"YES","NO"))</f>
        <v/>
      </c>
      <c r="Q76" s="30">
        <f>Weekly_Inspections!$AW76</f>
        <v/>
      </c>
    </row>
    <row r="77" ht="15" customHeight="1" s="45">
      <c r="A77" s="28">
        <f>IF(Weekly_Inspections!$B77="","",Weekly_Inspections!$A77&amp;"-A1")</f>
        <v/>
      </c>
      <c r="B77" s="46">
        <f>Weekly_Inspections!$B77</f>
        <v/>
      </c>
      <c r="C77" s="30">
        <f>Weekly_Inspections!$E77</f>
        <v/>
      </c>
      <c r="D77" s="30">
        <f>Weekly_Inspections!$F77</f>
        <v/>
      </c>
      <c r="E77" s="28">
        <f>Weekly_Inspections!$H77</f>
        <v/>
      </c>
      <c r="F77" s="30">
        <f>IF(Weekly_Inspections!$AX77&lt;&gt;"",Weekly_Inspections!$AX77,IF(Weekly_Inspections!$AY77&lt;&gt;"",Weekly_Inspections!$AY77,IF(Weekly_Inspections!$AZ77&lt;&gt;"",Weekly_Inspections!$AZ77,IF(Weekly_Inspections!$BA77&lt;&gt;"",Weekly_Inspections!$BA77,IF(Weekly_Inspections!$BB77&lt;&gt;"",Weekly_Inspections!$BB77,Weekly_Inspections!$R77)))))</f>
        <v/>
      </c>
      <c r="G77" s="30">
        <f>IF(OR(Weekly_Inspections!$AQ77&lt;&gt;"",Weekly_Inspections!$AR77&lt;&gt;"",Weekly_Inspections!$AS77&lt;&gt;""),Weekly_Inspections!$AQ77,"")</f>
        <v/>
      </c>
      <c r="H77" s="30">
        <f>Weekly_Inspections!$AP77</f>
        <v/>
      </c>
      <c r="I77" s="30">
        <f>Weekly_Inspections!$AR77</f>
        <v/>
      </c>
      <c r="J77" s="30">
        <f>Weekly_Inspections!$AS77</f>
        <v/>
      </c>
      <c r="K77" s="30">
        <f>Weekly_Inspections!$AU77</f>
        <v/>
      </c>
      <c r="L77" s="46">
        <f>Weekly_Inspections!$AV77</f>
        <v/>
      </c>
      <c r="M77" s="30">
        <f>IF($B77="","",IF($N77&lt;&gt;"","Closed",IF(OR($G77&lt;&gt;"",$I77&lt;&gt;"",$J77&lt;&gt;""),"Open","")))</f>
        <v/>
      </c>
      <c r="N77" s="46" t="n"/>
      <c r="O77" s="28">
        <f>IF($B77="","",IF($M77="Closed",IF($N77="","",$N77-$B77),TODAY()-$B77))</f>
        <v/>
      </c>
      <c r="P77" s="28">
        <f>IF(OR($B77="",$L77="",$M77="Closed"),"",IF(TODAY()&gt;$L77,"YES","NO"))</f>
        <v/>
      </c>
      <c r="Q77" s="30">
        <f>Weekly_Inspections!$AW77</f>
        <v/>
      </c>
    </row>
    <row r="78" ht="15" customHeight="1" s="45">
      <c r="A78" s="28">
        <f>IF(Weekly_Inspections!$B78="","",Weekly_Inspections!$A78&amp;"-A1")</f>
        <v/>
      </c>
      <c r="B78" s="46">
        <f>Weekly_Inspections!$B78</f>
        <v/>
      </c>
      <c r="C78" s="30">
        <f>Weekly_Inspections!$E78</f>
        <v/>
      </c>
      <c r="D78" s="30">
        <f>Weekly_Inspections!$F78</f>
        <v/>
      </c>
      <c r="E78" s="28">
        <f>Weekly_Inspections!$H78</f>
        <v/>
      </c>
      <c r="F78" s="30">
        <f>IF(Weekly_Inspections!$AX78&lt;&gt;"",Weekly_Inspections!$AX78,IF(Weekly_Inspections!$AY78&lt;&gt;"",Weekly_Inspections!$AY78,IF(Weekly_Inspections!$AZ78&lt;&gt;"",Weekly_Inspections!$AZ78,IF(Weekly_Inspections!$BA78&lt;&gt;"",Weekly_Inspections!$BA78,IF(Weekly_Inspections!$BB78&lt;&gt;"",Weekly_Inspections!$BB78,Weekly_Inspections!$R78)))))</f>
        <v/>
      </c>
      <c r="G78" s="30">
        <f>IF(OR(Weekly_Inspections!$AQ78&lt;&gt;"",Weekly_Inspections!$AR78&lt;&gt;"",Weekly_Inspections!$AS78&lt;&gt;""),Weekly_Inspections!$AQ78,"")</f>
        <v/>
      </c>
      <c r="H78" s="30">
        <f>Weekly_Inspections!$AP78</f>
        <v/>
      </c>
      <c r="I78" s="30">
        <f>Weekly_Inspections!$AR78</f>
        <v/>
      </c>
      <c r="J78" s="30">
        <f>Weekly_Inspections!$AS78</f>
        <v/>
      </c>
      <c r="K78" s="30">
        <f>Weekly_Inspections!$AU78</f>
        <v/>
      </c>
      <c r="L78" s="46">
        <f>Weekly_Inspections!$AV78</f>
        <v/>
      </c>
      <c r="M78" s="30">
        <f>IF($B78="","",IF($N78&lt;&gt;"","Closed",IF(OR($G78&lt;&gt;"",$I78&lt;&gt;"",$J78&lt;&gt;""),"Open","")))</f>
        <v/>
      </c>
      <c r="N78" s="46" t="n"/>
      <c r="O78" s="28">
        <f>IF($B78="","",IF($M78="Closed",IF($N78="","",$N78-$B78),TODAY()-$B78))</f>
        <v/>
      </c>
      <c r="P78" s="28">
        <f>IF(OR($B78="",$L78="",$M78="Closed"),"",IF(TODAY()&gt;$L78,"YES","NO"))</f>
        <v/>
      </c>
      <c r="Q78" s="30">
        <f>Weekly_Inspections!$AW78</f>
        <v/>
      </c>
    </row>
    <row r="79" ht="15" customHeight="1" s="45">
      <c r="A79" s="28">
        <f>IF(Weekly_Inspections!$B79="","",Weekly_Inspections!$A79&amp;"-A1")</f>
        <v/>
      </c>
      <c r="B79" s="46">
        <f>Weekly_Inspections!$B79</f>
        <v/>
      </c>
      <c r="C79" s="30">
        <f>Weekly_Inspections!$E79</f>
        <v/>
      </c>
      <c r="D79" s="30">
        <f>Weekly_Inspections!$F79</f>
        <v/>
      </c>
      <c r="E79" s="28">
        <f>Weekly_Inspections!$H79</f>
        <v/>
      </c>
      <c r="F79" s="30">
        <f>IF(Weekly_Inspections!$AX79&lt;&gt;"",Weekly_Inspections!$AX79,IF(Weekly_Inspections!$AY79&lt;&gt;"",Weekly_Inspections!$AY79,IF(Weekly_Inspections!$AZ79&lt;&gt;"",Weekly_Inspections!$AZ79,IF(Weekly_Inspections!$BA79&lt;&gt;"",Weekly_Inspections!$BA79,IF(Weekly_Inspections!$BB79&lt;&gt;"",Weekly_Inspections!$BB79,Weekly_Inspections!$R79)))))</f>
        <v/>
      </c>
      <c r="G79" s="30">
        <f>IF(OR(Weekly_Inspections!$AQ79&lt;&gt;"",Weekly_Inspections!$AR79&lt;&gt;"",Weekly_Inspections!$AS79&lt;&gt;""),Weekly_Inspections!$AQ79,"")</f>
        <v/>
      </c>
      <c r="H79" s="30">
        <f>Weekly_Inspections!$AP79</f>
        <v/>
      </c>
      <c r="I79" s="30">
        <f>Weekly_Inspections!$AR79</f>
        <v/>
      </c>
      <c r="J79" s="30">
        <f>Weekly_Inspections!$AS79</f>
        <v/>
      </c>
      <c r="K79" s="30">
        <f>Weekly_Inspections!$AU79</f>
        <v/>
      </c>
      <c r="L79" s="46">
        <f>Weekly_Inspections!$AV79</f>
        <v/>
      </c>
      <c r="M79" s="30">
        <f>IF($B79="","",IF($N79&lt;&gt;"","Closed",IF(OR($G79&lt;&gt;"",$I79&lt;&gt;"",$J79&lt;&gt;""),"Open","")))</f>
        <v/>
      </c>
      <c r="N79" s="46" t="n"/>
      <c r="O79" s="28">
        <f>IF($B79="","",IF($M79="Closed",IF($N79="","",$N79-$B79),TODAY()-$B79))</f>
        <v/>
      </c>
      <c r="P79" s="28">
        <f>IF(OR($B79="",$L79="",$M79="Closed"),"",IF(TODAY()&gt;$L79,"YES","NO"))</f>
        <v/>
      </c>
      <c r="Q79" s="30">
        <f>Weekly_Inspections!$AW79</f>
        <v/>
      </c>
    </row>
    <row r="80" ht="15" customHeight="1" s="45">
      <c r="A80" s="28">
        <f>IF(Weekly_Inspections!$B80="","",Weekly_Inspections!$A80&amp;"-A1")</f>
        <v/>
      </c>
      <c r="B80" s="46">
        <f>Weekly_Inspections!$B80</f>
        <v/>
      </c>
      <c r="C80" s="30">
        <f>Weekly_Inspections!$E80</f>
        <v/>
      </c>
      <c r="D80" s="30">
        <f>Weekly_Inspections!$F80</f>
        <v/>
      </c>
      <c r="E80" s="28">
        <f>Weekly_Inspections!$H80</f>
        <v/>
      </c>
      <c r="F80" s="30">
        <f>IF(Weekly_Inspections!$AX80&lt;&gt;"",Weekly_Inspections!$AX80,IF(Weekly_Inspections!$AY80&lt;&gt;"",Weekly_Inspections!$AY80,IF(Weekly_Inspections!$AZ80&lt;&gt;"",Weekly_Inspections!$AZ80,IF(Weekly_Inspections!$BA80&lt;&gt;"",Weekly_Inspections!$BA80,IF(Weekly_Inspections!$BB80&lt;&gt;"",Weekly_Inspections!$BB80,Weekly_Inspections!$R80)))))</f>
        <v/>
      </c>
      <c r="G80" s="30">
        <f>IF(OR(Weekly_Inspections!$AQ80&lt;&gt;"",Weekly_Inspections!$AR80&lt;&gt;"",Weekly_Inspections!$AS80&lt;&gt;""),Weekly_Inspections!$AQ80,"")</f>
        <v/>
      </c>
      <c r="H80" s="30">
        <f>Weekly_Inspections!$AP80</f>
        <v/>
      </c>
      <c r="I80" s="30">
        <f>Weekly_Inspections!$AR80</f>
        <v/>
      </c>
      <c r="J80" s="30">
        <f>Weekly_Inspections!$AS80</f>
        <v/>
      </c>
      <c r="K80" s="30">
        <f>Weekly_Inspections!$AU80</f>
        <v/>
      </c>
      <c r="L80" s="46">
        <f>Weekly_Inspections!$AV80</f>
        <v/>
      </c>
      <c r="M80" s="30">
        <f>IF($B80="","",IF($N80&lt;&gt;"","Closed",IF(OR($G80&lt;&gt;"",$I80&lt;&gt;"",$J80&lt;&gt;""),"Open","")))</f>
        <v/>
      </c>
      <c r="N80" s="46" t="n"/>
      <c r="O80" s="28">
        <f>IF($B80="","",IF($M80="Closed",IF($N80="","",$N80-$B80),TODAY()-$B80))</f>
        <v/>
      </c>
      <c r="P80" s="28">
        <f>IF(OR($B80="",$L80="",$M80="Closed"),"",IF(TODAY()&gt;$L80,"YES","NO"))</f>
        <v/>
      </c>
      <c r="Q80" s="30">
        <f>Weekly_Inspections!$AW80</f>
        <v/>
      </c>
    </row>
    <row r="81" ht="15" customHeight="1" s="45">
      <c r="A81" s="28">
        <f>IF(Weekly_Inspections!$B81="","",Weekly_Inspections!$A81&amp;"-A1")</f>
        <v/>
      </c>
      <c r="B81" s="46">
        <f>Weekly_Inspections!$B81</f>
        <v/>
      </c>
      <c r="C81" s="30">
        <f>Weekly_Inspections!$E81</f>
        <v/>
      </c>
      <c r="D81" s="30">
        <f>Weekly_Inspections!$F81</f>
        <v/>
      </c>
      <c r="E81" s="28">
        <f>Weekly_Inspections!$H81</f>
        <v/>
      </c>
      <c r="F81" s="30">
        <f>IF(Weekly_Inspections!$AX81&lt;&gt;"",Weekly_Inspections!$AX81,IF(Weekly_Inspections!$AY81&lt;&gt;"",Weekly_Inspections!$AY81,IF(Weekly_Inspections!$AZ81&lt;&gt;"",Weekly_Inspections!$AZ81,IF(Weekly_Inspections!$BA81&lt;&gt;"",Weekly_Inspections!$BA81,IF(Weekly_Inspections!$BB81&lt;&gt;"",Weekly_Inspections!$BB81,Weekly_Inspections!$R81)))))</f>
        <v/>
      </c>
      <c r="G81" s="30">
        <f>IF(OR(Weekly_Inspections!$AQ81&lt;&gt;"",Weekly_Inspections!$AR81&lt;&gt;"",Weekly_Inspections!$AS81&lt;&gt;""),Weekly_Inspections!$AQ81,"")</f>
        <v/>
      </c>
      <c r="H81" s="30">
        <f>Weekly_Inspections!$AP81</f>
        <v/>
      </c>
      <c r="I81" s="30">
        <f>Weekly_Inspections!$AR81</f>
        <v/>
      </c>
      <c r="J81" s="30">
        <f>Weekly_Inspections!$AS81</f>
        <v/>
      </c>
      <c r="K81" s="30">
        <f>Weekly_Inspections!$AU81</f>
        <v/>
      </c>
      <c r="L81" s="46">
        <f>Weekly_Inspections!$AV81</f>
        <v/>
      </c>
      <c r="M81" s="30">
        <f>IF($B81="","",IF($N81&lt;&gt;"","Closed",IF(OR($G81&lt;&gt;"",$I81&lt;&gt;"",$J81&lt;&gt;""),"Open","")))</f>
        <v/>
      </c>
      <c r="N81" s="46" t="n"/>
      <c r="O81" s="28">
        <f>IF($B81="","",IF($M81="Closed",IF($N81="","",$N81-$B81),TODAY()-$B81))</f>
        <v/>
      </c>
      <c r="P81" s="28">
        <f>IF(OR($B81="",$L81="",$M81="Closed"),"",IF(TODAY()&gt;$L81,"YES","NO"))</f>
        <v/>
      </c>
      <c r="Q81" s="30">
        <f>Weekly_Inspections!$AW81</f>
        <v/>
      </c>
    </row>
    <row r="82" ht="15" customHeight="1" s="45">
      <c r="A82" s="28">
        <f>IF(Weekly_Inspections!$B82="","",Weekly_Inspections!$A82&amp;"-A1")</f>
        <v/>
      </c>
      <c r="B82" s="46">
        <f>Weekly_Inspections!$B82</f>
        <v/>
      </c>
      <c r="C82" s="30">
        <f>Weekly_Inspections!$E82</f>
        <v/>
      </c>
      <c r="D82" s="30">
        <f>Weekly_Inspections!$F82</f>
        <v/>
      </c>
      <c r="E82" s="28">
        <f>Weekly_Inspections!$H82</f>
        <v/>
      </c>
      <c r="F82" s="30">
        <f>IF(Weekly_Inspections!$AX82&lt;&gt;"",Weekly_Inspections!$AX82,IF(Weekly_Inspections!$AY82&lt;&gt;"",Weekly_Inspections!$AY82,IF(Weekly_Inspections!$AZ82&lt;&gt;"",Weekly_Inspections!$AZ82,IF(Weekly_Inspections!$BA82&lt;&gt;"",Weekly_Inspections!$BA82,IF(Weekly_Inspections!$BB82&lt;&gt;"",Weekly_Inspections!$BB82,Weekly_Inspections!$R82)))))</f>
        <v/>
      </c>
      <c r="G82" s="30">
        <f>IF(OR(Weekly_Inspections!$AQ82&lt;&gt;"",Weekly_Inspections!$AR82&lt;&gt;"",Weekly_Inspections!$AS82&lt;&gt;""),Weekly_Inspections!$AQ82,"")</f>
        <v/>
      </c>
      <c r="H82" s="30">
        <f>Weekly_Inspections!$AP82</f>
        <v/>
      </c>
      <c r="I82" s="30">
        <f>Weekly_Inspections!$AR82</f>
        <v/>
      </c>
      <c r="J82" s="30">
        <f>Weekly_Inspections!$AS82</f>
        <v/>
      </c>
      <c r="K82" s="30">
        <f>Weekly_Inspections!$AU82</f>
        <v/>
      </c>
      <c r="L82" s="46">
        <f>Weekly_Inspections!$AV82</f>
        <v/>
      </c>
      <c r="M82" s="30">
        <f>IF($B82="","",IF($N82&lt;&gt;"","Closed",IF(OR($G82&lt;&gt;"",$I82&lt;&gt;"",$J82&lt;&gt;""),"Open","")))</f>
        <v/>
      </c>
      <c r="N82" s="46" t="n"/>
      <c r="O82" s="28">
        <f>IF($B82="","",IF($M82="Closed",IF($N82="","",$N82-$B82),TODAY()-$B82))</f>
        <v/>
      </c>
      <c r="P82" s="28">
        <f>IF(OR($B82="",$L82="",$M82="Closed"),"",IF(TODAY()&gt;$L82,"YES","NO"))</f>
        <v/>
      </c>
      <c r="Q82" s="30">
        <f>Weekly_Inspections!$AW82</f>
        <v/>
      </c>
    </row>
    <row r="83" ht="15" customHeight="1" s="45">
      <c r="A83" s="28">
        <f>IF(Weekly_Inspections!$B83="","",Weekly_Inspections!$A83&amp;"-A1")</f>
        <v/>
      </c>
      <c r="B83" s="46">
        <f>Weekly_Inspections!$B83</f>
        <v/>
      </c>
      <c r="C83" s="30">
        <f>Weekly_Inspections!$E83</f>
        <v/>
      </c>
      <c r="D83" s="30">
        <f>Weekly_Inspections!$F83</f>
        <v/>
      </c>
      <c r="E83" s="28">
        <f>Weekly_Inspections!$H83</f>
        <v/>
      </c>
      <c r="F83" s="30">
        <f>IF(Weekly_Inspections!$AX83&lt;&gt;"",Weekly_Inspections!$AX83,IF(Weekly_Inspections!$AY83&lt;&gt;"",Weekly_Inspections!$AY83,IF(Weekly_Inspections!$AZ83&lt;&gt;"",Weekly_Inspections!$AZ83,IF(Weekly_Inspections!$BA83&lt;&gt;"",Weekly_Inspections!$BA83,IF(Weekly_Inspections!$BB83&lt;&gt;"",Weekly_Inspections!$BB83,Weekly_Inspections!$R83)))))</f>
        <v/>
      </c>
      <c r="G83" s="30">
        <f>IF(OR(Weekly_Inspections!$AQ83&lt;&gt;"",Weekly_Inspections!$AR83&lt;&gt;"",Weekly_Inspections!$AS83&lt;&gt;""),Weekly_Inspections!$AQ83,"")</f>
        <v/>
      </c>
      <c r="H83" s="30">
        <f>Weekly_Inspections!$AP83</f>
        <v/>
      </c>
      <c r="I83" s="30">
        <f>Weekly_Inspections!$AR83</f>
        <v/>
      </c>
      <c r="J83" s="30">
        <f>Weekly_Inspections!$AS83</f>
        <v/>
      </c>
      <c r="K83" s="30">
        <f>Weekly_Inspections!$AU83</f>
        <v/>
      </c>
      <c r="L83" s="46">
        <f>Weekly_Inspections!$AV83</f>
        <v/>
      </c>
      <c r="M83" s="30">
        <f>IF($B83="","",IF($N83&lt;&gt;"","Closed",IF(OR($G83&lt;&gt;"",$I83&lt;&gt;"",$J83&lt;&gt;""),"Open","")))</f>
        <v/>
      </c>
      <c r="N83" s="46" t="n"/>
      <c r="O83" s="28">
        <f>IF($B83="","",IF($M83="Closed",IF($N83="","",$N83-$B83),TODAY()-$B83))</f>
        <v/>
      </c>
      <c r="P83" s="28">
        <f>IF(OR($B83="",$L83="",$M83="Closed"),"",IF(TODAY()&gt;$L83,"YES","NO"))</f>
        <v/>
      </c>
      <c r="Q83" s="30">
        <f>Weekly_Inspections!$AW83</f>
        <v/>
      </c>
    </row>
    <row r="84" ht="15" customHeight="1" s="45">
      <c r="A84" s="28">
        <f>IF(Weekly_Inspections!$B84="","",Weekly_Inspections!$A84&amp;"-A1")</f>
        <v/>
      </c>
      <c r="B84" s="46">
        <f>Weekly_Inspections!$B84</f>
        <v/>
      </c>
      <c r="C84" s="30">
        <f>Weekly_Inspections!$E84</f>
        <v/>
      </c>
      <c r="D84" s="30">
        <f>Weekly_Inspections!$F84</f>
        <v/>
      </c>
      <c r="E84" s="28">
        <f>Weekly_Inspections!$H84</f>
        <v/>
      </c>
      <c r="F84" s="30">
        <f>IF(Weekly_Inspections!$AX84&lt;&gt;"",Weekly_Inspections!$AX84,IF(Weekly_Inspections!$AY84&lt;&gt;"",Weekly_Inspections!$AY84,IF(Weekly_Inspections!$AZ84&lt;&gt;"",Weekly_Inspections!$AZ84,IF(Weekly_Inspections!$BA84&lt;&gt;"",Weekly_Inspections!$BA84,IF(Weekly_Inspections!$BB84&lt;&gt;"",Weekly_Inspections!$BB84,Weekly_Inspections!$R84)))))</f>
        <v/>
      </c>
      <c r="G84" s="30">
        <f>IF(OR(Weekly_Inspections!$AQ84&lt;&gt;"",Weekly_Inspections!$AR84&lt;&gt;"",Weekly_Inspections!$AS84&lt;&gt;""),Weekly_Inspections!$AQ84,"")</f>
        <v/>
      </c>
      <c r="H84" s="30">
        <f>Weekly_Inspections!$AP84</f>
        <v/>
      </c>
      <c r="I84" s="30">
        <f>Weekly_Inspections!$AR84</f>
        <v/>
      </c>
      <c r="J84" s="30">
        <f>Weekly_Inspections!$AS84</f>
        <v/>
      </c>
      <c r="K84" s="30">
        <f>Weekly_Inspections!$AU84</f>
        <v/>
      </c>
      <c r="L84" s="46">
        <f>Weekly_Inspections!$AV84</f>
        <v/>
      </c>
      <c r="M84" s="30">
        <f>IF($B84="","",IF($N84&lt;&gt;"","Closed",IF(OR($G84&lt;&gt;"",$I84&lt;&gt;"",$J84&lt;&gt;""),"Open","")))</f>
        <v/>
      </c>
      <c r="N84" s="46" t="n"/>
      <c r="O84" s="28">
        <f>IF($B84="","",IF($M84="Closed",IF($N84="","",$N84-$B84),TODAY()-$B84))</f>
        <v/>
      </c>
      <c r="P84" s="28">
        <f>IF(OR($B84="",$L84="",$M84="Closed"),"",IF(TODAY()&gt;$L84,"YES","NO"))</f>
        <v/>
      </c>
      <c r="Q84" s="30">
        <f>Weekly_Inspections!$AW84</f>
        <v/>
      </c>
    </row>
    <row r="85" ht="15" customHeight="1" s="45">
      <c r="A85" s="28">
        <f>IF(Weekly_Inspections!$B85="","",Weekly_Inspections!$A85&amp;"-A1")</f>
        <v/>
      </c>
      <c r="B85" s="46">
        <f>Weekly_Inspections!$B85</f>
        <v/>
      </c>
      <c r="C85" s="30">
        <f>Weekly_Inspections!$E85</f>
        <v/>
      </c>
      <c r="D85" s="30">
        <f>Weekly_Inspections!$F85</f>
        <v/>
      </c>
      <c r="E85" s="28">
        <f>Weekly_Inspections!$H85</f>
        <v/>
      </c>
      <c r="F85" s="30">
        <f>IF(Weekly_Inspections!$AX85&lt;&gt;"",Weekly_Inspections!$AX85,IF(Weekly_Inspections!$AY85&lt;&gt;"",Weekly_Inspections!$AY85,IF(Weekly_Inspections!$AZ85&lt;&gt;"",Weekly_Inspections!$AZ85,IF(Weekly_Inspections!$BA85&lt;&gt;"",Weekly_Inspections!$BA85,IF(Weekly_Inspections!$BB85&lt;&gt;"",Weekly_Inspections!$BB85,Weekly_Inspections!$R85)))))</f>
        <v/>
      </c>
      <c r="G85" s="30">
        <f>IF(OR(Weekly_Inspections!$AQ85&lt;&gt;"",Weekly_Inspections!$AR85&lt;&gt;"",Weekly_Inspections!$AS85&lt;&gt;""),Weekly_Inspections!$AQ85,"")</f>
        <v/>
      </c>
      <c r="H85" s="30">
        <f>Weekly_Inspections!$AP85</f>
        <v/>
      </c>
      <c r="I85" s="30">
        <f>Weekly_Inspections!$AR85</f>
        <v/>
      </c>
      <c r="J85" s="30">
        <f>Weekly_Inspections!$AS85</f>
        <v/>
      </c>
      <c r="K85" s="30">
        <f>Weekly_Inspections!$AU85</f>
        <v/>
      </c>
      <c r="L85" s="46">
        <f>Weekly_Inspections!$AV85</f>
        <v/>
      </c>
      <c r="M85" s="30">
        <f>IF($B85="","",IF($N85&lt;&gt;"","Closed",IF(OR($G85&lt;&gt;"",$I85&lt;&gt;"",$J85&lt;&gt;""),"Open","")))</f>
        <v/>
      </c>
      <c r="N85" s="46" t="n"/>
      <c r="O85" s="28">
        <f>IF($B85="","",IF($M85="Closed",IF($N85="","",$N85-$B85),TODAY()-$B85))</f>
        <v/>
      </c>
      <c r="P85" s="28">
        <f>IF(OR($B85="",$L85="",$M85="Closed"),"",IF(TODAY()&gt;$L85,"YES","NO"))</f>
        <v/>
      </c>
      <c r="Q85" s="30">
        <f>Weekly_Inspections!$AW85</f>
        <v/>
      </c>
    </row>
    <row r="86" ht="15" customHeight="1" s="45">
      <c r="A86" s="28">
        <f>IF(Weekly_Inspections!$B86="","",Weekly_Inspections!$A86&amp;"-A1")</f>
        <v/>
      </c>
      <c r="B86" s="46">
        <f>Weekly_Inspections!$B86</f>
        <v/>
      </c>
      <c r="C86" s="30">
        <f>Weekly_Inspections!$E86</f>
        <v/>
      </c>
      <c r="D86" s="30">
        <f>Weekly_Inspections!$F86</f>
        <v/>
      </c>
      <c r="E86" s="28">
        <f>Weekly_Inspections!$H86</f>
        <v/>
      </c>
      <c r="F86" s="30">
        <f>IF(Weekly_Inspections!$AX86&lt;&gt;"",Weekly_Inspections!$AX86,IF(Weekly_Inspections!$AY86&lt;&gt;"",Weekly_Inspections!$AY86,IF(Weekly_Inspections!$AZ86&lt;&gt;"",Weekly_Inspections!$AZ86,IF(Weekly_Inspections!$BA86&lt;&gt;"",Weekly_Inspections!$BA86,IF(Weekly_Inspections!$BB86&lt;&gt;"",Weekly_Inspections!$BB86,Weekly_Inspections!$R86)))))</f>
        <v/>
      </c>
      <c r="G86" s="30">
        <f>IF(OR(Weekly_Inspections!$AQ86&lt;&gt;"",Weekly_Inspections!$AR86&lt;&gt;"",Weekly_Inspections!$AS86&lt;&gt;""),Weekly_Inspections!$AQ86,"")</f>
        <v/>
      </c>
      <c r="H86" s="30">
        <f>Weekly_Inspections!$AP86</f>
        <v/>
      </c>
      <c r="I86" s="30">
        <f>Weekly_Inspections!$AR86</f>
        <v/>
      </c>
      <c r="J86" s="30">
        <f>Weekly_Inspections!$AS86</f>
        <v/>
      </c>
      <c r="K86" s="30">
        <f>Weekly_Inspections!$AU86</f>
        <v/>
      </c>
      <c r="L86" s="46">
        <f>Weekly_Inspections!$AV86</f>
        <v/>
      </c>
      <c r="M86" s="30">
        <f>IF($B86="","",IF($N86&lt;&gt;"","Closed",IF(OR($G86&lt;&gt;"",$I86&lt;&gt;"",$J86&lt;&gt;""),"Open","")))</f>
        <v/>
      </c>
      <c r="N86" s="46" t="n"/>
      <c r="O86" s="28">
        <f>IF($B86="","",IF($M86="Closed",IF($N86="","",$N86-$B86),TODAY()-$B86))</f>
        <v/>
      </c>
      <c r="P86" s="28">
        <f>IF(OR($B86="",$L86="",$M86="Closed"),"",IF(TODAY()&gt;$L86,"YES","NO"))</f>
        <v/>
      </c>
      <c r="Q86" s="30">
        <f>Weekly_Inspections!$AW86</f>
        <v/>
      </c>
    </row>
    <row r="87" ht="15" customHeight="1" s="45">
      <c r="A87" s="28">
        <f>IF(Weekly_Inspections!$B87="","",Weekly_Inspections!$A87&amp;"-A1")</f>
        <v/>
      </c>
      <c r="B87" s="46">
        <f>Weekly_Inspections!$B87</f>
        <v/>
      </c>
      <c r="C87" s="30">
        <f>Weekly_Inspections!$E87</f>
        <v/>
      </c>
      <c r="D87" s="30">
        <f>Weekly_Inspections!$F87</f>
        <v/>
      </c>
      <c r="E87" s="28">
        <f>Weekly_Inspections!$H87</f>
        <v/>
      </c>
      <c r="F87" s="30">
        <f>IF(Weekly_Inspections!$AX87&lt;&gt;"",Weekly_Inspections!$AX87,IF(Weekly_Inspections!$AY87&lt;&gt;"",Weekly_Inspections!$AY87,IF(Weekly_Inspections!$AZ87&lt;&gt;"",Weekly_Inspections!$AZ87,IF(Weekly_Inspections!$BA87&lt;&gt;"",Weekly_Inspections!$BA87,IF(Weekly_Inspections!$BB87&lt;&gt;"",Weekly_Inspections!$BB87,Weekly_Inspections!$R87)))))</f>
        <v/>
      </c>
      <c r="G87" s="30">
        <f>IF(OR(Weekly_Inspections!$AQ87&lt;&gt;"",Weekly_Inspections!$AR87&lt;&gt;"",Weekly_Inspections!$AS87&lt;&gt;""),Weekly_Inspections!$AQ87,"")</f>
        <v/>
      </c>
      <c r="H87" s="30">
        <f>Weekly_Inspections!$AP87</f>
        <v/>
      </c>
      <c r="I87" s="30">
        <f>Weekly_Inspections!$AR87</f>
        <v/>
      </c>
      <c r="J87" s="30">
        <f>Weekly_Inspections!$AS87</f>
        <v/>
      </c>
      <c r="K87" s="30">
        <f>Weekly_Inspections!$AU87</f>
        <v/>
      </c>
      <c r="L87" s="46">
        <f>Weekly_Inspections!$AV87</f>
        <v/>
      </c>
      <c r="M87" s="30">
        <f>IF($B87="","",IF($N87&lt;&gt;"","Closed",IF(OR($G87&lt;&gt;"",$I87&lt;&gt;"",$J87&lt;&gt;""),"Open","")))</f>
        <v/>
      </c>
      <c r="N87" s="46" t="n"/>
      <c r="O87" s="28">
        <f>IF($B87="","",IF($M87="Closed",IF($N87="","",$N87-$B87),TODAY()-$B87))</f>
        <v/>
      </c>
      <c r="P87" s="28">
        <f>IF(OR($B87="",$L87="",$M87="Closed"),"",IF(TODAY()&gt;$L87,"YES","NO"))</f>
        <v/>
      </c>
      <c r="Q87" s="30">
        <f>Weekly_Inspections!$AW87</f>
        <v/>
      </c>
    </row>
    <row r="88" ht="15" customHeight="1" s="45">
      <c r="A88" s="28">
        <f>IF(Weekly_Inspections!$B88="","",Weekly_Inspections!$A88&amp;"-A1")</f>
        <v/>
      </c>
      <c r="B88" s="46">
        <f>Weekly_Inspections!$B88</f>
        <v/>
      </c>
      <c r="C88" s="30">
        <f>Weekly_Inspections!$E88</f>
        <v/>
      </c>
      <c r="D88" s="30">
        <f>Weekly_Inspections!$F88</f>
        <v/>
      </c>
      <c r="E88" s="28">
        <f>Weekly_Inspections!$H88</f>
        <v/>
      </c>
      <c r="F88" s="30">
        <f>IF(Weekly_Inspections!$AX88&lt;&gt;"",Weekly_Inspections!$AX88,IF(Weekly_Inspections!$AY88&lt;&gt;"",Weekly_Inspections!$AY88,IF(Weekly_Inspections!$AZ88&lt;&gt;"",Weekly_Inspections!$AZ88,IF(Weekly_Inspections!$BA88&lt;&gt;"",Weekly_Inspections!$BA88,IF(Weekly_Inspections!$BB88&lt;&gt;"",Weekly_Inspections!$BB88,Weekly_Inspections!$R88)))))</f>
        <v/>
      </c>
      <c r="G88" s="30">
        <f>IF(OR(Weekly_Inspections!$AQ88&lt;&gt;"",Weekly_Inspections!$AR88&lt;&gt;"",Weekly_Inspections!$AS88&lt;&gt;""),Weekly_Inspections!$AQ88,"")</f>
        <v/>
      </c>
      <c r="H88" s="30">
        <f>Weekly_Inspections!$AP88</f>
        <v/>
      </c>
      <c r="I88" s="30">
        <f>Weekly_Inspections!$AR88</f>
        <v/>
      </c>
      <c r="J88" s="30">
        <f>Weekly_Inspections!$AS88</f>
        <v/>
      </c>
      <c r="K88" s="30">
        <f>Weekly_Inspections!$AU88</f>
        <v/>
      </c>
      <c r="L88" s="46">
        <f>Weekly_Inspections!$AV88</f>
        <v/>
      </c>
      <c r="M88" s="30">
        <f>IF($B88="","",IF($N88&lt;&gt;"","Closed",IF(OR($G88&lt;&gt;"",$I88&lt;&gt;"",$J88&lt;&gt;""),"Open","")))</f>
        <v/>
      </c>
      <c r="N88" s="46" t="n"/>
      <c r="O88" s="28">
        <f>IF($B88="","",IF($M88="Closed",IF($N88="","",$N88-$B88),TODAY()-$B88))</f>
        <v/>
      </c>
      <c r="P88" s="28">
        <f>IF(OR($B88="",$L88="",$M88="Closed"),"",IF(TODAY()&gt;$L88,"YES","NO"))</f>
        <v/>
      </c>
      <c r="Q88" s="30">
        <f>Weekly_Inspections!$AW88</f>
        <v/>
      </c>
    </row>
    <row r="89" ht="15" customHeight="1" s="45">
      <c r="A89" s="28">
        <f>IF(Weekly_Inspections!$B89="","",Weekly_Inspections!$A89&amp;"-A1")</f>
        <v/>
      </c>
      <c r="B89" s="46">
        <f>Weekly_Inspections!$B89</f>
        <v/>
      </c>
      <c r="C89" s="30">
        <f>Weekly_Inspections!$E89</f>
        <v/>
      </c>
      <c r="D89" s="30">
        <f>Weekly_Inspections!$F89</f>
        <v/>
      </c>
      <c r="E89" s="28">
        <f>Weekly_Inspections!$H89</f>
        <v/>
      </c>
      <c r="F89" s="30">
        <f>IF(Weekly_Inspections!$AX89&lt;&gt;"",Weekly_Inspections!$AX89,IF(Weekly_Inspections!$AY89&lt;&gt;"",Weekly_Inspections!$AY89,IF(Weekly_Inspections!$AZ89&lt;&gt;"",Weekly_Inspections!$AZ89,IF(Weekly_Inspections!$BA89&lt;&gt;"",Weekly_Inspections!$BA89,IF(Weekly_Inspections!$BB89&lt;&gt;"",Weekly_Inspections!$BB89,Weekly_Inspections!$R89)))))</f>
        <v/>
      </c>
      <c r="G89" s="30">
        <f>IF(OR(Weekly_Inspections!$AQ89&lt;&gt;"",Weekly_Inspections!$AR89&lt;&gt;"",Weekly_Inspections!$AS89&lt;&gt;""),Weekly_Inspections!$AQ89,"")</f>
        <v/>
      </c>
      <c r="H89" s="30">
        <f>Weekly_Inspections!$AP89</f>
        <v/>
      </c>
      <c r="I89" s="30">
        <f>Weekly_Inspections!$AR89</f>
        <v/>
      </c>
      <c r="J89" s="30">
        <f>Weekly_Inspections!$AS89</f>
        <v/>
      </c>
      <c r="K89" s="30">
        <f>Weekly_Inspections!$AU89</f>
        <v/>
      </c>
      <c r="L89" s="46">
        <f>Weekly_Inspections!$AV89</f>
        <v/>
      </c>
      <c r="M89" s="30">
        <f>IF($B89="","",IF($N89&lt;&gt;"","Closed",IF(OR($G89&lt;&gt;"",$I89&lt;&gt;"",$J89&lt;&gt;""),"Open","")))</f>
        <v/>
      </c>
      <c r="N89" s="46" t="n"/>
      <c r="O89" s="28">
        <f>IF($B89="","",IF($M89="Closed",IF($N89="","",$N89-$B89),TODAY()-$B89))</f>
        <v/>
      </c>
      <c r="P89" s="28">
        <f>IF(OR($B89="",$L89="",$M89="Closed"),"",IF(TODAY()&gt;$L89,"YES","NO"))</f>
        <v/>
      </c>
      <c r="Q89" s="30">
        <f>Weekly_Inspections!$AW89</f>
        <v/>
      </c>
    </row>
    <row r="90" ht="15" customHeight="1" s="45">
      <c r="A90" s="28">
        <f>IF(Weekly_Inspections!$B90="","",Weekly_Inspections!$A90&amp;"-A1")</f>
        <v/>
      </c>
      <c r="B90" s="46">
        <f>Weekly_Inspections!$B90</f>
        <v/>
      </c>
      <c r="C90" s="30">
        <f>Weekly_Inspections!$E90</f>
        <v/>
      </c>
      <c r="D90" s="30">
        <f>Weekly_Inspections!$F90</f>
        <v/>
      </c>
      <c r="E90" s="28">
        <f>Weekly_Inspections!$H90</f>
        <v/>
      </c>
      <c r="F90" s="30">
        <f>IF(Weekly_Inspections!$AX90&lt;&gt;"",Weekly_Inspections!$AX90,IF(Weekly_Inspections!$AY90&lt;&gt;"",Weekly_Inspections!$AY90,IF(Weekly_Inspections!$AZ90&lt;&gt;"",Weekly_Inspections!$AZ90,IF(Weekly_Inspections!$BA90&lt;&gt;"",Weekly_Inspections!$BA90,IF(Weekly_Inspections!$BB90&lt;&gt;"",Weekly_Inspections!$BB90,Weekly_Inspections!$R90)))))</f>
        <v/>
      </c>
      <c r="G90" s="30">
        <f>IF(OR(Weekly_Inspections!$AQ90&lt;&gt;"",Weekly_Inspections!$AR90&lt;&gt;"",Weekly_Inspections!$AS90&lt;&gt;""),Weekly_Inspections!$AQ90,"")</f>
        <v/>
      </c>
      <c r="H90" s="30">
        <f>Weekly_Inspections!$AP90</f>
        <v/>
      </c>
      <c r="I90" s="30">
        <f>Weekly_Inspections!$AR90</f>
        <v/>
      </c>
      <c r="J90" s="30">
        <f>Weekly_Inspections!$AS90</f>
        <v/>
      </c>
      <c r="K90" s="30">
        <f>Weekly_Inspections!$AU90</f>
        <v/>
      </c>
      <c r="L90" s="46">
        <f>Weekly_Inspections!$AV90</f>
        <v/>
      </c>
      <c r="M90" s="30">
        <f>IF($B90="","",IF($N90&lt;&gt;"","Closed",IF(OR($G90&lt;&gt;"",$I90&lt;&gt;"",$J90&lt;&gt;""),"Open","")))</f>
        <v/>
      </c>
      <c r="N90" s="46" t="n"/>
      <c r="O90" s="28">
        <f>IF($B90="","",IF($M90="Closed",IF($N90="","",$N90-$B90),TODAY()-$B90))</f>
        <v/>
      </c>
      <c r="P90" s="28">
        <f>IF(OR($B90="",$L90="",$M90="Closed"),"",IF(TODAY()&gt;$L90,"YES","NO"))</f>
        <v/>
      </c>
      <c r="Q90" s="30">
        <f>Weekly_Inspections!$AW90</f>
        <v/>
      </c>
    </row>
    <row r="91" ht="15" customHeight="1" s="45">
      <c r="A91" s="28">
        <f>IF(Weekly_Inspections!$B91="","",Weekly_Inspections!$A91&amp;"-A1")</f>
        <v/>
      </c>
      <c r="B91" s="46">
        <f>Weekly_Inspections!$B91</f>
        <v/>
      </c>
      <c r="C91" s="30">
        <f>Weekly_Inspections!$E91</f>
        <v/>
      </c>
      <c r="D91" s="30">
        <f>Weekly_Inspections!$F91</f>
        <v/>
      </c>
      <c r="E91" s="28">
        <f>Weekly_Inspections!$H91</f>
        <v/>
      </c>
      <c r="F91" s="30">
        <f>IF(Weekly_Inspections!$AX91&lt;&gt;"",Weekly_Inspections!$AX91,IF(Weekly_Inspections!$AY91&lt;&gt;"",Weekly_Inspections!$AY91,IF(Weekly_Inspections!$AZ91&lt;&gt;"",Weekly_Inspections!$AZ91,IF(Weekly_Inspections!$BA91&lt;&gt;"",Weekly_Inspections!$BA91,IF(Weekly_Inspections!$BB91&lt;&gt;"",Weekly_Inspections!$BB91,Weekly_Inspections!$R91)))))</f>
        <v/>
      </c>
      <c r="G91" s="30">
        <f>IF(OR(Weekly_Inspections!$AQ91&lt;&gt;"",Weekly_Inspections!$AR91&lt;&gt;"",Weekly_Inspections!$AS91&lt;&gt;""),Weekly_Inspections!$AQ91,"")</f>
        <v/>
      </c>
      <c r="H91" s="30">
        <f>Weekly_Inspections!$AP91</f>
        <v/>
      </c>
      <c r="I91" s="30">
        <f>Weekly_Inspections!$AR91</f>
        <v/>
      </c>
      <c r="J91" s="30">
        <f>Weekly_Inspections!$AS91</f>
        <v/>
      </c>
      <c r="K91" s="30">
        <f>Weekly_Inspections!$AU91</f>
        <v/>
      </c>
      <c r="L91" s="46">
        <f>Weekly_Inspections!$AV91</f>
        <v/>
      </c>
      <c r="M91" s="30">
        <f>IF($B91="","",IF($N91&lt;&gt;"","Closed",IF(OR($G91&lt;&gt;"",$I91&lt;&gt;"",$J91&lt;&gt;""),"Open","")))</f>
        <v/>
      </c>
      <c r="N91" s="46" t="n"/>
      <c r="O91" s="28">
        <f>IF($B91="","",IF($M91="Closed",IF($N91="","",$N91-$B91),TODAY()-$B91))</f>
        <v/>
      </c>
      <c r="P91" s="28">
        <f>IF(OR($B91="",$L91="",$M91="Closed"),"",IF(TODAY()&gt;$L91,"YES","NO"))</f>
        <v/>
      </c>
      <c r="Q91" s="30">
        <f>Weekly_Inspections!$AW91</f>
        <v/>
      </c>
    </row>
    <row r="92" ht="15" customHeight="1" s="45">
      <c r="A92" s="28">
        <f>IF(Weekly_Inspections!$B92="","",Weekly_Inspections!$A92&amp;"-A1")</f>
        <v/>
      </c>
      <c r="B92" s="46">
        <f>Weekly_Inspections!$B92</f>
        <v/>
      </c>
      <c r="C92" s="30">
        <f>Weekly_Inspections!$E92</f>
        <v/>
      </c>
      <c r="D92" s="30">
        <f>Weekly_Inspections!$F92</f>
        <v/>
      </c>
      <c r="E92" s="28">
        <f>Weekly_Inspections!$H92</f>
        <v/>
      </c>
      <c r="F92" s="30">
        <f>IF(Weekly_Inspections!$AX92&lt;&gt;"",Weekly_Inspections!$AX92,IF(Weekly_Inspections!$AY92&lt;&gt;"",Weekly_Inspections!$AY92,IF(Weekly_Inspections!$AZ92&lt;&gt;"",Weekly_Inspections!$AZ92,IF(Weekly_Inspections!$BA92&lt;&gt;"",Weekly_Inspections!$BA92,IF(Weekly_Inspections!$BB92&lt;&gt;"",Weekly_Inspections!$BB92,Weekly_Inspections!$R92)))))</f>
        <v/>
      </c>
      <c r="G92" s="30">
        <f>IF(OR(Weekly_Inspections!$AQ92&lt;&gt;"",Weekly_Inspections!$AR92&lt;&gt;"",Weekly_Inspections!$AS92&lt;&gt;""),Weekly_Inspections!$AQ92,"")</f>
        <v/>
      </c>
      <c r="H92" s="30">
        <f>Weekly_Inspections!$AP92</f>
        <v/>
      </c>
      <c r="I92" s="30">
        <f>Weekly_Inspections!$AR92</f>
        <v/>
      </c>
      <c r="J92" s="30">
        <f>Weekly_Inspections!$AS92</f>
        <v/>
      </c>
      <c r="K92" s="30">
        <f>Weekly_Inspections!$AU92</f>
        <v/>
      </c>
      <c r="L92" s="46">
        <f>Weekly_Inspections!$AV92</f>
        <v/>
      </c>
      <c r="M92" s="30">
        <f>IF($B92="","",IF($N92&lt;&gt;"","Closed",IF(OR($G92&lt;&gt;"",$I92&lt;&gt;"",$J92&lt;&gt;""),"Open","")))</f>
        <v/>
      </c>
      <c r="N92" s="46" t="n"/>
      <c r="O92" s="28">
        <f>IF($B92="","",IF($M92="Closed",IF($N92="","",$N92-$B92),TODAY()-$B92))</f>
        <v/>
      </c>
      <c r="P92" s="28">
        <f>IF(OR($B92="",$L92="",$M92="Closed"),"",IF(TODAY()&gt;$L92,"YES","NO"))</f>
        <v/>
      </c>
      <c r="Q92" s="30">
        <f>Weekly_Inspections!$AW92</f>
        <v/>
      </c>
    </row>
    <row r="93" ht="15" customHeight="1" s="45">
      <c r="A93" s="28">
        <f>IF(Weekly_Inspections!$B93="","",Weekly_Inspections!$A93&amp;"-A1")</f>
        <v/>
      </c>
      <c r="B93" s="46">
        <f>Weekly_Inspections!$B93</f>
        <v/>
      </c>
      <c r="C93" s="30">
        <f>Weekly_Inspections!$E93</f>
        <v/>
      </c>
      <c r="D93" s="30">
        <f>Weekly_Inspections!$F93</f>
        <v/>
      </c>
      <c r="E93" s="28">
        <f>Weekly_Inspections!$H93</f>
        <v/>
      </c>
      <c r="F93" s="30">
        <f>IF(Weekly_Inspections!$AX93&lt;&gt;"",Weekly_Inspections!$AX93,IF(Weekly_Inspections!$AY93&lt;&gt;"",Weekly_Inspections!$AY93,IF(Weekly_Inspections!$AZ93&lt;&gt;"",Weekly_Inspections!$AZ93,IF(Weekly_Inspections!$BA93&lt;&gt;"",Weekly_Inspections!$BA93,IF(Weekly_Inspections!$BB93&lt;&gt;"",Weekly_Inspections!$BB93,Weekly_Inspections!$R93)))))</f>
        <v/>
      </c>
      <c r="G93" s="30">
        <f>IF(OR(Weekly_Inspections!$AQ93&lt;&gt;"",Weekly_Inspections!$AR93&lt;&gt;"",Weekly_Inspections!$AS93&lt;&gt;""),Weekly_Inspections!$AQ93,"")</f>
        <v/>
      </c>
      <c r="H93" s="30">
        <f>Weekly_Inspections!$AP93</f>
        <v/>
      </c>
      <c r="I93" s="30">
        <f>Weekly_Inspections!$AR93</f>
        <v/>
      </c>
      <c r="J93" s="30">
        <f>Weekly_Inspections!$AS93</f>
        <v/>
      </c>
      <c r="K93" s="30">
        <f>Weekly_Inspections!$AU93</f>
        <v/>
      </c>
      <c r="L93" s="46">
        <f>Weekly_Inspections!$AV93</f>
        <v/>
      </c>
      <c r="M93" s="30">
        <f>IF($B93="","",IF($N93&lt;&gt;"","Closed",IF(OR($G93&lt;&gt;"",$I93&lt;&gt;"",$J93&lt;&gt;""),"Open","")))</f>
        <v/>
      </c>
      <c r="N93" s="46" t="n"/>
      <c r="O93" s="28">
        <f>IF($B93="","",IF($M93="Closed",IF($N93="","",$N93-$B93),TODAY()-$B93))</f>
        <v/>
      </c>
      <c r="P93" s="28">
        <f>IF(OR($B93="",$L93="",$M93="Closed"),"",IF(TODAY()&gt;$L93,"YES","NO"))</f>
        <v/>
      </c>
      <c r="Q93" s="30">
        <f>Weekly_Inspections!$AW93</f>
        <v/>
      </c>
    </row>
    <row r="94" ht="15" customHeight="1" s="45">
      <c r="A94" s="28">
        <f>IF(Weekly_Inspections!$B94="","",Weekly_Inspections!$A94&amp;"-A1")</f>
        <v/>
      </c>
      <c r="B94" s="46">
        <f>Weekly_Inspections!$B94</f>
        <v/>
      </c>
      <c r="C94" s="30">
        <f>Weekly_Inspections!$E94</f>
        <v/>
      </c>
      <c r="D94" s="30">
        <f>Weekly_Inspections!$F94</f>
        <v/>
      </c>
      <c r="E94" s="28">
        <f>Weekly_Inspections!$H94</f>
        <v/>
      </c>
      <c r="F94" s="30">
        <f>IF(Weekly_Inspections!$AX94&lt;&gt;"",Weekly_Inspections!$AX94,IF(Weekly_Inspections!$AY94&lt;&gt;"",Weekly_Inspections!$AY94,IF(Weekly_Inspections!$AZ94&lt;&gt;"",Weekly_Inspections!$AZ94,IF(Weekly_Inspections!$BA94&lt;&gt;"",Weekly_Inspections!$BA94,IF(Weekly_Inspections!$BB94&lt;&gt;"",Weekly_Inspections!$BB94,Weekly_Inspections!$R94)))))</f>
        <v/>
      </c>
      <c r="G94" s="30">
        <f>IF(OR(Weekly_Inspections!$AQ94&lt;&gt;"",Weekly_Inspections!$AR94&lt;&gt;"",Weekly_Inspections!$AS94&lt;&gt;""),Weekly_Inspections!$AQ94,"")</f>
        <v/>
      </c>
      <c r="H94" s="30">
        <f>Weekly_Inspections!$AP94</f>
        <v/>
      </c>
      <c r="I94" s="30">
        <f>Weekly_Inspections!$AR94</f>
        <v/>
      </c>
      <c r="J94" s="30">
        <f>Weekly_Inspections!$AS94</f>
        <v/>
      </c>
      <c r="K94" s="30">
        <f>Weekly_Inspections!$AU94</f>
        <v/>
      </c>
      <c r="L94" s="46">
        <f>Weekly_Inspections!$AV94</f>
        <v/>
      </c>
      <c r="M94" s="30">
        <f>IF($B94="","",IF($N94&lt;&gt;"","Closed",IF(OR($G94&lt;&gt;"",$I94&lt;&gt;"",$J94&lt;&gt;""),"Open","")))</f>
        <v/>
      </c>
      <c r="N94" s="46" t="n"/>
      <c r="O94" s="28">
        <f>IF($B94="","",IF($M94="Closed",IF($N94="","",$N94-$B94),TODAY()-$B94))</f>
        <v/>
      </c>
      <c r="P94" s="28">
        <f>IF(OR($B94="",$L94="",$M94="Closed"),"",IF(TODAY()&gt;$L94,"YES","NO"))</f>
        <v/>
      </c>
      <c r="Q94" s="30">
        <f>Weekly_Inspections!$AW94</f>
        <v/>
      </c>
    </row>
    <row r="95" ht="15" customHeight="1" s="45">
      <c r="A95" s="28">
        <f>IF(Weekly_Inspections!$B95="","",Weekly_Inspections!$A95&amp;"-A1")</f>
        <v/>
      </c>
      <c r="B95" s="46">
        <f>Weekly_Inspections!$B95</f>
        <v/>
      </c>
      <c r="C95" s="30">
        <f>Weekly_Inspections!$E95</f>
        <v/>
      </c>
      <c r="D95" s="30">
        <f>Weekly_Inspections!$F95</f>
        <v/>
      </c>
      <c r="E95" s="28">
        <f>Weekly_Inspections!$H95</f>
        <v/>
      </c>
      <c r="F95" s="30">
        <f>IF(Weekly_Inspections!$AX95&lt;&gt;"",Weekly_Inspections!$AX95,IF(Weekly_Inspections!$AY95&lt;&gt;"",Weekly_Inspections!$AY95,IF(Weekly_Inspections!$AZ95&lt;&gt;"",Weekly_Inspections!$AZ95,IF(Weekly_Inspections!$BA95&lt;&gt;"",Weekly_Inspections!$BA95,IF(Weekly_Inspections!$BB95&lt;&gt;"",Weekly_Inspections!$BB95,Weekly_Inspections!$R95)))))</f>
        <v/>
      </c>
      <c r="G95" s="30">
        <f>IF(OR(Weekly_Inspections!$AQ95&lt;&gt;"",Weekly_Inspections!$AR95&lt;&gt;"",Weekly_Inspections!$AS95&lt;&gt;""),Weekly_Inspections!$AQ95,"")</f>
        <v/>
      </c>
      <c r="H95" s="30">
        <f>Weekly_Inspections!$AP95</f>
        <v/>
      </c>
      <c r="I95" s="30">
        <f>Weekly_Inspections!$AR95</f>
        <v/>
      </c>
      <c r="J95" s="30">
        <f>Weekly_Inspections!$AS95</f>
        <v/>
      </c>
      <c r="K95" s="30">
        <f>Weekly_Inspections!$AU95</f>
        <v/>
      </c>
      <c r="L95" s="46">
        <f>Weekly_Inspections!$AV95</f>
        <v/>
      </c>
      <c r="M95" s="30">
        <f>IF($B95="","",IF($N95&lt;&gt;"","Closed",IF(OR($G95&lt;&gt;"",$I95&lt;&gt;"",$J95&lt;&gt;""),"Open","")))</f>
        <v/>
      </c>
      <c r="N95" s="46" t="n"/>
      <c r="O95" s="28">
        <f>IF($B95="","",IF($M95="Closed",IF($N95="","",$N95-$B95),TODAY()-$B95))</f>
        <v/>
      </c>
      <c r="P95" s="28">
        <f>IF(OR($B95="",$L95="",$M95="Closed"),"",IF(TODAY()&gt;$L95,"YES","NO"))</f>
        <v/>
      </c>
      <c r="Q95" s="30">
        <f>Weekly_Inspections!$AW95</f>
        <v/>
      </c>
    </row>
    <row r="96" ht="15" customHeight="1" s="45">
      <c r="A96" s="28">
        <f>IF(Weekly_Inspections!$B96="","",Weekly_Inspections!$A96&amp;"-A1")</f>
        <v/>
      </c>
      <c r="B96" s="46">
        <f>Weekly_Inspections!$B96</f>
        <v/>
      </c>
      <c r="C96" s="30">
        <f>Weekly_Inspections!$E96</f>
        <v/>
      </c>
      <c r="D96" s="30">
        <f>Weekly_Inspections!$F96</f>
        <v/>
      </c>
      <c r="E96" s="28">
        <f>Weekly_Inspections!$H96</f>
        <v/>
      </c>
      <c r="F96" s="30">
        <f>IF(Weekly_Inspections!$AX96&lt;&gt;"",Weekly_Inspections!$AX96,IF(Weekly_Inspections!$AY96&lt;&gt;"",Weekly_Inspections!$AY96,IF(Weekly_Inspections!$AZ96&lt;&gt;"",Weekly_Inspections!$AZ96,IF(Weekly_Inspections!$BA96&lt;&gt;"",Weekly_Inspections!$BA96,IF(Weekly_Inspections!$BB96&lt;&gt;"",Weekly_Inspections!$BB96,Weekly_Inspections!$R96)))))</f>
        <v/>
      </c>
      <c r="G96" s="30">
        <f>IF(OR(Weekly_Inspections!$AQ96&lt;&gt;"",Weekly_Inspections!$AR96&lt;&gt;"",Weekly_Inspections!$AS96&lt;&gt;""),Weekly_Inspections!$AQ96,"")</f>
        <v/>
      </c>
      <c r="H96" s="30">
        <f>Weekly_Inspections!$AP96</f>
        <v/>
      </c>
      <c r="I96" s="30">
        <f>Weekly_Inspections!$AR96</f>
        <v/>
      </c>
      <c r="J96" s="30">
        <f>Weekly_Inspections!$AS96</f>
        <v/>
      </c>
      <c r="K96" s="30">
        <f>Weekly_Inspections!$AU96</f>
        <v/>
      </c>
      <c r="L96" s="46">
        <f>Weekly_Inspections!$AV96</f>
        <v/>
      </c>
      <c r="M96" s="30">
        <f>IF($B96="","",IF($N96&lt;&gt;"","Closed",IF(OR($G96&lt;&gt;"",$I96&lt;&gt;"",$J96&lt;&gt;""),"Open","")))</f>
        <v/>
      </c>
      <c r="N96" s="46" t="n"/>
      <c r="O96" s="28">
        <f>IF($B96="","",IF($M96="Closed",IF($N96="","",$N96-$B96),TODAY()-$B96))</f>
        <v/>
      </c>
      <c r="P96" s="28">
        <f>IF(OR($B96="",$L96="",$M96="Closed"),"",IF(TODAY()&gt;$L96,"YES","NO"))</f>
        <v/>
      </c>
      <c r="Q96" s="30">
        <f>Weekly_Inspections!$AW96</f>
        <v/>
      </c>
    </row>
    <row r="97" ht="15" customHeight="1" s="45">
      <c r="A97" s="28">
        <f>IF(Weekly_Inspections!$B97="","",Weekly_Inspections!$A97&amp;"-A1")</f>
        <v/>
      </c>
      <c r="B97" s="46">
        <f>Weekly_Inspections!$B97</f>
        <v/>
      </c>
      <c r="C97" s="30">
        <f>Weekly_Inspections!$E97</f>
        <v/>
      </c>
      <c r="D97" s="30">
        <f>Weekly_Inspections!$F97</f>
        <v/>
      </c>
      <c r="E97" s="28">
        <f>Weekly_Inspections!$H97</f>
        <v/>
      </c>
      <c r="F97" s="30">
        <f>IF(Weekly_Inspections!$AX97&lt;&gt;"",Weekly_Inspections!$AX97,IF(Weekly_Inspections!$AY97&lt;&gt;"",Weekly_Inspections!$AY97,IF(Weekly_Inspections!$AZ97&lt;&gt;"",Weekly_Inspections!$AZ97,IF(Weekly_Inspections!$BA97&lt;&gt;"",Weekly_Inspections!$BA97,IF(Weekly_Inspections!$BB97&lt;&gt;"",Weekly_Inspections!$BB97,Weekly_Inspections!$R97)))))</f>
        <v/>
      </c>
      <c r="G97" s="30">
        <f>IF(OR(Weekly_Inspections!$AQ97&lt;&gt;"",Weekly_Inspections!$AR97&lt;&gt;"",Weekly_Inspections!$AS97&lt;&gt;""),Weekly_Inspections!$AQ97,"")</f>
        <v/>
      </c>
      <c r="H97" s="30">
        <f>Weekly_Inspections!$AP97</f>
        <v/>
      </c>
      <c r="I97" s="30">
        <f>Weekly_Inspections!$AR97</f>
        <v/>
      </c>
      <c r="J97" s="30">
        <f>Weekly_Inspections!$AS97</f>
        <v/>
      </c>
      <c r="K97" s="30">
        <f>Weekly_Inspections!$AU97</f>
        <v/>
      </c>
      <c r="L97" s="46">
        <f>Weekly_Inspections!$AV97</f>
        <v/>
      </c>
      <c r="M97" s="30">
        <f>IF($B97="","",IF($N97&lt;&gt;"","Closed",IF(OR($G97&lt;&gt;"",$I97&lt;&gt;"",$J97&lt;&gt;""),"Open","")))</f>
        <v/>
      </c>
      <c r="N97" s="46" t="n"/>
      <c r="O97" s="28">
        <f>IF($B97="","",IF($M97="Closed",IF($N97="","",$N97-$B97),TODAY()-$B97))</f>
        <v/>
      </c>
      <c r="P97" s="28">
        <f>IF(OR($B97="",$L97="",$M97="Closed"),"",IF(TODAY()&gt;$L97,"YES","NO"))</f>
        <v/>
      </c>
      <c r="Q97" s="30">
        <f>Weekly_Inspections!$AW97</f>
        <v/>
      </c>
    </row>
    <row r="98" ht="15" customHeight="1" s="45">
      <c r="A98" s="28">
        <f>IF(Weekly_Inspections!$B98="","",Weekly_Inspections!$A98&amp;"-A1")</f>
        <v/>
      </c>
      <c r="B98" s="46">
        <f>Weekly_Inspections!$B98</f>
        <v/>
      </c>
      <c r="C98" s="30">
        <f>Weekly_Inspections!$E98</f>
        <v/>
      </c>
      <c r="D98" s="30">
        <f>Weekly_Inspections!$F98</f>
        <v/>
      </c>
      <c r="E98" s="28">
        <f>Weekly_Inspections!$H98</f>
        <v/>
      </c>
      <c r="F98" s="30">
        <f>IF(Weekly_Inspections!$AX98&lt;&gt;"",Weekly_Inspections!$AX98,IF(Weekly_Inspections!$AY98&lt;&gt;"",Weekly_Inspections!$AY98,IF(Weekly_Inspections!$AZ98&lt;&gt;"",Weekly_Inspections!$AZ98,IF(Weekly_Inspections!$BA98&lt;&gt;"",Weekly_Inspections!$BA98,IF(Weekly_Inspections!$BB98&lt;&gt;"",Weekly_Inspections!$BB98,Weekly_Inspections!$R98)))))</f>
        <v/>
      </c>
      <c r="G98" s="30">
        <f>IF(OR(Weekly_Inspections!$AQ98&lt;&gt;"",Weekly_Inspections!$AR98&lt;&gt;"",Weekly_Inspections!$AS98&lt;&gt;""),Weekly_Inspections!$AQ98,"")</f>
        <v/>
      </c>
      <c r="H98" s="30">
        <f>Weekly_Inspections!$AP98</f>
        <v/>
      </c>
      <c r="I98" s="30">
        <f>Weekly_Inspections!$AR98</f>
        <v/>
      </c>
      <c r="J98" s="30">
        <f>Weekly_Inspections!$AS98</f>
        <v/>
      </c>
      <c r="K98" s="30">
        <f>Weekly_Inspections!$AU98</f>
        <v/>
      </c>
      <c r="L98" s="46">
        <f>Weekly_Inspections!$AV98</f>
        <v/>
      </c>
      <c r="M98" s="30">
        <f>IF($B98="","",IF($N98&lt;&gt;"","Closed",IF(OR($G98&lt;&gt;"",$I98&lt;&gt;"",$J98&lt;&gt;""),"Open","")))</f>
        <v/>
      </c>
      <c r="N98" s="46" t="n"/>
      <c r="O98" s="28">
        <f>IF($B98="","",IF($M98="Closed",IF($N98="","",$N98-$B98),TODAY()-$B98))</f>
        <v/>
      </c>
      <c r="P98" s="28">
        <f>IF(OR($B98="",$L98="",$M98="Closed"),"",IF(TODAY()&gt;$L98,"YES","NO"))</f>
        <v/>
      </c>
      <c r="Q98" s="30">
        <f>Weekly_Inspections!$AW98</f>
        <v/>
      </c>
    </row>
    <row r="99" ht="15" customHeight="1" s="45">
      <c r="A99" s="28">
        <f>IF(Weekly_Inspections!$B99="","",Weekly_Inspections!$A99&amp;"-A1")</f>
        <v/>
      </c>
      <c r="B99" s="46">
        <f>Weekly_Inspections!$B99</f>
        <v/>
      </c>
      <c r="C99" s="30">
        <f>Weekly_Inspections!$E99</f>
        <v/>
      </c>
      <c r="D99" s="30">
        <f>Weekly_Inspections!$F99</f>
        <v/>
      </c>
      <c r="E99" s="28">
        <f>Weekly_Inspections!$H99</f>
        <v/>
      </c>
      <c r="F99" s="30">
        <f>IF(Weekly_Inspections!$AX99&lt;&gt;"",Weekly_Inspections!$AX99,IF(Weekly_Inspections!$AY99&lt;&gt;"",Weekly_Inspections!$AY99,IF(Weekly_Inspections!$AZ99&lt;&gt;"",Weekly_Inspections!$AZ99,IF(Weekly_Inspections!$BA99&lt;&gt;"",Weekly_Inspections!$BA99,IF(Weekly_Inspections!$BB99&lt;&gt;"",Weekly_Inspections!$BB99,Weekly_Inspections!$R99)))))</f>
        <v/>
      </c>
      <c r="G99" s="30">
        <f>IF(OR(Weekly_Inspections!$AQ99&lt;&gt;"",Weekly_Inspections!$AR99&lt;&gt;"",Weekly_Inspections!$AS99&lt;&gt;""),Weekly_Inspections!$AQ99,"")</f>
        <v/>
      </c>
      <c r="H99" s="30">
        <f>Weekly_Inspections!$AP99</f>
        <v/>
      </c>
      <c r="I99" s="30">
        <f>Weekly_Inspections!$AR99</f>
        <v/>
      </c>
      <c r="J99" s="30">
        <f>Weekly_Inspections!$AS99</f>
        <v/>
      </c>
      <c r="K99" s="30">
        <f>Weekly_Inspections!$AU99</f>
        <v/>
      </c>
      <c r="L99" s="46">
        <f>Weekly_Inspections!$AV99</f>
        <v/>
      </c>
      <c r="M99" s="30">
        <f>IF($B99="","",IF($N99&lt;&gt;"","Closed",IF(OR($G99&lt;&gt;"",$I99&lt;&gt;"",$J99&lt;&gt;""),"Open","")))</f>
        <v/>
      </c>
      <c r="N99" s="46" t="n"/>
      <c r="O99" s="28">
        <f>IF($B99="","",IF($M99="Closed",IF($N99="","",$N99-$B99),TODAY()-$B99))</f>
        <v/>
      </c>
      <c r="P99" s="28">
        <f>IF(OR($B99="",$L99="",$M99="Closed"),"",IF(TODAY()&gt;$L99,"YES","NO"))</f>
        <v/>
      </c>
      <c r="Q99" s="30">
        <f>Weekly_Inspections!$AW99</f>
        <v/>
      </c>
    </row>
    <row r="100" ht="15" customHeight="1" s="45">
      <c r="A100" s="28">
        <f>IF(Weekly_Inspections!$B100="","",Weekly_Inspections!$A100&amp;"-A1")</f>
        <v/>
      </c>
      <c r="B100" s="46">
        <f>Weekly_Inspections!$B100</f>
        <v/>
      </c>
      <c r="C100" s="30">
        <f>Weekly_Inspections!$E100</f>
        <v/>
      </c>
      <c r="D100" s="30">
        <f>Weekly_Inspections!$F100</f>
        <v/>
      </c>
      <c r="E100" s="28">
        <f>Weekly_Inspections!$H100</f>
        <v/>
      </c>
      <c r="F100" s="30">
        <f>IF(Weekly_Inspections!$AX100&lt;&gt;"",Weekly_Inspections!$AX100,IF(Weekly_Inspections!$AY100&lt;&gt;"",Weekly_Inspections!$AY100,IF(Weekly_Inspections!$AZ100&lt;&gt;"",Weekly_Inspections!$AZ100,IF(Weekly_Inspections!$BA100&lt;&gt;"",Weekly_Inspections!$BA100,IF(Weekly_Inspections!$BB100&lt;&gt;"",Weekly_Inspections!$BB100,Weekly_Inspections!$R100)))))</f>
        <v/>
      </c>
      <c r="G100" s="30">
        <f>IF(OR(Weekly_Inspections!$AQ100&lt;&gt;"",Weekly_Inspections!$AR100&lt;&gt;"",Weekly_Inspections!$AS100&lt;&gt;""),Weekly_Inspections!$AQ100,"")</f>
        <v/>
      </c>
      <c r="H100" s="30">
        <f>Weekly_Inspections!$AP100</f>
        <v/>
      </c>
      <c r="I100" s="30">
        <f>Weekly_Inspections!$AR100</f>
        <v/>
      </c>
      <c r="J100" s="30">
        <f>Weekly_Inspections!$AS100</f>
        <v/>
      </c>
      <c r="K100" s="30">
        <f>Weekly_Inspections!$AU100</f>
        <v/>
      </c>
      <c r="L100" s="46">
        <f>Weekly_Inspections!$AV100</f>
        <v/>
      </c>
      <c r="M100" s="30">
        <f>IF($B100="","",IF($N100&lt;&gt;"","Closed",IF(OR($G100&lt;&gt;"",$I100&lt;&gt;"",$J100&lt;&gt;""),"Open","")))</f>
        <v/>
      </c>
      <c r="N100" s="46" t="n"/>
      <c r="O100" s="28">
        <f>IF($B100="","",IF($M100="Closed",IF($N100="","",$N100-$B100),TODAY()-$B100))</f>
        <v/>
      </c>
      <c r="P100" s="28">
        <f>IF(OR($B100="",$L100="",$M100="Closed"),"",IF(TODAY()&gt;$L100,"YES","NO"))</f>
        <v/>
      </c>
      <c r="Q100" s="30">
        <f>Weekly_Inspections!$AW100</f>
        <v/>
      </c>
    </row>
    <row r="101" ht="15" customHeight="1" s="45">
      <c r="A101" s="28">
        <f>IF(Weekly_Inspections!$B101="","",Weekly_Inspections!$A101&amp;"-A1")</f>
        <v/>
      </c>
      <c r="B101" s="46">
        <f>Weekly_Inspections!$B101</f>
        <v/>
      </c>
      <c r="C101" s="30">
        <f>Weekly_Inspections!$E101</f>
        <v/>
      </c>
      <c r="D101" s="30">
        <f>Weekly_Inspections!$F101</f>
        <v/>
      </c>
      <c r="E101" s="28">
        <f>Weekly_Inspections!$H101</f>
        <v/>
      </c>
      <c r="F101" s="30">
        <f>IF(Weekly_Inspections!$AX101&lt;&gt;"",Weekly_Inspections!$AX101,IF(Weekly_Inspections!$AY101&lt;&gt;"",Weekly_Inspections!$AY101,IF(Weekly_Inspections!$AZ101&lt;&gt;"",Weekly_Inspections!$AZ101,IF(Weekly_Inspections!$BA101&lt;&gt;"",Weekly_Inspections!$BA101,IF(Weekly_Inspections!$BB101&lt;&gt;"",Weekly_Inspections!$BB101,Weekly_Inspections!$R101)))))</f>
        <v/>
      </c>
      <c r="G101" s="30">
        <f>IF(OR(Weekly_Inspections!$AQ101&lt;&gt;"",Weekly_Inspections!$AR101&lt;&gt;"",Weekly_Inspections!$AS101&lt;&gt;""),Weekly_Inspections!$AQ101,"")</f>
        <v/>
      </c>
      <c r="H101" s="30">
        <f>Weekly_Inspections!$AP101</f>
        <v/>
      </c>
      <c r="I101" s="30">
        <f>Weekly_Inspections!$AR101</f>
        <v/>
      </c>
      <c r="J101" s="30">
        <f>Weekly_Inspections!$AS101</f>
        <v/>
      </c>
      <c r="K101" s="30">
        <f>Weekly_Inspections!$AU101</f>
        <v/>
      </c>
      <c r="L101" s="46">
        <f>Weekly_Inspections!$AV101</f>
        <v/>
      </c>
      <c r="M101" s="30">
        <f>IF($B101="","",IF($N101&lt;&gt;"","Closed",IF(OR($G101&lt;&gt;"",$I101&lt;&gt;"",$J101&lt;&gt;""),"Open","")))</f>
        <v/>
      </c>
      <c r="N101" s="46" t="n"/>
      <c r="O101" s="28">
        <f>IF($B101="","",IF($M101="Closed",IF($N101="","",$N101-$B101),TODAY()-$B101))</f>
        <v/>
      </c>
      <c r="P101" s="28">
        <f>IF(OR($B101="",$L101="",$M101="Closed"),"",IF(TODAY()&gt;$L101,"YES","NO"))</f>
        <v/>
      </c>
      <c r="Q101" s="30">
        <f>Weekly_Inspections!$AW101</f>
        <v/>
      </c>
    </row>
    <row r="102" ht="15" customHeight="1" s="45">
      <c r="A102" s="28">
        <f>IF(Weekly_Inspections!$B102="","",Weekly_Inspections!$A102&amp;"-A1")</f>
        <v/>
      </c>
      <c r="B102" s="46">
        <f>Weekly_Inspections!$B102</f>
        <v/>
      </c>
      <c r="C102" s="30">
        <f>Weekly_Inspections!$E102</f>
        <v/>
      </c>
      <c r="D102" s="30">
        <f>Weekly_Inspections!$F102</f>
        <v/>
      </c>
      <c r="E102" s="28">
        <f>Weekly_Inspections!$H102</f>
        <v/>
      </c>
      <c r="F102" s="30">
        <f>IF(Weekly_Inspections!$AX102&lt;&gt;"",Weekly_Inspections!$AX102,IF(Weekly_Inspections!$AY102&lt;&gt;"",Weekly_Inspections!$AY102,IF(Weekly_Inspections!$AZ102&lt;&gt;"",Weekly_Inspections!$AZ102,IF(Weekly_Inspections!$BA102&lt;&gt;"",Weekly_Inspections!$BA102,IF(Weekly_Inspections!$BB102&lt;&gt;"",Weekly_Inspections!$BB102,Weekly_Inspections!$R102)))))</f>
        <v/>
      </c>
      <c r="G102" s="30">
        <f>IF(OR(Weekly_Inspections!$AQ102&lt;&gt;"",Weekly_Inspections!$AR102&lt;&gt;"",Weekly_Inspections!$AS102&lt;&gt;""),Weekly_Inspections!$AQ102,"")</f>
        <v/>
      </c>
      <c r="H102" s="30">
        <f>Weekly_Inspections!$AP102</f>
        <v/>
      </c>
      <c r="I102" s="30">
        <f>Weekly_Inspections!$AR102</f>
        <v/>
      </c>
      <c r="J102" s="30">
        <f>Weekly_Inspections!$AS102</f>
        <v/>
      </c>
      <c r="K102" s="30">
        <f>Weekly_Inspections!$AU102</f>
        <v/>
      </c>
      <c r="L102" s="46">
        <f>Weekly_Inspections!$AV102</f>
        <v/>
      </c>
      <c r="M102" s="30">
        <f>IF($B102="","",IF($N102&lt;&gt;"","Closed",IF(OR($G102&lt;&gt;"",$I102&lt;&gt;"",$J102&lt;&gt;""),"Open","")))</f>
        <v/>
      </c>
      <c r="N102" s="46" t="n"/>
      <c r="O102" s="28">
        <f>IF($B102="","",IF($M102="Closed",IF($N102="","",$N102-$B102),TODAY()-$B102))</f>
        <v/>
      </c>
      <c r="P102" s="28">
        <f>IF(OR($B102="",$L102="",$M102="Closed"),"",IF(TODAY()&gt;$L102,"YES","NO"))</f>
        <v/>
      </c>
      <c r="Q102" s="30">
        <f>Weekly_Inspections!$AW102</f>
        <v/>
      </c>
    </row>
    <row r="103" ht="15" customHeight="1" s="45">
      <c r="A103" s="28">
        <f>IF(Weekly_Inspections!$B103="","",Weekly_Inspections!$A103&amp;"-A1")</f>
        <v/>
      </c>
      <c r="B103" s="46">
        <f>Weekly_Inspections!$B103</f>
        <v/>
      </c>
      <c r="C103" s="30">
        <f>Weekly_Inspections!$E103</f>
        <v/>
      </c>
      <c r="D103" s="30">
        <f>Weekly_Inspections!$F103</f>
        <v/>
      </c>
      <c r="E103" s="28">
        <f>Weekly_Inspections!$H103</f>
        <v/>
      </c>
      <c r="F103" s="30">
        <f>IF(Weekly_Inspections!$AX103&lt;&gt;"",Weekly_Inspections!$AX103,IF(Weekly_Inspections!$AY103&lt;&gt;"",Weekly_Inspections!$AY103,IF(Weekly_Inspections!$AZ103&lt;&gt;"",Weekly_Inspections!$AZ103,IF(Weekly_Inspections!$BA103&lt;&gt;"",Weekly_Inspections!$BA103,IF(Weekly_Inspections!$BB103&lt;&gt;"",Weekly_Inspections!$BB103,Weekly_Inspections!$R103)))))</f>
        <v/>
      </c>
      <c r="G103" s="30">
        <f>IF(OR(Weekly_Inspections!$AQ103&lt;&gt;"",Weekly_Inspections!$AR103&lt;&gt;"",Weekly_Inspections!$AS103&lt;&gt;""),Weekly_Inspections!$AQ103,"")</f>
        <v/>
      </c>
      <c r="H103" s="30">
        <f>Weekly_Inspections!$AP103</f>
        <v/>
      </c>
      <c r="I103" s="30">
        <f>Weekly_Inspections!$AR103</f>
        <v/>
      </c>
      <c r="J103" s="30">
        <f>Weekly_Inspections!$AS103</f>
        <v/>
      </c>
      <c r="K103" s="30">
        <f>Weekly_Inspections!$AU103</f>
        <v/>
      </c>
      <c r="L103" s="46">
        <f>Weekly_Inspections!$AV103</f>
        <v/>
      </c>
      <c r="M103" s="30">
        <f>IF($B103="","",IF($N103&lt;&gt;"","Closed",IF(OR($G103&lt;&gt;"",$I103&lt;&gt;"",$J103&lt;&gt;""),"Open","")))</f>
        <v/>
      </c>
      <c r="N103" s="46" t="n"/>
      <c r="O103" s="28">
        <f>IF($B103="","",IF($M103="Closed",IF($N103="","",$N103-$B103),TODAY()-$B103))</f>
        <v/>
      </c>
      <c r="P103" s="28">
        <f>IF(OR($B103="",$L103="",$M103="Closed"),"",IF(TODAY()&gt;$L103,"YES","NO"))</f>
        <v/>
      </c>
      <c r="Q103" s="30">
        <f>Weekly_Inspections!$AW103</f>
        <v/>
      </c>
    </row>
    <row r="104" ht="15" customHeight="1" s="45">
      <c r="A104" s="28">
        <f>IF(Weekly_Inspections!$B104="","",Weekly_Inspections!$A104&amp;"-A1")</f>
        <v/>
      </c>
      <c r="B104" s="46">
        <f>Weekly_Inspections!$B104</f>
        <v/>
      </c>
      <c r="C104" s="30">
        <f>Weekly_Inspections!$E104</f>
        <v/>
      </c>
      <c r="D104" s="30">
        <f>Weekly_Inspections!$F104</f>
        <v/>
      </c>
      <c r="E104" s="28">
        <f>Weekly_Inspections!$H104</f>
        <v/>
      </c>
      <c r="F104" s="30">
        <f>IF(Weekly_Inspections!$AX104&lt;&gt;"",Weekly_Inspections!$AX104,IF(Weekly_Inspections!$AY104&lt;&gt;"",Weekly_Inspections!$AY104,IF(Weekly_Inspections!$AZ104&lt;&gt;"",Weekly_Inspections!$AZ104,IF(Weekly_Inspections!$BA104&lt;&gt;"",Weekly_Inspections!$BA104,IF(Weekly_Inspections!$BB104&lt;&gt;"",Weekly_Inspections!$BB104,Weekly_Inspections!$R104)))))</f>
        <v/>
      </c>
      <c r="G104" s="30">
        <f>IF(OR(Weekly_Inspections!$AQ104&lt;&gt;"",Weekly_Inspections!$AR104&lt;&gt;"",Weekly_Inspections!$AS104&lt;&gt;""),Weekly_Inspections!$AQ104,"")</f>
        <v/>
      </c>
      <c r="H104" s="30">
        <f>Weekly_Inspections!$AP104</f>
        <v/>
      </c>
      <c r="I104" s="30">
        <f>Weekly_Inspections!$AR104</f>
        <v/>
      </c>
      <c r="J104" s="30">
        <f>Weekly_Inspections!$AS104</f>
        <v/>
      </c>
      <c r="K104" s="30">
        <f>Weekly_Inspections!$AU104</f>
        <v/>
      </c>
      <c r="L104" s="46">
        <f>Weekly_Inspections!$AV104</f>
        <v/>
      </c>
      <c r="M104" s="30">
        <f>IF($B104="","",IF($N104&lt;&gt;"","Closed",IF(OR($G104&lt;&gt;"",$I104&lt;&gt;"",$J104&lt;&gt;""),"Open","")))</f>
        <v/>
      </c>
      <c r="N104" s="46" t="n"/>
      <c r="O104" s="28">
        <f>IF($B104="","",IF($M104="Closed",IF($N104="","",$N104-$B104),TODAY()-$B104))</f>
        <v/>
      </c>
      <c r="P104" s="28">
        <f>IF(OR($B104="",$L104="",$M104="Closed"),"",IF(TODAY()&gt;$L104,"YES","NO"))</f>
        <v/>
      </c>
      <c r="Q104" s="30">
        <f>Weekly_Inspections!$AW104</f>
        <v/>
      </c>
    </row>
    <row r="105" ht="15" customHeight="1" s="45">
      <c r="A105" s="28">
        <f>IF(Weekly_Inspections!$B105="","",Weekly_Inspections!$A105&amp;"-A1")</f>
        <v/>
      </c>
      <c r="B105" s="46">
        <f>Weekly_Inspections!$B105</f>
        <v/>
      </c>
      <c r="C105" s="30">
        <f>Weekly_Inspections!$E105</f>
        <v/>
      </c>
      <c r="D105" s="30">
        <f>Weekly_Inspections!$F105</f>
        <v/>
      </c>
      <c r="E105" s="28">
        <f>Weekly_Inspections!$H105</f>
        <v/>
      </c>
      <c r="F105" s="30">
        <f>IF(Weekly_Inspections!$AX105&lt;&gt;"",Weekly_Inspections!$AX105,IF(Weekly_Inspections!$AY105&lt;&gt;"",Weekly_Inspections!$AY105,IF(Weekly_Inspections!$AZ105&lt;&gt;"",Weekly_Inspections!$AZ105,IF(Weekly_Inspections!$BA105&lt;&gt;"",Weekly_Inspections!$BA105,IF(Weekly_Inspections!$BB105&lt;&gt;"",Weekly_Inspections!$BB105,Weekly_Inspections!$R105)))))</f>
        <v/>
      </c>
      <c r="G105" s="30">
        <f>IF(OR(Weekly_Inspections!$AQ105&lt;&gt;"",Weekly_Inspections!$AR105&lt;&gt;"",Weekly_Inspections!$AS105&lt;&gt;""),Weekly_Inspections!$AQ105,"")</f>
        <v/>
      </c>
      <c r="H105" s="30">
        <f>Weekly_Inspections!$AP105</f>
        <v/>
      </c>
      <c r="I105" s="30">
        <f>Weekly_Inspections!$AR105</f>
        <v/>
      </c>
      <c r="J105" s="30">
        <f>Weekly_Inspections!$AS105</f>
        <v/>
      </c>
      <c r="K105" s="30">
        <f>Weekly_Inspections!$AU105</f>
        <v/>
      </c>
      <c r="L105" s="46">
        <f>Weekly_Inspections!$AV105</f>
        <v/>
      </c>
      <c r="M105" s="30">
        <f>IF($B105="","",IF($N105&lt;&gt;"","Closed",IF(OR($G105&lt;&gt;"",$I105&lt;&gt;"",$J105&lt;&gt;""),"Open","")))</f>
        <v/>
      </c>
      <c r="N105" s="46" t="n"/>
      <c r="O105" s="28">
        <f>IF($B105="","",IF($M105="Closed",IF($N105="","",$N105-$B105),TODAY()-$B105))</f>
        <v/>
      </c>
      <c r="P105" s="28">
        <f>IF(OR($B105="",$L105="",$M105="Closed"),"",IF(TODAY()&gt;$L105,"YES","NO"))</f>
        <v/>
      </c>
      <c r="Q105" s="30">
        <f>Weekly_Inspections!$AW105</f>
        <v/>
      </c>
    </row>
    <row r="106" ht="15" customHeight="1" s="45">
      <c r="A106" s="28">
        <f>IF(Weekly_Inspections!$B106="","",Weekly_Inspections!$A106&amp;"-A1")</f>
        <v/>
      </c>
      <c r="B106" s="46">
        <f>Weekly_Inspections!$B106</f>
        <v/>
      </c>
      <c r="C106" s="30">
        <f>Weekly_Inspections!$E106</f>
        <v/>
      </c>
      <c r="D106" s="30">
        <f>Weekly_Inspections!$F106</f>
        <v/>
      </c>
      <c r="E106" s="28">
        <f>Weekly_Inspections!$H106</f>
        <v/>
      </c>
      <c r="F106" s="30">
        <f>IF(Weekly_Inspections!$AX106&lt;&gt;"",Weekly_Inspections!$AX106,IF(Weekly_Inspections!$AY106&lt;&gt;"",Weekly_Inspections!$AY106,IF(Weekly_Inspections!$AZ106&lt;&gt;"",Weekly_Inspections!$AZ106,IF(Weekly_Inspections!$BA106&lt;&gt;"",Weekly_Inspections!$BA106,IF(Weekly_Inspections!$BB106&lt;&gt;"",Weekly_Inspections!$BB106,Weekly_Inspections!$R106)))))</f>
        <v/>
      </c>
      <c r="G106" s="30">
        <f>IF(OR(Weekly_Inspections!$AQ106&lt;&gt;"",Weekly_Inspections!$AR106&lt;&gt;"",Weekly_Inspections!$AS106&lt;&gt;""),Weekly_Inspections!$AQ106,"")</f>
        <v/>
      </c>
      <c r="H106" s="30">
        <f>Weekly_Inspections!$AP106</f>
        <v/>
      </c>
      <c r="I106" s="30">
        <f>Weekly_Inspections!$AR106</f>
        <v/>
      </c>
      <c r="J106" s="30">
        <f>Weekly_Inspections!$AS106</f>
        <v/>
      </c>
      <c r="K106" s="30">
        <f>Weekly_Inspections!$AU106</f>
        <v/>
      </c>
      <c r="L106" s="46">
        <f>Weekly_Inspections!$AV106</f>
        <v/>
      </c>
      <c r="M106" s="30">
        <f>IF($B106="","",IF($N106&lt;&gt;"","Closed",IF(OR($G106&lt;&gt;"",$I106&lt;&gt;"",$J106&lt;&gt;""),"Open","")))</f>
        <v/>
      </c>
      <c r="N106" s="46" t="n"/>
      <c r="O106" s="28">
        <f>IF($B106="","",IF($M106="Closed",IF($N106="","",$N106-$B106),TODAY()-$B106))</f>
        <v/>
      </c>
      <c r="P106" s="28">
        <f>IF(OR($B106="",$L106="",$M106="Closed"),"",IF(TODAY()&gt;$L106,"YES","NO"))</f>
        <v/>
      </c>
      <c r="Q106" s="30">
        <f>Weekly_Inspections!$AW106</f>
        <v/>
      </c>
    </row>
    <row r="107" ht="15" customHeight="1" s="45">
      <c r="A107" s="28">
        <f>IF(Weekly_Inspections!$B107="","",Weekly_Inspections!$A107&amp;"-A1")</f>
        <v/>
      </c>
      <c r="B107" s="46">
        <f>Weekly_Inspections!$B107</f>
        <v/>
      </c>
      <c r="C107" s="30">
        <f>Weekly_Inspections!$E107</f>
        <v/>
      </c>
      <c r="D107" s="30">
        <f>Weekly_Inspections!$F107</f>
        <v/>
      </c>
      <c r="E107" s="28">
        <f>Weekly_Inspections!$H107</f>
        <v/>
      </c>
      <c r="F107" s="30">
        <f>IF(Weekly_Inspections!$AX107&lt;&gt;"",Weekly_Inspections!$AX107,IF(Weekly_Inspections!$AY107&lt;&gt;"",Weekly_Inspections!$AY107,IF(Weekly_Inspections!$AZ107&lt;&gt;"",Weekly_Inspections!$AZ107,IF(Weekly_Inspections!$BA107&lt;&gt;"",Weekly_Inspections!$BA107,IF(Weekly_Inspections!$BB107&lt;&gt;"",Weekly_Inspections!$BB107,Weekly_Inspections!$R107)))))</f>
        <v/>
      </c>
      <c r="G107" s="30">
        <f>IF(OR(Weekly_Inspections!$AQ107&lt;&gt;"",Weekly_Inspections!$AR107&lt;&gt;"",Weekly_Inspections!$AS107&lt;&gt;""),Weekly_Inspections!$AQ107,"")</f>
        <v/>
      </c>
      <c r="H107" s="30">
        <f>Weekly_Inspections!$AP107</f>
        <v/>
      </c>
      <c r="I107" s="30">
        <f>Weekly_Inspections!$AR107</f>
        <v/>
      </c>
      <c r="J107" s="30">
        <f>Weekly_Inspections!$AS107</f>
        <v/>
      </c>
      <c r="K107" s="30">
        <f>Weekly_Inspections!$AU107</f>
        <v/>
      </c>
      <c r="L107" s="46">
        <f>Weekly_Inspections!$AV107</f>
        <v/>
      </c>
      <c r="M107" s="30">
        <f>IF($B107="","",IF($N107&lt;&gt;"","Closed",IF(OR($G107&lt;&gt;"",$I107&lt;&gt;"",$J107&lt;&gt;""),"Open","")))</f>
        <v/>
      </c>
      <c r="N107" s="46" t="n"/>
      <c r="O107" s="28">
        <f>IF($B107="","",IF($M107="Closed",IF($N107="","",$N107-$B107),TODAY()-$B107))</f>
        <v/>
      </c>
      <c r="P107" s="28">
        <f>IF(OR($B107="",$L107="",$M107="Closed"),"",IF(TODAY()&gt;$L107,"YES","NO"))</f>
        <v/>
      </c>
      <c r="Q107" s="30">
        <f>Weekly_Inspections!$AW107</f>
        <v/>
      </c>
    </row>
    <row r="108" ht="15" customHeight="1" s="45">
      <c r="A108" s="28">
        <f>IF(Weekly_Inspections!$B108="","",Weekly_Inspections!$A108&amp;"-A1")</f>
        <v/>
      </c>
      <c r="B108" s="46">
        <f>Weekly_Inspections!$B108</f>
        <v/>
      </c>
      <c r="C108" s="30">
        <f>Weekly_Inspections!$E108</f>
        <v/>
      </c>
      <c r="D108" s="30">
        <f>Weekly_Inspections!$F108</f>
        <v/>
      </c>
      <c r="E108" s="28">
        <f>Weekly_Inspections!$H108</f>
        <v/>
      </c>
      <c r="F108" s="30">
        <f>IF(Weekly_Inspections!$AX108&lt;&gt;"",Weekly_Inspections!$AX108,IF(Weekly_Inspections!$AY108&lt;&gt;"",Weekly_Inspections!$AY108,IF(Weekly_Inspections!$AZ108&lt;&gt;"",Weekly_Inspections!$AZ108,IF(Weekly_Inspections!$BA108&lt;&gt;"",Weekly_Inspections!$BA108,IF(Weekly_Inspections!$BB108&lt;&gt;"",Weekly_Inspections!$BB108,Weekly_Inspections!$R108)))))</f>
        <v/>
      </c>
      <c r="G108" s="30">
        <f>IF(OR(Weekly_Inspections!$AQ108&lt;&gt;"",Weekly_Inspections!$AR108&lt;&gt;"",Weekly_Inspections!$AS108&lt;&gt;""),Weekly_Inspections!$AQ108,"")</f>
        <v/>
      </c>
      <c r="H108" s="30">
        <f>Weekly_Inspections!$AP108</f>
        <v/>
      </c>
      <c r="I108" s="30">
        <f>Weekly_Inspections!$AR108</f>
        <v/>
      </c>
      <c r="J108" s="30">
        <f>Weekly_Inspections!$AS108</f>
        <v/>
      </c>
      <c r="K108" s="30">
        <f>Weekly_Inspections!$AU108</f>
        <v/>
      </c>
      <c r="L108" s="46">
        <f>Weekly_Inspections!$AV108</f>
        <v/>
      </c>
      <c r="M108" s="30">
        <f>IF($B108="","",IF($N108&lt;&gt;"","Closed",IF(OR($G108&lt;&gt;"",$I108&lt;&gt;"",$J108&lt;&gt;""),"Open","")))</f>
        <v/>
      </c>
      <c r="N108" s="46" t="n"/>
      <c r="O108" s="28">
        <f>IF($B108="","",IF($M108="Closed",IF($N108="","",$N108-$B108),TODAY()-$B108))</f>
        <v/>
      </c>
      <c r="P108" s="28">
        <f>IF(OR($B108="",$L108="",$M108="Closed"),"",IF(TODAY()&gt;$L108,"YES","NO"))</f>
        <v/>
      </c>
      <c r="Q108" s="30">
        <f>Weekly_Inspections!$AW108</f>
        <v/>
      </c>
    </row>
    <row r="109" ht="15" customHeight="1" s="45">
      <c r="A109" s="28">
        <f>IF(Weekly_Inspections!$B109="","",Weekly_Inspections!$A109&amp;"-A1")</f>
        <v/>
      </c>
      <c r="B109" s="46">
        <f>Weekly_Inspections!$B109</f>
        <v/>
      </c>
      <c r="C109" s="30">
        <f>Weekly_Inspections!$E109</f>
        <v/>
      </c>
      <c r="D109" s="30">
        <f>Weekly_Inspections!$F109</f>
        <v/>
      </c>
      <c r="E109" s="28">
        <f>Weekly_Inspections!$H109</f>
        <v/>
      </c>
      <c r="F109" s="30">
        <f>IF(Weekly_Inspections!$AX109&lt;&gt;"",Weekly_Inspections!$AX109,IF(Weekly_Inspections!$AY109&lt;&gt;"",Weekly_Inspections!$AY109,IF(Weekly_Inspections!$AZ109&lt;&gt;"",Weekly_Inspections!$AZ109,IF(Weekly_Inspections!$BA109&lt;&gt;"",Weekly_Inspections!$BA109,IF(Weekly_Inspections!$BB109&lt;&gt;"",Weekly_Inspections!$BB109,Weekly_Inspections!$R109)))))</f>
        <v/>
      </c>
      <c r="G109" s="30">
        <f>IF(OR(Weekly_Inspections!$AQ109&lt;&gt;"",Weekly_Inspections!$AR109&lt;&gt;"",Weekly_Inspections!$AS109&lt;&gt;""),Weekly_Inspections!$AQ109,"")</f>
        <v/>
      </c>
      <c r="H109" s="30">
        <f>Weekly_Inspections!$AP109</f>
        <v/>
      </c>
      <c r="I109" s="30">
        <f>Weekly_Inspections!$AR109</f>
        <v/>
      </c>
      <c r="J109" s="30">
        <f>Weekly_Inspections!$AS109</f>
        <v/>
      </c>
      <c r="K109" s="30">
        <f>Weekly_Inspections!$AU109</f>
        <v/>
      </c>
      <c r="L109" s="46">
        <f>Weekly_Inspections!$AV109</f>
        <v/>
      </c>
      <c r="M109" s="30">
        <f>IF($B109="","",IF($N109&lt;&gt;"","Closed",IF(OR($G109&lt;&gt;"",$I109&lt;&gt;"",$J109&lt;&gt;""),"Open","")))</f>
        <v/>
      </c>
      <c r="N109" s="46" t="n"/>
      <c r="O109" s="28">
        <f>IF($B109="","",IF($M109="Closed",IF($N109="","",$N109-$B109),TODAY()-$B109))</f>
        <v/>
      </c>
      <c r="P109" s="28">
        <f>IF(OR($B109="",$L109="",$M109="Closed"),"",IF(TODAY()&gt;$L109,"YES","NO"))</f>
        <v/>
      </c>
      <c r="Q109" s="30">
        <f>Weekly_Inspections!$AW109</f>
        <v/>
      </c>
    </row>
    <row r="110" ht="15" customHeight="1" s="45">
      <c r="A110" s="28">
        <f>IF(Weekly_Inspections!$B110="","",Weekly_Inspections!$A110&amp;"-A1")</f>
        <v/>
      </c>
      <c r="B110" s="46">
        <f>Weekly_Inspections!$B110</f>
        <v/>
      </c>
      <c r="C110" s="30">
        <f>Weekly_Inspections!$E110</f>
        <v/>
      </c>
      <c r="D110" s="30">
        <f>Weekly_Inspections!$F110</f>
        <v/>
      </c>
      <c r="E110" s="28">
        <f>Weekly_Inspections!$H110</f>
        <v/>
      </c>
      <c r="F110" s="30">
        <f>IF(Weekly_Inspections!$AX110&lt;&gt;"",Weekly_Inspections!$AX110,IF(Weekly_Inspections!$AY110&lt;&gt;"",Weekly_Inspections!$AY110,IF(Weekly_Inspections!$AZ110&lt;&gt;"",Weekly_Inspections!$AZ110,IF(Weekly_Inspections!$BA110&lt;&gt;"",Weekly_Inspections!$BA110,IF(Weekly_Inspections!$BB110&lt;&gt;"",Weekly_Inspections!$BB110,Weekly_Inspections!$R110)))))</f>
        <v/>
      </c>
      <c r="G110" s="30">
        <f>IF(OR(Weekly_Inspections!$AQ110&lt;&gt;"",Weekly_Inspections!$AR110&lt;&gt;"",Weekly_Inspections!$AS110&lt;&gt;""),Weekly_Inspections!$AQ110,"")</f>
        <v/>
      </c>
      <c r="H110" s="30">
        <f>Weekly_Inspections!$AP110</f>
        <v/>
      </c>
      <c r="I110" s="30">
        <f>Weekly_Inspections!$AR110</f>
        <v/>
      </c>
      <c r="J110" s="30">
        <f>Weekly_Inspections!$AS110</f>
        <v/>
      </c>
      <c r="K110" s="30">
        <f>Weekly_Inspections!$AU110</f>
        <v/>
      </c>
      <c r="L110" s="46">
        <f>Weekly_Inspections!$AV110</f>
        <v/>
      </c>
      <c r="M110" s="30">
        <f>IF($B110="","",IF($N110&lt;&gt;"","Closed",IF(OR($G110&lt;&gt;"",$I110&lt;&gt;"",$J110&lt;&gt;""),"Open","")))</f>
        <v/>
      </c>
      <c r="N110" s="46" t="n"/>
      <c r="O110" s="28">
        <f>IF($B110="","",IF($M110="Closed",IF($N110="","",$N110-$B110),TODAY()-$B110))</f>
        <v/>
      </c>
      <c r="P110" s="28">
        <f>IF(OR($B110="",$L110="",$M110="Closed"),"",IF(TODAY()&gt;$L110,"YES","NO"))</f>
        <v/>
      </c>
      <c r="Q110" s="30">
        <f>Weekly_Inspections!$AW110</f>
        <v/>
      </c>
    </row>
    <row r="111" ht="15" customHeight="1" s="45">
      <c r="A111" s="28">
        <f>IF(Weekly_Inspections!$B111="","",Weekly_Inspections!$A111&amp;"-A1")</f>
        <v/>
      </c>
      <c r="B111" s="46">
        <f>Weekly_Inspections!$B111</f>
        <v/>
      </c>
      <c r="C111" s="30">
        <f>Weekly_Inspections!$E111</f>
        <v/>
      </c>
      <c r="D111" s="30">
        <f>Weekly_Inspections!$F111</f>
        <v/>
      </c>
      <c r="E111" s="28">
        <f>Weekly_Inspections!$H111</f>
        <v/>
      </c>
      <c r="F111" s="30">
        <f>IF(Weekly_Inspections!$AX111&lt;&gt;"",Weekly_Inspections!$AX111,IF(Weekly_Inspections!$AY111&lt;&gt;"",Weekly_Inspections!$AY111,IF(Weekly_Inspections!$AZ111&lt;&gt;"",Weekly_Inspections!$AZ111,IF(Weekly_Inspections!$BA111&lt;&gt;"",Weekly_Inspections!$BA111,IF(Weekly_Inspections!$BB111&lt;&gt;"",Weekly_Inspections!$BB111,Weekly_Inspections!$R111)))))</f>
        <v/>
      </c>
      <c r="G111" s="30">
        <f>IF(OR(Weekly_Inspections!$AQ111&lt;&gt;"",Weekly_Inspections!$AR111&lt;&gt;"",Weekly_Inspections!$AS111&lt;&gt;""),Weekly_Inspections!$AQ111,"")</f>
        <v/>
      </c>
      <c r="H111" s="30">
        <f>Weekly_Inspections!$AP111</f>
        <v/>
      </c>
      <c r="I111" s="30">
        <f>Weekly_Inspections!$AR111</f>
        <v/>
      </c>
      <c r="J111" s="30">
        <f>Weekly_Inspections!$AS111</f>
        <v/>
      </c>
      <c r="K111" s="30">
        <f>Weekly_Inspections!$AU111</f>
        <v/>
      </c>
      <c r="L111" s="46">
        <f>Weekly_Inspections!$AV111</f>
        <v/>
      </c>
      <c r="M111" s="30">
        <f>IF($B111="","",IF($N111&lt;&gt;"","Closed",IF(OR($G111&lt;&gt;"",$I111&lt;&gt;"",$J111&lt;&gt;""),"Open","")))</f>
        <v/>
      </c>
      <c r="N111" s="46" t="n"/>
      <c r="O111" s="28">
        <f>IF($B111="","",IF($M111="Closed",IF($N111="","",$N111-$B111),TODAY()-$B111))</f>
        <v/>
      </c>
      <c r="P111" s="28">
        <f>IF(OR($B111="",$L111="",$M111="Closed"),"",IF(TODAY()&gt;$L111,"YES","NO"))</f>
        <v/>
      </c>
      <c r="Q111" s="30">
        <f>Weekly_Inspections!$AW111</f>
        <v/>
      </c>
    </row>
    <row r="112" ht="15" customHeight="1" s="45">
      <c r="A112" s="28">
        <f>IF(Weekly_Inspections!$B112="","",Weekly_Inspections!$A112&amp;"-A1")</f>
        <v/>
      </c>
      <c r="B112" s="46">
        <f>Weekly_Inspections!$B112</f>
        <v/>
      </c>
      <c r="C112" s="30">
        <f>Weekly_Inspections!$E112</f>
        <v/>
      </c>
      <c r="D112" s="30">
        <f>Weekly_Inspections!$F112</f>
        <v/>
      </c>
      <c r="E112" s="28">
        <f>Weekly_Inspections!$H112</f>
        <v/>
      </c>
      <c r="F112" s="30">
        <f>IF(Weekly_Inspections!$AX112&lt;&gt;"",Weekly_Inspections!$AX112,IF(Weekly_Inspections!$AY112&lt;&gt;"",Weekly_Inspections!$AY112,IF(Weekly_Inspections!$AZ112&lt;&gt;"",Weekly_Inspections!$AZ112,IF(Weekly_Inspections!$BA112&lt;&gt;"",Weekly_Inspections!$BA112,IF(Weekly_Inspections!$BB112&lt;&gt;"",Weekly_Inspections!$BB112,Weekly_Inspections!$R112)))))</f>
        <v/>
      </c>
      <c r="G112" s="30">
        <f>IF(OR(Weekly_Inspections!$AQ112&lt;&gt;"",Weekly_Inspections!$AR112&lt;&gt;"",Weekly_Inspections!$AS112&lt;&gt;""),Weekly_Inspections!$AQ112,"")</f>
        <v/>
      </c>
      <c r="H112" s="30">
        <f>Weekly_Inspections!$AP112</f>
        <v/>
      </c>
      <c r="I112" s="30">
        <f>Weekly_Inspections!$AR112</f>
        <v/>
      </c>
      <c r="J112" s="30">
        <f>Weekly_Inspections!$AS112</f>
        <v/>
      </c>
      <c r="K112" s="30">
        <f>Weekly_Inspections!$AU112</f>
        <v/>
      </c>
      <c r="L112" s="46">
        <f>Weekly_Inspections!$AV112</f>
        <v/>
      </c>
      <c r="M112" s="30">
        <f>IF($B112="","",IF($N112&lt;&gt;"","Closed",IF(OR($G112&lt;&gt;"",$I112&lt;&gt;"",$J112&lt;&gt;""),"Open","")))</f>
        <v/>
      </c>
      <c r="N112" s="46" t="n"/>
      <c r="O112" s="28">
        <f>IF($B112="","",IF($M112="Closed",IF($N112="","",$N112-$B112),TODAY()-$B112))</f>
        <v/>
      </c>
      <c r="P112" s="28">
        <f>IF(OR($B112="",$L112="",$M112="Closed"),"",IF(TODAY()&gt;$L112,"YES","NO"))</f>
        <v/>
      </c>
      <c r="Q112" s="30">
        <f>Weekly_Inspections!$AW112</f>
        <v/>
      </c>
    </row>
    <row r="113" ht="15" customHeight="1" s="45">
      <c r="A113" s="28">
        <f>IF(Weekly_Inspections!$B113="","",Weekly_Inspections!$A113&amp;"-A1")</f>
        <v/>
      </c>
      <c r="B113" s="46">
        <f>Weekly_Inspections!$B113</f>
        <v/>
      </c>
      <c r="C113" s="30">
        <f>Weekly_Inspections!$E113</f>
        <v/>
      </c>
      <c r="D113" s="30">
        <f>Weekly_Inspections!$F113</f>
        <v/>
      </c>
      <c r="E113" s="28">
        <f>Weekly_Inspections!$H113</f>
        <v/>
      </c>
      <c r="F113" s="30">
        <f>IF(Weekly_Inspections!$AX113&lt;&gt;"",Weekly_Inspections!$AX113,IF(Weekly_Inspections!$AY113&lt;&gt;"",Weekly_Inspections!$AY113,IF(Weekly_Inspections!$AZ113&lt;&gt;"",Weekly_Inspections!$AZ113,IF(Weekly_Inspections!$BA113&lt;&gt;"",Weekly_Inspections!$BA113,IF(Weekly_Inspections!$BB113&lt;&gt;"",Weekly_Inspections!$BB113,Weekly_Inspections!$R113)))))</f>
        <v/>
      </c>
      <c r="G113" s="30">
        <f>IF(OR(Weekly_Inspections!$AQ113&lt;&gt;"",Weekly_Inspections!$AR113&lt;&gt;"",Weekly_Inspections!$AS113&lt;&gt;""),Weekly_Inspections!$AQ113,"")</f>
        <v/>
      </c>
      <c r="H113" s="30">
        <f>Weekly_Inspections!$AP113</f>
        <v/>
      </c>
      <c r="I113" s="30">
        <f>Weekly_Inspections!$AR113</f>
        <v/>
      </c>
      <c r="J113" s="30">
        <f>Weekly_Inspections!$AS113</f>
        <v/>
      </c>
      <c r="K113" s="30">
        <f>Weekly_Inspections!$AU113</f>
        <v/>
      </c>
      <c r="L113" s="46">
        <f>Weekly_Inspections!$AV113</f>
        <v/>
      </c>
      <c r="M113" s="30">
        <f>IF($B113="","",IF($N113&lt;&gt;"","Closed",IF(OR($G113&lt;&gt;"",$I113&lt;&gt;"",$J113&lt;&gt;""),"Open","")))</f>
        <v/>
      </c>
      <c r="N113" s="46" t="n"/>
      <c r="O113" s="28">
        <f>IF($B113="","",IF($M113="Closed",IF($N113="","",$N113-$B113),TODAY()-$B113))</f>
        <v/>
      </c>
      <c r="P113" s="28">
        <f>IF(OR($B113="",$L113="",$M113="Closed"),"",IF(TODAY()&gt;$L113,"YES","NO"))</f>
        <v/>
      </c>
      <c r="Q113" s="30">
        <f>Weekly_Inspections!$AW113</f>
        <v/>
      </c>
    </row>
    <row r="114" ht="15" customHeight="1" s="45">
      <c r="A114" s="28">
        <f>IF(Weekly_Inspections!$B114="","",Weekly_Inspections!$A114&amp;"-A1")</f>
        <v/>
      </c>
      <c r="B114" s="46">
        <f>Weekly_Inspections!$B114</f>
        <v/>
      </c>
      <c r="C114" s="30">
        <f>Weekly_Inspections!$E114</f>
        <v/>
      </c>
      <c r="D114" s="30">
        <f>Weekly_Inspections!$F114</f>
        <v/>
      </c>
      <c r="E114" s="28">
        <f>Weekly_Inspections!$H114</f>
        <v/>
      </c>
      <c r="F114" s="30">
        <f>IF(Weekly_Inspections!$AX114&lt;&gt;"",Weekly_Inspections!$AX114,IF(Weekly_Inspections!$AY114&lt;&gt;"",Weekly_Inspections!$AY114,IF(Weekly_Inspections!$AZ114&lt;&gt;"",Weekly_Inspections!$AZ114,IF(Weekly_Inspections!$BA114&lt;&gt;"",Weekly_Inspections!$BA114,IF(Weekly_Inspections!$BB114&lt;&gt;"",Weekly_Inspections!$BB114,Weekly_Inspections!$R114)))))</f>
        <v/>
      </c>
      <c r="G114" s="30">
        <f>IF(OR(Weekly_Inspections!$AQ114&lt;&gt;"",Weekly_Inspections!$AR114&lt;&gt;"",Weekly_Inspections!$AS114&lt;&gt;""),Weekly_Inspections!$AQ114,"")</f>
        <v/>
      </c>
      <c r="H114" s="30">
        <f>Weekly_Inspections!$AP114</f>
        <v/>
      </c>
      <c r="I114" s="30">
        <f>Weekly_Inspections!$AR114</f>
        <v/>
      </c>
      <c r="J114" s="30">
        <f>Weekly_Inspections!$AS114</f>
        <v/>
      </c>
      <c r="K114" s="30">
        <f>Weekly_Inspections!$AU114</f>
        <v/>
      </c>
      <c r="L114" s="46">
        <f>Weekly_Inspections!$AV114</f>
        <v/>
      </c>
      <c r="M114" s="30">
        <f>IF($B114="","",IF($N114&lt;&gt;"","Closed",IF(OR($G114&lt;&gt;"",$I114&lt;&gt;"",$J114&lt;&gt;""),"Open","")))</f>
        <v/>
      </c>
      <c r="N114" s="46" t="n"/>
      <c r="O114" s="28">
        <f>IF($B114="","",IF($M114="Closed",IF($N114="","",$N114-$B114),TODAY()-$B114))</f>
        <v/>
      </c>
      <c r="P114" s="28">
        <f>IF(OR($B114="",$L114="",$M114="Closed"),"",IF(TODAY()&gt;$L114,"YES","NO"))</f>
        <v/>
      </c>
      <c r="Q114" s="30">
        <f>Weekly_Inspections!$AW114</f>
        <v/>
      </c>
    </row>
    <row r="115" ht="15" customHeight="1" s="45">
      <c r="A115" s="28">
        <f>IF(Weekly_Inspections!$B115="","",Weekly_Inspections!$A115&amp;"-A1")</f>
        <v/>
      </c>
      <c r="B115" s="46">
        <f>Weekly_Inspections!$B115</f>
        <v/>
      </c>
      <c r="C115" s="30">
        <f>Weekly_Inspections!$E115</f>
        <v/>
      </c>
      <c r="D115" s="30">
        <f>Weekly_Inspections!$F115</f>
        <v/>
      </c>
      <c r="E115" s="28">
        <f>Weekly_Inspections!$H115</f>
        <v/>
      </c>
      <c r="F115" s="30">
        <f>IF(Weekly_Inspections!$AX115&lt;&gt;"",Weekly_Inspections!$AX115,IF(Weekly_Inspections!$AY115&lt;&gt;"",Weekly_Inspections!$AY115,IF(Weekly_Inspections!$AZ115&lt;&gt;"",Weekly_Inspections!$AZ115,IF(Weekly_Inspections!$BA115&lt;&gt;"",Weekly_Inspections!$BA115,IF(Weekly_Inspections!$BB115&lt;&gt;"",Weekly_Inspections!$BB115,Weekly_Inspections!$R115)))))</f>
        <v/>
      </c>
      <c r="G115" s="30">
        <f>IF(OR(Weekly_Inspections!$AQ115&lt;&gt;"",Weekly_Inspections!$AR115&lt;&gt;"",Weekly_Inspections!$AS115&lt;&gt;""),Weekly_Inspections!$AQ115,"")</f>
        <v/>
      </c>
      <c r="H115" s="30">
        <f>Weekly_Inspections!$AP115</f>
        <v/>
      </c>
      <c r="I115" s="30">
        <f>Weekly_Inspections!$AR115</f>
        <v/>
      </c>
      <c r="J115" s="30">
        <f>Weekly_Inspections!$AS115</f>
        <v/>
      </c>
      <c r="K115" s="30">
        <f>Weekly_Inspections!$AU115</f>
        <v/>
      </c>
      <c r="L115" s="46">
        <f>Weekly_Inspections!$AV115</f>
        <v/>
      </c>
      <c r="M115" s="30">
        <f>IF($B115="","",IF($N115&lt;&gt;"","Closed",IF(OR($G115&lt;&gt;"",$I115&lt;&gt;"",$J115&lt;&gt;""),"Open","")))</f>
        <v/>
      </c>
      <c r="N115" s="46" t="n"/>
      <c r="O115" s="28">
        <f>IF($B115="","",IF($M115="Closed",IF($N115="","",$N115-$B115),TODAY()-$B115))</f>
        <v/>
      </c>
      <c r="P115" s="28">
        <f>IF(OR($B115="",$L115="",$M115="Closed"),"",IF(TODAY()&gt;$L115,"YES","NO"))</f>
        <v/>
      </c>
      <c r="Q115" s="30">
        <f>Weekly_Inspections!$AW115</f>
        <v/>
      </c>
    </row>
    <row r="116" ht="15" customHeight="1" s="45">
      <c r="A116" s="28">
        <f>IF(Weekly_Inspections!$B116="","",Weekly_Inspections!$A116&amp;"-A1")</f>
        <v/>
      </c>
      <c r="B116" s="46">
        <f>Weekly_Inspections!$B116</f>
        <v/>
      </c>
      <c r="C116" s="30">
        <f>Weekly_Inspections!$E116</f>
        <v/>
      </c>
      <c r="D116" s="30">
        <f>Weekly_Inspections!$F116</f>
        <v/>
      </c>
      <c r="E116" s="28">
        <f>Weekly_Inspections!$H116</f>
        <v/>
      </c>
      <c r="F116" s="30">
        <f>IF(Weekly_Inspections!$AX116&lt;&gt;"",Weekly_Inspections!$AX116,IF(Weekly_Inspections!$AY116&lt;&gt;"",Weekly_Inspections!$AY116,IF(Weekly_Inspections!$AZ116&lt;&gt;"",Weekly_Inspections!$AZ116,IF(Weekly_Inspections!$BA116&lt;&gt;"",Weekly_Inspections!$BA116,IF(Weekly_Inspections!$BB116&lt;&gt;"",Weekly_Inspections!$BB116,Weekly_Inspections!$R116)))))</f>
        <v/>
      </c>
      <c r="G116" s="30">
        <f>IF(OR(Weekly_Inspections!$AQ116&lt;&gt;"",Weekly_Inspections!$AR116&lt;&gt;"",Weekly_Inspections!$AS116&lt;&gt;""),Weekly_Inspections!$AQ116,"")</f>
        <v/>
      </c>
      <c r="H116" s="30">
        <f>Weekly_Inspections!$AP116</f>
        <v/>
      </c>
      <c r="I116" s="30">
        <f>Weekly_Inspections!$AR116</f>
        <v/>
      </c>
      <c r="J116" s="30">
        <f>Weekly_Inspections!$AS116</f>
        <v/>
      </c>
      <c r="K116" s="30">
        <f>Weekly_Inspections!$AU116</f>
        <v/>
      </c>
      <c r="L116" s="46">
        <f>Weekly_Inspections!$AV116</f>
        <v/>
      </c>
      <c r="M116" s="30">
        <f>IF($B116="","",IF($N116&lt;&gt;"","Closed",IF(OR($G116&lt;&gt;"",$I116&lt;&gt;"",$J116&lt;&gt;""),"Open","")))</f>
        <v/>
      </c>
      <c r="N116" s="46" t="n"/>
      <c r="O116" s="28">
        <f>IF($B116="","",IF($M116="Closed",IF($N116="","",$N116-$B116),TODAY()-$B116))</f>
        <v/>
      </c>
      <c r="P116" s="28">
        <f>IF(OR($B116="",$L116="",$M116="Closed"),"",IF(TODAY()&gt;$L116,"YES","NO"))</f>
        <v/>
      </c>
      <c r="Q116" s="30">
        <f>Weekly_Inspections!$AW116</f>
        <v/>
      </c>
    </row>
    <row r="117" ht="15" customHeight="1" s="45">
      <c r="A117" s="28">
        <f>IF(Weekly_Inspections!$B117="","",Weekly_Inspections!$A117&amp;"-A1")</f>
        <v/>
      </c>
      <c r="B117" s="46">
        <f>Weekly_Inspections!$B117</f>
        <v/>
      </c>
      <c r="C117" s="30">
        <f>Weekly_Inspections!$E117</f>
        <v/>
      </c>
      <c r="D117" s="30">
        <f>Weekly_Inspections!$F117</f>
        <v/>
      </c>
      <c r="E117" s="28">
        <f>Weekly_Inspections!$H117</f>
        <v/>
      </c>
      <c r="F117" s="30">
        <f>IF(Weekly_Inspections!$AX117&lt;&gt;"",Weekly_Inspections!$AX117,IF(Weekly_Inspections!$AY117&lt;&gt;"",Weekly_Inspections!$AY117,IF(Weekly_Inspections!$AZ117&lt;&gt;"",Weekly_Inspections!$AZ117,IF(Weekly_Inspections!$BA117&lt;&gt;"",Weekly_Inspections!$BA117,IF(Weekly_Inspections!$BB117&lt;&gt;"",Weekly_Inspections!$BB117,Weekly_Inspections!$R117)))))</f>
        <v/>
      </c>
      <c r="G117" s="30">
        <f>IF(OR(Weekly_Inspections!$AQ117&lt;&gt;"",Weekly_Inspections!$AR117&lt;&gt;"",Weekly_Inspections!$AS117&lt;&gt;""),Weekly_Inspections!$AQ117,"")</f>
        <v/>
      </c>
      <c r="H117" s="30">
        <f>Weekly_Inspections!$AP117</f>
        <v/>
      </c>
      <c r="I117" s="30">
        <f>Weekly_Inspections!$AR117</f>
        <v/>
      </c>
      <c r="J117" s="30">
        <f>Weekly_Inspections!$AS117</f>
        <v/>
      </c>
      <c r="K117" s="30">
        <f>Weekly_Inspections!$AU117</f>
        <v/>
      </c>
      <c r="L117" s="46">
        <f>Weekly_Inspections!$AV117</f>
        <v/>
      </c>
      <c r="M117" s="30">
        <f>IF($B117="","",IF($N117&lt;&gt;"","Closed",IF(OR($G117&lt;&gt;"",$I117&lt;&gt;"",$J117&lt;&gt;""),"Open","")))</f>
        <v/>
      </c>
      <c r="N117" s="46" t="n"/>
      <c r="O117" s="28">
        <f>IF($B117="","",IF($M117="Closed",IF($N117="","",$N117-$B117),TODAY()-$B117))</f>
        <v/>
      </c>
      <c r="P117" s="28">
        <f>IF(OR($B117="",$L117="",$M117="Closed"),"",IF(TODAY()&gt;$L117,"YES","NO"))</f>
        <v/>
      </c>
      <c r="Q117" s="30">
        <f>Weekly_Inspections!$AW117</f>
        <v/>
      </c>
    </row>
    <row r="118" ht="15" customHeight="1" s="45">
      <c r="A118" s="28">
        <f>IF(Weekly_Inspections!$B118="","",Weekly_Inspections!$A118&amp;"-A1")</f>
        <v/>
      </c>
      <c r="B118" s="46">
        <f>Weekly_Inspections!$B118</f>
        <v/>
      </c>
      <c r="C118" s="30">
        <f>Weekly_Inspections!$E118</f>
        <v/>
      </c>
      <c r="D118" s="30">
        <f>Weekly_Inspections!$F118</f>
        <v/>
      </c>
      <c r="E118" s="28">
        <f>Weekly_Inspections!$H118</f>
        <v/>
      </c>
      <c r="F118" s="30">
        <f>IF(Weekly_Inspections!$AX118&lt;&gt;"",Weekly_Inspections!$AX118,IF(Weekly_Inspections!$AY118&lt;&gt;"",Weekly_Inspections!$AY118,IF(Weekly_Inspections!$AZ118&lt;&gt;"",Weekly_Inspections!$AZ118,IF(Weekly_Inspections!$BA118&lt;&gt;"",Weekly_Inspections!$BA118,IF(Weekly_Inspections!$BB118&lt;&gt;"",Weekly_Inspections!$BB118,Weekly_Inspections!$R118)))))</f>
        <v/>
      </c>
      <c r="G118" s="30">
        <f>IF(OR(Weekly_Inspections!$AQ118&lt;&gt;"",Weekly_Inspections!$AR118&lt;&gt;"",Weekly_Inspections!$AS118&lt;&gt;""),Weekly_Inspections!$AQ118,"")</f>
        <v/>
      </c>
      <c r="H118" s="30">
        <f>Weekly_Inspections!$AP118</f>
        <v/>
      </c>
      <c r="I118" s="30">
        <f>Weekly_Inspections!$AR118</f>
        <v/>
      </c>
      <c r="J118" s="30">
        <f>Weekly_Inspections!$AS118</f>
        <v/>
      </c>
      <c r="K118" s="30">
        <f>Weekly_Inspections!$AU118</f>
        <v/>
      </c>
      <c r="L118" s="46">
        <f>Weekly_Inspections!$AV118</f>
        <v/>
      </c>
      <c r="M118" s="30">
        <f>IF($B118="","",IF($N118&lt;&gt;"","Closed",IF(OR($G118&lt;&gt;"",$I118&lt;&gt;"",$J118&lt;&gt;""),"Open","")))</f>
        <v/>
      </c>
      <c r="N118" s="46" t="n"/>
      <c r="O118" s="28">
        <f>IF($B118="","",IF($M118="Closed",IF($N118="","",$N118-$B118),TODAY()-$B118))</f>
        <v/>
      </c>
      <c r="P118" s="28">
        <f>IF(OR($B118="",$L118="",$M118="Closed"),"",IF(TODAY()&gt;$L118,"YES","NO"))</f>
        <v/>
      </c>
      <c r="Q118" s="30">
        <f>Weekly_Inspections!$AW118</f>
        <v/>
      </c>
    </row>
    <row r="119" ht="15" customHeight="1" s="45">
      <c r="A119" s="28">
        <f>IF(Weekly_Inspections!$B119="","",Weekly_Inspections!$A119&amp;"-A1")</f>
        <v/>
      </c>
      <c r="B119" s="46">
        <f>Weekly_Inspections!$B119</f>
        <v/>
      </c>
      <c r="C119" s="30">
        <f>Weekly_Inspections!$E119</f>
        <v/>
      </c>
      <c r="D119" s="30">
        <f>Weekly_Inspections!$F119</f>
        <v/>
      </c>
      <c r="E119" s="28">
        <f>Weekly_Inspections!$H119</f>
        <v/>
      </c>
      <c r="F119" s="30">
        <f>IF(Weekly_Inspections!$AX119&lt;&gt;"",Weekly_Inspections!$AX119,IF(Weekly_Inspections!$AY119&lt;&gt;"",Weekly_Inspections!$AY119,IF(Weekly_Inspections!$AZ119&lt;&gt;"",Weekly_Inspections!$AZ119,IF(Weekly_Inspections!$BA119&lt;&gt;"",Weekly_Inspections!$BA119,IF(Weekly_Inspections!$BB119&lt;&gt;"",Weekly_Inspections!$BB119,Weekly_Inspections!$R119)))))</f>
        <v/>
      </c>
      <c r="G119" s="30">
        <f>IF(OR(Weekly_Inspections!$AQ119&lt;&gt;"",Weekly_Inspections!$AR119&lt;&gt;"",Weekly_Inspections!$AS119&lt;&gt;""),Weekly_Inspections!$AQ119,"")</f>
        <v/>
      </c>
      <c r="H119" s="30">
        <f>Weekly_Inspections!$AP119</f>
        <v/>
      </c>
      <c r="I119" s="30">
        <f>Weekly_Inspections!$AR119</f>
        <v/>
      </c>
      <c r="J119" s="30">
        <f>Weekly_Inspections!$AS119</f>
        <v/>
      </c>
      <c r="K119" s="30">
        <f>Weekly_Inspections!$AU119</f>
        <v/>
      </c>
      <c r="L119" s="46">
        <f>Weekly_Inspections!$AV119</f>
        <v/>
      </c>
      <c r="M119" s="30">
        <f>IF($B119="","",IF($N119&lt;&gt;"","Closed",IF(OR($G119&lt;&gt;"",$I119&lt;&gt;"",$J119&lt;&gt;""),"Open","")))</f>
        <v/>
      </c>
      <c r="N119" s="46" t="n"/>
      <c r="O119" s="28">
        <f>IF($B119="","",IF($M119="Closed",IF($N119="","",$N119-$B119),TODAY()-$B119))</f>
        <v/>
      </c>
      <c r="P119" s="28">
        <f>IF(OR($B119="",$L119="",$M119="Closed"),"",IF(TODAY()&gt;$L119,"YES","NO"))</f>
        <v/>
      </c>
      <c r="Q119" s="30">
        <f>Weekly_Inspections!$AW119</f>
        <v/>
      </c>
    </row>
    <row r="120" ht="15" customHeight="1" s="45">
      <c r="A120" s="28">
        <f>IF(Weekly_Inspections!$B120="","",Weekly_Inspections!$A120&amp;"-A1")</f>
        <v/>
      </c>
      <c r="B120" s="46">
        <f>Weekly_Inspections!$B120</f>
        <v/>
      </c>
      <c r="C120" s="30">
        <f>Weekly_Inspections!$E120</f>
        <v/>
      </c>
      <c r="D120" s="30">
        <f>Weekly_Inspections!$F120</f>
        <v/>
      </c>
      <c r="E120" s="28">
        <f>Weekly_Inspections!$H120</f>
        <v/>
      </c>
      <c r="F120" s="30">
        <f>IF(Weekly_Inspections!$AX120&lt;&gt;"",Weekly_Inspections!$AX120,IF(Weekly_Inspections!$AY120&lt;&gt;"",Weekly_Inspections!$AY120,IF(Weekly_Inspections!$AZ120&lt;&gt;"",Weekly_Inspections!$AZ120,IF(Weekly_Inspections!$BA120&lt;&gt;"",Weekly_Inspections!$BA120,IF(Weekly_Inspections!$BB120&lt;&gt;"",Weekly_Inspections!$BB120,Weekly_Inspections!$R120)))))</f>
        <v/>
      </c>
      <c r="G120" s="30">
        <f>IF(OR(Weekly_Inspections!$AQ120&lt;&gt;"",Weekly_Inspections!$AR120&lt;&gt;"",Weekly_Inspections!$AS120&lt;&gt;""),Weekly_Inspections!$AQ120,"")</f>
        <v/>
      </c>
      <c r="H120" s="30">
        <f>Weekly_Inspections!$AP120</f>
        <v/>
      </c>
      <c r="I120" s="30">
        <f>Weekly_Inspections!$AR120</f>
        <v/>
      </c>
      <c r="J120" s="30">
        <f>Weekly_Inspections!$AS120</f>
        <v/>
      </c>
      <c r="K120" s="30">
        <f>Weekly_Inspections!$AU120</f>
        <v/>
      </c>
      <c r="L120" s="46">
        <f>Weekly_Inspections!$AV120</f>
        <v/>
      </c>
      <c r="M120" s="30">
        <f>IF($B120="","",IF($N120&lt;&gt;"","Closed",IF(OR($G120&lt;&gt;"",$I120&lt;&gt;"",$J120&lt;&gt;""),"Open","")))</f>
        <v/>
      </c>
      <c r="N120" s="46" t="n"/>
      <c r="O120" s="28">
        <f>IF($B120="","",IF($M120="Closed",IF($N120="","",$N120-$B120),TODAY()-$B120))</f>
        <v/>
      </c>
      <c r="P120" s="28">
        <f>IF(OR($B120="",$L120="",$M120="Closed"),"",IF(TODAY()&gt;$L120,"YES","NO"))</f>
        <v/>
      </c>
      <c r="Q120" s="30">
        <f>Weekly_Inspections!$AW120</f>
        <v/>
      </c>
    </row>
    <row r="121" ht="15" customHeight="1" s="45">
      <c r="A121" s="28">
        <f>IF(Weekly_Inspections!$B121="","",Weekly_Inspections!$A121&amp;"-A1")</f>
        <v/>
      </c>
      <c r="B121" s="46">
        <f>Weekly_Inspections!$B121</f>
        <v/>
      </c>
      <c r="C121" s="30">
        <f>Weekly_Inspections!$E121</f>
        <v/>
      </c>
      <c r="D121" s="30">
        <f>Weekly_Inspections!$F121</f>
        <v/>
      </c>
      <c r="E121" s="28">
        <f>Weekly_Inspections!$H121</f>
        <v/>
      </c>
      <c r="F121" s="30">
        <f>IF(Weekly_Inspections!$AX121&lt;&gt;"",Weekly_Inspections!$AX121,IF(Weekly_Inspections!$AY121&lt;&gt;"",Weekly_Inspections!$AY121,IF(Weekly_Inspections!$AZ121&lt;&gt;"",Weekly_Inspections!$AZ121,IF(Weekly_Inspections!$BA121&lt;&gt;"",Weekly_Inspections!$BA121,IF(Weekly_Inspections!$BB121&lt;&gt;"",Weekly_Inspections!$BB121,Weekly_Inspections!$R121)))))</f>
        <v/>
      </c>
      <c r="G121" s="30">
        <f>IF(OR(Weekly_Inspections!$AQ121&lt;&gt;"",Weekly_Inspections!$AR121&lt;&gt;"",Weekly_Inspections!$AS121&lt;&gt;""),Weekly_Inspections!$AQ121,"")</f>
        <v/>
      </c>
      <c r="H121" s="30">
        <f>Weekly_Inspections!$AP121</f>
        <v/>
      </c>
      <c r="I121" s="30">
        <f>Weekly_Inspections!$AR121</f>
        <v/>
      </c>
      <c r="J121" s="30">
        <f>Weekly_Inspections!$AS121</f>
        <v/>
      </c>
      <c r="K121" s="30">
        <f>Weekly_Inspections!$AU121</f>
        <v/>
      </c>
      <c r="L121" s="46">
        <f>Weekly_Inspections!$AV121</f>
        <v/>
      </c>
      <c r="M121" s="30">
        <f>IF($B121="","",IF($N121&lt;&gt;"","Closed",IF(OR($G121&lt;&gt;"",$I121&lt;&gt;"",$J121&lt;&gt;""),"Open","")))</f>
        <v/>
      </c>
      <c r="N121" s="46" t="n"/>
      <c r="O121" s="28">
        <f>IF($B121="","",IF($M121="Closed",IF($N121="","",$N121-$B121),TODAY()-$B121))</f>
        <v/>
      </c>
      <c r="P121" s="28">
        <f>IF(OR($B121="",$L121="",$M121="Closed"),"",IF(TODAY()&gt;$L121,"YES","NO"))</f>
        <v/>
      </c>
      <c r="Q121" s="30">
        <f>Weekly_Inspections!$AW121</f>
        <v/>
      </c>
    </row>
    <row r="122" ht="15" customHeight="1" s="45">
      <c r="A122" s="28">
        <f>IF(Weekly_Inspections!$B122="","",Weekly_Inspections!$A122&amp;"-A1")</f>
        <v/>
      </c>
      <c r="B122" s="46">
        <f>Weekly_Inspections!$B122</f>
        <v/>
      </c>
      <c r="C122" s="30">
        <f>Weekly_Inspections!$E122</f>
        <v/>
      </c>
      <c r="D122" s="30">
        <f>Weekly_Inspections!$F122</f>
        <v/>
      </c>
      <c r="E122" s="28">
        <f>Weekly_Inspections!$H122</f>
        <v/>
      </c>
      <c r="F122" s="30">
        <f>IF(Weekly_Inspections!$AX122&lt;&gt;"",Weekly_Inspections!$AX122,IF(Weekly_Inspections!$AY122&lt;&gt;"",Weekly_Inspections!$AY122,IF(Weekly_Inspections!$AZ122&lt;&gt;"",Weekly_Inspections!$AZ122,IF(Weekly_Inspections!$BA122&lt;&gt;"",Weekly_Inspections!$BA122,IF(Weekly_Inspections!$BB122&lt;&gt;"",Weekly_Inspections!$BB122,Weekly_Inspections!$R122)))))</f>
        <v/>
      </c>
      <c r="G122" s="30">
        <f>IF(OR(Weekly_Inspections!$AQ122&lt;&gt;"",Weekly_Inspections!$AR122&lt;&gt;"",Weekly_Inspections!$AS122&lt;&gt;""),Weekly_Inspections!$AQ122,"")</f>
        <v/>
      </c>
      <c r="H122" s="30">
        <f>Weekly_Inspections!$AP122</f>
        <v/>
      </c>
      <c r="I122" s="30">
        <f>Weekly_Inspections!$AR122</f>
        <v/>
      </c>
      <c r="J122" s="30">
        <f>Weekly_Inspections!$AS122</f>
        <v/>
      </c>
      <c r="K122" s="30">
        <f>Weekly_Inspections!$AU122</f>
        <v/>
      </c>
      <c r="L122" s="46">
        <f>Weekly_Inspections!$AV122</f>
        <v/>
      </c>
      <c r="M122" s="30">
        <f>IF($B122="","",IF($N122&lt;&gt;"","Closed",IF(OR($G122&lt;&gt;"",$I122&lt;&gt;"",$J122&lt;&gt;""),"Open","")))</f>
        <v/>
      </c>
      <c r="N122" s="46" t="n"/>
      <c r="O122" s="28">
        <f>IF($B122="","",IF($M122="Closed",IF($N122="","",$N122-$B122),TODAY()-$B122))</f>
        <v/>
      </c>
      <c r="P122" s="28">
        <f>IF(OR($B122="",$L122="",$M122="Closed"),"",IF(TODAY()&gt;$L122,"YES","NO"))</f>
        <v/>
      </c>
      <c r="Q122" s="30">
        <f>Weekly_Inspections!$AW122</f>
        <v/>
      </c>
    </row>
    <row r="123" ht="15" customHeight="1" s="45">
      <c r="A123" s="28">
        <f>IF(Weekly_Inspections!$B123="","",Weekly_Inspections!$A123&amp;"-A1")</f>
        <v/>
      </c>
      <c r="B123" s="46">
        <f>Weekly_Inspections!$B123</f>
        <v/>
      </c>
      <c r="C123" s="30">
        <f>Weekly_Inspections!$E123</f>
        <v/>
      </c>
      <c r="D123" s="30">
        <f>Weekly_Inspections!$F123</f>
        <v/>
      </c>
      <c r="E123" s="28">
        <f>Weekly_Inspections!$H123</f>
        <v/>
      </c>
      <c r="F123" s="30">
        <f>IF(Weekly_Inspections!$AX123&lt;&gt;"",Weekly_Inspections!$AX123,IF(Weekly_Inspections!$AY123&lt;&gt;"",Weekly_Inspections!$AY123,IF(Weekly_Inspections!$AZ123&lt;&gt;"",Weekly_Inspections!$AZ123,IF(Weekly_Inspections!$BA123&lt;&gt;"",Weekly_Inspections!$BA123,IF(Weekly_Inspections!$BB123&lt;&gt;"",Weekly_Inspections!$BB123,Weekly_Inspections!$R123)))))</f>
        <v/>
      </c>
      <c r="G123" s="30">
        <f>IF(OR(Weekly_Inspections!$AQ123&lt;&gt;"",Weekly_Inspections!$AR123&lt;&gt;"",Weekly_Inspections!$AS123&lt;&gt;""),Weekly_Inspections!$AQ123,"")</f>
        <v/>
      </c>
      <c r="H123" s="30">
        <f>Weekly_Inspections!$AP123</f>
        <v/>
      </c>
      <c r="I123" s="30">
        <f>Weekly_Inspections!$AR123</f>
        <v/>
      </c>
      <c r="J123" s="30">
        <f>Weekly_Inspections!$AS123</f>
        <v/>
      </c>
      <c r="K123" s="30">
        <f>Weekly_Inspections!$AU123</f>
        <v/>
      </c>
      <c r="L123" s="46">
        <f>Weekly_Inspections!$AV123</f>
        <v/>
      </c>
      <c r="M123" s="30">
        <f>IF($B123="","",IF($N123&lt;&gt;"","Closed",IF(OR($G123&lt;&gt;"",$I123&lt;&gt;"",$J123&lt;&gt;""),"Open","")))</f>
        <v/>
      </c>
      <c r="N123" s="46" t="n"/>
      <c r="O123" s="28">
        <f>IF($B123="","",IF($M123="Closed",IF($N123="","",$N123-$B123),TODAY()-$B123))</f>
        <v/>
      </c>
      <c r="P123" s="28">
        <f>IF(OR($B123="",$L123="",$M123="Closed"),"",IF(TODAY()&gt;$L123,"YES","NO"))</f>
        <v/>
      </c>
      <c r="Q123" s="30">
        <f>Weekly_Inspections!$AW123</f>
        <v/>
      </c>
    </row>
    <row r="124" ht="15" customHeight="1" s="45">
      <c r="A124" s="28">
        <f>IF(Weekly_Inspections!$B124="","",Weekly_Inspections!$A124&amp;"-A1")</f>
        <v/>
      </c>
      <c r="B124" s="46">
        <f>Weekly_Inspections!$B124</f>
        <v/>
      </c>
      <c r="C124" s="30">
        <f>Weekly_Inspections!$E124</f>
        <v/>
      </c>
      <c r="D124" s="30">
        <f>Weekly_Inspections!$F124</f>
        <v/>
      </c>
      <c r="E124" s="28">
        <f>Weekly_Inspections!$H124</f>
        <v/>
      </c>
      <c r="F124" s="30">
        <f>IF(Weekly_Inspections!$AX124&lt;&gt;"",Weekly_Inspections!$AX124,IF(Weekly_Inspections!$AY124&lt;&gt;"",Weekly_Inspections!$AY124,IF(Weekly_Inspections!$AZ124&lt;&gt;"",Weekly_Inspections!$AZ124,IF(Weekly_Inspections!$BA124&lt;&gt;"",Weekly_Inspections!$BA124,IF(Weekly_Inspections!$BB124&lt;&gt;"",Weekly_Inspections!$BB124,Weekly_Inspections!$R124)))))</f>
        <v/>
      </c>
      <c r="G124" s="30">
        <f>IF(OR(Weekly_Inspections!$AQ124&lt;&gt;"",Weekly_Inspections!$AR124&lt;&gt;"",Weekly_Inspections!$AS124&lt;&gt;""),Weekly_Inspections!$AQ124,"")</f>
        <v/>
      </c>
      <c r="H124" s="30">
        <f>Weekly_Inspections!$AP124</f>
        <v/>
      </c>
      <c r="I124" s="30">
        <f>Weekly_Inspections!$AR124</f>
        <v/>
      </c>
      <c r="J124" s="30">
        <f>Weekly_Inspections!$AS124</f>
        <v/>
      </c>
      <c r="K124" s="30">
        <f>Weekly_Inspections!$AU124</f>
        <v/>
      </c>
      <c r="L124" s="46">
        <f>Weekly_Inspections!$AV124</f>
        <v/>
      </c>
      <c r="M124" s="30">
        <f>IF($B124="","",IF($N124&lt;&gt;"","Closed",IF(OR($G124&lt;&gt;"",$I124&lt;&gt;"",$J124&lt;&gt;""),"Open","")))</f>
        <v/>
      </c>
      <c r="N124" s="46" t="n"/>
      <c r="O124" s="28">
        <f>IF($B124="","",IF($M124="Closed",IF($N124="","",$N124-$B124),TODAY()-$B124))</f>
        <v/>
      </c>
      <c r="P124" s="28">
        <f>IF(OR($B124="",$L124="",$M124="Closed"),"",IF(TODAY()&gt;$L124,"YES","NO"))</f>
        <v/>
      </c>
      <c r="Q124" s="30">
        <f>Weekly_Inspections!$AW124</f>
        <v/>
      </c>
    </row>
    <row r="125" ht="15" customHeight="1" s="45">
      <c r="A125" s="28">
        <f>IF(Weekly_Inspections!$B125="","",Weekly_Inspections!$A125&amp;"-A1")</f>
        <v/>
      </c>
      <c r="B125" s="46">
        <f>Weekly_Inspections!$B125</f>
        <v/>
      </c>
      <c r="C125" s="30">
        <f>Weekly_Inspections!$E125</f>
        <v/>
      </c>
      <c r="D125" s="30">
        <f>Weekly_Inspections!$F125</f>
        <v/>
      </c>
      <c r="E125" s="28">
        <f>Weekly_Inspections!$H125</f>
        <v/>
      </c>
      <c r="F125" s="30">
        <f>IF(Weekly_Inspections!$AX125&lt;&gt;"",Weekly_Inspections!$AX125,IF(Weekly_Inspections!$AY125&lt;&gt;"",Weekly_Inspections!$AY125,IF(Weekly_Inspections!$AZ125&lt;&gt;"",Weekly_Inspections!$AZ125,IF(Weekly_Inspections!$BA125&lt;&gt;"",Weekly_Inspections!$BA125,IF(Weekly_Inspections!$BB125&lt;&gt;"",Weekly_Inspections!$BB125,Weekly_Inspections!$R125)))))</f>
        <v/>
      </c>
      <c r="G125" s="30">
        <f>IF(OR(Weekly_Inspections!$AQ125&lt;&gt;"",Weekly_Inspections!$AR125&lt;&gt;"",Weekly_Inspections!$AS125&lt;&gt;""),Weekly_Inspections!$AQ125,"")</f>
        <v/>
      </c>
      <c r="H125" s="30">
        <f>Weekly_Inspections!$AP125</f>
        <v/>
      </c>
      <c r="I125" s="30">
        <f>Weekly_Inspections!$AR125</f>
        <v/>
      </c>
      <c r="J125" s="30">
        <f>Weekly_Inspections!$AS125</f>
        <v/>
      </c>
      <c r="K125" s="30">
        <f>Weekly_Inspections!$AU125</f>
        <v/>
      </c>
      <c r="L125" s="46">
        <f>Weekly_Inspections!$AV125</f>
        <v/>
      </c>
      <c r="M125" s="30">
        <f>IF($B125="","",IF($N125&lt;&gt;"","Closed",IF(OR($G125&lt;&gt;"",$I125&lt;&gt;"",$J125&lt;&gt;""),"Open","")))</f>
        <v/>
      </c>
      <c r="N125" s="46" t="n"/>
      <c r="O125" s="28">
        <f>IF($B125="","",IF($M125="Closed",IF($N125="","",$N125-$B125),TODAY()-$B125))</f>
        <v/>
      </c>
      <c r="P125" s="28">
        <f>IF(OR($B125="",$L125="",$M125="Closed"),"",IF(TODAY()&gt;$L125,"YES","NO"))</f>
        <v/>
      </c>
      <c r="Q125" s="30">
        <f>Weekly_Inspections!$AW125</f>
        <v/>
      </c>
    </row>
    <row r="126" ht="15" customHeight="1" s="45">
      <c r="A126" s="28">
        <f>IF(Weekly_Inspections!$B126="","",Weekly_Inspections!$A126&amp;"-A1")</f>
        <v/>
      </c>
      <c r="B126" s="46">
        <f>Weekly_Inspections!$B126</f>
        <v/>
      </c>
      <c r="C126" s="30">
        <f>Weekly_Inspections!$E126</f>
        <v/>
      </c>
      <c r="D126" s="30">
        <f>Weekly_Inspections!$F126</f>
        <v/>
      </c>
      <c r="E126" s="28">
        <f>Weekly_Inspections!$H126</f>
        <v/>
      </c>
      <c r="F126" s="30">
        <f>IF(Weekly_Inspections!$AX126&lt;&gt;"",Weekly_Inspections!$AX126,IF(Weekly_Inspections!$AY126&lt;&gt;"",Weekly_Inspections!$AY126,IF(Weekly_Inspections!$AZ126&lt;&gt;"",Weekly_Inspections!$AZ126,IF(Weekly_Inspections!$BA126&lt;&gt;"",Weekly_Inspections!$BA126,IF(Weekly_Inspections!$BB126&lt;&gt;"",Weekly_Inspections!$BB126,Weekly_Inspections!$R126)))))</f>
        <v/>
      </c>
      <c r="G126" s="30">
        <f>IF(OR(Weekly_Inspections!$AQ126&lt;&gt;"",Weekly_Inspections!$AR126&lt;&gt;"",Weekly_Inspections!$AS126&lt;&gt;""),Weekly_Inspections!$AQ126,"")</f>
        <v/>
      </c>
      <c r="H126" s="30">
        <f>Weekly_Inspections!$AP126</f>
        <v/>
      </c>
      <c r="I126" s="30">
        <f>Weekly_Inspections!$AR126</f>
        <v/>
      </c>
      <c r="J126" s="30">
        <f>Weekly_Inspections!$AS126</f>
        <v/>
      </c>
      <c r="K126" s="30">
        <f>Weekly_Inspections!$AU126</f>
        <v/>
      </c>
      <c r="L126" s="46">
        <f>Weekly_Inspections!$AV126</f>
        <v/>
      </c>
      <c r="M126" s="30">
        <f>IF($B126="","",IF($N126&lt;&gt;"","Closed",IF(OR($G126&lt;&gt;"",$I126&lt;&gt;"",$J126&lt;&gt;""),"Open","")))</f>
        <v/>
      </c>
      <c r="N126" s="46" t="n"/>
      <c r="O126" s="28">
        <f>IF($B126="","",IF($M126="Closed",IF($N126="","",$N126-$B126),TODAY()-$B126))</f>
        <v/>
      </c>
      <c r="P126" s="28">
        <f>IF(OR($B126="",$L126="",$M126="Closed"),"",IF(TODAY()&gt;$L126,"YES","NO"))</f>
        <v/>
      </c>
      <c r="Q126" s="30">
        <f>Weekly_Inspections!$AW126</f>
        <v/>
      </c>
    </row>
    <row r="127" ht="15" customHeight="1" s="45">
      <c r="A127" s="28">
        <f>IF(Weekly_Inspections!$B127="","",Weekly_Inspections!$A127&amp;"-A1")</f>
        <v/>
      </c>
      <c r="B127" s="46">
        <f>Weekly_Inspections!$B127</f>
        <v/>
      </c>
      <c r="C127" s="30">
        <f>Weekly_Inspections!$E127</f>
        <v/>
      </c>
      <c r="D127" s="30">
        <f>Weekly_Inspections!$F127</f>
        <v/>
      </c>
      <c r="E127" s="28">
        <f>Weekly_Inspections!$H127</f>
        <v/>
      </c>
      <c r="F127" s="30">
        <f>IF(Weekly_Inspections!$AX127&lt;&gt;"",Weekly_Inspections!$AX127,IF(Weekly_Inspections!$AY127&lt;&gt;"",Weekly_Inspections!$AY127,IF(Weekly_Inspections!$AZ127&lt;&gt;"",Weekly_Inspections!$AZ127,IF(Weekly_Inspections!$BA127&lt;&gt;"",Weekly_Inspections!$BA127,IF(Weekly_Inspections!$BB127&lt;&gt;"",Weekly_Inspections!$BB127,Weekly_Inspections!$R127)))))</f>
        <v/>
      </c>
      <c r="G127" s="30">
        <f>IF(OR(Weekly_Inspections!$AQ127&lt;&gt;"",Weekly_Inspections!$AR127&lt;&gt;"",Weekly_Inspections!$AS127&lt;&gt;""),Weekly_Inspections!$AQ127,"")</f>
        <v/>
      </c>
      <c r="H127" s="30">
        <f>Weekly_Inspections!$AP127</f>
        <v/>
      </c>
      <c r="I127" s="30">
        <f>Weekly_Inspections!$AR127</f>
        <v/>
      </c>
      <c r="J127" s="30">
        <f>Weekly_Inspections!$AS127</f>
        <v/>
      </c>
      <c r="K127" s="30">
        <f>Weekly_Inspections!$AU127</f>
        <v/>
      </c>
      <c r="L127" s="46">
        <f>Weekly_Inspections!$AV127</f>
        <v/>
      </c>
      <c r="M127" s="30">
        <f>IF($B127="","",IF($N127&lt;&gt;"","Closed",IF(OR($G127&lt;&gt;"",$I127&lt;&gt;"",$J127&lt;&gt;""),"Open","")))</f>
        <v/>
      </c>
      <c r="N127" s="46" t="n"/>
      <c r="O127" s="28">
        <f>IF($B127="","",IF($M127="Closed",IF($N127="","",$N127-$B127),TODAY()-$B127))</f>
        <v/>
      </c>
      <c r="P127" s="28">
        <f>IF(OR($B127="",$L127="",$M127="Closed"),"",IF(TODAY()&gt;$L127,"YES","NO"))</f>
        <v/>
      </c>
      <c r="Q127" s="30">
        <f>Weekly_Inspections!$AW127</f>
        <v/>
      </c>
    </row>
    <row r="128" ht="15" customHeight="1" s="45">
      <c r="A128" s="28">
        <f>IF(Weekly_Inspections!$B128="","",Weekly_Inspections!$A128&amp;"-A1")</f>
        <v/>
      </c>
      <c r="B128" s="46">
        <f>Weekly_Inspections!$B128</f>
        <v/>
      </c>
      <c r="C128" s="30">
        <f>Weekly_Inspections!$E128</f>
        <v/>
      </c>
      <c r="D128" s="30">
        <f>Weekly_Inspections!$F128</f>
        <v/>
      </c>
      <c r="E128" s="28">
        <f>Weekly_Inspections!$H128</f>
        <v/>
      </c>
      <c r="F128" s="30">
        <f>IF(Weekly_Inspections!$AX128&lt;&gt;"",Weekly_Inspections!$AX128,IF(Weekly_Inspections!$AY128&lt;&gt;"",Weekly_Inspections!$AY128,IF(Weekly_Inspections!$AZ128&lt;&gt;"",Weekly_Inspections!$AZ128,IF(Weekly_Inspections!$BA128&lt;&gt;"",Weekly_Inspections!$BA128,IF(Weekly_Inspections!$BB128&lt;&gt;"",Weekly_Inspections!$BB128,Weekly_Inspections!$R128)))))</f>
        <v/>
      </c>
      <c r="G128" s="30">
        <f>IF(OR(Weekly_Inspections!$AQ128&lt;&gt;"",Weekly_Inspections!$AR128&lt;&gt;"",Weekly_Inspections!$AS128&lt;&gt;""),Weekly_Inspections!$AQ128,"")</f>
        <v/>
      </c>
      <c r="H128" s="30">
        <f>Weekly_Inspections!$AP128</f>
        <v/>
      </c>
      <c r="I128" s="30">
        <f>Weekly_Inspections!$AR128</f>
        <v/>
      </c>
      <c r="J128" s="30">
        <f>Weekly_Inspections!$AS128</f>
        <v/>
      </c>
      <c r="K128" s="30">
        <f>Weekly_Inspections!$AU128</f>
        <v/>
      </c>
      <c r="L128" s="46">
        <f>Weekly_Inspections!$AV128</f>
        <v/>
      </c>
      <c r="M128" s="30">
        <f>IF($B128="","",IF($N128&lt;&gt;"","Closed",IF(OR($G128&lt;&gt;"",$I128&lt;&gt;"",$J128&lt;&gt;""),"Open","")))</f>
        <v/>
      </c>
      <c r="N128" s="46" t="n"/>
      <c r="O128" s="28">
        <f>IF($B128="","",IF($M128="Closed",IF($N128="","",$N128-$B128),TODAY()-$B128))</f>
        <v/>
      </c>
      <c r="P128" s="28">
        <f>IF(OR($B128="",$L128="",$M128="Closed"),"",IF(TODAY()&gt;$L128,"YES","NO"))</f>
        <v/>
      </c>
      <c r="Q128" s="30">
        <f>Weekly_Inspections!$AW128</f>
        <v/>
      </c>
    </row>
    <row r="129" ht="15" customHeight="1" s="45">
      <c r="A129" s="28">
        <f>IF(Weekly_Inspections!$B129="","",Weekly_Inspections!$A129&amp;"-A1")</f>
        <v/>
      </c>
      <c r="B129" s="46">
        <f>Weekly_Inspections!$B129</f>
        <v/>
      </c>
      <c r="C129" s="30">
        <f>Weekly_Inspections!$E129</f>
        <v/>
      </c>
      <c r="D129" s="30">
        <f>Weekly_Inspections!$F129</f>
        <v/>
      </c>
      <c r="E129" s="28">
        <f>Weekly_Inspections!$H129</f>
        <v/>
      </c>
      <c r="F129" s="30">
        <f>IF(Weekly_Inspections!$AX129&lt;&gt;"",Weekly_Inspections!$AX129,IF(Weekly_Inspections!$AY129&lt;&gt;"",Weekly_Inspections!$AY129,IF(Weekly_Inspections!$AZ129&lt;&gt;"",Weekly_Inspections!$AZ129,IF(Weekly_Inspections!$BA129&lt;&gt;"",Weekly_Inspections!$BA129,IF(Weekly_Inspections!$BB129&lt;&gt;"",Weekly_Inspections!$BB129,Weekly_Inspections!$R129)))))</f>
        <v/>
      </c>
      <c r="G129" s="30">
        <f>IF(OR(Weekly_Inspections!$AQ129&lt;&gt;"",Weekly_Inspections!$AR129&lt;&gt;"",Weekly_Inspections!$AS129&lt;&gt;""),Weekly_Inspections!$AQ129,"")</f>
        <v/>
      </c>
      <c r="H129" s="30">
        <f>Weekly_Inspections!$AP129</f>
        <v/>
      </c>
      <c r="I129" s="30">
        <f>Weekly_Inspections!$AR129</f>
        <v/>
      </c>
      <c r="J129" s="30">
        <f>Weekly_Inspections!$AS129</f>
        <v/>
      </c>
      <c r="K129" s="30">
        <f>Weekly_Inspections!$AU129</f>
        <v/>
      </c>
      <c r="L129" s="46">
        <f>Weekly_Inspections!$AV129</f>
        <v/>
      </c>
      <c r="M129" s="30">
        <f>IF($B129="","",IF($N129&lt;&gt;"","Closed",IF(OR($G129&lt;&gt;"",$I129&lt;&gt;"",$J129&lt;&gt;""),"Open","")))</f>
        <v/>
      </c>
      <c r="N129" s="46" t="n"/>
      <c r="O129" s="28">
        <f>IF($B129="","",IF($M129="Closed",IF($N129="","",$N129-$B129),TODAY()-$B129))</f>
        <v/>
      </c>
      <c r="P129" s="28">
        <f>IF(OR($B129="",$L129="",$M129="Closed"),"",IF(TODAY()&gt;$L129,"YES","NO"))</f>
        <v/>
      </c>
      <c r="Q129" s="30">
        <f>Weekly_Inspections!$AW129</f>
        <v/>
      </c>
    </row>
    <row r="130" ht="15" customHeight="1" s="45">
      <c r="A130" s="28">
        <f>IF(Weekly_Inspections!$B130="","",Weekly_Inspections!$A130&amp;"-A1")</f>
        <v/>
      </c>
      <c r="B130" s="46">
        <f>Weekly_Inspections!$B130</f>
        <v/>
      </c>
      <c r="C130" s="30">
        <f>Weekly_Inspections!$E130</f>
        <v/>
      </c>
      <c r="D130" s="30">
        <f>Weekly_Inspections!$F130</f>
        <v/>
      </c>
      <c r="E130" s="28">
        <f>Weekly_Inspections!$H130</f>
        <v/>
      </c>
      <c r="F130" s="30">
        <f>IF(Weekly_Inspections!$AX130&lt;&gt;"",Weekly_Inspections!$AX130,IF(Weekly_Inspections!$AY130&lt;&gt;"",Weekly_Inspections!$AY130,IF(Weekly_Inspections!$AZ130&lt;&gt;"",Weekly_Inspections!$AZ130,IF(Weekly_Inspections!$BA130&lt;&gt;"",Weekly_Inspections!$BA130,IF(Weekly_Inspections!$BB130&lt;&gt;"",Weekly_Inspections!$BB130,Weekly_Inspections!$R130)))))</f>
        <v/>
      </c>
      <c r="G130" s="30">
        <f>IF(OR(Weekly_Inspections!$AQ130&lt;&gt;"",Weekly_Inspections!$AR130&lt;&gt;"",Weekly_Inspections!$AS130&lt;&gt;""),Weekly_Inspections!$AQ130,"")</f>
        <v/>
      </c>
      <c r="H130" s="30">
        <f>Weekly_Inspections!$AP130</f>
        <v/>
      </c>
      <c r="I130" s="30">
        <f>Weekly_Inspections!$AR130</f>
        <v/>
      </c>
      <c r="J130" s="30">
        <f>Weekly_Inspections!$AS130</f>
        <v/>
      </c>
      <c r="K130" s="30">
        <f>Weekly_Inspections!$AU130</f>
        <v/>
      </c>
      <c r="L130" s="46">
        <f>Weekly_Inspections!$AV130</f>
        <v/>
      </c>
      <c r="M130" s="30">
        <f>IF($B130="","",IF($N130&lt;&gt;"","Closed",IF(OR($G130&lt;&gt;"",$I130&lt;&gt;"",$J130&lt;&gt;""),"Open","")))</f>
        <v/>
      </c>
      <c r="N130" s="46" t="n"/>
      <c r="O130" s="28">
        <f>IF($B130="","",IF($M130="Closed",IF($N130="","",$N130-$B130),TODAY()-$B130))</f>
        <v/>
      </c>
      <c r="P130" s="28">
        <f>IF(OR($B130="",$L130="",$M130="Closed"),"",IF(TODAY()&gt;$L130,"YES","NO"))</f>
        <v/>
      </c>
      <c r="Q130" s="30">
        <f>Weekly_Inspections!$AW130</f>
        <v/>
      </c>
    </row>
    <row r="131" ht="15" customHeight="1" s="45">
      <c r="A131" s="28">
        <f>IF(Weekly_Inspections!$B131="","",Weekly_Inspections!$A131&amp;"-A1")</f>
        <v/>
      </c>
      <c r="B131" s="46">
        <f>Weekly_Inspections!$B131</f>
        <v/>
      </c>
      <c r="C131" s="30">
        <f>Weekly_Inspections!$E131</f>
        <v/>
      </c>
      <c r="D131" s="30">
        <f>Weekly_Inspections!$F131</f>
        <v/>
      </c>
      <c r="E131" s="28">
        <f>Weekly_Inspections!$H131</f>
        <v/>
      </c>
      <c r="F131" s="30">
        <f>IF(Weekly_Inspections!$AX131&lt;&gt;"",Weekly_Inspections!$AX131,IF(Weekly_Inspections!$AY131&lt;&gt;"",Weekly_Inspections!$AY131,IF(Weekly_Inspections!$AZ131&lt;&gt;"",Weekly_Inspections!$AZ131,IF(Weekly_Inspections!$BA131&lt;&gt;"",Weekly_Inspections!$BA131,IF(Weekly_Inspections!$BB131&lt;&gt;"",Weekly_Inspections!$BB131,Weekly_Inspections!$R131)))))</f>
        <v/>
      </c>
      <c r="G131" s="30">
        <f>IF(OR(Weekly_Inspections!$AQ131&lt;&gt;"",Weekly_Inspections!$AR131&lt;&gt;"",Weekly_Inspections!$AS131&lt;&gt;""),Weekly_Inspections!$AQ131,"")</f>
        <v/>
      </c>
      <c r="H131" s="30">
        <f>Weekly_Inspections!$AP131</f>
        <v/>
      </c>
      <c r="I131" s="30">
        <f>Weekly_Inspections!$AR131</f>
        <v/>
      </c>
      <c r="J131" s="30">
        <f>Weekly_Inspections!$AS131</f>
        <v/>
      </c>
      <c r="K131" s="30">
        <f>Weekly_Inspections!$AU131</f>
        <v/>
      </c>
      <c r="L131" s="46">
        <f>Weekly_Inspections!$AV131</f>
        <v/>
      </c>
      <c r="M131" s="30">
        <f>IF($B131="","",IF($N131&lt;&gt;"","Closed",IF(OR($G131&lt;&gt;"",$I131&lt;&gt;"",$J131&lt;&gt;""),"Open","")))</f>
        <v/>
      </c>
      <c r="N131" s="46" t="n"/>
      <c r="O131" s="28">
        <f>IF($B131="","",IF($M131="Closed",IF($N131="","",$N131-$B131),TODAY()-$B131))</f>
        <v/>
      </c>
      <c r="P131" s="28">
        <f>IF(OR($B131="",$L131="",$M131="Closed"),"",IF(TODAY()&gt;$L131,"YES","NO"))</f>
        <v/>
      </c>
      <c r="Q131" s="30">
        <f>Weekly_Inspections!$AW131</f>
        <v/>
      </c>
    </row>
    <row r="132" ht="15" customHeight="1" s="45">
      <c r="A132" s="28">
        <f>IF(Weekly_Inspections!$B132="","",Weekly_Inspections!$A132&amp;"-A1")</f>
        <v/>
      </c>
      <c r="B132" s="46">
        <f>Weekly_Inspections!$B132</f>
        <v/>
      </c>
      <c r="C132" s="30">
        <f>Weekly_Inspections!$E132</f>
        <v/>
      </c>
      <c r="D132" s="30">
        <f>Weekly_Inspections!$F132</f>
        <v/>
      </c>
      <c r="E132" s="28">
        <f>Weekly_Inspections!$H132</f>
        <v/>
      </c>
      <c r="F132" s="30">
        <f>IF(Weekly_Inspections!$AX132&lt;&gt;"",Weekly_Inspections!$AX132,IF(Weekly_Inspections!$AY132&lt;&gt;"",Weekly_Inspections!$AY132,IF(Weekly_Inspections!$AZ132&lt;&gt;"",Weekly_Inspections!$AZ132,IF(Weekly_Inspections!$BA132&lt;&gt;"",Weekly_Inspections!$BA132,IF(Weekly_Inspections!$BB132&lt;&gt;"",Weekly_Inspections!$BB132,Weekly_Inspections!$R132)))))</f>
        <v/>
      </c>
      <c r="G132" s="30">
        <f>IF(OR(Weekly_Inspections!$AQ132&lt;&gt;"",Weekly_Inspections!$AR132&lt;&gt;"",Weekly_Inspections!$AS132&lt;&gt;""),Weekly_Inspections!$AQ132,"")</f>
        <v/>
      </c>
      <c r="H132" s="30">
        <f>Weekly_Inspections!$AP132</f>
        <v/>
      </c>
      <c r="I132" s="30">
        <f>Weekly_Inspections!$AR132</f>
        <v/>
      </c>
      <c r="J132" s="30">
        <f>Weekly_Inspections!$AS132</f>
        <v/>
      </c>
      <c r="K132" s="30">
        <f>Weekly_Inspections!$AU132</f>
        <v/>
      </c>
      <c r="L132" s="46">
        <f>Weekly_Inspections!$AV132</f>
        <v/>
      </c>
      <c r="M132" s="30">
        <f>IF($B132="","",IF($N132&lt;&gt;"","Closed",IF(OR($G132&lt;&gt;"",$I132&lt;&gt;"",$J132&lt;&gt;""),"Open","")))</f>
        <v/>
      </c>
      <c r="N132" s="46" t="n"/>
      <c r="O132" s="28">
        <f>IF($B132="","",IF($M132="Closed",IF($N132="","",$N132-$B132),TODAY()-$B132))</f>
        <v/>
      </c>
      <c r="P132" s="28">
        <f>IF(OR($B132="",$L132="",$M132="Closed"),"",IF(TODAY()&gt;$L132,"YES","NO"))</f>
        <v/>
      </c>
      <c r="Q132" s="30">
        <f>Weekly_Inspections!$AW132</f>
        <v/>
      </c>
    </row>
    <row r="133" ht="15" customHeight="1" s="45">
      <c r="A133" s="28">
        <f>IF(Weekly_Inspections!$B133="","",Weekly_Inspections!$A133&amp;"-A1")</f>
        <v/>
      </c>
      <c r="B133" s="46">
        <f>Weekly_Inspections!$B133</f>
        <v/>
      </c>
      <c r="C133" s="30">
        <f>Weekly_Inspections!$E133</f>
        <v/>
      </c>
      <c r="D133" s="30">
        <f>Weekly_Inspections!$F133</f>
        <v/>
      </c>
      <c r="E133" s="28">
        <f>Weekly_Inspections!$H133</f>
        <v/>
      </c>
      <c r="F133" s="30">
        <f>IF(Weekly_Inspections!$AX133&lt;&gt;"",Weekly_Inspections!$AX133,IF(Weekly_Inspections!$AY133&lt;&gt;"",Weekly_Inspections!$AY133,IF(Weekly_Inspections!$AZ133&lt;&gt;"",Weekly_Inspections!$AZ133,IF(Weekly_Inspections!$BA133&lt;&gt;"",Weekly_Inspections!$BA133,IF(Weekly_Inspections!$BB133&lt;&gt;"",Weekly_Inspections!$BB133,Weekly_Inspections!$R133)))))</f>
        <v/>
      </c>
      <c r="G133" s="30">
        <f>IF(OR(Weekly_Inspections!$AQ133&lt;&gt;"",Weekly_Inspections!$AR133&lt;&gt;"",Weekly_Inspections!$AS133&lt;&gt;""),Weekly_Inspections!$AQ133,"")</f>
        <v/>
      </c>
      <c r="H133" s="30">
        <f>Weekly_Inspections!$AP133</f>
        <v/>
      </c>
      <c r="I133" s="30">
        <f>Weekly_Inspections!$AR133</f>
        <v/>
      </c>
      <c r="J133" s="30">
        <f>Weekly_Inspections!$AS133</f>
        <v/>
      </c>
      <c r="K133" s="30">
        <f>Weekly_Inspections!$AU133</f>
        <v/>
      </c>
      <c r="L133" s="46">
        <f>Weekly_Inspections!$AV133</f>
        <v/>
      </c>
      <c r="M133" s="30">
        <f>IF($B133="","",IF($N133&lt;&gt;"","Closed",IF(OR($G133&lt;&gt;"",$I133&lt;&gt;"",$J133&lt;&gt;""),"Open","")))</f>
        <v/>
      </c>
      <c r="N133" s="46" t="n"/>
      <c r="O133" s="28">
        <f>IF($B133="","",IF($M133="Closed",IF($N133="","",$N133-$B133),TODAY()-$B133))</f>
        <v/>
      </c>
      <c r="P133" s="28">
        <f>IF(OR($B133="",$L133="",$M133="Closed"),"",IF(TODAY()&gt;$L133,"YES","NO"))</f>
        <v/>
      </c>
      <c r="Q133" s="30">
        <f>Weekly_Inspections!$AW133</f>
        <v/>
      </c>
    </row>
    <row r="134" ht="15" customHeight="1" s="45">
      <c r="A134" s="28">
        <f>IF(Weekly_Inspections!$B134="","",Weekly_Inspections!$A134&amp;"-A1")</f>
        <v/>
      </c>
      <c r="B134" s="46">
        <f>Weekly_Inspections!$B134</f>
        <v/>
      </c>
      <c r="C134" s="30">
        <f>Weekly_Inspections!$E134</f>
        <v/>
      </c>
      <c r="D134" s="30">
        <f>Weekly_Inspections!$F134</f>
        <v/>
      </c>
      <c r="E134" s="28">
        <f>Weekly_Inspections!$H134</f>
        <v/>
      </c>
      <c r="F134" s="30">
        <f>IF(Weekly_Inspections!$AX134&lt;&gt;"",Weekly_Inspections!$AX134,IF(Weekly_Inspections!$AY134&lt;&gt;"",Weekly_Inspections!$AY134,IF(Weekly_Inspections!$AZ134&lt;&gt;"",Weekly_Inspections!$AZ134,IF(Weekly_Inspections!$BA134&lt;&gt;"",Weekly_Inspections!$BA134,IF(Weekly_Inspections!$BB134&lt;&gt;"",Weekly_Inspections!$BB134,Weekly_Inspections!$R134)))))</f>
        <v/>
      </c>
      <c r="G134" s="30">
        <f>IF(OR(Weekly_Inspections!$AQ134&lt;&gt;"",Weekly_Inspections!$AR134&lt;&gt;"",Weekly_Inspections!$AS134&lt;&gt;""),Weekly_Inspections!$AQ134,"")</f>
        <v/>
      </c>
      <c r="H134" s="30">
        <f>Weekly_Inspections!$AP134</f>
        <v/>
      </c>
      <c r="I134" s="30">
        <f>Weekly_Inspections!$AR134</f>
        <v/>
      </c>
      <c r="J134" s="30">
        <f>Weekly_Inspections!$AS134</f>
        <v/>
      </c>
      <c r="K134" s="30">
        <f>Weekly_Inspections!$AU134</f>
        <v/>
      </c>
      <c r="L134" s="46">
        <f>Weekly_Inspections!$AV134</f>
        <v/>
      </c>
      <c r="M134" s="30">
        <f>IF($B134="","",IF($N134&lt;&gt;"","Closed",IF(OR($G134&lt;&gt;"",$I134&lt;&gt;"",$J134&lt;&gt;""),"Open","")))</f>
        <v/>
      </c>
      <c r="N134" s="46" t="n"/>
      <c r="O134" s="28">
        <f>IF($B134="","",IF($M134="Closed",IF($N134="","",$N134-$B134),TODAY()-$B134))</f>
        <v/>
      </c>
      <c r="P134" s="28">
        <f>IF(OR($B134="",$L134="",$M134="Closed"),"",IF(TODAY()&gt;$L134,"YES","NO"))</f>
        <v/>
      </c>
      <c r="Q134" s="30">
        <f>Weekly_Inspections!$AW134</f>
        <v/>
      </c>
    </row>
    <row r="135" ht="15" customHeight="1" s="45">
      <c r="A135" s="28">
        <f>IF(Weekly_Inspections!$B135="","",Weekly_Inspections!$A135&amp;"-A1")</f>
        <v/>
      </c>
      <c r="B135" s="46">
        <f>Weekly_Inspections!$B135</f>
        <v/>
      </c>
      <c r="C135" s="30">
        <f>Weekly_Inspections!$E135</f>
        <v/>
      </c>
      <c r="D135" s="30">
        <f>Weekly_Inspections!$F135</f>
        <v/>
      </c>
      <c r="E135" s="28">
        <f>Weekly_Inspections!$H135</f>
        <v/>
      </c>
      <c r="F135" s="30">
        <f>IF(Weekly_Inspections!$AX135&lt;&gt;"",Weekly_Inspections!$AX135,IF(Weekly_Inspections!$AY135&lt;&gt;"",Weekly_Inspections!$AY135,IF(Weekly_Inspections!$AZ135&lt;&gt;"",Weekly_Inspections!$AZ135,IF(Weekly_Inspections!$BA135&lt;&gt;"",Weekly_Inspections!$BA135,IF(Weekly_Inspections!$BB135&lt;&gt;"",Weekly_Inspections!$BB135,Weekly_Inspections!$R135)))))</f>
        <v/>
      </c>
      <c r="G135" s="30">
        <f>IF(OR(Weekly_Inspections!$AQ135&lt;&gt;"",Weekly_Inspections!$AR135&lt;&gt;"",Weekly_Inspections!$AS135&lt;&gt;""),Weekly_Inspections!$AQ135,"")</f>
        <v/>
      </c>
      <c r="H135" s="30">
        <f>Weekly_Inspections!$AP135</f>
        <v/>
      </c>
      <c r="I135" s="30">
        <f>Weekly_Inspections!$AR135</f>
        <v/>
      </c>
      <c r="J135" s="30">
        <f>Weekly_Inspections!$AS135</f>
        <v/>
      </c>
      <c r="K135" s="30">
        <f>Weekly_Inspections!$AU135</f>
        <v/>
      </c>
      <c r="L135" s="46">
        <f>Weekly_Inspections!$AV135</f>
        <v/>
      </c>
      <c r="M135" s="30">
        <f>IF($B135="","",IF($N135&lt;&gt;"","Closed",IF(OR($G135&lt;&gt;"",$I135&lt;&gt;"",$J135&lt;&gt;""),"Open","")))</f>
        <v/>
      </c>
      <c r="N135" s="46" t="n"/>
      <c r="O135" s="28">
        <f>IF($B135="","",IF($M135="Closed",IF($N135="","",$N135-$B135),TODAY()-$B135))</f>
        <v/>
      </c>
      <c r="P135" s="28">
        <f>IF(OR($B135="",$L135="",$M135="Closed"),"",IF(TODAY()&gt;$L135,"YES","NO"))</f>
        <v/>
      </c>
      <c r="Q135" s="30">
        <f>Weekly_Inspections!$AW135</f>
        <v/>
      </c>
    </row>
    <row r="136" ht="15" customHeight="1" s="45">
      <c r="A136" s="28">
        <f>IF(Weekly_Inspections!$B136="","",Weekly_Inspections!$A136&amp;"-A1")</f>
        <v/>
      </c>
      <c r="B136" s="46">
        <f>Weekly_Inspections!$B136</f>
        <v/>
      </c>
      <c r="C136" s="30">
        <f>Weekly_Inspections!$E136</f>
        <v/>
      </c>
      <c r="D136" s="30">
        <f>Weekly_Inspections!$F136</f>
        <v/>
      </c>
      <c r="E136" s="28">
        <f>Weekly_Inspections!$H136</f>
        <v/>
      </c>
      <c r="F136" s="30">
        <f>IF(Weekly_Inspections!$AX136&lt;&gt;"",Weekly_Inspections!$AX136,IF(Weekly_Inspections!$AY136&lt;&gt;"",Weekly_Inspections!$AY136,IF(Weekly_Inspections!$AZ136&lt;&gt;"",Weekly_Inspections!$AZ136,IF(Weekly_Inspections!$BA136&lt;&gt;"",Weekly_Inspections!$BA136,IF(Weekly_Inspections!$BB136&lt;&gt;"",Weekly_Inspections!$BB136,Weekly_Inspections!$R136)))))</f>
        <v/>
      </c>
      <c r="G136" s="30">
        <f>IF(OR(Weekly_Inspections!$AQ136&lt;&gt;"",Weekly_Inspections!$AR136&lt;&gt;"",Weekly_Inspections!$AS136&lt;&gt;""),Weekly_Inspections!$AQ136,"")</f>
        <v/>
      </c>
      <c r="H136" s="30">
        <f>Weekly_Inspections!$AP136</f>
        <v/>
      </c>
      <c r="I136" s="30">
        <f>Weekly_Inspections!$AR136</f>
        <v/>
      </c>
      <c r="J136" s="30">
        <f>Weekly_Inspections!$AS136</f>
        <v/>
      </c>
      <c r="K136" s="30">
        <f>Weekly_Inspections!$AU136</f>
        <v/>
      </c>
      <c r="L136" s="46">
        <f>Weekly_Inspections!$AV136</f>
        <v/>
      </c>
      <c r="M136" s="30">
        <f>IF($B136="","",IF($N136&lt;&gt;"","Closed",IF(OR($G136&lt;&gt;"",$I136&lt;&gt;"",$J136&lt;&gt;""),"Open","")))</f>
        <v/>
      </c>
      <c r="N136" s="46" t="n"/>
      <c r="O136" s="28">
        <f>IF($B136="","",IF($M136="Closed",IF($N136="","",$N136-$B136),TODAY()-$B136))</f>
        <v/>
      </c>
      <c r="P136" s="28">
        <f>IF(OR($B136="",$L136="",$M136="Closed"),"",IF(TODAY()&gt;$L136,"YES","NO"))</f>
        <v/>
      </c>
      <c r="Q136" s="30">
        <f>Weekly_Inspections!$AW136</f>
        <v/>
      </c>
    </row>
    <row r="137" ht="15" customHeight="1" s="45">
      <c r="A137" s="28">
        <f>IF(Weekly_Inspections!$B137="","",Weekly_Inspections!$A137&amp;"-A1")</f>
        <v/>
      </c>
      <c r="B137" s="46">
        <f>Weekly_Inspections!$B137</f>
        <v/>
      </c>
      <c r="C137" s="30">
        <f>Weekly_Inspections!$E137</f>
        <v/>
      </c>
      <c r="D137" s="30">
        <f>Weekly_Inspections!$F137</f>
        <v/>
      </c>
      <c r="E137" s="28">
        <f>Weekly_Inspections!$H137</f>
        <v/>
      </c>
      <c r="F137" s="30">
        <f>IF(Weekly_Inspections!$AX137&lt;&gt;"",Weekly_Inspections!$AX137,IF(Weekly_Inspections!$AY137&lt;&gt;"",Weekly_Inspections!$AY137,IF(Weekly_Inspections!$AZ137&lt;&gt;"",Weekly_Inspections!$AZ137,IF(Weekly_Inspections!$BA137&lt;&gt;"",Weekly_Inspections!$BA137,IF(Weekly_Inspections!$BB137&lt;&gt;"",Weekly_Inspections!$BB137,Weekly_Inspections!$R137)))))</f>
        <v/>
      </c>
      <c r="G137" s="30">
        <f>IF(OR(Weekly_Inspections!$AQ137&lt;&gt;"",Weekly_Inspections!$AR137&lt;&gt;"",Weekly_Inspections!$AS137&lt;&gt;""),Weekly_Inspections!$AQ137,"")</f>
        <v/>
      </c>
      <c r="H137" s="30">
        <f>Weekly_Inspections!$AP137</f>
        <v/>
      </c>
      <c r="I137" s="30">
        <f>Weekly_Inspections!$AR137</f>
        <v/>
      </c>
      <c r="J137" s="30">
        <f>Weekly_Inspections!$AS137</f>
        <v/>
      </c>
      <c r="K137" s="30">
        <f>Weekly_Inspections!$AU137</f>
        <v/>
      </c>
      <c r="L137" s="46">
        <f>Weekly_Inspections!$AV137</f>
        <v/>
      </c>
      <c r="M137" s="30">
        <f>IF($B137="","",IF($N137&lt;&gt;"","Closed",IF(OR($G137&lt;&gt;"",$I137&lt;&gt;"",$J137&lt;&gt;""),"Open","")))</f>
        <v/>
      </c>
      <c r="N137" s="46" t="n"/>
      <c r="O137" s="28">
        <f>IF($B137="","",IF($M137="Closed",IF($N137="","",$N137-$B137),TODAY()-$B137))</f>
        <v/>
      </c>
      <c r="P137" s="28">
        <f>IF(OR($B137="",$L137="",$M137="Closed"),"",IF(TODAY()&gt;$L137,"YES","NO"))</f>
        <v/>
      </c>
      <c r="Q137" s="30">
        <f>Weekly_Inspections!$AW137</f>
        <v/>
      </c>
    </row>
    <row r="138" ht="15" customHeight="1" s="45">
      <c r="A138" s="28">
        <f>IF(Weekly_Inspections!$B138="","",Weekly_Inspections!$A138&amp;"-A1")</f>
        <v/>
      </c>
      <c r="B138" s="46">
        <f>Weekly_Inspections!$B138</f>
        <v/>
      </c>
      <c r="C138" s="30">
        <f>Weekly_Inspections!$E138</f>
        <v/>
      </c>
      <c r="D138" s="30">
        <f>Weekly_Inspections!$F138</f>
        <v/>
      </c>
      <c r="E138" s="28">
        <f>Weekly_Inspections!$H138</f>
        <v/>
      </c>
      <c r="F138" s="30">
        <f>IF(Weekly_Inspections!$AX138&lt;&gt;"",Weekly_Inspections!$AX138,IF(Weekly_Inspections!$AY138&lt;&gt;"",Weekly_Inspections!$AY138,IF(Weekly_Inspections!$AZ138&lt;&gt;"",Weekly_Inspections!$AZ138,IF(Weekly_Inspections!$BA138&lt;&gt;"",Weekly_Inspections!$BA138,IF(Weekly_Inspections!$BB138&lt;&gt;"",Weekly_Inspections!$BB138,Weekly_Inspections!$R138)))))</f>
        <v/>
      </c>
      <c r="G138" s="30">
        <f>IF(OR(Weekly_Inspections!$AQ138&lt;&gt;"",Weekly_Inspections!$AR138&lt;&gt;"",Weekly_Inspections!$AS138&lt;&gt;""),Weekly_Inspections!$AQ138,"")</f>
        <v/>
      </c>
      <c r="H138" s="30">
        <f>Weekly_Inspections!$AP138</f>
        <v/>
      </c>
      <c r="I138" s="30">
        <f>Weekly_Inspections!$AR138</f>
        <v/>
      </c>
      <c r="J138" s="30">
        <f>Weekly_Inspections!$AS138</f>
        <v/>
      </c>
      <c r="K138" s="30">
        <f>Weekly_Inspections!$AU138</f>
        <v/>
      </c>
      <c r="L138" s="46">
        <f>Weekly_Inspections!$AV138</f>
        <v/>
      </c>
      <c r="M138" s="30">
        <f>IF($B138="","",IF($N138&lt;&gt;"","Closed",IF(OR($G138&lt;&gt;"",$I138&lt;&gt;"",$J138&lt;&gt;""),"Open","")))</f>
        <v/>
      </c>
      <c r="N138" s="46" t="n"/>
      <c r="O138" s="28">
        <f>IF($B138="","",IF($M138="Closed",IF($N138="","",$N138-$B138),TODAY()-$B138))</f>
        <v/>
      </c>
      <c r="P138" s="28">
        <f>IF(OR($B138="",$L138="",$M138="Closed"),"",IF(TODAY()&gt;$L138,"YES","NO"))</f>
        <v/>
      </c>
      <c r="Q138" s="30">
        <f>Weekly_Inspections!$AW138</f>
        <v/>
      </c>
    </row>
    <row r="139" ht="15" customHeight="1" s="45">
      <c r="A139" s="28">
        <f>IF(Weekly_Inspections!$B139="","",Weekly_Inspections!$A139&amp;"-A1")</f>
        <v/>
      </c>
      <c r="B139" s="46">
        <f>Weekly_Inspections!$B139</f>
        <v/>
      </c>
      <c r="C139" s="30">
        <f>Weekly_Inspections!$E139</f>
        <v/>
      </c>
      <c r="D139" s="30">
        <f>Weekly_Inspections!$F139</f>
        <v/>
      </c>
      <c r="E139" s="28">
        <f>Weekly_Inspections!$H139</f>
        <v/>
      </c>
      <c r="F139" s="30">
        <f>IF(Weekly_Inspections!$AX139&lt;&gt;"",Weekly_Inspections!$AX139,IF(Weekly_Inspections!$AY139&lt;&gt;"",Weekly_Inspections!$AY139,IF(Weekly_Inspections!$AZ139&lt;&gt;"",Weekly_Inspections!$AZ139,IF(Weekly_Inspections!$BA139&lt;&gt;"",Weekly_Inspections!$BA139,IF(Weekly_Inspections!$BB139&lt;&gt;"",Weekly_Inspections!$BB139,Weekly_Inspections!$R139)))))</f>
        <v/>
      </c>
      <c r="G139" s="30">
        <f>IF(OR(Weekly_Inspections!$AQ139&lt;&gt;"",Weekly_Inspections!$AR139&lt;&gt;"",Weekly_Inspections!$AS139&lt;&gt;""),Weekly_Inspections!$AQ139,"")</f>
        <v/>
      </c>
      <c r="H139" s="30">
        <f>Weekly_Inspections!$AP139</f>
        <v/>
      </c>
      <c r="I139" s="30">
        <f>Weekly_Inspections!$AR139</f>
        <v/>
      </c>
      <c r="J139" s="30">
        <f>Weekly_Inspections!$AS139</f>
        <v/>
      </c>
      <c r="K139" s="30">
        <f>Weekly_Inspections!$AU139</f>
        <v/>
      </c>
      <c r="L139" s="46">
        <f>Weekly_Inspections!$AV139</f>
        <v/>
      </c>
      <c r="M139" s="30">
        <f>IF($B139="","",IF($N139&lt;&gt;"","Closed",IF(OR($G139&lt;&gt;"",$I139&lt;&gt;"",$J139&lt;&gt;""),"Open","")))</f>
        <v/>
      </c>
      <c r="N139" s="46" t="n"/>
      <c r="O139" s="28">
        <f>IF($B139="","",IF($M139="Closed",IF($N139="","",$N139-$B139),TODAY()-$B139))</f>
        <v/>
      </c>
      <c r="P139" s="28">
        <f>IF(OR($B139="",$L139="",$M139="Closed"),"",IF(TODAY()&gt;$L139,"YES","NO"))</f>
        <v/>
      </c>
      <c r="Q139" s="30">
        <f>Weekly_Inspections!$AW139</f>
        <v/>
      </c>
    </row>
    <row r="140" ht="15" customHeight="1" s="45">
      <c r="A140" s="28">
        <f>IF(Weekly_Inspections!$B140="","",Weekly_Inspections!$A140&amp;"-A1")</f>
        <v/>
      </c>
      <c r="B140" s="46">
        <f>Weekly_Inspections!$B140</f>
        <v/>
      </c>
      <c r="C140" s="30">
        <f>Weekly_Inspections!$E140</f>
        <v/>
      </c>
      <c r="D140" s="30">
        <f>Weekly_Inspections!$F140</f>
        <v/>
      </c>
      <c r="E140" s="28">
        <f>Weekly_Inspections!$H140</f>
        <v/>
      </c>
      <c r="F140" s="30">
        <f>IF(Weekly_Inspections!$AX140&lt;&gt;"",Weekly_Inspections!$AX140,IF(Weekly_Inspections!$AY140&lt;&gt;"",Weekly_Inspections!$AY140,IF(Weekly_Inspections!$AZ140&lt;&gt;"",Weekly_Inspections!$AZ140,IF(Weekly_Inspections!$BA140&lt;&gt;"",Weekly_Inspections!$BA140,IF(Weekly_Inspections!$BB140&lt;&gt;"",Weekly_Inspections!$BB140,Weekly_Inspections!$R140)))))</f>
        <v/>
      </c>
      <c r="G140" s="30">
        <f>IF(OR(Weekly_Inspections!$AQ140&lt;&gt;"",Weekly_Inspections!$AR140&lt;&gt;"",Weekly_Inspections!$AS140&lt;&gt;""),Weekly_Inspections!$AQ140,"")</f>
        <v/>
      </c>
      <c r="H140" s="30">
        <f>Weekly_Inspections!$AP140</f>
        <v/>
      </c>
      <c r="I140" s="30">
        <f>Weekly_Inspections!$AR140</f>
        <v/>
      </c>
      <c r="J140" s="30">
        <f>Weekly_Inspections!$AS140</f>
        <v/>
      </c>
      <c r="K140" s="30">
        <f>Weekly_Inspections!$AU140</f>
        <v/>
      </c>
      <c r="L140" s="46">
        <f>Weekly_Inspections!$AV140</f>
        <v/>
      </c>
      <c r="M140" s="30">
        <f>IF($B140="","",IF($N140&lt;&gt;"","Closed",IF(OR($G140&lt;&gt;"",$I140&lt;&gt;"",$J140&lt;&gt;""),"Open","")))</f>
        <v/>
      </c>
      <c r="N140" s="46" t="n"/>
      <c r="O140" s="28">
        <f>IF($B140="","",IF($M140="Closed",IF($N140="","",$N140-$B140),TODAY()-$B140))</f>
        <v/>
      </c>
      <c r="P140" s="28">
        <f>IF(OR($B140="",$L140="",$M140="Closed"),"",IF(TODAY()&gt;$L140,"YES","NO"))</f>
        <v/>
      </c>
      <c r="Q140" s="30">
        <f>Weekly_Inspections!$AW140</f>
        <v/>
      </c>
    </row>
    <row r="141" ht="15" customHeight="1" s="45">
      <c r="A141" s="28">
        <f>IF(Weekly_Inspections!$B141="","",Weekly_Inspections!$A141&amp;"-A1")</f>
        <v/>
      </c>
      <c r="B141" s="46">
        <f>Weekly_Inspections!$B141</f>
        <v/>
      </c>
      <c r="C141" s="30">
        <f>Weekly_Inspections!$E141</f>
        <v/>
      </c>
      <c r="D141" s="30">
        <f>Weekly_Inspections!$F141</f>
        <v/>
      </c>
      <c r="E141" s="28">
        <f>Weekly_Inspections!$H141</f>
        <v/>
      </c>
      <c r="F141" s="30">
        <f>IF(Weekly_Inspections!$AX141&lt;&gt;"",Weekly_Inspections!$AX141,IF(Weekly_Inspections!$AY141&lt;&gt;"",Weekly_Inspections!$AY141,IF(Weekly_Inspections!$AZ141&lt;&gt;"",Weekly_Inspections!$AZ141,IF(Weekly_Inspections!$BA141&lt;&gt;"",Weekly_Inspections!$BA141,IF(Weekly_Inspections!$BB141&lt;&gt;"",Weekly_Inspections!$BB141,Weekly_Inspections!$R141)))))</f>
        <v/>
      </c>
      <c r="G141" s="30">
        <f>IF(OR(Weekly_Inspections!$AQ141&lt;&gt;"",Weekly_Inspections!$AR141&lt;&gt;"",Weekly_Inspections!$AS141&lt;&gt;""),Weekly_Inspections!$AQ141,"")</f>
        <v/>
      </c>
      <c r="H141" s="30">
        <f>Weekly_Inspections!$AP141</f>
        <v/>
      </c>
      <c r="I141" s="30">
        <f>Weekly_Inspections!$AR141</f>
        <v/>
      </c>
      <c r="J141" s="30">
        <f>Weekly_Inspections!$AS141</f>
        <v/>
      </c>
      <c r="K141" s="30">
        <f>Weekly_Inspections!$AU141</f>
        <v/>
      </c>
      <c r="L141" s="46">
        <f>Weekly_Inspections!$AV141</f>
        <v/>
      </c>
      <c r="M141" s="30">
        <f>IF($B141="","",IF($N141&lt;&gt;"","Closed",IF(OR($G141&lt;&gt;"",$I141&lt;&gt;"",$J141&lt;&gt;""),"Open","")))</f>
        <v/>
      </c>
      <c r="N141" s="46" t="n"/>
      <c r="O141" s="28">
        <f>IF($B141="","",IF($M141="Closed",IF($N141="","",$N141-$B141),TODAY()-$B141))</f>
        <v/>
      </c>
      <c r="P141" s="28">
        <f>IF(OR($B141="",$L141="",$M141="Closed"),"",IF(TODAY()&gt;$L141,"YES","NO"))</f>
        <v/>
      </c>
      <c r="Q141" s="30">
        <f>Weekly_Inspections!$AW141</f>
        <v/>
      </c>
    </row>
    <row r="142" ht="15" customHeight="1" s="45">
      <c r="A142" s="28">
        <f>IF(Weekly_Inspections!$B142="","",Weekly_Inspections!$A142&amp;"-A1")</f>
        <v/>
      </c>
      <c r="B142" s="46">
        <f>Weekly_Inspections!$B142</f>
        <v/>
      </c>
      <c r="C142" s="30">
        <f>Weekly_Inspections!$E142</f>
        <v/>
      </c>
      <c r="D142" s="30">
        <f>Weekly_Inspections!$F142</f>
        <v/>
      </c>
      <c r="E142" s="28">
        <f>Weekly_Inspections!$H142</f>
        <v/>
      </c>
      <c r="F142" s="30">
        <f>IF(Weekly_Inspections!$AX142&lt;&gt;"",Weekly_Inspections!$AX142,IF(Weekly_Inspections!$AY142&lt;&gt;"",Weekly_Inspections!$AY142,IF(Weekly_Inspections!$AZ142&lt;&gt;"",Weekly_Inspections!$AZ142,IF(Weekly_Inspections!$BA142&lt;&gt;"",Weekly_Inspections!$BA142,IF(Weekly_Inspections!$BB142&lt;&gt;"",Weekly_Inspections!$BB142,Weekly_Inspections!$R142)))))</f>
        <v/>
      </c>
      <c r="G142" s="30">
        <f>IF(OR(Weekly_Inspections!$AQ142&lt;&gt;"",Weekly_Inspections!$AR142&lt;&gt;"",Weekly_Inspections!$AS142&lt;&gt;""),Weekly_Inspections!$AQ142,"")</f>
        <v/>
      </c>
      <c r="H142" s="30">
        <f>Weekly_Inspections!$AP142</f>
        <v/>
      </c>
      <c r="I142" s="30">
        <f>Weekly_Inspections!$AR142</f>
        <v/>
      </c>
      <c r="J142" s="30">
        <f>Weekly_Inspections!$AS142</f>
        <v/>
      </c>
      <c r="K142" s="30">
        <f>Weekly_Inspections!$AU142</f>
        <v/>
      </c>
      <c r="L142" s="46">
        <f>Weekly_Inspections!$AV142</f>
        <v/>
      </c>
      <c r="M142" s="30">
        <f>IF($B142="","",IF($N142&lt;&gt;"","Closed",IF(OR($G142&lt;&gt;"",$I142&lt;&gt;"",$J142&lt;&gt;""),"Open","")))</f>
        <v/>
      </c>
      <c r="N142" s="46" t="n"/>
      <c r="O142" s="28">
        <f>IF($B142="","",IF($M142="Closed",IF($N142="","",$N142-$B142),TODAY()-$B142))</f>
        <v/>
      </c>
      <c r="P142" s="28">
        <f>IF(OR($B142="",$L142="",$M142="Closed"),"",IF(TODAY()&gt;$L142,"YES","NO"))</f>
        <v/>
      </c>
      <c r="Q142" s="30">
        <f>Weekly_Inspections!$AW142</f>
        <v/>
      </c>
    </row>
    <row r="143" ht="15" customHeight="1" s="45">
      <c r="A143" s="28">
        <f>IF(Weekly_Inspections!$B143="","",Weekly_Inspections!$A143&amp;"-A1")</f>
        <v/>
      </c>
      <c r="B143" s="46">
        <f>Weekly_Inspections!$B143</f>
        <v/>
      </c>
      <c r="C143" s="30">
        <f>Weekly_Inspections!$E143</f>
        <v/>
      </c>
      <c r="D143" s="30">
        <f>Weekly_Inspections!$F143</f>
        <v/>
      </c>
      <c r="E143" s="28">
        <f>Weekly_Inspections!$H143</f>
        <v/>
      </c>
      <c r="F143" s="30">
        <f>IF(Weekly_Inspections!$AX143&lt;&gt;"",Weekly_Inspections!$AX143,IF(Weekly_Inspections!$AY143&lt;&gt;"",Weekly_Inspections!$AY143,IF(Weekly_Inspections!$AZ143&lt;&gt;"",Weekly_Inspections!$AZ143,IF(Weekly_Inspections!$BA143&lt;&gt;"",Weekly_Inspections!$BA143,IF(Weekly_Inspections!$BB143&lt;&gt;"",Weekly_Inspections!$BB143,Weekly_Inspections!$R143)))))</f>
        <v/>
      </c>
      <c r="G143" s="30">
        <f>IF(OR(Weekly_Inspections!$AQ143&lt;&gt;"",Weekly_Inspections!$AR143&lt;&gt;"",Weekly_Inspections!$AS143&lt;&gt;""),Weekly_Inspections!$AQ143,"")</f>
        <v/>
      </c>
      <c r="H143" s="30">
        <f>Weekly_Inspections!$AP143</f>
        <v/>
      </c>
      <c r="I143" s="30">
        <f>Weekly_Inspections!$AR143</f>
        <v/>
      </c>
      <c r="J143" s="30">
        <f>Weekly_Inspections!$AS143</f>
        <v/>
      </c>
      <c r="K143" s="30">
        <f>Weekly_Inspections!$AU143</f>
        <v/>
      </c>
      <c r="L143" s="46">
        <f>Weekly_Inspections!$AV143</f>
        <v/>
      </c>
      <c r="M143" s="30">
        <f>IF($B143="","",IF($N143&lt;&gt;"","Closed",IF(OR($G143&lt;&gt;"",$I143&lt;&gt;"",$J143&lt;&gt;""),"Open","")))</f>
        <v/>
      </c>
      <c r="N143" s="46" t="n"/>
      <c r="O143" s="28">
        <f>IF($B143="","",IF($M143="Closed",IF($N143="","",$N143-$B143),TODAY()-$B143))</f>
        <v/>
      </c>
      <c r="P143" s="28">
        <f>IF(OR($B143="",$L143="",$M143="Closed"),"",IF(TODAY()&gt;$L143,"YES","NO"))</f>
        <v/>
      </c>
      <c r="Q143" s="30">
        <f>Weekly_Inspections!$AW143</f>
        <v/>
      </c>
    </row>
    <row r="144" ht="15" customHeight="1" s="45">
      <c r="A144" s="28">
        <f>IF(Weekly_Inspections!$B144="","",Weekly_Inspections!$A144&amp;"-A1")</f>
        <v/>
      </c>
      <c r="B144" s="46">
        <f>Weekly_Inspections!$B144</f>
        <v/>
      </c>
      <c r="C144" s="30">
        <f>Weekly_Inspections!$E144</f>
        <v/>
      </c>
      <c r="D144" s="30">
        <f>Weekly_Inspections!$F144</f>
        <v/>
      </c>
      <c r="E144" s="28">
        <f>Weekly_Inspections!$H144</f>
        <v/>
      </c>
      <c r="F144" s="30">
        <f>IF(Weekly_Inspections!$AX144&lt;&gt;"",Weekly_Inspections!$AX144,IF(Weekly_Inspections!$AY144&lt;&gt;"",Weekly_Inspections!$AY144,IF(Weekly_Inspections!$AZ144&lt;&gt;"",Weekly_Inspections!$AZ144,IF(Weekly_Inspections!$BA144&lt;&gt;"",Weekly_Inspections!$BA144,IF(Weekly_Inspections!$BB144&lt;&gt;"",Weekly_Inspections!$BB144,Weekly_Inspections!$R144)))))</f>
        <v/>
      </c>
      <c r="G144" s="30">
        <f>IF(OR(Weekly_Inspections!$AQ144&lt;&gt;"",Weekly_Inspections!$AR144&lt;&gt;"",Weekly_Inspections!$AS144&lt;&gt;""),Weekly_Inspections!$AQ144,"")</f>
        <v/>
      </c>
      <c r="H144" s="30">
        <f>Weekly_Inspections!$AP144</f>
        <v/>
      </c>
      <c r="I144" s="30">
        <f>Weekly_Inspections!$AR144</f>
        <v/>
      </c>
      <c r="J144" s="30">
        <f>Weekly_Inspections!$AS144</f>
        <v/>
      </c>
      <c r="K144" s="30">
        <f>Weekly_Inspections!$AU144</f>
        <v/>
      </c>
      <c r="L144" s="46">
        <f>Weekly_Inspections!$AV144</f>
        <v/>
      </c>
      <c r="M144" s="30">
        <f>IF($B144="","",IF($N144&lt;&gt;"","Closed",IF(OR($G144&lt;&gt;"",$I144&lt;&gt;"",$J144&lt;&gt;""),"Open","")))</f>
        <v/>
      </c>
      <c r="N144" s="46" t="n"/>
      <c r="O144" s="28">
        <f>IF($B144="","",IF($M144="Closed",IF($N144="","",$N144-$B144),TODAY()-$B144))</f>
        <v/>
      </c>
      <c r="P144" s="28">
        <f>IF(OR($B144="",$L144="",$M144="Closed"),"",IF(TODAY()&gt;$L144,"YES","NO"))</f>
        <v/>
      </c>
      <c r="Q144" s="30">
        <f>Weekly_Inspections!$AW144</f>
        <v/>
      </c>
    </row>
    <row r="145" ht="15" customHeight="1" s="45">
      <c r="A145" s="28">
        <f>IF(Weekly_Inspections!$B145="","",Weekly_Inspections!$A145&amp;"-A1")</f>
        <v/>
      </c>
      <c r="B145" s="46">
        <f>Weekly_Inspections!$B145</f>
        <v/>
      </c>
      <c r="C145" s="30">
        <f>Weekly_Inspections!$E145</f>
        <v/>
      </c>
      <c r="D145" s="30">
        <f>Weekly_Inspections!$F145</f>
        <v/>
      </c>
      <c r="E145" s="28">
        <f>Weekly_Inspections!$H145</f>
        <v/>
      </c>
      <c r="F145" s="30">
        <f>IF(Weekly_Inspections!$AX145&lt;&gt;"",Weekly_Inspections!$AX145,IF(Weekly_Inspections!$AY145&lt;&gt;"",Weekly_Inspections!$AY145,IF(Weekly_Inspections!$AZ145&lt;&gt;"",Weekly_Inspections!$AZ145,IF(Weekly_Inspections!$BA145&lt;&gt;"",Weekly_Inspections!$BA145,IF(Weekly_Inspections!$BB145&lt;&gt;"",Weekly_Inspections!$BB145,Weekly_Inspections!$R145)))))</f>
        <v/>
      </c>
      <c r="G145" s="30">
        <f>IF(OR(Weekly_Inspections!$AQ145&lt;&gt;"",Weekly_Inspections!$AR145&lt;&gt;"",Weekly_Inspections!$AS145&lt;&gt;""),Weekly_Inspections!$AQ145,"")</f>
        <v/>
      </c>
      <c r="H145" s="30">
        <f>Weekly_Inspections!$AP145</f>
        <v/>
      </c>
      <c r="I145" s="30">
        <f>Weekly_Inspections!$AR145</f>
        <v/>
      </c>
      <c r="J145" s="30">
        <f>Weekly_Inspections!$AS145</f>
        <v/>
      </c>
      <c r="K145" s="30">
        <f>Weekly_Inspections!$AU145</f>
        <v/>
      </c>
      <c r="L145" s="46">
        <f>Weekly_Inspections!$AV145</f>
        <v/>
      </c>
      <c r="M145" s="30">
        <f>IF($B145="","",IF($N145&lt;&gt;"","Closed",IF(OR($G145&lt;&gt;"",$I145&lt;&gt;"",$J145&lt;&gt;""),"Open","")))</f>
        <v/>
      </c>
      <c r="N145" s="46" t="n"/>
      <c r="O145" s="28">
        <f>IF($B145="","",IF($M145="Closed",IF($N145="","",$N145-$B145),TODAY()-$B145))</f>
        <v/>
      </c>
      <c r="P145" s="28">
        <f>IF(OR($B145="",$L145="",$M145="Closed"),"",IF(TODAY()&gt;$L145,"YES","NO"))</f>
        <v/>
      </c>
      <c r="Q145" s="30">
        <f>Weekly_Inspections!$AW145</f>
        <v/>
      </c>
    </row>
    <row r="146" ht="15" customHeight="1" s="45">
      <c r="A146" s="28">
        <f>IF(Weekly_Inspections!$B146="","",Weekly_Inspections!$A146&amp;"-A1")</f>
        <v/>
      </c>
      <c r="B146" s="46">
        <f>Weekly_Inspections!$B146</f>
        <v/>
      </c>
      <c r="C146" s="30">
        <f>Weekly_Inspections!$E146</f>
        <v/>
      </c>
      <c r="D146" s="30">
        <f>Weekly_Inspections!$F146</f>
        <v/>
      </c>
      <c r="E146" s="28">
        <f>Weekly_Inspections!$H146</f>
        <v/>
      </c>
      <c r="F146" s="30">
        <f>IF(Weekly_Inspections!$AX146&lt;&gt;"",Weekly_Inspections!$AX146,IF(Weekly_Inspections!$AY146&lt;&gt;"",Weekly_Inspections!$AY146,IF(Weekly_Inspections!$AZ146&lt;&gt;"",Weekly_Inspections!$AZ146,IF(Weekly_Inspections!$BA146&lt;&gt;"",Weekly_Inspections!$BA146,IF(Weekly_Inspections!$BB146&lt;&gt;"",Weekly_Inspections!$BB146,Weekly_Inspections!$R146)))))</f>
        <v/>
      </c>
      <c r="G146" s="30">
        <f>IF(OR(Weekly_Inspections!$AQ146&lt;&gt;"",Weekly_Inspections!$AR146&lt;&gt;"",Weekly_Inspections!$AS146&lt;&gt;""),Weekly_Inspections!$AQ146,"")</f>
        <v/>
      </c>
      <c r="H146" s="30">
        <f>Weekly_Inspections!$AP146</f>
        <v/>
      </c>
      <c r="I146" s="30">
        <f>Weekly_Inspections!$AR146</f>
        <v/>
      </c>
      <c r="J146" s="30">
        <f>Weekly_Inspections!$AS146</f>
        <v/>
      </c>
      <c r="K146" s="30">
        <f>Weekly_Inspections!$AU146</f>
        <v/>
      </c>
      <c r="L146" s="46">
        <f>Weekly_Inspections!$AV146</f>
        <v/>
      </c>
      <c r="M146" s="30">
        <f>IF($B146="","",IF($N146&lt;&gt;"","Closed",IF(OR($G146&lt;&gt;"",$I146&lt;&gt;"",$J146&lt;&gt;""),"Open","")))</f>
        <v/>
      </c>
      <c r="N146" s="46" t="n"/>
      <c r="O146" s="28">
        <f>IF($B146="","",IF($M146="Closed",IF($N146="","",$N146-$B146),TODAY()-$B146))</f>
        <v/>
      </c>
      <c r="P146" s="28">
        <f>IF(OR($B146="",$L146="",$M146="Closed"),"",IF(TODAY()&gt;$L146,"YES","NO"))</f>
        <v/>
      </c>
      <c r="Q146" s="30">
        <f>Weekly_Inspections!$AW146</f>
        <v/>
      </c>
    </row>
    <row r="147" ht="15" customHeight="1" s="45">
      <c r="A147" s="28">
        <f>IF(Weekly_Inspections!$B147="","",Weekly_Inspections!$A147&amp;"-A1")</f>
        <v/>
      </c>
      <c r="B147" s="46">
        <f>Weekly_Inspections!$B147</f>
        <v/>
      </c>
      <c r="C147" s="30">
        <f>Weekly_Inspections!$E147</f>
        <v/>
      </c>
      <c r="D147" s="30">
        <f>Weekly_Inspections!$F147</f>
        <v/>
      </c>
      <c r="E147" s="28">
        <f>Weekly_Inspections!$H147</f>
        <v/>
      </c>
      <c r="F147" s="30">
        <f>IF(Weekly_Inspections!$AX147&lt;&gt;"",Weekly_Inspections!$AX147,IF(Weekly_Inspections!$AY147&lt;&gt;"",Weekly_Inspections!$AY147,IF(Weekly_Inspections!$AZ147&lt;&gt;"",Weekly_Inspections!$AZ147,IF(Weekly_Inspections!$BA147&lt;&gt;"",Weekly_Inspections!$BA147,IF(Weekly_Inspections!$BB147&lt;&gt;"",Weekly_Inspections!$BB147,Weekly_Inspections!$R147)))))</f>
        <v/>
      </c>
      <c r="G147" s="30">
        <f>IF(OR(Weekly_Inspections!$AQ147&lt;&gt;"",Weekly_Inspections!$AR147&lt;&gt;"",Weekly_Inspections!$AS147&lt;&gt;""),Weekly_Inspections!$AQ147,"")</f>
        <v/>
      </c>
      <c r="H147" s="30">
        <f>Weekly_Inspections!$AP147</f>
        <v/>
      </c>
      <c r="I147" s="30">
        <f>Weekly_Inspections!$AR147</f>
        <v/>
      </c>
      <c r="J147" s="30">
        <f>Weekly_Inspections!$AS147</f>
        <v/>
      </c>
      <c r="K147" s="30">
        <f>Weekly_Inspections!$AU147</f>
        <v/>
      </c>
      <c r="L147" s="46">
        <f>Weekly_Inspections!$AV147</f>
        <v/>
      </c>
      <c r="M147" s="30">
        <f>IF($B147="","",IF($N147&lt;&gt;"","Closed",IF(OR($G147&lt;&gt;"",$I147&lt;&gt;"",$J147&lt;&gt;""),"Open","")))</f>
        <v/>
      </c>
      <c r="N147" s="46" t="n"/>
      <c r="O147" s="28">
        <f>IF($B147="","",IF($M147="Closed",IF($N147="","",$N147-$B147),TODAY()-$B147))</f>
        <v/>
      </c>
      <c r="P147" s="28">
        <f>IF(OR($B147="",$L147="",$M147="Closed"),"",IF(TODAY()&gt;$L147,"YES","NO"))</f>
        <v/>
      </c>
      <c r="Q147" s="30">
        <f>Weekly_Inspections!$AW147</f>
        <v/>
      </c>
    </row>
    <row r="148" ht="15" customHeight="1" s="45">
      <c r="A148" s="28">
        <f>IF(Weekly_Inspections!$B148="","",Weekly_Inspections!$A148&amp;"-A1")</f>
        <v/>
      </c>
      <c r="B148" s="46">
        <f>Weekly_Inspections!$B148</f>
        <v/>
      </c>
      <c r="C148" s="30">
        <f>Weekly_Inspections!$E148</f>
        <v/>
      </c>
      <c r="D148" s="30">
        <f>Weekly_Inspections!$F148</f>
        <v/>
      </c>
      <c r="E148" s="28">
        <f>Weekly_Inspections!$H148</f>
        <v/>
      </c>
      <c r="F148" s="30">
        <f>IF(Weekly_Inspections!$AX148&lt;&gt;"",Weekly_Inspections!$AX148,IF(Weekly_Inspections!$AY148&lt;&gt;"",Weekly_Inspections!$AY148,IF(Weekly_Inspections!$AZ148&lt;&gt;"",Weekly_Inspections!$AZ148,IF(Weekly_Inspections!$BA148&lt;&gt;"",Weekly_Inspections!$BA148,IF(Weekly_Inspections!$BB148&lt;&gt;"",Weekly_Inspections!$BB148,Weekly_Inspections!$R148)))))</f>
        <v/>
      </c>
      <c r="G148" s="30">
        <f>IF(OR(Weekly_Inspections!$AQ148&lt;&gt;"",Weekly_Inspections!$AR148&lt;&gt;"",Weekly_Inspections!$AS148&lt;&gt;""),Weekly_Inspections!$AQ148,"")</f>
        <v/>
      </c>
      <c r="H148" s="30">
        <f>Weekly_Inspections!$AP148</f>
        <v/>
      </c>
      <c r="I148" s="30">
        <f>Weekly_Inspections!$AR148</f>
        <v/>
      </c>
      <c r="J148" s="30">
        <f>Weekly_Inspections!$AS148</f>
        <v/>
      </c>
      <c r="K148" s="30">
        <f>Weekly_Inspections!$AU148</f>
        <v/>
      </c>
      <c r="L148" s="46">
        <f>Weekly_Inspections!$AV148</f>
        <v/>
      </c>
      <c r="M148" s="30">
        <f>IF($B148="","",IF($N148&lt;&gt;"","Closed",IF(OR($G148&lt;&gt;"",$I148&lt;&gt;"",$J148&lt;&gt;""),"Open","")))</f>
        <v/>
      </c>
      <c r="N148" s="46" t="n"/>
      <c r="O148" s="28">
        <f>IF($B148="","",IF($M148="Closed",IF($N148="","",$N148-$B148),TODAY()-$B148))</f>
        <v/>
      </c>
      <c r="P148" s="28">
        <f>IF(OR($B148="",$L148="",$M148="Closed"),"",IF(TODAY()&gt;$L148,"YES","NO"))</f>
        <v/>
      </c>
      <c r="Q148" s="30">
        <f>Weekly_Inspections!$AW148</f>
        <v/>
      </c>
    </row>
    <row r="149" ht="15" customHeight="1" s="45">
      <c r="A149" s="28">
        <f>IF(Weekly_Inspections!$B149="","",Weekly_Inspections!$A149&amp;"-A1")</f>
        <v/>
      </c>
      <c r="B149" s="46">
        <f>Weekly_Inspections!$B149</f>
        <v/>
      </c>
      <c r="C149" s="30">
        <f>Weekly_Inspections!$E149</f>
        <v/>
      </c>
      <c r="D149" s="30">
        <f>Weekly_Inspections!$F149</f>
        <v/>
      </c>
      <c r="E149" s="28">
        <f>Weekly_Inspections!$H149</f>
        <v/>
      </c>
      <c r="F149" s="30">
        <f>IF(Weekly_Inspections!$AX149&lt;&gt;"",Weekly_Inspections!$AX149,IF(Weekly_Inspections!$AY149&lt;&gt;"",Weekly_Inspections!$AY149,IF(Weekly_Inspections!$AZ149&lt;&gt;"",Weekly_Inspections!$AZ149,IF(Weekly_Inspections!$BA149&lt;&gt;"",Weekly_Inspections!$BA149,IF(Weekly_Inspections!$BB149&lt;&gt;"",Weekly_Inspections!$BB149,Weekly_Inspections!$R149)))))</f>
        <v/>
      </c>
      <c r="G149" s="30">
        <f>IF(OR(Weekly_Inspections!$AQ149&lt;&gt;"",Weekly_Inspections!$AR149&lt;&gt;"",Weekly_Inspections!$AS149&lt;&gt;""),Weekly_Inspections!$AQ149,"")</f>
        <v/>
      </c>
      <c r="H149" s="30">
        <f>Weekly_Inspections!$AP149</f>
        <v/>
      </c>
      <c r="I149" s="30">
        <f>Weekly_Inspections!$AR149</f>
        <v/>
      </c>
      <c r="J149" s="30">
        <f>Weekly_Inspections!$AS149</f>
        <v/>
      </c>
      <c r="K149" s="30">
        <f>Weekly_Inspections!$AU149</f>
        <v/>
      </c>
      <c r="L149" s="46">
        <f>Weekly_Inspections!$AV149</f>
        <v/>
      </c>
      <c r="M149" s="30">
        <f>IF($B149="","",IF($N149&lt;&gt;"","Closed",IF(OR($G149&lt;&gt;"",$I149&lt;&gt;"",$J149&lt;&gt;""),"Open","")))</f>
        <v/>
      </c>
      <c r="N149" s="46" t="n"/>
      <c r="O149" s="28">
        <f>IF($B149="","",IF($M149="Closed",IF($N149="","",$N149-$B149),TODAY()-$B149))</f>
        <v/>
      </c>
      <c r="P149" s="28">
        <f>IF(OR($B149="",$L149="",$M149="Closed"),"",IF(TODAY()&gt;$L149,"YES","NO"))</f>
        <v/>
      </c>
      <c r="Q149" s="30">
        <f>Weekly_Inspections!$AW149</f>
        <v/>
      </c>
    </row>
    <row r="150" ht="15" customHeight="1" s="45">
      <c r="A150" s="28">
        <f>IF(Weekly_Inspections!$B150="","",Weekly_Inspections!$A150&amp;"-A1")</f>
        <v/>
      </c>
      <c r="B150" s="46">
        <f>Weekly_Inspections!$B150</f>
        <v/>
      </c>
      <c r="C150" s="30">
        <f>Weekly_Inspections!$E150</f>
        <v/>
      </c>
      <c r="D150" s="30">
        <f>Weekly_Inspections!$F150</f>
        <v/>
      </c>
      <c r="E150" s="28">
        <f>Weekly_Inspections!$H150</f>
        <v/>
      </c>
      <c r="F150" s="30">
        <f>IF(Weekly_Inspections!$AX150&lt;&gt;"",Weekly_Inspections!$AX150,IF(Weekly_Inspections!$AY150&lt;&gt;"",Weekly_Inspections!$AY150,IF(Weekly_Inspections!$AZ150&lt;&gt;"",Weekly_Inspections!$AZ150,IF(Weekly_Inspections!$BA150&lt;&gt;"",Weekly_Inspections!$BA150,IF(Weekly_Inspections!$BB150&lt;&gt;"",Weekly_Inspections!$BB150,Weekly_Inspections!$R150)))))</f>
        <v/>
      </c>
      <c r="G150" s="30">
        <f>IF(OR(Weekly_Inspections!$AQ150&lt;&gt;"",Weekly_Inspections!$AR150&lt;&gt;"",Weekly_Inspections!$AS150&lt;&gt;""),Weekly_Inspections!$AQ150,"")</f>
        <v/>
      </c>
      <c r="H150" s="30">
        <f>Weekly_Inspections!$AP150</f>
        <v/>
      </c>
      <c r="I150" s="30">
        <f>Weekly_Inspections!$AR150</f>
        <v/>
      </c>
      <c r="J150" s="30">
        <f>Weekly_Inspections!$AS150</f>
        <v/>
      </c>
      <c r="K150" s="30">
        <f>Weekly_Inspections!$AU150</f>
        <v/>
      </c>
      <c r="L150" s="46">
        <f>Weekly_Inspections!$AV150</f>
        <v/>
      </c>
      <c r="M150" s="30">
        <f>IF($B150="","",IF($N150&lt;&gt;"","Closed",IF(OR($G150&lt;&gt;"",$I150&lt;&gt;"",$J150&lt;&gt;""),"Open","")))</f>
        <v/>
      </c>
      <c r="N150" s="46" t="n"/>
      <c r="O150" s="28">
        <f>IF($B150="","",IF($M150="Closed",IF($N150="","",$N150-$B150),TODAY()-$B150))</f>
        <v/>
      </c>
      <c r="P150" s="28">
        <f>IF(OR($B150="",$L150="",$M150="Closed"),"",IF(TODAY()&gt;$L150,"YES","NO"))</f>
        <v/>
      </c>
      <c r="Q150" s="30">
        <f>Weekly_Inspections!$AW150</f>
        <v/>
      </c>
    </row>
    <row r="151" ht="15" customHeight="1" s="45">
      <c r="A151" s="28">
        <f>IF(Weekly_Inspections!$B151="","",Weekly_Inspections!$A151&amp;"-A1")</f>
        <v/>
      </c>
      <c r="B151" s="46">
        <f>Weekly_Inspections!$B151</f>
        <v/>
      </c>
      <c r="C151" s="30">
        <f>Weekly_Inspections!$E151</f>
        <v/>
      </c>
      <c r="D151" s="30">
        <f>Weekly_Inspections!$F151</f>
        <v/>
      </c>
      <c r="E151" s="28">
        <f>Weekly_Inspections!$H151</f>
        <v/>
      </c>
      <c r="F151" s="30">
        <f>IF(Weekly_Inspections!$AX151&lt;&gt;"",Weekly_Inspections!$AX151,IF(Weekly_Inspections!$AY151&lt;&gt;"",Weekly_Inspections!$AY151,IF(Weekly_Inspections!$AZ151&lt;&gt;"",Weekly_Inspections!$AZ151,IF(Weekly_Inspections!$BA151&lt;&gt;"",Weekly_Inspections!$BA151,IF(Weekly_Inspections!$BB151&lt;&gt;"",Weekly_Inspections!$BB151,Weekly_Inspections!$R151)))))</f>
        <v/>
      </c>
      <c r="G151" s="30">
        <f>IF(OR(Weekly_Inspections!$AQ151&lt;&gt;"",Weekly_Inspections!$AR151&lt;&gt;"",Weekly_Inspections!$AS151&lt;&gt;""),Weekly_Inspections!$AQ151,"")</f>
        <v/>
      </c>
      <c r="H151" s="30">
        <f>Weekly_Inspections!$AP151</f>
        <v/>
      </c>
      <c r="I151" s="30">
        <f>Weekly_Inspections!$AR151</f>
        <v/>
      </c>
      <c r="J151" s="30">
        <f>Weekly_Inspections!$AS151</f>
        <v/>
      </c>
      <c r="K151" s="30">
        <f>Weekly_Inspections!$AU151</f>
        <v/>
      </c>
      <c r="L151" s="46">
        <f>Weekly_Inspections!$AV151</f>
        <v/>
      </c>
      <c r="M151" s="30">
        <f>IF($B151="","",IF($N151&lt;&gt;"","Closed",IF(OR($G151&lt;&gt;"",$I151&lt;&gt;"",$J151&lt;&gt;""),"Open","")))</f>
        <v/>
      </c>
      <c r="N151" s="46" t="n"/>
      <c r="O151" s="28">
        <f>IF($B151="","",IF($M151="Closed",IF($N151="","",$N151-$B151),TODAY()-$B151))</f>
        <v/>
      </c>
      <c r="P151" s="28">
        <f>IF(OR($B151="",$L151="",$M151="Closed"),"",IF(TODAY()&gt;$L151,"YES","NO"))</f>
        <v/>
      </c>
      <c r="Q151" s="30">
        <f>Weekly_Inspections!$AW151</f>
        <v/>
      </c>
    </row>
    <row r="152" ht="15" customHeight="1" s="45">
      <c r="A152" s="28">
        <f>IF(Weekly_Inspections!$B152="","",Weekly_Inspections!$A152&amp;"-A1")</f>
        <v/>
      </c>
      <c r="B152" s="46">
        <f>Weekly_Inspections!$B152</f>
        <v/>
      </c>
      <c r="C152" s="30">
        <f>Weekly_Inspections!$E152</f>
        <v/>
      </c>
      <c r="D152" s="30">
        <f>Weekly_Inspections!$F152</f>
        <v/>
      </c>
      <c r="E152" s="28">
        <f>Weekly_Inspections!$H152</f>
        <v/>
      </c>
      <c r="F152" s="30">
        <f>IF(Weekly_Inspections!$AX152&lt;&gt;"",Weekly_Inspections!$AX152,IF(Weekly_Inspections!$AY152&lt;&gt;"",Weekly_Inspections!$AY152,IF(Weekly_Inspections!$AZ152&lt;&gt;"",Weekly_Inspections!$AZ152,IF(Weekly_Inspections!$BA152&lt;&gt;"",Weekly_Inspections!$BA152,IF(Weekly_Inspections!$BB152&lt;&gt;"",Weekly_Inspections!$BB152,Weekly_Inspections!$R152)))))</f>
        <v/>
      </c>
      <c r="G152" s="30">
        <f>IF(OR(Weekly_Inspections!$AQ152&lt;&gt;"",Weekly_Inspections!$AR152&lt;&gt;"",Weekly_Inspections!$AS152&lt;&gt;""),Weekly_Inspections!$AQ152,"")</f>
        <v/>
      </c>
      <c r="H152" s="30">
        <f>Weekly_Inspections!$AP152</f>
        <v/>
      </c>
      <c r="I152" s="30">
        <f>Weekly_Inspections!$AR152</f>
        <v/>
      </c>
      <c r="J152" s="30">
        <f>Weekly_Inspections!$AS152</f>
        <v/>
      </c>
      <c r="K152" s="30">
        <f>Weekly_Inspections!$AU152</f>
        <v/>
      </c>
      <c r="L152" s="46">
        <f>Weekly_Inspections!$AV152</f>
        <v/>
      </c>
      <c r="M152" s="30">
        <f>IF($B152="","",IF($N152&lt;&gt;"","Closed",IF(OR($G152&lt;&gt;"",$I152&lt;&gt;"",$J152&lt;&gt;""),"Open","")))</f>
        <v/>
      </c>
      <c r="N152" s="46" t="n"/>
      <c r="O152" s="28">
        <f>IF($B152="","",IF($M152="Closed",IF($N152="","",$N152-$B152),TODAY()-$B152))</f>
        <v/>
      </c>
      <c r="P152" s="28">
        <f>IF(OR($B152="",$L152="",$M152="Closed"),"",IF(TODAY()&gt;$L152,"YES","NO"))</f>
        <v/>
      </c>
      <c r="Q152" s="30">
        <f>Weekly_Inspections!$AW152</f>
        <v/>
      </c>
    </row>
    <row r="153" ht="15" customHeight="1" s="45">
      <c r="A153" s="28">
        <f>IF(Weekly_Inspections!$B153="","",Weekly_Inspections!$A153&amp;"-A1")</f>
        <v/>
      </c>
      <c r="B153" s="46">
        <f>Weekly_Inspections!$B153</f>
        <v/>
      </c>
      <c r="C153" s="30">
        <f>Weekly_Inspections!$E153</f>
        <v/>
      </c>
      <c r="D153" s="30">
        <f>Weekly_Inspections!$F153</f>
        <v/>
      </c>
      <c r="E153" s="28">
        <f>Weekly_Inspections!$H153</f>
        <v/>
      </c>
      <c r="F153" s="30">
        <f>IF(Weekly_Inspections!$AX153&lt;&gt;"",Weekly_Inspections!$AX153,IF(Weekly_Inspections!$AY153&lt;&gt;"",Weekly_Inspections!$AY153,IF(Weekly_Inspections!$AZ153&lt;&gt;"",Weekly_Inspections!$AZ153,IF(Weekly_Inspections!$BA153&lt;&gt;"",Weekly_Inspections!$BA153,IF(Weekly_Inspections!$BB153&lt;&gt;"",Weekly_Inspections!$BB153,Weekly_Inspections!$R153)))))</f>
        <v/>
      </c>
      <c r="G153" s="30">
        <f>IF(OR(Weekly_Inspections!$AQ153&lt;&gt;"",Weekly_Inspections!$AR153&lt;&gt;"",Weekly_Inspections!$AS153&lt;&gt;""),Weekly_Inspections!$AQ153,"")</f>
        <v/>
      </c>
      <c r="H153" s="30">
        <f>Weekly_Inspections!$AP153</f>
        <v/>
      </c>
      <c r="I153" s="30">
        <f>Weekly_Inspections!$AR153</f>
        <v/>
      </c>
      <c r="J153" s="30">
        <f>Weekly_Inspections!$AS153</f>
        <v/>
      </c>
      <c r="K153" s="30">
        <f>Weekly_Inspections!$AU153</f>
        <v/>
      </c>
      <c r="L153" s="46">
        <f>Weekly_Inspections!$AV153</f>
        <v/>
      </c>
      <c r="M153" s="30">
        <f>IF($B153="","",IF($N153&lt;&gt;"","Closed",IF(OR($G153&lt;&gt;"",$I153&lt;&gt;"",$J153&lt;&gt;""),"Open","")))</f>
        <v/>
      </c>
      <c r="N153" s="46" t="n"/>
      <c r="O153" s="28">
        <f>IF($B153="","",IF($M153="Closed",IF($N153="","",$N153-$B153),TODAY()-$B153))</f>
        <v/>
      </c>
      <c r="P153" s="28">
        <f>IF(OR($B153="",$L153="",$M153="Closed"),"",IF(TODAY()&gt;$L153,"YES","NO"))</f>
        <v/>
      </c>
      <c r="Q153" s="30">
        <f>Weekly_Inspections!$AW153</f>
        <v/>
      </c>
    </row>
    <row r="154" ht="15" customHeight="1" s="45">
      <c r="A154" s="28">
        <f>IF(Weekly_Inspections!$B154="","",Weekly_Inspections!$A154&amp;"-A1")</f>
        <v/>
      </c>
      <c r="B154" s="46">
        <f>Weekly_Inspections!$B154</f>
        <v/>
      </c>
      <c r="C154" s="30">
        <f>Weekly_Inspections!$E154</f>
        <v/>
      </c>
      <c r="D154" s="30">
        <f>Weekly_Inspections!$F154</f>
        <v/>
      </c>
      <c r="E154" s="28">
        <f>Weekly_Inspections!$H154</f>
        <v/>
      </c>
      <c r="F154" s="30">
        <f>IF(Weekly_Inspections!$AX154&lt;&gt;"",Weekly_Inspections!$AX154,IF(Weekly_Inspections!$AY154&lt;&gt;"",Weekly_Inspections!$AY154,IF(Weekly_Inspections!$AZ154&lt;&gt;"",Weekly_Inspections!$AZ154,IF(Weekly_Inspections!$BA154&lt;&gt;"",Weekly_Inspections!$BA154,IF(Weekly_Inspections!$BB154&lt;&gt;"",Weekly_Inspections!$BB154,Weekly_Inspections!$R154)))))</f>
        <v/>
      </c>
      <c r="G154" s="30">
        <f>IF(OR(Weekly_Inspections!$AQ154&lt;&gt;"",Weekly_Inspections!$AR154&lt;&gt;"",Weekly_Inspections!$AS154&lt;&gt;""),Weekly_Inspections!$AQ154,"")</f>
        <v/>
      </c>
      <c r="H154" s="30">
        <f>Weekly_Inspections!$AP154</f>
        <v/>
      </c>
      <c r="I154" s="30">
        <f>Weekly_Inspections!$AR154</f>
        <v/>
      </c>
      <c r="J154" s="30">
        <f>Weekly_Inspections!$AS154</f>
        <v/>
      </c>
      <c r="K154" s="30">
        <f>Weekly_Inspections!$AU154</f>
        <v/>
      </c>
      <c r="L154" s="46">
        <f>Weekly_Inspections!$AV154</f>
        <v/>
      </c>
      <c r="M154" s="30">
        <f>IF($B154="","",IF($N154&lt;&gt;"","Closed",IF(OR($G154&lt;&gt;"",$I154&lt;&gt;"",$J154&lt;&gt;""),"Open","")))</f>
        <v/>
      </c>
      <c r="N154" s="46" t="n"/>
      <c r="O154" s="28">
        <f>IF($B154="","",IF($M154="Closed",IF($N154="","",$N154-$B154),TODAY()-$B154))</f>
        <v/>
      </c>
      <c r="P154" s="28">
        <f>IF(OR($B154="",$L154="",$M154="Closed"),"",IF(TODAY()&gt;$L154,"YES","NO"))</f>
        <v/>
      </c>
      <c r="Q154" s="30">
        <f>Weekly_Inspections!$AW154</f>
        <v/>
      </c>
    </row>
    <row r="155" ht="15" customHeight="1" s="45">
      <c r="A155" s="28">
        <f>IF(Weekly_Inspections!$B155="","",Weekly_Inspections!$A155&amp;"-A1")</f>
        <v/>
      </c>
      <c r="B155" s="46">
        <f>Weekly_Inspections!$B155</f>
        <v/>
      </c>
      <c r="C155" s="30">
        <f>Weekly_Inspections!$E155</f>
        <v/>
      </c>
      <c r="D155" s="30">
        <f>Weekly_Inspections!$F155</f>
        <v/>
      </c>
      <c r="E155" s="28">
        <f>Weekly_Inspections!$H155</f>
        <v/>
      </c>
      <c r="F155" s="30">
        <f>IF(Weekly_Inspections!$AX155&lt;&gt;"",Weekly_Inspections!$AX155,IF(Weekly_Inspections!$AY155&lt;&gt;"",Weekly_Inspections!$AY155,IF(Weekly_Inspections!$AZ155&lt;&gt;"",Weekly_Inspections!$AZ155,IF(Weekly_Inspections!$BA155&lt;&gt;"",Weekly_Inspections!$BA155,IF(Weekly_Inspections!$BB155&lt;&gt;"",Weekly_Inspections!$BB155,Weekly_Inspections!$R155)))))</f>
        <v/>
      </c>
      <c r="G155" s="30">
        <f>IF(OR(Weekly_Inspections!$AQ155&lt;&gt;"",Weekly_Inspections!$AR155&lt;&gt;"",Weekly_Inspections!$AS155&lt;&gt;""),Weekly_Inspections!$AQ155,"")</f>
        <v/>
      </c>
      <c r="H155" s="30">
        <f>Weekly_Inspections!$AP155</f>
        <v/>
      </c>
      <c r="I155" s="30">
        <f>Weekly_Inspections!$AR155</f>
        <v/>
      </c>
      <c r="J155" s="30">
        <f>Weekly_Inspections!$AS155</f>
        <v/>
      </c>
      <c r="K155" s="30">
        <f>Weekly_Inspections!$AU155</f>
        <v/>
      </c>
      <c r="L155" s="46">
        <f>Weekly_Inspections!$AV155</f>
        <v/>
      </c>
      <c r="M155" s="30">
        <f>IF($B155="","",IF($N155&lt;&gt;"","Closed",IF(OR($G155&lt;&gt;"",$I155&lt;&gt;"",$J155&lt;&gt;""),"Open","")))</f>
        <v/>
      </c>
      <c r="N155" s="46" t="n"/>
      <c r="O155" s="28">
        <f>IF($B155="","",IF($M155="Closed",IF($N155="","",$N155-$B155),TODAY()-$B155))</f>
        <v/>
      </c>
      <c r="P155" s="28">
        <f>IF(OR($B155="",$L155="",$M155="Closed"),"",IF(TODAY()&gt;$L155,"YES","NO"))</f>
        <v/>
      </c>
      <c r="Q155" s="30">
        <f>Weekly_Inspections!$AW155</f>
        <v/>
      </c>
    </row>
    <row r="156" ht="15" customHeight="1" s="45">
      <c r="A156" s="28">
        <f>IF(Weekly_Inspections!$B156="","",Weekly_Inspections!$A156&amp;"-A1")</f>
        <v/>
      </c>
      <c r="B156" s="46">
        <f>Weekly_Inspections!$B156</f>
        <v/>
      </c>
      <c r="C156" s="30">
        <f>Weekly_Inspections!$E156</f>
        <v/>
      </c>
      <c r="D156" s="30">
        <f>Weekly_Inspections!$F156</f>
        <v/>
      </c>
      <c r="E156" s="28">
        <f>Weekly_Inspections!$H156</f>
        <v/>
      </c>
      <c r="F156" s="30">
        <f>IF(Weekly_Inspections!$AX156&lt;&gt;"",Weekly_Inspections!$AX156,IF(Weekly_Inspections!$AY156&lt;&gt;"",Weekly_Inspections!$AY156,IF(Weekly_Inspections!$AZ156&lt;&gt;"",Weekly_Inspections!$AZ156,IF(Weekly_Inspections!$BA156&lt;&gt;"",Weekly_Inspections!$BA156,IF(Weekly_Inspections!$BB156&lt;&gt;"",Weekly_Inspections!$BB156,Weekly_Inspections!$R156)))))</f>
        <v/>
      </c>
      <c r="G156" s="30">
        <f>IF(OR(Weekly_Inspections!$AQ156&lt;&gt;"",Weekly_Inspections!$AR156&lt;&gt;"",Weekly_Inspections!$AS156&lt;&gt;""),Weekly_Inspections!$AQ156,"")</f>
        <v/>
      </c>
      <c r="H156" s="30">
        <f>Weekly_Inspections!$AP156</f>
        <v/>
      </c>
      <c r="I156" s="30">
        <f>Weekly_Inspections!$AR156</f>
        <v/>
      </c>
      <c r="J156" s="30">
        <f>Weekly_Inspections!$AS156</f>
        <v/>
      </c>
      <c r="K156" s="30">
        <f>Weekly_Inspections!$AU156</f>
        <v/>
      </c>
      <c r="L156" s="46">
        <f>Weekly_Inspections!$AV156</f>
        <v/>
      </c>
      <c r="M156" s="30">
        <f>IF($B156="","",IF($N156&lt;&gt;"","Closed",IF(OR($G156&lt;&gt;"",$I156&lt;&gt;"",$J156&lt;&gt;""),"Open","")))</f>
        <v/>
      </c>
      <c r="N156" s="46" t="n"/>
      <c r="O156" s="28">
        <f>IF($B156="","",IF($M156="Closed",IF($N156="","",$N156-$B156),TODAY()-$B156))</f>
        <v/>
      </c>
      <c r="P156" s="28">
        <f>IF(OR($B156="",$L156="",$M156="Closed"),"",IF(TODAY()&gt;$L156,"YES","NO"))</f>
        <v/>
      </c>
      <c r="Q156" s="30">
        <f>Weekly_Inspections!$AW156</f>
        <v/>
      </c>
    </row>
    <row r="157" ht="15" customHeight="1" s="45">
      <c r="A157" s="28">
        <f>IF(Weekly_Inspections!$B157="","",Weekly_Inspections!$A157&amp;"-A1")</f>
        <v/>
      </c>
      <c r="B157" s="46">
        <f>Weekly_Inspections!$B157</f>
        <v/>
      </c>
      <c r="C157" s="30">
        <f>Weekly_Inspections!$E157</f>
        <v/>
      </c>
      <c r="D157" s="30">
        <f>Weekly_Inspections!$F157</f>
        <v/>
      </c>
      <c r="E157" s="28">
        <f>Weekly_Inspections!$H157</f>
        <v/>
      </c>
      <c r="F157" s="30">
        <f>IF(Weekly_Inspections!$AX157&lt;&gt;"",Weekly_Inspections!$AX157,IF(Weekly_Inspections!$AY157&lt;&gt;"",Weekly_Inspections!$AY157,IF(Weekly_Inspections!$AZ157&lt;&gt;"",Weekly_Inspections!$AZ157,IF(Weekly_Inspections!$BA157&lt;&gt;"",Weekly_Inspections!$BA157,IF(Weekly_Inspections!$BB157&lt;&gt;"",Weekly_Inspections!$BB157,Weekly_Inspections!$R157)))))</f>
        <v/>
      </c>
      <c r="G157" s="30">
        <f>IF(OR(Weekly_Inspections!$AQ157&lt;&gt;"",Weekly_Inspections!$AR157&lt;&gt;"",Weekly_Inspections!$AS157&lt;&gt;""),Weekly_Inspections!$AQ157,"")</f>
        <v/>
      </c>
      <c r="H157" s="30">
        <f>Weekly_Inspections!$AP157</f>
        <v/>
      </c>
      <c r="I157" s="30">
        <f>Weekly_Inspections!$AR157</f>
        <v/>
      </c>
      <c r="J157" s="30">
        <f>Weekly_Inspections!$AS157</f>
        <v/>
      </c>
      <c r="K157" s="30">
        <f>Weekly_Inspections!$AU157</f>
        <v/>
      </c>
      <c r="L157" s="46">
        <f>Weekly_Inspections!$AV157</f>
        <v/>
      </c>
      <c r="M157" s="30">
        <f>IF($B157="","",IF($N157&lt;&gt;"","Closed",IF(OR($G157&lt;&gt;"",$I157&lt;&gt;"",$J157&lt;&gt;""),"Open","")))</f>
        <v/>
      </c>
      <c r="N157" s="46" t="n"/>
      <c r="O157" s="28">
        <f>IF($B157="","",IF($M157="Closed",IF($N157="","",$N157-$B157),TODAY()-$B157))</f>
        <v/>
      </c>
      <c r="P157" s="28">
        <f>IF(OR($B157="",$L157="",$M157="Closed"),"",IF(TODAY()&gt;$L157,"YES","NO"))</f>
        <v/>
      </c>
      <c r="Q157" s="30">
        <f>Weekly_Inspections!$AW157</f>
        <v/>
      </c>
    </row>
    <row r="158" ht="15" customHeight="1" s="45">
      <c r="A158" s="28">
        <f>IF(Weekly_Inspections!$B158="","",Weekly_Inspections!$A158&amp;"-A1")</f>
        <v/>
      </c>
      <c r="B158" s="46">
        <f>Weekly_Inspections!$B158</f>
        <v/>
      </c>
      <c r="C158" s="30">
        <f>Weekly_Inspections!$E158</f>
        <v/>
      </c>
      <c r="D158" s="30">
        <f>Weekly_Inspections!$F158</f>
        <v/>
      </c>
      <c r="E158" s="28">
        <f>Weekly_Inspections!$H158</f>
        <v/>
      </c>
      <c r="F158" s="30">
        <f>IF(Weekly_Inspections!$AX158&lt;&gt;"",Weekly_Inspections!$AX158,IF(Weekly_Inspections!$AY158&lt;&gt;"",Weekly_Inspections!$AY158,IF(Weekly_Inspections!$AZ158&lt;&gt;"",Weekly_Inspections!$AZ158,IF(Weekly_Inspections!$BA158&lt;&gt;"",Weekly_Inspections!$BA158,IF(Weekly_Inspections!$BB158&lt;&gt;"",Weekly_Inspections!$BB158,Weekly_Inspections!$R158)))))</f>
        <v/>
      </c>
      <c r="G158" s="30">
        <f>IF(OR(Weekly_Inspections!$AQ158&lt;&gt;"",Weekly_Inspections!$AR158&lt;&gt;"",Weekly_Inspections!$AS158&lt;&gt;""),Weekly_Inspections!$AQ158,"")</f>
        <v/>
      </c>
      <c r="H158" s="30">
        <f>Weekly_Inspections!$AP158</f>
        <v/>
      </c>
      <c r="I158" s="30">
        <f>Weekly_Inspections!$AR158</f>
        <v/>
      </c>
      <c r="J158" s="30">
        <f>Weekly_Inspections!$AS158</f>
        <v/>
      </c>
      <c r="K158" s="30">
        <f>Weekly_Inspections!$AU158</f>
        <v/>
      </c>
      <c r="L158" s="46">
        <f>Weekly_Inspections!$AV158</f>
        <v/>
      </c>
      <c r="M158" s="30">
        <f>IF($B158="","",IF($N158&lt;&gt;"","Closed",IF(OR($G158&lt;&gt;"",$I158&lt;&gt;"",$J158&lt;&gt;""),"Open","")))</f>
        <v/>
      </c>
      <c r="N158" s="46" t="n"/>
      <c r="O158" s="28">
        <f>IF($B158="","",IF($M158="Closed",IF($N158="","",$N158-$B158),TODAY()-$B158))</f>
        <v/>
      </c>
      <c r="P158" s="28">
        <f>IF(OR($B158="",$L158="",$M158="Closed"),"",IF(TODAY()&gt;$L158,"YES","NO"))</f>
        <v/>
      </c>
      <c r="Q158" s="30">
        <f>Weekly_Inspections!$AW158</f>
        <v/>
      </c>
    </row>
    <row r="159" ht="15" customHeight="1" s="45">
      <c r="A159" s="28">
        <f>IF(Weekly_Inspections!$B159="","",Weekly_Inspections!$A159&amp;"-A1")</f>
        <v/>
      </c>
      <c r="B159" s="46">
        <f>Weekly_Inspections!$B159</f>
        <v/>
      </c>
      <c r="C159" s="30">
        <f>Weekly_Inspections!$E159</f>
        <v/>
      </c>
      <c r="D159" s="30">
        <f>Weekly_Inspections!$F159</f>
        <v/>
      </c>
      <c r="E159" s="28">
        <f>Weekly_Inspections!$H159</f>
        <v/>
      </c>
      <c r="F159" s="30">
        <f>IF(Weekly_Inspections!$AX159&lt;&gt;"",Weekly_Inspections!$AX159,IF(Weekly_Inspections!$AY159&lt;&gt;"",Weekly_Inspections!$AY159,IF(Weekly_Inspections!$AZ159&lt;&gt;"",Weekly_Inspections!$AZ159,IF(Weekly_Inspections!$BA159&lt;&gt;"",Weekly_Inspections!$BA159,IF(Weekly_Inspections!$BB159&lt;&gt;"",Weekly_Inspections!$BB159,Weekly_Inspections!$R159)))))</f>
        <v/>
      </c>
      <c r="G159" s="30">
        <f>IF(OR(Weekly_Inspections!$AQ159&lt;&gt;"",Weekly_Inspections!$AR159&lt;&gt;"",Weekly_Inspections!$AS159&lt;&gt;""),Weekly_Inspections!$AQ159,"")</f>
        <v/>
      </c>
      <c r="H159" s="30">
        <f>Weekly_Inspections!$AP159</f>
        <v/>
      </c>
      <c r="I159" s="30">
        <f>Weekly_Inspections!$AR159</f>
        <v/>
      </c>
      <c r="J159" s="30">
        <f>Weekly_Inspections!$AS159</f>
        <v/>
      </c>
      <c r="K159" s="30">
        <f>Weekly_Inspections!$AU159</f>
        <v/>
      </c>
      <c r="L159" s="46">
        <f>Weekly_Inspections!$AV159</f>
        <v/>
      </c>
      <c r="M159" s="30">
        <f>IF($B159="","",IF($N159&lt;&gt;"","Closed",IF(OR($G159&lt;&gt;"",$I159&lt;&gt;"",$J159&lt;&gt;""),"Open","")))</f>
        <v/>
      </c>
      <c r="N159" s="46" t="n"/>
      <c r="O159" s="28">
        <f>IF($B159="","",IF($M159="Closed",IF($N159="","",$N159-$B159),TODAY()-$B159))</f>
        <v/>
      </c>
      <c r="P159" s="28">
        <f>IF(OR($B159="",$L159="",$M159="Closed"),"",IF(TODAY()&gt;$L159,"YES","NO"))</f>
        <v/>
      </c>
      <c r="Q159" s="30">
        <f>Weekly_Inspections!$AW159</f>
        <v/>
      </c>
    </row>
    <row r="160" ht="15" customHeight="1" s="45">
      <c r="A160" s="28">
        <f>IF(Weekly_Inspections!$B160="","",Weekly_Inspections!$A160&amp;"-A1")</f>
        <v/>
      </c>
      <c r="B160" s="46">
        <f>Weekly_Inspections!$B160</f>
        <v/>
      </c>
      <c r="C160" s="30">
        <f>Weekly_Inspections!$E160</f>
        <v/>
      </c>
      <c r="D160" s="30">
        <f>Weekly_Inspections!$F160</f>
        <v/>
      </c>
      <c r="E160" s="28">
        <f>Weekly_Inspections!$H160</f>
        <v/>
      </c>
      <c r="F160" s="30">
        <f>IF(Weekly_Inspections!$AX160&lt;&gt;"",Weekly_Inspections!$AX160,IF(Weekly_Inspections!$AY160&lt;&gt;"",Weekly_Inspections!$AY160,IF(Weekly_Inspections!$AZ160&lt;&gt;"",Weekly_Inspections!$AZ160,IF(Weekly_Inspections!$BA160&lt;&gt;"",Weekly_Inspections!$BA160,IF(Weekly_Inspections!$BB160&lt;&gt;"",Weekly_Inspections!$BB160,Weekly_Inspections!$R160)))))</f>
        <v/>
      </c>
      <c r="G160" s="30">
        <f>IF(OR(Weekly_Inspections!$AQ160&lt;&gt;"",Weekly_Inspections!$AR160&lt;&gt;"",Weekly_Inspections!$AS160&lt;&gt;""),Weekly_Inspections!$AQ160,"")</f>
        <v/>
      </c>
      <c r="H160" s="30">
        <f>Weekly_Inspections!$AP160</f>
        <v/>
      </c>
      <c r="I160" s="30">
        <f>Weekly_Inspections!$AR160</f>
        <v/>
      </c>
      <c r="J160" s="30">
        <f>Weekly_Inspections!$AS160</f>
        <v/>
      </c>
      <c r="K160" s="30">
        <f>Weekly_Inspections!$AU160</f>
        <v/>
      </c>
      <c r="L160" s="46">
        <f>Weekly_Inspections!$AV160</f>
        <v/>
      </c>
      <c r="M160" s="30">
        <f>IF($B160="","",IF($N160&lt;&gt;"","Closed",IF(OR($G160&lt;&gt;"",$I160&lt;&gt;"",$J160&lt;&gt;""),"Open","")))</f>
        <v/>
      </c>
      <c r="N160" s="46" t="n"/>
      <c r="O160" s="28">
        <f>IF($B160="","",IF($M160="Closed",IF($N160="","",$N160-$B160),TODAY()-$B160))</f>
        <v/>
      </c>
      <c r="P160" s="28">
        <f>IF(OR($B160="",$L160="",$M160="Closed"),"",IF(TODAY()&gt;$L160,"YES","NO"))</f>
        <v/>
      </c>
      <c r="Q160" s="30">
        <f>Weekly_Inspections!$AW160</f>
        <v/>
      </c>
    </row>
    <row r="161" ht="15" customHeight="1" s="45">
      <c r="A161" s="28">
        <f>IF(Weekly_Inspections!$B161="","",Weekly_Inspections!$A161&amp;"-A1")</f>
        <v/>
      </c>
      <c r="B161" s="46">
        <f>Weekly_Inspections!$B161</f>
        <v/>
      </c>
      <c r="C161" s="30">
        <f>Weekly_Inspections!$E161</f>
        <v/>
      </c>
      <c r="D161" s="30">
        <f>Weekly_Inspections!$F161</f>
        <v/>
      </c>
      <c r="E161" s="28">
        <f>Weekly_Inspections!$H161</f>
        <v/>
      </c>
      <c r="F161" s="30">
        <f>IF(Weekly_Inspections!$AX161&lt;&gt;"",Weekly_Inspections!$AX161,IF(Weekly_Inspections!$AY161&lt;&gt;"",Weekly_Inspections!$AY161,IF(Weekly_Inspections!$AZ161&lt;&gt;"",Weekly_Inspections!$AZ161,IF(Weekly_Inspections!$BA161&lt;&gt;"",Weekly_Inspections!$BA161,IF(Weekly_Inspections!$BB161&lt;&gt;"",Weekly_Inspections!$BB161,Weekly_Inspections!$R161)))))</f>
        <v/>
      </c>
      <c r="G161" s="30">
        <f>IF(OR(Weekly_Inspections!$AQ161&lt;&gt;"",Weekly_Inspections!$AR161&lt;&gt;"",Weekly_Inspections!$AS161&lt;&gt;""),Weekly_Inspections!$AQ161,"")</f>
        <v/>
      </c>
      <c r="H161" s="30">
        <f>Weekly_Inspections!$AP161</f>
        <v/>
      </c>
      <c r="I161" s="30">
        <f>Weekly_Inspections!$AR161</f>
        <v/>
      </c>
      <c r="J161" s="30">
        <f>Weekly_Inspections!$AS161</f>
        <v/>
      </c>
      <c r="K161" s="30">
        <f>Weekly_Inspections!$AU161</f>
        <v/>
      </c>
      <c r="L161" s="46">
        <f>Weekly_Inspections!$AV161</f>
        <v/>
      </c>
      <c r="M161" s="30">
        <f>IF($B161="","",IF($N161&lt;&gt;"","Closed",IF(OR($G161&lt;&gt;"",$I161&lt;&gt;"",$J161&lt;&gt;""),"Open","")))</f>
        <v/>
      </c>
      <c r="N161" s="46" t="n"/>
      <c r="O161" s="28">
        <f>IF($B161="","",IF($M161="Closed",IF($N161="","",$N161-$B161),TODAY()-$B161))</f>
        <v/>
      </c>
      <c r="P161" s="28">
        <f>IF(OR($B161="",$L161="",$M161="Closed"),"",IF(TODAY()&gt;$L161,"YES","NO"))</f>
        <v/>
      </c>
      <c r="Q161" s="30">
        <f>Weekly_Inspections!$AW161</f>
        <v/>
      </c>
    </row>
    <row r="162" ht="15" customHeight="1" s="45">
      <c r="A162" s="28">
        <f>IF(Weekly_Inspections!$B162="","",Weekly_Inspections!$A162&amp;"-A1")</f>
        <v/>
      </c>
      <c r="B162" s="46">
        <f>Weekly_Inspections!$B162</f>
        <v/>
      </c>
      <c r="C162" s="30">
        <f>Weekly_Inspections!$E162</f>
        <v/>
      </c>
      <c r="D162" s="30">
        <f>Weekly_Inspections!$F162</f>
        <v/>
      </c>
      <c r="E162" s="28">
        <f>Weekly_Inspections!$H162</f>
        <v/>
      </c>
      <c r="F162" s="30">
        <f>IF(Weekly_Inspections!$AX162&lt;&gt;"",Weekly_Inspections!$AX162,IF(Weekly_Inspections!$AY162&lt;&gt;"",Weekly_Inspections!$AY162,IF(Weekly_Inspections!$AZ162&lt;&gt;"",Weekly_Inspections!$AZ162,IF(Weekly_Inspections!$BA162&lt;&gt;"",Weekly_Inspections!$BA162,IF(Weekly_Inspections!$BB162&lt;&gt;"",Weekly_Inspections!$BB162,Weekly_Inspections!$R162)))))</f>
        <v/>
      </c>
      <c r="G162" s="30">
        <f>IF(OR(Weekly_Inspections!$AQ162&lt;&gt;"",Weekly_Inspections!$AR162&lt;&gt;"",Weekly_Inspections!$AS162&lt;&gt;""),Weekly_Inspections!$AQ162,"")</f>
        <v/>
      </c>
      <c r="H162" s="30">
        <f>Weekly_Inspections!$AP162</f>
        <v/>
      </c>
      <c r="I162" s="30">
        <f>Weekly_Inspections!$AR162</f>
        <v/>
      </c>
      <c r="J162" s="30">
        <f>Weekly_Inspections!$AS162</f>
        <v/>
      </c>
      <c r="K162" s="30">
        <f>Weekly_Inspections!$AU162</f>
        <v/>
      </c>
      <c r="L162" s="46">
        <f>Weekly_Inspections!$AV162</f>
        <v/>
      </c>
      <c r="M162" s="30">
        <f>IF($B162="","",IF($N162&lt;&gt;"","Closed",IF(OR($G162&lt;&gt;"",$I162&lt;&gt;"",$J162&lt;&gt;""),"Open","")))</f>
        <v/>
      </c>
      <c r="N162" s="46" t="n"/>
      <c r="O162" s="28">
        <f>IF($B162="","",IF($M162="Closed",IF($N162="","",$N162-$B162),TODAY()-$B162))</f>
        <v/>
      </c>
      <c r="P162" s="28">
        <f>IF(OR($B162="",$L162="",$M162="Closed"),"",IF(TODAY()&gt;$L162,"YES","NO"))</f>
        <v/>
      </c>
      <c r="Q162" s="30">
        <f>Weekly_Inspections!$AW162</f>
        <v/>
      </c>
    </row>
    <row r="163" ht="15" customHeight="1" s="45">
      <c r="A163" s="28">
        <f>IF(Weekly_Inspections!$B163="","",Weekly_Inspections!$A163&amp;"-A1")</f>
        <v/>
      </c>
      <c r="B163" s="46">
        <f>Weekly_Inspections!$B163</f>
        <v/>
      </c>
      <c r="C163" s="30">
        <f>Weekly_Inspections!$E163</f>
        <v/>
      </c>
      <c r="D163" s="30">
        <f>Weekly_Inspections!$F163</f>
        <v/>
      </c>
      <c r="E163" s="28">
        <f>Weekly_Inspections!$H163</f>
        <v/>
      </c>
      <c r="F163" s="30">
        <f>IF(Weekly_Inspections!$AX163&lt;&gt;"",Weekly_Inspections!$AX163,IF(Weekly_Inspections!$AY163&lt;&gt;"",Weekly_Inspections!$AY163,IF(Weekly_Inspections!$AZ163&lt;&gt;"",Weekly_Inspections!$AZ163,IF(Weekly_Inspections!$BA163&lt;&gt;"",Weekly_Inspections!$BA163,IF(Weekly_Inspections!$BB163&lt;&gt;"",Weekly_Inspections!$BB163,Weekly_Inspections!$R163)))))</f>
        <v/>
      </c>
      <c r="G163" s="30">
        <f>IF(OR(Weekly_Inspections!$AQ163&lt;&gt;"",Weekly_Inspections!$AR163&lt;&gt;"",Weekly_Inspections!$AS163&lt;&gt;""),Weekly_Inspections!$AQ163,"")</f>
        <v/>
      </c>
      <c r="H163" s="30">
        <f>Weekly_Inspections!$AP163</f>
        <v/>
      </c>
      <c r="I163" s="30">
        <f>Weekly_Inspections!$AR163</f>
        <v/>
      </c>
      <c r="J163" s="30">
        <f>Weekly_Inspections!$AS163</f>
        <v/>
      </c>
      <c r="K163" s="30">
        <f>Weekly_Inspections!$AU163</f>
        <v/>
      </c>
      <c r="L163" s="46">
        <f>Weekly_Inspections!$AV163</f>
        <v/>
      </c>
      <c r="M163" s="30">
        <f>IF($B163="","",IF($N163&lt;&gt;"","Closed",IF(OR($G163&lt;&gt;"",$I163&lt;&gt;"",$J163&lt;&gt;""),"Open","")))</f>
        <v/>
      </c>
      <c r="N163" s="46" t="n"/>
      <c r="O163" s="28">
        <f>IF($B163="","",IF($M163="Closed",IF($N163="","",$N163-$B163),TODAY()-$B163))</f>
        <v/>
      </c>
      <c r="P163" s="28">
        <f>IF(OR($B163="",$L163="",$M163="Closed"),"",IF(TODAY()&gt;$L163,"YES","NO"))</f>
        <v/>
      </c>
      <c r="Q163" s="30">
        <f>Weekly_Inspections!$AW163</f>
        <v/>
      </c>
    </row>
    <row r="164" ht="15" customHeight="1" s="45">
      <c r="A164" s="28">
        <f>IF(Weekly_Inspections!$B164="","",Weekly_Inspections!$A164&amp;"-A1")</f>
        <v/>
      </c>
      <c r="B164" s="46">
        <f>Weekly_Inspections!$B164</f>
        <v/>
      </c>
      <c r="C164" s="30">
        <f>Weekly_Inspections!$E164</f>
        <v/>
      </c>
      <c r="D164" s="30">
        <f>Weekly_Inspections!$F164</f>
        <v/>
      </c>
      <c r="E164" s="28">
        <f>Weekly_Inspections!$H164</f>
        <v/>
      </c>
      <c r="F164" s="30">
        <f>IF(Weekly_Inspections!$AX164&lt;&gt;"",Weekly_Inspections!$AX164,IF(Weekly_Inspections!$AY164&lt;&gt;"",Weekly_Inspections!$AY164,IF(Weekly_Inspections!$AZ164&lt;&gt;"",Weekly_Inspections!$AZ164,IF(Weekly_Inspections!$BA164&lt;&gt;"",Weekly_Inspections!$BA164,IF(Weekly_Inspections!$BB164&lt;&gt;"",Weekly_Inspections!$BB164,Weekly_Inspections!$R164)))))</f>
        <v/>
      </c>
      <c r="G164" s="30">
        <f>IF(OR(Weekly_Inspections!$AQ164&lt;&gt;"",Weekly_Inspections!$AR164&lt;&gt;"",Weekly_Inspections!$AS164&lt;&gt;""),Weekly_Inspections!$AQ164,"")</f>
        <v/>
      </c>
      <c r="H164" s="30">
        <f>Weekly_Inspections!$AP164</f>
        <v/>
      </c>
      <c r="I164" s="30">
        <f>Weekly_Inspections!$AR164</f>
        <v/>
      </c>
      <c r="J164" s="30">
        <f>Weekly_Inspections!$AS164</f>
        <v/>
      </c>
      <c r="K164" s="30">
        <f>Weekly_Inspections!$AU164</f>
        <v/>
      </c>
      <c r="L164" s="46">
        <f>Weekly_Inspections!$AV164</f>
        <v/>
      </c>
      <c r="M164" s="30">
        <f>IF($B164="","",IF($N164&lt;&gt;"","Closed",IF(OR($G164&lt;&gt;"",$I164&lt;&gt;"",$J164&lt;&gt;""),"Open","")))</f>
        <v/>
      </c>
      <c r="N164" s="46" t="n"/>
      <c r="O164" s="28">
        <f>IF($B164="","",IF($M164="Closed",IF($N164="","",$N164-$B164),TODAY()-$B164))</f>
        <v/>
      </c>
      <c r="P164" s="28">
        <f>IF(OR($B164="",$L164="",$M164="Closed"),"",IF(TODAY()&gt;$L164,"YES","NO"))</f>
        <v/>
      </c>
      <c r="Q164" s="30">
        <f>Weekly_Inspections!$AW164</f>
        <v/>
      </c>
    </row>
    <row r="165" ht="15" customHeight="1" s="45">
      <c r="A165" s="28">
        <f>IF(Weekly_Inspections!$B165="","",Weekly_Inspections!$A165&amp;"-A1")</f>
        <v/>
      </c>
      <c r="B165" s="46">
        <f>Weekly_Inspections!$B165</f>
        <v/>
      </c>
      <c r="C165" s="30">
        <f>Weekly_Inspections!$E165</f>
        <v/>
      </c>
      <c r="D165" s="30">
        <f>Weekly_Inspections!$F165</f>
        <v/>
      </c>
      <c r="E165" s="28">
        <f>Weekly_Inspections!$H165</f>
        <v/>
      </c>
      <c r="F165" s="30">
        <f>IF(Weekly_Inspections!$AX165&lt;&gt;"",Weekly_Inspections!$AX165,IF(Weekly_Inspections!$AY165&lt;&gt;"",Weekly_Inspections!$AY165,IF(Weekly_Inspections!$AZ165&lt;&gt;"",Weekly_Inspections!$AZ165,IF(Weekly_Inspections!$BA165&lt;&gt;"",Weekly_Inspections!$BA165,IF(Weekly_Inspections!$BB165&lt;&gt;"",Weekly_Inspections!$BB165,Weekly_Inspections!$R165)))))</f>
        <v/>
      </c>
      <c r="G165" s="30">
        <f>IF(OR(Weekly_Inspections!$AQ165&lt;&gt;"",Weekly_Inspections!$AR165&lt;&gt;"",Weekly_Inspections!$AS165&lt;&gt;""),Weekly_Inspections!$AQ165,"")</f>
        <v/>
      </c>
      <c r="H165" s="30">
        <f>Weekly_Inspections!$AP165</f>
        <v/>
      </c>
      <c r="I165" s="30">
        <f>Weekly_Inspections!$AR165</f>
        <v/>
      </c>
      <c r="J165" s="30">
        <f>Weekly_Inspections!$AS165</f>
        <v/>
      </c>
      <c r="K165" s="30">
        <f>Weekly_Inspections!$AU165</f>
        <v/>
      </c>
      <c r="L165" s="46">
        <f>Weekly_Inspections!$AV165</f>
        <v/>
      </c>
      <c r="M165" s="30">
        <f>IF($B165="","",IF($N165&lt;&gt;"","Closed",IF(OR($G165&lt;&gt;"",$I165&lt;&gt;"",$J165&lt;&gt;""),"Open","")))</f>
        <v/>
      </c>
      <c r="N165" s="46" t="n"/>
      <c r="O165" s="28">
        <f>IF($B165="","",IF($M165="Closed",IF($N165="","",$N165-$B165),TODAY()-$B165))</f>
        <v/>
      </c>
      <c r="P165" s="28">
        <f>IF(OR($B165="",$L165="",$M165="Closed"),"",IF(TODAY()&gt;$L165,"YES","NO"))</f>
        <v/>
      </c>
      <c r="Q165" s="30">
        <f>Weekly_Inspections!$AW165</f>
        <v/>
      </c>
    </row>
    <row r="166" ht="15" customHeight="1" s="45">
      <c r="A166" s="28">
        <f>IF(Weekly_Inspections!$B166="","",Weekly_Inspections!$A166&amp;"-A1")</f>
        <v/>
      </c>
      <c r="B166" s="46">
        <f>Weekly_Inspections!$B166</f>
        <v/>
      </c>
      <c r="C166" s="30">
        <f>Weekly_Inspections!$E166</f>
        <v/>
      </c>
      <c r="D166" s="30">
        <f>Weekly_Inspections!$F166</f>
        <v/>
      </c>
      <c r="E166" s="28">
        <f>Weekly_Inspections!$H166</f>
        <v/>
      </c>
      <c r="F166" s="30">
        <f>IF(Weekly_Inspections!$AX166&lt;&gt;"",Weekly_Inspections!$AX166,IF(Weekly_Inspections!$AY166&lt;&gt;"",Weekly_Inspections!$AY166,IF(Weekly_Inspections!$AZ166&lt;&gt;"",Weekly_Inspections!$AZ166,IF(Weekly_Inspections!$BA166&lt;&gt;"",Weekly_Inspections!$BA166,IF(Weekly_Inspections!$BB166&lt;&gt;"",Weekly_Inspections!$BB166,Weekly_Inspections!$R166)))))</f>
        <v/>
      </c>
      <c r="G166" s="30">
        <f>IF(OR(Weekly_Inspections!$AQ166&lt;&gt;"",Weekly_Inspections!$AR166&lt;&gt;"",Weekly_Inspections!$AS166&lt;&gt;""),Weekly_Inspections!$AQ166,"")</f>
        <v/>
      </c>
      <c r="H166" s="30">
        <f>Weekly_Inspections!$AP166</f>
        <v/>
      </c>
      <c r="I166" s="30">
        <f>Weekly_Inspections!$AR166</f>
        <v/>
      </c>
      <c r="J166" s="30">
        <f>Weekly_Inspections!$AS166</f>
        <v/>
      </c>
      <c r="K166" s="30">
        <f>Weekly_Inspections!$AU166</f>
        <v/>
      </c>
      <c r="L166" s="46">
        <f>Weekly_Inspections!$AV166</f>
        <v/>
      </c>
      <c r="M166" s="30">
        <f>IF($B166="","",IF($N166&lt;&gt;"","Closed",IF(OR($G166&lt;&gt;"",$I166&lt;&gt;"",$J166&lt;&gt;""),"Open","")))</f>
        <v/>
      </c>
      <c r="N166" s="46" t="n"/>
      <c r="O166" s="28">
        <f>IF($B166="","",IF($M166="Closed",IF($N166="","",$N166-$B166),TODAY()-$B166))</f>
        <v/>
      </c>
      <c r="P166" s="28">
        <f>IF(OR($B166="",$L166="",$M166="Closed"),"",IF(TODAY()&gt;$L166,"YES","NO"))</f>
        <v/>
      </c>
      <c r="Q166" s="30">
        <f>Weekly_Inspections!$AW166</f>
        <v/>
      </c>
    </row>
    <row r="167" ht="15" customHeight="1" s="45">
      <c r="A167" s="28">
        <f>IF(Weekly_Inspections!$B167="","",Weekly_Inspections!$A167&amp;"-A1")</f>
        <v/>
      </c>
      <c r="B167" s="46">
        <f>Weekly_Inspections!$B167</f>
        <v/>
      </c>
      <c r="C167" s="30">
        <f>Weekly_Inspections!$E167</f>
        <v/>
      </c>
      <c r="D167" s="30">
        <f>Weekly_Inspections!$F167</f>
        <v/>
      </c>
      <c r="E167" s="28">
        <f>Weekly_Inspections!$H167</f>
        <v/>
      </c>
      <c r="F167" s="30">
        <f>IF(Weekly_Inspections!$AX167&lt;&gt;"",Weekly_Inspections!$AX167,IF(Weekly_Inspections!$AY167&lt;&gt;"",Weekly_Inspections!$AY167,IF(Weekly_Inspections!$AZ167&lt;&gt;"",Weekly_Inspections!$AZ167,IF(Weekly_Inspections!$BA167&lt;&gt;"",Weekly_Inspections!$BA167,IF(Weekly_Inspections!$BB167&lt;&gt;"",Weekly_Inspections!$BB167,Weekly_Inspections!$R167)))))</f>
        <v/>
      </c>
      <c r="G167" s="30">
        <f>IF(OR(Weekly_Inspections!$AQ167&lt;&gt;"",Weekly_Inspections!$AR167&lt;&gt;"",Weekly_Inspections!$AS167&lt;&gt;""),Weekly_Inspections!$AQ167,"")</f>
        <v/>
      </c>
      <c r="H167" s="30">
        <f>Weekly_Inspections!$AP167</f>
        <v/>
      </c>
      <c r="I167" s="30">
        <f>Weekly_Inspections!$AR167</f>
        <v/>
      </c>
      <c r="J167" s="30">
        <f>Weekly_Inspections!$AS167</f>
        <v/>
      </c>
      <c r="K167" s="30">
        <f>Weekly_Inspections!$AU167</f>
        <v/>
      </c>
      <c r="L167" s="46">
        <f>Weekly_Inspections!$AV167</f>
        <v/>
      </c>
      <c r="M167" s="30">
        <f>IF($B167="","",IF($N167&lt;&gt;"","Closed",IF(OR($G167&lt;&gt;"",$I167&lt;&gt;"",$J167&lt;&gt;""),"Open","")))</f>
        <v/>
      </c>
      <c r="N167" s="46" t="n"/>
      <c r="O167" s="28">
        <f>IF($B167="","",IF($M167="Closed",IF($N167="","",$N167-$B167),TODAY()-$B167))</f>
        <v/>
      </c>
      <c r="P167" s="28">
        <f>IF(OR($B167="",$L167="",$M167="Closed"),"",IF(TODAY()&gt;$L167,"YES","NO"))</f>
        <v/>
      </c>
      <c r="Q167" s="30">
        <f>Weekly_Inspections!$AW167</f>
        <v/>
      </c>
    </row>
    <row r="168" ht="15" customHeight="1" s="45">
      <c r="A168" s="28">
        <f>IF(Weekly_Inspections!$B168="","",Weekly_Inspections!$A168&amp;"-A1")</f>
        <v/>
      </c>
      <c r="B168" s="46">
        <f>Weekly_Inspections!$B168</f>
        <v/>
      </c>
      <c r="C168" s="30">
        <f>Weekly_Inspections!$E168</f>
        <v/>
      </c>
      <c r="D168" s="30">
        <f>Weekly_Inspections!$F168</f>
        <v/>
      </c>
      <c r="E168" s="28">
        <f>Weekly_Inspections!$H168</f>
        <v/>
      </c>
      <c r="F168" s="30">
        <f>IF(Weekly_Inspections!$AX168&lt;&gt;"",Weekly_Inspections!$AX168,IF(Weekly_Inspections!$AY168&lt;&gt;"",Weekly_Inspections!$AY168,IF(Weekly_Inspections!$AZ168&lt;&gt;"",Weekly_Inspections!$AZ168,IF(Weekly_Inspections!$BA168&lt;&gt;"",Weekly_Inspections!$BA168,IF(Weekly_Inspections!$BB168&lt;&gt;"",Weekly_Inspections!$BB168,Weekly_Inspections!$R168)))))</f>
        <v/>
      </c>
      <c r="G168" s="30">
        <f>IF(OR(Weekly_Inspections!$AQ168&lt;&gt;"",Weekly_Inspections!$AR168&lt;&gt;"",Weekly_Inspections!$AS168&lt;&gt;""),Weekly_Inspections!$AQ168,"")</f>
        <v/>
      </c>
      <c r="H168" s="30">
        <f>Weekly_Inspections!$AP168</f>
        <v/>
      </c>
      <c r="I168" s="30">
        <f>Weekly_Inspections!$AR168</f>
        <v/>
      </c>
      <c r="J168" s="30">
        <f>Weekly_Inspections!$AS168</f>
        <v/>
      </c>
      <c r="K168" s="30">
        <f>Weekly_Inspections!$AU168</f>
        <v/>
      </c>
      <c r="L168" s="46">
        <f>Weekly_Inspections!$AV168</f>
        <v/>
      </c>
      <c r="M168" s="30">
        <f>IF($B168="","",IF($N168&lt;&gt;"","Closed",IF(OR($G168&lt;&gt;"",$I168&lt;&gt;"",$J168&lt;&gt;""),"Open","")))</f>
        <v/>
      </c>
      <c r="N168" s="46" t="n"/>
      <c r="O168" s="28">
        <f>IF($B168="","",IF($M168="Closed",IF($N168="","",$N168-$B168),TODAY()-$B168))</f>
        <v/>
      </c>
      <c r="P168" s="28">
        <f>IF(OR($B168="",$L168="",$M168="Closed"),"",IF(TODAY()&gt;$L168,"YES","NO"))</f>
        <v/>
      </c>
      <c r="Q168" s="30">
        <f>Weekly_Inspections!$AW168</f>
        <v/>
      </c>
    </row>
    <row r="169" ht="15" customHeight="1" s="45">
      <c r="A169" s="28">
        <f>IF(Weekly_Inspections!$B169="","",Weekly_Inspections!$A169&amp;"-A1")</f>
        <v/>
      </c>
      <c r="B169" s="46">
        <f>Weekly_Inspections!$B169</f>
        <v/>
      </c>
      <c r="C169" s="30">
        <f>Weekly_Inspections!$E169</f>
        <v/>
      </c>
      <c r="D169" s="30">
        <f>Weekly_Inspections!$F169</f>
        <v/>
      </c>
      <c r="E169" s="28">
        <f>Weekly_Inspections!$H169</f>
        <v/>
      </c>
      <c r="F169" s="30">
        <f>IF(Weekly_Inspections!$AX169&lt;&gt;"",Weekly_Inspections!$AX169,IF(Weekly_Inspections!$AY169&lt;&gt;"",Weekly_Inspections!$AY169,IF(Weekly_Inspections!$AZ169&lt;&gt;"",Weekly_Inspections!$AZ169,IF(Weekly_Inspections!$BA169&lt;&gt;"",Weekly_Inspections!$BA169,IF(Weekly_Inspections!$BB169&lt;&gt;"",Weekly_Inspections!$BB169,Weekly_Inspections!$R169)))))</f>
        <v/>
      </c>
      <c r="G169" s="30">
        <f>IF(OR(Weekly_Inspections!$AQ169&lt;&gt;"",Weekly_Inspections!$AR169&lt;&gt;"",Weekly_Inspections!$AS169&lt;&gt;""),Weekly_Inspections!$AQ169,"")</f>
        <v/>
      </c>
      <c r="H169" s="30">
        <f>Weekly_Inspections!$AP169</f>
        <v/>
      </c>
      <c r="I169" s="30">
        <f>Weekly_Inspections!$AR169</f>
        <v/>
      </c>
      <c r="J169" s="30">
        <f>Weekly_Inspections!$AS169</f>
        <v/>
      </c>
      <c r="K169" s="30">
        <f>Weekly_Inspections!$AU169</f>
        <v/>
      </c>
      <c r="L169" s="46">
        <f>Weekly_Inspections!$AV169</f>
        <v/>
      </c>
      <c r="M169" s="30">
        <f>IF($B169="","",IF($N169&lt;&gt;"","Closed",IF(OR($G169&lt;&gt;"",$I169&lt;&gt;"",$J169&lt;&gt;""),"Open","")))</f>
        <v/>
      </c>
      <c r="N169" s="46" t="n"/>
      <c r="O169" s="28">
        <f>IF($B169="","",IF($M169="Closed",IF($N169="","",$N169-$B169),TODAY()-$B169))</f>
        <v/>
      </c>
      <c r="P169" s="28">
        <f>IF(OR($B169="",$L169="",$M169="Closed"),"",IF(TODAY()&gt;$L169,"YES","NO"))</f>
        <v/>
      </c>
      <c r="Q169" s="30">
        <f>Weekly_Inspections!$AW169</f>
        <v/>
      </c>
    </row>
    <row r="170" ht="15" customHeight="1" s="45">
      <c r="A170" s="28">
        <f>IF(Weekly_Inspections!$B170="","",Weekly_Inspections!$A170&amp;"-A1")</f>
        <v/>
      </c>
      <c r="B170" s="46">
        <f>Weekly_Inspections!$B170</f>
        <v/>
      </c>
      <c r="C170" s="30">
        <f>Weekly_Inspections!$E170</f>
        <v/>
      </c>
      <c r="D170" s="30">
        <f>Weekly_Inspections!$F170</f>
        <v/>
      </c>
      <c r="E170" s="28">
        <f>Weekly_Inspections!$H170</f>
        <v/>
      </c>
      <c r="F170" s="30">
        <f>IF(Weekly_Inspections!$AX170&lt;&gt;"",Weekly_Inspections!$AX170,IF(Weekly_Inspections!$AY170&lt;&gt;"",Weekly_Inspections!$AY170,IF(Weekly_Inspections!$AZ170&lt;&gt;"",Weekly_Inspections!$AZ170,IF(Weekly_Inspections!$BA170&lt;&gt;"",Weekly_Inspections!$BA170,IF(Weekly_Inspections!$BB170&lt;&gt;"",Weekly_Inspections!$BB170,Weekly_Inspections!$R170)))))</f>
        <v/>
      </c>
      <c r="G170" s="30">
        <f>IF(OR(Weekly_Inspections!$AQ170&lt;&gt;"",Weekly_Inspections!$AR170&lt;&gt;"",Weekly_Inspections!$AS170&lt;&gt;""),Weekly_Inspections!$AQ170,"")</f>
        <v/>
      </c>
      <c r="H170" s="30">
        <f>Weekly_Inspections!$AP170</f>
        <v/>
      </c>
      <c r="I170" s="30">
        <f>Weekly_Inspections!$AR170</f>
        <v/>
      </c>
      <c r="J170" s="30">
        <f>Weekly_Inspections!$AS170</f>
        <v/>
      </c>
      <c r="K170" s="30">
        <f>Weekly_Inspections!$AU170</f>
        <v/>
      </c>
      <c r="L170" s="46">
        <f>Weekly_Inspections!$AV170</f>
        <v/>
      </c>
      <c r="M170" s="30">
        <f>IF($B170="","",IF($N170&lt;&gt;"","Closed",IF(OR($G170&lt;&gt;"",$I170&lt;&gt;"",$J170&lt;&gt;""),"Open","")))</f>
        <v/>
      </c>
      <c r="N170" s="46" t="n"/>
      <c r="O170" s="28">
        <f>IF($B170="","",IF($M170="Closed",IF($N170="","",$N170-$B170),TODAY()-$B170))</f>
        <v/>
      </c>
      <c r="P170" s="28">
        <f>IF(OR($B170="",$L170="",$M170="Closed"),"",IF(TODAY()&gt;$L170,"YES","NO"))</f>
        <v/>
      </c>
      <c r="Q170" s="30">
        <f>Weekly_Inspections!$AW170</f>
        <v/>
      </c>
    </row>
    <row r="171" ht="15" customHeight="1" s="45">
      <c r="A171" s="28">
        <f>IF(Weekly_Inspections!$B171="","",Weekly_Inspections!$A171&amp;"-A1")</f>
        <v/>
      </c>
      <c r="B171" s="46">
        <f>Weekly_Inspections!$B171</f>
        <v/>
      </c>
      <c r="C171" s="30">
        <f>Weekly_Inspections!$E171</f>
        <v/>
      </c>
      <c r="D171" s="30">
        <f>Weekly_Inspections!$F171</f>
        <v/>
      </c>
      <c r="E171" s="28">
        <f>Weekly_Inspections!$H171</f>
        <v/>
      </c>
      <c r="F171" s="30">
        <f>IF(Weekly_Inspections!$AX171&lt;&gt;"",Weekly_Inspections!$AX171,IF(Weekly_Inspections!$AY171&lt;&gt;"",Weekly_Inspections!$AY171,IF(Weekly_Inspections!$AZ171&lt;&gt;"",Weekly_Inspections!$AZ171,IF(Weekly_Inspections!$BA171&lt;&gt;"",Weekly_Inspections!$BA171,IF(Weekly_Inspections!$BB171&lt;&gt;"",Weekly_Inspections!$BB171,Weekly_Inspections!$R171)))))</f>
        <v/>
      </c>
      <c r="G171" s="30">
        <f>IF(OR(Weekly_Inspections!$AQ171&lt;&gt;"",Weekly_Inspections!$AR171&lt;&gt;"",Weekly_Inspections!$AS171&lt;&gt;""),Weekly_Inspections!$AQ171,"")</f>
        <v/>
      </c>
      <c r="H171" s="30">
        <f>Weekly_Inspections!$AP171</f>
        <v/>
      </c>
      <c r="I171" s="30">
        <f>Weekly_Inspections!$AR171</f>
        <v/>
      </c>
      <c r="J171" s="30">
        <f>Weekly_Inspections!$AS171</f>
        <v/>
      </c>
      <c r="K171" s="30">
        <f>Weekly_Inspections!$AU171</f>
        <v/>
      </c>
      <c r="L171" s="46">
        <f>Weekly_Inspections!$AV171</f>
        <v/>
      </c>
      <c r="M171" s="30">
        <f>IF($B171="","",IF($N171&lt;&gt;"","Closed",IF(OR($G171&lt;&gt;"",$I171&lt;&gt;"",$J171&lt;&gt;""),"Open","")))</f>
        <v/>
      </c>
      <c r="N171" s="46" t="n"/>
      <c r="O171" s="28">
        <f>IF($B171="","",IF($M171="Closed",IF($N171="","",$N171-$B171),TODAY()-$B171))</f>
        <v/>
      </c>
      <c r="P171" s="28">
        <f>IF(OR($B171="",$L171="",$M171="Closed"),"",IF(TODAY()&gt;$L171,"YES","NO"))</f>
        <v/>
      </c>
      <c r="Q171" s="30">
        <f>Weekly_Inspections!$AW171</f>
        <v/>
      </c>
    </row>
    <row r="172" ht="15" customHeight="1" s="45">
      <c r="A172" s="28">
        <f>IF(Weekly_Inspections!$B172="","",Weekly_Inspections!$A172&amp;"-A1")</f>
        <v/>
      </c>
      <c r="B172" s="46">
        <f>Weekly_Inspections!$B172</f>
        <v/>
      </c>
      <c r="C172" s="30">
        <f>Weekly_Inspections!$E172</f>
        <v/>
      </c>
      <c r="D172" s="30">
        <f>Weekly_Inspections!$F172</f>
        <v/>
      </c>
      <c r="E172" s="28">
        <f>Weekly_Inspections!$H172</f>
        <v/>
      </c>
      <c r="F172" s="30">
        <f>IF(Weekly_Inspections!$AX172&lt;&gt;"",Weekly_Inspections!$AX172,IF(Weekly_Inspections!$AY172&lt;&gt;"",Weekly_Inspections!$AY172,IF(Weekly_Inspections!$AZ172&lt;&gt;"",Weekly_Inspections!$AZ172,IF(Weekly_Inspections!$BA172&lt;&gt;"",Weekly_Inspections!$BA172,IF(Weekly_Inspections!$BB172&lt;&gt;"",Weekly_Inspections!$BB172,Weekly_Inspections!$R172)))))</f>
        <v/>
      </c>
      <c r="G172" s="30">
        <f>IF(OR(Weekly_Inspections!$AQ172&lt;&gt;"",Weekly_Inspections!$AR172&lt;&gt;"",Weekly_Inspections!$AS172&lt;&gt;""),Weekly_Inspections!$AQ172,"")</f>
        <v/>
      </c>
      <c r="H172" s="30">
        <f>Weekly_Inspections!$AP172</f>
        <v/>
      </c>
      <c r="I172" s="30">
        <f>Weekly_Inspections!$AR172</f>
        <v/>
      </c>
      <c r="J172" s="30">
        <f>Weekly_Inspections!$AS172</f>
        <v/>
      </c>
      <c r="K172" s="30">
        <f>Weekly_Inspections!$AU172</f>
        <v/>
      </c>
      <c r="L172" s="46">
        <f>Weekly_Inspections!$AV172</f>
        <v/>
      </c>
      <c r="M172" s="30">
        <f>IF($B172="","",IF($N172&lt;&gt;"","Closed",IF(OR($G172&lt;&gt;"",$I172&lt;&gt;"",$J172&lt;&gt;""),"Open","")))</f>
        <v/>
      </c>
      <c r="N172" s="46" t="n"/>
      <c r="O172" s="28">
        <f>IF($B172="","",IF($M172="Closed",IF($N172="","",$N172-$B172),TODAY()-$B172))</f>
        <v/>
      </c>
      <c r="P172" s="28">
        <f>IF(OR($B172="",$L172="",$M172="Closed"),"",IF(TODAY()&gt;$L172,"YES","NO"))</f>
        <v/>
      </c>
      <c r="Q172" s="30">
        <f>Weekly_Inspections!$AW172</f>
        <v/>
      </c>
    </row>
    <row r="173" ht="15" customHeight="1" s="45">
      <c r="A173" s="28">
        <f>IF(Weekly_Inspections!$B173="","",Weekly_Inspections!$A173&amp;"-A1")</f>
        <v/>
      </c>
      <c r="B173" s="46">
        <f>Weekly_Inspections!$B173</f>
        <v/>
      </c>
      <c r="C173" s="30">
        <f>Weekly_Inspections!$E173</f>
        <v/>
      </c>
      <c r="D173" s="30">
        <f>Weekly_Inspections!$F173</f>
        <v/>
      </c>
      <c r="E173" s="28">
        <f>Weekly_Inspections!$H173</f>
        <v/>
      </c>
      <c r="F173" s="30">
        <f>IF(Weekly_Inspections!$AX173&lt;&gt;"",Weekly_Inspections!$AX173,IF(Weekly_Inspections!$AY173&lt;&gt;"",Weekly_Inspections!$AY173,IF(Weekly_Inspections!$AZ173&lt;&gt;"",Weekly_Inspections!$AZ173,IF(Weekly_Inspections!$BA173&lt;&gt;"",Weekly_Inspections!$BA173,IF(Weekly_Inspections!$BB173&lt;&gt;"",Weekly_Inspections!$BB173,Weekly_Inspections!$R173)))))</f>
        <v/>
      </c>
      <c r="G173" s="30">
        <f>IF(OR(Weekly_Inspections!$AQ173&lt;&gt;"",Weekly_Inspections!$AR173&lt;&gt;"",Weekly_Inspections!$AS173&lt;&gt;""),Weekly_Inspections!$AQ173,"")</f>
        <v/>
      </c>
      <c r="H173" s="30">
        <f>Weekly_Inspections!$AP173</f>
        <v/>
      </c>
      <c r="I173" s="30">
        <f>Weekly_Inspections!$AR173</f>
        <v/>
      </c>
      <c r="J173" s="30">
        <f>Weekly_Inspections!$AS173</f>
        <v/>
      </c>
      <c r="K173" s="30">
        <f>Weekly_Inspections!$AU173</f>
        <v/>
      </c>
      <c r="L173" s="46">
        <f>Weekly_Inspections!$AV173</f>
        <v/>
      </c>
      <c r="M173" s="30">
        <f>IF($B173="","",IF($N173&lt;&gt;"","Closed",IF(OR($G173&lt;&gt;"",$I173&lt;&gt;"",$J173&lt;&gt;""),"Open","")))</f>
        <v/>
      </c>
      <c r="N173" s="46" t="n"/>
      <c r="O173" s="28">
        <f>IF($B173="","",IF($M173="Closed",IF($N173="","",$N173-$B173),TODAY()-$B173))</f>
        <v/>
      </c>
      <c r="P173" s="28">
        <f>IF(OR($B173="",$L173="",$M173="Closed"),"",IF(TODAY()&gt;$L173,"YES","NO"))</f>
        <v/>
      </c>
      <c r="Q173" s="30">
        <f>Weekly_Inspections!$AW173</f>
        <v/>
      </c>
    </row>
    <row r="174" ht="15" customHeight="1" s="45">
      <c r="A174" s="28">
        <f>IF(Weekly_Inspections!$B174="","",Weekly_Inspections!$A174&amp;"-A1")</f>
        <v/>
      </c>
      <c r="B174" s="46">
        <f>Weekly_Inspections!$B174</f>
        <v/>
      </c>
      <c r="C174" s="30">
        <f>Weekly_Inspections!$E174</f>
        <v/>
      </c>
      <c r="D174" s="30">
        <f>Weekly_Inspections!$F174</f>
        <v/>
      </c>
      <c r="E174" s="28">
        <f>Weekly_Inspections!$H174</f>
        <v/>
      </c>
      <c r="F174" s="30">
        <f>IF(Weekly_Inspections!$AX174&lt;&gt;"",Weekly_Inspections!$AX174,IF(Weekly_Inspections!$AY174&lt;&gt;"",Weekly_Inspections!$AY174,IF(Weekly_Inspections!$AZ174&lt;&gt;"",Weekly_Inspections!$AZ174,IF(Weekly_Inspections!$BA174&lt;&gt;"",Weekly_Inspections!$BA174,IF(Weekly_Inspections!$BB174&lt;&gt;"",Weekly_Inspections!$BB174,Weekly_Inspections!$R174)))))</f>
        <v/>
      </c>
      <c r="G174" s="30">
        <f>IF(OR(Weekly_Inspections!$AQ174&lt;&gt;"",Weekly_Inspections!$AR174&lt;&gt;"",Weekly_Inspections!$AS174&lt;&gt;""),Weekly_Inspections!$AQ174,"")</f>
        <v/>
      </c>
      <c r="H174" s="30">
        <f>Weekly_Inspections!$AP174</f>
        <v/>
      </c>
      <c r="I174" s="30">
        <f>Weekly_Inspections!$AR174</f>
        <v/>
      </c>
      <c r="J174" s="30">
        <f>Weekly_Inspections!$AS174</f>
        <v/>
      </c>
      <c r="K174" s="30">
        <f>Weekly_Inspections!$AU174</f>
        <v/>
      </c>
      <c r="L174" s="46">
        <f>Weekly_Inspections!$AV174</f>
        <v/>
      </c>
      <c r="M174" s="30">
        <f>IF($B174="","",IF($N174&lt;&gt;"","Closed",IF(OR($G174&lt;&gt;"",$I174&lt;&gt;"",$J174&lt;&gt;""),"Open","")))</f>
        <v/>
      </c>
      <c r="N174" s="46" t="n"/>
      <c r="O174" s="28">
        <f>IF($B174="","",IF($M174="Closed",IF($N174="","",$N174-$B174),TODAY()-$B174))</f>
        <v/>
      </c>
      <c r="P174" s="28">
        <f>IF(OR($B174="",$L174="",$M174="Closed"),"",IF(TODAY()&gt;$L174,"YES","NO"))</f>
        <v/>
      </c>
      <c r="Q174" s="30">
        <f>Weekly_Inspections!$AW174</f>
        <v/>
      </c>
    </row>
    <row r="175" ht="15" customHeight="1" s="45">
      <c r="A175" s="28">
        <f>IF(Weekly_Inspections!$B175="","",Weekly_Inspections!$A175&amp;"-A1")</f>
        <v/>
      </c>
      <c r="B175" s="46">
        <f>Weekly_Inspections!$B175</f>
        <v/>
      </c>
      <c r="C175" s="30">
        <f>Weekly_Inspections!$E175</f>
        <v/>
      </c>
      <c r="D175" s="30">
        <f>Weekly_Inspections!$F175</f>
        <v/>
      </c>
      <c r="E175" s="28">
        <f>Weekly_Inspections!$H175</f>
        <v/>
      </c>
      <c r="F175" s="30">
        <f>IF(Weekly_Inspections!$AX175&lt;&gt;"",Weekly_Inspections!$AX175,IF(Weekly_Inspections!$AY175&lt;&gt;"",Weekly_Inspections!$AY175,IF(Weekly_Inspections!$AZ175&lt;&gt;"",Weekly_Inspections!$AZ175,IF(Weekly_Inspections!$BA175&lt;&gt;"",Weekly_Inspections!$BA175,IF(Weekly_Inspections!$BB175&lt;&gt;"",Weekly_Inspections!$BB175,Weekly_Inspections!$R175)))))</f>
        <v/>
      </c>
      <c r="G175" s="30">
        <f>IF(OR(Weekly_Inspections!$AQ175&lt;&gt;"",Weekly_Inspections!$AR175&lt;&gt;"",Weekly_Inspections!$AS175&lt;&gt;""),Weekly_Inspections!$AQ175,"")</f>
        <v/>
      </c>
      <c r="H175" s="30">
        <f>Weekly_Inspections!$AP175</f>
        <v/>
      </c>
      <c r="I175" s="30">
        <f>Weekly_Inspections!$AR175</f>
        <v/>
      </c>
      <c r="J175" s="30">
        <f>Weekly_Inspections!$AS175</f>
        <v/>
      </c>
      <c r="K175" s="30">
        <f>Weekly_Inspections!$AU175</f>
        <v/>
      </c>
      <c r="L175" s="46">
        <f>Weekly_Inspections!$AV175</f>
        <v/>
      </c>
      <c r="M175" s="30">
        <f>IF($B175="","",IF($N175&lt;&gt;"","Closed",IF(OR($G175&lt;&gt;"",$I175&lt;&gt;"",$J175&lt;&gt;""),"Open","")))</f>
        <v/>
      </c>
      <c r="N175" s="46" t="n"/>
      <c r="O175" s="28">
        <f>IF($B175="","",IF($M175="Closed",IF($N175="","",$N175-$B175),TODAY()-$B175))</f>
        <v/>
      </c>
      <c r="P175" s="28">
        <f>IF(OR($B175="",$L175="",$M175="Closed"),"",IF(TODAY()&gt;$L175,"YES","NO"))</f>
        <v/>
      </c>
      <c r="Q175" s="30">
        <f>Weekly_Inspections!$AW175</f>
        <v/>
      </c>
    </row>
    <row r="176" ht="15" customHeight="1" s="45">
      <c r="A176" s="28">
        <f>IF(Weekly_Inspections!$B176="","",Weekly_Inspections!$A176&amp;"-A1")</f>
        <v/>
      </c>
      <c r="B176" s="46">
        <f>Weekly_Inspections!$B176</f>
        <v/>
      </c>
      <c r="C176" s="30">
        <f>Weekly_Inspections!$E176</f>
        <v/>
      </c>
      <c r="D176" s="30">
        <f>Weekly_Inspections!$F176</f>
        <v/>
      </c>
      <c r="E176" s="28">
        <f>Weekly_Inspections!$H176</f>
        <v/>
      </c>
      <c r="F176" s="30">
        <f>IF(Weekly_Inspections!$AX176&lt;&gt;"",Weekly_Inspections!$AX176,IF(Weekly_Inspections!$AY176&lt;&gt;"",Weekly_Inspections!$AY176,IF(Weekly_Inspections!$AZ176&lt;&gt;"",Weekly_Inspections!$AZ176,IF(Weekly_Inspections!$BA176&lt;&gt;"",Weekly_Inspections!$BA176,IF(Weekly_Inspections!$BB176&lt;&gt;"",Weekly_Inspections!$BB176,Weekly_Inspections!$R176)))))</f>
        <v/>
      </c>
      <c r="G176" s="30">
        <f>IF(OR(Weekly_Inspections!$AQ176&lt;&gt;"",Weekly_Inspections!$AR176&lt;&gt;"",Weekly_Inspections!$AS176&lt;&gt;""),Weekly_Inspections!$AQ176,"")</f>
        <v/>
      </c>
      <c r="H176" s="30">
        <f>Weekly_Inspections!$AP176</f>
        <v/>
      </c>
      <c r="I176" s="30">
        <f>Weekly_Inspections!$AR176</f>
        <v/>
      </c>
      <c r="J176" s="30">
        <f>Weekly_Inspections!$AS176</f>
        <v/>
      </c>
      <c r="K176" s="30">
        <f>Weekly_Inspections!$AU176</f>
        <v/>
      </c>
      <c r="L176" s="46">
        <f>Weekly_Inspections!$AV176</f>
        <v/>
      </c>
      <c r="M176" s="30">
        <f>IF($B176="","",IF($N176&lt;&gt;"","Closed",IF(OR($G176&lt;&gt;"",$I176&lt;&gt;"",$J176&lt;&gt;""),"Open","")))</f>
        <v/>
      </c>
      <c r="N176" s="46" t="n"/>
      <c r="O176" s="28">
        <f>IF($B176="","",IF($M176="Closed",IF($N176="","",$N176-$B176),TODAY()-$B176))</f>
        <v/>
      </c>
      <c r="P176" s="28">
        <f>IF(OR($B176="",$L176="",$M176="Closed"),"",IF(TODAY()&gt;$L176,"YES","NO"))</f>
        <v/>
      </c>
      <c r="Q176" s="30">
        <f>Weekly_Inspections!$AW176</f>
        <v/>
      </c>
    </row>
    <row r="177" ht="15" customHeight="1" s="45">
      <c r="A177" s="28">
        <f>IF(Weekly_Inspections!$B177="","",Weekly_Inspections!$A177&amp;"-A1")</f>
        <v/>
      </c>
      <c r="B177" s="46">
        <f>Weekly_Inspections!$B177</f>
        <v/>
      </c>
      <c r="C177" s="30">
        <f>Weekly_Inspections!$E177</f>
        <v/>
      </c>
      <c r="D177" s="30">
        <f>Weekly_Inspections!$F177</f>
        <v/>
      </c>
      <c r="E177" s="28">
        <f>Weekly_Inspections!$H177</f>
        <v/>
      </c>
      <c r="F177" s="30">
        <f>IF(Weekly_Inspections!$AX177&lt;&gt;"",Weekly_Inspections!$AX177,IF(Weekly_Inspections!$AY177&lt;&gt;"",Weekly_Inspections!$AY177,IF(Weekly_Inspections!$AZ177&lt;&gt;"",Weekly_Inspections!$AZ177,IF(Weekly_Inspections!$BA177&lt;&gt;"",Weekly_Inspections!$BA177,IF(Weekly_Inspections!$BB177&lt;&gt;"",Weekly_Inspections!$BB177,Weekly_Inspections!$R177)))))</f>
        <v/>
      </c>
      <c r="G177" s="30">
        <f>IF(OR(Weekly_Inspections!$AQ177&lt;&gt;"",Weekly_Inspections!$AR177&lt;&gt;"",Weekly_Inspections!$AS177&lt;&gt;""),Weekly_Inspections!$AQ177,"")</f>
        <v/>
      </c>
      <c r="H177" s="30">
        <f>Weekly_Inspections!$AP177</f>
        <v/>
      </c>
      <c r="I177" s="30">
        <f>Weekly_Inspections!$AR177</f>
        <v/>
      </c>
      <c r="J177" s="30">
        <f>Weekly_Inspections!$AS177</f>
        <v/>
      </c>
      <c r="K177" s="30">
        <f>Weekly_Inspections!$AU177</f>
        <v/>
      </c>
      <c r="L177" s="46">
        <f>Weekly_Inspections!$AV177</f>
        <v/>
      </c>
      <c r="M177" s="30">
        <f>IF($B177="","",IF($N177&lt;&gt;"","Closed",IF(OR($G177&lt;&gt;"",$I177&lt;&gt;"",$J177&lt;&gt;""),"Open","")))</f>
        <v/>
      </c>
      <c r="N177" s="46" t="n"/>
      <c r="O177" s="28">
        <f>IF($B177="","",IF($M177="Closed",IF($N177="","",$N177-$B177),TODAY()-$B177))</f>
        <v/>
      </c>
      <c r="P177" s="28">
        <f>IF(OR($B177="",$L177="",$M177="Closed"),"",IF(TODAY()&gt;$L177,"YES","NO"))</f>
        <v/>
      </c>
      <c r="Q177" s="30">
        <f>Weekly_Inspections!$AW177</f>
        <v/>
      </c>
    </row>
    <row r="178" ht="15" customHeight="1" s="45">
      <c r="A178" s="28">
        <f>IF(Weekly_Inspections!$B178="","",Weekly_Inspections!$A178&amp;"-A1")</f>
        <v/>
      </c>
      <c r="B178" s="46">
        <f>Weekly_Inspections!$B178</f>
        <v/>
      </c>
      <c r="C178" s="30">
        <f>Weekly_Inspections!$E178</f>
        <v/>
      </c>
      <c r="D178" s="30">
        <f>Weekly_Inspections!$F178</f>
        <v/>
      </c>
      <c r="E178" s="28">
        <f>Weekly_Inspections!$H178</f>
        <v/>
      </c>
      <c r="F178" s="30">
        <f>IF(Weekly_Inspections!$AX178&lt;&gt;"",Weekly_Inspections!$AX178,IF(Weekly_Inspections!$AY178&lt;&gt;"",Weekly_Inspections!$AY178,IF(Weekly_Inspections!$AZ178&lt;&gt;"",Weekly_Inspections!$AZ178,IF(Weekly_Inspections!$BA178&lt;&gt;"",Weekly_Inspections!$BA178,IF(Weekly_Inspections!$BB178&lt;&gt;"",Weekly_Inspections!$BB178,Weekly_Inspections!$R178)))))</f>
        <v/>
      </c>
      <c r="G178" s="30">
        <f>IF(OR(Weekly_Inspections!$AQ178&lt;&gt;"",Weekly_Inspections!$AR178&lt;&gt;"",Weekly_Inspections!$AS178&lt;&gt;""),Weekly_Inspections!$AQ178,"")</f>
        <v/>
      </c>
      <c r="H178" s="30">
        <f>Weekly_Inspections!$AP178</f>
        <v/>
      </c>
      <c r="I178" s="30">
        <f>Weekly_Inspections!$AR178</f>
        <v/>
      </c>
      <c r="J178" s="30">
        <f>Weekly_Inspections!$AS178</f>
        <v/>
      </c>
      <c r="K178" s="30">
        <f>Weekly_Inspections!$AU178</f>
        <v/>
      </c>
      <c r="L178" s="46">
        <f>Weekly_Inspections!$AV178</f>
        <v/>
      </c>
      <c r="M178" s="30">
        <f>IF($B178="","",IF($N178&lt;&gt;"","Closed",IF(OR($G178&lt;&gt;"",$I178&lt;&gt;"",$J178&lt;&gt;""),"Open","")))</f>
        <v/>
      </c>
      <c r="N178" s="46" t="n"/>
      <c r="O178" s="28">
        <f>IF($B178="","",IF($M178="Closed",IF($N178="","",$N178-$B178),TODAY()-$B178))</f>
        <v/>
      </c>
      <c r="P178" s="28">
        <f>IF(OR($B178="",$L178="",$M178="Closed"),"",IF(TODAY()&gt;$L178,"YES","NO"))</f>
        <v/>
      </c>
      <c r="Q178" s="30">
        <f>Weekly_Inspections!$AW178</f>
        <v/>
      </c>
    </row>
    <row r="179" ht="15" customHeight="1" s="45">
      <c r="A179" s="28">
        <f>IF(Weekly_Inspections!$B179="","",Weekly_Inspections!$A179&amp;"-A1")</f>
        <v/>
      </c>
      <c r="B179" s="46">
        <f>Weekly_Inspections!$B179</f>
        <v/>
      </c>
      <c r="C179" s="30">
        <f>Weekly_Inspections!$E179</f>
        <v/>
      </c>
      <c r="D179" s="30">
        <f>Weekly_Inspections!$F179</f>
        <v/>
      </c>
      <c r="E179" s="28">
        <f>Weekly_Inspections!$H179</f>
        <v/>
      </c>
      <c r="F179" s="30">
        <f>IF(Weekly_Inspections!$AX179&lt;&gt;"",Weekly_Inspections!$AX179,IF(Weekly_Inspections!$AY179&lt;&gt;"",Weekly_Inspections!$AY179,IF(Weekly_Inspections!$AZ179&lt;&gt;"",Weekly_Inspections!$AZ179,IF(Weekly_Inspections!$BA179&lt;&gt;"",Weekly_Inspections!$BA179,IF(Weekly_Inspections!$BB179&lt;&gt;"",Weekly_Inspections!$BB179,Weekly_Inspections!$R179)))))</f>
        <v/>
      </c>
      <c r="G179" s="30">
        <f>IF(OR(Weekly_Inspections!$AQ179&lt;&gt;"",Weekly_Inspections!$AR179&lt;&gt;"",Weekly_Inspections!$AS179&lt;&gt;""),Weekly_Inspections!$AQ179,"")</f>
        <v/>
      </c>
      <c r="H179" s="30">
        <f>Weekly_Inspections!$AP179</f>
        <v/>
      </c>
      <c r="I179" s="30">
        <f>Weekly_Inspections!$AR179</f>
        <v/>
      </c>
      <c r="J179" s="30">
        <f>Weekly_Inspections!$AS179</f>
        <v/>
      </c>
      <c r="K179" s="30">
        <f>Weekly_Inspections!$AU179</f>
        <v/>
      </c>
      <c r="L179" s="46">
        <f>Weekly_Inspections!$AV179</f>
        <v/>
      </c>
      <c r="M179" s="30">
        <f>IF($B179="","",IF($N179&lt;&gt;"","Closed",IF(OR($G179&lt;&gt;"",$I179&lt;&gt;"",$J179&lt;&gt;""),"Open","")))</f>
        <v/>
      </c>
      <c r="N179" s="46" t="n"/>
      <c r="O179" s="28">
        <f>IF($B179="","",IF($M179="Closed",IF($N179="","",$N179-$B179),TODAY()-$B179))</f>
        <v/>
      </c>
      <c r="P179" s="28">
        <f>IF(OR($B179="",$L179="",$M179="Closed"),"",IF(TODAY()&gt;$L179,"YES","NO"))</f>
        <v/>
      </c>
      <c r="Q179" s="30">
        <f>Weekly_Inspections!$AW179</f>
        <v/>
      </c>
    </row>
    <row r="180" ht="15" customHeight="1" s="45">
      <c r="A180" s="28">
        <f>IF(Weekly_Inspections!$B180="","",Weekly_Inspections!$A180&amp;"-A1")</f>
        <v/>
      </c>
      <c r="B180" s="46">
        <f>Weekly_Inspections!$B180</f>
        <v/>
      </c>
      <c r="C180" s="30">
        <f>Weekly_Inspections!$E180</f>
        <v/>
      </c>
      <c r="D180" s="30">
        <f>Weekly_Inspections!$F180</f>
        <v/>
      </c>
      <c r="E180" s="28">
        <f>Weekly_Inspections!$H180</f>
        <v/>
      </c>
      <c r="F180" s="30">
        <f>IF(Weekly_Inspections!$AX180&lt;&gt;"",Weekly_Inspections!$AX180,IF(Weekly_Inspections!$AY180&lt;&gt;"",Weekly_Inspections!$AY180,IF(Weekly_Inspections!$AZ180&lt;&gt;"",Weekly_Inspections!$AZ180,IF(Weekly_Inspections!$BA180&lt;&gt;"",Weekly_Inspections!$BA180,IF(Weekly_Inspections!$BB180&lt;&gt;"",Weekly_Inspections!$BB180,Weekly_Inspections!$R180)))))</f>
        <v/>
      </c>
      <c r="G180" s="30">
        <f>IF(OR(Weekly_Inspections!$AQ180&lt;&gt;"",Weekly_Inspections!$AR180&lt;&gt;"",Weekly_Inspections!$AS180&lt;&gt;""),Weekly_Inspections!$AQ180,"")</f>
        <v/>
      </c>
      <c r="H180" s="30">
        <f>Weekly_Inspections!$AP180</f>
        <v/>
      </c>
      <c r="I180" s="30">
        <f>Weekly_Inspections!$AR180</f>
        <v/>
      </c>
      <c r="J180" s="30">
        <f>Weekly_Inspections!$AS180</f>
        <v/>
      </c>
      <c r="K180" s="30">
        <f>Weekly_Inspections!$AU180</f>
        <v/>
      </c>
      <c r="L180" s="46">
        <f>Weekly_Inspections!$AV180</f>
        <v/>
      </c>
      <c r="M180" s="30">
        <f>IF($B180="","",IF($N180&lt;&gt;"","Closed",IF(OR($G180&lt;&gt;"",$I180&lt;&gt;"",$J180&lt;&gt;""),"Open","")))</f>
        <v/>
      </c>
      <c r="N180" s="46" t="n"/>
      <c r="O180" s="28">
        <f>IF($B180="","",IF($M180="Closed",IF($N180="","",$N180-$B180),TODAY()-$B180))</f>
        <v/>
      </c>
      <c r="P180" s="28">
        <f>IF(OR($B180="",$L180="",$M180="Closed"),"",IF(TODAY()&gt;$L180,"YES","NO"))</f>
        <v/>
      </c>
      <c r="Q180" s="30">
        <f>Weekly_Inspections!$AW180</f>
        <v/>
      </c>
    </row>
    <row r="181" ht="15" customHeight="1" s="45">
      <c r="A181" s="28">
        <f>IF(Weekly_Inspections!$B181="","",Weekly_Inspections!$A181&amp;"-A1")</f>
        <v/>
      </c>
      <c r="B181" s="46">
        <f>Weekly_Inspections!$B181</f>
        <v/>
      </c>
      <c r="C181" s="30">
        <f>Weekly_Inspections!$E181</f>
        <v/>
      </c>
      <c r="D181" s="30">
        <f>Weekly_Inspections!$F181</f>
        <v/>
      </c>
      <c r="E181" s="28">
        <f>Weekly_Inspections!$H181</f>
        <v/>
      </c>
      <c r="F181" s="30">
        <f>IF(Weekly_Inspections!$AX181&lt;&gt;"",Weekly_Inspections!$AX181,IF(Weekly_Inspections!$AY181&lt;&gt;"",Weekly_Inspections!$AY181,IF(Weekly_Inspections!$AZ181&lt;&gt;"",Weekly_Inspections!$AZ181,IF(Weekly_Inspections!$BA181&lt;&gt;"",Weekly_Inspections!$BA181,IF(Weekly_Inspections!$BB181&lt;&gt;"",Weekly_Inspections!$BB181,Weekly_Inspections!$R181)))))</f>
        <v/>
      </c>
      <c r="G181" s="30">
        <f>IF(OR(Weekly_Inspections!$AQ181&lt;&gt;"",Weekly_Inspections!$AR181&lt;&gt;"",Weekly_Inspections!$AS181&lt;&gt;""),Weekly_Inspections!$AQ181,"")</f>
        <v/>
      </c>
      <c r="H181" s="30">
        <f>Weekly_Inspections!$AP181</f>
        <v/>
      </c>
      <c r="I181" s="30">
        <f>Weekly_Inspections!$AR181</f>
        <v/>
      </c>
      <c r="J181" s="30">
        <f>Weekly_Inspections!$AS181</f>
        <v/>
      </c>
      <c r="K181" s="30">
        <f>Weekly_Inspections!$AU181</f>
        <v/>
      </c>
      <c r="L181" s="46">
        <f>Weekly_Inspections!$AV181</f>
        <v/>
      </c>
      <c r="M181" s="30">
        <f>IF($B181="","",IF($N181&lt;&gt;"","Closed",IF(OR($G181&lt;&gt;"",$I181&lt;&gt;"",$J181&lt;&gt;""),"Open","")))</f>
        <v/>
      </c>
      <c r="N181" s="46" t="n"/>
      <c r="O181" s="28">
        <f>IF($B181="","",IF($M181="Closed",IF($N181="","",$N181-$B181),TODAY()-$B181))</f>
        <v/>
      </c>
      <c r="P181" s="28">
        <f>IF(OR($B181="",$L181="",$M181="Closed"),"",IF(TODAY()&gt;$L181,"YES","NO"))</f>
        <v/>
      </c>
      <c r="Q181" s="30">
        <f>Weekly_Inspections!$AW181</f>
        <v/>
      </c>
    </row>
    <row r="182" ht="15" customHeight="1" s="45">
      <c r="A182" s="28">
        <f>IF(Weekly_Inspections!$B182="","",Weekly_Inspections!$A182&amp;"-A1")</f>
        <v/>
      </c>
      <c r="B182" s="46">
        <f>Weekly_Inspections!$B182</f>
        <v/>
      </c>
      <c r="C182" s="30">
        <f>Weekly_Inspections!$E182</f>
        <v/>
      </c>
      <c r="D182" s="30">
        <f>Weekly_Inspections!$F182</f>
        <v/>
      </c>
      <c r="E182" s="28">
        <f>Weekly_Inspections!$H182</f>
        <v/>
      </c>
      <c r="F182" s="30">
        <f>IF(Weekly_Inspections!$AX182&lt;&gt;"",Weekly_Inspections!$AX182,IF(Weekly_Inspections!$AY182&lt;&gt;"",Weekly_Inspections!$AY182,IF(Weekly_Inspections!$AZ182&lt;&gt;"",Weekly_Inspections!$AZ182,IF(Weekly_Inspections!$BA182&lt;&gt;"",Weekly_Inspections!$BA182,IF(Weekly_Inspections!$BB182&lt;&gt;"",Weekly_Inspections!$BB182,Weekly_Inspections!$R182)))))</f>
        <v/>
      </c>
      <c r="G182" s="30">
        <f>IF(OR(Weekly_Inspections!$AQ182&lt;&gt;"",Weekly_Inspections!$AR182&lt;&gt;"",Weekly_Inspections!$AS182&lt;&gt;""),Weekly_Inspections!$AQ182,"")</f>
        <v/>
      </c>
      <c r="H182" s="30">
        <f>Weekly_Inspections!$AP182</f>
        <v/>
      </c>
      <c r="I182" s="30">
        <f>Weekly_Inspections!$AR182</f>
        <v/>
      </c>
      <c r="J182" s="30">
        <f>Weekly_Inspections!$AS182</f>
        <v/>
      </c>
      <c r="K182" s="30">
        <f>Weekly_Inspections!$AU182</f>
        <v/>
      </c>
      <c r="L182" s="46">
        <f>Weekly_Inspections!$AV182</f>
        <v/>
      </c>
      <c r="M182" s="30">
        <f>IF($B182="","",IF($N182&lt;&gt;"","Closed",IF(OR($G182&lt;&gt;"",$I182&lt;&gt;"",$J182&lt;&gt;""),"Open","")))</f>
        <v/>
      </c>
      <c r="N182" s="46" t="n"/>
      <c r="O182" s="28">
        <f>IF($B182="","",IF($M182="Closed",IF($N182="","",$N182-$B182),TODAY()-$B182))</f>
        <v/>
      </c>
      <c r="P182" s="28">
        <f>IF(OR($B182="",$L182="",$M182="Closed"),"",IF(TODAY()&gt;$L182,"YES","NO"))</f>
        <v/>
      </c>
      <c r="Q182" s="30">
        <f>Weekly_Inspections!$AW182</f>
        <v/>
      </c>
    </row>
    <row r="183" ht="15" customHeight="1" s="45">
      <c r="A183" s="28">
        <f>IF(Weekly_Inspections!$B183="","",Weekly_Inspections!$A183&amp;"-A1")</f>
        <v/>
      </c>
      <c r="B183" s="46">
        <f>Weekly_Inspections!$B183</f>
        <v/>
      </c>
      <c r="C183" s="30">
        <f>Weekly_Inspections!$E183</f>
        <v/>
      </c>
      <c r="D183" s="30">
        <f>Weekly_Inspections!$F183</f>
        <v/>
      </c>
      <c r="E183" s="28">
        <f>Weekly_Inspections!$H183</f>
        <v/>
      </c>
      <c r="F183" s="30">
        <f>IF(Weekly_Inspections!$AX183&lt;&gt;"",Weekly_Inspections!$AX183,IF(Weekly_Inspections!$AY183&lt;&gt;"",Weekly_Inspections!$AY183,IF(Weekly_Inspections!$AZ183&lt;&gt;"",Weekly_Inspections!$AZ183,IF(Weekly_Inspections!$BA183&lt;&gt;"",Weekly_Inspections!$BA183,IF(Weekly_Inspections!$BB183&lt;&gt;"",Weekly_Inspections!$BB183,Weekly_Inspections!$R183)))))</f>
        <v/>
      </c>
      <c r="G183" s="30">
        <f>IF(OR(Weekly_Inspections!$AQ183&lt;&gt;"",Weekly_Inspections!$AR183&lt;&gt;"",Weekly_Inspections!$AS183&lt;&gt;""),Weekly_Inspections!$AQ183,"")</f>
        <v/>
      </c>
      <c r="H183" s="30">
        <f>Weekly_Inspections!$AP183</f>
        <v/>
      </c>
      <c r="I183" s="30">
        <f>Weekly_Inspections!$AR183</f>
        <v/>
      </c>
      <c r="J183" s="30">
        <f>Weekly_Inspections!$AS183</f>
        <v/>
      </c>
      <c r="K183" s="30">
        <f>Weekly_Inspections!$AU183</f>
        <v/>
      </c>
      <c r="L183" s="46">
        <f>Weekly_Inspections!$AV183</f>
        <v/>
      </c>
      <c r="M183" s="30">
        <f>IF($B183="","",IF($N183&lt;&gt;"","Closed",IF(OR($G183&lt;&gt;"",$I183&lt;&gt;"",$J183&lt;&gt;""),"Open","")))</f>
        <v/>
      </c>
      <c r="N183" s="46" t="n"/>
      <c r="O183" s="28">
        <f>IF($B183="","",IF($M183="Closed",IF($N183="","",$N183-$B183),TODAY()-$B183))</f>
        <v/>
      </c>
      <c r="P183" s="28">
        <f>IF(OR($B183="",$L183="",$M183="Closed"),"",IF(TODAY()&gt;$L183,"YES","NO"))</f>
        <v/>
      </c>
      <c r="Q183" s="30">
        <f>Weekly_Inspections!$AW183</f>
        <v/>
      </c>
    </row>
    <row r="184" ht="15" customHeight="1" s="45">
      <c r="A184" s="28">
        <f>IF(Weekly_Inspections!$B184="","",Weekly_Inspections!$A184&amp;"-A1")</f>
        <v/>
      </c>
      <c r="B184" s="46">
        <f>Weekly_Inspections!$B184</f>
        <v/>
      </c>
      <c r="C184" s="30">
        <f>Weekly_Inspections!$E184</f>
        <v/>
      </c>
      <c r="D184" s="30">
        <f>Weekly_Inspections!$F184</f>
        <v/>
      </c>
      <c r="E184" s="28">
        <f>Weekly_Inspections!$H184</f>
        <v/>
      </c>
      <c r="F184" s="30">
        <f>IF(Weekly_Inspections!$AX184&lt;&gt;"",Weekly_Inspections!$AX184,IF(Weekly_Inspections!$AY184&lt;&gt;"",Weekly_Inspections!$AY184,IF(Weekly_Inspections!$AZ184&lt;&gt;"",Weekly_Inspections!$AZ184,IF(Weekly_Inspections!$BA184&lt;&gt;"",Weekly_Inspections!$BA184,IF(Weekly_Inspections!$BB184&lt;&gt;"",Weekly_Inspections!$BB184,Weekly_Inspections!$R184)))))</f>
        <v/>
      </c>
      <c r="G184" s="30">
        <f>IF(OR(Weekly_Inspections!$AQ184&lt;&gt;"",Weekly_Inspections!$AR184&lt;&gt;"",Weekly_Inspections!$AS184&lt;&gt;""),Weekly_Inspections!$AQ184,"")</f>
        <v/>
      </c>
      <c r="H184" s="30">
        <f>Weekly_Inspections!$AP184</f>
        <v/>
      </c>
      <c r="I184" s="30">
        <f>Weekly_Inspections!$AR184</f>
        <v/>
      </c>
      <c r="J184" s="30">
        <f>Weekly_Inspections!$AS184</f>
        <v/>
      </c>
      <c r="K184" s="30">
        <f>Weekly_Inspections!$AU184</f>
        <v/>
      </c>
      <c r="L184" s="46">
        <f>Weekly_Inspections!$AV184</f>
        <v/>
      </c>
      <c r="M184" s="30">
        <f>IF($B184="","",IF($N184&lt;&gt;"","Closed",IF(OR($G184&lt;&gt;"",$I184&lt;&gt;"",$J184&lt;&gt;""),"Open","")))</f>
        <v/>
      </c>
      <c r="N184" s="46" t="n"/>
      <c r="O184" s="28">
        <f>IF($B184="","",IF($M184="Closed",IF($N184="","",$N184-$B184),TODAY()-$B184))</f>
        <v/>
      </c>
      <c r="P184" s="28">
        <f>IF(OR($B184="",$L184="",$M184="Closed"),"",IF(TODAY()&gt;$L184,"YES","NO"))</f>
        <v/>
      </c>
      <c r="Q184" s="30">
        <f>Weekly_Inspections!$AW184</f>
        <v/>
      </c>
    </row>
    <row r="185" ht="15" customHeight="1" s="45">
      <c r="A185" s="28">
        <f>IF(Weekly_Inspections!$B185="","",Weekly_Inspections!$A185&amp;"-A1")</f>
        <v/>
      </c>
      <c r="B185" s="46">
        <f>Weekly_Inspections!$B185</f>
        <v/>
      </c>
      <c r="C185" s="30">
        <f>Weekly_Inspections!$E185</f>
        <v/>
      </c>
      <c r="D185" s="30">
        <f>Weekly_Inspections!$F185</f>
        <v/>
      </c>
      <c r="E185" s="28">
        <f>Weekly_Inspections!$H185</f>
        <v/>
      </c>
      <c r="F185" s="30">
        <f>IF(Weekly_Inspections!$AX185&lt;&gt;"",Weekly_Inspections!$AX185,IF(Weekly_Inspections!$AY185&lt;&gt;"",Weekly_Inspections!$AY185,IF(Weekly_Inspections!$AZ185&lt;&gt;"",Weekly_Inspections!$AZ185,IF(Weekly_Inspections!$BA185&lt;&gt;"",Weekly_Inspections!$BA185,IF(Weekly_Inspections!$BB185&lt;&gt;"",Weekly_Inspections!$BB185,Weekly_Inspections!$R185)))))</f>
        <v/>
      </c>
      <c r="G185" s="30">
        <f>IF(OR(Weekly_Inspections!$AQ185&lt;&gt;"",Weekly_Inspections!$AR185&lt;&gt;"",Weekly_Inspections!$AS185&lt;&gt;""),Weekly_Inspections!$AQ185,"")</f>
        <v/>
      </c>
      <c r="H185" s="30">
        <f>Weekly_Inspections!$AP185</f>
        <v/>
      </c>
      <c r="I185" s="30">
        <f>Weekly_Inspections!$AR185</f>
        <v/>
      </c>
      <c r="J185" s="30">
        <f>Weekly_Inspections!$AS185</f>
        <v/>
      </c>
      <c r="K185" s="30">
        <f>Weekly_Inspections!$AU185</f>
        <v/>
      </c>
      <c r="L185" s="46">
        <f>Weekly_Inspections!$AV185</f>
        <v/>
      </c>
      <c r="M185" s="30">
        <f>IF($B185="","",IF($N185&lt;&gt;"","Closed",IF(OR($G185&lt;&gt;"",$I185&lt;&gt;"",$J185&lt;&gt;""),"Open","")))</f>
        <v/>
      </c>
      <c r="N185" s="46" t="n"/>
      <c r="O185" s="28">
        <f>IF($B185="","",IF($M185="Closed",IF($N185="","",$N185-$B185),TODAY()-$B185))</f>
        <v/>
      </c>
      <c r="P185" s="28">
        <f>IF(OR($B185="",$L185="",$M185="Closed"),"",IF(TODAY()&gt;$L185,"YES","NO"))</f>
        <v/>
      </c>
      <c r="Q185" s="30">
        <f>Weekly_Inspections!$AW185</f>
        <v/>
      </c>
    </row>
    <row r="186" ht="15" customHeight="1" s="45">
      <c r="A186" s="28">
        <f>IF(Weekly_Inspections!$B186="","",Weekly_Inspections!$A186&amp;"-A1")</f>
        <v/>
      </c>
      <c r="B186" s="46">
        <f>Weekly_Inspections!$B186</f>
        <v/>
      </c>
      <c r="C186" s="30">
        <f>Weekly_Inspections!$E186</f>
        <v/>
      </c>
      <c r="D186" s="30">
        <f>Weekly_Inspections!$F186</f>
        <v/>
      </c>
      <c r="E186" s="28">
        <f>Weekly_Inspections!$H186</f>
        <v/>
      </c>
      <c r="F186" s="30">
        <f>IF(Weekly_Inspections!$AX186&lt;&gt;"",Weekly_Inspections!$AX186,IF(Weekly_Inspections!$AY186&lt;&gt;"",Weekly_Inspections!$AY186,IF(Weekly_Inspections!$AZ186&lt;&gt;"",Weekly_Inspections!$AZ186,IF(Weekly_Inspections!$BA186&lt;&gt;"",Weekly_Inspections!$BA186,IF(Weekly_Inspections!$BB186&lt;&gt;"",Weekly_Inspections!$BB186,Weekly_Inspections!$R186)))))</f>
        <v/>
      </c>
      <c r="G186" s="30">
        <f>IF(OR(Weekly_Inspections!$AQ186&lt;&gt;"",Weekly_Inspections!$AR186&lt;&gt;"",Weekly_Inspections!$AS186&lt;&gt;""),Weekly_Inspections!$AQ186,"")</f>
        <v/>
      </c>
      <c r="H186" s="30">
        <f>Weekly_Inspections!$AP186</f>
        <v/>
      </c>
      <c r="I186" s="30">
        <f>Weekly_Inspections!$AR186</f>
        <v/>
      </c>
      <c r="J186" s="30">
        <f>Weekly_Inspections!$AS186</f>
        <v/>
      </c>
      <c r="K186" s="30">
        <f>Weekly_Inspections!$AU186</f>
        <v/>
      </c>
      <c r="L186" s="46">
        <f>Weekly_Inspections!$AV186</f>
        <v/>
      </c>
      <c r="M186" s="30">
        <f>IF($B186="","",IF($N186&lt;&gt;"","Closed",IF(OR($G186&lt;&gt;"",$I186&lt;&gt;"",$J186&lt;&gt;""),"Open","")))</f>
        <v/>
      </c>
      <c r="N186" s="46" t="n"/>
      <c r="O186" s="28">
        <f>IF($B186="","",IF($M186="Closed",IF($N186="","",$N186-$B186),TODAY()-$B186))</f>
        <v/>
      </c>
      <c r="P186" s="28">
        <f>IF(OR($B186="",$L186="",$M186="Closed"),"",IF(TODAY()&gt;$L186,"YES","NO"))</f>
        <v/>
      </c>
      <c r="Q186" s="30">
        <f>Weekly_Inspections!$AW186</f>
        <v/>
      </c>
    </row>
    <row r="187" ht="15" customHeight="1" s="45">
      <c r="A187" s="28">
        <f>IF(Weekly_Inspections!$B187="","",Weekly_Inspections!$A187&amp;"-A1")</f>
        <v/>
      </c>
      <c r="B187" s="46">
        <f>Weekly_Inspections!$B187</f>
        <v/>
      </c>
      <c r="C187" s="30">
        <f>Weekly_Inspections!$E187</f>
        <v/>
      </c>
      <c r="D187" s="30">
        <f>Weekly_Inspections!$F187</f>
        <v/>
      </c>
      <c r="E187" s="28">
        <f>Weekly_Inspections!$H187</f>
        <v/>
      </c>
      <c r="F187" s="30">
        <f>IF(Weekly_Inspections!$AX187&lt;&gt;"",Weekly_Inspections!$AX187,IF(Weekly_Inspections!$AY187&lt;&gt;"",Weekly_Inspections!$AY187,IF(Weekly_Inspections!$AZ187&lt;&gt;"",Weekly_Inspections!$AZ187,IF(Weekly_Inspections!$BA187&lt;&gt;"",Weekly_Inspections!$BA187,IF(Weekly_Inspections!$BB187&lt;&gt;"",Weekly_Inspections!$BB187,Weekly_Inspections!$R187)))))</f>
        <v/>
      </c>
      <c r="G187" s="30">
        <f>IF(OR(Weekly_Inspections!$AQ187&lt;&gt;"",Weekly_Inspections!$AR187&lt;&gt;"",Weekly_Inspections!$AS187&lt;&gt;""),Weekly_Inspections!$AQ187,"")</f>
        <v/>
      </c>
      <c r="H187" s="30">
        <f>Weekly_Inspections!$AP187</f>
        <v/>
      </c>
      <c r="I187" s="30">
        <f>Weekly_Inspections!$AR187</f>
        <v/>
      </c>
      <c r="J187" s="30">
        <f>Weekly_Inspections!$AS187</f>
        <v/>
      </c>
      <c r="K187" s="30">
        <f>Weekly_Inspections!$AU187</f>
        <v/>
      </c>
      <c r="L187" s="46">
        <f>Weekly_Inspections!$AV187</f>
        <v/>
      </c>
      <c r="M187" s="30">
        <f>IF($B187="","",IF($N187&lt;&gt;"","Closed",IF(OR($G187&lt;&gt;"",$I187&lt;&gt;"",$J187&lt;&gt;""),"Open","")))</f>
        <v/>
      </c>
      <c r="N187" s="46" t="n"/>
      <c r="O187" s="28">
        <f>IF($B187="","",IF($M187="Closed",IF($N187="","",$N187-$B187),TODAY()-$B187))</f>
        <v/>
      </c>
      <c r="P187" s="28">
        <f>IF(OR($B187="",$L187="",$M187="Closed"),"",IF(TODAY()&gt;$L187,"YES","NO"))</f>
        <v/>
      </c>
      <c r="Q187" s="30">
        <f>Weekly_Inspections!$AW187</f>
        <v/>
      </c>
    </row>
    <row r="188" ht="15" customHeight="1" s="45">
      <c r="A188" s="28">
        <f>IF(Weekly_Inspections!$B188="","",Weekly_Inspections!$A188&amp;"-A1")</f>
        <v/>
      </c>
      <c r="B188" s="46">
        <f>Weekly_Inspections!$B188</f>
        <v/>
      </c>
      <c r="C188" s="30">
        <f>Weekly_Inspections!$E188</f>
        <v/>
      </c>
      <c r="D188" s="30">
        <f>Weekly_Inspections!$F188</f>
        <v/>
      </c>
      <c r="E188" s="28">
        <f>Weekly_Inspections!$H188</f>
        <v/>
      </c>
      <c r="F188" s="30">
        <f>IF(Weekly_Inspections!$AX188&lt;&gt;"",Weekly_Inspections!$AX188,IF(Weekly_Inspections!$AY188&lt;&gt;"",Weekly_Inspections!$AY188,IF(Weekly_Inspections!$AZ188&lt;&gt;"",Weekly_Inspections!$AZ188,IF(Weekly_Inspections!$BA188&lt;&gt;"",Weekly_Inspections!$BA188,IF(Weekly_Inspections!$BB188&lt;&gt;"",Weekly_Inspections!$BB188,Weekly_Inspections!$R188)))))</f>
        <v/>
      </c>
      <c r="G188" s="30">
        <f>IF(OR(Weekly_Inspections!$AQ188&lt;&gt;"",Weekly_Inspections!$AR188&lt;&gt;"",Weekly_Inspections!$AS188&lt;&gt;""),Weekly_Inspections!$AQ188,"")</f>
        <v/>
      </c>
      <c r="H188" s="30">
        <f>Weekly_Inspections!$AP188</f>
        <v/>
      </c>
      <c r="I188" s="30">
        <f>Weekly_Inspections!$AR188</f>
        <v/>
      </c>
      <c r="J188" s="30">
        <f>Weekly_Inspections!$AS188</f>
        <v/>
      </c>
      <c r="K188" s="30">
        <f>Weekly_Inspections!$AU188</f>
        <v/>
      </c>
      <c r="L188" s="46">
        <f>Weekly_Inspections!$AV188</f>
        <v/>
      </c>
      <c r="M188" s="30">
        <f>IF($B188="","",IF($N188&lt;&gt;"","Closed",IF(OR($G188&lt;&gt;"",$I188&lt;&gt;"",$J188&lt;&gt;""),"Open","")))</f>
        <v/>
      </c>
      <c r="N188" s="46" t="n"/>
      <c r="O188" s="28">
        <f>IF($B188="","",IF($M188="Closed",IF($N188="","",$N188-$B188),TODAY()-$B188))</f>
        <v/>
      </c>
      <c r="P188" s="28">
        <f>IF(OR($B188="",$L188="",$M188="Closed"),"",IF(TODAY()&gt;$L188,"YES","NO"))</f>
        <v/>
      </c>
      <c r="Q188" s="30">
        <f>Weekly_Inspections!$AW188</f>
        <v/>
      </c>
    </row>
    <row r="189" ht="15" customHeight="1" s="45">
      <c r="A189" s="28">
        <f>IF(Weekly_Inspections!$B189="","",Weekly_Inspections!$A189&amp;"-A1")</f>
        <v/>
      </c>
      <c r="B189" s="46">
        <f>Weekly_Inspections!$B189</f>
        <v/>
      </c>
      <c r="C189" s="30">
        <f>Weekly_Inspections!$E189</f>
        <v/>
      </c>
      <c r="D189" s="30">
        <f>Weekly_Inspections!$F189</f>
        <v/>
      </c>
      <c r="E189" s="28">
        <f>Weekly_Inspections!$H189</f>
        <v/>
      </c>
      <c r="F189" s="30">
        <f>IF(Weekly_Inspections!$AX189&lt;&gt;"",Weekly_Inspections!$AX189,IF(Weekly_Inspections!$AY189&lt;&gt;"",Weekly_Inspections!$AY189,IF(Weekly_Inspections!$AZ189&lt;&gt;"",Weekly_Inspections!$AZ189,IF(Weekly_Inspections!$BA189&lt;&gt;"",Weekly_Inspections!$BA189,IF(Weekly_Inspections!$BB189&lt;&gt;"",Weekly_Inspections!$BB189,Weekly_Inspections!$R189)))))</f>
        <v/>
      </c>
      <c r="G189" s="30">
        <f>IF(OR(Weekly_Inspections!$AQ189&lt;&gt;"",Weekly_Inspections!$AR189&lt;&gt;"",Weekly_Inspections!$AS189&lt;&gt;""),Weekly_Inspections!$AQ189,"")</f>
        <v/>
      </c>
      <c r="H189" s="30">
        <f>Weekly_Inspections!$AP189</f>
        <v/>
      </c>
      <c r="I189" s="30">
        <f>Weekly_Inspections!$AR189</f>
        <v/>
      </c>
      <c r="J189" s="30">
        <f>Weekly_Inspections!$AS189</f>
        <v/>
      </c>
      <c r="K189" s="30">
        <f>Weekly_Inspections!$AU189</f>
        <v/>
      </c>
      <c r="L189" s="46">
        <f>Weekly_Inspections!$AV189</f>
        <v/>
      </c>
      <c r="M189" s="30">
        <f>IF($B189="","",IF($N189&lt;&gt;"","Closed",IF(OR($G189&lt;&gt;"",$I189&lt;&gt;"",$J189&lt;&gt;""),"Open","")))</f>
        <v/>
      </c>
      <c r="N189" s="46" t="n"/>
      <c r="O189" s="28">
        <f>IF($B189="","",IF($M189="Closed",IF($N189="","",$N189-$B189),TODAY()-$B189))</f>
        <v/>
      </c>
      <c r="P189" s="28">
        <f>IF(OR($B189="",$L189="",$M189="Closed"),"",IF(TODAY()&gt;$L189,"YES","NO"))</f>
        <v/>
      </c>
      <c r="Q189" s="30">
        <f>Weekly_Inspections!$AW189</f>
        <v/>
      </c>
    </row>
    <row r="190" ht="15" customHeight="1" s="45">
      <c r="A190" s="28">
        <f>IF(Weekly_Inspections!$B190="","",Weekly_Inspections!$A190&amp;"-A1")</f>
        <v/>
      </c>
      <c r="B190" s="46">
        <f>Weekly_Inspections!$B190</f>
        <v/>
      </c>
      <c r="C190" s="30">
        <f>Weekly_Inspections!$E190</f>
        <v/>
      </c>
      <c r="D190" s="30">
        <f>Weekly_Inspections!$F190</f>
        <v/>
      </c>
      <c r="E190" s="28">
        <f>Weekly_Inspections!$H190</f>
        <v/>
      </c>
      <c r="F190" s="30">
        <f>IF(Weekly_Inspections!$AX190&lt;&gt;"",Weekly_Inspections!$AX190,IF(Weekly_Inspections!$AY190&lt;&gt;"",Weekly_Inspections!$AY190,IF(Weekly_Inspections!$AZ190&lt;&gt;"",Weekly_Inspections!$AZ190,IF(Weekly_Inspections!$BA190&lt;&gt;"",Weekly_Inspections!$BA190,IF(Weekly_Inspections!$BB190&lt;&gt;"",Weekly_Inspections!$BB190,Weekly_Inspections!$R190)))))</f>
        <v/>
      </c>
      <c r="G190" s="30">
        <f>IF(OR(Weekly_Inspections!$AQ190&lt;&gt;"",Weekly_Inspections!$AR190&lt;&gt;"",Weekly_Inspections!$AS190&lt;&gt;""),Weekly_Inspections!$AQ190,"")</f>
        <v/>
      </c>
      <c r="H190" s="30">
        <f>Weekly_Inspections!$AP190</f>
        <v/>
      </c>
      <c r="I190" s="30">
        <f>Weekly_Inspections!$AR190</f>
        <v/>
      </c>
      <c r="J190" s="30">
        <f>Weekly_Inspections!$AS190</f>
        <v/>
      </c>
      <c r="K190" s="30">
        <f>Weekly_Inspections!$AU190</f>
        <v/>
      </c>
      <c r="L190" s="46">
        <f>Weekly_Inspections!$AV190</f>
        <v/>
      </c>
      <c r="M190" s="30">
        <f>IF($B190="","",IF($N190&lt;&gt;"","Closed",IF(OR($G190&lt;&gt;"",$I190&lt;&gt;"",$J190&lt;&gt;""),"Open","")))</f>
        <v/>
      </c>
      <c r="N190" s="46" t="n"/>
      <c r="O190" s="28">
        <f>IF($B190="","",IF($M190="Closed",IF($N190="","",$N190-$B190),TODAY()-$B190))</f>
        <v/>
      </c>
      <c r="P190" s="28">
        <f>IF(OR($B190="",$L190="",$M190="Closed"),"",IF(TODAY()&gt;$L190,"YES","NO"))</f>
        <v/>
      </c>
      <c r="Q190" s="30">
        <f>Weekly_Inspections!$AW190</f>
        <v/>
      </c>
    </row>
    <row r="191" ht="15" customHeight="1" s="45">
      <c r="A191" s="28">
        <f>IF(Weekly_Inspections!$B191="","",Weekly_Inspections!$A191&amp;"-A1")</f>
        <v/>
      </c>
      <c r="B191" s="46">
        <f>Weekly_Inspections!$B191</f>
        <v/>
      </c>
      <c r="C191" s="30">
        <f>Weekly_Inspections!$E191</f>
        <v/>
      </c>
      <c r="D191" s="30">
        <f>Weekly_Inspections!$F191</f>
        <v/>
      </c>
      <c r="E191" s="28">
        <f>Weekly_Inspections!$H191</f>
        <v/>
      </c>
      <c r="F191" s="30">
        <f>IF(Weekly_Inspections!$AX191&lt;&gt;"",Weekly_Inspections!$AX191,IF(Weekly_Inspections!$AY191&lt;&gt;"",Weekly_Inspections!$AY191,IF(Weekly_Inspections!$AZ191&lt;&gt;"",Weekly_Inspections!$AZ191,IF(Weekly_Inspections!$BA191&lt;&gt;"",Weekly_Inspections!$BA191,IF(Weekly_Inspections!$BB191&lt;&gt;"",Weekly_Inspections!$BB191,Weekly_Inspections!$R191)))))</f>
        <v/>
      </c>
      <c r="G191" s="30">
        <f>IF(OR(Weekly_Inspections!$AQ191&lt;&gt;"",Weekly_Inspections!$AR191&lt;&gt;"",Weekly_Inspections!$AS191&lt;&gt;""),Weekly_Inspections!$AQ191,"")</f>
        <v/>
      </c>
      <c r="H191" s="30">
        <f>Weekly_Inspections!$AP191</f>
        <v/>
      </c>
      <c r="I191" s="30">
        <f>Weekly_Inspections!$AR191</f>
        <v/>
      </c>
      <c r="J191" s="30">
        <f>Weekly_Inspections!$AS191</f>
        <v/>
      </c>
      <c r="K191" s="30">
        <f>Weekly_Inspections!$AU191</f>
        <v/>
      </c>
      <c r="L191" s="46">
        <f>Weekly_Inspections!$AV191</f>
        <v/>
      </c>
      <c r="M191" s="30">
        <f>IF($B191="","",IF($N191&lt;&gt;"","Closed",IF(OR($G191&lt;&gt;"",$I191&lt;&gt;"",$J191&lt;&gt;""),"Open","")))</f>
        <v/>
      </c>
      <c r="N191" s="46" t="n"/>
      <c r="O191" s="28">
        <f>IF($B191="","",IF($M191="Closed",IF($N191="","",$N191-$B191),TODAY()-$B191))</f>
        <v/>
      </c>
      <c r="P191" s="28">
        <f>IF(OR($B191="",$L191="",$M191="Closed"),"",IF(TODAY()&gt;$L191,"YES","NO"))</f>
        <v/>
      </c>
      <c r="Q191" s="30">
        <f>Weekly_Inspections!$AW191</f>
        <v/>
      </c>
    </row>
    <row r="192" ht="15" customHeight="1" s="45">
      <c r="A192" s="28">
        <f>IF(Weekly_Inspections!$B192="","",Weekly_Inspections!$A192&amp;"-A1")</f>
        <v/>
      </c>
      <c r="B192" s="46">
        <f>Weekly_Inspections!$B192</f>
        <v/>
      </c>
      <c r="C192" s="30">
        <f>Weekly_Inspections!$E192</f>
        <v/>
      </c>
      <c r="D192" s="30">
        <f>Weekly_Inspections!$F192</f>
        <v/>
      </c>
      <c r="E192" s="28">
        <f>Weekly_Inspections!$H192</f>
        <v/>
      </c>
      <c r="F192" s="30">
        <f>IF(Weekly_Inspections!$AX192&lt;&gt;"",Weekly_Inspections!$AX192,IF(Weekly_Inspections!$AY192&lt;&gt;"",Weekly_Inspections!$AY192,IF(Weekly_Inspections!$AZ192&lt;&gt;"",Weekly_Inspections!$AZ192,IF(Weekly_Inspections!$BA192&lt;&gt;"",Weekly_Inspections!$BA192,IF(Weekly_Inspections!$BB192&lt;&gt;"",Weekly_Inspections!$BB192,Weekly_Inspections!$R192)))))</f>
        <v/>
      </c>
      <c r="G192" s="30">
        <f>IF(OR(Weekly_Inspections!$AQ192&lt;&gt;"",Weekly_Inspections!$AR192&lt;&gt;"",Weekly_Inspections!$AS192&lt;&gt;""),Weekly_Inspections!$AQ192,"")</f>
        <v/>
      </c>
      <c r="H192" s="30">
        <f>Weekly_Inspections!$AP192</f>
        <v/>
      </c>
      <c r="I192" s="30">
        <f>Weekly_Inspections!$AR192</f>
        <v/>
      </c>
      <c r="J192" s="30">
        <f>Weekly_Inspections!$AS192</f>
        <v/>
      </c>
      <c r="K192" s="30">
        <f>Weekly_Inspections!$AU192</f>
        <v/>
      </c>
      <c r="L192" s="46">
        <f>Weekly_Inspections!$AV192</f>
        <v/>
      </c>
      <c r="M192" s="30">
        <f>IF($B192="","",IF($N192&lt;&gt;"","Closed",IF(OR($G192&lt;&gt;"",$I192&lt;&gt;"",$J192&lt;&gt;""),"Open","")))</f>
        <v/>
      </c>
      <c r="N192" s="46" t="n"/>
      <c r="O192" s="28">
        <f>IF($B192="","",IF($M192="Closed",IF($N192="","",$N192-$B192),TODAY()-$B192))</f>
        <v/>
      </c>
      <c r="P192" s="28">
        <f>IF(OR($B192="",$L192="",$M192="Closed"),"",IF(TODAY()&gt;$L192,"YES","NO"))</f>
        <v/>
      </c>
      <c r="Q192" s="30">
        <f>Weekly_Inspections!$AW192</f>
        <v/>
      </c>
    </row>
    <row r="193" ht="15" customHeight="1" s="45">
      <c r="A193" s="28">
        <f>IF(Weekly_Inspections!$B193="","",Weekly_Inspections!$A193&amp;"-A1")</f>
        <v/>
      </c>
      <c r="B193" s="46">
        <f>Weekly_Inspections!$B193</f>
        <v/>
      </c>
      <c r="C193" s="30">
        <f>Weekly_Inspections!$E193</f>
        <v/>
      </c>
      <c r="D193" s="30">
        <f>Weekly_Inspections!$F193</f>
        <v/>
      </c>
      <c r="E193" s="28">
        <f>Weekly_Inspections!$H193</f>
        <v/>
      </c>
      <c r="F193" s="30">
        <f>IF(Weekly_Inspections!$AX193&lt;&gt;"",Weekly_Inspections!$AX193,IF(Weekly_Inspections!$AY193&lt;&gt;"",Weekly_Inspections!$AY193,IF(Weekly_Inspections!$AZ193&lt;&gt;"",Weekly_Inspections!$AZ193,IF(Weekly_Inspections!$BA193&lt;&gt;"",Weekly_Inspections!$BA193,IF(Weekly_Inspections!$BB193&lt;&gt;"",Weekly_Inspections!$BB193,Weekly_Inspections!$R193)))))</f>
        <v/>
      </c>
      <c r="G193" s="30">
        <f>IF(OR(Weekly_Inspections!$AQ193&lt;&gt;"",Weekly_Inspections!$AR193&lt;&gt;"",Weekly_Inspections!$AS193&lt;&gt;""),Weekly_Inspections!$AQ193,"")</f>
        <v/>
      </c>
      <c r="H193" s="30">
        <f>Weekly_Inspections!$AP193</f>
        <v/>
      </c>
      <c r="I193" s="30">
        <f>Weekly_Inspections!$AR193</f>
        <v/>
      </c>
      <c r="J193" s="30">
        <f>Weekly_Inspections!$AS193</f>
        <v/>
      </c>
      <c r="K193" s="30">
        <f>Weekly_Inspections!$AU193</f>
        <v/>
      </c>
      <c r="L193" s="46">
        <f>Weekly_Inspections!$AV193</f>
        <v/>
      </c>
      <c r="M193" s="30">
        <f>IF($B193="","",IF($N193&lt;&gt;"","Closed",IF(OR($G193&lt;&gt;"",$I193&lt;&gt;"",$J193&lt;&gt;""),"Open","")))</f>
        <v/>
      </c>
      <c r="N193" s="46" t="n"/>
      <c r="O193" s="28">
        <f>IF($B193="","",IF($M193="Closed",IF($N193="","",$N193-$B193),TODAY()-$B193))</f>
        <v/>
      </c>
      <c r="P193" s="28">
        <f>IF(OR($B193="",$L193="",$M193="Closed"),"",IF(TODAY()&gt;$L193,"YES","NO"))</f>
        <v/>
      </c>
      <c r="Q193" s="30">
        <f>Weekly_Inspections!$AW193</f>
        <v/>
      </c>
    </row>
    <row r="194" ht="15" customHeight="1" s="45">
      <c r="A194" s="28">
        <f>IF(Weekly_Inspections!$B194="","",Weekly_Inspections!$A194&amp;"-A1")</f>
        <v/>
      </c>
      <c r="B194" s="46">
        <f>Weekly_Inspections!$B194</f>
        <v/>
      </c>
      <c r="C194" s="30">
        <f>Weekly_Inspections!$E194</f>
        <v/>
      </c>
      <c r="D194" s="30">
        <f>Weekly_Inspections!$F194</f>
        <v/>
      </c>
      <c r="E194" s="28">
        <f>Weekly_Inspections!$H194</f>
        <v/>
      </c>
      <c r="F194" s="30">
        <f>IF(Weekly_Inspections!$AX194&lt;&gt;"",Weekly_Inspections!$AX194,IF(Weekly_Inspections!$AY194&lt;&gt;"",Weekly_Inspections!$AY194,IF(Weekly_Inspections!$AZ194&lt;&gt;"",Weekly_Inspections!$AZ194,IF(Weekly_Inspections!$BA194&lt;&gt;"",Weekly_Inspections!$BA194,IF(Weekly_Inspections!$BB194&lt;&gt;"",Weekly_Inspections!$BB194,Weekly_Inspections!$R194)))))</f>
        <v/>
      </c>
      <c r="G194" s="30">
        <f>IF(OR(Weekly_Inspections!$AQ194&lt;&gt;"",Weekly_Inspections!$AR194&lt;&gt;"",Weekly_Inspections!$AS194&lt;&gt;""),Weekly_Inspections!$AQ194,"")</f>
        <v/>
      </c>
      <c r="H194" s="30">
        <f>Weekly_Inspections!$AP194</f>
        <v/>
      </c>
      <c r="I194" s="30">
        <f>Weekly_Inspections!$AR194</f>
        <v/>
      </c>
      <c r="J194" s="30">
        <f>Weekly_Inspections!$AS194</f>
        <v/>
      </c>
      <c r="K194" s="30">
        <f>Weekly_Inspections!$AU194</f>
        <v/>
      </c>
      <c r="L194" s="46">
        <f>Weekly_Inspections!$AV194</f>
        <v/>
      </c>
      <c r="M194" s="30">
        <f>IF($B194="","",IF($N194&lt;&gt;"","Closed",IF(OR($G194&lt;&gt;"",$I194&lt;&gt;"",$J194&lt;&gt;""),"Open","")))</f>
        <v/>
      </c>
      <c r="N194" s="46" t="n"/>
      <c r="O194" s="28">
        <f>IF($B194="","",IF($M194="Closed",IF($N194="","",$N194-$B194),TODAY()-$B194))</f>
        <v/>
      </c>
      <c r="P194" s="28">
        <f>IF(OR($B194="",$L194="",$M194="Closed"),"",IF(TODAY()&gt;$L194,"YES","NO"))</f>
        <v/>
      </c>
      <c r="Q194" s="30">
        <f>Weekly_Inspections!$AW194</f>
        <v/>
      </c>
    </row>
    <row r="195" ht="15" customHeight="1" s="45">
      <c r="A195" s="28">
        <f>IF(Weekly_Inspections!$B195="","",Weekly_Inspections!$A195&amp;"-A1")</f>
        <v/>
      </c>
      <c r="B195" s="46">
        <f>Weekly_Inspections!$B195</f>
        <v/>
      </c>
      <c r="C195" s="30">
        <f>Weekly_Inspections!$E195</f>
        <v/>
      </c>
      <c r="D195" s="30">
        <f>Weekly_Inspections!$F195</f>
        <v/>
      </c>
      <c r="E195" s="28">
        <f>Weekly_Inspections!$H195</f>
        <v/>
      </c>
      <c r="F195" s="30">
        <f>IF(Weekly_Inspections!$AX195&lt;&gt;"",Weekly_Inspections!$AX195,IF(Weekly_Inspections!$AY195&lt;&gt;"",Weekly_Inspections!$AY195,IF(Weekly_Inspections!$AZ195&lt;&gt;"",Weekly_Inspections!$AZ195,IF(Weekly_Inspections!$BA195&lt;&gt;"",Weekly_Inspections!$BA195,IF(Weekly_Inspections!$BB195&lt;&gt;"",Weekly_Inspections!$BB195,Weekly_Inspections!$R195)))))</f>
        <v/>
      </c>
      <c r="G195" s="30">
        <f>IF(OR(Weekly_Inspections!$AQ195&lt;&gt;"",Weekly_Inspections!$AR195&lt;&gt;"",Weekly_Inspections!$AS195&lt;&gt;""),Weekly_Inspections!$AQ195,"")</f>
        <v/>
      </c>
      <c r="H195" s="30">
        <f>Weekly_Inspections!$AP195</f>
        <v/>
      </c>
      <c r="I195" s="30">
        <f>Weekly_Inspections!$AR195</f>
        <v/>
      </c>
      <c r="J195" s="30">
        <f>Weekly_Inspections!$AS195</f>
        <v/>
      </c>
      <c r="K195" s="30">
        <f>Weekly_Inspections!$AU195</f>
        <v/>
      </c>
      <c r="L195" s="46">
        <f>Weekly_Inspections!$AV195</f>
        <v/>
      </c>
      <c r="M195" s="30">
        <f>IF($B195="","",IF($N195&lt;&gt;"","Closed",IF(OR($G195&lt;&gt;"",$I195&lt;&gt;"",$J195&lt;&gt;""),"Open","")))</f>
        <v/>
      </c>
      <c r="N195" s="46" t="n"/>
      <c r="O195" s="28">
        <f>IF($B195="","",IF($M195="Closed",IF($N195="","",$N195-$B195),TODAY()-$B195))</f>
        <v/>
      </c>
      <c r="P195" s="28">
        <f>IF(OR($B195="",$L195="",$M195="Closed"),"",IF(TODAY()&gt;$L195,"YES","NO"))</f>
        <v/>
      </c>
      <c r="Q195" s="30">
        <f>Weekly_Inspections!$AW195</f>
        <v/>
      </c>
    </row>
    <row r="196" ht="15" customHeight="1" s="45">
      <c r="A196" s="28">
        <f>IF(Weekly_Inspections!$B196="","",Weekly_Inspections!$A196&amp;"-A1")</f>
        <v/>
      </c>
      <c r="B196" s="46">
        <f>Weekly_Inspections!$B196</f>
        <v/>
      </c>
      <c r="C196" s="30">
        <f>Weekly_Inspections!$E196</f>
        <v/>
      </c>
      <c r="D196" s="30">
        <f>Weekly_Inspections!$F196</f>
        <v/>
      </c>
      <c r="E196" s="28">
        <f>Weekly_Inspections!$H196</f>
        <v/>
      </c>
      <c r="F196" s="30">
        <f>IF(Weekly_Inspections!$AX196&lt;&gt;"",Weekly_Inspections!$AX196,IF(Weekly_Inspections!$AY196&lt;&gt;"",Weekly_Inspections!$AY196,IF(Weekly_Inspections!$AZ196&lt;&gt;"",Weekly_Inspections!$AZ196,IF(Weekly_Inspections!$BA196&lt;&gt;"",Weekly_Inspections!$BA196,IF(Weekly_Inspections!$BB196&lt;&gt;"",Weekly_Inspections!$BB196,Weekly_Inspections!$R196)))))</f>
        <v/>
      </c>
      <c r="G196" s="30">
        <f>IF(OR(Weekly_Inspections!$AQ196&lt;&gt;"",Weekly_Inspections!$AR196&lt;&gt;"",Weekly_Inspections!$AS196&lt;&gt;""),Weekly_Inspections!$AQ196,"")</f>
        <v/>
      </c>
      <c r="H196" s="30">
        <f>Weekly_Inspections!$AP196</f>
        <v/>
      </c>
      <c r="I196" s="30">
        <f>Weekly_Inspections!$AR196</f>
        <v/>
      </c>
      <c r="J196" s="30">
        <f>Weekly_Inspections!$AS196</f>
        <v/>
      </c>
      <c r="K196" s="30">
        <f>Weekly_Inspections!$AU196</f>
        <v/>
      </c>
      <c r="L196" s="46">
        <f>Weekly_Inspections!$AV196</f>
        <v/>
      </c>
      <c r="M196" s="30">
        <f>IF($B196="","",IF($N196&lt;&gt;"","Closed",IF(OR($G196&lt;&gt;"",$I196&lt;&gt;"",$J196&lt;&gt;""),"Open","")))</f>
        <v/>
      </c>
      <c r="N196" s="46" t="n"/>
      <c r="O196" s="28">
        <f>IF($B196="","",IF($M196="Closed",IF($N196="","",$N196-$B196),TODAY()-$B196))</f>
        <v/>
      </c>
      <c r="P196" s="28">
        <f>IF(OR($B196="",$L196="",$M196="Closed"),"",IF(TODAY()&gt;$L196,"YES","NO"))</f>
        <v/>
      </c>
      <c r="Q196" s="30">
        <f>Weekly_Inspections!$AW196</f>
        <v/>
      </c>
    </row>
    <row r="197" ht="15" customHeight="1" s="45">
      <c r="A197" s="28">
        <f>IF(Weekly_Inspections!$B197="","",Weekly_Inspections!$A197&amp;"-A1")</f>
        <v/>
      </c>
      <c r="B197" s="46">
        <f>Weekly_Inspections!$B197</f>
        <v/>
      </c>
      <c r="C197" s="30">
        <f>Weekly_Inspections!$E197</f>
        <v/>
      </c>
      <c r="D197" s="30">
        <f>Weekly_Inspections!$F197</f>
        <v/>
      </c>
      <c r="E197" s="28">
        <f>Weekly_Inspections!$H197</f>
        <v/>
      </c>
      <c r="F197" s="30">
        <f>IF(Weekly_Inspections!$AX197&lt;&gt;"",Weekly_Inspections!$AX197,IF(Weekly_Inspections!$AY197&lt;&gt;"",Weekly_Inspections!$AY197,IF(Weekly_Inspections!$AZ197&lt;&gt;"",Weekly_Inspections!$AZ197,IF(Weekly_Inspections!$BA197&lt;&gt;"",Weekly_Inspections!$BA197,IF(Weekly_Inspections!$BB197&lt;&gt;"",Weekly_Inspections!$BB197,Weekly_Inspections!$R197)))))</f>
        <v/>
      </c>
      <c r="G197" s="30">
        <f>IF(OR(Weekly_Inspections!$AQ197&lt;&gt;"",Weekly_Inspections!$AR197&lt;&gt;"",Weekly_Inspections!$AS197&lt;&gt;""),Weekly_Inspections!$AQ197,"")</f>
        <v/>
      </c>
      <c r="H197" s="30">
        <f>Weekly_Inspections!$AP197</f>
        <v/>
      </c>
      <c r="I197" s="30">
        <f>Weekly_Inspections!$AR197</f>
        <v/>
      </c>
      <c r="J197" s="30">
        <f>Weekly_Inspections!$AS197</f>
        <v/>
      </c>
      <c r="K197" s="30">
        <f>Weekly_Inspections!$AU197</f>
        <v/>
      </c>
      <c r="L197" s="46">
        <f>Weekly_Inspections!$AV197</f>
        <v/>
      </c>
      <c r="M197" s="30">
        <f>IF($B197="","",IF($N197&lt;&gt;"","Closed",IF(OR($G197&lt;&gt;"",$I197&lt;&gt;"",$J197&lt;&gt;""),"Open","")))</f>
        <v/>
      </c>
      <c r="N197" s="46" t="n"/>
      <c r="O197" s="28">
        <f>IF($B197="","",IF($M197="Closed",IF($N197="","",$N197-$B197),TODAY()-$B197))</f>
        <v/>
      </c>
      <c r="P197" s="28">
        <f>IF(OR($B197="",$L197="",$M197="Closed"),"",IF(TODAY()&gt;$L197,"YES","NO"))</f>
        <v/>
      </c>
      <c r="Q197" s="30">
        <f>Weekly_Inspections!$AW197</f>
        <v/>
      </c>
    </row>
    <row r="198" ht="15" customHeight="1" s="45">
      <c r="A198" s="28">
        <f>IF(Weekly_Inspections!$B198="","",Weekly_Inspections!$A198&amp;"-A1")</f>
        <v/>
      </c>
      <c r="B198" s="46">
        <f>Weekly_Inspections!$B198</f>
        <v/>
      </c>
      <c r="C198" s="30">
        <f>Weekly_Inspections!$E198</f>
        <v/>
      </c>
      <c r="D198" s="30">
        <f>Weekly_Inspections!$F198</f>
        <v/>
      </c>
      <c r="E198" s="28">
        <f>Weekly_Inspections!$H198</f>
        <v/>
      </c>
      <c r="F198" s="30">
        <f>IF(Weekly_Inspections!$AX198&lt;&gt;"",Weekly_Inspections!$AX198,IF(Weekly_Inspections!$AY198&lt;&gt;"",Weekly_Inspections!$AY198,IF(Weekly_Inspections!$AZ198&lt;&gt;"",Weekly_Inspections!$AZ198,IF(Weekly_Inspections!$BA198&lt;&gt;"",Weekly_Inspections!$BA198,IF(Weekly_Inspections!$BB198&lt;&gt;"",Weekly_Inspections!$BB198,Weekly_Inspections!$R198)))))</f>
        <v/>
      </c>
      <c r="G198" s="30">
        <f>IF(OR(Weekly_Inspections!$AQ198&lt;&gt;"",Weekly_Inspections!$AR198&lt;&gt;"",Weekly_Inspections!$AS198&lt;&gt;""),Weekly_Inspections!$AQ198,"")</f>
        <v/>
      </c>
      <c r="H198" s="30">
        <f>Weekly_Inspections!$AP198</f>
        <v/>
      </c>
      <c r="I198" s="30">
        <f>Weekly_Inspections!$AR198</f>
        <v/>
      </c>
      <c r="J198" s="30">
        <f>Weekly_Inspections!$AS198</f>
        <v/>
      </c>
      <c r="K198" s="30">
        <f>Weekly_Inspections!$AU198</f>
        <v/>
      </c>
      <c r="L198" s="46">
        <f>Weekly_Inspections!$AV198</f>
        <v/>
      </c>
      <c r="M198" s="30">
        <f>IF($B198="","",IF($N198&lt;&gt;"","Closed",IF(OR($G198&lt;&gt;"",$I198&lt;&gt;"",$J198&lt;&gt;""),"Open","")))</f>
        <v/>
      </c>
      <c r="N198" s="46" t="n"/>
      <c r="O198" s="28">
        <f>IF($B198="","",IF($M198="Closed",IF($N198="","",$N198-$B198),TODAY()-$B198))</f>
        <v/>
      </c>
      <c r="P198" s="28">
        <f>IF(OR($B198="",$L198="",$M198="Closed"),"",IF(TODAY()&gt;$L198,"YES","NO"))</f>
        <v/>
      </c>
      <c r="Q198" s="30">
        <f>Weekly_Inspections!$AW198</f>
        <v/>
      </c>
    </row>
    <row r="199" ht="15" customHeight="1" s="45">
      <c r="A199" s="28">
        <f>IF(Weekly_Inspections!$B199="","",Weekly_Inspections!$A199&amp;"-A1")</f>
        <v/>
      </c>
      <c r="B199" s="46">
        <f>Weekly_Inspections!$B199</f>
        <v/>
      </c>
      <c r="C199" s="30">
        <f>Weekly_Inspections!$E199</f>
        <v/>
      </c>
      <c r="D199" s="30">
        <f>Weekly_Inspections!$F199</f>
        <v/>
      </c>
      <c r="E199" s="28">
        <f>Weekly_Inspections!$H199</f>
        <v/>
      </c>
      <c r="F199" s="30">
        <f>IF(Weekly_Inspections!$AX199&lt;&gt;"",Weekly_Inspections!$AX199,IF(Weekly_Inspections!$AY199&lt;&gt;"",Weekly_Inspections!$AY199,IF(Weekly_Inspections!$AZ199&lt;&gt;"",Weekly_Inspections!$AZ199,IF(Weekly_Inspections!$BA199&lt;&gt;"",Weekly_Inspections!$BA199,IF(Weekly_Inspections!$BB199&lt;&gt;"",Weekly_Inspections!$BB199,Weekly_Inspections!$R199)))))</f>
        <v/>
      </c>
      <c r="G199" s="30">
        <f>IF(OR(Weekly_Inspections!$AQ199&lt;&gt;"",Weekly_Inspections!$AR199&lt;&gt;"",Weekly_Inspections!$AS199&lt;&gt;""),Weekly_Inspections!$AQ199,"")</f>
        <v/>
      </c>
      <c r="H199" s="30">
        <f>Weekly_Inspections!$AP199</f>
        <v/>
      </c>
      <c r="I199" s="30">
        <f>Weekly_Inspections!$AR199</f>
        <v/>
      </c>
      <c r="J199" s="30">
        <f>Weekly_Inspections!$AS199</f>
        <v/>
      </c>
      <c r="K199" s="30">
        <f>Weekly_Inspections!$AU199</f>
        <v/>
      </c>
      <c r="L199" s="46">
        <f>Weekly_Inspections!$AV199</f>
        <v/>
      </c>
      <c r="M199" s="30">
        <f>IF($B199="","",IF($N199&lt;&gt;"","Closed",IF(OR($G199&lt;&gt;"",$I199&lt;&gt;"",$J199&lt;&gt;""),"Open","")))</f>
        <v/>
      </c>
      <c r="N199" s="46" t="n"/>
      <c r="O199" s="28">
        <f>IF($B199="","",IF($M199="Closed",IF($N199="","",$N199-$B199),TODAY()-$B199))</f>
        <v/>
      </c>
      <c r="P199" s="28">
        <f>IF(OR($B199="",$L199="",$M199="Closed"),"",IF(TODAY()&gt;$L199,"YES","NO"))</f>
        <v/>
      </c>
      <c r="Q199" s="30">
        <f>Weekly_Inspections!$AW199</f>
        <v/>
      </c>
    </row>
    <row r="200" ht="15" customHeight="1" s="45">
      <c r="A200" s="28">
        <f>IF(Weekly_Inspections!$B200="","",Weekly_Inspections!$A200&amp;"-A1")</f>
        <v/>
      </c>
      <c r="B200" s="46">
        <f>Weekly_Inspections!$B200</f>
        <v/>
      </c>
      <c r="C200" s="30">
        <f>Weekly_Inspections!$E200</f>
        <v/>
      </c>
      <c r="D200" s="30">
        <f>Weekly_Inspections!$F200</f>
        <v/>
      </c>
      <c r="E200" s="28">
        <f>Weekly_Inspections!$H200</f>
        <v/>
      </c>
      <c r="F200" s="30">
        <f>IF(Weekly_Inspections!$AX200&lt;&gt;"",Weekly_Inspections!$AX200,IF(Weekly_Inspections!$AY200&lt;&gt;"",Weekly_Inspections!$AY200,IF(Weekly_Inspections!$AZ200&lt;&gt;"",Weekly_Inspections!$AZ200,IF(Weekly_Inspections!$BA200&lt;&gt;"",Weekly_Inspections!$BA200,IF(Weekly_Inspections!$BB200&lt;&gt;"",Weekly_Inspections!$BB200,Weekly_Inspections!$R200)))))</f>
        <v/>
      </c>
      <c r="G200" s="30">
        <f>IF(OR(Weekly_Inspections!$AQ200&lt;&gt;"",Weekly_Inspections!$AR200&lt;&gt;"",Weekly_Inspections!$AS200&lt;&gt;""),Weekly_Inspections!$AQ200,"")</f>
        <v/>
      </c>
      <c r="H200" s="30">
        <f>Weekly_Inspections!$AP200</f>
        <v/>
      </c>
      <c r="I200" s="30">
        <f>Weekly_Inspections!$AR200</f>
        <v/>
      </c>
      <c r="J200" s="30">
        <f>Weekly_Inspections!$AS200</f>
        <v/>
      </c>
      <c r="K200" s="30">
        <f>Weekly_Inspections!$AU200</f>
        <v/>
      </c>
      <c r="L200" s="46">
        <f>Weekly_Inspections!$AV200</f>
        <v/>
      </c>
      <c r="M200" s="30">
        <f>IF($B200="","",IF($N200&lt;&gt;"","Closed",IF(OR($G200&lt;&gt;"",$I200&lt;&gt;"",$J200&lt;&gt;""),"Open","")))</f>
        <v/>
      </c>
      <c r="N200" s="46" t="n"/>
      <c r="O200" s="28">
        <f>IF($B200="","",IF($M200="Closed",IF($N200="","",$N200-$B200),TODAY()-$B200))</f>
        <v/>
      </c>
      <c r="P200" s="28">
        <f>IF(OR($B200="",$L200="",$M200="Closed"),"",IF(TODAY()&gt;$L200,"YES","NO"))</f>
        <v/>
      </c>
      <c r="Q200" s="30">
        <f>Weekly_Inspections!$AW200</f>
        <v/>
      </c>
    </row>
    <row r="201" ht="15" customHeight="1" s="45">
      <c r="A201" s="28">
        <f>IF(Weekly_Inspections!$B201="","",Weekly_Inspections!$A201&amp;"-A1")</f>
        <v/>
      </c>
      <c r="B201" s="46">
        <f>Weekly_Inspections!$B201</f>
        <v/>
      </c>
      <c r="C201" s="30">
        <f>Weekly_Inspections!$E201</f>
        <v/>
      </c>
      <c r="D201" s="30">
        <f>Weekly_Inspections!$F201</f>
        <v/>
      </c>
      <c r="E201" s="28">
        <f>Weekly_Inspections!$H201</f>
        <v/>
      </c>
      <c r="F201" s="30">
        <f>IF(Weekly_Inspections!$AX201&lt;&gt;"",Weekly_Inspections!$AX201,IF(Weekly_Inspections!$AY201&lt;&gt;"",Weekly_Inspections!$AY201,IF(Weekly_Inspections!$AZ201&lt;&gt;"",Weekly_Inspections!$AZ201,IF(Weekly_Inspections!$BA201&lt;&gt;"",Weekly_Inspections!$BA201,IF(Weekly_Inspections!$BB201&lt;&gt;"",Weekly_Inspections!$BB201,Weekly_Inspections!$R201)))))</f>
        <v/>
      </c>
      <c r="G201" s="30">
        <f>IF(OR(Weekly_Inspections!$AQ201&lt;&gt;"",Weekly_Inspections!$AR201&lt;&gt;"",Weekly_Inspections!$AS201&lt;&gt;""),Weekly_Inspections!$AQ201,"")</f>
        <v/>
      </c>
      <c r="H201" s="30">
        <f>Weekly_Inspections!$AP201</f>
        <v/>
      </c>
      <c r="I201" s="30">
        <f>Weekly_Inspections!$AR201</f>
        <v/>
      </c>
      <c r="J201" s="30">
        <f>Weekly_Inspections!$AS201</f>
        <v/>
      </c>
      <c r="K201" s="30">
        <f>Weekly_Inspections!$AU201</f>
        <v/>
      </c>
      <c r="L201" s="46">
        <f>Weekly_Inspections!$AV201</f>
        <v/>
      </c>
      <c r="M201" s="30">
        <f>IF($B201="","",IF($N201&lt;&gt;"","Closed",IF(OR($G201&lt;&gt;"",$I201&lt;&gt;"",$J201&lt;&gt;""),"Open","")))</f>
        <v/>
      </c>
      <c r="N201" s="46" t="n"/>
      <c r="O201" s="28">
        <f>IF($B201="","",IF($M201="Closed",IF($N201="","",$N201-$B201),TODAY()-$B201))</f>
        <v/>
      </c>
      <c r="P201" s="28">
        <f>IF(OR($B201="",$L201="",$M201="Closed"),"",IF(TODAY()&gt;$L201,"YES","NO"))</f>
        <v/>
      </c>
      <c r="Q201" s="30">
        <f>Weekly_Inspections!$AW201</f>
        <v/>
      </c>
    </row>
    <row r="202" ht="15" customHeight="1" s="45">
      <c r="A202" s="28">
        <f>IF(Weekly_Inspections!$B202="","",Weekly_Inspections!$A202&amp;"-A1")</f>
        <v/>
      </c>
      <c r="B202" s="46">
        <f>Weekly_Inspections!$B202</f>
        <v/>
      </c>
      <c r="C202" s="30">
        <f>Weekly_Inspections!$E202</f>
        <v/>
      </c>
      <c r="D202" s="30">
        <f>Weekly_Inspections!$F202</f>
        <v/>
      </c>
      <c r="E202" s="28">
        <f>Weekly_Inspections!$H202</f>
        <v/>
      </c>
      <c r="F202" s="30">
        <f>IF(Weekly_Inspections!$AX202&lt;&gt;"",Weekly_Inspections!$AX202,IF(Weekly_Inspections!$AY202&lt;&gt;"",Weekly_Inspections!$AY202,IF(Weekly_Inspections!$AZ202&lt;&gt;"",Weekly_Inspections!$AZ202,IF(Weekly_Inspections!$BA202&lt;&gt;"",Weekly_Inspections!$BA202,IF(Weekly_Inspections!$BB202&lt;&gt;"",Weekly_Inspections!$BB202,Weekly_Inspections!$R202)))))</f>
        <v/>
      </c>
      <c r="G202" s="30">
        <f>IF(OR(Weekly_Inspections!$AQ202&lt;&gt;"",Weekly_Inspections!$AR202&lt;&gt;"",Weekly_Inspections!$AS202&lt;&gt;""),Weekly_Inspections!$AQ202,"")</f>
        <v/>
      </c>
      <c r="H202" s="30">
        <f>Weekly_Inspections!$AP202</f>
        <v/>
      </c>
      <c r="I202" s="30">
        <f>Weekly_Inspections!$AR202</f>
        <v/>
      </c>
      <c r="J202" s="30">
        <f>Weekly_Inspections!$AS202</f>
        <v/>
      </c>
      <c r="K202" s="30">
        <f>Weekly_Inspections!$AU202</f>
        <v/>
      </c>
      <c r="L202" s="46">
        <f>Weekly_Inspections!$AV202</f>
        <v/>
      </c>
      <c r="M202" s="30">
        <f>IF($B202="","",IF($N202&lt;&gt;"","Closed",IF(OR($G202&lt;&gt;"",$I202&lt;&gt;"",$J202&lt;&gt;""),"Open","")))</f>
        <v/>
      </c>
      <c r="N202" s="46" t="n"/>
      <c r="O202" s="28">
        <f>IF($B202="","",IF($M202="Closed",IF($N202="","",$N202-$B202),TODAY()-$B202))</f>
        <v/>
      </c>
      <c r="P202" s="28">
        <f>IF(OR($B202="",$L202="",$M202="Closed"),"",IF(TODAY()&gt;$L202,"YES","NO"))</f>
        <v/>
      </c>
      <c r="Q202" s="30">
        <f>Weekly_Inspections!$AW202</f>
        <v/>
      </c>
    </row>
    <row r="203" ht="15" customHeight="1" s="45">
      <c r="A203" s="28">
        <f>IF(Weekly_Inspections!$B203="","",Weekly_Inspections!$A203&amp;"-A1")</f>
        <v/>
      </c>
      <c r="B203" s="46">
        <f>Weekly_Inspections!$B203</f>
        <v/>
      </c>
      <c r="C203" s="30">
        <f>Weekly_Inspections!$E203</f>
        <v/>
      </c>
      <c r="D203" s="30">
        <f>Weekly_Inspections!$F203</f>
        <v/>
      </c>
      <c r="E203" s="28">
        <f>Weekly_Inspections!$H203</f>
        <v/>
      </c>
      <c r="F203" s="30">
        <f>IF(Weekly_Inspections!$AX203&lt;&gt;"",Weekly_Inspections!$AX203,IF(Weekly_Inspections!$AY203&lt;&gt;"",Weekly_Inspections!$AY203,IF(Weekly_Inspections!$AZ203&lt;&gt;"",Weekly_Inspections!$AZ203,IF(Weekly_Inspections!$BA203&lt;&gt;"",Weekly_Inspections!$BA203,IF(Weekly_Inspections!$BB203&lt;&gt;"",Weekly_Inspections!$BB203,Weekly_Inspections!$R203)))))</f>
        <v/>
      </c>
      <c r="G203" s="30">
        <f>IF(OR(Weekly_Inspections!$AQ203&lt;&gt;"",Weekly_Inspections!$AR203&lt;&gt;"",Weekly_Inspections!$AS203&lt;&gt;""),Weekly_Inspections!$AQ203,"")</f>
        <v/>
      </c>
      <c r="H203" s="30">
        <f>Weekly_Inspections!$AP203</f>
        <v/>
      </c>
      <c r="I203" s="30">
        <f>Weekly_Inspections!$AR203</f>
        <v/>
      </c>
      <c r="J203" s="30">
        <f>Weekly_Inspections!$AS203</f>
        <v/>
      </c>
      <c r="K203" s="30">
        <f>Weekly_Inspections!$AU203</f>
        <v/>
      </c>
      <c r="L203" s="46">
        <f>Weekly_Inspections!$AV203</f>
        <v/>
      </c>
      <c r="M203" s="30">
        <f>IF($B203="","",IF($N203&lt;&gt;"","Closed",IF(OR($G203&lt;&gt;"",$I203&lt;&gt;"",$J203&lt;&gt;""),"Open","")))</f>
        <v/>
      </c>
      <c r="N203" s="46" t="n"/>
      <c r="O203" s="28">
        <f>IF($B203="","",IF($M203="Closed",IF($N203="","",$N203-$B203),TODAY()-$B203))</f>
        <v/>
      </c>
      <c r="P203" s="28">
        <f>IF(OR($B203="",$L203="",$M203="Closed"),"",IF(TODAY()&gt;$L203,"YES","NO"))</f>
        <v/>
      </c>
      <c r="Q203" s="30">
        <f>Weekly_Inspections!$AW203</f>
        <v/>
      </c>
    </row>
    <row r="204" ht="15" customHeight="1" s="45">
      <c r="A204" s="28">
        <f>IF(Weekly_Inspections!$B204="","",Weekly_Inspections!$A204&amp;"-A1")</f>
        <v/>
      </c>
      <c r="B204" s="46">
        <f>Weekly_Inspections!$B204</f>
        <v/>
      </c>
      <c r="C204" s="30">
        <f>Weekly_Inspections!$E204</f>
        <v/>
      </c>
      <c r="D204" s="30">
        <f>Weekly_Inspections!$F204</f>
        <v/>
      </c>
      <c r="E204" s="28">
        <f>Weekly_Inspections!$H204</f>
        <v/>
      </c>
      <c r="F204" s="30">
        <f>IF(Weekly_Inspections!$AX204&lt;&gt;"",Weekly_Inspections!$AX204,IF(Weekly_Inspections!$AY204&lt;&gt;"",Weekly_Inspections!$AY204,IF(Weekly_Inspections!$AZ204&lt;&gt;"",Weekly_Inspections!$AZ204,IF(Weekly_Inspections!$BA204&lt;&gt;"",Weekly_Inspections!$BA204,IF(Weekly_Inspections!$BB204&lt;&gt;"",Weekly_Inspections!$BB204,Weekly_Inspections!$R204)))))</f>
        <v/>
      </c>
      <c r="G204" s="30">
        <f>IF(OR(Weekly_Inspections!$AQ204&lt;&gt;"",Weekly_Inspections!$AR204&lt;&gt;"",Weekly_Inspections!$AS204&lt;&gt;""),Weekly_Inspections!$AQ204,"")</f>
        <v/>
      </c>
      <c r="H204" s="30">
        <f>Weekly_Inspections!$AP204</f>
        <v/>
      </c>
      <c r="I204" s="30">
        <f>Weekly_Inspections!$AR204</f>
        <v/>
      </c>
      <c r="J204" s="30">
        <f>Weekly_Inspections!$AS204</f>
        <v/>
      </c>
      <c r="K204" s="30">
        <f>Weekly_Inspections!$AU204</f>
        <v/>
      </c>
      <c r="L204" s="46">
        <f>Weekly_Inspections!$AV204</f>
        <v/>
      </c>
      <c r="M204" s="30">
        <f>IF($B204="","",IF($N204&lt;&gt;"","Closed",IF(OR($G204&lt;&gt;"",$I204&lt;&gt;"",$J204&lt;&gt;""),"Open","")))</f>
        <v/>
      </c>
      <c r="N204" s="46" t="n"/>
      <c r="O204" s="28">
        <f>IF($B204="","",IF($M204="Closed",IF($N204="","",$N204-$B204),TODAY()-$B204))</f>
        <v/>
      </c>
      <c r="P204" s="28">
        <f>IF(OR($B204="",$L204="",$M204="Closed"),"",IF(TODAY()&gt;$L204,"YES","NO"))</f>
        <v/>
      </c>
      <c r="Q204" s="30">
        <f>Weekly_Inspections!$AW204</f>
        <v/>
      </c>
    </row>
    <row r="205" ht="15" customHeight="1" s="45">
      <c r="A205" s="28">
        <f>IF(Weekly_Inspections!$B205="","",Weekly_Inspections!$A205&amp;"-A1")</f>
        <v/>
      </c>
      <c r="B205" s="46">
        <f>Weekly_Inspections!$B205</f>
        <v/>
      </c>
      <c r="C205" s="30">
        <f>Weekly_Inspections!$E205</f>
        <v/>
      </c>
      <c r="D205" s="30">
        <f>Weekly_Inspections!$F205</f>
        <v/>
      </c>
      <c r="E205" s="28">
        <f>Weekly_Inspections!$H205</f>
        <v/>
      </c>
      <c r="F205" s="30">
        <f>IF(Weekly_Inspections!$AX205&lt;&gt;"",Weekly_Inspections!$AX205,IF(Weekly_Inspections!$AY205&lt;&gt;"",Weekly_Inspections!$AY205,IF(Weekly_Inspections!$AZ205&lt;&gt;"",Weekly_Inspections!$AZ205,IF(Weekly_Inspections!$BA205&lt;&gt;"",Weekly_Inspections!$BA205,IF(Weekly_Inspections!$BB205&lt;&gt;"",Weekly_Inspections!$BB205,Weekly_Inspections!$R205)))))</f>
        <v/>
      </c>
      <c r="G205" s="30">
        <f>IF(OR(Weekly_Inspections!$AQ205&lt;&gt;"",Weekly_Inspections!$AR205&lt;&gt;"",Weekly_Inspections!$AS205&lt;&gt;""),Weekly_Inspections!$AQ205,"")</f>
        <v/>
      </c>
      <c r="H205" s="30">
        <f>Weekly_Inspections!$AP205</f>
        <v/>
      </c>
      <c r="I205" s="30">
        <f>Weekly_Inspections!$AR205</f>
        <v/>
      </c>
      <c r="J205" s="30">
        <f>Weekly_Inspections!$AS205</f>
        <v/>
      </c>
      <c r="K205" s="30">
        <f>Weekly_Inspections!$AU205</f>
        <v/>
      </c>
      <c r="L205" s="46">
        <f>Weekly_Inspections!$AV205</f>
        <v/>
      </c>
      <c r="M205" s="30">
        <f>IF($B205="","",IF($N205&lt;&gt;"","Closed",IF(OR($G205&lt;&gt;"",$I205&lt;&gt;"",$J205&lt;&gt;""),"Open","")))</f>
        <v/>
      </c>
      <c r="N205" s="46" t="n"/>
      <c r="O205" s="28">
        <f>IF($B205="","",IF($M205="Closed",IF($N205="","",$N205-$B205),TODAY()-$B205))</f>
        <v/>
      </c>
      <c r="P205" s="28">
        <f>IF(OR($B205="",$L205="",$M205="Closed"),"",IF(TODAY()&gt;$L205,"YES","NO"))</f>
        <v/>
      </c>
      <c r="Q205" s="30">
        <f>Weekly_Inspections!$AW205</f>
        <v/>
      </c>
    </row>
    <row r="206" ht="15" customHeight="1" s="45">
      <c r="A206" s="28">
        <f>IF(Weekly_Inspections!$B206="","",Weekly_Inspections!$A206&amp;"-A1")</f>
        <v/>
      </c>
      <c r="B206" s="46">
        <f>Weekly_Inspections!$B206</f>
        <v/>
      </c>
      <c r="C206" s="30">
        <f>Weekly_Inspections!$E206</f>
        <v/>
      </c>
      <c r="D206" s="30">
        <f>Weekly_Inspections!$F206</f>
        <v/>
      </c>
      <c r="E206" s="28">
        <f>Weekly_Inspections!$H206</f>
        <v/>
      </c>
      <c r="F206" s="30">
        <f>IF(Weekly_Inspections!$AX206&lt;&gt;"",Weekly_Inspections!$AX206,IF(Weekly_Inspections!$AY206&lt;&gt;"",Weekly_Inspections!$AY206,IF(Weekly_Inspections!$AZ206&lt;&gt;"",Weekly_Inspections!$AZ206,IF(Weekly_Inspections!$BA206&lt;&gt;"",Weekly_Inspections!$BA206,IF(Weekly_Inspections!$BB206&lt;&gt;"",Weekly_Inspections!$BB206,Weekly_Inspections!$R206)))))</f>
        <v/>
      </c>
      <c r="G206" s="30">
        <f>IF(OR(Weekly_Inspections!$AQ206&lt;&gt;"",Weekly_Inspections!$AR206&lt;&gt;"",Weekly_Inspections!$AS206&lt;&gt;""),Weekly_Inspections!$AQ206,"")</f>
        <v/>
      </c>
      <c r="H206" s="30">
        <f>Weekly_Inspections!$AP206</f>
        <v/>
      </c>
      <c r="I206" s="30">
        <f>Weekly_Inspections!$AR206</f>
        <v/>
      </c>
      <c r="J206" s="30">
        <f>Weekly_Inspections!$AS206</f>
        <v/>
      </c>
      <c r="K206" s="30">
        <f>Weekly_Inspections!$AU206</f>
        <v/>
      </c>
      <c r="L206" s="46">
        <f>Weekly_Inspections!$AV206</f>
        <v/>
      </c>
      <c r="M206" s="30">
        <f>IF($B206="","",IF($N206&lt;&gt;"","Closed",IF(OR($G206&lt;&gt;"",$I206&lt;&gt;"",$J206&lt;&gt;""),"Open","")))</f>
        <v/>
      </c>
      <c r="N206" s="46" t="n"/>
      <c r="O206" s="28">
        <f>IF($B206="","",IF($M206="Closed",IF($N206="","",$N206-$B206),TODAY()-$B206))</f>
        <v/>
      </c>
      <c r="P206" s="28">
        <f>IF(OR($B206="",$L206="",$M206="Closed"),"",IF(TODAY()&gt;$L206,"YES","NO"))</f>
        <v/>
      </c>
      <c r="Q206" s="30">
        <f>Weekly_Inspections!$AW206</f>
        <v/>
      </c>
    </row>
    <row r="207" ht="15" customHeight="1" s="45">
      <c r="A207" s="28">
        <f>IF(Weekly_Inspections!$B207="","",Weekly_Inspections!$A207&amp;"-A1")</f>
        <v/>
      </c>
      <c r="B207" s="46">
        <f>Weekly_Inspections!$B207</f>
        <v/>
      </c>
      <c r="C207" s="30">
        <f>Weekly_Inspections!$E207</f>
        <v/>
      </c>
      <c r="D207" s="30">
        <f>Weekly_Inspections!$F207</f>
        <v/>
      </c>
      <c r="E207" s="28">
        <f>Weekly_Inspections!$H207</f>
        <v/>
      </c>
      <c r="F207" s="30">
        <f>IF(Weekly_Inspections!$AX207&lt;&gt;"",Weekly_Inspections!$AX207,IF(Weekly_Inspections!$AY207&lt;&gt;"",Weekly_Inspections!$AY207,IF(Weekly_Inspections!$AZ207&lt;&gt;"",Weekly_Inspections!$AZ207,IF(Weekly_Inspections!$BA207&lt;&gt;"",Weekly_Inspections!$BA207,IF(Weekly_Inspections!$BB207&lt;&gt;"",Weekly_Inspections!$BB207,Weekly_Inspections!$R207)))))</f>
        <v/>
      </c>
      <c r="G207" s="30">
        <f>IF(OR(Weekly_Inspections!$AQ207&lt;&gt;"",Weekly_Inspections!$AR207&lt;&gt;"",Weekly_Inspections!$AS207&lt;&gt;""),Weekly_Inspections!$AQ207,"")</f>
        <v/>
      </c>
      <c r="H207" s="30">
        <f>Weekly_Inspections!$AP207</f>
        <v/>
      </c>
      <c r="I207" s="30">
        <f>Weekly_Inspections!$AR207</f>
        <v/>
      </c>
      <c r="J207" s="30">
        <f>Weekly_Inspections!$AS207</f>
        <v/>
      </c>
      <c r="K207" s="30">
        <f>Weekly_Inspections!$AU207</f>
        <v/>
      </c>
      <c r="L207" s="46">
        <f>Weekly_Inspections!$AV207</f>
        <v/>
      </c>
      <c r="M207" s="30">
        <f>IF($B207="","",IF($N207&lt;&gt;"","Closed",IF(OR($G207&lt;&gt;"",$I207&lt;&gt;"",$J207&lt;&gt;""),"Open","")))</f>
        <v/>
      </c>
      <c r="N207" s="46" t="n"/>
      <c r="O207" s="28">
        <f>IF($B207="","",IF($M207="Closed",IF($N207="","",$N207-$B207),TODAY()-$B207))</f>
        <v/>
      </c>
      <c r="P207" s="28">
        <f>IF(OR($B207="",$L207="",$M207="Closed"),"",IF(TODAY()&gt;$L207,"YES","NO"))</f>
        <v/>
      </c>
      <c r="Q207" s="30">
        <f>Weekly_Inspections!$AW207</f>
        <v/>
      </c>
    </row>
    <row r="208" ht="15" customHeight="1" s="45">
      <c r="A208" s="28">
        <f>IF(Weekly_Inspections!$B208="","",Weekly_Inspections!$A208&amp;"-A1")</f>
        <v/>
      </c>
      <c r="B208" s="46">
        <f>Weekly_Inspections!$B208</f>
        <v/>
      </c>
      <c r="C208" s="30">
        <f>Weekly_Inspections!$E208</f>
        <v/>
      </c>
      <c r="D208" s="30">
        <f>Weekly_Inspections!$F208</f>
        <v/>
      </c>
      <c r="E208" s="28">
        <f>Weekly_Inspections!$H208</f>
        <v/>
      </c>
      <c r="F208" s="30">
        <f>IF(Weekly_Inspections!$AX208&lt;&gt;"",Weekly_Inspections!$AX208,IF(Weekly_Inspections!$AY208&lt;&gt;"",Weekly_Inspections!$AY208,IF(Weekly_Inspections!$AZ208&lt;&gt;"",Weekly_Inspections!$AZ208,IF(Weekly_Inspections!$BA208&lt;&gt;"",Weekly_Inspections!$BA208,IF(Weekly_Inspections!$BB208&lt;&gt;"",Weekly_Inspections!$BB208,Weekly_Inspections!$R208)))))</f>
        <v/>
      </c>
      <c r="G208" s="30">
        <f>IF(OR(Weekly_Inspections!$AQ208&lt;&gt;"",Weekly_Inspections!$AR208&lt;&gt;"",Weekly_Inspections!$AS208&lt;&gt;""),Weekly_Inspections!$AQ208,"")</f>
        <v/>
      </c>
      <c r="H208" s="30">
        <f>Weekly_Inspections!$AP208</f>
        <v/>
      </c>
      <c r="I208" s="30">
        <f>Weekly_Inspections!$AR208</f>
        <v/>
      </c>
      <c r="J208" s="30">
        <f>Weekly_Inspections!$AS208</f>
        <v/>
      </c>
      <c r="K208" s="30">
        <f>Weekly_Inspections!$AU208</f>
        <v/>
      </c>
      <c r="L208" s="46">
        <f>Weekly_Inspections!$AV208</f>
        <v/>
      </c>
      <c r="M208" s="30">
        <f>IF($B208="","",IF($N208&lt;&gt;"","Closed",IF(OR($G208&lt;&gt;"",$I208&lt;&gt;"",$J208&lt;&gt;""),"Open","")))</f>
        <v/>
      </c>
      <c r="N208" s="46" t="n"/>
      <c r="O208" s="28">
        <f>IF($B208="","",IF($M208="Closed",IF($N208="","",$N208-$B208),TODAY()-$B208))</f>
        <v/>
      </c>
      <c r="P208" s="28">
        <f>IF(OR($B208="",$L208="",$M208="Closed"),"",IF(TODAY()&gt;$L208,"YES","NO"))</f>
        <v/>
      </c>
      <c r="Q208" s="30">
        <f>Weekly_Inspections!$AW208</f>
        <v/>
      </c>
    </row>
    <row r="209" ht="15" customHeight="1" s="45">
      <c r="A209" s="28">
        <f>IF(Weekly_Inspections!$B209="","",Weekly_Inspections!$A209&amp;"-A1")</f>
        <v/>
      </c>
      <c r="B209" s="46">
        <f>Weekly_Inspections!$B209</f>
        <v/>
      </c>
      <c r="C209" s="30">
        <f>Weekly_Inspections!$E209</f>
        <v/>
      </c>
      <c r="D209" s="30">
        <f>Weekly_Inspections!$F209</f>
        <v/>
      </c>
      <c r="E209" s="28">
        <f>Weekly_Inspections!$H209</f>
        <v/>
      </c>
      <c r="F209" s="30">
        <f>IF(Weekly_Inspections!$AX209&lt;&gt;"",Weekly_Inspections!$AX209,IF(Weekly_Inspections!$AY209&lt;&gt;"",Weekly_Inspections!$AY209,IF(Weekly_Inspections!$AZ209&lt;&gt;"",Weekly_Inspections!$AZ209,IF(Weekly_Inspections!$BA209&lt;&gt;"",Weekly_Inspections!$BA209,IF(Weekly_Inspections!$BB209&lt;&gt;"",Weekly_Inspections!$BB209,Weekly_Inspections!$R209)))))</f>
        <v/>
      </c>
      <c r="G209" s="30">
        <f>IF(OR(Weekly_Inspections!$AQ209&lt;&gt;"",Weekly_Inspections!$AR209&lt;&gt;"",Weekly_Inspections!$AS209&lt;&gt;""),Weekly_Inspections!$AQ209,"")</f>
        <v/>
      </c>
      <c r="H209" s="30">
        <f>Weekly_Inspections!$AP209</f>
        <v/>
      </c>
      <c r="I209" s="30">
        <f>Weekly_Inspections!$AR209</f>
        <v/>
      </c>
      <c r="J209" s="30">
        <f>Weekly_Inspections!$AS209</f>
        <v/>
      </c>
      <c r="K209" s="30">
        <f>Weekly_Inspections!$AU209</f>
        <v/>
      </c>
      <c r="L209" s="46">
        <f>Weekly_Inspections!$AV209</f>
        <v/>
      </c>
      <c r="M209" s="30">
        <f>IF($B209="","",IF($N209&lt;&gt;"","Closed",IF(OR($G209&lt;&gt;"",$I209&lt;&gt;"",$J209&lt;&gt;""),"Open","")))</f>
        <v/>
      </c>
      <c r="N209" s="46" t="n"/>
      <c r="O209" s="28">
        <f>IF($B209="","",IF($M209="Closed",IF($N209="","",$N209-$B209),TODAY()-$B209))</f>
        <v/>
      </c>
      <c r="P209" s="28">
        <f>IF(OR($B209="",$L209="",$M209="Closed"),"",IF(TODAY()&gt;$L209,"YES","NO"))</f>
        <v/>
      </c>
      <c r="Q209" s="30">
        <f>Weekly_Inspections!$AW209</f>
        <v/>
      </c>
    </row>
    <row r="210" ht="15" customHeight="1" s="45">
      <c r="A210" s="28">
        <f>IF(Weekly_Inspections!$B210="","",Weekly_Inspections!$A210&amp;"-A1")</f>
        <v/>
      </c>
      <c r="B210" s="46">
        <f>Weekly_Inspections!$B210</f>
        <v/>
      </c>
      <c r="C210" s="30">
        <f>Weekly_Inspections!$E210</f>
        <v/>
      </c>
      <c r="D210" s="30">
        <f>Weekly_Inspections!$F210</f>
        <v/>
      </c>
      <c r="E210" s="28">
        <f>Weekly_Inspections!$H210</f>
        <v/>
      </c>
      <c r="F210" s="30">
        <f>IF(Weekly_Inspections!$AX210&lt;&gt;"",Weekly_Inspections!$AX210,IF(Weekly_Inspections!$AY210&lt;&gt;"",Weekly_Inspections!$AY210,IF(Weekly_Inspections!$AZ210&lt;&gt;"",Weekly_Inspections!$AZ210,IF(Weekly_Inspections!$BA210&lt;&gt;"",Weekly_Inspections!$BA210,IF(Weekly_Inspections!$BB210&lt;&gt;"",Weekly_Inspections!$BB210,Weekly_Inspections!$R210)))))</f>
        <v/>
      </c>
      <c r="G210" s="30">
        <f>IF(OR(Weekly_Inspections!$AQ210&lt;&gt;"",Weekly_Inspections!$AR210&lt;&gt;"",Weekly_Inspections!$AS210&lt;&gt;""),Weekly_Inspections!$AQ210,"")</f>
        <v/>
      </c>
      <c r="H210" s="30">
        <f>Weekly_Inspections!$AP210</f>
        <v/>
      </c>
      <c r="I210" s="30">
        <f>Weekly_Inspections!$AR210</f>
        <v/>
      </c>
      <c r="J210" s="30">
        <f>Weekly_Inspections!$AS210</f>
        <v/>
      </c>
      <c r="K210" s="30">
        <f>Weekly_Inspections!$AU210</f>
        <v/>
      </c>
      <c r="L210" s="46">
        <f>Weekly_Inspections!$AV210</f>
        <v/>
      </c>
      <c r="M210" s="30">
        <f>IF($B210="","",IF($N210&lt;&gt;"","Closed",IF(OR($G210&lt;&gt;"",$I210&lt;&gt;"",$J210&lt;&gt;""),"Open","")))</f>
        <v/>
      </c>
      <c r="N210" s="46" t="n"/>
      <c r="O210" s="28">
        <f>IF($B210="","",IF($M210="Closed",IF($N210="","",$N210-$B210),TODAY()-$B210))</f>
        <v/>
      </c>
      <c r="P210" s="28">
        <f>IF(OR($B210="",$L210="",$M210="Closed"),"",IF(TODAY()&gt;$L210,"YES","NO"))</f>
        <v/>
      </c>
      <c r="Q210" s="30">
        <f>Weekly_Inspections!$AW210</f>
        <v/>
      </c>
    </row>
    <row r="211" ht="15" customHeight="1" s="45">
      <c r="A211" s="28">
        <f>IF(Weekly_Inspections!$B211="","",Weekly_Inspections!$A211&amp;"-A1")</f>
        <v/>
      </c>
      <c r="B211" s="46">
        <f>Weekly_Inspections!$B211</f>
        <v/>
      </c>
      <c r="C211" s="30">
        <f>Weekly_Inspections!$E211</f>
        <v/>
      </c>
      <c r="D211" s="30">
        <f>Weekly_Inspections!$F211</f>
        <v/>
      </c>
      <c r="E211" s="28">
        <f>Weekly_Inspections!$H211</f>
        <v/>
      </c>
      <c r="F211" s="30">
        <f>IF(Weekly_Inspections!$AX211&lt;&gt;"",Weekly_Inspections!$AX211,IF(Weekly_Inspections!$AY211&lt;&gt;"",Weekly_Inspections!$AY211,IF(Weekly_Inspections!$AZ211&lt;&gt;"",Weekly_Inspections!$AZ211,IF(Weekly_Inspections!$BA211&lt;&gt;"",Weekly_Inspections!$BA211,IF(Weekly_Inspections!$BB211&lt;&gt;"",Weekly_Inspections!$BB211,Weekly_Inspections!$R211)))))</f>
        <v/>
      </c>
      <c r="G211" s="30">
        <f>IF(OR(Weekly_Inspections!$AQ211&lt;&gt;"",Weekly_Inspections!$AR211&lt;&gt;"",Weekly_Inspections!$AS211&lt;&gt;""),Weekly_Inspections!$AQ211,"")</f>
        <v/>
      </c>
      <c r="H211" s="30">
        <f>Weekly_Inspections!$AP211</f>
        <v/>
      </c>
      <c r="I211" s="30">
        <f>Weekly_Inspections!$AR211</f>
        <v/>
      </c>
      <c r="J211" s="30">
        <f>Weekly_Inspections!$AS211</f>
        <v/>
      </c>
      <c r="K211" s="30">
        <f>Weekly_Inspections!$AU211</f>
        <v/>
      </c>
      <c r="L211" s="46">
        <f>Weekly_Inspections!$AV211</f>
        <v/>
      </c>
      <c r="M211" s="30">
        <f>IF($B211="","",IF($N211&lt;&gt;"","Closed",IF(OR($G211&lt;&gt;"",$I211&lt;&gt;"",$J211&lt;&gt;""),"Open","")))</f>
        <v/>
      </c>
      <c r="N211" s="46" t="n"/>
      <c r="O211" s="28">
        <f>IF($B211="","",IF($M211="Closed",IF($N211="","",$N211-$B211),TODAY()-$B211))</f>
        <v/>
      </c>
      <c r="P211" s="28">
        <f>IF(OR($B211="",$L211="",$M211="Closed"),"",IF(TODAY()&gt;$L211,"YES","NO"))</f>
        <v/>
      </c>
      <c r="Q211" s="30">
        <f>Weekly_Inspections!$AW211</f>
        <v/>
      </c>
    </row>
    <row r="212" ht="15" customHeight="1" s="45">
      <c r="A212" s="28">
        <f>IF(Weekly_Inspections!$B212="","",Weekly_Inspections!$A212&amp;"-A1")</f>
        <v/>
      </c>
      <c r="B212" s="46">
        <f>Weekly_Inspections!$B212</f>
        <v/>
      </c>
      <c r="C212" s="30">
        <f>Weekly_Inspections!$E212</f>
        <v/>
      </c>
      <c r="D212" s="30">
        <f>Weekly_Inspections!$F212</f>
        <v/>
      </c>
      <c r="E212" s="28">
        <f>Weekly_Inspections!$H212</f>
        <v/>
      </c>
      <c r="F212" s="30">
        <f>IF(Weekly_Inspections!$AX212&lt;&gt;"",Weekly_Inspections!$AX212,IF(Weekly_Inspections!$AY212&lt;&gt;"",Weekly_Inspections!$AY212,IF(Weekly_Inspections!$AZ212&lt;&gt;"",Weekly_Inspections!$AZ212,IF(Weekly_Inspections!$BA212&lt;&gt;"",Weekly_Inspections!$BA212,IF(Weekly_Inspections!$BB212&lt;&gt;"",Weekly_Inspections!$BB212,Weekly_Inspections!$R212)))))</f>
        <v/>
      </c>
      <c r="G212" s="30">
        <f>IF(OR(Weekly_Inspections!$AQ212&lt;&gt;"",Weekly_Inspections!$AR212&lt;&gt;"",Weekly_Inspections!$AS212&lt;&gt;""),Weekly_Inspections!$AQ212,"")</f>
        <v/>
      </c>
      <c r="H212" s="30">
        <f>Weekly_Inspections!$AP212</f>
        <v/>
      </c>
      <c r="I212" s="30">
        <f>Weekly_Inspections!$AR212</f>
        <v/>
      </c>
      <c r="J212" s="30">
        <f>Weekly_Inspections!$AS212</f>
        <v/>
      </c>
      <c r="K212" s="30">
        <f>Weekly_Inspections!$AU212</f>
        <v/>
      </c>
      <c r="L212" s="46">
        <f>Weekly_Inspections!$AV212</f>
        <v/>
      </c>
      <c r="M212" s="30">
        <f>IF($B212="","",IF($N212&lt;&gt;"","Closed",IF(OR($G212&lt;&gt;"",$I212&lt;&gt;"",$J212&lt;&gt;""),"Open","")))</f>
        <v/>
      </c>
      <c r="N212" s="46" t="n"/>
      <c r="O212" s="28">
        <f>IF($B212="","",IF($M212="Closed",IF($N212="","",$N212-$B212),TODAY()-$B212))</f>
        <v/>
      </c>
      <c r="P212" s="28">
        <f>IF(OR($B212="",$L212="",$M212="Closed"),"",IF(TODAY()&gt;$L212,"YES","NO"))</f>
        <v/>
      </c>
      <c r="Q212" s="30">
        <f>Weekly_Inspections!$AW212</f>
        <v/>
      </c>
    </row>
    <row r="213" ht="15" customHeight="1" s="45">
      <c r="A213" s="28">
        <f>IF(Weekly_Inspections!$B213="","",Weekly_Inspections!$A213&amp;"-A1")</f>
        <v/>
      </c>
      <c r="B213" s="46">
        <f>Weekly_Inspections!$B213</f>
        <v/>
      </c>
      <c r="C213" s="30">
        <f>Weekly_Inspections!$E213</f>
        <v/>
      </c>
      <c r="D213" s="30">
        <f>Weekly_Inspections!$F213</f>
        <v/>
      </c>
      <c r="E213" s="28">
        <f>Weekly_Inspections!$H213</f>
        <v/>
      </c>
      <c r="F213" s="30">
        <f>IF(Weekly_Inspections!$AX213&lt;&gt;"",Weekly_Inspections!$AX213,IF(Weekly_Inspections!$AY213&lt;&gt;"",Weekly_Inspections!$AY213,IF(Weekly_Inspections!$AZ213&lt;&gt;"",Weekly_Inspections!$AZ213,IF(Weekly_Inspections!$BA213&lt;&gt;"",Weekly_Inspections!$BA213,IF(Weekly_Inspections!$BB213&lt;&gt;"",Weekly_Inspections!$BB213,Weekly_Inspections!$R213)))))</f>
        <v/>
      </c>
      <c r="G213" s="30">
        <f>IF(OR(Weekly_Inspections!$AQ213&lt;&gt;"",Weekly_Inspections!$AR213&lt;&gt;"",Weekly_Inspections!$AS213&lt;&gt;""),Weekly_Inspections!$AQ213,"")</f>
        <v/>
      </c>
      <c r="H213" s="30">
        <f>Weekly_Inspections!$AP213</f>
        <v/>
      </c>
      <c r="I213" s="30">
        <f>Weekly_Inspections!$AR213</f>
        <v/>
      </c>
      <c r="J213" s="30">
        <f>Weekly_Inspections!$AS213</f>
        <v/>
      </c>
      <c r="K213" s="30">
        <f>Weekly_Inspections!$AU213</f>
        <v/>
      </c>
      <c r="L213" s="46">
        <f>Weekly_Inspections!$AV213</f>
        <v/>
      </c>
      <c r="M213" s="30">
        <f>IF($B213="","",IF($N213&lt;&gt;"","Closed",IF(OR($G213&lt;&gt;"",$I213&lt;&gt;"",$J213&lt;&gt;""),"Open","")))</f>
        <v/>
      </c>
      <c r="N213" s="46" t="n"/>
      <c r="O213" s="28">
        <f>IF($B213="","",IF($M213="Closed",IF($N213="","",$N213-$B213),TODAY()-$B213))</f>
        <v/>
      </c>
      <c r="P213" s="28">
        <f>IF(OR($B213="",$L213="",$M213="Closed"),"",IF(TODAY()&gt;$L213,"YES","NO"))</f>
        <v/>
      </c>
      <c r="Q213" s="30">
        <f>Weekly_Inspections!$AW213</f>
        <v/>
      </c>
    </row>
    <row r="214" ht="15" customHeight="1" s="45">
      <c r="A214" s="28">
        <f>IF(Weekly_Inspections!$B214="","",Weekly_Inspections!$A214&amp;"-A1")</f>
        <v/>
      </c>
      <c r="B214" s="46">
        <f>Weekly_Inspections!$B214</f>
        <v/>
      </c>
      <c r="C214" s="30">
        <f>Weekly_Inspections!$E214</f>
        <v/>
      </c>
      <c r="D214" s="30">
        <f>Weekly_Inspections!$F214</f>
        <v/>
      </c>
      <c r="E214" s="28">
        <f>Weekly_Inspections!$H214</f>
        <v/>
      </c>
      <c r="F214" s="30">
        <f>IF(Weekly_Inspections!$AX214&lt;&gt;"",Weekly_Inspections!$AX214,IF(Weekly_Inspections!$AY214&lt;&gt;"",Weekly_Inspections!$AY214,IF(Weekly_Inspections!$AZ214&lt;&gt;"",Weekly_Inspections!$AZ214,IF(Weekly_Inspections!$BA214&lt;&gt;"",Weekly_Inspections!$BA214,IF(Weekly_Inspections!$BB214&lt;&gt;"",Weekly_Inspections!$BB214,Weekly_Inspections!$R214)))))</f>
        <v/>
      </c>
      <c r="G214" s="30">
        <f>IF(OR(Weekly_Inspections!$AQ214&lt;&gt;"",Weekly_Inspections!$AR214&lt;&gt;"",Weekly_Inspections!$AS214&lt;&gt;""),Weekly_Inspections!$AQ214,"")</f>
        <v/>
      </c>
      <c r="H214" s="30">
        <f>Weekly_Inspections!$AP214</f>
        <v/>
      </c>
      <c r="I214" s="30">
        <f>Weekly_Inspections!$AR214</f>
        <v/>
      </c>
      <c r="J214" s="30">
        <f>Weekly_Inspections!$AS214</f>
        <v/>
      </c>
      <c r="K214" s="30">
        <f>Weekly_Inspections!$AU214</f>
        <v/>
      </c>
      <c r="L214" s="46">
        <f>Weekly_Inspections!$AV214</f>
        <v/>
      </c>
      <c r="M214" s="30">
        <f>IF($B214="","",IF($N214&lt;&gt;"","Closed",IF(OR($G214&lt;&gt;"",$I214&lt;&gt;"",$J214&lt;&gt;""),"Open","")))</f>
        <v/>
      </c>
      <c r="N214" s="46" t="n"/>
      <c r="O214" s="28">
        <f>IF($B214="","",IF($M214="Closed",IF($N214="","",$N214-$B214),TODAY()-$B214))</f>
        <v/>
      </c>
      <c r="P214" s="28">
        <f>IF(OR($B214="",$L214="",$M214="Closed"),"",IF(TODAY()&gt;$L214,"YES","NO"))</f>
        <v/>
      </c>
      <c r="Q214" s="30">
        <f>Weekly_Inspections!$AW214</f>
        <v/>
      </c>
    </row>
    <row r="215" ht="15" customHeight="1" s="45">
      <c r="A215" s="28">
        <f>IF(Weekly_Inspections!$B215="","",Weekly_Inspections!$A215&amp;"-A1")</f>
        <v/>
      </c>
      <c r="B215" s="46">
        <f>Weekly_Inspections!$B215</f>
        <v/>
      </c>
      <c r="C215" s="30">
        <f>Weekly_Inspections!$E215</f>
        <v/>
      </c>
      <c r="D215" s="30">
        <f>Weekly_Inspections!$F215</f>
        <v/>
      </c>
      <c r="E215" s="28">
        <f>Weekly_Inspections!$H215</f>
        <v/>
      </c>
      <c r="F215" s="30">
        <f>IF(Weekly_Inspections!$AX215&lt;&gt;"",Weekly_Inspections!$AX215,IF(Weekly_Inspections!$AY215&lt;&gt;"",Weekly_Inspections!$AY215,IF(Weekly_Inspections!$AZ215&lt;&gt;"",Weekly_Inspections!$AZ215,IF(Weekly_Inspections!$BA215&lt;&gt;"",Weekly_Inspections!$BA215,IF(Weekly_Inspections!$BB215&lt;&gt;"",Weekly_Inspections!$BB215,Weekly_Inspections!$R215)))))</f>
        <v/>
      </c>
      <c r="G215" s="30">
        <f>IF(OR(Weekly_Inspections!$AQ215&lt;&gt;"",Weekly_Inspections!$AR215&lt;&gt;"",Weekly_Inspections!$AS215&lt;&gt;""),Weekly_Inspections!$AQ215,"")</f>
        <v/>
      </c>
      <c r="H215" s="30">
        <f>Weekly_Inspections!$AP215</f>
        <v/>
      </c>
      <c r="I215" s="30">
        <f>Weekly_Inspections!$AR215</f>
        <v/>
      </c>
      <c r="J215" s="30">
        <f>Weekly_Inspections!$AS215</f>
        <v/>
      </c>
      <c r="K215" s="30">
        <f>Weekly_Inspections!$AU215</f>
        <v/>
      </c>
      <c r="L215" s="46">
        <f>Weekly_Inspections!$AV215</f>
        <v/>
      </c>
      <c r="M215" s="30">
        <f>IF($B215="","",IF($N215&lt;&gt;"","Closed",IF(OR($G215&lt;&gt;"",$I215&lt;&gt;"",$J215&lt;&gt;""),"Open","")))</f>
        <v/>
      </c>
      <c r="N215" s="46" t="n"/>
      <c r="O215" s="28">
        <f>IF($B215="","",IF($M215="Closed",IF($N215="","",$N215-$B215),TODAY()-$B215))</f>
        <v/>
      </c>
      <c r="P215" s="28">
        <f>IF(OR($B215="",$L215="",$M215="Closed"),"",IF(TODAY()&gt;$L215,"YES","NO"))</f>
        <v/>
      </c>
      <c r="Q215" s="30">
        <f>Weekly_Inspections!$AW215</f>
        <v/>
      </c>
    </row>
    <row r="216" ht="15" customHeight="1" s="45">
      <c r="A216" s="28">
        <f>IF(Weekly_Inspections!$B216="","",Weekly_Inspections!$A216&amp;"-A1")</f>
        <v/>
      </c>
      <c r="B216" s="46">
        <f>Weekly_Inspections!$B216</f>
        <v/>
      </c>
      <c r="C216" s="30">
        <f>Weekly_Inspections!$E216</f>
        <v/>
      </c>
      <c r="D216" s="30">
        <f>Weekly_Inspections!$F216</f>
        <v/>
      </c>
      <c r="E216" s="28">
        <f>Weekly_Inspections!$H216</f>
        <v/>
      </c>
      <c r="F216" s="30">
        <f>IF(Weekly_Inspections!$AX216&lt;&gt;"",Weekly_Inspections!$AX216,IF(Weekly_Inspections!$AY216&lt;&gt;"",Weekly_Inspections!$AY216,IF(Weekly_Inspections!$AZ216&lt;&gt;"",Weekly_Inspections!$AZ216,IF(Weekly_Inspections!$BA216&lt;&gt;"",Weekly_Inspections!$BA216,IF(Weekly_Inspections!$BB216&lt;&gt;"",Weekly_Inspections!$BB216,Weekly_Inspections!$R216)))))</f>
        <v/>
      </c>
      <c r="G216" s="30">
        <f>IF(OR(Weekly_Inspections!$AQ216&lt;&gt;"",Weekly_Inspections!$AR216&lt;&gt;"",Weekly_Inspections!$AS216&lt;&gt;""),Weekly_Inspections!$AQ216,"")</f>
        <v/>
      </c>
      <c r="H216" s="30">
        <f>Weekly_Inspections!$AP216</f>
        <v/>
      </c>
      <c r="I216" s="30">
        <f>Weekly_Inspections!$AR216</f>
        <v/>
      </c>
      <c r="J216" s="30">
        <f>Weekly_Inspections!$AS216</f>
        <v/>
      </c>
      <c r="K216" s="30">
        <f>Weekly_Inspections!$AU216</f>
        <v/>
      </c>
      <c r="L216" s="46">
        <f>Weekly_Inspections!$AV216</f>
        <v/>
      </c>
      <c r="M216" s="30">
        <f>IF($B216="","",IF($N216&lt;&gt;"","Closed",IF(OR($G216&lt;&gt;"",$I216&lt;&gt;"",$J216&lt;&gt;""),"Open","")))</f>
        <v/>
      </c>
      <c r="N216" s="46" t="n"/>
      <c r="O216" s="28">
        <f>IF($B216="","",IF($M216="Closed",IF($N216="","",$N216-$B216),TODAY()-$B216))</f>
        <v/>
      </c>
      <c r="P216" s="28">
        <f>IF(OR($B216="",$L216="",$M216="Closed"),"",IF(TODAY()&gt;$L216,"YES","NO"))</f>
        <v/>
      </c>
      <c r="Q216" s="30">
        <f>Weekly_Inspections!$AW216</f>
        <v/>
      </c>
    </row>
    <row r="217" ht="15" customHeight="1" s="45">
      <c r="A217" s="28">
        <f>IF(Weekly_Inspections!$B217="","",Weekly_Inspections!$A217&amp;"-A1")</f>
        <v/>
      </c>
      <c r="B217" s="46">
        <f>Weekly_Inspections!$B217</f>
        <v/>
      </c>
      <c r="C217" s="30">
        <f>Weekly_Inspections!$E217</f>
        <v/>
      </c>
      <c r="D217" s="30">
        <f>Weekly_Inspections!$F217</f>
        <v/>
      </c>
      <c r="E217" s="28">
        <f>Weekly_Inspections!$H217</f>
        <v/>
      </c>
      <c r="F217" s="30">
        <f>IF(Weekly_Inspections!$AX217&lt;&gt;"",Weekly_Inspections!$AX217,IF(Weekly_Inspections!$AY217&lt;&gt;"",Weekly_Inspections!$AY217,IF(Weekly_Inspections!$AZ217&lt;&gt;"",Weekly_Inspections!$AZ217,IF(Weekly_Inspections!$BA217&lt;&gt;"",Weekly_Inspections!$BA217,IF(Weekly_Inspections!$BB217&lt;&gt;"",Weekly_Inspections!$BB217,Weekly_Inspections!$R217)))))</f>
        <v/>
      </c>
      <c r="G217" s="30">
        <f>IF(OR(Weekly_Inspections!$AQ217&lt;&gt;"",Weekly_Inspections!$AR217&lt;&gt;"",Weekly_Inspections!$AS217&lt;&gt;""),Weekly_Inspections!$AQ217,"")</f>
        <v/>
      </c>
      <c r="H217" s="30">
        <f>Weekly_Inspections!$AP217</f>
        <v/>
      </c>
      <c r="I217" s="30">
        <f>Weekly_Inspections!$AR217</f>
        <v/>
      </c>
      <c r="J217" s="30">
        <f>Weekly_Inspections!$AS217</f>
        <v/>
      </c>
      <c r="K217" s="30">
        <f>Weekly_Inspections!$AU217</f>
        <v/>
      </c>
      <c r="L217" s="46">
        <f>Weekly_Inspections!$AV217</f>
        <v/>
      </c>
      <c r="M217" s="30">
        <f>IF($B217="","",IF($N217&lt;&gt;"","Closed",IF(OR($G217&lt;&gt;"",$I217&lt;&gt;"",$J217&lt;&gt;""),"Open","")))</f>
        <v/>
      </c>
      <c r="N217" s="46" t="n"/>
      <c r="O217" s="28">
        <f>IF($B217="","",IF($M217="Closed",IF($N217="","",$N217-$B217),TODAY()-$B217))</f>
        <v/>
      </c>
      <c r="P217" s="28">
        <f>IF(OR($B217="",$L217="",$M217="Closed"),"",IF(TODAY()&gt;$L217,"YES","NO"))</f>
        <v/>
      </c>
      <c r="Q217" s="30">
        <f>Weekly_Inspections!$AW217</f>
        <v/>
      </c>
    </row>
    <row r="218" ht="15" customHeight="1" s="45">
      <c r="A218" s="28">
        <f>IF(Weekly_Inspections!$B218="","",Weekly_Inspections!$A218&amp;"-A1")</f>
        <v/>
      </c>
      <c r="B218" s="46">
        <f>Weekly_Inspections!$B218</f>
        <v/>
      </c>
      <c r="C218" s="30">
        <f>Weekly_Inspections!$E218</f>
        <v/>
      </c>
      <c r="D218" s="30">
        <f>Weekly_Inspections!$F218</f>
        <v/>
      </c>
      <c r="E218" s="28">
        <f>Weekly_Inspections!$H218</f>
        <v/>
      </c>
      <c r="F218" s="30">
        <f>IF(Weekly_Inspections!$AX218&lt;&gt;"",Weekly_Inspections!$AX218,IF(Weekly_Inspections!$AY218&lt;&gt;"",Weekly_Inspections!$AY218,IF(Weekly_Inspections!$AZ218&lt;&gt;"",Weekly_Inspections!$AZ218,IF(Weekly_Inspections!$BA218&lt;&gt;"",Weekly_Inspections!$BA218,IF(Weekly_Inspections!$BB218&lt;&gt;"",Weekly_Inspections!$BB218,Weekly_Inspections!$R218)))))</f>
        <v/>
      </c>
      <c r="G218" s="30">
        <f>IF(OR(Weekly_Inspections!$AQ218&lt;&gt;"",Weekly_Inspections!$AR218&lt;&gt;"",Weekly_Inspections!$AS218&lt;&gt;""),Weekly_Inspections!$AQ218,"")</f>
        <v/>
      </c>
      <c r="H218" s="30">
        <f>Weekly_Inspections!$AP218</f>
        <v/>
      </c>
      <c r="I218" s="30">
        <f>Weekly_Inspections!$AR218</f>
        <v/>
      </c>
      <c r="J218" s="30">
        <f>Weekly_Inspections!$AS218</f>
        <v/>
      </c>
      <c r="K218" s="30">
        <f>Weekly_Inspections!$AU218</f>
        <v/>
      </c>
      <c r="L218" s="46">
        <f>Weekly_Inspections!$AV218</f>
        <v/>
      </c>
      <c r="M218" s="30">
        <f>IF($B218="","",IF($N218&lt;&gt;"","Closed",IF(OR($G218&lt;&gt;"",$I218&lt;&gt;"",$J218&lt;&gt;""),"Open","")))</f>
        <v/>
      </c>
      <c r="N218" s="46" t="n"/>
      <c r="O218" s="28">
        <f>IF($B218="","",IF($M218="Closed",IF($N218="","",$N218-$B218),TODAY()-$B218))</f>
        <v/>
      </c>
      <c r="P218" s="28">
        <f>IF(OR($B218="",$L218="",$M218="Closed"),"",IF(TODAY()&gt;$L218,"YES","NO"))</f>
        <v/>
      </c>
      <c r="Q218" s="30">
        <f>Weekly_Inspections!$AW218</f>
        <v/>
      </c>
    </row>
    <row r="219" ht="15" customHeight="1" s="45">
      <c r="A219" s="28">
        <f>IF(Weekly_Inspections!$B219="","",Weekly_Inspections!$A219&amp;"-A1")</f>
        <v/>
      </c>
      <c r="B219" s="46">
        <f>Weekly_Inspections!$B219</f>
        <v/>
      </c>
      <c r="C219" s="30">
        <f>Weekly_Inspections!$E219</f>
        <v/>
      </c>
      <c r="D219" s="30">
        <f>Weekly_Inspections!$F219</f>
        <v/>
      </c>
      <c r="E219" s="28">
        <f>Weekly_Inspections!$H219</f>
        <v/>
      </c>
      <c r="F219" s="30">
        <f>IF(Weekly_Inspections!$AX219&lt;&gt;"",Weekly_Inspections!$AX219,IF(Weekly_Inspections!$AY219&lt;&gt;"",Weekly_Inspections!$AY219,IF(Weekly_Inspections!$AZ219&lt;&gt;"",Weekly_Inspections!$AZ219,IF(Weekly_Inspections!$BA219&lt;&gt;"",Weekly_Inspections!$BA219,IF(Weekly_Inspections!$BB219&lt;&gt;"",Weekly_Inspections!$BB219,Weekly_Inspections!$R219)))))</f>
        <v/>
      </c>
      <c r="G219" s="30">
        <f>IF(OR(Weekly_Inspections!$AQ219&lt;&gt;"",Weekly_Inspections!$AR219&lt;&gt;"",Weekly_Inspections!$AS219&lt;&gt;""),Weekly_Inspections!$AQ219,"")</f>
        <v/>
      </c>
      <c r="H219" s="30">
        <f>Weekly_Inspections!$AP219</f>
        <v/>
      </c>
      <c r="I219" s="30">
        <f>Weekly_Inspections!$AR219</f>
        <v/>
      </c>
      <c r="J219" s="30">
        <f>Weekly_Inspections!$AS219</f>
        <v/>
      </c>
      <c r="K219" s="30">
        <f>Weekly_Inspections!$AU219</f>
        <v/>
      </c>
      <c r="L219" s="46">
        <f>Weekly_Inspections!$AV219</f>
        <v/>
      </c>
      <c r="M219" s="30">
        <f>IF($B219="","",IF($N219&lt;&gt;"","Closed",IF(OR($G219&lt;&gt;"",$I219&lt;&gt;"",$J219&lt;&gt;""),"Open","")))</f>
        <v/>
      </c>
      <c r="N219" s="46" t="n"/>
      <c r="O219" s="28">
        <f>IF($B219="","",IF($M219="Closed",IF($N219="","",$N219-$B219),TODAY()-$B219))</f>
        <v/>
      </c>
      <c r="P219" s="28">
        <f>IF(OR($B219="",$L219="",$M219="Closed"),"",IF(TODAY()&gt;$L219,"YES","NO"))</f>
        <v/>
      </c>
      <c r="Q219" s="30">
        <f>Weekly_Inspections!$AW219</f>
        <v/>
      </c>
    </row>
    <row r="220" ht="15" customHeight="1" s="45">
      <c r="A220" s="28">
        <f>IF(Weekly_Inspections!$B220="","",Weekly_Inspections!$A220&amp;"-A1")</f>
        <v/>
      </c>
      <c r="B220" s="46">
        <f>Weekly_Inspections!$B220</f>
        <v/>
      </c>
      <c r="C220" s="30">
        <f>Weekly_Inspections!$E220</f>
        <v/>
      </c>
      <c r="D220" s="30">
        <f>Weekly_Inspections!$F220</f>
        <v/>
      </c>
      <c r="E220" s="28">
        <f>Weekly_Inspections!$H220</f>
        <v/>
      </c>
      <c r="F220" s="30">
        <f>IF(Weekly_Inspections!$AX220&lt;&gt;"",Weekly_Inspections!$AX220,IF(Weekly_Inspections!$AY220&lt;&gt;"",Weekly_Inspections!$AY220,IF(Weekly_Inspections!$AZ220&lt;&gt;"",Weekly_Inspections!$AZ220,IF(Weekly_Inspections!$BA220&lt;&gt;"",Weekly_Inspections!$BA220,IF(Weekly_Inspections!$BB220&lt;&gt;"",Weekly_Inspections!$BB220,Weekly_Inspections!$R220)))))</f>
        <v/>
      </c>
      <c r="G220" s="30">
        <f>IF(OR(Weekly_Inspections!$AQ220&lt;&gt;"",Weekly_Inspections!$AR220&lt;&gt;"",Weekly_Inspections!$AS220&lt;&gt;""),Weekly_Inspections!$AQ220,"")</f>
        <v/>
      </c>
      <c r="H220" s="30">
        <f>Weekly_Inspections!$AP220</f>
        <v/>
      </c>
      <c r="I220" s="30">
        <f>Weekly_Inspections!$AR220</f>
        <v/>
      </c>
      <c r="J220" s="30">
        <f>Weekly_Inspections!$AS220</f>
        <v/>
      </c>
      <c r="K220" s="30">
        <f>Weekly_Inspections!$AU220</f>
        <v/>
      </c>
      <c r="L220" s="46">
        <f>Weekly_Inspections!$AV220</f>
        <v/>
      </c>
      <c r="M220" s="30">
        <f>IF($B220="","",IF($N220&lt;&gt;"","Closed",IF(OR($G220&lt;&gt;"",$I220&lt;&gt;"",$J220&lt;&gt;""),"Open","")))</f>
        <v/>
      </c>
      <c r="N220" s="46" t="n"/>
      <c r="O220" s="28">
        <f>IF($B220="","",IF($M220="Closed",IF($N220="","",$N220-$B220),TODAY()-$B220))</f>
        <v/>
      </c>
      <c r="P220" s="28">
        <f>IF(OR($B220="",$L220="",$M220="Closed"),"",IF(TODAY()&gt;$L220,"YES","NO"))</f>
        <v/>
      </c>
      <c r="Q220" s="30">
        <f>Weekly_Inspections!$AW220</f>
        <v/>
      </c>
    </row>
    <row r="221" ht="15" customHeight="1" s="45">
      <c r="A221" s="28">
        <f>IF(Weekly_Inspections!$B221="","",Weekly_Inspections!$A221&amp;"-A1")</f>
        <v/>
      </c>
      <c r="B221" s="46">
        <f>Weekly_Inspections!$B221</f>
        <v/>
      </c>
      <c r="C221" s="30">
        <f>Weekly_Inspections!$E221</f>
        <v/>
      </c>
      <c r="D221" s="30">
        <f>Weekly_Inspections!$F221</f>
        <v/>
      </c>
      <c r="E221" s="28">
        <f>Weekly_Inspections!$H221</f>
        <v/>
      </c>
      <c r="F221" s="30">
        <f>IF(Weekly_Inspections!$AX221&lt;&gt;"",Weekly_Inspections!$AX221,IF(Weekly_Inspections!$AY221&lt;&gt;"",Weekly_Inspections!$AY221,IF(Weekly_Inspections!$AZ221&lt;&gt;"",Weekly_Inspections!$AZ221,IF(Weekly_Inspections!$BA221&lt;&gt;"",Weekly_Inspections!$BA221,IF(Weekly_Inspections!$BB221&lt;&gt;"",Weekly_Inspections!$BB221,Weekly_Inspections!$R221)))))</f>
        <v/>
      </c>
      <c r="G221" s="30">
        <f>IF(OR(Weekly_Inspections!$AQ221&lt;&gt;"",Weekly_Inspections!$AR221&lt;&gt;"",Weekly_Inspections!$AS221&lt;&gt;""),Weekly_Inspections!$AQ221,"")</f>
        <v/>
      </c>
      <c r="H221" s="30">
        <f>Weekly_Inspections!$AP221</f>
        <v/>
      </c>
      <c r="I221" s="30">
        <f>Weekly_Inspections!$AR221</f>
        <v/>
      </c>
      <c r="J221" s="30">
        <f>Weekly_Inspections!$AS221</f>
        <v/>
      </c>
      <c r="K221" s="30">
        <f>Weekly_Inspections!$AU221</f>
        <v/>
      </c>
      <c r="L221" s="46">
        <f>Weekly_Inspections!$AV221</f>
        <v/>
      </c>
      <c r="M221" s="30">
        <f>IF($B221="","",IF($N221&lt;&gt;"","Closed",IF(OR($G221&lt;&gt;"",$I221&lt;&gt;"",$J221&lt;&gt;""),"Open","")))</f>
        <v/>
      </c>
      <c r="N221" s="46" t="n"/>
      <c r="O221" s="28">
        <f>IF($B221="","",IF($M221="Closed",IF($N221="","",$N221-$B221),TODAY()-$B221))</f>
        <v/>
      </c>
      <c r="P221" s="28">
        <f>IF(OR($B221="",$L221="",$M221="Closed"),"",IF(TODAY()&gt;$L221,"YES","NO"))</f>
        <v/>
      </c>
      <c r="Q221" s="30">
        <f>Weekly_Inspections!$AW221</f>
        <v/>
      </c>
    </row>
    <row r="222" ht="15" customHeight="1" s="45">
      <c r="A222" s="28">
        <f>IF(Weekly_Inspections!$B222="","",Weekly_Inspections!$A222&amp;"-A1")</f>
        <v/>
      </c>
      <c r="B222" s="46">
        <f>Weekly_Inspections!$B222</f>
        <v/>
      </c>
      <c r="C222" s="30">
        <f>Weekly_Inspections!$E222</f>
        <v/>
      </c>
      <c r="D222" s="30">
        <f>Weekly_Inspections!$F222</f>
        <v/>
      </c>
      <c r="E222" s="28">
        <f>Weekly_Inspections!$H222</f>
        <v/>
      </c>
      <c r="F222" s="30">
        <f>IF(Weekly_Inspections!$AX222&lt;&gt;"",Weekly_Inspections!$AX222,IF(Weekly_Inspections!$AY222&lt;&gt;"",Weekly_Inspections!$AY222,IF(Weekly_Inspections!$AZ222&lt;&gt;"",Weekly_Inspections!$AZ222,IF(Weekly_Inspections!$BA222&lt;&gt;"",Weekly_Inspections!$BA222,IF(Weekly_Inspections!$BB222&lt;&gt;"",Weekly_Inspections!$BB222,Weekly_Inspections!$R222)))))</f>
        <v/>
      </c>
      <c r="G222" s="30">
        <f>IF(OR(Weekly_Inspections!$AQ222&lt;&gt;"",Weekly_Inspections!$AR222&lt;&gt;"",Weekly_Inspections!$AS222&lt;&gt;""),Weekly_Inspections!$AQ222,"")</f>
        <v/>
      </c>
      <c r="H222" s="30">
        <f>Weekly_Inspections!$AP222</f>
        <v/>
      </c>
      <c r="I222" s="30">
        <f>Weekly_Inspections!$AR222</f>
        <v/>
      </c>
      <c r="J222" s="30">
        <f>Weekly_Inspections!$AS222</f>
        <v/>
      </c>
      <c r="K222" s="30">
        <f>Weekly_Inspections!$AU222</f>
        <v/>
      </c>
      <c r="L222" s="46">
        <f>Weekly_Inspections!$AV222</f>
        <v/>
      </c>
      <c r="M222" s="30">
        <f>IF($B222="","",IF($N222&lt;&gt;"","Closed",IF(OR($G222&lt;&gt;"",$I222&lt;&gt;"",$J222&lt;&gt;""),"Open","")))</f>
        <v/>
      </c>
      <c r="N222" s="46" t="n"/>
      <c r="O222" s="28">
        <f>IF($B222="","",IF($M222="Closed",IF($N222="","",$N222-$B222),TODAY()-$B222))</f>
        <v/>
      </c>
      <c r="P222" s="28">
        <f>IF(OR($B222="",$L222="",$M222="Closed"),"",IF(TODAY()&gt;$L222,"YES","NO"))</f>
        <v/>
      </c>
      <c r="Q222" s="30">
        <f>Weekly_Inspections!$AW222</f>
        <v/>
      </c>
    </row>
    <row r="223" ht="15" customHeight="1" s="45">
      <c r="A223" s="28">
        <f>IF(Weekly_Inspections!$B223="","",Weekly_Inspections!$A223&amp;"-A1")</f>
        <v/>
      </c>
      <c r="B223" s="46">
        <f>Weekly_Inspections!$B223</f>
        <v/>
      </c>
      <c r="C223" s="30">
        <f>Weekly_Inspections!$E223</f>
        <v/>
      </c>
      <c r="D223" s="30">
        <f>Weekly_Inspections!$F223</f>
        <v/>
      </c>
      <c r="E223" s="28">
        <f>Weekly_Inspections!$H223</f>
        <v/>
      </c>
      <c r="F223" s="30">
        <f>IF(Weekly_Inspections!$AX223&lt;&gt;"",Weekly_Inspections!$AX223,IF(Weekly_Inspections!$AY223&lt;&gt;"",Weekly_Inspections!$AY223,IF(Weekly_Inspections!$AZ223&lt;&gt;"",Weekly_Inspections!$AZ223,IF(Weekly_Inspections!$BA223&lt;&gt;"",Weekly_Inspections!$BA223,IF(Weekly_Inspections!$BB223&lt;&gt;"",Weekly_Inspections!$BB223,Weekly_Inspections!$R223)))))</f>
        <v/>
      </c>
      <c r="G223" s="30">
        <f>IF(OR(Weekly_Inspections!$AQ223&lt;&gt;"",Weekly_Inspections!$AR223&lt;&gt;"",Weekly_Inspections!$AS223&lt;&gt;""),Weekly_Inspections!$AQ223,"")</f>
        <v/>
      </c>
      <c r="H223" s="30">
        <f>Weekly_Inspections!$AP223</f>
        <v/>
      </c>
      <c r="I223" s="30">
        <f>Weekly_Inspections!$AR223</f>
        <v/>
      </c>
      <c r="J223" s="30">
        <f>Weekly_Inspections!$AS223</f>
        <v/>
      </c>
      <c r="K223" s="30">
        <f>Weekly_Inspections!$AU223</f>
        <v/>
      </c>
      <c r="L223" s="46">
        <f>Weekly_Inspections!$AV223</f>
        <v/>
      </c>
      <c r="M223" s="30">
        <f>IF($B223="","",IF($N223&lt;&gt;"","Closed",IF(OR($G223&lt;&gt;"",$I223&lt;&gt;"",$J223&lt;&gt;""),"Open","")))</f>
        <v/>
      </c>
      <c r="N223" s="46" t="n"/>
      <c r="O223" s="28">
        <f>IF($B223="","",IF($M223="Closed",IF($N223="","",$N223-$B223),TODAY()-$B223))</f>
        <v/>
      </c>
      <c r="P223" s="28">
        <f>IF(OR($B223="",$L223="",$M223="Closed"),"",IF(TODAY()&gt;$L223,"YES","NO"))</f>
        <v/>
      </c>
      <c r="Q223" s="30">
        <f>Weekly_Inspections!$AW223</f>
        <v/>
      </c>
    </row>
    <row r="224" ht="15" customHeight="1" s="45">
      <c r="A224" s="28">
        <f>IF(Weekly_Inspections!$B224="","",Weekly_Inspections!$A224&amp;"-A1")</f>
        <v/>
      </c>
      <c r="B224" s="46">
        <f>Weekly_Inspections!$B224</f>
        <v/>
      </c>
      <c r="C224" s="30">
        <f>Weekly_Inspections!$E224</f>
        <v/>
      </c>
      <c r="D224" s="30">
        <f>Weekly_Inspections!$F224</f>
        <v/>
      </c>
      <c r="E224" s="28">
        <f>Weekly_Inspections!$H224</f>
        <v/>
      </c>
      <c r="F224" s="30">
        <f>IF(Weekly_Inspections!$AX224&lt;&gt;"",Weekly_Inspections!$AX224,IF(Weekly_Inspections!$AY224&lt;&gt;"",Weekly_Inspections!$AY224,IF(Weekly_Inspections!$AZ224&lt;&gt;"",Weekly_Inspections!$AZ224,IF(Weekly_Inspections!$BA224&lt;&gt;"",Weekly_Inspections!$BA224,IF(Weekly_Inspections!$BB224&lt;&gt;"",Weekly_Inspections!$BB224,Weekly_Inspections!$R224)))))</f>
        <v/>
      </c>
      <c r="G224" s="30">
        <f>IF(OR(Weekly_Inspections!$AQ224&lt;&gt;"",Weekly_Inspections!$AR224&lt;&gt;"",Weekly_Inspections!$AS224&lt;&gt;""),Weekly_Inspections!$AQ224,"")</f>
        <v/>
      </c>
      <c r="H224" s="30">
        <f>Weekly_Inspections!$AP224</f>
        <v/>
      </c>
      <c r="I224" s="30">
        <f>Weekly_Inspections!$AR224</f>
        <v/>
      </c>
      <c r="J224" s="30">
        <f>Weekly_Inspections!$AS224</f>
        <v/>
      </c>
      <c r="K224" s="30">
        <f>Weekly_Inspections!$AU224</f>
        <v/>
      </c>
      <c r="L224" s="46">
        <f>Weekly_Inspections!$AV224</f>
        <v/>
      </c>
      <c r="M224" s="30">
        <f>IF($B224="","",IF($N224&lt;&gt;"","Closed",IF(OR($G224&lt;&gt;"",$I224&lt;&gt;"",$J224&lt;&gt;""),"Open","")))</f>
        <v/>
      </c>
      <c r="N224" s="46" t="n"/>
      <c r="O224" s="28">
        <f>IF($B224="","",IF($M224="Closed",IF($N224="","",$N224-$B224),TODAY()-$B224))</f>
        <v/>
      </c>
      <c r="P224" s="28">
        <f>IF(OR($B224="",$L224="",$M224="Closed"),"",IF(TODAY()&gt;$L224,"YES","NO"))</f>
        <v/>
      </c>
      <c r="Q224" s="30">
        <f>Weekly_Inspections!$AW224</f>
        <v/>
      </c>
    </row>
    <row r="225" ht="15" customHeight="1" s="45">
      <c r="A225" s="28">
        <f>IF(Weekly_Inspections!$B225="","",Weekly_Inspections!$A225&amp;"-A1")</f>
        <v/>
      </c>
      <c r="B225" s="46">
        <f>Weekly_Inspections!$B225</f>
        <v/>
      </c>
      <c r="C225" s="30">
        <f>Weekly_Inspections!$E225</f>
        <v/>
      </c>
      <c r="D225" s="30">
        <f>Weekly_Inspections!$F225</f>
        <v/>
      </c>
      <c r="E225" s="28">
        <f>Weekly_Inspections!$H225</f>
        <v/>
      </c>
      <c r="F225" s="30">
        <f>IF(Weekly_Inspections!$AX225&lt;&gt;"",Weekly_Inspections!$AX225,IF(Weekly_Inspections!$AY225&lt;&gt;"",Weekly_Inspections!$AY225,IF(Weekly_Inspections!$AZ225&lt;&gt;"",Weekly_Inspections!$AZ225,IF(Weekly_Inspections!$BA225&lt;&gt;"",Weekly_Inspections!$BA225,IF(Weekly_Inspections!$BB225&lt;&gt;"",Weekly_Inspections!$BB225,Weekly_Inspections!$R225)))))</f>
        <v/>
      </c>
      <c r="G225" s="30">
        <f>IF(OR(Weekly_Inspections!$AQ225&lt;&gt;"",Weekly_Inspections!$AR225&lt;&gt;"",Weekly_Inspections!$AS225&lt;&gt;""),Weekly_Inspections!$AQ225,"")</f>
        <v/>
      </c>
      <c r="H225" s="30">
        <f>Weekly_Inspections!$AP225</f>
        <v/>
      </c>
      <c r="I225" s="30">
        <f>Weekly_Inspections!$AR225</f>
        <v/>
      </c>
      <c r="J225" s="30">
        <f>Weekly_Inspections!$AS225</f>
        <v/>
      </c>
      <c r="K225" s="30">
        <f>Weekly_Inspections!$AU225</f>
        <v/>
      </c>
      <c r="L225" s="46">
        <f>Weekly_Inspections!$AV225</f>
        <v/>
      </c>
      <c r="M225" s="30">
        <f>IF($B225="","",IF($N225&lt;&gt;"","Closed",IF(OR($G225&lt;&gt;"",$I225&lt;&gt;"",$J225&lt;&gt;""),"Open","")))</f>
        <v/>
      </c>
      <c r="N225" s="46" t="n"/>
      <c r="O225" s="28">
        <f>IF($B225="","",IF($M225="Closed",IF($N225="","",$N225-$B225),TODAY()-$B225))</f>
        <v/>
      </c>
      <c r="P225" s="28">
        <f>IF(OR($B225="",$L225="",$M225="Closed"),"",IF(TODAY()&gt;$L225,"YES","NO"))</f>
        <v/>
      </c>
      <c r="Q225" s="30">
        <f>Weekly_Inspections!$AW225</f>
        <v/>
      </c>
    </row>
    <row r="226" ht="15" customHeight="1" s="45">
      <c r="A226" s="28">
        <f>IF(Weekly_Inspections!$B226="","",Weekly_Inspections!$A226&amp;"-A1")</f>
        <v/>
      </c>
      <c r="B226" s="46">
        <f>Weekly_Inspections!$B226</f>
        <v/>
      </c>
      <c r="C226" s="30">
        <f>Weekly_Inspections!$E226</f>
        <v/>
      </c>
      <c r="D226" s="30">
        <f>Weekly_Inspections!$F226</f>
        <v/>
      </c>
      <c r="E226" s="28">
        <f>Weekly_Inspections!$H226</f>
        <v/>
      </c>
      <c r="F226" s="30">
        <f>IF(Weekly_Inspections!$AX226&lt;&gt;"",Weekly_Inspections!$AX226,IF(Weekly_Inspections!$AY226&lt;&gt;"",Weekly_Inspections!$AY226,IF(Weekly_Inspections!$AZ226&lt;&gt;"",Weekly_Inspections!$AZ226,IF(Weekly_Inspections!$BA226&lt;&gt;"",Weekly_Inspections!$BA226,IF(Weekly_Inspections!$BB226&lt;&gt;"",Weekly_Inspections!$BB226,Weekly_Inspections!$R226)))))</f>
        <v/>
      </c>
      <c r="G226" s="30">
        <f>IF(OR(Weekly_Inspections!$AQ226&lt;&gt;"",Weekly_Inspections!$AR226&lt;&gt;"",Weekly_Inspections!$AS226&lt;&gt;""),Weekly_Inspections!$AQ226,"")</f>
        <v/>
      </c>
      <c r="H226" s="30">
        <f>Weekly_Inspections!$AP226</f>
        <v/>
      </c>
      <c r="I226" s="30">
        <f>Weekly_Inspections!$AR226</f>
        <v/>
      </c>
      <c r="J226" s="30">
        <f>Weekly_Inspections!$AS226</f>
        <v/>
      </c>
      <c r="K226" s="30">
        <f>Weekly_Inspections!$AU226</f>
        <v/>
      </c>
      <c r="L226" s="46">
        <f>Weekly_Inspections!$AV226</f>
        <v/>
      </c>
      <c r="M226" s="30">
        <f>IF($B226="","",IF($N226&lt;&gt;"","Closed",IF(OR($G226&lt;&gt;"",$I226&lt;&gt;"",$J226&lt;&gt;""),"Open","")))</f>
        <v/>
      </c>
      <c r="N226" s="46" t="n"/>
      <c r="O226" s="28">
        <f>IF($B226="","",IF($M226="Closed",IF($N226="","",$N226-$B226),TODAY()-$B226))</f>
        <v/>
      </c>
      <c r="P226" s="28">
        <f>IF(OR($B226="",$L226="",$M226="Closed"),"",IF(TODAY()&gt;$L226,"YES","NO"))</f>
        <v/>
      </c>
      <c r="Q226" s="30">
        <f>Weekly_Inspections!$AW226</f>
        <v/>
      </c>
    </row>
    <row r="227" ht="15" customHeight="1" s="45">
      <c r="A227" s="28">
        <f>IF(Weekly_Inspections!$B227="","",Weekly_Inspections!$A227&amp;"-A1")</f>
        <v/>
      </c>
      <c r="B227" s="46">
        <f>Weekly_Inspections!$B227</f>
        <v/>
      </c>
      <c r="C227" s="30">
        <f>Weekly_Inspections!$E227</f>
        <v/>
      </c>
      <c r="D227" s="30">
        <f>Weekly_Inspections!$F227</f>
        <v/>
      </c>
      <c r="E227" s="28">
        <f>Weekly_Inspections!$H227</f>
        <v/>
      </c>
      <c r="F227" s="30">
        <f>IF(Weekly_Inspections!$AX227&lt;&gt;"",Weekly_Inspections!$AX227,IF(Weekly_Inspections!$AY227&lt;&gt;"",Weekly_Inspections!$AY227,IF(Weekly_Inspections!$AZ227&lt;&gt;"",Weekly_Inspections!$AZ227,IF(Weekly_Inspections!$BA227&lt;&gt;"",Weekly_Inspections!$BA227,IF(Weekly_Inspections!$BB227&lt;&gt;"",Weekly_Inspections!$BB227,Weekly_Inspections!$R227)))))</f>
        <v/>
      </c>
      <c r="G227" s="30">
        <f>IF(OR(Weekly_Inspections!$AQ227&lt;&gt;"",Weekly_Inspections!$AR227&lt;&gt;"",Weekly_Inspections!$AS227&lt;&gt;""),Weekly_Inspections!$AQ227,"")</f>
        <v/>
      </c>
      <c r="H227" s="30">
        <f>Weekly_Inspections!$AP227</f>
        <v/>
      </c>
      <c r="I227" s="30">
        <f>Weekly_Inspections!$AR227</f>
        <v/>
      </c>
      <c r="J227" s="30">
        <f>Weekly_Inspections!$AS227</f>
        <v/>
      </c>
      <c r="K227" s="30">
        <f>Weekly_Inspections!$AU227</f>
        <v/>
      </c>
      <c r="L227" s="46">
        <f>Weekly_Inspections!$AV227</f>
        <v/>
      </c>
      <c r="M227" s="30">
        <f>IF($B227="","",IF($N227&lt;&gt;"","Closed",IF(OR($G227&lt;&gt;"",$I227&lt;&gt;"",$J227&lt;&gt;""),"Open","")))</f>
        <v/>
      </c>
      <c r="N227" s="46" t="n"/>
      <c r="O227" s="28">
        <f>IF($B227="","",IF($M227="Closed",IF($N227="","",$N227-$B227),TODAY()-$B227))</f>
        <v/>
      </c>
      <c r="P227" s="28">
        <f>IF(OR($B227="",$L227="",$M227="Closed"),"",IF(TODAY()&gt;$L227,"YES","NO"))</f>
        <v/>
      </c>
      <c r="Q227" s="30">
        <f>Weekly_Inspections!$AW227</f>
        <v/>
      </c>
    </row>
    <row r="228" ht="15" customHeight="1" s="45">
      <c r="A228" s="28">
        <f>IF(Weekly_Inspections!$B228="","",Weekly_Inspections!$A228&amp;"-A1")</f>
        <v/>
      </c>
      <c r="B228" s="46">
        <f>Weekly_Inspections!$B228</f>
        <v/>
      </c>
      <c r="C228" s="30">
        <f>Weekly_Inspections!$E228</f>
        <v/>
      </c>
      <c r="D228" s="30">
        <f>Weekly_Inspections!$F228</f>
        <v/>
      </c>
      <c r="E228" s="28">
        <f>Weekly_Inspections!$H228</f>
        <v/>
      </c>
      <c r="F228" s="30">
        <f>IF(Weekly_Inspections!$AX228&lt;&gt;"",Weekly_Inspections!$AX228,IF(Weekly_Inspections!$AY228&lt;&gt;"",Weekly_Inspections!$AY228,IF(Weekly_Inspections!$AZ228&lt;&gt;"",Weekly_Inspections!$AZ228,IF(Weekly_Inspections!$BA228&lt;&gt;"",Weekly_Inspections!$BA228,IF(Weekly_Inspections!$BB228&lt;&gt;"",Weekly_Inspections!$BB228,Weekly_Inspections!$R228)))))</f>
        <v/>
      </c>
      <c r="G228" s="30">
        <f>IF(OR(Weekly_Inspections!$AQ228&lt;&gt;"",Weekly_Inspections!$AR228&lt;&gt;"",Weekly_Inspections!$AS228&lt;&gt;""),Weekly_Inspections!$AQ228,"")</f>
        <v/>
      </c>
      <c r="H228" s="30">
        <f>Weekly_Inspections!$AP228</f>
        <v/>
      </c>
      <c r="I228" s="30">
        <f>Weekly_Inspections!$AR228</f>
        <v/>
      </c>
      <c r="J228" s="30">
        <f>Weekly_Inspections!$AS228</f>
        <v/>
      </c>
      <c r="K228" s="30">
        <f>Weekly_Inspections!$AU228</f>
        <v/>
      </c>
      <c r="L228" s="46">
        <f>Weekly_Inspections!$AV228</f>
        <v/>
      </c>
      <c r="M228" s="30">
        <f>IF($B228="","",IF($N228&lt;&gt;"","Closed",IF(OR($G228&lt;&gt;"",$I228&lt;&gt;"",$J228&lt;&gt;""),"Open","")))</f>
        <v/>
      </c>
      <c r="N228" s="46" t="n"/>
      <c r="O228" s="28">
        <f>IF($B228="","",IF($M228="Closed",IF($N228="","",$N228-$B228),TODAY()-$B228))</f>
        <v/>
      </c>
      <c r="P228" s="28">
        <f>IF(OR($B228="",$L228="",$M228="Closed"),"",IF(TODAY()&gt;$L228,"YES","NO"))</f>
        <v/>
      </c>
      <c r="Q228" s="30">
        <f>Weekly_Inspections!$AW228</f>
        <v/>
      </c>
    </row>
    <row r="229" ht="15" customHeight="1" s="45">
      <c r="A229" s="28">
        <f>IF(Weekly_Inspections!$B229="","",Weekly_Inspections!$A229&amp;"-A1")</f>
        <v/>
      </c>
      <c r="B229" s="46">
        <f>Weekly_Inspections!$B229</f>
        <v/>
      </c>
      <c r="C229" s="30">
        <f>Weekly_Inspections!$E229</f>
        <v/>
      </c>
      <c r="D229" s="30">
        <f>Weekly_Inspections!$F229</f>
        <v/>
      </c>
      <c r="E229" s="28">
        <f>Weekly_Inspections!$H229</f>
        <v/>
      </c>
      <c r="F229" s="30">
        <f>IF(Weekly_Inspections!$AX229&lt;&gt;"",Weekly_Inspections!$AX229,IF(Weekly_Inspections!$AY229&lt;&gt;"",Weekly_Inspections!$AY229,IF(Weekly_Inspections!$AZ229&lt;&gt;"",Weekly_Inspections!$AZ229,IF(Weekly_Inspections!$BA229&lt;&gt;"",Weekly_Inspections!$BA229,IF(Weekly_Inspections!$BB229&lt;&gt;"",Weekly_Inspections!$BB229,Weekly_Inspections!$R229)))))</f>
        <v/>
      </c>
      <c r="G229" s="30">
        <f>IF(OR(Weekly_Inspections!$AQ229&lt;&gt;"",Weekly_Inspections!$AR229&lt;&gt;"",Weekly_Inspections!$AS229&lt;&gt;""),Weekly_Inspections!$AQ229,"")</f>
        <v/>
      </c>
      <c r="H229" s="30">
        <f>Weekly_Inspections!$AP229</f>
        <v/>
      </c>
      <c r="I229" s="30">
        <f>Weekly_Inspections!$AR229</f>
        <v/>
      </c>
      <c r="J229" s="30">
        <f>Weekly_Inspections!$AS229</f>
        <v/>
      </c>
      <c r="K229" s="30">
        <f>Weekly_Inspections!$AU229</f>
        <v/>
      </c>
      <c r="L229" s="46">
        <f>Weekly_Inspections!$AV229</f>
        <v/>
      </c>
      <c r="M229" s="30">
        <f>IF($B229="","",IF($N229&lt;&gt;"","Closed",IF(OR($G229&lt;&gt;"",$I229&lt;&gt;"",$J229&lt;&gt;""),"Open","")))</f>
        <v/>
      </c>
      <c r="N229" s="46" t="n"/>
      <c r="O229" s="28">
        <f>IF($B229="","",IF($M229="Closed",IF($N229="","",$N229-$B229),TODAY()-$B229))</f>
        <v/>
      </c>
      <c r="P229" s="28">
        <f>IF(OR($B229="",$L229="",$M229="Closed"),"",IF(TODAY()&gt;$L229,"YES","NO"))</f>
        <v/>
      </c>
      <c r="Q229" s="30">
        <f>Weekly_Inspections!$AW229</f>
        <v/>
      </c>
    </row>
    <row r="230" ht="15" customHeight="1" s="45">
      <c r="A230" s="28">
        <f>IF(Weekly_Inspections!$B230="","",Weekly_Inspections!$A230&amp;"-A1")</f>
        <v/>
      </c>
      <c r="B230" s="46">
        <f>Weekly_Inspections!$B230</f>
        <v/>
      </c>
      <c r="C230" s="30">
        <f>Weekly_Inspections!$E230</f>
        <v/>
      </c>
      <c r="D230" s="30">
        <f>Weekly_Inspections!$F230</f>
        <v/>
      </c>
      <c r="E230" s="28">
        <f>Weekly_Inspections!$H230</f>
        <v/>
      </c>
      <c r="F230" s="30">
        <f>IF(Weekly_Inspections!$AX230&lt;&gt;"",Weekly_Inspections!$AX230,IF(Weekly_Inspections!$AY230&lt;&gt;"",Weekly_Inspections!$AY230,IF(Weekly_Inspections!$AZ230&lt;&gt;"",Weekly_Inspections!$AZ230,IF(Weekly_Inspections!$BA230&lt;&gt;"",Weekly_Inspections!$BA230,IF(Weekly_Inspections!$BB230&lt;&gt;"",Weekly_Inspections!$BB230,Weekly_Inspections!$R230)))))</f>
        <v/>
      </c>
      <c r="G230" s="30">
        <f>IF(OR(Weekly_Inspections!$AQ230&lt;&gt;"",Weekly_Inspections!$AR230&lt;&gt;"",Weekly_Inspections!$AS230&lt;&gt;""),Weekly_Inspections!$AQ230,"")</f>
        <v/>
      </c>
      <c r="H230" s="30">
        <f>Weekly_Inspections!$AP230</f>
        <v/>
      </c>
      <c r="I230" s="30">
        <f>Weekly_Inspections!$AR230</f>
        <v/>
      </c>
      <c r="J230" s="30">
        <f>Weekly_Inspections!$AS230</f>
        <v/>
      </c>
      <c r="K230" s="30">
        <f>Weekly_Inspections!$AU230</f>
        <v/>
      </c>
      <c r="L230" s="46">
        <f>Weekly_Inspections!$AV230</f>
        <v/>
      </c>
      <c r="M230" s="30">
        <f>IF($B230="","",IF($N230&lt;&gt;"","Closed",IF(OR($G230&lt;&gt;"",$I230&lt;&gt;"",$J230&lt;&gt;""),"Open","")))</f>
        <v/>
      </c>
      <c r="N230" s="46" t="n"/>
      <c r="O230" s="28">
        <f>IF($B230="","",IF($M230="Closed",IF($N230="","",$N230-$B230),TODAY()-$B230))</f>
        <v/>
      </c>
      <c r="P230" s="28">
        <f>IF(OR($B230="",$L230="",$M230="Closed"),"",IF(TODAY()&gt;$L230,"YES","NO"))</f>
        <v/>
      </c>
      <c r="Q230" s="30">
        <f>Weekly_Inspections!$AW230</f>
        <v/>
      </c>
    </row>
    <row r="231" ht="15" customHeight="1" s="45">
      <c r="A231" s="28">
        <f>IF(Weekly_Inspections!$B231="","",Weekly_Inspections!$A231&amp;"-A1")</f>
        <v/>
      </c>
      <c r="B231" s="46">
        <f>Weekly_Inspections!$B231</f>
        <v/>
      </c>
      <c r="C231" s="30">
        <f>Weekly_Inspections!$E231</f>
        <v/>
      </c>
      <c r="D231" s="30">
        <f>Weekly_Inspections!$F231</f>
        <v/>
      </c>
      <c r="E231" s="28">
        <f>Weekly_Inspections!$H231</f>
        <v/>
      </c>
      <c r="F231" s="30">
        <f>IF(Weekly_Inspections!$AX231&lt;&gt;"",Weekly_Inspections!$AX231,IF(Weekly_Inspections!$AY231&lt;&gt;"",Weekly_Inspections!$AY231,IF(Weekly_Inspections!$AZ231&lt;&gt;"",Weekly_Inspections!$AZ231,IF(Weekly_Inspections!$BA231&lt;&gt;"",Weekly_Inspections!$BA231,IF(Weekly_Inspections!$BB231&lt;&gt;"",Weekly_Inspections!$BB231,Weekly_Inspections!$R231)))))</f>
        <v/>
      </c>
      <c r="G231" s="30">
        <f>IF(OR(Weekly_Inspections!$AQ231&lt;&gt;"",Weekly_Inspections!$AR231&lt;&gt;"",Weekly_Inspections!$AS231&lt;&gt;""),Weekly_Inspections!$AQ231,"")</f>
        <v/>
      </c>
      <c r="H231" s="30">
        <f>Weekly_Inspections!$AP231</f>
        <v/>
      </c>
      <c r="I231" s="30">
        <f>Weekly_Inspections!$AR231</f>
        <v/>
      </c>
      <c r="J231" s="30">
        <f>Weekly_Inspections!$AS231</f>
        <v/>
      </c>
      <c r="K231" s="30">
        <f>Weekly_Inspections!$AU231</f>
        <v/>
      </c>
      <c r="L231" s="46">
        <f>Weekly_Inspections!$AV231</f>
        <v/>
      </c>
      <c r="M231" s="30">
        <f>IF($B231="","",IF($N231&lt;&gt;"","Closed",IF(OR($G231&lt;&gt;"",$I231&lt;&gt;"",$J231&lt;&gt;""),"Open","")))</f>
        <v/>
      </c>
      <c r="N231" s="46" t="n"/>
      <c r="O231" s="28">
        <f>IF($B231="","",IF($M231="Closed",IF($N231="","",$N231-$B231),TODAY()-$B231))</f>
        <v/>
      </c>
      <c r="P231" s="28">
        <f>IF(OR($B231="",$L231="",$M231="Closed"),"",IF(TODAY()&gt;$L231,"YES","NO"))</f>
        <v/>
      </c>
      <c r="Q231" s="30">
        <f>Weekly_Inspections!$AW231</f>
        <v/>
      </c>
    </row>
    <row r="232" ht="15" customHeight="1" s="45">
      <c r="A232" s="28">
        <f>IF(Weekly_Inspections!$B232="","",Weekly_Inspections!$A232&amp;"-A1")</f>
        <v/>
      </c>
      <c r="B232" s="46">
        <f>Weekly_Inspections!$B232</f>
        <v/>
      </c>
      <c r="C232" s="30">
        <f>Weekly_Inspections!$E232</f>
        <v/>
      </c>
      <c r="D232" s="30">
        <f>Weekly_Inspections!$F232</f>
        <v/>
      </c>
      <c r="E232" s="28">
        <f>Weekly_Inspections!$H232</f>
        <v/>
      </c>
      <c r="F232" s="30">
        <f>IF(Weekly_Inspections!$AX232&lt;&gt;"",Weekly_Inspections!$AX232,IF(Weekly_Inspections!$AY232&lt;&gt;"",Weekly_Inspections!$AY232,IF(Weekly_Inspections!$AZ232&lt;&gt;"",Weekly_Inspections!$AZ232,IF(Weekly_Inspections!$BA232&lt;&gt;"",Weekly_Inspections!$BA232,IF(Weekly_Inspections!$BB232&lt;&gt;"",Weekly_Inspections!$BB232,Weekly_Inspections!$R232)))))</f>
        <v/>
      </c>
      <c r="G232" s="30">
        <f>IF(OR(Weekly_Inspections!$AQ232&lt;&gt;"",Weekly_Inspections!$AR232&lt;&gt;"",Weekly_Inspections!$AS232&lt;&gt;""),Weekly_Inspections!$AQ232,"")</f>
        <v/>
      </c>
      <c r="H232" s="30">
        <f>Weekly_Inspections!$AP232</f>
        <v/>
      </c>
      <c r="I232" s="30">
        <f>Weekly_Inspections!$AR232</f>
        <v/>
      </c>
      <c r="J232" s="30">
        <f>Weekly_Inspections!$AS232</f>
        <v/>
      </c>
      <c r="K232" s="30">
        <f>Weekly_Inspections!$AU232</f>
        <v/>
      </c>
      <c r="L232" s="46">
        <f>Weekly_Inspections!$AV232</f>
        <v/>
      </c>
      <c r="M232" s="30">
        <f>IF($B232="","",IF($N232&lt;&gt;"","Closed",IF(OR($G232&lt;&gt;"",$I232&lt;&gt;"",$J232&lt;&gt;""),"Open","")))</f>
        <v/>
      </c>
      <c r="N232" s="46" t="n"/>
      <c r="O232" s="28">
        <f>IF($B232="","",IF($M232="Closed",IF($N232="","",$N232-$B232),TODAY()-$B232))</f>
        <v/>
      </c>
      <c r="P232" s="28">
        <f>IF(OR($B232="",$L232="",$M232="Closed"),"",IF(TODAY()&gt;$L232,"YES","NO"))</f>
        <v/>
      </c>
      <c r="Q232" s="30">
        <f>Weekly_Inspections!$AW232</f>
        <v/>
      </c>
    </row>
    <row r="233" ht="15" customHeight="1" s="45">
      <c r="A233" s="28">
        <f>IF(Weekly_Inspections!$B233="","",Weekly_Inspections!$A233&amp;"-A1")</f>
        <v/>
      </c>
      <c r="B233" s="46">
        <f>Weekly_Inspections!$B233</f>
        <v/>
      </c>
      <c r="C233" s="30">
        <f>Weekly_Inspections!$E233</f>
        <v/>
      </c>
      <c r="D233" s="30">
        <f>Weekly_Inspections!$F233</f>
        <v/>
      </c>
      <c r="E233" s="28">
        <f>Weekly_Inspections!$H233</f>
        <v/>
      </c>
      <c r="F233" s="30">
        <f>IF(Weekly_Inspections!$AX233&lt;&gt;"",Weekly_Inspections!$AX233,IF(Weekly_Inspections!$AY233&lt;&gt;"",Weekly_Inspections!$AY233,IF(Weekly_Inspections!$AZ233&lt;&gt;"",Weekly_Inspections!$AZ233,IF(Weekly_Inspections!$BA233&lt;&gt;"",Weekly_Inspections!$BA233,IF(Weekly_Inspections!$BB233&lt;&gt;"",Weekly_Inspections!$BB233,Weekly_Inspections!$R233)))))</f>
        <v/>
      </c>
      <c r="G233" s="30">
        <f>IF(OR(Weekly_Inspections!$AQ233&lt;&gt;"",Weekly_Inspections!$AR233&lt;&gt;"",Weekly_Inspections!$AS233&lt;&gt;""),Weekly_Inspections!$AQ233,"")</f>
        <v/>
      </c>
      <c r="H233" s="30">
        <f>Weekly_Inspections!$AP233</f>
        <v/>
      </c>
      <c r="I233" s="30">
        <f>Weekly_Inspections!$AR233</f>
        <v/>
      </c>
      <c r="J233" s="30">
        <f>Weekly_Inspections!$AS233</f>
        <v/>
      </c>
      <c r="K233" s="30">
        <f>Weekly_Inspections!$AU233</f>
        <v/>
      </c>
      <c r="L233" s="46">
        <f>Weekly_Inspections!$AV233</f>
        <v/>
      </c>
      <c r="M233" s="30">
        <f>IF($B233="","",IF($N233&lt;&gt;"","Closed",IF(OR($G233&lt;&gt;"",$I233&lt;&gt;"",$J233&lt;&gt;""),"Open","")))</f>
        <v/>
      </c>
      <c r="N233" s="46" t="n"/>
      <c r="O233" s="28">
        <f>IF($B233="","",IF($M233="Closed",IF($N233="","",$N233-$B233),TODAY()-$B233))</f>
        <v/>
      </c>
      <c r="P233" s="28">
        <f>IF(OR($B233="",$L233="",$M233="Closed"),"",IF(TODAY()&gt;$L233,"YES","NO"))</f>
        <v/>
      </c>
      <c r="Q233" s="30">
        <f>Weekly_Inspections!$AW233</f>
        <v/>
      </c>
    </row>
    <row r="234" ht="15" customHeight="1" s="45">
      <c r="A234" s="28">
        <f>IF(Weekly_Inspections!$B234="","",Weekly_Inspections!$A234&amp;"-A1")</f>
        <v/>
      </c>
      <c r="B234" s="46">
        <f>Weekly_Inspections!$B234</f>
        <v/>
      </c>
      <c r="C234" s="30">
        <f>Weekly_Inspections!$E234</f>
        <v/>
      </c>
      <c r="D234" s="30">
        <f>Weekly_Inspections!$F234</f>
        <v/>
      </c>
      <c r="E234" s="28">
        <f>Weekly_Inspections!$H234</f>
        <v/>
      </c>
      <c r="F234" s="30">
        <f>IF(Weekly_Inspections!$AX234&lt;&gt;"",Weekly_Inspections!$AX234,IF(Weekly_Inspections!$AY234&lt;&gt;"",Weekly_Inspections!$AY234,IF(Weekly_Inspections!$AZ234&lt;&gt;"",Weekly_Inspections!$AZ234,IF(Weekly_Inspections!$BA234&lt;&gt;"",Weekly_Inspections!$BA234,IF(Weekly_Inspections!$BB234&lt;&gt;"",Weekly_Inspections!$BB234,Weekly_Inspections!$R234)))))</f>
        <v/>
      </c>
      <c r="G234" s="30">
        <f>IF(OR(Weekly_Inspections!$AQ234&lt;&gt;"",Weekly_Inspections!$AR234&lt;&gt;"",Weekly_Inspections!$AS234&lt;&gt;""),Weekly_Inspections!$AQ234,"")</f>
        <v/>
      </c>
      <c r="H234" s="30">
        <f>Weekly_Inspections!$AP234</f>
        <v/>
      </c>
      <c r="I234" s="30">
        <f>Weekly_Inspections!$AR234</f>
        <v/>
      </c>
      <c r="J234" s="30">
        <f>Weekly_Inspections!$AS234</f>
        <v/>
      </c>
      <c r="K234" s="30">
        <f>Weekly_Inspections!$AU234</f>
        <v/>
      </c>
      <c r="L234" s="46">
        <f>Weekly_Inspections!$AV234</f>
        <v/>
      </c>
      <c r="M234" s="30">
        <f>IF($B234="","",IF($N234&lt;&gt;"","Closed",IF(OR($G234&lt;&gt;"",$I234&lt;&gt;"",$J234&lt;&gt;""),"Open","")))</f>
        <v/>
      </c>
      <c r="N234" s="46" t="n"/>
      <c r="O234" s="28">
        <f>IF($B234="","",IF($M234="Closed",IF($N234="","",$N234-$B234),TODAY()-$B234))</f>
        <v/>
      </c>
      <c r="P234" s="28">
        <f>IF(OR($B234="",$L234="",$M234="Closed"),"",IF(TODAY()&gt;$L234,"YES","NO"))</f>
        <v/>
      </c>
      <c r="Q234" s="30">
        <f>Weekly_Inspections!$AW234</f>
        <v/>
      </c>
    </row>
    <row r="235" ht="15" customHeight="1" s="45">
      <c r="A235" s="28">
        <f>IF(Weekly_Inspections!$B235="","",Weekly_Inspections!$A235&amp;"-A1")</f>
        <v/>
      </c>
      <c r="B235" s="46">
        <f>Weekly_Inspections!$B235</f>
        <v/>
      </c>
      <c r="C235" s="30">
        <f>Weekly_Inspections!$E235</f>
        <v/>
      </c>
      <c r="D235" s="30">
        <f>Weekly_Inspections!$F235</f>
        <v/>
      </c>
      <c r="E235" s="28">
        <f>Weekly_Inspections!$H235</f>
        <v/>
      </c>
      <c r="F235" s="30">
        <f>IF(Weekly_Inspections!$AX235&lt;&gt;"",Weekly_Inspections!$AX235,IF(Weekly_Inspections!$AY235&lt;&gt;"",Weekly_Inspections!$AY235,IF(Weekly_Inspections!$AZ235&lt;&gt;"",Weekly_Inspections!$AZ235,IF(Weekly_Inspections!$BA235&lt;&gt;"",Weekly_Inspections!$BA235,IF(Weekly_Inspections!$BB235&lt;&gt;"",Weekly_Inspections!$BB235,Weekly_Inspections!$R235)))))</f>
        <v/>
      </c>
      <c r="G235" s="30">
        <f>IF(OR(Weekly_Inspections!$AQ235&lt;&gt;"",Weekly_Inspections!$AR235&lt;&gt;"",Weekly_Inspections!$AS235&lt;&gt;""),Weekly_Inspections!$AQ235,"")</f>
        <v/>
      </c>
      <c r="H235" s="30">
        <f>Weekly_Inspections!$AP235</f>
        <v/>
      </c>
      <c r="I235" s="30">
        <f>Weekly_Inspections!$AR235</f>
        <v/>
      </c>
      <c r="J235" s="30">
        <f>Weekly_Inspections!$AS235</f>
        <v/>
      </c>
      <c r="K235" s="30">
        <f>Weekly_Inspections!$AU235</f>
        <v/>
      </c>
      <c r="L235" s="46">
        <f>Weekly_Inspections!$AV235</f>
        <v/>
      </c>
      <c r="M235" s="30">
        <f>IF($B235="","",IF($N235&lt;&gt;"","Closed",IF(OR($G235&lt;&gt;"",$I235&lt;&gt;"",$J235&lt;&gt;""),"Open","")))</f>
        <v/>
      </c>
      <c r="N235" s="46" t="n"/>
      <c r="O235" s="28">
        <f>IF($B235="","",IF($M235="Closed",IF($N235="","",$N235-$B235),TODAY()-$B235))</f>
        <v/>
      </c>
      <c r="P235" s="28">
        <f>IF(OR($B235="",$L235="",$M235="Closed"),"",IF(TODAY()&gt;$L235,"YES","NO"))</f>
        <v/>
      </c>
      <c r="Q235" s="30">
        <f>Weekly_Inspections!$AW235</f>
        <v/>
      </c>
    </row>
    <row r="236" ht="15" customHeight="1" s="45">
      <c r="A236" s="28">
        <f>IF(Weekly_Inspections!$B236="","",Weekly_Inspections!$A236&amp;"-A1")</f>
        <v/>
      </c>
      <c r="B236" s="46">
        <f>Weekly_Inspections!$B236</f>
        <v/>
      </c>
      <c r="C236" s="30">
        <f>Weekly_Inspections!$E236</f>
        <v/>
      </c>
      <c r="D236" s="30">
        <f>Weekly_Inspections!$F236</f>
        <v/>
      </c>
      <c r="E236" s="28">
        <f>Weekly_Inspections!$H236</f>
        <v/>
      </c>
      <c r="F236" s="30">
        <f>IF(Weekly_Inspections!$AX236&lt;&gt;"",Weekly_Inspections!$AX236,IF(Weekly_Inspections!$AY236&lt;&gt;"",Weekly_Inspections!$AY236,IF(Weekly_Inspections!$AZ236&lt;&gt;"",Weekly_Inspections!$AZ236,IF(Weekly_Inspections!$BA236&lt;&gt;"",Weekly_Inspections!$BA236,IF(Weekly_Inspections!$BB236&lt;&gt;"",Weekly_Inspections!$BB236,Weekly_Inspections!$R236)))))</f>
        <v/>
      </c>
      <c r="G236" s="30">
        <f>IF(OR(Weekly_Inspections!$AQ236&lt;&gt;"",Weekly_Inspections!$AR236&lt;&gt;"",Weekly_Inspections!$AS236&lt;&gt;""),Weekly_Inspections!$AQ236,"")</f>
        <v/>
      </c>
      <c r="H236" s="30">
        <f>Weekly_Inspections!$AP236</f>
        <v/>
      </c>
      <c r="I236" s="30">
        <f>Weekly_Inspections!$AR236</f>
        <v/>
      </c>
      <c r="J236" s="30">
        <f>Weekly_Inspections!$AS236</f>
        <v/>
      </c>
      <c r="K236" s="30">
        <f>Weekly_Inspections!$AU236</f>
        <v/>
      </c>
      <c r="L236" s="46">
        <f>Weekly_Inspections!$AV236</f>
        <v/>
      </c>
      <c r="M236" s="30">
        <f>IF($B236="","",IF($N236&lt;&gt;"","Closed",IF(OR($G236&lt;&gt;"",$I236&lt;&gt;"",$J236&lt;&gt;""),"Open","")))</f>
        <v/>
      </c>
      <c r="N236" s="46" t="n"/>
      <c r="O236" s="28">
        <f>IF($B236="","",IF($M236="Closed",IF($N236="","",$N236-$B236),TODAY()-$B236))</f>
        <v/>
      </c>
      <c r="P236" s="28">
        <f>IF(OR($B236="",$L236="",$M236="Closed"),"",IF(TODAY()&gt;$L236,"YES","NO"))</f>
        <v/>
      </c>
      <c r="Q236" s="30">
        <f>Weekly_Inspections!$AW236</f>
        <v/>
      </c>
    </row>
    <row r="237" ht="15" customHeight="1" s="45">
      <c r="A237" s="28">
        <f>IF(Weekly_Inspections!$B237="","",Weekly_Inspections!$A237&amp;"-A1")</f>
        <v/>
      </c>
      <c r="B237" s="46">
        <f>Weekly_Inspections!$B237</f>
        <v/>
      </c>
      <c r="C237" s="30">
        <f>Weekly_Inspections!$E237</f>
        <v/>
      </c>
      <c r="D237" s="30">
        <f>Weekly_Inspections!$F237</f>
        <v/>
      </c>
      <c r="E237" s="28">
        <f>Weekly_Inspections!$H237</f>
        <v/>
      </c>
      <c r="F237" s="30">
        <f>IF(Weekly_Inspections!$AX237&lt;&gt;"",Weekly_Inspections!$AX237,IF(Weekly_Inspections!$AY237&lt;&gt;"",Weekly_Inspections!$AY237,IF(Weekly_Inspections!$AZ237&lt;&gt;"",Weekly_Inspections!$AZ237,IF(Weekly_Inspections!$BA237&lt;&gt;"",Weekly_Inspections!$BA237,IF(Weekly_Inspections!$BB237&lt;&gt;"",Weekly_Inspections!$BB237,Weekly_Inspections!$R237)))))</f>
        <v/>
      </c>
      <c r="G237" s="30">
        <f>IF(OR(Weekly_Inspections!$AQ237&lt;&gt;"",Weekly_Inspections!$AR237&lt;&gt;"",Weekly_Inspections!$AS237&lt;&gt;""),Weekly_Inspections!$AQ237,"")</f>
        <v/>
      </c>
      <c r="H237" s="30">
        <f>Weekly_Inspections!$AP237</f>
        <v/>
      </c>
      <c r="I237" s="30">
        <f>Weekly_Inspections!$AR237</f>
        <v/>
      </c>
      <c r="J237" s="30">
        <f>Weekly_Inspections!$AS237</f>
        <v/>
      </c>
      <c r="K237" s="30">
        <f>Weekly_Inspections!$AU237</f>
        <v/>
      </c>
      <c r="L237" s="46">
        <f>Weekly_Inspections!$AV237</f>
        <v/>
      </c>
      <c r="M237" s="30">
        <f>IF($B237="","",IF($N237&lt;&gt;"","Closed",IF(OR($G237&lt;&gt;"",$I237&lt;&gt;"",$J237&lt;&gt;""),"Open","")))</f>
        <v/>
      </c>
      <c r="N237" s="46" t="n"/>
      <c r="O237" s="28">
        <f>IF($B237="","",IF($M237="Closed",IF($N237="","",$N237-$B237),TODAY()-$B237))</f>
        <v/>
      </c>
      <c r="P237" s="28">
        <f>IF(OR($B237="",$L237="",$M237="Closed"),"",IF(TODAY()&gt;$L237,"YES","NO"))</f>
        <v/>
      </c>
      <c r="Q237" s="30">
        <f>Weekly_Inspections!$AW237</f>
        <v/>
      </c>
    </row>
    <row r="238" ht="15" customHeight="1" s="45">
      <c r="A238" s="28">
        <f>IF(Weekly_Inspections!$B238="","",Weekly_Inspections!$A238&amp;"-A1")</f>
        <v/>
      </c>
      <c r="B238" s="46">
        <f>Weekly_Inspections!$B238</f>
        <v/>
      </c>
      <c r="C238" s="30">
        <f>Weekly_Inspections!$E238</f>
        <v/>
      </c>
      <c r="D238" s="30">
        <f>Weekly_Inspections!$F238</f>
        <v/>
      </c>
      <c r="E238" s="28">
        <f>Weekly_Inspections!$H238</f>
        <v/>
      </c>
      <c r="F238" s="30">
        <f>IF(Weekly_Inspections!$AX238&lt;&gt;"",Weekly_Inspections!$AX238,IF(Weekly_Inspections!$AY238&lt;&gt;"",Weekly_Inspections!$AY238,IF(Weekly_Inspections!$AZ238&lt;&gt;"",Weekly_Inspections!$AZ238,IF(Weekly_Inspections!$BA238&lt;&gt;"",Weekly_Inspections!$BA238,IF(Weekly_Inspections!$BB238&lt;&gt;"",Weekly_Inspections!$BB238,Weekly_Inspections!$R238)))))</f>
        <v/>
      </c>
      <c r="G238" s="30">
        <f>IF(OR(Weekly_Inspections!$AQ238&lt;&gt;"",Weekly_Inspections!$AR238&lt;&gt;"",Weekly_Inspections!$AS238&lt;&gt;""),Weekly_Inspections!$AQ238,"")</f>
        <v/>
      </c>
      <c r="H238" s="30">
        <f>Weekly_Inspections!$AP238</f>
        <v/>
      </c>
      <c r="I238" s="30">
        <f>Weekly_Inspections!$AR238</f>
        <v/>
      </c>
      <c r="J238" s="30">
        <f>Weekly_Inspections!$AS238</f>
        <v/>
      </c>
      <c r="K238" s="30">
        <f>Weekly_Inspections!$AU238</f>
        <v/>
      </c>
      <c r="L238" s="46">
        <f>Weekly_Inspections!$AV238</f>
        <v/>
      </c>
      <c r="M238" s="30">
        <f>IF($B238="","",IF($N238&lt;&gt;"","Closed",IF(OR($G238&lt;&gt;"",$I238&lt;&gt;"",$J238&lt;&gt;""),"Open","")))</f>
        <v/>
      </c>
      <c r="N238" s="46" t="n"/>
      <c r="O238" s="28">
        <f>IF($B238="","",IF($M238="Closed",IF($N238="","",$N238-$B238),TODAY()-$B238))</f>
        <v/>
      </c>
      <c r="P238" s="28">
        <f>IF(OR($B238="",$L238="",$M238="Closed"),"",IF(TODAY()&gt;$L238,"YES","NO"))</f>
        <v/>
      </c>
      <c r="Q238" s="30">
        <f>Weekly_Inspections!$AW238</f>
        <v/>
      </c>
    </row>
    <row r="239" ht="15" customHeight="1" s="45">
      <c r="A239" s="28">
        <f>IF(Weekly_Inspections!$B239="","",Weekly_Inspections!$A239&amp;"-A1")</f>
        <v/>
      </c>
      <c r="B239" s="46">
        <f>Weekly_Inspections!$B239</f>
        <v/>
      </c>
      <c r="C239" s="30">
        <f>Weekly_Inspections!$E239</f>
        <v/>
      </c>
      <c r="D239" s="30">
        <f>Weekly_Inspections!$F239</f>
        <v/>
      </c>
      <c r="E239" s="28">
        <f>Weekly_Inspections!$H239</f>
        <v/>
      </c>
      <c r="F239" s="30">
        <f>IF(Weekly_Inspections!$AX239&lt;&gt;"",Weekly_Inspections!$AX239,IF(Weekly_Inspections!$AY239&lt;&gt;"",Weekly_Inspections!$AY239,IF(Weekly_Inspections!$AZ239&lt;&gt;"",Weekly_Inspections!$AZ239,IF(Weekly_Inspections!$BA239&lt;&gt;"",Weekly_Inspections!$BA239,IF(Weekly_Inspections!$BB239&lt;&gt;"",Weekly_Inspections!$BB239,Weekly_Inspections!$R239)))))</f>
        <v/>
      </c>
      <c r="G239" s="30">
        <f>IF(OR(Weekly_Inspections!$AQ239&lt;&gt;"",Weekly_Inspections!$AR239&lt;&gt;"",Weekly_Inspections!$AS239&lt;&gt;""),Weekly_Inspections!$AQ239,"")</f>
        <v/>
      </c>
      <c r="H239" s="30">
        <f>Weekly_Inspections!$AP239</f>
        <v/>
      </c>
      <c r="I239" s="30">
        <f>Weekly_Inspections!$AR239</f>
        <v/>
      </c>
      <c r="J239" s="30">
        <f>Weekly_Inspections!$AS239</f>
        <v/>
      </c>
      <c r="K239" s="30">
        <f>Weekly_Inspections!$AU239</f>
        <v/>
      </c>
      <c r="L239" s="46">
        <f>Weekly_Inspections!$AV239</f>
        <v/>
      </c>
      <c r="M239" s="30">
        <f>IF($B239="","",IF($N239&lt;&gt;"","Closed",IF(OR($G239&lt;&gt;"",$I239&lt;&gt;"",$J239&lt;&gt;""),"Open","")))</f>
        <v/>
      </c>
      <c r="N239" s="46" t="n"/>
      <c r="O239" s="28">
        <f>IF($B239="","",IF($M239="Closed",IF($N239="","",$N239-$B239),TODAY()-$B239))</f>
        <v/>
      </c>
      <c r="P239" s="28">
        <f>IF(OR($B239="",$L239="",$M239="Closed"),"",IF(TODAY()&gt;$L239,"YES","NO"))</f>
        <v/>
      </c>
      <c r="Q239" s="30">
        <f>Weekly_Inspections!$AW239</f>
        <v/>
      </c>
    </row>
    <row r="240" ht="15" customHeight="1" s="45">
      <c r="A240" s="28">
        <f>IF(Weekly_Inspections!$B240="","",Weekly_Inspections!$A240&amp;"-A1")</f>
        <v/>
      </c>
      <c r="B240" s="46">
        <f>Weekly_Inspections!$B240</f>
        <v/>
      </c>
      <c r="C240" s="30">
        <f>Weekly_Inspections!$E240</f>
        <v/>
      </c>
      <c r="D240" s="30">
        <f>Weekly_Inspections!$F240</f>
        <v/>
      </c>
      <c r="E240" s="28">
        <f>Weekly_Inspections!$H240</f>
        <v/>
      </c>
      <c r="F240" s="30">
        <f>IF(Weekly_Inspections!$AX240&lt;&gt;"",Weekly_Inspections!$AX240,IF(Weekly_Inspections!$AY240&lt;&gt;"",Weekly_Inspections!$AY240,IF(Weekly_Inspections!$AZ240&lt;&gt;"",Weekly_Inspections!$AZ240,IF(Weekly_Inspections!$BA240&lt;&gt;"",Weekly_Inspections!$BA240,IF(Weekly_Inspections!$BB240&lt;&gt;"",Weekly_Inspections!$BB240,Weekly_Inspections!$R240)))))</f>
        <v/>
      </c>
      <c r="G240" s="30">
        <f>IF(OR(Weekly_Inspections!$AQ240&lt;&gt;"",Weekly_Inspections!$AR240&lt;&gt;"",Weekly_Inspections!$AS240&lt;&gt;""),Weekly_Inspections!$AQ240,"")</f>
        <v/>
      </c>
      <c r="H240" s="30">
        <f>Weekly_Inspections!$AP240</f>
        <v/>
      </c>
      <c r="I240" s="30">
        <f>Weekly_Inspections!$AR240</f>
        <v/>
      </c>
      <c r="J240" s="30">
        <f>Weekly_Inspections!$AS240</f>
        <v/>
      </c>
      <c r="K240" s="30">
        <f>Weekly_Inspections!$AU240</f>
        <v/>
      </c>
      <c r="L240" s="46">
        <f>Weekly_Inspections!$AV240</f>
        <v/>
      </c>
      <c r="M240" s="30">
        <f>IF($B240="","",IF($N240&lt;&gt;"","Closed",IF(OR($G240&lt;&gt;"",$I240&lt;&gt;"",$J240&lt;&gt;""),"Open","")))</f>
        <v/>
      </c>
      <c r="N240" s="46" t="n"/>
      <c r="O240" s="28">
        <f>IF($B240="","",IF($M240="Closed",IF($N240="","",$N240-$B240),TODAY()-$B240))</f>
        <v/>
      </c>
      <c r="P240" s="28">
        <f>IF(OR($B240="",$L240="",$M240="Closed"),"",IF(TODAY()&gt;$L240,"YES","NO"))</f>
        <v/>
      </c>
      <c r="Q240" s="30">
        <f>Weekly_Inspections!$AW240</f>
        <v/>
      </c>
    </row>
    <row r="241" ht="15" customHeight="1" s="45">
      <c r="A241" s="28">
        <f>IF(Weekly_Inspections!$B241="","",Weekly_Inspections!$A241&amp;"-A1")</f>
        <v/>
      </c>
      <c r="B241" s="46">
        <f>Weekly_Inspections!$B241</f>
        <v/>
      </c>
      <c r="C241" s="30">
        <f>Weekly_Inspections!$E241</f>
        <v/>
      </c>
      <c r="D241" s="30">
        <f>Weekly_Inspections!$F241</f>
        <v/>
      </c>
      <c r="E241" s="28">
        <f>Weekly_Inspections!$H241</f>
        <v/>
      </c>
      <c r="F241" s="30">
        <f>IF(Weekly_Inspections!$AX241&lt;&gt;"",Weekly_Inspections!$AX241,IF(Weekly_Inspections!$AY241&lt;&gt;"",Weekly_Inspections!$AY241,IF(Weekly_Inspections!$AZ241&lt;&gt;"",Weekly_Inspections!$AZ241,IF(Weekly_Inspections!$BA241&lt;&gt;"",Weekly_Inspections!$BA241,IF(Weekly_Inspections!$BB241&lt;&gt;"",Weekly_Inspections!$BB241,Weekly_Inspections!$R241)))))</f>
        <v/>
      </c>
      <c r="G241" s="30">
        <f>IF(OR(Weekly_Inspections!$AQ241&lt;&gt;"",Weekly_Inspections!$AR241&lt;&gt;"",Weekly_Inspections!$AS241&lt;&gt;""),Weekly_Inspections!$AQ241,"")</f>
        <v/>
      </c>
      <c r="H241" s="30">
        <f>Weekly_Inspections!$AP241</f>
        <v/>
      </c>
      <c r="I241" s="30">
        <f>Weekly_Inspections!$AR241</f>
        <v/>
      </c>
      <c r="J241" s="30">
        <f>Weekly_Inspections!$AS241</f>
        <v/>
      </c>
      <c r="K241" s="30">
        <f>Weekly_Inspections!$AU241</f>
        <v/>
      </c>
      <c r="L241" s="46">
        <f>Weekly_Inspections!$AV241</f>
        <v/>
      </c>
      <c r="M241" s="30">
        <f>IF($B241="","",IF($N241&lt;&gt;"","Closed",IF(OR($G241&lt;&gt;"",$I241&lt;&gt;"",$J241&lt;&gt;""),"Open","")))</f>
        <v/>
      </c>
      <c r="N241" s="46" t="n"/>
      <c r="O241" s="28">
        <f>IF($B241="","",IF($M241="Closed",IF($N241="","",$N241-$B241),TODAY()-$B241))</f>
        <v/>
      </c>
      <c r="P241" s="28">
        <f>IF(OR($B241="",$L241="",$M241="Closed"),"",IF(TODAY()&gt;$L241,"YES","NO"))</f>
        <v/>
      </c>
      <c r="Q241" s="30">
        <f>Weekly_Inspections!$AW241</f>
        <v/>
      </c>
    </row>
    <row r="242" ht="15" customHeight="1" s="45">
      <c r="A242" s="28">
        <f>IF(Weekly_Inspections!$B242="","",Weekly_Inspections!$A242&amp;"-A1")</f>
        <v/>
      </c>
      <c r="B242" s="46">
        <f>Weekly_Inspections!$B242</f>
        <v/>
      </c>
      <c r="C242" s="30">
        <f>Weekly_Inspections!$E242</f>
        <v/>
      </c>
      <c r="D242" s="30">
        <f>Weekly_Inspections!$F242</f>
        <v/>
      </c>
      <c r="E242" s="28">
        <f>Weekly_Inspections!$H242</f>
        <v/>
      </c>
      <c r="F242" s="30">
        <f>IF(Weekly_Inspections!$AX242&lt;&gt;"",Weekly_Inspections!$AX242,IF(Weekly_Inspections!$AY242&lt;&gt;"",Weekly_Inspections!$AY242,IF(Weekly_Inspections!$AZ242&lt;&gt;"",Weekly_Inspections!$AZ242,IF(Weekly_Inspections!$BA242&lt;&gt;"",Weekly_Inspections!$BA242,IF(Weekly_Inspections!$BB242&lt;&gt;"",Weekly_Inspections!$BB242,Weekly_Inspections!$R242)))))</f>
        <v/>
      </c>
      <c r="G242" s="30">
        <f>IF(OR(Weekly_Inspections!$AQ242&lt;&gt;"",Weekly_Inspections!$AR242&lt;&gt;"",Weekly_Inspections!$AS242&lt;&gt;""),Weekly_Inspections!$AQ242,"")</f>
        <v/>
      </c>
      <c r="H242" s="30">
        <f>Weekly_Inspections!$AP242</f>
        <v/>
      </c>
      <c r="I242" s="30">
        <f>Weekly_Inspections!$AR242</f>
        <v/>
      </c>
      <c r="J242" s="30">
        <f>Weekly_Inspections!$AS242</f>
        <v/>
      </c>
      <c r="K242" s="30">
        <f>Weekly_Inspections!$AU242</f>
        <v/>
      </c>
      <c r="L242" s="46">
        <f>Weekly_Inspections!$AV242</f>
        <v/>
      </c>
      <c r="M242" s="30">
        <f>IF($B242="","",IF($N242&lt;&gt;"","Closed",IF(OR($G242&lt;&gt;"",$I242&lt;&gt;"",$J242&lt;&gt;""),"Open","")))</f>
        <v/>
      </c>
      <c r="N242" s="46" t="n"/>
      <c r="O242" s="28">
        <f>IF($B242="","",IF($M242="Closed",IF($N242="","",$N242-$B242),TODAY()-$B242))</f>
        <v/>
      </c>
      <c r="P242" s="28">
        <f>IF(OR($B242="",$L242="",$M242="Closed"),"",IF(TODAY()&gt;$L242,"YES","NO"))</f>
        <v/>
      </c>
      <c r="Q242" s="30">
        <f>Weekly_Inspections!$AW242</f>
        <v/>
      </c>
    </row>
    <row r="243" ht="15" customHeight="1" s="45">
      <c r="A243" s="28">
        <f>IF(Weekly_Inspections!$B243="","",Weekly_Inspections!$A243&amp;"-A1")</f>
        <v/>
      </c>
      <c r="B243" s="46">
        <f>Weekly_Inspections!$B243</f>
        <v/>
      </c>
      <c r="C243" s="30">
        <f>Weekly_Inspections!$E243</f>
        <v/>
      </c>
      <c r="D243" s="30">
        <f>Weekly_Inspections!$F243</f>
        <v/>
      </c>
      <c r="E243" s="28">
        <f>Weekly_Inspections!$H243</f>
        <v/>
      </c>
      <c r="F243" s="30">
        <f>IF(Weekly_Inspections!$AX243&lt;&gt;"",Weekly_Inspections!$AX243,IF(Weekly_Inspections!$AY243&lt;&gt;"",Weekly_Inspections!$AY243,IF(Weekly_Inspections!$AZ243&lt;&gt;"",Weekly_Inspections!$AZ243,IF(Weekly_Inspections!$BA243&lt;&gt;"",Weekly_Inspections!$BA243,IF(Weekly_Inspections!$BB243&lt;&gt;"",Weekly_Inspections!$BB243,Weekly_Inspections!$R243)))))</f>
        <v/>
      </c>
      <c r="G243" s="30">
        <f>IF(OR(Weekly_Inspections!$AQ243&lt;&gt;"",Weekly_Inspections!$AR243&lt;&gt;"",Weekly_Inspections!$AS243&lt;&gt;""),Weekly_Inspections!$AQ243,"")</f>
        <v/>
      </c>
      <c r="H243" s="30">
        <f>Weekly_Inspections!$AP243</f>
        <v/>
      </c>
      <c r="I243" s="30">
        <f>Weekly_Inspections!$AR243</f>
        <v/>
      </c>
      <c r="J243" s="30">
        <f>Weekly_Inspections!$AS243</f>
        <v/>
      </c>
      <c r="K243" s="30">
        <f>Weekly_Inspections!$AU243</f>
        <v/>
      </c>
      <c r="L243" s="46">
        <f>Weekly_Inspections!$AV243</f>
        <v/>
      </c>
      <c r="M243" s="30">
        <f>IF($B243="","",IF($N243&lt;&gt;"","Closed",IF(OR($G243&lt;&gt;"",$I243&lt;&gt;"",$J243&lt;&gt;""),"Open","")))</f>
        <v/>
      </c>
      <c r="N243" s="46" t="n"/>
      <c r="O243" s="28">
        <f>IF($B243="","",IF($M243="Closed",IF($N243="","",$N243-$B243),TODAY()-$B243))</f>
        <v/>
      </c>
      <c r="P243" s="28">
        <f>IF(OR($B243="",$L243="",$M243="Closed"),"",IF(TODAY()&gt;$L243,"YES","NO"))</f>
        <v/>
      </c>
      <c r="Q243" s="30">
        <f>Weekly_Inspections!$AW243</f>
        <v/>
      </c>
    </row>
    <row r="244" ht="15" customHeight="1" s="45">
      <c r="A244" s="28">
        <f>IF(Weekly_Inspections!$B244="","",Weekly_Inspections!$A244&amp;"-A1")</f>
        <v/>
      </c>
      <c r="B244" s="46">
        <f>Weekly_Inspections!$B244</f>
        <v/>
      </c>
      <c r="C244" s="30">
        <f>Weekly_Inspections!$E244</f>
        <v/>
      </c>
      <c r="D244" s="30">
        <f>Weekly_Inspections!$F244</f>
        <v/>
      </c>
      <c r="E244" s="28">
        <f>Weekly_Inspections!$H244</f>
        <v/>
      </c>
      <c r="F244" s="30">
        <f>IF(Weekly_Inspections!$AX244&lt;&gt;"",Weekly_Inspections!$AX244,IF(Weekly_Inspections!$AY244&lt;&gt;"",Weekly_Inspections!$AY244,IF(Weekly_Inspections!$AZ244&lt;&gt;"",Weekly_Inspections!$AZ244,IF(Weekly_Inspections!$BA244&lt;&gt;"",Weekly_Inspections!$BA244,IF(Weekly_Inspections!$BB244&lt;&gt;"",Weekly_Inspections!$BB244,Weekly_Inspections!$R244)))))</f>
        <v/>
      </c>
      <c r="G244" s="30">
        <f>IF(OR(Weekly_Inspections!$AQ244&lt;&gt;"",Weekly_Inspections!$AR244&lt;&gt;"",Weekly_Inspections!$AS244&lt;&gt;""),Weekly_Inspections!$AQ244,"")</f>
        <v/>
      </c>
      <c r="H244" s="30">
        <f>Weekly_Inspections!$AP244</f>
        <v/>
      </c>
      <c r="I244" s="30">
        <f>Weekly_Inspections!$AR244</f>
        <v/>
      </c>
      <c r="J244" s="30">
        <f>Weekly_Inspections!$AS244</f>
        <v/>
      </c>
      <c r="K244" s="30">
        <f>Weekly_Inspections!$AU244</f>
        <v/>
      </c>
      <c r="L244" s="46">
        <f>Weekly_Inspections!$AV244</f>
        <v/>
      </c>
      <c r="M244" s="30">
        <f>IF($B244="","",IF($N244&lt;&gt;"","Closed",IF(OR($G244&lt;&gt;"",$I244&lt;&gt;"",$J244&lt;&gt;""),"Open","")))</f>
        <v/>
      </c>
      <c r="N244" s="46" t="n"/>
      <c r="O244" s="28">
        <f>IF($B244="","",IF($M244="Closed",IF($N244="","",$N244-$B244),TODAY()-$B244))</f>
        <v/>
      </c>
      <c r="P244" s="28">
        <f>IF(OR($B244="",$L244="",$M244="Closed"),"",IF(TODAY()&gt;$L244,"YES","NO"))</f>
        <v/>
      </c>
      <c r="Q244" s="30">
        <f>Weekly_Inspections!$AW244</f>
        <v/>
      </c>
    </row>
    <row r="245" ht="15" customHeight="1" s="45">
      <c r="A245" s="28">
        <f>IF(Weekly_Inspections!$B245="","",Weekly_Inspections!$A245&amp;"-A1")</f>
        <v/>
      </c>
      <c r="B245" s="46">
        <f>Weekly_Inspections!$B245</f>
        <v/>
      </c>
      <c r="C245" s="30">
        <f>Weekly_Inspections!$E245</f>
        <v/>
      </c>
      <c r="D245" s="30">
        <f>Weekly_Inspections!$F245</f>
        <v/>
      </c>
      <c r="E245" s="28">
        <f>Weekly_Inspections!$H245</f>
        <v/>
      </c>
      <c r="F245" s="30">
        <f>IF(Weekly_Inspections!$AX245&lt;&gt;"",Weekly_Inspections!$AX245,IF(Weekly_Inspections!$AY245&lt;&gt;"",Weekly_Inspections!$AY245,IF(Weekly_Inspections!$AZ245&lt;&gt;"",Weekly_Inspections!$AZ245,IF(Weekly_Inspections!$BA245&lt;&gt;"",Weekly_Inspections!$BA245,IF(Weekly_Inspections!$BB245&lt;&gt;"",Weekly_Inspections!$BB245,Weekly_Inspections!$R245)))))</f>
        <v/>
      </c>
      <c r="G245" s="30">
        <f>IF(OR(Weekly_Inspections!$AQ245&lt;&gt;"",Weekly_Inspections!$AR245&lt;&gt;"",Weekly_Inspections!$AS245&lt;&gt;""),Weekly_Inspections!$AQ245,"")</f>
        <v/>
      </c>
      <c r="H245" s="30">
        <f>Weekly_Inspections!$AP245</f>
        <v/>
      </c>
      <c r="I245" s="30">
        <f>Weekly_Inspections!$AR245</f>
        <v/>
      </c>
      <c r="J245" s="30">
        <f>Weekly_Inspections!$AS245</f>
        <v/>
      </c>
      <c r="K245" s="30">
        <f>Weekly_Inspections!$AU245</f>
        <v/>
      </c>
      <c r="L245" s="46">
        <f>Weekly_Inspections!$AV245</f>
        <v/>
      </c>
      <c r="M245" s="30">
        <f>IF($B245="","",IF($N245&lt;&gt;"","Closed",IF(OR($G245&lt;&gt;"",$I245&lt;&gt;"",$J245&lt;&gt;""),"Open","")))</f>
        <v/>
      </c>
      <c r="N245" s="46" t="n"/>
      <c r="O245" s="28">
        <f>IF($B245="","",IF($M245="Closed",IF($N245="","",$N245-$B245),TODAY()-$B245))</f>
        <v/>
      </c>
      <c r="P245" s="28">
        <f>IF(OR($B245="",$L245="",$M245="Closed"),"",IF(TODAY()&gt;$L245,"YES","NO"))</f>
        <v/>
      </c>
      <c r="Q245" s="30">
        <f>Weekly_Inspections!$AW245</f>
        <v/>
      </c>
    </row>
    <row r="246" ht="15" customHeight="1" s="45">
      <c r="A246" s="28">
        <f>IF(Weekly_Inspections!$B246="","",Weekly_Inspections!$A246&amp;"-A1")</f>
        <v/>
      </c>
      <c r="B246" s="46">
        <f>Weekly_Inspections!$B246</f>
        <v/>
      </c>
      <c r="C246" s="30">
        <f>Weekly_Inspections!$E246</f>
        <v/>
      </c>
      <c r="D246" s="30">
        <f>Weekly_Inspections!$F246</f>
        <v/>
      </c>
      <c r="E246" s="28">
        <f>Weekly_Inspections!$H246</f>
        <v/>
      </c>
      <c r="F246" s="30">
        <f>IF(Weekly_Inspections!$AX246&lt;&gt;"",Weekly_Inspections!$AX246,IF(Weekly_Inspections!$AY246&lt;&gt;"",Weekly_Inspections!$AY246,IF(Weekly_Inspections!$AZ246&lt;&gt;"",Weekly_Inspections!$AZ246,IF(Weekly_Inspections!$BA246&lt;&gt;"",Weekly_Inspections!$BA246,IF(Weekly_Inspections!$BB246&lt;&gt;"",Weekly_Inspections!$BB246,Weekly_Inspections!$R246)))))</f>
        <v/>
      </c>
      <c r="G246" s="30">
        <f>IF(OR(Weekly_Inspections!$AQ246&lt;&gt;"",Weekly_Inspections!$AR246&lt;&gt;"",Weekly_Inspections!$AS246&lt;&gt;""),Weekly_Inspections!$AQ246,"")</f>
        <v/>
      </c>
      <c r="H246" s="30">
        <f>Weekly_Inspections!$AP246</f>
        <v/>
      </c>
      <c r="I246" s="30">
        <f>Weekly_Inspections!$AR246</f>
        <v/>
      </c>
      <c r="J246" s="30">
        <f>Weekly_Inspections!$AS246</f>
        <v/>
      </c>
      <c r="K246" s="30">
        <f>Weekly_Inspections!$AU246</f>
        <v/>
      </c>
      <c r="L246" s="46">
        <f>Weekly_Inspections!$AV246</f>
        <v/>
      </c>
      <c r="M246" s="30">
        <f>IF($B246="","",IF($N246&lt;&gt;"","Closed",IF(OR($G246&lt;&gt;"",$I246&lt;&gt;"",$J246&lt;&gt;""),"Open","")))</f>
        <v/>
      </c>
      <c r="N246" s="46" t="n"/>
      <c r="O246" s="28">
        <f>IF($B246="","",IF($M246="Closed",IF($N246="","",$N246-$B246),TODAY()-$B246))</f>
        <v/>
      </c>
      <c r="P246" s="28">
        <f>IF(OR($B246="",$L246="",$M246="Closed"),"",IF(TODAY()&gt;$L246,"YES","NO"))</f>
        <v/>
      </c>
      <c r="Q246" s="30">
        <f>Weekly_Inspections!$AW246</f>
        <v/>
      </c>
    </row>
    <row r="247" ht="15" customHeight="1" s="45">
      <c r="A247" s="28">
        <f>IF(Weekly_Inspections!$B247="","",Weekly_Inspections!$A247&amp;"-A1")</f>
        <v/>
      </c>
      <c r="B247" s="46">
        <f>Weekly_Inspections!$B247</f>
        <v/>
      </c>
      <c r="C247" s="30">
        <f>Weekly_Inspections!$E247</f>
        <v/>
      </c>
      <c r="D247" s="30">
        <f>Weekly_Inspections!$F247</f>
        <v/>
      </c>
      <c r="E247" s="28">
        <f>Weekly_Inspections!$H247</f>
        <v/>
      </c>
      <c r="F247" s="30">
        <f>IF(Weekly_Inspections!$AX247&lt;&gt;"",Weekly_Inspections!$AX247,IF(Weekly_Inspections!$AY247&lt;&gt;"",Weekly_Inspections!$AY247,IF(Weekly_Inspections!$AZ247&lt;&gt;"",Weekly_Inspections!$AZ247,IF(Weekly_Inspections!$BA247&lt;&gt;"",Weekly_Inspections!$BA247,IF(Weekly_Inspections!$BB247&lt;&gt;"",Weekly_Inspections!$BB247,Weekly_Inspections!$R247)))))</f>
        <v/>
      </c>
      <c r="G247" s="30">
        <f>IF(OR(Weekly_Inspections!$AQ247&lt;&gt;"",Weekly_Inspections!$AR247&lt;&gt;"",Weekly_Inspections!$AS247&lt;&gt;""),Weekly_Inspections!$AQ247,"")</f>
        <v/>
      </c>
      <c r="H247" s="30">
        <f>Weekly_Inspections!$AP247</f>
        <v/>
      </c>
      <c r="I247" s="30">
        <f>Weekly_Inspections!$AR247</f>
        <v/>
      </c>
      <c r="J247" s="30">
        <f>Weekly_Inspections!$AS247</f>
        <v/>
      </c>
      <c r="K247" s="30">
        <f>Weekly_Inspections!$AU247</f>
        <v/>
      </c>
      <c r="L247" s="46">
        <f>Weekly_Inspections!$AV247</f>
        <v/>
      </c>
      <c r="M247" s="30">
        <f>IF($B247="","",IF($N247&lt;&gt;"","Closed",IF(OR($G247&lt;&gt;"",$I247&lt;&gt;"",$J247&lt;&gt;""),"Open","")))</f>
        <v/>
      </c>
      <c r="N247" s="46" t="n"/>
      <c r="O247" s="28">
        <f>IF($B247="","",IF($M247="Closed",IF($N247="","",$N247-$B247),TODAY()-$B247))</f>
        <v/>
      </c>
      <c r="P247" s="28">
        <f>IF(OR($B247="",$L247="",$M247="Closed"),"",IF(TODAY()&gt;$L247,"YES","NO"))</f>
        <v/>
      </c>
      <c r="Q247" s="30">
        <f>Weekly_Inspections!$AW247</f>
        <v/>
      </c>
    </row>
    <row r="248" ht="15" customHeight="1" s="45">
      <c r="A248" s="28">
        <f>IF(Weekly_Inspections!$B248="","",Weekly_Inspections!$A248&amp;"-A1")</f>
        <v/>
      </c>
      <c r="B248" s="46">
        <f>Weekly_Inspections!$B248</f>
        <v/>
      </c>
      <c r="C248" s="30">
        <f>Weekly_Inspections!$E248</f>
        <v/>
      </c>
      <c r="D248" s="30">
        <f>Weekly_Inspections!$F248</f>
        <v/>
      </c>
      <c r="E248" s="28">
        <f>Weekly_Inspections!$H248</f>
        <v/>
      </c>
      <c r="F248" s="30">
        <f>IF(Weekly_Inspections!$AX248&lt;&gt;"",Weekly_Inspections!$AX248,IF(Weekly_Inspections!$AY248&lt;&gt;"",Weekly_Inspections!$AY248,IF(Weekly_Inspections!$AZ248&lt;&gt;"",Weekly_Inspections!$AZ248,IF(Weekly_Inspections!$BA248&lt;&gt;"",Weekly_Inspections!$BA248,IF(Weekly_Inspections!$BB248&lt;&gt;"",Weekly_Inspections!$BB248,Weekly_Inspections!$R248)))))</f>
        <v/>
      </c>
      <c r="G248" s="30">
        <f>IF(OR(Weekly_Inspections!$AQ248&lt;&gt;"",Weekly_Inspections!$AR248&lt;&gt;"",Weekly_Inspections!$AS248&lt;&gt;""),Weekly_Inspections!$AQ248,"")</f>
        <v/>
      </c>
      <c r="H248" s="30">
        <f>Weekly_Inspections!$AP248</f>
        <v/>
      </c>
      <c r="I248" s="30">
        <f>Weekly_Inspections!$AR248</f>
        <v/>
      </c>
      <c r="J248" s="30">
        <f>Weekly_Inspections!$AS248</f>
        <v/>
      </c>
      <c r="K248" s="30">
        <f>Weekly_Inspections!$AU248</f>
        <v/>
      </c>
      <c r="L248" s="46">
        <f>Weekly_Inspections!$AV248</f>
        <v/>
      </c>
      <c r="M248" s="30">
        <f>IF($B248="","",IF($N248&lt;&gt;"","Closed",IF(OR($G248&lt;&gt;"",$I248&lt;&gt;"",$J248&lt;&gt;""),"Open","")))</f>
        <v/>
      </c>
      <c r="N248" s="46" t="n"/>
      <c r="O248" s="28">
        <f>IF($B248="","",IF($M248="Closed",IF($N248="","",$N248-$B248),TODAY()-$B248))</f>
        <v/>
      </c>
      <c r="P248" s="28">
        <f>IF(OR($B248="",$L248="",$M248="Closed"),"",IF(TODAY()&gt;$L248,"YES","NO"))</f>
        <v/>
      </c>
      <c r="Q248" s="30">
        <f>Weekly_Inspections!$AW248</f>
        <v/>
      </c>
    </row>
    <row r="249" ht="15" customHeight="1" s="45">
      <c r="A249" s="28">
        <f>IF(Weekly_Inspections!$B249="","",Weekly_Inspections!$A249&amp;"-A1")</f>
        <v/>
      </c>
      <c r="B249" s="46">
        <f>Weekly_Inspections!$B249</f>
        <v/>
      </c>
      <c r="C249" s="30">
        <f>Weekly_Inspections!$E249</f>
        <v/>
      </c>
      <c r="D249" s="30">
        <f>Weekly_Inspections!$F249</f>
        <v/>
      </c>
      <c r="E249" s="28">
        <f>Weekly_Inspections!$H249</f>
        <v/>
      </c>
      <c r="F249" s="30">
        <f>IF(Weekly_Inspections!$AX249&lt;&gt;"",Weekly_Inspections!$AX249,IF(Weekly_Inspections!$AY249&lt;&gt;"",Weekly_Inspections!$AY249,IF(Weekly_Inspections!$AZ249&lt;&gt;"",Weekly_Inspections!$AZ249,IF(Weekly_Inspections!$BA249&lt;&gt;"",Weekly_Inspections!$BA249,IF(Weekly_Inspections!$BB249&lt;&gt;"",Weekly_Inspections!$BB249,Weekly_Inspections!$R249)))))</f>
        <v/>
      </c>
      <c r="G249" s="30">
        <f>IF(OR(Weekly_Inspections!$AQ249&lt;&gt;"",Weekly_Inspections!$AR249&lt;&gt;"",Weekly_Inspections!$AS249&lt;&gt;""),Weekly_Inspections!$AQ249,"")</f>
        <v/>
      </c>
      <c r="H249" s="30">
        <f>Weekly_Inspections!$AP249</f>
        <v/>
      </c>
      <c r="I249" s="30">
        <f>Weekly_Inspections!$AR249</f>
        <v/>
      </c>
      <c r="J249" s="30">
        <f>Weekly_Inspections!$AS249</f>
        <v/>
      </c>
      <c r="K249" s="30">
        <f>Weekly_Inspections!$AU249</f>
        <v/>
      </c>
      <c r="L249" s="46">
        <f>Weekly_Inspections!$AV249</f>
        <v/>
      </c>
      <c r="M249" s="30">
        <f>IF($B249="","",IF($N249&lt;&gt;"","Closed",IF(OR($G249&lt;&gt;"",$I249&lt;&gt;"",$J249&lt;&gt;""),"Open","")))</f>
        <v/>
      </c>
      <c r="N249" s="46" t="n"/>
      <c r="O249" s="28">
        <f>IF($B249="","",IF($M249="Closed",IF($N249="","",$N249-$B249),TODAY()-$B249))</f>
        <v/>
      </c>
      <c r="P249" s="28">
        <f>IF(OR($B249="",$L249="",$M249="Closed"),"",IF(TODAY()&gt;$L249,"YES","NO"))</f>
        <v/>
      </c>
      <c r="Q249" s="30">
        <f>Weekly_Inspections!$AW249</f>
        <v/>
      </c>
    </row>
    <row r="250" ht="15" customHeight="1" s="45">
      <c r="A250" s="28">
        <f>IF(Weekly_Inspections!$B250="","",Weekly_Inspections!$A250&amp;"-A1")</f>
        <v/>
      </c>
      <c r="B250" s="46">
        <f>Weekly_Inspections!$B250</f>
        <v/>
      </c>
      <c r="C250" s="30">
        <f>Weekly_Inspections!$E250</f>
        <v/>
      </c>
      <c r="D250" s="30">
        <f>Weekly_Inspections!$F250</f>
        <v/>
      </c>
      <c r="E250" s="28">
        <f>Weekly_Inspections!$H250</f>
        <v/>
      </c>
      <c r="F250" s="30">
        <f>IF(Weekly_Inspections!$AX250&lt;&gt;"",Weekly_Inspections!$AX250,IF(Weekly_Inspections!$AY250&lt;&gt;"",Weekly_Inspections!$AY250,IF(Weekly_Inspections!$AZ250&lt;&gt;"",Weekly_Inspections!$AZ250,IF(Weekly_Inspections!$BA250&lt;&gt;"",Weekly_Inspections!$BA250,IF(Weekly_Inspections!$BB250&lt;&gt;"",Weekly_Inspections!$BB250,Weekly_Inspections!$R250)))))</f>
        <v/>
      </c>
      <c r="G250" s="30">
        <f>IF(OR(Weekly_Inspections!$AQ250&lt;&gt;"",Weekly_Inspections!$AR250&lt;&gt;"",Weekly_Inspections!$AS250&lt;&gt;""),Weekly_Inspections!$AQ250,"")</f>
        <v/>
      </c>
      <c r="H250" s="30">
        <f>Weekly_Inspections!$AP250</f>
        <v/>
      </c>
      <c r="I250" s="30">
        <f>Weekly_Inspections!$AR250</f>
        <v/>
      </c>
      <c r="J250" s="30">
        <f>Weekly_Inspections!$AS250</f>
        <v/>
      </c>
      <c r="K250" s="30">
        <f>Weekly_Inspections!$AU250</f>
        <v/>
      </c>
      <c r="L250" s="46">
        <f>Weekly_Inspections!$AV250</f>
        <v/>
      </c>
      <c r="M250" s="30">
        <f>IF($B250="","",IF($N250&lt;&gt;"","Closed",IF(OR($G250&lt;&gt;"",$I250&lt;&gt;"",$J250&lt;&gt;""),"Open","")))</f>
        <v/>
      </c>
      <c r="N250" s="46" t="n"/>
      <c r="O250" s="28">
        <f>IF($B250="","",IF($M250="Closed",IF($N250="","",$N250-$B250),TODAY()-$B250))</f>
        <v/>
      </c>
      <c r="P250" s="28">
        <f>IF(OR($B250="",$L250="",$M250="Closed"),"",IF(TODAY()&gt;$L250,"YES","NO"))</f>
        <v/>
      </c>
      <c r="Q250" s="30">
        <f>Weekly_Inspections!$AW250</f>
        <v/>
      </c>
    </row>
    <row r="251" ht="15" customHeight="1" s="45">
      <c r="A251" s="28">
        <f>IF(Weekly_Inspections!$B251="","",Weekly_Inspections!$A251&amp;"-A1")</f>
        <v/>
      </c>
      <c r="B251" s="46">
        <f>Weekly_Inspections!$B251</f>
        <v/>
      </c>
      <c r="C251" s="30">
        <f>Weekly_Inspections!$E251</f>
        <v/>
      </c>
      <c r="D251" s="30">
        <f>Weekly_Inspections!$F251</f>
        <v/>
      </c>
      <c r="E251" s="28">
        <f>Weekly_Inspections!$H251</f>
        <v/>
      </c>
      <c r="F251" s="30">
        <f>IF(Weekly_Inspections!$AX251&lt;&gt;"",Weekly_Inspections!$AX251,IF(Weekly_Inspections!$AY251&lt;&gt;"",Weekly_Inspections!$AY251,IF(Weekly_Inspections!$AZ251&lt;&gt;"",Weekly_Inspections!$AZ251,IF(Weekly_Inspections!$BA251&lt;&gt;"",Weekly_Inspections!$BA251,IF(Weekly_Inspections!$BB251&lt;&gt;"",Weekly_Inspections!$BB251,Weekly_Inspections!$R251)))))</f>
        <v/>
      </c>
      <c r="G251" s="30">
        <f>IF(OR(Weekly_Inspections!$AQ251&lt;&gt;"",Weekly_Inspections!$AR251&lt;&gt;"",Weekly_Inspections!$AS251&lt;&gt;""),Weekly_Inspections!$AQ251,"")</f>
        <v/>
      </c>
      <c r="H251" s="30">
        <f>Weekly_Inspections!$AP251</f>
        <v/>
      </c>
      <c r="I251" s="30">
        <f>Weekly_Inspections!$AR251</f>
        <v/>
      </c>
      <c r="J251" s="30">
        <f>Weekly_Inspections!$AS251</f>
        <v/>
      </c>
      <c r="K251" s="30">
        <f>Weekly_Inspections!$AU251</f>
        <v/>
      </c>
      <c r="L251" s="46">
        <f>Weekly_Inspections!$AV251</f>
        <v/>
      </c>
      <c r="M251" s="30">
        <f>IF($B251="","",IF($N251&lt;&gt;"","Closed",IF(OR($G251&lt;&gt;"",$I251&lt;&gt;"",$J251&lt;&gt;""),"Open","")))</f>
        <v/>
      </c>
      <c r="N251" s="46" t="n"/>
      <c r="O251" s="28">
        <f>IF($B251="","",IF($M251="Closed",IF($N251="","",$N251-$B251),TODAY()-$B251))</f>
        <v/>
      </c>
      <c r="P251" s="28">
        <f>IF(OR($B251="",$L251="",$M251="Closed"),"",IF(TODAY()&gt;$L251,"YES","NO"))</f>
        <v/>
      </c>
      <c r="Q251" s="30">
        <f>Weekly_Inspections!$AW251</f>
        <v/>
      </c>
    </row>
    <row r="252" ht="15" customHeight="1" s="45">
      <c r="A252" s="28">
        <f>IF(Weekly_Inspections!$B252="","",Weekly_Inspections!$A252&amp;"-A1")</f>
        <v/>
      </c>
      <c r="B252" s="46">
        <f>Weekly_Inspections!$B252</f>
        <v/>
      </c>
      <c r="C252" s="30">
        <f>Weekly_Inspections!$E252</f>
        <v/>
      </c>
      <c r="D252" s="30">
        <f>Weekly_Inspections!$F252</f>
        <v/>
      </c>
      <c r="E252" s="28">
        <f>Weekly_Inspections!$H252</f>
        <v/>
      </c>
      <c r="F252" s="30">
        <f>IF(Weekly_Inspections!$AX252&lt;&gt;"",Weekly_Inspections!$AX252,IF(Weekly_Inspections!$AY252&lt;&gt;"",Weekly_Inspections!$AY252,IF(Weekly_Inspections!$AZ252&lt;&gt;"",Weekly_Inspections!$AZ252,IF(Weekly_Inspections!$BA252&lt;&gt;"",Weekly_Inspections!$BA252,IF(Weekly_Inspections!$BB252&lt;&gt;"",Weekly_Inspections!$BB252,Weekly_Inspections!$R252)))))</f>
        <v/>
      </c>
      <c r="G252" s="30">
        <f>IF(OR(Weekly_Inspections!$AQ252&lt;&gt;"",Weekly_Inspections!$AR252&lt;&gt;"",Weekly_Inspections!$AS252&lt;&gt;""),Weekly_Inspections!$AQ252,"")</f>
        <v/>
      </c>
      <c r="H252" s="30">
        <f>Weekly_Inspections!$AP252</f>
        <v/>
      </c>
      <c r="I252" s="30">
        <f>Weekly_Inspections!$AR252</f>
        <v/>
      </c>
      <c r="J252" s="30">
        <f>Weekly_Inspections!$AS252</f>
        <v/>
      </c>
      <c r="K252" s="30">
        <f>Weekly_Inspections!$AU252</f>
        <v/>
      </c>
      <c r="L252" s="46">
        <f>Weekly_Inspections!$AV252</f>
        <v/>
      </c>
      <c r="M252" s="30">
        <f>IF($B252="","",IF($N252&lt;&gt;"","Closed",IF(OR($G252&lt;&gt;"",$I252&lt;&gt;"",$J252&lt;&gt;""),"Open","")))</f>
        <v/>
      </c>
      <c r="N252" s="46" t="n"/>
      <c r="O252" s="28">
        <f>IF($B252="","",IF($M252="Closed",IF($N252="","",$N252-$B252),TODAY()-$B252))</f>
        <v/>
      </c>
      <c r="P252" s="28">
        <f>IF(OR($B252="",$L252="",$M252="Closed"),"",IF(TODAY()&gt;$L252,"YES","NO"))</f>
        <v/>
      </c>
      <c r="Q252" s="30">
        <f>Weekly_Inspections!$AW252</f>
        <v/>
      </c>
    </row>
    <row r="253" ht="15" customHeight="1" s="45">
      <c r="A253" s="28">
        <f>IF(Weekly_Inspections!$B253="","",Weekly_Inspections!$A253&amp;"-A1")</f>
        <v/>
      </c>
      <c r="B253" s="46">
        <f>Weekly_Inspections!$B253</f>
        <v/>
      </c>
      <c r="C253" s="30">
        <f>Weekly_Inspections!$E253</f>
        <v/>
      </c>
      <c r="D253" s="30">
        <f>Weekly_Inspections!$F253</f>
        <v/>
      </c>
      <c r="E253" s="28">
        <f>Weekly_Inspections!$H253</f>
        <v/>
      </c>
      <c r="F253" s="30">
        <f>IF(Weekly_Inspections!$AX253&lt;&gt;"",Weekly_Inspections!$AX253,IF(Weekly_Inspections!$AY253&lt;&gt;"",Weekly_Inspections!$AY253,IF(Weekly_Inspections!$AZ253&lt;&gt;"",Weekly_Inspections!$AZ253,IF(Weekly_Inspections!$BA253&lt;&gt;"",Weekly_Inspections!$BA253,IF(Weekly_Inspections!$BB253&lt;&gt;"",Weekly_Inspections!$BB253,Weekly_Inspections!$R253)))))</f>
        <v/>
      </c>
      <c r="G253" s="30">
        <f>IF(OR(Weekly_Inspections!$AQ253&lt;&gt;"",Weekly_Inspections!$AR253&lt;&gt;"",Weekly_Inspections!$AS253&lt;&gt;""),Weekly_Inspections!$AQ253,"")</f>
        <v/>
      </c>
      <c r="H253" s="30">
        <f>Weekly_Inspections!$AP253</f>
        <v/>
      </c>
      <c r="I253" s="30">
        <f>Weekly_Inspections!$AR253</f>
        <v/>
      </c>
      <c r="J253" s="30">
        <f>Weekly_Inspections!$AS253</f>
        <v/>
      </c>
      <c r="K253" s="30">
        <f>Weekly_Inspections!$AU253</f>
        <v/>
      </c>
      <c r="L253" s="46">
        <f>Weekly_Inspections!$AV253</f>
        <v/>
      </c>
      <c r="M253" s="30">
        <f>IF($B253="","",IF($N253&lt;&gt;"","Closed",IF(OR($G253&lt;&gt;"",$I253&lt;&gt;"",$J253&lt;&gt;""),"Open","")))</f>
        <v/>
      </c>
      <c r="N253" s="46" t="n"/>
      <c r="O253" s="28">
        <f>IF($B253="","",IF($M253="Closed",IF($N253="","",$N253-$B253),TODAY()-$B253))</f>
        <v/>
      </c>
      <c r="P253" s="28">
        <f>IF(OR($B253="",$L253="",$M253="Closed"),"",IF(TODAY()&gt;$L253,"YES","NO"))</f>
        <v/>
      </c>
      <c r="Q253" s="30">
        <f>Weekly_Inspections!$AW253</f>
        <v/>
      </c>
    </row>
    <row r="254" ht="15" customHeight="1" s="45">
      <c r="A254" s="28">
        <f>IF(Weekly_Inspections!$B254="","",Weekly_Inspections!$A254&amp;"-A1")</f>
        <v/>
      </c>
      <c r="B254" s="46">
        <f>Weekly_Inspections!$B254</f>
        <v/>
      </c>
      <c r="C254" s="30">
        <f>Weekly_Inspections!$E254</f>
        <v/>
      </c>
      <c r="D254" s="30">
        <f>Weekly_Inspections!$F254</f>
        <v/>
      </c>
      <c r="E254" s="28">
        <f>Weekly_Inspections!$H254</f>
        <v/>
      </c>
      <c r="F254" s="30">
        <f>IF(Weekly_Inspections!$AX254&lt;&gt;"",Weekly_Inspections!$AX254,IF(Weekly_Inspections!$AY254&lt;&gt;"",Weekly_Inspections!$AY254,IF(Weekly_Inspections!$AZ254&lt;&gt;"",Weekly_Inspections!$AZ254,IF(Weekly_Inspections!$BA254&lt;&gt;"",Weekly_Inspections!$BA254,IF(Weekly_Inspections!$BB254&lt;&gt;"",Weekly_Inspections!$BB254,Weekly_Inspections!$R254)))))</f>
        <v/>
      </c>
      <c r="G254" s="30">
        <f>IF(OR(Weekly_Inspections!$AQ254&lt;&gt;"",Weekly_Inspections!$AR254&lt;&gt;"",Weekly_Inspections!$AS254&lt;&gt;""),Weekly_Inspections!$AQ254,"")</f>
        <v/>
      </c>
      <c r="H254" s="30">
        <f>Weekly_Inspections!$AP254</f>
        <v/>
      </c>
      <c r="I254" s="30">
        <f>Weekly_Inspections!$AR254</f>
        <v/>
      </c>
      <c r="J254" s="30">
        <f>Weekly_Inspections!$AS254</f>
        <v/>
      </c>
      <c r="K254" s="30">
        <f>Weekly_Inspections!$AU254</f>
        <v/>
      </c>
      <c r="L254" s="46">
        <f>Weekly_Inspections!$AV254</f>
        <v/>
      </c>
      <c r="M254" s="30">
        <f>IF($B254="","",IF($N254&lt;&gt;"","Closed",IF(OR($G254&lt;&gt;"",$I254&lt;&gt;"",$J254&lt;&gt;""),"Open","")))</f>
        <v/>
      </c>
      <c r="N254" s="46" t="n"/>
      <c r="O254" s="28">
        <f>IF($B254="","",IF($M254="Closed",IF($N254="","",$N254-$B254),TODAY()-$B254))</f>
        <v/>
      </c>
      <c r="P254" s="28">
        <f>IF(OR($B254="",$L254="",$M254="Closed"),"",IF(TODAY()&gt;$L254,"YES","NO"))</f>
        <v/>
      </c>
      <c r="Q254" s="30">
        <f>Weekly_Inspections!$AW254</f>
        <v/>
      </c>
    </row>
    <row r="255" ht="15" customHeight="1" s="45">
      <c r="A255" s="28">
        <f>IF(Weekly_Inspections!$B255="","",Weekly_Inspections!$A255&amp;"-A1")</f>
        <v/>
      </c>
      <c r="B255" s="46">
        <f>Weekly_Inspections!$B255</f>
        <v/>
      </c>
      <c r="C255" s="30">
        <f>Weekly_Inspections!$E255</f>
        <v/>
      </c>
      <c r="D255" s="30">
        <f>Weekly_Inspections!$F255</f>
        <v/>
      </c>
      <c r="E255" s="28">
        <f>Weekly_Inspections!$H255</f>
        <v/>
      </c>
      <c r="F255" s="30">
        <f>IF(Weekly_Inspections!$AX255&lt;&gt;"",Weekly_Inspections!$AX255,IF(Weekly_Inspections!$AY255&lt;&gt;"",Weekly_Inspections!$AY255,IF(Weekly_Inspections!$AZ255&lt;&gt;"",Weekly_Inspections!$AZ255,IF(Weekly_Inspections!$BA255&lt;&gt;"",Weekly_Inspections!$BA255,IF(Weekly_Inspections!$BB255&lt;&gt;"",Weekly_Inspections!$BB255,Weekly_Inspections!$R255)))))</f>
        <v/>
      </c>
      <c r="G255" s="30">
        <f>IF(OR(Weekly_Inspections!$AQ255&lt;&gt;"",Weekly_Inspections!$AR255&lt;&gt;"",Weekly_Inspections!$AS255&lt;&gt;""),Weekly_Inspections!$AQ255,"")</f>
        <v/>
      </c>
      <c r="H255" s="30">
        <f>Weekly_Inspections!$AP255</f>
        <v/>
      </c>
      <c r="I255" s="30">
        <f>Weekly_Inspections!$AR255</f>
        <v/>
      </c>
      <c r="J255" s="30">
        <f>Weekly_Inspections!$AS255</f>
        <v/>
      </c>
      <c r="K255" s="30">
        <f>Weekly_Inspections!$AU255</f>
        <v/>
      </c>
      <c r="L255" s="46">
        <f>Weekly_Inspections!$AV255</f>
        <v/>
      </c>
      <c r="M255" s="30">
        <f>IF($B255="","",IF($N255&lt;&gt;"","Closed",IF(OR($G255&lt;&gt;"",$I255&lt;&gt;"",$J255&lt;&gt;""),"Open","")))</f>
        <v/>
      </c>
      <c r="N255" s="46" t="n"/>
      <c r="O255" s="28">
        <f>IF($B255="","",IF($M255="Closed",IF($N255="","",$N255-$B255),TODAY()-$B255))</f>
        <v/>
      </c>
      <c r="P255" s="28">
        <f>IF(OR($B255="",$L255="",$M255="Closed"),"",IF(TODAY()&gt;$L255,"YES","NO"))</f>
        <v/>
      </c>
      <c r="Q255" s="30">
        <f>Weekly_Inspections!$AW255</f>
        <v/>
      </c>
    </row>
    <row r="256" ht="15" customHeight="1" s="45">
      <c r="A256" s="28">
        <f>IF(Weekly_Inspections!$B256="","",Weekly_Inspections!$A256&amp;"-A1")</f>
        <v/>
      </c>
      <c r="B256" s="46">
        <f>Weekly_Inspections!$B256</f>
        <v/>
      </c>
      <c r="C256" s="30">
        <f>Weekly_Inspections!$E256</f>
        <v/>
      </c>
      <c r="D256" s="30">
        <f>Weekly_Inspections!$F256</f>
        <v/>
      </c>
      <c r="E256" s="28">
        <f>Weekly_Inspections!$H256</f>
        <v/>
      </c>
      <c r="F256" s="30">
        <f>IF(Weekly_Inspections!$AX256&lt;&gt;"",Weekly_Inspections!$AX256,IF(Weekly_Inspections!$AY256&lt;&gt;"",Weekly_Inspections!$AY256,IF(Weekly_Inspections!$AZ256&lt;&gt;"",Weekly_Inspections!$AZ256,IF(Weekly_Inspections!$BA256&lt;&gt;"",Weekly_Inspections!$BA256,IF(Weekly_Inspections!$BB256&lt;&gt;"",Weekly_Inspections!$BB256,Weekly_Inspections!$R256)))))</f>
        <v/>
      </c>
      <c r="G256" s="30">
        <f>IF(OR(Weekly_Inspections!$AQ256&lt;&gt;"",Weekly_Inspections!$AR256&lt;&gt;"",Weekly_Inspections!$AS256&lt;&gt;""),Weekly_Inspections!$AQ256,"")</f>
        <v/>
      </c>
      <c r="H256" s="30">
        <f>Weekly_Inspections!$AP256</f>
        <v/>
      </c>
      <c r="I256" s="30">
        <f>Weekly_Inspections!$AR256</f>
        <v/>
      </c>
      <c r="J256" s="30">
        <f>Weekly_Inspections!$AS256</f>
        <v/>
      </c>
      <c r="K256" s="30">
        <f>Weekly_Inspections!$AU256</f>
        <v/>
      </c>
      <c r="L256" s="46">
        <f>Weekly_Inspections!$AV256</f>
        <v/>
      </c>
      <c r="M256" s="30">
        <f>IF($B256="","",IF($N256&lt;&gt;"","Closed",IF(OR($G256&lt;&gt;"",$I256&lt;&gt;"",$J256&lt;&gt;""),"Open","")))</f>
        <v/>
      </c>
      <c r="N256" s="46" t="n"/>
      <c r="O256" s="28">
        <f>IF($B256="","",IF($M256="Closed",IF($N256="","",$N256-$B256),TODAY()-$B256))</f>
        <v/>
      </c>
      <c r="P256" s="28">
        <f>IF(OR($B256="",$L256="",$M256="Closed"),"",IF(TODAY()&gt;$L256,"YES","NO"))</f>
        <v/>
      </c>
      <c r="Q256" s="30">
        <f>Weekly_Inspections!$AW256</f>
        <v/>
      </c>
    </row>
    <row r="257" ht="15" customHeight="1" s="45">
      <c r="A257" s="28">
        <f>IF(Weekly_Inspections!$B257="","",Weekly_Inspections!$A257&amp;"-A1")</f>
        <v/>
      </c>
      <c r="B257" s="46">
        <f>Weekly_Inspections!$B257</f>
        <v/>
      </c>
      <c r="C257" s="30">
        <f>Weekly_Inspections!$E257</f>
        <v/>
      </c>
      <c r="D257" s="30">
        <f>Weekly_Inspections!$F257</f>
        <v/>
      </c>
      <c r="E257" s="28">
        <f>Weekly_Inspections!$H257</f>
        <v/>
      </c>
      <c r="F257" s="30">
        <f>IF(Weekly_Inspections!$AX257&lt;&gt;"",Weekly_Inspections!$AX257,IF(Weekly_Inspections!$AY257&lt;&gt;"",Weekly_Inspections!$AY257,IF(Weekly_Inspections!$AZ257&lt;&gt;"",Weekly_Inspections!$AZ257,IF(Weekly_Inspections!$BA257&lt;&gt;"",Weekly_Inspections!$BA257,IF(Weekly_Inspections!$BB257&lt;&gt;"",Weekly_Inspections!$BB257,Weekly_Inspections!$R257)))))</f>
        <v/>
      </c>
      <c r="G257" s="30">
        <f>IF(OR(Weekly_Inspections!$AQ257&lt;&gt;"",Weekly_Inspections!$AR257&lt;&gt;"",Weekly_Inspections!$AS257&lt;&gt;""),Weekly_Inspections!$AQ257,"")</f>
        <v/>
      </c>
      <c r="H257" s="30">
        <f>Weekly_Inspections!$AP257</f>
        <v/>
      </c>
      <c r="I257" s="30">
        <f>Weekly_Inspections!$AR257</f>
        <v/>
      </c>
      <c r="J257" s="30">
        <f>Weekly_Inspections!$AS257</f>
        <v/>
      </c>
      <c r="K257" s="30">
        <f>Weekly_Inspections!$AU257</f>
        <v/>
      </c>
      <c r="L257" s="46">
        <f>Weekly_Inspections!$AV257</f>
        <v/>
      </c>
      <c r="M257" s="30">
        <f>IF($B257="","",IF($N257&lt;&gt;"","Closed",IF(OR($G257&lt;&gt;"",$I257&lt;&gt;"",$J257&lt;&gt;""),"Open","")))</f>
        <v/>
      </c>
      <c r="N257" s="46" t="n"/>
      <c r="O257" s="28">
        <f>IF($B257="","",IF($M257="Closed",IF($N257="","",$N257-$B257),TODAY()-$B257))</f>
        <v/>
      </c>
      <c r="P257" s="28">
        <f>IF(OR($B257="",$L257="",$M257="Closed"),"",IF(TODAY()&gt;$L257,"YES","NO"))</f>
        <v/>
      </c>
      <c r="Q257" s="30">
        <f>Weekly_Inspections!$AW257</f>
        <v/>
      </c>
    </row>
    <row r="258" ht="15" customHeight="1" s="45">
      <c r="A258" s="28">
        <f>IF(Weekly_Inspections!$B258="","",Weekly_Inspections!$A258&amp;"-A1")</f>
        <v/>
      </c>
      <c r="B258" s="46">
        <f>Weekly_Inspections!$B258</f>
        <v/>
      </c>
      <c r="C258" s="30">
        <f>Weekly_Inspections!$E258</f>
        <v/>
      </c>
      <c r="D258" s="30">
        <f>Weekly_Inspections!$F258</f>
        <v/>
      </c>
      <c r="E258" s="28">
        <f>Weekly_Inspections!$H258</f>
        <v/>
      </c>
      <c r="F258" s="30">
        <f>IF(Weekly_Inspections!$AX258&lt;&gt;"",Weekly_Inspections!$AX258,IF(Weekly_Inspections!$AY258&lt;&gt;"",Weekly_Inspections!$AY258,IF(Weekly_Inspections!$AZ258&lt;&gt;"",Weekly_Inspections!$AZ258,IF(Weekly_Inspections!$BA258&lt;&gt;"",Weekly_Inspections!$BA258,IF(Weekly_Inspections!$BB258&lt;&gt;"",Weekly_Inspections!$BB258,Weekly_Inspections!$R258)))))</f>
        <v/>
      </c>
      <c r="G258" s="30">
        <f>IF(OR(Weekly_Inspections!$AQ258&lt;&gt;"",Weekly_Inspections!$AR258&lt;&gt;"",Weekly_Inspections!$AS258&lt;&gt;""),Weekly_Inspections!$AQ258,"")</f>
        <v/>
      </c>
      <c r="H258" s="30">
        <f>Weekly_Inspections!$AP258</f>
        <v/>
      </c>
      <c r="I258" s="30">
        <f>Weekly_Inspections!$AR258</f>
        <v/>
      </c>
      <c r="J258" s="30">
        <f>Weekly_Inspections!$AS258</f>
        <v/>
      </c>
      <c r="K258" s="30">
        <f>Weekly_Inspections!$AU258</f>
        <v/>
      </c>
      <c r="L258" s="46">
        <f>Weekly_Inspections!$AV258</f>
        <v/>
      </c>
      <c r="M258" s="30">
        <f>IF($B258="","",IF($N258&lt;&gt;"","Closed",IF(OR($G258&lt;&gt;"",$I258&lt;&gt;"",$J258&lt;&gt;""),"Open","")))</f>
        <v/>
      </c>
      <c r="N258" s="46" t="n"/>
      <c r="O258" s="28">
        <f>IF($B258="","",IF($M258="Closed",IF($N258="","",$N258-$B258),TODAY()-$B258))</f>
        <v/>
      </c>
      <c r="P258" s="28">
        <f>IF(OR($B258="",$L258="",$M258="Closed"),"",IF(TODAY()&gt;$L258,"YES","NO"))</f>
        <v/>
      </c>
      <c r="Q258" s="30">
        <f>Weekly_Inspections!$AW258</f>
        <v/>
      </c>
    </row>
    <row r="259" ht="15" customHeight="1" s="45">
      <c r="A259" s="28">
        <f>IF(Weekly_Inspections!$B259="","",Weekly_Inspections!$A259&amp;"-A1")</f>
        <v/>
      </c>
      <c r="B259" s="46">
        <f>Weekly_Inspections!$B259</f>
        <v/>
      </c>
      <c r="C259" s="30">
        <f>Weekly_Inspections!$E259</f>
        <v/>
      </c>
      <c r="D259" s="30">
        <f>Weekly_Inspections!$F259</f>
        <v/>
      </c>
      <c r="E259" s="28">
        <f>Weekly_Inspections!$H259</f>
        <v/>
      </c>
      <c r="F259" s="30">
        <f>IF(Weekly_Inspections!$AX259&lt;&gt;"",Weekly_Inspections!$AX259,IF(Weekly_Inspections!$AY259&lt;&gt;"",Weekly_Inspections!$AY259,IF(Weekly_Inspections!$AZ259&lt;&gt;"",Weekly_Inspections!$AZ259,IF(Weekly_Inspections!$BA259&lt;&gt;"",Weekly_Inspections!$BA259,IF(Weekly_Inspections!$BB259&lt;&gt;"",Weekly_Inspections!$BB259,Weekly_Inspections!$R259)))))</f>
        <v/>
      </c>
      <c r="G259" s="30">
        <f>IF(OR(Weekly_Inspections!$AQ259&lt;&gt;"",Weekly_Inspections!$AR259&lt;&gt;"",Weekly_Inspections!$AS259&lt;&gt;""),Weekly_Inspections!$AQ259,"")</f>
        <v/>
      </c>
      <c r="H259" s="30">
        <f>Weekly_Inspections!$AP259</f>
        <v/>
      </c>
      <c r="I259" s="30">
        <f>Weekly_Inspections!$AR259</f>
        <v/>
      </c>
      <c r="J259" s="30">
        <f>Weekly_Inspections!$AS259</f>
        <v/>
      </c>
      <c r="K259" s="30">
        <f>Weekly_Inspections!$AU259</f>
        <v/>
      </c>
      <c r="L259" s="46">
        <f>Weekly_Inspections!$AV259</f>
        <v/>
      </c>
      <c r="M259" s="30">
        <f>IF($B259="","",IF($N259&lt;&gt;"","Closed",IF(OR($G259&lt;&gt;"",$I259&lt;&gt;"",$J259&lt;&gt;""),"Open","")))</f>
        <v/>
      </c>
      <c r="N259" s="46" t="n"/>
      <c r="O259" s="28">
        <f>IF($B259="","",IF($M259="Closed",IF($N259="","",$N259-$B259),TODAY()-$B259))</f>
        <v/>
      </c>
      <c r="P259" s="28">
        <f>IF(OR($B259="",$L259="",$M259="Closed"),"",IF(TODAY()&gt;$L259,"YES","NO"))</f>
        <v/>
      </c>
      <c r="Q259" s="30">
        <f>Weekly_Inspections!$AW259</f>
        <v/>
      </c>
    </row>
    <row r="260" ht="15" customHeight="1" s="45">
      <c r="A260" s="28">
        <f>IF(Weekly_Inspections!$B260="","",Weekly_Inspections!$A260&amp;"-A1")</f>
        <v/>
      </c>
      <c r="B260" s="46">
        <f>Weekly_Inspections!$B260</f>
        <v/>
      </c>
      <c r="C260" s="30">
        <f>Weekly_Inspections!$E260</f>
        <v/>
      </c>
      <c r="D260" s="30">
        <f>Weekly_Inspections!$F260</f>
        <v/>
      </c>
      <c r="E260" s="28">
        <f>Weekly_Inspections!$H260</f>
        <v/>
      </c>
      <c r="F260" s="30">
        <f>IF(Weekly_Inspections!$AX260&lt;&gt;"",Weekly_Inspections!$AX260,IF(Weekly_Inspections!$AY260&lt;&gt;"",Weekly_Inspections!$AY260,IF(Weekly_Inspections!$AZ260&lt;&gt;"",Weekly_Inspections!$AZ260,IF(Weekly_Inspections!$BA260&lt;&gt;"",Weekly_Inspections!$BA260,IF(Weekly_Inspections!$BB260&lt;&gt;"",Weekly_Inspections!$BB260,Weekly_Inspections!$R260)))))</f>
        <v/>
      </c>
      <c r="G260" s="30">
        <f>IF(OR(Weekly_Inspections!$AQ260&lt;&gt;"",Weekly_Inspections!$AR260&lt;&gt;"",Weekly_Inspections!$AS260&lt;&gt;""),Weekly_Inspections!$AQ260,"")</f>
        <v/>
      </c>
      <c r="H260" s="30">
        <f>Weekly_Inspections!$AP260</f>
        <v/>
      </c>
      <c r="I260" s="30">
        <f>Weekly_Inspections!$AR260</f>
        <v/>
      </c>
      <c r="J260" s="30">
        <f>Weekly_Inspections!$AS260</f>
        <v/>
      </c>
      <c r="K260" s="30">
        <f>Weekly_Inspections!$AU260</f>
        <v/>
      </c>
      <c r="L260" s="46">
        <f>Weekly_Inspections!$AV260</f>
        <v/>
      </c>
      <c r="M260" s="30">
        <f>IF($B260="","",IF($N260&lt;&gt;"","Closed",IF(OR($G260&lt;&gt;"",$I260&lt;&gt;"",$J260&lt;&gt;""),"Open","")))</f>
        <v/>
      </c>
      <c r="N260" s="46" t="n"/>
      <c r="O260" s="28">
        <f>IF($B260="","",IF($M260="Closed",IF($N260="","",$N260-$B260),TODAY()-$B260))</f>
        <v/>
      </c>
      <c r="P260" s="28">
        <f>IF(OR($B260="",$L260="",$M260="Closed"),"",IF(TODAY()&gt;$L260,"YES","NO"))</f>
        <v/>
      </c>
      <c r="Q260" s="30">
        <f>Weekly_Inspections!$AW260</f>
        <v/>
      </c>
    </row>
    <row r="261" ht="15" customHeight="1" s="45">
      <c r="A261" s="28">
        <f>IF(Weekly_Inspections!$B261="","",Weekly_Inspections!$A261&amp;"-A1")</f>
        <v/>
      </c>
      <c r="B261" s="46">
        <f>Weekly_Inspections!$B261</f>
        <v/>
      </c>
      <c r="C261" s="30">
        <f>Weekly_Inspections!$E261</f>
        <v/>
      </c>
      <c r="D261" s="30">
        <f>Weekly_Inspections!$F261</f>
        <v/>
      </c>
      <c r="E261" s="28">
        <f>Weekly_Inspections!$H261</f>
        <v/>
      </c>
      <c r="F261" s="30">
        <f>IF(Weekly_Inspections!$AX261&lt;&gt;"",Weekly_Inspections!$AX261,IF(Weekly_Inspections!$AY261&lt;&gt;"",Weekly_Inspections!$AY261,IF(Weekly_Inspections!$AZ261&lt;&gt;"",Weekly_Inspections!$AZ261,IF(Weekly_Inspections!$BA261&lt;&gt;"",Weekly_Inspections!$BA261,IF(Weekly_Inspections!$BB261&lt;&gt;"",Weekly_Inspections!$BB261,Weekly_Inspections!$R261)))))</f>
        <v/>
      </c>
      <c r="G261" s="30">
        <f>IF(OR(Weekly_Inspections!$AQ261&lt;&gt;"",Weekly_Inspections!$AR261&lt;&gt;"",Weekly_Inspections!$AS261&lt;&gt;""),Weekly_Inspections!$AQ261,"")</f>
        <v/>
      </c>
      <c r="H261" s="30">
        <f>Weekly_Inspections!$AP261</f>
        <v/>
      </c>
      <c r="I261" s="30">
        <f>Weekly_Inspections!$AR261</f>
        <v/>
      </c>
      <c r="J261" s="30">
        <f>Weekly_Inspections!$AS261</f>
        <v/>
      </c>
      <c r="K261" s="30">
        <f>Weekly_Inspections!$AU261</f>
        <v/>
      </c>
      <c r="L261" s="46">
        <f>Weekly_Inspections!$AV261</f>
        <v/>
      </c>
      <c r="M261" s="30">
        <f>IF($B261="","",IF($N261&lt;&gt;"","Closed",IF(OR($G261&lt;&gt;"",$I261&lt;&gt;"",$J261&lt;&gt;""),"Open","")))</f>
        <v/>
      </c>
      <c r="N261" s="46" t="n"/>
      <c r="O261" s="28">
        <f>IF($B261="","",IF($M261="Closed",IF($N261="","",$N261-$B261),TODAY()-$B261))</f>
        <v/>
      </c>
      <c r="P261" s="28">
        <f>IF(OR($B261="",$L261="",$M261="Closed"),"",IF(TODAY()&gt;$L261,"YES","NO"))</f>
        <v/>
      </c>
      <c r="Q261" s="30">
        <f>Weekly_Inspections!$AW261</f>
        <v/>
      </c>
    </row>
    <row r="262" ht="15" customHeight="1" s="45">
      <c r="A262" s="28">
        <f>IF(Weekly_Inspections!$B262="","",Weekly_Inspections!$A262&amp;"-A1")</f>
        <v/>
      </c>
      <c r="B262" s="46">
        <f>Weekly_Inspections!$B262</f>
        <v/>
      </c>
      <c r="C262" s="30">
        <f>Weekly_Inspections!$E262</f>
        <v/>
      </c>
      <c r="D262" s="30">
        <f>Weekly_Inspections!$F262</f>
        <v/>
      </c>
      <c r="E262" s="28">
        <f>Weekly_Inspections!$H262</f>
        <v/>
      </c>
      <c r="F262" s="30">
        <f>IF(Weekly_Inspections!$AX262&lt;&gt;"",Weekly_Inspections!$AX262,IF(Weekly_Inspections!$AY262&lt;&gt;"",Weekly_Inspections!$AY262,IF(Weekly_Inspections!$AZ262&lt;&gt;"",Weekly_Inspections!$AZ262,IF(Weekly_Inspections!$BA262&lt;&gt;"",Weekly_Inspections!$BA262,IF(Weekly_Inspections!$BB262&lt;&gt;"",Weekly_Inspections!$BB262,Weekly_Inspections!$R262)))))</f>
        <v/>
      </c>
      <c r="G262" s="30">
        <f>IF(OR(Weekly_Inspections!$AQ262&lt;&gt;"",Weekly_Inspections!$AR262&lt;&gt;"",Weekly_Inspections!$AS262&lt;&gt;""),Weekly_Inspections!$AQ262,"")</f>
        <v/>
      </c>
      <c r="H262" s="30">
        <f>Weekly_Inspections!$AP262</f>
        <v/>
      </c>
      <c r="I262" s="30">
        <f>Weekly_Inspections!$AR262</f>
        <v/>
      </c>
      <c r="J262" s="30">
        <f>Weekly_Inspections!$AS262</f>
        <v/>
      </c>
      <c r="K262" s="30">
        <f>Weekly_Inspections!$AU262</f>
        <v/>
      </c>
      <c r="L262" s="46">
        <f>Weekly_Inspections!$AV262</f>
        <v/>
      </c>
      <c r="M262" s="30">
        <f>IF($B262="","",IF($N262&lt;&gt;"","Closed",IF(OR($G262&lt;&gt;"",$I262&lt;&gt;"",$J262&lt;&gt;""),"Open","")))</f>
        <v/>
      </c>
      <c r="N262" s="46" t="n"/>
      <c r="O262" s="28">
        <f>IF($B262="","",IF($M262="Closed",IF($N262="","",$N262-$B262),TODAY()-$B262))</f>
        <v/>
      </c>
      <c r="P262" s="28">
        <f>IF(OR($B262="",$L262="",$M262="Closed"),"",IF(TODAY()&gt;$L262,"YES","NO"))</f>
        <v/>
      </c>
      <c r="Q262" s="30">
        <f>Weekly_Inspections!$AW262</f>
        <v/>
      </c>
    </row>
    <row r="263" ht="15" customHeight="1" s="45">
      <c r="A263" s="28">
        <f>IF(Weekly_Inspections!$B263="","",Weekly_Inspections!$A263&amp;"-A1")</f>
        <v/>
      </c>
      <c r="B263" s="46">
        <f>Weekly_Inspections!$B263</f>
        <v/>
      </c>
      <c r="C263" s="30">
        <f>Weekly_Inspections!$E263</f>
        <v/>
      </c>
      <c r="D263" s="30">
        <f>Weekly_Inspections!$F263</f>
        <v/>
      </c>
      <c r="E263" s="28">
        <f>Weekly_Inspections!$H263</f>
        <v/>
      </c>
      <c r="F263" s="30">
        <f>IF(Weekly_Inspections!$AX263&lt;&gt;"",Weekly_Inspections!$AX263,IF(Weekly_Inspections!$AY263&lt;&gt;"",Weekly_Inspections!$AY263,IF(Weekly_Inspections!$AZ263&lt;&gt;"",Weekly_Inspections!$AZ263,IF(Weekly_Inspections!$BA263&lt;&gt;"",Weekly_Inspections!$BA263,IF(Weekly_Inspections!$BB263&lt;&gt;"",Weekly_Inspections!$BB263,Weekly_Inspections!$R263)))))</f>
        <v/>
      </c>
      <c r="G263" s="30">
        <f>IF(OR(Weekly_Inspections!$AQ263&lt;&gt;"",Weekly_Inspections!$AR263&lt;&gt;"",Weekly_Inspections!$AS263&lt;&gt;""),Weekly_Inspections!$AQ263,"")</f>
        <v/>
      </c>
      <c r="H263" s="30">
        <f>Weekly_Inspections!$AP263</f>
        <v/>
      </c>
      <c r="I263" s="30">
        <f>Weekly_Inspections!$AR263</f>
        <v/>
      </c>
      <c r="J263" s="30">
        <f>Weekly_Inspections!$AS263</f>
        <v/>
      </c>
      <c r="K263" s="30">
        <f>Weekly_Inspections!$AU263</f>
        <v/>
      </c>
      <c r="L263" s="46">
        <f>Weekly_Inspections!$AV263</f>
        <v/>
      </c>
      <c r="M263" s="30">
        <f>IF($B263="","",IF($N263&lt;&gt;"","Closed",IF(OR($G263&lt;&gt;"",$I263&lt;&gt;"",$J263&lt;&gt;""),"Open","")))</f>
        <v/>
      </c>
      <c r="N263" s="46" t="n"/>
      <c r="O263" s="28">
        <f>IF($B263="","",IF($M263="Closed",IF($N263="","",$N263-$B263),TODAY()-$B263))</f>
        <v/>
      </c>
      <c r="P263" s="28">
        <f>IF(OR($B263="",$L263="",$M263="Closed"),"",IF(TODAY()&gt;$L263,"YES","NO"))</f>
        <v/>
      </c>
      <c r="Q263" s="30">
        <f>Weekly_Inspections!$AW263</f>
        <v/>
      </c>
    </row>
    <row r="264" ht="15" customHeight="1" s="45">
      <c r="A264" s="28">
        <f>IF(Weekly_Inspections!$B264="","",Weekly_Inspections!$A264&amp;"-A1")</f>
        <v/>
      </c>
      <c r="B264" s="46">
        <f>Weekly_Inspections!$B264</f>
        <v/>
      </c>
      <c r="C264" s="30">
        <f>Weekly_Inspections!$E264</f>
        <v/>
      </c>
      <c r="D264" s="30">
        <f>Weekly_Inspections!$F264</f>
        <v/>
      </c>
      <c r="E264" s="28">
        <f>Weekly_Inspections!$H264</f>
        <v/>
      </c>
      <c r="F264" s="30">
        <f>IF(Weekly_Inspections!$AX264&lt;&gt;"",Weekly_Inspections!$AX264,IF(Weekly_Inspections!$AY264&lt;&gt;"",Weekly_Inspections!$AY264,IF(Weekly_Inspections!$AZ264&lt;&gt;"",Weekly_Inspections!$AZ264,IF(Weekly_Inspections!$BA264&lt;&gt;"",Weekly_Inspections!$BA264,IF(Weekly_Inspections!$BB264&lt;&gt;"",Weekly_Inspections!$BB264,Weekly_Inspections!$R264)))))</f>
        <v/>
      </c>
      <c r="G264" s="30">
        <f>IF(OR(Weekly_Inspections!$AQ264&lt;&gt;"",Weekly_Inspections!$AR264&lt;&gt;"",Weekly_Inspections!$AS264&lt;&gt;""),Weekly_Inspections!$AQ264,"")</f>
        <v/>
      </c>
      <c r="H264" s="30">
        <f>Weekly_Inspections!$AP264</f>
        <v/>
      </c>
      <c r="I264" s="30">
        <f>Weekly_Inspections!$AR264</f>
        <v/>
      </c>
      <c r="J264" s="30">
        <f>Weekly_Inspections!$AS264</f>
        <v/>
      </c>
      <c r="K264" s="30">
        <f>Weekly_Inspections!$AU264</f>
        <v/>
      </c>
      <c r="L264" s="46">
        <f>Weekly_Inspections!$AV264</f>
        <v/>
      </c>
      <c r="M264" s="30">
        <f>IF($B264="","",IF($N264&lt;&gt;"","Closed",IF(OR($G264&lt;&gt;"",$I264&lt;&gt;"",$J264&lt;&gt;""),"Open","")))</f>
        <v/>
      </c>
      <c r="N264" s="46" t="n"/>
      <c r="O264" s="28">
        <f>IF($B264="","",IF($M264="Closed",IF($N264="","",$N264-$B264),TODAY()-$B264))</f>
        <v/>
      </c>
      <c r="P264" s="28">
        <f>IF(OR($B264="",$L264="",$M264="Closed"),"",IF(TODAY()&gt;$L264,"YES","NO"))</f>
        <v/>
      </c>
      <c r="Q264" s="30">
        <f>Weekly_Inspections!$AW264</f>
        <v/>
      </c>
    </row>
    <row r="265" ht="15" customHeight="1" s="45">
      <c r="A265" s="28">
        <f>IF(Weekly_Inspections!$B265="","",Weekly_Inspections!$A265&amp;"-A1")</f>
        <v/>
      </c>
      <c r="B265" s="46">
        <f>Weekly_Inspections!$B265</f>
        <v/>
      </c>
      <c r="C265" s="30">
        <f>Weekly_Inspections!$E265</f>
        <v/>
      </c>
      <c r="D265" s="30">
        <f>Weekly_Inspections!$F265</f>
        <v/>
      </c>
      <c r="E265" s="28">
        <f>Weekly_Inspections!$H265</f>
        <v/>
      </c>
      <c r="F265" s="30">
        <f>IF(Weekly_Inspections!$AX265&lt;&gt;"",Weekly_Inspections!$AX265,IF(Weekly_Inspections!$AY265&lt;&gt;"",Weekly_Inspections!$AY265,IF(Weekly_Inspections!$AZ265&lt;&gt;"",Weekly_Inspections!$AZ265,IF(Weekly_Inspections!$BA265&lt;&gt;"",Weekly_Inspections!$BA265,IF(Weekly_Inspections!$BB265&lt;&gt;"",Weekly_Inspections!$BB265,Weekly_Inspections!$R265)))))</f>
        <v/>
      </c>
      <c r="G265" s="30">
        <f>IF(OR(Weekly_Inspections!$AQ265&lt;&gt;"",Weekly_Inspections!$AR265&lt;&gt;"",Weekly_Inspections!$AS265&lt;&gt;""),Weekly_Inspections!$AQ265,"")</f>
        <v/>
      </c>
      <c r="H265" s="30">
        <f>Weekly_Inspections!$AP265</f>
        <v/>
      </c>
      <c r="I265" s="30">
        <f>Weekly_Inspections!$AR265</f>
        <v/>
      </c>
      <c r="J265" s="30">
        <f>Weekly_Inspections!$AS265</f>
        <v/>
      </c>
      <c r="K265" s="30">
        <f>Weekly_Inspections!$AU265</f>
        <v/>
      </c>
      <c r="L265" s="46">
        <f>Weekly_Inspections!$AV265</f>
        <v/>
      </c>
      <c r="M265" s="30">
        <f>IF($B265="","",IF($N265&lt;&gt;"","Closed",IF(OR($G265&lt;&gt;"",$I265&lt;&gt;"",$J265&lt;&gt;""),"Open","")))</f>
        <v/>
      </c>
      <c r="N265" s="46" t="n"/>
      <c r="O265" s="28">
        <f>IF($B265="","",IF($M265="Closed",IF($N265="","",$N265-$B265),TODAY()-$B265))</f>
        <v/>
      </c>
      <c r="P265" s="28">
        <f>IF(OR($B265="",$L265="",$M265="Closed"),"",IF(TODAY()&gt;$L265,"YES","NO"))</f>
        <v/>
      </c>
      <c r="Q265" s="30">
        <f>Weekly_Inspections!$AW265</f>
        <v/>
      </c>
    </row>
    <row r="266" ht="15" customHeight="1" s="45">
      <c r="A266" s="28">
        <f>IF(Weekly_Inspections!$B266="","",Weekly_Inspections!$A266&amp;"-A1")</f>
        <v/>
      </c>
      <c r="B266" s="46">
        <f>Weekly_Inspections!$B266</f>
        <v/>
      </c>
      <c r="C266" s="30">
        <f>Weekly_Inspections!$E266</f>
        <v/>
      </c>
      <c r="D266" s="30">
        <f>Weekly_Inspections!$F266</f>
        <v/>
      </c>
      <c r="E266" s="28">
        <f>Weekly_Inspections!$H266</f>
        <v/>
      </c>
      <c r="F266" s="30">
        <f>IF(Weekly_Inspections!$AX266&lt;&gt;"",Weekly_Inspections!$AX266,IF(Weekly_Inspections!$AY266&lt;&gt;"",Weekly_Inspections!$AY266,IF(Weekly_Inspections!$AZ266&lt;&gt;"",Weekly_Inspections!$AZ266,IF(Weekly_Inspections!$BA266&lt;&gt;"",Weekly_Inspections!$BA266,IF(Weekly_Inspections!$BB266&lt;&gt;"",Weekly_Inspections!$BB266,Weekly_Inspections!$R266)))))</f>
        <v/>
      </c>
      <c r="G266" s="30">
        <f>IF(OR(Weekly_Inspections!$AQ266&lt;&gt;"",Weekly_Inspections!$AR266&lt;&gt;"",Weekly_Inspections!$AS266&lt;&gt;""),Weekly_Inspections!$AQ266,"")</f>
        <v/>
      </c>
      <c r="H266" s="30">
        <f>Weekly_Inspections!$AP266</f>
        <v/>
      </c>
      <c r="I266" s="30">
        <f>Weekly_Inspections!$AR266</f>
        <v/>
      </c>
      <c r="J266" s="30">
        <f>Weekly_Inspections!$AS266</f>
        <v/>
      </c>
      <c r="K266" s="30">
        <f>Weekly_Inspections!$AU266</f>
        <v/>
      </c>
      <c r="L266" s="46">
        <f>Weekly_Inspections!$AV266</f>
        <v/>
      </c>
      <c r="M266" s="30">
        <f>IF($B266="","",IF($N266&lt;&gt;"","Closed",IF(OR($G266&lt;&gt;"",$I266&lt;&gt;"",$J266&lt;&gt;""),"Open","")))</f>
        <v/>
      </c>
      <c r="N266" s="46" t="n"/>
      <c r="O266" s="28">
        <f>IF($B266="","",IF($M266="Closed",IF($N266="","",$N266-$B266),TODAY()-$B266))</f>
        <v/>
      </c>
      <c r="P266" s="28">
        <f>IF(OR($B266="",$L266="",$M266="Closed"),"",IF(TODAY()&gt;$L266,"YES","NO"))</f>
        <v/>
      </c>
      <c r="Q266" s="30">
        <f>Weekly_Inspections!$AW266</f>
        <v/>
      </c>
    </row>
    <row r="267" ht="15" customHeight="1" s="45">
      <c r="A267" s="28">
        <f>IF(Weekly_Inspections!$B267="","",Weekly_Inspections!$A267&amp;"-A1")</f>
        <v/>
      </c>
      <c r="B267" s="46">
        <f>Weekly_Inspections!$B267</f>
        <v/>
      </c>
      <c r="C267" s="30">
        <f>Weekly_Inspections!$E267</f>
        <v/>
      </c>
      <c r="D267" s="30">
        <f>Weekly_Inspections!$F267</f>
        <v/>
      </c>
      <c r="E267" s="28">
        <f>Weekly_Inspections!$H267</f>
        <v/>
      </c>
      <c r="F267" s="30">
        <f>IF(Weekly_Inspections!$AX267&lt;&gt;"",Weekly_Inspections!$AX267,IF(Weekly_Inspections!$AY267&lt;&gt;"",Weekly_Inspections!$AY267,IF(Weekly_Inspections!$AZ267&lt;&gt;"",Weekly_Inspections!$AZ267,IF(Weekly_Inspections!$BA267&lt;&gt;"",Weekly_Inspections!$BA267,IF(Weekly_Inspections!$BB267&lt;&gt;"",Weekly_Inspections!$BB267,Weekly_Inspections!$R267)))))</f>
        <v/>
      </c>
      <c r="G267" s="30">
        <f>IF(OR(Weekly_Inspections!$AQ267&lt;&gt;"",Weekly_Inspections!$AR267&lt;&gt;"",Weekly_Inspections!$AS267&lt;&gt;""),Weekly_Inspections!$AQ267,"")</f>
        <v/>
      </c>
      <c r="H267" s="30">
        <f>Weekly_Inspections!$AP267</f>
        <v/>
      </c>
      <c r="I267" s="30">
        <f>Weekly_Inspections!$AR267</f>
        <v/>
      </c>
      <c r="J267" s="30">
        <f>Weekly_Inspections!$AS267</f>
        <v/>
      </c>
      <c r="K267" s="30">
        <f>Weekly_Inspections!$AU267</f>
        <v/>
      </c>
      <c r="L267" s="46">
        <f>Weekly_Inspections!$AV267</f>
        <v/>
      </c>
      <c r="M267" s="30">
        <f>IF($B267="","",IF($N267&lt;&gt;"","Closed",IF(OR($G267&lt;&gt;"",$I267&lt;&gt;"",$J267&lt;&gt;""),"Open","")))</f>
        <v/>
      </c>
      <c r="N267" s="46" t="n"/>
      <c r="O267" s="28">
        <f>IF($B267="","",IF($M267="Closed",IF($N267="","",$N267-$B267),TODAY()-$B267))</f>
        <v/>
      </c>
      <c r="P267" s="28">
        <f>IF(OR($B267="",$L267="",$M267="Closed"),"",IF(TODAY()&gt;$L267,"YES","NO"))</f>
        <v/>
      </c>
      <c r="Q267" s="30">
        <f>Weekly_Inspections!$AW267</f>
        <v/>
      </c>
    </row>
    <row r="268" ht="15" customHeight="1" s="45">
      <c r="A268" s="28">
        <f>IF(Weekly_Inspections!$B268="","",Weekly_Inspections!$A268&amp;"-A1")</f>
        <v/>
      </c>
      <c r="B268" s="46">
        <f>Weekly_Inspections!$B268</f>
        <v/>
      </c>
      <c r="C268" s="30">
        <f>Weekly_Inspections!$E268</f>
        <v/>
      </c>
      <c r="D268" s="30">
        <f>Weekly_Inspections!$F268</f>
        <v/>
      </c>
      <c r="E268" s="28">
        <f>Weekly_Inspections!$H268</f>
        <v/>
      </c>
      <c r="F268" s="30">
        <f>IF(Weekly_Inspections!$AX268&lt;&gt;"",Weekly_Inspections!$AX268,IF(Weekly_Inspections!$AY268&lt;&gt;"",Weekly_Inspections!$AY268,IF(Weekly_Inspections!$AZ268&lt;&gt;"",Weekly_Inspections!$AZ268,IF(Weekly_Inspections!$BA268&lt;&gt;"",Weekly_Inspections!$BA268,IF(Weekly_Inspections!$BB268&lt;&gt;"",Weekly_Inspections!$BB268,Weekly_Inspections!$R268)))))</f>
        <v/>
      </c>
      <c r="G268" s="30">
        <f>IF(OR(Weekly_Inspections!$AQ268&lt;&gt;"",Weekly_Inspections!$AR268&lt;&gt;"",Weekly_Inspections!$AS268&lt;&gt;""),Weekly_Inspections!$AQ268,"")</f>
        <v/>
      </c>
      <c r="H268" s="30">
        <f>Weekly_Inspections!$AP268</f>
        <v/>
      </c>
      <c r="I268" s="30">
        <f>Weekly_Inspections!$AR268</f>
        <v/>
      </c>
      <c r="J268" s="30">
        <f>Weekly_Inspections!$AS268</f>
        <v/>
      </c>
      <c r="K268" s="30">
        <f>Weekly_Inspections!$AU268</f>
        <v/>
      </c>
      <c r="L268" s="46">
        <f>Weekly_Inspections!$AV268</f>
        <v/>
      </c>
      <c r="M268" s="30">
        <f>IF($B268="","",IF($N268&lt;&gt;"","Closed",IF(OR($G268&lt;&gt;"",$I268&lt;&gt;"",$J268&lt;&gt;""),"Open","")))</f>
        <v/>
      </c>
      <c r="N268" s="46" t="n"/>
      <c r="O268" s="28">
        <f>IF($B268="","",IF($M268="Closed",IF($N268="","",$N268-$B268),TODAY()-$B268))</f>
        <v/>
      </c>
      <c r="P268" s="28">
        <f>IF(OR($B268="",$L268="",$M268="Closed"),"",IF(TODAY()&gt;$L268,"YES","NO"))</f>
        <v/>
      </c>
      <c r="Q268" s="30">
        <f>Weekly_Inspections!$AW268</f>
        <v/>
      </c>
    </row>
    <row r="269" ht="15" customHeight="1" s="45">
      <c r="A269" s="28">
        <f>IF(Weekly_Inspections!$B269="","",Weekly_Inspections!$A269&amp;"-A1")</f>
        <v/>
      </c>
      <c r="B269" s="46">
        <f>Weekly_Inspections!$B269</f>
        <v/>
      </c>
      <c r="C269" s="30">
        <f>Weekly_Inspections!$E269</f>
        <v/>
      </c>
      <c r="D269" s="30">
        <f>Weekly_Inspections!$F269</f>
        <v/>
      </c>
      <c r="E269" s="28">
        <f>Weekly_Inspections!$H269</f>
        <v/>
      </c>
      <c r="F269" s="30">
        <f>IF(Weekly_Inspections!$AX269&lt;&gt;"",Weekly_Inspections!$AX269,IF(Weekly_Inspections!$AY269&lt;&gt;"",Weekly_Inspections!$AY269,IF(Weekly_Inspections!$AZ269&lt;&gt;"",Weekly_Inspections!$AZ269,IF(Weekly_Inspections!$BA269&lt;&gt;"",Weekly_Inspections!$BA269,IF(Weekly_Inspections!$BB269&lt;&gt;"",Weekly_Inspections!$BB269,Weekly_Inspections!$R269)))))</f>
        <v/>
      </c>
      <c r="G269" s="30">
        <f>IF(OR(Weekly_Inspections!$AQ269&lt;&gt;"",Weekly_Inspections!$AR269&lt;&gt;"",Weekly_Inspections!$AS269&lt;&gt;""),Weekly_Inspections!$AQ269,"")</f>
        <v/>
      </c>
      <c r="H269" s="30">
        <f>Weekly_Inspections!$AP269</f>
        <v/>
      </c>
      <c r="I269" s="30">
        <f>Weekly_Inspections!$AR269</f>
        <v/>
      </c>
      <c r="J269" s="30">
        <f>Weekly_Inspections!$AS269</f>
        <v/>
      </c>
      <c r="K269" s="30">
        <f>Weekly_Inspections!$AU269</f>
        <v/>
      </c>
      <c r="L269" s="46">
        <f>Weekly_Inspections!$AV269</f>
        <v/>
      </c>
      <c r="M269" s="30">
        <f>IF($B269="","",IF($N269&lt;&gt;"","Closed",IF(OR($G269&lt;&gt;"",$I269&lt;&gt;"",$J269&lt;&gt;""),"Open","")))</f>
        <v/>
      </c>
      <c r="N269" s="46" t="n"/>
      <c r="O269" s="28">
        <f>IF($B269="","",IF($M269="Closed",IF($N269="","",$N269-$B269),TODAY()-$B269))</f>
        <v/>
      </c>
      <c r="P269" s="28">
        <f>IF(OR($B269="",$L269="",$M269="Closed"),"",IF(TODAY()&gt;$L269,"YES","NO"))</f>
        <v/>
      </c>
      <c r="Q269" s="30">
        <f>Weekly_Inspections!$AW269</f>
        <v/>
      </c>
    </row>
    <row r="270" ht="15" customHeight="1" s="45">
      <c r="A270" s="28">
        <f>IF(Weekly_Inspections!$B270="","",Weekly_Inspections!$A270&amp;"-A1")</f>
        <v/>
      </c>
      <c r="B270" s="46">
        <f>Weekly_Inspections!$B270</f>
        <v/>
      </c>
      <c r="C270" s="30">
        <f>Weekly_Inspections!$E270</f>
        <v/>
      </c>
      <c r="D270" s="30">
        <f>Weekly_Inspections!$F270</f>
        <v/>
      </c>
      <c r="E270" s="28">
        <f>Weekly_Inspections!$H270</f>
        <v/>
      </c>
      <c r="F270" s="30">
        <f>IF(Weekly_Inspections!$AX270&lt;&gt;"",Weekly_Inspections!$AX270,IF(Weekly_Inspections!$AY270&lt;&gt;"",Weekly_Inspections!$AY270,IF(Weekly_Inspections!$AZ270&lt;&gt;"",Weekly_Inspections!$AZ270,IF(Weekly_Inspections!$BA270&lt;&gt;"",Weekly_Inspections!$BA270,IF(Weekly_Inspections!$BB270&lt;&gt;"",Weekly_Inspections!$BB270,Weekly_Inspections!$R270)))))</f>
        <v/>
      </c>
      <c r="G270" s="30">
        <f>IF(OR(Weekly_Inspections!$AQ270&lt;&gt;"",Weekly_Inspections!$AR270&lt;&gt;"",Weekly_Inspections!$AS270&lt;&gt;""),Weekly_Inspections!$AQ270,"")</f>
        <v/>
      </c>
      <c r="H270" s="30">
        <f>Weekly_Inspections!$AP270</f>
        <v/>
      </c>
      <c r="I270" s="30">
        <f>Weekly_Inspections!$AR270</f>
        <v/>
      </c>
      <c r="J270" s="30">
        <f>Weekly_Inspections!$AS270</f>
        <v/>
      </c>
      <c r="K270" s="30">
        <f>Weekly_Inspections!$AU270</f>
        <v/>
      </c>
      <c r="L270" s="46">
        <f>Weekly_Inspections!$AV270</f>
        <v/>
      </c>
      <c r="M270" s="30">
        <f>IF($B270="","",IF($N270&lt;&gt;"","Closed",IF(OR($G270&lt;&gt;"",$I270&lt;&gt;"",$J270&lt;&gt;""),"Open","")))</f>
        <v/>
      </c>
      <c r="N270" s="46" t="n"/>
      <c r="O270" s="28">
        <f>IF($B270="","",IF($M270="Closed",IF($N270="","",$N270-$B270),TODAY()-$B270))</f>
        <v/>
      </c>
      <c r="P270" s="28">
        <f>IF(OR($B270="",$L270="",$M270="Closed"),"",IF(TODAY()&gt;$L270,"YES","NO"))</f>
        <v/>
      </c>
      <c r="Q270" s="30">
        <f>Weekly_Inspections!$AW270</f>
        <v/>
      </c>
    </row>
    <row r="271" ht="15" customHeight="1" s="45">
      <c r="A271" s="28">
        <f>IF(Weekly_Inspections!$B271="","",Weekly_Inspections!$A271&amp;"-A1")</f>
        <v/>
      </c>
      <c r="B271" s="46">
        <f>Weekly_Inspections!$B271</f>
        <v/>
      </c>
      <c r="C271" s="30">
        <f>Weekly_Inspections!$E271</f>
        <v/>
      </c>
      <c r="D271" s="30">
        <f>Weekly_Inspections!$F271</f>
        <v/>
      </c>
      <c r="E271" s="28">
        <f>Weekly_Inspections!$H271</f>
        <v/>
      </c>
      <c r="F271" s="30">
        <f>IF(Weekly_Inspections!$AX271&lt;&gt;"",Weekly_Inspections!$AX271,IF(Weekly_Inspections!$AY271&lt;&gt;"",Weekly_Inspections!$AY271,IF(Weekly_Inspections!$AZ271&lt;&gt;"",Weekly_Inspections!$AZ271,IF(Weekly_Inspections!$BA271&lt;&gt;"",Weekly_Inspections!$BA271,IF(Weekly_Inspections!$BB271&lt;&gt;"",Weekly_Inspections!$BB271,Weekly_Inspections!$R271)))))</f>
        <v/>
      </c>
      <c r="G271" s="30">
        <f>IF(OR(Weekly_Inspections!$AQ271&lt;&gt;"",Weekly_Inspections!$AR271&lt;&gt;"",Weekly_Inspections!$AS271&lt;&gt;""),Weekly_Inspections!$AQ271,"")</f>
        <v/>
      </c>
      <c r="H271" s="30">
        <f>Weekly_Inspections!$AP271</f>
        <v/>
      </c>
      <c r="I271" s="30">
        <f>Weekly_Inspections!$AR271</f>
        <v/>
      </c>
      <c r="J271" s="30">
        <f>Weekly_Inspections!$AS271</f>
        <v/>
      </c>
      <c r="K271" s="30">
        <f>Weekly_Inspections!$AU271</f>
        <v/>
      </c>
      <c r="L271" s="46">
        <f>Weekly_Inspections!$AV271</f>
        <v/>
      </c>
      <c r="M271" s="30">
        <f>IF($B271="","",IF($N271&lt;&gt;"","Closed",IF(OR($G271&lt;&gt;"",$I271&lt;&gt;"",$J271&lt;&gt;""),"Open","")))</f>
        <v/>
      </c>
      <c r="N271" s="46" t="n"/>
      <c r="O271" s="28">
        <f>IF($B271="","",IF($M271="Closed",IF($N271="","",$N271-$B271),TODAY()-$B271))</f>
        <v/>
      </c>
      <c r="P271" s="28">
        <f>IF(OR($B271="",$L271="",$M271="Closed"),"",IF(TODAY()&gt;$L271,"YES","NO"))</f>
        <v/>
      </c>
      <c r="Q271" s="30">
        <f>Weekly_Inspections!$AW271</f>
        <v/>
      </c>
    </row>
    <row r="272" ht="15" customHeight="1" s="45">
      <c r="A272" s="28">
        <f>IF(Weekly_Inspections!$B272="","",Weekly_Inspections!$A272&amp;"-A1")</f>
        <v/>
      </c>
      <c r="B272" s="46">
        <f>Weekly_Inspections!$B272</f>
        <v/>
      </c>
      <c r="C272" s="30">
        <f>Weekly_Inspections!$E272</f>
        <v/>
      </c>
      <c r="D272" s="30">
        <f>Weekly_Inspections!$F272</f>
        <v/>
      </c>
      <c r="E272" s="28">
        <f>Weekly_Inspections!$H272</f>
        <v/>
      </c>
      <c r="F272" s="30">
        <f>IF(Weekly_Inspections!$AX272&lt;&gt;"",Weekly_Inspections!$AX272,IF(Weekly_Inspections!$AY272&lt;&gt;"",Weekly_Inspections!$AY272,IF(Weekly_Inspections!$AZ272&lt;&gt;"",Weekly_Inspections!$AZ272,IF(Weekly_Inspections!$BA272&lt;&gt;"",Weekly_Inspections!$BA272,IF(Weekly_Inspections!$BB272&lt;&gt;"",Weekly_Inspections!$BB272,Weekly_Inspections!$R272)))))</f>
        <v/>
      </c>
      <c r="G272" s="30">
        <f>IF(OR(Weekly_Inspections!$AQ272&lt;&gt;"",Weekly_Inspections!$AR272&lt;&gt;"",Weekly_Inspections!$AS272&lt;&gt;""),Weekly_Inspections!$AQ272,"")</f>
        <v/>
      </c>
      <c r="H272" s="30">
        <f>Weekly_Inspections!$AP272</f>
        <v/>
      </c>
      <c r="I272" s="30">
        <f>Weekly_Inspections!$AR272</f>
        <v/>
      </c>
      <c r="J272" s="30">
        <f>Weekly_Inspections!$AS272</f>
        <v/>
      </c>
      <c r="K272" s="30">
        <f>Weekly_Inspections!$AU272</f>
        <v/>
      </c>
      <c r="L272" s="46">
        <f>Weekly_Inspections!$AV272</f>
        <v/>
      </c>
      <c r="M272" s="30">
        <f>IF($B272="","",IF($N272&lt;&gt;"","Closed",IF(OR($G272&lt;&gt;"",$I272&lt;&gt;"",$J272&lt;&gt;""),"Open","")))</f>
        <v/>
      </c>
      <c r="N272" s="46" t="n"/>
      <c r="O272" s="28">
        <f>IF($B272="","",IF($M272="Closed",IF($N272="","",$N272-$B272),TODAY()-$B272))</f>
        <v/>
      </c>
      <c r="P272" s="28">
        <f>IF(OR($B272="",$L272="",$M272="Closed"),"",IF(TODAY()&gt;$L272,"YES","NO"))</f>
        <v/>
      </c>
      <c r="Q272" s="30">
        <f>Weekly_Inspections!$AW272</f>
        <v/>
      </c>
    </row>
    <row r="273" ht="15" customHeight="1" s="45">
      <c r="A273" s="28">
        <f>IF(Weekly_Inspections!$B273="","",Weekly_Inspections!$A273&amp;"-A1")</f>
        <v/>
      </c>
      <c r="B273" s="46">
        <f>Weekly_Inspections!$B273</f>
        <v/>
      </c>
      <c r="C273" s="30">
        <f>Weekly_Inspections!$E273</f>
        <v/>
      </c>
      <c r="D273" s="30">
        <f>Weekly_Inspections!$F273</f>
        <v/>
      </c>
      <c r="E273" s="28">
        <f>Weekly_Inspections!$H273</f>
        <v/>
      </c>
      <c r="F273" s="30">
        <f>IF(Weekly_Inspections!$AX273&lt;&gt;"",Weekly_Inspections!$AX273,IF(Weekly_Inspections!$AY273&lt;&gt;"",Weekly_Inspections!$AY273,IF(Weekly_Inspections!$AZ273&lt;&gt;"",Weekly_Inspections!$AZ273,IF(Weekly_Inspections!$BA273&lt;&gt;"",Weekly_Inspections!$BA273,IF(Weekly_Inspections!$BB273&lt;&gt;"",Weekly_Inspections!$BB273,Weekly_Inspections!$R273)))))</f>
        <v/>
      </c>
      <c r="G273" s="30">
        <f>IF(OR(Weekly_Inspections!$AQ273&lt;&gt;"",Weekly_Inspections!$AR273&lt;&gt;"",Weekly_Inspections!$AS273&lt;&gt;""),Weekly_Inspections!$AQ273,"")</f>
        <v/>
      </c>
      <c r="H273" s="30">
        <f>Weekly_Inspections!$AP273</f>
        <v/>
      </c>
      <c r="I273" s="30">
        <f>Weekly_Inspections!$AR273</f>
        <v/>
      </c>
      <c r="J273" s="30">
        <f>Weekly_Inspections!$AS273</f>
        <v/>
      </c>
      <c r="K273" s="30">
        <f>Weekly_Inspections!$AU273</f>
        <v/>
      </c>
      <c r="L273" s="46">
        <f>Weekly_Inspections!$AV273</f>
        <v/>
      </c>
      <c r="M273" s="30">
        <f>IF($B273="","",IF($N273&lt;&gt;"","Closed",IF(OR($G273&lt;&gt;"",$I273&lt;&gt;"",$J273&lt;&gt;""),"Open","")))</f>
        <v/>
      </c>
      <c r="N273" s="46" t="n"/>
      <c r="O273" s="28">
        <f>IF($B273="","",IF($M273="Closed",IF($N273="","",$N273-$B273),TODAY()-$B273))</f>
        <v/>
      </c>
      <c r="P273" s="28">
        <f>IF(OR($B273="",$L273="",$M273="Closed"),"",IF(TODAY()&gt;$L273,"YES","NO"))</f>
        <v/>
      </c>
      <c r="Q273" s="30">
        <f>Weekly_Inspections!$AW273</f>
        <v/>
      </c>
    </row>
    <row r="274" ht="15" customHeight="1" s="45">
      <c r="A274" s="28">
        <f>IF(Weekly_Inspections!$B274="","",Weekly_Inspections!$A274&amp;"-A1")</f>
        <v/>
      </c>
      <c r="B274" s="46">
        <f>Weekly_Inspections!$B274</f>
        <v/>
      </c>
      <c r="C274" s="30">
        <f>Weekly_Inspections!$E274</f>
        <v/>
      </c>
      <c r="D274" s="30">
        <f>Weekly_Inspections!$F274</f>
        <v/>
      </c>
      <c r="E274" s="28">
        <f>Weekly_Inspections!$H274</f>
        <v/>
      </c>
      <c r="F274" s="30">
        <f>IF(Weekly_Inspections!$AX274&lt;&gt;"",Weekly_Inspections!$AX274,IF(Weekly_Inspections!$AY274&lt;&gt;"",Weekly_Inspections!$AY274,IF(Weekly_Inspections!$AZ274&lt;&gt;"",Weekly_Inspections!$AZ274,IF(Weekly_Inspections!$BA274&lt;&gt;"",Weekly_Inspections!$BA274,IF(Weekly_Inspections!$BB274&lt;&gt;"",Weekly_Inspections!$BB274,Weekly_Inspections!$R274)))))</f>
        <v/>
      </c>
      <c r="G274" s="30">
        <f>IF(OR(Weekly_Inspections!$AQ274&lt;&gt;"",Weekly_Inspections!$AR274&lt;&gt;"",Weekly_Inspections!$AS274&lt;&gt;""),Weekly_Inspections!$AQ274,"")</f>
        <v/>
      </c>
      <c r="H274" s="30">
        <f>Weekly_Inspections!$AP274</f>
        <v/>
      </c>
      <c r="I274" s="30">
        <f>Weekly_Inspections!$AR274</f>
        <v/>
      </c>
      <c r="J274" s="30">
        <f>Weekly_Inspections!$AS274</f>
        <v/>
      </c>
      <c r="K274" s="30">
        <f>Weekly_Inspections!$AU274</f>
        <v/>
      </c>
      <c r="L274" s="46">
        <f>Weekly_Inspections!$AV274</f>
        <v/>
      </c>
      <c r="M274" s="30">
        <f>IF($B274="","",IF($N274&lt;&gt;"","Closed",IF(OR($G274&lt;&gt;"",$I274&lt;&gt;"",$J274&lt;&gt;""),"Open","")))</f>
        <v/>
      </c>
      <c r="N274" s="46" t="n"/>
      <c r="O274" s="28">
        <f>IF($B274="","",IF($M274="Closed",IF($N274="","",$N274-$B274),TODAY()-$B274))</f>
        <v/>
      </c>
      <c r="P274" s="28">
        <f>IF(OR($B274="",$L274="",$M274="Closed"),"",IF(TODAY()&gt;$L274,"YES","NO"))</f>
        <v/>
      </c>
      <c r="Q274" s="30">
        <f>Weekly_Inspections!$AW274</f>
        <v/>
      </c>
    </row>
    <row r="275" ht="15" customHeight="1" s="45">
      <c r="A275" s="28">
        <f>IF(Weekly_Inspections!$B275="","",Weekly_Inspections!$A275&amp;"-A1")</f>
        <v/>
      </c>
      <c r="B275" s="46">
        <f>Weekly_Inspections!$B275</f>
        <v/>
      </c>
      <c r="C275" s="30">
        <f>Weekly_Inspections!$E275</f>
        <v/>
      </c>
      <c r="D275" s="30">
        <f>Weekly_Inspections!$F275</f>
        <v/>
      </c>
      <c r="E275" s="28">
        <f>Weekly_Inspections!$H275</f>
        <v/>
      </c>
      <c r="F275" s="30">
        <f>IF(Weekly_Inspections!$AX275&lt;&gt;"",Weekly_Inspections!$AX275,IF(Weekly_Inspections!$AY275&lt;&gt;"",Weekly_Inspections!$AY275,IF(Weekly_Inspections!$AZ275&lt;&gt;"",Weekly_Inspections!$AZ275,IF(Weekly_Inspections!$BA275&lt;&gt;"",Weekly_Inspections!$BA275,IF(Weekly_Inspections!$BB275&lt;&gt;"",Weekly_Inspections!$BB275,Weekly_Inspections!$R275)))))</f>
        <v/>
      </c>
      <c r="G275" s="30">
        <f>IF(OR(Weekly_Inspections!$AQ275&lt;&gt;"",Weekly_Inspections!$AR275&lt;&gt;"",Weekly_Inspections!$AS275&lt;&gt;""),Weekly_Inspections!$AQ275,"")</f>
        <v/>
      </c>
      <c r="H275" s="30">
        <f>Weekly_Inspections!$AP275</f>
        <v/>
      </c>
      <c r="I275" s="30">
        <f>Weekly_Inspections!$AR275</f>
        <v/>
      </c>
      <c r="J275" s="30">
        <f>Weekly_Inspections!$AS275</f>
        <v/>
      </c>
      <c r="K275" s="30">
        <f>Weekly_Inspections!$AU275</f>
        <v/>
      </c>
      <c r="L275" s="46">
        <f>Weekly_Inspections!$AV275</f>
        <v/>
      </c>
      <c r="M275" s="30">
        <f>IF($B275="","",IF($N275&lt;&gt;"","Closed",IF(OR($G275&lt;&gt;"",$I275&lt;&gt;"",$J275&lt;&gt;""),"Open","")))</f>
        <v/>
      </c>
      <c r="N275" s="46" t="n"/>
      <c r="O275" s="28">
        <f>IF($B275="","",IF($M275="Closed",IF($N275="","",$N275-$B275),TODAY()-$B275))</f>
        <v/>
      </c>
      <c r="P275" s="28">
        <f>IF(OR($B275="",$L275="",$M275="Closed"),"",IF(TODAY()&gt;$L275,"YES","NO"))</f>
        <v/>
      </c>
      <c r="Q275" s="30">
        <f>Weekly_Inspections!$AW275</f>
        <v/>
      </c>
    </row>
    <row r="276" ht="15" customHeight="1" s="45">
      <c r="A276" s="28">
        <f>IF(Weekly_Inspections!$B276="","",Weekly_Inspections!$A276&amp;"-A1")</f>
        <v/>
      </c>
      <c r="B276" s="46">
        <f>Weekly_Inspections!$B276</f>
        <v/>
      </c>
      <c r="C276" s="30">
        <f>Weekly_Inspections!$E276</f>
        <v/>
      </c>
      <c r="D276" s="30">
        <f>Weekly_Inspections!$F276</f>
        <v/>
      </c>
      <c r="E276" s="28">
        <f>Weekly_Inspections!$H276</f>
        <v/>
      </c>
      <c r="F276" s="30">
        <f>IF(Weekly_Inspections!$AX276&lt;&gt;"",Weekly_Inspections!$AX276,IF(Weekly_Inspections!$AY276&lt;&gt;"",Weekly_Inspections!$AY276,IF(Weekly_Inspections!$AZ276&lt;&gt;"",Weekly_Inspections!$AZ276,IF(Weekly_Inspections!$BA276&lt;&gt;"",Weekly_Inspections!$BA276,IF(Weekly_Inspections!$BB276&lt;&gt;"",Weekly_Inspections!$BB276,Weekly_Inspections!$R276)))))</f>
        <v/>
      </c>
      <c r="G276" s="30">
        <f>IF(OR(Weekly_Inspections!$AQ276&lt;&gt;"",Weekly_Inspections!$AR276&lt;&gt;"",Weekly_Inspections!$AS276&lt;&gt;""),Weekly_Inspections!$AQ276,"")</f>
        <v/>
      </c>
      <c r="H276" s="30">
        <f>Weekly_Inspections!$AP276</f>
        <v/>
      </c>
      <c r="I276" s="30">
        <f>Weekly_Inspections!$AR276</f>
        <v/>
      </c>
      <c r="J276" s="30">
        <f>Weekly_Inspections!$AS276</f>
        <v/>
      </c>
      <c r="K276" s="30">
        <f>Weekly_Inspections!$AU276</f>
        <v/>
      </c>
      <c r="L276" s="46">
        <f>Weekly_Inspections!$AV276</f>
        <v/>
      </c>
      <c r="M276" s="30">
        <f>IF($B276="","",IF($N276&lt;&gt;"","Closed",IF(OR($G276&lt;&gt;"",$I276&lt;&gt;"",$J276&lt;&gt;""),"Open","")))</f>
        <v/>
      </c>
      <c r="N276" s="46" t="n"/>
      <c r="O276" s="28">
        <f>IF($B276="","",IF($M276="Closed",IF($N276="","",$N276-$B276),TODAY()-$B276))</f>
        <v/>
      </c>
      <c r="P276" s="28">
        <f>IF(OR($B276="",$L276="",$M276="Closed"),"",IF(TODAY()&gt;$L276,"YES","NO"))</f>
        <v/>
      </c>
      <c r="Q276" s="30">
        <f>Weekly_Inspections!$AW276</f>
        <v/>
      </c>
    </row>
    <row r="277" ht="15" customHeight="1" s="45">
      <c r="A277" s="28">
        <f>IF(Weekly_Inspections!$B277="","",Weekly_Inspections!$A277&amp;"-A1")</f>
        <v/>
      </c>
      <c r="B277" s="46">
        <f>Weekly_Inspections!$B277</f>
        <v/>
      </c>
      <c r="C277" s="30">
        <f>Weekly_Inspections!$E277</f>
        <v/>
      </c>
      <c r="D277" s="30">
        <f>Weekly_Inspections!$F277</f>
        <v/>
      </c>
      <c r="E277" s="28">
        <f>Weekly_Inspections!$H277</f>
        <v/>
      </c>
      <c r="F277" s="30">
        <f>IF(Weekly_Inspections!$AX277&lt;&gt;"",Weekly_Inspections!$AX277,IF(Weekly_Inspections!$AY277&lt;&gt;"",Weekly_Inspections!$AY277,IF(Weekly_Inspections!$AZ277&lt;&gt;"",Weekly_Inspections!$AZ277,IF(Weekly_Inspections!$BA277&lt;&gt;"",Weekly_Inspections!$BA277,IF(Weekly_Inspections!$BB277&lt;&gt;"",Weekly_Inspections!$BB277,Weekly_Inspections!$R277)))))</f>
        <v/>
      </c>
      <c r="G277" s="30">
        <f>IF(OR(Weekly_Inspections!$AQ277&lt;&gt;"",Weekly_Inspections!$AR277&lt;&gt;"",Weekly_Inspections!$AS277&lt;&gt;""),Weekly_Inspections!$AQ277,"")</f>
        <v/>
      </c>
      <c r="H277" s="30">
        <f>Weekly_Inspections!$AP277</f>
        <v/>
      </c>
      <c r="I277" s="30">
        <f>Weekly_Inspections!$AR277</f>
        <v/>
      </c>
      <c r="J277" s="30">
        <f>Weekly_Inspections!$AS277</f>
        <v/>
      </c>
      <c r="K277" s="30">
        <f>Weekly_Inspections!$AU277</f>
        <v/>
      </c>
      <c r="L277" s="46">
        <f>Weekly_Inspections!$AV277</f>
        <v/>
      </c>
      <c r="M277" s="30">
        <f>IF($B277="","",IF($N277&lt;&gt;"","Closed",IF(OR($G277&lt;&gt;"",$I277&lt;&gt;"",$J277&lt;&gt;""),"Open","")))</f>
        <v/>
      </c>
      <c r="N277" s="46" t="n"/>
      <c r="O277" s="28">
        <f>IF($B277="","",IF($M277="Closed",IF($N277="","",$N277-$B277),TODAY()-$B277))</f>
        <v/>
      </c>
      <c r="P277" s="28">
        <f>IF(OR($B277="",$L277="",$M277="Closed"),"",IF(TODAY()&gt;$L277,"YES","NO"))</f>
        <v/>
      </c>
      <c r="Q277" s="30">
        <f>Weekly_Inspections!$AW277</f>
        <v/>
      </c>
    </row>
    <row r="278" ht="15" customHeight="1" s="45">
      <c r="A278" s="28">
        <f>IF(Weekly_Inspections!$B278="","",Weekly_Inspections!$A278&amp;"-A1")</f>
        <v/>
      </c>
      <c r="B278" s="46">
        <f>Weekly_Inspections!$B278</f>
        <v/>
      </c>
      <c r="C278" s="30">
        <f>Weekly_Inspections!$E278</f>
        <v/>
      </c>
      <c r="D278" s="30">
        <f>Weekly_Inspections!$F278</f>
        <v/>
      </c>
      <c r="E278" s="28">
        <f>Weekly_Inspections!$H278</f>
        <v/>
      </c>
      <c r="F278" s="30">
        <f>IF(Weekly_Inspections!$AX278&lt;&gt;"",Weekly_Inspections!$AX278,IF(Weekly_Inspections!$AY278&lt;&gt;"",Weekly_Inspections!$AY278,IF(Weekly_Inspections!$AZ278&lt;&gt;"",Weekly_Inspections!$AZ278,IF(Weekly_Inspections!$BA278&lt;&gt;"",Weekly_Inspections!$BA278,IF(Weekly_Inspections!$BB278&lt;&gt;"",Weekly_Inspections!$BB278,Weekly_Inspections!$R278)))))</f>
        <v/>
      </c>
      <c r="G278" s="30">
        <f>IF(OR(Weekly_Inspections!$AQ278&lt;&gt;"",Weekly_Inspections!$AR278&lt;&gt;"",Weekly_Inspections!$AS278&lt;&gt;""),Weekly_Inspections!$AQ278,"")</f>
        <v/>
      </c>
      <c r="H278" s="30">
        <f>Weekly_Inspections!$AP278</f>
        <v/>
      </c>
      <c r="I278" s="30">
        <f>Weekly_Inspections!$AR278</f>
        <v/>
      </c>
      <c r="J278" s="30">
        <f>Weekly_Inspections!$AS278</f>
        <v/>
      </c>
      <c r="K278" s="30">
        <f>Weekly_Inspections!$AU278</f>
        <v/>
      </c>
      <c r="L278" s="46">
        <f>Weekly_Inspections!$AV278</f>
        <v/>
      </c>
      <c r="M278" s="30">
        <f>IF($B278="","",IF($N278&lt;&gt;"","Closed",IF(OR($G278&lt;&gt;"",$I278&lt;&gt;"",$J278&lt;&gt;""),"Open","")))</f>
        <v/>
      </c>
      <c r="N278" s="46" t="n"/>
      <c r="O278" s="28">
        <f>IF($B278="","",IF($M278="Closed",IF($N278="","",$N278-$B278),TODAY()-$B278))</f>
        <v/>
      </c>
      <c r="P278" s="28">
        <f>IF(OR($B278="",$L278="",$M278="Closed"),"",IF(TODAY()&gt;$L278,"YES","NO"))</f>
        <v/>
      </c>
      <c r="Q278" s="30">
        <f>Weekly_Inspections!$AW278</f>
        <v/>
      </c>
    </row>
    <row r="279" ht="15" customHeight="1" s="45">
      <c r="A279" s="28">
        <f>IF(Weekly_Inspections!$B279="","",Weekly_Inspections!$A279&amp;"-A1")</f>
        <v/>
      </c>
      <c r="B279" s="46">
        <f>Weekly_Inspections!$B279</f>
        <v/>
      </c>
      <c r="C279" s="30">
        <f>Weekly_Inspections!$E279</f>
        <v/>
      </c>
      <c r="D279" s="30">
        <f>Weekly_Inspections!$F279</f>
        <v/>
      </c>
      <c r="E279" s="28">
        <f>Weekly_Inspections!$H279</f>
        <v/>
      </c>
      <c r="F279" s="30">
        <f>IF(Weekly_Inspections!$AX279&lt;&gt;"",Weekly_Inspections!$AX279,IF(Weekly_Inspections!$AY279&lt;&gt;"",Weekly_Inspections!$AY279,IF(Weekly_Inspections!$AZ279&lt;&gt;"",Weekly_Inspections!$AZ279,IF(Weekly_Inspections!$BA279&lt;&gt;"",Weekly_Inspections!$BA279,IF(Weekly_Inspections!$BB279&lt;&gt;"",Weekly_Inspections!$BB279,Weekly_Inspections!$R279)))))</f>
        <v/>
      </c>
      <c r="G279" s="30">
        <f>IF(OR(Weekly_Inspections!$AQ279&lt;&gt;"",Weekly_Inspections!$AR279&lt;&gt;"",Weekly_Inspections!$AS279&lt;&gt;""),Weekly_Inspections!$AQ279,"")</f>
        <v/>
      </c>
      <c r="H279" s="30">
        <f>Weekly_Inspections!$AP279</f>
        <v/>
      </c>
      <c r="I279" s="30">
        <f>Weekly_Inspections!$AR279</f>
        <v/>
      </c>
      <c r="J279" s="30">
        <f>Weekly_Inspections!$AS279</f>
        <v/>
      </c>
      <c r="K279" s="30">
        <f>Weekly_Inspections!$AU279</f>
        <v/>
      </c>
      <c r="L279" s="46">
        <f>Weekly_Inspections!$AV279</f>
        <v/>
      </c>
      <c r="M279" s="30">
        <f>IF($B279="","",IF($N279&lt;&gt;"","Closed",IF(OR($G279&lt;&gt;"",$I279&lt;&gt;"",$J279&lt;&gt;""),"Open","")))</f>
        <v/>
      </c>
      <c r="N279" s="46" t="n"/>
      <c r="O279" s="28">
        <f>IF($B279="","",IF($M279="Closed",IF($N279="","",$N279-$B279),TODAY()-$B279))</f>
        <v/>
      </c>
      <c r="P279" s="28">
        <f>IF(OR($B279="",$L279="",$M279="Closed"),"",IF(TODAY()&gt;$L279,"YES","NO"))</f>
        <v/>
      </c>
      <c r="Q279" s="30">
        <f>Weekly_Inspections!$AW279</f>
        <v/>
      </c>
    </row>
    <row r="280" ht="15" customHeight="1" s="45">
      <c r="A280" s="28">
        <f>IF(Weekly_Inspections!$B280="","",Weekly_Inspections!$A280&amp;"-A1")</f>
        <v/>
      </c>
      <c r="B280" s="46">
        <f>Weekly_Inspections!$B280</f>
        <v/>
      </c>
      <c r="C280" s="30">
        <f>Weekly_Inspections!$E280</f>
        <v/>
      </c>
      <c r="D280" s="30">
        <f>Weekly_Inspections!$F280</f>
        <v/>
      </c>
      <c r="E280" s="28">
        <f>Weekly_Inspections!$H280</f>
        <v/>
      </c>
      <c r="F280" s="30">
        <f>IF(Weekly_Inspections!$AX280&lt;&gt;"",Weekly_Inspections!$AX280,IF(Weekly_Inspections!$AY280&lt;&gt;"",Weekly_Inspections!$AY280,IF(Weekly_Inspections!$AZ280&lt;&gt;"",Weekly_Inspections!$AZ280,IF(Weekly_Inspections!$BA280&lt;&gt;"",Weekly_Inspections!$BA280,IF(Weekly_Inspections!$BB280&lt;&gt;"",Weekly_Inspections!$BB280,Weekly_Inspections!$R280)))))</f>
        <v/>
      </c>
      <c r="G280" s="30">
        <f>IF(OR(Weekly_Inspections!$AQ280&lt;&gt;"",Weekly_Inspections!$AR280&lt;&gt;"",Weekly_Inspections!$AS280&lt;&gt;""),Weekly_Inspections!$AQ280,"")</f>
        <v/>
      </c>
      <c r="H280" s="30">
        <f>Weekly_Inspections!$AP280</f>
        <v/>
      </c>
      <c r="I280" s="30">
        <f>Weekly_Inspections!$AR280</f>
        <v/>
      </c>
      <c r="J280" s="30">
        <f>Weekly_Inspections!$AS280</f>
        <v/>
      </c>
      <c r="K280" s="30">
        <f>Weekly_Inspections!$AU280</f>
        <v/>
      </c>
      <c r="L280" s="46">
        <f>Weekly_Inspections!$AV280</f>
        <v/>
      </c>
      <c r="M280" s="30">
        <f>IF($B280="","",IF($N280&lt;&gt;"","Closed",IF(OR($G280&lt;&gt;"",$I280&lt;&gt;"",$J280&lt;&gt;""),"Open","")))</f>
        <v/>
      </c>
      <c r="N280" s="46" t="n"/>
      <c r="O280" s="28">
        <f>IF($B280="","",IF($M280="Closed",IF($N280="","",$N280-$B280),TODAY()-$B280))</f>
        <v/>
      </c>
      <c r="P280" s="28">
        <f>IF(OR($B280="",$L280="",$M280="Closed"),"",IF(TODAY()&gt;$L280,"YES","NO"))</f>
        <v/>
      </c>
      <c r="Q280" s="30">
        <f>Weekly_Inspections!$AW280</f>
        <v/>
      </c>
    </row>
    <row r="281" ht="15" customHeight="1" s="45">
      <c r="A281" s="28">
        <f>IF(Weekly_Inspections!$B281="","",Weekly_Inspections!$A281&amp;"-A1")</f>
        <v/>
      </c>
      <c r="B281" s="46">
        <f>Weekly_Inspections!$B281</f>
        <v/>
      </c>
      <c r="C281" s="30">
        <f>Weekly_Inspections!$E281</f>
        <v/>
      </c>
      <c r="D281" s="30">
        <f>Weekly_Inspections!$F281</f>
        <v/>
      </c>
      <c r="E281" s="28">
        <f>Weekly_Inspections!$H281</f>
        <v/>
      </c>
      <c r="F281" s="30">
        <f>IF(Weekly_Inspections!$AX281&lt;&gt;"",Weekly_Inspections!$AX281,IF(Weekly_Inspections!$AY281&lt;&gt;"",Weekly_Inspections!$AY281,IF(Weekly_Inspections!$AZ281&lt;&gt;"",Weekly_Inspections!$AZ281,IF(Weekly_Inspections!$BA281&lt;&gt;"",Weekly_Inspections!$BA281,IF(Weekly_Inspections!$BB281&lt;&gt;"",Weekly_Inspections!$BB281,Weekly_Inspections!$R281)))))</f>
        <v/>
      </c>
      <c r="G281" s="30">
        <f>IF(OR(Weekly_Inspections!$AQ281&lt;&gt;"",Weekly_Inspections!$AR281&lt;&gt;"",Weekly_Inspections!$AS281&lt;&gt;""),Weekly_Inspections!$AQ281,"")</f>
        <v/>
      </c>
      <c r="H281" s="30">
        <f>Weekly_Inspections!$AP281</f>
        <v/>
      </c>
      <c r="I281" s="30">
        <f>Weekly_Inspections!$AR281</f>
        <v/>
      </c>
      <c r="J281" s="30">
        <f>Weekly_Inspections!$AS281</f>
        <v/>
      </c>
      <c r="K281" s="30">
        <f>Weekly_Inspections!$AU281</f>
        <v/>
      </c>
      <c r="L281" s="46">
        <f>Weekly_Inspections!$AV281</f>
        <v/>
      </c>
      <c r="M281" s="30">
        <f>IF($B281="","",IF($N281&lt;&gt;"","Closed",IF(OR($G281&lt;&gt;"",$I281&lt;&gt;"",$J281&lt;&gt;""),"Open","")))</f>
        <v/>
      </c>
      <c r="N281" s="46" t="n"/>
      <c r="O281" s="28">
        <f>IF($B281="","",IF($M281="Closed",IF($N281="","",$N281-$B281),TODAY()-$B281))</f>
        <v/>
      </c>
      <c r="P281" s="28">
        <f>IF(OR($B281="",$L281="",$M281="Closed"),"",IF(TODAY()&gt;$L281,"YES","NO"))</f>
        <v/>
      </c>
      <c r="Q281" s="30">
        <f>Weekly_Inspections!$AW281</f>
        <v/>
      </c>
    </row>
    <row r="282" ht="15" customHeight="1" s="45">
      <c r="A282" s="28">
        <f>IF(Weekly_Inspections!$B282="","",Weekly_Inspections!$A282&amp;"-A1")</f>
        <v/>
      </c>
      <c r="B282" s="46">
        <f>Weekly_Inspections!$B282</f>
        <v/>
      </c>
      <c r="C282" s="30">
        <f>Weekly_Inspections!$E282</f>
        <v/>
      </c>
      <c r="D282" s="30">
        <f>Weekly_Inspections!$F282</f>
        <v/>
      </c>
      <c r="E282" s="28">
        <f>Weekly_Inspections!$H282</f>
        <v/>
      </c>
      <c r="F282" s="30">
        <f>IF(Weekly_Inspections!$AX282&lt;&gt;"",Weekly_Inspections!$AX282,IF(Weekly_Inspections!$AY282&lt;&gt;"",Weekly_Inspections!$AY282,IF(Weekly_Inspections!$AZ282&lt;&gt;"",Weekly_Inspections!$AZ282,IF(Weekly_Inspections!$BA282&lt;&gt;"",Weekly_Inspections!$BA282,IF(Weekly_Inspections!$BB282&lt;&gt;"",Weekly_Inspections!$BB282,Weekly_Inspections!$R282)))))</f>
        <v/>
      </c>
      <c r="G282" s="30">
        <f>IF(OR(Weekly_Inspections!$AQ282&lt;&gt;"",Weekly_Inspections!$AR282&lt;&gt;"",Weekly_Inspections!$AS282&lt;&gt;""),Weekly_Inspections!$AQ282,"")</f>
        <v/>
      </c>
      <c r="H282" s="30">
        <f>Weekly_Inspections!$AP282</f>
        <v/>
      </c>
      <c r="I282" s="30">
        <f>Weekly_Inspections!$AR282</f>
        <v/>
      </c>
      <c r="J282" s="30">
        <f>Weekly_Inspections!$AS282</f>
        <v/>
      </c>
      <c r="K282" s="30">
        <f>Weekly_Inspections!$AU282</f>
        <v/>
      </c>
      <c r="L282" s="46">
        <f>Weekly_Inspections!$AV282</f>
        <v/>
      </c>
      <c r="M282" s="30">
        <f>IF($B282="","",IF($N282&lt;&gt;"","Closed",IF(OR($G282&lt;&gt;"",$I282&lt;&gt;"",$J282&lt;&gt;""),"Open","")))</f>
        <v/>
      </c>
      <c r="N282" s="46" t="n"/>
      <c r="O282" s="28">
        <f>IF($B282="","",IF($M282="Closed",IF($N282="","",$N282-$B282),TODAY()-$B282))</f>
        <v/>
      </c>
      <c r="P282" s="28">
        <f>IF(OR($B282="",$L282="",$M282="Closed"),"",IF(TODAY()&gt;$L282,"YES","NO"))</f>
        <v/>
      </c>
      <c r="Q282" s="30">
        <f>Weekly_Inspections!$AW282</f>
        <v/>
      </c>
    </row>
    <row r="283" ht="15" customHeight="1" s="45">
      <c r="A283" s="28">
        <f>IF(Weekly_Inspections!$B283="","",Weekly_Inspections!$A283&amp;"-A1")</f>
        <v/>
      </c>
      <c r="B283" s="46">
        <f>Weekly_Inspections!$B283</f>
        <v/>
      </c>
      <c r="C283" s="30">
        <f>Weekly_Inspections!$E283</f>
        <v/>
      </c>
      <c r="D283" s="30">
        <f>Weekly_Inspections!$F283</f>
        <v/>
      </c>
      <c r="E283" s="28">
        <f>Weekly_Inspections!$H283</f>
        <v/>
      </c>
      <c r="F283" s="30">
        <f>IF(Weekly_Inspections!$AX283&lt;&gt;"",Weekly_Inspections!$AX283,IF(Weekly_Inspections!$AY283&lt;&gt;"",Weekly_Inspections!$AY283,IF(Weekly_Inspections!$AZ283&lt;&gt;"",Weekly_Inspections!$AZ283,IF(Weekly_Inspections!$BA283&lt;&gt;"",Weekly_Inspections!$BA283,IF(Weekly_Inspections!$BB283&lt;&gt;"",Weekly_Inspections!$BB283,Weekly_Inspections!$R283)))))</f>
        <v/>
      </c>
      <c r="G283" s="30">
        <f>IF(OR(Weekly_Inspections!$AQ283&lt;&gt;"",Weekly_Inspections!$AR283&lt;&gt;"",Weekly_Inspections!$AS283&lt;&gt;""),Weekly_Inspections!$AQ283,"")</f>
        <v/>
      </c>
      <c r="H283" s="30">
        <f>Weekly_Inspections!$AP283</f>
        <v/>
      </c>
      <c r="I283" s="30">
        <f>Weekly_Inspections!$AR283</f>
        <v/>
      </c>
      <c r="J283" s="30">
        <f>Weekly_Inspections!$AS283</f>
        <v/>
      </c>
      <c r="K283" s="30">
        <f>Weekly_Inspections!$AU283</f>
        <v/>
      </c>
      <c r="L283" s="46">
        <f>Weekly_Inspections!$AV283</f>
        <v/>
      </c>
      <c r="M283" s="30">
        <f>IF($B283="","",IF($N283&lt;&gt;"","Closed",IF(OR($G283&lt;&gt;"",$I283&lt;&gt;"",$J283&lt;&gt;""),"Open","")))</f>
        <v/>
      </c>
      <c r="N283" s="46" t="n"/>
      <c r="O283" s="28">
        <f>IF($B283="","",IF($M283="Closed",IF($N283="","",$N283-$B283),TODAY()-$B283))</f>
        <v/>
      </c>
      <c r="P283" s="28">
        <f>IF(OR($B283="",$L283="",$M283="Closed"),"",IF(TODAY()&gt;$L283,"YES","NO"))</f>
        <v/>
      </c>
      <c r="Q283" s="30">
        <f>Weekly_Inspections!$AW283</f>
        <v/>
      </c>
    </row>
    <row r="284" ht="15" customHeight="1" s="45">
      <c r="A284" s="28">
        <f>IF(Weekly_Inspections!$B284="","",Weekly_Inspections!$A284&amp;"-A1")</f>
        <v/>
      </c>
      <c r="B284" s="46">
        <f>Weekly_Inspections!$B284</f>
        <v/>
      </c>
      <c r="C284" s="30">
        <f>Weekly_Inspections!$E284</f>
        <v/>
      </c>
      <c r="D284" s="30">
        <f>Weekly_Inspections!$F284</f>
        <v/>
      </c>
      <c r="E284" s="28">
        <f>Weekly_Inspections!$H284</f>
        <v/>
      </c>
      <c r="F284" s="30">
        <f>IF(Weekly_Inspections!$AX284&lt;&gt;"",Weekly_Inspections!$AX284,IF(Weekly_Inspections!$AY284&lt;&gt;"",Weekly_Inspections!$AY284,IF(Weekly_Inspections!$AZ284&lt;&gt;"",Weekly_Inspections!$AZ284,IF(Weekly_Inspections!$BA284&lt;&gt;"",Weekly_Inspections!$BA284,IF(Weekly_Inspections!$BB284&lt;&gt;"",Weekly_Inspections!$BB284,Weekly_Inspections!$R284)))))</f>
        <v/>
      </c>
      <c r="G284" s="30">
        <f>IF(OR(Weekly_Inspections!$AQ284&lt;&gt;"",Weekly_Inspections!$AR284&lt;&gt;"",Weekly_Inspections!$AS284&lt;&gt;""),Weekly_Inspections!$AQ284,"")</f>
        <v/>
      </c>
      <c r="H284" s="30">
        <f>Weekly_Inspections!$AP284</f>
        <v/>
      </c>
      <c r="I284" s="30">
        <f>Weekly_Inspections!$AR284</f>
        <v/>
      </c>
      <c r="J284" s="30">
        <f>Weekly_Inspections!$AS284</f>
        <v/>
      </c>
      <c r="K284" s="30">
        <f>Weekly_Inspections!$AU284</f>
        <v/>
      </c>
      <c r="L284" s="46">
        <f>Weekly_Inspections!$AV284</f>
        <v/>
      </c>
      <c r="M284" s="30">
        <f>IF($B284="","",IF($N284&lt;&gt;"","Closed",IF(OR($G284&lt;&gt;"",$I284&lt;&gt;"",$J284&lt;&gt;""),"Open","")))</f>
        <v/>
      </c>
      <c r="N284" s="46" t="n"/>
      <c r="O284" s="28">
        <f>IF($B284="","",IF($M284="Closed",IF($N284="","",$N284-$B284),TODAY()-$B284))</f>
        <v/>
      </c>
      <c r="P284" s="28">
        <f>IF(OR($B284="",$L284="",$M284="Closed"),"",IF(TODAY()&gt;$L284,"YES","NO"))</f>
        <v/>
      </c>
      <c r="Q284" s="30">
        <f>Weekly_Inspections!$AW284</f>
        <v/>
      </c>
    </row>
    <row r="285" ht="15" customHeight="1" s="45">
      <c r="A285" s="28">
        <f>IF(Weekly_Inspections!$B285="","",Weekly_Inspections!$A285&amp;"-A1")</f>
        <v/>
      </c>
      <c r="B285" s="46">
        <f>Weekly_Inspections!$B285</f>
        <v/>
      </c>
      <c r="C285" s="30">
        <f>Weekly_Inspections!$E285</f>
        <v/>
      </c>
      <c r="D285" s="30">
        <f>Weekly_Inspections!$F285</f>
        <v/>
      </c>
      <c r="E285" s="28">
        <f>Weekly_Inspections!$H285</f>
        <v/>
      </c>
      <c r="F285" s="30">
        <f>IF(Weekly_Inspections!$AX285&lt;&gt;"",Weekly_Inspections!$AX285,IF(Weekly_Inspections!$AY285&lt;&gt;"",Weekly_Inspections!$AY285,IF(Weekly_Inspections!$AZ285&lt;&gt;"",Weekly_Inspections!$AZ285,IF(Weekly_Inspections!$BA285&lt;&gt;"",Weekly_Inspections!$BA285,IF(Weekly_Inspections!$BB285&lt;&gt;"",Weekly_Inspections!$BB285,Weekly_Inspections!$R285)))))</f>
        <v/>
      </c>
      <c r="G285" s="30">
        <f>IF(OR(Weekly_Inspections!$AQ285&lt;&gt;"",Weekly_Inspections!$AR285&lt;&gt;"",Weekly_Inspections!$AS285&lt;&gt;""),Weekly_Inspections!$AQ285,"")</f>
        <v/>
      </c>
      <c r="H285" s="30">
        <f>Weekly_Inspections!$AP285</f>
        <v/>
      </c>
      <c r="I285" s="30">
        <f>Weekly_Inspections!$AR285</f>
        <v/>
      </c>
      <c r="J285" s="30">
        <f>Weekly_Inspections!$AS285</f>
        <v/>
      </c>
      <c r="K285" s="30">
        <f>Weekly_Inspections!$AU285</f>
        <v/>
      </c>
      <c r="L285" s="46">
        <f>Weekly_Inspections!$AV285</f>
        <v/>
      </c>
      <c r="M285" s="30">
        <f>IF($B285="","",IF($N285&lt;&gt;"","Closed",IF(OR($G285&lt;&gt;"",$I285&lt;&gt;"",$J285&lt;&gt;""),"Open","")))</f>
        <v/>
      </c>
      <c r="N285" s="46" t="n"/>
      <c r="O285" s="28">
        <f>IF($B285="","",IF($M285="Closed",IF($N285="","",$N285-$B285),TODAY()-$B285))</f>
        <v/>
      </c>
      <c r="P285" s="28">
        <f>IF(OR($B285="",$L285="",$M285="Closed"),"",IF(TODAY()&gt;$L285,"YES","NO"))</f>
        <v/>
      </c>
      <c r="Q285" s="30">
        <f>Weekly_Inspections!$AW285</f>
        <v/>
      </c>
    </row>
    <row r="286" ht="15" customHeight="1" s="45">
      <c r="A286" s="28">
        <f>IF(Weekly_Inspections!$B286="","",Weekly_Inspections!$A286&amp;"-A1")</f>
        <v/>
      </c>
      <c r="B286" s="46">
        <f>Weekly_Inspections!$B286</f>
        <v/>
      </c>
      <c r="C286" s="30">
        <f>Weekly_Inspections!$E286</f>
        <v/>
      </c>
      <c r="D286" s="30">
        <f>Weekly_Inspections!$F286</f>
        <v/>
      </c>
      <c r="E286" s="28">
        <f>Weekly_Inspections!$H286</f>
        <v/>
      </c>
      <c r="F286" s="30">
        <f>IF(Weekly_Inspections!$AX286&lt;&gt;"",Weekly_Inspections!$AX286,IF(Weekly_Inspections!$AY286&lt;&gt;"",Weekly_Inspections!$AY286,IF(Weekly_Inspections!$AZ286&lt;&gt;"",Weekly_Inspections!$AZ286,IF(Weekly_Inspections!$BA286&lt;&gt;"",Weekly_Inspections!$BA286,IF(Weekly_Inspections!$BB286&lt;&gt;"",Weekly_Inspections!$BB286,Weekly_Inspections!$R286)))))</f>
        <v/>
      </c>
      <c r="G286" s="30">
        <f>IF(OR(Weekly_Inspections!$AQ286&lt;&gt;"",Weekly_Inspections!$AR286&lt;&gt;"",Weekly_Inspections!$AS286&lt;&gt;""),Weekly_Inspections!$AQ286,"")</f>
        <v/>
      </c>
      <c r="H286" s="30">
        <f>Weekly_Inspections!$AP286</f>
        <v/>
      </c>
      <c r="I286" s="30">
        <f>Weekly_Inspections!$AR286</f>
        <v/>
      </c>
      <c r="J286" s="30">
        <f>Weekly_Inspections!$AS286</f>
        <v/>
      </c>
      <c r="K286" s="30">
        <f>Weekly_Inspections!$AU286</f>
        <v/>
      </c>
      <c r="L286" s="46">
        <f>Weekly_Inspections!$AV286</f>
        <v/>
      </c>
      <c r="M286" s="30">
        <f>IF($B286="","",IF($N286&lt;&gt;"","Closed",IF(OR($G286&lt;&gt;"",$I286&lt;&gt;"",$J286&lt;&gt;""),"Open","")))</f>
        <v/>
      </c>
      <c r="N286" s="46" t="n"/>
      <c r="O286" s="28">
        <f>IF($B286="","",IF($M286="Closed",IF($N286="","",$N286-$B286),TODAY()-$B286))</f>
        <v/>
      </c>
      <c r="P286" s="28">
        <f>IF(OR($B286="",$L286="",$M286="Closed"),"",IF(TODAY()&gt;$L286,"YES","NO"))</f>
        <v/>
      </c>
      <c r="Q286" s="30">
        <f>Weekly_Inspections!$AW286</f>
        <v/>
      </c>
    </row>
    <row r="287" ht="15" customHeight="1" s="45">
      <c r="A287" s="28">
        <f>IF(Weekly_Inspections!$B287="","",Weekly_Inspections!$A287&amp;"-A1")</f>
        <v/>
      </c>
      <c r="B287" s="46">
        <f>Weekly_Inspections!$B287</f>
        <v/>
      </c>
      <c r="C287" s="30">
        <f>Weekly_Inspections!$E287</f>
        <v/>
      </c>
      <c r="D287" s="30">
        <f>Weekly_Inspections!$F287</f>
        <v/>
      </c>
      <c r="E287" s="28">
        <f>Weekly_Inspections!$H287</f>
        <v/>
      </c>
      <c r="F287" s="30">
        <f>IF(Weekly_Inspections!$AX287&lt;&gt;"",Weekly_Inspections!$AX287,IF(Weekly_Inspections!$AY287&lt;&gt;"",Weekly_Inspections!$AY287,IF(Weekly_Inspections!$AZ287&lt;&gt;"",Weekly_Inspections!$AZ287,IF(Weekly_Inspections!$BA287&lt;&gt;"",Weekly_Inspections!$BA287,IF(Weekly_Inspections!$BB287&lt;&gt;"",Weekly_Inspections!$BB287,Weekly_Inspections!$R287)))))</f>
        <v/>
      </c>
      <c r="G287" s="30">
        <f>IF(OR(Weekly_Inspections!$AQ287&lt;&gt;"",Weekly_Inspections!$AR287&lt;&gt;"",Weekly_Inspections!$AS287&lt;&gt;""),Weekly_Inspections!$AQ287,"")</f>
        <v/>
      </c>
      <c r="H287" s="30">
        <f>Weekly_Inspections!$AP287</f>
        <v/>
      </c>
      <c r="I287" s="30">
        <f>Weekly_Inspections!$AR287</f>
        <v/>
      </c>
      <c r="J287" s="30">
        <f>Weekly_Inspections!$AS287</f>
        <v/>
      </c>
      <c r="K287" s="30">
        <f>Weekly_Inspections!$AU287</f>
        <v/>
      </c>
      <c r="L287" s="46">
        <f>Weekly_Inspections!$AV287</f>
        <v/>
      </c>
      <c r="M287" s="30">
        <f>IF($B287="","",IF($N287&lt;&gt;"","Closed",IF(OR($G287&lt;&gt;"",$I287&lt;&gt;"",$J287&lt;&gt;""),"Open","")))</f>
        <v/>
      </c>
      <c r="N287" s="46" t="n"/>
      <c r="O287" s="28">
        <f>IF($B287="","",IF($M287="Closed",IF($N287="","",$N287-$B287),TODAY()-$B287))</f>
        <v/>
      </c>
      <c r="P287" s="28">
        <f>IF(OR($B287="",$L287="",$M287="Closed"),"",IF(TODAY()&gt;$L287,"YES","NO"))</f>
        <v/>
      </c>
      <c r="Q287" s="30">
        <f>Weekly_Inspections!$AW287</f>
        <v/>
      </c>
    </row>
    <row r="288" ht="15" customHeight="1" s="45">
      <c r="A288" s="28">
        <f>IF(Weekly_Inspections!$B288="","",Weekly_Inspections!$A288&amp;"-A1")</f>
        <v/>
      </c>
      <c r="B288" s="46">
        <f>Weekly_Inspections!$B288</f>
        <v/>
      </c>
      <c r="C288" s="30">
        <f>Weekly_Inspections!$E288</f>
        <v/>
      </c>
      <c r="D288" s="30">
        <f>Weekly_Inspections!$F288</f>
        <v/>
      </c>
      <c r="E288" s="28">
        <f>Weekly_Inspections!$H288</f>
        <v/>
      </c>
      <c r="F288" s="30">
        <f>IF(Weekly_Inspections!$AX288&lt;&gt;"",Weekly_Inspections!$AX288,IF(Weekly_Inspections!$AY288&lt;&gt;"",Weekly_Inspections!$AY288,IF(Weekly_Inspections!$AZ288&lt;&gt;"",Weekly_Inspections!$AZ288,IF(Weekly_Inspections!$BA288&lt;&gt;"",Weekly_Inspections!$BA288,IF(Weekly_Inspections!$BB288&lt;&gt;"",Weekly_Inspections!$BB288,Weekly_Inspections!$R288)))))</f>
        <v/>
      </c>
      <c r="G288" s="30">
        <f>IF(OR(Weekly_Inspections!$AQ288&lt;&gt;"",Weekly_Inspections!$AR288&lt;&gt;"",Weekly_Inspections!$AS288&lt;&gt;""),Weekly_Inspections!$AQ288,"")</f>
        <v/>
      </c>
      <c r="H288" s="30">
        <f>Weekly_Inspections!$AP288</f>
        <v/>
      </c>
      <c r="I288" s="30">
        <f>Weekly_Inspections!$AR288</f>
        <v/>
      </c>
      <c r="J288" s="30">
        <f>Weekly_Inspections!$AS288</f>
        <v/>
      </c>
      <c r="K288" s="30">
        <f>Weekly_Inspections!$AU288</f>
        <v/>
      </c>
      <c r="L288" s="46">
        <f>Weekly_Inspections!$AV288</f>
        <v/>
      </c>
      <c r="M288" s="30">
        <f>IF($B288="","",IF($N288&lt;&gt;"","Closed",IF(OR($G288&lt;&gt;"",$I288&lt;&gt;"",$J288&lt;&gt;""),"Open","")))</f>
        <v/>
      </c>
      <c r="N288" s="46" t="n"/>
      <c r="O288" s="28">
        <f>IF($B288="","",IF($M288="Closed",IF($N288="","",$N288-$B288),TODAY()-$B288))</f>
        <v/>
      </c>
      <c r="P288" s="28">
        <f>IF(OR($B288="",$L288="",$M288="Closed"),"",IF(TODAY()&gt;$L288,"YES","NO"))</f>
        <v/>
      </c>
      <c r="Q288" s="30">
        <f>Weekly_Inspections!$AW288</f>
        <v/>
      </c>
    </row>
    <row r="289" ht="15" customHeight="1" s="45">
      <c r="A289" s="28">
        <f>IF(Weekly_Inspections!$B289="","",Weekly_Inspections!$A289&amp;"-A1")</f>
        <v/>
      </c>
      <c r="B289" s="46">
        <f>Weekly_Inspections!$B289</f>
        <v/>
      </c>
      <c r="C289" s="30">
        <f>Weekly_Inspections!$E289</f>
        <v/>
      </c>
      <c r="D289" s="30">
        <f>Weekly_Inspections!$F289</f>
        <v/>
      </c>
      <c r="E289" s="28">
        <f>Weekly_Inspections!$H289</f>
        <v/>
      </c>
      <c r="F289" s="30">
        <f>IF(Weekly_Inspections!$AX289&lt;&gt;"",Weekly_Inspections!$AX289,IF(Weekly_Inspections!$AY289&lt;&gt;"",Weekly_Inspections!$AY289,IF(Weekly_Inspections!$AZ289&lt;&gt;"",Weekly_Inspections!$AZ289,IF(Weekly_Inspections!$BA289&lt;&gt;"",Weekly_Inspections!$BA289,IF(Weekly_Inspections!$BB289&lt;&gt;"",Weekly_Inspections!$BB289,Weekly_Inspections!$R289)))))</f>
        <v/>
      </c>
      <c r="G289" s="30">
        <f>IF(OR(Weekly_Inspections!$AQ289&lt;&gt;"",Weekly_Inspections!$AR289&lt;&gt;"",Weekly_Inspections!$AS289&lt;&gt;""),Weekly_Inspections!$AQ289,"")</f>
        <v/>
      </c>
      <c r="H289" s="30">
        <f>Weekly_Inspections!$AP289</f>
        <v/>
      </c>
      <c r="I289" s="30">
        <f>Weekly_Inspections!$AR289</f>
        <v/>
      </c>
      <c r="J289" s="30">
        <f>Weekly_Inspections!$AS289</f>
        <v/>
      </c>
      <c r="K289" s="30">
        <f>Weekly_Inspections!$AU289</f>
        <v/>
      </c>
      <c r="L289" s="46">
        <f>Weekly_Inspections!$AV289</f>
        <v/>
      </c>
      <c r="M289" s="30">
        <f>IF($B289="","",IF($N289&lt;&gt;"","Closed",IF(OR($G289&lt;&gt;"",$I289&lt;&gt;"",$J289&lt;&gt;""),"Open","")))</f>
        <v/>
      </c>
      <c r="N289" s="46" t="n"/>
      <c r="O289" s="28">
        <f>IF($B289="","",IF($M289="Closed",IF($N289="","",$N289-$B289),TODAY()-$B289))</f>
        <v/>
      </c>
      <c r="P289" s="28">
        <f>IF(OR($B289="",$L289="",$M289="Closed"),"",IF(TODAY()&gt;$L289,"YES","NO"))</f>
        <v/>
      </c>
      <c r="Q289" s="30">
        <f>Weekly_Inspections!$AW289</f>
        <v/>
      </c>
    </row>
    <row r="290" ht="15" customHeight="1" s="45">
      <c r="A290" s="28">
        <f>IF(Weekly_Inspections!$B290="","",Weekly_Inspections!$A290&amp;"-A1")</f>
        <v/>
      </c>
      <c r="B290" s="46">
        <f>Weekly_Inspections!$B290</f>
        <v/>
      </c>
      <c r="C290" s="30">
        <f>Weekly_Inspections!$E290</f>
        <v/>
      </c>
      <c r="D290" s="30">
        <f>Weekly_Inspections!$F290</f>
        <v/>
      </c>
      <c r="E290" s="28">
        <f>Weekly_Inspections!$H290</f>
        <v/>
      </c>
      <c r="F290" s="30">
        <f>IF(Weekly_Inspections!$AX290&lt;&gt;"",Weekly_Inspections!$AX290,IF(Weekly_Inspections!$AY290&lt;&gt;"",Weekly_Inspections!$AY290,IF(Weekly_Inspections!$AZ290&lt;&gt;"",Weekly_Inspections!$AZ290,IF(Weekly_Inspections!$BA290&lt;&gt;"",Weekly_Inspections!$BA290,IF(Weekly_Inspections!$BB290&lt;&gt;"",Weekly_Inspections!$BB290,Weekly_Inspections!$R290)))))</f>
        <v/>
      </c>
      <c r="G290" s="30">
        <f>IF(OR(Weekly_Inspections!$AQ290&lt;&gt;"",Weekly_Inspections!$AR290&lt;&gt;"",Weekly_Inspections!$AS290&lt;&gt;""),Weekly_Inspections!$AQ290,"")</f>
        <v/>
      </c>
      <c r="H290" s="30">
        <f>Weekly_Inspections!$AP290</f>
        <v/>
      </c>
      <c r="I290" s="30">
        <f>Weekly_Inspections!$AR290</f>
        <v/>
      </c>
      <c r="J290" s="30">
        <f>Weekly_Inspections!$AS290</f>
        <v/>
      </c>
      <c r="K290" s="30">
        <f>Weekly_Inspections!$AU290</f>
        <v/>
      </c>
      <c r="L290" s="46">
        <f>Weekly_Inspections!$AV290</f>
        <v/>
      </c>
      <c r="M290" s="30">
        <f>IF($B290="","",IF($N290&lt;&gt;"","Closed",IF(OR($G290&lt;&gt;"",$I290&lt;&gt;"",$J290&lt;&gt;""),"Open","")))</f>
        <v/>
      </c>
      <c r="N290" s="46" t="n"/>
      <c r="O290" s="28">
        <f>IF($B290="","",IF($M290="Closed",IF($N290="","",$N290-$B290),TODAY()-$B290))</f>
        <v/>
      </c>
      <c r="P290" s="28">
        <f>IF(OR($B290="",$L290="",$M290="Closed"),"",IF(TODAY()&gt;$L290,"YES","NO"))</f>
        <v/>
      </c>
      <c r="Q290" s="30">
        <f>Weekly_Inspections!$AW290</f>
        <v/>
      </c>
    </row>
    <row r="291" ht="15" customHeight="1" s="45">
      <c r="A291" s="28">
        <f>IF(Weekly_Inspections!$B291="","",Weekly_Inspections!$A291&amp;"-A1")</f>
        <v/>
      </c>
      <c r="B291" s="46">
        <f>Weekly_Inspections!$B291</f>
        <v/>
      </c>
      <c r="C291" s="30">
        <f>Weekly_Inspections!$E291</f>
        <v/>
      </c>
      <c r="D291" s="30">
        <f>Weekly_Inspections!$F291</f>
        <v/>
      </c>
      <c r="E291" s="28">
        <f>Weekly_Inspections!$H291</f>
        <v/>
      </c>
      <c r="F291" s="30">
        <f>IF(Weekly_Inspections!$AX291&lt;&gt;"",Weekly_Inspections!$AX291,IF(Weekly_Inspections!$AY291&lt;&gt;"",Weekly_Inspections!$AY291,IF(Weekly_Inspections!$AZ291&lt;&gt;"",Weekly_Inspections!$AZ291,IF(Weekly_Inspections!$BA291&lt;&gt;"",Weekly_Inspections!$BA291,IF(Weekly_Inspections!$BB291&lt;&gt;"",Weekly_Inspections!$BB291,Weekly_Inspections!$R291)))))</f>
        <v/>
      </c>
      <c r="G291" s="30">
        <f>IF(OR(Weekly_Inspections!$AQ291&lt;&gt;"",Weekly_Inspections!$AR291&lt;&gt;"",Weekly_Inspections!$AS291&lt;&gt;""),Weekly_Inspections!$AQ291,"")</f>
        <v/>
      </c>
      <c r="H291" s="30">
        <f>Weekly_Inspections!$AP291</f>
        <v/>
      </c>
      <c r="I291" s="30">
        <f>Weekly_Inspections!$AR291</f>
        <v/>
      </c>
      <c r="J291" s="30">
        <f>Weekly_Inspections!$AS291</f>
        <v/>
      </c>
      <c r="K291" s="30">
        <f>Weekly_Inspections!$AU291</f>
        <v/>
      </c>
      <c r="L291" s="46">
        <f>Weekly_Inspections!$AV291</f>
        <v/>
      </c>
      <c r="M291" s="30">
        <f>IF($B291="","",IF($N291&lt;&gt;"","Closed",IF(OR($G291&lt;&gt;"",$I291&lt;&gt;"",$J291&lt;&gt;""),"Open","")))</f>
        <v/>
      </c>
      <c r="N291" s="46" t="n"/>
      <c r="O291" s="28">
        <f>IF($B291="","",IF($M291="Closed",IF($N291="","",$N291-$B291),TODAY()-$B291))</f>
        <v/>
      </c>
      <c r="P291" s="28">
        <f>IF(OR($B291="",$L291="",$M291="Closed"),"",IF(TODAY()&gt;$L291,"YES","NO"))</f>
        <v/>
      </c>
      <c r="Q291" s="30">
        <f>Weekly_Inspections!$AW291</f>
        <v/>
      </c>
    </row>
    <row r="292" ht="15" customHeight="1" s="45">
      <c r="A292" s="28">
        <f>IF(Weekly_Inspections!$B292="","",Weekly_Inspections!$A292&amp;"-A1")</f>
        <v/>
      </c>
      <c r="B292" s="46">
        <f>Weekly_Inspections!$B292</f>
        <v/>
      </c>
      <c r="C292" s="30">
        <f>Weekly_Inspections!$E292</f>
        <v/>
      </c>
      <c r="D292" s="30">
        <f>Weekly_Inspections!$F292</f>
        <v/>
      </c>
      <c r="E292" s="28">
        <f>Weekly_Inspections!$H292</f>
        <v/>
      </c>
      <c r="F292" s="30">
        <f>IF(Weekly_Inspections!$AX292&lt;&gt;"",Weekly_Inspections!$AX292,IF(Weekly_Inspections!$AY292&lt;&gt;"",Weekly_Inspections!$AY292,IF(Weekly_Inspections!$AZ292&lt;&gt;"",Weekly_Inspections!$AZ292,IF(Weekly_Inspections!$BA292&lt;&gt;"",Weekly_Inspections!$BA292,IF(Weekly_Inspections!$BB292&lt;&gt;"",Weekly_Inspections!$BB292,Weekly_Inspections!$R292)))))</f>
        <v/>
      </c>
      <c r="G292" s="30">
        <f>IF(OR(Weekly_Inspections!$AQ292&lt;&gt;"",Weekly_Inspections!$AR292&lt;&gt;"",Weekly_Inspections!$AS292&lt;&gt;""),Weekly_Inspections!$AQ292,"")</f>
        <v/>
      </c>
      <c r="H292" s="30">
        <f>Weekly_Inspections!$AP292</f>
        <v/>
      </c>
      <c r="I292" s="30">
        <f>Weekly_Inspections!$AR292</f>
        <v/>
      </c>
      <c r="J292" s="30">
        <f>Weekly_Inspections!$AS292</f>
        <v/>
      </c>
      <c r="K292" s="30">
        <f>Weekly_Inspections!$AU292</f>
        <v/>
      </c>
      <c r="L292" s="46">
        <f>Weekly_Inspections!$AV292</f>
        <v/>
      </c>
      <c r="M292" s="30">
        <f>IF($B292="","",IF($N292&lt;&gt;"","Closed",IF(OR($G292&lt;&gt;"",$I292&lt;&gt;"",$J292&lt;&gt;""),"Open","")))</f>
        <v/>
      </c>
      <c r="N292" s="46" t="n"/>
      <c r="O292" s="28">
        <f>IF($B292="","",IF($M292="Closed",IF($N292="","",$N292-$B292),TODAY()-$B292))</f>
        <v/>
      </c>
      <c r="P292" s="28">
        <f>IF(OR($B292="",$L292="",$M292="Closed"),"",IF(TODAY()&gt;$L292,"YES","NO"))</f>
        <v/>
      </c>
      <c r="Q292" s="30">
        <f>Weekly_Inspections!$AW292</f>
        <v/>
      </c>
    </row>
    <row r="293" ht="15" customHeight="1" s="45">
      <c r="A293" s="28">
        <f>IF(Weekly_Inspections!$B293="","",Weekly_Inspections!$A293&amp;"-A1")</f>
        <v/>
      </c>
      <c r="B293" s="46">
        <f>Weekly_Inspections!$B293</f>
        <v/>
      </c>
      <c r="C293" s="30">
        <f>Weekly_Inspections!$E293</f>
        <v/>
      </c>
      <c r="D293" s="30">
        <f>Weekly_Inspections!$F293</f>
        <v/>
      </c>
      <c r="E293" s="28">
        <f>Weekly_Inspections!$H293</f>
        <v/>
      </c>
      <c r="F293" s="30">
        <f>IF(Weekly_Inspections!$AX293&lt;&gt;"",Weekly_Inspections!$AX293,IF(Weekly_Inspections!$AY293&lt;&gt;"",Weekly_Inspections!$AY293,IF(Weekly_Inspections!$AZ293&lt;&gt;"",Weekly_Inspections!$AZ293,IF(Weekly_Inspections!$BA293&lt;&gt;"",Weekly_Inspections!$BA293,IF(Weekly_Inspections!$BB293&lt;&gt;"",Weekly_Inspections!$BB293,Weekly_Inspections!$R293)))))</f>
        <v/>
      </c>
      <c r="G293" s="30">
        <f>IF(OR(Weekly_Inspections!$AQ293&lt;&gt;"",Weekly_Inspections!$AR293&lt;&gt;"",Weekly_Inspections!$AS293&lt;&gt;""),Weekly_Inspections!$AQ293,"")</f>
        <v/>
      </c>
      <c r="H293" s="30">
        <f>Weekly_Inspections!$AP293</f>
        <v/>
      </c>
      <c r="I293" s="30">
        <f>Weekly_Inspections!$AR293</f>
        <v/>
      </c>
      <c r="J293" s="30">
        <f>Weekly_Inspections!$AS293</f>
        <v/>
      </c>
      <c r="K293" s="30">
        <f>Weekly_Inspections!$AU293</f>
        <v/>
      </c>
      <c r="L293" s="46">
        <f>Weekly_Inspections!$AV293</f>
        <v/>
      </c>
      <c r="M293" s="30">
        <f>IF($B293="","",IF($N293&lt;&gt;"","Closed",IF(OR($G293&lt;&gt;"",$I293&lt;&gt;"",$J293&lt;&gt;""),"Open","")))</f>
        <v/>
      </c>
      <c r="N293" s="46" t="n"/>
      <c r="O293" s="28">
        <f>IF($B293="","",IF($M293="Closed",IF($N293="","",$N293-$B293),TODAY()-$B293))</f>
        <v/>
      </c>
      <c r="P293" s="28">
        <f>IF(OR($B293="",$L293="",$M293="Closed"),"",IF(TODAY()&gt;$L293,"YES","NO"))</f>
        <v/>
      </c>
      <c r="Q293" s="30">
        <f>Weekly_Inspections!$AW293</f>
        <v/>
      </c>
    </row>
    <row r="294" ht="15" customHeight="1" s="45">
      <c r="A294" s="28">
        <f>IF(Weekly_Inspections!$B294="","",Weekly_Inspections!$A294&amp;"-A1")</f>
        <v/>
      </c>
      <c r="B294" s="46">
        <f>Weekly_Inspections!$B294</f>
        <v/>
      </c>
      <c r="C294" s="30">
        <f>Weekly_Inspections!$E294</f>
        <v/>
      </c>
      <c r="D294" s="30">
        <f>Weekly_Inspections!$F294</f>
        <v/>
      </c>
      <c r="E294" s="28">
        <f>Weekly_Inspections!$H294</f>
        <v/>
      </c>
      <c r="F294" s="30">
        <f>IF(Weekly_Inspections!$AX294&lt;&gt;"",Weekly_Inspections!$AX294,IF(Weekly_Inspections!$AY294&lt;&gt;"",Weekly_Inspections!$AY294,IF(Weekly_Inspections!$AZ294&lt;&gt;"",Weekly_Inspections!$AZ294,IF(Weekly_Inspections!$BA294&lt;&gt;"",Weekly_Inspections!$BA294,IF(Weekly_Inspections!$BB294&lt;&gt;"",Weekly_Inspections!$BB294,Weekly_Inspections!$R294)))))</f>
        <v/>
      </c>
      <c r="G294" s="30">
        <f>IF(OR(Weekly_Inspections!$AQ294&lt;&gt;"",Weekly_Inspections!$AR294&lt;&gt;"",Weekly_Inspections!$AS294&lt;&gt;""),Weekly_Inspections!$AQ294,"")</f>
        <v/>
      </c>
      <c r="H294" s="30">
        <f>Weekly_Inspections!$AP294</f>
        <v/>
      </c>
      <c r="I294" s="30">
        <f>Weekly_Inspections!$AR294</f>
        <v/>
      </c>
      <c r="J294" s="30">
        <f>Weekly_Inspections!$AS294</f>
        <v/>
      </c>
      <c r="K294" s="30">
        <f>Weekly_Inspections!$AU294</f>
        <v/>
      </c>
      <c r="L294" s="46">
        <f>Weekly_Inspections!$AV294</f>
        <v/>
      </c>
      <c r="M294" s="30">
        <f>IF($B294="","",IF($N294&lt;&gt;"","Closed",IF(OR($G294&lt;&gt;"",$I294&lt;&gt;"",$J294&lt;&gt;""),"Open","")))</f>
        <v/>
      </c>
      <c r="N294" s="46" t="n"/>
      <c r="O294" s="28">
        <f>IF($B294="","",IF($M294="Closed",IF($N294="","",$N294-$B294),TODAY()-$B294))</f>
        <v/>
      </c>
      <c r="P294" s="28">
        <f>IF(OR($B294="",$L294="",$M294="Closed"),"",IF(TODAY()&gt;$L294,"YES","NO"))</f>
        <v/>
      </c>
      <c r="Q294" s="30">
        <f>Weekly_Inspections!$AW294</f>
        <v/>
      </c>
    </row>
    <row r="295" ht="15" customHeight="1" s="45">
      <c r="A295" s="28">
        <f>IF(Weekly_Inspections!$B295="","",Weekly_Inspections!$A295&amp;"-A1")</f>
        <v/>
      </c>
      <c r="B295" s="46">
        <f>Weekly_Inspections!$B295</f>
        <v/>
      </c>
      <c r="C295" s="30">
        <f>Weekly_Inspections!$E295</f>
        <v/>
      </c>
      <c r="D295" s="30">
        <f>Weekly_Inspections!$F295</f>
        <v/>
      </c>
      <c r="E295" s="28">
        <f>Weekly_Inspections!$H295</f>
        <v/>
      </c>
      <c r="F295" s="30">
        <f>IF(Weekly_Inspections!$AX295&lt;&gt;"",Weekly_Inspections!$AX295,IF(Weekly_Inspections!$AY295&lt;&gt;"",Weekly_Inspections!$AY295,IF(Weekly_Inspections!$AZ295&lt;&gt;"",Weekly_Inspections!$AZ295,IF(Weekly_Inspections!$BA295&lt;&gt;"",Weekly_Inspections!$BA295,IF(Weekly_Inspections!$BB295&lt;&gt;"",Weekly_Inspections!$BB295,Weekly_Inspections!$R295)))))</f>
        <v/>
      </c>
      <c r="G295" s="30">
        <f>IF(OR(Weekly_Inspections!$AQ295&lt;&gt;"",Weekly_Inspections!$AR295&lt;&gt;"",Weekly_Inspections!$AS295&lt;&gt;""),Weekly_Inspections!$AQ295,"")</f>
        <v/>
      </c>
      <c r="H295" s="30">
        <f>Weekly_Inspections!$AP295</f>
        <v/>
      </c>
      <c r="I295" s="30">
        <f>Weekly_Inspections!$AR295</f>
        <v/>
      </c>
      <c r="J295" s="30">
        <f>Weekly_Inspections!$AS295</f>
        <v/>
      </c>
      <c r="K295" s="30">
        <f>Weekly_Inspections!$AU295</f>
        <v/>
      </c>
      <c r="L295" s="46">
        <f>Weekly_Inspections!$AV295</f>
        <v/>
      </c>
      <c r="M295" s="30">
        <f>IF($B295="","",IF($N295&lt;&gt;"","Closed",IF(OR($G295&lt;&gt;"",$I295&lt;&gt;"",$J295&lt;&gt;""),"Open","")))</f>
        <v/>
      </c>
      <c r="N295" s="46" t="n"/>
      <c r="O295" s="28">
        <f>IF($B295="","",IF($M295="Closed",IF($N295="","",$N295-$B295),TODAY()-$B295))</f>
        <v/>
      </c>
      <c r="P295" s="28">
        <f>IF(OR($B295="",$L295="",$M295="Closed"),"",IF(TODAY()&gt;$L295,"YES","NO"))</f>
        <v/>
      </c>
      <c r="Q295" s="30">
        <f>Weekly_Inspections!$AW295</f>
        <v/>
      </c>
    </row>
    <row r="296" ht="15" customHeight="1" s="45">
      <c r="A296" s="28">
        <f>IF(Weekly_Inspections!$B296="","",Weekly_Inspections!$A296&amp;"-A1")</f>
        <v/>
      </c>
      <c r="B296" s="46">
        <f>Weekly_Inspections!$B296</f>
        <v/>
      </c>
      <c r="C296" s="30">
        <f>Weekly_Inspections!$E296</f>
        <v/>
      </c>
      <c r="D296" s="30">
        <f>Weekly_Inspections!$F296</f>
        <v/>
      </c>
      <c r="E296" s="28">
        <f>Weekly_Inspections!$H296</f>
        <v/>
      </c>
      <c r="F296" s="30">
        <f>IF(Weekly_Inspections!$AX296&lt;&gt;"",Weekly_Inspections!$AX296,IF(Weekly_Inspections!$AY296&lt;&gt;"",Weekly_Inspections!$AY296,IF(Weekly_Inspections!$AZ296&lt;&gt;"",Weekly_Inspections!$AZ296,IF(Weekly_Inspections!$BA296&lt;&gt;"",Weekly_Inspections!$BA296,IF(Weekly_Inspections!$BB296&lt;&gt;"",Weekly_Inspections!$BB296,Weekly_Inspections!$R296)))))</f>
        <v/>
      </c>
      <c r="G296" s="30">
        <f>IF(OR(Weekly_Inspections!$AQ296&lt;&gt;"",Weekly_Inspections!$AR296&lt;&gt;"",Weekly_Inspections!$AS296&lt;&gt;""),Weekly_Inspections!$AQ296,"")</f>
        <v/>
      </c>
      <c r="H296" s="30">
        <f>Weekly_Inspections!$AP296</f>
        <v/>
      </c>
      <c r="I296" s="30">
        <f>Weekly_Inspections!$AR296</f>
        <v/>
      </c>
      <c r="J296" s="30">
        <f>Weekly_Inspections!$AS296</f>
        <v/>
      </c>
      <c r="K296" s="30">
        <f>Weekly_Inspections!$AU296</f>
        <v/>
      </c>
      <c r="L296" s="46">
        <f>Weekly_Inspections!$AV296</f>
        <v/>
      </c>
      <c r="M296" s="30">
        <f>IF($B296="","",IF($N296&lt;&gt;"","Closed",IF(OR($G296&lt;&gt;"",$I296&lt;&gt;"",$J296&lt;&gt;""),"Open","")))</f>
        <v/>
      </c>
      <c r="N296" s="46" t="n"/>
      <c r="O296" s="28">
        <f>IF($B296="","",IF($M296="Closed",IF($N296="","",$N296-$B296),TODAY()-$B296))</f>
        <v/>
      </c>
      <c r="P296" s="28">
        <f>IF(OR($B296="",$L296="",$M296="Closed"),"",IF(TODAY()&gt;$L296,"YES","NO"))</f>
        <v/>
      </c>
      <c r="Q296" s="30">
        <f>Weekly_Inspections!$AW296</f>
        <v/>
      </c>
    </row>
    <row r="297" ht="15" customHeight="1" s="45">
      <c r="A297" s="28">
        <f>IF(Weekly_Inspections!$B297="","",Weekly_Inspections!$A297&amp;"-A1")</f>
        <v/>
      </c>
      <c r="B297" s="46">
        <f>Weekly_Inspections!$B297</f>
        <v/>
      </c>
      <c r="C297" s="30">
        <f>Weekly_Inspections!$E297</f>
        <v/>
      </c>
      <c r="D297" s="30">
        <f>Weekly_Inspections!$F297</f>
        <v/>
      </c>
      <c r="E297" s="28">
        <f>Weekly_Inspections!$H297</f>
        <v/>
      </c>
      <c r="F297" s="30">
        <f>IF(Weekly_Inspections!$AX297&lt;&gt;"",Weekly_Inspections!$AX297,IF(Weekly_Inspections!$AY297&lt;&gt;"",Weekly_Inspections!$AY297,IF(Weekly_Inspections!$AZ297&lt;&gt;"",Weekly_Inspections!$AZ297,IF(Weekly_Inspections!$BA297&lt;&gt;"",Weekly_Inspections!$BA297,IF(Weekly_Inspections!$BB297&lt;&gt;"",Weekly_Inspections!$BB297,Weekly_Inspections!$R297)))))</f>
        <v/>
      </c>
      <c r="G297" s="30">
        <f>IF(OR(Weekly_Inspections!$AQ297&lt;&gt;"",Weekly_Inspections!$AR297&lt;&gt;"",Weekly_Inspections!$AS297&lt;&gt;""),Weekly_Inspections!$AQ297,"")</f>
        <v/>
      </c>
      <c r="H297" s="30">
        <f>Weekly_Inspections!$AP297</f>
        <v/>
      </c>
      <c r="I297" s="30">
        <f>Weekly_Inspections!$AR297</f>
        <v/>
      </c>
      <c r="J297" s="30">
        <f>Weekly_Inspections!$AS297</f>
        <v/>
      </c>
      <c r="K297" s="30">
        <f>Weekly_Inspections!$AU297</f>
        <v/>
      </c>
      <c r="L297" s="46">
        <f>Weekly_Inspections!$AV297</f>
        <v/>
      </c>
      <c r="M297" s="30">
        <f>IF($B297="","",IF($N297&lt;&gt;"","Closed",IF(OR($G297&lt;&gt;"",$I297&lt;&gt;"",$J297&lt;&gt;""),"Open","")))</f>
        <v/>
      </c>
      <c r="N297" s="46" t="n"/>
      <c r="O297" s="28">
        <f>IF($B297="","",IF($M297="Closed",IF($N297="","",$N297-$B297),TODAY()-$B297))</f>
        <v/>
      </c>
      <c r="P297" s="28">
        <f>IF(OR($B297="",$L297="",$M297="Closed"),"",IF(TODAY()&gt;$L297,"YES","NO"))</f>
        <v/>
      </c>
      <c r="Q297" s="30">
        <f>Weekly_Inspections!$AW297</f>
        <v/>
      </c>
    </row>
    <row r="298" ht="15" customHeight="1" s="45">
      <c r="A298" s="28">
        <f>IF(Weekly_Inspections!$B298="","",Weekly_Inspections!$A298&amp;"-A1")</f>
        <v/>
      </c>
      <c r="B298" s="46">
        <f>Weekly_Inspections!$B298</f>
        <v/>
      </c>
      <c r="C298" s="30">
        <f>Weekly_Inspections!$E298</f>
        <v/>
      </c>
      <c r="D298" s="30">
        <f>Weekly_Inspections!$F298</f>
        <v/>
      </c>
      <c r="E298" s="28">
        <f>Weekly_Inspections!$H298</f>
        <v/>
      </c>
      <c r="F298" s="30">
        <f>IF(Weekly_Inspections!$AX298&lt;&gt;"",Weekly_Inspections!$AX298,IF(Weekly_Inspections!$AY298&lt;&gt;"",Weekly_Inspections!$AY298,IF(Weekly_Inspections!$AZ298&lt;&gt;"",Weekly_Inspections!$AZ298,IF(Weekly_Inspections!$BA298&lt;&gt;"",Weekly_Inspections!$BA298,IF(Weekly_Inspections!$BB298&lt;&gt;"",Weekly_Inspections!$BB298,Weekly_Inspections!$R298)))))</f>
        <v/>
      </c>
      <c r="G298" s="30">
        <f>IF(OR(Weekly_Inspections!$AQ298&lt;&gt;"",Weekly_Inspections!$AR298&lt;&gt;"",Weekly_Inspections!$AS298&lt;&gt;""),Weekly_Inspections!$AQ298,"")</f>
        <v/>
      </c>
      <c r="H298" s="30">
        <f>Weekly_Inspections!$AP298</f>
        <v/>
      </c>
      <c r="I298" s="30">
        <f>Weekly_Inspections!$AR298</f>
        <v/>
      </c>
      <c r="J298" s="30">
        <f>Weekly_Inspections!$AS298</f>
        <v/>
      </c>
      <c r="K298" s="30">
        <f>Weekly_Inspections!$AU298</f>
        <v/>
      </c>
      <c r="L298" s="46">
        <f>Weekly_Inspections!$AV298</f>
        <v/>
      </c>
      <c r="M298" s="30">
        <f>IF($B298="","",IF($N298&lt;&gt;"","Closed",IF(OR($G298&lt;&gt;"",$I298&lt;&gt;"",$J298&lt;&gt;""),"Open","")))</f>
        <v/>
      </c>
      <c r="N298" s="46" t="n"/>
      <c r="O298" s="28">
        <f>IF($B298="","",IF($M298="Closed",IF($N298="","",$N298-$B298),TODAY()-$B298))</f>
        <v/>
      </c>
      <c r="P298" s="28">
        <f>IF(OR($B298="",$L298="",$M298="Closed"),"",IF(TODAY()&gt;$L298,"YES","NO"))</f>
        <v/>
      </c>
      <c r="Q298" s="30">
        <f>Weekly_Inspections!$AW298</f>
        <v/>
      </c>
    </row>
    <row r="299" ht="15" customHeight="1" s="45">
      <c r="A299" s="28">
        <f>IF(Weekly_Inspections!$B299="","",Weekly_Inspections!$A299&amp;"-A1")</f>
        <v/>
      </c>
      <c r="B299" s="46">
        <f>Weekly_Inspections!$B299</f>
        <v/>
      </c>
      <c r="C299" s="30">
        <f>Weekly_Inspections!$E299</f>
        <v/>
      </c>
      <c r="D299" s="30">
        <f>Weekly_Inspections!$F299</f>
        <v/>
      </c>
      <c r="E299" s="28">
        <f>Weekly_Inspections!$H299</f>
        <v/>
      </c>
      <c r="F299" s="30">
        <f>IF(Weekly_Inspections!$AX299&lt;&gt;"",Weekly_Inspections!$AX299,IF(Weekly_Inspections!$AY299&lt;&gt;"",Weekly_Inspections!$AY299,IF(Weekly_Inspections!$AZ299&lt;&gt;"",Weekly_Inspections!$AZ299,IF(Weekly_Inspections!$BA299&lt;&gt;"",Weekly_Inspections!$BA299,IF(Weekly_Inspections!$BB299&lt;&gt;"",Weekly_Inspections!$BB299,Weekly_Inspections!$R299)))))</f>
        <v/>
      </c>
      <c r="G299" s="30">
        <f>IF(OR(Weekly_Inspections!$AQ299&lt;&gt;"",Weekly_Inspections!$AR299&lt;&gt;"",Weekly_Inspections!$AS299&lt;&gt;""),Weekly_Inspections!$AQ299,"")</f>
        <v/>
      </c>
      <c r="H299" s="30">
        <f>Weekly_Inspections!$AP299</f>
        <v/>
      </c>
      <c r="I299" s="30">
        <f>Weekly_Inspections!$AR299</f>
        <v/>
      </c>
      <c r="J299" s="30">
        <f>Weekly_Inspections!$AS299</f>
        <v/>
      </c>
      <c r="K299" s="30">
        <f>Weekly_Inspections!$AU299</f>
        <v/>
      </c>
      <c r="L299" s="46">
        <f>Weekly_Inspections!$AV299</f>
        <v/>
      </c>
      <c r="M299" s="30">
        <f>IF($B299="","",IF($N299&lt;&gt;"","Closed",IF(OR($G299&lt;&gt;"",$I299&lt;&gt;"",$J299&lt;&gt;""),"Open","")))</f>
        <v/>
      </c>
      <c r="N299" s="46" t="n"/>
      <c r="O299" s="28">
        <f>IF($B299="","",IF($M299="Closed",IF($N299="","",$N299-$B299),TODAY()-$B299))</f>
        <v/>
      </c>
      <c r="P299" s="28">
        <f>IF(OR($B299="",$L299="",$M299="Closed"),"",IF(TODAY()&gt;$L299,"YES","NO"))</f>
        <v/>
      </c>
      <c r="Q299" s="30">
        <f>Weekly_Inspections!$AW299</f>
        <v/>
      </c>
    </row>
    <row r="300" ht="15" customHeight="1" s="45">
      <c r="A300" s="28">
        <f>IF(Weekly_Inspections!$B300="","",Weekly_Inspections!$A300&amp;"-A1")</f>
        <v/>
      </c>
      <c r="B300" s="46">
        <f>Weekly_Inspections!$B300</f>
        <v/>
      </c>
      <c r="C300" s="30">
        <f>Weekly_Inspections!$E300</f>
        <v/>
      </c>
      <c r="D300" s="30">
        <f>Weekly_Inspections!$F300</f>
        <v/>
      </c>
      <c r="E300" s="28">
        <f>Weekly_Inspections!$H300</f>
        <v/>
      </c>
      <c r="F300" s="30">
        <f>IF(Weekly_Inspections!$AX300&lt;&gt;"",Weekly_Inspections!$AX300,IF(Weekly_Inspections!$AY300&lt;&gt;"",Weekly_Inspections!$AY300,IF(Weekly_Inspections!$AZ300&lt;&gt;"",Weekly_Inspections!$AZ300,IF(Weekly_Inspections!$BA300&lt;&gt;"",Weekly_Inspections!$BA300,IF(Weekly_Inspections!$BB300&lt;&gt;"",Weekly_Inspections!$BB300,Weekly_Inspections!$R300)))))</f>
        <v/>
      </c>
      <c r="G300" s="30">
        <f>IF(OR(Weekly_Inspections!$AQ300&lt;&gt;"",Weekly_Inspections!$AR300&lt;&gt;"",Weekly_Inspections!$AS300&lt;&gt;""),Weekly_Inspections!$AQ300,"")</f>
        <v/>
      </c>
      <c r="H300" s="30">
        <f>Weekly_Inspections!$AP300</f>
        <v/>
      </c>
      <c r="I300" s="30">
        <f>Weekly_Inspections!$AR300</f>
        <v/>
      </c>
      <c r="J300" s="30">
        <f>Weekly_Inspections!$AS300</f>
        <v/>
      </c>
      <c r="K300" s="30">
        <f>Weekly_Inspections!$AU300</f>
        <v/>
      </c>
      <c r="L300" s="46">
        <f>Weekly_Inspections!$AV300</f>
        <v/>
      </c>
      <c r="M300" s="30">
        <f>IF($B300="","",IF($N300&lt;&gt;"","Closed",IF(OR($G300&lt;&gt;"",$I300&lt;&gt;"",$J300&lt;&gt;""),"Open","")))</f>
        <v/>
      </c>
      <c r="N300" s="46" t="n"/>
      <c r="O300" s="28">
        <f>IF($B300="","",IF($M300="Closed",IF($N300="","",$N300-$B300),TODAY()-$B300))</f>
        <v/>
      </c>
      <c r="P300" s="28">
        <f>IF(OR($B300="",$L300="",$M300="Closed"),"",IF(TODAY()&gt;$L300,"YES","NO"))</f>
        <v/>
      </c>
      <c r="Q300" s="30">
        <f>Weekly_Inspections!$AW300</f>
        <v/>
      </c>
    </row>
    <row r="301" ht="15" customHeight="1" s="45">
      <c r="A301" s="28">
        <f>IF(Weekly_Inspections!$B301="","",Weekly_Inspections!$A301&amp;"-A1")</f>
        <v/>
      </c>
      <c r="B301" s="46">
        <f>Weekly_Inspections!$B301</f>
        <v/>
      </c>
      <c r="C301" s="30">
        <f>Weekly_Inspections!$E301</f>
        <v/>
      </c>
      <c r="D301" s="30">
        <f>Weekly_Inspections!$F301</f>
        <v/>
      </c>
      <c r="E301" s="28">
        <f>Weekly_Inspections!$H301</f>
        <v/>
      </c>
      <c r="F301" s="30">
        <f>IF(Weekly_Inspections!$AX301&lt;&gt;"",Weekly_Inspections!$AX301,IF(Weekly_Inspections!$AY301&lt;&gt;"",Weekly_Inspections!$AY301,IF(Weekly_Inspections!$AZ301&lt;&gt;"",Weekly_Inspections!$AZ301,IF(Weekly_Inspections!$BA301&lt;&gt;"",Weekly_Inspections!$BA301,IF(Weekly_Inspections!$BB301&lt;&gt;"",Weekly_Inspections!$BB301,Weekly_Inspections!$R301)))))</f>
        <v/>
      </c>
      <c r="G301" s="30">
        <f>IF(OR(Weekly_Inspections!$AQ301&lt;&gt;"",Weekly_Inspections!$AR301&lt;&gt;"",Weekly_Inspections!$AS301&lt;&gt;""),Weekly_Inspections!$AQ301,"")</f>
        <v/>
      </c>
      <c r="H301" s="30">
        <f>Weekly_Inspections!$AP301</f>
        <v/>
      </c>
      <c r="I301" s="30">
        <f>Weekly_Inspections!$AR301</f>
        <v/>
      </c>
      <c r="J301" s="30">
        <f>Weekly_Inspections!$AS301</f>
        <v/>
      </c>
      <c r="K301" s="30">
        <f>Weekly_Inspections!$AU301</f>
        <v/>
      </c>
      <c r="L301" s="46">
        <f>Weekly_Inspections!$AV301</f>
        <v/>
      </c>
      <c r="M301" s="30">
        <f>IF($B301="","",IF($N301&lt;&gt;"","Closed",IF(OR($G301&lt;&gt;"",$I301&lt;&gt;"",$J301&lt;&gt;""),"Open","")))</f>
        <v/>
      </c>
      <c r="N301" s="46" t="n"/>
      <c r="O301" s="28">
        <f>IF($B301="","",IF($M301="Closed",IF($N301="","",$N301-$B301),TODAY()-$B301))</f>
        <v/>
      </c>
      <c r="P301" s="28">
        <f>IF(OR($B301="",$L301="",$M301="Closed"),"",IF(TODAY()&gt;$L301,"YES","NO"))</f>
        <v/>
      </c>
      <c r="Q301" s="30">
        <f>Weekly_Inspections!$AW301</f>
        <v/>
      </c>
    </row>
    <row r="302" ht="15" customHeight="1" s="45">
      <c r="A302" s="28">
        <f>IF(Weekly_Inspections!$B302="","",Weekly_Inspections!$A302&amp;"-A1")</f>
        <v/>
      </c>
      <c r="B302" s="46">
        <f>Weekly_Inspections!$B302</f>
        <v/>
      </c>
      <c r="C302" s="30">
        <f>Weekly_Inspections!$E302</f>
        <v/>
      </c>
      <c r="D302" s="30">
        <f>Weekly_Inspections!$F302</f>
        <v/>
      </c>
      <c r="E302" s="28">
        <f>Weekly_Inspections!$H302</f>
        <v/>
      </c>
      <c r="F302" s="30">
        <f>IF(Weekly_Inspections!$AX302&lt;&gt;"",Weekly_Inspections!$AX302,IF(Weekly_Inspections!$AY302&lt;&gt;"",Weekly_Inspections!$AY302,IF(Weekly_Inspections!$AZ302&lt;&gt;"",Weekly_Inspections!$AZ302,IF(Weekly_Inspections!$BA302&lt;&gt;"",Weekly_Inspections!$BA302,IF(Weekly_Inspections!$BB302&lt;&gt;"",Weekly_Inspections!$BB302,Weekly_Inspections!$R302)))))</f>
        <v/>
      </c>
      <c r="G302" s="30">
        <f>IF(OR(Weekly_Inspections!$AQ302&lt;&gt;"",Weekly_Inspections!$AR302&lt;&gt;"",Weekly_Inspections!$AS302&lt;&gt;""),Weekly_Inspections!$AQ302,"")</f>
        <v/>
      </c>
      <c r="H302" s="30">
        <f>Weekly_Inspections!$AP302</f>
        <v/>
      </c>
      <c r="I302" s="30">
        <f>Weekly_Inspections!$AR302</f>
        <v/>
      </c>
      <c r="J302" s="30">
        <f>Weekly_Inspections!$AS302</f>
        <v/>
      </c>
      <c r="K302" s="30">
        <f>Weekly_Inspections!$AU302</f>
        <v/>
      </c>
      <c r="L302" s="46">
        <f>Weekly_Inspections!$AV302</f>
        <v/>
      </c>
      <c r="M302" s="30">
        <f>IF($B302="","",IF($N302&lt;&gt;"","Closed",IF(OR($G302&lt;&gt;"",$I302&lt;&gt;"",$J302&lt;&gt;""),"Open","")))</f>
        <v/>
      </c>
      <c r="N302" s="46" t="n"/>
      <c r="O302" s="28">
        <f>IF($B302="","",IF($M302="Closed",IF($N302="","",$N302-$B302),TODAY()-$B302))</f>
        <v/>
      </c>
      <c r="P302" s="28">
        <f>IF(OR($B302="",$L302="",$M302="Closed"),"",IF(TODAY()&gt;$L302,"YES","NO"))</f>
        <v/>
      </c>
      <c r="Q302" s="30">
        <f>Weekly_Inspections!$AW302</f>
        <v/>
      </c>
    </row>
    <row r="303" ht="15" customHeight="1" s="45">
      <c r="A303" s="28">
        <f>IF(Weekly_Inspections!$B303="","",Weekly_Inspections!$A303&amp;"-A1")</f>
        <v/>
      </c>
      <c r="B303" s="46">
        <f>Weekly_Inspections!$B303</f>
        <v/>
      </c>
      <c r="C303" s="30">
        <f>Weekly_Inspections!$E303</f>
        <v/>
      </c>
      <c r="D303" s="30">
        <f>Weekly_Inspections!$F303</f>
        <v/>
      </c>
      <c r="E303" s="28">
        <f>Weekly_Inspections!$H303</f>
        <v/>
      </c>
      <c r="F303" s="30">
        <f>IF(Weekly_Inspections!$AX303&lt;&gt;"",Weekly_Inspections!$AX303,IF(Weekly_Inspections!$AY303&lt;&gt;"",Weekly_Inspections!$AY303,IF(Weekly_Inspections!$AZ303&lt;&gt;"",Weekly_Inspections!$AZ303,IF(Weekly_Inspections!$BA303&lt;&gt;"",Weekly_Inspections!$BA303,IF(Weekly_Inspections!$BB303&lt;&gt;"",Weekly_Inspections!$BB303,Weekly_Inspections!$R303)))))</f>
        <v/>
      </c>
      <c r="G303" s="30">
        <f>IF(OR(Weekly_Inspections!$AQ303&lt;&gt;"",Weekly_Inspections!$AR303&lt;&gt;"",Weekly_Inspections!$AS303&lt;&gt;""),Weekly_Inspections!$AQ303,"")</f>
        <v/>
      </c>
      <c r="H303" s="30">
        <f>Weekly_Inspections!$AP303</f>
        <v/>
      </c>
      <c r="I303" s="30">
        <f>Weekly_Inspections!$AR303</f>
        <v/>
      </c>
      <c r="J303" s="30">
        <f>Weekly_Inspections!$AS303</f>
        <v/>
      </c>
      <c r="K303" s="30">
        <f>Weekly_Inspections!$AU303</f>
        <v/>
      </c>
      <c r="L303" s="46">
        <f>Weekly_Inspections!$AV303</f>
        <v/>
      </c>
      <c r="M303" s="30">
        <f>IF($B303="","",IF($N303&lt;&gt;"","Closed",IF(OR($G303&lt;&gt;"",$I303&lt;&gt;"",$J303&lt;&gt;""),"Open","")))</f>
        <v/>
      </c>
      <c r="N303" s="46" t="n"/>
      <c r="O303" s="28">
        <f>IF($B303="","",IF($M303="Closed",IF($N303="","",$N303-$B303),TODAY()-$B303))</f>
        <v/>
      </c>
      <c r="P303" s="28">
        <f>IF(OR($B303="",$L303="",$M303="Closed"),"",IF(TODAY()&gt;$L303,"YES","NO"))</f>
        <v/>
      </c>
      <c r="Q303" s="30">
        <f>Weekly_Inspections!$AW303</f>
        <v/>
      </c>
    </row>
    <row r="304" ht="15" customHeight="1" s="45">
      <c r="A304" s="28">
        <f>IF(Weekly_Inspections!$B304="","",Weekly_Inspections!$A304&amp;"-A1")</f>
        <v/>
      </c>
      <c r="B304" s="46">
        <f>Weekly_Inspections!$B304</f>
        <v/>
      </c>
      <c r="C304" s="30">
        <f>Weekly_Inspections!$E304</f>
        <v/>
      </c>
      <c r="D304" s="30">
        <f>Weekly_Inspections!$F304</f>
        <v/>
      </c>
      <c r="E304" s="28">
        <f>Weekly_Inspections!$H304</f>
        <v/>
      </c>
      <c r="F304" s="30">
        <f>IF(Weekly_Inspections!$AX304&lt;&gt;"",Weekly_Inspections!$AX304,IF(Weekly_Inspections!$AY304&lt;&gt;"",Weekly_Inspections!$AY304,IF(Weekly_Inspections!$AZ304&lt;&gt;"",Weekly_Inspections!$AZ304,IF(Weekly_Inspections!$BA304&lt;&gt;"",Weekly_Inspections!$BA304,IF(Weekly_Inspections!$BB304&lt;&gt;"",Weekly_Inspections!$BB304,Weekly_Inspections!$R304)))))</f>
        <v/>
      </c>
      <c r="G304" s="30">
        <f>IF(OR(Weekly_Inspections!$AQ304&lt;&gt;"",Weekly_Inspections!$AR304&lt;&gt;"",Weekly_Inspections!$AS304&lt;&gt;""),Weekly_Inspections!$AQ304,"")</f>
        <v/>
      </c>
      <c r="H304" s="30">
        <f>Weekly_Inspections!$AP304</f>
        <v/>
      </c>
      <c r="I304" s="30">
        <f>Weekly_Inspections!$AR304</f>
        <v/>
      </c>
      <c r="J304" s="30">
        <f>Weekly_Inspections!$AS304</f>
        <v/>
      </c>
      <c r="K304" s="30">
        <f>Weekly_Inspections!$AU304</f>
        <v/>
      </c>
      <c r="L304" s="46">
        <f>Weekly_Inspections!$AV304</f>
        <v/>
      </c>
      <c r="M304" s="30">
        <f>IF($B304="","",IF($N304&lt;&gt;"","Closed",IF(OR($G304&lt;&gt;"",$I304&lt;&gt;"",$J304&lt;&gt;""),"Open","")))</f>
        <v/>
      </c>
      <c r="N304" s="46" t="n"/>
      <c r="O304" s="28">
        <f>IF($B304="","",IF($M304="Closed",IF($N304="","",$N304-$B304),TODAY()-$B304))</f>
        <v/>
      </c>
      <c r="P304" s="28">
        <f>IF(OR($B304="",$L304="",$M304="Closed"),"",IF(TODAY()&gt;$L304,"YES","NO"))</f>
        <v/>
      </c>
      <c r="Q304" s="30">
        <f>Weekly_Inspections!$AW304</f>
        <v/>
      </c>
    </row>
    <row r="305" ht="15" customHeight="1" s="45">
      <c r="A305" s="28">
        <f>IF(Weekly_Inspections!$B305="","",Weekly_Inspections!$A305&amp;"-A1")</f>
        <v/>
      </c>
      <c r="B305" s="46">
        <f>Weekly_Inspections!$B305</f>
        <v/>
      </c>
      <c r="C305" s="30">
        <f>Weekly_Inspections!$E305</f>
        <v/>
      </c>
      <c r="D305" s="30">
        <f>Weekly_Inspections!$F305</f>
        <v/>
      </c>
      <c r="E305" s="28">
        <f>Weekly_Inspections!$H305</f>
        <v/>
      </c>
      <c r="F305" s="30">
        <f>IF(Weekly_Inspections!$AX305&lt;&gt;"",Weekly_Inspections!$AX305,IF(Weekly_Inspections!$AY305&lt;&gt;"",Weekly_Inspections!$AY305,IF(Weekly_Inspections!$AZ305&lt;&gt;"",Weekly_Inspections!$AZ305,IF(Weekly_Inspections!$BA305&lt;&gt;"",Weekly_Inspections!$BA305,IF(Weekly_Inspections!$BB305&lt;&gt;"",Weekly_Inspections!$BB305,Weekly_Inspections!$R305)))))</f>
        <v/>
      </c>
      <c r="G305" s="30">
        <f>IF(OR(Weekly_Inspections!$AQ305&lt;&gt;"",Weekly_Inspections!$AR305&lt;&gt;"",Weekly_Inspections!$AS305&lt;&gt;""),Weekly_Inspections!$AQ305,"")</f>
        <v/>
      </c>
      <c r="H305" s="30">
        <f>Weekly_Inspections!$AP305</f>
        <v/>
      </c>
      <c r="I305" s="30">
        <f>Weekly_Inspections!$AR305</f>
        <v/>
      </c>
      <c r="J305" s="30">
        <f>Weekly_Inspections!$AS305</f>
        <v/>
      </c>
      <c r="K305" s="30">
        <f>Weekly_Inspections!$AU305</f>
        <v/>
      </c>
      <c r="L305" s="46">
        <f>Weekly_Inspections!$AV305</f>
        <v/>
      </c>
      <c r="M305" s="30">
        <f>IF($B305="","",IF($N305&lt;&gt;"","Closed",IF(OR($G305&lt;&gt;"",$I305&lt;&gt;"",$J305&lt;&gt;""),"Open","")))</f>
        <v/>
      </c>
      <c r="N305" s="46" t="n"/>
      <c r="O305" s="28">
        <f>IF($B305="","",IF($M305="Closed",IF($N305="","",$N305-$B305),TODAY()-$B305))</f>
        <v/>
      </c>
      <c r="P305" s="28">
        <f>IF(OR($B305="",$L305="",$M305="Closed"),"",IF(TODAY()&gt;$L305,"YES","NO"))</f>
        <v/>
      </c>
      <c r="Q305" s="30">
        <f>Weekly_Inspections!$AW305</f>
        <v/>
      </c>
    </row>
    <row r="306" ht="15" customHeight="1" s="45">
      <c r="A306" s="28">
        <f>IF(Weekly_Inspections!$B306="","",Weekly_Inspections!$A306&amp;"-A1")</f>
        <v/>
      </c>
      <c r="B306" s="46">
        <f>Weekly_Inspections!$B306</f>
        <v/>
      </c>
      <c r="C306" s="30">
        <f>Weekly_Inspections!$E306</f>
        <v/>
      </c>
      <c r="D306" s="30">
        <f>Weekly_Inspections!$F306</f>
        <v/>
      </c>
      <c r="E306" s="28">
        <f>Weekly_Inspections!$H306</f>
        <v/>
      </c>
      <c r="F306" s="30">
        <f>IF(Weekly_Inspections!$AX306&lt;&gt;"",Weekly_Inspections!$AX306,IF(Weekly_Inspections!$AY306&lt;&gt;"",Weekly_Inspections!$AY306,IF(Weekly_Inspections!$AZ306&lt;&gt;"",Weekly_Inspections!$AZ306,IF(Weekly_Inspections!$BA306&lt;&gt;"",Weekly_Inspections!$BA306,IF(Weekly_Inspections!$BB306&lt;&gt;"",Weekly_Inspections!$BB306,Weekly_Inspections!$R306)))))</f>
        <v/>
      </c>
      <c r="G306" s="30">
        <f>IF(OR(Weekly_Inspections!$AQ306&lt;&gt;"",Weekly_Inspections!$AR306&lt;&gt;"",Weekly_Inspections!$AS306&lt;&gt;""),Weekly_Inspections!$AQ306,"")</f>
        <v/>
      </c>
      <c r="H306" s="30">
        <f>Weekly_Inspections!$AP306</f>
        <v/>
      </c>
      <c r="I306" s="30">
        <f>Weekly_Inspections!$AR306</f>
        <v/>
      </c>
      <c r="J306" s="30">
        <f>Weekly_Inspections!$AS306</f>
        <v/>
      </c>
      <c r="K306" s="30">
        <f>Weekly_Inspections!$AU306</f>
        <v/>
      </c>
      <c r="L306" s="46">
        <f>Weekly_Inspections!$AV306</f>
        <v/>
      </c>
      <c r="M306" s="30">
        <f>IF($B306="","",IF($N306&lt;&gt;"","Closed",IF(OR($G306&lt;&gt;"",$I306&lt;&gt;"",$J306&lt;&gt;""),"Open","")))</f>
        <v/>
      </c>
      <c r="N306" s="46" t="n"/>
      <c r="O306" s="28">
        <f>IF($B306="","",IF($M306="Closed",IF($N306="","",$N306-$B306),TODAY()-$B306))</f>
        <v/>
      </c>
      <c r="P306" s="28">
        <f>IF(OR($B306="",$L306="",$M306="Closed"),"",IF(TODAY()&gt;$L306,"YES","NO"))</f>
        <v/>
      </c>
      <c r="Q306" s="30">
        <f>Weekly_Inspections!$AW306</f>
        <v/>
      </c>
    </row>
    <row r="307" ht="15" customHeight="1" s="45">
      <c r="A307" s="28">
        <f>IF(Weekly_Inspections!$B307="","",Weekly_Inspections!$A307&amp;"-A1")</f>
        <v/>
      </c>
      <c r="B307" s="46">
        <f>Weekly_Inspections!$B307</f>
        <v/>
      </c>
      <c r="C307" s="30">
        <f>Weekly_Inspections!$E307</f>
        <v/>
      </c>
      <c r="D307" s="30">
        <f>Weekly_Inspections!$F307</f>
        <v/>
      </c>
      <c r="E307" s="28">
        <f>Weekly_Inspections!$H307</f>
        <v/>
      </c>
      <c r="F307" s="30">
        <f>IF(Weekly_Inspections!$AX307&lt;&gt;"",Weekly_Inspections!$AX307,IF(Weekly_Inspections!$AY307&lt;&gt;"",Weekly_Inspections!$AY307,IF(Weekly_Inspections!$AZ307&lt;&gt;"",Weekly_Inspections!$AZ307,IF(Weekly_Inspections!$BA307&lt;&gt;"",Weekly_Inspections!$BA307,IF(Weekly_Inspections!$BB307&lt;&gt;"",Weekly_Inspections!$BB307,Weekly_Inspections!$R307)))))</f>
        <v/>
      </c>
      <c r="G307" s="30">
        <f>IF(OR(Weekly_Inspections!$AQ307&lt;&gt;"",Weekly_Inspections!$AR307&lt;&gt;"",Weekly_Inspections!$AS307&lt;&gt;""),Weekly_Inspections!$AQ307,"")</f>
        <v/>
      </c>
      <c r="H307" s="30">
        <f>Weekly_Inspections!$AP307</f>
        <v/>
      </c>
      <c r="I307" s="30">
        <f>Weekly_Inspections!$AR307</f>
        <v/>
      </c>
      <c r="J307" s="30">
        <f>Weekly_Inspections!$AS307</f>
        <v/>
      </c>
      <c r="K307" s="30">
        <f>Weekly_Inspections!$AU307</f>
        <v/>
      </c>
      <c r="L307" s="46">
        <f>Weekly_Inspections!$AV307</f>
        <v/>
      </c>
      <c r="M307" s="30">
        <f>IF($B307="","",IF($N307&lt;&gt;"","Closed",IF(OR($G307&lt;&gt;"",$I307&lt;&gt;"",$J307&lt;&gt;""),"Open","")))</f>
        <v/>
      </c>
      <c r="N307" s="46" t="n"/>
      <c r="O307" s="28">
        <f>IF($B307="","",IF($M307="Closed",IF($N307="","",$N307-$B307),TODAY()-$B307))</f>
        <v/>
      </c>
      <c r="P307" s="28">
        <f>IF(OR($B307="",$L307="",$M307="Closed"),"",IF(TODAY()&gt;$L307,"YES","NO"))</f>
        <v/>
      </c>
      <c r="Q307" s="30">
        <f>Weekly_Inspections!$AW307</f>
        <v/>
      </c>
    </row>
    <row r="308" ht="15" customHeight="1" s="45">
      <c r="A308" s="28">
        <f>IF(Weekly_Inspections!$B308="","",Weekly_Inspections!$A308&amp;"-A1")</f>
        <v/>
      </c>
      <c r="B308" s="46">
        <f>Weekly_Inspections!$B308</f>
        <v/>
      </c>
      <c r="C308" s="30">
        <f>Weekly_Inspections!$E308</f>
        <v/>
      </c>
      <c r="D308" s="30">
        <f>Weekly_Inspections!$F308</f>
        <v/>
      </c>
      <c r="E308" s="28">
        <f>Weekly_Inspections!$H308</f>
        <v/>
      </c>
      <c r="F308" s="30">
        <f>IF(Weekly_Inspections!$AX308&lt;&gt;"",Weekly_Inspections!$AX308,IF(Weekly_Inspections!$AY308&lt;&gt;"",Weekly_Inspections!$AY308,IF(Weekly_Inspections!$AZ308&lt;&gt;"",Weekly_Inspections!$AZ308,IF(Weekly_Inspections!$BA308&lt;&gt;"",Weekly_Inspections!$BA308,IF(Weekly_Inspections!$BB308&lt;&gt;"",Weekly_Inspections!$BB308,Weekly_Inspections!$R308)))))</f>
        <v/>
      </c>
      <c r="G308" s="30">
        <f>IF(OR(Weekly_Inspections!$AQ308&lt;&gt;"",Weekly_Inspections!$AR308&lt;&gt;"",Weekly_Inspections!$AS308&lt;&gt;""),Weekly_Inspections!$AQ308,"")</f>
        <v/>
      </c>
      <c r="H308" s="30">
        <f>Weekly_Inspections!$AP308</f>
        <v/>
      </c>
      <c r="I308" s="30">
        <f>Weekly_Inspections!$AR308</f>
        <v/>
      </c>
      <c r="J308" s="30">
        <f>Weekly_Inspections!$AS308</f>
        <v/>
      </c>
      <c r="K308" s="30">
        <f>Weekly_Inspections!$AU308</f>
        <v/>
      </c>
      <c r="L308" s="46">
        <f>Weekly_Inspections!$AV308</f>
        <v/>
      </c>
      <c r="M308" s="30">
        <f>IF($B308="","",IF($N308&lt;&gt;"","Closed",IF(OR($G308&lt;&gt;"",$I308&lt;&gt;"",$J308&lt;&gt;""),"Open","")))</f>
        <v/>
      </c>
      <c r="N308" s="46" t="n"/>
      <c r="O308" s="28">
        <f>IF($B308="","",IF($M308="Closed",IF($N308="","",$N308-$B308),TODAY()-$B308))</f>
        <v/>
      </c>
      <c r="P308" s="28">
        <f>IF(OR($B308="",$L308="",$M308="Closed"),"",IF(TODAY()&gt;$L308,"YES","NO"))</f>
        <v/>
      </c>
      <c r="Q308" s="30">
        <f>Weekly_Inspections!$AW308</f>
        <v/>
      </c>
    </row>
    <row r="309" ht="15" customHeight="1" s="45">
      <c r="A309" s="28">
        <f>IF(Weekly_Inspections!$B309="","",Weekly_Inspections!$A309&amp;"-A1")</f>
        <v/>
      </c>
      <c r="B309" s="46">
        <f>Weekly_Inspections!$B309</f>
        <v/>
      </c>
      <c r="C309" s="30">
        <f>Weekly_Inspections!$E309</f>
        <v/>
      </c>
      <c r="D309" s="30">
        <f>Weekly_Inspections!$F309</f>
        <v/>
      </c>
      <c r="E309" s="28">
        <f>Weekly_Inspections!$H309</f>
        <v/>
      </c>
      <c r="F309" s="30">
        <f>IF(Weekly_Inspections!$AX309&lt;&gt;"",Weekly_Inspections!$AX309,IF(Weekly_Inspections!$AY309&lt;&gt;"",Weekly_Inspections!$AY309,IF(Weekly_Inspections!$AZ309&lt;&gt;"",Weekly_Inspections!$AZ309,IF(Weekly_Inspections!$BA309&lt;&gt;"",Weekly_Inspections!$BA309,IF(Weekly_Inspections!$BB309&lt;&gt;"",Weekly_Inspections!$BB309,Weekly_Inspections!$R309)))))</f>
        <v/>
      </c>
      <c r="G309" s="30">
        <f>IF(OR(Weekly_Inspections!$AQ309&lt;&gt;"",Weekly_Inspections!$AR309&lt;&gt;"",Weekly_Inspections!$AS309&lt;&gt;""),Weekly_Inspections!$AQ309,"")</f>
        <v/>
      </c>
      <c r="H309" s="30">
        <f>Weekly_Inspections!$AP309</f>
        <v/>
      </c>
      <c r="I309" s="30">
        <f>Weekly_Inspections!$AR309</f>
        <v/>
      </c>
      <c r="J309" s="30">
        <f>Weekly_Inspections!$AS309</f>
        <v/>
      </c>
      <c r="K309" s="30">
        <f>Weekly_Inspections!$AU309</f>
        <v/>
      </c>
      <c r="L309" s="46">
        <f>Weekly_Inspections!$AV309</f>
        <v/>
      </c>
      <c r="M309" s="30">
        <f>IF($B309="","",IF($N309&lt;&gt;"","Closed",IF(OR($G309&lt;&gt;"",$I309&lt;&gt;"",$J309&lt;&gt;""),"Open","")))</f>
        <v/>
      </c>
      <c r="N309" s="46" t="n"/>
      <c r="O309" s="28">
        <f>IF($B309="","",IF($M309="Closed",IF($N309="","",$N309-$B309),TODAY()-$B309))</f>
        <v/>
      </c>
      <c r="P309" s="28">
        <f>IF(OR($B309="",$L309="",$M309="Closed"),"",IF(TODAY()&gt;$L309,"YES","NO"))</f>
        <v/>
      </c>
      <c r="Q309" s="30">
        <f>Weekly_Inspections!$AW309</f>
        <v/>
      </c>
    </row>
    <row r="310" ht="15" customHeight="1" s="45">
      <c r="A310" s="28">
        <f>IF(Weekly_Inspections!$B310="","",Weekly_Inspections!$A310&amp;"-A1")</f>
        <v/>
      </c>
      <c r="B310" s="46">
        <f>Weekly_Inspections!$B310</f>
        <v/>
      </c>
      <c r="C310" s="30">
        <f>Weekly_Inspections!$E310</f>
        <v/>
      </c>
      <c r="D310" s="30">
        <f>Weekly_Inspections!$F310</f>
        <v/>
      </c>
      <c r="E310" s="28">
        <f>Weekly_Inspections!$H310</f>
        <v/>
      </c>
      <c r="F310" s="30">
        <f>IF(Weekly_Inspections!$AX310&lt;&gt;"",Weekly_Inspections!$AX310,IF(Weekly_Inspections!$AY310&lt;&gt;"",Weekly_Inspections!$AY310,IF(Weekly_Inspections!$AZ310&lt;&gt;"",Weekly_Inspections!$AZ310,IF(Weekly_Inspections!$BA310&lt;&gt;"",Weekly_Inspections!$BA310,IF(Weekly_Inspections!$BB310&lt;&gt;"",Weekly_Inspections!$BB310,Weekly_Inspections!$R310)))))</f>
        <v/>
      </c>
      <c r="G310" s="30">
        <f>IF(OR(Weekly_Inspections!$AQ310&lt;&gt;"",Weekly_Inspections!$AR310&lt;&gt;"",Weekly_Inspections!$AS310&lt;&gt;""),Weekly_Inspections!$AQ310,"")</f>
        <v/>
      </c>
      <c r="H310" s="30">
        <f>Weekly_Inspections!$AP310</f>
        <v/>
      </c>
      <c r="I310" s="30">
        <f>Weekly_Inspections!$AR310</f>
        <v/>
      </c>
      <c r="J310" s="30">
        <f>Weekly_Inspections!$AS310</f>
        <v/>
      </c>
      <c r="K310" s="30">
        <f>Weekly_Inspections!$AU310</f>
        <v/>
      </c>
      <c r="L310" s="46">
        <f>Weekly_Inspections!$AV310</f>
        <v/>
      </c>
      <c r="M310" s="30">
        <f>IF($B310="","",IF($N310&lt;&gt;"","Closed",IF(OR($G310&lt;&gt;"",$I310&lt;&gt;"",$J310&lt;&gt;""),"Open","")))</f>
        <v/>
      </c>
      <c r="N310" s="46" t="n"/>
      <c r="O310" s="28">
        <f>IF($B310="","",IF($M310="Closed",IF($N310="","",$N310-$B310),TODAY()-$B310))</f>
        <v/>
      </c>
      <c r="P310" s="28">
        <f>IF(OR($B310="",$L310="",$M310="Closed"),"",IF(TODAY()&gt;$L310,"YES","NO"))</f>
        <v/>
      </c>
      <c r="Q310" s="30">
        <f>Weekly_Inspections!$AW310</f>
        <v/>
      </c>
    </row>
    <row r="311" ht="15" customHeight="1" s="45">
      <c r="A311" s="28">
        <f>IF(Weekly_Inspections!$B311="","",Weekly_Inspections!$A311&amp;"-A1")</f>
        <v/>
      </c>
      <c r="B311" s="46">
        <f>Weekly_Inspections!$B311</f>
        <v/>
      </c>
      <c r="C311" s="30">
        <f>Weekly_Inspections!$E311</f>
        <v/>
      </c>
      <c r="D311" s="30">
        <f>Weekly_Inspections!$F311</f>
        <v/>
      </c>
      <c r="E311" s="28">
        <f>Weekly_Inspections!$H311</f>
        <v/>
      </c>
      <c r="F311" s="30">
        <f>IF(Weekly_Inspections!$AX311&lt;&gt;"",Weekly_Inspections!$AX311,IF(Weekly_Inspections!$AY311&lt;&gt;"",Weekly_Inspections!$AY311,IF(Weekly_Inspections!$AZ311&lt;&gt;"",Weekly_Inspections!$AZ311,IF(Weekly_Inspections!$BA311&lt;&gt;"",Weekly_Inspections!$BA311,IF(Weekly_Inspections!$BB311&lt;&gt;"",Weekly_Inspections!$BB311,Weekly_Inspections!$R311)))))</f>
        <v/>
      </c>
      <c r="G311" s="30">
        <f>IF(OR(Weekly_Inspections!$AQ311&lt;&gt;"",Weekly_Inspections!$AR311&lt;&gt;"",Weekly_Inspections!$AS311&lt;&gt;""),Weekly_Inspections!$AQ311,"")</f>
        <v/>
      </c>
      <c r="H311" s="30">
        <f>Weekly_Inspections!$AP311</f>
        <v/>
      </c>
      <c r="I311" s="30">
        <f>Weekly_Inspections!$AR311</f>
        <v/>
      </c>
      <c r="J311" s="30">
        <f>Weekly_Inspections!$AS311</f>
        <v/>
      </c>
      <c r="K311" s="30">
        <f>Weekly_Inspections!$AU311</f>
        <v/>
      </c>
      <c r="L311" s="46">
        <f>Weekly_Inspections!$AV311</f>
        <v/>
      </c>
      <c r="M311" s="30">
        <f>IF($B311="","",IF($N311&lt;&gt;"","Closed",IF(OR($G311&lt;&gt;"",$I311&lt;&gt;"",$J311&lt;&gt;""),"Open","")))</f>
        <v/>
      </c>
      <c r="N311" s="46" t="n"/>
      <c r="O311" s="28">
        <f>IF($B311="","",IF($M311="Closed",IF($N311="","",$N311-$B311),TODAY()-$B311))</f>
        <v/>
      </c>
      <c r="P311" s="28">
        <f>IF(OR($B311="",$L311="",$M311="Closed"),"",IF(TODAY()&gt;$L311,"YES","NO"))</f>
        <v/>
      </c>
      <c r="Q311" s="30">
        <f>Weekly_Inspections!$AW311</f>
        <v/>
      </c>
    </row>
    <row r="312" ht="15" customHeight="1" s="45">
      <c r="A312" s="28">
        <f>IF(Weekly_Inspections!$B312="","",Weekly_Inspections!$A312&amp;"-A1")</f>
        <v/>
      </c>
      <c r="B312" s="46">
        <f>Weekly_Inspections!$B312</f>
        <v/>
      </c>
      <c r="C312" s="30">
        <f>Weekly_Inspections!$E312</f>
        <v/>
      </c>
      <c r="D312" s="30">
        <f>Weekly_Inspections!$F312</f>
        <v/>
      </c>
      <c r="E312" s="28">
        <f>Weekly_Inspections!$H312</f>
        <v/>
      </c>
      <c r="F312" s="30">
        <f>IF(Weekly_Inspections!$AX312&lt;&gt;"",Weekly_Inspections!$AX312,IF(Weekly_Inspections!$AY312&lt;&gt;"",Weekly_Inspections!$AY312,IF(Weekly_Inspections!$AZ312&lt;&gt;"",Weekly_Inspections!$AZ312,IF(Weekly_Inspections!$BA312&lt;&gt;"",Weekly_Inspections!$BA312,IF(Weekly_Inspections!$BB312&lt;&gt;"",Weekly_Inspections!$BB312,Weekly_Inspections!$R312)))))</f>
        <v/>
      </c>
      <c r="G312" s="30">
        <f>IF(OR(Weekly_Inspections!$AQ312&lt;&gt;"",Weekly_Inspections!$AR312&lt;&gt;"",Weekly_Inspections!$AS312&lt;&gt;""),Weekly_Inspections!$AQ312,"")</f>
        <v/>
      </c>
      <c r="H312" s="30">
        <f>Weekly_Inspections!$AP312</f>
        <v/>
      </c>
      <c r="I312" s="30">
        <f>Weekly_Inspections!$AR312</f>
        <v/>
      </c>
      <c r="J312" s="30">
        <f>Weekly_Inspections!$AS312</f>
        <v/>
      </c>
      <c r="K312" s="30">
        <f>Weekly_Inspections!$AU312</f>
        <v/>
      </c>
      <c r="L312" s="46">
        <f>Weekly_Inspections!$AV312</f>
        <v/>
      </c>
      <c r="M312" s="30">
        <f>IF($B312="","",IF($N312&lt;&gt;"","Closed",IF(OR($G312&lt;&gt;"",$I312&lt;&gt;"",$J312&lt;&gt;""),"Open","")))</f>
        <v/>
      </c>
      <c r="N312" s="46" t="n"/>
      <c r="O312" s="28">
        <f>IF($B312="","",IF($M312="Closed",IF($N312="","",$N312-$B312),TODAY()-$B312))</f>
        <v/>
      </c>
      <c r="P312" s="28">
        <f>IF(OR($B312="",$L312="",$M312="Closed"),"",IF(TODAY()&gt;$L312,"YES","NO"))</f>
        <v/>
      </c>
      <c r="Q312" s="30">
        <f>Weekly_Inspections!$AW312</f>
        <v/>
      </c>
    </row>
    <row r="313" ht="15" customHeight="1" s="45">
      <c r="A313" s="28">
        <f>IF(Weekly_Inspections!$B313="","",Weekly_Inspections!$A313&amp;"-A1")</f>
        <v/>
      </c>
      <c r="B313" s="46">
        <f>Weekly_Inspections!$B313</f>
        <v/>
      </c>
      <c r="C313" s="30">
        <f>Weekly_Inspections!$E313</f>
        <v/>
      </c>
      <c r="D313" s="30">
        <f>Weekly_Inspections!$F313</f>
        <v/>
      </c>
      <c r="E313" s="28">
        <f>Weekly_Inspections!$H313</f>
        <v/>
      </c>
      <c r="F313" s="30">
        <f>IF(Weekly_Inspections!$AX313&lt;&gt;"",Weekly_Inspections!$AX313,IF(Weekly_Inspections!$AY313&lt;&gt;"",Weekly_Inspections!$AY313,IF(Weekly_Inspections!$AZ313&lt;&gt;"",Weekly_Inspections!$AZ313,IF(Weekly_Inspections!$BA313&lt;&gt;"",Weekly_Inspections!$BA313,IF(Weekly_Inspections!$BB313&lt;&gt;"",Weekly_Inspections!$BB313,Weekly_Inspections!$R313)))))</f>
        <v/>
      </c>
      <c r="G313" s="30">
        <f>IF(OR(Weekly_Inspections!$AQ313&lt;&gt;"",Weekly_Inspections!$AR313&lt;&gt;"",Weekly_Inspections!$AS313&lt;&gt;""),Weekly_Inspections!$AQ313,"")</f>
        <v/>
      </c>
      <c r="H313" s="30">
        <f>Weekly_Inspections!$AP313</f>
        <v/>
      </c>
      <c r="I313" s="30">
        <f>Weekly_Inspections!$AR313</f>
        <v/>
      </c>
      <c r="J313" s="30">
        <f>Weekly_Inspections!$AS313</f>
        <v/>
      </c>
      <c r="K313" s="30">
        <f>Weekly_Inspections!$AU313</f>
        <v/>
      </c>
      <c r="L313" s="46">
        <f>Weekly_Inspections!$AV313</f>
        <v/>
      </c>
      <c r="M313" s="30">
        <f>IF($B313="","",IF($N313&lt;&gt;"","Closed",IF(OR($G313&lt;&gt;"",$I313&lt;&gt;"",$J313&lt;&gt;""),"Open","")))</f>
        <v/>
      </c>
      <c r="N313" s="46" t="n"/>
      <c r="O313" s="28">
        <f>IF($B313="","",IF($M313="Closed",IF($N313="","",$N313-$B313),TODAY()-$B313))</f>
        <v/>
      </c>
      <c r="P313" s="28">
        <f>IF(OR($B313="",$L313="",$M313="Closed"),"",IF(TODAY()&gt;$L313,"YES","NO"))</f>
        <v/>
      </c>
      <c r="Q313" s="30">
        <f>Weekly_Inspections!$AW313</f>
        <v/>
      </c>
    </row>
    <row r="314" ht="15" customHeight="1" s="45">
      <c r="A314" s="28">
        <f>IF(Weekly_Inspections!$B314="","",Weekly_Inspections!$A314&amp;"-A1")</f>
        <v/>
      </c>
      <c r="B314" s="46">
        <f>Weekly_Inspections!$B314</f>
        <v/>
      </c>
      <c r="C314" s="30">
        <f>Weekly_Inspections!$E314</f>
        <v/>
      </c>
      <c r="D314" s="30">
        <f>Weekly_Inspections!$F314</f>
        <v/>
      </c>
      <c r="E314" s="28">
        <f>Weekly_Inspections!$H314</f>
        <v/>
      </c>
      <c r="F314" s="30">
        <f>IF(Weekly_Inspections!$AX314&lt;&gt;"",Weekly_Inspections!$AX314,IF(Weekly_Inspections!$AY314&lt;&gt;"",Weekly_Inspections!$AY314,IF(Weekly_Inspections!$AZ314&lt;&gt;"",Weekly_Inspections!$AZ314,IF(Weekly_Inspections!$BA314&lt;&gt;"",Weekly_Inspections!$BA314,IF(Weekly_Inspections!$BB314&lt;&gt;"",Weekly_Inspections!$BB314,Weekly_Inspections!$R314)))))</f>
        <v/>
      </c>
      <c r="G314" s="30">
        <f>IF(OR(Weekly_Inspections!$AQ314&lt;&gt;"",Weekly_Inspections!$AR314&lt;&gt;"",Weekly_Inspections!$AS314&lt;&gt;""),Weekly_Inspections!$AQ314,"")</f>
        <v/>
      </c>
      <c r="H314" s="30">
        <f>Weekly_Inspections!$AP314</f>
        <v/>
      </c>
      <c r="I314" s="30">
        <f>Weekly_Inspections!$AR314</f>
        <v/>
      </c>
      <c r="J314" s="30">
        <f>Weekly_Inspections!$AS314</f>
        <v/>
      </c>
      <c r="K314" s="30">
        <f>Weekly_Inspections!$AU314</f>
        <v/>
      </c>
      <c r="L314" s="46">
        <f>Weekly_Inspections!$AV314</f>
        <v/>
      </c>
      <c r="M314" s="30">
        <f>IF($B314="","",IF($N314&lt;&gt;"","Closed",IF(OR($G314&lt;&gt;"",$I314&lt;&gt;"",$J314&lt;&gt;""),"Open","")))</f>
        <v/>
      </c>
      <c r="N314" s="46" t="n"/>
      <c r="O314" s="28">
        <f>IF($B314="","",IF($M314="Closed",IF($N314="","",$N314-$B314),TODAY()-$B314))</f>
        <v/>
      </c>
      <c r="P314" s="28">
        <f>IF(OR($B314="",$L314="",$M314="Closed"),"",IF(TODAY()&gt;$L314,"YES","NO"))</f>
        <v/>
      </c>
      <c r="Q314" s="30">
        <f>Weekly_Inspections!$AW314</f>
        <v/>
      </c>
    </row>
    <row r="315" ht="15" customHeight="1" s="45">
      <c r="A315" s="28">
        <f>IF(Weekly_Inspections!$B315="","",Weekly_Inspections!$A315&amp;"-A1")</f>
        <v/>
      </c>
      <c r="B315" s="46">
        <f>Weekly_Inspections!$B315</f>
        <v/>
      </c>
      <c r="C315" s="30">
        <f>Weekly_Inspections!$E315</f>
        <v/>
      </c>
      <c r="D315" s="30">
        <f>Weekly_Inspections!$F315</f>
        <v/>
      </c>
      <c r="E315" s="28">
        <f>Weekly_Inspections!$H315</f>
        <v/>
      </c>
      <c r="F315" s="30">
        <f>IF(Weekly_Inspections!$AX315&lt;&gt;"",Weekly_Inspections!$AX315,IF(Weekly_Inspections!$AY315&lt;&gt;"",Weekly_Inspections!$AY315,IF(Weekly_Inspections!$AZ315&lt;&gt;"",Weekly_Inspections!$AZ315,IF(Weekly_Inspections!$BA315&lt;&gt;"",Weekly_Inspections!$BA315,IF(Weekly_Inspections!$BB315&lt;&gt;"",Weekly_Inspections!$BB315,Weekly_Inspections!$R315)))))</f>
        <v/>
      </c>
      <c r="G315" s="30">
        <f>IF(OR(Weekly_Inspections!$AQ315&lt;&gt;"",Weekly_Inspections!$AR315&lt;&gt;"",Weekly_Inspections!$AS315&lt;&gt;""),Weekly_Inspections!$AQ315,"")</f>
        <v/>
      </c>
      <c r="H315" s="30">
        <f>Weekly_Inspections!$AP315</f>
        <v/>
      </c>
      <c r="I315" s="30">
        <f>Weekly_Inspections!$AR315</f>
        <v/>
      </c>
      <c r="J315" s="30">
        <f>Weekly_Inspections!$AS315</f>
        <v/>
      </c>
      <c r="K315" s="30">
        <f>Weekly_Inspections!$AU315</f>
        <v/>
      </c>
      <c r="L315" s="46">
        <f>Weekly_Inspections!$AV315</f>
        <v/>
      </c>
      <c r="M315" s="30">
        <f>IF($B315="","",IF($N315&lt;&gt;"","Closed",IF(OR($G315&lt;&gt;"",$I315&lt;&gt;"",$J315&lt;&gt;""),"Open","")))</f>
        <v/>
      </c>
      <c r="N315" s="46" t="n"/>
      <c r="O315" s="28">
        <f>IF($B315="","",IF($M315="Closed",IF($N315="","",$N315-$B315),TODAY()-$B315))</f>
        <v/>
      </c>
      <c r="P315" s="28">
        <f>IF(OR($B315="",$L315="",$M315="Closed"),"",IF(TODAY()&gt;$L315,"YES","NO"))</f>
        <v/>
      </c>
      <c r="Q315" s="30">
        <f>Weekly_Inspections!$AW315</f>
        <v/>
      </c>
    </row>
    <row r="316" ht="15" customHeight="1" s="45">
      <c r="A316" s="28">
        <f>IF(Weekly_Inspections!$B316="","",Weekly_Inspections!$A316&amp;"-A1")</f>
        <v/>
      </c>
      <c r="B316" s="46">
        <f>Weekly_Inspections!$B316</f>
        <v/>
      </c>
      <c r="C316" s="30">
        <f>Weekly_Inspections!$E316</f>
        <v/>
      </c>
      <c r="D316" s="30">
        <f>Weekly_Inspections!$F316</f>
        <v/>
      </c>
      <c r="E316" s="28">
        <f>Weekly_Inspections!$H316</f>
        <v/>
      </c>
      <c r="F316" s="30">
        <f>IF(Weekly_Inspections!$AX316&lt;&gt;"",Weekly_Inspections!$AX316,IF(Weekly_Inspections!$AY316&lt;&gt;"",Weekly_Inspections!$AY316,IF(Weekly_Inspections!$AZ316&lt;&gt;"",Weekly_Inspections!$AZ316,IF(Weekly_Inspections!$BA316&lt;&gt;"",Weekly_Inspections!$BA316,IF(Weekly_Inspections!$BB316&lt;&gt;"",Weekly_Inspections!$BB316,Weekly_Inspections!$R316)))))</f>
        <v/>
      </c>
      <c r="G316" s="30">
        <f>IF(OR(Weekly_Inspections!$AQ316&lt;&gt;"",Weekly_Inspections!$AR316&lt;&gt;"",Weekly_Inspections!$AS316&lt;&gt;""),Weekly_Inspections!$AQ316,"")</f>
        <v/>
      </c>
      <c r="H316" s="30">
        <f>Weekly_Inspections!$AP316</f>
        <v/>
      </c>
      <c r="I316" s="30">
        <f>Weekly_Inspections!$AR316</f>
        <v/>
      </c>
      <c r="J316" s="30">
        <f>Weekly_Inspections!$AS316</f>
        <v/>
      </c>
      <c r="K316" s="30">
        <f>Weekly_Inspections!$AU316</f>
        <v/>
      </c>
      <c r="L316" s="46">
        <f>Weekly_Inspections!$AV316</f>
        <v/>
      </c>
      <c r="M316" s="30">
        <f>IF($B316="","",IF($N316&lt;&gt;"","Closed",IF(OR($G316&lt;&gt;"",$I316&lt;&gt;"",$J316&lt;&gt;""),"Open","")))</f>
        <v/>
      </c>
      <c r="N316" s="46" t="n"/>
      <c r="O316" s="28">
        <f>IF($B316="","",IF($M316="Closed",IF($N316="","",$N316-$B316),TODAY()-$B316))</f>
        <v/>
      </c>
      <c r="P316" s="28">
        <f>IF(OR($B316="",$L316="",$M316="Closed"),"",IF(TODAY()&gt;$L316,"YES","NO"))</f>
        <v/>
      </c>
      <c r="Q316" s="30">
        <f>Weekly_Inspections!$AW316</f>
        <v/>
      </c>
    </row>
    <row r="317" ht="15" customHeight="1" s="45">
      <c r="A317" s="28">
        <f>IF(Weekly_Inspections!$B317="","",Weekly_Inspections!$A317&amp;"-A1")</f>
        <v/>
      </c>
      <c r="B317" s="46">
        <f>Weekly_Inspections!$B317</f>
        <v/>
      </c>
      <c r="C317" s="30">
        <f>Weekly_Inspections!$E317</f>
        <v/>
      </c>
      <c r="D317" s="30">
        <f>Weekly_Inspections!$F317</f>
        <v/>
      </c>
      <c r="E317" s="28">
        <f>Weekly_Inspections!$H317</f>
        <v/>
      </c>
      <c r="F317" s="30">
        <f>IF(Weekly_Inspections!$AX317&lt;&gt;"",Weekly_Inspections!$AX317,IF(Weekly_Inspections!$AY317&lt;&gt;"",Weekly_Inspections!$AY317,IF(Weekly_Inspections!$AZ317&lt;&gt;"",Weekly_Inspections!$AZ317,IF(Weekly_Inspections!$BA317&lt;&gt;"",Weekly_Inspections!$BA317,IF(Weekly_Inspections!$BB317&lt;&gt;"",Weekly_Inspections!$BB317,Weekly_Inspections!$R317)))))</f>
        <v/>
      </c>
      <c r="G317" s="30">
        <f>IF(OR(Weekly_Inspections!$AQ317&lt;&gt;"",Weekly_Inspections!$AR317&lt;&gt;"",Weekly_Inspections!$AS317&lt;&gt;""),Weekly_Inspections!$AQ317,"")</f>
        <v/>
      </c>
      <c r="H317" s="30">
        <f>Weekly_Inspections!$AP317</f>
        <v/>
      </c>
      <c r="I317" s="30">
        <f>Weekly_Inspections!$AR317</f>
        <v/>
      </c>
      <c r="J317" s="30">
        <f>Weekly_Inspections!$AS317</f>
        <v/>
      </c>
      <c r="K317" s="30">
        <f>Weekly_Inspections!$AU317</f>
        <v/>
      </c>
      <c r="L317" s="46">
        <f>Weekly_Inspections!$AV317</f>
        <v/>
      </c>
      <c r="M317" s="30">
        <f>IF($B317="","",IF($N317&lt;&gt;"","Closed",IF(OR($G317&lt;&gt;"",$I317&lt;&gt;"",$J317&lt;&gt;""),"Open","")))</f>
        <v/>
      </c>
      <c r="N317" s="46" t="n"/>
      <c r="O317" s="28">
        <f>IF($B317="","",IF($M317="Closed",IF($N317="","",$N317-$B317),TODAY()-$B317))</f>
        <v/>
      </c>
      <c r="P317" s="28">
        <f>IF(OR($B317="",$L317="",$M317="Closed"),"",IF(TODAY()&gt;$L317,"YES","NO"))</f>
        <v/>
      </c>
      <c r="Q317" s="30">
        <f>Weekly_Inspections!$AW317</f>
        <v/>
      </c>
    </row>
    <row r="318" ht="15" customHeight="1" s="45">
      <c r="A318" s="28">
        <f>IF(Weekly_Inspections!$B318="","",Weekly_Inspections!$A318&amp;"-A1")</f>
        <v/>
      </c>
      <c r="B318" s="46">
        <f>Weekly_Inspections!$B318</f>
        <v/>
      </c>
      <c r="C318" s="30">
        <f>Weekly_Inspections!$E318</f>
        <v/>
      </c>
      <c r="D318" s="30">
        <f>Weekly_Inspections!$F318</f>
        <v/>
      </c>
      <c r="E318" s="28">
        <f>Weekly_Inspections!$H318</f>
        <v/>
      </c>
      <c r="F318" s="30">
        <f>IF(Weekly_Inspections!$AX318&lt;&gt;"",Weekly_Inspections!$AX318,IF(Weekly_Inspections!$AY318&lt;&gt;"",Weekly_Inspections!$AY318,IF(Weekly_Inspections!$AZ318&lt;&gt;"",Weekly_Inspections!$AZ318,IF(Weekly_Inspections!$BA318&lt;&gt;"",Weekly_Inspections!$BA318,IF(Weekly_Inspections!$BB318&lt;&gt;"",Weekly_Inspections!$BB318,Weekly_Inspections!$R318)))))</f>
        <v/>
      </c>
      <c r="G318" s="30">
        <f>IF(OR(Weekly_Inspections!$AQ318&lt;&gt;"",Weekly_Inspections!$AR318&lt;&gt;"",Weekly_Inspections!$AS318&lt;&gt;""),Weekly_Inspections!$AQ318,"")</f>
        <v/>
      </c>
      <c r="H318" s="30">
        <f>Weekly_Inspections!$AP318</f>
        <v/>
      </c>
      <c r="I318" s="30">
        <f>Weekly_Inspections!$AR318</f>
        <v/>
      </c>
      <c r="J318" s="30">
        <f>Weekly_Inspections!$AS318</f>
        <v/>
      </c>
      <c r="K318" s="30">
        <f>Weekly_Inspections!$AU318</f>
        <v/>
      </c>
      <c r="L318" s="46">
        <f>Weekly_Inspections!$AV318</f>
        <v/>
      </c>
      <c r="M318" s="30">
        <f>IF($B318="","",IF($N318&lt;&gt;"","Closed",IF(OR($G318&lt;&gt;"",$I318&lt;&gt;"",$J318&lt;&gt;""),"Open","")))</f>
        <v/>
      </c>
      <c r="N318" s="46" t="n"/>
      <c r="O318" s="28">
        <f>IF($B318="","",IF($M318="Closed",IF($N318="","",$N318-$B318),TODAY()-$B318))</f>
        <v/>
      </c>
      <c r="P318" s="28">
        <f>IF(OR($B318="",$L318="",$M318="Closed"),"",IF(TODAY()&gt;$L318,"YES","NO"))</f>
        <v/>
      </c>
      <c r="Q318" s="30">
        <f>Weekly_Inspections!$AW318</f>
        <v/>
      </c>
    </row>
    <row r="319" ht="15" customHeight="1" s="45">
      <c r="A319" s="28">
        <f>IF(Weekly_Inspections!$B319="","",Weekly_Inspections!$A319&amp;"-A1")</f>
        <v/>
      </c>
      <c r="B319" s="46">
        <f>Weekly_Inspections!$B319</f>
        <v/>
      </c>
      <c r="C319" s="30">
        <f>Weekly_Inspections!$E319</f>
        <v/>
      </c>
      <c r="D319" s="30">
        <f>Weekly_Inspections!$F319</f>
        <v/>
      </c>
      <c r="E319" s="28">
        <f>Weekly_Inspections!$H319</f>
        <v/>
      </c>
      <c r="F319" s="30">
        <f>IF(Weekly_Inspections!$AX319&lt;&gt;"",Weekly_Inspections!$AX319,IF(Weekly_Inspections!$AY319&lt;&gt;"",Weekly_Inspections!$AY319,IF(Weekly_Inspections!$AZ319&lt;&gt;"",Weekly_Inspections!$AZ319,IF(Weekly_Inspections!$BA319&lt;&gt;"",Weekly_Inspections!$BA319,IF(Weekly_Inspections!$BB319&lt;&gt;"",Weekly_Inspections!$BB319,Weekly_Inspections!$R319)))))</f>
        <v/>
      </c>
      <c r="G319" s="30">
        <f>IF(OR(Weekly_Inspections!$AQ319&lt;&gt;"",Weekly_Inspections!$AR319&lt;&gt;"",Weekly_Inspections!$AS319&lt;&gt;""),Weekly_Inspections!$AQ319,"")</f>
        <v/>
      </c>
      <c r="H319" s="30">
        <f>Weekly_Inspections!$AP319</f>
        <v/>
      </c>
      <c r="I319" s="30">
        <f>Weekly_Inspections!$AR319</f>
        <v/>
      </c>
      <c r="J319" s="30">
        <f>Weekly_Inspections!$AS319</f>
        <v/>
      </c>
      <c r="K319" s="30">
        <f>Weekly_Inspections!$AU319</f>
        <v/>
      </c>
      <c r="L319" s="46">
        <f>Weekly_Inspections!$AV319</f>
        <v/>
      </c>
      <c r="M319" s="30">
        <f>IF($B319="","",IF($N319&lt;&gt;"","Closed",IF(OR($G319&lt;&gt;"",$I319&lt;&gt;"",$J319&lt;&gt;""),"Open","")))</f>
        <v/>
      </c>
      <c r="N319" s="46" t="n"/>
      <c r="O319" s="28">
        <f>IF($B319="","",IF($M319="Closed",IF($N319="","",$N319-$B319),TODAY()-$B319))</f>
        <v/>
      </c>
      <c r="P319" s="28">
        <f>IF(OR($B319="",$L319="",$M319="Closed"),"",IF(TODAY()&gt;$L319,"YES","NO"))</f>
        <v/>
      </c>
      <c r="Q319" s="30">
        <f>Weekly_Inspections!$AW319</f>
        <v/>
      </c>
    </row>
    <row r="320" ht="15" customHeight="1" s="45">
      <c r="A320" s="28">
        <f>IF(Weekly_Inspections!$B320="","",Weekly_Inspections!$A320&amp;"-A1")</f>
        <v/>
      </c>
      <c r="B320" s="46">
        <f>Weekly_Inspections!$B320</f>
        <v/>
      </c>
      <c r="C320" s="30">
        <f>Weekly_Inspections!$E320</f>
        <v/>
      </c>
      <c r="D320" s="30">
        <f>Weekly_Inspections!$F320</f>
        <v/>
      </c>
      <c r="E320" s="28">
        <f>Weekly_Inspections!$H320</f>
        <v/>
      </c>
      <c r="F320" s="30">
        <f>IF(Weekly_Inspections!$AX320&lt;&gt;"",Weekly_Inspections!$AX320,IF(Weekly_Inspections!$AY320&lt;&gt;"",Weekly_Inspections!$AY320,IF(Weekly_Inspections!$AZ320&lt;&gt;"",Weekly_Inspections!$AZ320,IF(Weekly_Inspections!$BA320&lt;&gt;"",Weekly_Inspections!$BA320,IF(Weekly_Inspections!$BB320&lt;&gt;"",Weekly_Inspections!$BB320,Weekly_Inspections!$R320)))))</f>
        <v/>
      </c>
      <c r="G320" s="30">
        <f>IF(OR(Weekly_Inspections!$AQ320&lt;&gt;"",Weekly_Inspections!$AR320&lt;&gt;"",Weekly_Inspections!$AS320&lt;&gt;""),Weekly_Inspections!$AQ320,"")</f>
        <v/>
      </c>
      <c r="H320" s="30">
        <f>Weekly_Inspections!$AP320</f>
        <v/>
      </c>
      <c r="I320" s="30">
        <f>Weekly_Inspections!$AR320</f>
        <v/>
      </c>
      <c r="J320" s="30">
        <f>Weekly_Inspections!$AS320</f>
        <v/>
      </c>
      <c r="K320" s="30">
        <f>Weekly_Inspections!$AU320</f>
        <v/>
      </c>
      <c r="L320" s="46">
        <f>Weekly_Inspections!$AV320</f>
        <v/>
      </c>
      <c r="M320" s="30">
        <f>IF($B320="","",IF($N320&lt;&gt;"","Closed",IF(OR($G320&lt;&gt;"",$I320&lt;&gt;"",$J320&lt;&gt;""),"Open","")))</f>
        <v/>
      </c>
      <c r="N320" s="46" t="n"/>
      <c r="O320" s="28">
        <f>IF($B320="","",IF($M320="Closed",IF($N320="","",$N320-$B320),TODAY()-$B320))</f>
        <v/>
      </c>
      <c r="P320" s="28">
        <f>IF(OR($B320="",$L320="",$M320="Closed"),"",IF(TODAY()&gt;$L320,"YES","NO"))</f>
        <v/>
      </c>
      <c r="Q320" s="30">
        <f>Weekly_Inspections!$AW320</f>
        <v/>
      </c>
    </row>
    <row r="321" ht="15" customHeight="1" s="45">
      <c r="A321" s="28">
        <f>IF(Weekly_Inspections!$B321="","",Weekly_Inspections!$A321&amp;"-A1")</f>
        <v/>
      </c>
      <c r="B321" s="46">
        <f>Weekly_Inspections!$B321</f>
        <v/>
      </c>
      <c r="C321" s="30">
        <f>Weekly_Inspections!$E321</f>
        <v/>
      </c>
      <c r="D321" s="30">
        <f>Weekly_Inspections!$F321</f>
        <v/>
      </c>
      <c r="E321" s="28">
        <f>Weekly_Inspections!$H321</f>
        <v/>
      </c>
      <c r="F321" s="30">
        <f>IF(Weekly_Inspections!$AX321&lt;&gt;"",Weekly_Inspections!$AX321,IF(Weekly_Inspections!$AY321&lt;&gt;"",Weekly_Inspections!$AY321,IF(Weekly_Inspections!$AZ321&lt;&gt;"",Weekly_Inspections!$AZ321,IF(Weekly_Inspections!$BA321&lt;&gt;"",Weekly_Inspections!$BA321,IF(Weekly_Inspections!$BB321&lt;&gt;"",Weekly_Inspections!$BB321,Weekly_Inspections!$R321)))))</f>
        <v/>
      </c>
      <c r="G321" s="30">
        <f>IF(OR(Weekly_Inspections!$AQ321&lt;&gt;"",Weekly_Inspections!$AR321&lt;&gt;"",Weekly_Inspections!$AS321&lt;&gt;""),Weekly_Inspections!$AQ321,"")</f>
        <v/>
      </c>
      <c r="H321" s="30">
        <f>Weekly_Inspections!$AP321</f>
        <v/>
      </c>
      <c r="I321" s="30">
        <f>Weekly_Inspections!$AR321</f>
        <v/>
      </c>
      <c r="J321" s="30">
        <f>Weekly_Inspections!$AS321</f>
        <v/>
      </c>
      <c r="K321" s="30">
        <f>Weekly_Inspections!$AU321</f>
        <v/>
      </c>
      <c r="L321" s="46">
        <f>Weekly_Inspections!$AV321</f>
        <v/>
      </c>
      <c r="M321" s="30">
        <f>IF($B321="","",IF($N321&lt;&gt;"","Closed",IF(OR($G321&lt;&gt;"",$I321&lt;&gt;"",$J321&lt;&gt;""),"Open","")))</f>
        <v/>
      </c>
      <c r="N321" s="46" t="n"/>
      <c r="O321" s="28">
        <f>IF($B321="","",IF($M321="Closed",IF($N321="","",$N321-$B321),TODAY()-$B321))</f>
        <v/>
      </c>
      <c r="P321" s="28">
        <f>IF(OR($B321="",$L321="",$M321="Closed"),"",IF(TODAY()&gt;$L321,"YES","NO"))</f>
        <v/>
      </c>
      <c r="Q321" s="30">
        <f>Weekly_Inspections!$AW321</f>
        <v/>
      </c>
    </row>
    <row r="322" ht="15" customHeight="1" s="45">
      <c r="A322" s="28">
        <f>IF(Weekly_Inspections!$B322="","",Weekly_Inspections!$A322&amp;"-A1")</f>
        <v/>
      </c>
      <c r="B322" s="46">
        <f>Weekly_Inspections!$B322</f>
        <v/>
      </c>
      <c r="C322" s="30">
        <f>Weekly_Inspections!$E322</f>
        <v/>
      </c>
      <c r="D322" s="30">
        <f>Weekly_Inspections!$F322</f>
        <v/>
      </c>
      <c r="E322" s="28">
        <f>Weekly_Inspections!$H322</f>
        <v/>
      </c>
      <c r="F322" s="30">
        <f>IF(Weekly_Inspections!$AX322&lt;&gt;"",Weekly_Inspections!$AX322,IF(Weekly_Inspections!$AY322&lt;&gt;"",Weekly_Inspections!$AY322,IF(Weekly_Inspections!$AZ322&lt;&gt;"",Weekly_Inspections!$AZ322,IF(Weekly_Inspections!$BA322&lt;&gt;"",Weekly_Inspections!$BA322,IF(Weekly_Inspections!$BB322&lt;&gt;"",Weekly_Inspections!$BB322,Weekly_Inspections!$R322)))))</f>
        <v/>
      </c>
      <c r="G322" s="30">
        <f>IF(OR(Weekly_Inspections!$AQ322&lt;&gt;"",Weekly_Inspections!$AR322&lt;&gt;"",Weekly_Inspections!$AS322&lt;&gt;""),Weekly_Inspections!$AQ322,"")</f>
        <v/>
      </c>
      <c r="H322" s="30">
        <f>Weekly_Inspections!$AP322</f>
        <v/>
      </c>
      <c r="I322" s="30">
        <f>Weekly_Inspections!$AR322</f>
        <v/>
      </c>
      <c r="J322" s="30">
        <f>Weekly_Inspections!$AS322</f>
        <v/>
      </c>
      <c r="K322" s="30">
        <f>Weekly_Inspections!$AU322</f>
        <v/>
      </c>
      <c r="L322" s="46">
        <f>Weekly_Inspections!$AV322</f>
        <v/>
      </c>
      <c r="M322" s="30">
        <f>IF($B322="","",IF($N322&lt;&gt;"","Closed",IF(OR($G322&lt;&gt;"",$I322&lt;&gt;"",$J322&lt;&gt;""),"Open","")))</f>
        <v/>
      </c>
      <c r="N322" s="46" t="n"/>
      <c r="O322" s="28">
        <f>IF($B322="","",IF($M322="Closed",IF($N322="","",$N322-$B322),TODAY()-$B322))</f>
        <v/>
      </c>
      <c r="P322" s="28">
        <f>IF(OR($B322="",$L322="",$M322="Closed"),"",IF(TODAY()&gt;$L322,"YES","NO"))</f>
        <v/>
      </c>
      <c r="Q322" s="30">
        <f>Weekly_Inspections!$AW322</f>
        <v/>
      </c>
    </row>
    <row r="323" ht="15" customHeight="1" s="45">
      <c r="A323" s="28">
        <f>IF(Weekly_Inspections!$B323="","",Weekly_Inspections!$A323&amp;"-A1")</f>
        <v/>
      </c>
      <c r="B323" s="46">
        <f>Weekly_Inspections!$B323</f>
        <v/>
      </c>
      <c r="C323" s="30">
        <f>Weekly_Inspections!$E323</f>
        <v/>
      </c>
      <c r="D323" s="30">
        <f>Weekly_Inspections!$F323</f>
        <v/>
      </c>
      <c r="E323" s="28">
        <f>Weekly_Inspections!$H323</f>
        <v/>
      </c>
      <c r="F323" s="30">
        <f>IF(Weekly_Inspections!$AX323&lt;&gt;"",Weekly_Inspections!$AX323,IF(Weekly_Inspections!$AY323&lt;&gt;"",Weekly_Inspections!$AY323,IF(Weekly_Inspections!$AZ323&lt;&gt;"",Weekly_Inspections!$AZ323,IF(Weekly_Inspections!$BA323&lt;&gt;"",Weekly_Inspections!$BA323,IF(Weekly_Inspections!$BB323&lt;&gt;"",Weekly_Inspections!$BB323,Weekly_Inspections!$R323)))))</f>
        <v/>
      </c>
      <c r="G323" s="30">
        <f>IF(OR(Weekly_Inspections!$AQ323&lt;&gt;"",Weekly_Inspections!$AR323&lt;&gt;"",Weekly_Inspections!$AS323&lt;&gt;""),Weekly_Inspections!$AQ323,"")</f>
        <v/>
      </c>
      <c r="H323" s="30">
        <f>Weekly_Inspections!$AP323</f>
        <v/>
      </c>
      <c r="I323" s="30">
        <f>Weekly_Inspections!$AR323</f>
        <v/>
      </c>
      <c r="J323" s="30">
        <f>Weekly_Inspections!$AS323</f>
        <v/>
      </c>
      <c r="K323" s="30">
        <f>Weekly_Inspections!$AU323</f>
        <v/>
      </c>
      <c r="L323" s="46">
        <f>Weekly_Inspections!$AV323</f>
        <v/>
      </c>
      <c r="M323" s="30">
        <f>IF($B323="","",IF($N323&lt;&gt;"","Closed",IF(OR($G323&lt;&gt;"",$I323&lt;&gt;"",$J323&lt;&gt;""),"Open","")))</f>
        <v/>
      </c>
      <c r="N323" s="46" t="n"/>
      <c r="O323" s="28">
        <f>IF($B323="","",IF($M323="Closed",IF($N323="","",$N323-$B323),TODAY()-$B323))</f>
        <v/>
      </c>
      <c r="P323" s="28">
        <f>IF(OR($B323="",$L323="",$M323="Closed"),"",IF(TODAY()&gt;$L323,"YES","NO"))</f>
        <v/>
      </c>
      <c r="Q323" s="30">
        <f>Weekly_Inspections!$AW323</f>
        <v/>
      </c>
    </row>
    <row r="324" ht="15" customHeight="1" s="45">
      <c r="A324" s="28">
        <f>IF(Weekly_Inspections!$B324="","",Weekly_Inspections!$A324&amp;"-A1")</f>
        <v/>
      </c>
      <c r="B324" s="46">
        <f>Weekly_Inspections!$B324</f>
        <v/>
      </c>
      <c r="C324" s="30">
        <f>Weekly_Inspections!$E324</f>
        <v/>
      </c>
      <c r="D324" s="30">
        <f>Weekly_Inspections!$F324</f>
        <v/>
      </c>
      <c r="E324" s="28">
        <f>Weekly_Inspections!$H324</f>
        <v/>
      </c>
      <c r="F324" s="30">
        <f>IF(Weekly_Inspections!$AX324&lt;&gt;"",Weekly_Inspections!$AX324,IF(Weekly_Inspections!$AY324&lt;&gt;"",Weekly_Inspections!$AY324,IF(Weekly_Inspections!$AZ324&lt;&gt;"",Weekly_Inspections!$AZ324,IF(Weekly_Inspections!$BA324&lt;&gt;"",Weekly_Inspections!$BA324,IF(Weekly_Inspections!$BB324&lt;&gt;"",Weekly_Inspections!$BB324,Weekly_Inspections!$R324)))))</f>
        <v/>
      </c>
      <c r="G324" s="30">
        <f>IF(OR(Weekly_Inspections!$AQ324&lt;&gt;"",Weekly_Inspections!$AR324&lt;&gt;"",Weekly_Inspections!$AS324&lt;&gt;""),Weekly_Inspections!$AQ324,"")</f>
        <v/>
      </c>
      <c r="H324" s="30">
        <f>Weekly_Inspections!$AP324</f>
        <v/>
      </c>
      <c r="I324" s="30">
        <f>Weekly_Inspections!$AR324</f>
        <v/>
      </c>
      <c r="J324" s="30">
        <f>Weekly_Inspections!$AS324</f>
        <v/>
      </c>
      <c r="K324" s="30">
        <f>Weekly_Inspections!$AU324</f>
        <v/>
      </c>
      <c r="L324" s="46">
        <f>Weekly_Inspections!$AV324</f>
        <v/>
      </c>
      <c r="M324" s="30">
        <f>IF($B324="","",IF($N324&lt;&gt;"","Closed",IF(OR($G324&lt;&gt;"",$I324&lt;&gt;"",$J324&lt;&gt;""),"Open","")))</f>
        <v/>
      </c>
      <c r="N324" s="46" t="n"/>
      <c r="O324" s="28">
        <f>IF($B324="","",IF($M324="Closed",IF($N324="","",$N324-$B324),TODAY()-$B324))</f>
        <v/>
      </c>
      <c r="P324" s="28">
        <f>IF(OR($B324="",$L324="",$M324="Closed"),"",IF(TODAY()&gt;$L324,"YES","NO"))</f>
        <v/>
      </c>
      <c r="Q324" s="30">
        <f>Weekly_Inspections!$AW324</f>
        <v/>
      </c>
    </row>
    <row r="325" ht="15" customHeight="1" s="45">
      <c r="A325" s="28">
        <f>IF(Weekly_Inspections!$B325="","",Weekly_Inspections!$A325&amp;"-A1")</f>
        <v/>
      </c>
      <c r="B325" s="46">
        <f>Weekly_Inspections!$B325</f>
        <v/>
      </c>
      <c r="C325" s="30">
        <f>Weekly_Inspections!$E325</f>
        <v/>
      </c>
      <c r="D325" s="30">
        <f>Weekly_Inspections!$F325</f>
        <v/>
      </c>
      <c r="E325" s="28">
        <f>Weekly_Inspections!$H325</f>
        <v/>
      </c>
      <c r="F325" s="30">
        <f>IF(Weekly_Inspections!$AX325&lt;&gt;"",Weekly_Inspections!$AX325,IF(Weekly_Inspections!$AY325&lt;&gt;"",Weekly_Inspections!$AY325,IF(Weekly_Inspections!$AZ325&lt;&gt;"",Weekly_Inspections!$AZ325,IF(Weekly_Inspections!$BA325&lt;&gt;"",Weekly_Inspections!$BA325,IF(Weekly_Inspections!$BB325&lt;&gt;"",Weekly_Inspections!$BB325,Weekly_Inspections!$R325)))))</f>
        <v/>
      </c>
      <c r="G325" s="30">
        <f>IF(OR(Weekly_Inspections!$AQ325&lt;&gt;"",Weekly_Inspections!$AR325&lt;&gt;"",Weekly_Inspections!$AS325&lt;&gt;""),Weekly_Inspections!$AQ325,"")</f>
        <v/>
      </c>
      <c r="H325" s="30">
        <f>Weekly_Inspections!$AP325</f>
        <v/>
      </c>
      <c r="I325" s="30">
        <f>Weekly_Inspections!$AR325</f>
        <v/>
      </c>
      <c r="J325" s="30">
        <f>Weekly_Inspections!$AS325</f>
        <v/>
      </c>
      <c r="K325" s="30">
        <f>Weekly_Inspections!$AU325</f>
        <v/>
      </c>
      <c r="L325" s="46">
        <f>Weekly_Inspections!$AV325</f>
        <v/>
      </c>
      <c r="M325" s="30">
        <f>IF($B325="","",IF($N325&lt;&gt;"","Closed",IF(OR($G325&lt;&gt;"",$I325&lt;&gt;"",$J325&lt;&gt;""),"Open","")))</f>
        <v/>
      </c>
      <c r="N325" s="46" t="n"/>
      <c r="O325" s="28">
        <f>IF($B325="","",IF($M325="Closed",IF($N325="","",$N325-$B325),TODAY()-$B325))</f>
        <v/>
      </c>
      <c r="P325" s="28">
        <f>IF(OR($B325="",$L325="",$M325="Closed"),"",IF(TODAY()&gt;$L325,"YES","NO"))</f>
        <v/>
      </c>
      <c r="Q325" s="30">
        <f>Weekly_Inspections!$AW325</f>
        <v/>
      </c>
    </row>
    <row r="326" ht="15" customHeight="1" s="45">
      <c r="A326" s="28">
        <f>IF(Weekly_Inspections!$B326="","",Weekly_Inspections!$A326&amp;"-A1")</f>
        <v/>
      </c>
      <c r="B326" s="46">
        <f>Weekly_Inspections!$B326</f>
        <v/>
      </c>
      <c r="C326" s="30">
        <f>Weekly_Inspections!$E326</f>
        <v/>
      </c>
      <c r="D326" s="30">
        <f>Weekly_Inspections!$F326</f>
        <v/>
      </c>
      <c r="E326" s="28">
        <f>Weekly_Inspections!$H326</f>
        <v/>
      </c>
      <c r="F326" s="30">
        <f>IF(Weekly_Inspections!$AX326&lt;&gt;"",Weekly_Inspections!$AX326,IF(Weekly_Inspections!$AY326&lt;&gt;"",Weekly_Inspections!$AY326,IF(Weekly_Inspections!$AZ326&lt;&gt;"",Weekly_Inspections!$AZ326,IF(Weekly_Inspections!$BA326&lt;&gt;"",Weekly_Inspections!$BA326,IF(Weekly_Inspections!$BB326&lt;&gt;"",Weekly_Inspections!$BB326,Weekly_Inspections!$R326)))))</f>
        <v/>
      </c>
      <c r="G326" s="30">
        <f>IF(OR(Weekly_Inspections!$AQ326&lt;&gt;"",Weekly_Inspections!$AR326&lt;&gt;"",Weekly_Inspections!$AS326&lt;&gt;""),Weekly_Inspections!$AQ326,"")</f>
        <v/>
      </c>
      <c r="H326" s="30">
        <f>Weekly_Inspections!$AP326</f>
        <v/>
      </c>
      <c r="I326" s="30">
        <f>Weekly_Inspections!$AR326</f>
        <v/>
      </c>
      <c r="J326" s="30">
        <f>Weekly_Inspections!$AS326</f>
        <v/>
      </c>
      <c r="K326" s="30">
        <f>Weekly_Inspections!$AU326</f>
        <v/>
      </c>
      <c r="L326" s="46">
        <f>Weekly_Inspections!$AV326</f>
        <v/>
      </c>
      <c r="M326" s="30">
        <f>IF($B326="","",IF($N326&lt;&gt;"","Closed",IF(OR($G326&lt;&gt;"",$I326&lt;&gt;"",$J326&lt;&gt;""),"Open","")))</f>
        <v/>
      </c>
      <c r="N326" s="46" t="n"/>
      <c r="O326" s="28">
        <f>IF($B326="","",IF($M326="Closed",IF($N326="","",$N326-$B326),TODAY()-$B326))</f>
        <v/>
      </c>
      <c r="P326" s="28">
        <f>IF(OR($B326="",$L326="",$M326="Closed"),"",IF(TODAY()&gt;$L326,"YES","NO"))</f>
        <v/>
      </c>
      <c r="Q326" s="30">
        <f>Weekly_Inspections!$AW326</f>
        <v/>
      </c>
    </row>
    <row r="327" ht="15" customHeight="1" s="45">
      <c r="A327" s="28">
        <f>IF(Weekly_Inspections!$B327="","",Weekly_Inspections!$A327&amp;"-A1")</f>
        <v/>
      </c>
      <c r="B327" s="46">
        <f>Weekly_Inspections!$B327</f>
        <v/>
      </c>
      <c r="C327" s="30">
        <f>Weekly_Inspections!$E327</f>
        <v/>
      </c>
      <c r="D327" s="30">
        <f>Weekly_Inspections!$F327</f>
        <v/>
      </c>
      <c r="E327" s="28">
        <f>Weekly_Inspections!$H327</f>
        <v/>
      </c>
      <c r="F327" s="30">
        <f>IF(Weekly_Inspections!$AX327&lt;&gt;"",Weekly_Inspections!$AX327,IF(Weekly_Inspections!$AY327&lt;&gt;"",Weekly_Inspections!$AY327,IF(Weekly_Inspections!$AZ327&lt;&gt;"",Weekly_Inspections!$AZ327,IF(Weekly_Inspections!$BA327&lt;&gt;"",Weekly_Inspections!$BA327,IF(Weekly_Inspections!$BB327&lt;&gt;"",Weekly_Inspections!$BB327,Weekly_Inspections!$R327)))))</f>
        <v/>
      </c>
      <c r="G327" s="30">
        <f>IF(OR(Weekly_Inspections!$AQ327&lt;&gt;"",Weekly_Inspections!$AR327&lt;&gt;"",Weekly_Inspections!$AS327&lt;&gt;""),Weekly_Inspections!$AQ327,"")</f>
        <v/>
      </c>
      <c r="H327" s="30">
        <f>Weekly_Inspections!$AP327</f>
        <v/>
      </c>
      <c r="I327" s="30">
        <f>Weekly_Inspections!$AR327</f>
        <v/>
      </c>
      <c r="J327" s="30">
        <f>Weekly_Inspections!$AS327</f>
        <v/>
      </c>
      <c r="K327" s="30">
        <f>Weekly_Inspections!$AU327</f>
        <v/>
      </c>
      <c r="L327" s="46">
        <f>Weekly_Inspections!$AV327</f>
        <v/>
      </c>
      <c r="M327" s="30">
        <f>IF($B327="","",IF($N327&lt;&gt;"","Closed",IF(OR($G327&lt;&gt;"",$I327&lt;&gt;"",$J327&lt;&gt;""),"Open","")))</f>
        <v/>
      </c>
      <c r="N327" s="46" t="n"/>
      <c r="O327" s="28">
        <f>IF($B327="","",IF($M327="Closed",IF($N327="","",$N327-$B327),TODAY()-$B327))</f>
        <v/>
      </c>
      <c r="P327" s="28">
        <f>IF(OR($B327="",$L327="",$M327="Closed"),"",IF(TODAY()&gt;$L327,"YES","NO"))</f>
        <v/>
      </c>
      <c r="Q327" s="30">
        <f>Weekly_Inspections!$AW327</f>
        <v/>
      </c>
    </row>
    <row r="328" ht="15" customHeight="1" s="45">
      <c r="A328" s="28">
        <f>IF(Weekly_Inspections!$B328="","",Weekly_Inspections!$A328&amp;"-A1")</f>
        <v/>
      </c>
      <c r="B328" s="46">
        <f>Weekly_Inspections!$B328</f>
        <v/>
      </c>
      <c r="C328" s="30">
        <f>Weekly_Inspections!$E328</f>
        <v/>
      </c>
      <c r="D328" s="30">
        <f>Weekly_Inspections!$F328</f>
        <v/>
      </c>
      <c r="E328" s="28">
        <f>Weekly_Inspections!$H328</f>
        <v/>
      </c>
      <c r="F328" s="30">
        <f>IF(Weekly_Inspections!$AX328&lt;&gt;"",Weekly_Inspections!$AX328,IF(Weekly_Inspections!$AY328&lt;&gt;"",Weekly_Inspections!$AY328,IF(Weekly_Inspections!$AZ328&lt;&gt;"",Weekly_Inspections!$AZ328,IF(Weekly_Inspections!$BA328&lt;&gt;"",Weekly_Inspections!$BA328,IF(Weekly_Inspections!$BB328&lt;&gt;"",Weekly_Inspections!$BB328,Weekly_Inspections!$R328)))))</f>
        <v/>
      </c>
      <c r="G328" s="30">
        <f>IF(OR(Weekly_Inspections!$AQ328&lt;&gt;"",Weekly_Inspections!$AR328&lt;&gt;"",Weekly_Inspections!$AS328&lt;&gt;""),Weekly_Inspections!$AQ328,"")</f>
        <v/>
      </c>
      <c r="H328" s="30">
        <f>Weekly_Inspections!$AP328</f>
        <v/>
      </c>
      <c r="I328" s="30">
        <f>Weekly_Inspections!$AR328</f>
        <v/>
      </c>
      <c r="J328" s="30">
        <f>Weekly_Inspections!$AS328</f>
        <v/>
      </c>
      <c r="K328" s="30">
        <f>Weekly_Inspections!$AU328</f>
        <v/>
      </c>
      <c r="L328" s="46">
        <f>Weekly_Inspections!$AV328</f>
        <v/>
      </c>
      <c r="M328" s="30">
        <f>IF($B328="","",IF($N328&lt;&gt;"","Closed",IF(OR($G328&lt;&gt;"",$I328&lt;&gt;"",$J328&lt;&gt;""),"Open","")))</f>
        <v/>
      </c>
      <c r="N328" s="46" t="n"/>
      <c r="O328" s="28">
        <f>IF($B328="","",IF($M328="Closed",IF($N328="","",$N328-$B328),TODAY()-$B328))</f>
        <v/>
      </c>
      <c r="P328" s="28">
        <f>IF(OR($B328="",$L328="",$M328="Closed"),"",IF(TODAY()&gt;$L328,"YES","NO"))</f>
        <v/>
      </c>
      <c r="Q328" s="30">
        <f>Weekly_Inspections!$AW328</f>
        <v/>
      </c>
    </row>
    <row r="329" ht="15" customHeight="1" s="45">
      <c r="A329" s="28">
        <f>IF(Weekly_Inspections!$B329="","",Weekly_Inspections!$A329&amp;"-A1")</f>
        <v/>
      </c>
      <c r="B329" s="46">
        <f>Weekly_Inspections!$B329</f>
        <v/>
      </c>
      <c r="C329" s="30">
        <f>Weekly_Inspections!$E329</f>
        <v/>
      </c>
      <c r="D329" s="30">
        <f>Weekly_Inspections!$F329</f>
        <v/>
      </c>
      <c r="E329" s="28">
        <f>Weekly_Inspections!$H329</f>
        <v/>
      </c>
      <c r="F329" s="30">
        <f>IF(Weekly_Inspections!$AX329&lt;&gt;"",Weekly_Inspections!$AX329,IF(Weekly_Inspections!$AY329&lt;&gt;"",Weekly_Inspections!$AY329,IF(Weekly_Inspections!$AZ329&lt;&gt;"",Weekly_Inspections!$AZ329,IF(Weekly_Inspections!$BA329&lt;&gt;"",Weekly_Inspections!$BA329,IF(Weekly_Inspections!$BB329&lt;&gt;"",Weekly_Inspections!$BB329,Weekly_Inspections!$R329)))))</f>
        <v/>
      </c>
      <c r="G329" s="30">
        <f>IF(OR(Weekly_Inspections!$AQ329&lt;&gt;"",Weekly_Inspections!$AR329&lt;&gt;"",Weekly_Inspections!$AS329&lt;&gt;""),Weekly_Inspections!$AQ329,"")</f>
        <v/>
      </c>
      <c r="H329" s="30">
        <f>Weekly_Inspections!$AP329</f>
        <v/>
      </c>
      <c r="I329" s="30">
        <f>Weekly_Inspections!$AR329</f>
        <v/>
      </c>
      <c r="J329" s="30">
        <f>Weekly_Inspections!$AS329</f>
        <v/>
      </c>
      <c r="K329" s="30">
        <f>Weekly_Inspections!$AU329</f>
        <v/>
      </c>
      <c r="L329" s="46">
        <f>Weekly_Inspections!$AV329</f>
        <v/>
      </c>
      <c r="M329" s="30">
        <f>IF($B329="","",IF($N329&lt;&gt;"","Closed",IF(OR($G329&lt;&gt;"",$I329&lt;&gt;"",$J329&lt;&gt;""),"Open","")))</f>
        <v/>
      </c>
      <c r="N329" s="46" t="n"/>
      <c r="O329" s="28">
        <f>IF($B329="","",IF($M329="Closed",IF($N329="","",$N329-$B329),TODAY()-$B329))</f>
        <v/>
      </c>
      <c r="P329" s="28">
        <f>IF(OR($B329="",$L329="",$M329="Closed"),"",IF(TODAY()&gt;$L329,"YES","NO"))</f>
        <v/>
      </c>
      <c r="Q329" s="30">
        <f>Weekly_Inspections!$AW329</f>
        <v/>
      </c>
    </row>
    <row r="330" ht="15" customHeight="1" s="45">
      <c r="A330" s="28">
        <f>IF(Weekly_Inspections!$B330="","",Weekly_Inspections!$A330&amp;"-A1")</f>
        <v/>
      </c>
      <c r="B330" s="46">
        <f>Weekly_Inspections!$B330</f>
        <v/>
      </c>
      <c r="C330" s="30">
        <f>Weekly_Inspections!$E330</f>
        <v/>
      </c>
      <c r="D330" s="30">
        <f>Weekly_Inspections!$F330</f>
        <v/>
      </c>
      <c r="E330" s="28">
        <f>Weekly_Inspections!$H330</f>
        <v/>
      </c>
      <c r="F330" s="30">
        <f>IF(Weekly_Inspections!$AX330&lt;&gt;"",Weekly_Inspections!$AX330,IF(Weekly_Inspections!$AY330&lt;&gt;"",Weekly_Inspections!$AY330,IF(Weekly_Inspections!$AZ330&lt;&gt;"",Weekly_Inspections!$AZ330,IF(Weekly_Inspections!$BA330&lt;&gt;"",Weekly_Inspections!$BA330,IF(Weekly_Inspections!$BB330&lt;&gt;"",Weekly_Inspections!$BB330,Weekly_Inspections!$R330)))))</f>
        <v/>
      </c>
      <c r="G330" s="30">
        <f>IF(OR(Weekly_Inspections!$AQ330&lt;&gt;"",Weekly_Inspections!$AR330&lt;&gt;"",Weekly_Inspections!$AS330&lt;&gt;""),Weekly_Inspections!$AQ330,"")</f>
        <v/>
      </c>
      <c r="H330" s="30">
        <f>Weekly_Inspections!$AP330</f>
        <v/>
      </c>
      <c r="I330" s="30">
        <f>Weekly_Inspections!$AR330</f>
        <v/>
      </c>
      <c r="J330" s="30">
        <f>Weekly_Inspections!$AS330</f>
        <v/>
      </c>
      <c r="K330" s="30">
        <f>Weekly_Inspections!$AU330</f>
        <v/>
      </c>
      <c r="L330" s="46">
        <f>Weekly_Inspections!$AV330</f>
        <v/>
      </c>
      <c r="M330" s="30">
        <f>IF($B330="","",IF($N330&lt;&gt;"","Closed",IF(OR($G330&lt;&gt;"",$I330&lt;&gt;"",$J330&lt;&gt;""),"Open","")))</f>
        <v/>
      </c>
      <c r="N330" s="46" t="n"/>
      <c r="O330" s="28">
        <f>IF($B330="","",IF($M330="Closed",IF($N330="","",$N330-$B330),TODAY()-$B330))</f>
        <v/>
      </c>
      <c r="P330" s="28">
        <f>IF(OR($B330="",$L330="",$M330="Closed"),"",IF(TODAY()&gt;$L330,"YES","NO"))</f>
        <v/>
      </c>
      <c r="Q330" s="30">
        <f>Weekly_Inspections!$AW330</f>
        <v/>
      </c>
    </row>
    <row r="331" ht="15" customHeight="1" s="45">
      <c r="A331" s="28">
        <f>IF(Weekly_Inspections!$B331="","",Weekly_Inspections!$A331&amp;"-A1")</f>
        <v/>
      </c>
      <c r="B331" s="46">
        <f>Weekly_Inspections!$B331</f>
        <v/>
      </c>
      <c r="C331" s="30">
        <f>Weekly_Inspections!$E331</f>
        <v/>
      </c>
      <c r="D331" s="30">
        <f>Weekly_Inspections!$F331</f>
        <v/>
      </c>
      <c r="E331" s="28">
        <f>Weekly_Inspections!$H331</f>
        <v/>
      </c>
      <c r="F331" s="30">
        <f>IF(Weekly_Inspections!$AX331&lt;&gt;"",Weekly_Inspections!$AX331,IF(Weekly_Inspections!$AY331&lt;&gt;"",Weekly_Inspections!$AY331,IF(Weekly_Inspections!$AZ331&lt;&gt;"",Weekly_Inspections!$AZ331,IF(Weekly_Inspections!$BA331&lt;&gt;"",Weekly_Inspections!$BA331,IF(Weekly_Inspections!$BB331&lt;&gt;"",Weekly_Inspections!$BB331,Weekly_Inspections!$R331)))))</f>
        <v/>
      </c>
      <c r="G331" s="30">
        <f>IF(OR(Weekly_Inspections!$AQ331&lt;&gt;"",Weekly_Inspections!$AR331&lt;&gt;"",Weekly_Inspections!$AS331&lt;&gt;""),Weekly_Inspections!$AQ331,"")</f>
        <v/>
      </c>
      <c r="H331" s="30">
        <f>Weekly_Inspections!$AP331</f>
        <v/>
      </c>
      <c r="I331" s="30">
        <f>Weekly_Inspections!$AR331</f>
        <v/>
      </c>
      <c r="J331" s="30">
        <f>Weekly_Inspections!$AS331</f>
        <v/>
      </c>
      <c r="K331" s="30">
        <f>Weekly_Inspections!$AU331</f>
        <v/>
      </c>
      <c r="L331" s="46">
        <f>Weekly_Inspections!$AV331</f>
        <v/>
      </c>
      <c r="M331" s="30">
        <f>IF($B331="","",IF($N331&lt;&gt;"","Closed",IF(OR($G331&lt;&gt;"",$I331&lt;&gt;"",$J331&lt;&gt;""),"Open","")))</f>
        <v/>
      </c>
      <c r="N331" s="46" t="n"/>
      <c r="O331" s="28">
        <f>IF($B331="","",IF($M331="Closed",IF($N331="","",$N331-$B331),TODAY()-$B331))</f>
        <v/>
      </c>
      <c r="P331" s="28">
        <f>IF(OR($B331="",$L331="",$M331="Closed"),"",IF(TODAY()&gt;$L331,"YES","NO"))</f>
        <v/>
      </c>
      <c r="Q331" s="30">
        <f>Weekly_Inspections!$AW331</f>
        <v/>
      </c>
    </row>
    <row r="332" ht="15" customHeight="1" s="45">
      <c r="A332" s="28">
        <f>IF(Weekly_Inspections!$B332="","",Weekly_Inspections!$A332&amp;"-A1")</f>
        <v/>
      </c>
      <c r="B332" s="46">
        <f>Weekly_Inspections!$B332</f>
        <v/>
      </c>
      <c r="C332" s="30">
        <f>Weekly_Inspections!$E332</f>
        <v/>
      </c>
      <c r="D332" s="30">
        <f>Weekly_Inspections!$F332</f>
        <v/>
      </c>
      <c r="E332" s="28">
        <f>Weekly_Inspections!$H332</f>
        <v/>
      </c>
      <c r="F332" s="30">
        <f>IF(Weekly_Inspections!$AX332&lt;&gt;"",Weekly_Inspections!$AX332,IF(Weekly_Inspections!$AY332&lt;&gt;"",Weekly_Inspections!$AY332,IF(Weekly_Inspections!$AZ332&lt;&gt;"",Weekly_Inspections!$AZ332,IF(Weekly_Inspections!$BA332&lt;&gt;"",Weekly_Inspections!$BA332,IF(Weekly_Inspections!$BB332&lt;&gt;"",Weekly_Inspections!$BB332,Weekly_Inspections!$R332)))))</f>
        <v/>
      </c>
      <c r="G332" s="30">
        <f>IF(OR(Weekly_Inspections!$AQ332&lt;&gt;"",Weekly_Inspections!$AR332&lt;&gt;"",Weekly_Inspections!$AS332&lt;&gt;""),Weekly_Inspections!$AQ332,"")</f>
        <v/>
      </c>
      <c r="H332" s="30">
        <f>Weekly_Inspections!$AP332</f>
        <v/>
      </c>
      <c r="I332" s="30">
        <f>Weekly_Inspections!$AR332</f>
        <v/>
      </c>
      <c r="J332" s="30">
        <f>Weekly_Inspections!$AS332</f>
        <v/>
      </c>
      <c r="K332" s="30">
        <f>Weekly_Inspections!$AU332</f>
        <v/>
      </c>
      <c r="L332" s="46">
        <f>Weekly_Inspections!$AV332</f>
        <v/>
      </c>
      <c r="M332" s="30">
        <f>IF($B332="","",IF($N332&lt;&gt;"","Closed",IF(OR($G332&lt;&gt;"",$I332&lt;&gt;"",$J332&lt;&gt;""),"Open","")))</f>
        <v/>
      </c>
      <c r="N332" s="46" t="n"/>
      <c r="O332" s="28">
        <f>IF($B332="","",IF($M332="Closed",IF($N332="","",$N332-$B332),TODAY()-$B332))</f>
        <v/>
      </c>
      <c r="P332" s="28">
        <f>IF(OR($B332="",$L332="",$M332="Closed"),"",IF(TODAY()&gt;$L332,"YES","NO"))</f>
        <v/>
      </c>
      <c r="Q332" s="30">
        <f>Weekly_Inspections!$AW332</f>
        <v/>
      </c>
    </row>
    <row r="333" ht="15" customHeight="1" s="45">
      <c r="A333" s="28">
        <f>IF(Weekly_Inspections!$B333="","",Weekly_Inspections!$A333&amp;"-A1")</f>
        <v/>
      </c>
      <c r="B333" s="46">
        <f>Weekly_Inspections!$B333</f>
        <v/>
      </c>
      <c r="C333" s="30">
        <f>Weekly_Inspections!$E333</f>
        <v/>
      </c>
      <c r="D333" s="30">
        <f>Weekly_Inspections!$F333</f>
        <v/>
      </c>
      <c r="E333" s="28">
        <f>Weekly_Inspections!$H333</f>
        <v/>
      </c>
      <c r="F333" s="30">
        <f>IF(Weekly_Inspections!$AX333&lt;&gt;"",Weekly_Inspections!$AX333,IF(Weekly_Inspections!$AY333&lt;&gt;"",Weekly_Inspections!$AY333,IF(Weekly_Inspections!$AZ333&lt;&gt;"",Weekly_Inspections!$AZ333,IF(Weekly_Inspections!$BA333&lt;&gt;"",Weekly_Inspections!$BA333,IF(Weekly_Inspections!$BB333&lt;&gt;"",Weekly_Inspections!$BB333,Weekly_Inspections!$R333)))))</f>
        <v/>
      </c>
      <c r="G333" s="30">
        <f>IF(OR(Weekly_Inspections!$AQ333&lt;&gt;"",Weekly_Inspections!$AR333&lt;&gt;"",Weekly_Inspections!$AS333&lt;&gt;""),Weekly_Inspections!$AQ333,"")</f>
        <v/>
      </c>
      <c r="H333" s="30">
        <f>Weekly_Inspections!$AP333</f>
        <v/>
      </c>
      <c r="I333" s="30">
        <f>Weekly_Inspections!$AR333</f>
        <v/>
      </c>
      <c r="J333" s="30">
        <f>Weekly_Inspections!$AS333</f>
        <v/>
      </c>
      <c r="K333" s="30">
        <f>Weekly_Inspections!$AU333</f>
        <v/>
      </c>
      <c r="L333" s="46">
        <f>Weekly_Inspections!$AV333</f>
        <v/>
      </c>
      <c r="M333" s="30">
        <f>IF($B333="","",IF($N333&lt;&gt;"","Closed",IF(OR($G333&lt;&gt;"",$I333&lt;&gt;"",$J333&lt;&gt;""),"Open","")))</f>
        <v/>
      </c>
      <c r="N333" s="46" t="n"/>
      <c r="O333" s="28">
        <f>IF($B333="","",IF($M333="Closed",IF($N333="","",$N333-$B333),TODAY()-$B333))</f>
        <v/>
      </c>
      <c r="P333" s="28">
        <f>IF(OR($B333="",$L333="",$M333="Closed"),"",IF(TODAY()&gt;$L333,"YES","NO"))</f>
        <v/>
      </c>
      <c r="Q333" s="30">
        <f>Weekly_Inspections!$AW333</f>
        <v/>
      </c>
    </row>
    <row r="334" ht="15" customHeight="1" s="45">
      <c r="A334" s="28">
        <f>IF(Weekly_Inspections!$B334="","",Weekly_Inspections!$A334&amp;"-A1")</f>
        <v/>
      </c>
      <c r="B334" s="46">
        <f>Weekly_Inspections!$B334</f>
        <v/>
      </c>
      <c r="C334" s="30">
        <f>Weekly_Inspections!$E334</f>
        <v/>
      </c>
      <c r="D334" s="30">
        <f>Weekly_Inspections!$F334</f>
        <v/>
      </c>
      <c r="E334" s="28">
        <f>Weekly_Inspections!$H334</f>
        <v/>
      </c>
      <c r="F334" s="30">
        <f>IF(Weekly_Inspections!$AX334&lt;&gt;"",Weekly_Inspections!$AX334,IF(Weekly_Inspections!$AY334&lt;&gt;"",Weekly_Inspections!$AY334,IF(Weekly_Inspections!$AZ334&lt;&gt;"",Weekly_Inspections!$AZ334,IF(Weekly_Inspections!$BA334&lt;&gt;"",Weekly_Inspections!$BA334,IF(Weekly_Inspections!$BB334&lt;&gt;"",Weekly_Inspections!$BB334,Weekly_Inspections!$R334)))))</f>
        <v/>
      </c>
      <c r="G334" s="30">
        <f>IF(OR(Weekly_Inspections!$AQ334&lt;&gt;"",Weekly_Inspections!$AR334&lt;&gt;"",Weekly_Inspections!$AS334&lt;&gt;""),Weekly_Inspections!$AQ334,"")</f>
        <v/>
      </c>
      <c r="H334" s="30">
        <f>Weekly_Inspections!$AP334</f>
        <v/>
      </c>
      <c r="I334" s="30">
        <f>Weekly_Inspections!$AR334</f>
        <v/>
      </c>
      <c r="J334" s="30">
        <f>Weekly_Inspections!$AS334</f>
        <v/>
      </c>
      <c r="K334" s="30">
        <f>Weekly_Inspections!$AU334</f>
        <v/>
      </c>
      <c r="L334" s="46">
        <f>Weekly_Inspections!$AV334</f>
        <v/>
      </c>
      <c r="M334" s="30">
        <f>IF($B334="","",IF($N334&lt;&gt;"","Closed",IF(OR($G334&lt;&gt;"",$I334&lt;&gt;"",$J334&lt;&gt;""),"Open","")))</f>
        <v/>
      </c>
      <c r="N334" s="46" t="n"/>
      <c r="O334" s="28">
        <f>IF($B334="","",IF($M334="Closed",IF($N334="","",$N334-$B334),TODAY()-$B334))</f>
        <v/>
      </c>
      <c r="P334" s="28">
        <f>IF(OR($B334="",$L334="",$M334="Closed"),"",IF(TODAY()&gt;$L334,"YES","NO"))</f>
        <v/>
      </c>
      <c r="Q334" s="30">
        <f>Weekly_Inspections!$AW334</f>
        <v/>
      </c>
    </row>
    <row r="335" ht="15" customHeight="1" s="45">
      <c r="A335" s="28">
        <f>IF(Weekly_Inspections!$B335="","",Weekly_Inspections!$A335&amp;"-A1")</f>
        <v/>
      </c>
      <c r="B335" s="46">
        <f>Weekly_Inspections!$B335</f>
        <v/>
      </c>
      <c r="C335" s="30">
        <f>Weekly_Inspections!$E335</f>
        <v/>
      </c>
      <c r="D335" s="30">
        <f>Weekly_Inspections!$F335</f>
        <v/>
      </c>
      <c r="E335" s="28">
        <f>Weekly_Inspections!$H335</f>
        <v/>
      </c>
      <c r="F335" s="30">
        <f>IF(Weekly_Inspections!$AX335&lt;&gt;"",Weekly_Inspections!$AX335,IF(Weekly_Inspections!$AY335&lt;&gt;"",Weekly_Inspections!$AY335,IF(Weekly_Inspections!$AZ335&lt;&gt;"",Weekly_Inspections!$AZ335,IF(Weekly_Inspections!$BA335&lt;&gt;"",Weekly_Inspections!$BA335,IF(Weekly_Inspections!$BB335&lt;&gt;"",Weekly_Inspections!$BB335,Weekly_Inspections!$R335)))))</f>
        <v/>
      </c>
      <c r="G335" s="30">
        <f>IF(OR(Weekly_Inspections!$AQ335&lt;&gt;"",Weekly_Inspections!$AR335&lt;&gt;"",Weekly_Inspections!$AS335&lt;&gt;""),Weekly_Inspections!$AQ335,"")</f>
        <v/>
      </c>
      <c r="H335" s="30">
        <f>Weekly_Inspections!$AP335</f>
        <v/>
      </c>
      <c r="I335" s="30">
        <f>Weekly_Inspections!$AR335</f>
        <v/>
      </c>
      <c r="J335" s="30">
        <f>Weekly_Inspections!$AS335</f>
        <v/>
      </c>
      <c r="K335" s="30">
        <f>Weekly_Inspections!$AU335</f>
        <v/>
      </c>
      <c r="L335" s="46">
        <f>Weekly_Inspections!$AV335</f>
        <v/>
      </c>
      <c r="M335" s="30">
        <f>IF($B335="","",IF($N335&lt;&gt;"","Closed",IF(OR($G335&lt;&gt;"",$I335&lt;&gt;"",$J335&lt;&gt;""),"Open","")))</f>
        <v/>
      </c>
      <c r="N335" s="46" t="n"/>
      <c r="O335" s="28">
        <f>IF($B335="","",IF($M335="Closed",IF($N335="","",$N335-$B335),TODAY()-$B335))</f>
        <v/>
      </c>
      <c r="P335" s="28">
        <f>IF(OR($B335="",$L335="",$M335="Closed"),"",IF(TODAY()&gt;$L335,"YES","NO"))</f>
        <v/>
      </c>
      <c r="Q335" s="30">
        <f>Weekly_Inspections!$AW335</f>
        <v/>
      </c>
    </row>
    <row r="336" ht="15" customHeight="1" s="45">
      <c r="A336" s="28">
        <f>IF(Weekly_Inspections!$B336="","",Weekly_Inspections!$A336&amp;"-A1")</f>
        <v/>
      </c>
      <c r="B336" s="46">
        <f>Weekly_Inspections!$B336</f>
        <v/>
      </c>
      <c r="C336" s="30">
        <f>Weekly_Inspections!$E336</f>
        <v/>
      </c>
      <c r="D336" s="30">
        <f>Weekly_Inspections!$F336</f>
        <v/>
      </c>
      <c r="E336" s="28">
        <f>Weekly_Inspections!$H336</f>
        <v/>
      </c>
      <c r="F336" s="30">
        <f>IF(Weekly_Inspections!$AX336&lt;&gt;"",Weekly_Inspections!$AX336,IF(Weekly_Inspections!$AY336&lt;&gt;"",Weekly_Inspections!$AY336,IF(Weekly_Inspections!$AZ336&lt;&gt;"",Weekly_Inspections!$AZ336,IF(Weekly_Inspections!$BA336&lt;&gt;"",Weekly_Inspections!$BA336,IF(Weekly_Inspections!$BB336&lt;&gt;"",Weekly_Inspections!$BB336,Weekly_Inspections!$R336)))))</f>
        <v/>
      </c>
      <c r="G336" s="30">
        <f>IF(OR(Weekly_Inspections!$AQ336&lt;&gt;"",Weekly_Inspections!$AR336&lt;&gt;"",Weekly_Inspections!$AS336&lt;&gt;""),Weekly_Inspections!$AQ336,"")</f>
        <v/>
      </c>
      <c r="H336" s="30">
        <f>Weekly_Inspections!$AP336</f>
        <v/>
      </c>
      <c r="I336" s="30">
        <f>Weekly_Inspections!$AR336</f>
        <v/>
      </c>
      <c r="J336" s="30">
        <f>Weekly_Inspections!$AS336</f>
        <v/>
      </c>
      <c r="K336" s="30">
        <f>Weekly_Inspections!$AU336</f>
        <v/>
      </c>
      <c r="L336" s="46">
        <f>Weekly_Inspections!$AV336</f>
        <v/>
      </c>
      <c r="M336" s="30">
        <f>IF($B336="","",IF($N336&lt;&gt;"","Closed",IF(OR($G336&lt;&gt;"",$I336&lt;&gt;"",$J336&lt;&gt;""),"Open","")))</f>
        <v/>
      </c>
      <c r="N336" s="46" t="n"/>
      <c r="O336" s="28">
        <f>IF($B336="","",IF($M336="Closed",IF($N336="","",$N336-$B336),TODAY()-$B336))</f>
        <v/>
      </c>
      <c r="P336" s="28">
        <f>IF(OR($B336="",$L336="",$M336="Closed"),"",IF(TODAY()&gt;$L336,"YES","NO"))</f>
        <v/>
      </c>
      <c r="Q336" s="30">
        <f>Weekly_Inspections!$AW336</f>
        <v/>
      </c>
    </row>
    <row r="337" ht="15" customHeight="1" s="45">
      <c r="A337" s="28">
        <f>IF(Weekly_Inspections!$B337="","",Weekly_Inspections!$A337&amp;"-A1")</f>
        <v/>
      </c>
      <c r="B337" s="46">
        <f>Weekly_Inspections!$B337</f>
        <v/>
      </c>
      <c r="C337" s="30">
        <f>Weekly_Inspections!$E337</f>
        <v/>
      </c>
      <c r="D337" s="30">
        <f>Weekly_Inspections!$F337</f>
        <v/>
      </c>
      <c r="E337" s="28">
        <f>Weekly_Inspections!$H337</f>
        <v/>
      </c>
      <c r="F337" s="30">
        <f>IF(Weekly_Inspections!$AX337&lt;&gt;"",Weekly_Inspections!$AX337,IF(Weekly_Inspections!$AY337&lt;&gt;"",Weekly_Inspections!$AY337,IF(Weekly_Inspections!$AZ337&lt;&gt;"",Weekly_Inspections!$AZ337,IF(Weekly_Inspections!$BA337&lt;&gt;"",Weekly_Inspections!$BA337,IF(Weekly_Inspections!$BB337&lt;&gt;"",Weekly_Inspections!$BB337,Weekly_Inspections!$R337)))))</f>
        <v/>
      </c>
      <c r="G337" s="30">
        <f>IF(OR(Weekly_Inspections!$AQ337&lt;&gt;"",Weekly_Inspections!$AR337&lt;&gt;"",Weekly_Inspections!$AS337&lt;&gt;""),Weekly_Inspections!$AQ337,"")</f>
        <v/>
      </c>
      <c r="H337" s="30">
        <f>Weekly_Inspections!$AP337</f>
        <v/>
      </c>
      <c r="I337" s="30">
        <f>Weekly_Inspections!$AR337</f>
        <v/>
      </c>
      <c r="J337" s="30">
        <f>Weekly_Inspections!$AS337</f>
        <v/>
      </c>
      <c r="K337" s="30">
        <f>Weekly_Inspections!$AU337</f>
        <v/>
      </c>
      <c r="L337" s="46">
        <f>Weekly_Inspections!$AV337</f>
        <v/>
      </c>
      <c r="M337" s="30">
        <f>IF($B337="","",IF($N337&lt;&gt;"","Closed",IF(OR($G337&lt;&gt;"",$I337&lt;&gt;"",$J337&lt;&gt;""),"Open","")))</f>
        <v/>
      </c>
      <c r="N337" s="46" t="n"/>
      <c r="O337" s="28">
        <f>IF($B337="","",IF($M337="Closed",IF($N337="","",$N337-$B337),TODAY()-$B337))</f>
        <v/>
      </c>
      <c r="P337" s="28">
        <f>IF(OR($B337="",$L337="",$M337="Closed"),"",IF(TODAY()&gt;$L337,"YES","NO"))</f>
        <v/>
      </c>
      <c r="Q337" s="30">
        <f>Weekly_Inspections!$AW337</f>
        <v/>
      </c>
    </row>
    <row r="338" ht="15" customHeight="1" s="45">
      <c r="A338" s="28">
        <f>IF(Weekly_Inspections!$B338="","",Weekly_Inspections!$A338&amp;"-A1")</f>
        <v/>
      </c>
      <c r="B338" s="46">
        <f>Weekly_Inspections!$B338</f>
        <v/>
      </c>
      <c r="C338" s="30">
        <f>Weekly_Inspections!$E338</f>
        <v/>
      </c>
      <c r="D338" s="30">
        <f>Weekly_Inspections!$F338</f>
        <v/>
      </c>
      <c r="E338" s="28">
        <f>Weekly_Inspections!$H338</f>
        <v/>
      </c>
      <c r="F338" s="30">
        <f>IF(Weekly_Inspections!$AX338&lt;&gt;"",Weekly_Inspections!$AX338,IF(Weekly_Inspections!$AY338&lt;&gt;"",Weekly_Inspections!$AY338,IF(Weekly_Inspections!$AZ338&lt;&gt;"",Weekly_Inspections!$AZ338,IF(Weekly_Inspections!$BA338&lt;&gt;"",Weekly_Inspections!$BA338,IF(Weekly_Inspections!$BB338&lt;&gt;"",Weekly_Inspections!$BB338,Weekly_Inspections!$R338)))))</f>
        <v/>
      </c>
      <c r="G338" s="30">
        <f>IF(OR(Weekly_Inspections!$AQ338&lt;&gt;"",Weekly_Inspections!$AR338&lt;&gt;"",Weekly_Inspections!$AS338&lt;&gt;""),Weekly_Inspections!$AQ338,"")</f>
        <v/>
      </c>
      <c r="H338" s="30">
        <f>Weekly_Inspections!$AP338</f>
        <v/>
      </c>
      <c r="I338" s="30">
        <f>Weekly_Inspections!$AR338</f>
        <v/>
      </c>
      <c r="J338" s="30">
        <f>Weekly_Inspections!$AS338</f>
        <v/>
      </c>
      <c r="K338" s="30">
        <f>Weekly_Inspections!$AU338</f>
        <v/>
      </c>
      <c r="L338" s="46">
        <f>Weekly_Inspections!$AV338</f>
        <v/>
      </c>
      <c r="M338" s="30">
        <f>IF($B338="","",IF($N338&lt;&gt;"","Closed",IF(OR($G338&lt;&gt;"",$I338&lt;&gt;"",$J338&lt;&gt;""),"Open","")))</f>
        <v/>
      </c>
      <c r="N338" s="46" t="n"/>
      <c r="O338" s="28">
        <f>IF($B338="","",IF($M338="Closed",IF($N338="","",$N338-$B338),TODAY()-$B338))</f>
        <v/>
      </c>
      <c r="P338" s="28">
        <f>IF(OR($B338="",$L338="",$M338="Closed"),"",IF(TODAY()&gt;$L338,"YES","NO"))</f>
        <v/>
      </c>
      <c r="Q338" s="30">
        <f>Weekly_Inspections!$AW338</f>
        <v/>
      </c>
    </row>
    <row r="339" ht="15" customHeight="1" s="45">
      <c r="A339" s="28">
        <f>IF(Weekly_Inspections!$B339="","",Weekly_Inspections!$A339&amp;"-A1")</f>
        <v/>
      </c>
      <c r="B339" s="46">
        <f>Weekly_Inspections!$B339</f>
        <v/>
      </c>
      <c r="C339" s="30">
        <f>Weekly_Inspections!$E339</f>
        <v/>
      </c>
      <c r="D339" s="30">
        <f>Weekly_Inspections!$F339</f>
        <v/>
      </c>
      <c r="E339" s="28">
        <f>Weekly_Inspections!$H339</f>
        <v/>
      </c>
      <c r="F339" s="30">
        <f>IF(Weekly_Inspections!$AX339&lt;&gt;"",Weekly_Inspections!$AX339,IF(Weekly_Inspections!$AY339&lt;&gt;"",Weekly_Inspections!$AY339,IF(Weekly_Inspections!$AZ339&lt;&gt;"",Weekly_Inspections!$AZ339,IF(Weekly_Inspections!$BA339&lt;&gt;"",Weekly_Inspections!$BA339,IF(Weekly_Inspections!$BB339&lt;&gt;"",Weekly_Inspections!$BB339,Weekly_Inspections!$R339)))))</f>
        <v/>
      </c>
      <c r="G339" s="30">
        <f>IF(OR(Weekly_Inspections!$AQ339&lt;&gt;"",Weekly_Inspections!$AR339&lt;&gt;"",Weekly_Inspections!$AS339&lt;&gt;""),Weekly_Inspections!$AQ339,"")</f>
        <v/>
      </c>
      <c r="H339" s="30">
        <f>Weekly_Inspections!$AP339</f>
        <v/>
      </c>
      <c r="I339" s="30">
        <f>Weekly_Inspections!$AR339</f>
        <v/>
      </c>
      <c r="J339" s="30">
        <f>Weekly_Inspections!$AS339</f>
        <v/>
      </c>
      <c r="K339" s="30">
        <f>Weekly_Inspections!$AU339</f>
        <v/>
      </c>
      <c r="L339" s="46">
        <f>Weekly_Inspections!$AV339</f>
        <v/>
      </c>
      <c r="M339" s="30">
        <f>IF($B339="","",IF($N339&lt;&gt;"","Closed",IF(OR($G339&lt;&gt;"",$I339&lt;&gt;"",$J339&lt;&gt;""),"Open","")))</f>
        <v/>
      </c>
      <c r="N339" s="46" t="n"/>
      <c r="O339" s="28">
        <f>IF($B339="","",IF($M339="Closed",IF($N339="","",$N339-$B339),TODAY()-$B339))</f>
        <v/>
      </c>
      <c r="P339" s="28">
        <f>IF(OR($B339="",$L339="",$M339="Closed"),"",IF(TODAY()&gt;$L339,"YES","NO"))</f>
        <v/>
      </c>
      <c r="Q339" s="30">
        <f>Weekly_Inspections!$AW339</f>
        <v/>
      </c>
    </row>
    <row r="340" ht="15" customHeight="1" s="45">
      <c r="A340" s="28">
        <f>IF(Weekly_Inspections!$B340="","",Weekly_Inspections!$A340&amp;"-A1")</f>
        <v/>
      </c>
      <c r="B340" s="46">
        <f>Weekly_Inspections!$B340</f>
        <v/>
      </c>
      <c r="C340" s="30">
        <f>Weekly_Inspections!$E340</f>
        <v/>
      </c>
      <c r="D340" s="30">
        <f>Weekly_Inspections!$F340</f>
        <v/>
      </c>
      <c r="E340" s="28">
        <f>Weekly_Inspections!$H340</f>
        <v/>
      </c>
      <c r="F340" s="30">
        <f>IF(Weekly_Inspections!$AX340&lt;&gt;"",Weekly_Inspections!$AX340,IF(Weekly_Inspections!$AY340&lt;&gt;"",Weekly_Inspections!$AY340,IF(Weekly_Inspections!$AZ340&lt;&gt;"",Weekly_Inspections!$AZ340,IF(Weekly_Inspections!$BA340&lt;&gt;"",Weekly_Inspections!$BA340,IF(Weekly_Inspections!$BB340&lt;&gt;"",Weekly_Inspections!$BB340,Weekly_Inspections!$R340)))))</f>
        <v/>
      </c>
      <c r="G340" s="30">
        <f>IF(OR(Weekly_Inspections!$AQ340&lt;&gt;"",Weekly_Inspections!$AR340&lt;&gt;"",Weekly_Inspections!$AS340&lt;&gt;""),Weekly_Inspections!$AQ340,"")</f>
        <v/>
      </c>
      <c r="H340" s="30">
        <f>Weekly_Inspections!$AP340</f>
        <v/>
      </c>
      <c r="I340" s="30">
        <f>Weekly_Inspections!$AR340</f>
        <v/>
      </c>
      <c r="J340" s="30">
        <f>Weekly_Inspections!$AS340</f>
        <v/>
      </c>
      <c r="K340" s="30">
        <f>Weekly_Inspections!$AU340</f>
        <v/>
      </c>
      <c r="L340" s="46">
        <f>Weekly_Inspections!$AV340</f>
        <v/>
      </c>
      <c r="M340" s="30">
        <f>IF($B340="","",IF($N340&lt;&gt;"","Closed",IF(OR($G340&lt;&gt;"",$I340&lt;&gt;"",$J340&lt;&gt;""),"Open","")))</f>
        <v/>
      </c>
      <c r="N340" s="46" t="n"/>
      <c r="O340" s="28">
        <f>IF($B340="","",IF($M340="Closed",IF($N340="","",$N340-$B340),TODAY()-$B340))</f>
        <v/>
      </c>
      <c r="P340" s="28">
        <f>IF(OR($B340="",$L340="",$M340="Closed"),"",IF(TODAY()&gt;$L340,"YES","NO"))</f>
        <v/>
      </c>
      <c r="Q340" s="30">
        <f>Weekly_Inspections!$AW340</f>
        <v/>
      </c>
    </row>
    <row r="341" ht="15" customHeight="1" s="45">
      <c r="A341" s="28">
        <f>IF(Weekly_Inspections!$B341="","",Weekly_Inspections!$A341&amp;"-A1")</f>
        <v/>
      </c>
      <c r="B341" s="46">
        <f>Weekly_Inspections!$B341</f>
        <v/>
      </c>
      <c r="C341" s="30">
        <f>Weekly_Inspections!$E341</f>
        <v/>
      </c>
      <c r="D341" s="30">
        <f>Weekly_Inspections!$F341</f>
        <v/>
      </c>
      <c r="E341" s="28">
        <f>Weekly_Inspections!$H341</f>
        <v/>
      </c>
      <c r="F341" s="30">
        <f>IF(Weekly_Inspections!$AX341&lt;&gt;"",Weekly_Inspections!$AX341,IF(Weekly_Inspections!$AY341&lt;&gt;"",Weekly_Inspections!$AY341,IF(Weekly_Inspections!$AZ341&lt;&gt;"",Weekly_Inspections!$AZ341,IF(Weekly_Inspections!$BA341&lt;&gt;"",Weekly_Inspections!$BA341,IF(Weekly_Inspections!$BB341&lt;&gt;"",Weekly_Inspections!$BB341,Weekly_Inspections!$R341)))))</f>
        <v/>
      </c>
      <c r="G341" s="30">
        <f>IF(OR(Weekly_Inspections!$AQ341&lt;&gt;"",Weekly_Inspections!$AR341&lt;&gt;"",Weekly_Inspections!$AS341&lt;&gt;""),Weekly_Inspections!$AQ341,"")</f>
        <v/>
      </c>
      <c r="H341" s="30">
        <f>Weekly_Inspections!$AP341</f>
        <v/>
      </c>
      <c r="I341" s="30">
        <f>Weekly_Inspections!$AR341</f>
        <v/>
      </c>
      <c r="J341" s="30">
        <f>Weekly_Inspections!$AS341</f>
        <v/>
      </c>
      <c r="K341" s="30">
        <f>Weekly_Inspections!$AU341</f>
        <v/>
      </c>
      <c r="L341" s="46">
        <f>Weekly_Inspections!$AV341</f>
        <v/>
      </c>
      <c r="M341" s="30">
        <f>IF($B341="","",IF($N341&lt;&gt;"","Closed",IF(OR($G341&lt;&gt;"",$I341&lt;&gt;"",$J341&lt;&gt;""),"Open","")))</f>
        <v/>
      </c>
      <c r="N341" s="46" t="n"/>
      <c r="O341" s="28">
        <f>IF($B341="","",IF($M341="Closed",IF($N341="","",$N341-$B341),TODAY()-$B341))</f>
        <v/>
      </c>
      <c r="P341" s="28">
        <f>IF(OR($B341="",$L341="",$M341="Closed"),"",IF(TODAY()&gt;$L341,"YES","NO"))</f>
        <v/>
      </c>
      <c r="Q341" s="30">
        <f>Weekly_Inspections!$AW341</f>
        <v/>
      </c>
    </row>
    <row r="342" ht="15" customHeight="1" s="45">
      <c r="A342" s="28">
        <f>IF(Weekly_Inspections!$B342="","",Weekly_Inspections!$A342&amp;"-A1")</f>
        <v/>
      </c>
      <c r="B342" s="46">
        <f>Weekly_Inspections!$B342</f>
        <v/>
      </c>
      <c r="C342" s="30">
        <f>Weekly_Inspections!$E342</f>
        <v/>
      </c>
      <c r="D342" s="30">
        <f>Weekly_Inspections!$F342</f>
        <v/>
      </c>
      <c r="E342" s="28">
        <f>Weekly_Inspections!$H342</f>
        <v/>
      </c>
      <c r="F342" s="30">
        <f>IF(Weekly_Inspections!$AX342&lt;&gt;"",Weekly_Inspections!$AX342,IF(Weekly_Inspections!$AY342&lt;&gt;"",Weekly_Inspections!$AY342,IF(Weekly_Inspections!$AZ342&lt;&gt;"",Weekly_Inspections!$AZ342,IF(Weekly_Inspections!$BA342&lt;&gt;"",Weekly_Inspections!$BA342,IF(Weekly_Inspections!$BB342&lt;&gt;"",Weekly_Inspections!$BB342,Weekly_Inspections!$R342)))))</f>
        <v/>
      </c>
      <c r="G342" s="30">
        <f>IF(OR(Weekly_Inspections!$AQ342&lt;&gt;"",Weekly_Inspections!$AR342&lt;&gt;"",Weekly_Inspections!$AS342&lt;&gt;""),Weekly_Inspections!$AQ342,"")</f>
        <v/>
      </c>
      <c r="H342" s="30">
        <f>Weekly_Inspections!$AP342</f>
        <v/>
      </c>
      <c r="I342" s="30">
        <f>Weekly_Inspections!$AR342</f>
        <v/>
      </c>
      <c r="J342" s="30">
        <f>Weekly_Inspections!$AS342</f>
        <v/>
      </c>
      <c r="K342" s="30">
        <f>Weekly_Inspections!$AU342</f>
        <v/>
      </c>
      <c r="L342" s="46">
        <f>Weekly_Inspections!$AV342</f>
        <v/>
      </c>
      <c r="M342" s="30">
        <f>IF($B342="","",IF($N342&lt;&gt;"","Closed",IF(OR($G342&lt;&gt;"",$I342&lt;&gt;"",$J342&lt;&gt;""),"Open","")))</f>
        <v/>
      </c>
      <c r="N342" s="46" t="n"/>
      <c r="O342" s="28">
        <f>IF($B342="","",IF($M342="Closed",IF($N342="","",$N342-$B342),TODAY()-$B342))</f>
        <v/>
      </c>
      <c r="P342" s="28">
        <f>IF(OR($B342="",$L342="",$M342="Closed"),"",IF(TODAY()&gt;$L342,"YES","NO"))</f>
        <v/>
      </c>
      <c r="Q342" s="30">
        <f>Weekly_Inspections!$AW342</f>
        <v/>
      </c>
    </row>
    <row r="343" ht="15" customHeight="1" s="45">
      <c r="A343" s="28">
        <f>IF(Weekly_Inspections!$B343="","",Weekly_Inspections!$A343&amp;"-A1")</f>
        <v/>
      </c>
      <c r="B343" s="46">
        <f>Weekly_Inspections!$B343</f>
        <v/>
      </c>
      <c r="C343" s="30">
        <f>Weekly_Inspections!$E343</f>
        <v/>
      </c>
      <c r="D343" s="30">
        <f>Weekly_Inspections!$F343</f>
        <v/>
      </c>
      <c r="E343" s="28">
        <f>Weekly_Inspections!$H343</f>
        <v/>
      </c>
      <c r="F343" s="30">
        <f>IF(Weekly_Inspections!$AX343&lt;&gt;"",Weekly_Inspections!$AX343,IF(Weekly_Inspections!$AY343&lt;&gt;"",Weekly_Inspections!$AY343,IF(Weekly_Inspections!$AZ343&lt;&gt;"",Weekly_Inspections!$AZ343,IF(Weekly_Inspections!$BA343&lt;&gt;"",Weekly_Inspections!$BA343,IF(Weekly_Inspections!$BB343&lt;&gt;"",Weekly_Inspections!$BB343,Weekly_Inspections!$R343)))))</f>
        <v/>
      </c>
      <c r="G343" s="30">
        <f>IF(OR(Weekly_Inspections!$AQ343&lt;&gt;"",Weekly_Inspections!$AR343&lt;&gt;"",Weekly_Inspections!$AS343&lt;&gt;""),Weekly_Inspections!$AQ343,"")</f>
        <v/>
      </c>
      <c r="H343" s="30">
        <f>Weekly_Inspections!$AP343</f>
        <v/>
      </c>
      <c r="I343" s="30">
        <f>Weekly_Inspections!$AR343</f>
        <v/>
      </c>
      <c r="J343" s="30">
        <f>Weekly_Inspections!$AS343</f>
        <v/>
      </c>
      <c r="K343" s="30">
        <f>Weekly_Inspections!$AU343</f>
        <v/>
      </c>
      <c r="L343" s="46">
        <f>Weekly_Inspections!$AV343</f>
        <v/>
      </c>
      <c r="M343" s="30">
        <f>IF($B343="","",IF($N343&lt;&gt;"","Closed",IF(OR($G343&lt;&gt;"",$I343&lt;&gt;"",$J343&lt;&gt;""),"Open","")))</f>
        <v/>
      </c>
      <c r="N343" s="46" t="n"/>
      <c r="O343" s="28">
        <f>IF($B343="","",IF($M343="Closed",IF($N343="","",$N343-$B343),TODAY()-$B343))</f>
        <v/>
      </c>
      <c r="P343" s="28">
        <f>IF(OR($B343="",$L343="",$M343="Closed"),"",IF(TODAY()&gt;$L343,"YES","NO"))</f>
        <v/>
      </c>
      <c r="Q343" s="30">
        <f>Weekly_Inspections!$AW343</f>
        <v/>
      </c>
    </row>
    <row r="344" ht="15" customHeight="1" s="45">
      <c r="A344" s="28">
        <f>IF(Weekly_Inspections!$B344="","",Weekly_Inspections!$A344&amp;"-A1")</f>
        <v/>
      </c>
      <c r="B344" s="46">
        <f>Weekly_Inspections!$B344</f>
        <v/>
      </c>
      <c r="C344" s="30">
        <f>Weekly_Inspections!$E344</f>
        <v/>
      </c>
      <c r="D344" s="30">
        <f>Weekly_Inspections!$F344</f>
        <v/>
      </c>
      <c r="E344" s="28">
        <f>Weekly_Inspections!$H344</f>
        <v/>
      </c>
      <c r="F344" s="30">
        <f>IF(Weekly_Inspections!$AX344&lt;&gt;"",Weekly_Inspections!$AX344,IF(Weekly_Inspections!$AY344&lt;&gt;"",Weekly_Inspections!$AY344,IF(Weekly_Inspections!$AZ344&lt;&gt;"",Weekly_Inspections!$AZ344,IF(Weekly_Inspections!$BA344&lt;&gt;"",Weekly_Inspections!$BA344,IF(Weekly_Inspections!$BB344&lt;&gt;"",Weekly_Inspections!$BB344,Weekly_Inspections!$R344)))))</f>
        <v/>
      </c>
      <c r="G344" s="30">
        <f>IF(OR(Weekly_Inspections!$AQ344&lt;&gt;"",Weekly_Inspections!$AR344&lt;&gt;"",Weekly_Inspections!$AS344&lt;&gt;""),Weekly_Inspections!$AQ344,"")</f>
        <v/>
      </c>
      <c r="H344" s="30">
        <f>Weekly_Inspections!$AP344</f>
        <v/>
      </c>
      <c r="I344" s="30">
        <f>Weekly_Inspections!$AR344</f>
        <v/>
      </c>
      <c r="J344" s="30">
        <f>Weekly_Inspections!$AS344</f>
        <v/>
      </c>
      <c r="K344" s="30">
        <f>Weekly_Inspections!$AU344</f>
        <v/>
      </c>
      <c r="L344" s="46">
        <f>Weekly_Inspections!$AV344</f>
        <v/>
      </c>
      <c r="M344" s="30">
        <f>IF($B344="","",IF($N344&lt;&gt;"","Closed",IF(OR($G344&lt;&gt;"",$I344&lt;&gt;"",$J344&lt;&gt;""),"Open","")))</f>
        <v/>
      </c>
      <c r="N344" s="46" t="n"/>
      <c r="O344" s="28">
        <f>IF($B344="","",IF($M344="Closed",IF($N344="","",$N344-$B344),TODAY()-$B344))</f>
        <v/>
      </c>
      <c r="P344" s="28">
        <f>IF(OR($B344="",$L344="",$M344="Closed"),"",IF(TODAY()&gt;$L344,"YES","NO"))</f>
        <v/>
      </c>
      <c r="Q344" s="30">
        <f>Weekly_Inspections!$AW344</f>
        <v/>
      </c>
    </row>
    <row r="345" ht="15" customHeight="1" s="45">
      <c r="A345" s="28">
        <f>IF(Weekly_Inspections!$B345="","",Weekly_Inspections!$A345&amp;"-A1")</f>
        <v/>
      </c>
      <c r="B345" s="46">
        <f>Weekly_Inspections!$B345</f>
        <v/>
      </c>
      <c r="C345" s="30">
        <f>Weekly_Inspections!$E345</f>
        <v/>
      </c>
      <c r="D345" s="30">
        <f>Weekly_Inspections!$F345</f>
        <v/>
      </c>
      <c r="E345" s="28">
        <f>Weekly_Inspections!$H345</f>
        <v/>
      </c>
      <c r="F345" s="30">
        <f>IF(Weekly_Inspections!$AX345&lt;&gt;"",Weekly_Inspections!$AX345,IF(Weekly_Inspections!$AY345&lt;&gt;"",Weekly_Inspections!$AY345,IF(Weekly_Inspections!$AZ345&lt;&gt;"",Weekly_Inspections!$AZ345,IF(Weekly_Inspections!$BA345&lt;&gt;"",Weekly_Inspections!$BA345,IF(Weekly_Inspections!$BB345&lt;&gt;"",Weekly_Inspections!$BB345,Weekly_Inspections!$R345)))))</f>
        <v/>
      </c>
      <c r="G345" s="30">
        <f>IF(OR(Weekly_Inspections!$AQ345&lt;&gt;"",Weekly_Inspections!$AR345&lt;&gt;"",Weekly_Inspections!$AS345&lt;&gt;""),Weekly_Inspections!$AQ345,"")</f>
        <v/>
      </c>
      <c r="H345" s="30">
        <f>Weekly_Inspections!$AP345</f>
        <v/>
      </c>
      <c r="I345" s="30">
        <f>Weekly_Inspections!$AR345</f>
        <v/>
      </c>
      <c r="J345" s="30">
        <f>Weekly_Inspections!$AS345</f>
        <v/>
      </c>
      <c r="K345" s="30">
        <f>Weekly_Inspections!$AU345</f>
        <v/>
      </c>
      <c r="L345" s="46">
        <f>Weekly_Inspections!$AV345</f>
        <v/>
      </c>
      <c r="M345" s="30">
        <f>IF($B345="","",IF($N345&lt;&gt;"","Closed",IF(OR($G345&lt;&gt;"",$I345&lt;&gt;"",$J345&lt;&gt;""),"Open","")))</f>
        <v/>
      </c>
      <c r="N345" s="46" t="n"/>
      <c r="O345" s="28">
        <f>IF($B345="","",IF($M345="Closed",IF($N345="","",$N345-$B345),TODAY()-$B345))</f>
        <v/>
      </c>
      <c r="P345" s="28">
        <f>IF(OR($B345="",$L345="",$M345="Closed"),"",IF(TODAY()&gt;$L345,"YES","NO"))</f>
        <v/>
      </c>
      <c r="Q345" s="30">
        <f>Weekly_Inspections!$AW345</f>
        <v/>
      </c>
    </row>
    <row r="346" ht="15" customHeight="1" s="45">
      <c r="A346" s="28">
        <f>IF(Weekly_Inspections!$B346="","",Weekly_Inspections!$A346&amp;"-A1")</f>
        <v/>
      </c>
      <c r="B346" s="46">
        <f>Weekly_Inspections!$B346</f>
        <v/>
      </c>
      <c r="C346" s="30">
        <f>Weekly_Inspections!$E346</f>
        <v/>
      </c>
      <c r="D346" s="30">
        <f>Weekly_Inspections!$F346</f>
        <v/>
      </c>
      <c r="E346" s="28">
        <f>Weekly_Inspections!$H346</f>
        <v/>
      </c>
      <c r="F346" s="30">
        <f>IF(Weekly_Inspections!$AX346&lt;&gt;"",Weekly_Inspections!$AX346,IF(Weekly_Inspections!$AY346&lt;&gt;"",Weekly_Inspections!$AY346,IF(Weekly_Inspections!$AZ346&lt;&gt;"",Weekly_Inspections!$AZ346,IF(Weekly_Inspections!$BA346&lt;&gt;"",Weekly_Inspections!$BA346,IF(Weekly_Inspections!$BB346&lt;&gt;"",Weekly_Inspections!$BB346,Weekly_Inspections!$R346)))))</f>
        <v/>
      </c>
      <c r="G346" s="30">
        <f>IF(OR(Weekly_Inspections!$AQ346&lt;&gt;"",Weekly_Inspections!$AR346&lt;&gt;"",Weekly_Inspections!$AS346&lt;&gt;""),Weekly_Inspections!$AQ346,"")</f>
        <v/>
      </c>
      <c r="H346" s="30">
        <f>Weekly_Inspections!$AP346</f>
        <v/>
      </c>
      <c r="I346" s="30">
        <f>Weekly_Inspections!$AR346</f>
        <v/>
      </c>
      <c r="J346" s="30">
        <f>Weekly_Inspections!$AS346</f>
        <v/>
      </c>
      <c r="K346" s="30">
        <f>Weekly_Inspections!$AU346</f>
        <v/>
      </c>
      <c r="L346" s="46">
        <f>Weekly_Inspections!$AV346</f>
        <v/>
      </c>
      <c r="M346" s="30">
        <f>IF($B346="","",IF($N346&lt;&gt;"","Closed",IF(OR($G346&lt;&gt;"",$I346&lt;&gt;"",$J346&lt;&gt;""),"Open","")))</f>
        <v/>
      </c>
      <c r="N346" s="46" t="n"/>
      <c r="O346" s="28">
        <f>IF($B346="","",IF($M346="Closed",IF($N346="","",$N346-$B346),TODAY()-$B346))</f>
        <v/>
      </c>
      <c r="P346" s="28">
        <f>IF(OR($B346="",$L346="",$M346="Closed"),"",IF(TODAY()&gt;$L346,"YES","NO"))</f>
        <v/>
      </c>
      <c r="Q346" s="30">
        <f>Weekly_Inspections!$AW346</f>
        <v/>
      </c>
    </row>
    <row r="347" ht="15" customHeight="1" s="45">
      <c r="A347" s="28">
        <f>IF(Weekly_Inspections!$B347="","",Weekly_Inspections!$A347&amp;"-A1")</f>
        <v/>
      </c>
      <c r="B347" s="46">
        <f>Weekly_Inspections!$B347</f>
        <v/>
      </c>
      <c r="C347" s="30">
        <f>Weekly_Inspections!$E347</f>
        <v/>
      </c>
      <c r="D347" s="30">
        <f>Weekly_Inspections!$F347</f>
        <v/>
      </c>
      <c r="E347" s="28">
        <f>Weekly_Inspections!$H347</f>
        <v/>
      </c>
      <c r="F347" s="30">
        <f>IF(Weekly_Inspections!$AX347&lt;&gt;"",Weekly_Inspections!$AX347,IF(Weekly_Inspections!$AY347&lt;&gt;"",Weekly_Inspections!$AY347,IF(Weekly_Inspections!$AZ347&lt;&gt;"",Weekly_Inspections!$AZ347,IF(Weekly_Inspections!$BA347&lt;&gt;"",Weekly_Inspections!$BA347,IF(Weekly_Inspections!$BB347&lt;&gt;"",Weekly_Inspections!$BB347,Weekly_Inspections!$R347)))))</f>
        <v/>
      </c>
      <c r="G347" s="30">
        <f>IF(OR(Weekly_Inspections!$AQ347&lt;&gt;"",Weekly_Inspections!$AR347&lt;&gt;"",Weekly_Inspections!$AS347&lt;&gt;""),Weekly_Inspections!$AQ347,"")</f>
        <v/>
      </c>
      <c r="H347" s="30">
        <f>Weekly_Inspections!$AP347</f>
        <v/>
      </c>
      <c r="I347" s="30">
        <f>Weekly_Inspections!$AR347</f>
        <v/>
      </c>
      <c r="J347" s="30">
        <f>Weekly_Inspections!$AS347</f>
        <v/>
      </c>
      <c r="K347" s="30">
        <f>Weekly_Inspections!$AU347</f>
        <v/>
      </c>
      <c r="L347" s="46">
        <f>Weekly_Inspections!$AV347</f>
        <v/>
      </c>
      <c r="M347" s="30">
        <f>IF($B347="","",IF($N347&lt;&gt;"","Closed",IF(OR($G347&lt;&gt;"",$I347&lt;&gt;"",$J347&lt;&gt;""),"Open","")))</f>
        <v/>
      </c>
      <c r="N347" s="46" t="n"/>
      <c r="O347" s="28">
        <f>IF($B347="","",IF($M347="Closed",IF($N347="","",$N347-$B347),TODAY()-$B347))</f>
        <v/>
      </c>
      <c r="P347" s="28">
        <f>IF(OR($B347="",$L347="",$M347="Closed"),"",IF(TODAY()&gt;$L347,"YES","NO"))</f>
        <v/>
      </c>
      <c r="Q347" s="30">
        <f>Weekly_Inspections!$AW347</f>
        <v/>
      </c>
    </row>
    <row r="348" ht="15" customHeight="1" s="45">
      <c r="A348" s="28">
        <f>IF(Weekly_Inspections!$B348="","",Weekly_Inspections!$A348&amp;"-A1")</f>
        <v/>
      </c>
      <c r="B348" s="46">
        <f>Weekly_Inspections!$B348</f>
        <v/>
      </c>
      <c r="C348" s="30">
        <f>Weekly_Inspections!$E348</f>
        <v/>
      </c>
      <c r="D348" s="30">
        <f>Weekly_Inspections!$F348</f>
        <v/>
      </c>
      <c r="E348" s="28">
        <f>Weekly_Inspections!$H348</f>
        <v/>
      </c>
      <c r="F348" s="30">
        <f>IF(Weekly_Inspections!$AX348&lt;&gt;"",Weekly_Inspections!$AX348,IF(Weekly_Inspections!$AY348&lt;&gt;"",Weekly_Inspections!$AY348,IF(Weekly_Inspections!$AZ348&lt;&gt;"",Weekly_Inspections!$AZ348,IF(Weekly_Inspections!$BA348&lt;&gt;"",Weekly_Inspections!$BA348,IF(Weekly_Inspections!$BB348&lt;&gt;"",Weekly_Inspections!$BB348,Weekly_Inspections!$R348)))))</f>
        <v/>
      </c>
      <c r="G348" s="30">
        <f>IF(OR(Weekly_Inspections!$AQ348&lt;&gt;"",Weekly_Inspections!$AR348&lt;&gt;"",Weekly_Inspections!$AS348&lt;&gt;""),Weekly_Inspections!$AQ348,"")</f>
        <v/>
      </c>
      <c r="H348" s="30">
        <f>Weekly_Inspections!$AP348</f>
        <v/>
      </c>
      <c r="I348" s="30">
        <f>Weekly_Inspections!$AR348</f>
        <v/>
      </c>
      <c r="J348" s="30">
        <f>Weekly_Inspections!$AS348</f>
        <v/>
      </c>
      <c r="K348" s="30">
        <f>Weekly_Inspections!$AU348</f>
        <v/>
      </c>
      <c r="L348" s="46">
        <f>Weekly_Inspections!$AV348</f>
        <v/>
      </c>
      <c r="M348" s="30">
        <f>IF($B348="","",IF($N348&lt;&gt;"","Closed",IF(OR($G348&lt;&gt;"",$I348&lt;&gt;"",$J348&lt;&gt;""),"Open","")))</f>
        <v/>
      </c>
      <c r="N348" s="46" t="n"/>
      <c r="O348" s="28">
        <f>IF($B348="","",IF($M348="Closed",IF($N348="","",$N348-$B348),TODAY()-$B348))</f>
        <v/>
      </c>
      <c r="P348" s="28">
        <f>IF(OR($B348="",$L348="",$M348="Closed"),"",IF(TODAY()&gt;$L348,"YES","NO"))</f>
        <v/>
      </c>
      <c r="Q348" s="30">
        <f>Weekly_Inspections!$AW348</f>
        <v/>
      </c>
    </row>
    <row r="349" ht="15" customHeight="1" s="45">
      <c r="A349" s="28">
        <f>IF(Weekly_Inspections!$B349="","",Weekly_Inspections!$A349&amp;"-A1")</f>
        <v/>
      </c>
      <c r="B349" s="46">
        <f>Weekly_Inspections!$B349</f>
        <v/>
      </c>
      <c r="C349" s="30">
        <f>Weekly_Inspections!$E349</f>
        <v/>
      </c>
      <c r="D349" s="30">
        <f>Weekly_Inspections!$F349</f>
        <v/>
      </c>
      <c r="E349" s="28">
        <f>Weekly_Inspections!$H349</f>
        <v/>
      </c>
      <c r="F349" s="30">
        <f>IF(Weekly_Inspections!$AX349&lt;&gt;"",Weekly_Inspections!$AX349,IF(Weekly_Inspections!$AY349&lt;&gt;"",Weekly_Inspections!$AY349,IF(Weekly_Inspections!$AZ349&lt;&gt;"",Weekly_Inspections!$AZ349,IF(Weekly_Inspections!$BA349&lt;&gt;"",Weekly_Inspections!$BA349,IF(Weekly_Inspections!$BB349&lt;&gt;"",Weekly_Inspections!$BB349,Weekly_Inspections!$R349)))))</f>
        <v/>
      </c>
      <c r="G349" s="30">
        <f>IF(OR(Weekly_Inspections!$AQ349&lt;&gt;"",Weekly_Inspections!$AR349&lt;&gt;"",Weekly_Inspections!$AS349&lt;&gt;""),Weekly_Inspections!$AQ349,"")</f>
        <v/>
      </c>
      <c r="H349" s="30">
        <f>Weekly_Inspections!$AP349</f>
        <v/>
      </c>
      <c r="I349" s="30">
        <f>Weekly_Inspections!$AR349</f>
        <v/>
      </c>
      <c r="J349" s="30">
        <f>Weekly_Inspections!$AS349</f>
        <v/>
      </c>
      <c r="K349" s="30">
        <f>Weekly_Inspections!$AU349</f>
        <v/>
      </c>
      <c r="L349" s="46">
        <f>Weekly_Inspections!$AV349</f>
        <v/>
      </c>
      <c r="M349" s="30">
        <f>IF($B349="","",IF($N349&lt;&gt;"","Closed",IF(OR($G349&lt;&gt;"",$I349&lt;&gt;"",$J349&lt;&gt;""),"Open","")))</f>
        <v/>
      </c>
      <c r="N349" s="46" t="n"/>
      <c r="O349" s="28">
        <f>IF($B349="","",IF($M349="Closed",IF($N349="","",$N349-$B349),TODAY()-$B349))</f>
        <v/>
      </c>
      <c r="P349" s="28">
        <f>IF(OR($B349="",$L349="",$M349="Closed"),"",IF(TODAY()&gt;$L349,"YES","NO"))</f>
        <v/>
      </c>
      <c r="Q349" s="30">
        <f>Weekly_Inspections!$AW349</f>
        <v/>
      </c>
    </row>
    <row r="350" ht="15" customHeight="1" s="45">
      <c r="A350" s="28">
        <f>IF(Weekly_Inspections!$B350="","",Weekly_Inspections!$A350&amp;"-A1")</f>
        <v/>
      </c>
      <c r="B350" s="46">
        <f>Weekly_Inspections!$B350</f>
        <v/>
      </c>
      <c r="C350" s="30">
        <f>Weekly_Inspections!$E350</f>
        <v/>
      </c>
      <c r="D350" s="30">
        <f>Weekly_Inspections!$F350</f>
        <v/>
      </c>
      <c r="E350" s="28">
        <f>Weekly_Inspections!$H350</f>
        <v/>
      </c>
      <c r="F350" s="30">
        <f>IF(Weekly_Inspections!$AX350&lt;&gt;"",Weekly_Inspections!$AX350,IF(Weekly_Inspections!$AY350&lt;&gt;"",Weekly_Inspections!$AY350,IF(Weekly_Inspections!$AZ350&lt;&gt;"",Weekly_Inspections!$AZ350,IF(Weekly_Inspections!$BA350&lt;&gt;"",Weekly_Inspections!$BA350,IF(Weekly_Inspections!$BB350&lt;&gt;"",Weekly_Inspections!$BB350,Weekly_Inspections!$R350)))))</f>
        <v/>
      </c>
      <c r="G350" s="30">
        <f>IF(OR(Weekly_Inspections!$AQ350&lt;&gt;"",Weekly_Inspections!$AR350&lt;&gt;"",Weekly_Inspections!$AS350&lt;&gt;""),Weekly_Inspections!$AQ350,"")</f>
        <v/>
      </c>
      <c r="H350" s="30">
        <f>Weekly_Inspections!$AP350</f>
        <v/>
      </c>
      <c r="I350" s="30">
        <f>Weekly_Inspections!$AR350</f>
        <v/>
      </c>
      <c r="J350" s="30">
        <f>Weekly_Inspections!$AS350</f>
        <v/>
      </c>
      <c r="K350" s="30">
        <f>Weekly_Inspections!$AU350</f>
        <v/>
      </c>
      <c r="L350" s="46">
        <f>Weekly_Inspections!$AV350</f>
        <v/>
      </c>
      <c r="M350" s="30">
        <f>IF($B350="","",IF($N350&lt;&gt;"","Closed",IF(OR($G350&lt;&gt;"",$I350&lt;&gt;"",$J350&lt;&gt;""),"Open","")))</f>
        <v/>
      </c>
      <c r="N350" s="46" t="n"/>
      <c r="O350" s="28">
        <f>IF($B350="","",IF($M350="Closed",IF($N350="","",$N350-$B350),TODAY()-$B350))</f>
        <v/>
      </c>
      <c r="P350" s="28">
        <f>IF(OR($B350="",$L350="",$M350="Closed"),"",IF(TODAY()&gt;$L350,"YES","NO"))</f>
        <v/>
      </c>
      <c r="Q350" s="30">
        <f>Weekly_Inspections!$AW350</f>
        <v/>
      </c>
    </row>
    <row r="351" ht="15" customHeight="1" s="45">
      <c r="A351" s="28">
        <f>IF(Weekly_Inspections!$B351="","",Weekly_Inspections!$A351&amp;"-A1")</f>
        <v/>
      </c>
      <c r="B351" s="46">
        <f>Weekly_Inspections!$B351</f>
        <v/>
      </c>
      <c r="C351" s="30">
        <f>Weekly_Inspections!$E351</f>
        <v/>
      </c>
      <c r="D351" s="30">
        <f>Weekly_Inspections!$F351</f>
        <v/>
      </c>
      <c r="E351" s="28">
        <f>Weekly_Inspections!$H351</f>
        <v/>
      </c>
      <c r="F351" s="30">
        <f>IF(Weekly_Inspections!$AX351&lt;&gt;"",Weekly_Inspections!$AX351,IF(Weekly_Inspections!$AY351&lt;&gt;"",Weekly_Inspections!$AY351,IF(Weekly_Inspections!$AZ351&lt;&gt;"",Weekly_Inspections!$AZ351,IF(Weekly_Inspections!$BA351&lt;&gt;"",Weekly_Inspections!$BA351,IF(Weekly_Inspections!$BB351&lt;&gt;"",Weekly_Inspections!$BB351,Weekly_Inspections!$R351)))))</f>
        <v/>
      </c>
      <c r="G351" s="30">
        <f>IF(OR(Weekly_Inspections!$AQ351&lt;&gt;"",Weekly_Inspections!$AR351&lt;&gt;"",Weekly_Inspections!$AS351&lt;&gt;""),Weekly_Inspections!$AQ351,"")</f>
        <v/>
      </c>
      <c r="H351" s="30">
        <f>Weekly_Inspections!$AP351</f>
        <v/>
      </c>
      <c r="I351" s="30">
        <f>Weekly_Inspections!$AR351</f>
        <v/>
      </c>
      <c r="J351" s="30">
        <f>Weekly_Inspections!$AS351</f>
        <v/>
      </c>
      <c r="K351" s="30">
        <f>Weekly_Inspections!$AU351</f>
        <v/>
      </c>
      <c r="L351" s="46">
        <f>Weekly_Inspections!$AV351</f>
        <v/>
      </c>
      <c r="M351" s="30">
        <f>IF($B351="","",IF($N351&lt;&gt;"","Closed",IF(OR($G351&lt;&gt;"",$I351&lt;&gt;"",$J351&lt;&gt;""),"Open","")))</f>
        <v/>
      </c>
      <c r="N351" s="46" t="n"/>
      <c r="O351" s="28">
        <f>IF($B351="","",IF($M351="Closed",IF($N351="","",$N351-$B351),TODAY()-$B351))</f>
        <v/>
      </c>
      <c r="P351" s="28">
        <f>IF(OR($B351="",$L351="",$M351="Closed"),"",IF(TODAY()&gt;$L351,"YES","NO"))</f>
        <v/>
      </c>
      <c r="Q351" s="30">
        <f>Weekly_Inspections!$AW351</f>
        <v/>
      </c>
    </row>
    <row r="352" ht="15" customHeight="1" s="45">
      <c r="A352" s="28">
        <f>IF(Weekly_Inspections!$B352="","",Weekly_Inspections!$A352&amp;"-A1")</f>
        <v/>
      </c>
      <c r="B352" s="46">
        <f>Weekly_Inspections!$B352</f>
        <v/>
      </c>
      <c r="C352" s="30">
        <f>Weekly_Inspections!$E352</f>
        <v/>
      </c>
      <c r="D352" s="30">
        <f>Weekly_Inspections!$F352</f>
        <v/>
      </c>
      <c r="E352" s="28">
        <f>Weekly_Inspections!$H352</f>
        <v/>
      </c>
      <c r="F352" s="30">
        <f>IF(Weekly_Inspections!$AX352&lt;&gt;"",Weekly_Inspections!$AX352,IF(Weekly_Inspections!$AY352&lt;&gt;"",Weekly_Inspections!$AY352,IF(Weekly_Inspections!$AZ352&lt;&gt;"",Weekly_Inspections!$AZ352,IF(Weekly_Inspections!$BA352&lt;&gt;"",Weekly_Inspections!$BA352,IF(Weekly_Inspections!$BB352&lt;&gt;"",Weekly_Inspections!$BB352,Weekly_Inspections!$R352)))))</f>
        <v/>
      </c>
      <c r="G352" s="30">
        <f>IF(OR(Weekly_Inspections!$AQ352&lt;&gt;"",Weekly_Inspections!$AR352&lt;&gt;"",Weekly_Inspections!$AS352&lt;&gt;""),Weekly_Inspections!$AQ352,"")</f>
        <v/>
      </c>
      <c r="H352" s="30">
        <f>Weekly_Inspections!$AP352</f>
        <v/>
      </c>
      <c r="I352" s="30">
        <f>Weekly_Inspections!$AR352</f>
        <v/>
      </c>
      <c r="J352" s="30">
        <f>Weekly_Inspections!$AS352</f>
        <v/>
      </c>
      <c r="K352" s="30">
        <f>Weekly_Inspections!$AU352</f>
        <v/>
      </c>
      <c r="L352" s="46">
        <f>Weekly_Inspections!$AV352</f>
        <v/>
      </c>
      <c r="M352" s="30">
        <f>IF($B352="","",IF($N352&lt;&gt;"","Closed",IF(OR($G352&lt;&gt;"",$I352&lt;&gt;"",$J352&lt;&gt;""),"Open","")))</f>
        <v/>
      </c>
      <c r="N352" s="46" t="n"/>
      <c r="O352" s="28">
        <f>IF($B352="","",IF($M352="Closed",IF($N352="","",$N352-$B352),TODAY()-$B352))</f>
        <v/>
      </c>
      <c r="P352" s="28">
        <f>IF(OR($B352="",$L352="",$M352="Closed"),"",IF(TODAY()&gt;$L352,"YES","NO"))</f>
        <v/>
      </c>
      <c r="Q352" s="30">
        <f>Weekly_Inspections!$AW352</f>
        <v/>
      </c>
    </row>
    <row r="353" ht="15" customHeight="1" s="45">
      <c r="A353" s="28">
        <f>IF(Weekly_Inspections!$B353="","",Weekly_Inspections!$A353&amp;"-A1")</f>
        <v/>
      </c>
      <c r="B353" s="46">
        <f>Weekly_Inspections!$B353</f>
        <v/>
      </c>
      <c r="C353" s="30">
        <f>Weekly_Inspections!$E353</f>
        <v/>
      </c>
      <c r="D353" s="30">
        <f>Weekly_Inspections!$F353</f>
        <v/>
      </c>
      <c r="E353" s="28">
        <f>Weekly_Inspections!$H353</f>
        <v/>
      </c>
      <c r="F353" s="30">
        <f>IF(Weekly_Inspections!$AX353&lt;&gt;"",Weekly_Inspections!$AX353,IF(Weekly_Inspections!$AY353&lt;&gt;"",Weekly_Inspections!$AY353,IF(Weekly_Inspections!$AZ353&lt;&gt;"",Weekly_Inspections!$AZ353,IF(Weekly_Inspections!$BA353&lt;&gt;"",Weekly_Inspections!$BA353,IF(Weekly_Inspections!$BB353&lt;&gt;"",Weekly_Inspections!$BB353,Weekly_Inspections!$R353)))))</f>
        <v/>
      </c>
      <c r="G353" s="30">
        <f>IF(OR(Weekly_Inspections!$AQ353&lt;&gt;"",Weekly_Inspections!$AR353&lt;&gt;"",Weekly_Inspections!$AS353&lt;&gt;""),Weekly_Inspections!$AQ353,"")</f>
        <v/>
      </c>
      <c r="H353" s="30">
        <f>Weekly_Inspections!$AP353</f>
        <v/>
      </c>
      <c r="I353" s="30">
        <f>Weekly_Inspections!$AR353</f>
        <v/>
      </c>
      <c r="J353" s="30">
        <f>Weekly_Inspections!$AS353</f>
        <v/>
      </c>
      <c r="K353" s="30">
        <f>Weekly_Inspections!$AU353</f>
        <v/>
      </c>
      <c r="L353" s="46">
        <f>Weekly_Inspections!$AV353</f>
        <v/>
      </c>
      <c r="M353" s="30">
        <f>IF($B353="","",IF($N353&lt;&gt;"","Closed",IF(OR($G353&lt;&gt;"",$I353&lt;&gt;"",$J353&lt;&gt;""),"Open","")))</f>
        <v/>
      </c>
      <c r="N353" s="46" t="n"/>
      <c r="O353" s="28">
        <f>IF($B353="","",IF($M353="Closed",IF($N353="","",$N353-$B353),TODAY()-$B353))</f>
        <v/>
      </c>
      <c r="P353" s="28">
        <f>IF(OR($B353="",$L353="",$M353="Closed"),"",IF(TODAY()&gt;$L353,"YES","NO"))</f>
        <v/>
      </c>
      <c r="Q353" s="30">
        <f>Weekly_Inspections!$AW353</f>
        <v/>
      </c>
    </row>
    <row r="354" ht="15" customHeight="1" s="45">
      <c r="A354" s="28">
        <f>IF(Weekly_Inspections!$B354="","",Weekly_Inspections!$A354&amp;"-A1")</f>
        <v/>
      </c>
      <c r="B354" s="46">
        <f>Weekly_Inspections!$B354</f>
        <v/>
      </c>
      <c r="C354" s="30">
        <f>Weekly_Inspections!$E354</f>
        <v/>
      </c>
      <c r="D354" s="30">
        <f>Weekly_Inspections!$F354</f>
        <v/>
      </c>
      <c r="E354" s="28">
        <f>Weekly_Inspections!$H354</f>
        <v/>
      </c>
      <c r="F354" s="30">
        <f>IF(Weekly_Inspections!$AX354&lt;&gt;"",Weekly_Inspections!$AX354,IF(Weekly_Inspections!$AY354&lt;&gt;"",Weekly_Inspections!$AY354,IF(Weekly_Inspections!$AZ354&lt;&gt;"",Weekly_Inspections!$AZ354,IF(Weekly_Inspections!$BA354&lt;&gt;"",Weekly_Inspections!$BA354,IF(Weekly_Inspections!$BB354&lt;&gt;"",Weekly_Inspections!$BB354,Weekly_Inspections!$R354)))))</f>
        <v/>
      </c>
      <c r="G354" s="30">
        <f>IF(OR(Weekly_Inspections!$AQ354&lt;&gt;"",Weekly_Inspections!$AR354&lt;&gt;"",Weekly_Inspections!$AS354&lt;&gt;""),Weekly_Inspections!$AQ354,"")</f>
        <v/>
      </c>
      <c r="H354" s="30">
        <f>Weekly_Inspections!$AP354</f>
        <v/>
      </c>
      <c r="I354" s="30">
        <f>Weekly_Inspections!$AR354</f>
        <v/>
      </c>
      <c r="J354" s="30">
        <f>Weekly_Inspections!$AS354</f>
        <v/>
      </c>
      <c r="K354" s="30">
        <f>Weekly_Inspections!$AU354</f>
        <v/>
      </c>
      <c r="L354" s="46">
        <f>Weekly_Inspections!$AV354</f>
        <v/>
      </c>
      <c r="M354" s="30">
        <f>IF($B354="","",IF($N354&lt;&gt;"","Closed",IF(OR($G354&lt;&gt;"",$I354&lt;&gt;"",$J354&lt;&gt;""),"Open","")))</f>
        <v/>
      </c>
      <c r="N354" s="46" t="n"/>
      <c r="O354" s="28">
        <f>IF($B354="","",IF($M354="Closed",IF($N354="","",$N354-$B354),TODAY()-$B354))</f>
        <v/>
      </c>
      <c r="P354" s="28">
        <f>IF(OR($B354="",$L354="",$M354="Closed"),"",IF(TODAY()&gt;$L354,"YES","NO"))</f>
        <v/>
      </c>
      <c r="Q354" s="30">
        <f>Weekly_Inspections!$AW354</f>
        <v/>
      </c>
    </row>
    <row r="355" ht="15" customHeight="1" s="45">
      <c r="A355" s="28">
        <f>IF(Weekly_Inspections!$B355="","",Weekly_Inspections!$A355&amp;"-A1")</f>
        <v/>
      </c>
      <c r="B355" s="46">
        <f>Weekly_Inspections!$B355</f>
        <v/>
      </c>
      <c r="C355" s="30">
        <f>Weekly_Inspections!$E355</f>
        <v/>
      </c>
      <c r="D355" s="30">
        <f>Weekly_Inspections!$F355</f>
        <v/>
      </c>
      <c r="E355" s="28">
        <f>Weekly_Inspections!$H355</f>
        <v/>
      </c>
      <c r="F355" s="30">
        <f>IF(Weekly_Inspections!$AX355&lt;&gt;"",Weekly_Inspections!$AX355,IF(Weekly_Inspections!$AY355&lt;&gt;"",Weekly_Inspections!$AY355,IF(Weekly_Inspections!$AZ355&lt;&gt;"",Weekly_Inspections!$AZ355,IF(Weekly_Inspections!$BA355&lt;&gt;"",Weekly_Inspections!$BA355,IF(Weekly_Inspections!$BB355&lt;&gt;"",Weekly_Inspections!$BB355,Weekly_Inspections!$R355)))))</f>
        <v/>
      </c>
      <c r="G355" s="30">
        <f>IF(OR(Weekly_Inspections!$AQ355&lt;&gt;"",Weekly_Inspections!$AR355&lt;&gt;"",Weekly_Inspections!$AS355&lt;&gt;""),Weekly_Inspections!$AQ355,"")</f>
        <v/>
      </c>
      <c r="H355" s="30">
        <f>Weekly_Inspections!$AP355</f>
        <v/>
      </c>
      <c r="I355" s="30">
        <f>Weekly_Inspections!$AR355</f>
        <v/>
      </c>
      <c r="J355" s="30">
        <f>Weekly_Inspections!$AS355</f>
        <v/>
      </c>
      <c r="K355" s="30">
        <f>Weekly_Inspections!$AU355</f>
        <v/>
      </c>
      <c r="L355" s="46">
        <f>Weekly_Inspections!$AV355</f>
        <v/>
      </c>
      <c r="M355" s="30">
        <f>IF($B355="","",IF($N355&lt;&gt;"","Closed",IF(OR($G355&lt;&gt;"",$I355&lt;&gt;"",$J355&lt;&gt;""),"Open","")))</f>
        <v/>
      </c>
      <c r="N355" s="46" t="n"/>
      <c r="O355" s="28">
        <f>IF($B355="","",IF($M355="Closed",IF($N355="","",$N355-$B355),TODAY()-$B355))</f>
        <v/>
      </c>
      <c r="P355" s="28">
        <f>IF(OR($B355="",$L355="",$M355="Closed"),"",IF(TODAY()&gt;$L355,"YES","NO"))</f>
        <v/>
      </c>
      <c r="Q355" s="30">
        <f>Weekly_Inspections!$AW355</f>
        <v/>
      </c>
    </row>
    <row r="356" ht="15" customHeight="1" s="45">
      <c r="A356" s="28">
        <f>IF(Weekly_Inspections!$B356="","",Weekly_Inspections!$A356&amp;"-A1")</f>
        <v/>
      </c>
      <c r="B356" s="46">
        <f>Weekly_Inspections!$B356</f>
        <v/>
      </c>
      <c r="C356" s="30">
        <f>Weekly_Inspections!$E356</f>
        <v/>
      </c>
      <c r="D356" s="30">
        <f>Weekly_Inspections!$F356</f>
        <v/>
      </c>
      <c r="E356" s="28">
        <f>Weekly_Inspections!$H356</f>
        <v/>
      </c>
      <c r="F356" s="30">
        <f>IF(Weekly_Inspections!$AX356&lt;&gt;"",Weekly_Inspections!$AX356,IF(Weekly_Inspections!$AY356&lt;&gt;"",Weekly_Inspections!$AY356,IF(Weekly_Inspections!$AZ356&lt;&gt;"",Weekly_Inspections!$AZ356,IF(Weekly_Inspections!$BA356&lt;&gt;"",Weekly_Inspections!$BA356,IF(Weekly_Inspections!$BB356&lt;&gt;"",Weekly_Inspections!$BB356,Weekly_Inspections!$R356)))))</f>
        <v/>
      </c>
      <c r="G356" s="30">
        <f>IF(OR(Weekly_Inspections!$AQ356&lt;&gt;"",Weekly_Inspections!$AR356&lt;&gt;"",Weekly_Inspections!$AS356&lt;&gt;""),Weekly_Inspections!$AQ356,"")</f>
        <v/>
      </c>
      <c r="H356" s="30">
        <f>Weekly_Inspections!$AP356</f>
        <v/>
      </c>
      <c r="I356" s="30">
        <f>Weekly_Inspections!$AR356</f>
        <v/>
      </c>
      <c r="J356" s="30">
        <f>Weekly_Inspections!$AS356</f>
        <v/>
      </c>
      <c r="K356" s="30">
        <f>Weekly_Inspections!$AU356</f>
        <v/>
      </c>
      <c r="L356" s="46">
        <f>Weekly_Inspections!$AV356</f>
        <v/>
      </c>
      <c r="M356" s="30">
        <f>IF($B356="","",IF($N356&lt;&gt;"","Closed",IF(OR($G356&lt;&gt;"",$I356&lt;&gt;"",$J356&lt;&gt;""),"Open","")))</f>
        <v/>
      </c>
      <c r="N356" s="46" t="n"/>
      <c r="O356" s="28">
        <f>IF($B356="","",IF($M356="Closed",IF($N356="","",$N356-$B356),TODAY()-$B356))</f>
        <v/>
      </c>
      <c r="P356" s="28">
        <f>IF(OR($B356="",$L356="",$M356="Closed"),"",IF(TODAY()&gt;$L356,"YES","NO"))</f>
        <v/>
      </c>
      <c r="Q356" s="30">
        <f>Weekly_Inspections!$AW356</f>
        <v/>
      </c>
    </row>
    <row r="357" ht="15" customHeight="1" s="45">
      <c r="A357" s="28">
        <f>IF(Weekly_Inspections!$B357="","",Weekly_Inspections!$A357&amp;"-A1")</f>
        <v/>
      </c>
      <c r="B357" s="46">
        <f>Weekly_Inspections!$B357</f>
        <v/>
      </c>
      <c r="C357" s="30">
        <f>Weekly_Inspections!$E357</f>
        <v/>
      </c>
      <c r="D357" s="30">
        <f>Weekly_Inspections!$F357</f>
        <v/>
      </c>
      <c r="E357" s="28">
        <f>Weekly_Inspections!$H357</f>
        <v/>
      </c>
      <c r="F357" s="30">
        <f>IF(Weekly_Inspections!$AX357&lt;&gt;"",Weekly_Inspections!$AX357,IF(Weekly_Inspections!$AY357&lt;&gt;"",Weekly_Inspections!$AY357,IF(Weekly_Inspections!$AZ357&lt;&gt;"",Weekly_Inspections!$AZ357,IF(Weekly_Inspections!$BA357&lt;&gt;"",Weekly_Inspections!$BA357,IF(Weekly_Inspections!$BB357&lt;&gt;"",Weekly_Inspections!$BB357,Weekly_Inspections!$R357)))))</f>
        <v/>
      </c>
      <c r="G357" s="30">
        <f>IF(OR(Weekly_Inspections!$AQ357&lt;&gt;"",Weekly_Inspections!$AR357&lt;&gt;"",Weekly_Inspections!$AS357&lt;&gt;""),Weekly_Inspections!$AQ357,"")</f>
        <v/>
      </c>
      <c r="H357" s="30">
        <f>Weekly_Inspections!$AP357</f>
        <v/>
      </c>
      <c r="I357" s="30">
        <f>Weekly_Inspections!$AR357</f>
        <v/>
      </c>
      <c r="J357" s="30">
        <f>Weekly_Inspections!$AS357</f>
        <v/>
      </c>
      <c r="K357" s="30">
        <f>Weekly_Inspections!$AU357</f>
        <v/>
      </c>
      <c r="L357" s="46">
        <f>Weekly_Inspections!$AV357</f>
        <v/>
      </c>
      <c r="M357" s="30">
        <f>IF($B357="","",IF($N357&lt;&gt;"","Closed",IF(OR($G357&lt;&gt;"",$I357&lt;&gt;"",$J357&lt;&gt;""),"Open","")))</f>
        <v/>
      </c>
      <c r="N357" s="46" t="n"/>
      <c r="O357" s="28">
        <f>IF($B357="","",IF($M357="Closed",IF($N357="","",$N357-$B357),TODAY()-$B357))</f>
        <v/>
      </c>
      <c r="P357" s="28">
        <f>IF(OR($B357="",$L357="",$M357="Closed"),"",IF(TODAY()&gt;$L357,"YES","NO"))</f>
        <v/>
      </c>
      <c r="Q357" s="30">
        <f>Weekly_Inspections!$AW357</f>
        <v/>
      </c>
    </row>
    <row r="358" ht="15" customHeight="1" s="45">
      <c r="A358" s="28">
        <f>IF(Weekly_Inspections!$B358="","",Weekly_Inspections!$A358&amp;"-A1")</f>
        <v/>
      </c>
      <c r="B358" s="46">
        <f>Weekly_Inspections!$B358</f>
        <v/>
      </c>
      <c r="C358" s="30">
        <f>Weekly_Inspections!$E358</f>
        <v/>
      </c>
      <c r="D358" s="30">
        <f>Weekly_Inspections!$F358</f>
        <v/>
      </c>
      <c r="E358" s="28">
        <f>Weekly_Inspections!$H358</f>
        <v/>
      </c>
      <c r="F358" s="30">
        <f>IF(Weekly_Inspections!$AX358&lt;&gt;"",Weekly_Inspections!$AX358,IF(Weekly_Inspections!$AY358&lt;&gt;"",Weekly_Inspections!$AY358,IF(Weekly_Inspections!$AZ358&lt;&gt;"",Weekly_Inspections!$AZ358,IF(Weekly_Inspections!$BA358&lt;&gt;"",Weekly_Inspections!$BA358,IF(Weekly_Inspections!$BB358&lt;&gt;"",Weekly_Inspections!$BB358,Weekly_Inspections!$R358)))))</f>
        <v/>
      </c>
      <c r="G358" s="30">
        <f>IF(OR(Weekly_Inspections!$AQ358&lt;&gt;"",Weekly_Inspections!$AR358&lt;&gt;"",Weekly_Inspections!$AS358&lt;&gt;""),Weekly_Inspections!$AQ358,"")</f>
        <v/>
      </c>
      <c r="H358" s="30">
        <f>Weekly_Inspections!$AP358</f>
        <v/>
      </c>
      <c r="I358" s="30">
        <f>Weekly_Inspections!$AR358</f>
        <v/>
      </c>
      <c r="J358" s="30">
        <f>Weekly_Inspections!$AS358</f>
        <v/>
      </c>
      <c r="K358" s="30">
        <f>Weekly_Inspections!$AU358</f>
        <v/>
      </c>
      <c r="L358" s="46">
        <f>Weekly_Inspections!$AV358</f>
        <v/>
      </c>
      <c r="M358" s="30">
        <f>IF($B358="","",IF($N358&lt;&gt;"","Closed",IF(OR($G358&lt;&gt;"",$I358&lt;&gt;"",$J358&lt;&gt;""),"Open","")))</f>
        <v/>
      </c>
      <c r="N358" s="46" t="n"/>
      <c r="O358" s="28">
        <f>IF($B358="","",IF($M358="Closed",IF($N358="","",$N358-$B358),TODAY()-$B358))</f>
        <v/>
      </c>
      <c r="P358" s="28">
        <f>IF(OR($B358="",$L358="",$M358="Closed"),"",IF(TODAY()&gt;$L358,"YES","NO"))</f>
        <v/>
      </c>
      <c r="Q358" s="30">
        <f>Weekly_Inspections!$AW358</f>
        <v/>
      </c>
    </row>
    <row r="359" ht="15" customHeight="1" s="45">
      <c r="A359" s="28">
        <f>IF(Weekly_Inspections!$B359="","",Weekly_Inspections!$A359&amp;"-A1")</f>
        <v/>
      </c>
      <c r="B359" s="46">
        <f>Weekly_Inspections!$B359</f>
        <v/>
      </c>
      <c r="C359" s="30">
        <f>Weekly_Inspections!$E359</f>
        <v/>
      </c>
      <c r="D359" s="30">
        <f>Weekly_Inspections!$F359</f>
        <v/>
      </c>
      <c r="E359" s="28">
        <f>Weekly_Inspections!$H359</f>
        <v/>
      </c>
      <c r="F359" s="30">
        <f>IF(Weekly_Inspections!$AX359&lt;&gt;"",Weekly_Inspections!$AX359,IF(Weekly_Inspections!$AY359&lt;&gt;"",Weekly_Inspections!$AY359,IF(Weekly_Inspections!$AZ359&lt;&gt;"",Weekly_Inspections!$AZ359,IF(Weekly_Inspections!$BA359&lt;&gt;"",Weekly_Inspections!$BA359,IF(Weekly_Inspections!$BB359&lt;&gt;"",Weekly_Inspections!$BB359,Weekly_Inspections!$R359)))))</f>
        <v/>
      </c>
      <c r="G359" s="30">
        <f>IF(OR(Weekly_Inspections!$AQ359&lt;&gt;"",Weekly_Inspections!$AR359&lt;&gt;"",Weekly_Inspections!$AS359&lt;&gt;""),Weekly_Inspections!$AQ359,"")</f>
        <v/>
      </c>
      <c r="H359" s="30">
        <f>Weekly_Inspections!$AP359</f>
        <v/>
      </c>
      <c r="I359" s="30">
        <f>Weekly_Inspections!$AR359</f>
        <v/>
      </c>
      <c r="J359" s="30">
        <f>Weekly_Inspections!$AS359</f>
        <v/>
      </c>
      <c r="K359" s="30">
        <f>Weekly_Inspections!$AU359</f>
        <v/>
      </c>
      <c r="L359" s="46">
        <f>Weekly_Inspections!$AV359</f>
        <v/>
      </c>
      <c r="M359" s="30">
        <f>IF($B359="","",IF($N359&lt;&gt;"","Closed",IF(OR($G359&lt;&gt;"",$I359&lt;&gt;"",$J359&lt;&gt;""),"Open","")))</f>
        <v/>
      </c>
      <c r="N359" s="46" t="n"/>
      <c r="O359" s="28">
        <f>IF($B359="","",IF($M359="Closed",IF($N359="","",$N359-$B359),TODAY()-$B359))</f>
        <v/>
      </c>
      <c r="P359" s="28">
        <f>IF(OR($B359="",$L359="",$M359="Closed"),"",IF(TODAY()&gt;$L359,"YES","NO"))</f>
        <v/>
      </c>
      <c r="Q359" s="30">
        <f>Weekly_Inspections!$AW359</f>
        <v/>
      </c>
    </row>
    <row r="360" ht="15" customHeight="1" s="45">
      <c r="A360" s="28">
        <f>IF(Weekly_Inspections!$B360="","",Weekly_Inspections!$A360&amp;"-A1")</f>
        <v/>
      </c>
      <c r="B360" s="46">
        <f>Weekly_Inspections!$B360</f>
        <v/>
      </c>
      <c r="C360" s="30">
        <f>Weekly_Inspections!$E360</f>
        <v/>
      </c>
      <c r="D360" s="30">
        <f>Weekly_Inspections!$F360</f>
        <v/>
      </c>
      <c r="E360" s="28">
        <f>Weekly_Inspections!$H360</f>
        <v/>
      </c>
      <c r="F360" s="30">
        <f>IF(Weekly_Inspections!$AX360&lt;&gt;"",Weekly_Inspections!$AX360,IF(Weekly_Inspections!$AY360&lt;&gt;"",Weekly_Inspections!$AY360,IF(Weekly_Inspections!$AZ360&lt;&gt;"",Weekly_Inspections!$AZ360,IF(Weekly_Inspections!$BA360&lt;&gt;"",Weekly_Inspections!$BA360,IF(Weekly_Inspections!$BB360&lt;&gt;"",Weekly_Inspections!$BB360,Weekly_Inspections!$R360)))))</f>
        <v/>
      </c>
      <c r="G360" s="30">
        <f>IF(OR(Weekly_Inspections!$AQ360&lt;&gt;"",Weekly_Inspections!$AR360&lt;&gt;"",Weekly_Inspections!$AS360&lt;&gt;""),Weekly_Inspections!$AQ360,"")</f>
        <v/>
      </c>
      <c r="H360" s="30">
        <f>Weekly_Inspections!$AP360</f>
        <v/>
      </c>
      <c r="I360" s="30">
        <f>Weekly_Inspections!$AR360</f>
        <v/>
      </c>
      <c r="J360" s="30">
        <f>Weekly_Inspections!$AS360</f>
        <v/>
      </c>
      <c r="K360" s="30">
        <f>Weekly_Inspections!$AU360</f>
        <v/>
      </c>
      <c r="L360" s="46">
        <f>Weekly_Inspections!$AV360</f>
        <v/>
      </c>
      <c r="M360" s="30">
        <f>IF($B360="","",IF($N360&lt;&gt;"","Closed",IF(OR($G360&lt;&gt;"",$I360&lt;&gt;"",$J360&lt;&gt;""),"Open","")))</f>
        <v/>
      </c>
      <c r="N360" s="46" t="n"/>
      <c r="O360" s="28">
        <f>IF($B360="","",IF($M360="Closed",IF($N360="","",$N360-$B360),TODAY()-$B360))</f>
        <v/>
      </c>
      <c r="P360" s="28">
        <f>IF(OR($B360="",$L360="",$M360="Closed"),"",IF(TODAY()&gt;$L360,"YES","NO"))</f>
        <v/>
      </c>
      <c r="Q360" s="30">
        <f>Weekly_Inspections!$AW360</f>
        <v/>
      </c>
    </row>
    <row r="361" ht="15" customHeight="1" s="45">
      <c r="A361" s="28">
        <f>IF(Weekly_Inspections!$B361="","",Weekly_Inspections!$A361&amp;"-A1")</f>
        <v/>
      </c>
      <c r="B361" s="46">
        <f>Weekly_Inspections!$B361</f>
        <v/>
      </c>
      <c r="C361" s="30">
        <f>Weekly_Inspections!$E361</f>
        <v/>
      </c>
      <c r="D361" s="30">
        <f>Weekly_Inspections!$F361</f>
        <v/>
      </c>
      <c r="E361" s="28">
        <f>Weekly_Inspections!$H361</f>
        <v/>
      </c>
      <c r="F361" s="30">
        <f>IF(Weekly_Inspections!$AX361&lt;&gt;"",Weekly_Inspections!$AX361,IF(Weekly_Inspections!$AY361&lt;&gt;"",Weekly_Inspections!$AY361,IF(Weekly_Inspections!$AZ361&lt;&gt;"",Weekly_Inspections!$AZ361,IF(Weekly_Inspections!$BA361&lt;&gt;"",Weekly_Inspections!$BA361,IF(Weekly_Inspections!$BB361&lt;&gt;"",Weekly_Inspections!$BB361,Weekly_Inspections!$R361)))))</f>
        <v/>
      </c>
      <c r="G361" s="30">
        <f>IF(OR(Weekly_Inspections!$AQ361&lt;&gt;"",Weekly_Inspections!$AR361&lt;&gt;"",Weekly_Inspections!$AS361&lt;&gt;""),Weekly_Inspections!$AQ361,"")</f>
        <v/>
      </c>
      <c r="H361" s="30">
        <f>Weekly_Inspections!$AP361</f>
        <v/>
      </c>
      <c r="I361" s="30">
        <f>Weekly_Inspections!$AR361</f>
        <v/>
      </c>
      <c r="J361" s="30">
        <f>Weekly_Inspections!$AS361</f>
        <v/>
      </c>
      <c r="K361" s="30">
        <f>Weekly_Inspections!$AU361</f>
        <v/>
      </c>
      <c r="L361" s="46">
        <f>Weekly_Inspections!$AV361</f>
        <v/>
      </c>
      <c r="M361" s="30">
        <f>IF($B361="","",IF($N361&lt;&gt;"","Closed",IF(OR($G361&lt;&gt;"",$I361&lt;&gt;"",$J361&lt;&gt;""),"Open","")))</f>
        <v/>
      </c>
      <c r="N361" s="46" t="n"/>
      <c r="O361" s="28">
        <f>IF($B361="","",IF($M361="Closed",IF($N361="","",$N361-$B361),TODAY()-$B361))</f>
        <v/>
      </c>
      <c r="P361" s="28">
        <f>IF(OR($B361="",$L361="",$M361="Closed"),"",IF(TODAY()&gt;$L361,"YES","NO"))</f>
        <v/>
      </c>
      <c r="Q361" s="30">
        <f>Weekly_Inspections!$AW361</f>
        <v/>
      </c>
    </row>
    <row r="362" ht="15" customHeight="1" s="45">
      <c r="A362" s="28">
        <f>IF(Weekly_Inspections!$B362="","",Weekly_Inspections!$A362&amp;"-A1")</f>
        <v/>
      </c>
      <c r="B362" s="46">
        <f>Weekly_Inspections!$B362</f>
        <v/>
      </c>
      <c r="C362" s="30">
        <f>Weekly_Inspections!$E362</f>
        <v/>
      </c>
      <c r="D362" s="30">
        <f>Weekly_Inspections!$F362</f>
        <v/>
      </c>
      <c r="E362" s="28">
        <f>Weekly_Inspections!$H362</f>
        <v/>
      </c>
      <c r="F362" s="30">
        <f>IF(Weekly_Inspections!$AX362&lt;&gt;"",Weekly_Inspections!$AX362,IF(Weekly_Inspections!$AY362&lt;&gt;"",Weekly_Inspections!$AY362,IF(Weekly_Inspections!$AZ362&lt;&gt;"",Weekly_Inspections!$AZ362,IF(Weekly_Inspections!$BA362&lt;&gt;"",Weekly_Inspections!$BA362,IF(Weekly_Inspections!$BB362&lt;&gt;"",Weekly_Inspections!$BB362,Weekly_Inspections!$R362)))))</f>
        <v/>
      </c>
      <c r="G362" s="30">
        <f>IF(OR(Weekly_Inspections!$AQ362&lt;&gt;"",Weekly_Inspections!$AR362&lt;&gt;"",Weekly_Inspections!$AS362&lt;&gt;""),Weekly_Inspections!$AQ362,"")</f>
        <v/>
      </c>
      <c r="H362" s="30">
        <f>Weekly_Inspections!$AP362</f>
        <v/>
      </c>
      <c r="I362" s="30">
        <f>Weekly_Inspections!$AR362</f>
        <v/>
      </c>
      <c r="J362" s="30">
        <f>Weekly_Inspections!$AS362</f>
        <v/>
      </c>
      <c r="K362" s="30">
        <f>Weekly_Inspections!$AU362</f>
        <v/>
      </c>
      <c r="L362" s="46">
        <f>Weekly_Inspections!$AV362</f>
        <v/>
      </c>
      <c r="M362" s="30">
        <f>IF($B362="","",IF($N362&lt;&gt;"","Closed",IF(OR($G362&lt;&gt;"",$I362&lt;&gt;"",$J362&lt;&gt;""),"Open","")))</f>
        <v/>
      </c>
      <c r="N362" s="46" t="n"/>
      <c r="O362" s="28">
        <f>IF($B362="","",IF($M362="Closed",IF($N362="","",$N362-$B362),TODAY()-$B362))</f>
        <v/>
      </c>
      <c r="P362" s="28">
        <f>IF(OR($B362="",$L362="",$M362="Closed"),"",IF(TODAY()&gt;$L362,"YES","NO"))</f>
        <v/>
      </c>
      <c r="Q362" s="30">
        <f>Weekly_Inspections!$AW362</f>
        <v/>
      </c>
    </row>
    <row r="363" ht="15" customHeight="1" s="45">
      <c r="A363" s="28">
        <f>IF(Weekly_Inspections!$B363="","",Weekly_Inspections!$A363&amp;"-A1")</f>
        <v/>
      </c>
      <c r="B363" s="46">
        <f>Weekly_Inspections!$B363</f>
        <v/>
      </c>
      <c r="C363" s="30">
        <f>Weekly_Inspections!$E363</f>
        <v/>
      </c>
      <c r="D363" s="30">
        <f>Weekly_Inspections!$F363</f>
        <v/>
      </c>
      <c r="E363" s="28">
        <f>Weekly_Inspections!$H363</f>
        <v/>
      </c>
      <c r="F363" s="30">
        <f>IF(Weekly_Inspections!$AX363&lt;&gt;"",Weekly_Inspections!$AX363,IF(Weekly_Inspections!$AY363&lt;&gt;"",Weekly_Inspections!$AY363,IF(Weekly_Inspections!$AZ363&lt;&gt;"",Weekly_Inspections!$AZ363,IF(Weekly_Inspections!$BA363&lt;&gt;"",Weekly_Inspections!$BA363,IF(Weekly_Inspections!$BB363&lt;&gt;"",Weekly_Inspections!$BB363,Weekly_Inspections!$R363)))))</f>
        <v/>
      </c>
      <c r="G363" s="30">
        <f>IF(OR(Weekly_Inspections!$AQ363&lt;&gt;"",Weekly_Inspections!$AR363&lt;&gt;"",Weekly_Inspections!$AS363&lt;&gt;""),Weekly_Inspections!$AQ363,"")</f>
        <v/>
      </c>
      <c r="H363" s="30">
        <f>Weekly_Inspections!$AP363</f>
        <v/>
      </c>
      <c r="I363" s="30">
        <f>Weekly_Inspections!$AR363</f>
        <v/>
      </c>
      <c r="J363" s="30">
        <f>Weekly_Inspections!$AS363</f>
        <v/>
      </c>
      <c r="K363" s="30">
        <f>Weekly_Inspections!$AU363</f>
        <v/>
      </c>
      <c r="L363" s="46">
        <f>Weekly_Inspections!$AV363</f>
        <v/>
      </c>
      <c r="M363" s="30">
        <f>IF($B363="","",IF($N363&lt;&gt;"","Closed",IF(OR($G363&lt;&gt;"",$I363&lt;&gt;"",$J363&lt;&gt;""),"Open","")))</f>
        <v/>
      </c>
      <c r="N363" s="46" t="n"/>
      <c r="O363" s="28">
        <f>IF($B363="","",IF($M363="Closed",IF($N363="","",$N363-$B363),TODAY()-$B363))</f>
        <v/>
      </c>
      <c r="P363" s="28">
        <f>IF(OR($B363="",$L363="",$M363="Closed"),"",IF(TODAY()&gt;$L363,"YES","NO"))</f>
        <v/>
      </c>
      <c r="Q363" s="30">
        <f>Weekly_Inspections!$AW363</f>
        <v/>
      </c>
    </row>
    <row r="364" ht="15" customHeight="1" s="45">
      <c r="A364" s="28">
        <f>IF(Weekly_Inspections!$B364="","",Weekly_Inspections!$A364&amp;"-A1")</f>
        <v/>
      </c>
      <c r="B364" s="46">
        <f>Weekly_Inspections!$B364</f>
        <v/>
      </c>
      <c r="C364" s="30">
        <f>Weekly_Inspections!$E364</f>
        <v/>
      </c>
      <c r="D364" s="30">
        <f>Weekly_Inspections!$F364</f>
        <v/>
      </c>
      <c r="E364" s="28">
        <f>Weekly_Inspections!$H364</f>
        <v/>
      </c>
      <c r="F364" s="30">
        <f>IF(Weekly_Inspections!$AX364&lt;&gt;"",Weekly_Inspections!$AX364,IF(Weekly_Inspections!$AY364&lt;&gt;"",Weekly_Inspections!$AY364,IF(Weekly_Inspections!$AZ364&lt;&gt;"",Weekly_Inspections!$AZ364,IF(Weekly_Inspections!$BA364&lt;&gt;"",Weekly_Inspections!$BA364,IF(Weekly_Inspections!$BB364&lt;&gt;"",Weekly_Inspections!$BB364,Weekly_Inspections!$R364)))))</f>
        <v/>
      </c>
      <c r="G364" s="30">
        <f>IF(OR(Weekly_Inspections!$AQ364&lt;&gt;"",Weekly_Inspections!$AR364&lt;&gt;"",Weekly_Inspections!$AS364&lt;&gt;""),Weekly_Inspections!$AQ364,"")</f>
        <v/>
      </c>
      <c r="H364" s="30">
        <f>Weekly_Inspections!$AP364</f>
        <v/>
      </c>
      <c r="I364" s="30">
        <f>Weekly_Inspections!$AR364</f>
        <v/>
      </c>
      <c r="J364" s="30">
        <f>Weekly_Inspections!$AS364</f>
        <v/>
      </c>
      <c r="K364" s="30">
        <f>Weekly_Inspections!$AU364</f>
        <v/>
      </c>
      <c r="L364" s="46">
        <f>Weekly_Inspections!$AV364</f>
        <v/>
      </c>
      <c r="M364" s="30">
        <f>IF($B364="","",IF($N364&lt;&gt;"","Closed",IF(OR($G364&lt;&gt;"",$I364&lt;&gt;"",$J364&lt;&gt;""),"Open","")))</f>
        <v/>
      </c>
      <c r="N364" s="46" t="n"/>
      <c r="O364" s="28">
        <f>IF($B364="","",IF($M364="Closed",IF($N364="","",$N364-$B364),TODAY()-$B364))</f>
        <v/>
      </c>
      <c r="P364" s="28">
        <f>IF(OR($B364="",$L364="",$M364="Closed"),"",IF(TODAY()&gt;$L364,"YES","NO"))</f>
        <v/>
      </c>
      <c r="Q364" s="30">
        <f>Weekly_Inspections!$AW364</f>
        <v/>
      </c>
    </row>
    <row r="365" ht="15" customHeight="1" s="45">
      <c r="A365" s="28">
        <f>IF(Weekly_Inspections!$B365="","",Weekly_Inspections!$A365&amp;"-A1")</f>
        <v/>
      </c>
      <c r="B365" s="46">
        <f>Weekly_Inspections!$B365</f>
        <v/>
      </c>
      <c r="C365" s="30">
        <f>Weekly_Inspections!$E365</f>
        <v/>
      </c>
      <c r="D365" s="30">
        <f>Weekly_Inspections!$F365</f>
        <v/>
      </c>
      <c r="E365" s="28">
        <f>Weekly_Inspections!$H365</f>
        <v/>
      </c>
      <c r="F365" s="30">
        <f>IF(Weekly_Inspections!$AX365&lt;&gt;"",Weekly_Inspections!$AX365,IF(Weekly_Inspections!$AY365&lt;&gt;"",Weekly_Inspections!$AY365,IF(Weekly_Inspections!$AZ365&lt;&gt;"",Weekly_Inspections!$AZ365,IF(Weekly_Inspections!$BA365&lt;&gt;"",Weekly_Inspections!$BA365,IF(Weekly_Inspections!$BB365&lt;&gt;"",Weekly_Inspections!$BB365,Weekly_Inspections!$R365)))))</f>
        <v/>
      </c>
      <c r="G365" s="30">
        <f>IF(OR(Weekly_Inspections!$AQ365&lt;&gt;"",Weekly_Inspections!$AR365&lt;&gt;"",Weekly_Inspections!$AS365&lt;&gt;""),Weekly_Inspections!$AQ365,"")</f>
        <v/>
      </c>
      <c r="H365" s="30">
        <f>Weekly_Inspections!$AP365</f>
        <v/>
      </c>
      <c r="I365" s="30">
        <f>Weekly_Inspections!$AR365</f>
        <v/>
      </c>
      <c r="J365" s="30">
        <f>Weekly_Inspections!$AS365</f>
        <v/>
      </c>
      <c r="K365" s="30">
        <f>Weekly_Inspections!$AU365</f>
        <v/>
      </c>
      <c r="L365" s="46">
        <f>Weekly_Inspections!$AV365</f>
        <v/>
      </c>
      <c r="M365" s="30">
        <f>IF($B365="","",IF($N365&lt;&gt;"","Closed",IF(OR($G365&lt;&gt;"",$I365&lt;&gt;"",$J365&lt;&gt;""),"Open","")))</f>
        <v/>
      </c>
      <c r="N365" s="46" t="n"/>
      <c r="O365" s="28">
        <f>IF($B365="","",IF($M365="Closed",IF($N365="","",$N365-$B365),TODAY()-$B365))</f>
        <v/>
      </c>
      <c r="P365" s="28">
        <f>IF(OR($B365="",$L365="",$M365="Closed"),"",IF(TODAY()&gt;$L365,"YES","NO"))</f>
        <v/>
      </c>
      <c r="Q365" s="30">
        <f>Weekly_Inspections!$AW365</f>
        <v/>
      </c>
    </row>
    <row r="366" ht="15" customHeight="1" s="45">
      <c r="A366" s="28">
        <f>IF(Weekly_Inspections!$B366="","",Weekly_Inspections!$A366&amp;"-A1")</f>
        <v/>
      </c>
      <c r="B366" s="46">
        <f>Weekly_Inspections!$B366</f>
        <v/>
      </c>
      <c r="C366" s="30">
        <f>Weekly_Inspections!$E366</f>
        <v/>
      </c>
      <c r="D366" s="30">
        <f>Weekly_Inspections!$F366</f>
        <v/>
      </c>
      <c r="E366" s="28">
        <f>Weekly_Inspections!$H366</f>
        <v/>
      </c>
      <c r="F366" s="30">
        <f>IF(Weekly_Inspections!$AX366&lt;&gt;"",Weekly_Inspections!$AX366,IF(Weekly_Inspections!$AY366&lt;&gt;"",Weekly_Inspections!$AY366,IF(Weekly_Inspections!$AZ366&lt;&gt;"",Weekly_Inspections!$AZ366,IF(Weekly_Inspections!$BA366&lt;&gt;"",Weekly_Inspections!$BA366,IF(Weekly_Inspections!$BB366&lt;&gt;"",Weekly_Inspections!$BB366,Weekly_Inspections!$R366)))))</f>
        <v/>
      </c>
      <c r="G366" s="30">
        <f>IF(OR(Weekly_Inspections!$AQ366&lt;&gt;"",Weekly_Inspections!$AR366&lt;&gt;"",Weekly_Inspections!$AS366&lt;&gt;""),Weekly_Inspections!$AQ366,"")</f>
        <v/>
      </c>
      <c r="H366" s="30">
        <f>Weekly_Inspections!$AP366</f>
        <v/>
      </c>
      <c r="I366" s="30">
        <f>Weekly_Inspections!$AR366</f>
        <v/>
      </c>
      <c r="J366" s="30">
        <f>Weekly_Inspections!$AS366</f>
        <v/>
      </c>
      <c r="K366" s="30">
        <f>Weekly_Inspections!$AU366</f>
        <v/>
      </c>
      <c r="L366" s="46">
        <f>Weekly_Inspections!$AV366</f>
        <v/>
      </c>
      <c r="M366" s="30">
        <f>IF($B366="","",IF($N366&lt;&gt;"","Closed",IF(OR($G366&lt;&gt;"",$I366&lt;&gt;"",$J366&lt;&gt;""),"Open","")))</f>
        <v/>
      </c>
      <c r="N366" s="46" t="n"/>
      <c r="O366" s="28">
        <f>IF($B366="","",IF($M366="Closed",IF($N366="","",$N366-$B366),TODAY()-$B366))</f>
        <v/>
      </c>
      <c r="P366" s="28">
        <f>IF(OR($B366="",$L366="",$M366="Closed"),"",IF(TODAY()&gt;$L366,"YES","NO"))</f>
        <v/>
      </c>
      <c r="Q366" s="30">
        <f>Weekly_Inspections!$AW366</f>
        <v/>
      </c>
    </row>
    <row r="367" ht="15" customHeight="1" s="45">
      <c r="A367" s="28">
        <f>IF(Weekly_Inspections!$B367="","",Weekly_Inspections!$A367&amp;"-A1")</f>
        <v/>
      </c>
      <c r="B367" s="46">
        <f>Weekly_Inspections!$B367</f>
        <v/>
      </c>
      <c r="C367" s="30">
        <f>Weekly_Inspections!$E367</f>
        <v/>
      </c>
      <c r="D367" s="30">
        <f>Weekly_Inspections!$F367</f>
        <v/>
      </c>
      <c r="E367" s="28">
        <f>Weekly_Inspections!$H367</f>
        <v/>
      </c>
      <c r="F367" s="30">
        <f>IF(Weekly_Inspections!$AX367&lt;&gt;"",Weekly_Inspections!$AX367,IF(Weekly_Inspections!$AY367&lt;&gt;"",Weekly_Inspections!$AY367,IF(Weekly_Inspections!$AZ367&lt;&gt;"",Weekly_Inspections!$AZ367,IF(Weekly_Inspections!$BA367&lt;&gt;"",Weekly_Inspections!$BA367,IF(Weekly_Inspections!$BB367&lt;&gt;"",Weekly_Inspections!$BB367,Weekly_Inspections!$R367)))))</f>
        <v/>
      </c>
      <c r="G367" s="30">
        <f>IF(OR(Weekly_Inspections!$AQ367&lt;&gt;"",Weekly_Inspections!$AR367&lt;&gt;"",Weekly_Inspections!$AS367&lt;&gt;""),Weekly_Inspections!$AQ367,"")</f>
        <v/>
      </c>
      <c r="H367" s="30">
        <f>Weekly_Inspections!$AP367</f>
        <v/>
      </c>
      <c r="I367" s="30">
        <f>Weekly_Inspections!$AR367</f>
        <v/>
      </c>
      <c r="J367" s="30">
        <f>Weekly_Inspections!$AS367</f>
        <v/>
      </c>
      <c r="K367" s="30">
        <f>Weekly_Inspections!$AU367</f>
        <v/>
      </c>
      <c r="L367" s="46">
        <f>Weekly_Inspections!$AV367</f>
        <v/>
      </c>
      <c r="M367" s="30">
        <f>IF($B367="","",IF($N367&lt;&gt;"","Closed",IF(OR($G367&lt;&gt;"",$I367&lt;&gt;"",$J367&lt;&gt;""),"Open","")))</f>
        <v/>
      </c>
      <c r="N367" s="46" t="n"/>
      <c r="O367" s="28">
        <f>IF($B367="","",IF($M367="Closed",IF($N367="","",$N367-$B367),TODAY()-$B367))</f>
        <v/>
      </c>
      <c r="P367" s="28">
        <f>IF(OR($B367="",$L367="",$M367="Closed"),"",IF(TODAY()&gt;$L367,"YES","NO"))</f>
        <v/>
      </c>
      <c r="Q367" s="30">
        <f>Weekly_Inspections!$AW367</f>
        <v/>
      </c>
    </row>
    <row r="368" ht="15" customHeight="1" s="45">
      <c r="A368" s="28">
        <f>IF(Weekly_Inspections!$B368="","",Weekly_Inspections!$A368&amp;"-A1")</f>
        <v/>
      </c>
      <c r="B368" s="46">
        <f>Weekly_Inspections!$B368</f>
        <v/>
      </c>
      <c r="C368" s="30">
        <f>Weekly_Inspections!$E368</f>
        <v/>
      </c>
      <c r="D368" s="30">
        <f>Weekly_Inspections!$F368</f>
        <v/>
      </c>
      <c r="E368" s="28">
        <f>Weekly_Inspections!$H368</f>
        <v/>
      </c>
      <c r="F368" s="30">
        <f>IF(Weekly_Inspections!$AX368&lt;&gt;"",Weekly_Inspections!$AX368,IF(Weekly_Inspections!$AY368&lt;&gt;"",Weekly_Inspections!$AY368,IF(Weekly_Inspections!$AZ368&lt;&gt;"",Weekly_Inspections!$AZ368,IF(Weekly_Inspections!$BA368&lt;&gt;"",Weekly_Inspections!$BA368,IF(Weekly_Inspections!$BB368&lt;&gt;"",Weekly_Inspections!$BB368,Weekly_Inspections!$R368)))))</f>
        <v/>
      </c>
      <c r="G368" s="30">
        <f>IF(OR(Weekly_Inspections!$AQ368&lt;&gt;"",Weekly_Inspections!$AR368&lt;&gt;"",Weekly_Inspections!$AS368&lt;&gt;""),Weekly_Inspections!$AQ368,"")</f>
        <v/>
      </c>
      <c r="H368" s="30">
        <f>Weekly_Inspections!$AP368</f>
        <v/>
      </c>
      <c r="I368" s="30">
        <f>Weekly_Inspections!$AR368</f>
        <v/>
      </c>
      <c r="J368" s="30">
        <f>Weekly_Inspections!$AS368</f>
        <v/>
      </c>
      <c r="K368" s="30">
        <f>Weekly_Inspections!$AU368</f>
        <v/>
      </c>
      <c r="L368" s="46">
        <f>Weekly_Inspections!$AV368</f>
        <v/>
      </c>
      <c r="M368" s="30">
        <f>IF($B368="","",IF($N368&lt;&gt;"","Closed",IF(OR($G368&lt;&gt;"",$I368&lt;&gt;"",$J368&lt;&gt;""),"Open","")))</f>
        <v/>
      </c>
      <c r="N368" s="46" t="n"/>
      <c r="O368" s="28">
        <f>IF($B368="","",IF($M368="Closed",IF($N368="","",$N368-$B368),TODAY()-$B368))</f>
        <v/>
      </c>
      <c r="P368" s="28">
        <f>IF(OR($B368="",$L368="",$M368="Closed"),"",IF(TODAY()&gt;$L368,"YES","NO"))</f>
        <v/>
      </c>
      <c r="Q368" s="30">
        <f>Weekly_Inspections!$AW368</f>
        <v/>
      </c>
    </row>
    <row r="369" ht="15" customHeight="1" s="45">
      <c r="A369" s="28">
        <f>IF(Weekly_Inspections!$B369="","",Weekly_Inspections!$A369&amp;"-A1")</f>
        <v/>
      </c>
      <c r="B369" s="46">
        <f>Weekly_Inspections!$B369</f>
        <v/>
      </c>
      <c r="C369" s="30">
        <f>Weekly_Inspections!$E369</f>
        <v/>
      </c>
      <c r="D369" s="30">
        <f>Weekly_Inspections!$F369</f>
        <v/>
      </c>
      <c r="E369" s="28">
        <f>Weekly_Inspections!$H369</f>
        <v/>
      </c>
      <c r="F369" s="30">
        <f>IF(Weekly_Inspections!$AX369&lt;&gt;"",Weekly_Inspections!$AX369,IF(Weekly_Inspections!$AY369&lt;&gt;"",Weekly_Inspections!$AY369,IF(Weekly_Inspections!$AZ369&lt;&gt;"",Weekly_Inspections!$AZ369,IF(Weekly_Inspections!$BA369&lt;&gt;"",Weekly_Inspections!$BA369,IF(Weekly_Inspections!$BB369&lt;&gt;"",Weekly_Inspections!$BB369,Weekly_Inspections!$R369)))))</f>
        <v/>
      </c>
      <c r="G369" s="30">
        <f>IF(OR(Weekly_Inspections!$AQ369&lt;&gt;"",Weekly_Inspections!$AR369&lt;&gt;"",Weekly_Inspections!$AS369&lt;&gt;""),Weekly_Inspections!$AQ369,"")</f>
        <v/>
      </c>
      <c r="H369" s="30">
        <f>Weekly_Inspections!$AP369</f>
        <v/>
      </c>
      <c r="I369" s="30">
        <f>Weekly_Inspections!$AR369</f>
        <v/>
      </c>
      <c r="J369" s="30">
        <f>Weekly_Inspections!$AS369</f>
        <v/>
      </c>
      <c r="K369" s="30">
        <f>Weekly_Inspections!$AU369</f>
        <v/>
      </c>
      <c r="L369" s="46">
        <f>Weekly_Inspections!$AV369</f>
        <v/>
      </c>
      <c r="M369" s="30">
        <f>IF($B369="","",IF($N369&lt;&gt;"","Closed",IF(OR($G369&lt;&gt;"",$I369&lt;&gt;"",$J369&lt;&gt;""),"Open","")))</f>
        <v/>
      </c>
      <c r="N369" s="46" t="n"/>
      <c r="O369" s="28">
        <f>IF($B369="","",IF($M369="Closed",IF($N369="","",$N369-$B369),TODAY()-$B369))</f>
        <v/>
      </c>
      <c r="P369" s="28">
        <f>IF(OR($B369="",$L369="",$M369="Closed"),"",IF(TODAY()&gt;$L369,"YES","NO"))</f>
        <v/>
      </c>
      <c r="Q369" s="30">
        <f>Weekly_Inspections!$AW369</f>
        <v/>
      </c>
    </row>
    <row r="370" ht="15" customHeight="1" s="45">
      <c r="A370" s="28">
        <f>IF(Weekly_Inspections!$B370="","",Weekly_Inspections!$A370&amp;"-A1")</f>
        <v/>
      </c>
      <c r="B370" s="46">
        <f>Weekly_Inspections!$B370</f>
        <v/>
      </c>
      <c r="C370" s="30">
        <f>Weekly_Inspections!$E370</f>
        <v/>
      </c>
      <c r="D370" s="30">
        <f>Weekly_Inspections!$F370</f>
        <v/>
      </c>
      <c r="E370" s="28">
        <f>Weekly_Inspections!$H370</f>
        <v/>
      </c>
      <c r="F370" s="30">
        <f>IF(Weekly_Inspections!$AX370&lt;&gt;"",Weekly_Inspections!$AX370,IF(Weekly_Inspections!$AY370&lt;&gt;"",Weekly_Inspections!$AY370,IF(Weekly_Inspections!$AZ370&lt;&gt;"",Weekly_Inspections!$AZ370,IF(Weekly_Inspections!$BA370&lt;&gt;"",Weekly_Inspections!$BA370,IF(Weekly_Inspections!$BB370&lt;&gt;"",Weekly_Inspections!$BB370,Weekly_Inspections!$R370)))))</f>
        <v/>
      </c>
      <c r="G370" s="30">
        <f>IF(OR(Weekly_Inspections!$AQ370&lt;&gt;"",Weekly_Inspections!$AR370&lt;&gt;"",Weekly_Inspections!$AS370&lt;&gt;""),Weekly_Inspections!$AQ370,"")</f>
        <v/>
      </c>
      <c r="H370" s="30">
        <f>Weekly_Inspections!$AP370</f>
        <v/>
      </c>
      <c r="I370" s="30">
        <f>Weekly_Inspections!$AR370</f>
        <v/>
      </c>
      <c r="J370" s="30">
        <f>Weekly_Inspections!$AS370</f>
        <v/>
      </c>
      <c r="K370" s="30">
        <f>Weekly_Inspections!$AU370</f>
        <v/>
      </c>
      <c r="L370" s="46">
        <f>Weekly_Inspections!$AV370</f>
        <v/>
      </c>
      <c r="M370" s="30">
        <f>IF($B370="","",IF($N370&lt;&gt;"","Closed",IF(OR($G370&lt;&gt;"",$I370&lt;&gt;"",$J370&lt;&gt;""),"Open","")))</f>
        <v/>
      </c>
      <c r="N370" s="46" t="n"/>
      <c r="O370" s="28">
        <f>IF($B370="","",IF($M370="Closed",IF($N370="","",$N370-$B370),TODAY()-$B370))</f>
        <v/>
      </c>
      <c r="P370" s="28">
        <f>IF(OR($B370="",$L370="",$M370="Closed"),"",IF(TODAY()&gt;$L370,"YES","NO"))</f>
        <v/>
      </c>
      <c r="Q370" s="30">
        <f>Weekly_Inspections!$AW370</f>
        <v/>
      </c>
    </row>
    <row r="371" ht="15" customHeight="1" s="45">
      <c r="A371" s="28">
        <f>IF(Weekly_Inspections!$B371="","",Weekly_Inspections!$A371&amp;"-A1")</f>
        <v/>
      </c>
      <c r="B371" s="46">
        <f>Weekly_Inspections!$B371</f>
        <v/>
      </c>
      <c r="C371" s="30">
        <f>Weekly_Inspections!$E371</f>
        <v/>
      </c>
      <c r="D371" s="30">
        <f>Weekly_Inspections!$F371</f>
        <v/>
      </c>
      <c r="E371" s="28">
        <f>Weekly_Inspections!$H371</f>
        <v/>
      </c>
      <c r="F371" s="30">
        <f>IF(Weekly_Inspections!$AX371&lt;&gt;"",Weekly_Inspections!$AX371,IF(Weekly_Inspections!$AY371&lt;&gt;"",Weekly_Inspections!$AY371,IF(Weekly_Inspections!$AZ371&lt;&gt;"",Weekly_Inspections!$AZ371,IF(Weekly_Inspections!$BA371&lt;&gt;"",Weekly_Inspections!$BA371,IF(Weekly_Inspections!$BB371&lt;&gt;"",Weekly_Inspections!$BB371,Weekly_Inspections!$R371)))))</f>
        <v/>
      </c>
      <c r="G371" s="30">
        <f>IF(OR(Weekly_Inspections!$AQ371&lt;&gt;"",Weekly_Inspections!$AR371&lt;&gt;"",Weekly_Inspections!$AS371&lt;&gt;""),Weekly_Inspections!$AQ371,"")</f>
        <v/>
      </c>
      <c r="H371" s="30">
        <f>Weekly_Inspections!$AP371</f>
        <v/>
      </c>
      <c r="I371" s="30">
        <f>Weekly_Inspections!$AR371</f>
        <v/>
      </c>
      <c r="J371" s="30">
        <f>Weekly_Inspections!$AS371</f>
        <v/>
      </c>
      <c r="K371" s="30">
        <f>Weekly_Inspections!$AU371</f>
        <v/>
      </c>
      <c r="L371" s="46">
        <f>Weekly_Inspections!$AV371</f>
        <v/>
      </c>
      <c r="M371" s="30">
        <f>IF($B371="","",IF($N371&lt;&gt;"","Closed",IF(OR($G371&lt;&gt;"",$I371&lt;&gt;"",$J371&lt;&gt;""),"Open","")))</f>
        <v/>
      </c>
      <c r="N371" s="46" t="n"/>
      <c r="O371" s="28">
        <f>IF($B371="","",IF($M371="Closed",IF($N371="","",$N371-$B371),TODAY()-$B371))</f>
        <v/>
      </c>
      <c r="P371" s="28">
        <f>IF(OR($B371="",$L371="",$M371="Closed"),"",IF(TODAY()&gt;$L371,"YES","NO"))</f>
        <v/>
      </c>
      <c r="Q371" s="30">
        <f>Weekly_Inspections!$AW371</f>
        <v/>
      </c>
    </row>
    <row r="372" ht="15" customHeight="1" s="45">
      <c r="A372" s="28">
        <f>IF(Weekly_Inspections!$B372="","",Weekly_Inspections!$A372&amp;"-A1")</f>
        <v/>
      </c>
      <c r="B372" s="46">
        <f>Weekly_Inspections!$B372</f>
        <v/>
      </c>
      <c r="C372" s="30">
        <f>Weekly_Inspections!$E372</f>
        <v/>
      </c>
      <c r="D372" s="30">
        <f>Weekly_Inspections!$F372</f>
        <v/>
      </c>
      <c r="E372" s="28">
        <f>Weekly_Inspections!$H372</f>
        <v/>
      </c>
      <c r="F372" s="30">
        <f>IF(Weekly_Inspections!$AX372&lt;&gt;"",Weekly_Inspections!$AX372,IF(Weekly_Inspections!$AY372&lt;&gt;"",Weekly_Inspections!$AY372,IF(Weekly_Inspections!$AZ372&lt;&gt;"",Weekly_Inspections!$AZ372,IF(Weekly_Inspections!$BA372&lt;&gt;"",Weekly_Inspections!$BA372,IF(Weekly_Inspections!$BB372&lt;&gt;"",Weekly_Inspections!$BB372,Weekly_Inspections!$R372)))))</f>
        <v/>
      </c>
      <c r="G372" s="30">
        <f>IF(OR(Weekly_Inspections!$AQ372&lt;&gt;"",Weekly_Inspections!$AR372&lt;&gt;"",Weekly_Inspections!$AS372&lt;&gt;""),Weekly_Inspections!$AQ372,"")</f>
        <v/>
      </c>
      <c r="H372" s="30">
        <f>Weekly_Inspections!$AP372</f>
        <v/>
      </c>
      <c r="I372" s="30">
        <f>Weekly_Inspections!$AR372</f>
        <v/>
      </c>
      <c r="J372" s="30">
        <f>Weekly_Inspections!$AS372</f>
        <v/>
      </c>
      <c r="K372" s="30">
        <f>Weekly_Inspections!$AU372</f>
        <v/>
      </c>
      <c r="L372" s="46">
        <f>Weekly_Inspections!$AV372</f>
        <v/>
      </c>
      <c r="M372" s="30">
        <f>IF($B372="","",IF($N372&lt;&gt;"","Closed",IF(OR($G372&lt;&gt;"",$I372&lt;&gt;"",$J372&lt;&gt;""),"Open","")))</f>
        <v/>
      </c>
      <c r="N372" s="46" t="n"/>
      <c r="O372" s="28">
        <f>IF($B372="","",IF($M372="Closed",IF($N372="","",$N372-$B372),TODAY()-$B372))</f>
        <v/>
      </c>
      <c r="P372" s="28">
        <f>IF(OR($B372="",$L372="",$M372="Closed"),"",IF(TODAY()&gt;$L372,"YES","NO"))</f>
        <v/>
      </c>
      <c r="Q372" s="30">
        <f>Weekly_Inspections!$AW372</f>
        <v/>
      </c>
    </row>
    <row r="373" ht="15" customHeight="1" s="45">
      <c r="A373" s="28">
        <f>IF(Weekly_Inspections!$B373="","",Weekly_Inspections!$A373&amp;"-A1")</f>
        <v/>
      </c>
      <c r="B373" s="46">
        <f>Weekly_Inspections!$B373</f>
        <v/>
      </c>
      <c r="C373" s="30">
        <f>Weekly_Inspections!$E373</f>
        <v/>
      </c>
      <c r="D373" s="30">
        <f>Weekly_Inspections!$F373</f>
        <v/>
      </c>
      <c r="E373" s="28">
        <f>Weekly_Inspections!$H373</f>
        <v/>
      </c>
      <c r="F373" s="30">
        <f>IF(Weekly_Inspections!$AX373&lt;&gt;"",Weekly_Inspections!$AX373,IF(Weekly_Inspections!$AY373&lt;&gt;"",Weekly_Inspections!$AY373,IF(Weekly_Inspections!$AZ373&lt;&gt;"",Weekly_Inspections!$AZ373,IF(Weekly_Inspections!$BA373&lt;&gt;"",Weekly_Inspections!$BA373,IF(Weekly_Inspections!$BB373&lt;&gt;"",Weekly_Inspections!$BB373,Weekly_Inspections!$R373)))))</f>
        <v/>
      </c>
      <c r="G373" s="30">
        <f>IF(OR(Weekly_Inspections!$AQ373&lt;&gt;"",Weekly_Inspections!$AR373&lt;&gt;"",Weekly_Inspections!$AS373&lt;&gt;""),Weekly_Inspections!$AQ373,"")</f>
        <v/>
      </c>
      <c r="H373" s="30">
        <f>Weekly_Inspections!$AP373</f>
        <v/>
      </c>
      <c r="I373" s="30">
        <f>Weekly_Inspections!$AR373</f>
        <v/>
      </c>
      <c r="J373" s="30">
        <f>Weekly_Inspections!$AS373</f>
        <v/>
      </c>
      <c r="K373" s="30">
        <f>Weekly_Inspections!$AU373</f>
        <v/>
      </c>
      <c r="L373" s="46">
        <f>Weekly_Inspections!$AV373</f>
        <v/>
      </c>
      <c r="M373" s="30">
        <f>IF($B373="","",IF($N373&lt;&gt;"","Closed",IF(OR($G373&lt;&gt;"",$I373&lt;&gt;"",$J373&lt;&gt;""),"Open","")))</f>
        <v/>
      </c>
      <c r="N373" s="46" t="n"/>
      <c r="O373" s="28">
        <f>IF($B373="","",IF($M373="Closed",IF($N373="","",$N373-$B373),TODAY()-$B373))</f>
        <v/>
      </c>
      <c r="P373" s="28">
        <f>IF(OR($B373="",$L373="",$M373="Closed"),"",IF(TODAY()&gt;$L373,"YES","NO"))</f>
        <v/>
      </c>
      <c r="Q373" s="30">
        <f>Weekly_Inspections!$AW373</f>
        <v/>
      </c>
    </row>
    <row r="374" ht="15" customHeight="1" s="45">
      <c r="A374" s="28">
        <f>IF(Weekly_Inspections!$B374="","",Weekly_Inspections!$A374&amp;"-A1")</f>
        <v/>
      </c>
      <c r="B374" s="46">
        <f>Weekly_Inspections!$B374</f>
        <v/>
      </c>
      <c r="C374" s="30">
        <f>Weekly_Inspections!$E374</f>
        <v/>
      </c>
      <c r="D374" s="30">
        <f>Weekly_Inspections!$F374</f>
        <v/>
      </c>
      <c r="E374" s="28">
        <f>Weekly_Inspections!$H374</f>
        <v/>
      </c>
      <c r="F374" s="30">
        <f>IF(Weekly_Inspections!$AX374&lt;&gt;"",Weekly_Inspections!$AX374,IF(Weekly_Inspections!$AY374&lt;&gt;"",Weekly_Inspections!$AY374,IF(Weekly_Inspections!$AZ374&lt;&gt;"",Weekly_Inspections!$AZ374,IF(Weekly_Inspections!$BA374&lt;&gt;"",Weekly_Inspections!$BA374,IF(Weekly_Inspections!$BB374&lt;&gt;"",Weekly_Inspections!$BB374,Weekly_Inspections!$R374)))))</f>
        <v/>
      </c>
      <c r="G374" s="30">
        <f>IF(OR(Weekly_Inspections!$AQ374&lt;&gt;"",Weekly_Inspections!$AR374&lt;&gt;"",Weekly_Inspections!$AS374&lt;&gt;""),Weekly_Inspections!$AQ374,"")</f>
        <v/>
      </c>
      <c r="H374" s="30">
        <f>Weekly_Inspections!$AP374</f>
        <v/>
      </c>
      <c r="I374" s="30">
        <f>Weekly_Inspections!$AR374</f>
        <v/>
      </c>
      <c r="J374" s="30">
        <f>Weekly_Inspections!$AS374</f>
        <v/>
      </c>
      <c r="K374" s="30">
        <f>Weekly_Inspections!$AU374</f>
        <v/>
      </c>
      <c r="L374" s="46">
        <f>Weekly_Inspections!$AV374</f>
        <v/>
      </c>
      <c r="M374" s="30">
        <f>IF($B374="","",IF($N374&lt;&gt;"","Closed",IF(OR($G374&lt;&gt;"",$I374&lt;&gt;"",$J374&lt;&gt;""),"Open","")))</f>
        <v/>
      </c>
      <c r="N374" s="46" t="n"/>
      <c r="O374" s="28">
        <f>IF($B374="","",IF($M374="Closed",IF($N374="","",$N374-$B374),TODAY()-$B374))</f>
        <v/>
      </c>
      <c r="P374" s="28">
        <f>IF(OR($B374="",$L374="",$M374="Closed"),"",IF(TODAY()&gt;$L374,"YES","NO"))</f>
        <v/>
      </c>
      <c r="Q374" s="30">
        <f>Weekly_Inspections!$AW374</f>
        <v/>
      </c>
    </row>
    <row r="375" ht="15" customHeight="1" s="45">
      <c r="A375" s="28">
        <f>IF(Weekly_Inspections!$B375="","",Weekly_Inspections!$A375&amp;"-A1")</f>
        <v/>
      </c>
      <c r="B375" s="46">
        <f>Weekly_Inspections!$B375</f>
        <v/>
      </c>
      <c r="C375" s="30">
        <f>Weekly_Inspections!$E375</f>
        <v/>
      </c>
      <c r="D375" s="30">
        <f>Weekly_Inspections!$F375</f>
        <v/>
      </c>
      <c r="E375" s="28">
        <f>Weekly_Inspections!$H375</f>
        <v/>
      </c>
      <c r="F375" s="30">
        <f>IF(Weekly_Inspections!$AX375&lt;&gt;"",Weekly_Inspections!$AX375,IF(Weekly_Inspections!$AY375&lt;&gt;"",Weekly_Inspections!$AY375,IF(Weekly_Inspections!$AZ375&lt;&gt;"",Weekly_Inspections!$AZ375,IF(Weekly_Inspections!$BA375&lt;&gt;"",Weekly_Inspections!$BA375,IF(Weekly_Inspections!$BB375&lt;&gt;"",Weekly_Inspections!$BB375,Weekly_Inspections!$R375)))))</f>
        <v/>
      </c>
      <c r="G375" s="30">
        <f>IF(OR(Weekly_Inspections!$AQ375&lt;&gt;"",Weekly_Inspections!$AR375&lt;&gt;"",Weekly_Inspections!$AS375&lt;&gt;""),Weekly_Inspections!$AQ375,"")</f>
        <v/>
      </c>
      <c r="H375" s="30">
        <f>Weekly_Inspections!$AP375</f>
        <v/>
      </c>
      <c r="I375" s="30">
        <f>Weekly_Inspections!$AR375</f>
        <v/>
      </c>
      <c r="J375" s="30">
        <f>Weekly_Inspections!$AS375</f>
        <v/>
      </c>
      <c r="K375" s="30">
        <f>Weekly_Inspections!$AU375</f>
        <v/>
      </c>
      <c r="L375" s="46">
        <f>Weekly_Inspections!$AV375</f>
        <v/>
      </c>
      <c r="M375" s="30">
        <f>IF($B375="","",IF($N375&lt;&gt;"","Closed",IF(OR($G375&lt;&gt;"",$I375&lt;&gt;"",$J375&lt;&gt;""),"Open","")))</f>
        <v/>
      </c>
      <c r="N375" s="46" t="n"/>
      <c r="O375" s="28">
        <f>IF($B375="","",IF($M375="Closed",IF($N375="","",$N375-$B375),TODAY()-$B375))</f>
        <v/>
      </c>
      <c r="P375" s="28">
        <f>IF(OR($B375="",$L375="",$M375="Closed"),"",IF(TODAY()&gt;$L375,"YES","NO"))</f>
        <v/>
      </c>
      <c r="Q375" s="30">
        <f>Weekly_Inspections!$AW375</f>
        <v/>
      </c>
    </row>
    <row r="376" ht="15" customHeight="1" s="45">
      <c r="A376" s="28">
        <f>IF(Weekly_Inspections!$B376="","",Weekly_Inspections!$A376&amp;"-A1")</f>
        <v/>
      </c>
      <c r="B376" s="46">
        <f>Weekly_Inspections!$B376</f>
        <v/>
      </c>
      <c r="C376" s="30">
        <f>Weekly_Inspections!$E376</f>
        <v/>
      </c>
      <c r="D376" s="30">
        <f>Weekly_Inspections!$F376</f>
        <v/>
      </c>
      <c r="E376" s="28">
        <f>Weekly_Inspections!$H376</f>
        <v/>
      </c>
      <c r="F376" s="30">
        <f>IF(Weekly_Inspections!$AX376&lt;&gt;"",Weekly_Inspections!$AX376,IF(Weekly_Inspections!$AY376&lt;&gt;"",Weekly_Inspections!$AY376,IF(Weekly_Inspections!$AZ376&lt;&gt;"",Weekly_Inspections!$AZ376,IF(Weekly_Inspections!$BA376&lt;&gt;"",Weekly_Inspections!$BA376,IF(Weekly_Inspections!$BB376&lt;&gt;"",Weekly_Inspections!$BB376,Weekly_Inspections!$R376)))))</f>
        <v/>
      </c>
      <c r="G376" s="30">
        <f>IF(OR(Weekly_Inspections!$AQ376&lt;&gt;"",Weekly_Inspections!$AR376&lt;&gt;"",Weekly_Inspections!$AS376&lt;&gt;""),Weekly_Inspections!$AQ376,"")</f>
        <v/>
      </c>
      <c r="H376" s="30">
        <f>Weekly_Inspections!$AP376</f>
        <v/>
      </c>
      <c r="I376" s="30">
        <f>Weekly_Inspections!$AR376</f>
        <v/>
      </c>
      <c r="J376" s="30">
        <f>Weekly_Inspections!$AS376</f>
        <v/>
      </c>
      <c r="K376" s="30">
        <f>Weekly_Inspections!$AU376</f>
        <v/>
      </c>
      <c r="L376" s="46">
        <f>Weekly_Inspections!$AV376</f>
        <v/>
      </c>
      <c r="M376" s="30">
        <f>IF($B376="","",IF($N376&lt;&gt;"","Closed",IF(OR($G376&lt;&gt;"",$I376&lt;&gt;"",$J376&lt;&gt;""),"Open","")))</f>
        <v/>
      </c>
      <c r="N376" s="46" t="n"/>
      <c r="O376" s="28">
        <f>IF($B376="","",IF($M376="Closed",IF($N376="","",$N376-$B376),TODAY()-$B376))</f>
        <v/>
      </c>
      <c r="P376" s="28">
        <f>IF(OR($B376="",$L376="",$M376="Closed"),"",IF(TODAY()&gt;$L376,"YES","NO"))</f>
        <v/>
      </c>
      <c r="Q376" s="30">
        <f>Weekly_Inspections!$AW376</f>
        <v/>
      </c>
    </row>
    <row r="377" ht="15" customHeight="1" s="45">
      <c r="A377" s="28">
        <f>IF(Weekly_Inspections!$B377="","",Weekly_Inspections!$A377&amp;"-A1")</f>
        <v/>
      </c>
      <c r="B377" s="46">
        <f>Weekly_Inspections!$B377</f>
        <v/>
      </c>
      <c r="C377" s="30">
        <f>Weekly_Inspections!$E377</f>
        <v/>
      </c>
      <c r="D377" s="30">
        <f>Weekly_Inspections!$F377</f>
        <v/>
      </c>
      <c r="E377" s="28">
        <f>Weekly_Inspections!$H377</f>
        <v/>
      </c>
      <c r="F377" s="30">
        <f>IF(Weekly_Inspections!$AX377&lt;&gt;"",Weekly_Inspections!$AX377,IF(Weekly_Inspections!$AY377&lt;&gt;"",Weekly_Inspections!$AY377,IF(Weekly_Inspections!$AZ377&lt;&gt;"",Weekly_Inspections!$AZ377,IF(Weekly_Inspections!$BA377&lt;&gt;"",Weekly_Inspections!$BA377,IF(Weekly_Inspections!$BB377&lt;&gt;"",Weekly_Inspections!$BB377,Weekly_Inspections!$R377)))))</f>
        <v/>
      </c>
      <c r="G377" s="30">
        <f>IF(OR(Weekly_Inspections!$AQ377&lt;&gt;"",Weekly_Inspections!$AR377&lt;&gt;"",Weekly_Inspections!$AS377&lt;&gt;""),Weekly_Inspections!$AQ377,"")</f>
        <v/>
      </c>
      <c r="H377" s="30">
        <f>Weekly_Inspections!$AP377</f>
        <v/>
      </c>
      <c r="I377" s="30">
        <f>Weekly_Inspections!$AR377</f>
        <v/>
      </c>
      <c r="J377" s="30">
        <f>Weekly_Inspections!$AS377</f>
        <v/>
      </c>
      <c r="K377" s="30">
        <f>Weekly_Inspections!$AU377</f>
        <v/>
      </c>
      <c r="L377" s="46">
        <f>Weekly_Inspections!$AV377</f>
        <v/>
      </c>
      <c r="M377" s="30">
        <f>IF($B377="","",IF($N377&lt;&gt;"","Closed",IF(OR($G377&lt;&gt;"",$I377&lt;&gt;"",$J377&lt;&gt;""),"Open","")))</f>
        <v/>
      </c>
      <c r="N377" s="46" t="n"/>
      <c r="O377" s="28">
        <f>IF($B377="","",IF($M377="Closed",IF($N377="","",$N377-$B377),TODAY()-$B377))</f>
        <v/>
      </c>
      <c r="P377" s="28">
        <f>IF(OR($B377="",$L377="",$M377="Closed"),"",IF(TODAY()&gt;$L377,"YES","NO"))</f>
        <v/>
      </c>
      <c r="Q377" s="30">
        <f>Weekly_Inspections!$AW377</f>
        <v/>
      </c>
    </row>
    <row r="378" ht="15" customHeight="1" s="45">
      <c r="A378" s="28">
        <f>IF(Weekly_Inspections!$B378="","",Weekly_Inspections!$A378&amp;"-A1")</f>
        <v/>
      </c>
      <c r="B378" s="46">
        <f>Weekly_Inspections!$B378</f>
        <v/>
      </c>
      <c r="C378" s="30">
        <f>Weekly_Inspections!$E378</f>
        <v/>
      </c>
      <c r="D378" s="30">
        <f>Weekly_Inspections!$F378</f>
        <v/>
      </c>
      <c r="E378" s="28">
        <f>Weekly_Inspections!$H378</f>
        <v/>
      </c>
      <c r="F378" s="30">
        <f>IF(Weekly_Inspections!$AX378&lt;&gt;"",Weekly_Inspections!$AX378,IF(Weekly_Inspections!$AY378&lt;&gt;"",Weekly_Inspections!$AY378,IF(Weekly_Inspections!$AZ378&lt;&gt;"",Weekly_Inspections!$AZ378,IF(Weekly_Inspections!$BA378&lt;&gt;"",Weekly_Inspections!$BA378,IF(Weekly_Inspections!$BB378&lt;&gt;"",Weekly_Inspections!$BB378,Weekly_Inspections!$R378)))))</f>
        <v/>
      </c>
      <c r="G378" s="30">
        <f>IF(OR(Weekly_Inspections!$AQ378&lt;&gt;"",Weekly_Inspections!$AR378&lt;&gt;"",Weekly_Inspections!$AS378&lt;&gt;""),Weekly_Inspections!$AQ378,"")</f>
        <v/>
      </c>
      <c r="H378" s="30">
        <f>Weekly_Inspections!$AP378</f>
        <v/>
      </c>
      <c r="I378" s="30">
        <f>Weekly_Inspections!$AR378</f>
        <v/>
      </c>
      <c r="J378" s="30">
        <f>Weekly_Inspections!$AS378</f>
        <v/>
      </c>
      <c r="K378" s="30">
        <f>Weekly_Inspections!$AU378</f>
        <v/>
      </c>
      <c r="L378" s="46">
        <f>Weekly_Inspections!$AV378</f>
        <v/>
      </c>
      <c r="M378" s="30">
        <f>IF($B378="","",IF($N378&lt;&gt;"","Closed",IF(OR($G378&lt;&gt;"",$I378&lt;&gt;"",$J378&lt;&gt;""),"Open","")))</f>
        <v/>
      </c>
      <c r="N378" s="46" t="n"/>
      <c r="O378" s="28">
        <f>IF($B378="","",IF($M378="Closed",IF($N378="","",$N378-$B378),TODAY()-$B378))</f>
        <v/>
      </c>
      <c r="P378" s="28">
        <f>IF(OR($B378="",$L378="",$M378="Closed"),"",IF(TODAY()&gt;$L378,"YES","NO"))</f>
        <v/>
      </c>
      <c r="Q378" s="30">
        <f>Weekly_Inspections!$AW378</f>
        <v/>
      </c>
    </row>
    <row r="379" ht="15" customHeight="1" s="45">
      <c r="A379" s="28">
        <f>IF(Weekly_Inspections!$B379="","",Weekly_Inspections!$A379&amp;"-A1")</f>
        <v/>
      </c>
      <c r="B379" s="46">
        <f>Weekly_Inspections!$B379</f>
        <v/>
      </c>
      <c r="C379" s="30">
        <f>Weekly_Inspections!$E379</f>
        <v/>
      </c>
      <c r="D379" s="30">
        <f>Weekly_Inspections!$F379</f>
        <v/>
      </c>
      <c r="E379" s="28">
        <f>Weekly_Inspections!$H379</f>
        <v/>
      </c>
      <c r="F379" s="30">
        <f>IF(Weekly_Inspections!$AX379&lt;&gt;"",Weekly_Inspections!$AX379,IF(Weekly_Inspections!$AY379&lt;&gt;"",Weekly_Inspections!$AY379,IF(Weekly_Inspections!$AZ379&lt;&gt;"",Weekly_Inspections!$AZ379,IF(Weekly_Inspections!$BA379&lt;&gt;"",Weekly_Inspections!$BA379,IF(Weekly_Inspections!$BB379&lt;&gt;"",Weekly_Inspections!$BB379,Weekly_Inspections!$R379)))))</f>
        <v/>
      </c>
      <c r="G379" s="30">
        <f>IF(OR(Weekly_Inspections!$AQ379&lt;&gt;"",Weekly_Inspections!$AR379&lt;&gt;"",Weekly_Inspections!$AS379&lt;&gt;""),Weekly_Inspections!$AQ379,"")</f>
        <v/>
      </c>
      <c r="H379" s="30">
        <f>Weekly_Inspections!$AP379</f>
        <v/>
      </c>
      <c r="I379" s="30">
        <f>Weekly_Inspections!$AR379</f>
        <v/>
      </c>
      <c r="J379" s="30">
        <f>Weekly_Inspections!$AS379</f>
        <v/>
      </c>
      <c r="K379" s="30">
        <f>Weekly_Inspections!$AU379</f>
        <v/>
      </c>
      <c r="L379" s="46">
        <f>Weekly_Inspections!$AV379</f>
        <v/>
      </c>
      <c r="M379" s="30">
        <f>IF($B379="","",IF($N379&lt;&gt;"","Closed",IF(OR($G379&lt;&gt;"",$I379&lt;&gt;"",$J379&lt;&gt;""),"Open","")))</f>
        <v/>
      </c>
      <c r="N379" s="46" t="n"/>
      <c r="O379" s="28">
        <f>IF($B379="","",IF($M379="Closed",IF($N379="","",$N379-$B379),TODAY()-$B379))</f>
        <v/>
      </c>
      <c r="P379" s="28">
        <f>IF(OR($B379="",$L379="",$M379="Closed"),"",IF(TODAY()&gt;$L379,"YES","NO"))</f>
        <v/>
      </c>
      <c r="Q379" s="30">
        <f>Weekly_Inspections!$AW379</f>
        <v/>
      </c>
    </row>
    <row r="380" ht="15" customHeight="1" s="45">
      <c r="A380" s="28">
        <f>IF(Weekly_Inspections!$B380="","",Weekly_Inspections!$A380&amp;"-A1")</f>
        <v/>
      </c>
      <c r="B380" s="46">
        <f>Weekly_Inspections!$B380</f>
        <v/>
      </c>
      <c r="C380" s="30">
        <f>Weekly_Inspections!$E380</f>
        <v/>
      </c>
      <c r="D380" s="30">
        <f>Weekly_Inspections!$F380</f>
        <v/>
      </c>
      <c r="E380" s="28">
        <f>Weekly_Inspections!$H380</f>
        <v/>
      </c>
      <c r="F380" s="30">
        <f>IF(Weekly_Inspections!$AX380&lt;&gt;"",Weekly_Inspections!$AX380,IF(Weekly_Inspections!$AY380&lt;&gt;"",Weekly_Inspections!$AY380,IF(Weekly_Inspections!$AZ380&lt;&gt;"",Weekly_Inspections!$AZ380,IF(Weekly_Inspections!$BA380&lt;&gt;"",Weekly_Inspections!$BA380,IF(Weekly_Inspections!$BB380&lt;&gt;"",Weekly_Inspections!$BB380,Weekly_Inspections!$R380)))))</f>
        <v/>
      </c>
      <c r="G380" s="30">
        <f>IF(OR(Weekly_Inspections!$AQ380&lt;&gt;"",Weekly_Inspections!$AR380&lt;&gt;"",Weekly_Inspections!$AS380&lt;&gt;""),Weekly_Inspections!$AQ380,"")</f>
        <v/>
      </c>
      <c r="H380" s="30">
        <f>Weekly_Inspections!$AP380</f>
        <v/>
      </c>
      <c r="I380" s="30">
        <f>Weekly_Inspections!$AR380</f>
        <v/>
      </c>
      <c r="J380" s="30">
        <f>Weekly_Inspections!$AS380</f>
        <v/>
      </c>
      <c r="K380" s="30">
        <f>Weekly_Inspections!$AU380</f>
        <v/>
      </c>
      <c r="L380" s="46">
        <f>Weekly_Inspections!$AV380</f>
        <v/>
      </c>
      <c r="M380" s="30">
        <f>IF($B380="","",IF($N380&lt;&gt;"","Closed",IF(OR($G380&lt;&gt;"",$I380&lt;&gt;"",$J380&lt;&gt;""),"Open","")))</f>
        <v/>
      </c>
      <c r="N380" s="46" t="n"/>
      <c r="O380" s="28">
        <f>IF($B380="","",IF($M380="Closed",IF($N380="","",$N380-$B380),TODAY()-$B380))</f>
        <v/>
      </c>
      <c r="P380" s="28">
        <f>IF(OR($B380="",$L380="",$M380="Closed"),"",IF(TODAY()&gt;$L380,"YES","NO"))</f>
        <v/>
      </c>
      <c r="Q380" s="30">
        <f>Weekly_Inspections!$AW380</f>
        <v/>
      </c>
    </row>
    <row r="381" ht="15" customHeight="1" s="45">
      <c r="A381" s="28">
        <f>IF(Weekly_Inspections!$B381="","",Weekly_Inspections!$A381&amp;"-A1")</f>
        <v/>
      </c>
      <c r="B381" s="46">
        <f>Weekly_Inspections!$B381</f>
        <v/>
      </c>
      <c r="C381" s="30">
        <f>Weekly_Inspections!$E381</f>
        <v/>
      </c>
      <c r="D381" s="30">
        <f>Weekly_Inspections!$F381</f>
        <v/>
      </c>
      <c r="E381" s="28">
        <f>Weekly_Inspections!$H381</f>
        <v/>
      </c>
      <c r="F381" s="30">
        <f>IF(Weekly_Inspections!$AX381&lt;&gt;"",Weekly_Inspections!$AX381,IF(Weekly_Inspections!$AY381&lt;&gt;"",Weekly_Inspections!$AY381,IF(Weekly_Inspections!$AZ381&lt;&gt;"",Weekly_Inspections!$AZ381,IF(Weekly_Inspections!$BA381&lt;&gt;"",Weekly_Inspections!$BA381,IF(Weekly_Inspections!$BB381&lt;&gt;"",Weekly_Inspections!$BB381,Weekly_Inspections!$R381)))))</f>
        <v/>
      </c>
      <c r="G381" s="30">
        <f>IF(OR(Weekly_Inspections!$AQ381&lt;&gt;"",Weekly_Inspections!$AR381&lt;&gt;"",Weekly_Inspections!$AS381&lt;&gt;""),Weekly_Inspections!$AQ381,"")</f>
        <v/>
      </c>
      <c r="H381" s="30">
        <f>Weekly_Inspections!$AP381</f>
        <v/>
      </c>
      <c r="I381" s="30">
        <f>Weekly_Inspections!$AR381</f>
        <v/>
      </c>
      <c r="J381" s="30">
        <f>Weekly_Inspections!$AS381</f>
        <v/>
      </c>
      <c r="K381" s="30">
        <f>Weekly_Inspections!$AU381</f>
        <v/>
      </c>
      <c r="L381" s="46">
        <f>Weekly_Inspections!$AV381</f>
        <v/>
      </c>
      <c r="M381" s="30">
        <f>IF($B381="","",IF($N381&lt;&gt;"","Closed",IF(OR($G381&lt;&gt;"",$I381&lt;&gt;"",$J381&lt;&gt;""),"Open","")))</f>
        <v/>
      </c>
      <c r="N381" s="46" t="n"/>
      <c r="O381" s="28">
        <f>IF($B381="","",IF($M381="Closed",IF($N381="","",$N381-$B381),TODAY()-$B381))</f>
        <v/>
      </c>
      <c r="P381" s="28">
        <f>IF(OR($B381="",$L381="",$M381="Closed"),"",IF(TODAY()&gt;$L381,"YES","NO"))</f>
        <v/>
      </c>
      <c r="Q381" s="30">
        <f>Weekly_Inspections!$AW381</f>
        <v/>
      </c>
    </row>
    <row r="382" ht="15" customHeight="1" s="45">
      <c r="A382" s="28">
        <f>IF(Weekly_Inspections!$B382="","",Weekly_Inspections!$A382&amp;"-A1")</f>
        <v/>
      </c>
      <c r="B382" s="46">
        <f>Weekly_Inspections!$B382</f>
        <v/>
      </c>
      <c r="C382" s="30">
        <f>Weekly_Inspections!$E382</f>
        <v/>
      </c>
      <c r="D382" s="30">
        <f>Weekly_Inspections!$F382</f>
        <v/>
      </c>
      <c r="E382" s="28">
        <f>Weekly_Inspections!$H382</f>
        <v/>
      </c>
      <c r="F382" s="30">
        <f>IF(Weekly_Inspections!$AX382&lt;&gt;"",Weekly_Inspections!$AX382,IF(Weekly_Inspections!$AY382&lt;&gt;"",Weekly_Inspections!$AY382,IF(Weekly_Inspections!$AZ382&lt;&gt;"",Weekly_Inspections!$AZ382,IF(Weekly_Inspections!$BA382&lt;&gt;"",Weekly_Inspections!$BA382,IF(Weekly_Inspections!$BB382&lt;&gt;"",Weekly_Inspections!$BB382,Weekly_Inspections!$R382)))))</f>
        <v/>
      </c>
      <c r="G382" s="30">
        <f>IF(OR(Weekly_Inspections!$AQ382&lt;&gt;"",Weekly_Inspections!$AR382&lt;&gt;"",Weekly_Inspections!$AS382&lt;&gt;""),Weekly_Inspections!$AQ382,"")</f>
        <v/>
      </c>
      <c r="H382" s="30">
        <f>Weekly_Inspections!$AP382</f>
        <v/>
      </c>
      <c r="I382" s="30">
        <f>Weekly_Inspections!$AR382</f>
        <v/>
      </c>
      <c r="J382" s="30">
        <f>Weekly_Inspections!$AS382</f>
        <v/>
      </c>
      <c r="K382" s="30">
        <f>Weekly_Inspections!$AU382</f>
        <v/>
      </c>
      <c r="L382" s="46">
        <f>Weekly_Inspections!$AV382</f>
        <v/>
      </c>
      <c r="M382" s="30">
        <f>IF($B382="","",IF($N382&lt;&gt;"","Closed",IF(OR($G382&lt;&gt;"",$I382&lt;&gt;"",$J382&lt;&gt;""),"Open","")))</f>
        <v/>
      </c>
      <c r="N382" s="46" t="n"/>
      <c r="O382" s="28">
        <f>IF($B382="","",IF($M382="Closed",IF($N382="","",$N382-$B382),TODAY()-$B382))</f>
        <v/>
      </c>
      <c r="P382" s="28">
        <f>IF(OR($B382="",$L382="",$M382="Closed"),"",IF(TODAY()&gt;$L382,"YES","NO"))</f>
        <v/>
      </c>
      <c r="Q382" s="30">
        <f>Weekly_Inspections!$AW382</f>
        <v/>
      </c>
    </row>
    <row r="383" ht="15" customHeight="1" s="45">
      <c r="A383" s="28">
        <f>IF(Weekly_Inspections!$B383="","",Weekly_Inspections!$A383&amp;"-A1")</f>
        <v/>
      </c>
      <c r="B383" s="46">
        <f>Weekly_Inspections!$B383</f>
        <v/>
      </c>
      <c r="C383" s="30">
        <f>Weekly_Inspections!$E383</f>
        <v/>
      </c>
      <c r="D383" s="30">
        <f>Weekly_Inspections!$F383</f>
        <v/>
      </c>
      <c r="E383" s="28">
        <f>Weekly_Inspections!$H383</f>
        <v/>
      </c>
      <c r="F383" s="30">
        <f>IF(Weekly_Inspections!$AX383&lt;&gt;"",Weekly_Inspections!$AX383,IF(Weekly_Inspections!$AY383&lt;&gt;"",Weekly_Inspections!$AY383,IF(Weekly_Inspections!$AZ383&lt;&gt;"",Weekly_Inspections!$AZ383,IF(Weekly_Inspections!$BA383&lt;&gt;"",Weekly_Inspections!$BA383,IF(Weekly_Inspections!$BB383&lt;&gt;"",Weekly_Inspections!$BB383,Weekly_Inspections!$R383)))))</f>
        <v/>
      </c>
      <c r="G383" s="30">
        <f>IF(OR(Weekly_Inspections!$AQ383&lt;&gt;"",Weekly_Inspections!$AR383&lt;&gt;"",Weekly_Inspections!$AS383&lt;&gt;""),Weekly_Inspections!$AQ383,"")</f>
        <v/>
      </c>
      <c r="H383" s="30">
        <f>Weekly_Inspections!$AP383</f>
        <v/>
      </c>
      <c r="I383" s="30">
        <f>Weekly_Inspections!$AR383</f>
        <v/>
      </c>
      <c r="J383" s="30">
        <f>Weekly_Inspections!$AS383</f>
        <v/>
      </c>
      <c r="K383" s="30">
        <f>Weekly_Inspections!$AU383</f>
        <v/>
      </c>
      <c r="L383" s="46">
        <f>Weekly_Inspections!$AV383</f>
        <v/>
      </c>
      <c r="M383" s="30">
        <f>IF($B383="","",IF($N383&lt;&gt;"","Closed",IF(OR($G383&lt;&gt;"",$I383&lt;&gt;"",$J383&lt;&gt;""),"Open","")))</f>
        <v/>
      </c>
      <c r="N383" s="46" t="n"/>
      <c r="O383" s="28">
        <f>IF($B383="","",IF($M383="Closed",IF($N383="","",$N383-$B383),TODAY()-$B383))</f>
        <v/>
      </c>
      <c r="P383" s="28">
        <f>IF(OR($B383="",$L383="",$M383="Closed"),"",IF(TODAY()&gt;$L383,"YES","NO"))</f>
        <v/>
      </c>
      <c r="Q383" s="30">
        <f>Weekly_Inspections!$AW383</f>
        <v/>
      </c>
    </row>
    <row r="384" ht="15" customHeight="1" s="45">
      <c r="A384" s="28">
        <f>IF(Weekly_Inspections!$B384="","",Weekly_Inspections!$A384&amp;"-A1")</f>
        <v/>
      </c>
      <c r="B384" s="46">
        <f>Weekly_Inspections!$B384</f>
        <v/>
      </c>
      <c r="C384" s="30">
        <f>Weekly_Inspections!$E384</f>
        <v/>
      </c>
      <c r="D384" s="30">
        <f>Weekly_Inspections!$F384</f>
        <v/>
      </c>
      <c r="E384" s="28">
        <f>Weekly_Inspections!$H384</f>
        <v/>
      </c>
      <c r="F384" s="30">
        <f>IF(Weekly_Inspections!$AX384&lt;&gt;"",Weekly_Inspections!$AX384,IF(Weekly_Inspections!$AY384&lt;&gt;"",Weekly_Inspections!$AY384,IF(Weekly_Inspections!$AZ384&lt;&gt;"",Weekly_Inspections!$AZ384,IF(Weekly_Inspections!$BA384&lt;&gt;"",Weekly_Inspections!$BA384,IF(Weekly_Inspections!$BB384&lt;&gt;"",Weekly_Inspections!$BB384,Weekly_Inspections!$R384)))))</f>
        <v/>
      </c>
      <c r="G384" s="30">
        <f>IF(OR(Weekly_Inspections!$AQ384&lt;&gt;"",Weekly_Inspections!$AR384&lt;&gt;"",Weekly_Inspections!$AS384&lt;&gt;""),Weekly_Inspections!$AQ384,"")</f>
        <v/>
      </c>
      <c r="H384" s="30">
        <f>Weekly_Inspections!$AP384</f>
        <v/>
      </c>
      <c r="I384" s="30">
        <f>Weekly_Inspections!$AR384</f>
        <v/>
      </c>
      <c r="J384" s="30">
        <f>Weekly_Inspections!$AS384</f>
        <v/>
      </c>
      <c r="K384" s="30">
        <f>Weekly_Inspections!$AU384</f>
        <v/>
      </c>
      <c r="L384" s="46">
        <f>Weekly_Inspections!$AV384</f>
        <v/>
      </c>
      <c r="M384" s="30">
        <f>IF($B384="","",IF($N384&lt;&gt;"","Closed",IF(OR($G384&lt;&gt;"",$I384&lt;&gt;"",$J384&lt;&gt;""),"Open","")))</f>
        <v/>
      </c>
      <c r="N384" s="46" t="n"/>
      <c r="O384" s="28">
        <f>IF($B384="","",IF($M384="Closed",IF($N384="","",$N384-$B384),TODAY()-$B384))</f>
        <v/>
      </c>
      <c r="P384" s="28">
        <f>IF(OR($B384="",$L384="",$M384="Closed"),"",IF(TODAY()&gt;$L384,"YES","NO"))</f>
        <v/>
      </c>
      <c r="Q384" s="30">
        <f>Weekly_Inspections!$AW384</f>
        <v/>
      </c>
    </row>
    <row r="385" ht="15" customHeight="1" s="45">
      <c r="A385" s="28">
        <f>IF(Weekly_Inspections!$B385="","",Weekly_Inspections!$A385&amp;"-A1")</f>
        <v/>
      </c>
      <c r="B385" s="46">
        <f>Weekly_Inspections!$B385</f>
        <v/>
      </c>
      <c r="C385" s="30">
        <f>Weekly_Inspections!$E385</f>
        <v/>
      </c>
      <c r="D385" s="30">
        <f>Weekly_Inspections!$F385</f>
        <v/>
      </c>
      <c r="E385" s="28">
        <f>Weekly_Inspections!$H385</f>
        <v/>
      </c>
      <c r="F385" s="30">
        <f>IF(Weekly_Inspections!$AX385&lt;&gt;"",Weekly_Inspections!$AX385,IF(Weekly_Inspections!$AY385&lt;&gt;"",Weekly_Inspections!$AY385,IF(Weekly_Inspections!$AZ385&lt;&gt;"",Weekly_Inspections!$AZ385,IF(Weekly_Inspections!$BA385&lt;&gt;"",Weekly_Inspections!$BA385,IF(Weekly_Inspections!$BB385&lt;&gt;"",Weekly_Inspections!$BB385,Weekly_Inspections!$R385)))))</f>
        <v/>
      </c>
      <c r="G385" s="30">
        <f>IF(OR(Weekly_Inspections!$AQ385&lt;&gt;"",Weekly_Inspections!$AR385&lt;&gt;"",Weekly_Inspections!$AS385&lt;&gt;""),Weekly_Inspections!$AQ385,"")</f>
        <v/>
      </c>
      <c r="H385" s="30">
        <f>Weekly_Inspections!$AP385</f>
        <v/>
      </c>
      <c r="I385" s="30">
        <f>Weekly_Inspections!$AR385</f>
        <v/>
      </c>
      <c r="J385" s="30">
        <f>Weekly_Inspections!$AS385</f>
        <v/>
      </c>
      <c r="K385" s="30">
        <f>Weekly_Inspections!$AU385</f>
        <v/>
      </c>
      <c r="L385" s="46">
        <f>Weekly_Inspections!$AV385</f>
        <v/>
      </c>
      <c r="M385" s="30">
        <f>IF($B385="","",IF($N385&lt;&gt;"","Closed",IF(OR($G385&lt;&gt;"",$I385&lt;&gt;"",$J385&lt;&gt;""),"Open","")))</f>
        <v/>
      </c>
      <c r="N385" s="46" t="n"/>
      <c r="O385" s="28">
        <f>IF($B385="","",IF($M385="Closed",IF($N385="","",$N385-$B385),TODAY()-$B385))</f>
        <v/>
      </c>
      <c r="P385" s="28">
        <f>IF(OR($B385="",$L385="",$M385="Closed"),"",IF(TODAY()&gt;$L385,"YES","NO"))</f>
        <v/>
      </c>
      <c r="Q385" s="30">
        <f>Weekly_Inspections!$AW385</f>
        <v/>
      </c>
    </row>
    <row r="386" ht="15" customHeight="1" s="45">
      <c r="A386" s="28">
        <f>IF(Weekly_Inspections!$B386="","",Weekly_Inspections!$A386&amp;"-A1")</f>
        <v/>
      </c>
      <c r="B386" s="46">
        <f>Weekly_Inspections!$B386</f>
        <v/>
      </c>
      <c r="C386" s="30">
        <f>Weekly_Inspections!$E386</f>
        <v/>
      </c>
      <c r="D386" s="30">
        <f>Weekly_Inspections!$F386</f>
        <v/>
      </c>
      <c r="E386" s="28">
        <f>Weekly_Inspections!$H386</f>
        <v/>
      </c>
      <c r="F386" s="30">
        <f>IF(Weekly_Inspections!$AX386&lt;&gt;"",Weekly_Inspections!$AX386,IF(Weekly_Inspections!$AY386&lt;&gt;"",Weekly_Inspections!$AY386,IF(Weekly_Inspections!$AZ386&lt;&gt;"",Weekly_Inspections!$AZ386,IF(Weekly_Inspections!$BA386&lt;&gt;"",Weekly_Inspections!$BA386,IF(Weekly_Inspections!$BB386&lt;&gt;"",Weekly_Inspections!$BB386,Weekly_Inspections!$R386)))))</f>
        <v/>
      </c>
      <c r="G386" s="30">
        <f>IF(OR(Weekly_Inspections!$AQ386&lt;&gt;"",Weekly_Inspections!$AR386&lt;&gt;"",Weekly_Inspections!$AS386&lt;&gt;""),Weekly_Inspections!$AQ386,"")</f>
        <v/>
      </c>
      <c r="H386" s="30">
        <f>Weekly_Inspections!$AP386</f>
        <v/>
      </c>
      <c r="I386" s="30">
        <f>Weekly_Inspections!$AR386</f>
        <v/>
      </c>
      <c r="J386" s="30">
        <f>Weekly_Inspections!$AS386</f>
        <v/>
      </c>
      <c r="K386" s="30">
        <f>Weekly_Inspections!$AU386</f>
        <v/>
      </c>
      <c r="L386" s="46">
        <f>Weekly_Inspections!$AV386</f>
        <v/>
      </c>
      <c r="M386" s="30">
        <f>IF($B386="","",IF($N386&lt;&gt;"","Closed",IF(OR($G386&lt;&gt;"",$I386&lt;&gt;"",$J386&lt;&gt;""),"Open","")))</f>
        <v/>
      </c>
      <c r="N386" s="46" t="n"/>
      <c r="O386" s="28">
        <f>IF($B386="","",IF($M386="Closed",IF($N386="","",$N386-$B386),TODAY()-$B386))</f>
        <v/>
      </c>
      <c r="P386" s="28">
        <f>IF(OR($B386="",$L386="",$M386="Closed"),"",IF(TODAY()&gt;$L386,"YES","NO"))</f>
        <v/>
      </c>
      <c r="Q386" s="30">
        <f>Weekly_Inspections!$AW386</f>
        <v/>
      </c>
    </row>
    <row r="387" ht="15" customHeight="1" s="45">
      <c r="A387" s="28">
        <f>IF(Weekly_Inspections!$B387="","",Weekly_Inspections!$A387&amp;"-A1")</f>
        <v/>
      </c>
      <c r="B387" s="46">
        <f>Weekly_Inspections!$B387</f>
        <v/>
      </c>
      <c r="C387" s="30">
        <f>Weekly_Inspections!$E387</f>
        <v/>
      </c>
      <c r="D387" s="30">
        <f>Weekly_Inspections!$F387</f>
        <v/>
      </c>
      <c r="E387" s="28">
        <f>Weekly_Inspections!$H387</f>
        <v/>
      </c>
      <c r="F387" s="30">
        <f>IF(Weekly_Inspections!$AX387&lt;&gt;"",Weekly_Inspections!$AX387,IF(Weekly_Inspections!$AY387&lt;&gt;"",Weekly_Inspections!$AY387,IF(Weekly_Inspections!$AZ387&lt;&gt;"",Weekly_Inspections!$AZ387,IF(Weekly_Inspections!$BA387&lt;&gt;"",Weekly_Inspections!$BA387,IF(Weekly_Inspections!$BB387&lt;&gt;"",Weekly_Inspections!$BB387,Weekly_Inspections!$R387)))))</f>
        <v/>
      </c>
      <c r="G387" s="30">
        <f>IF(OR(Weekly_Inspections!$AQ387&lt;&gt;"",Weekly_Inspections!$AR387&lt;&gt;"",Weekly_Inspections!$AS387&lt;&gt;""),Weekly_Inspections!$AQ387,"")</f>
        <v/>
      </c>
      <c r="H387" s="30">
        <f>Weekly_Inspections!$AP387</f>
        <v/>
      </c>
      <c r="I387" s="30">
        <f>Weekly_Inspections!$AR387</f>
        <v/>
      </c>
      <c r="J387" s="30">
        <f>Weekly_Inspections!$AS387</f>
        <v/>
      </c>
      <c r="K387" s="30">
        <f>Weekly_Inspections!$AU387</f>
        <v/>
      </c>
      <c r="L387" s="46">
        <f>Weekly_Inspections!$AV387</f>
        <v/>
      </c>
      <c r="M387" s="30">
        <f>IF($B387="","",IF($N387&lt;&gt;"","Closed",IF(OR($G387&lt;&gt;"",$I387&lt;&gt;"",$J387&lt;&gt;""),"Open","")))</f>
        <v/>
      </c>
      <c r="N387" s="46" t="n"/>
      <c r="O387" s="28">
        <f>IF($B387="","",IF($M387="Closed",IF($N387="","",$N387-$B387),TODAY()-$B387))</f>
        <v/>
      </c>
      <c r="P387" s="28">
        <f>IF(OR($B387="",$L387="",$M387="Closed"),"",IF(TODAY()&gt;$L387,"YES","NO"))</f>
        <v/>
      </c>
      <c r="Q387" s="30">
        <f>Weekly_Inspections!$AW387</f>
        <v/>
      </c>
    </row>
    <row r="388" ht="15" customHeight="1" s="45">
      <c r="A388" s="28">
        <f>IF(Weekly_Inspections!$B388="","",Weekly_Inspections!$A388&amp;"-A1")</f>
        <v/>
      </c>
      <c r="B388" s="46">
        <f>Weekly_Inspections!$B388</f>
        <v/>
      </c>
      <c r="C388" s="30">
        <f>Weekly_Inspections!$E388</f>
        <v/>
      </c>
      <c r="D388" s="30">
        <f>Weekly_Inspections!$F388</f>
        <v/>
      </c>
      <c r="E388" s="28">
        <f>Weekly_Inspections!$H388</f>
        <v/>
      </c>
      <c r="F388" s="30">
        <f>IF(Weekly_Inspections!$AX388&lt;&gt;"",Weekly_Inspections!$AX388,IF(Weekly_Inspections!$AY388&lt;&gt;"",Weekly_Inspections!$AY388,IF(Weekly_Inspections!$AZ388&lt;&gt;"",Weekly_Inspections!$AZ388,IF(Weekly_Inspections!$BA388&lt;&gt;"",Weekly_Inspections!$BA388,IF(Weekly_Inspections!$BB388&lt;&gt;"",Weekly_Inspections!$BB388,Weekly_Inspections!$R388)))))</f>
        <v/>
      </c>
      <c r="G388" s="30">
        <f>IF(OR(Weekly_Inspections!$AQ388&lt;&gt;"",Weekly_Inspections!$AR388&lt;&gt;"",Weekly_Inspections!$AS388&lt;&gt;""),Weekly_Inspections!$AQ388,"")</f>
        <v/>
      </c>
      <c r="H388" s="30">
        <f>Weekly_Inspections!$AP388</f>
        <v/>
      </c>
      <c r="I388" s="30">
        <f>Weekly_Inspections!$AR388</f>
        <v/>
      </c>
      <c r="J388" s="30">
        <f>Weekly_Inspections!$AS388</f>
        <v/>
      </c>
      <c r="K388" s="30">
        <f>Weekly_Inspections!$AU388</f>
        <v/>
      </c>
      <c r="L388" s="46">
        <f>Weekly_Inspections!$AV388</f>
        <v/>
      </c>
      <c r="M388" s="30">
        <f>IF($B388="","",IF($N388&lt;&gt;"","Closed",IF(OR($G388&lt;&gt;"",$I388&lt;&gt;"",$J388&lt;&gt;""),"Open","")))</f>
        <v/>
      </c>
      <c r="N388" s="46" t="n"/>
      <c r="O388" s="28">
        <f>IF($B388="","",IF($M388="Closed",IF($N388="","",$N388-$B388),TODAY()-$B388))</f>
        <v/>
      </c>
      <c r="P388" s="28">
        <f>IF(OR($B388="",$L388="",$M388="Closed"),"",IF(TODAY()&gt;$L388,"YES","NO"))</f>
        <v/>
      </c>
      <c r="Q388" s="30">
        <f>Weekly_Inspections!$AW388</f>
        <v/>
      </c>
    </row>
    <row r="389" ht="15" customHeight="1" s="45">
      <c r="A389" s="28">
        <f>IF(Weekly_Inspections!$B389="","",Weekly_Inspections!$A389&amp;"-A1")</f>
        <v/>
      </c>
      <c r="B389" s="46">
        <f>Weekly_Inspections!$B389</f>
        <v/>
      </c>
      <c r="C389" s="30">
        <f>Weekly_Inspections!$E389</f>
        <v/>
      </c>
      <c r="D389" s="30">
        <f>Weekly_Inspections!$F389</f>
        <v/>
      </c>
      <c r="E389" s="28">
        <f>Weekly_Inspections!$H389</f>
        <v/>
      </c>
      <c r="F389" s="30">
        <f>IF(Weekly_Inspections!$AX389&lt;&gt;"",Weekly_Inspections!$AX389,IF(Weekly_Inspections!$AY389&lt;&gt;"",Weekly_Inspections!$AY389,IF(Weekly_Inspections!$AZ389&lt;&gt;"",Weekly_Inspections!$AZ389,IF(Weekly_Inspections!$BA389&lt;&gt;"",Weekly_Inspections!$BA389,IF(Weekly_Inspections!$BB389&lt;&gt;"",Weekly_Inspections!$BB389,Weekly_Inspections!$R389)))))</f>
        <v/>
      </c>
      <c r="G389" s="30">
        <f>IF(OR(Weekly_Inspections!$AQ389&lt;&gt;"",Weekly_Inspections!$AR389&lt;&gt;"",Weekly_Inspections!$AS389&lt;&gt;""),Weekly_Inspections!$AQ389,"")</f>
        <v/>
      </c>
      <c r="H389" s="30">
        <f>Weekly_Inspections!$AP389</f>
        <v/>
      </c>
      <c r="I389" s="30">
        <f>Weekly_Inspections!$AR389</f>
        <v/>
      </c>
      <c r="J389" s="30">
        <f>Weekly_Inspections!$AS389</f>
        <v/>
      </c>
      <c r="K389" s="30">
        <f>Weekly_Inspections!$AU389</f>
        <v/>
      </c>
      <c r="L389" s="46">
        <f>Weekly_Inspections!$AV389</f>
        <v/>
      </c>
      <c r="M389" s="30">
        <f>IF($B389="","",IF($N389&lt;&gt;"","Closed",IF(OR($G389&lt;&gt;"",$I389&lt;&gt;"",$J389&lt;&gt;""),"Open","")))</f>
        <v/>
      </c>
      <c r="N389" s="46" t="n"/>
      <c r="O389" s="28">
        <f>IF($B389="","",IF($M389="Closed",IF($N389="","",$N389-$B389),TODAY()-$B389))</f>
        <v/>
      </c>
      <c r="P389" s="28">
        <f>IF(OR($B389="",$L389="",$M389="Closed"),"",IF(TODAY()&gt;$L389,"YES","NO"))</f>
        <v/>
      </c>
      <c r="Q389" s="30">
        <f>Weekly_Inspections!$AW389</f>
        <v/>
      </c>
    </row>
    <row r="390" ht="15" customHeight="1" s="45">
      <c r="A390" s="28">
        <f>IF(Weekly_Inspections!$B390="","",Weekly_Inspections!$A390&amp;"-A1")</f>
        <v/>
      </c>
      <c r="B390" s="46">
        <f>Weekly_Inspections!$B390</f>
        <v/>
      </c>
      <c r="C390" s="30">
        <f>Weekly_Inspections!$E390</f>
        <v/>
      </c>
      <c r="D390" s="30">
        <f>Weekly_Inspections!$F390</f>
        <v/>
      </c>
      <c r="E390" s="28">
        <f>Weekly_Inspections!$H390</f>
        <v/>
      </c>
      <c r="F390" s="30">
        <f>IF(Weekly_Inspections!$AX390&lt;&gt;"",Weekly_Inspections!$AX390,IF(Weekly_Inspections!$AY390&lt;&gt;"",Weekly_Inspections!$AY390,IF(Weekly_Inspections!$AZ390&lt;&gt;"",Weekly_Inspections!$AZ390,IF(Weekly_Inspections!$BA390&lt;&gt;"",Weekly_Inspections!$BA390,IF(Weekly_Inspections!$BB390&lt;&gt;"",Weekly_Inspections!$BB390,Weekly_Inspections!$R390)))))</f>
        <v/>
      </c>
      <c r="G390" s="30">
        <f>IF(OR(Weekly_Inspections!$AQ390&lt;&gt;"",Weekly_Inspections!$AR390&lt;&gt;"",Weekly_Inspections!$AS390&lt;&gt;""),Weekly_Inspections!$AQ390,"")</f>
        <v/>
      </c>
      <c r="H390" s="30">
        <f>Weekly_Inspections!$AP390</f>
        <v/>
      </c>
      <c r="I390" s="30">
        <f>Weekly_Inspections!$AR390</f>
        <v/>
      </c>
      <c r="J390" s="30">
        <f>Weekly_Inspections!$AS390</f>
        <v/>
      </c>
      <c r="K390" s="30">
        <f>Weekly_Inspections!$AU390</f>
        <v/>
      </c>
      <c r="L390" s="46">
        <f>Weekly_Inspections!$AV390</f>
        <v/>
      </c>
      <c r="M390" s="30">
        <f>IF($B390="","",IF($N390&lt;&gt;"","Closed",IF(OR($G390&lt;&gt;"",$I390&lt;&gt;"",$J390&lt;&gt;""),"Open","")))</f>
        <v/>
      </c>
      <c r="N390" s="46" t="n"/>
      <c r="O390" s="28">
        <f>IF($B390="","",IF($M390="Closed",IF($N390="","",$N390-$B390),TODAY()-$B390))</f>
        <v/>
      </c>
      <c r="P390" s="28">
        <f>IF(OR($B390="",$L390="",$M390="Closed"),"",IF(TODAY()&gt;$L390,"YES","NO"))</f>
        <v/>
      </c>
      <c r="Q390" s="30">
        <f>Weekly_Inspections!$AW390</f>
        <v/>
      </c>
    </row>
    <row r="391" ht="15" customHeight="1" s="45">
      <c r="A391" s="28">
        <f>IF(Weekly_Inspections!$B391="","",Weekly_Inspections!$A391&amp;"-A1")</f>
        <v/>
      </c>
      <c r="B391" s="46">
        <f>Weekly_Inspections!$B391</f>
        <v/>
      </c>
      <c r="C391" s="30">
        <f>Weekly_Inspections!$E391</f>
        <v/>
      </c>
      <c r="D391" s="30">
        <f>Weekly_Inspections!$F391</f>
        <v/>
      </c>
      <c r="E391" s="28">
        <f>Weekly_Inspections!$H391</f>
        <v/>
      </c>
      <c r="F391" s="30">
        <f>IF(Weekly_Inspections!$AX391&lt;&gt;"",Weekly_Inspections!$AX391,IF(Weekly_Inspections!$AY391&lt;&gt;"",Weekly_Inspections!$AY391,IF(Weekly_Inspections!$AZ391&lt;&gt;"",Weekly_Inspections!$AZ391,IF(Weekly_Inspections!$BA391&lt;&gt;"",Weekly_Inspections!$BA391,IF(Weekly_Inspections!$BB391&lt;&gt;"",Weekly_Inspections!$BB391,Weekly_Inspections!$R391)))))</f>
        <v/>
      </c>
      <c r="G391" s="30">
        <f>IF(OR(Weekly_Inspections!$AQ391&lt;&gt;"",Weekly_Inspections!$AR391&lt;&gt;"",Weekly_Inspections!$AS391&lt;&gt;""),Weekly_Inspections!$AQ391,"")</f>
        <v/>
      </c>
      <c r="H391" s="30">
        <f>Weekly_Inspections!$AP391</f>
        <v/>
      </c>
      <c r="I391" s="30">
        <f>Weekly_Inspections!$AR391</f>
        <v/>
      </c>
      <c r="J391" s="30">
        <f>Weekly_Inspections!$AS391</f>
        <v/>
      </c>
      <c r="K391" s="30">
        <f>Weekly_Inspections!$AU391</f>
        <v/>
      </c>
      <c r="L391" s="46">
        <f>Weekly_Inspections!$AV391</f>
        <v/>
      </c>
      <c r="M391" s="30">
        <f>IF($B391="","",IF($N391&lt;&gt;"","Closed",IF(OR($G391&lt;&gt;"",$I391&lt;&gt;"",$J391&lt;&gt;""),"Open","")))</f>
        <v/>
      </c>
      <c r="N391" s="46" t="n"/>
      <c r="O391" s="28">
        <f>IF($B391="","",IF($M391="Closed",IF($N391="","",$N391-$B391),TODAY()-$B391))</f>
        <v/>
      </c>
      <c r="P391" s="28">
        <f>IF(OR($B391="",$L391="",$M391="Closed"),"",IF(TODAY()&gt;$L391,"YES","NO"))</f>
        <v/>
      </c>
      <c r="Q391" s="30">
        <f>Weekly_Inspections!$AW391</f>
        <v/>
      </c>
    </row>
    <row r="392" ht="15" customHeight="1" s="45">
      <c r="A392" s="28">
        <f>IF(Weekly_Inspections!$B392="","",Weekly_Inspections!$A392&amp;"-A1")</f>
        <v/>
      </c>
      <c r="B392" s="46">
        <f>Weekly_Inspections!$B392</f>
        <v/>
      </c>
      <c r="C392" s="30">
        <f>Weekly_Inspections!$E392</f>
        <v/>
      </c>
      <c r="D392" s="30">
        <f>Weekly_Inspections!$F392</f>
        <v/>
      </c>
      <c r="E392" s="28">
        <f>Weekly_Inspections!$H392</f>
        <v/>
      </c>
      <c r="F392" s="30">
        <f>IF(Weekly_Inspections!$AX392&lt;&gt;"",Weekly_Inspections!$AX392,IF(Weekly_Inspections!$AY392&lt;&gt;"",Weekly_Inspections!$AY392,IF(Weekly_Inspections!$AZ392&lt;&gt;"",Weekly_Inspections!$AZ392,IF(Weekly_Inspections!$BA392&lt;&gt;"",Weekly_Inspections!$BA392,IF(Weekly_Inspections!$BB392&lt;&gt;"",Weekly_Inspections!$BB392,Weekly_Inspections!$R392)))))</f>
        <v/>
      </c>
      <c r="G392" s="30">
        <f>IF(OR(Weekly_Inspections!$AQ392&lt;&gt;"",Weekly_Inspections!$AR392&lt;&gt;"",Weekly_Inspections!$AS392&lt;&gt;""),Weekly_Inspections!$AQ392,"")</f>
        <v/>
      </c>
      <c r="H392" s="30">
        <f>Weekly_Inspections!$AP392</f>
        <v/>
      </c>
      <c r="I392" s="30">
        <f>Weekly_Inspections!$AR392</f>
        <v/>
      </c>
      <c r="J392" s="30">
        <f>Weekly_Inspections!$AS392</f>
        <v/>
      </c>
      <c r="K392" s="30">
        <f>Weekly_Inspections!$AU392</f>
        <v/>
      </c>
      <c r="L392" s="46">
        <f>Weekly_Inspections!$AV392</f>
        <v/>
      </c>
      <c r="M392" s="30">
        <f>IF($B392="","",IF($N392&lt;&gt;"","Closed",IF(OR($G392&lt;&gt;"",$I392&lt;&gt;"",$J392&lt;&gt;""),"Open","")))</f>
        <v/>
      </c>
      <c r="N392" s="46" t="n"/>
      <c r="O392" s="28">
        <f>IF($B392="","",IF($M392="Closed",IF($N392="","",$N392-$B392),TODAY()-$B392))</f>
        <v/>
      </c>
      <c r="P392" s="28">
        <f>IF(OR($B392="",$L392="",$M392="Closed"),"",IF(TODAY()&gt;$L392,"YES","NO"))</f>
        <v/>
      </c>
      <c r="Q392" s="30">
        <f>Weekly_Inspections!$AW392</f>
        <v/>
      </c>
    </row>
    <row r="393" ht="15" customHeight="1" s="45">
      <c r="A393" s="28">
        <f>IF(Weekly_Inspections!$B393="","",Weekly_Inspections!$A393&amp;"-A1")</f>
        <v/>
      </c>
      <c r="B393" s="46">
        <f>Weekly_Inspections!$B393</f>
        <v/>
      </c>
      <c r="C393" s="30">
        <f>Weekly_Inspections!$E393</f>
        <v/>
      </c>
      <c r="D393" s="30">
        <f>Weekly_Inspections!$F393</f>
        <v/>
      </c>
      <c r="E393" s="28">
        <f>Weekly_Inspections!$H393</f>
        <v/>
      </c>
      <c r="F393" s="30">
        <f>IF(Weekly_Inspections!$AX393&lt;&gt;"",Weekly_Inspections!$AX393,IF(Weekly_Inspections!$AY393&lt;&gt;"",Weekly_Inspections!$AY393,IF(Weekly_Inspections!$AZ393&lt;&gt;"",Weekly_Inspections!$AZ393,IF(Weekly_Inspections!$BA393&lt;&gt;"",Weekly_Inspections!$BA393,IF(Weekly_Inspections!$BB393&lt;&gt;"",Weekly_Inspections!$BB393,Weekly_Inspections!$R393)))))</f>
        <v/>
      </c>
      <c r="G393" s="30">
        <f>IF(OR(Weekly_Inspections!$AQ393&lt;&gt;"",Weekly_Inspections!$AR393&lt;&gt;"",Weekly_Inspections!$AS393&lt;&gt;""),Weekly_Inspections!$AQ393,"")</f>
        <v/>
      </c>
      <c r="H393" s="30">
        <f>Weekly_Inspections!$AP393</f>
        <v/>
      </c>
      <c r="I393" s="30">
        <f>Weekly_Inspections!$AR393</f>
        <v/>
      </c>
      <c r="J393" s="30">
        <f>Weekly_Inspections!$AS393</f>
        <v/>
      </c>
      <c r="K393" s="30">
        <f>Weekly_Inspections!$AU393</f>
        <v/>
      </c>
      <c r="L393" s="46">
        <f>Weekly_Inspections!$AV393</f>
        <v/>
      </c>
      <c r="M393" s="30">
        <f>IF($B393="","",IF($N393&lt;&gt;"","Closed",IF(OR($G393&lt;&gt;"",$I393&lt;&gt;"",$J393&lt;&gt;""),"Open","")))</f>
        <v/>
      </c>
      <c r="N393" s="46" t="n"/>
      <c r="O393" s="28">
        <f>IF($B393="","",IF($M393="Closed",IF($N393="","",$N393-$B393),TODAY()-$B393))</f>
        <v/>
      </c>
      <c r="P393" s="28">
        <f>IF(OR($B393="",$L393="",$M393="Closed"),"",IF(TODAY()&gt;$L393,"YES","NO"))</f>
        <v/>
      </c>
      <c r="Q393" s="30">
        <f>Weekly_Inspections!$AW393</f>
        <v/>
      </c>
    </row>
    <row r="394" ht="15" customHeight="1" s="45">
      <c r="A394" s="28">
        <f>IF(Weekly_Inspections!$B394="","",Weekly_Inspections!$A394&amp;"-A1")</f>
        <v/>
      </c>
      <c r="B394" s="46">
        <f>Weekly_Inspections!$B394</f>
        <v/>
      </c>
      <c r="C394" s="30">
        <f>Weekly_Inspections!$E394</f>
        <v/>
      </c>
      <c r="D394" s="30">
        <f>Weekly_Inspections!$F394</f>
        <v/>
      </c>
      <c r="E394" s="28">
        <f>Weekly_Inspections!$H394</f>
        <v/>
      </c>
      <c r="F394" s="30">
        <f>IF(Weekly_Inspections!$AX394&lt;&gt;"",Weekly_Inspections!$AX394,IF(Weekly_Inspections!$AY394&lt;&gt;"",Weekly_Inspections!$AY394,IF(Weekly_Inspections!$AZ394&lt;&gt;"",Weekly_Inspections!$AZ394,IF(Weekly_Inspections!$BA394&lt;&gt;"",Weekly_Inspections!$BA394,IF(Weekly_Inspections!$BB394&lt;&gt;"",Weekly_Inspections!$BB394,Weekly_Inspections!$R394)))))</f>
        <v/>
      </c>
      <c r="G394" s="30">
        <f>IF(OR(Weekly_Inspections!$AQ394&lt;&gt;"",Weekly_Inspections!$AR394&lt;&gt;"",Weekly_Inspections!$AS394&lt;&gt;""),Weekly_Inspections!$AQ394,"")</f>
        <v/>
      </c>
      <c r="H394" s="30">
        <f>Weekly_Inspections!$AP394</f>
        <v/>
      </c>
      <c r="I394" s="30">
        <f>Weekly_Inspections!$AR394</f>
        <v/>
      </c>
      <c r="J394" s="30">
        <f>Weekly_Inspections!$AS394</f>
        <v/>
      </c>
      <c r="K394" s="30">
        <f>Weekly_Inspections!$AU394</f>
        <v/>
      </c>
      <c r="L394" s="46">
        <f>Weekly_Inspections!$AV394</f>
        <v/>
      </c>
      <c r="M394" s="30">
        <f>IF($B394="","",IF($N394&lt;&gt;"","Closed",IF(OR($G394&lt;&gt;"",$I394&lt;&gt;"",$J394&lt;&gt;""),"Open","")))</f>
        <v/>
      </c>
      <c r="N394" s="46" t="n"/>
      <c r="O394" s="28">
        <f>IF($B394="","",IF($M394="Closed",IF($N394="","",$N394-$B394),TODAY()-$B394))</f>
        <v/>
      </c>
      <c r="P394" s="28">
        <f>IF(OR($B394="",$L394="",$M394="Closed"),"",IF(TODAY()&gt;$L394,"YES","NO"))</f>
        <v/>
      </c>
      <c r="Q394" s="30">
        <f>Weekly_Inspections!$AW394</f>
        <v/>
      </c>
    </row>
    <row r="395" ht="15" customHeight="1" s="45">
      <c r="A395" s="28">
        <f>IF(Weekly_Inspections!$B395="","",Weekly_Inspections!$A395&amp;"-A1")</f>
        <v/>
      </c>
      <c r="B395" s="46">
        <f>Weekly_Inspections!$B395</f>
        <v/>
      </c>
      <c r="C395" s="30">
        <f>Weekly_Inspections!$E395</f>
        <v/>
      </c>
      <c r="D395" s="30">
        <f>Weekly_Inspections!$F395</f>
        <v/>
      </c>
      <c r="E395" s="28">
        <f>Weekly_Inspections!$H395</f>
        <v/>
      </c>
      <c r="F395" s="30">
        <f>IF(Weekly_Inspections!$AX395&lt;&gt;"",Weekly_Inspections!$AX395,IF(Weekly_Inspections!$AY395&lt;&gt;"",Weekly_Inspections!$AY395,IF(Weekly_Inspections!$AZ395&lt;&gt;"",Weekly_Inspections!$AZ395,IF(Weekly_Inspections!$BA395&lt;&gt;"",Weekly_Inspections!$BA395,IF(Weekly_Inspections!$BB395&lt;&gt;"",Weekly_Inspections!$BB395,Weekly_Inspections!$R395)))))</f>
        <v/>
      </c>
      <c r="G395" s="30">
        <f>IF(OR(Weekly_Inspections!$AQ395&lt;&gt;"",Weekly_Inspections!$AR395&lt;&gt;"",Weekly_Inspections!$AS395&lt;&gt;""),Weekly_Inspections!$AQ395,"")</f>
        <v/>
      </c>
      <c r="H395" s="30">
        <f>Weekly_Inspections!$AP395</f>
        <v/>
      </c>
      <c r="I395" s="30">
        <f>Weekly_Inspections!$AR395</f>
        <v/>
      </c>
      <c r="J395" s="30">
        <f>Weekly_Inspections!$AS395</f>
        <v/>
      </c>
      <c r="K395" s="30">
        <f>Weekly_Inspections!$AU395</f>
        <v/>
      </c>
      <c r="L395" s="46">
        <f>Weekly_Inspections!$AV395</f>
        <v/>
      </c>
      <c r="M395" s="30">
        <f>IF($B395="","",IF($N395&lt;&gt;"","Closed",IF(OR($G395&lt;&gt;"",$I395&lt;&gt;"",$J395&lt;&gt;""),"Open","")))</f>
        <v/>
      </c>
      <c r="N395" s="46" t="n"/>
      <c r="O395" s="28">
        <f>IF($B395="","",IF($M395="Closed",IF($N395="","",$N395-$B395),TODAY()-$B395))</f>
        <v/>
      </c>
      <c r="P395" s="28">
        <f>IF(OR($B395="",$L395="",$M395="Closed"),"",IF(TODAY()&gt;$L395,"YES","NO"))</f>
        <v/>
      </c>
      <c r="Q395" s="30">
        <f>Weekly_Inspections!$AW395</f>
        <v/>
      </c>
    </row>
    <row r="396" ht="15" customHeight="1" s="45">
      <c r="A396" s="28">
        <f>IF(Weekly_Inspections!$B396="","",Weekly_Inspections!$A396&amp;"-A1")</f>
        <v/>
      </c>
      <c r="B396" s="46">
        <f>Weekly_Inspections!$B396</f>
        <v/>
      </c>
      <c r="C396" s="30">
        <f>Weekly_Inspections!$E396</f>
        <v/>
      </c>
      <c r="D396" s="30">
        <f>Weekly_Inspections!$F396</f>
        <v/>
      </c>
      <c r="E396" s="28">
        <f>Weekly_Inspections!$H396</f>
        <v/>
      </c>
      <c r="F396" s="30">
        <f>IF(Weekly_Inspections!$AX396&lt;&gt;"",Weekly_Inspections!$AX396,IF(Weekly_Inspections!$AY396&lt;&gt;"",Weekly_Inspections!$AY396,IF(Weekly_Inspections!$AZ396&lt;&gt;"",Weekly_Inspections!$AZ396,IF(Weekly_Inspections!$BA396&lt;&gt;"",Weekly_Inspections!$BA396,IF(Weekly_Inspections!$BB396&lt;&gt;"",Weekly_Inspections!$BB396,Weekly_Inspections!$R396)))))</f>
        <v/>
      </c>
      <c r="G396" s="30">
        <f>IF(OR(Weekly_Inspections!$AQ396&lt;&gt;"",Weekly_Inspections!$AR396&lt;&gt;"",Weekly_Inspections!$AS396&lt;&gt;""),Weekly_Inspections!$AQ396,"")</f>
        <v/>
      </c>
      <c r="H396" s="30">
        <f>Weekly_Inspections!$AP396</f>
        <v/>
      </c>
      <c r="I396" s="30">
        <f>Weekly_Inspections!$AR396</f>
        <v/>
      </c>
      <c r="J396" s="30">
        <f>Weekly_Inspections!$AS396</f>
        <v/>
      </c>
      <c r="K396" s="30">
        <f>Weekly_Inspections!$AU396</f>
        <v/>
      </c>
      <c r="L396" s="46">
        <f>Weekly_Inspections!$AV396</f>
        <v/>
      </c>
      <c r="M396" s="30">
        <f>IF($B396="","",IF($N396&lt;&gt;"","Closed",IF(OR($G396&lt;&gt;"",$I396&lt;&gt;"",$J396&lt;&gt;""),"Open","")))</f>
        <v/>
      </c>
      <c r="N396" s="46" t="n"/>
      <c r="O396" s="28">
        <f>IF($B396="","",IF($M396="Closed",IF($N396="","",$N396-$B396),TODAY()-$B396))</f>
        <v/>
      </c>
      <c r="P396" s="28">
        <f>IF(OR($B396="",$L396="",$M396="Closed"),"",IF(TODAY()&gt;$L396,"YES","NO"))</f>
        <v/>
      </c>
      <c r="Q396" s="30">
        <f>Weekly_Inspections!$AW396</f>
        <v/>
      </c>
    </row>
    <row r="397" ht="15" customHeight="1" s="45">
      <c r="A397" s="28">
        <f>IF(Weekly_Inspections!$B397="","",Weekly_Inspections!$A397&amp;"-A1")</f>
        <v/>
      </c>
      <c r="B397" s="46">
        <f>Weekly_Inspections!$B397</f>
        <v/>
      </c>
      <c r="C397" s="30">
        <f>Weekly_Inspections!$E397</f>
        <v/>
      </c>
      <c r="D397" s="30">
        <f>Weekly_Inspections!$F397</f>
        <v/>
      </c>
      <c r="E397" s="28">
        <f>Weekly_Inspections!$H397</f>
        <v/>
      </c>
      <c r="F397" s="30">
        <f>IF(Weekly_Inspections!$AX397&lt;&gt;"",Weekly_Inspections!$AX397,IF(Weekly_Inspections!$AY397&lt;&gt;"",Weekly_Inspections!$AY397,IF(Weekly_Inspections!$AZ397&lt;&gt;"",Weekly_Inspections!$AZ397,IF(Weekly_Inspections!$BA397&lt;&gt;"",Weekly_Inspections!$BA397,IF(Weekly_Inspections!$BB397&lt;&gt;"",Weekly_Inspections!$BB397,Weekly_Inspections!$R397)))))</f>
        <v/>
      </c>
      <c r="G397" s="30">
        <f>IF(OR(Weekly_Inspections!$AQ397&lt;&gt;"",Weekly_Inspections!$AR397&lt;&gt;"",Weekly_Inspections!$AS397&lt;&gt;""),Weekly_Inspections!$AQ397,"")</f>
        <v/>
      </c>
      <c r="H397" s="30">
        <f>Weekly_Inspections!$AP397</f>
        <v/>
      </c>
      <c r="I397" s="30">
        <f>Weekly_Inspections!$AR397</f>
        <v/>
      </c>
      <c r="J397" s="30">
        <f>Weekly_Inspections!$AS397</f>
        <v/>
      </c>
      <c r="K397" s="30">
        <f>Weekly_Inspections!$AU397</f>
        <v/>
      </c>
      <c r="L397" s="46">
        <f>Weekly_Inspections!$AV397</f>
        <v/>
      </c>
      <c r="M397" s="30">
        <f>IF($B397="","",IF($N397&lt;&gt;"","Closed",IF(OR($G397&lt;&gt;"",$I397&lt;&gt;"",$J397&lt;&gt;""),"Open","")))</f>
        <v/>
      </c>
      <c r="N397" s="46" t="n"/>
      <c r="O397" s="28">
        <f>IF($B397="","",IF($M397="Closed",IF($N397="","",$N397-$B397),TODAY()-$B397))</f>
        <v/>
      </c>
      <c r="P397" s="28">
        <f>IF(OR($B397="",$L397="",$M397="Closed"),"",IF(TODAY()&gt;$L397,"YES","NO"))</f>
        <v/>
      </c>
      <c r="Q397" s="30">
        <f>Weekly_Inspections!$AW397</f>
        <v/>
      </c>
    </row>
    <row r="398" ht="15" customHeight="1" s="45">
      <c r="A398" s="28">
        <f>IF(Weekly_Inspections!$B398="","",Weekly_Inspections!$A398&amp;"-A1")</f>
        <v/>
      </c>
      <c r="B398" s="46">
        <f>Weekly_Inspections!$B398</f>
        <v/>
      </c>
      <c r="C398" s="30">
        <f>Weekly_Inspections!$E398</f>
        <v/>
      </c>
      <c r="D398" s="30">
        <f>Weekly_Inspections!$F398</f>
        <v/>
      </c>
      <c r="E398" s="28">
        <f>Weekly_Inspections!$H398</f>
        <v/>
      </c>
      <c r="F398" s="30">
        <f>IF(Weekly_Inspections!$AX398&lt;&gt;"",Weekly_Inspections!$AX398,IF(Weekly_Inspections!$AY398&lt;&gt;"",Weekly_Inspections!$AY398,IF(Weekly_Inspections!$AZ398&lt;&gt;"",Weekly_Inspections!$AZ398,IF(Weekly_Inspections!$BA398&lt;&gt;"",Weekly_Inspections!$BA398,IF(Weekly_Inspections!$BB398&lt;&gt;"",Weekly_Inspections!$BB398,Weekly_Inspections!$R398)))))</f>
        <v/>
      </c>
      <c r="G398" s="30">
        <f>IF(OR(Weekly_Inspections!$AQ398&lt;&gt;"",Weekly_Inspections!$AR398&lt;&gt;"",Weekly_Inspections!$AS398&lt;&gt;""),Weekly_Inspections!$AQ398,"")</f>
        <v/>
      </c>
      <c r="H398" s="30">
        <f>Weekly_Inspections!$AP398</f>
        <v/>
      </c>
      <c r="I398" s="30">
        <f>Weekly_Inspections!$AR398</f>
        <v/>
      </c>
      <c r="J398" s="30">
        <f>Weekly_Inspections!$AS398</f>
        <v/>
      </c>
      <c r="K398" s="30">
        <f>Weekly_Inspections!$AU398</f>
        <v/>
      </c>
      <c r="L398" s="46">
        <f>Weekly_Inspections!$AV398</f>
        <v/>
      </c>
      <c r="M398" s="30">
        <f>IF($B398="","",IF($N398&lt;&gt;"","Closed",IF(OR($G398&lt;&gt;"",$I398&lt;&gt;"",$J398&lt;&gt;""),"Open","")))</f>
        <v/>
      </c>
      <c r="N398" s="46" t="n"/>
      <c r="O398" s="28">
        <f>IF($B398="","",IF($M398="Closed",IF($N398="","",$N398-$B398),TODAY()-$B398))</f>
        <v/>
      </c>
      <c r="P398" s="28">
        <f>IF(OR($B398="",$L398="",$M398="Closed"),"",IF(TODAY()&gt;$L398,"YES","NO"))</f>
        <v/>
      </c>
      <c r="Q398" s="30">
        <f>Weekly_Inspections!$AW398</f>
        <v/>
      </c>
    </row>
    <row r="399" ht="15" customHeight="1" s="45">
      <c r="A399" s="28">
        <f>IF(Weekly_Inspections!$B399="","",Weekly_Inspections!$A399&amp;"-A1")</f>
        <v/>
      </c>
      <c r="B399" s="46">
        <f>Weekly_Inspections!$B399</f>
        <v/>
      </c>
      <c r="C399" s="30">
        <f>Weekly_Inspections!$E399</f>
        <v/>
      </c>
      <c r="D399" s="30">
        <f>Weekly_Inspections!$F399</f>
        <v/>
      </c>
      <c r="E399" s="28">
        <f>Weekly_Inspections!$H399</f>
        <v/>
      </c>
      <c r="F399" s="30">
        <f>IF(Weekly_Inspections!$AX399&lt;&gt;"",Weekly_Inspections!$AX399,IF(Weekly_Inspections!$AY399&lt;&gt;"",Weekly_Inspections!$AY399,IF(Weekly_Inspections!$AZ399&lt;&gt;"",Weekly_Inspections!$AZ399,IF(Weekly_Inspections!$BA399&lt;&gt;"",Weekly_Inspections!$BA399,IF(Weekly_Inspections!$BB399&lt;&gt;"",Weekly_Inspections!$BB399,Weekly_Inspections!$R399)))))</f>
        <v/>
      </c>
      <c r="G399" s="30">
        <f>IF(OR(Weekly_Inspections!$AQ399&lt;&gt;"",Weekly_Inspections!$AR399&lt;&gt;"",Weekly_Inspections!$AS399&lt;&gt;""),Weekly_Inspections!$AQ399,"")</f>
        <v/>
      </c>
      <c r="H399" s="30">
        <f>Weekly_Inspections!$AP399</f>
        <v/>
      </c>
      <c r="I399" s="30">
        <f>Weekly_Inspections!$AR399</f>
        <v/>
      </c>
      <c r="J399" s="30">
        <f>Weekly_Inspections!$AS399</f>
        <v/>
      </c>
      <c r="K399" s="30">
        <f>Weekly_Inspections!$AU399</f>
        <v/>
      </c>
      <c r="L399" s="46">
        <f>Weekly_Inspections!$AV399</f>
        <v/>
      </c>
      <c r="M399" s="30">
        <f>IF($B399="","",IF($N399&lt;&gt;"","Closed",IF(OR($G399&lt;&gt;"",$I399&lt;&gt;"",$J399&lt;&gt;""),"Open","")))</f>
        <v/>
      </c>
      <c r="N399" s="46" t="n"/>
      <c r="O399" s="28">
        <f>IF($B399="","",IF($M399="Closed",IF($N399="","",$N399-$B399),TODAY()-$B399))</f>
        <v/>
      </c>
      <c r="P399" s="28">
        <f>IF(OR($B399="",$L399="",$M399="Closed"),"",IF(TODAY()&gt;$L399,"YES","NO"))</f>
        <v/>
      </c>
      <c r="Q399" s="30">
        <f>Weekly_Inspections!$AW399</f>
        <v/>
      </c>
    </row>
    <row r="400" ht="15" customHeight="1" s="45">
      <c r="A400" s="28">
        <f>IF(Weekly_Inspections!$B400="","",Weekly_Inspections!$A400&amp;"-A1")</f>
        <v/>
      </c>
      <c r="B400" s="46">
        <f>Weekly_Inspections!$B400</f>
        <v/>
      </c>
      <c r="C400" s="30">
        <f>Weekly_Inspections!$E400</f>
        <v/>
      </c>
      <c r="D400" s="30">
        <f>Weekly_Inspections!$F400</f>
        <v/>
      </c>
      <c r="E400" s="28">
        <f>Weekly_Inspections!$H400</f>
        <v/>
      </c>
      <c r="F400" s="30">
        <f>IF(Weekly_Inspections!$AX400&lt;&gt;"",Weekly_Inspections!$AX400,IF(Weekly_Inspections!$AY400&lt;&gt;"",Weekly_Inspections!$AY400,IF(Weekly_Inspections!$AZ400&lt;&gt;"",Weekly_Inspections!$AZ400,IF(Weekly_Inspections!$BA400&lt;&gt;"",Weekly_Inspections!$BA400,IF(Weekly_Inspections!$BB400&lt;&gt;"",Weekly_Inspections!$BB400,Weekly_Inspections!$R400)))))</f>
        <v/>
      </c>
      <c r="G400" s="30">
        <f>IF(OR(Weekly_Inspections!$AQ400&lt;&gt;"",Weekly_Inspections!$AR400&lt;&gt;"",Weekly_Inspections!$AS400&lt;&gt;""),Weekly_Inspections!$AQ400,"")</f>
        <v/>
      </c>
      <c r="H400" s="30">
        <f>Weekly_Inspections!$AP400</f>
        <v/>
      </c>
      <c r="I400" s="30">
        <f>Weekly_Inspections!$AR400</f>
        <v/>
      </c>
      <c r="J400" s="30">
        <f>Weekly_Inspections!$AS400</f>
        <v/>
      </c>
      <c r="K400" s="30">
        <f>Weekly_Inspections!$AU400</f>
        <v/>
      </c>
      <c r="L400" s="46">
        <f>Weekly_Inspections!$AV400</f>
        <v/>
      </c>
      <c r="M400" s="30">
        <f>IF($B400="","",IF($N400&lt;&gt;"","Closed",IF(OR($G400&lt;&gt;"",$I400&lt;&gt;"",$J400&lt;&gt;""),"Open","")))</f>
        <v/>
      </c>
      <c r="N400" s="46" t="n"/>
      <c r="O400" s="28">
        <f>IF($B400="","",IF($M400="Closed",IF($N400="","",$N400-$B400),TODAY()-$B400))</f>
        <v/>
      </c>
      <c r="P400" s="28">
        <f>IF(OR($B400="",$L400="",$M400="Closed"),"",IF(TODAY()&gt;$L400,"YES","NO"))</f>
        <v/>
      </c>
      <c r="Q400" s="30">
        <f>Weekly_Inspections!$AW400</f>
        <v/>
      </c>
    </row>
    <row r="401" ht="15" customHeight="1" s="45">
      <c r="A401" s="28">
        <f>IF(Weekly_Inspections!$B401="","",Weekly_Inspections!$A401&amp;"-A1")</f>
        <v/>
      </c>
      <c r="B401" s="46">
        <f>Weekly_Inspections!$B401</f>
        <v/>
      </c>
      <c r="C401" s="30">
        <f>Weekly_Inspections!$E401</f>
        <v/>
      </c>
      <c r="D401" s="30">
        <f>Weekly_Inspections!$F401</f>
        <v/>
      </c>
      <c r="E401" s="28">
        <f>Weekly_Inspections!$H401</f>
        <v/>
      </c>
      <c r="F401" s="30">
        <f>IF(Weekly_Inspections!$AX401&lt;&gt;"",Weekly_Inspections!$AX401,IF(Weekly_Inspections!$AY401&lt;&gt;"",Weekly_Inspections!$AY401,IF(Weekly_Inspections!$AZ401&lt;&gt;"",Weekly_Inspections!$AZ401,IF(Weekly_Inspections!$BA401&lt;&gt;"",Weekly_Inspections!$BA401,IF(Weekly_Inspections!$BB401&lt;&gt;"",Weekly_Inspections!$BB401,Weekly_Inspections!$R401)))))</f>
        <v/>
      </c>
      <c r="G401" s="30">
        <f>IF(OR(Weekly_Inspections!$AQ401&lt;&gt;"",Weekly_Inspections!$AR401&lt;&gt;"",Weekly_Inspections!$AS401&lt;&gt;""),Weekly_Inspections!$AQ401,"")</f>
        <v/>
      </c>
      <c r="H401" s="30">
        <f>Weekly_Inspections!$AP401</f>
        <v/>
      </c>
      <c r="I401" s="30">
        <f>Weekly_Inspections!$AR401</f>
        <v/>
      </c>
      <c r="J401" s="30">
        <f>Weekly_Inspections!$AS401</f>
        <v/>
      </c>
      <c r="K401" s="30">
        <f>Weekly_Inspections!$AU401</f>
        <v/>
      </c>
      <c r="L401" s="46">
        <f>Weekly_Inspections!$AV401</f>
        <v/>
      </c>
      <c r="M401" s="30">
        <f>IF($B401="","",IF($N401&lt;&gt;"","Closed",IF(OR($G401&lt;&gt;"",$I401&lt;&gt;"",$J401&lt;&gt;""),"Open","")))</f>
        <v/>
      </c>
      <c r="N401" s="46" t="n"/>
      <c r="O401" s="28">
        <f>IF($B401="","",IF($M401="Closed",IF($N401="","",$N401-$B401),TODAY()-$B401))</f>
        <v/>
      </c>
      <c r="P401" s="28">
        <f>IF(OR($B401="",$L401="",$M401="Closed"),"",IF(TODAY()&gt;$L401,"YES","NO"))</f>
        <v/>
      </c>
      <c r="Q401" s="30">
        <f>Weekly_Inspections!$AW401</f>
        <v/>
      </c>
    </row>
    <row r="402" ht="15" customHeight="1" s="45">
      <c r="A402" s="28">
        <f>IF(Weekly_Inspections!$B402="","",Weekly_Inspections!$A402&amp;"-A1")</f>
        <v/>
      </c>
      <c r="B402" s="46">
        <f>Weekly_Inspections!$B402</f>
        <v/>
      </c>
      <c r="C402" s="30">
        <f>Weekly_Inspections!$E402</f>
        <v/>
      </c>
      <c r="D402" s="30">
        <f>Weekly_Inspections!$F402</f>
        <v/>
      </c>
      <c r="E402" s="28">
        <f>Weekly_Inspections!$H402</f>
        <v/>
      </c>
      <c r="F402" s="30">
        <f>IF(Weekly_Inspections!$AX402&lt;&gt;"",Weekly_Inspections!$AX402,IF(Weekly_Inspections!$AY402&lt;&gt;"",Weekly_Inspections!$AY402,IF(Weekly_Inspections!$AZ402&lt;&gt;"",Weekly_Inspections!$AZ402,IF(Weekly_Inspections!$BA402&lt;&gt;"",Weekly_Inspections!$BA402,IF(Weekly_Inspections!$BB402&lt;&gt;"",Weekly_Inspections!$BB402,Weekly_Inspections!$R402)))))</f>
        <v/>
      </c>
      <c r="G402" s="30">
        <f>IF(OR(Weekly_Inspections!$AQ402&lt;&gt;"",Weekly_Inspections!$AR402&lt;&gt;"",Weekly_Inspections!$AS402&lt;&gt;""),Weekly_Inspections!$AQ402,"")</f>
        <v/>
      </c>
      <c r="H402" s="30">
        <f>Weekly_Inspections!$AP402</f>
        <v/>
      </c>
      <c r="I402" s="30">
        <f>Weekly_Inspections!$AR402</f>
        <v/>
      </c>
      <c r="J402" s="30">
        <f>Weekly_Inspections!$AS402</f>
        <v/>
      </c>
      <c r="K402" s="30">
        <f>Weekly_Inspections!$AU402</f>
        <v/>
      </c>
      <c r="L402" s="46">
        <f>Weekly_Inspections!$AV402</f>
        <v/>
      </c>
      <c r="M402" s="30">
        <f>IF($B402="","",IF($N402&lt;&gt;"","Closed",IF(OR($G402&lt;&gt;"",$I402&lt;&gt;"",$J402&lt;&gt;""),"Open","")))</f>
        <v/>
      </c>
      <c r="N402" s="46" t="n"/>
      <c r="O402" s="28">
        <f>IF($B402="","",IF($M402="Closed",IF($N402="","",$N402-$B402),TODAY()-$B402))</f>
        <v/>
      </c>
      <c r="P402" s="28">
        <f>IF(OR($B402="",$L402="",$M402="Closed"),"",IF(TODAY()&gt;$L402,"YES","NO"))</f>
        <v/>
      </c>
      <c r="Q402" s="30">
        <f>Weekly_Inspections!$AW402</f>
        <v/>
      </c>
    </row>
    <row r="403" ht="15" customHeight="1" s="45">
      <c r="A403" s="28">
        <f>IF(Weekly_Inspections!$B403="","",Weekly_Inspections!$A403&amp;"-A1")</f>
        <v/>
      </c>
      <c r="B403" s="46">
        <f>Weekly_Inspections!$B403</f>
        <v/>
      </c>
      <c r="C403" s="30">
        <f>Weekly_Inspections!$E403</f>
        <v/>
      </c>
      <c r="D403" s="30">
        <f>Weekly_Inspections!$F403</f>
        <v/>
      </c>
      <c r="E403" s="28">
        <f>Weekly_Inspections!$H403</f>
        <v/>
      </c>
      <c r="F403" s="30">
        <f>IF(Weekly_Inspections!$AX403&lt;&gt;"",Weekly_Inspections!$AX403,IF(Weekly_Inspections!$AY403&lt;&gt;"",Weekly_Inspections!$AY403,IF(Weekly_Inspections!$AZ403&lt;&gt;"",Weekly_Inspections!$AZ403,IF(Weekly_Inspections!$BA403&lt;&gt;"",Weekly_Inspections!$BA403,IF(Weekly_Inspections!$BB403&lt;&gt;"",Weekly_Inspections!$BB403,Weekly_Inspections!$R403)))))</f>
        <v/>
      </c>
      <c r="G403" s="30">
        <f>IF(OR(Weekly_Inspections!$AQ403&lt;&gt;"",Weekly_Inspections!$AR403&lt;&gt;"",Weekly_Inspections!$AS403&lt;&gt;""),Weekly_Inspections!$AQ403,"")</f>
        <v/>
      </c>
      <c r="H403" s="30">
        <f>Weekly_Inspections!$AP403</f>
        <v/>
      </c>
      <c r="I403" s="30">
        <f>Weekly_Inspections!$AR403</f>
        <v/>
      </c>
      <c r="J403" s="30">
        <f>Weekly_Inspections!$AS403</f>
        <v/>
      </c>
      <c r="K403" s="30">
        <f>Weekly_Inspections!$AU403</f>
        <v/>
      </c>
      <c r="L403" s="46">
        <f>Weekly_Inspections!$AV403</f>
        <v/>
      </c>
      <c r="M403" s="30">
        <f>IF($B403="","",IF($N403&lt;&gt;"","Closed",IF(OR($G403&lt;&gt;"",$I403&lt;&gt;"",$J403&lt;&gt;""),"Open","")))</f>
        <v/>
      </c>
      <c r="N403" s="46" t="n"/>
      <c r="O403" s="28">
        <f>IF($B403="","",IF($M403="Closed",IF($N403="","",$N403-$B403),TODAY()-$B403))</f>
        <v/>
      </c>
      <c r="P403" s="28">
        <f>IF(OR($B403="",$L403="",$M403="Closed"),"",IF(TODAY()&gt;$L403,"YES","NO"))</f>
        <v/>
      </c>
      <c r="Q403" s="30">
        <f>Weekly_Inspections!$AW403</f>
        <v/>
      </c>
    </row>
    <row r="404" ht="15" customHeight="1" s="45">
      <c r="A404" s="28">
        <f>IF(Weekly_Inspections!$B404="","",Weekly_Inspections!$A404&amp;"-A1")</f>
        <v/>
      </c>
      <c r="B404" s="46">
        <f>Weekly_Inspections!$B404</f>
        <v/>
      </c>
      <c r="C404" s="30">
        <f>Weekly_Inspections!$E404</f>
        <v/>
      </c>
      <c r="D404" s="30">
        <f>Weekly_Inspections!$F404</f>
        <v/>
      </c>
      <c r="E404" s="28">
        <f>Weekly_Inspections!$H404</f>
        <v/>
      </c>
      <c r="F404" s="30">
        <f>IF(Weekly_Inspections!$AX404&lt;&gt;"",Weekly_Inspections!$AX404,IF(Weekly_Inspections!$AY404&lt;&gt;"",Weekly_Inspections!$AY404,IF(Weekly_Inspections!$AZ404&lt;&gt;"",Weekly_Inspections!$AZ404,IF(Weekly_Inspections!$BA404&lt;&gt;"",Weekly_Inspections!$BA404,IF(Weekly_Inspections!$BB404&lt;&gt;"",Weekly_Inspections!$BB404,Weekly_Inspections!$R404)))))</f>
        <v/>
      </c>
      <c r="G404" s="30">
        <f>IF(OR(Weekly_Inspections!$AQ404&lt;&gt;"",Weekly_Inspections!$AR404&lt;&gt;"",Weekly_Inspections!$AS404&lt;&gt;""),Weekly_Inspections!$AQ404,"")</f>
        <v/>
      </c>
      <c r="H404" s="30">
        <f>Weekly_Inspections!$AP404</f>
        <v/>
      </c>
      <c r="I404" s="30">
        <f>Weekly_Inspections!$AR404</f>
        <v/>
      </c>
      <c r="J404" s="30">
        <f>Weekly_Inspections!$AS404</f>
        <v/>
      </c>
      <c r="K404" s="30">
        <f>Weekly_Inspections!$AU404</f>
        <v/>
      </c>
      <c r="L404" s="46">
        <f>Weekly_Inspections!$AV404</f>
        <v/>
      </c>
      <c r="M404" s="30">
        <f>IF($B404="","",IF($N404&lt;&gt;"","Closed",IF(OR($G404&lt;&gt;"",$I404&lt;&gt;"",$J404&lt;&gt;""),"Open","")))</f>
        <v/>
      </c>
      <c r="N404" s="46" t="n"/>
      <c r="O404" s="28">
        <f>IF($B404="","",IF($M404="Closed",IF($N404="","",$N404-$B404),TODAY()-$B404))</f>
        <v/>
      </c>
      <c r="P404" s="28">
        <f>IF(OR($B404="",$L404="",$M404="Closed"),"",IF(TODAY()&gt;$L404,"YES","NO"))</f>
        <v/>
      </c>
      <c r="Q404" s="30">
        <f>Weekly_Inspections!$AW404</f>
        <v/>
      </c>
    </row>
    <row r="405" ht="15" customHeight="1" s="45">
      <c r="A405" s="28">
        <f>IF(Weekly_Inspections!$B405="","",Weekly_Inspections!$A405&amp;"-A1")</f>
        <v/>
      </c>
      <c r="B405" s="46">
        <f>Weekly_Inspections!$B405</f>
        <v/>
      </c>
      <c r="C405" s="30">
        <f>Weekly_Inspections!$E405</f>
        <v/>
      </c>
      <c r="D405" s="30">
        <f>Weekly_Inspections!$F405</f>
        <v/>
      </c>
      <c r="E405" s="28">
        <f>Weekly_Inspections!$H405</f>
        <v/>
      </c>
      <c r="F405" s="30">
        <f>IF(Weekly_Inspections!$AX405&lt;&gt;"",Weekly_Inspections!$AX405,IF(Weekly_Inspections!$AY405&lt;&gt;"",Weekly_Inspections!$AY405,IF(Weekly_Inspections!$AZ405&lt;&gt;"",Weekly_Inspections!$AZ405,IF(Weekly_Inspections!$BA405&lt;&gt;"",Weekly_Inspections!$BA405,IF(Weekly_Inspections!$BB405&lt;&gt;"",Weekly_Inspections!$BB405,Weekly_Inspections!$R405)))))</f>
        <v/>
      </c>
      <c r="G405" s="30">
        <f>IF(OR(Weekly_Inspections!$AQ405&lt;&gt;"",Weekly_Inspections!$AR405&lt;&gt;"",Weekly_Inspections!$AS405&lt;&gt;""),Weekly_Inspections!$AQ405,"")</f>
        <v/>
      </c>
      <c r="H405" s="30">
        <f>Weekly_Inspections!$AP405</f>
        <v/>
      </c>
      <c r="I405" s="30">
        <f>Weekly_Inspections!$AR405</f>
        <v/>
      </c>
      <c r="J405" s="30">
        <f>Weekly_Inspections!$AS405</f>
        <v/>
      </c>
      <c r="K405" s="30">
        <f>Weekly_Inspections!$AU405</f>
        <v/>
      </c>
      <c r="L405" s="46">
        <f>Weekly_Inspections!$AV405</f>
        <v/>
      </c>
      <c r="M405" s="30">
        <f>IF($B405="","",IF($N405&lt;&gt;"","Closed",IF(OR($G405&lt;&gt;"",$I405&lt;&gt;"",$J405&lt;&gt;""),"Open","")))</f>
        <v/>
      </c>
      <c r="N405" s="46" t="n"/>
      <c r="O405" s="28">
        <f>IF($B405="","",IF($M405="Closed",IF($N405="","",$N405-$B405),TODAY()-$B405))</f>
        <v/>
      </c>
      <c r="P405" s="28">
        <f>IF(OR($B405="",$L405="",$M405="Closed"),"",IF(TODAY()&gt;$L405,"YES","NO"))</f>
        <v/>
      </c>
      <c r="Q405" s="30">
        <f>Weekly_Inspections!$AW405</f>
        <v/>
      </c>
    </row>
    <row r="406" ht="15" customHeight="1" s="45">
      <c r="A406" s="28">
        <f>IF(Weekly_Inspections!$B406="","",Weekly_Inspections!$A406&amp;"-A1")</f>
        <v/>
      </c>
      <c r="B406" s="46">
        <f>Weekly_Inspections!$B406</f>
        <v/>
      </c>
      <c r="C406" s="30">
        <f>Weekly_Inspections!$E406</f>
        <v/>
      </c>
      <c r="D406" s="30">
        <f>Weekly_Inspections!$F406</f>
        <v/>
      </c>
      <c r="E406" s="28">
        <f>Weekly_Inspections!$H406</f>
        <v/>
      </c>
      <c r="F406" s="30">
        <f>IF(Weekly_Inspections!$AX406&lt;&gt;"",Weekly_Inspections!$AX406,IF(Weekly_Inspections!$AY406&lt;&gt;"",Weekly_Inspections!$AY406,IF(Weekly_Inspections!$AZ406&lt;&gt;"",Weekly_Inspections!$AZ406,IF(Weekly_Inspections!$BA406&lt;&gt;"",Weekly_Inspections!$BA406,IF(Weekly_Inspections!$BB406&lt;&gt;"",Weekly_Inspections!$BB406,Weekly_Inspections!$R406)))))</f>
        <v/>
      </c>
      <c r="G406" s="30">
        <f>IF(OR(Weekly_Inspections!$AQ406&lt;&gt;"",Weekly_Inspections!$AR406&lt;&gt;"",Weekly_Inspections!$AS406&lt;&gt;""),Weekly_Inspections!$AQ406,"")</f>
        <v/>
      </c>
      <c r="H406" s="30">
        <f>Weekly_Inspections!$AP406</f>
        <v/>
      </c>
      <c r="I406" s="30">
        <f>Weekly_Inspections!$AR406</f>
        <v/>
      </c>
      <c r="J406" s="30">
        <f>Weekly_Inspections!$AS406</f>
        <v/>
      </c>
      <c r="K406" s="30">
        <f>Weekly_Inspections!$AU406</f>
        <v/>
      </c>
      <c r="L406" s="46">
        <f>Weekly_Inspections!$AV406</f>
        <v/>
      </c>
      <c r="M406" s="30">
        <f>IF($B406="","",IF($N406&lt;&gt;"","Closed",IF(OR($G406&lt;&gt;"",$I406&lt;&gt;"",$J406&lt;&gt;""),"Open","")))</f>
        <v/>
      </c>
      <c r="N406" s="46" t="n"/>
      <c r="O406" s="28">
        <f>IF($B406="","",IF($M406="Closed",IF($N406="","",$N406-$B406),TODAY()-$B406))</f>
        <v/>
      </c>
      <c r="P406" s="28">
        <f>IF(OR($B406="",$L406="",$M406="Closed"),"",IF(TODAY()&gt;$L406,"YES","NO"))</f>
        <v/>
      </c>
      <c r="Q406" s="30">
        <f>Weekly_Inspections!$AW406</f>
        <v/>
      </c>
    </row>
    <row r="407" ht="15" customHeight="1" s="45">
      <c r="A407" s="28">
        <f>IF(Weekly_Inspections!$B407="","",Weekly_Inspections!$A407&amp;"-A1")</f>
        <v/>
      </c>
      <c r="B407" s="46">
        <f>Weekly_Inspections!$B407</f>
        <v/>
      </c>
      <c r="C407" s="30">
        <f>Weekly_Inspections!$E407</f>
        <v/>
      </c>
      <c r="D407" s="30">
        <f>Weekly_Inspections!$F407</f>
        <v/>
      </c>
      <c r="E407" s="28">
        <f>Weekly_Inspections!$H407</f>
        <v/>
      </c>
      <c r="F407" s="30">
        <f>IF(Weekly_Inspections!$AX407&lt;&gt;"",Weekly_Inspections!$AX407,IF(Weekly_Inspections!$AY407&lt;&gt;"",Weekly_Inspections!$AY407,IF(Weekly_Inspections!$AZ407&lt;&gt;"",Weekly_Inspections!$AZ407,IF(Weekly_Inspections!$BA407&lt;&gt;"",Weekly_Inspections!$BA407,IF(Weekly_Inspections!$BB407&lt;&gt;"",Weekly_Inspections!$BB407,Weekly_Inspections!$R407)))))</f>
        <v/>
      </c>
      <c r="G407" s="30">
        <f>IF(OR(Weekly_Inspections!$AQ407&lt;&gt;"",Weekly_Inspections!$AR407&lt;&gt;"",Weekly_Inspections!$AS407&lt;&gt;""),Weekly_Inspections!$AQ407,"")</f>
        <v/>
      </c>
      <c r="H407" s="30">
        <f>Weekly_Inspections!$AP407</f>
        <v/>
      </c>
      <c r="I407" s="30">
        <f>Weekly_Inspections!$AR407</f>
        <v/>
      </c>
      <c r="J407" s="30">
        <f>Weekly_Inspections!$AS407</f>
        <v/>
      </c>
      <c r="K407" s="30">
        <f>Weekly_Inspections!$AU407</f>
        <v/>
      </c>
      <c r="L407" s="46">
        <f>Weekly_Inspections!$AV407</f>
        <v/>
      </c>
      <c r="M407" s="30">
        <f>IF($B407="","",IF($N407&lt;&gt;"","Closed",IF(OR($G407&lt;&gt;"",$I407&lt;&gt;"",$J407&lt;&gt;""),"Open","")))</f>
        <v/>
      </c>
      <c r="N407" s="46" t="n"/>
      <c r="O407" s="28">
        <f>IF($B407="","",IF($M407="Closed",IF($N407="","",$N407-$B407),TODAY()-$B407))</f>
        <v/>
      </c>
      <c r="P407" s="28">
        <f>IF(OR($B407="",$L407="",$M407="Closed"),"",IF(TODAY()&gt;$L407,"YES","NO"))</f>
        <v/>
      </c>
      <c r="Q407" s="30">
        <f>Weekly_Inspections!$AW407</f>
        <v/>
      </c>
    </row>
    <row r="408" ht="15" customHeight="1" s="45">
      <c r="A408" s="28">
        <f>IF(Weekly_Inspections!$B408="","",Weekly_Inspections!$A408&amp;"-A1")</f>
        <v/>
      </c>
      <c r="B408" s="46">
        <f>Weekly_Inspections!$B408</f>
        <v/>
      </c>
      <c r="C408" s="30">
        <f>Weekly_Inspections!$E408</f>
        <v/>
      </c>
      <c r="D408" s="30">
        <f>Weekly_Inspections!$F408</f>
        <v/>
      </c>
      <c r="E408" s="28">
        <f>Weekly_Inspections!$H408</f>
        <v/>
      </c>
      <c r="F408" s="30">
        <f>IF(Weekly_Inspections!$AX408&lt;&gt;"",Weekly_Inspections!$AX408,IF(Weekly_Inspections!$AY408&lt;&gt;"",Weekly_Inspections!$AY408,IF(Weekly_Inspections!$AZ408&lt;&gt;"",Weekly_Inspections!$AZ408,IF(Weekly_Inspections!$BA408&lt;&gt;"",Weekly_Inspections!$BA408,IF(Weekly_Inspections!$BB408&lt;&gt;"",Weekly_Inspections!$BB408,Weekly_Inspections!$R408)))))</f>
        <v/>
      </c>
      <c r="G408" s="30">
        <f>IF(OR(Weekly_Inspections!$AQ408&lt;&gt;"",Weekly_Inspections!$AR408&lt;&gt;"",Weekly_Inspections!$AS408&lt;&gt;""),Weekly_Inspections!$AQ408,"")</f>
        <v/>
      </c>
      <c r="H408" s="30">
        <f>Weekly_Inspections!$AP408</f>
        <v/>
      </c>
      <c r="I408" s="30">
        <f>Weekly_Inspections!$AR408</f>
        <v/>
      </c>
      <c r="J408" s="30">
        <f>Weekly_Inspections!$AS408</f>
        <v/>
      </c>
      <c r="K408" s="30">
        <f>Weekly_Inspections!$AU408</f>
        <v/>
      </c>
      <c r="L408" s="46">
        <f>Weekly_Inspections!$AV408</f>
        <v/>
      </c>
      <c r="M408" s="30">
        <f>IF($B408="","",IF($N408&lt;&gt;"","Closed",IF(OR($G408&lt;&gt;"",$I408&lt;&gt;"",$J408&lt;&gt;""),"Open","")))</f>
        <v/>
      </c>
      <c r="N408" s="46" t="n"/>
      <c r="O408" s="28">
        <f>IF($B408="","",IF($M408="Closed",IF($N408="","",$N408-$B408),TODAY()-$B408))</f>
        <v/>
      </c>
      <c r="P408" s="28">
        <f>IF(OR($B408="",$L408="",$M408="Closed"),"",IF(TODAY()&gt;$L408,"YES","NO"))</f>
        <v/>
      </c>
      <c r="Q408" s="30">
        <f>Weekly_Inspections!$AW408</f>
        <v/>
      </c>
    </row>
    <row r="409" ht="15" customHeight="1" s="45">
      <c r="A409" s="28">
        <f>IF(Weekly_Inspections!$B409="","",Weekly_Inspections!$A409&amp;"-A1")</f>
        <v/>
      </c>
      <c r="B409" s="46">
        <f>Weekly_Inspections!$B409</f>
        <v/>
      </c>
      <c r="C409" s="30">
        <f>Weekly_Inspections!$E409</f>
        <v/>
      </c>
      <c r="D409" s="30">
        <f>Weekly_Inspections!$F409</f>
        <v/>
      </c>
      <c r="E409" s="28">
        <f>Weekly_Inspections!$H409</f>
        <v/>
      </c>
      <c r="F409" s="30">
        <f>IF(Weekly_Inspections!$AX409&lt;&gt;"",Weekly_Inspections!$AX409,IF(Weekly_Inspections!$AY409&lt;&gt;"",Weekly_Inspections!$AY409,IF(Weekly_Inspections!$AZ409&lt;&gt;"",Weekly_Inspections!$AZ409,IF(Weekly_Inspections!$BA409&lt;&gt;"",Weekly_Inspections!$BA409,IF(Weekly_Inspections!$BB409&lt;&gt;"",Weekly_Inspections!$BB409,Weekly_Inspections!$R409)))))</f>
        <v/>
      </c>
      <c r="G409" s="30">
        <f>IF(OR(Weekly_Inspections!$AQ409&lt;&gt;"",Weekly_Inspections!$AR409&lt;&gt;"",Weekly_Inspections!$AS409&lt;&gt;""),Weekly_Inspections!$AQ409,"")</f>
        <v/>
      </c>
      <c r="H409" s="30">
        <f>Weekly_Inspections!$AP409</f>
        <v/>
      </c>
      <c r="I409" s="30">
        <f>Weekly_Inspections!$AR409</f>
        <v/>
      </c>
      <c r="J409" s="30">
        <f>Weekly_Inspections!$AS409</f>
        <v/>
      </c>
      <c r="K409" s="30">
        <f>Weekly_Inspections!$AU409</f>
        <v/>
      </c>
      <c r="L409" s="46">
        <f>Weekly_Inspections!$AV409</f>
        <v/>
      </c>
      <c r="M409" s="30">
        <f>IF($B409="","",IF($N409&lt;&gt;"","Closed",IF(OR($G409&lt;&gt;"",$I409&lt;&gt;"",$J409&lt;&gt;""),"Open","")))</f>
        <v/>
      </c>
      <c r="N409" s="46" t="n"/>
      <c r="O409" s="28">
        <f>IF($B409="","",IF($M409="Closed",IF($N409="","",$N409-$B409),TODAY()-$B409))</f>
        <v/>
      </c>
      <c r="P409" s="28">
        <f>IF(OR($B409="",$L409="",$M409="Closed"),"",IF(TODAY()&gt;$L409,"YES","NO"))</f>
        <v/>
      </c>
      <c r="Q409" s="30">
        <f>Weekly_Inspections!$AW409</f>
        <v/>
      </c>
    </row>
    <row r="410" ht="15" customHeight="1" s="45">
      <c r="A410" s="28">
        <f>IF(Weekly_Inspections!$B410="","",Weekly_Inspections!$A410&amp;"-A1")</f>
        <v/>
      </c>
      <c r="B410" s="46">
        <f>Weekly_Inspections!$B410</f>
        <v/>
      </c>
      <c r="C410" s="30">
        <f>Weekly_Inspections!$E410</f>
        <v/>
      </c>
      <c r="D410" s="30">
        <f>Weekly_Inspections!$F410</f>
        <v/>
      </c>
      <c r="E410" s="28">
        <f>Weekly_Inspections!$H410</f>
        <v/>
      </c>
      <c r="F410" s="30">
        <f>IF(Weekly_Inspections!$AX410&lt;&gt;"",Weekly_Inspections!$AX410,IF(Weekly_Inspections!$AY410&lt;&gt;"",Weekly_Inspections!$AY410,IF(Weekly_Inspections!$AZ410&lt;&gt;"",Weekly_Inspections!$AZ410,IF(Weekly_Inspections!$BA410&lt;&gt;"",Weekly_Inspections!$BA410,IF(Weekly_Inspections!$BB410&lt;&gt;"",Weekly_Inspections!$BB410,Weekly_Inspections!$R410)))))</f>
        <v/>
      </c>
      <c r="G410" s="30">
        <f>IF(OR(Weekly_Inspections!$AQ410&lt;&gt;"",Weekly_Inspections!$AR410&lt;&gt;"",Weekly_Inspections!$AS410&lt;&gt;""),Weekly_Inspections!$AQ410,"")</f>
        <v/>
      </c>
      <c r="H410" s="30">
        <f>Weekly_Inspections!$AP410</f>
        <v/>
      </c>
      <c r="I410" s="30">
        <f>Weekly_Inspections!$AR410</f>
        <v/>
      </c>
      <c r="J410" s="30">
        <f>Weekly_Inspections!$AS410</f>
        <v/>
      </c>
      <c r="K410" s="30">
        <f>Weekly_Inspections!$AU410</f>
        <v/>
      </c>
      <c r="L410" s="46">
        <f>Weekly_Inspections!$AV410</f>
        <v/>
      </c>
      <c r="M410" s="30">
        <f>IF($B410="","",IF($N410&lt;&gt;"","Closed",IF(OR($G410&lt;&gt;"",$I410&lt;&gt;"",$J410&lt;&gt;""),"Open","")))</f>
        <v/>
      </c>
      <c r="N410" s="46" t="n"/>
      <c r="O410" s="28">
        <f>IF($B410="","",IF($M410="Closed",IF($N410="","",$N410-$B410),TODAY()-$B410))</f>
        <v/>
      </c>
      <c r="P410" s="28">
        <f>IF(OR($B410="",$L410="",$M410="Closed"),"",IF(TODAY()&gt;$L410,"YES","NO"))</f>
        <v/>
      </c>
      <c r="Q410" s="30">
        <f>Weekly_Inspections!$AW410</f>
        <v/>
      </c>
    </row>
    <row r="411" ht="15" customHeight="1" s="45">
      <c r="A411" s="28">
        <f>IF(Weekly_Inspections!$B411="","",Weekly_Inspections!$A411&amp;"-A1")</f>
        <v/>
      </c>
      <c r="B411" s="46">
        <f>Weekly_Inspections!$B411</f>
        <v/>
      </c>
      <c r="C411" s="30">
        <f>Weekly_Inspections!$E411</f>
        <v/>
      </c>
      <c r="D411" s="30">
        <f>Weekly_Inspections!$F411</f>
        <v/>
      </c>
      <c r="E411" s="28">
        <f>Weekly_Inspections!$H411</f>
        <v/>
      </c>
      <c r="F411" s="30">
        <f>IF(Weekly_Inspections!$AX411&lt;&gt;"",Weekly_Inspections!$AX411,IF(Weekly_Inspections!$AY411&lt;&gt;"",Weekly_Inspections!$AY411,IF(Weekly_Inspections!$AZ411&lt;&gt;"",Weekly_Inspections!$AZ411,IF(Weekly_Inspections!$BA411&lt;&gt;"",Weekly_Inspections!$BA411,IF(Weekly_Inspections!$BB411&lt;&gt;"",Weekly_Inspections!$BB411,Weekly_Inspections!$R411)))))</f>
        <v/>
      </c>
      <c r="G411" s="30">
        <f>IF(OR(Weekly_Inspections!$AQ411&lt;&gt;"",Weekly_Inspections!$AR411&lt;&gt;"",Weekly_Inspections!$AS411&lt;&gt;""),Weekly_Inspections!$AQ411,"")</f>
        <v/>
      </c>
      <c r="H411" s="30">
        <f>Weekly_Inspections!$AP411</f>
        <v/>
      </c>
      <c r="I411" s="30">
        <f>Weekly_Inspections!$AR411</f>
        <v/>
      </c>
      <c r="J411" s="30">
        <f>Weekly_Inspections!$AS411</f>
        <v/>
      </c>
      <c r="K411" s="30">
        <f>Weekly_Inspections!$AU411</f>
        <v/>
      </c>
      <c r="L411" s="46">
        <f>Weekly_Inspections!$AV411</f>
        <v/>
      </c>
      <c r="M411" s="30">
        <f>IF($B411="","",IF($N411&lt;&gt;"","Closed",IF(OR($G411&lt;&gt;"",$I411&lt;&gt;"",$J411&lt;&gt;""),"Open","")))</f>
        <v/>
      </c>
      <c r="N411" s="46" t="n"/>
      <c r="O411" s="28">
        <f>IF($B411="","",IF($M411="Closed",IF($N411="","",$N411-$B411),TODAY()-$B411))</f>
        <v/>
      </c>
      <c r="P411" s="28">
        <f>IF(OR($B411="",$L411="",$M411="Closed"),"",IF(TODAY()&gt;$L411,"YES","NO"))</f>
        <v/>
      </c>
      <c r="Q411" s="30">
        <f>Weekly_Inspections!$AW411</f>
        <v/>
      </c>
    </row>
    <row r="412" ht="15" customHeight="1" s="45">
      <c r="A412" s="28">
        <f>IF(Weekly_Inspections!$B412="","",Weekly_Inspections!$A412&amp;"-A1")</f>
        <v/>
      </c>
      <c r="B412" s="46">
        <f>Weekly_Inspections!$B412</f>
        <v/>
      </c>
      <c r="C412" s="30">
        <f>Weekly_Inspections!$E412</f>
        <v/>
      </c>
      <c r="D412" s="30">
        <f>Weekly_Inspections!$F412</f>
        <v/>
      </c>
      <c r="E412" s="28">
        <f>Weekly_Inspections!$H412</f>
        <v/>
      </c>
      <c r="F412" s="30">
        <f>IF(Weekly_Inspections!$AX412&lt;&gt;"",Weekly_Inspections!$AX412,IF(Weekly_Inspections!$AY412&lt;&gt;"",Weekly_Inspections!$AY412,IF(Weekly_Inspections!$AZ412&lt;&gt;"",Weekly_Inspections!$AZ412,IF(Weekly_Inspections!$BA412&lt;&gt;"",Weekly_Inspections!$BA412,IF(Weekly_Inspections!$BB412&lt;&gt;"",Weekly_Inspections!$BB412,Weekly_Inspections!$R412)))))</f>
        <v/>
      </c>
      <c r="G412" s="30">
        <f>IF(OR(Weekly_Inspections!$AQ412&lt;&gt;"",Weekly_Inspections!$AR412&lt;&gt;"",Weekly_Inspections!$AS412&lt;&gt;""),Weekly_Inspections!$AQ412,"")</f>
        <v/>
      </c>
      <c r="H412" s="30">
        <f>Weekly_Inspections!$AP412</f>
        <v/>
      </c>
      <c r="I412" s="30">
        <f>Weekly_Inspections!$AR412</f>
        <v/>
      </c>
      <c r="J412" s="30">
        <f>Weekly_Inspections!$AS412</f>
        <v/>
      </c>
      <c r="K412" s="30">
        <f>Weekly_Inspections!$AU412</f>
        <v/>
      </c>
      <c r="L412" s="46">
        <f>Weekly_Inspections!$AV412</f>
        <v/>
      </c>
      <c r="M412" s="30">
        <f>IF($B412="","",IF($N412&lt;&gt;"","Closed",IF(OR($G412&lt;&gt;"",$I412&lt;&gt;"",$J412&lt;&gt;""),"Open","")))</f>
        <v/>
      </c>
      <c r="N412" s="46" t="n"/>
      <c r="O412" s="28">
        <f>IF($B412="","",IF($M412="Closed",IF($N412="","",$N412-$B412),TODAY()-$B412))</f>
        <v/>
      </c>
      <c r="P412" s="28">
        <f>IF(OR($B412="",$L412="",$M412="Closed"),"",IF(TODAY()&gt;$L412,"YES","NO"))</f>
        <v/>
      </c>
      <c r="Q412" s="30">
        <f>Weekly_Inspections!$AW412</f>
        <v/>
      </c>
    </row>
    <row r="413" ht="15" customHeight="1" s="45">
      <c r="A413" s="28">
        <f>IF(Weekly_Inspections!$B413="","",Weekly_Inspections!$A413&amp;"-A1")</f>
        <v/>
      </c>
      <c r="B413" s="46">
        <f>Weekly_Inspections!$B413</f>
        <v/>
      </c>
      <c r="C413" s="30">
        <f>Weekly_Inspections!$E413</f>
        <v/>
      </c>
      <c r="D413" s="30">
        <f>Weekly_Inspections!$F413</f>
        <v/>
      </c>
      <c r="E413" s="28">
        <f>Weekly_Inspections!$H413</f>
        <v/>
      </c>
      <c r="F413" s="30">
        <f>IF(Weekly_Inspections!$AX413&lt;&gt;"",Weekly_Inspections!$AX413,IF(Weekly_Inspections!$AY413&lt;&gt;"",Weekly_Inspections!$AY413,IF(Weekly_Inspections!$AZ413&lt;&gt;"",Weekly_Inspections!$AZ413,IF(Weekly_Inspections!$BA413&lt;&gt;"",Weekly_Inspections!$BA413,IF(Weekly_Inspections!$BB413&lt;&gt;"",Weekly_Inspections!$BB413,Weekly_Inspections!$R413)))))</f>
        <v/>
      </c>
      <c r="G413" s="30">
        <f>IF(OR(Weekly_Inspections!$AQ413&lt;&gt;"",Weekly_Inspections!$AR413&lt;&gt;"",Weekly_Inspections!$AS413&lt;&gt;""),Weekly_Inspections!$AQ413,"")</f>
        <v/>
      </c>
      <c r="H413" s="30">
        <f>Weekly_Inspections!$AP413</f>
        <v/>
      </c>
      <c r="I413" s="30">
        <f>Weekly_Inspections!$AR413</f>
        <v/>
      </c>
      <c r="J413" s="30">
        <f>Weekly_Inspections!$AS413</f>
        <v/>
      </c>
      <c r="K413" s="30">
        <f>Weekly_Inspections!$AU413</f>
        <v/>
      </c>
      <c r="L413" s="46">
        <f>Weekly_Inspections!$AV413</f>
        <v/>
      </c>
      <c r="M413" s="30">
        <f>IF($B413="","",IF($N413&lt;&gt;"","Closed",IF(OR($G413&lt;&gt;"",$I413&lt;&gt;"",$J413&lt;&gt;""),"Open","")))</f>
        <v/>
      </c>
      <c r="N413" s="46" t="n"/>
      <c r="O413" s="28">
        <f>IF($B413="","",IF($M413="Closed",IF($N413="","",$N413-$B413),TODAY()-$B413))</f>
        <v/>
      </c>
      <c r="P413" s="28">
        <f>IF(OR($B413="",$L413="",$M413="Closed"),"",IF(TODAY()&gt;$L413,"YES","NO"))</f>
        <v/>
      </c>
      <c r="Q413" s="30">
        <f>Weekly_Inspections!$AW413</f>
        <v/>
      </c>
    </row>
    <row r="414" ht="15" customHeight="1" s="45">
      <c r="A414" s="28">
        <f>IF(Weekly_Inspections!$B414="","",Weekly_Inspections!$A414&amp;"-A1")</f>
        <v/>
      </c>
      <c r="B414" s="46">
        <f>Weekly_Inspections!$B414</f>
        <v/>
      </c>
      <c r="C414" s="30">
        <f>Weekly_Inspections!$E414</f>
        <v/>
      </c>
      <c r="D414" s="30">
        <f>Weekly_Inspections!$F414</f>
        <v/>
      </c>
      <c r="E414" s="28">
        <f>Weekly_Inspections!$H414</f>
        <v/>
      </c>
      <c r="F414" s="30">
        <f>IF(Weekly_Inspections!$AX414&lt;&gt;"",Weekly_Inspections!$AX414,IF(Weekly_Inspections!$AY414&lt;&gt;"",Weekly_Inspections!$AY414,IF(Weekly_Inspections!$AZ414&lt;&gt;"",Weekly_Inspections!$AZ414,IF(Weekly_Inspections!$BA414&lt;&gt;"",Weekly_Inspections!$BA414,IF(Weekly_Inspections!$BB414&lt;&gt;"",Weekly_Inspections!$BB414,Weekly_Inspections!$R414)))))</f>
        <v/>
      </c>
      <c r="G414" s="30">
        <f>IF(OR(Weekly_Inspections!$AQ414&lt;&gt;"",Weekly_Inspections!$AR414&lt;&gt;"",Weekly_Inspections!$AS414&lt;&gt;""),Weekly_Inspections!$AQ414,"")</f>
        <v/>
      </c>
      <c r="H414" s="30">
        <f>Weekly_Inspections!$AP414</f>
        <v/>
      </c>
      <c r="I414" s="30">
        <f>Weekly_Inspections!$AR414</f>
        <v/>
      </c>
      <c r="J414" s="30">
        <f>Weekly_Inspections!$AS414</f>
        <v/>
      </c>
      <c r="K414" s="30">
        <f>Weekly_Inspections!$AU414</f>
        <v/>
      </c>
      <c r="L414" s="46">
        <f>Weekly_Inspections!$AV414</f>
        <v/>
      </c>
      <c r="M414" s="30">
        <f>IF($B414="","",IF($N414&lt;&gt;"","Closed",IF(OR($G414&lt;&gt;"",$I414&lt;&gt;"",$J414&lt;&gt;""),"Open","")))</f>
        <v/>
      </c>
      <c r="N414" s="46" t="n"/>
      <c r="O414" s="28">
        <f>IF($B414="","",IF($M414="Closed",IF($N414="","",$N414-$B414),TODAY()-$B414))</f>
        <v/>
      </c>
      <c r="P414" s="28">
        <f>IF(OR($B414="",$L414="",$M414="Closed"),"",IF(TODAY()&gt;$L414,"YES","NO"))</f>
        <v/>
      </c>
      <c r="Q414" s="30">
        <f>Weekly_Inspections!$AW414</f>
        <v/>
      </c>
    </row>
    <row r="415" ht="15" customHeight="1" s="45">
      <c r="A415" s="28">
        <f>IF(Weekly_Inspections!$B415="","",Weekly_Inspections!$A415&amp;"-A1")</f>
        <v/>
      </c>
      <c r="B415" s="46">
        <f>Weekly_Inspections!$B415</f>
        <v/>
      </c>
      <c r="C415" s="30">
        <f>Weekly_Inspections!$E415</f>
        <v/>
      </c>
      <c r="D415" s="30">
        <f>Weekly_Inspections!$F415</f>
        <v/>
      </c>
      <c r="E415" s="28">
        <f>Weekly_Inspections!$H415</f>
        <v/>
      </c>
      <c r="F415" s="30">
        <f>IF(Weekly_Inspections!$AX415&lt;&gt;"",Weekly_Inspections!$AX415,IF(Weekly_Inspections!$AY415&lt;&gt;"",Weekly_Inspections!$AY415,IF(Weekly_Inspections!$AZ415&lt;&gt;"",Weekly_Inspections!$AZ415,IF(Weekly_Inspections!$BA415&lt;&gt;"",Weekly_Inspections!$BA415,IF(Weekly_Inspections!$BB415&lt;&gt;"",Weekly_Inspections!$BB415,Weekly_Inspections!$R415)))))</f>
        <v/>
      </c>
      <c r="G415" s="30">
        <f>IF(OR(Weekly_Inspections!$AQ415&lt;&gt;"",Weekly_Inspections!$AR415&lt;&gt;"",Weekly_Inspections!$AS415&lt;&gt;""),Weekly_Inspections!$AQ415,"")</f>
        <v/>
      </c>
      <c r="H415" s="30">
        <f>Weekly_Inspections!$AP415</f>
        <v/>
      </c>
      <c r="I415" s="30">
        <f>Weekly_Inspections!$AR415</f>
        <v/>
      </c>
      <c r="J415" s="30">
        <f>Weekly_Inspections!$AS415</f>
        <v/>
      </c>
      <c r="K415" s="30">
        <f>Weekly_Inspections!$AU415</f>
        <v/>
      </c>
      <c r="L415" s="46">
        <f>Weekly_Inspections!$AV415</f>
        <v/>
      </c>
      <c r="M415" s="30">
        <f>IF($B415="","",IF($N415&lt;&gt;"","Closed",IF(OR($G415&lt;&gt;"",$I415&lt;&gt;"",$J415&lt;&gt;""),"Open","")))</f>
        <v/>
      </c>
      <c r="N415" s="46" t="n"/>
      <c r="O415" s="28">
        <f>IF($B415="","",IF($M415="Closed",IF($N415="","",$N415-$B415),TODAY()-$B415))</f>
        <v/>
      </c>
      <c r="P415" s="28">
        <f>IF(OR($B415="",$L415="",$M415="Closed"),"",IF(TODAY()&gt;$L415,"YES","NO"))</f>
        <v/>
      </c>
      <c r="Q415" s="30">
        <f>Weekly_Inspections!$AW415</f>
        <v/>
      </c>
    </row>
    <row r="416" ht="15" customHeight="1" s="45">
      <c r="A416" s="28">
        <f>IF(Weekly_Inspections!$B416="","",Weekly_Inspections!$A416&amp;"-A1")</f>
        <v/>
      </c>
      <c r="B416" s="46">
        <f>Weekly_Inspections!$B416</f>
        <v/>
      </c>
      <c r="C416" s="30">
        <f>Weekly_Inspections!$E416</f>
        <v/>
      </c>
      <c r="D416" s="30">
        <f>Weekly_Inspections!$F416</f>
        <v/>
      </c>
      <c r="E416" s="28">
        <f>Weekly_Inspections!$H416</f>
        <v/>
      </c>
      <c r="F416" s="30">
        <f>IF(Weekly_Inspections!$AX416&lt;&gt;"",Weekly_Inspections!$AX416,IF(Weekly_Inspections!$AY416&lt;&gt;"",Weekly_Inspections!$AY416,IF(Weekly_Inspections!$AZ416&lt;&gt;"",Weekly_Inspections!$AZ416,IF(Weekly_Inspections!$BA416&lt;&gt;"",Weekly_Inspections!$BA416,IF(Weekly_Inspections!$BB416&lt;&gt;"",Weekly_Inspections!$BB416,Weekly_Inspections!$R416)))))</f>
        <v/>
      </c>
      <c r="G416" s="30">
        <f>IF(OR(Weekly_Inspections!$AQ416&lt;&gt;"",Weekly_Inspections!$AR416&lt;&gt;"",Weekly_Inspections!$AS416&lt;&gt;""),Weekly_Inspections!$AQ416,"")</f>
        <v/>
      </c>
      <c r="H416" s="30">
        <f>Weekly_Inspections!$AP416</f>
        <v/>
      </c>
      <c r="I416" s="30">
        <f>Weekly_Inspections!$AR416</f>
        <v/>
      </c>
      <c r="J416" s="30">
        <f>Weekly_Inspections!$AS416</f>
        <v/>
      </c>
      <c r="K416" s="30">
        <f>Weekly_Inspections!$AU416</f>
        <v/>
      </c>
      <c r="L416" s="46">
        <f>Weekly_Inspections!$AV416</f>
        <v/>
      </c>
      <c r="M416" s="30">
        <f>IF($B416="","",IF($N416&lt;&gt;"","Closed",IF(OR($G416&lt;&gt;"",$I416&lt;&gt;"",$J416&lt;&gt;""),"Open","")))</f>
        <v/>
      </c>
      <c r="N416" s="46" t="n"/>
      <c r="O416" s="28">
        <f>IF($B416="","",IF($M416="Closed",IF($N416="","",$N416-$B416),TODAY()-$B416))</f>
        <v/>
      </c>
      <c r="P416" s="28">
        <f>IF(OR($B416="",$L416="",$M416="Closed"),"",IF(TODAY()&gt;$L416,"YES","NO"))</f>
        <v/>
      </c>
      <c r="Q416" s="30">
        <f>Weekly_Inspections!$AW416</f>
        <v/>
      </c>
    </row>
    <row r="417" ht="15" customHeight="1" s="45">
      <c r="A417" s="28">
        <f>IF(Weekly_Inspections!$B417="","",Weekly_Inspections!$A417&amp;"-A1")</f>
        <v/>
      </c>
      <c r="B417" s="46">
        <f>Weekly_Inspections!$B417</f>
        <v/>
      </c>
      <c r="C417" s="30">
        <f>Weekly_Inspections!$E417</f>
        <v/>
      </c>
      <c r="D417" s="30">
        <f>Weekly_Inspections!$F417</f>
        <v/>
      </c>
      <c r="E417" s="28">
        <f>Weekly_Inspections!$H417</f>
        <v/>
      </c>
      <c r="F417" s="30">
        <f>IF(Weekly_Inspections!$AX417&lt;&gt;"",Weekly_Inspections!$AX417,IF(Weekly_Inspections!$AY417&lt;&gt;"",Weekly_Inspections!$AY417,IF(Weekly_Inspections!$AZ417&lt;&gt;"",Weekly_Inspections!$AZ417,IF(Weekly_Inspections!$BA417&lt;&gt;"",Weekly_Inspections!$BA417,IF(Weekly_Inspections!$BB417&lt;&gt;"",Weekly_Inspections!$BB417,Weekly_Inspections!$R417)))))</f>
        <v/>
      </c>
      <c r="G417" s="30">
        <f>IF(OR(Weekly_Inspections!$AQ417&lt;&gt;"",Weekly_Inspections!$AR417&lt;&gt;"",Weekly_Inspections!$AS417&lt;&gt;""),Weekly_Inspections!$AQ417,"")</f>
        <v/>
      </c>
      <c r="H417" s="30">
        <f>Weekly_Inspections!$AP417</f>
        <v/>
      </c>
      <c r="I417" s="30">
        <f>Weekly_Inspections!$AR417</f>
        <v/>
      </c>
      <c r="J417" s="30">
        <f>Weekly_Inspections!$AS417</f>
        <v/>
      </c>
      <c r="K417" s="30">
        <f>Weekly_Inspections!$AU417</f>
        <v/>
      </c>
      <c r="L417" s="46">
        <f>Weekly_Inspections!$AV417</f>
        <v/>
      </c>
      <c r="M417" s="30">
        <f>IF($B417="","",IF($N417&lt;&gt;"","Closed",IF(OR($G417&lt;&gt;"",$I417&lt;&gt;"",$J417&lt;&gt;""),"Open","")))</f>
        <v/>
      </c>
      <c r="N417" s="46" t="n"/>
      <c r="O417" s="28">
        <f>IF($B417="","",IF($M417="Closed",IF($N417="","",$N417-$B417),TODAY()-$B417))</f>
        <v/>
      </c>
      <c r="P417" s="28">
        <f>IF(OR($B417="",$L417="",$M417="Closed"),"",IF(TODAY()&gt;$L417,"YES","NO"))</f>
        <v/>
      </c>
      <c r="Q417" s="30">
        <f>Weekly_Inspections!$AW417</f>
        <v/>
      </c>
    </row>
    <row r="418" ht="15" customHeight="1" s="45">
      <c r="A418" s="28">
        <f>IF(Weekly_Inspections!$B418="","",Weekly_Inspections!$A418&amp;"-A1")</f>
        <v/>
      </c>
      <c r="B418" s="46">
        <f>Weekly_Inspections!$B418</f>
        <v/>
      </c>
      <c r="C418" s="30">
        <f>Weekly_Inspections!$E418</f>
        <v/>
      </c>
      <c r="D418" s="30">
        <f>Weekly_Inspections!$F418</f>
        <v/>
      </c>
      <c r="E418" s="28">
        <f>Weekly_Inspections!$H418</f>
        <v/>
      </c>
      <c r="F418" s="30">
        <f>IF(Weekly_Inspections!$AX418&lt;&gt;"",Weekly_Inspections!$AX418,IF(Weekly_Inspections!$AY418&lt;&gt;"",Weekly_Inspections!$AY418,IF(Weekly_Inspections!$AZ418&lt;&gt;"",Weekly_Inspections!$AZ418,IF(Weekly_Inspections!$BA418&lt;&gt;"",Weekly_Inspections!$BA418,IF(Weekly_Inspections!$BB418&lt;&gt;"",Weekly_Inspections!$BB418,Weekly_Inspections!$R418)))))</f>
        <v/>
      </c>
      <c r="G418" s="30">
        <f>IF(OR(Weekly_Inspections!$AQ418&lt;&gt;"",Weekly_Inspections!$AR418&lt;&gt;"",Weekly_Inspections!$AS418&lt;&gt;""),Weekly_Inspections!$AQ418,"")</f>
        <v/>
      </c>
      <c r="H418" s="30">
        <f>Weekly_Inspections!$AP418</f>
        <v/>
      </c>
      <c r="I418" s="30">
        <f>Weekly_Inspections!$AR418</f>
        <v/>
      </c>
      <c r="J418" s="30">
        <f>Weekly_Inspections!$AS418</f>
        <v/>
      </c>
      <c r="K418" s="30">
        <f>Weekly_Inspections!$AU418</f>
        <v/>
      </c>
      <c r="L418" s="46">
        <f>Weekly_Inspections!$AV418</f>
        <v/>
      </c>
      <c r="M418" s="30">
        <f>IF($B418="","",IF($N418&lt;&gt;"","Closed",IF(OR($G418&lt;&gt;"",$I418&lt;&gt;"",$J418&lt;&gt;""),"Open","")))</f>
        <v/>
      </c>
      <c r="N418" s="46" t="n"/>
      <c r="O418" s="28">
        <f>IF($B418="","",IF($M418="Closed",IF($N418="","",$N418-$B418),TODAY()-$B418))</f>
        <v/>
      </c>
      <c r="P418" s="28">
        <f>IF(OR($B418="",$L418="",$M418="Closed"),"",IF(TODAY()&gt;$L418,"YES","NO"))</f>
        <v/>
      </c>
      <c r="Q418" s="30">
        <f>Weekly_Inspections!$AW418</f>
        <v/>
      </c>
    </row>
    <row r="419" ht="15" customHeight="1" s="45">
      <c r="A419" s="28">
        <f>IF(Weekly_Inspections!$B419="","",Weekly_Inspections!$A419&amp;"-A1")</f>
        <v/>
      </c>
      <c r="B419" s="46">
        <f>Weekly_Inspections!$B419</f>
        <v/>
      </c>
      <c r="C419" s="30">
        <f>Weekly_Inspections!$E419</f>
        <v/>
      </c>
      <c r="D419" s="30">
        <f>Weekly_Inspections!$F419</f>
        <v/>
      </c>
      <c r="E419" s="28">
        <f>Weekly_Inspections!$H419</f>
        <v/>
      </c>
      <c r="F419" s="30">
        <f>IF(Weekly_Inspections!$AX419&lt;&gt;"",Weekly_Inspections!$AX419,IF(Weekly_Inspections!$AY419&lt;&gt;"",Weekly_Inspections!$AY419,IF(Weekly_Inspections!$AZ419&lt;&gt;"",Weekly_Inspections!$AZ419,IF(Weekly_Inspections!$BA419&lt;&gt;"",Weekly_Inspections!$BA419,IF(Weekly_Inspections!$BB419&lt;&gt;"",Weekly_Inspections!$BB419,Weekly_Inspections!$R419)))))</f>
        <v/>
      </c>
      <c r="G419" s="30">
        <f>IF(OR(Weekly_Inspections!$AQ419&lt;&gt;"",Weekly_Inspections!$AR419&lt;&gt;"",Weekly_Inspections!$AS419&lt;&gt;""),Weekly_Inspections!$AQ419,"")</f>
        <v/>
      </c>
      <c r="H419" s="30">
        <f>Weekly_Inspections!$AP419</f>
        <v/>
      </c>
      <c r="I419" s="30">
        <f>Weekly_Inspections!$AR419</f>
        <v/>
      </c>
      <c r="J419" s="30">
        <f>Weekly_Inspections!$AS419</f>
        <v/>
      </c>
      <c r="K419" s="30">
        <f>Weekly_Inspections!$AU419</f>
        <v/>
      </c>
      <c r="L419" s="46">
        <f>Weekly_Inspections!$AV419</f>
        <v/>
      </c>
      <c r="M419" s="30">
        <f>IF($B419="","",IF($N419&lt;&gt;"","Closed",IF(OR($G419&lt;&gt;"",$I419&lt;&gt;"",$J419&lt;&gt;""),"Open","")))</f>
        <v/>
      </c>
      <c r="N419" s="46" t="n"/>
      <c r="O419" s="28">
        <f>IF($B419="","",IF($M419="Closed",IF($N419="","",$N419-$B419),TODAY()-$B419))</f>
        <v/>
      </c>
      <c r="P419" s="28">
        <f>IF(OR($B419="",$L419="",$M419="Closed"),"",IF(TODAY()&gt;$L419,"YES","NO"))</f>
        <v/>
      </c>
      <c r="Q419" s="30">
        <f>Weekly_Inspections!$AW419</f>
        <v/>
      </c>
    </row>
    <row r="420" ht="15" customHeight="1" s="45">
      <c r="A420" s="28">
        <f>IF(Weekly_Inspections!$B420="","",Weekly_Inspections!$A420&amp;"-A1")</f>
        <v/>
      </c>
      <c r="B420" s="46">
        <f>Weekly_Inspections!$B420</f>
        <v/>
      </c>
      <c r="C420" s="30">
        <f>Weekly_Inspections!$E420</f>
        <v/>
      </c>
      <c r="D420" s="30">
        <f>Weekly_Inspections!$F420</f>
        <v/>
      </c>
      <c r="E420" s="28">
        <f>Weekly_Inspections!$H420</f>
        <v/>
      </c>
      <c r="F420" s="30">
        <f>IF(Weekly_Inspections!$AX420&lt;&gt;"",Weekly_Inspections!$AX420,IF(Weekly_Inspections!$AY420&lt;&gt;"",Weekly_Inspections!$AY420,IF(Weekly_Inspections!$AZ420&lt;&gt;"",Weekly_Inspections!$AZ420,IF(Weekly_Inspections!$BA420&lt;&gt;"",Weekly_Inspections!$BA420,IF(Weekly_Inspections!$BB420&lt;&gt;"",Weekly_Inspections!$BB420,Weekly_Inspections!$R420)))))</f>
        <v/>
      </c>
      <c r="G420" s="30">
        <f>IF(OR(Weekly_Inspections!$AQ420&lt;&gt;"",Weekly_Inspections!$AR420&lt;&gt;"",Weekly_Inspections!$AS420&lt;&gt;""),Weekly_Inspections!$AQ420,"")</f>
        <v/>
      </c>
      <c r="H420" s="30">
        <f>Weekly_Inspections!$AP420</f>
        <v/>
      </c>
      <c r="I420" s="30">
        <f>Weekly_Inspections!$AR420</f>
        <v/>
      </c>
      <c r="J420" s="30">
        <f>Weekly_Inspections!$AS420</f>
        <v/>
      </c>
      <c r="K420" s="30">
        <f>Weekly_Inspections!$AU420</f>
        <v/>
      </c>
      <c r="L420" s="46">
        <f>Weekly_Inspections!$AV420</f>
        <v/>
      </c>
      <c r="M420" s="30">
        <f>IF($B420="","",IF($N420&lt;&gt;"","Closed",IF(OR($G420&lt;&gt;"",$I420&lt;&gt;"",$J420&lt;&gt;""),"Open","")))</f>
        <v/>
      </c>
      <c r="N420" s="46" t="n"/>
      <c r="O420" s="28">
        <f>IF($B420="","",IF($M420="Closed",IF($N420="","",$N420-$B420),TODAY()-$B420))</f>
        <v/>
      </c>
      <c r="P420" s="28">
        <f>IF(OR($B420="",$L420="",$M420="Closed"),"",IF(TODAY()&gt;$L420,"YES","NO"))</f>
        <v/>
      </c>
      <c r="Q420" s="30">
        <f>Weekly_Inspections!$AW420</f>
        <v/>
      </c>
    </row>
    <row r="421" ht="15" customHeight="1" s="45">
      <c r="A421" s="28">
        <f>IF(Weekly_Inspections!$B421="","",Weekly_Inspections!$A421&amp;"-A1")</f>
        <v/>
      </c>
      <c r="B421" s="46">
        <f>Weekly_Inspections!$B421</f>
        <v/>
      </c>
      <c r="C421" s="30">
        <f>Weekly_Inspections!$E421</f>
        <v/>
      </c>
      <c r="D421" s="30">
        <f>Weekly_Inspections!$F421</f>
        <v/>
      </c>
      <c r="E421" s="28">
        <f>Weekly_Inspections!$H421</f>
        <v/>
      </c>
      <c r="F421" s="30">
        <f>IF(Weekly_Inspections!$AX421&lt;&gt;"",Weekly_Inspections!$AX421,IF(Weekly_Inspections!$AY421&lt;&gt;"",Weekly_Inspections!$AY421,IF(Weekly_Inspections!$AZ421&lt;&gt;"",Weekly_Inspections!$AZ421,IF(Weekly_Inspections!$BA421&lt;&gt;"",Weekly_Inspections!$BA421,IF(Weekly_Inspections!$BB421&lt;&gt;"",Weekly_Inspections!$BB421,Weekly_Inspections!$R421)))))</f>
        <v/>
      </c>
      <c r="G421" s="30">
        <f>IF(OR(Weekly_Inspections!$AQ421&lt;&gt;"",Weekly_Inspections!$AR421&lt;&gt;"",Weekly_Inspections!$AS421&lt;&gt;""),Weekly_Inspections!$AQ421,"")</f>
        <v/>
      </c>
      <c r="H421" s="30">
        <f>Weekly_Inspections!$AP421</f>
        <v/>
      </c>
      <c r="I421" s="30">
        <f>Weekly_Inspections!$AR421</f>
        <v/>
      </c>
      <c r="J421" s="30">
        <f>Weekly_Inspections!$AS421</f>
        <v/>
      </c>
      <c r="K421" s="30">
        <f>Weekly_Inspections!$AU421</f>
        <v/>
      </c>
      <c r="L421" s="46">
        <f>Weekly_Inspections!$AV421</f>
        <v/>
      </c>
      <c r="M421" s="30">
        <f>IF($B421="","",IF($N421&lt;&gt;"","Closed",IF(OR($G421&lt;&gt;"",$I421&lt;&gt;"",$J421&lt;&gt;""),"Open","")))</f>
        <v/>
      </c>
      <c r="N421" s="46" t="n"/>
      <c r="O421" s="28">
        <f>IF($B421="","",IF($M421="Closed",IF($N421="","",$N421-$B421),TODAY()-$B421))</f>
        <v/>
      </c>
      <c r="P421" s="28">
        <f>IF(OR($B421="",$L421="",$M421="Closed"),"",IF(TODAY()&gt;$L421,"YES","NO"))</f>
        <v/>
      </c>
      <c r="Q421" s="30">
        <f>Weekly_Inspections!$AW421</f>
        <v/>
      </c>
    </row>
    <row r="422" ht="15" customHeight="1" s="45">
      <c r="A422" s="28">
        <f>IF(Weekly_Inspections!$B422="","",Weekly_Inspections!$A422&amp;"-A1")</f>
        <v/>
      </c>
      <c r="B422" s="46">
        <f>Weekly_Inspections!$B422</f>
        <v/>
      </c>
      <c r="C422" s="30">
        <f>Weekly_Inspections!$E422</f>
        <v/>
      </c>
      <c r="D422" s="30">
        <f>Weekly_Inspections!$F422</f>
        <v/>
      </c>
      <c r="E422" s="28">
        <f>Weekly_Inspections!$H422</f>
        <v/>
      </c>
      <c r="F422" s="30">
        <f>IF(Weekly_Inspections!$AX422&lt;&gt;"",Weekly_Inspections!$AX422,IF(Weekly_Inspections!$AY422&lt;&gt;"",Weekly_Inspections!$AY422,IF(Weekly_Inspections!$AZ422&lt;&gt;"",Weekly_Inspections!$AZ422,IF(Weekly_Inspections!$BA422&lt;&gt;"",Weekly_Inspections!$BA422,IF(Weekly_Inspections!$BB422&lt;&gt;"",Weekly_Inspections!$BB422,Weekly_Inspections!$R422)))))</f>
        <v/>
      </c>
      <c r="G422" s="30">
        <f>IF(OR(Weekly_Inspections!$AQ422&lt;&gt;"",Weekly_Inspections!$AR422&lt;&gt;"",Weekly_Inspections!$AS422&lt;&gt;""),Weekly_Inspections!$AQ422,"")</f>
        <v/>
      </c>
      <c r="H422" s="30">
        <f>Weekly_Inspections!$AP422</f>
        <v/>
      </c>
      <c r="I422" s="30">
        <f>Weekly_Inspections!$AR422</f>
        <v/>
      </c>
      <c r="J422" s="30">
        <f>Weekly_Inspections!$AS422</f>
        <v/>
      </c>
      <c r="K422" s="30">
        <f>Weekly_Inspections!$AU422</f>
        <v/>
      </c>
      <c r="L422" s="46">
        <f>Weekly_Inspections!$AV422</f>
        <v/>
      </c>
      <c r="M422" s="30">
        <f>IF($B422="","",IF($N422&lt;&gt;"","Closed",IF(OR($G422&lt;&gt;"",$I422&lt;&gt;"",$J422&lt;&gt;""),"Open","")))</f>
        <v/>
      </c>
      <c r="N422" s="46" t="n"/>
      <c r="O422" s="28">
        <f>IF($B422="","",IF($M422="Closed",IF($N422="","",$N422-$B422),TODAY()-$B422))</f>
        <v/>
      </c>
      <c r="P422" s="28">
        <f>IF(OR($B422="",$L422="",$M422="Closed"),"",IF(TODAY()&gt;$L422,"YES","NO"))</f>
        <v/>
      </c>
      <c r="Q422" s="30">
        <f>Weekly_Inspections!$AW422</f>
        <v/>
      </c>
    </row>
    <row r="423" ht="15" customHeight="1" s="45">
      <c r="A423" s="28">
        <f>IF(Weekly_Inspections!$B423="","",Weekly_Inspections!$A423&amp;"-A1")</f>
        <v/>
      </c>
      <c r="B423" s="46">
        <f>Weekly_Inspections!$B423</f>
        <v/>
      </c>
      <c r="C423" s="30">
        <f>Weekly_Inspections!$E423</f>
        <v/>
      </c>
      <c r="D423" s="30">
        <f>Weekly_Inspections!$F423</f>
        <v/>
      </c>
      <c r="E423" s="28">
        <f>Weekly_Inspections!$H423</f>
        <v/>
      </c>
      <c r="F423" s="30">
        <f>IF(Weekly_Inspections!$AX423&lt;&gt;"",Weekly_Inspections!$AX423,IF(Weekly_Inspections!$AY423&lt;&gt;"",Weekly_Inspections!$AY423,IF(Weekly_Inspections!$AZ423&lt;&gt;"",Weekly_Inspections!$AZ423,IF(Weekly_Inspections!$BA423&lt;&gt;"",Weekly_Inspections!$BA423,IF(Weekly_Inspections!$BB423&lt;&gt;"",Weekly_Inspections!$BB423,Weekly_Inspections!$R423)))))</f>
        <v/>
      </c>
      <c r="G423" s="30">
        <f>IF(OR(Weekly_Inspections!$AQ423&lt;&gt;"",Weekly_Inspections!$AR423&lt;&gt;"",Weekly_Inspections!$AS423&lt;&gt;""),Weekly_Inspections!$AQ423,"")</f>
        <v/>
      </c>
      <c r="H423" s="30">
        <f>Weekly_Inspections!$AP423</f>
        <v/>
      </c>
      <c r="I423" s="30">
        <f>Weekly_Inspections!$AR423</f>
        <v/>
      </c>
      <c r="J423" s="30">
        <f>Weekly_Inspections!$AS423</f>
        <v/>
      </c>
      <c r="K423" s="30">
        <f>Weekly_Inspections!$AU423</f>
        <v/>
      </c>
      <c r="L423" s="46">
        <f>Weekly_Inspections!$AV423</f>
        <v/>
      </c>
      <c r="M423" s="30">
        <f>IF($B423="","",IF($N423&lt;&gt;"","Closed",IF(OR($G423&lt;&gt;"",$I423&lt;&gt;"",$J423&lt;&gt;""),"Open","")))</f>
        <v/>
      </c>
      <c r="N423" s="46" t="n"/>
      <c r="O423" s="28">
        <f>IF($B423="","",IF($M423="Closed",IF($N423="","",$N423-$B423),TODAY()-$B423))</f>
        <v/>
      </c>
      <c r="P423" s="28">
        <f>IF(OR($B423="",$L423="",$M423="Closed"),"",IF(TODAY()&gt;$L423,"YES","NO"))</f>
        <v/>
      </c>
      <c r="Q423" s="30">
        <f>Weekly_Inspections!$AW423</f>
        <v/>
      </c>
    </row>
    <row r="424" ht="15" customHeight="1" s="45">
      <c r="A424" s="28">
        <f>IF(Weekly_Inspections!$B424="","",Weekly_Inspections!$A424&amp;"-A1")</f>
        <v/>
      </c>
      <c r="B424" s="46">
        <f>Weekly_Inspections!$B424</f>
        <v/>
      </c>
      <c r="C424" s="30">
        <f>Weekly_Inspections!$E424</f>
        <v/>
      </c>
      <c r="D424" s="30">
        <f>Weekly_Inspections!$F424</f>
        <v/>
      </c>
      <c r="E424" s="28">
        <f>Weekly_Inspections!$H424</f>
        <v/>
      </c>
      <c r="F424" s="30">
        <f>IF(Weekly_Inspections!$AX424&lt;&gt;"",Weekly_Inspections!$AX424,IF(Weekly_Inspections!$AY424&lt;&gt;"",Weekly_Inspections!$AY424,IF(Weekly_Inspections!$AZ424&lt;&gt;"",Weekly_Inspections!$AZ424,IF(Weekly_Inspections!$BA424&lt;&gt;"",Weekly_Inspections!$BA424,IF(Weekly_Inspections!$BB424&lt;&gt;"",Weekly_Inspections!$BB424,Weekly_Inspections!$R424)))))</f>
        <v/>
      </c>
      <c r="G424" s="30">
        <f>IF(OR(Weekly_Inspections!$AQ424&lt;&gt;"",Weekly_Inspections!$AR424&lt;&gt;"",Weekly_Inspections!$AS424&lt;&gt;""),Weekly_Inspections!$AQ424,"")</f>
        <v/>
      </c>
      <c r="H424" s="30">
        <f>Weekly_Inspections!$AP424</f>
        <v/>
      </c>
      <c r="I424" s="30">
        <f>Weekly_Inspections!$AR424</f>
        <v/>
      </c>
      <c r="J424" s="30">
        <f>Weekly_Inspections!$AS424</f>
        <v/>
      </c>
      <c r="K424" s="30">
        <f>Weekly_Inspections!$AU424</f>
        <v/>
      </c>
      <c r="L424" s="46">
        <f>Weekly_Inspections!$AV424</f>
        <v/>
      </c>
      <c r="M424" s="30">
        <f>IF($B424="","",IF($N424&lt;&gt;"","Closed",IF(OR($G424&lt;&gt;"",$I424&lt;&gt;"",$J424&lt;&gt;""),"Open","")))</f>
        <v/>
      </c>
      <c r="N424" s="46" t="n"/>
      <c r="O424" s="28">
        <f>IF($B424="","",IF($M424="Closed",IF($N424="","",$N424-$B424),TODAY()-$B424))</f>
        <v/>
      </c>
      <c r="P424" s="28">
        <f>IF(OR($B424="",$L424="",$M424="Closed"),"",IF(TODAY()&gt;$L424,"YES","NO"))</f>
        <v/>
      </c>
      <c r="Q424" s="30">
        <f>Weekly_Inspections!$AW424</f>
        <v/>
      </c>
    </row>
    <row r="425" ht="15" customHeight="1" s="45">
      <c r="A425" s="28">
        <f>IF(Weekly_Inspections!$B425="","",Weekly_Inspections!$A425&amp;"-A1")</f>
        <v/>
      </c>
      <c r="B425" s="46">
        <f>Weekly_Inspections!$B425</f>
        <v/>
      </c>
      <c r="C425" s="30">
        <f>Weekly_Inspections!$E425</f>
        <v/>
      </c>
      <c r="D425" s="30">
        <f>Weekly_Inspections!$F425</f>
        <v/>
      </c>
      <c r="E425" s="28">
        <f>Weekly_Inspections!$H425</f>
        <v/>
      </c>
      <c r="F425" s="30">
        <f>IF(Weekly_Inspections!$AX425&lt;&gt;"",Weekly_Inspections!$AX425,IF(Weekly_Inspections!$AY425&lt;&gt;"",Weekly_Inspections!$AY425,IF(Weekly_Inspections!$AZ425&lt;&gt;"",Weekly_Inspections!$AZ425,IF(Weekly_Inspections!$BA425&lt;&gt;"",Weekly_Inspections!$BA425,IF(Weekly_Inspections!$BB425&lt;&gt;"",Weekly_Inspections!$BB425,Weekly_Inspections!$R425)))))</f>
        <v/>
      </c>
      <c r="G425" s="30">
        <f>IF(OR(Weekly_Inspections!$AQ425&lt;&gt;"",Weekly_Inspections!$AR425&lt;&gt;"",Weekly_Inspections!$AS425&lt;&gt;""),Weekly_Inspections!$AQ425,"")</f>
        <v/>
      </c>
      <c r="H425" s="30">
        <f>Weekly_Inspections!$AP425</f>
        <v/>
      </c>
      <c r="I425" s="30">
        <f>Weekly_Inspections!$AR425</f>
        <v/>
      </c>
      <c r="J425" s="30">
        <f>Weekly_Inspections!$AS425</f>
        <v/>
      </c>
      <c r="K425" s="30">
        <f>Weekly_Inspections!$AU425</f>
        <v/>
      </c>
      <c r="L425" s="46">
        <f>Weekly_Inspections!$AV425</f>
        <v/>
      </c>
      <c r="M425" s="30">
        <f>IF($B425="","",IF($N425&lt;&gt;"","Closed",IF(OR($G425&lt;&gt;"",$I425&lt;&gt;"",$J425&lt;&gt;""),"Open","")))</f>
        <v/>
      </c>
      <c r="N425" s="46" t="n"/>
      <c r="O425" s="28">
        <f>IF($B425="","",IF($M425="Closed",IF($N425="","",$N425-$B425),TODAY()-$B425))</f>
        <v/>
      </c>
      <c r="P425" s="28">
        <f>IF(OR($B425="",$L425="",$M425="Closed"),"",IF(TODAY()&gt;$L425,"YES","NO"))</f>
        <v/>
      </c>
      <c r="Q425" s="30">
        <f>Weekly_Inspections!$AW425</f>
        <v/>
      </c>
    </row>
    <row r="426" ht="15" customHeight="1" s="45">
      <c r="A426" s="28">
        <f>IF(Weekly_Inspections!$B426="","",Weekly_Inspections!$A426&amp;"-A1")</f>
        <v/>
      </c>
      <c r="B426" s="46">
        <f>Weekly_Inspections!$B426</f>
        <v/>
      </c>
      <c r="C426" s="30">
        <f>Weekly_Inspections!$E426</f>
        <v/>
      </c>
      <c r="D426" s="30">
        <f>Weekly_Inspections!$F426</f>
        <v/>
      </c>
      <c r="E426" s="28">
        <f>Weekly_Inspections!$H426</f>
        <v/>
      </c>
      <c r="F426" s="30">
        <f>IF(Weekly_Inspections!$AX426&lt;&gt;"",Weekly_Inspections!$AX426,IF(Weekly_Inspections!$AY426&lt;&gt;"",Weekly_Inspections!$AY426,IF(Weekly_Inspections!$AZ426&lt;&gt;"",Weekly_Inspections!$AZ426,IF(Weekly_Inspections!$BA426&lt;&gt;"",Weekly_Inspections!$BA426,IF(Weekly_Inspections!$BB426&lt;&gt;"",Weekly_Inspections!$BB426,Weekly_Inspections!$R426)))))</f>
        <v/>
      </c>
      <c r="G426" s="30">
        <f>IF(OR(Weekly_Inspections!$AQ426&lt;&gt;"",Weekly_Inspections!$AR426&lt;&gt;"",Weekly_Inspections!$AS426&lt;&gt;""),Weekly_Inspections!$AQ426,"")</f>
        <v/>
      </c>
      <c r="H426" s="30">
        <f>Weekly_Inspections!$AP426</f>
        <v/>
      </c>
      <c r="I426" s="30">
        <f>Weekly_Inspections!$AR426</f>
        <v/>
      </c>
      <c r="J426" s="30">
        <f>Weekly_Inspections!$AS426</f>
        <v/>
      </c>
      <c r="K426" s="30">
        <f>Weekly_Inspections!$AU426</f>
        <v/>
      </c>
      <c r="L426" s="46">
        <f>Weekly_Inspections!$AV426</f>
        <v/>
      </c>
      <c r="M426" s="30">
        <f>IF($B426="","",IF($N426&lt;&gt;"","Closed",IF(OR($G426&lt;&gt;"",$I426&lt;&gt;"",$J426&lt;&gt;""),"Open","")))</f>
        <v/>
      </c>
      <c r="N426" s="46" t="n"/>
      <c r="O426" s="28">
        <f>IF($B426="","",IF($M426="Closed",IF($N426="","",$N426-$B426),TODAY()-$B426))</f>
        <v/>
      </c>
      <c r="P426" s="28">
        <f>IF(OR($B426="",$L426="",$M426="Closed"),"",IF(TODAY()&gt;$L426,"YES","NO"))</f>
        <v/>
      </c>
      <c r="Q426" s="30">
        <f>Weekly_Inspections!$AW426</f>
        <v/>
      </c>
    </row>
    <row r="427" ht="15" customHeight="1" s="45">
      <c r="A427" s="28">
        <f>IF(Weekly_Inspections!$B427="","",Weekly_Inspections!$A427&amp;"-A1")</f>
        <v/>
      </c>
      <c r="B427" s="46">
        <f>Weekly_Inspections!$B427</f>
        <v/>
      </c>
      <c r="C427" s="30">
        <f>Weekly_Inspections!$E427</f>
        <v/>
      </c>
      <c r="D427" s="30">
        <f>Weekly_Inspections!$F427</f>
        <v/>
      </c>
      <c r="E427" s="28">
        <f>Weekly_Inspections!$H427</f>
        <v/>
      </c>
      <c r="F427" s="30">
        <f>IF(Weekly_Inspections!$AX427&lt;&gt;"",Weekly_Inspections!$AX427,IF(Weekly_Inspections!$AY427&lt;&gt;"",Weekly_Inspections!$AY427,IF(Weekly_Inspections!$AZ427&lt;&gt;"",Weekly_Inspections!$AZ427,IF(Weekly_Inspections!$BA427&lt;&gt;"",Weekly_Inspections!$BA427,IF(Weekly_Inspections!$BB427&lt;&gt;"",Weekly_Inspections!$BB427,Weekly_Inspections!$R427)))))</f>
        <v/>
      </c>
      <c r="G427" s="30">
        <f>IF(OR(Weekly_Inspections!$AQ427&lt;&gt;"",Weekly_Inspections!$AR427&lt;&gt;"",Weekly_Inspections!$AS427&lt;&gt;""),Weekly_Inspections!$AQ427,"")</f>
        <v/>
      </c>
      <c r="H427" s="30">
        <f>Weekly_Inspections!$AP427</f>
        <v/>
      </c>
      <c r="I427" s="30">
        <f>Weekly_Inspections!$AR427</f>
        <v/>
      </c>
      <c r="J427" s="30">
        <f>Weekly_Inspections!$AS427</f>
        <v/>
      </c>
      <c r="K427" s="30">
        <f>Weekly_Inspections!$AU427</f>
        <v/>
      </c>
      <c r="L427" s="46">
        <f>Weekly_Inspections!$AV427</f>
        <v/>
      </c>
      <c r="M427" s="30">
        <f>IF($B427="","",IF($N427&lt;&gt;"","Closed",IF(OR($G427&lt;&gt;"",$I427&lt;&gt;"",$J427&lt;&gt;""),"Open","")))</f>
        <v/>
      </c>
      <c r="N427" s="46" t="n"/>
      <c r="O427" s="28">
        <f>IF($B427="","",IF($M427="Closed",IF($N427="","",$N427-$B427),TODAY()-$B427))</f>
        <v/>
      </c>
      <c r="P427" s="28">
        <f>IF(OR($B427="",$L427="",$M427="Closed"),"",IF(TODAY()&gt;$L427,"YES","NO"))</f>
        <v/>
      </c>
      <c r="Q427" s="30">
        <f>Weekly_Inspections!$AW427</f>
        <v/>
      </c>
    </row>
    <row r="428" ht="15" customHeight="1" s="45">
      <c r="A428" s="28">
        <f>IF(Weekly_Inspections!$B428="","",Weekly_Inspections!$A428&amp;"-A1")</f>
        <v/>
      </c>
      <c r="B428" s="46">
        <f>Weekly_Inspections!$B428</f>
        <v/>
      </c>
      <c r="C428" s="30">
        <f>Weekly_Inspections!$E428</f>
        <v/>
      </c>
      <c r="D428" s="30">
        <f>Weekly_Inspections!$F428</f>
        <v/>
      </c>
      <c r="E428" s="28">
        <f>Weekly_Inspections!$H428</f>
        <v/>
      </c>
      <c r="F428" s="30">
        <f>IF(Weekly_Inspections!$AX428&lt;&gt;"",Weekly_Inspections!$AX428,IF(Weekly_Inspections!$AY428&lt;&gt;"",Weekly_Inspections!$AY428,IF(Weekly_Inspections!$AZ428&lt;&gt;"",Weekly_Inspections!$AZ428,IF(Weekly_Inspections!$BA428&lt;&gt;"",Weekly_Inspections!$BA428,IF(Weekly_Inspections!$BB428&lt;&gt;"",Weekly_Inspections!$BB428,Weekly_Inspections!$R428)))))</f>
        <v/>
      </c>
      <c r="G428" s="30">
        <f>IF(OR(Weekly_Inspections!$AQ428&lt;&gt;"",Weekly_Inspections!$AR428&lt;&gt;"",Weekly_Inspections!$AS428&lt;&gt;""),Weekly_Inspections!$AQ428,"")</f>
        <v/>
      </c>
      <c r="H428" s="30">
        <f>Weekly_Inspections!$AP428</f>
        <v/>
      </c>
      <c r="I428" s="30">
        <f>Weekly_Inspections!$AR428</f>
        <v/>
      </c>
      <c r="J428" s="30">
        <f>Weekly_Inspections!$AS428</f>
        <v/>
      </c>
      <c r="K428" s="30">
        <f>Weekly_Inspections!$AU428</f>
        <v/>
      </c>
      <c r="L428" s="46">
        <f>Weekly_Inspections!$AV428</f>
        <v/>
      </c>
      <c r="M428" s="30">
        <f>IF($B428="","",IF($N428&lt;&gt;"","Closed",IF(OR($G428&lt;&gt;"",$I428&lt;&gt;"",$J428&lt;&gt;""),"Open","")))</f>
        <v/>
      </c>
      <c r="N428" s="46" t="n"/>
      <c r="O428" s="28">
        <f>IF($B428="","",IF($M428="Closed",IF($N428="","",$N428-$B428),TODAY()-$B428))</f>
        <v/>
      </c>
      <c r="P428" s="28">
        <f>IF(OR($B428="",$L428="",$M428="Closed"),"",IF(TODAY()&gt;$L428,"YES","NO"))</f>
        <v/>
      </c>
      <c r="Q428" s="30">
        <f>Weekly_Inspections!$AW428</f>
        <v/>
      </c>
    </row>
    <row r="429" ht="15" customHeight="1" s="45">
      <c r="A429" s="28">
        <f>IF(Weekly_Inspections!$B429="","",Weekly_Inspections!$A429&amp;"-A1")</f>
        <v/>
      </c>
      <c r="B429" s="46">
        <f>Weekly_Inspections!$B429</f>
        <v/>
      </c>
      <c r="C429" s="30">
        <f>Weekly_Inspections!$E429</f>
        <v/>
      </c>
      <c r="D429" s="30">
        <f>Weekly_Inspections!$F429</f>
        <v/>
      </c>
      <c r="E429" s="28">
        <f>Weekly_Inspections!$H429</f>
        <v/>
      </c>
      <c r="F429" s="30">
        <f>IF(Weekly_Inspections!$AX429&lt;&gt;"",Weekly_Inspections!$AX429,IF(Weekly_Inspections!$AY429&lt;&gt;"",Weekly_Inspections!$AY429,IF(Weekly_Inspections!$AZ429&lt;&gt;"",Weekly_Inspections!$AZ429,IF(Weekly_Inspections!$BA429&lt;&gt;"",Weekly_Inspections!$BA429,IF(Weekly_Inspections!$BB429&lt;&gt;"",Weekly_Inspections!$BB429,Weekly_Inspections!$R429)))))</f>
        <v/>
      </c>
      <c r="G429" s="30">
        <f>IF(OR(Weekly_Inspections!$AQ429&lt;&gt;"",Weekly_Inspections!$AR429&lt;&gt;"",Weekly_Inspections!$AS429&lt;&gt;""),Weekly_Inspections!$AQ429,"")</f>
        <v/>
      </c>
      <c r="H429" s="30">
        <f>Weekly_Inspections!$AP429</f>
        <v/>
      </c>
      <c r="I429" s="30">
        <f>Weekly_Inspections!$AR429</f>
        <v/>
      </c>
      <c r="J429" s="30">
        <f>Weekly_Inspections!$AS429</f>
        <v/>
      </c>
      <c r="K429" s="30">
        <f>Weekly_Inspections!$AU429</f>
        <v/>
      </c>
      <c r="L429" s="46">
        <f>Weekly_Inspections!$AV429</f>
        <v/>
      </c>
      <c r="M429" s="30">
        <f>IF($B429="","",IF($N429&lt;&gt;"","Closed",IF(OR($G429&lt;&gt;"",$I429&lt;&gt;"",$J429&lt;&gt;""),"Open","")))</f>
        <v/>
      </c>
      <c r="N429" s="46" t="n"/>
      <c r="O429" s="28">
        <f>IF($B429="","",IF($M429="Closed",IF($N429="","",$N429-$B429),TODAY()-$B429))</f>
        <v/>
      </c>
      <c r="P429" s="28">
        <f>IF(OR($B429="",$L429="",$M429="Closed"),"",IF(TODAY()&gt;$L429,"YES","NO"))</f>
        <v/>
      </c>
      <c r="Q429" s="30">
        <f>Weekly_Inspections!$AW429</f>
        <v/>
      </c>
    </row>
    <row r="430" ht="15" customHeight="1" s="45">
      <c r="A430" s="28">
        <f>IF(Weekly_Inspections!$B430="","",Weekly_Inspections!$A430&amp;"-A1")</f>
        <v/>
      </c>
      <c r="B430" s="46">
        <f>Weekly_Inspections!$B430</f>
        <v/>
      </c>
      <c r="C430" s="30">
        <f>Weekly_Inspections!$E430</f>
        <v/>
      </c>
      <c r="D430" s="30">
        <f>Weekly_Inspections!$F430</f>
        <v/>
      </c>
      <c r="E430" s="28">
        <f>Weekly_Inspections!$H430</f>
        <v/>
      </c>
      <c r="F430" s="30">
        <f>IF(Weekly_Inspections!$AX430&lt;&gt;"",Weekly_Inspections!$AX430,IF(Weekly_Inspections!$AY430&lt;&gt;"",Weekly_Inspections!$AY430,IF(Weekly_Inspections!$AZ430&lt;&gt;"",Weekly_Inspections!$AZ430,IF(Weekly_Inspections!$BA430&lt;&gt;"",Weekly_Inspections!$BA430,IF(Weekly_Inspections!$BB430&lt;&gt;"",Weekly_Inspections!$BB430,Weekly_Inspections!$R430)))))</f>
        <v/>
      </c>
      <c r="G430" s="30">
        <f>IF(OR(Weekly_Inspections!$AQ430&lt;&gt;"",Weekly_Inspections!$AR430&lt;&gt;"",Weekly_Inspections!$AS430&lt;&gt;""),Weekly_Inspections!$AQ430,"")</f>
        <v/>
      </c>
      <c r="H430" s="30">
        <f>Weekly_Inspections!$AP430</f>
        <v/>
      </c>
      <c r="I430" s="30">
        <f>Weekly_Inspections!$AR430</f>
        <v/>
      </c>
      <c r="J430" s="30">
        <f>Weekly_Inspections!$AS430</f>
        <v/>
      </c>
      <c r="K430" s="30">
        <f>Weekly_Inspections!$AU430</f>
        <v/>
      </c>
      <c r="L430" s="46">
        <f>Weekly_Inspections!$AV430</f>
        <v/>
      </c>
      <c r="M430" s="30">
        <f>IF($B430="","",IF($N430&lt;&gt;"","Closed",IF(OR($G430&lt;&gt;"",$I430&lt;&gt;"",$J430&lt;&gt;""),"Open","")))</f>
        <v/>
      </c>
      <c r="N430" s="46" t="n"/>
      <c r="O430" s="28">
        <f>IF($B430="","",IF($M430="Closed",IF($N430="","",$N430-$B430),TODAY()-$B430))</f>
        <v/>
      </c>
      <c r="P430" s="28">
        <f>IF(OR($B430="",$L430="",$M430="Closed"),"",IF(TODAY()&gt;$L430,"YES","NO"))</f>
        <v/>
      </c>
      <c r="Q430" s="30">
        <f>Weekly_Inspections!$AW430</f>
        <v/>
      </c>
    </row>
    <row r="431" ht="15" customHeight="1" s="45">
      <c r="A431" s="28">
        <f>IF(Weekly_Inspections!$B431="","",Weekly_Inspections!$A431&amp;"-A1")</f>
        <v/>
      </c>
      <c r="B431" s="46">
        <f>Weekly_Inspections!$B431</f>
        <v/>
      </c>
      <c r="C431" s="30">
        <f>Weekly_Inspections!$E431</f>
        <v/>
      </c>
      <c r="D431" s="30">
        <f>Weekly_Inspections!$F431</f>
        <v/>
      </c>
      <c r="E431" s="28">
        <f>Weekly_Inspections!$H431</f>
        <v/>
      </c>
      <c r="F431" s="30">
        <f>IF(Weekly_Inspections!$AX431&lt;&gt;"",Weekly_Inspections!$AX431,IF(Weekly_Inspections!$AY431&lt;&gt;"",Weekly_Inspections!$AY431,IF(Weekly_Inspections!$AZ431&lt;&gt;"",Weekly_Inspections!$AZ431,IF(Weekly_Inspections!$BA431&lt;&gt;"",Weekly_Inspections!$BA431,IF(Weekly_Inspections!$BB431&lt;&gt;"",Weekly_Inspections!$BB431,Weekly_Inspections!$R431)))))</f>
        <v/>
      </c>
      <c r="G431" s="30">
        <f>IF(OR(Weekly_Inspections!$AQ431&lt;&gt;"",Weekly_Inspections!$AR431&lt;&gt;"",Weekly_Inspections!$AS431&lt;&gt;""),Weekly_Inspections!$AQ431,"")</f>
        <v/>
      </c>
      <c r="H431" s="30">
        <f>Weekly_Inspections!$AP431</f>
        <v/>
      </c>
      <c r="I431" s="30">
        <f>Weekly_Inspections!$AR431</f>
        <v/>
      </c>
      <c r="J431" s="30">
        <f>Weekly_Inspections!$AS431</f>
        <v/>
      </c>
      <c r="K431" s="30">
        <f>Weekly_Inspections!$AU431</f>
        <v/>
      </c>
      <c r="L431" s="46">
        <f>Weekly_Inspections!$AV431</f>
        <v/>
      </c>
      <c r="M431" s="30">
        <f>IF($B431="","",IF($N431&lt;&gt;"","Closed",IF(OR($G431&lt;&gt;"",$I431&lt;&gt;"",$J431&lt;&gt;""),"Open","")))</f>
        <v/>
      </c>
      <c r="N431" s="46" t="n"/>
      <c r="O431" s="28">
        <f>IF($B431="","",IF($M431="Closed",IF($N431="","",$N431-$B431),TODAY()-$B431))</f>
        <v/>
      </c>
      <c r="P431" s="28">
        <f>IF(OR($B431="",$L431="",$M431="Closed"),"",IF(TODAY()&gt;$L431,"YES","NO"))</f>
        <v/>
      </c>
      <c r="Q431" s="30">
        <f>Weekly_Inspections!$AW431</f>
        <v/>
      </c>
    </row>
    <row r="432" ht="15" customHeight="1" s="45">
      <c r="A432" s="28">
        <f>IF(Weekly_Inspections!$B432="","",Weekly_Inspections!$A432&amp;"-A1")</f>
        <v/>
      </c>
      <c r="B432" s="46">
        <f>Weekly_Inspections!$B432</f>
        <v/>
      </c>
      <c r="C432" s="30">
        <f>Weekly_Inspections!$E432</f>
        <v/>
      </c>
      <c r="D432" s="30">
        <f>Weekly_Inspections!$F432</f>
        <v/>
      </c>
      <c r="E432" s="28">
        <f>Weekly_Inspections!$H432</f>
        <v/>
      </c>
      <c r="F432" s="30">
        <f>IF(Weekly_Inspections!$AX432&lt;&gt;"",Weekly_Inspections!$AX432,IF(Weekly_Inspections!$AY432&lt;&gt;"",Weekly_Inspections!$AY432,IF(Weekly_Inspections!$AZ432&lt;&gt;"",Weekly_Inspections!$AZ432,IF(Weekly_Inspections!$BA432&lt;&gt;"",Weekly_Inspections!$BA432,IF(Weekly_Inspections!$BB432&lt;&gt;"",Weekly_Inspections!$BB432,Weekly_Inspections!$R432)))))</f>
        <v/>
      </c>
      <c r="G432" s="30">
        <f>IF(OR(Weekly_Inspections!$AQ432&lt;&gt;"",Weekly_Inspections!$AR432&lt;&gt;"",Weekly_Inspections!$AS432&lt;&gt;""),Weekly_Inspections!$AQ432,"")</f>
        <v/>
      </c>
      <c r="H432" s="30">
        <f>Weekly_Inspections!$AP432</f>
        <v/>
      </c>
      <c r="I432" s="30">
        <f>Weekly_Inspections!$AR432</f>
        <v/>
      </c>
      <c r="J432" s="30">
        <f>Weekly_Inspections!$AS432</f>
        <v/>
      </c>
      <c r="K432" s="30">
        <f>Weekly_Inspections!$AU432</f>
        <v/>
      </c>
      <c r="L432" s="46">
        <f>Weekly_Inspections!$AV432</f>
        <v/>
      </c>
      <c r="M432" s="30">
        <f>IF($B432="","",IF($N432&lt;&gt;"","Closed",IF(OR($G432&lt;&gt;"",$I432&lt;&gt;"",$J432&lt;&gt;""),"Open","")))</f>
        <v/>
      </c>
      <c r="N432" s="46" t="n"/>
      <c r="O432" s="28">
        <f>IF($B432="","",IF($M432="Closed",IF($N432="","",$N432-$B432),TODAY()-$B432))</f>
        <v/>
      </c>
      <c r="P432" s="28">
        <f>IF(OR($B432="",$L432="",$M432="Closed"),"",IF(TODAY()&gt;$L432,"YES","NO"))</f>
        <v/>
      </c>
      <c r="Q432" s="30">
        <f>Weekly_Inspections!$AW432</f>
        <v/>
      </c>
    </row>
    <row r="433" ht="15" customHeight="1" s="45">
      <c r="A433" s="28">
        <f>IF(Weekly_Inspections!$B433="","",Weekly_Inspections!$A433&amp;"-A1")</f>
        <v/>
      </c>
      <c r="B433" s="46">
        <f>Weekly_Inspections!$B433</f>
        <v/>
      </c>
      <c r="C433" s="30">
        <f>Weekly_Inspections!$E433</f>
        <v/>
      </c>
      <c r="D433" s="30">
        <f>Weekly_Inspections!$F433</f>
        <v/>
      </c>
      <c r="E433" s="28">
        <f>Weekly_Inspections!$H433</f>
        <v/>
      </c>
      <c r="F433" s="30">
        <f>IF(Weekly_Inspections!$AX433&lt;&gt;"",Weekly_Inspections!$AX433,IF(Weekly_Inspections!$AY433&lt;&gt;"",Weekly_Inspections!$AY433,IF(Weekly_Inspections!$AZ433&lt;&gt;"",Weekly_Inspections!$AZ433,IF(Weekly_Inspections!$BA433&lt;&gt;"",Weekly_Inspections!$BA433,IF(Weekly_Inspections!$BB433&lt;&gt;"",Weekly_Inspections!$BB433,Weekly_Inspections!$R433)))))</f>
        <v/>
      </c>
      <c r="G433" s="30">
        <f>IF(OR(Weekly_Inspections!$AQ433&lt;&gt;"",Weekly_Inspections!$AR433&lt;&gt;"",Weekly_Inspections!$AS433&lt;&gt;""),Weekly_Inspections!$AQ433,"")</f>
        <v/>
      </c>
      <c r="H433" s="30">
        <f>Weekly_Inspections!$AP433</f>
        <v/>
      </c>
      <c r="I433" s="30">
        <f>Weekly_Inspections!$AR433</f>
        <v/>
      </c>
      <c r="J433" s="30">
        <f>Weekly_Inspections!$AS433</f>
        <v/>
      </c>
      <c r="K433" s="30">
        <f>Weekly_Inspections!$AU433</f>
        <v/>
      </c>
      <c r="L433" s="46">
        <f>Weekly_Inspections!$AV433</f>
        <v/>
      </c>
      <c r="M433" s="30">
        <f>IF($B433="","",IF($N433&lt;&gt;"","Closed",IF(OR($G433&lt;&gt;"",$I433&lt;&gt;"",$J433&lt;&gt;""),"Open","")))</f>
        <v/>
      </c>
      <c r="N433" s="46" t="n"/>
      <c r="O433" s="28">
        <f>IF($B433="","",IF($M433="Closed",IF($N433="","",$N433-$B433),TODAY()-$B433))</f>
        <v/>
      </c>
      <c r="P433" s="28">
        <f>IF(OR($B433="",$L433="",$M433="Closed"),"",IF(TODAY()&gt;$L433,"YES","NO"))</f>
        <v/>
      </c>
      <c r="Q433" s="30">
        <f>Weekly_Inspections!$AW433</f>
        <v/>
      </c>
    </row>
    <row r="434" ht="15" customHeight="1" s="45">
      <c r="A434" s="28">
        <f>IF(Weekly_Inspections!$B434="","",Weekly_Inspections!$A434&amp;"-A1")</f>
        <v/>
      </c>
      <c r="B434" s="46">
        <f>Weekly_Inspections!$B434</f>
        <v/>
      </c>
      <c r="C434" s="30">
        <f>Weekly_Inspections!$E434</f>
        <v/>
      </c>
      <c r="D434" s="30">
        <f>Weekly_Inspections!$F434</f>
        <v/>
      </c>
      <c r="E434" s="28">
        <f>Weekly_Inspections!$H434</f>
        <v/>
      </c>
      <c r="F434" s="30">
        <f>IF(Weekly_Inspections!$AX434&lt;&gt;"",Weekly_Inspections!$AX434,IF(Weekly_Inspections!$AY434&lt;&gt;"",Weekly_Inspections!$AY434,IF(Weekly_Inspections!$AZ434&lt;&gt;"",Weekly_Inspections!$AZ434,IF(Weekly_Inspections!$BA434&lt;&gt;"",Weekly_Inspections!$BA434,IF(Weekly_Inspections!$BB434&lt;&gt;"",Weekly_Inspections!$BB434,Weekly_Inspections!$R434)))))</f>
        <v/>
      </c>
      <c r="G434" s="30">
        <f>IF(OR(Weekly_Inspections!$AQ434&lt;&gt;"",Weekly_Inspections!$AR434&lt;&gt;"",Weekly_Inspections!$AS434&lt;&gt;""),Weekly_Inspections!$AQ434,"")</f>
        <v/>
      </c>
      <c r="H434" s="30">
        <f>Weekly_Inspections!$AP434</f>
        <v/>
      </c>
      <c r="I434" s="30">
        <f>Weekly_Inspections!$AR434</f>
        <v/>
      </c>
      <c r="J434" s="30">
        <f>Weekly_Inspections!$AS434</f>
        <v/>
      </c>
      <c r="K434" s="30">
        <f>Weekly_Inspections!$AU434</f>
        <v/>
      </c>
      <c r="L434" s="46">
        <f>Weekly_Inspections!$AV434</f>
        <v/>
      </c>
      <c r="M434" s="30">
        <f>IF($B434="","",IF($N434&lt;&gt;"","Closed",IF(OR($G434&lt;&gt;"",$I434&lt;&gt;"",$J434&lt;&gt;""),"Open","")))</f>
        <v/>
      </c>
      <c r="N434" s="46" t="n"/>
      <c r="O434" s="28">
        <f>IF($B434="","",IF($M434="Closed",IF($N434="","",$N434-$B434),TODAY()-$B434))</f>
        <v/>
      </c>
      <c r="P434" s="28">
        <f>IF(OR($B434="",$L434="",$M434="Closed"),"",IF(TODAY()&gt;$L434,"YES","NO"))</f>
        <v/>
      </c>
      <c r="Q434" s="30">
        <f>Weekly_Inspections!$AW434</f>
        <v/>
      </c>
    </row>
    <row r="435" ht="15" customHeight="1" s="45">
      <c r="A435" s="28">
        <f>IF(Weekly_Inspections!$B435="","",Weekly_Inspections!$A435&amp;"-A1")</f>
        <v/>
      </c>
      <c r="B435" s="46">
        <f>Weekly_Inspections!$B435</f>
        <v/>
      </c>
      <c r="C435" s="30">
        <f>Weekly_Inspections!$E435</f>
        <v/>
      </c>
      <c r="D435" s="30">
        <f>Weekly_Inspections!$F435</f>
        <v/>
      </c>
      <c r="E435" s="28">
        <f>Weekly_Inspections!$H435</f>
        <v/>
      </c>
      <c r="F435" s="30">
        <f>IF(Weekly_Inspections!$AX435&lt;&gt;"",Weekly_Inspections!$AX435,IF(Weekly_Inspections!$AY435&lt;&gt;"",Weekly_Inspections!$AY435,IF(Weekly_Inspections!$AZ435&lt;&gt;"",Weekly_Inspections!$AZ435,IF(Weekly_Inspections!$BA435&lt;&gt;"",Weekly_Inspections!$BA435,IF(Weekly_Inspections!$BB435&lt;&gt;"",Weekly_Inspections!$BB435,Weekly_Inspections!$R435)))))</f>
        <v/>
      </c>
      <c r="G435" s="30">
        <f>IF(OR(Weekly_Inspections!$AQ435&lt;&gt;"",Weekly_Inspections!$AR435&lt;&gt;"",Weekly_Inspections!$AS435&lt;&gt;""),Weekly_Inspections!$AQ435,"")</f>
        <v/>
      </c>
      <c r="H435" s="30">
        <f>Weekly_Inspections!$AP435</f>
        <v/>
      </c>
      <c r="I435" s="30">
        <f>Weekly_Inspections!$AR435</f>
        <v/>
      </c>
      <c r="J435" s="30">
        <f>Weekly_Inspections!$AS435</f>
        <v/>
      </c>
      <c r="K435" s="30">
        <f>Weekly_Inspections!$AU435</f>
        <v/>
      </c>
      <c r="L435" s="46">
        <f>Weekly_Inspections!$AV435</f>
        <v/>
      </c>
      <c r="M435" s="30">
        <f>IF($B435="","",IF($N435&lt;&gt;"","Closed",IF(OR($G435&lt;&gt;"",$I435&lt;&gt;"",$J435&lt;&gt;""),"Open","")))</f>
        <v/>
      </c>
      <c r="N435" s="46" t="n"/>
      <c r="O435" s="28">
        <f>IF($B435="","",IF($M435="Closed",IF($N435="","",$N435-$B435),TODAY()-$B435))</f>
        <v/>
      </c>
      <c r="P435" s="28">
        <f>IF(OR($B435="",$L435="",$M435="Closed"),"",IF(TODAY()&gt;$L435,"YES","NO"))</f>
        <v/>
      </c>
      <c r="Q435" s="30">
        <f>Weekly_Inspections!$AW435</f>
        <v/>
      </c>
    </row>
    <row r="436" ht="15" customHeight="1" s="45">
      <c r="A436" s="28">
        <f>IF(Weekly_Inspections!$B436="","",Weekly_Inspections!$A436&amp;"-A1")</f>
        <v/>
      </c>
      <c r="B436" s="46">
        <f>Weekly_Inspections!$B436</f>
        <v/>
      </c>
      <c r="C436" s="30">
        <f>Weekly_Inspections!$E436</f>
        <v/>
      </c>
      <c r="D436" s="30">
        <f>Weekly_Inspections!$F436</f>
        <v/>
      </c>
      <c r="E436" s="28">
        <f>Weekly_Inspections!$H436</f>
        <v/>
      </c>
      <c r="F436" s="30">
        <f>IF(Weekly_Inspections!$AX436&lt;&gt;"",Weekly_Inspections!$AX436,IF(Weekly_Inspections!$AY436&lt;&gt;"",Weekly_Inspections!$AY436,IF(Weekly_Inspections!$AZ436&lt;&gt;"",Weekly_Inspections!$AZ436,IF(Weekly_Inspections!$BA436&lt;&gt;"",Weekly_Inspections!$BA436,IF(Weekly_Inspections!$BB436&lt;&gt;"",Weekly_Inspections!$BB436,Weekly_Inspections!$R436)))))</f>
        <v/>
      </c>
      <c r="G436" s="30">
        <f>IF(OR(Weekly_Inspections!$AQ436&lt;&gt;"",Weekly_Inspections!$AR436&lt;&gt;"",Weekly_Inspections!$AS436&lt;&gt;""),Weekly_Inspections!$AQ436,"")</f>
        <v/>
      </c>
      <c r="H436" s="30">
        <f>Weekly_Inspections!$AP436</f>
        <v/>
      </c>
      <c r="I436" s="30">
        <f>Weekly_Inspections!$AR436</f>
        <v/>
      </c>
      <c r="J436" s="30">
        <f>Weekly_Inspections!$AS436</f>
        <v/>
      </c>
      <c r="K436" s="30">
        <f>Weekly_Inspections!$AU436</f>
        <v/>
      </c>
      <c r="L436" s="46">
        <f>Weekly_Inspections!$AV436</f>
        <v/>
      </c>
      <c r="M436" s="30">
        <f>IF($B436="","",IF($N436&lt;&gt;"","Closed",IF(OR($G436&lt;&gt;"",$I436&lt;&gt;"",$J436&lt;&gt;""),"Open","")))</f>
        <v/>
      </c>
      <c r="N436" s="46" t="n"/>
      <c r="O436" s="28">
        <f>IF($B436="","",IF($M436="Closed",IF($N436="","",$N436-$B436),TODAY()-$B436))</f>
        <v/>
      </c>
      <c r="P436" s="28">
        <f>IF(OR($B436="",$L436="",$M436="Closed"),"",IF(TODAY()&gt;$L436,"YES","NO"))</f>
        <v/>
      </c>
      <c r="Q436" s="30">
        <f>Weekly_Inspections!$AW436</f>
        <v/>
      </c>
    </row>
    <row r="437" ht="15" customHeight="1" s="45">
      <c r="A437" s="28">
        <f>IF(Weekly_Inspections!$B437="","",Weekly_Inspections!$A437&amp;"-A1")</f>
        <v/>
      </c>
      <c r="B437" s="46">
        <f>Weekly_Inspections!$B437</f>
        <v/>
      </c>
      <c r="C437" s="30">
        <f>Weekly_Inspections!$E437</f>
        <v/>
      </c>
      <c r="D437" s="30">
        <f>Weekly_Inspections!$F437</f>
        <v/>
      </c>
      <c r="E437" s="28">
        <f>Weekly_Inspections!$H437</f>
        <v/>
      </c>
      <c r="F437" s="30">
        <f>IF(Weekly_Inspections!$AX437&lt;&gt;"",Weekly_Inspections!$AX437,IF(Weekly_Inspections!$AY437&lt;&gt;"",Weekly_Inspections!$AY437,IF(Weekly_Inspections!$AZ437&lt;&gt;"",Weekly_Inspections!$AZ437,IF(Weekly_Inspections!$BA437&lt;&gt;"",Weekly_Inspections!$BA437,IF(Weekly_Inspections!$BB437&lt;&gt;"",Weekly_Inspections!$BB437,Weekly_Inspections!$R437)))))</f>
        <v/>
      </c>
      <c r="G437" s="30">
        <f>IF(OR(Weekly_Inspections!$AQ437&lt;&gt;"",Weekly_Inspections!$AR437&lt;&gt;"",Weekly_Inspections!$AS437&lt;&gt;""),Weekly_Inspections!$AQ437,"")</f>
        <v/>
      </c>
      <c r="H437" s="30">
        <f>Weekly_Inspections!$AP437</f>
        <v/>
      </c>
      <c r="I437" s="30">
        <f>Weekly_Inspections!$AR437</f>
        <v/>
      </c>
      <c r="J437" s="30">
        <f>Weekly_Inspections!$AS437</f>
        <v/>
      </c>
      <c r="K437" s="30">
        <f>Weekly_Inspections!$AU437</f>
        <v/>
      </c>
      <c r="L437" s="46">
        <f>Weekly_Inspections!$AV437</f>
        <v/>
      </c>
      <c r="M437" s="30">
        <f>IF($B437="","",IF($N437&lt;&gt;"","Closed",IF(OR($G437&lt;&gt;"",$I437&lt;&gt;"",$J437&lt;&gt;""),"Open","")))</f>
        <v/>
      </c>
      <c r="N437" s="46" t="n"/>
      <c r="O437" s="28">
        <f>IF($B437="","",IF($M437="Closed",IF($N437="","",$N437-$B437),TODAY()-$B437))</f>
        <v/>
      </c>
      <c r="P437" s="28">
        <f>IF(OR($B437="",$L437="",$M437="Closed"),"",IF(TODAY()&gt;$L437,"YES","NO"))</f>
        <v/>
      </c>
      <c r="Q437" s="30">
        <f>Weekly_Inspections!$AW437</f>
        <v/>
      </c>
    </row>
    <row r="438" ht="15" customHeight="1" s="45">
      <c r="A438" s="28">
        <f>IF(Weekly_Inspections!$B438="","",Weekly_Inspections!$A438&amp;"-A1")</f>
        <v/>
      </c>
      <c r="B438" s="46">
        <f>Weekly_Inspections!$B438</f>
        <v/>
      </c>
      <c r="C438" s="30">
        <f>Weekly_Inspections!$E438</f>
        <v/>
      </c>
      <c r="D438" s="30">
        <f>Weekly_Inspections!$F438</f>
        <v/>
      </c>
      <c r="E438" s="28">
        <f>Weekly_Inspections!$H438</f>
        <v/>
      </c>
      <c r="F438" s="30">
        <f>IF(Weekly_Inspections!$AX438&lt;&gt;"",Weekly_Inspections!$AX438,IF(Weekly_Inspections!$AY438&lt;&gt;"",Weekly_Inspections!$AY438,IF(Weekly_Inspections!$AZ438&lt;&gt;"",Weekly_Inspections!$AZ438,IF(Weekly_Inspections!$BA438&lt;&gt;"",Weekly_Inspections!$BA438,IF(Weekly_Inspections!$BB438&lt;&gt;"",Weekly_Inspections!$BB438,Weekly_Inspections!$R438)))))</f>
        <v/>
      </c>
      <c r="G438" s="30">
        <f>IF(OR(Weekly_Inspections!$AQ438&lt;&gt;"",Weekly_Inspections!$AR438&lt;&gt;"",Weekly_Inspections!$AS438&lt;&gt;""),Weekly_Inspections!$AQ438,"")</f>
        <v/>
      </c>
      <c r="H438" s="30">
        <f>Weekly_Inspections!$AP438</f>
        <v/>
      </c>
      <c r="I438" s="30">
        <f>Weekly_Inspections!$AR438</f>
        <v/>
      </c>
      <c r="J438" s="30">
        <f>Weekly_Inspections!$AS438</f>
        <v/>
      </c>
      <c r="K438" s="30">
        <f>Weekly_Inspections!$AU438</f>
        <v/>
      </c>
      <c r="L438" s="46">
        <f>Weekly_Inspections!$AV438</f>
        <v/>
      </c>
      <c r="M438" s="30">
        <f>IF($B438="","",IF($N438&lt;&gt;"","Closed",IF(OR($G438&lt;&gt;"",$I438&lt;&gt;"",$J438&lt;&gt;""),"Open","")))</f>
        <v/>
      </c>
      <c r="N438" s="46" t="n"/>
      <c r="O438" s="28">
        <f>IF($B438="","",IF($M438="Closed",IF($N438="","",$N438-$B438),TODAY()-$B438))</f>
        <v/>
      </c>
      <c r="P438" s="28">
        <f>IF(OR($B438="",$L438="",$M438="Closed"),"",IF(TODAY()&gt;$L438,"YES","NO"))</f>
        <v/>
      </c>
      <c r="Q438" s="30">
        <f>Weekly_Inspections!$AW438</f>
        <v/>
      </c>
    </row>
    <row r="439" ht="15" customHeight="1" s="45">
      <c r="A439" s="28">
        <f>IF(Weekly_Inspections!$B439="","",Weekly_Inspections!$A439&amp;"-A1")</f>
        <v/>
      </c>
      <c r="B439" s="46">
        <f>Weekly_Inspections!$B439</f>
        <v/>
      </c>
      <c r="C439" s="30">
        <f>Weekly_Inspections!$E439</f>
        <v/>
      </c>
      <c r="D439" s="30">
        <f>Weekly_Inspections!$F439</f>
        <v/>
      </c>
      <c r="E439" s="28">
        <f>Weekly_Inspections!$H439</f>
        <v/>
      </c>
      <c r="F439" s="30">
        <f>IF(Weekly_Inspections!$AX439&lt;&gt;"",Weekly_Inspections!$AX439,IF(Weekly_Inspections!$AY439&lt;&gt;"",Weekly_Inspections!$AY439,IF(Weekly_Inspections!$AZ439&lt;&gt;"",Weekly_Inspections!$AZ439,IF(Weekly_Inspections!$BA439&lt;&gt;"",Weekly_Inspections!$BA439,IF(Weekly_Inspections!$BB439&lt;&gt;"",Weekly_Inspections!$BB439,Weekly_Inspections!$R439)))))</f>
        <v/>
      </c>
      <c r="G439" s="30">
        <f>IF(OR(Weekly_Inspections!$AQ439&lt;&gt;"",Weekly_Inspections!$AR439&lt;&gt;"",Weekly_Inspections!$AS439&lt;&gt;""),Weekly_Inspections!$AQ439,"")</f>
        <v/>
      </c>
      <c r="H439" s="30">
        <f>Weekly_Inspections!$AP439</f>
        <v/>
      </c>
      <c r="I439" s="30">
        <f>Weekly_Inspections!$AR439</f>
        <v/>
      </c>
      <c r="J439" s="30">
        <f>Weekly_Inspections!$AS439</f>
        <v/>
      </c>
      <c r="K439" s="30">
        <f>Weekly_Inspections!$AU439</f>
        <v/>
      </c>
      <c r="L439" s="46">
        <f>Weekly_Inspections!$AV439</f>
        <v/>
      </c>
      <c r="M439" s="30">
        <f>IF($B439="","",IF($N439&lt;&gt;"","Closed",IF(OR($G439&lt;&gt;"",$I439&lt;&gt;"",$J439&lt;&gt;""),"Open","")))</f>
        <v/>
      </c>
      <c r="N439" s="46" t="n"/>
      <c r="O439" s="28">
        <f>IF($B439="","",IF($M439="Closed",IF($N439="","",$N439-$B439),TODAY()-$B439))</f>
        <v/>
      </c>
      <c r="P439" s="28">
        <f>IF(OR($B439="",$L439="",$M439="Closed"),"",IF(TODAY()&gt;$L439,"YES","NO"))</f>
        <v/>
      </c>
      <c r="Q439" s="30">
        <f>Weekly_Inspections!$AW439</f>
        <v/>
      </c>
    </row>
    <row r="440" ht="15" customHeight="1" s="45">
      <c r="A440" s="28">
        <f>IF(Weekly_Inspections!$B440="","",Weekly_Inspections!$A440&amp;"-A1")</f>
        <v/>
      </c>
      <c r="B440" s="46">
        <f>Weekly_Inspections!$B440</f>
        <v/>
      </c>
      <c r="C440" s="30">
        <f>Weekly_Inspections!$E440</f>
        <v/>
      </c>
      <c r="D440" s="30">
        <f>Weekly_Inspections!$F440</f>
        <v/>
      </c>
      <c r="E440" s="28">
        <f>Weekly_Inspections!$H440</f>
        <v/>
      </c>
      <c r="F440" s="30">
        <f>IF(Weekly_Inspections!$AX440&lt;&gt;"",Weekly_Inspections!$AX440,IF(Weekly_Inspections!$AY440&lt;&gt;"",Weekly_Inspections!$AY440,IF(Weekly_Inspections!$AZ440&lt;&gt;"",Weekly_Inspections!$AZ440,IF(Weekly_Inspections!$BA440&lt;&gt;"",Weekly_Inspections!$BA440,IF(Weekly_Inspections!$BB440&lt;&gt;"",Weekly_Inspections!$BB440,Weekly_Inspections!$R440)))))</f>
        <v/>
      </c>
      <c r="G440" s="30">
        <f>IF(OR(Weekly_Inspections!$AQ440&lt;&gt;"",Weekly_Inspections!$AR440&lt;&gt;"",Weekly_Inspections!$AS440&lt;&gt;""),Weekly_Inspections!$AQ440,"")</f>
        <v/>
      </c>
      <c r="H440" s="30">
        <f>Weekly_Inspections!$AP440</f>
        <v/>
      </c>
      <c r="I440" s="30">
        <f>Weekly_Inspections!$AR440</f>
        <v/>
      </c>
      <c r="J440" s="30">
        <f>Weekly_Inspections!$AS440</f>
        <v/>
      </c>
      <c r="K440" s="30">
        <f>Weekly_Inspections!$AU440</f>
        <v/>
      </c>
      <c r="L440" s="46">
        <f>Weekly_Inspections!$AV440</f>
        <v/>
      </c>
      <c r="M440" s="30">
        <f>IF($B440="","",IF($N440&lt;&gt;"","Closed",IF(OR($G440&lt;&gt;"",$I440&lt;&gt;"",$J440&lt;&gt;""),"Open","")))</f>
        <v/>
      </c>
      <c r="N440" s="46" t="n"/>
      <c r="O440" s="28">
        <f>IF($B440="","",IF($M440="Closed",IF($N440="","",$N440-$B440),TODAY()-$B440))</f>
        <v/>
      </c>
      <c r="P440" s="28">
        <f>IF(OR($B440="",$L440="",$M440="Closed"),"",IF(TODAY()&gt;$L440,"YES","NO"))</f>
        <v/>
      </c>
      <c r="Q440" s="30">
        <f>Weekly_Inspections!$AW440</f>
        <v/>
      </c>
    </row>
    <row r="441" ht="15" customHeight="1" s="45">
      <c r="A441" s="28">
        <f>IF(Weekly_Inspections!$B441="","",Weekly_Inspections!$A441&amp;"-A1")</f>
        <v/>
      </c>
      <c r="B441" s="46">
        <f>Weekly_Inspections!$B441</f>
        <v/>
      </c>
      <c r="C441" s="30">
        <f>Weekly_Inspections!$E441</f>
        <v/>
      </c>
      <c r="D441" s="30">
        <f>Weekly_Inspections!$F441</f>
        <v/>
      </c>
      <c r="E441" s="28">
        <f>Weekly_Inspections!$H441</f>
        <v/>
      </c>
      <c r="F441" s="30">
        <f>IF(Weekly_Inspections!$AX441&lt;&gt;"",Weekly_Inspections!$AX441,IF(Weekly_Inspections!$AY441&lt;&gt;"",Weekly_Inspections!$AY441,IF(Weekly_Inspections!$AZ441&lt;&gt;"",Weekly_Inspections!$AZ441,IF(Weekly_Inspections!$BA441&lt;&gt;"",Weekly_Inspections!$BA441,IF(Weekly_Inspections!$BB441&lt;&gt;"",Weekly_Inspections!$BB441,Weekly_Inspections!$R441)))))</f>
        <v/>
      </c>
      <c r="G441" s="30">
        <f>IF(OR(Weekly_Inspections!$AQ441&lt;&gt;"",Weekly_Inspections!$AR441&lt;&gt;"",Weekly_Inspections!$AS441&lt;&gt;""),Weekly_Inspections!$AQ441,"")</f>
        <v/>
      </c>
      <c r="H441" s="30">
        <f>Weekly_Inspections!$AP441</f>
        <v/>
      </c>
      <c r="I441" s="30">
        <f>Weekly_Inspections!$AR441</f>
        <v/>
      </c>
      <c r="J441" s="30">
        <f>Weekly_Inspections!$AS441</f>
        <v/>
      </c>
      <c r="K441" s="30">
        <f>Weekly_Inspections!$AU441</f>
        <v/>
      </c>
      <c r="L441" s="46">
        <f>Weekly_Inspections!$AV441</f>
        <v/>
      </c>
      <c r="M441" s="30">
        <f>IF($B441="","",IF($N441&lt;&gt;"","Closed",IF(OR($G441&lt;&gt;"",$I441&lt;&gt;"",$J441&lt;&gt;""),"Open","")))</f>
        <v/>
      </c>
      <c r="N441" s="46" t="n"/>
      <c r="O441" s="28">
        <f>IF($B441="","",IF($M441="Closed",IF($N441="","",$N441-$B441),TODAY()-$B441))</f>
        <v/>
      </c>
      <c r="P441" s="28">
        <f>IF(OR($B441="",$L441="",$M441="Closed"),"",IF(TODAY()&gt;$L441,"YES","NO"))</f>
        <v/>
      </c>
      <c r="Q441" s="30">
        <f>Weekly_Inspections!$AW441</f>
        <v/>
      </c>
    </row>
    <row r="442" ht="15" customHeight="1" s="45">
      <c r="A442" s="28">
        <f>IF(Weekly_Inspections!$B442="","",Weekly_Inspections!$A442&amp;"-A1")</f>
        <v/>
      </c>
      <c r="B442" s="46">
        <f>Weekly_Inspections!$B442</f>
        <v/>
      </c>
      <c r="C442" s="30">
        <f>Weekly_Inspections!$E442</f>
        <v/>
      </c>
      <c r="D442" s="30">
        <f>Weekly_Inspections!$F442</f>
        <v/>
      </c>
      <c r="E442" s="28">
        <f>Weekly_Inspections!$H442</f>
        <v/>
      </c>
      <c r="F442" s="30">
        <f>IF(Weekly_Inspections!$AX442&lt;&gt;"",Weekly_Inspections!$AX442,IF(Weekly_Inspections!$AY442&lt;&gt;"",Weekly_Inspections!$AY442,IF(Weekly_Inspections!$AZ442&lt;&gt;"",Weekly_Inspections!$AZ442,IF(Weekly_Inspections!$BA442&lt;&gt;"",Weekly_Inspections!$BA442,IF(Weekly_Inspections!$BB442&lt;&gt;"",Weekly_Inspections!$BB442,Weekly_Inspections!$R442)))))</f>
        <v/>
      </c>
      <c r="G442" s="30">
        <f>IF(OR(Weekly_Inspections!$AQ442&lt;&gt;"",Weekly_Inspections!$AR442&lt;&gt;"",Weekly_Inspections!$AS442&lt;&gt;""),Weekly_Inspections!$AQ442,"")</f>
        <v/>
      </c>
      <c r="H442" s="30">
        <f>Weekly_Inspections!$AP442</f>
        <v/>
      </c>
      <c r="I442" s="30">
        <f>Weekly_Inspections!$AR442</f>
        <v/>
      </c>
      <c r="J442" s="30">
        <f>Weekly_Inspections!$AS442</f>
        <v/>
      </c>
      <c r="K442" s="30">
        <f>Weekly_Inspections!$AU442</f>
        <v/>
      </c>
      <c r="L442" s="46">
        <f>Weekly_Inspections!$AV442</f>
        <v/>
      </c>
      <c r="M442" s="30">
        <f>IF($B442="","",IF($N442&lt;&gt;"","Closed",IF(OR($G442&lt;&gt;"",$I442&lt;&gt;"",$J442&lt;&gt;""),"Open","")))</f>
        <v/>
      </c>
      <c r="N442" s="46" t="n"/>
      <c r="O442" s="28">
        <f>IF($B442="","",IF($M442="Closed",IF($N442="","",$N442-$B442),TODAY()-$B442))</f>
        <v/>
      </c>
      <c r="P442" s="28">
        <f>IF(OR($B442="",$L442="",$M442="Closed"),"",IF(TODAY()&gt;$L442,"YES","NO"))</f>
        <v/>
      </c>
      <c r="Q442" s="30">
        <f>Weekly_Inspections!$AW442</f>
        <v/>
      </c>
    </row>
    <row r="443" ht="15" customHeight="1" s="45">
      <c r="A443" s="28">
        <f>IF(Weekly_Inspections!$B443="","",Weekly_Inspections!$A443&amp;"-A1")</f>
        <v/>
      </c>
      <c r="B443" s="46">
        <f>Weekly_Inspections!$B443</f>
        <v/>
      </c>
      <c r="C443" s="30">
        <f>Weekly_Inspections!$E443</f>
        <v/>
      </c>
      <c r="D443" s="30">
        <f>Weekly_Inspections!$F443</f>
        <v/>
      </c>
      <c r="E443" s="28">
        <f>Weekly_Inspections!$H443</f>
        <v/>
      </c>
      <c r="F443" s="30">
        <f>IF(Weekly_Inspections!$AX443&lt;&gt;"",Weekly_Inspections!$AX443,IF(Weekly_Inspections!$AY443&lt;&gt;"",Weekly_Inspections!$AY443,IF(Weekly_Inspections!$AZ443&lt;&gt;"",Weekly_Inspections!$AZ443,IF(Weekly_Inspections!$BA443&lt;&gt;"",Weekly_Inspections!$BA443,IF(Weekly_Inspections!$BB443&lt;&gt;"",Weekly_Inspections!$BB443,Weekly_Inspections!$R443)))))</f>
        <v/>
      </c>
      <c r="G443" s="30">
        <f>IF(OR(Weekly_Inspections!$AQ443&lt;&gt;"",Weekly_Inspections!$AR443&lt;&gt;"",Weekly_Inspections!$AS443&lt;&gt;""),Weekly_Inspections!$AQ443,"")</f>
        <v/>
      </c>
      <c r="H443" s="30">
        <f>Weekly_Inspections!$AP443</f>
        <v/>
      </c>
      <c r="I443" s="30">
        <f>Weekly_Inspections!$AR443</f>
        <v/>
      </c>
      <c r="J443" s="30">
        <f>Weekly_Inspections!$AS443</f>
        <v/>
      </c>
      <c r="K443" s="30">
        <f>Weekly_Inspections!$AU443</f>
        <v/>
      </c>
      <c r="L443" s="46">
        <f>Weekly_Inspections!$AV443</f>
        <v/>
      </c>
      <c r="M443" s="30">
        <f>IF($B443="","",IF($N443&lt;&gt;"","Closed",IF(OR($G443&lt;&gt;"",$I443&lt;&gt;"",$J443&lt;&gt;""),"Open","")))</f>
        <v/>
      </c>
      <c r="N443" s="46" t="n"/>
      <c r="O443" s="28">
        <f>IF($B443="","",IF($M443="Closed",IF($N443="","",$N443-$B443),TODAY()-$B443))</f>
        <v/>
      </c>
      <c r="P443" s="28">
        <f>IF(OR($B443="",$L443="",$M443="Closed"),"",IF(TODAY()&gt;$L443,"YES","NO"))</f>
        <v/>
      </c>
      <c r="Q443" s="30">
        <f>Weekly_Inspections!$AW443</f>
        <v/>
      </c>
    </row>
    <row r="444" ht="15" customHeight="1" s="45">
      <c r="A444" s="28">
        <f>IF(Weekly_Inspections!$B444="","",Weekly_Inspections!$A444&amp;"-A1")</f>
        <v/>
      </c>
      <c r="B444" s="46">
        <f>Weekly_Inspections!$B444</f>
        <v/>
      </c>
      <c r="C444" s="30">
        <f>Weekly_Inspections!$E444</f>
        <v/>
      </c>
      <c r="D444" s="30">
        <f>Weekly_Inspections!$F444</f>
        <v/>
      </c>
      <c r="E444" s="28">
        <f>Weekly_Inspections!$H444</f>
        <v/>
      </c>
      <c r="F444" s="30">
        <f>IF(Weekly_Inspections!$AX444&lt;&gt;"",Weekly_Inspections!$AX444,IF(Weekly_Inspections!$AY444&lt;&gt;"",Weekly_Inspections!$AY444,IF(Weekly_Inspections!$AZ444&lt;&gt;"",Weekly_Inspections!$AZ444,IF(Weekly_Inspections!$BA444&lt;&gt;"",Weekly_Inspections!$BA444,IF(Weekly_Inspections!$BB444&lt;&gt;"",Weekly_Inspections!$BB444,Weekly_Inspections!$R444)))))</f>
        <v/>
      </c>
      <c r="G444" s="30">
        <f>IF(OR(Weekly_Inspections!$AQ444&lt;&gt;"",Weekly_Inspections!$AR444&lt;&gt;"",Weekly_Inspections!$AS444&lt;&gt;""),Weekly_Inspections!$AQ444,"")</f>
        <v/>
      </c>
      <c r="H444" s="30">
        <f>Weekly_Inspections!$AP444</f>
        <v/>
      </c>
      <c r="I444" s="30">
        <f>Weekly_Inspections!$AR444</f>
        <v/>
      </c>
      <c r="J444" s="30">
        <f>Weekly_Inspections!$AS444</f>
        <v/>
      </c>
      <c r="K444" s="30">
        <f>Weekly_Inspections!$AU444</f>
        <v/>
      </c>
      <c r="L444" s="46">
        <f>Weekly_Inspections!$AV444</f>
        <v/>
      </c>
      <c r="M444" s="30">
        <f>IF($B444="","",IF($N444&lt;&gt;"","Closed",IF(OR($G444&lt;&gt;"",$I444&lt;&gt;"",$J444&lt;&gt;""),"Open","")))</f>
        <v/>
      </c>
      <c r="N444" s="46" t="n"/>
      <c r="O444" s="28">
        <f>IF($B444="","",IF($M444="Closed",IF($N444="","",$N444-$B444),TODAY()-$B444))</f>
        <v/>
      </c>
      <c r="P444" s="28">
        <f>IF(OR($B444="",$L444="",$M444="Closed"),"",IF(TODAY()&gt;$L444,"YES","NO"))</f>
        <v/>
      </c>
      <c r="Q444" s="30">
        <f>Weekly_Inspections!$AW444</f>
        <v/>
      </c>
    </row>
    <row r="445" ht="15" customHeight="1" s="45">
      <c r="A445" s="28">
        <f>IF(Weekly_Inspections!$B445="","",Weekly_Inspections!$A445&amp;"-A1")</f>
        <v/>
      </c>
      <c r="B445" s="46">
        <f>Weekly_Inspections!$B445</f>
        <v/>
      </c>
      <c r="C445" s="30">
        <f>Weekly_Inspections!$E445</f>
        <v/>
      </c>
      <c r="D445" s="30">
        <f>Weekly_Inspections!$F445</f>
        <v/>
      </c>
      <c r="E445" s="28">
        <f>Weekly_Inspections!$H445</f>
        <v/>
      </c>
      <c r="F445" s="30">
        <f>IF(Weekly_Inspections!$AX445&lt;&gt;"",Weekly_Inspections!$AX445,IF(Weekly_Inspections!$AY445&lt;&gt;"",Weekly_Inspections!$AY445,IF(Weekly_Inspections!$AZ445&lt;&gt;"",Weekly_Inspections!$AZ445,IF(Weekly_Inspections!$BA445&lt;&gt;"",Weekly_Inspections!$BA445,IF(Weekly_Inspections!$BB445&lt;&gt;"",Weekly_Inspections!$BB445,Weekly_Inspections!$R445)))))</f>
        <v/>
      </c>
      <c r="G445" s="30">
        <f>IF(OR(Weekly_Inspections!$AQ445&lt;&gt;"",Weekly_Inspections!$AR445&lt;&gt;"",Weekly_Inspections!$AS445&lt;&gt;""),Weekly_Inspections!$AQ445,"")</f>
        <v/>
      </c>
      <c r="H445" s="30">
        <f>Weekly_Inspections!$AP445</f>
        <v/>
      </c>
      <c r="I445" s="30">
        <f>Weekly_Inspections!$AR445</f>
        <v/>
      </c>
      <c r="J445" s="30">
        <f>Weekly_Inspections!$AS445</f>
        <v/>
      </c>
      <c r="K445" s="30">
        <f>Weekly_Inspections!$AU445</f>
        <v/>
      </c>
      <c r="L445" s="46">
        <f>Weekly_Inspections!$AV445</f>
        <v/>
      </c>
      <c r="M445" s="30">
        <f>IF($B445="","",IF($N445&lt;&gt;"","Closed",IF(OR($G445&lt;&gt;"",$I445&lt;&gt;"",$J445&lt;&gt;""),"Open","")))</f>
        <v/>
      </c>
      <c r="N445" s="46" t="n"/>
      <c r="O445" s="28">
        <f>IF($B445="","",IF($M445="Closed",IF($N445="","",$N445-$B445),TODAY()-$B445))</f>
        <v/>
      </c>
      <c r="P445" s="28">
        <f>IF(OR($B445="",$L445="",$M445="Closed"),"",IF(TODAY()&gt;$L445,"YES","NO"))</f>
        <v/>
      </c>
      <c r="Q445" s="30">
        <f>Weekly_Inspections!$AW445</f>
        <v/>
      </c>
    </row>
    <row r="446" ht="15" customHeight="1" s="45">
      <c r="A446" s="28">
        <f>IF(Weekly_Inspections!$B446="","",Weekly_Inspections!$A446&amp;"-A1")</f>
        <v/>
      </c>
      <c r="B446" s="46">
        <f>Weekly_Inspections!$B446</f>
        <v/>
      </c>
      <c r="C446" s="30">
        <f>Weekly_Inspections!$E446</f>
        <v/>
      </c>
      <c r="D446" s="30">
        <f>Weekly_Inspections!$F446</f>
        <v/>
      </c>
      <c r="E446" s="28">
        <f>Weekly_Inspections!$H446</f>
        <v/>
      </c>
      <c r="F446" s="30">
        <f>IF(Weekly_Inspections!$AX446&lt;&gt;"",Weekly_Inspections!$AX446,IF(Weekly_Inspections!$AY446&lt;&gt;"",Weekly_Inspections!$AY446,IF(Weekly_Inspections!$AZ446&lt;&gt;"",Weekly_Inspections!$AZ446,IF(Weekly_Inspections!$BA446&lt;&gt;"",Weekly_Inspections!$BA446,IF(Weekly_Inspections!$BB446&lt;&gt;"",Weekly_Inspections!$BB446,Weekly_Inspections!$R446)))))</f>
        <v/>
      </c>
      <c r="G446" s="30">
        <f>IF(OR(Weekly_Inspections!$AQ446&lt;&gt;"",Weekly_Inspections!$AR446&lt;&gt;"",Weekly_Inspections!$AS446&lt;&gt;""),Weekly_Inspections!$AQ446,"")</f>
        <v/>
      </c>
      <c r="H446" s="30">
        <f>Weekly_Inspections!$AP446</f>
        <v/>
      </c>
      <c r="I446" s="30">
        <f>Weekly_Inspections!$AR446</f>
        <v/>
      </c>
      <c r="J446" s="30">
        <f>Weekly_Inspections!$AS446</f>
        <v/>
      </c>
      <c r="K446" s="30">
        <f>Weekly_Inspections!$AU446</f>
        <v/>
      </c>
      <c r="L446" s="46">
        <f>Weekly_Inspections!$AV446</f>
        <v/>
      </c>
      <c r="M446" s="30">
        <f>IF($B446="","",IF($N446&lt;&gt;"","Closed",IF(OR($G446&lt;&gt;"",$I446&lt;&gt;"",$J446&lt;&gt;""),"Open","")))</f>
        <v/>
      </c>
      <c r="N446" s="46" t="n"/>
      <c r="O446" s="28">
        <f>IF($B446="","",IF($M446="Closed",IF($N446="","",$N446-$B446),TODAY()-$B446))</f>
        <v/>
      </c>
      <c r="P446" s="28">
        <f>IF(OR($B446="",$L446="",$M446="Closed"),"",IF(TODAY()&gt;$L446,"YES","NO"))</f>
        <v/>
      </c>
      <c r="Q446" s="30">
        <f>Weekly_Inspections!$AW446</f>
        <v/>
      </c>
    </row>
    <row r="447" ht="15" customHeight="1" s="45">
      <c r="A447" s="28">
        <f>IF(Weekly_Inspections!$B447="","",Weekly_Inspections!$A447&amp;"-A1")</f>
        <v/>
      </c>
      <c r="B447" s="46">
        <f>Weekly_Inspections!$B447</f>
        <v/>
      </c>
      <c r="C447" s="30">
        <f>Weekly_Inspections!$E447</f>
        <v/>
      </c>
      <c r="D447" s="30">
        <f>Weekly_Inspections!$F447</f>
        <v/>
      </c>
      <c r="E447" s="28">
        <f>Weekly_Inspections!$H447</f>
        <v/>
      </c>
      <c r="F447" s="30">
        <f>IF(Weekly_Inspections!$AX447&lt;&gt;"",Weekly_Inspections!$AX447,IF(Weekly_Inspections!$AY447&lt;&gt;"",Weekly_Inspections!$AY447,IF(Weekly_Inspections!$AZ447&lt;&gt;"",Weekly_Inspections!$AZ447,IF(Weekly_Inspections!$BA447&lt;&gt;"",Weekly_Inspections!$BA447,IF(Weekly_Inspections!$BB447&lt;&gt;"",Weekly_Inspections!$BB447,Weekly_Inspections!$R447)))))</f>
        <v/>
      </c>
      <c r="G447" s="30">
        <f>IF(OR(Weekly_Inspections!$AQ447&lt;&gt;"",Weekly_Inspections!$AR447&lt;&gt;"",Weekly_Inspections!$AS447&lt;&gt;""),Weekly_Inspections!$AQ447,"")</f>
        <v/>
      </c>
      <c r="H447" s="30">
        <f>Weekly_Inspections!$AP447</f>
        <v/>
      </c>
      <c r="I447" s="30">
        <f>Weekly_Inspections!$AR447</f>
        <v/>
      </c>
      <c r="J447" s="30">
        <f>Weekly_Inspections!$AS447</f>
        <v/>
      </c>
      <c r="K447" s="30">
        <f>Weekly_Inspections!$AU447</f>
        <v/>
      </c>
      <c r="L447" s="46">
        <f>Weekly_Inspections!$AV447</f>
        <v/>
      </c>
      <c r="M447" s="30">
        <f>IF($B447="","",IF($N447&lt;&gt;"","Closed",IF(OR($G447&lt;&gt;"",$I447&lt;&gt;"",$J447&lt;&gt;""),"Open","")))</f>
        <v/>
      </c>
      <c r="N447" s="46" t="n"/>
      <c r="O447" s="28">
        <f>IF($B447="","",IF($M447="Closed",IF($N447="","",$N447-$B447),TODAY()-$B447))</f>
        <v/>
      </c>
      <c r="P447" s="28">
        <f>IF(OR($B447="",$L447="",$M447="Closed"),"",IF(TODAY()&gt;$L447,"YES","NO"))</f>
        <v/>
      </c>
      <c r="Q447" s="30">
        <f>Weekly_Inspections!$AW447</f>
        <v/>
      </c>
    </row>
    <row r="448" ht="15" customHeight="1" s="45">
      <c r="A448" s="28">
        <f>IF(Weekly_Inspections!$B448="","",Weekly_Inspections!$A448&amp;"-A1")</f>
        <v/>
      </c>
      <c r="B448" s="46">
        <f>Weekly_Inspections!$B448</f>
        <v/>
      </c>
      <c r="C448" s="30">
        <f>Weekly_Inspections!$E448</f>
        <v/>
      </c>
      <c r="D448" s="30">
        <f>Weekly_Inspections!$F448</f>
        <v/>
      </c>
      <c r="E448" s="28">
        <f>Weekly_Inspections!$H448</f>
        <v/>
      </c>
      <c r="F448" s="30">
        <f>IF(Weekly_Inspections!$AX448&lt;&gt;"",Weekly_Inspections!$AX448,IF(Weekly_Inspections!$AY448&lt;&gt;"",Weekly_Inspections!$AY448,IF(Weekly_Inspections!$AZ448&lt;&gt;"",Weekly_Inspections!$AZ448,IF(Weekly_Inspections!$BA448&lt;&gt;"",Weekly_Inspections!$BA448,IF(Weekly_Inspections!$BB448&lt;&gt;"",Weekly_Inspections!$BB448,Weekly_Inspections!$R448)))))</f>
        <v/>
      </c>
      <c r="G448" s="30">
        <f>IF(OR(Weekly_Inspections!$AQ448&lt;&gt;"",Weekly_Inspections!$AR448&lt;&gt;"",Weekly_Inspections!$AS448&lt;&gt;""),Weekly_Inspections!$AQ448,"")</f>
        <v/>
      </c>
      <c r="H448" s="30">
        <f>Weekly_Inspections!$AP448</f>
        <v/>
      </c>
      <c r="I448" s="30">
        <f>Weekly_Inspections!$AR448</f>
        <v/>
      </c>
      <c r="J448" s="30">
        <f>Weekly_Inspections!$AS448</f>
        <v/>
      </c>
      <c r="K448" s="30">
        <f>Weekly_Inspections!$AU448</f>
        <v/>
      </c>
      <c r="L448" s="46">
        <f>Weekly_Inspections!$AV448</f>
        <v/>
      </c>
      <c r="M448" s="30">
        <f>IF($B448="","",IF($N448&lt;&gt;"","Closed",IF(OR($G448&lt;&gt;"",$I448&lt;&gt;"",$J448&lt;&gt;""),"Open","")))</f>
        <v/>
      </c>
      <c r="N448" s="46" t="n"/>
      <c r="O448" s="28">
        <f>IF($B448="","",IF($M448="Closed",IF($N448="","",$N448-$B448),TODAY()-$B448))</f>
        <v/>
      </c>
      <c r="P448" s="28">
        <f>IF(OR($B448="",$L448="",$M448="Closed"),"",IF(TODAY()&gt;$L448,"YES","NO"))</f>
        <v/>
      </c>
      <c r="Q448" s="30">
        <f>Weekly_Inspections!$AW448</f>
        <v/>
      </c>
    </row>
    <row r="449" ht="15" customHeight="1" s="45">
      <c r="A449" s="28">
        <f>IF(Weekly_Inspections!$B449="","",Weekly_Inspections!$A449&amp;"-A1")</f>
        <v/>
      </c>
      <c r="B449" s="46">
        <f>Weekly_Inspections!$B449</f>
        <v/>
      </c>
      <c r="C449" s="30">
        <f>Weekly_Inspections!$E449</f>
        <v/>
      </c>
      <c r="D449" s="30">
        <f>Weekly_Inspections!$F449</f>
        <v/>
      </c>
      <c r="E449" s="28">
        <f>Weekly_Inspections!$H449</f>
        <v/>
      </c>
      <c r="F449" s="30">
        <f>IF(Weekly_Inspections!$AX449&lt;&gt;"",Weekly_Inspections!$AX449,IF(Weekly_Inspections!$AY449&lt;&gt;"",Weekly_Inspections!$AY449,IF(Weekly_Inspections!$AZ449&lt;&gt;"",Weekly_Inspections!$AZ449,IF(Weekly_Inspections!$BA449&lt;&gt;"",Weekly_Inspections!$BA449,IF(Weekly_Inspections!$BB449&lt;&gt;"",Weekly_Inspections!$BB449,Weekly_Inspections!$R449)))))</f>
        <v/>
      </c>
      <c r="G449" s="30">
        <f>IF(OR(Weekly_Inspections!$AQ449&lt;&gt;"",Weekly_Inspections!$AR449&lt;&gt;"",Weekly_Inspections!$AS449&lt;&gt;""),Weekly_Inspections!$AQ449,"")</f>
        <v/>
      </c>
      <c r="H449" s="30">
        <f>Weekly_Inspections!$AP449</f>
        <v/>
      </c>
      <c r="I449" s="30">
        <f>Weekly_Inspections!$AR449</f>
        <v/>
      </c>
      <c r="J449" s="30">
        <f>Weekly_Inspections!$AS449</f>
        <v/>
      </c>
      <c r="K449" s="30">
        <f>Weekly_Inspections!$AU449</f>
        <v/>
      </c>
      <c r="L449" s="46">
        <f>Weekly_Inspections!$AV449</f>
        <v/>
      </c>
      <c r="M449" s="30">
        <f>IF($B449="","",IF($N449&lt;&gt;"","Closed",IF(OR($G449&lt;&gt;"",$I449&lt;&gt;"",$J449&lt;&gt;""),"Open","")))</f>
        <v/>
      </c>
      <c r="N449" s="46" t="n"/>
      <c r="O449" s="28">
        <f>IF($B449="","",IF($M449="Closed",IF($N449="","",$N449-$B449),TODAY()-$B449))</f>
        <v/>
      </c>
      <c r="P449" s="28">
        <f>IF(OR($B449="",$L449="",$M449="Closed"),"",IF(TODAY()&gt;$L449,"YES","NO"))</f>
        <v/>
      </c>
      <c r="Q449" s="30">
        <f>Weekly_Inspections!$AW449</f>
        <v/>
      </c>
    </row>
    <row r="450" ht="15" customHeight="1" s="45">
      <c r="A450" s="28">
        <f>IF(Weekly_Inspections!$B450="","",Weekly_Inspections!$A450&amp;"-A1")</f>
        <v/>
      </c>
      <c r="B450" s="46">
        <f>Weekly_Inspections!$B450</f>
        <v/>
      </c>
      <c r="C450" s="30">
        <f>Weekly_Inspections!$E450</f>
        <v/>
      </c>
      <c r="D450" s="30">
        <f>Weekly_Inspections!$F450</f>
        <v/>
      </c>
      <c r="E450" s="28">
        <f>Weekly_Inspections!$H450</f>
        <v/>
      </c>
      <c r="F450" s="30">
        <f>IF(Weekly_Inspections!$AX450&lt;&gt;"",Weekly_Inspections!$AX450,IF(Weekly_Inspections!$AY450&lt;&gt;"",Weekly_Inspections!$AY450,IF(Weekly_Inspections!$AZ450&lt;&gt;"",Weekly_Inspections!$AZ450,IF(Weekly_Inspections!$BA450&lt;&gt;"",Weekly_Inspections!$BA450,IF(Weekly_Inspections!$BB450&lt;&gt;"",Weekly_Inspections!$BB450,Weekly_Inspections!$R450)))))</f>
        <v/>
      </c>
      <c r="G450" s="30">
        <f>IF(OR(Weekly_Inspections!$AQ450&lt;&gt;"",Weekly_Inspections!$AR450&lt;&gt;"",Weekly_Inspections!$AS450&lt;&gt;""),Weekly_Inspections!$AQ450,"")</f>
        <v/>
      </c>
      <c r="H450" s="30">
        <f>Weekly_Inspections!$AP450</f>
        <v/>
      </c>
      <c r="I450" s="30">
        <f>Weekly_Inspections!$AR450</f>
        <v/>
      </c>
      <c r="J450" s="30">
        <f>Weekly_Inspections!$AS450</f>
        <v/>
      </c>
      <c r="K450" s="30">
        <f>Weekly_Inspections!$AU450</f>
        <v/>
      </c>
      <c r="L450" s="46">
        <f>Weekly_Inspections!$AV450</f>
        <v/>
      </c>
      <c r="M450" s="30">
        <f>IF($B450="","",IF($N450&lt;&gt;"","Closed",IF(OR($G450&lt;&gt;"",$I450&lt;&gt;"",$J450&lt;&gt;""),"Open","")))</f>
        <v/>
      </c>
      <c r="N450" s="46" t="n"/>
      <c r="O450" s="28">
        <f>IF($B450="","",IF($M450="Closed",IF($N450="","",$N450-$B450),TODAY()-$B450))</f>
        <v/>
      </c>
      <c r="P450" s="28">
        <f>IF(OR($B450="",$L450="",$M450="Closed"),"",IF(TODAY()&gt;$L450,"YES","NO"))</f>
        <v/>
      </c>
      <c r="Q450" s="30">
        <f>Weekly_Inspections!$AW450</f>
        <v/>
      </c>
    </row>
    <row r="451" ht="15" customHeight="1" s="45">
      <c r="A451" s="28">
        <f>IF(Weekly_Inspections!$B451="","",Weekly_Inspections!$A451&amp;"-A1")</f>
        <v/>
      </c>
      <c r="B451" s="46">
        <f>Weekly_Inspections!$B451</f>
        <v/>
      </c>
      <c r="C451" s="30">
        <f>Weekly_Inspections!$E451</f>
        <v/>
      </c>
      <c r="D451" s="30">
        <f>Weekly_Inspections!$F451</f>
        <v/>
      </c>
      <c r="E451" s="28">
        <f>Weekly_Inspections!$H451</f>
        <v/>
      </c>
      <c r="F451" s="30">
        <f>IF(Weekly_Inspections!$AX451&lt;&gt;"",Weekly_Inspections!$AX451,IF(Weekly_Inspections!$AY451&lt;&gt;"",Weekly_Inspections!$AY451,IF(Weekly_Inspections!$AZ451&lt;&gt;"",Weekly_Inspections!$AZ451,IF(Weekly_Inspections!$BA451&lt;&gt;"",Weekly_Inspections!$BA451,IF(Weekly_Inspections!$BB451&lt;&gt;"",Weekly_Inspections!$BB451,Weekly_Inspections!$R451)))))</f>
        <v/>
      </c>
      <c r="G451" s="30">
        <f>IF(OR(Weekly_Inspections!$AQ451&lt;&gt;"",Weekly_Inspections!$AR451&lt;&gt;"",Weekly_Inspections!$AS451&lt;&gt;""),Weekly_Inspections!$AQ451,"")</f>
        <v/>
      </c>
      <c r="H451" s="30">
        <f>Weekly_Inspections!$AP451</f>
        <v/>
      </c>
      <c r="I451" s="30">
        <f>Weekly_Inspections!$AR451</f>
        <v/>
      </c>
      <c r="J451" s="30">
        <f>Weekly_Inspections!$AS451</f>
        <v/>
      </c>
      <c r="K451" s="30">
        <f>Weekly_Inspections!$AU451</f>
        <v/>
      </c>
      <c r="L451" s="46">
        <f>Weekly_Inspections!$AV451</f>
        <v/>
      </c>
      <c r="M451" s="30">
        <f>IF($B451="","",IF($N451&lt;&gt;"","Closed",IF(OR($G451&lt;&gt;"",$I451&lt;&gt;"",$J451&lt;&gt;""),"Open","")))</f>
        <v/>
      </c>
      <c r="N451" s="46" t="n"/>
      <c r="O451" s="28">
        <f>IF($B451="","",IF($M451="Closed",IF($N451="","",$N451-$B451),TODAY()-$B451))</f>
        <v/>
      </c>
      <c r="P451" s="28">
        <f>IF(OR($B451="",$L451="",$M451="Closed"),"",IF(TODAY()&gt;$L451,"YES","NO"))</f>
        <v/>
      </c>
      <c r="Q451" s="30">
        <f>Weekly_Inspections!$AW451</f>
        <v/>
      </c>
    </row>
    <row r="452" ht="15" customHeight="1" s="45">
      <c r="A452" s="28">
        <f>IF(Weekly_Inspections!$B452="","",Weekly_Inspections!$A452&amp;"-A1")</f>
        <v/>
      </c>
      <c r="B452" s="46">
        <f>Weekly_Inspections!$B452</f>
        <v/>
      </c>
      <c r="C452" s="30">
        <f>Weekly_Inspections!$E452</f>
        <v/>
      </c>
      <c r="D452" s="30">
        <f>Weekly_Inspections!$F452</f>
        <v/>
      </c>
      <c r="E452" s="28">
        <f>Weekly_Inspections!$H452</f>
        <v/>
      </c>
      <c r="F452" s="30">
        <f>IF(Weekly_Inspections!$AX452&lt;&gt;"",Weekly_Inspections!$AX452,IF(Weekly_Inspections!$AY452&lt;&gt;"",Weekly_Inspections!$AY452,IF(Weekly_Inspections!$AZ452&lt;&gt;"",Weekly_Inspections!$AZ452,IF(Weekly_Inspections!$BA452&lt;&gt;"",Weekly_Inspections!$BA452,IF(Weekly_Inspections!$BB452&lt;&gt;"",Weekly_Inspections!$BB452,Weekly_Inspections!$R452)))))</f>
        <v/>
      </c>
      <c r="G452" s="30">
        <f>IF(OR(Weekly_Inspections!$AQ452&lt;&gt;"",Weekly_Inspections!$AR452&lt;&gt;"",Weekly_Inspections!$AS452&lt;&gt;""),Weekly_Inspections!$AQ452,"")</f>
        <v/>
      </c>
      <c r="H452" s="30">
        <f>Weekly_Inspections!$AP452</f>
        <v/>
      </c>
      <c r="I452" s="30">
        <f>Weekly_Inspections!$AR452</f>
        <v/>
      </c>
      <c r="J452" s="30">
        <f>Weekly_Inspections!$AS452</f>
        <v/>
      </c>
      <c r="K452" s="30">
        <f>Weekly_Inspections!$AU452</f>
        <v/>
      </c>
      <c r="L452" s="46">
        <f>Weekly_Inspections!$AV452</f>
        <v/>
      </c>
      <c r="M452" s="30">
        <f>IF($B452="","",IF($N452&lt;&gt;"","Closed",IF(OR($G452&lt;&gt;"",$I452&lt;&gt;"",$J452&lt;&gt;""),"Open","")))</f>
        <v/>
      </c>
      <c r="N452" s="46" t="n"/>
      <c r="O452" s="28">
        <f>IF($B452="","",IF($M452="Closed",IF($N452="","",$N452-$B452),TODAY()-$B452))</f>
        <v/>
      </c>
      <c r="P452" s="28">
        <f>IF(OR($B452="",$L452="",$M452="Closed"),"",IF(TODAY()&gt;$L452,"YES","NO"))</f>
        <v/>
      </c>
      <c r="Q452" s="30">
        <f>Weekly_Inspections!$AW452</f>
        <v/>
      </c>
    </row>
    <row r="453" ht="15" customHeight="1" s="45">
      <c r="A453" s="28">
        <f>IF(Weekly_Inspections!$B453="","",Weekly_Inspections!$A453&amp;"-A1")</f>
        <v/>
      </c>
      <c r="B453" s="46">
        <f>Weekly_Inspections!$B453</f>
        <v/>
      </c>
      <c r="C453" s="30">
        <f>Weekly_Inspections!$E453</f>
        <v/>
      </c>
      <c r="D453" s="30">
        <f>Weekly_Inspections!$F453</f>
        <v/>
      </c>
      <c r="E453" s="28">
        <f>Weekly_Inspections!$H453</f>
        <v/>
      </c>
      <c r="F453" s="30">
        <f>IF(Weekly_Inspections!$AX453&lt;&gt;"",Weekly_Inspections!$AX453,IF(Weekly_Inspections!$AY453&lt;&gt;"",Weekly_Inspections!$AY453,IF(Weekly_Inspections!$AZ453&lt;&gt;"",Weekly_Inspections!$AZ453,IF(Weekly_Inspections!$BA453&lt;&gt;"",Weekly_Inspections!$BA453,IF(Weekly_Inspections!$BB453&lt;&gt;"",Weekly_Inspections!$BB453,Weekly_Inspections!$R453)))))</f>
        <v/>
      </c>
      <c r="G453" s="30">
        <f>IF(OR(Weekly_Inspections!$AQ453&lt;&gt;"",Weekly_Inspections!$AR453&lt;&gt;"",Weekly_Inspections!$AS453&lt;&gt;""),Weekly_Inspections!$AQ453,"")</f>
        <v/>
      </c>
      <c r="H453" s="30">
        <f>Weekly_Inspections!$AP453</f>
        <v/>
      </c>
      <c r="I453" s="30">
        <f>Weekly_Inspections!$AR453</f>
        <v/>
      </c>
      <c r="J453" s="30">
        <f>Weekly_Inspections!$AS453</f>
        <v/>
      </c>
      <c r="K453" s="30">
        <f>Weekly_Inspections!$AU453</f>
        <v/>
      </c>
      <c r="L453" s="46">
        <f>Weekly_Inspections!$AV453</f>
        <v/>
      </c>
      <c r="M453" s="30">
        <f>IF($B453="","",IF($N453&lt;&gt;"","Closed",IF(OR($G453&lt;&gt;"",$I453&lt;&gt;"",$J453&lt;&gt;""),"Open","")))</f>
        <v/>
      </c>
      <c r="N453" s="46" t="n"/>
      <c r="O453" s="28">
        <f>IF($B453="","",IF($M453="Closed",IF($N453="","",$N453-$B453),TODAY()-$B453))</f>
        <v/>
      </c>
      <c r="P453" s="28">
        <f>IF(OR($B453="",$L453="",$M453="Closed"),"",IF(TODAY()&gt;$L453,"YES","NO"))</f>
        <v/>
      </c>
      <c r="Q453" s="30">
        <f>Weekly_Inspections!$AW453</f>
        <v/>
      </c>
    </row>
    <row r="454" ht="15" customHeight="1" s="45">
      <c r="A454" s="28">
        <f>IF(Weekly_Inspections!$B454="","",Weekly_Inspections!$A454&amp;"-A1")</f>
        <v/>
      </c>
      <c r="B454" s="46">
        <f>Weekly_Inspections!$B454</f>
        <v/>
      </c>
      <c r="C454" s="30">
        <f>Weekly_Inspections!$E454</f>
        <v/>
      </c>
      <c r="D454" s="30">
        <f>Weekly_Inspections!$F454</f>
        <v/>
      </c>
      <c r="E454" s="28">
        <f>Weekly_Inspections!$H454</f>
        <v/>
      </c>
      <c r="F454" s="30">
        <f>IF(Weekly_Inspections!$AX454&lt;&gt;"",Weekly_Inspections!$AX454,IF(Weekly_Inspections!$AY454&lt;&gt;"",Weekly_Inspections!$AY454,IF(Weekly_Inspections!$AZ454&lt;&gt;"",Weekly_Inspections!$AZ454,IF(Weekly_Inspections!$BA454&lt;&gt;"",Weekly_Inspections!$BA454,IF(Weekly_Inspections!$BB454&lt;&gt;"",Weekly_Inspections!$BB454,Weekly_Inspections!$R454)))))</f>
        <v/>
      </c>
      <c r="G454" s="30">
        <f>IF(OR(Weekly_Inspections!$AQ454&lt;&gt;"",Weekly_Inspections!$AR454&lt;&gt;"",Weekly_Inspections!$AS454&lt;&gt;""),Weekly_Inspections!$AQ454,"")</f>
        <v/>
      </c>
      <c r="H454" s="30">
        <f>Weekly_Inspections!$AP454</f>
        <v/>
      </c>
      <c r="I454" s="30">
        <f>Weekly_Inspections!$AR454</f>
        <v/>
      </c>
      <c r="J454" s="30">
        <f>Weekly_Inspections!$AS454</f>
        <v/>
      </c>
      <c r="K454" s="30">
        <f>Weekly_Inspections!$AU454</f>
        <v/>
      </c>
      <c r="L454" s="46">
        <f>Weekly_Inspections!$AV454</f>
        <v/>
      </c>
      <c r="M454" s="30">
        <f>IF($B454="","",IF($N454&lt;&gt;"","Closed",IF(OR($G454&lt;&gt;"",$I454&lt;&gt;"",$J454&lt;&gt;""),"Open","")))</f>
        <v/>
      </c>
      <c r="N454" s="46" t="n"/>
      <c r="O454" s="28">
        <f>IF($B454="","",IF($M454="Closed",IF($N454="","",$N454-$B454),TODAY()-$B454))</f>
        <v/>
      </c>
      <c r="P454" s="28">
        <f>IF(OR($B454="",$L454="",$M454="Closed"),"",IF(TODAY()&gt;$L454,"YES","NO"))</f>
        <v/>
      </c>
      <c r="Q454" s="30">
        <f>Weekly_Inspections!$AW454</f>
        <v/>
      </c>
    </row>
    <row r="455" ht="15" customHeight="1" s="45">
      <c r="A455" s="28">
        <f>IF(Weekly_Inspections!$B455="","",Weekly_Inspections!$A455&amp;"-A1")</f>
        <v/>
      </c>
      <c r="B455" s="46">
        <f>Weekly_Inspections!$B455</f>
        <v/>
      </c>
      <c r="C455" s="30">
        <f>Weekly_Inspections!$E455</f>
        <v/>
      </c>
      <c r="D455" s="30">
        <f>Weekly_Inspections!$F455</f>
        <v/>
      </c>
      <c r="E455" s="28">
        <f>Weekly_Inspections!$H455</f>
        <v/>
      </c>
      <c r="F455" s="30">
        <f>IF(Weekly_Inspections!$AX455&lt;&gt;"",Weekly_Inspections!$AX455,IF(Weekly_Inspections!$AY455&lt;&gt;"",Weekly_Inspections!$AY455,IF(Weekly_Inspections!$AZ455&lt;&gt;"",Weekly_Inspections!$AZ455,IF(Weekly_Inspections!$BA455&lt;&gt;"",Weekly_Inspections!$BA455,IF(Weekly_Inspections!$BB455&lt;&gt;"",Weekly_Inspections!$BB455,Weekly_Inspections!$R455)))))</f>
        <v/>
      </c>
      <c r="G455" s="30">
        <f>IF(OR(Weekly_Inspections!$AQ455&lt;&gt;"",Weekly_Inspections!$AR455&lt;&gt;"",Weekly_Inspections!$AS455&lt;&gt;""),Weekly_Inspections!$AQ455,"")</f>
        <v/>
      </c>
      <c r="H455" s="30">
        <f>Weekly_Inspections!$AP455</f>
        <v/>
      </c>
      <c r="I455" s="30">
        <f>Weekly_Inspections!$AR455</f>
        <v/>
      </c>
      <c r="J455" s="30">
        <f>Weekly_Inspections!$AS455</f>
        <v/>
      </c>
      <c r="K455" s="30">
        <f>Weekly_Inspections!$AU455</f>
        <v/>
      </c>
      <c r="L455" s="46">
        <f>Weekly_Inspections!$AV455</f>
        <v/>
      </c>
      <c r="M455" s="30">
        <f>IF($B455="","",IF($N455&lt;&gt;"","Closed",IF(OR($G455&lt;&gt;"",$I455&lt;&gt;"",$J455&lt;&gt;""),"Open","")))</f>
        <v/>
      </c>
      <c r="N455" s="46" t="n"/>
      <c r="O455" s="28">
        <f>IF($B455="","",IF($M455="Closed",IF($N455="","",$N455-$B455),TODAY()-$B455))</f>
        <v/>
      </c>
      <c r="P455" s="28">
        <f>IF(OR($B455="",$L455="",$M455="Closed"),"",IF(TODAY()&gt;$L455,"YES","NO"))</f>
        <v/>
      </c>
      <c r="Q455" s="30">
        <f>Weekly_Inspections!$AW455</f>
        <v/>
      </c>
    </row>
    <row r="456" ht="15" customHeight="1" s="45">
      <c r="A456" s="28">
        <f>IF(Weekly_Inspections!$B456="","",Weekly_Inspections!$A456&amp;"-A1")</f>
        <v/>
      </c>
      <c r="B456" s="46">
        <f>Weekly_Inspections!$B456</f>
        <v/>
      </c>
      <c r="C456" s="30">
        <f>Weekly_Inspections!$E456</f>
        <v/>
      </c>
      <c r="D456" s="30">
        <f>Weekly_Inspections!$F456</f>
        <v/>
      </c>
      <c r="E456" s="28">
        <f>Weekly_Inspections!$H456</f>
        <v/>
      </c>
      <c r="F456" s="30">
        <f>IF(Weekly_Inspections!$AX456&lt;&gt;"",Weekly_Inspections!$AX456,IF(Weekly_Inspections!$AY456&lt;&gt;"",Weekly_Inspections!$AY456,IF(Weekly_Inspections!$AZ456&lt;&gt;"",Weekly_Inspections!$AZ456,IF(Weekly_Inspections!$BA456&lt;&gt;"",Weekly_Inspections!$BA456,IF(Weekly_Inspections!$BB456&lt;&gt;"",Weekly_Inspections!$BB456,Weekly_Inspections!$R456)))))</f>
        <v/>
      </c>
      <c r="G456" s="30">
        <f>IF(OR(Weekly_Inspections!$AQ456&lt;&gt;"",Weekly_Inspections!$AR456&lt;&gt;"",Weekly_Inspections!$AS456&lt;&gt;""),Weekly_Inspections!$AQ456,"")</f>
        <v/>
      </c>
      <c r="H456" s="30">
        <f>Weekly_Inspections!$AP456</f>
        <v/>
      </c>
      <c r="I456" s="30">
        <f>Weekly_Inspections!$AR456</f>
        <v/>
      </c>
      <c r="J456" s="30">
        <f>Weekly_Inspections!$AS456</f>
        <v/>
      </c>
      <c r="K456" s="30">
        <f>Weekly_Inspections!$AU456</f>
        <v/>
      </c>
      <c r="L456" s="46">
        <f>Weekly_Inspections!$AV456</f>
        <v/>
      </c>
      <c r="M456" s="30">
        <f>IF($B456="","",IF($N456&lt;&gt;"","Closed",IF(OR($G456&lt;&gt;"",$I456&lt;&gt;"",$J456&lt;&gt;""),"Open","")))</f>
        <v/>
      </c>
      <c r="N456" s="46" t="n"/>
      <c r="O456" s="28">
        <f>IF($B456="","",IF($M456="Closed",IF($N456="","",$N456-$B456),TODAY()-$B456))</f>
        <v/>
      </c>
      <c r="P456" s="28">
        <f>IF(OR($B456="",$L456="",$M456="Closed"),"",IF(TODAY()&gt;$L456,"YES","NO"))</f>
        <v/>
      </c>
      <c r="Q456" s="30">
        <f>Weekly_Inspections!$AW456</f>
        <v/>
      </c>
    </row>
    <row r="457" ht="15" customHeight="1" s="45">
      <c r="A457" s="28">
        <f>IF(Weekly_Inspections!$B457="","",Weekly_Inspections!$A457&amp;"-A1")</f>
        <v/>
      </c>
      <c r="B457" s="46">
        <f>Weekly_Inspections!$B457</f>
        <v/>
      </c>
      <c r="C457" s="30">
        <f>Weekly_Inspections!$E457</f>
        <v/>
      </c>
      <c r="D457" s="30">
        <f>Weekly_Inspections!$F457</f>
        <v/>
      </c>
      <c r="E457" s="28">
        <f>Weekly_Inspections!$H457</f>
        <v/>
      </c>
      <c r="F457" s="30">
        <f>IF(Weekly_Inspections!$AX457&lt;&gt;"",Weekly_Inspections!$AX457,IF(Weekly_Inspections!$AY457&lt;&gt;"",Weekly_Inspections!$AY457,IF(Weekly_Inspections!$AZ457&lt;&gt;"",Weekly_Inspections!$AZ457,IF(Weekly_Inspections!$BA457&lt;&gt;"",Weekly_Inspections!$BA457,IF(Weekly_Inspections!$BB457&lt;&gt;"",Weekly_Inspections!$BB457,Weekly_Inspections!$R457)))))</f>
        <v/>
      </c>
      <c r="G457" s="30">
        <f>IF(OR(Weekly_Inspections!$AQ457&lt;&gt;"",Weekly_Inspections!$AR457&lt;&gt;"",Weekly_Inspections!$AS457&lt;&gt;""),Weekly_Inspections!$AQ457,"")</f>
        <v/>
      </c>
      <c r="H457" s="30">
        <f>Weekly_Inspections!$AP457</f>
        <v/>
      </c>
      <c r="I457" s="30">
        <f>Weekly_Inspections!$AR457</f>
        <v/>
      </c>
      <c r="J457" s="30">
        <f>Weekly_Inspections!$AS457</f>
        <v/>
      </c>
      <c r="K457" s="30">
        <f>Weekly_Inspections!$AU457</f>
        <v/>
      </c>
      <c r="L457" s="46">
        <f>Weekly_Inspections!$AV457</f>
        <v/>
      </c>
      <c r="M457" s="30">
        <f>IF($B457="","",IF($N457&lt;&gt;"","Closed",IF(OR($G457&lt;&gt;"",$I457&lt;&gt;"",$J457&lt;&gt;""),"Open","")))</f>
        <v/>
      </c>
      <c r="N457" s="46" t="n"/>
      <c r="O457" s="28">
        <f>IF($B457="","",IF($M457="Closed",IF($N457="","",$N457-$B457),TODAY()-$B457))</f>
        <v/>
      </c>
      <c r="P457" s="28">
        <f>IF(OR($B457="",$L457="",$M457="Closed"),"",IF(TODAY()&gt;$L457,"YES","NO"))</f>
        <v/>
      </c>
      <c r="Q457" s="30">
        <f>Weekly_Inspections!$AW457</f>
        <v/>
      </c>
    </row>
    <row r="458" ht="15" customHeight="1" s="45">
      <c r="A458" s="28">
        <f>IF(Weekly_Inspections!$B458="","",Weekly_Inspections!$A458&amp;"-A1")</f>
        <v/>
      </c>
      <c r="B458" s="46">
        <f>Weekly_Inspections!$B458</f>
        <v/>
      </c>
      <c r="C458" s="30">
        <f>Weekly_Inspections!$E458</f>
        <v/>
      </c>
      <c r="D458" s="30">
        <f>Weekly_Inspections!$F458</f>
        <v/>
      </c>
      <c r="E458" s="28">
        <f>Weekly_Inspections!$H458</f>
        <v/>
      </c>
      <c r="F458" s="30">
        <f>IF(Weekly_Inspections!$AX458&lt;&gt;"",Weekly_Inspections!$AX458,IF(Weekly_Inspections!$AY458&lt;&gt;"",Weekly_Inspections!$AY458,IF(Weekly_Inspections!$AZ458&lt;&gt;"",Weekly_Inspections!$AZ458,IF(Weekly_Inspections!$BA458&lt;&gt;"",Weekly_Inspections!$BA458,IF(Weekly_Inspections!$BB458&lt;&gt;"",Weekly_Inspections!$BB458,Weekly_Inspections!$R458)))))</f>
        <v/>
      </c>
      <c r="G458" s="30">
        <f>IF(OR(Weekly_Inspections!$AQ458&lt;&gt;"",Weekly_Inspections!$AR458&lt;&gt;"",Weekly_Inspections!$AS458&lt;&gt;""),Weekly_Inspections!$AQ458,"")</f>
        <v/>
      </c>
      <c r="H458" s="30">
        <f>Weekly_Inspections!$AP458</f>
        <v/>
      </c>
      <c r="I458" s="30">
        <f>Weekly_Inspections!$AR458</f>
        <v/>
      </c>
      <c r="J458" s="30">
        <f>Weekly_Inspections!$AS458</f>
        <v/>
      </c>
      <c r="K458" s="30">
        <f>Weekly_Inspections!$AU458</f>
        <v/>
      </c>
      <c r="L458" s="46">
        <f>Weekly_Inspections!$AV458</f>
        <v/>
      </c>
      <c r="M458" s="30">
        <f>IF($B458="","",IF($N458&lt;&gt;"","Closed",IF(OR($G458&lt;&gt;"",$I458&lt;&gt;"",$J458&lt;&gt;""),"Open","")))</f>
        <v/>
      </c>
      <c r="N458" s="46" t="n"/>
      <c r="O458" s="28">
        <f>IF($B458="","",IF($M458="Closed",IF($N458="","",$N458-$B458),TODAY()-$B458))</f>
        <v/>
      </c>
      <c r="P458" s="28">
        <f>IF(OR($B458="",$L458="",$M458="Closed"),"",IF(TODAY()&gt;$L458,"YES","NO"))</f>
        <v/>
      </c>
      <c r="Q458" s="30">
        <f>Weekly_Inspections!$AW458</f>
        <v/>
      </c>
    </row>
    <row r="459" ht="15" customHeight="1" s="45">
      <c r="A459" s="28">
        <f>IF(Weekly_Inspections!$B459="","",Weekly_Inspections!$A459&amp;"-A1")</f>
        <v/>
      </c>
      <c r="B459" s="46">
        <f>Weekly_Inspections!$B459</f>
        <v/>
      </c>
      <c r="C459" s="30">
        <f>Weekly_Inspections!$E459</f>
        <v/>
      </c>
      <c r="D459" s="30">
        <f>Weekly_Inspections!$F459</f>
        <v/>
      </c>
      <c r="E459" s="28">
        <f>Weekly_Inspections!$H459</f>
        <v/>
      </c>
      <c r="F459" s="30">
        <f>IF(Weekly_Inspections!$AX459&lt;&gt;"",Weekly_Inspections!$AX459,IF(Weekly_Inspections!$AY459&lt;&gt;"",Weekly_Inspections!$AY459,IF(Weekly_Inspections!$AZ459&lt;&gt;"",Weekly_Inspections!$AZ459,IF(Weekly_Inspections!$BA459&lt;&gt;"",Weekly_Inspections!$BA459,IF(Weekly_Inspections!$BB459&lt;&gt;"",Weekly_Inspections!$BB459,Weekly_Inspections!$R459)))))</f>
        <v/>
      </c>
      <c r="G459" s="30">
        <f>IF(OR(Weekly_Inspections!$AQ459&lt;&gt;"",Weekly_Inspections!$AR459&lt;&gt;"",Weekly_Inspections!$AS459&lt;&gt;""),Weekly_Inspections!$AQ459,"")</f>
        <v/>
      </c>
      <c r="H459" s="30">
        <f>Weekly_Inspections!$AP459</f>
        <v/>
      </c>
      <c r="I459" s="30">
        <f>Weekly_Inspections!$AR459</f>
        <v/>
      </c>
      <c r="J459" s="30">
        <f>Weekly_Inspections!$AS459</f>
        <v/>
      </c>
      <c r="K459" s="30">
        <f>Weekly_Inspections!$AU459</f>
        <v/>
      </c>
      <c r="L459" s="46">
        <f>Weekly_Inspections!$AV459</f>
        <v/>
      </c>
      <c r="M459" s="30">
        <f>IF($B459="","",IF($N459&lt;&gt;"","Closed",IF(OR($G459&lt;&gt;"",$I459&lt;&gt;"",$J459&lt;&gt;""),"Open","")))</f>
        <v/>
      </c>
      <c r="N459" s="46" t="n"/>
      <c r="O459" s="28">
        <f>IF($B459="","",IF($M459="Closed",IF($N459="","",$N459-$B459),TODAY()-$B459))</f>
        <v/>
      </c>
      <c r="P459" s="28">
        <f>IF(OR($B459="",$L459="",$M459="Closed"),"",IF(TODAY()&gt;$L459,"YES","NO"))</f>
        <v/>
      </c>
      <c r="Q459" s="30">
        <f>Weekly_Inspections!$AW459</f>
        <v/>
      </c>
    </row>
    <row r="460" ht="15" customHeight="1" s="45">
      <c r="A460" s="28">
        <f>IF(Weekly_Inspections!$B460="","",Weekly_Inspections!$A460&amp;"-A1")</f>
        <v/>
      </c>
      <c r="B460" s="46">
        <f>Weekly_Inspections!$B460</f>
        <v/>
      </c>
      <c r="C460" s="30">
        <f>Weekly_Inspections!$E460</f>
        <v/>
      </c>
      <c r="D460" s="30">
        <f>Weekly_Inspections!$F460</f>
        <v/>
      </c>
      <c r="E460" s="28">
        <f>Weekly_Inspections!$H460</f>
        <v/>
      </c>
      <c r="F460" s="30">
        <f>IF(Weekly_Inspections!$AX460&lt;&gt;"",Weekly_Inspections!$AX460,IF(Weekly_Inspections!$AY460&lt;&gt;"",Weekly_Inspections!$AY460,IF(Weekly_Inspections!$AZ460&lt;&gt;"",Weekly_Inspections!$AZ460,IF(Weekly_Inspections!$BA460&lt;&gt;"",Weekly_Inspections!$BA460,IF(Weekly_Inspections!$BB460&lt;&gt;"",Weekly_Inspections!$BB460,Weekly_Inspections!$R460)))))</f>
        <v/>
      </c>
      <c r="G460" s="30">
        <f>IF(OR(Weekly_Inspections!$AQ460&lt;&gt;"",Weekly_Inspections!$AR460&lt;&gt;"",Weekly_Inspections!$AS460&lt;&gt;""),Weekly_Inspections!$AQ460,"")</f>
        <v/>
      </c>
      <c r="H460" s="30">
        <f>Weekly_Inspections!$AP460</f>
        <v/>
      </c>
      <c r="I460" s="30">
        <f>Weekly_Inspections!$AR460</f>
        <v/>
      </c>
      <c r="J460" s="30">
        <f>Weekly_Inspections!$AS460</f>
        <v/>
      </c>
      <c r="K460" s="30">
        <f>Weekly_Inspections!$AU460</f>
        <v/>
      </c>
      <c r="L460" s="46">
        <f>Weekly_Inspections!$AV460</f>
        <v/>
      </c>
      <c r="M460" s="30">
        <f>IF($B460="","",IF($N460&lt;&gt;"","Closed",IF(OR($G460&lt;&gt;"",$I460&lt;&gt;"",$J460&lt;&gt;""),"Open","")))</f>
        <v/>
      </c>
      <c r="N460" s="46" t="n"/>
      <c r="O460" s="28">
        <f>IF($B460="","",IF($M460="Closed",IF($N460="","",$N460-$B460),TODAY()-$B460))</f>
        <v/>
      </c>
      <c r="P460" s="28">
        <f>IF(OR($B460="",$L460="",$M460="Closed"),"",IF(TODAY()&gt;$L460,"YES","NO"))</f>
        <v/>
      </c>
      <c r="Q460" s="30">
        <f>Weekly_Inspections!$AW460</f>
        <v/>
      </c>
    </row>
    <row r="461" ht="15" customHeight="1" s="45">
      <c r="A461" s="28">
        <f>IF(Weekly_Inspections!$B461="","",Weekly_Inspections!$A461&amp;"-A1")</f>
        <v/>
      </c>
      <c r="B461" s="46">
        <f>Weekly_Inspections!$B461</f>
        <v/>
      </c>
      <c r="C461" s="30">
        <f>Weekly_Inspections!$E461</f>
        <v/>
      </c>
      <c r="D461" s="30">
        <f>Weekly_Inspections!$F461</f>
        <v/>
      </c>
      <c r="E461" s="28">
        <f>Weekly_Inspections!$H461</f>
        <v/>
      </c>
      <c r="F461" s="30">
        <f>IF(Weekly_Inspections!$AX461&lt;&gt;"",Weekly_Inspections!$AX461,IF(Weekly_Inspections!$AY461&lt;&gt;"",Weekly_Inspections!$AY461,IF(Weekly_Inspections!$AZ461&lt;&gt;"",Weekly_Inspections!$AZ461,IF(Weekly_Inspections!$BA461&lt;&gt;"",Weekly_Inspections!$BA461,IF(Weekly_Inspections!$BB461&lt;&gt;"",Weekly_Inspections!$BB461,Weekly_Inspections!$R461)))))</f>
        <v/>
      </c>
      <c r="G461" s="30">
        <f>IF(OR(Weekly_Inspections!$AQ461&lt;&gt;"",Weekly_Inspections!$AR461&lt;&gt;"",Weekly_Inspections!$AS461&lt;&gt;""),Weekly_Inspections!$AQ461,"")</f>
        <v/>
      </c>
      <c r="H461" s="30">
        <f>Weekly_Inspections!$AP461</f>
        <v/>
      </c>
      <c r="I461" s="30">
        <f>Weekly_Inspections!$AR461</f>
        <v/>
      </c>
      <c r="J461" s="30">
        <f>Weekly_Inspections!$AS461</f>
        <v/>
      </c>
      <c r="K461" s="30">
        <f>Weekly_Inspections!$AU461</f>
        <v/>
      </c>
      <c r="L461" s="46">
        <f>Weekly_Inspections!$AV461</f>
        <v/>
      </c>
      <c r="M461" s="30">
        <f>IF($B461="","",IF($N461&lt;&gt;"","Closed",IF(OR($G461&lt;&gt;"",$I461&lt;&gt;"",$J461&lt;&gt;""),"Open","")))</f>
        <v/>
      </c>
      <c r="N461" s="46" t="n"/>
      <c r="O461" s="28">
        <f>IF($B461="","",IF($M461="Closed",IF($N461="","",$N461-$B461),TODAY()-$B461))</f>
        <v/>
      </c>
      <c r="P461" s="28">
        <f>IF(OR($B461="",$L461="",$M461="Closed"),"",IF(TODAY()&gt;$L461,"YES","NO"))</f>
        <v/>
      </c>
      <c r="Q461" s="30">
        <f>Weekly_Inspections!$AW461</f>
        <v/>
      </c>
    </row>
    <row r="462" ht="15" customHeight="1" s="45">
      <c r="A462" s="28">
        <f>IF(Weekly_Inspections!$B462="","",Weekly_Inspections!$A462&amp;"-A1")</f>
        <v/>
      </c>
      <c r="B462" s="46">
        <f>Weekly_Inspections!$B462</f>
        <v/>
      </c>
      <c r="C462" s="30">
        <f>Weekly_Inspections!$E462</f>
        <v/>
      </c>
      <c r="D462" s="30">
        <f>Weekly_Inspections!$F462</f>
        <v/>
      </c>
      <c r="E462" s="28">
        <f>Weekly_Inspections!$H462</f>
        <v/>
      </c>
      <c r="F462" s="30">
        <f>IF(Weekly_Inspections!$AX462&lt;&gt;"",Weekly_Inspections!$AX462,IF(Weekly_Inspections!$AY462&lt;&gt;"",Weekly_Inspections!$AY462,IF(Weekly_Inspections!$AZ462&lt;&gt;"",Weekly_Inspections!$AZ462,IF(Weekly_Inspections!$BA462&lt;&gt;"",Weekly_Inspections!$BA462,IF(Weekly_Inspections!$BB462&lt;&gt;"",Weekly_Inspections!$BB462,Weekly_Inspections!$R462)))))</f>
        <v/>
      </c>
      <c r="G462" s="30">
        <f>IF(OR(Weekly_Inspections!$AQ462&lt;&gt;"",Weekly_Inspections!$AR462&lt;&gt;"",Weekly_Inspections!$AS462&lt;&gt;""),Weekly_Inspections!$AQ462,"")</f>
        <v/>
      </c>
      <c r="H462" s="30">
        <f>Weekly_Inspections!$AP462</f>
        <v/>
      </c>
      <c r="I462" s="30">
        <f>Weekly_Inspections!$AR462</f>
        <v/>
      </c>
      <c r="J462" s="30">
        <f>Weekly_Inspections!$AS462</f>
        <v/>
      </c>
      <c r="K462" s="30">
        <f>Weekly_Inspections!$AU462</f>
        <v/>
      </c>
      <c r="L462" s="46">
        <f>Weekly_Inspections!$AV462</f>
        <v/>
      </c>
      <c r="M462" s="30">
        <f>IF($B462="","",IF($N462&lt;&gt;"","Closed",IF(OR($G462&lt;&gt;"",$I462&lt;&gt;"",$J462&lt;&gt;""),"Open","")))</f>
        <v/>
      </c>
      <c r="N462" s="46" t="n"/>
      <c r="O462" s="28">
        <f>IF($B462="","",IF($M462="Closed",IF($N462="","",$N462-$B462),TODAY()-$B462))</f>
        <v/>
      </c>
      <c r="P462" s="28">
        <f>IF(OR($B462="",$L462="",$M462="Closed"),"",IF(TODAY()&gt;$L462,"YES","NO"))</f>
        <v/>
      </c>
      <c r="Q462" s="30">
        <f>Weekly_Inspections!$AW462</f>
        <v/>
      </c>
    </row>
    <row r="463" ht="15" customHeight="1" s="45">
      <c r="A463" s="28">
        <f>IF(Weekly_Inspections!$B463="","",Weekly_Inspections!$A463&amp;"-A1")</f>
        <v/>
      </c>
      <c r="B463" s="46">
        <f>Weekly_Inspections!$B463</f>
        <v/>
      </c>
      <c r="C463" s="30">
        <f>Weekly_Inspections!$E463</f>
        <v/>
      </c>
      <c r="D463" s="30">
        <f>Weekly_Inspections!$F463</f>
        <v/>
      </c>
      <c r="E463" s="28">
        <f>Weekly_Inspections!$H463</f>
        <v/>
      </c>
      <c r="F463" s="30">
        <f>IF(Weekly_Inspections!$AX463&lt;&gt;"",Weekly_Inspections!$AX463,IF(Weekly_Inspections!$AY463&lt;&gt;"",Weekly_Inspections!$AY463,IF(Weekly_Inspections!$AZ463&lt;&gt;"",Weekly_Inspections!$AZ463,IF(Weekly_Inspections!$BA463&lt;&gt;"",Weekly_Inspections!$BA463,IF(Weekly_Inspections!$BB463&lt;&gt;"",Weekly_Inspections!$BB463,Weekly_Inspections!$R463)))))</f>
        <v/>
      </c>
      <c r="G463" s="30">
        <f>IF(OR(Weekly_Inspections!$AQ463&lt;&gt;"",Weekly_Inspections!$AR463&lt;&gt;"",Weekly_Inspections!$AS463&lt;&gt;""),Weekly_Inspections!$AQ463,"")</f>
        <v/>
      </c>
      <c r="H463" s="30">
        <f>Weekly_Inspections!$AP463</f>
        <v/>
      </c>
      <c r="I463" s="30">
        <f>Weekly_Inspections!$AR463</f>
        <v/>
      </c>
      <c r="J463" s="30">
        <f>Weekly_Inspections!$AS463</f>
        <v/>
      </c>
      <c r="K463" s="30">
        <f>Weekly_Inspections!$AU463</f>
        <v/>
      </c>
      <c r="L463" s="46">
        <f>Weekly_Inspections!$AV463</f>
        <v/>
      </c>
      <c r="M463" s="30">
        <f>IF($B463="","",IF($N463&lt;&gt;"","Closed",IF(OR($G463&lt;&gt;"",$I463&lt;&gt;"",$J463&lt;&gt;""),"Open","")))</f>
        <v/>
      </c>
      <c r="N463" s="46" t="n"/>
      <c r="O463" s="28">
        <f>IF($B463="","",IF($M463="Closed",IF($N463="","",$N463-$B463),TODAY()-$B463))</f>
        <v/>
      </c>
      <c r="P463" s="28">
        <f>IF(OR($B463="",$L463="",$M463="Closed"),"",IF(TODAY()&gt;$L463,"YES","NO"))</f>
        <v/>
      </c>
      <c r="Q463" s="30">
        <f>Weekly_Inspections!$AW463</f>
        <v/>
      </c>
    </row>
    <row r="464" ht="15" customHeight="1" s="45">
      <c r="A464" s="28">
        <f>IF(Weekly_Inspections!$B464="","",Weekly_Inspections!$A464&amp;"-A1")</f>
        <v/>
      </c>
      <c r="B464" s="46">
        <f>Weekly_Inspections!$B464</f>
        <v/>
      </c>
      <c r="C464" s="30">
        <f>Weekly_Inspections!$E464</f>
        <v/>
      </c>
      <c r="D464" s="30">
        <f>Weekly_Inspections!$F464</f>
        <v/>
      </c>
      <c r="E464" s="28">
        <f>Weekly_Inspections!$H464</f>
        <v/>
      </c>
      <c r="F464" s="30">
        <f>IF(Weekly_Inspections!$AX464&lt;&gt;"",Weekly_Inspections!$AX464,IF(Weekly_Inspections!$AY464&lt;&gt;"",Weekly_Inspections!$AY464,IF(Weekly_Inspections!$AZ464&lt;&gt;"",Weekly_Inspections!$AZ464,IF(Weekly_Inspections!$BA464&lt;&gt;"",Weekly_Inspections!$BA464,IF(Weekly_Inspections!$BB464&lt;&gt;"",Weekly_Inspections!$BB464,Weekly_Inspections!$R464)))))</f>
        <v/>
      </c>
      <c r="G464" s="30">
        <f>IF(OR(Weekly_Inspections!$AQ464&lt;&gt;"",Weekly_Inspections!$AR464&lt;&gt;"",Weekly_Inspections!$AS464&lt;&gt;""),Weekly_Inspections!$AQ464,"")</f>
        <v/>
      </c>
      <c r="H464" s="30">
        <f>Weekly_Inspections!$AP464</f>
        <v/>
      </c>
      <c r="I464" s="30">
        <f>Weekly_Inspections!$AR464</f>
        <v/>
      </c>
      <c r="J464" s="30">
        <f>Weekly_Inspections!$AS464</f>
        <v/>
      </c>
      <c r="K464" s="30">
        <f>Weekly_Inspections!$AU464</f>
        <v/>
      </c>
      <c r="L464" s="46">
        <f>Weekly_Inspections!$AV464</f>
        <v/>
      </c>
      <c r="M464" s="30">
        <f>IF($B464="","",IF($N464&lt;&gt;"","Closed",IF(OR($G464&lt;&gt;"",$I464&lt;&gt;"",$J464&lt;&gt;""),"Open","")))</f>
        <v/>
      </c>
      <c r="N464" s="46" t="n"/>
      <c r="O464" s="28">
        <f>IF($B464="","",IF($M464="Closed",IF($N464="","",$N464-$B464),TODAY()-$B464))</f>
        <v/>
      </c>
      <c r="P464" s="28">
        <f>IF(OR($B464="",$L464="",$M464="Closed"),"",IF(TODAY()&gt;$L464,"YES","NO"))</f>
        <v/>
      </c>
      <c r="Q464" s="30">
        <f>Weekly_Inspections!$AW464</f>
        <v/>
      </c>
    </row>
    <row r="465" ht="15" customHeight="1" s="45">
      <c r="A465" s="28">
        <f>IF(Weekly_Inspections!$B465="","",Weekly_Inspections!$A465&amp;"-A1")</f>
        <v/>
      </c>
      <c r="B465" s="46">
        <f>Weekly_Inspections!$B465</f>
        <v/>
      </c>
      <c r="C465" s="30">
        <f>Weekly_Inspections!$E465</f>
        <v/>
      </c>
      <c r="D465" s="30">
        <f>Weekly_Inspections!$F465</f>
        <v/>
      </c>
      <c r="E465" s="28">
        <f>Weekly_Inspections!$H465</f>
        <v/>
      </c>
      <c r="F465" s="30">
        <f>IF(Weekly_Inspections!$AX465&lt;&gt;"",Weekly_Inspections!$AX465,IF(Weekly_Inspections!$AY465&lt;&gt;"",Weekly_Inspections!$AY465,IF(Weekly_Inspections!$AZ465&lt;&gt;"",Weekly_Inspections!$AZ465,IF(Weekly_Inspections!$BA465&lt;&gt;"",Weekly_Inspections!$BA465,IF(Weekly_Inspections!$BB465&lt;&gt;"",Weekly_Inspections!$BB465,Weekly_Inspections!$R465)))))</f>
        <v/>
      </c>
      <c r="G465" s="30">
        <f>IF(OR(Weekly_Inspections!$AQ465&lt;&gt;"",Weekly_Inspections!$AR465&lt;&gt;"",Weekly_Inspections!$AS465&lt;&gt;""),Weekly_Inspections!$AQ465,"")</f>
        <v/>
      </c>
      <c r="H465" s="30">
        <f>Weekly_Inspections!$AP465</f>
        <v/>
      </c>
      <c r="I465" s="30">
        <f>Weekly_Inspections!$AR465</f>
        <v/>
      </c>
      <c r="J465" s="30">
        <f>Weekly_Inspections!$AS465</f>
        <v/>
      </c>
      <c r="K465" s="30">
        <f>Weekly_Inspections!$AU465</f>
        <v/>
      </c>
      <c r="L465" s="46">
        <f>Weekly_Inspections!$AV465</f>
        <v/>
      </c>
      <c r="M465" s="30">
        <f>IF($B465="","",IF($N465&lt;&gt;"","Closed",IF(OR($G465&lt;&gt;"",$I465&lt;&gt;"",$J465&lt;&gt;""),"Open","")))</f>
        <v/>
      </c>
      <c r="N465" s="46" t="n"/>
      <c r="O465" s="28">
        <f>IF($B465="","",IF($M465="Closed",IF($N465="","",$N465-$B465),TODAY()-$B465))</f>
        <v/>
      </c>
      <c r="P465" s="28">
        <f>IF(OR($B465="",$L465="",$M465="Closed"),"",IF(TODAY()&gt;$L465,"YES","NO"))</f>
        <v/>
      </c>
      <c r="Q465" s="30">
        <f>Weekly_Inspections!$AW465</f>
        <v/>
      </c>
    </row>
    <row r="466" ht="15" customHeight="1" s="45">
      <c r="A466" s="28">
        <f>IF(Weekly_Inspections!$B466="","",Weekly_Inspections!$A466&amp;"-A1")</f>
        <v/>
      </c>
      <c r="B466" s="46">
        <f>Weekly_Inspections!$B466</f>
        <v/>
      </c>
      <c r="C466" s="30">
        <f>Weekly_Inspections!$E466</f>
        <v/>
      </c>
      <c r="D466" s="30">
        <f>Weekly_Inspections!$F466</f>
        <v/>
      </c>
      <c r="E466" s="28">
        <f>Weekly_Inspections!$H466</f>
        <v/>
      </c>
      <c r="F466" s="30">
        <f>IF(Weekly_Inspections!$AX466&lt;&gt;"",Weekly_Inspections!$AX466,IF(Weekly_Inspections!$AY466&lt;&gt;"",Weekly_Inspections!$AY466,IF(Weekly_Inspections!$AZ466&lt;&gt;"",Weekly_Inspections!$AZ466,IF(Weekly_Inspections!$BA466&lt;&gt;"",Weekly_Inspections!$BA466,IF(Weekly_Inspections!$BB466&lt;&gt;"",Weekly_Inspections!$BB466,Weekly_Inspections!$R466)))))</f>
        <v/>
      </c>
      <c r="G466" s="30">
        <f>IF(OR(Weekly_Inspections!$AQ466&lt;&gt;"",Weekly_Inspections!$AR466&lt;&gt;"",Weekly_Inspections!$AS466&lt;&gt;""),Weekly_Inspections!$AQ466,"")</f>
        <v/>
      </c>
      <c r="H466" s="30">
        <f>Weekly_Inspections!$AP466</f>
        <v/>
      </c>
      <c r="I466" s="30">
        <f>Weekly_Inspections!$AR466</f>
        <v/>
      </c>
      <c r="J466" s="30">
        <f>Weekly_Inspections!$AS466</f>
        <v/>
      </c>
      <c r="K466" s="30">
        <f>Weekly_Inspections!$AU466</f>
        <v/>
      </c>
      <c r="L466" s="46">
        <f>Weekly_Inspections!$AV466</f>
        <v/>
      </c>
      <c r="M466" s="30">
        <f>IF($B466="","",IF($N466&lt;&gt;"","Closed",IF(OR($G466&lt;&gt;"",$I466&lt;&gt;"",$J466&lt;&gt;""),"Open","")))</f>
        <v/>
      </c>
      <c r="N466" s="46" t="n"/>
      <c r="O466" s="28">
        <f>IF($B466="","",IF($M466="Closed",IF($N466="","",$N466-$B466),TODAY()-$B466))</f>
        <v/>
      </c>
      <c r="P466" s="28">
        <f>IF(OR($B466="",$L466="",$M466="Closed"),"",IF(TODAY()&gt;$L466,"YES","NO"))</f>
        <v/>
      </c>
      <c r="Q466" s="30">
        <f>Weekly_Inspections!$AW466</f>
        <v/>
      </c>
    </row>
    <row r="467" ht="15" customHeight="1" s="45">
      <c r="A467" s="28">
        <f>IF(Weekly_Inspections!$B467="","",Weekly_Inspections!$A467&amp;"-A1")</f>
        <v/>
      </c>
      <c r="B467" s="46">
        <f>Weekly_Inspections!$B467</f>
        <v/>
      </c>
      <c r="C467" s="30">
        <f>Weekly_Inspections!$E467</f>
        <v/>
      </c>
      <c r="D467" s="30">
        <f>Weekly_Inspections!$F467</f>
        <v/>
      </c>
      <c r="E467" s="28">
        <f>Weekly_Inspections!$H467</f>
        <v/>
      </c>
      <c r="F467" s="30">
        <f>IF(Weekly_Inspections!$AX467&lt;&gt;"",Weekly_Inspections!$AX467,IF(Weekly_Inspections!$AY467&lt;&gt;"",Weekly_Inspections!$AY467,IF(Weekly_Inspections!$AZ467&lt;&gt;"",Weekly_Inspections!$AZ467,IF(Weekly_Inspections!$BA467&lt;&gt;"",Weekly_Inspections!$BA467,IF(Weekly_Inspections!$BB467&lt;&gt;"",Weekly_Inspections!$BB467,Weekly_Inspections!$R467)))))</f>
        <v/>
      </c>
      <c r="G467" s="30">
        <f>IF(OR(Weekly_Inspections!$AQ467&lt;&gt;"",Weekly_Inspections!$AR467&lt;&gt;"",Weekly_Inspections!$AS467&lt;&gt;""),Weekly_Inspections!$AQ467,"")</f>
        <v/>
      </c>
      <c r="H467" s="30">
        <f>Weekly_Inspections!$AP467</f>
        <v/>
      </c>
      <c r="I467" s="30">
        <f>Weekly_Inspections!$AR467</f>
        <v/>
      </c>
      <c r="J467" s="30">
        <f>Weekly_Inspections!$AS467</f>
        <v/>
      </c>
      <c r="K467" s="30">
        <f>Weekly_Inspections!$AU467</f>
        <v/>
      </c>
      <c r="L467" s="46">
        <f>Weekly_Inspections!$AV467</f>
        <v/>
      </c>
      <c r="M467" s="30">
        <f>IF($B467="","",IF($N467&lt;&gt;"","Closed",IF(OR($G467&lt;&gt;"",$I467&lt;&gt;"",$J467&lt;&gt;""),"Open","")))</f>
        <v/>
      </c>
      <c r="N467" s="46" t="n"/>
      <c r="O467" s="28">
        <f>IF($B467="","",IF($M467="Closed",IF($N467="","",$N467-$B467),TODAY()-$B467))</f>
        <v/>
      </c>
      <c r="P467" s="28">
        <f>IF(OR($B467="",$L467="",$M467="Closed"),"",IF(TODAY()&gt;$L467,"YES","NO"))</f>
        <v/>
      </c>
      <c r="Q467" s="30">
        <f>Weekly_Inspections!$AW467</f>
        <v/>
      </c>
    </row>
    <row r="468" ht="15" customHeight="1" s="45">
      <c r="A468" s="28">
        <f>IF(Weekly_Inspections!$B468="","",Weekly_Inspections!$A468&amp;"-A1")</f>
        <v/>
      </c>
      <c r="B468" s="46">
        <f>Weekly_Inspections!$B468</f>
        <v/>
      </c>
      <c r="C468" s="30">
        <f>Weekly_Inspections!$E468</f>
        <v/>
      </c>
      <c r="D468" s="30">
        <f>Weekly_Inspections!$F468</f>
        <v/>
      </c>
      <c r="E468" s="28">
        <f>Weekly_Inspections!$H468</f>
        <v/>
      </c>
      <c r="F468" s="30">
        <f>IF(Weekly_Inspections!$AX468&lt;&gt;"",Weekly_Inspections!$AX468,IF(Weekly_Inspections!$AY468&lt;&gt;"",Weekly_Inspections!$AY468,IF(Weekly_Inspections!$AZ468&lt;&gt;"",Weekly_Inspections!$AZ468,IF(Weekly_Inspections!$BA468&lt;&gt;"",Weekly_Inspections!$BA468,IF(Weekly_Inspections!$BB468&lt;&gt;"",Weekly_Inspections!$BB468,Weekly_Inspections!$R468)))))</f>
        <v/>
      </c>
      <c r="G468" s="30">
        <f>IF(OR(Weekly_Inspections!$AQ468&lt;&gt;"",Weekly_Inspections!$AR468&lt;&gt;"",Weekly_Inspections!$AS468&lt;&gt;""),Weekly_Inspections!$AQ468,"")</f>
        <v/>
      </c>
      <c r="H468" s="30">
        <f>Weekly_Inspections!$AP468</f>
        <v/>
      </c>
      <c r="I468" s="30">
        <f>Weekly_Inspections!$AR468</f>
        <v/>
      </c>
      <c r="J468" s="30">
        <f>Weekly_Inspections!$AS468</f>
        <v/>
      </c>
      <c r="K468" s="30">
        <f>Weekly_Inspections!$AU468</f>
        <v/>
      </c>
      <c r="L468" s="46">
        <f>Weekly_Inspections!$AV468</f>
        <v/>
      </c>
      <c r="M468" s="30">
        <f>IF($B468="","",IF($N468&lt;&gt;"","Closed",IF(OR($G468&lt;&gt;"",$I468&lt;&gt;"",$J468&lt;&gt;""),"Open","")))</f>
        <v/>
      </c>
      <c r="N468" s="46" t="n"/>
      <c r="O468" s="28">
        <f>IF($B468="","",IF($M468="Closed",IF($N468="","",$N468-$B468),TODAY()-$B468))</f>
        <v/>
      </c>
      <c r="P468" s="28">
        <f>IF(OR($B468="",$L468="",$M468="Closed"),"",IF(TODAY()&gt;$L468,"YES","NO"))</f>
        <v/>
      </c>
      <c r="Q468" s="30">
        <f>Weekly_Inspections!$AW468</f>
        <v/>
      </c>
    </row>
    <row r="469" ht="15" customHeight="1" s="45">
      <c r="A469" s="28">
        <f>IF(Weekly_Inspections!$B469="","",Weekly_Inspections!$A469&amp;"-A1")</f>
        <v/>
      </c>
      <c r="B469" s="46">
        <f>Weekly_Inspections!$B469</f>
        <v/>
      </c>
      <c r="C469" s="30">
        <f>Weekly_Inspections!$E469</f>
        <v/>
      </c>
      <c r="D469" s="30">
        <f>Weekly_Inspections!$F469</f>
        <v/>
      </c>
      <c r="E469" s="28">
        <f>Weekly_Inspections!$H469</f>
        <v/>
      </c>
      <c r="F469" s="30">
        <f>IF(Weekly_Inspections!$AX469&lt;&gt;"",Weekly_Inspections!$AX469,IF(Weekly_Inspections!$AY469&lt;&gt;"",Weekly_Inspections!$AY469,IF(Weekly_Inspections!$AZ469&lt;&gt;"",Weekly_Inspections!$AZ469,IF(Weekly_Inspections!$BA469&lt;&gt;"",Weekly_Inspections!$BA469,IF(Weekly_Inspections!$BB469&lt;&gt;"",Weekly_Inspections!$BB469,Weekly_Inspections!$R469)))))</f>
        <v/>
      </c>
      <c r="G469" s="30">
        <f>IF(OR(Weekly_Inspections!$AQ469&lt;&gt;"",Weekly_Inspections!$AR469&lt;&gt;"",Weekly_Inspections!$AS469&lt;&gt;""),Weekly_Inspections!$AQ469,"")</f>
        <v/>
      </c>
      <c r="H469" s="30">
        <f>Weekly_Inspections!$AP469</f>
        <v/>
      </c>
      <c r="I469" s="30">
        <f>Weekly_Inspections!$AR469</f>
        <v/>
      </c>
      <c r="J469" s="30">
        <f>Weekly_Inspections!$AS469</f>
        <v/>
      </c>
      <c r="K469" s="30">
        <f>Weekly_Inspections!$AU469</f>
        <v/>
      </c>
      <c r="L469" s="46">
        <f>Weekly_Inspections!$AV469</f>
        <v/>
      </c>
      <c r="M469" s="30">
        <f>IF($B469="","",IF($N469&lt;&gt;"","Closed",IF(OR($G469&lt;&gt;"",$I469&lt;&gt;"",$J469&lt;&gt;""),"Open","")))</f>
        <v/>
      </c>
      <c r="N469" s="46" t="n"/>
      <c r="O469" s="28">
        <f>IF($B469="","",IF($M469="Closed",IF($N469="","",$N469-$B469),TODAY()-$B469))</f>
        <v/>
      </c>
      <c r="P469" s="28">
        <f>IF(OR($B469="",$L469="",$M469="Closed"),"",IF(TODAY()&gt;$L469,"YES","NO"))</f>
        <v/>
      </c>
      <c r="Q469" s="30">
        <f>Weekly_Inspections!$AW469</f>
        <v/>
      </c>
    </row>
    <row r="470" ht="15" customHeight="1" s="45">
      <c r="A470" s="28">
        <f>IF(Weekly_Inspections!$B470="","",Weekly_Inspections!$A470&amp;"-A1")</f>
        <v/>
      </c>
      <c r="B470" s="46">
        <f>Weekly_Inspections!$B470</f>
        <v/>
      </c>
      <c r="C470" s="30">
        <f>Weekly_Inspections!$E470</f>
        <v/>
      </c>
      <c r="D470" s="30">
        <f>Weekly_Inspections!$F470</f>
        <v/>
      </c>
      <c r="E470" s="28">
        <f>Weekly_Inspections!$H470</f>
        <v/>
      </c>
      <c r="F470" s="30">
        <f>IF(Weekly_Inspections!$AX470&lt;&gt;"",Weekly_Inspections!$AX470,IF(Weekly_Inspections!$AY470&lt;&gt;"",Weekly_Inspections!$AY470,IF(Weekly_Inspections!$AZ470&lt;&gt;"",Weekly_Inspections!$AZ470,IF(Weekly_Inspections!$BA470&lt;&gt;"",Weekly_Inspections!$BA470,IF(Weekly_Inspections!$BB470&lt;&gt;"",Weekly_Inspections!$BB470,Weekly_Inspections!$R470)))))</f>
        <v/>
      </c>
      <c r="G470" s="30">
        <f>IF(OR(Weekly_Inspections!$AQ470&lt;&gt;"",Weekly_Inspections!$AR470&lt;&gt;"",Weekly_Inspections!$AS470&lt;&gt;""),Weekly_Inspections!$AQ470,"")</f>
        <v/>
      </c>
      <c r="H470" s="30">
        <f>Weekly_Inspections!$AP470</f>
        <v/>
      </c>
      <c r="I470" s="30">
        <f>Weekly_Inspections!$AR470</f>
        <v/>
      </c>
      <c r="J470" s="30">
        <f>Weekly_Inspections!$AS470</f>
        <v/>
      </c>
      <c r="K470" s="30">
        <f>Weekly_Inspections!$AU470</f>
        <v/>
      </c>
      <c r="L470" s="46">
        <f>Weekly_Inspections!$AV470</f>
        <v/>
      </c>
      <c r="M470" s="30">
        <f>IF($B470="","",IF($N470&lt;&gt;"","Closed",IF(OR($G470&lt;&gt;"",$I470&lt;&gt;"",$J470&lt;&gt;""),"Open","")))</f>
        <v/>
      </c>
      <c r="N470" s="46" t="n"/>
      <c r="O470" s="28">
        <f>IF($B470="","",IF($M470="Closed",IF($N470="","",$N470-$B470),TODAY()-$B470))</f>
        <v/>
      </c>
      <c r="P470" s="28">
        <f>IF(OR($B470="",$L470="",$M470="Closed"),"",IF(TODAY()&gt;$L470,"YES","NO"))</f>
        <v/>
      </c>
      <c r="Q470" s="30">
        <f>Weekly_Inspections!$AW470</f>
        <v/>
      </c>
    </row>
    <row r="471" ht="15" customHeight="1" s="45">
      <c r="A471" s="28">
        <f>IF(Weekly_Inspections!$B471="","",Weekly_Inspections!$A471&amp;"-A1")</f>
        <v/>
      </c>
      <c r="B471" s="46">
        <f>Weekly_Inspections!$B471</f>
        <v/>
      </c>
      <c r="C471" s="30">
        <f>Weekly_Inspections!$E471</f>
        <v/>
      </c>
      <c r="D471" s="30">
        <f>Weekly_Inspections!$F471</f>
        <v/>
      </c>
      <c r="E471" s="28">
        <f>Weekly_Inspections!$H471</f>
        <v/>
      </c>
      <c r="F471" s="30">
        <f>IF(Weekly_Inspections!$AX471&lt;&gt;"",Weekly_Inspections!$AX471,IF(Weekly_Inspections!$AY471&lt;&gt;"",Weekly_Inspections!$AY471,IF(Weekly_Inspections!$AZ471&lt;&gt;"",Weekly_Inspections!$AZ471,IF(Weekly_Inspections!$BA471&lt;&gt;"",Weekly_Inspections!$BA471,IF(Weekly_Inspections!$BB471&lt;&gt;"",Weekly_Inspections!$BB471,Weekly_Inspections!$R471)))))</f>
        <v/>
      </c>
      <c r="G471" s="30">
        <f>IF(OR(Weekly_Inspections!$AQ471&lt;&gt;"",Weekly_Inspections!$AR471&lt;&gt;"",Weekly_Inspections!$AS471&lt;&gt;""),Weekly_Inspections!$AQ471,"")</f>
        <v/>
      </c>
      <c r="H471" s="30">
        <f>Weekly_Inspections!$AP471</f>
        <v/>
      </c>
      <c r="I471" s="30">
        <f>Weekly_Inspections!$AR471</f>
        <v/>
      </c>
      <c r="J471" s="30">
        <f>Weekly_Inspections!$AS471</f>
        <v/>
      </c>
      <c r="K471" s="30">
        <f>Weekly_Inspections!$AU471</f>
        <v/>
      </c>
      <c r="L471" s="46">
        <f>Weekly_Inspections!$AV471</f>
        <v/>
      </c>
      <c r="M471" s="30">
        <f>IF($B471="","",IF($N471&lt;&gt;"","Closed",IF(OR($G471&lt;&gt;"",$I471&lt;&gt;"",$J471&lt;&gt;""),"Open","")))</f>
        <v/>
      </c>
      <c r="N471" s="46" t="n"/>
      <c r="O471" s="28">
        <f>IF($B471="","",IF($M471="Closed",IF($N471="","",$N471-$B471),TODAY()-$B471))</f>
        <v/>
      </c>
      <c r="P471" s="28">
        <f>IF(OR($B471="",$L471="",$M471="Closed"),"",IF(TODAY()&gt;$L471,"YES","NO"))</f>
        <v/>
      </c>
      <c r="Q471" s="30">
        <f>Weekly_Inspections!$AW471</f>
        <v/>
      </c>
    </row>
    <row r="472" ht="15" customHeight="1" s="45">
      <c r="A472" s="28">
        <f>IF(Weekly_Inspections!$B472="","",Weekly_Inspections!$A472&amp;"-A1")</f>
        <v/>
      </c>
      <c r="B472" s="46">
        <f>Weekly_Inspections!$B472</f>
        <v/>
      </c>
      <c r="C472" s="30">
        <f>Weekly_Inspections!$E472</f>
        <v/>
      </c>
      <c r="D472" s="30">
        <f>Weekly_Inspections!$F472</f>
        <v/>
      </c>
      <c r="E472" s="28">
        <f>Weekly_Inspections!$H472</f>
        <v/>
      </c>
      <c r="F472" s="30">
        <f>IF(Weekly_Inspections!$AX472&lt;&gt;"",Weekly_Inspections!$AX472,IF(Weekly_Inspections!$AY472&lt;&gt;"",Weekly_Inspections!$AY472,IF(Weekly_Inspections!$AZ472&lt;&gt;"",Weekly_Inspections!$AZ472,IF(Weekly_Inspections!$BA472&lt;&gt;"",Weekly_Inspections!$BA472,IF(Weekly_Inspections!$BB472&lt;&gt;"",Weekly_Inspections!$BB472,Weekly_Inspections!$R472)))))</f>
        <v/>
      </c>
      <c r="G472" s="30">
        <f>IF(OR(Weekly_Inspections!$AQ472&lt;&gt;"",Weekly_Inspections!$AR472&lt;&gt;"",Weekly_Inspections!$AS472&lt;&gt;""),Weekly_Inspections!$AQ472,"")</f>
        <v/>
      </c>
      <c r="H472" s="30">
        <f>Weekly_Inspections!$AP472</f>
        <v/>
      </c>
      <c r="I472" s="30">
        <f>Weekly_Inspections!$AR472</f>
        <v/>
      </c>
      <c r="J472" s="30">
        <f>Weekly_Inspections!$AS472</f>
        <v/>
      </c>
      <c r="K472" s="30">
        <f>Weekly_Inspections!$AU472</f>
        <v/>
      </c>
      <c r="L472" s="46">
        <f>Weekly_Inspections!$AV472</f>
        <v/>
      </c>
      <c r="M472" s="30">
        <f>IF($B472="","",IF($N472&lt;&gt;"","Closed",IF(OR($G472&lt;&gt;"",$I472&lt;&gt;"",$J472&lt;&gt;""),"Open","")))</f>
        <v/>
      </c>
      <c r="N472" s="46" t="n"/>
      <c r="O472" s="28">
        <f>IF($B472="","",IF($M472="Closed",IF($N472="","",$N472-$B472),TODAY()-$B472))</f>
        <v/>
      </c>
      <c r="P472" s="28">
        <f>IF(OR($B472="",$L472="",$M472="Closed"),"",IF(TODAY()&gt;$L472,"YES","NO"))</f>
        <v/>
      </c>
      <c r="Q472" s="30">
        <f>Weekly_Inspections!$AW472</f>
        <v/>
      </c>
    </row>
    <row r="473" ht="15" customHeight="1" s="45">
      <c r="A473" s="28">
        <f>IF(Weekly_Inspections!$B473="","",Weekly_Inspections!$A473&amp;"-A1")</f>
        <v/>
      </c>
      <c r="B473" s="46">
        <f>Weekly_Inspections!$B473</f>
        <v/>
      </c>
      <c r="C473" s="30">
        <f>Weekly_Inspections!$E473</f>
        <v/>
      </c>
      <c r="D473" s="30">
        <f>Weekly_Inspections!$F473</f>
        <v/>
      </c>
      <c r="E473" s="28">
        <f>Weekly_Inspections!$H473</f>
        <v/>
      </c>
      <c r="F473" s="30">
        <f>IF(Weekly_Inspections!$AX473&lt;&gt;"",Weekly_Inspections!$AX473,IF(Weekly_Inspections!$AY473&lt;&gt;"",Weekly_Inspections!$AY473,IF(Weekly_Inspections!$AZ473&lt;&gt;"",Weekly_Inspections!$AZ473,IF(Weekly_Inspections!$BA473&lt;&gt;"",Weekly_Inspections!$BA473,IF(Weekly_Inspections!$BB473&lt;&gt;"",Weekly_Inspections!$BB473,Weekly_Inspections!$R473)))))</f>
        <v/>
      </c>
      <c r="G473" s="30">
        <f>IF(OR(Weekly_Inspections!$AQ473&lt;&gt;"",Weekly_Inspections!$AR473&lt;&gt;"",Weekly_Inspections!$AS473&lt;&gt;""),Weekly_Inspections!$AQ473,"")</f>
        <v/>
      </c>
      <c r="H473" s="30">
        <f>Weekly_Inspections!$AP473</f>
        <v/>
      </c>
      <c r="I473" s="30">
        <f>Weekly_Inspections!$AR473</f>
        <v/>
      </c>
      <c r="J473" s="30">
        <f>Weekly_Inspections!$AS473</f>
        <v/>
      </c>
      <c r="K473" s="30">
        <f>Weekly_Inspections!$AU473</f>
        <v/>
      </c>
      <c r="L473" s="46">
        <f>Weekly_Inspections!$AV473</f>
        <v/>
      </c>
      <c r="M473" s="30">
        <f>IF($B473="","",IF($N473&lt;&gt;"","Closed",IF(OR($G473&lt;&gt;"",$I473&lt;&gt;"",$J473&lt;&gt;""),"Open","")))</f>
        <v/>
      </c>
      <c r="N473" s="46" t="n"/>
      <c r="O473" s="28">
        <f>IF($B473="","",IF($M473="Closed",IF($N473="","",$N473-$B473),TODAY()-$B473))</f>
        <v/>
      </c>
      <c r="P473" s="28">
        <f>IF(OR($B473="",$L473="",$M473="Closed"),"",IF(TODAY()&gt;$L473,"YES","NO"))</f>
        <v/>
      </c>
      <c r="Q473" s="30">
        <f>Weekly_Inspections!$AW473</f>
        <v/>
      </c>
    </row>
    <row r="474" ht="15" customHeight="1" s="45">
      <c r="A474" s="28">
        <f>IF(Weekly_Inspections!$B474="","",Weekly_Inspections!$A474&amp;"-A1")</f>
        <v/>
      </c>
      <c r="B474" s="46">
        <f>Weekly_Inspections!$B474</f>
        <v/>
      </c>
      <c r="C474" s="30">
        <f>Weekly_Inspections!$E474</f>
        <v/>
      </c>
      <c r="D474" s="30">
        <f>Weekly_Inspections!$F474</f>
        <v/>
      </c>
      <c r="E474" s="28">
        <f>Weekly_Inspections!$H474</f>
        <v/>
      </c>
      <c r="F474" s="30">
        <f>IF(Weekly_Inspections!$AX474&lt;&gt;"",Weekly_Inspections!$AX474,IF(Weekly_Inspections!$AY474&lt;&gt;"",Weekly_Inspections!$AY474,IF(Weekly_Inspections!$AZ474&lt;&gt;"",Weekly_Inspections!$AZ474,IF(Weekly_Inspections!$BA474&lt;&gt;"",Weekly_Inspections!$BA474,IF(Weekly_Inspections!$BB474&lt;&gt;"",Weekly_Inspections!$BB474,Weekly_Inspections!$R474)))))</f>
        <v/>
      </c>
      <c r="G474" s="30">
        <f>IF(OR(Weekly_Inspections!$AQ474&lt;&gt;"",Weekly_Inspections!$AR474&lt;&gt;"",Weekly_Inspections!$AS474&lt;&gt;""),Weekly_Inspections!$AQ474,"")</f>
        <v/>
      </c>
      <c r="H474" s="30">
        <f>Weekly_Inspections!$AP474</f>
        <v/>
      </c>
      <c r="I474" s="30">
        <f>Weekly_Inspections!$AR474</f>
        <v/>
      </c>
      <c r="J474" s="30">
        <f>Weekly_Inspections!$AS474</f>
        <v/>
      </c>
      <c r="K474" s="30">
        <f>Weekly_Inspections!$AU474</f>
        <v/>
      </c>
      <c r="L474" s="46">
        <f>Weekly_Inspections!$AV474</f>
        <v/>
      </c>
      <c r="M474" s="30">
        <f>IF($B474="","",IF($N474&lt;&gt;"","Closed",IF(OR($G474&lt;&gt;"",$I474&lt;&gt;"",$J474&lt;&gt;""),"Open","")))</f>
        <v/>
      </c>
      <c r="N474" s="46" t="n"/>
      <c r="O474" s="28">
        <f>IF($B474="","",IF($M474="Closed",IF($N474="","",$N474-$B474),TODAY()-$B474))</f>
        <v/>
      </c>
      <c r="P474" s="28">
        <f>IF(OR($B474="",$L474="",$M474="Closed"),"",IF(TODAY()&gt;$L474,"YES","NO"))</f>
        <v/>
      </c>
      <c r="Q474" s="30">
        <f>Weekly_Inspections!$AW474</f>
        <v/>
      </c>
    </row>
    <row r="475" ht="15" customHeight="1" s="45">
      <c r="A475" s="28">
        <f>IF(Weekly_Inspections!$B475="","",Weekly_Inspections!$A475&amp;"-A1")</f>
        <v/>
      </c>
      <c r="B475" s="46">
        <f>Weekly_Inspections!$B475</f>
        <v/>
      </c>
      <c r="C475" s="30">
        <f>Weekly_Inspections!$E475</f>
        <v/>
      </c>
      <c r="D475" s="30">
        <f>Weekly_Inspections!$F475</f>
        <v/>
      </c>
      <c r="E475" s="28">
        <f>Weekly_Inspections!$H475</f>
        <v/>
      </c>
      <c r="F475" s="30">
        <f>IF(Weekly_Inspections!$AX475&lt;&gt;"",Weekly_Inspections!$AX475,IF(Weekly_Inspections!$AY475&lt;&gt;"",Weekly_Inspections!$AY475,IF(Weekly_Inspections!$AZ475&lt;&gt;"",Weekly_Inspections!$AZ475,IF(Weekly_Inspections!$BA475&lt;&gt;"",Weekly_Inspections!$BA475,IF(Weekly_Inspections!$BB475&lt;&gt;"",Weekly_Inspections!$BB475,Weekly_Inspections!$R475)))))</f>
        <v/>
      </c>
      <c r="G475" s="30">
        <f>IF(OR(Weekly_Inspections!$AQ475&lt;&gt;"",Weekly_Inspections!$AR475&lt;&gt;"",Weekly_Inspections!$AS475&lt;&gt;""),Weekly_Inspections!$AQ475,"")</f>
        <v/>
      </c>
      <c r="H475" s="30">
        <f>Weekly_Inspections!$AP475</f>
        <v/>
      </c>
      <c r="I475" s="30">
        <f>Weekly_Inspections!$AR475</f>
        <v/>
      </c>
      <c r="J475" s="30">
        <f>Weekly_Inspections!$AS475</f>
        <v/>
      </c>
      <c r="K475" s="30">
        <f>Weekly_Inspections!$AU475</f>
        <v/>
      </c>
      <c r="L475" s="46">
        <f>Weekly_Inspections!$AV475</f>
        <v/>
      </c>
      <c r="M475" s="30">
        <f>IF($B475="","",IF($N475&lt;&gt;"","Closed",IF(OR($G475&lt;&gt;"",$I475&lt;&gt;"",$J475&lt;&gt;""),"Open","")))</f>
        <v/>
      </c>
      <c r="N475" s="46" t="n"/>
      <c r="O475" s="28">
        <f>IF($B475="","",IF($M475="Closed",IF($N475="","",$N475-$B475),TODAY()-$B475))</f>
        <v/>
      </c>
      <c r="P475" s="28">
        <f>IF(OR($B475="",$L475="",$M475="Closed"),"",IF(TODAY()&gt;$L475,"YES","NO"))</f>
        <v/>
      </c>
      <c r="Q475" s="30">
        <f>Weekly_Inspections!$AW475</f>
        <v/>
      </c>
    </row>
    <row r="476" ht="15" customHeight="1" s="45">
      <c r="A476" s="28">
        <f>IF(Weekly_Inspections!$B476="","",Weekly_Inspections!$A476&amp;"-A1")</f>
        <v/>
      </c>
      <c r="B476" s="46">
        <f>Weekly_Inspections!$B476</f>
        <v/>
      </c>
      <c r="C476" s="30">
        <f>Weekly_Inspections!$E476</f>
        <v/>
      </c>
      <c r="D476" s="30">
        <f>Weekly_Inspections!$F476</f>
        <v/>
      </c>
      <c r="E476" s="28">
        <f>Weekly_Inspections!$H476</f>
        <v/>
      </c>
      <c r="F476" s="30">
        <f>IF(Weekly_Inspections!$AX476&lt;&gt;"",Weekly_Inspections!$AX476,IF(Weekly_Inspections!$AY476&lt;&gt;"",Weekly_Inspections!$AY476,IF(Weekly_Inspections!$AZ476&lt;&gt;"",Weekly_Inspections!$AZ476,IF(Weekly_Inspections!$BA476&lt;&gt;"",Weekly_Inspections!$BA476,IF(Weekly_Inspections!$BB476&lt;&gt;"",Weekly_Inspections!$BB476,Weekly_Inspections!$R476)))))</f>
        <v/>
      </c>
      <c r="G476" s="30">
        <f>IF(OR(Weekly_Inspections!$AQ476&lt;&gt;"",Weekly_Inspections!$AR476&lt;&gt;"",Weekly_Inspections!$AS476&lt;&gt;""),Weekly_Inspections!$AQ476,"")</f>
        <v/>
      </c>
      <c r="H476" s="30">
        <f>Weekly_Inspections!$AP476</f>
        <v/>
      </c>
      <c r="I476" s="30">
        <f>Weekly_Inspections!$AR476</f>
        <v/>
      </c>
      <c r="J476" s="30">
        <f>Weekly_Inspections!$AS476</f>
        <v/>
      </c>
      <c r="K476" s="30">
        <f>Weekly_Inspections!$AU476</f>
        <v/>
      </c>
      <c r="L476" s="46">
        <f>Weekly_Inspections!$AV476</f>
        <v/>
      </c>
      <c r="M476" s="30">
        <f>IF($B476="","",IF($N476&lt;&gt;"","Closed",IF(OR($G476&lt;&gt;"",$I476&lt;&gt;"",$J476&lt;&gt;""),"Open","")))</f>
        <v/>
      </c>
      <c r="N476" s="46" t="n"/>
      <c r="O476" s="28">
        <f>IF($B476="","",IF($M476="Closed",IF($N476="","",$N476-$B476),TODAY()-$B476))</f>
        <v/>
      </c>
      <c r="P476" s="28">
        <f>IF(OR($B476="",$L476="",$M476="Closed"),"",IF(TODAY()&gt;$L476,"YES","NO"))</f>
        <v/>
      </c>
      <c r="Q476" s="30">
        <f>Weekly_Inspections!$AW476</f>
        <v/>
      </c>
    </row>
    <row r="477" ht="15" customHeight="1" s="45">
      <c r="A477" s="28">
        <f>IF(Weekly_Inspections!$B477="","",Weekly_Inspections!$A477&amp;"-A1")</f>
        <v/>
      </c>
      <c r="B477" s="46">
        <f>Weekly_Inspections!$B477</f>
        <v/>
      </c>
      <c r="C477" s="30">
        <f>Weekly_Inspections!$E477</f>
        <v/>
      </c>
      <c r="D477" s="30">
        <f>Weekly_Inspections!$F477</f>
        <v/>
      </c>
      <c r="E477" s="28">
        <f>Weekly_Inspections!$H477</f>
        <v/>
      </c>
      <c r="F477" s="30">
        <f>IF(Weekly_Inspections!$AX477&lt;&gt;"",Weekly_Inspections!$AX477,IF(Weekly_Inspections!$AY477&lt;&gt;"",Weekly_Inspections!$AY477,IF(Weekly_Inspections!$AZ477&lt;&gt;"",Weekly_Inspections!$AZ477,IF(Weekly_Inspections!$BA477&lt;&gt;"",Weekly_Inspections!$BA477,IF(Weekly_Inspections!$BB477&lt;&gt;"",Weekly_Inspections!$BB477,Weekly_Inspections!$R477)))))</f>
        <v/>
      </c>
      <c r="G477" s="30">
        <f>IF(OR(Weekly_Inspections!$AQ477&lt;&gt;"",Weekly_Inspections!$AR477&lt;&gt;"",Weekly_Inspections!$AS477&lt;&gt;""),Weekly_Inspections!$AQ477,"")</f>
        <v/>
      </c>
      <c r="H477" s="30">
        <f>Weekly_Inspections!$AP477</f>
        <v/>
      </c>
      <c r="I477" s="30">
        <f>Weekly_Inspections!$AR477</f>
        <v/>
      </c>
      <c r="J477" s="30">
        <f>Weekly_Inspections!$AS477</f>
        <v/>
      </c>
      <c r="K477" s="30">
        <f>Weekly_Inspections!$AU477</f>
        <v/>
      </c>
      <c r="L477" s="46">
        <f>Weekly_Inspections!$AV477</f>
        <v/>
      </c>
      <c r="M477" s="30">
        <f>IF($B477="","",IF($N477&lt;&gt;"","Closed",IF(OR($G477&lt;&gt;"",$I477&lt;&gt;"",$J477&lt;&gt;""),"Open","")))</f>
        <v/>
      </c>
      <c r="N477" s="46" t="n"/>
      <c r="O477" s="28">
        <f>IF($B477="","",IF($M477="Closed",IF($N477="","",$N477-$B477),TODAY()-$B477))</f>
        <v/>
      </c>
      <c r="P477" s="28">
        <f>IF(OR($B477="",$L477="",$M477="Closed"),"",IF(TODAY()&gt;$L477,"YES","NO"))</f>
        <v/>
      </c>
      <c r="Q477" s="30">
        <f>Weekly_Inspections!$AW477</f>
        <v/>
      </c>
    </row>
    <row r="478" ht="15" customHeight="1" s="45">
      <c r="A478" s="28">
        <f>IF(Weekly_Inspections!$B478="","",Weekly_Inspections!$A478&amp;"-A1")</f>
        <v/>
      </c>
      <c r="B478" s="46">
        <f>Weekly_Inspections!$B478</f>
        <v/>
      </c>
      <c r="C478" s="30">
        <f>Weekly_Inspections!$E478</f>
        <v/>
      </c>
      <c r="D478" s="30">
        <f>Weekly_Inspections!$F478</f>
        <v/>
      </c>
      <c r="E478" s="28">
        <f>Weekly_Inspections!$H478</f>
        <v/>
      </c>
      <c r="F478" s="30">
        <f>IF(Weekly_Inspections!$AX478&lt;&gt;"",Weekly_Inspections!$AX478,IF(Weekly_Inspections!$AY478&lt;&gt;"",Weekly_Inspections!$AY478,IF(Weekly_Inspections!$AZ478&lt;&gt;"",Weekly_Inspections!$AZ478,IF(Weekly_Inspections!$BA478&lt;&gt;"",Weekly_Inspections!$BA478,IF(Weekly_Inspections!$BB478&lt;&gt;"",Weekly_Inspections!$BB478,Weekly_Inspections!$R478)))))</f>
        <v/>
      </c>
      <c r="G478" s="30">
        <f>IF(OR(Weekly_Inspections!$AQ478&lt;&gt;"",Weekly_Inspections!$AR478&lt;&gt;"",Weekly_Inspections!$AS478&lt;&gt;""),Weekly_Inspections!$AQ478,"")</f>
        <v/>
      </c>
      <c r="H478" s="30">
        <f>Weekly_Inspections!$AP478</f>
        <v/>
      </c>
      <c r="I478" s="30">
        <f>Weekly_Inspections!$AR478</f>
        <v/>
      </c>
      <c r="J478" s="30">
        <f>Weekly_Inspections!$AS478</f>
        <v/>
      </c>
      <c r="K478" s="30">
        <f>Weekly_Inspections!$AU478</f>
        <v/>
      </c>
      <c r="L478" s="46">
        <f>Weekly_Inspections!$AV478</f>
        <v/>
      </c>
      <c r="M478" s="30">
        <f>IF($B478="","",IF($N478&lt;&gt;"","Closed",IF(OR($G478&lt;&gt;"",$I478&lt;&gt;"",$J478&lt;&gt;""),"Open","")))</f>
        <v/>
      </c>
      <c r="N478" s="46" t="n"/>
      <c r="O478" s="28">
        <f>IF($B478="","",IF($M478="Closed",IF($N478="","",$N478-$B478),TODAY()-$B478))</f>
        <v/>
      </c>
      <c r="P478" s="28">
        <f>IF(OR($B478="",$L478="",$M478="Closed"),"",IF(TODAY()&gt;$L478,"YES","NO"))</f>
        <v/>
      </c>
      <c r="Q478" s="30">
        <f>Weekly_Inspections!$AW478</f>
        <v/>
      </c>
    </row>
    <row r="479" ht="15" customHeight="1" s="45">
      <c r="A479" s="28">
        <f>IF(Weekly_Inspections!$B479="","",Weekly_Inspections!$A479&amp;"-A1")</f>
        <v/>
      </c>
      <c r="B479" s="46">
        <f>Weekly_Inspections!$B479</f>
        <v/>
      </c>
      <c r="C479" s="30">
        <f>Weekly_Inspections!$E479</f>
        <v/>
      </c>
      <c r="D479" s="30">
        <f>Weekly_Inspections!$F479</f>
        <v/>
      </c>
      <c r="E479" s="28">
        <f>Weekly_Inspections!$H479</f>
        <v/>
      </c>
      <c r="F479" s="30">
        <f>IF(Weekly_Inspections!$AX479&lt;&gt;"",Weekly_Inspections!$AX479,IF(Weekly_Inspections!$AY479&lt;&gt;"",Weekly_Inspections!$AY479,IF(Weekly_Inspections!$AZ479&lt;&gt;"",Weekly_Inspections!$AZ479,IF(Weekly_Inspections!$BA479&lt;&gt;"",Weekly_Inspections!$BA479,IF(Weekly_Inspections!$BB479&lt;&gt;"",Weekly_Inspections!$BB479,Weekly_Inspections!$R479)))))</f>
        <v/>
      </c>
      <c r="G479" s="30">
        <f>IF(OR(Weekly_Inspections!$AQ479&lt;&gt;"",Weekly_Inspections!$AR479&lt;&gt;"",Weekly_Inspections!$AS479&lt;&gt;""),Weekly_Inspections!$AQ479,"")</f>
        <v/>
      </c>
      <c r="H479" s="30">
        <f>Weekly_Inspections!$AP479</f>
        <v/>
      </c>
      <c r="I479" s="30">
        <f>Weekly_Inspections!$AR479</f>
        <v/>
      </c>
      <c r="J479" s="30">
        <f>Weekly_Inspections!$AS479</f>
        <v/>
      </c>
      <c r="K479" s="30">
        <f>Weekly_Inspections!$AU479</f>
        <v/>
      </c>
      <c r="L479" s="46">
        <f>Weekly_Inspections!$AV479</f>
        <v/>
      </c>
      <c r="M479" s="30">
        <f>IF($B479="","",IF($N479&lt;&gt;"","Closed",IF(OR($G479&lt;&gt;"",$I479&lt;&gt;"",$J479&lt;&gt;""),"Open","")))</f>
        <v/>
      </c>
      <c r="N479" s="46" t="n"/>
      <c r="O479" s="28">
        <f>IF($B479="","",IF($M479="Closed",IF($N479="","",$N479-$B479),TODAY()-$B479))</f>
        <v/>
      </c>
      <c r="P479" s="28">
        <f>IF(OR($B479="",$L479="",$M479="Closed"),"",IF(TODAY()&gt;$L479,"YES","NO"))</f>
        <v/>
      </c>
      <c r="Q479" s="30">
        <f>Weekly_Inspections!$AW479</f>
        <v/>
      </c>
    </row>
    <row r="480" ht="15" customHeight="1" s="45">
      <c r="A480" s="28">
        <f>IF(Weekly_Inspections!$B480="","",Weekly_Inspections!$A480&amp;"-A1")</f>
        <v/>
      </c>
      <c r="B480" s="46">
        <f>Weekly_Inspections!$B480</f>
        <v/>
      </c>
      <c r="C480" s="30">
        <f>Weekly_Inspections!$E480</f>
        <v/>
      </c>
      <c r="D480" s="30">
        <f>Weekly_Inspections!$F480</f>
        <v/>
      </c>
      <c r="E480" s="28">
        <f>Weekly_Inspections!$H480</f>
        <v/>
      </c>
      <c r="F480" s="30">
        <f>IF(Weekly_Inspections!$AX480&lt;&gt;"",Weekly_Inspections!$AX480,IF(Weekly_Inspections!$AY480&lt;&gt;"",Weekly_Inspections!$AY480,IF(Weekly_Inspections!$AZ480&lt;&gt;"",Weekly_Inspections!$AZ480,IF(Weekly_Inspections!$BA480&lt;&gt;"",Weekly_Inspections!$BA480,IF(Weekly_Inspections!$BB480&lt;&gt;"",Weekly_Inspections!$BB480,Weekly_Inspections!$R480)))))</f>
        <v/>
      </c>
      <c r="G480" s="30">
        <f>IF(OR(Weekly_Inspections!$AQ480&lt;&gt;"",Weekly_Inspections!$AR480&lt;&gt;"",Weekly_Inspections!$AS480&lt;&gt;""),Weekly_Inspections!$AQ480,"")</f>
        <v/>
      </c>
      <c r="H480" s="30">
        <f>Weekly_Inspections!$AP480</f>
        <v/>
      </c>
      <c r="I480" s="30">
        <f>Weekly_Inspections!$AR480</f>
        <v/>
      </c>
      <c r="J480" s="30">
        <f>Weekly_Inspections!$AS480</f>
        <v/>
      </c>
      <c r="K480" s="30">
        <f>Weekly_Inspections!$AU480</f>
        <v/>
      </c>
      <c r="L480" s="46">
        <f>Weekly_Inspections!$AV480</f>
        <v/>
      </c>
      <c r="M480" s="30">
        <f>IF($B480="","",IF($N480&lt;&gt;"","Closed",IF(OR($G480&lt;&gt;"",$I480&lt;&gt;"",$J480&lt;&gt;""),"Open","")))</f>
        <v/>
      </c>
      <c r="N480" s="46" t="n"/>
      <c r="O480" s="28">
        <f>IF($B480="","",IF($M480="Closed",IF($N480="","",$N480-$B480),TODAY()-$B480))</f>
        <v/>
      </c>
      <c r="P480" s="28">
        <f>IF(OR($B480="",$L480="",$M480="Closed"),"",IF(TODAY()&gt;$L480,"YES","NO"))</f>
        <v/>
      </c>
      <c r="Q480" s="30">
        <f>Weekly_Inspections!$AW480</f>
        <v/>
      </c>
    </row>
    <row r="481" ht="15" customHeight="1" s="45">
      <c r="A481" s="28">
        <f>IF(Weekly_Inspections!$B481="","",Weekly_Inspections!$A481&amp;"-A1")</f>
        <v/>
      </c>
      <c r="B481" s="46">
        <f>Weekly_Inspections!$B481</f>
        <v/>
      </c>
      <c r="C481" s="30">
        <f>Weekly_Inspections!$E481</f>
        <v/>
      </c>
      <c r="D481" s="30">
        <f>Weekly_Inspections!$F481</f>
        <v/>
      </c>
      <c r="E481" s="28">
        <f>Weekly_Inspections!$H481</f>
        <v/>
      </c>
      <c r="F481" s="30">
        <f>IF(Weekly_Inspections!$AX481&lt;&gt;"",Weekly_Inspections!$AX481,IF(Weekly_Inspections!$AY481&lt;&gt;"",Weekly_Inspections!$AY481,IF(Weekly_Inspections!$AZ481&lt;&gt;"",Weekly_Inspections!$AZ481,IF(Weekly_Inspections!$BA481&lt;&gt;"",Weekly_Inspections!$BA481,IF(Weekly_Inspections!$BB481&lt;&gt;"",Weekly_Inspections!$BB481,Weekly_Inspections!$R481)))))</f>
        <v/>
      </c>
      <c r="G481" s="30">
        <f>IF(OR(Weekly_Inspections!$AQ481&lt;&gt;"",Weekly_Inspections!$AR481&lt;&gt;"",Weekly_Inspections!$AS481&lt;&gt;""),Weekly_Inspections!$AQ481,"")</f>
        <v/>
      </c>
      <c r="H481" s="30">
        <f>Weekly_Inspections!$AP481</f>
        <v/>
      </c>
      <c r="I481" s="30">
        <f>Weekly_Inspections!$AR481</f>
        <v/>
      </c>
      <c r="J481" s="30">
        <f>Weekly_Inspections!$AS481</f>
        <v/>
      </c>
      <c r="K481" s="30">
        <f>Weekly_Inspections!$AU481</f>
        <v/>
      </c>
      <c r="L481" s="46">
        <f>Weekly_Inspections!$AV481</f>
        <v/>
      </c>
      <c r="M481" s="30">
        <f>IF($B481="","",IF($N481&lt;&gt;"","Closed",IF(OR($G481&lt;&gt;"",$I481&lt;&gt;"",$J481&lt;&gt;""),"Open","")))</f>
        <v/>
      </c>
      <c r="N481" s="46" t="n"/>
      <c r="O481" s="28">
        <f>IF($B481="","",IF($M481="Closed",IF($N481="","",$N481-$B481),TODAY()-$B481))</f>
        <v/>
      </c>
      <c r="P481" s="28">
        <f>IF(OR($B481="",$L481="",$M481="Closed"),"",IF(TODAY()&gt;$L481,"YES","NO"))</f>
        <v/>
      </c>
      <c r="Q481" s="30">
        <f>Weekly_Inspections!$AW481</f>
        <v/>
      </c>
    </row>
    <row r="482" ht="15" customHeight="1" s="45">
      <c r="A482" s="28">
        <f>IF(Weekly_Inspections!$B482="","",Weekly_Inspections!$A482&amp;"-A1")</f>
        <v/>
      </c>
      <c r="B482" s="46">
        <f>Weekly_Inspections!$B482</f>
        <v/>
      </c>
      <c r="C482" s="30">
        <f>Weekly_Inspections!$E482</f>
        <v/>
      </c>
      <c r="D482" s="30">
        <f>Weekly_Inspections!$F482</f>
        <v/>
      </c>
      <c r="E482" s="28">
        <f>Weekly_Inspections!$H482</f>
        <v/>
      </c>
      <c r="F482" s="30">
        <f>IF(Weekly_Inspections!$AX482&lt;&gt;"",Weekly_Inspections!$AX482,IF(Weekly_Inspections!$AY482&lt;&gt;"",Weekly_Inspections!$AY482,IF(Weekly_Inspections!$AZ482&lt;&gt;"",Weekly_Inspections!$AZ482,IF(Weekly_Inspections!$BA482&lt;&gt;"",Weekly_Inspections!$BA482,IF(Weekly_Inspections!$BB482&lt;&gt;"",Weekly_Inspections!$BB482,Weekly_Inspections!$R482)))))</f>
        <v/>
      </c>
      <c r="G482" s="30">
        <f>IF(OR(Weekly_Inspections!$AQ482&lt;&gt;"",Weekly_Inspections!$AR482&lt;&gt;"",Weekly_Inspections!$AS482&lt;&gt;""),Weekly_Inspections!$AQ482,"")</f>
        <v/>
      </c>
      <c r="H482" s="30">
        <f>Weekly_Inspections!$AP482</f>
        <v/>
      </c>
      <c r="I482" s="30">
        <f>Weekly_Inspections!$AR482</f>
        <v/>
      </c>
      <c r="J482" s="30">
        <f>Weekly_Inspections!$AS482</f>
        <v/>
      </c>
      <c r="K482" s="30">
        <f>Weekly_Inspections!$AU482</f>
        <v/>
      </c>
      <c r="L482" s="46">
        <f>Weekly_Inspections!$AV482</f>
        <v/>
      </c>
      <c r="M482" s="30">
        <f>IF($B482="","",IF($N482&lt;&gt;"","Closed",IF(OR($G482&lt;&gt;"",$I482&lt;&gt;"",$J482&lt;&gt;""),"Open","")))</f>
        <v/>
      </c>
      <c r="N482" s="46" t="n"/>
      <c r="O482" s="28">
        <f>IF($B482="","",IF($M482="Closed",IF($N482="","",$N482-$B482),TODAY()-$B482))</f>
        <v/>
      </c>
      <c r="P482" s="28">
        <f>IF(OR($B482="",$L482="",$M482="Closed"),"",IF(TODAY()&gt;$L482,"YES","NO"))</f>
        <v/>
      </c>
      <c r="Q482" s="30">
        <f>Weekly_Inspections!$AW482</f>
        <v/>
      </c>
    </row>
    <row r="483" ht="15" customHeight="1" s="45">
      <c r="A483" s="28">
        <f>IF(Weekly_Inspections!$B483="","",Weekly_Inspections!$A483&amp;"-A1")</f>
        <v/>
      </c>
      <c r="B483" s="46">
        <f>Weekly_Inspections!$B483</f>
        <v/>
      </c>
      <c r="C483" s="30">
        <f>Weekly_Inspections!$E483</f>
        <v/>
      </c>
      <c r="D483" s="30">
        <f>Weekly_Inspections!$F483</f>
        <v/>
      </c>
      <c r="E483" s="28">
        <f>Weekly_Inspections!$H483</f>
        <v/>
      </c>
      <c r="F483" s="30">
        <f>IF(Weekly_Inspections!$AX483&lt;&gt;"",Weekly_Inspections!$AX483,IF(Weekly_Inspections!$AY483&lt;&gt;"",Weekly_Inspections!$AY483,IF(Weekly_Inspections!$AZ483&lt;&gt;"",Weekly_Inspections!$AZ483,IF(Weekly_Inspections!$BA483&lt;&gt;"",Weekly_Inspections!$BA483,IF(Weekly_Inspections!$BB483&lt;&gt;"",Weekly_Inspections!$BB483,Weekly_Inspections!$R483)))))</f>
        <v/>
      </c>
      <c r="G483" s="30">
        <f>IF(OR(Weekly_Inspections!$AQ483&lt;&gt;"",Weekly_Inspections!$AR483&lt;&gt;"",Weekly_Inspections!$AS483&lt;&gt;""),Weekly_Inspections!$AQ483,"")</f>
        <v/>
      </c>
      <c r="H483" s="30">
        <f>Weekly_Inspections!$AP483</f>
        <v/>
      </c>
      <c r="I483" s="30">
        <f>Weekly_Inspections!$AR483</f>
        <v/>
      </c>
      <c r="J483" s="30">
        <f>Weekly_Inspections!$AS483</f>
        <v/>
      </c>
      <c r="K483" s="30">
        <f>Weekly_Inspections!$AU483</f>
        <v/>
      </c>
      <c r="L483" s="46">
        <f>Weekly_Inspections!$AV483</f>
        <v/>
      </c>
      <c r="M483" s="30">
        <f>IF($B483="","",IF($N483&lt;&gt;"","Closed",IF(OR($G483&lt;&gt;"",$I483&lt;&gt;"",$J483&lt;&gt;""),"Open","")))</f>
        <v/>
      </c>
      <c r="N483" s="46" t="n"/>
      <c r="O483" s="28">
        <f>IF($B483="","",IF($M483="Closed",IF($N483="","",$N483-$B483),TODAY()-$B483))</f>
        <v/>
      </c>
      <c r="P483" s="28">
        <f>IF(OR($B483="",$L483="",$M483="Closed"),"",IF(TODAY()&gt;$L483,"YES","NO"))</f>
        <v/>
      </c>
      <c r="Q483" s="30">
        <f>Weekly_Inspections!$AW483</f>
        <v/>
      </c>
    </row>
    <row r="484" ht="15" customHeight="1" s="45">
      <c r="A484" s="28">
        <f>IF(Weekly_Inspections!$B484="","",Weekly_Inspections!$A484&amp;"-A1")</f>
        <v/>
      </c>
      <c r="B484" s="46">
        <f>Weekly_Inspections!$B484</f>
        <v/>
      </c>
      <c r="C484" s="30">
        <f>Weekly_Inspections!$E484</f>
        <v/>
      </c>
      <c r="D484" s="30">
        <f>Weekly_Inspections!$F484</f>
        <v/>
      </c>
      <c r="E484" s="28">
        <f>Weekly_Inspections!$H484</f>
        <v/>
      </c>
      <c r="F484" s="30">
        <f>IF(Weekly_Inspections!$AX484&lt;&gt;"",Weekly_Inspections!$AX484,IF(Weekly_Inspections!$AY484&lt;&gt;"",Weekly_Inspections!$AY484,IF(Weekly_Inspections!$AZ484&lt;&gt;"",Weekly_Inspections!$AZ484,IF(Weekly_Inspections!$BA484&lt;&gt;"",Weekly_Inspections!$BA484,IF(Weekly_Inspections!$BB484&lt;&gt;"",Weekly_Inspections!$BB484,Weekly_Inspections!$R484)))))</f>
        <v/>
      </c>
      <c r="G484" s="30">
        <f>IF(OR(Weekly_Inspections!$AQ484&lt;&gt;"",Weekly_Inspections!$AR484&lt;&gt;"",Weekly_Inspections!$AS484&lt;&gt;""),Weekly_Inspections!$AQ484,"")</f>
        <v/>
      </c>
      <c r="H484" s="30">
        <f>Weekly_Inspections!$AP484</f>
        <v/>
      </c>
      <c r="I484" s="30">
        <f>Weekly_Inspections!$AR484</f>
        <v/>
      </c>
      <c r="J484" s="30">
        <f>Weekly_Inspections!$AS484</f>
        <v/>
      </c>
      <c r="K484" s="30">
        <f>Weekly_Inspections!$AU484</f>
        <v/>
      </c>
      <c r="L484" s="46">
        <f>Weekly_Inspections!$AV484</f>
        <v/>
      </c>
      <c r="M484" s="30">
        <f>IF($B484="","",IF($N484&lt;&gt;"","Closed",IF(OR($G484&lt;&gt;"",$I484&lt;&gt;"",$J484&lt;&gt;""),"Open","")))</f>
        <v/>
      </c>
      <c r="N484" s="46" t="n"/>
      <c r="O484" s="28">
        <f>IF($B484="","",IF($M484="Closed",IF($N484="","",$N484-$B484),TODAY()-$B484))</f>
        <v/>
      </c>
      <c r="P484" s="28">
        <f>IF(OR($B484="",$L484="",$M484="Closed"),"",IF(TODAY()&gt;$L484,"YES","NO"))</f>
        <v/>
      </c>
      <c r="Q484" s="30">
        <f>Weekly_Inspections!$AW484</f>
        <v/>
      </c>
    </row>
    <row r="485" ht="15" customHeight="1" s="45">
      <c r="A485" s="28">
        <f>IF(Weekly_Inspections!$B485="","",Weekly_Inspections!$A485&amp;"-A1")</f>
        <v/>
      </c>
      <c r="B485" s="46">
        <f>Weekly_Inspections!$B485</f>
        <v/>
      </c>
      <c r="C485" s="30">
        <f>Weekly_Inspections!$E485</f>
        <v/>
      </c>
      <c r="D485" s="30">
        <f>Weekly_Inspections!$F485</f>
        <v/>
      </c>
      <c r="E485" s="28">
        <f>Weekly_Inspections!$H485</f>
        <v/>
      </c>
      <c r="F485" s="30">
        <f>IF(Weekly_Inspections!$AX485&lt;&gt;"",Weekly_Inspections!$AX485,IF(Weekly_Inspections!$AY485&lt;&gt;"",Weekly_Inspections!$AY485,IF(Weekly_Inspections!$AZ485&lt;&gt;"",Weekly_Inspections!$AZ485,IF(Weekly_Inspections!$BA485&lt;&gt;"",Weekly_Inspections!$BA485,IF(Weekly_Inspections!$BB485&lt;&gt;"",Weekly_Inspections!$BB485,Weekly_Inspections!$R485)))))</f>
        <v/>
      </c>
      <c r="G485" s="30">
        <f>IF(OR(Weekly_Inspections!$AQ485&lt;&gt;"",Weekly_Inspections!$AR485&lt;&gt;"",Weekly_Inspections!$AS485&lt;&gt;""),Weekly_Inspections!$AQ485,"")</f>
        <v/>
      </c>
      <c r="H485" s="30">
        <f>Weekly_Inspections!$AP485</f>
        <v/>
      </c>
      <c r="I485" s="30">
        <f>Weekly_Inspections!$AR485</f>
        <v/>
      </c>
      <c r="J485" s="30">
        <f>Weekly_Inspections!$AS485</f>
        <v/>
      </c>
      <c r="K485" s="30">
        <f>Weekly_Inspections!$AU485</f>
        <v/>
      </c>
      <c r="L485" s="46">
        <f>Weekly_Inspections!$AV485</f>
        <v/>
      </c>
      <c r="M485" s="30">
        <f>IF($B485="","",IF($N485&lt;&gt;"","Closed",IF(OR($G485&lt;&gt;"",$I485&lt;&gt;"",$J485&lt;&gt;""),"Open","")))</f>
        <v/>
      </c>
      <c r="N485" s="46" t="n"/>
      <c r="O485" s="28">
        <f>IF($B485="","",IF($M485="Closed",IF($N485="","",$N485-$B485),TODAY()-$B485))</f>
        <v/>
      </c>
      <c r="P485" s="28">
        <f>IF(OR($B485="",$L485="",$M485="Closed"),"",IF(TODAY()&gt;$L485,"YES","NO"))</f>
        <v/>
      </c>
      <c r="Q485" s="30">
        <f>Weekly_Inspections!$AW485</f>
        <v/>
      </c>
    </row>
    <row r="486" ht="15" customHeight="1" s="45">
      <c r="A486" s="28">
        <f>IF(Weekly_Inspections!$B486="","",Weekly_Inspections!$A486&amp;"-A1")</f>
        <v/>
      </c>
      <c r="B486" s="46">
        <f>Weekly_Inspections!$B486</f>
        <v/>
      </c>
      <c r="C486" s="30">
        <f>Weekly_Inspections!$E486</f>
        <v/>
      </c>
      <c r="D486" s="30">
        <f>Weekly_Inspections!$F486</f>
        <v/>
      </c>
      <c r="E486" s="28">
        <f>Weekly_Inspections!$H486</f>
        <v/>
      </c>
      <c r="F486" s="30">
        <f>IF(Weekly_Inspections!$AX486&lt;&gt;"",Weekly_Inspections!$AX486,IF(Weekly_Inspections!$AY486&lt;&gt;"",Weekly_Inspections!$AY486,IF(Weekly_Inspections!$AZ486&lt;&gt;"",Weekly_Inspections!$AZ486,IF(Weekly_Inspections!$BA486&lt;&gt;"",Weekly_Inspections!$BA486,IF(Weekly_Inspections!$BB486&lt;&gt;"",Weekly_Inspections!$BB486,Weekly_Inspections!$R486)))))</f>
        <v/>
      </c>
      <c r="G486" s="30">
        <f>IF(OR(Weekly_Inspections!$AQ486&lt;&gt;"",Weekly_Inspections!$AR486&lt;&gt;"",Weekly_Inspections!$AS486&lt;&gt;""),Weekly_Inspections!$AQ486,"")</f>
        <v/>
      </c>
      <c r="H486" s="30">
        <f>Weekly_Inspections!$AP486</f>
        <v/>
      </c>
      <c r="I486" s="30">
        <f>Weekly_Inspections!$AR486</f>
        <v/>
      </c>
      <c r="J486" s="30">
        <f>Weekly_Inspections!$AS486</f>
        <v/>
      </c>
      <c r="K486" s="30">
        <f>Weekly_Inspections!$AU486</f>
        <v/>
      </c>
      <c r="L486" s="46">
        <f>Weekly_Inspections!$AV486</f>
        <v/>
      </c>
      <c r="M486" s="30">
        <f>IF($B486="","",IF($N486&lt;&gt;"","Closed",IF(OR($G486&lt;&gt;"",$I486&lt;&gt;"",$J486&lt;&gt;""),"Open","")))</f>
        <v/>
      </c>
      <c r="N486" s="46" t="n"/>
      <c r="O486" s="28">
        <f>IF($B486="","",IF($M486="Closed",IF($N486="","",$N486-$B486),TODAY()-$B486))</f>
        <v/>
      </c>
      <c r="P486" s="28">
        <f>IF(OR($B486="",$L486="",$M486="Closed"),"",IF(TODAY()&gt;$L486,"YES","NO"))</f>
        <v/>
      </c>
      <c r="Q486" s="30">
        <f>Weekly_Inspections!$AW486</f>
        <v/>
      </c>
    </row>
    <row r="487" ht="15" customHeight="1" s="45">
      <c r="A487" s="28">
        <f>IF(Weekly_Inspections!$B487="","",Weekly_Inspections!$A487&amp;"-A1")</f>
        <v/>
      </c>
      <c r="B487" s="46">
        <f>Weekly_Inspections!$B487</f>
        <v/>
      </c>
      <c r="C487" s="30">
        <f>Weekly_Inspections!$E487</f>
        <v/>
      </c>
      <c r="D487" s="30">
        <f>Weekly_Inspections!$F487</f>
        <v/>
      </c>
      <c r="E487" s="28">
        <f>Weekly_Inspections!$H487</f>
        <v/>
      </c>
      <c r="F487" s="30">
        <f>IF(Weekly_Inspections!$AX487&lt;&gt;"",Weekly_Inspections!$AX487,IF(Weekly_Inspections!$AY487&lt;&gt;"",Weekly_Inspections!$AY487,IF(Weekly_Inspections!$AZ487&lt;&gt;"",Weekly_Inspections!$AZ487,IF(Weekly_Inspections!$BA487&lt;&gt;"",Weekly_Inspections!$BA487,IF(Weekly_Inspections!$BB487&lt;&gt;"",Weekly_Inspections!$BB487,Weekly_Inspections!$R487)))))</f>
        <v/>
      </c>
      <c r="G487" s="30">
        <f>IF(OR(Weekly_Inspections!$AQ487&lt;&gt;"",Weekly_Inspections!$AR487&lt;&gt;"",Weekly_Inspections!$AS487&lt;&gt;""),Weekly_Inspections!$AQ487,"")</f>
        <v/>
      </c>
      <c r="H487" s="30">
        <f>Weekly_Inspections!$AP487</f>
        <v/>
      </c>
      <c r="I487" s="30">
        <f>Weekly_Inspections!$AR487</f>
        <v/>
      </c>
      <c r="J487" s="30">
        <f>Weekly_Inspections!$AS487</f>
        <v/>
      </c>
      <c r="K487" s="30">
        <f>Weekly_Inspections!$AU487</f>
        <v/>
      </c>
      <c r="L487" s="46">
        <f>Weekly_Inspections!$AV487</f>
        <v/>
      </c>
      <c r="M487" s="30">
        <f>IF($B487="","",IF($N487&lt;&gt;"","Closed",IF(OR($G487&lt;&gt;"",$I487&lt;&gt;"",$J487&lt;&gt;""),"Open","")))</f>
        <v/>
      </c>
      <c r="N487" s="46" t="n"/>
      <c r="O487" s="28">
        <f>IF($B487="","",IF($M487="Closed",IF($N487="","",$N487-$B487),TODAY()-$B487))</f>
        <v/>
      </c>
      <c r="P487" s="28">
        <f>IF(OR($B487="",$L487="",$M487="Closed"),"",IF(TODAY()&gt;$L487,"YES","NO"))</f>
        <v/>
      </c>
      <c r="Q487" s="30">
        <f>Weekly_Inspections!$AW487</f>
        <v/>
      </c>
    </row>
    <row r="488" ht="15" customHeight="1" s="45">
      <c r="A488" s="28">
        <f>IF(Weekly_Inspections!$B488="","",Weekly_Inspections!$A488&amp;"-A1")</f>
        <v/>
      </c>
      <c r="B488" s="46">
        <f>Weekly_Inspections!$B488</f>
        <v/>
      </c>
      <c r="C488" s="30">
        <f>Weekly_Inspections!$E488</f>
        <v/>
      </c>
      <c r="D488" s="30">
        <f>Weekly_Inspections!$F488</f>
        <v/>
      </c>
      <c r="E488" s="28">
        <f>Weekly_Inspections!$H488</f>
        <v/>
      </c>
      <c r="F488" s="30">
        <f>IF(Weekly_Inspections!$AX488&lt;&gt;"",Weekly_Inspections!$AX488,IF(Weekly_Inspections!$AY488&lt;&gt;"",Weekly_Inspections!$AY488,IF(Weekly_Inspections!$AZ488&lt;&gt;"",Weekly_Inspections!$AZ488,IF(Weekly_Inspections!$BA488&lt;&gt;"",Weekly_Inspections!$BA488,IF(Weekly_Inspections!$BB488&lt;&gt;"",Weekly_Inspections!$BB488,Weekly_Inspections!$R488)))))</f>
        <v/>
      </c>
      <c r="G488" s="30">
        <f>IF(OR(Weekly_Inspections!$AQ488&lt;&gt;"",Weekly_Inspections!$AR488&lt;&gt;"",Weekly_Inspections!$AS488&lt;&gt;""),Weekly_Inspections!$AQ488,"")</f>
        <v/>
      </c>
      <c r="H488" s="30">
        <f>Weekly_Inspections!$AP488</f>
        <v/>
      </c>
      <c r="I488" s="30">
        <f>Weekly_Inspections!$AR488</f>
        <v/>
      </c>
      <c r="J488" s="30">
        <f>Weekly_Inspections!$AS488</f>
        <v/>
      </c>
      <c r="K488" s="30">
        <f>Weekly_Inspections!$AU488</f>
        <v/>
      </c>
      <c r="L488" s="46">
        <f>Weekly_Inspections!$AV488</f>
        <v/>
      </c>
      <c r="M488" s="30">
        <f>IF($B488="","",IF($N488&lt;&gt;"","Closed",IF(OR($G488&lt;&gt;"",$I488&lt;&gt;"",$J488&lt;&gt;""),"Open","")))</f>
        <v/>
      </c>
      <c r="N488" s="46" t="n"/>
      <c r="O488" s="28">
        <f>IF($B488="","",IF($M488="Closed",IF($N488="","",$N488-$B488),TODAY()-$B488))</f>
        <v/>
      </c>
      <c r="P488" s="28">
        <f>IF(OR($B488="",$L488="",$M488="Closed"),"",IF(TODAY()&gt;$L488,"YES","NO"))</f>
        <v/>
      </c>
      <c r="Q488" s="30">
        <f>Weekly_Inspections!$AW488</f>
        <v/>
      </c>
    </row>
    <row r="489" ht="15" customHeight="1" s="45">
      <c r="A489" s="28">
        <f>IF(Weekly_Inspections!$B489="","",Weekly_Inspections!$A489&amp;"-A1")</f>
        <v/>
      </c>
      <c r="B489" s="46">
        <f>Weekly_Inspections!$B489</f>
        <v/>
      </c>
      <c r="C489" s="30">
        <f>Weekly_Inspections!$E489</f>
        <v/>
      </c>
      <c r="D489" s="30">
        <f>Weekly_Inspections!$F489</f>
        <v/>
      </c>
      <c r="E489" s="28">
        <f>Weekly_Inspections!$H489</f>
        <v/>
      </c>
      <c r="F489" s="30">
        <f>IF(Weekly_Inspections!$AX489&lt;&gt;"",Weekly_Inspections!$AX489,IF(Weekly_Inspections!$AY489&lt;&gt;"",Weekly_Inspections!$AY489,IF(Weekly_Inspections!$AZ489&lt;&gt;"",Weekly_Inspections!$AZ489,IF(Weekly_Inspections!$BA489&lt;&gt;"",Weekly_Inspections!$BA489,IF(Weekly_Inspections!$BB489&lt;&gt;"",Weekly_Inspections!$BB489,Weekly_Inspections!$R489)))))</f>
        <v/>
      </c>
      <c r="G489" s="30">
        <f>IF(OR(Weekly_Inspections!$AQ489&lt;&gt;"",Weekly_Inspections!$AR489&lt;&gt;"",Weekly_Inspections!$AS489&lt;&gt;""),Weekly_Inspections!$AQ489,"")</f>
        <v/>
      </c>
      <c r="H489" s="30">
        <f>Weekly_Inspections!$AP489</f>
        <v/>
      </c>
      <c r="I489" s="30">
        <f>Weekly_Inspections!$AR489</f>
        <v/>
      </c>
      <c r="J489" s="30">
        <f>Weekly_Inspections!$AS489</f>
        <v/>
      </c>
      <c r="K489" s="30">
        <f>Weekly_Inspections!$AU489</f>
        <v/>
      </c>
      <c r="L489" s="46">
        <f>Weekly_Inspections!$AV489</f>
        <v/>
      </c>
      <c r="M489" s="30">
        <f>IF($B489="","",IF($N489&lt;&gt;"","Closed",IF(OR($G489&lt;&gt;"",$I489&lt;&gt;"",$J489&lt;&gt;""),"Open","")))</f>
        <v/>
      </c>
      <c r="N489" s="46" t="n"/>
      <c r="O489" s="28">
        <f>IF($B489="","",IF($M489="Closed",IF($N489="","",$N489-$B489),TODAY()-$B489))</f>
        <v/>
      </c>
      <c r="P489" s="28">
        <f>IF(OR($B489="",$L489="",$M489="Closed"),"",IF(TODAY()&gt;$L489,"YES","NO"))</f>
        <v/>
      </c>
      <c r="Q489" s="30">
        <f>Weekly_Inspections!$AW489</f>
        <v/>
      </c>
    </row>
    <row r="490" ht="15" customHeight="1" s="45">
      <c r="A490" s="28">
        <f>IF(Weekly_Inspections!$B490="","",Weekly_Inspections!$A490&amp;"-A1")</f>
        <v/>
      </c>
      <c r="B490" s="46">
        <f>Weekly_Inspections!$B490</f>
        <v/>
      </c>
      <c r="C490" s="30">
        <f>Weekly_Inspections!$E490</f>
        <v/>
      </c>
      <c r="D490" s="30">
        <f>Weekly_Inspections!$F490</f>
        <v/>
      </c>
      <c r="E490" s="28">
        <f>Weekly_Inspections!$H490</f>
        <v/>
      </c>
      <c r="F490" s="30">
        <f>IF(Weekly_Inspections!$AX490&lt;&gt;"",Weekly_Inspections!$AX490,IF(Weekly_Inspections!$AY490&lt;&gt;"",Weekly_Inspections!$AY490,IF(Weekly_Inspections!$AZ490&lt;&gt;"",Weekly_Inspections!$AZ490,IF(Weekly_Inspections!$BA490&lt;&gt;"",Weekly_Inspections!$BA490,IF(Weekly_Inspections!$BB490&lt;&gt;"",Weekly_Inspections!$BB490,Weekly_Inspections!$R490)))))</f>
        <v/>
      </c>
      <c r="G490" s="30">
        <f>IF(OR(Weekly_Inspections!$AQ490&lt;&gt;"",Weekly_Inspections!$AR490&lt;&gt;"",Weekly_Inspections!$AS490&lt;&gt;""),Weekly_Inspections!$AQ490,"")</f>
        <v/>
      </c>
      <c r="H490" s="30">
        <f>Weekly_Inspections!$AP490</f>
        <v/>
      </c>
      <c r="I490" s="30">
        <f>Weekly_Inspections!$AR490</f>
        <v/>
      </c>
      <c r="J490" s="30">
        <f>Weekly_Inspections!$AS490</f>
        <v/>
      </c>
      <c r="K490" s="30">
        <f>Weekly_Inspections!$AU490</f>
        <v/>
      </c>
      <c r="L490" s="46">
        <f>Weekly_Inspections!$AV490</f>
        <v/>
      </c>
      <c r="M490" s="30">
        <f>IF($B490="","",IF($N490&lt;&gt;"","Closed",IF(OR($G490&lt;&gt;"",$I490&lt;&gt;"",$J490&lt;&gt;""),"Open","")))</f>
        <v/>
      </c>
      <c r="N490" s="46" t="n"/>
      <c r="O490" s="28">
        <f>IF($B490="","",IF($M490="Closed",IF($N490="","",$N490-$B490),TODAY()-$B490))</f>
        <v/>
      </c>
      <c r="P490" s="28">
        <f>IF(OR($B490="",$L490="",$M490="Closed"),"",IF(TODAY()&gt;$L490,"YES","NO"))</f>
        <v/>
      </c>
      <c r="Q490" s="30">
        <f>Weekly_Inspections!$AW490</f>
        <v/>
      </c>
    </row>
    <row r="491" ht="15" customHeight="1" s="45">
      <c r="A491" s="28">
        <f>IF(Weekly_Inspections!$B491="","",Weekly_Inspections!$A491&amp;"-A1")</f>
        <v/>
      </c>
      <c r="B491" s="46">
        <f>Weekly_Inspections!$B491</f>
        <v/>
      </c>
      <c r="C491" s="30">
        <f>Weekly_Inspections!$E491</f>
        <v/>
      </c>
      <c r="D491" s="30">
        <f>Weekly_Inspections!$F491</f>
        <v/>
      </c>
      <c r="E491" s="28">
        <f>Weekly_Inspections!$H491</f>
        <v/>
      </c>
      <c r="F491" s="30">
        <f>IF(Weekly_Inspections!$AX491&lt;&gt;"",Weekly_Inspections!$AX491,IF(Weekly_Inspections!$AY491&lt;&gt;"",Weekly_Inspections!$AY491,IF(Weekly_Inspections!$AZ491&lt;&gt;"",Weekly_Inspections!$AZ491,IF(Weekly_Inspections!$BA491&lt;&gt;"",Weekly_Inspections!$BA491,IF(Weekly_Inspections!$BB491&lt;&gt;"",Weekly_Inspections!$BB491,Weekly_Inspections!$R491)))))</f>
        <v/>
      </c>
      <c r="G491" s="30">
        <f>IF(OR(Weekly_Inspections!$AQ491&lt;&gt;"",Weekly_Inspections!$AR491&lt;&gt;"",Weekly_Inspections!$AS491&lt;&gt;""),Weekly_Inspections!$AQ491,"")</f>
        <v/>
      </c>
      <c r="H491" s="30">
        <f>Weekly_Inspections!$AP491</f>
        <v/>
      </c>
      <c r="I491" s="30">
        <f>Weekly_Inspections!$AR491</f>
        <v/>
      </c>
      <c r="J491" s="30">
        <f>Weekly_Inspections!$AS491</f>
        <v/>
      </c>
      <c r="K491" s="30">
        <f>Weekly_Inspections!$AU491</f>
        <v/>
      </c>
      <c r="L491" s="46">
        <f>Weekly_Inspections!$AV491</f>
        <v/>
      </c>
      <c r="M491" s="30">
        <f>IF($B491="","",IF($N491&lt;&gt;"","Closed",IF(OR($G491&lt;&gt;"",$I491&lt;&gt;"",$J491&lt;&gt;""),"Open","")))</f>
        <v/>
      </c>
      <c r="N491" s="46" t="n"/>
      <c r="O491" s="28">
        <f>IF($B491="","",IF($M491="Closed",IF($N491="","",$N491-$B491),TODAY()-$B491))</f>
        <v/>
      </c>
      <c r="P491" s="28">
        <f>IF(OR($B491="",$L491="",$M491="Closed"),"",IF(TODAY()&gt;$L491,"YES","NO"))</f>
        <v/>
      </c>
      <c r="Q491" s="30">
        <f>Weekly_Inspections!$AW491</f>
        <v/>
      </c>
    </row>
    <row r="492" ht="15" customHeight="1" s="45">
      <c r="A492" s="28">
        <f>IF(Weekly_Inspections!$B492="","",Weekly_Inspections!$A492&amp;"-A1")</f>
        <v/>
      </c>
      <c r="B492" s="46">
        <f>Weekly_Inspections!$B492</f>
        <v/>
      </c>
      <c r="C492" s="30">
        <f>Weekly_Inspections!$E492</f>
        <v/>
      </c>
      <c r="D492" s="30">
        <f>Weekly_Inspections!$F492</f>
        <v/>
      </c>
      <c r="E492" s="28">
        <f>Weekly_Inspections!$H492</f>
        <v/>
      </c>
      <c r="F492" s="30">
        <f>IF(Weekly_Inspections!$AX492&lt;&gt;"",Weekly_Inspections!$AX492,IF(Weekly_Inspections!$AY492&lt;&gt;"",Weekly_Inspections!$AY492,IF(Weekly_Inspections!$AZ492&lt;&gt;"",Weekly_Inspections!$AZ492,IF(Weekly_Inspections!$BA492&lt;&gt;"",Weekly_Inspections!$BA492,IF(Weekly_Inspections!$BB492&lt;&gt;"",Weekly_Inspections!$BB492,Weekly_Inspections!$R492)))))</f>
        <v/>
      </c>
      <c r="G492" s="30">
        <f>IF(OR(Weekly_Inspections!$AQ492&lt;&gt;"",Weekly_Inspections!$AR492&lt;&gt;"",Weekly_Inspections!$AS492&lt;&gt;""),Weekly_Inspections!$AQ492,"")</f>
        <v/>
      </c>
      <c r="H492" s="30">
        <f>Weekly_Inspections!$AP492</f>
        <v/>
      </c>
      <c r="I492" s="30">
        <f>Weekly_Inspections!$AR492</f>
        <v/>
      </c>
      <c r="J492" s="30">
        <f>Weekly_Inspections!$AS492</f>
        <v/>
      </c>
      <c r="K492" s="30">
        <f>Weekly_Inspections!$AU492</f>
        <v/>
      </c>
      <c r="L492" s="46">
        <f>Weekly_Inspections!$AV492</f>
        <v/>
      </c>
      <c r="M492" s="30">
        <f>IF($B492="","",IF($N492&lt;&gt;"","Closed",IF(OR($G492&lt;&gt;"",$I492&lt;&gt;"",$J492&lt;&gt;""),"Open","")))</f>
        <v/>
      </c>
      <c r="N492" s="46" t="n"/>
      <c r="O492" s="28">
        <f>IF($B492="","",IF($M492="Closed",IF($N492="","",$N492-$B492),TODAY()-$B492))</f>
        <v/>
      </c>
      <c r="P492" s="28">
        <f>IF(OR($B492="",$L492="",$M492="Closed"),"",IF(TODAY()&gt;$L492,"YES","NO"))</f>
        <v/>
      </c>
      <c r="Q492" s="30">
        <f>Weekly_Inspections!$AW492</f>
        <v/>
      </c>
    </row>
    <row r="493" ht="15" customHeight="1" s="45">
      <c r="A493" s="28">
        <f>IF(Weekly_Inspections!$B493="","",Weekly_Inspections!$A493&amp;"-A1")</f>
        <v/>
      </c>
      <c r="B493" s="46">
        <f>Weekly_Inspections!$B493</f>
        <v/>
      </c>
      <c r="C493" s="30">
        <f>Weekly_Inspections!$E493</f>
        <v/>
      </c>
      <c r="D493" s="30">
        <f>Weekly_Inspections!$F493</f>
        <v/>
      </c>
      <c r="E493" s="28">
        <f>Weekly_Inspections!$H493</f>
        <v/>
      </c>
      <c r="F493" s="30">
        <f>IF(Weekly_Inspections!$AX493&lt;&gt;"",Weekly_Inspections!$AX493,IF(Weekly_Inspections!$AY493&lt;&gt;"",Weekly_Inspections!$AY493,IF(Weekly_Inspections!$AZ493&lt;&gt;"",Weekly_Inspections!$AZ493,IF(Weekly_Inspections!$BA493&lt;&gt;"",Weekly_Inspections!$BA493,IF(Weekly_Inspections!$BB493&lt;&gt;"",Weekly_Inspections!$BB493,Weekly_Inspections!$R493)))))</f>
        <v/>
      </c>
      <c r="G493" s="30">
        <f>IF(OR(Weekly_Inspections!$AQ493&lt;&gt;"",Weekly_Inspections!$AR493&lt;&gt;"",Weekly_Inspections!$AS493&lt;&gt;""),Weekly_Inspections!$AQ493,"")</f>
        <v/>
      </c>
      <c r="H493" s="30">
        <f>Weekly_Inspections!$AP493</f>
        <v/>
      </c>
      <c r="I493" s="30">
        <f>Weekly_Inspections!$AR493</f>
        <v/>
      </c>
      <c r="J493" s="30">
        <f>Weekly_Inspections!$AS493</f>
        <v/>
      </c>
      <c r="K493" s="30">
        <f>Weekly_Inspections!$AU493</f>
        <v/>
      </c>
      <c r="L493" s="46">
        <f>Weekly_Inspections!$AV493</f>
        <v/>
      </c>
      <c r="M493" s="30">
        <f>IF($B493="","",IF($N493&lt;&gt;"","Closed",IF(OR($G493&lt;&gt;"",$I493&lt;&gt;"",$J493&lt;&gt;""),"Open","")))</f>
        <v/>
      </c>
      <c r="N493" s="46" t="n"/>
      <c r="O493" s="28">
        <f>IF($B493="","",IF($M493="Closed",IF($N493="","",$N493-$B493),TODAY()-$B493))</f>
        <v/>
      </c>
      <c r="P493" s="28">
        <f>IF(OR($B493="",$L493="",$M493="Closed"),"",IF(TODAY()&gt;$L493,"YES","NO"))</f>
        <v/>
      </c>
      <c r="Q493" s="30">
        <f>Weekly_Inspections!$AW493</f>
        <v/>
      </c>
    </row>
    <row r="494" ht="15" customHeight="1" s="45">
      <c r="A494" s="28">
        <f>IF(Weekly_Inspections!$B494="","",Weekly_Inspections!$A494&amp;"-A1")</f>
        <v/>
      </c>
      <c r="B494" s="46">
        <f>Weekly_Inspections!$B494</f>
        <v/>
      </c>
      <c r="C494" s="30">
        <f>Weekly_Inspections!$E494</f>
        <v/>
      </c>
      <c r="D494" s="30">
        <f>Weekly_Inspections!$F494</f>
        <v/>
      </c>
      <c r="E494" s="28">
        <f>Weekly_Inspections!$H494</f>
        <v/>
      </c>
      <c r="F494" s="30">
        <f>IF(Weekly_Inspections!$AX494&lt;&gt;"",Weekly_Inspections!$AX494,IF(Weekly_Inspections!$AY494&lt;&gt;"",Weekly_Inspections!$AY494,IF(Weekly_Inspections!$AZ494&lt;&gt;"",Weekly_Inspections!$AZ494,IF(Weekly_Inspections!$BA494&lt;&gt;"",Weekly_Inspections!$BA494,IF(Weekly_Inspections!$BB494&lt;&gt;"",Weekly_Inspections!$BB494,Weekly_Inspections!$R494)))))</f>
        <v/>
      </c>
      <c r="G494" s="30">
        <f>IF(OR(Weekly_Inspections!$AQ494&lt;&gt;"",Weekly_Inspections!$AR494&lt;&gt;"",Weekly_Inspections!$AS494&lt;&gt;""),Weekly_Inspections!$AQ494,"")</f>
        <v/>
      </c>
      <c r="H494" s="30">
        <f>Weekly_Inspections!$AP494</f>
        <v/>
      </c>
      <c r="I494" s="30">
        <f>Weekly_Inspections!$AR494</f>
        <v/>
      </c>
      <c r="J494" s="30">
        <f>Weekly_Inspections!$AS494</f>
        <v/>
      </c>
      <c r="K494" s="30">
        <f>Weekly_Inspections!$AU494</f>
        <v/>
      </c>
      <c r="L494" s="46">
        <f>Weekly_Inspections!$AV494</f>
        <v/>
      </c>
      <c r="M494" s="30">
        <f>IF($B494="","",IF($N494&lt;&gt;"","Closed",IF(OR($G494&lt;&gt;"",$I494&lt;&gt;"",$J494&lt;&gt;""),"Open","")))</f>
        <v/>
      </c>
      <c r="N494" s="46" t="n"/>
      <c r="O494" s="28">
        <f>IF($B494="","",IF($M494="Closed",IF($N494="","",$N494-$B494),TODAY()-$B494))</f>
        <v/>
      </c>
      <c r="P494" s="28">
        <f>IF(OR($B494="",$L494="",$M494="Closed"),"",IF(TODAY()&gt;$L494,"YES","NO"))</f>
        <v/>
      </c>
      <c r="Q494" s="30">
        <f>Weekly_Inspections!$AW494</f>
        <v/>
      </c>
    </row>
    <row r="495" ht="15" customHeight="1" s="45">
      <c r="A495" s="28">
        <f>IF(Weekly_Inspections!$B495="","",Weekly_Inspections!$A495&amp;"-A1")</f>
        <v/>
      </c>
      <c r="B495" s="46">
        <f>Weekly_Inspections!$B495</f>
        <v/>
      </c>
      <c r="C495" s="30">
        <f>Weekly_Inspections!$E495</f>
        <v/>
      </c>
      <c r="D495" s="30">
        <f>Weekly_Inspections!$F495</f>
        <v/>
      </c>
      <c r="E495" s="28">
        <f>Weekly_Inspections!$H495</f>
        <v/>
      </c>
      <c r="F495" s="30">
        <f>IF(Weekly_Inspections!$AX495&lt;&gt;"",Weekly_Inspections!$AX495,IF(Weekly_Inspections!$AY495&lt;&gt;"",Weekly_Inspections!$AY495,IF(Weekly_Inspections!$AZ495&lt;&gt;"",Weekly_Inspections!$AZ495,IF(Weekly_Inspections!$BA495&lt;&gt;"",Weekly_Inspections!$BA495,IF(Weekly_Inspections!$BB495&lt;&gt;"",Weekly_Inspections!$BB495,Weekly_Inspections!$R495)))))</f>
        <v/>
      </c>
      <c r="G495" s="30">
        <f>IF(OR(Weekly_Inspections!$AQ495&lt;&gt;"",Weekly_Inspections!$AR495&lt;&gt;"",Weekly_Inspections!$AS495&lt;&gt;""),Weekly_Inspections!$AQ495,"")</f>
        <v/>
      </c>
      <c r="H495" s="30">
        <f>Weekly_Inspections!$AP495</f>
        <v/>
      </c>
      <c r="I495" s="30">
        <f>Weekly_Inspections!$AR495</f>
        <v/>
      </c>
      <c r="J495" s="30">
        <f>Weekly_Inspections!$AS495</f>
        <v/>
      </c>
      <c r="K495" s="30">
        <f>Weekly_Inspections!$AU495</f>
        <v/>
      </c>
      <c r="L495" s="46">
        <f>Weekly_Inspections!$AV495</f>
        <v/>
      </c>
      <c r="M495" s="30">
        <f>IF($B495="","",IF($N495&lt;&gt;"","Closed",IF(OR($G495&lt;&gt;"",$I495&lt;&gt;"",$J495&lt;&gt;""),"Open","")))</f>
        <v/>
      </c>
      <c r="N495" s="46" t="n"/>
      <c r="O495" s="28">
        <f>IF($B495="","",IF($M495="Closed",IF($N495="","",$N495-$B495),TODAY()-$B495))</f>
        <v/>
      </c>
      <c r="P495" s="28">
        <f>IF(OR($B495="",$L495="",$M495="Closed"),"",IF(TODAY()&gt;$L495,"YES","NO"))</f>
        <v/>
      </c>
      <c r="Q495" s="30">
        <f>Weekly_Inspections!$AW495</f>
        <v/>
      </c>
    </row>
    <row r="496" ht="15" customHeight="1" s="45">
      <c r="A496" s="28">
        <f>IF(Weekly_Inspections!$B496="","",Weekly_Inspections!$A496&amp;"-A1")</f>
        <v/>
      </c>
      <c r="B496" s="46">
        <f>Weekly_Inspections!$B496</f>
        <v/>
      </c>
      <c r="C496" s="30">
        <f>Weekly_Inspections!$E496</f>
        <v/>
      </c>
      <c r="D496" s="30">
        <f>Weekly_Inspections!$F496</f>
        <v/>
      </c>
      <c r="E496" s="28">
        <f>Weekly_Inspections!$H496</f>
        <v/>
      </c>
      <c r="F496" s="30">
        <f>IF(Weekly_Inspections!$AX496&lt;&gt;"",Weekly_Inspections!$AX496,IF(Weekly_Inspections!$AY496&lt;&gt;"",Weekly_Inspections!$AY496,IF(Weekly_Inspections!$AZ496&lt;&gt;"",Weekly_Inspections!$AZ496,IF(Weekly_Inspections!$BA496&lt;&gt;"",Weekly_Inspections!$BA496,IF(Weekly_Inspections!$BB496&lt;&gt;"",Weekly_Inspections!$BB496,Weekly_Inspections!$R496)))))</f>
        <v/>
      </c>
      <c r="G496" s="30">
        <f>IF(OR(Weekly_Inspections!$AQ496&lt;&gt;"",Weekly_Inspections!$AR496&lt;&gt;"",Weekly_Inspections!$AS496&lt;&gt;""),Weekly_Inspections!$AQ496,"")</f>
        <v/>
      </c>
      <c r="H496" s="30">
        <f>Weekly_Inspections!$AP496</f>
        <v/>
      </c>
      <c r="I496" s="30">
        <f>Weekly_Inspections!$AR496</f>
        <v/>
      </c>
      <c r="J496" s="30">
        <f>Weekly_Inspections!$AS496</f>
        <v/>
      </c>
      <c r="K496" s="30">
        <f>Weekly_Inspections!$AU496</f>
        <v/>
      </c>
      <c r="L496" s="46">
        <f>Weekly_Inspections!$AV496</f>
        <v/>
      </c>
      <c r="M496" s="30">
        <f>IF($B496="","",IF($N496&lt;&gt;"","Closed",IF(OR($G496&lt;&gt;"",$I496&lt;&gt;"",$J496&lt;&gt;""),"Open","")))</f>
        <v/>
      </c>
      <c r="N496" s="46" t="n"/>
      <c r="O496" s="28">
        <f>IF($B496="","",IF($M496="Closed",IF($N496="","",$N496-$B496),TODAY()-$B496))</f>
        <v/>
      </c>
      <c r="P496" s="28">
        <f>IF(OR($B496="",$L496="",$M496="Closed"),"",IF(TODAY()&gt;$L496,"YES","NO"))</f>
        <v/>
      </c>
      <c r="Q496" s="30">
        <f>Weekly_Inspections!$AW496</f>
        <v/>
      </c>
    </row>
    <row r="497" ht="15" customHeight="1" s="45">
      <c r="A497" s="28">
        <f>IF(Weekly_Inspections!$B497="","",Weekly_Inspections!$A497&amp;"-A1")</f>
        <v/>
      </c>
      <c r="B497" s="46">
        <f>Weekly_Inspections!$B497</f>
        <v/>
      </c>
      <c r="C497" s="30">
        <f>Weekly_Inspections!$E497</f>
        <v/>
      </c>
      <c r="D497" s="30">
        <f>Weekly_Inspections!$F497</f>
        <v/>
      </c>
      <c r="E497" s="28">
        <f>Weekly_Inspections!$H497</f>
        <v/>
      </c>
      <c r="F497" s="30">
        <f>IF(Weekly_Inspections!$AX497&lt;&gt;"",Weekly_Inspections!$AX497,IF(Weekly_Inspections!$AY497&lt;&gt;"",Weekly_Inspections!$AY497,IF(Weekly_Inspections!$AZ497&lt;&gt;"",Weekly_Inspections!$AZ497,IF(Weekly_Inspections!$BA497&lt;&gt;"",Weekly_Inspections!$BA497,IF(Weekly_Inspections!$BB497&lt;&gt;"",Weekly_Inspections!$BB497,Weekly_Inspections!$R497)))))</f>
        <v/>
      </c>
      <c r="G497" s="30">
        <f>IF(OR(Weekly_Inspections!$AQ497&lt;&gt;"",Weekly_Inspections!$AR497&lt;&gt;"",Weekly_Inspections!$AS497&lt;&gt;""),Weekly_Inspections!$AQ497,"")</f>
        <v/>
      </c>
      <c r="H497" s="30">
        <f>Weekly_Inspections!$AP497</f>
        <v/>
      </c>
      <c r="I497" s="30">
        <f>Weekly_Inspections!$AR497</f>
        <v/>
      </c>
      <c r="J497" s="30">
        <f>Weekly_Inspections!$AS497</f>
        <v/>
      </c>
      <c r="K497" s="30">
        <f>Weekly_Inspections!$AU497</f>
        <v/>
      </c>
      <c r="L497" s="46">
        <f>Weekly_Inspections!$AV497</f>
        <v/>
      </c>
      <c r="M497" s="30">
        <f>IF($B497="","",IF($N497&lt;&gt;"","Closed",IF(OR($G497&lt;&gt;"",$I497&lt;&gt;"",$J497&lt;&gt;""),"Open","")))</f>
        <v/>
      </c>
      <c r="N497" s="46" t="n"/>
      <c r="O497" s="28">
        <f>IF($B497="","",IF($M497="Closed",IF($N497="","",$N497-$B497),TODAY()-$B497))</f>
        <v/>
      </c>
      <c r="P497" s="28">
        <f>IF(OR($B497="",$L497="",$M497="Closed"),"",IF(TODAY()&gt;$L497,"YES","NO"))</f>
        <v/>
      </c>
      <c r="Q497" s="30">
        <f>Weekly_Inspections!$AW497</f>
        <v/>
      </c>
    </row>
    <row r="498" ht="15" customHeight="1" s="45">
      <c r="A498" s="28">
        <f>IF(Weekly_Inspections!$B498="","",Weekly_Inspections!$A498&amp;"-A1")</f>
        <v/>
      </c>
      <c r="B498" s="46">
        <f>Weekly_Inspections!$B498</f>
        <v/>
      </c>
      <c r="C498" s="30">
        <f>Weekly_Inspections!$E498</f>
        <v/>
      </c>
      <c r="D498" s="30">
        <f>Weekly_Inspections!$F498</f>
        <v/>
      </c>
      <c r="E498" s="28">
        <f>Weekly_Inspections!$H498</f>
        <v/>
      </c>
      <c r="F498" s="30">
        <f>IF(Weekly_Inspections!$AX498&lt;&gt;"",Weekly_Inspections!$AX498,IF(Weekly_Inspections!$AY498&lt;&gt;"",Weekly_Inspections!$AY498,IF(Weekly_Inspections!$AZ498&lt;&gt;"",Weekly_Inspections!$AZ498,IF(Weekly_Inspections!$BA498&lt;&gt;"",Weekly_Inspections!$BA498,IF(Weekly_Inspections!$BB498&lt;&gt;"",Weekly_Inspections!$BB498,Weekly_Inspections!$R498)))))</f>
        <v/>
      </c>
      <c r="G498" s="30">
        <f>IF(OR(Weekly_Inspections!$AQ498&lt;&gt;"",Weekly_Inspections!$AR498&lt;&gt;"",Weekly_Inspections!$AS498&lt;&gt;""),Weekly_Inspections!$AQ498,"")</f>
        <v/>
      </c>
      <c r="H498" s="30">
        <f>Weekly_Inspections!$AP498</f>
        <v/>
      </c>
      <c r="I498" s="30">
        <f>Weekly_Inspections!$AR498</f>
        <v/>
      </c>
      <c r="J498" s="30">
        <f>Weekly_Inspections!$AS498</f>
        <v/>
      </c>
      <c r="K498" s="30">
        <f>Weekly_Inspections!$AU498</f>
        <v/>
      </c>
      <c r="L498" s="46">
        <f>Weekly_Inspections!$AV498</f>
        <v/>
      </c>
      <c r="M498" s="30">
        <f>IF($B498="","",IF($N498&lt;&gt;"","Closed",IF(OR($G498&lt;&gt;"",$I498&lt;&gt;"",$J498&lt;&gt;""),"Open","")))</f>
        <v/>
      </c>
      <c r="N498" s="46" t="n"/>
      <c r="O498" s="28">
        <f>IF($B498="","",IF($M498="Closed",IF($N498="","",$N498-$B498),TODAY()-$B498))</f>
        <v/>
      </c>
      <c r="P498" s="28">
        <f>IF(OR($B498="",$L498="",$M498="Closed"),"",IF(TODAY()&gt;$L498,"YES","NO"))</f>
        <v/>
      </c>
      <c r="Q498" s="30">
        <f>Weekly_Inspections!$AW498</f>
        <v/>
      </c>
    </row>
    <row r="499" ht="15" customHeight="1" s="45">
      <c r="A499" s="28">
        <f>IF(Weekly_Inspections!$B499="","",Weekly_Inspections!$A499&amp;"-A1")</f>
        <v/>
      </c>
      <c r="B499" s="46">
        <f>Weekly_Inspections!$B499</f>
        <v/>
      </c>
      <c r="C499" s="30">
        <f>Weekly_Inspections!$E499</f>
        <v/>
      </c>
      <c r="D499" s="30">
        <f>Weekly_Inspections!$F499</f>
        <v/>
      </c>
      <c r="E499" s="28">
        <f>Weekly_Inspections!$H499</f>
        <v/>
      </c>
      <c r="F499" s="30">
        <f>IF(Weekly_Inspections!$AX499&lt;&gt;"",Weekly_Inspections!$AX499,IF(Weekly_Inspections!$AY499&lt;&gt;"",Weekly_Inspections!$AY499,IF(Weekly_Inspections!$AZ499&lt;&gt;"",Weekly_Inspections!$AZ499,IF(Weekly_Inspections!$BA499&lt;&gt;"",Weekly_Inspections!$BA499,IF(Weekly_Inspections!$BB499&lt;&gt;"",Weekly_Inspections!$BB499,Weekly_Inspections!$R499)))))</f>
        <v/>
      </c>
      <c r="G499" s="30">
        <f>IF(OR(Weekly_Inspections!$AQ499&lt;&gt;"",Weekly_Inspections!$AR499&lt;&gt;"",Weekly_Inspections!$AS499&lt;&gt;""),Weekly_Inspections!$AQ499,"")</f>
        <v/>
      </c>
      <c r="H499" s="30">
        <f>Weekly_Inspections!$AP499</f>
        <v/>
      </c>
      <c r="I499" s="30">
        <f>Weekly_Inspections!$AR499</f>
        <v/>
      </c>
      <c r="J499" s="30">
        <f>Weekly_Inspections!$AS499</f>
        <v/>
      </c>
      <c r="K499" s="30">
        <f>Weekly_Inspections!$AU499</f>
        <v/>
      </c>
      <c r="L499" s="46">
        <f>Weekly_Inspections!$AV499</f>
        <v/>
      </c>
      <c r="M499" s="30">
        <f>IF($B499="","",IF($N499&lt;&gt;"","Closed",IF(OR($G499&lt;&gt;"",$I499&lt;&gt;"",$J499&lt;&gt;""),"Open","")))</f>
        <v/>
      </c>
      <c r="N499" s="46" t="n"/>
      <c r="O499" s="28">
        <f>IF($B499="","",IF($M499="Closed",IF($N499="","",$N499-$B499),TODAY()-$B499))</f>
        <v/>
      </c>
      <c r="P499" s="28">
        <f>IF(OR($B499="",$L499="",$M499="Closed"),"",IF(TODAY()&gt;$L499,"YES","NO"))</f>
        <v/>
      </c>
      <c r="Q499" s="30">
        <f>Weekly_Inspections!$AW499</f>
        <v/>
      </c>
    </row>
    <row r="500" ht="15" customHeight="1" s="45">
      <c r="A500">
        <f>IF(Weekly_Inspections!$B500="","",Weekly_Inspections!$A500&amp;"-A1")</f>
        <v/>
      </c>
      <c r="B500" s="47">
        <f>Weekly_Inspections!$B500</f>
        <v/>
      </c>
      <c r="C500">
        <f>Weekly_Inspections!$E500</f>
        <v/>
      </c>
      <c r="D500">
        <f>Weekly_Inspections!$F500</f>
        <v/>
      </c>
      <c r="E500">
        <f>Weekly_Inspections!$H500</f>
        <v/>
      </c>
      <c r="F500">
        <f>IF(Weekly_Inspections!$AX500&lt;&gt;"",Weekly_Inspections!$AX500,IF(Weekly_Inspections!$AY500&lt;&gt;"",Weekly_Inspections!$AY500,IF(Weekly_Inspections!$AZ500&lt;&gt;"",Weekly_Inspections!$AZ500,IF(Weekly_Inspections!$BA500&lt;&gt;"",Weekly_Inspections!$BA500,IF(Weekly_Inspections!$BB500&lt;&gt;"",Weekly_Inspections!$BB500,Weekly_Inspections!$R500)))))</f>
        <v/>
      </c>
      <c r="G500">
        <f>IF(OR(Weekly_Inspections!$AQ500&lt;&gt;"",Weekly_Inspections!$AR500&lt;&gt;"",Weekly_Inspections!$AS500&lt;&gt;""),Weekly_Inspections!$AQ500,"")</f>
        <v/>
      </c>
      <c r="H500">
        <f>Weekly_Inspections!$AP500</f>
        <v/>
      </c>
      <c r="I500">
        <f>Weekly_Inspections!$AR500</f>
        <v/>
      </c>
      <c r="J500">
        <f>Weekly_Inspections!$AS500</f>
        <v/>
      </c>
      <c r="K500">
        <f>Weekly_Inspections!$AU500</f>
        <v/>
      </c>
      <c r="L500" s="47">
        <f>Weekly_Inspections!$AV500</f>
        <v/>
      </c>
      <c r="M500">
        <f>IF($B500="","",IF($N500&lt;&gt;"","Closed",IF(OR($G500&lt;&gt;"",$I500&lt;&gt;"",$J500&lt;&gt;""),"Open","")))</f>
        <v/>
      </c>
      <c r="N500" s="47" t="n"/>
      <c r="O500">
        <f>IF($B500="","",IF($M500="Closed",IF($N500="","",$N500-$B500),TODAY()-$B500))</f>
        <v/>
      </c>
      <c r="P500">
        <f>IF(OR($B500="",$L500="",$M500="Closed"),"",IF(TODAY()&gt;$L500,"YES","NO"))</f>
        <v/>
      </c>
      <c r="Q500">
        <f>Weekly_Inspections!$AW500</f>
        <v/>
      </c>
    </row>
    <row r="501" ht="15" customHeight="1" s="45">
      <c r="A501">
        <f>IF(Weekly_Inspections!$B501="","",Weekly_Inspections!$A501&amp;"-A1")</f>
        <v/>
      </c>
      <c r="B501" s="47">
        <f>Weekly_Inspections!$B501</f>
        <v/>
      </c>
      <c r="C501">
        <f>Weekly_Inspections!$E501</f>
        <v/>
      </c>
      <c r="D501">
        <f>Weekly_Inspections!$F501</f>
        <v/>
      </c>
      <c r="E501">
        <f>Weekly_Inspections!$H501</f>
        <v/>
      </c>
      <c r="F501">
        <f>IF(Weekly_Inspections!$AX501&lt;&gt;"",Weekly_Inspections!$AX501,IF(Weekly_Inspections!$AY501&lt;&gt;"",Weekly_Inspections!$AY501,IF(Weekly_Inspections!$AZ501&lt;&gt;"",Weekly_Inspections!$AZ501,IF(Weekly_Inspections!$BA501&lt;&gt;"",Weekly_Inspections!$BA501,IF(Weekly_Inspections!$BB501&lt;&gt;"",Weekly_Inspections!$BB501,Weekly_Inspections!$R501)))))</f>
        <v/>
      </c>
      <c r="G501">
        <f>IF(OR(Weekly_Inspections!$AQ501&lt;&gt;"",Weekly_Inspections!$AR501&lt;&gt;"",Weekly_Inspections!$AS501&lt;&gt;""),Weekly_Inspections!$AQ501,"")</f>
        <v/>
      </c>
      <c r="H501">
        <f>Weekly_Inspections!$AP501</f>
        <v/>
      </c>
      <c r="I501">
        <f>Weekly_Inspections!$AR501</f>
        <v/>
      </c>
      <c r="J501">
        <f>Weekly_Inspections!$AS501</f>
        <v/>
      </c>
      <c r="K501">
        <f>Weekly_Inspections!$AU501</f>
        <v/>
      </c>
      <c r="L501" s="47">
        <f>Weekly_Inspections!$AV501</f>
        <v/>
      </c>
      <c r="M501">
        <f>IF($B501="","",IF($N501&lt;&gt;"","Closed",IF(OR($G501&lt;&gt;"",$I501&lt;&gt;"",$J501&lt;&gt;""),"Open","")))</f>
        <v/>
      </c>
      <c r="N501" s="47" t="n"/>
      <c r="O501">
        <f>IF($B501="","",IF($M501="Closed",IF($N501="","",$N501-$B501),TODAY()-$B501))</f>
        <v/>
      </c>
      <c r="P501">
        <f>IF(OR($B501="",$L501="",$M501="Closed"),"",IF(TODAY()&gt;$L501,"YES","NO"))</f>
        <v/>
      </c>
      <c r="Q501">
        <f>Weekly_Inspections!$AW501</f>
        <v/>
      </c>
    </row>
    <row r="502" ht="15" customHeight="1" s="45">
      <c r="A502">
        <f>IF(Weekly_Inspections!$B502="","",Weekly_Inspections!$A502&amp;"-A1")</f>
        <v/>
      </c>
      <c r="B502" s="47">
        <f>Weekly_Inspections!$B502</f>
        <v/>
      </c>
      <c r="C502">
        <f>Weekly_Inspections!$E502</f>
        <v/>
      </c>
      <c r="D502">
        <f>Weekly_Inspections!$F502</f>
        <v/>
      </c>
      <c r="E502">
        <f>Weekly_Inspections!$H502</f>
        <v/>
      </c>
      <c r="F502">
        <f>IF(Weekly_Inspections!$AX502&lt;&gt;"",Weekly_Inspections!$AX502,IF(Weekly_Inspections!$AY502&lt;&gt;"",Weekly_Inspections!$AY502,IF(Weekly_Inspections!$AZ502&lt;&gt;"",Weekly_Inspections!$AZ502,IF(Weekly_Inspections!$BA502&lt;&gt;"",Weekly_Inspections!$BA502,IF(Weekly_Inspections!$BB502&lt;&gt;"",Weekly_Inspections!$BB502,Weekly_Inspections!$R502)))))</f>
        <v/>
      </c>
      <c r="G502">
        <f>IF(OR(Weekly_Inspections!$AQ502&lt;&gt;"",Weekly_Inspections!$AR502&lt;&gt;"",Weekly_Inspections!$AS502&lt;&gt;""),Weekly_Inspections!$AQ502,"")</f>
        <v/>
      </c>
      <c r="H502">
        <f>Weekly_Inspections!$AP502</f>
        <v/>
      </c>
      <c r="I502">
        <f>Weekly_Inspections!$AR502</f>
        <v/>
      </c>
      <c r="J502">
        <f>Weekly_Inspections!$AS502</f>
        <v/>
      </c>
      <c r="K502">
        <f>Weekly_Inspections!$AU502</f>
        <v/>
      </c>
      <c r="L502" s="47">
        <f>Weekly_Inspections!$AV502</f>
        <v/>
      </c>
      <c r="M502">
        <f>IF($B502="","",IF($N502&lt;&gt;"","Closed",IF(OR($G502&lt;&gt;"",$I502&lt;&gt;"",$J502&lt;&gt;""),"Open","")))</f>
        <v/>
      </c>
      <c r="N502" s="47" t="n"/>
      <c r="O502">
        <f>IF($B502="","",IF($M502="Closed",IF($N502="","",$N502-$B502),TODAY()-$B502))</f>
        <v/>
      </c>
      <c r="P502">
        <f>IF(OR($B502="",$L502="",$M502="Closed"),"",IF(TODAY()&gt;$L502,"YES","NO"))</f>
        <v/>
      </c>
      <c r="Q502">
        <f>Weekly_Inspections!$AW502</f>
        <v/>
      </c>
    </row>
    <row r="503" ht="15" customHeight="1" s="45">
      <c r="A503">
        <f>IF(Weekly_Inspections!$B503="","",Weekly_Inspections!$A503&amp;"-A1")</f>
        <v/>
      </c>
      <c r="B503" s="47">
        <f>Weekly_Inspections!$B503</f>
        <v/>
      </c>
      <c r="C503">
        <f>Weekly_Inspections!$E503</f>
        <v/>
      </c>
      <c r="D503">
        <f>Weekly_Inspections!$F503</f>
        <v/>
      </c>
      <c r="E503">
        <f>Weekly_Inspections!$H503</f>
        <v/>
      </c>
      <c r="F503">
        <f>IF(Weekly_Inspections!$AX503&lt;&gt;"",Weekly_Inspections!$AX503,IF(Weekly_Inspections!$AY503&lt;&gt;"",Weekly_Inspections!$AY503,IF(Weekly_Inspections!$AZ503&lt;&gt;"",Weekly_Inspections!$AZ503,IF(Weekly_Inspections!$BA503&lt;&gt;"",Weekly_Inspections!$BA503,IF(Weekly_Inspections!$BB503&lt;&gt;"",Weekly_Inspections!$BB503,Weekly_Inspections!$R503)))))</f>
        <v/>
      </c>
      <c r="G503">
        <f>IF(OR(Weekly_Inspections!$AQ503&lt;&gt;"",Weekly_Inspections!$AR503&lt;&gt;"",Weekly_Inspections!$AS503&lt;&gt;""),Weekly_Inspections!$AQ503,"")</f>
        <v/>
      </c>
      <c r="H503">
        <f>Weekly_Inspections!$AP503</f>
        <v/>
      </c>
      <c r="I503">
        <f>Weekly_Inspections!$AR503</f>
        <v/>
      </c>
      <c r="J503">
        <f>Weekly_Inspections!$AS503</f>
        <v/>
      </c>
      <c r="K503">
        <f>Weekly_Inspections!$AU503</f>
        <v/>
      </c>
      <c r="L503" s="47">
        <f>Weekly_Inspections!$AV503</f>
        <v/>
      </c>
      <c r="M503">
        <f>IF($B503="","",IF($N503&lt;&gt;"","Closed",IF(OR($G503&lt;&gt;"",$I503&lt;&gt;"",$J503&lt;&gt;""),"Open","")))</f>
        <v/>
      </c>
      <c r="N503" s="47" t="n"/>
      <c r="O503">
        <f>IF($B503="","",IF($M503="Closed",IF($N503="","",$N503-$B503),TODAY()-$B503))</f>
        <v/>
      </c>
      <c r="P503">
        <f>IF(OR($B503="",$L503="",$M503="Closed"),"",IF(TODAY()&gt;$L503,"YES","NO"))</f>
        <v/>
      </c>
      <c r="Q503">
        <f>Weekly_Inspections!$AW503</f>
        <v/>
      </c>
    </row>
    <row r="504" ht="15" customHeight="1" s="45">
      <c r="A504">
        <f>IF(Weekly_Inspections!$B504="","",Weekly_Inspections!$A504&amp;"-A1")</f>
        <v/>
      </c>
      <c r="B504" s="47">
        <f>Weekly_Inspections!$B504</f>
        <v/>
      </c>
      <c r="C504">
        <f>Weekly_Inspections!$E504</f>
        <v/>
      </c>
      <c r="D504">
        <f>Weekly_Inspections!$F504</f>
        <v/>
      </c>
      <c r="E504">
        <f>Weekly_Inspections!$H504</f>
        <v/>
      </c>
      <c r="F504">
        <f>IF(Weekly_Inspections!$AX504&lt;&gt;"",Weekly_Inspections!$AX504,IF(Weekly_Inspections!$AY504&lt;&gt;"",Weekly_Inspections!$AY504,IF(Weekly_Inspections!$AZ504&lt;&gt;"",Weekly_Inspections!$AZ504,IF(Weekly_Inspections!$BA504&lt;&gt;"",Weekly_Inspections!$BA504,IF(Weekly_Inspections!$BB504&lt;&gt;"",Weekly_Inspections!$BB504,Weekly_Inspections!$R504)))))</f>
        <v/>
      </c>
      <c r="G504">
        <f>IF(OR(Weekly_Inspections!$AQ504&lt;&gt;"",Weekly_Inspections!$AR504&lt;&gt;"",Weekly_Inspections!$AS504&lt;&gt;""),Weekly_Inspections!$AQ504,"")</f>
        <v/>
      </c>
      <c r="H504">
        <f>Weekly_Inspections!$AP504</f>
        <v/>
      </c>
      <c r="I504">
        <f>Weekly_Inspections!$AR504</f>
        <v/>
      </c>
      <c r="J504">
        <f>Weekly_Inspections!$AS504</f>
        <v/>
      </c>
      <c r="K504">
        <f>Weekly_Inspections!$AU504</f>
        <v/>
      </c>
      <c r="L504" s="47">
        <f>Weekly_Inspections!$AV504</f>
        <v/>
      </c>
      <c r="M504">
        <f>IF($B504="","",IF($N504&lt;&gt;"","Closed",IF(OR($G504&lt;&gt;"",$I504&lt;&gt;"",$J504&lt;&gt;""),"Open","")))</f>
        <v/>
      </c>
      <c r="N504" s="47" t="n"/>
      <c r="O504">
        <f>IF($B504="","",IF($M504="Closed",IF($N504="","",$N504-$B504),TODAY()-$B504))</f>
        <v/>
      </c>
      <c r="P504">
        <f>IF(OR($B504="",$L504="",$M504="Closed"),"",IF(TODAY()&gt;$L504,"YES","NO"))</f>
        <v/>
      </c>
      <c r="Q504">
        <f>Weekly_Inspections!$AW504</f>
        <v/>
      </c>
    </row>
    <row r="505" ht="15" customHeight="1" s="45">
      <c r="A505">
        <f>IF(Weekly_Inspections!$B505="","",Weekly_Inspections!$A505&amp;"-A1")</f>
        <v/>
      </c>
      <c r="B505" s="47">
        <f>Weekly_Inspections!$B505</f>
        <v/>
      </c>
      <c r="C505">
        <f>Weekly_Inspections!$E505</f>
        <v/>
      </c>
      <c r="D505">
        <f>Weekly_Inspections!$F505</f>
        <v/>
      </c>
      <c r="E505">
        <f>Weekly_Inspections!$H505</f>
        <v/>
      </c>
      <c r="F505">
        <f>IF(Weekly_Inspections!$AX505&lt;&gt;"",Weekly_Inspections!$AX505,IF(Weekly_Inspections!$AY505&lt;&gt;"",Weekly_Inspections!$AY505,IF(Weekly_Inspections!$AZ505&lt;&gt;"",Weekly_Inspections!$AZ505,IF(Weekly_Inspections!$BA505&lt;&gt;"",Weekly_Inspections!$BA505,IF(Weekly_Inspections!$BB505&lt;&gt;"",Weekly_Inspections!$BB505,Weekly_Inspections!$R505)))))</f>
        <v/>
      </c>
      <c r="G505">
        <f>IF(OR(Weekly_Inspections!$AQ505&lt;&gt;"",Weekly_Inspections!$AR505&lt;&gt;"",Weekly_Inspections!$AS505&lt;&gt;""),Weekly_Inspections!$AQ505,"")</f>
        <v/>
      </c>
      <c r="H505">
        <f>Weekly_Inspections!$AP505</f>
        <v/>
      </c>
      <c r="I505">
        <f>Weekly_Inspections!$AR505</f>
        <v/>
      </c>
      <c r="J505">
        <f>Weekly_Inspections!$AS505</f>
        <v/>
      </c>
      <c r="K505">
        <f>Weekly_Inspections!$AU505</f>
        <v/>
      </c>
      <c r="L505" s="47">
        <f>Weekly_Inspections!$AV505</f>
        <v/>
      </c>
      <c r="M505">
        <f>IF($B505="","",IF($N505&lt;&gt;"","Closed",IF(OR($G505&lt;&gt;"",$I505&lt;&gt;"",$J505&lt;&gt;""),"Open","")))</f>
        <v/>
      </c>
      <c r="N505" s="47" t="n"/>
      <c r="O505">
        <f>IF($B505="","",IF($M505="Closed",IF($N505="","",$N505-$B505),TODAY()-$B505))</f>
        <v/>
      </c>
      <c r="P505">
        <f>IF(OR($B505="",$L505="",$M505="Closed"),"",IF(TODAY()&gt;$L505,"YES","NO"))</f>
        <v/>
      </c>
      <c r="Q505">
        <f>Weekly_Inspections!$AW505</f>
        <v/>
      </c>
    </row>
    <row r="506" ht="15" customHeight="1" s="45">
      <c r="A506">
        <f>IF(Weekly_Inspections!$B506="","",Weekly_Inspections!$A506&amp;"-A1")</f>
        <v/>
      </c>
      <c r="B506" s="47">
        <f>Weekly_Inspections!$B506</f>
        <v/>
      </c>
      <c r="C506">
        <f>Weekly_Inspections!$E506</f>
        <v/>
      </c>
      <c r="D506">
        <f>Weekly_Inspections!$F506</f>
        <v/>
      </c>
      <c r="E506">
        <f>Weekly_Inspections!$H506</f>
        <v/>
      </c>
      <c r="F506">
        <f>IF(Weekly_Inspections!$AX506&lt;&gt;"",Weekly_Inspections!$AX506,IF(Weekly_Inspections!$AY506&lt;&gt;"",Weekly_Inspections!$AY506,IF(Weekly_Inspections!$AZ506&lt;&gt;"",Weekly_Inspections!$AZ506,IF(Weekly_Inspections!$BA506&lt;&gt;"",Weekly_Inspections!$BA506,IF(Weekly_Inspections!$BB506&lt;&gt;"",Weekly_Inspections!$BB506,Weekly_Inspections!$R506)))))</f>
        <v/>
      </c>
      <c r="G506">
        <f>IF(OR(Weekly_Inspections!$AQ506&lt;&gt;"",Weekly_Inspections!$AR506&lt;&gt;"",Weekly_Inspections!$AS506&lt;&gt;""),Weekly_Inspections!$AQ506,"")</f>
        <v/>
      </c>
      <c r="H506">
        <f>Weekly_Inspections!$AP506</f>
        <v/>
      </c>
      <c r="I506">
        <f>Weekly_Inspections!$AR506</f>
        <v/>
      </c>
      <c r="J506">
        <f>Weekly_Inspections!$AS506</f>
        <v/>
      </c>
      <c r="K506">
        <f>Weekly_Inspections!$AU506</f>
        <v/>
      </c>
      <c r="L506" s="47">
        <f>Weekly_Inspections!$AV506</f>
        <v/>
      </c>
      <c r="M506">
        <f>IF($B506="","",IF($N506&lt;&gt;"","Closed",IF(OR($G506&lt;&gt;"",$I506&lt;&gt;"",$J506&lt;&gt;""),"Open","")))</f>
        <v/>
      </c>
      <c r="N506" s="47" t="n"/>
      <c r="O506">
        <f>IF($B506="","",IF($M506="Closed",IF($N506="","",$N506-$B506),TODAY()-$B506))</f>
        <v/>
      </c>
      <c r="P506">
        <f>IF(OR($B506="",$L506="",$M506="Closed"),"",IF(TODAY()&gt;$L506,"YES","NO"))</f>
        <v/>
      </c>
      <c r="Q506">
        <f>Weekly_Inspections!$AW506</f>
        <v/>
      </c>
    </row>
    <row r="507" ht="15" customHeight="1" s="45">
      <c r="A507">
        <f>IF(Weekly_Inspections!$B507="","",Weekly_Inspections!$A507&amp;"-A1")</f>
        <v/>
      </c>
      <c r="B507" s="47">
        <f>Weekly_Inspections!$B507</f>
        <v/>
      </c>
      <c r="C507">
        <f>Weekly_Inspections!$E507</f>
        <v/>
      </c>
      <c r="D507">
        <f>Weekly_Inspections!$F507</f>
        <v/>
      </c>
      <c r="E507">
        <f>Weekly_Inspections!$H507</f>
        <v/>
      </c>
      <c r="F507">
        <f>IF(Weekly_Inspections!$AX507&lt;&gt;"",Weekly_Inspections!$AX507,IF(Weekly_Inspections!$AY507&lt;&gt;"",Weekly_Inspections!$AY507,IF(Weekly_Inspections!$AZ507&lt;&gt;"",Weekly_Inspections!$AZ507,IF(Weekly_Inspections!$BA507&lt;&gt;"",Weekly_Inspections!$BA507,IF(Weekly_Inspections!$BB507&lt;&gt;"",Weekly_Inspections!$BB507,Weekly_Inspections!$R507)))))</f>
        <v/>
      </c>
      <c r="G507">
        <f>IF(OR(Weekly_Inspections!$AQ507&lt;&gt;"",Weekly_Inspections!$AR507&lt;&gt;"",Weekly_Inspections!$AS507&lt;&gt;""),Weekly_Inspections!$AQ507,"")</f>
        <v/>
      </c>
      <c r="H507">
        <f>Weekly_Inspections!$AP507</f>
        <v/>
      </c>
      <c r="I507">
        <f>Weekly_Inspections!$AR507</f>
        <v/>
      </c>
      <c r="J507">
        <f>Weekly_Inspections!$AS507</f>
        <v/>
      </c>
      <c r="K507">
        <f>Weekly_Inspections!$AU507</f>
        <v/>
      </c>
      <c r="L507" s="47">
        <f>Weekly_Inspections!$AV507</f>
        <v/>
      </c>
      <c r="M507">
        <f>IF($B507="","",IF($N507&lt;&gt;"","Closed",IF(OR($G507&lt;&gt;"",$I507&lt;&gt;"",$J507&lt;&gt;""),"Open","")))</f>
        <v/>
      </c>
      <c r="N507" s="47" t="n"/>
      <c r="O507">
        <f>IF($B507="","",IF($M507="Closed",IF($N507="","",$N507-$B507),TODAY()-$B507))</f>
        <v/>
      </c>
      <c r="P507">
        <f>IF(OR($B507="",$L507="",$M507="Closed"),"",IF(TODAY()&gt;$L507,"YES","NO"))</f>
        <v/>
      </c>
      <c r="Q507">
        <f>Weekly_Inspections!$AW507</f>
        <v/>
      </c>
    </row>
    <row r="508" ht="15" customHeight="1" s="45">
      <c r="A508">
        <f>IF(Weekly_Inspections!$B508="","",Weekly_Inspections!$A508&amp;"-A1")</f>
        <v/>
      </c>
      <c r="B508" s="47">
        <f>Weekly_Inspections!$B508</f>
        <v/>
      </c>
      <c r="C508">
        <f>Weekly_Inspections!$E508</f>
        <v/>
      </c>
      <c r="D508">
        <f>Weekly_Inspections!$F508</f>
        <v/>
      </c>
      <c r="E508">
        <f>Weekly_Inspections!$H508</f>
        <v/>
      </c>
      <c r="F508">
        <f>IF(Weekly_Inspections!$AX508&lt;&gt;"",Weekly_Inspections!$AX508,IF(Weekly_Inspections!$AY508&lt;&gt;"",Weekly_Inspections!$AY508,IF(Weekly_Inspections!$AZ508&lt;&gt;"",Weekly_Inspections!$AZ508,IF(Weekly_Inspections!$BA508&lt;&gt;"",Weekly_Inspections!$BA508,IF(Weekly_Inspections!$BB508&lt;&gt;"",Weekly_Inspections!$BB508,Weekly_Inspections!$R508)))))</f>
        <v/>
      </c>
      <c r="G508">
        <f>IF(OR(Weekly_Inspections!$AQ508&lt;&gt;"",Weekly_Inspections!$AR508&lt;&gt;"",Weekly_Inspections!$AS508&lt;&gt;""),Weekly_Inspections!$AQ508,"")</f>
        <v/>
      </c>
      <c r="H508">
        <f>Weekly_Inspections!$AP508</f>
        <v/>
      </c>
      <c r="I508">
        <f>Weekly_Inspections!$AR508</f>
        <v/>
      </c>
      <c r="J508">
        <f>Weekly_Inspections!$AS508</f>
        <v/>
      </c>
      <c r="K508">
        <f>Weekly_Inspections!$AU508</f>
        <v/>
      </c>
      <c r="L508" s="47">
        <f>Weekly_Inspections!$AV508</f>
        <v/>
      </c>
      <c r="M508">
        <f>IF($B508="","",IF($N508&lt;&gt;"","Closed",IF(OR($G508&lt;&gt;"",$I508&lt;&gt;"",$J508&lt;&gt;""),"Open","")))</f>
        <v/>
      </c>
      <c r="N508" s="47" t="n"/>
      <c r="O508">
        <f>IF($B508="","",IF($M508="Closed",IF($N508="","",$N508-$B508),TODAY()-$B508))</f>
        <v/>
      </c>
      <c r="P508">
        <f>IF(OR($B508="",$L508="",$M508="Closed"),"",IF(TODAY()&gt;$L508,"YES","NO"))</f>
        <v/>
      </c>
      <c r="Q508">
        <f>Weekly_Inspections!$AW508</f>
        <v/>
      </c>
    </row>
    <row r="509" ht="15" customHeight="1" s="45">
      <c r="A509">
        <f>IF(Weekly_Inspections!$B509="","",Weekly_Inspections!$A509&amp;"-A1")</f>
        <v/>
      </c>
      <c r="B509" s="47">
        <f>Weekly_Inspections!$B509</f>
        <v/>
      </c>
      <c r="C509">
        <f>Weekly_Inspections!$E509</f>
        <v/>
      </c>
      <c r="D509">
        <f>Weekly_Inspections!$F509</f>
        <v/>
      </c>
      <c r="E509">
        <f>Weekly_Inspections!$H509</f>
        <v/>
      </c>
      <c r="F509">
        <f>IF(Weekly_Inspections!$AX509&lt;&gt;"",Weekly_Inspections!$AX509,IF(Weekly_Inspections!$AY509&lt;&gt;"",Weekly_Inspections!$AY509,IF(Weekly_Inspections!$AZ509&lt;&gt;"",Weekly_Inspections!$AZ509,IF(Weekly_Inspections!$BA509&lt;&gt;"",Weekly_Inspections!$BA509,IF(Weekly_Inspections!$BB509&lt;&gt;"",Weekly_Inspections!$BB509,Weekly_Inspections!$R509)))))</f>
        <v/>
      </c>
      <c r="G509">
        <f>IF(OR(Weekly_Inspections!$AQ509&lt;&gt;"",Weekly_Inspections!$AR509&lt;&gt;"",Weekly_Inspections!$AS509&lt;&gt;""),Weekly_Inspections!$AQ509,"")</f>
        <v/>
      </c>
      <c r="H509">
        <f>Weekly_Inspections!$AP509</f>
        <v/>
      </c>
      <c r="I509">
        <f>Weekly_Inspections!$AR509</f>
        <v/>
      </c>
      <c r="J509">
        <f>Weekly_Inspections!$AS509</f>
        <v/>
      </c>
      <c r="K509">
        <f>Weekly_Inspections!$AU509</f>
        <v/>
      </c>
      <c r="L509" s="47">
        <f>Weekly_Inspections!$AV509</f>
        <v/>
      </c>
      <c r="M509">
        <f>IF($B509="","",IF($N509&lt;&gt;"","Closed",IF(OR($G509&lt;&gt;"",$I509&lt;&gt;"",$J509&lt;&gt;""),"Open","")))</f>
        <v/>
      </c>
      <c r="N509" s="47" t="n"/>
      <c r="O509">
        <f>IF($B509="","",IF($M509="Closed",IF($N509="","",$N509-$B509),TODAY()-$B509))</f>
        <v/>
      </c>
      <c r="P509">
        <f>IF(OR($B509="",$L509="",$M509="Closed"),"",IF(TODAY()&gt;$L509,"YES","NO"))</f>
        <v/>
      </c>
      <c r="Q509">
        <f>Weekly_Inspections!$AW509</f>
        <v/>
      </c>
    </row>
    <row r="510" ht="15" customHeight="1" s="45">
      <c r="A510">
        <f>IF(Weekly_Inspections!$B510="","",Weekly_Inspections!$A510&amp;"-A1")</f>
        <v/>
      </c>
      <c r="B510" s="47">
        <f>Weekly_Inspections!$B510</f>
        <v/>
      </c>
      <c r="C510">
        <f>Weekly_Inspections!$E510</f>
        <v/>
      </c>
      <c r="D510">
        <f>Weekly_Inspections!$F510</f>
        <v/>
      </c>
      <c r="E510">
        <f>Weekly_Inspections!$H510</f>
        <v/>
      </c>
      <c r="F510">
        <f>IF(Weekly_Inspections!$AX510&lt;&gt;"",Weekly_Inspections!$AX510,IF(Weekly_Inspections!$AY510&lt;&gt;"",Weekly_Inspections!$AY510,IF(Weekly_Inspections!$AZ510&lt;&gt;"",Weekly_Inspections!$AZ510,IF(Weekly_Inspections!$BA510&lt;&gt;"",Weekly_Inspections!$BA510,IF(Weekly_Inspections!$BB510&lt;&gt;"",Weekly_Inspections!$BB510,Weekly_Inspections!$R510)))))</f>
        <v/>
      </c>
      <c r="G510">
        <f>IF(OR(Weekly_Inspections!$AQ510&lt;&gt;"",Weekly_Inspections!$AR510&lt;&gt;"",Weekly_Inspections!$AS510&lt;&gt;""),Weekly_Inspections!$AQ510,"")</f>
        <v/>
      </c>
      <c r="H510">
        <f>Weekly_Inspections!$AP510</f>
        <v/>
      </c>
      <c r="I510">
        <f>Weekly_Inspections!$AR510</f>
        <v/>
      </c>
      <c r="J510">
        <f>Weekly_Inspections!$AS510</f>
        <v/>
      </c>
      <c r="K510">
        <f>Weekly_Inspections!$AU510</f>
        <v/>
      </c>
      <c r="L510" s="47">
        <f>Weekly_Inspections!$AV510</f>
        <v/>
      </c>
      <c r="M510">
        <f>IF($B510="","",IF($N510&lt;&gt;"","Closed",IF(OR($G510&lt;&gt;"",$I510&lt;&gt;"",$J510&lt;&gt;""),"Open","")))</f>
        <v/>
      </c>
      <c r="N510" s="47" t="n"/>
      <c r="O510">
        <f>IF($B510="","",IF($M510="Closed",IF($N510="","",$N510-$B510),TODAY()-$B510))</f>
        <v/>
      </c>
      <c r="P510">
        <f>IF(OR($B510="",$L510="",$M510="Closed"),"",IF(TODAY()&gt;$L510,"YES","NO"))</f>
        <v/>
      </c>
      <c r="Q510">
        <f>Weekly_Inspections!$AW510</f>
        <v/>
      </c>
    </row>
    <row r="511" ht="15" customHeight="1" s="45">
      <c r="A511">
        <f>IF(Weekly_Inspections!$B511="","",Weekly_Inspections!$A511&amp;"-A1")</f>
        <v/>
      </c>
      <c r="B511" s="47">
        <f>Weekly_Inspections!$B511</f>
        <v/>
      </c>
      <c r="C511">
        <f>Weekly_Inspections!$E511</f>
        <v/>
      </c>
      <c r="D511">
        <f>Weekly_Inspections!$F511</f>
        <v/>
      </c>
      <c r="E511">
        <f>Weekly_Inspections!$H511</f>
        <v/>
      </c>
      <c r="F511">
        <f>IF(Weekly_Inspections!$AX511&lt;&gt;"",Weekly_Inspections!$AX511,IF(Weekly_Inspections!$AY511&lt;&gt;"",Weekly_Inspections!$AY511,IF(Weekly_Inspections!$AZ511&lt;&gt;"",Weekly_Inspections!$AZ511,IF(Weekly_Inspections!$BA511&lt;&gt;"",Weekly_Inspections!$BA511,IF(Weekly_Inspections!$BB511&lt;&gt;"",Weekly_Inspections!$BB511,Weekly_Inspections!$R511)))))</f>
        <v/>
      </c>
      <c r="G511">
        <f>IF(OR(Weekly_Inspections!$AQ511&lt;&gt;"",Weekly_Inspections!$AR511&lt;&gt;"",Weekly_Inspections!$AS511&lt;&gt;""),Weekly_Inspections!$AQ511,"")</f>
        <v/>
      </c>
      <c r="H511">
        <f>Weekly_Inspections!$AP511</f>
        <v/>
      </c>
      <c r="I511">
        <f>Weekly_Inspections!$AR511</f>
        <v/>
      </c>
      <c r="J511">
        <f>Weekly_Inspections!$AS511</f>
        <v/>
      </c>
      <c r="K511">
        <f>Weekly_Inspections!$AU511</f>
        <v/>
      </c>
      <c r="L511" s="47">
        <f>Weekly_Inspections!$AV511</f>
        <v/>
      </c>
      <c r="M511">
        <f>IF($B511="","",IF($N511&lt;&gt;"","Closed",IF(OR($G511&lt;&gt;"",$I511&lt;&gt;"",$J511&lt;&gt;""),"Open","")))</f>
        <v/>
      </c>
      <c r="N511" s="47" t="n"/>
      <c r="O511">
        <f>IF($B511="","",IF($M511="Closed",IF($N511="","",$N511-$B511),TODAY()-$B511))</f>
        <v/>
      </c>
      <c r="P511">
        <f>IF(OR($B511="",$L511="",$M511="Closed"),"",IF(TODAY()&gt;$L511,"YES","NO"))</f>
        <v/>
      </c>
      <c r="Q511">
        <f>Weekly_Inspections!$AW511</f>
        <v/>
      </c>
    </row>
    <row r="512" ht="15" customHeight="1" s="45">
      <c r="A512">
        <f>IF(Weekly_Inspections!$B512="","",Weekly_Inspections!$A512&amp;"-A1")</f>
        <v/>
      </c>
      <c r="B512" s="47">
        <f>Weekly_Inspections!$B512</f>
        <v/>
      </c>
      <c r="C512">
        <f>Weekly_Inspections!$E512</f>
        <v/>
      </c>
      <c r="D512">
        <f>Weekly_Inspections!$F512</f>
        <v/>
      </c>
      <c r="E512">
        <f>Weekly_Inspections!$H512</f>
        <v/>
      </c>
      <c r="F512">
        <f>IF(Weekly_Inspections!$AX512&lt;&gt;"",Weekly_Inspections!$AX512,IF(Weekly_Inspections!$AY512&lt;&gt;"",Weekly_Inspections!$AY512,IF(Weekly_Inspections!$AZ512&lt;&gt;"",Weekly_Inspections!$AZ512,IF(Weekly_Inspections!$BA512&lt;&gt;"",Weekly_Inspections!$BA512,IF(Weekly_Inspections!$BB512&lt;&gt;"",Weekly_Inspections!$BB512,Weekly_Inspections!$R512)))))</f>
        <v/>
      </c>
      <c r="G512">
        <f>IF(OR(Weekly_Inspections!$AQ512&lt;&gt;"",Weekly_Inspections!$AR512&lt;&gt;"",Weekly_Inspections!$AS512&lt;&gt;""),Weekly_Inspections!$AQ512,"")</f>
        <v/>
      </c>
      <c r="H512">
        <f>Weekly_Inspections!$AP512</f>
        <v/>
      </c>
      <c r="I512">
        <f>Weekly_Inspections!$AR512</f>
        <v/>
      </c>
      <c r="J512">
        <f>Weekly_Inspections!$AS512</f>
        <v/>
      </c>
      <c r="K512">
        <f>Weekly_Inspections!$AU512</f>
        <v/>
      </c>
      <c r="L512" s="47">
        <f>Weekly_Inspections!$AV512</f>
        <v/>
      </c>
      <c r="M512">
        <f>IF($B512="","",IF($N512&lt;&gt;"","Closed",IF(OR($G512&lt;&gt;"",$I512&lt;&gt;"",$J512&lt;&gt;""),"Open","")))</f>
        <v/>
      </c>
      <c r="N512" s="47" t="n"/>
      <c r="O512">
        <f>IF($B512="","",IF($M512="Closed",IF($N512="","",$N512-$B512),TODAY()-$B512))</f>
        <v/>
      </c>
      <c r="P512">
        <f>IF(OR($B512="",$L512="",$M512="Closed"),"",IF(TODAY()&gt;$L512,"YES","NO"))</f>
        <v/>
      </c>
      <c r="Q512">
        <f>Weekly_Inspections!$AW512</f>
        <v/>
      </c>
    </row>
    <row r="513" ht="15" customHeight="1" s="45">
      <c r="A513">
        <f>IF(Weekly_Inspections!$B513="","",Weekly_Inspections!$A513&amp;"-A1")</f>
        <v/>
      </c>
      <c r="B513" s="47">
        <f>Weekly_Inspections!$B513</f>
        <v/>
      </c>
      <c r="C513">
        <f>Weekly_Inspections!$E513</f>
        <v/>
      </c>
      <c r="D513">
        <f>Weekly_Inspections!$F513</f>
        <v/>
      </c>
      <c r="E513">
        <f>Weekly_Inspections!$H513</f>
        <v/>
      </c>
      <c r="F513">
        <f>IF(Weekly_Inspections!$AX513&lt;&gt;"",Weekly_Inspections!$AX513,IF(Weekly_Inspections!$AY513&lt;&gt;"",Weekly_Inspections!$AY513,IF(Weekly_Inspections!$AZ513&lt;&gt;"",Weekly_Inspections!$AZ513,IF(Weekly_Inspections!$BA513&lt;&gt;"",Weekly_Inspections!$BA513,IF(Weekly_Inspections!$BB513&lt;&gt;"",Weekly_Inspections!$BB513,Weekly_Inspections!$R513)))))</f>
        <v/>
      </c>
      <c r="G513">
        <f>IF(OR(Weekly_Inspections!$AQ513&lt;&gt;"",Weekly_Inspections!$AR513&lt;&gt;"",Weekly_Inspections!$AS513&lt;&gt;""),Weekly_Inspections!$AQ513,"")</f>
        <v/>
      </c>
      <c r="H513">
        <f>Weekly_Inspections!$AP513</f>
        <v/>
      </c>
      <c r="I513">
        <f>Weekly_Inspections!$AR513</f>
        <v/>
      </c>
      <c r="J513">
        <f>Weekly_Inspections!$AS513</f>
        <v/>
      </c>
      <c r="K513">
        <f>Weekly_Inspections!$AU513</f>
        <v/>
      </c>
      <c r="L513" s="47">
        <f>Weekly_Inspections!$AV513</f>
        <v/>
      </c>
      <c r="M513">
        <f>IF($B513="","",IF($N513&lt;&gt;"","Closed",IF(OR($G513&lt;&gt;"",$I513&lt;&gt;"",$J513&lt;&gt;""),"Open","")))</f>
        <v/>
      </c>
      <c r="N513" s="47" t="n"/>
      <c r="O513">
        <f>IF($B513="","",IF($M513="Closed",IF($N513="","",$N513-$B513),TODAY()-$B513))</f>
        <v/>
      </c>
      <c r="P513">
        <f>IF(OR($B513="",$L513="",$M513="Closed"),"",IF(TODAY()&gt;$L513,"YES","NO"))</f>
        <v/>
      </c>
      <c r="Q513">
        <f>Weekly_Inspections!$AW513</f>
        <v/>
      </c>
    </row>
    <row r="514" ht="15" customHeight="1" s="45">
      <c r="A514">
        <f>IF(Weekly_Inspections!$B514="","",Weekly_Inspections!$A514&amp;"-A1")</f>
        <v/>
      </c>
      <c r="B514" s="47">
        <f>Weekly_Inspections!$B514</f>
        <v/>
      </c>
      <c r="C514">
        <f>Weekly_Inspections!$E514</f>
        <v/>
      </c>
      <c r="D514">
        <f>Weekly_Inspections!$F514</f>
        <v/>
      </c>
      <c r="E514">
        <f>Weekly_Inspections!$H514</f>
        <v/>
      </c>
      <c r="F514">
        <f>IF(Weekly_Inspections!$AX514&lt;&gt;"",Weekly_Inspections!$AX514,IF(Weekly_Inspections!$AY514&lt;&gt;"",Weekly_Inspections!$AY514,IF(Weekly_Inspections!$AZ514&lt;&gt;"",Weekly_Inspections!$AZ514,IF(Weekly_Inspections!$BA514&lt;&gt;"",Weekly_Inspections!$BA514,IF(Weekly_Inspections!$BB514&lt;&gt;"",Weekly_Inspections!$BB514,Weekly_Inspections!$R514)))))</f>
        <v/>
      </c>
      <c r="G514">
        <f>IF(OR(Weekly_Inspections!$AQ514&lt;&gt;"",Weekly_Inspections!$AR514&lt;&gt;"",Weekly_Inspections!$AS514&lt;&gt;""),Weekly_Inspections!$AQ514,"")</f>
        <v/>
      </c>
      <c r="H514">
        <f>Weekly_Inspections!$AP514</f>
        <v/>
      </c>
      <c r="I514">
        <f>Weekly_Inspections!$AR514</f>
        <v/>
      </c>
      <c r="J514">
        <f>Weekly_Inspections!$AS514</f>
        <v/>
      </c>
      <c r="K514">
        <f>Weekly_Inspections!$AU514</f>
        <v/>
      </c>
      <c r="L514" s="47">
        <f>Weekly_Inspections!$AV514</f>
        <v/>
      </c>
      <c r="M514">
        <f>IF($B514="","",IF($N514&lt;&gt;"","Closed",IF(OR($G514&lt;&gt;"",$I514&lt;&gt;"",$J514&lt;&gt;""),"Open","")))</f>
        <v/>
      </c>
      <c r="N514" s="47" t="n"/>
      <c r="O514">
        <f>IF($B514="","",IF($M514="Closed",IF($N514="","",$N514-$B514),TODAY()-$B514))</f>
        <v/>
      </c>
      <c r="P514">
        <f>IF(OR($B514="",$L514="",$M514="Closed"),"",IF(TODAY()&gt;$L514,"YES","NO"))</f>
        <v/>
      </c>
      <c r="Q514">
        <f>Weekly_Inspections!$AW514</f>
        <v/>
      </c>
    </row>
    <row r="515" ht="15" customHeight="1" s="45">
      <c r="A515">
        <f>IF(Weekly_Inspections!$B515="","",Weekly_Inspections!$A515&amp;"-A1")</f>
        <v/>
      </c>
      <c r="B515" s="47">
        <f>Weekly_Inspections!$B515</f>
        <v/>
      </c>
      <c r="C515">
        <f>Weekly_Inspections!$E515</f>
        <v/>
      </c>
      <c r="D515">
        <f>Weekly_Inspections!$F515</f>
        <v/>
      </c>
      <c r="E515">
        <f>Weekly_Inspections!$H515</f>
        <v/>
      </c>
      <c r="F515">
        <f>IF(Weekly_Inspections!$AX515&lt;&gt;"",Weekly_Inspections!$AX515,IF(Weekly_Inspections!$AY515&lt;&gt;"",Weekly_Inspections!$AY515,IF(Weekly_Inspections!$AZ515&lt;&gt;"",Weekly_Inspections!$AZ515,IF(Weekly_Inspections!$BA515&lt;&gt;"",Weekly_Inspections!$BA515,IF(Weekly_Inspections!$BB515&lt;&gt;"",Weekly_Inspections!$BB515,Weekly_Inspections!$R515)))))</f>
        <v/>
      </c>
      <c r="G515">
        <f>IF(OR(Weekly_Inspections!$AQ515&lt;&gt;"",Weekly_Inspections!$AR515&lt;&gt;"",Weekly_Inspections!$AS515&lt;&gt;""),Weekly_Inspections!$AQ515,"")</f>
        <v/>
      </c>
      <c r="H515">
        <f>Weekly_Inspections!$AP515</f>
        <v/>
      </c>
      <c r="I515">
        <f>Weekly_Inspections!$AR515</f>
        <v/>
      </c>
      <c r="J515">
        <f>Weekly_Inspections!$AS515</f>
        <v/>
      </c>
      <c r="K515">
        <f>Weekly_Inspections!$AU515</f>
        <v/>
      </c>
      <c r="L515" s="47">
        <f>Weekly_Inspections!$AV515</f>
        <v/>
      </c>
      <c r="M515">
        <f>IF($B515="","",IF($N515&lt;&gt;"","Closed",IF(OR($G515&lt;&gt;"",$I515&lt;&gt;"",$J515&lt;&gt;""),"Open","")))</f>
        <v/>
      </c>
      <c r="N515" s="47" t="n"/>
      <c r="O515">
        <f>IF($B515="","",IF($M515="Closed",IF($N515="","",$N515-$B515),TODAY()-$B515))</f>
        <v/>
      </c>
      <c r="P515">
        <f>IF(OR($B515="",$L515="",$M515="Closed"),"",IF(TODAY()&gt;$L515,"YES","NO"))</f>
        <v/>
      </c>
      <c r="Q515">
        <f>Weekly_Inspections!$AW515</f>
        <v/>
      </c>
    </row>
    <row r="516" ht="15" customHeight="1" s="45">
      <c r="A516">
        <f>IF(Weekly_Inspections!$B516="","",Weekly_Inspections!$A516&amp;"-A1")</f>
        <v/>
      </c>
      <c r="B516" s="47">
        <f>Weekly_Inspections!$B516</f>
        <v/>
      </c>
      <c r="C516">
        <f>Weekly_Inspections!$E516</f>
        <v/>
      </c>
      <c r="D516">
        <f>Weekly_Inspections!$F516</f>
        <v/>
      </c>
      <c r="E516">
        <f>Weekly_Inspections!$H516</f>
        <v/>
      </c>
      <c r="F516">
        <f>IF(Weekly_Inspections!$AX516&lt;&gt;"",Weekly_Inspections!$AX516,IF(Weekly_Inspections!$AY516&lt;&gt;"",Weekly_Inspections!$AY516,IF(Weekly_Inspections!$AZ516&lt;&gt;"",Weekly_Inspections!$AZ516,IF(Weekly_Inspections!$BA516&lt;&gt;"",Weekly_Inspections!$BA516,IF(Weekly_Inspections!$BB516&lt;&gt;"",Weekly_Inspections!$BB516,Weekly_Inspections!$R516)))))</f>
        <v/>
      </c>
      <c r="G516">
        <f>IF(OR(Weekly_Inspections!$AQ516&lt;&gt;"",Weekly_Inspections!$AR516&lt;&gt;"",Weekly_Inspections!$AS516&lt;&gt;""),Weekly_Inspections!$AQ516,"")</f>
        <v/>
      </c>
      <c r="H516">
        <f>Weekly_Inspections!$AP516</f>
        <v/>
      </c>
      <c r="I516">
        <f>Weekly_Inspections!$AR516</f>
        <v/>
      </c>
      <c r="J516">
        <f>Weekly_Inspections!$AS516</f>
        <v/>
      </c>
      <c r="K516">
        <f>Weekly_Inspections!$AU516</f>
        <v/>
      </c>
      <c r="L516" s="47">
        <f>Weekly_Inspections!$AV516</f>
        <v/>
      </c>
      <c r="M516">
        <f>IF($B516="","",IF($N516&lt;&gt;"","Closed",IF(OR($G516&lt;&gt;"",$I516&lt;&gt;"",$J516&lt;&gt;""),"Open","")))</f>
        <v/>
      </c>
      <c r="N516" s="47" t="n"/>
      <c r="O516">
        <f>IF($B516="","",IF($M516="Closed",IF($N516="","",$N516-$B516),TODAY()-$B516))</f>
        <v/>
      </c>
      <c r="P516">
        <f>IF(OR($B516="",$L516="",$M516="Closed"),"",IF(TODAY()&gt;$L516,"YES","NO"))</f>
        <v/>
      </c>
      <c r="Q516">
        <f>Weekly_Inspections!$AW516</f>
        <v/>
      </c>
    </row>
    <row r="517" ht="15" customHeight="1" s="45">
      <c r="A517">
        <f>IF(Weekly_Inspections!$B517="","",Weekly_Inspections!$A517&amp;"-A1")</f>
        <v/>
      </c>
      <c r="B517" s="47">
        <f>Weekly_Inspections!$B517</f>
        <v/>
      </c>
      <c r="C517">
        <f>Weekly_Inspections!$E517</f>
        <v/>
      </c>
      <c r="D517">
        <f>Weekly_Inspections!$F517</f>
        <v/>
      </c>
      <c r="E517">
        <f>Weekly_Inspections!$H517</f>
        <v/>
      </c>
      <c r="F517">
        <f>IF(Weekly_Inspections!$AX517&lt;&gt;"",Weekly_Inspections!$AX517,IF(Weekly_Inspections!$AY517&lt;&gt;"",Weekly_Inspections!$AY517,IF(Weekly_Inspections!$AZ517&lt;&gt;"",Weekly_Inspections!$AZ517,IF(Weekly_Inspections!$BA517&lt;&gt;"",Weekly_Inspections!$BA517,IF(Weekly_Inspections!$BB517&lt;&gt;"",Weekly_Inspections!$BB517,Weekly_Inspections!$R517)))))</f>
        <v/>
      </c>
      <c r="G517">
        <f>IF(OR(Weekly_Inspections!$AQ517&lt;&gt;"",Weekly_Inspections!$AR517&lt;&gt;"",Weekly_Inspections!$AS517&lt;&gt;""),Weekly_Inspections!$AQ517,"")</f>
        <v/>
      </c>
      <c r="H517">
        <f>Weekly_Inspections!$AP517</f>
        <v/>
      </c>
      <c r="I517">
        <f>Weekly_Inspections!$AR517</f>
        <v/>
      </c>
      <c r="J517">
        <f>Weekly_Inspections!$AS517</f>
        <v/>
      </c>
      <c r="K517">
        <f>Weekly_Inspections!$AU517</f>
        <v/>
      </c>
      <c r="L517" s="47">
        <f>Weekly_Inspections!$AV517</f>
        <v/>
      </c>
      <c r="M517">
        <f>IF($B517="","",IF($N517&lt;&gt;"","Closed",IF(OR($G517&lt;&gt;"",$I517&lt;&gt;"",$J517&lt;&gt;""),"Open","")))</f>
        <v/>
      </c>
      <c r="N517" s="47" t="n"/>
      <c r="O517">
        <f>IF($B517="","",IF($M517="Closed",IF($N517="","",$N517-$B517),TODAY()-$B517))</f>
        <v/>
      </c>
      <c r="P517">
        <f>IF(OR($B517="",$L517="",$M517="Closed"),"",IF(TODAY()&gt;$L517,"YES","NO"))</f>
        <v/>
      </c>
      <c r="Q517">
        <f>Weekly_Inspections!$AW517</f>
        <v/>
      </c>
    </row>
    <row r="518" ht="15" customHeight="1" s="45">
      <c r="A518">
        <f>IF(Weekly_Inspections!$B518="","",Weekly_Inspections!$A518&amp;"-A1")</f>
        <v/>
      </c>
      <c r="B518" s="47">
        <f>Weekly_Inspections!$B518</f>
        <v/>
      </c>
      <c r="C518">
        <f>Weekly_Inspections!$E518</f>
        <v/>
      </c>
      <c r="D518">
        <f>Weekly_Inspections!$F518</f>
        <v/>
      </c>
      <c r="E518">
        <f>Weekly_Inspections!$H518</f>
        <v/>
      </c>
      <c r="F518">
        <f>IF(Weekly_Inspections!$AX518&lt;&gt;"",Weekly_Inspections!$AX518,IF(Weekly_Inspections!$AY518&lt;&gt;"",Weekly_Inspections!$AY518,IF(Weekly_Inspections!$AZ518&lt;&gt;"",Weekly_Inspections!$AZ518,IF(Weekly_Inspections!$BA518&lt;&gt;"",Weekly_Inspections!$BA518,IF(Weekly_Inspections!$BB518&lt;&gt;"",Weekly_Inspections!$BB518,Weekly_Inspections!$R518)))))</f>
        <v/>
      </c>
      <c r="G518">
        <f>IF(OR(Weekly_Inspections!$AQ518&lt;&gt;"",Weekly_Inspections!$AR518&lt;&gt;"",Weekly_Inspections!$AS518&lt;&gt;""),Weekly_Inspections!$AQ518,"")</f>
        <v/>
      </c>
      <c r="H518">
        <f>Weekly_Inspections!$AP518</f>
        <v/>
      </c>
      <c r="I518">
        <f>Weekly_Inspections!$AR518</f>
        <v/>
      </c>
      <c r="J518">
        <f>Weekly_Inspections!$AS518</f>
        <v/>
      </c>
      <c r="K518">
        <f>Weekly_Inspections!$AU518</f>
        <v/>
      </c>
      <c r="L518" s="47">
        <f>Weekly_Inspections!$AV518</f>
        <v/>
      </c>
      <c r="M518">
        <f>IF($B518="","",IF($N518&lt;&gt;"","Closed",IF(OR($G518&lt;&gt;"",$I518&lt;&gt;"",$J518&lt;&gt;""),"Open","")))</f>
        <v/>
      </c>
      <c r="N518" s="47" t="n"/>
      <c r="O518">
        <f>IF($B518="","",IF($M518="Closed",IF($N518="","",$N518-$B518),TODAY()-$B518))</f>
        <v/>
      </c>
      <c r="P518">
        <f>IF(OR($B518="",$L518="",$M518="Closed"),"",IF(TODAY()&gt;$L518,"YES","NO"))</f>
        <v/>
      </c>
      <c r="Q518">
        <f>Weekly_Inspections!$AW518</f>
        <v/>
      </c>
    </row>
    <row r="519" ht="15" customHeight="1" s="45">
      <c r="A519">
        <f>IF(Weekly_Inspections!$B519="","",Weekly_Inspections!$A519&amp;"-A1")</f>
        <v/>
      </c>
      <c r="B519" s="47">
        <f>Weekly_Inspections!$B519</f>
        <v/>
      </c>
      <c r="C519">
        <f>Weekly_Inspections!$E519</f>
        <v/>
      </c>
      <c r="D519">
        <f>Weekly_Inspections!$F519</f>
        <v/>
      </c>
      <c r="E519">
        <f>Weekly_Inspections!$H519</f>
        <v/>
      </c>
      <c r="F519">
        <f>IF(Weekly_Inspections!$AX519&lt;&gt;"",Weekly_Inspections!$AX519,IF(Weekly_Inspections!$AY519&lt;&gt;"",Weekly_Inspections!$AY519,IF(Weekly_Inspections!$AZ519&lt;&gt;"",Weekly_Inspections!$AZ519,IF(Weekly_Inspections!$BA519&lt;&gt;"",Weekly_Inspections!$BA519,IF(Weekly_Inspections!$BB519&lt;&gt;"",Weekly_Inspections!$BB519,Weekly_Inspections!$R519)))))</f>
        <v/>
      </c>
      <c r="G519">
        <f>IF(OR(Weekly_Inspections!$AQ519&lt;&gt;"",Weekly_Inspections!$AR519&lt;&gt;"",Weekly_Inspections!$AS519&lt;&gt;""),Weekly_Inspections!$AQ519,"")</f>
        <v/>
      </c>
      <c r="H519">
        <f>Weekly_Inspections!$AP519</f>
        <v/>
      </c>
      <c r="I519">
        <f>Weekly_Inspections!$AR519</f>
        <v/>
      </c>
      <c r="J519">
        <f>Weekly_Inspections!$AS519</f>
        <v/>
      </c>
      <c r="K519">
        <f>Weekly_Inspections!$AU519</f>
        <v/>
      </c>
      <c r="L519" s="47">
        <f>Weekly_Inspections!$AV519</f>
        <v/>
      </c>
      <c r="M519">
        <f>IF($B519="","",IF($N519&lt;&gt;"","Closed",IF(OR($G519&lt;&gt;"",$I519&lt;&gt;"",$J519&lt;&gt;""),"Open","")))</f>
        <v/>
      </c>
      <c r="N519" s="47" t="n"/>
      <c r="O519">
        <f>IF($B519="","",IF($M519="Closed",IF($N519="","",$N519-$B519),TODAY()-$B519))</f>
        <v/>
      </c>
      <c r="P519">
        <f>IF(OR($B519="",$L519="",$M519="Closed"),"",IF(TODAY()&gt;$L519,"YES","NO"))</f>
        <v/>
      </c>
      <c r="Q519">
        <f>Weekly_Inspections!$AW519</f>
        <v/>
      </c>
    </row>
    <row r="520" ht="15" customHeight="1" s="45">
      <c r="A520">
        <f>IF(Weekly_Inspections!$B520="","",Weekly_Inspections!$A520&amp;"-A1")</f>
        <v/>
      </c>
      <c r="B520" s="47">
        <f>Weekly_Inspections!$B520</f>
        <v/>
      </c>
      <c r="C520">
        <f>Weekly_Inspections!$E520</f>
        <v/>
      </c>
      <c r="D520">
        <f>Weekly_Inspections!$F520</f>
        <v/>
      </c>
      <c r="E520">
        <f>Weekly_Inspections!$H520</f>
        <v/>
      </c>
      <c r="F520">
        <f>IF(Weekly_Inspections!$AX520&lt;&gt;"",Weekly_Inspections!$AX520,IF(Weekly_Inspections!$AY520&lt;&gt;"",Weekly_Inspections!$AY520,IF(Weekly_Inspections!$AZ520&lt;&gt;"",Weekly_Inspections!$AZ520,IF(Weekly_Inspections!$BA520&lt;&gt;"",Weekly_Inspections!$BA520,IF(Weekly_Inspections!$BB520&lt;&gt;"",Weekly_Inspections!$BB520,Weekly_Inspections!$R520)))))</f>
        <v/>
      </c>
      <c r="G520">
        <f>IF(OR(Weekly_Inspections!$AQ520&lt;&gt;"",Weekly_Inspections!$AR520&lt;&gt;"",Weekly_Inspections!$AS520&lt;&gt;""),Weekly_Inspections!$AQ520,"")</f>
        <v/>
      </c>
      <c r="H520">
        <f>Weekly_Inspections!$AP520</f>
        <v/>
      </c>
      <c r="I520">
        <f>Weekly_Inspections!$AR520</f>
        <v/>
      </c>
      <c r="J520">
        <f>Weekly_Inspections!$AS520</f>
        <v/>
      </c>
      <c r="K520">
        <f>Weekly_Inspections!$AU520</f>
        <v/>
      </c>
      <c r="L520" s="47">
        <f>Weekly_Inspections!$AV520</f>
        <v/>
      </c>
      <c r="M520">
        <f>IF($B520="","",IF($N520&lt;&gt;"","Closed",IF(OR($G520&lt;&gt;"",$I520&lt;&gt;"",$J520&lt;&gt;""),"Open","")))</f>
        <v/>
      </c>
      <c r="N520" s="47" t="n"/>
      <c r="O520">
        <f>IF($B520="","",IF($M520="Closed",IF($N520="","",$N520-$B520),TODAY()-$B520))</f>
        <v/>
      </c>
      <c r="P520">
        <f>IF(OR($B520="",$L520="",$M520="Closed"),"",IF(TODAY()&gt;$L520,"YES","NO"))</f>
        <v/>
      </c>
      <c r="Q520">
        <f>Weekly_Inspections!$AW520</f>
        <v/>
      </c>
    </row>
    <row r="521" ht="15" customHeight="1" s="45">
      <c r="A521">
        <f>IF(Weekly_Inspections!$B521="","",Weekly_Inspections!$A521&amp;"-A1")</f>
        <v/>
      </c>
      <c r="B521" s="47">
        <f>Weekly_Inspections!$B521</f>
        <v/>
      </c>
      <c r="C521">
        <f>Weekly_Inspections!$E521</f>
        <v/>
      </c>
      <c r="D521">
        <f>Weekly_Inspections!$F521</f>
        <v/>
      </c>
      <c r="E521">
        <f>Weekly_Inspections!$H521</f>
        <v/>
      </c>
      <c r="F521">
        <f>IF(Weekly_Inspections!$AX521&lt;&gt;"",Weekly_Inspections!$AX521,IF(Weekly_Inspections!$AY521&lt;&gt;"",Weekly_Inspections!$AY521,IF(Weekly_Inspections!$AZ521&lt;&gt;"",Weekly_Inspections!$AZ521,IF(Weekly_Inspections!$BA521&lt;&gt;"",Weekly_Inspections!$BA521,IF(Weekly_Inspections!$BB521&lt;&gt;"",Weekly_Inspections!$BB521,Weekly_Inspections!$R521)))))</f>
        <v/>
      </c>
      <c r="G521">
        <f>IF(OR(Weekly_Inspections!$AQ521&lt;&gt;"",Weekly_Inspections!$AR521&lt;&gt;"",Weekly_Inspections!$AS521&lt;&gt;""),Weekly_Inspections!$AQ521,"")</f>
        <v/>
      </c>
      <c r="H521">
        <f>Weekly_Inspections!$AP521</f>
        <v/>
      </c>
      <c r="I521">
        <f>Weekly_Inspections!$AR521</f>
        <v/>
      </c>
      <c r="J521">
        <f>Weekly_Inspections!$AS521</f>
        <v/>
      </c>
      <c r="K521">
        <f>Weekly_Inspections!$AU521</f>
        <v/>
      </c>
      <c r="L521" s="47">
        <f>Weekly_Inspections!$AV521</f>
        <v/>
      </c>
      <c r="M521">
        <f>IF($B521="","",IF($N521&lt;&gt;"","Closed",IF(OR($G521&lt;&gt;"",$I521&lt;&gt;"",$J521&lt;&gt;""),"Open","")))</f>
        <v/>
      </c>
      <c r="N521" s="47" t="n"/>
      <c r="O521">
        <f>IF($B521="","",IF($M521="Closed",IF($N521="","",$N521-$B521),TODAY()-$B521))</f>
        <v/>
      </c>
      <c r="P521">
        <f>IF(OR($B521="",$L521="",$M521="Closed"),"",IF(TODAY()&gt;$L521,"YES","NO"))</f>
        <v/>
      </c>
      <c r="Q521">
        <f>Weekly_Inspections!$AW521</f>
        <v/>
      </c>
    </row>
    <row r="522" ht="15" customHeight="1" s="45">
      <c r="A522">
        <f>IF(Weekly_Inspections!$B522="","",Weekly_Inspections!$A522&amp;"-A1")</f>
        <v/>
      </c>
      <c r="B522" s="47">
        <f>Weekly_Inspections!$B522</f>
        <v/>
      </c>
      <c r="C522">
        <f>Weekly_Inspections!$E522</f>
        <v/>
      </c>
      <c r="D522">
        <f>Weekly_Inspections!$F522</f>
        <v/>
      </c>
      <c r="E522">
        <f>Weekly_Inspections!$H522</f>
        <v/>
      </c>
      <c r="F522">
        <f>IF(Weekly_Inspections!$AX522&lt;&gt;"",Weekly_Inspections!$AX522,IF(Weekly_Inspections!$AY522&lt;&gt;"",Weekly_Inspections!$AY522,IF(Weekly_Inspections!$AZ522&lt;&gt;"",Weekly_Inspections!$AZ522,IF(Weekly_Inspections!$BA522&lt;&gt;"",Weekly_Inspections!$BA522,IF(Weekly_Inspections!$BB522&lt;&gt;"",Weekly_Inspections!$BB522,Weekly_Inspections!$R522)))))</f>
        <v/>
      </c>
      <c r="G522">
        <f>IF(OR(Weekly_Inspections!$AQ522&lt;&gt;"",Weekly_Inspections!$AR522&lt;&gt;"",Weekly_Inspections!$AS522&lt;&gt;""),Weekly_Inspections!$AQ522,"")</f>
        <v/>
      </c>
      <c r="H522">
        <f>Weekly_Inspections!$AP522</f>
        <v/>
      </c>
      <c r="I522">
        <f>Weekly_Inspections!$AR522</f>
        <v/>
      </c>
      <c r="J522">
        <f>Weekly_Inspections!$AS522</f>
        <v/>
      </c>
      <c r="K522">
        <f>Weekly_Inspections!$AU522</f>
        <v/>
      </c>
      <c r="L522" s="47">
        <f>Weekly_Inspections!$AV522</f>
        <v/>
      </c>
      <c r="M522">
        <f>IF($B522="","",IF($N522&lt;&gt;"","Closed",IF(OR($G522&lt;&gt;"",$I522&lt;&gt;"",$J522&lt;&gt;""),"Open","")))</f>
        <v/>
      </c>
      <c r="N522" s="47" t="n"/>
      <c r="O522">
        <f>IF($B522="","",IF($M522="Closed",IF($N522="","",$N522-$B522),TODAY()-$B522))</f>
        <v/>
      </c>
      <c r="P522">
        <f>IF(OR($B522="",$L522="",$M522="Closed"),"",IF(TODAY()&gt;$L522,"YES","NO"))</f>
        <v/>
      </c>
      <c r="Q522">
        <f>Weekly_Inspections!$AW522</f>
        <v/>
      </c>
    </row>
    <row r="523" ht="15" customHeight="1" s="45">
      <c r="A523">
        <f>IF(Weekly_Inspections!$B523="","",Weekly_Inspections!$A523&amp;"-A1")</f>
        <v/>
      </c>
      <c r="B523" s="47">
        <f>Weekly_Inspections!$B523</f>
        <v/>
      </c>
      <c r="C523">
        <f>Weekly_Inspections!$E523</f>
        <v/>
      </c>
      <c r="D523">
        <f>Weekly_Inspections!$F523</f>
        <v/>
      </c>
      <c r="E523">
        <f>Weekly_Inspections!$H523</f>
        <v/>
      </c>
      <c r="F523">
        <f>IF(Weekly_Inspections!$AX523&lt;&gt;"",Weekly_Inspections!$AX523,IF(Weekly_Inspections!$AY523&lt;&gt;"",Weekly_Inspections!$AY523,IF(Weekly_Inspections!$AZ523&lt;&gt;"",Weekly_Inspections!$AZ523,IF(Weekly_Inspections!$BA523&lt;&gt;"",Weekly_Inspections!$BA523,IF(Weekly_Inspections!$BB523&lt;&gt;"",Weekly_Inspections!$BB523,Weekly_Inspections!$R523)))))</f>
        <v/>
      </c>
      <c r="G523">
        <f>IF(OR(Weekly_Inspections!$AQ523&lt;&gt;"",Weekly_Inspections!$AR523&lt;&gt;"",Weekly_Inspections!$AS523&lt;&gt;""),Weekly_Inspections!$AQ523,"")</f>
        <v/>
      </c>
      <c r="H523">
        <f>Weekly_Inspections!$AP523</f>
        <v/>
      </c>
      <c r="I523">
        <f>Weekly_Inspections!$AR523</f>
        <v/>
      </c>
      <c r="J523">
        <f>Weekly_Inspections!$AS523</f>
        <v/>
      </c>
      <c r="K523">
        <f>Weekly_Inspections!$AU523</f>
        <v/>
      </c>
      <c r="L523" s="47">
        <f>Weekly_Inspections!$AV523</f>
        <v/>
      </c>
      <c r="M523">
        <f>IF($B523="","",IF($N523&lt;&gt;"","Closed",IF(OR($G523&lt;&gt;"",$I523&lt;&gt;"",$J523&lt;&gt;""),"Open","")))</f>
        <v/>
      </c>
      <c r="N523" s="47" t="n"/>
      <c r="O523">
        <f>IF($B523="","",IF($M523="Closed",IF($N523="","",$N523-$B523),TODAY()-$B523))</f>
        <v/>
      </c>
      <c r="P523">
        <f>IF(OR($B523="",$L523="",$M523="Closed"),"",IF(TODAY()&gt;$L523,"YES","NO"))</f>
        <v/>
      </c>
      <c r="Q523">
        <f>Weekly_Inspections!$AW523</f>
        <v/>
      </c>
    </row>
    <row r="524" ht="15" customHeight="1" s="45">
      <c r="A524">
        <f>IF(Weekly_Inspections!$B524="","",Weekly_Inspections!$A524&amp;"-A1")</f>
        <v/>
      </c>
      <c r="B524" s="47">
        <f>Weekly_Inspections!$B524</f>
        <v/>
      </c>
      <c r="C524">
        <f>Weekly_Inspections!$E524</f>
        <v/>
      </c>
      <c r="D524">
        <f>Weekly_Inspections!$F524</f>
        <v/>
      </c>
      <c r="E524">
        <f>Weekly_Inspections!$H524</f>
        <v/>
      </c>
      <c r="F524">
        <f>IF(Weekly_Inspections!$AX524&lt;&gt;"",Weekly_Inspections!$AX524,IF(Weekly_Inspections!$AY524&lt;&gt;"",Weekly_Inspections!$AY524,IF(Weekly_Inspections!$AZ524&lt;&gt;"",Weekly_Inspections!$AZ524,IF(Weekly_Inspections!$BA524&lt;&gt;"",Weekly_Inspections!$BA524,IF(Weekly_Inspections!$BB524&lt;&gt;"",Weekly_Inspections!$BB524,Weekly_Inspections!$R524)))))</f>
        <v/>
      </c>
      <c r="G524">
        <f>IF(OR(Weekly_Inspections!$AQ524&lt;&gt;"",Weekly_Inspections!$AR524&lt;&gt;"",Weekly_Inspections!$AS524&lt;&gt;""),Weekly_Inspections!$AQ524,"")</f>
        <v/>
      </c>
      <c r="H524">
        <f>Weekly_Inspections!$AP524</f>
        <v/>
      </c>
      <c r="I524">
        <f>Weekly_Inspections!$AR524</f>
        <v/>
      </c>
      <c r="J524">
        <f>Weekly_Inspections!$AS524</f>
        <v/>
      </c>
      <c r="K524">
        <f>Weekly_Inspections!$AU524</f>
        <v/>
      </c>
      <c r="L524" s="47">
        <f>Weekly_Inspections!$AV524</f>
        <v/>
      </c>
      <c r="M524">
        <f>IF($B524="","",IF($N524&lt;&gt;"","Closed",IF(OR($G524&lt;&gt;"",$I524&lt;&gt;"",$J524&lt;&gt;""),"Open","")))</f>
        <v/>
      </c>
      <c r="N524" s="47" t="n"/>
      <c r="O524">
        <f>IF($B524="","",IF($M524="Closed",IF($N524="","",$N524-$B524),TODAY()-$B524))</f>
        <v/>
      </c>
      <c r="P524">
        <f>IF(OR($B524="",$L524="",$M524="Closed"),"",IF(TODAY()&gt;$L524,"YES","NO"))</f>
        <v/>
      </c>
      <c r="Q524">
        <f>Weekly_Inspections!$AW524</f>
        <v/>
      </c>
    </row>
    <row r="525" ht="15" customHeight="1" s="45">
      <c r="A525">
        <f>IF(Weekly_Inspections!$B525="","",Weekly_Inspections!$A525&amp;"-A1")</f>
        <v/>
      </c>
      <c r="B525" s="47">
        <f>Weekly_Inspections!$B525</f>
        <v/>
      </c>
      <c r="C525">
        <f>Weekly_Inspections!$E525</f>
        <v/>
      </c>
      <c r="D525">
        <f>Weekly_Inspections!$F525</f>
        <v/>
      </c>
      <c r="E525">
        <f>Weekly_Inspections!$H525</f>
        <v/>
      </c>
      <c r="F525">
        <f>IF(Weekly_Inspections!$AX525&lt;&gt;"",Weekly_Inspections!$AX525,IF(Weekly_Inspections!$AY525&lt;&gt;"",Weekly_Inspections!$AY525,IF(Weekly_Inspections!$AZ525&lt;&gt;"",Weekly_Inspections!$AZ525,IF(Weekly_Inspections!$BA525&lt;&gt;"",Weekly_Inspections!$BA525,IF(Weekly_Inspections!$BB525&lt;&gt;"",Weekly_Inspections!$BB525,Weekly_Inspections!$R525)))))</f>
        <v/>
      </c>
      <c r="G525">
        <f>IF(OR(Weekly_Inspections!$AQ525&lt;&gt;"",Weekly_Inspections!$AR525&lt;&gt;"",Weekly_Inspections!$AS525&lt;&gt;""),Weekly_Inspections!$AQ525,"")</f>
        <v/>
      </c>
      <c r="H525">
        <f>Weekly_Inspections!$AP525</f>
        <v/>
      </c>
      <c r="I525">
        <f>Weekly_Inspections!$AR525</f>
        <v/>
      </c>
      <c r="J525">
        <f>Weekly_Inspections!$AS525</f>
        <v/>
      </c>
      <c r="K525">
        <f>Weekly_Inspections!$AU525</f>
        <v/>
      </c>
      <c r="L525" s="47">
        <f>Weekly_Inspections!$AV525</f>
        <v/>
      </c>
      <c r="M525">
        <f>IF($B525="","",IF($N525&lt;&gt;"","Closed",IF(OR($G525&lt;&gt;"",$I525&lt;&gt;"",$J525&lt;&gt;""),"Open","")))</f>
        <v/>
      </c>
      <c r="N525" s="47" t="n"/>
      <c r="O525">
        <f>IF($B525="","",IF($M525="Closed",IF($N525="","",$N525-$B525),TODAY()-$B525))</f>
        <v/>
      </c>
      <c r="P525">
        <f>IF(OR($B525="",$L525="",$M525="Closed"),"",IF(TODAY()&gt;$L525,"YES","NO"))</f>
        <v/>
      </c>
      <c r="Q525">
        <f>Weekly_Inspections!$AW525</f>
        <v/>
      </c>
    </row>
    <row r="526" ht="15" customHeight="1" s="45">
      <c r="A526">
        <f>IF(Weekly_Inspections!$B526="","",Weekly_Inspections!$A526&amp;"-A1")</f>
        <v/>
      </c>
      <c r="B526" s="47">
        <f>Weekly_Inspections!$B526</f>
        <v/>
      </c>
      <c r="C526">
        <f>Weekly_Inspections!$E526</f>
        <v/>
      </c>
      <c r="D526">
        <f>Weekly_Inspections!$F526</f>
        <v/>
      </c>
      <c r="E526">
        <f>Weekly_Inspections!$H526</f>
        <v/>
      </c>
      <c r="F526">
        <f>IF(Weekly_Inspections!$AX526&lt;&gt;"",Weekly_Inspections!$AX526,IF(Weekly_Inspections!$AY526&lt;&gt;"",Weekly_Inspections!$AY526,IF(Weekly_Inspections!$AZ526&lt;&gt;"",Weekly_Inspections!$AZ526,IF(Weekly_Inspections!$BA526&lt;&gt;"",Weekly_Inspections!$BA526,IF(Weekly_Inspections!$BB526&lt;&gt;"",Weekly_Inspections!$BB526,Weekly_Inspections!$R526)))))</f>
        <v/>
      </c>
      <c r="G526">
        <f>IF(OR(Weekly_Inspections!$AQ526&lt;&gt;"",Weekly_Inspections!$AR526&lt;&gt;"",Weekly_Inspections!$AS526&lt;&gt;""),Weekly_Inspections!$AQ526,"")</f>
        <v/>
      </c>
      <c r="H526">
        <f>Weekly_Inspections!$AP526</f>
        <v/>
      </c>
      <c r="I526">
        <f>Weekly_Inspections!$AR526</f>
        <v/>
      </c>
      <c r="J526">
        <f>Weekly_Inspections!$AS526</f>
        <v/>
      </c>
      <c r="K526">
        <f>Weekly_Inspections!$AU526</f>
        <v/>
      </c>
      <c r="L526" s="47">
        <f>Weekly_Inspections!$AV526</f>
        <v/>
      </c>
      <c r="M526">
        <f>IF($B526="","",IF($N526&lt;&gt;"","Closed",IF(OR($G526&lt;&gt;"",$I526&lt;&gt;"",$J526&lt;&gt;""),"Open","")))</f>
        <v/>
      </c>
      <c r="N526" s="47" t="n"/>
      <c r="O526">
        <f>IF($B526="","",IF($M526="Closed",IF($N526="","",$N526-$B526),TODAY()-$B526))</f>
        <v/>
      </c>
      <c r="P526">
        <f>IF(OR($B526="",$L526="",$M526="Closed"),"",IF(TODAY()&gt;$L526,"YES","NO"))</f>
        <v/>
      </c>
      <c r="Q526">
        <f>Weekly_Inspections!$AW526</f>
        <v/>
      </c>
    </row>
    <row r="527" ht="15" customHeight="1" s="45">
      <c r="A527">
        <f>IF(Weekly_Inspections!$B527="","",Weekly_Inspections!$A527&amp;"-A1")</f>
        <v/>
      </c>
      <c r="B527" s="47">
        <f>Weekly_Inspections!$B527</f>
        <v/>
      </c>
      <c r="C527">
        <f>Weekly_Inspections!$E527</f>
        <v/>
      </c>
      <c r="D527">
        <f>Weekly_Inspections!$F527</f>
        <v/>
      </c>
      <c r="E527">
        <f>Weekly_Inspections!$H527</f>
        <v/>
      </c>
      <c r="F527">
        <f>IF(Weekly_Inspections!$AX527&lt;&gt;"",Weekly_Inspections!$AX527,IF(Weekly_Inspections!$AY527&lt;&gt;"",Weekly_Inspections!$AY527,IF(Weekly_Inspections!$AZ527&lt;&gt;"",Weekly_Inspections!$AZ527,IF(Weekly_Inspections!$BA527&lt;&gt;"",Weekly_Inspections!$BA527,IF(Weekly_Inspections!$BB527&lt;&gt;"",Weekly_Inspections!$BB527,Weekly_Inspections!$R527)))))</f>
        <v/>
      </c>
      <c r="G527">
        <f>IF(OR(Weekly_Inspections!$AQ527&lt;&gt;"",Weekly_Inspections!$AR527&lt;&gt;"",Weekly_Inspections!$AS527&lt;&gt;""),Weekly_Inspections!$AQ527,"")</f>
        <v/>
      </c>
      <c r="H527">
        <f>Weekly_Inspections!$AP527</f>
        <v/>
      </c>
      <c r="I527">
        <f>Weekly_Inspections!$AR527</f>
        <v/>
      </c>
      <c r="J527">
        <f>Weekly_Inspections!$AS527</f>
        <v/>
      </c>
      <c r="K527">
        <f>Weekly_Inspections!$AU527</f>
        <v/>
      </c>
      <c r="L527" s="47">
        <f>Weekly_Inspections!$AV527</f>
        <v/>
      </c>
      <c r="M527">
        <f>IF($B527="","",IF($N527&lt;&gt;"","Closed",IF(OR($G527&lt;&gt;"",$I527&lt;&gt;"",$J527&lt;&gt;""),"Open","")))</f>
        <v/>
      </c>
      <c r="N527" s="47" t="n"/>
      <c r="O527">
        <f>IF($B527="","",IF($M527="Closed",IF($N527="","",$N527-$B527),TODAY()-$B527))</f>
        <v/>
      </c>
      <c r="P527">
        <f>IF(OR($B527="",$L527="",$M527="Closed"),"",IF(TODAY()&gt;$L527,"YES","NO"))</f>
        <v/>
      </c>
      <c r="Q527">
        <f>Weekly_Inspections!$AW527</f>
        <v/>
      </c>
    </row>
    <row r="528" ht="15" customHeight="1" s="45">
      <c r="A528">
        <f>IF(Weekly_Inspections!$B528="","",Weekly_Inspections!$A528&amp;"-A1")</f>
        <v/>
      </c>
      <c r="B528" s="47">
        <f>Weekly_Inspections!$B528</f>
        <v/>
      </c>
      <c r="C528">
        <f>Weekly_Inspections!$E528</f>
        <v/>
      </c>
      <c r="D528">
        <f>Weekly_Inspections!$F528</f>
        <v/>
      </c>
      <c r="E528">
        <f>Weekly_Inspections!$H528</f>
        <v/>
      </c>
      <c r="F528">
        <f>IF(Weekly_Inspections!$AX528&lt;&gt;"",Weekly_Inspections!$AX528,IF(Weekly_Inspections!$AY528&lt;&gt;"",Weekly_Inspections!$AY528,IF(Weekly_Inspections!$AZ528&lt;&gt;"",Weekly_Inspections!$AZ528,IF(Weekly_Inspections!$BA528&lt;&gt;"",Weekly_Inspections!$BA528,IF(Weekly_Inspections!$BB528&lt;&gt;"",Weekly_Inspections!$BB528,Weekly_Inspections!$R528)))))</f>
        <v/>
      </c>
      <c r="G528">
        <f>IF(OR(Weekly_Inspections!$AQ528&lt;&gt;"",Weekly_Inspections!$AR528&lt;&gt;"",Weekly_Inspections!$AS528&lt;&gt;""),Weekly_Inspections!$AQ528,"")</f>
        <v/>
      </c>
      <c r="H528">
        <f>Weekly_Inspections!$AP528</f>
        <v/>
      </c>
      <c r="I528">
        <f>Weekly_Inspections!$AR528</f>
        <v/>
      </c>
      <c r="J528">
        <f>Weekly_Inspections!$AS528</f>
        <v/>
      </c>
      <c r="K528">
        <f>Weekly_Inspections!$AU528</f>
        <v/>
      </c>
      <c r="L528" s="47">
        <f>Weekly_Inspections!$AV528</f>
        <v/>
      </c>
      <c r="M528">
        <f>IF($B528="","",IF($N528&lt;&gt;"","Closed",IF(OR($G528&lt;&gt;"",$I528&lt;&gt;"",$J528&lt;&gt;""),"Open","")))</f>
        <v/>
      </c>
      <c r="N528" s="47" t="n"/>
      <c r="O528">
        <f>IF($B528="","",IF($M528="Closed",IF($N528="","",$N528-$B528),TODAY()-$B528))</f>
        <v/>
      </c>
      <c r="P528">
        <f>IF(OR($B528="",$L528="",$M528="Closed"),"",IF(TODAY()&gt;$L528,"YES","NO"))</f>
        <v/>
      </c>
      <c r="Q528">
        <f>Weekly_Inspections!$AW528</f>
        <v/>
      </c>
    </row>
    <row r="529" ht="15" customHeight="1" s="45">
      <c r="A529">
        <f>IF(Weekly_Inspections!$B529="","",Weekly_Inspections!$A529&amp;"-A1")</f>
        <v/>
      </c>
      <c r="B529" s="47">
        <f>Weekly_Inspections!$B529</f>
        <v/>
      </c>
      <c r="C529">
        <f>Weekly_Inspections!$E529</f>
        <v/>
      </c>
      <c r="D529">
        <f>Weekly_Inspections!$F529</f>
        <v/>
      </c>
      <c r="E529">
        <f>Weekly_Inspections!$H529</f>
        <v/>
      </c>
      <c r="F529">
        <f>IF(Weekly_Inspections!$AX529&lt;&gt;"",Weekly_Inspections!$AX529,IF(Weekly_Inspections!$AY529&lt;&gt;"",Weekly_Inspections!$AY529,IF(Weekly_Inspections!$AZ529&lt;&gt;"",Weekly_Inspections!$AZ529,IF(Weekly_Inspections!$BA529&lt;&gt;"",Weekly_Inspections!$BA529,IF(Weekly_Inspections!$BB529&lt;&gt;"",Weekly_Inspections!$BB529,Weekly_Inspections!$R529)))))</f>
        <v/>
      </c>
      <c r="G529">
        <f>IF(OR(Weekly_Inspections!$AQ529&lt;&gt;"",Weekly_Inspections!$AR529&lt;&gt;"",Weekly_Inspections!$AS529&lt;&gt;""),Weekly_Inspections!$AQ529,"")</f>
        <v/>
      </c>
      <c r="H529">
        <f>Weekly_Inspections!$AP529</f>
        <v/>
      </c>
      <c r="I529">
        <f>Weekly_Inspections!$AR529</f>
        <v/>
      </c>
      <c r="J529">
        <f>Weekly_Inspections!$AS529</f>
        <v/>
      </c>
      <c r="K529">
        <f>Weekly_Inspections!$AU529</f>
        <v/>
      </c>
      <c r="L529" s="47">
        <f>Weekly_Inspections!$AV529</f>
        <v/>
      </c>
      <c r="M529">
        <f>IF($B529="","",IF($N529&lt;&gt;"","Closed",IF(OR($G529&lt;&gt;"",$I529&lt;&gt;"",$J529&lt;&gt;""),"Open","")))</f>
        <v/>
      </c>
      <c r="N529" s="47" t="n"/>
      <c r="O529">
        <f>IF($B529="","",IF($M529="Closed",IF($N529="","",$N529-$B529),TODAY()-$B529))</f>
        <v/>
      </c>
      <c r="P529">
        <f>IF(OR($B529="",$L529="",$M529="Closed"),"",IF(TODAY()&gt;$L529,"YES","NO"))</f>
        <v/>
      </c>
      <c r="Q529">
        <f>Weekly_Inspections!$AW529</f>
        <v/>
      </c>
    </row>
    <row r="530" ht="15" customHeight="1" s="45">
      <c r="A530">
        <f>IF(Weekly_Inspections!$B530="","",Weekly_Inspections!$A530&amp;"-A1")</f>
        <v/>
      </c>
      <c r="B530" s="47">
        <f>Weekly_Inspections!$B530</f>
        <v/>
      </c>
      <c r="C530">
        <f>Weekly_Inspections!$E530</f>
        <v/>
      </c>
      <c r="D530">
        <f>Weekly_Inspections!$F530</f>
        <v/>
      </c>
      <c r="E530">
        <f>Weekly_Inspections!$H530</f>
        <v/>
      </c>
      <c r="F530">
        <f>IF(Weekly_Inspections!$AX530&lt;&gt;"",Weekly_Inspections!$AX530,IF(Weekly_Inspections!$AY530&lt;&gt;"",Weekly_Inspections!$AY530,IF(Weekly_Inspections!$AZ530&lt;&gt;"",Weekly_Inspections!$AZ530,IF(Weekly_Inspections!$BA530&lt;&gt;"",Weekly_Inspections!$BA530,IF(Weekly_Inspections!$BB530&lt;&gt;"",Weekly_Inspections!$BB530,Weekly_Inspections!$R530)))))</f>
        <v/>
      </c>
      <c r="G530">
        <f>IF(OR(Weekly_Inspections!$AQ530&lt;&gt;"",Weekly_Inspections!$AR530&lt;&gt;"",Weekly_Inspections!$AS530&lt;&gt;""),Weekly_Inspections!$AQ530,"")</f>
        <v/>
      </c>
      <c r="H530">
        <f>Weekly_Inspections!$AP530</f>
        <v/>
      </c>
      <c r="I530">
        <f>Weekly_Inspections!$AR530</f>
        <v/>
      </c>
      <c r="J530">
        <f>Weekly_Inspections!$AS530</f>
        <v/>
      </c>
      <c r="K530">
        <f>Weekly_Inspections!$AU530</f>
        <v/>
      </c>
      <c r="L530" s="47">
        <f>Weekly_Inspections!$AV530</f>
        <v/>
      </c>
      <c r="M530">
        <f>IF($B530="","",IF($N530&lt;&gt;"","Closed",IF(OR($G530&lt;&gt;"",$I530&lt;&gt;"",$J530&lt;&gt;""),"Open","")))</f>
        <v/>
      </c>
      <c r="N530" s="47" t="n"/>
      <c r="O530">
        <f>IF($B530="","",IF($M530="Closed",IF($N530="","",$N530-$B530),TODAY()-$B530))</f>
        <v/>
      </c>
      <c r="P530">
        <f>IF(OR($B530="",$L530="",$M530="Closed"),"",IF(TODAY()&gt;$L530,"YES","NO"))</f>
        <v/>
      </c>
      <c r="Q530">
        <f>Weekly_Inspections!$AW530</f>
        <v/>
      </c>
    </row>
    <row r="531" ht="15" customHeight="1" s="45">
      <c r="A531">
        <f>IF(Weekly_Inspections!$B531="","",Weekly_Inspections!$A531&amp;"-A1")</f>
        <v/>
      </c>
      <c r="B531" s="47">
        <f>Weekly_Inspections!$B531</f>
        <v/>
      </c>
      <c r="C531">
        <f>Weekly_Inspections!$E531</f>
        <v/>
      </c>
      <c r="D531">
        <f>Weekly_Inspections!$F531</f>
        <v/>
      </c>
      <c r="E531">
        <f>Weekly_Inspections!$H531</f>
        <v/>
      </c>
      <c r="F531">
        <f>IF(Weekly_Inspections!$AX531&lt;&gt;"",Weekly_Inspections!$AX531,IF(Weekly_Inspections!$AY531&lt;&gt;"",Weekly_Inspections!$AY531,IF(Weekly_Inspections!$AZ531&lt;&gt;"",Weekly_Inspections!$AZ531,IF(Weekly_Inspections!$BA531&lt;&gt;"",Weekly_Inspections!$BA531,IF(Weekly_Inspections!$BB531&lt;&gt;"",Weekly_Inspections!$BB531,Weekly_Inspections!$R531)))))</f>
        <v/>
      </c>
      <c r="G531">
        <f>IF(OR(Weekly_Inspections!$AQ531&lt;&gt;"",Weekly_Inspections!$AR531&lt;&gt;"",Weekly_Inspections!$AS531&lt;&gt;""),Weekly_Inspections!$AQ531,"")</f>
        <v/>
      </c>
      <c r="H531">
        <f>Weekly_Inspections!$AP531</f>
        <v/>
      </c>
      <c r="I531">
        <f>Weekly_Inspections!$AR531</f>
        <v/>
      </c>
      <c r="J531">
        <f>Weekly_Inspections!$AS531</f>
        <v/>
      </c>
      <c r="K531">
        <f>Weekly_Inspections!$AU531</f>
        <v/>
      </c>
      <c r="L531" s="47">
        <f>Weekly_Inspections!$AV531</f>
        <v/>
      </c>
      <c r="M531">
        <f>IF($B531="","",IF($N531&lt;&gt;"","Closed",IF(OR($G531&lt;&gt;"",$I531&lt;&gt;"",$J531&lt;&gt;""),"Open","")))</f>
        <v/>
      </c>
      <c r="N531" s="47" t="n"/>
      <c r="O531">
        <f>IF($B531="","",IF($M531="Closed",IF($N531="","",$N531-$B531),TODAY()-$B531))</f>
        <v/>
      </c>
      <c r="P531">
        <f>IF(OR($B531="",$L531="",$M531="Closed"),"",IF(TODAY()&gt;$L531,"YES","NO"))</f>
        <v/>
      </c>
      <c r="Q531">
        <f>Weekly_Inspections!$AW531</f>
        <v/>
      </c>
    </row>
    <row r="532" ht="15" customHeight="1" s="45">
      <c r="A532">
        <f>IF(Weekly_Inspections!$B532="","",Weekly_Inspections!$A532&amp;"-A1")</f>
        <v/>
      </c>
      <c r="B532" s="47">
        <f>Weekly_Inspections!$B532</f>
        <v/>
      </c>
      <c r="C532">
        <f>Weekly_Inspections!$E532</f>
        <v/>
      </c>
      <c r="D532">
        <f>Weekly_Inspections!$F532</f>
        <v/>
      </c>
      <c r="E532">
        <f>Weekly_Inspections!$H532</f>
        <v/>
      </c>
      <c r="F532">
        <f>IF(Weekly_Inspections!$AX532&lt;&gt;"",Weekly_Inspections!$AX532,IF(Weekly_Inspections!$AY532&lt;&gt;"",Weekly_Inspections!$AY532,IF(Weekly_Inspections!$AZ532&lt;&gt;"",Weekly_Inspections!$AZ532,IF(Weekly_Inspections!$BA532&lt;&gt;"",Weekly_Inspections!$BA532,IF(Weekly_Inspections!$BB532&lt;&gt;"",Weekly_Inspections!$BB532,Weekly_Inspections!$R532)))))</f>
        <v/>
      </c>
      <c r="G532">
        <f>IF(OR(Weekly_Inspections!$AQ532&lt;&gt;"",Weekly_Inspections!$AR532&lt;&gt;"",Weekly_Inspections!$AS532&lt;&gt;""),Weekly_Inspections!$AQ532,"")</f>
        <v/>
      </c>
      <c r="H532">
        <f>Weekly_Inspections!$AP532</f>
        <v/>
      </c>
      <c r="I532">
        <f>Weekly_Inspections!$AR532</f>
        <v/>
      </c>
      <c r="J532">
        <f>Weekly_Inspections!$AS532</f>
        <v/>
      </c>
      <c r="K532">
        <f>Weekly_Inspections!$AU532</f>
        <v/>
      </c>
      <c r="L532" s="47">
        <f>Weekly_Inspections!$AV532</f>
        <v/>
      </c>
      <c r="M532">
        <f>IF($B532="","",IF($N532&lt;&gt;"","Closed",IF(OR($G532&lt;&gt;"",$I532&lt;&gt;"",$J532&lt;&gt;""),"Open","")))</f>
        <v/>
      </c>
      <c r="N532" s="47" t="n"/>
      <c r="O532">
        <f>IF($B532="","",IF($M532="Closed",IF($N532="","",$N532-$B532),TODAY()-$B532))</f>
        <v/>
      </c>
      <c r="P532">
        <f>IF(OR($B532="",$L532="",$M532="Closed"),"",IF(TODAY()&gt;$L532,"YES","NO"))</f>
        <v/>
      </c>
      <c r="Q532">
        <f>Weekly_Inspections!$AW532</f>
        <v/>
      </c>
    </row>
    <row r="533" ht="15" customHeight="1" s="45">
      <c r="A533">
        <f>IF(Weekly_Inspections!$B533="","",Weekly_Inspections!$A533&amp;"-A1")</f>
        <v/>
      </c>
      <c r="B533" s="47">
        <f>Weekly_Inspections!$B533</f>
        <v/>
      </c>
      <c r="C533">
        <f>Weekly_Inspections!$E533</f>
        <v/>
      </c>
      <c r="D533">
        <f>Weekly_Inspections!$F533</f>
        <v/>
      </c>
      <c r="E533">
        <f>Weekly_Inspections!$H533</f>
        <v/>
      </c>
      <c r="F533">
        <f>IF(Weekly_Inspections!$AX533&lt;&gt;"",Weekly_Inspections!$AX533,IF(Weekly_Inspections!$AY533&lt;&gt;"",Weekly_Inspections!$AY533,IF(Weekly_Inspections!$AZ533&lt;&gt;"",Weekly_Inspections!$AZ533,IF(Weekly_Inspections!$BA533&lt;&gt;"",Weekly_Inspections!$BA533,IF(Weekly_Inspections!$BB533&lt;&gt;"",Weekly_Inspections!$BB533,Weekly_Inspections!$R533)))))</f>
        <v/>
      </c>
      <c r="G533">
        <f>IF(OR(Weekly_Inspections!$AQ533&lt;&gt;"",Weekly_Inspections!$AR533&lt;&gt;"",Weekly_Inspections!$AS533&lt;&gt;""),Weekly_Inspections!$AQ533,"")</f>
        <v/>
      </c>
      <c r="H533">
        <f>Weekly_Inspections!$AP533</f>
        <v/>
      </c>
      <c r="I533">
        <f>Weekly_Inspections!$AR533</f>
        <v/>
      </c>
      <c r="J533">
        <f>Weekly_Inspections!$AS533</f>
        <v/>
      </c>
      <c r="K533">
        <f>Weekly_Inspections!$AU533</f>
        <v/>
      </c>
      <c r="L533" s="47">
        <f>Weekly_Inspections!$AV533</f>
        <v/>
      </c>
      <c r="M533">
        <f>IF($B533="","",IF($N533&lt;&gt;"","Closed",IF(OR($G533&lt;&gt;"",$I533&lt;&gt;"",$J533&lt;&gt;""),"Open","")))</f>
        <v/>
      </c>
      <c r="N533" s="47" t="n"/>
      <c r="O533">
        <f>IF($B533="","",IF($M533="Closed",IF($N533="","",$N533-$B533),TODAY()-$B533))</f>
        <v/>
      </c>
      <c r="P533">
        <f>IF(OR($B533="",$L533="",$M533="Closed"),"",IF(TODAY()&gt;$L533,"YES","NO"))</f>
        <v/>
      </c>
      <c r="Q533">
        <f>Weekly_Inspections!$AW533</f>
        <v/>
      </c>
    </row>
    <row r="534" ht="15" customHeight="1" s="45">
      <c r="A534">
        <f>IF(Weekly_Inspections!$B534="","",Weekly_Inspections!$A534&amp;"-A1")</f>
        <v/>
      </c>
      <c r="B534" s="47">
        <f>Weekly_Inspections!$B534</f>
        <v/>
      </c>
      <c r="C534">
        <f>Weekly_Inspections!$E534</f>
        <v/>
      </c>
      <c r="D534">
        <f>Weekly_Inspections!$F534</f>
        <v/>
      </c>
      <c r="E534">
        <f>Weekly_Inspections!$H534</f>
        <v/>
      </c>
      <c r="F534">
        <f>IF(Weekly_Inspections!$AX534&lt;&gt;"",Weekly_Inspections!$AX534,IF(Weekly_Inspections!$AY534&lt;&gt;"",Weekly_Inspections!$AY534,IF(Weekly_Inspections!$AZ534&lt;&gt;"",Weekly_Inspections!$AZ534,IF(Weekly_Inspections!$BA534&lt;&gt;"",Weekly_Inspections!$BA534,IF(Weekly_Inspections!$BB534&lt;&gt;"",Weekly_Inspections!$BB534,Weekly_Inspections!$R534)))))</f>
        <v/>
      </c>
      <c r="G534">
        <f>IF(OR(Weekly_Inspections!$AQ534&lt;&gt;"",Weekly_Inspections!$AR534&lt;&gt;"",Weekly_Inspections!$AS534&lt;&gt;""),Weekly_Inspections!$AQ534,"")</f>
        <v/>
      </c>
      <c r="H534">
        <f>Weekly_Inspections!$AP534</f>
        <v/>
      </c>
      <c r="I534">
        <f>Weekly_Inspections!$AR534</f>
        <v/>
      </c>
      <c r="J534">
        <f>Weekly_Inspections!$AS534</f>
        <v/>
      </c>
      <c r="K534">
        <f>Weekly_Inspections!$AU534</f>
        <v/>
      </c>
      <c r="L534" s="47">
        <f>Weekly_Inspections!$AV534</f>
        <v/>
      </c>
      <c r="M534">
        <f>IF($B534="","",IF($N534&lt;&gt;"","Closed",IF(OR($G534&lt;&gt;"",$I534&lt;&gt;"",$J534&lt;&gt;""),"Open","")))</f>
        <v/>
      </c>
      <c r="N534" s="47" t="n"/>
      <c r="O534">
        <f>IF($B534="","",IF($M534="Closed",IF($N534="","",$N534-$B534),TODAY()-$B534))</f>
        <v/>
      </c>
      <c r="P534">
        <f>IF(OR($B534="",$L534="",$M534="Closed"),"",IF(TODAY()&gt;$L534,"YES","NO"))</f>
        <v/>
      </c>
      <c r="Q534">
        <f>Weekly_Inspections!$AW534</f>
        <v/>
      </c>
    </row>
    <row r="535" ht="15" customHeight="1" s="45">
      <c r="A535">
        <f>IF(Weekly_Inspections!$B535="","",Weekly_Inspections!$A535&amp;"-A1")</f>
        <v/>
      </c>
      <c r="B535" s="47">
        <f>Weekly_Inspections!$B535</f>
        <v/>
      </c>
      <c r="C535">
        <f>Weekly_Inspections!$E535</f>
        <v/>
      </c>
      <c r="D535">
        <f>Weekly_Inspections!$F535</f>
        <v/>
      </c>
      <c r="E535">
        <f>Weekly_Inspections!$H535</f>
        <v/>
      </c>
      <c r="F535">
        <f>IF(Weekly_Inspections!$AX535&lt;&gt;"",Weekly_Inspections!$AX535,IF(Weekly_Inspections!$AY535&lt;&gt;"",Weekly_Inspections!$AY535,IF(Weekly_Inspections!$AZ535&lt;&gt;"",Weekly_Inspections!$AZ535,IF(Weekly_Inspections!$BA535&lt;&gt;"",Weekly_Inspections!$BA535,IF(Weekly_Inspections!$BB535&lt;&gt;"",Weekly_Inspections!$BB535,Weekly_Inspections!$R535)))))</f>
        <v/>
      </c>
      <c r="G535">
        <f>IF(OR(Weekly_Inspections!$AQ535&lt;&gt;"",Weekly_Inspections!$AR535&lt;&gt;"",Weekly_Inspections!$AS535&lt;&gt;""),Weekly_Inspections!$AQ535,"")</f>
        <v/>
      </c>
      <c r="H535">
        <f>Weekly_Inspections!$AP535</f>
        <v/>
      </c>
      <c r="I535">
        <f>Weekly_Inspections!$AR535</f>
        <v/>
      </c>
      <c r="J535">
        <f>Weekly_Inspections!$AS535</f>
        <v/>
      </c>
      <c r="K535">
        <f>Weekly_Inspections!$AU535</f>
        <v/>
      </c>
      <c r="L535" s="47">
        <f>Weekly_Inspections!$AV535</f>
        <v/>
      </c>
      <c r="M535">
        <f>IF($B535="","",IF($N535&lt;&gt;"","Closed",IF(OR($G535&lt;&gt;"",$I535&lt;&gt;"",$J535&lt;&gt;""),"Open","")))</f>
        <v/>
      </c>
      <c r="N535" s="47" t="n"/>
      <c r="O535">
        <f>IF($B535="","",IF($M535="Closed",IF($N535="","",$N535-$B535),TODAY()-$B535))</f>
        <v/>
      </c>
      <c r="P535">
        <f>IF(OR($B535="",$L535="",$M535="Closed"),"",IF(TODAY()&gt;$L535,"YES","NO"))</f>
        <v/>
      </c>
      <c r="Q535">
        <f>Weekly_Inspections!$AW535</f>
        <v/>
      </c>
    </row>
    <row r="536" ht="15" customHeight="1" s="45">
      <c r="A536">
        <f>IF(Weekly_Inspections!$B536="","",Weekly_Inspections!$A536&amp;"-A1")</f>
        <v/>
      </c>
      <c r="B536" s="47">
        <f>Weekly_Inspections!$B536</f>
        <v/>
      </c>
      <c r="C536">
        <f>Weekly_Inspections!$E536</f>
        <v/>
      </c>
      <c r="D536">
        <f>Weekly_Inspections!$F536</f>
        <v/>
      </c>
      <c r="E536">
        <f>Weekly_Inspections!$H536</f>
        <v/>
      </c>
      <c r="F536">
        <f>IF(Weekly_Inspections!$AX536&lt;&gt;"",Weekly_Inspections!$AX536,IF(Weekly_Inspections!$AY536&lt;&gt;"",Weekly_Inspections!$AY536,IF(Weekly_Inspections!$AZ536&lt;&gt;"",Weekly_Inspections!$AZ536,IF(Weekly_Inspections!$BA536&lt;&gt;"",Weekly_Inspections!$BA536,IF(Weekly_Inspections!$BB536&lt;&gt;"",Weekly_Inspections!$BB536,Weekly_Inspections!$R536)))))</f>
        <v/>
      </c>
      <c r="G536">
        <f>IF(OR(Weekly_Inspections!$AQ536&lt;&gt;"",Weekly_Inspections!$AR536&lt;&gt;"",Weekly_Inspections!$AS536&lt;&gt;""),Weekly_Inspections!$AQ536,"")</f>
        <v/>
      </c>
      <c r="H536">
        <f>Weekly_Inspections!$AP536</f>
        <v/>
      </c>
      <c r="I536">
        <f>Weekly_Inspections!$AR536</f>
        <v/>
      </c>
      <c r="J536">
        <f>Weekly_Inspections!$AS536</f>
        <v/>
      </c>
      <c r="K536">
        <f>Weekly_Inspections!$AU536</f>
        <v/>
      </c>
      <c r="L536" s="47">
        <f>Weekly_Inspections!$AV536</f>
        <v/>
      </c>
      <c r="M536">
        <f>IF($B536="","",IF($N536&lt;&gt;"","Closed",IF(OR($G536&lt;&gt;"",$I536&lt;&gt;"",$J536&lt;&gt;""),"Open","")))</f>
        <v/>
      </c>
      <c r="N536" s="47" t="n"/>
      <c r="O536">
        <f>IF($B536="","",IF($M536="Closed",IF($N536="","",$N536-$B536),TODAY()-$B536))</f>
        <v/>
      </c>
      <c r="P536">
        <f>IF(OR($B536="",$L536="",$M536="Closed"),"",IF(TODAY()&gt;$L536,"YES","NO"))</f>
        <v/>
      </c>
      <c r="Q536">
        <f>Weekly_Inspections!$AW536</f>
        <v/>
      </c>
    </row>
    <row r="537" ht="15" customHeight="1" s="45">
      <c r="A537">
        <f>IF(Weekly_Inspections!$B537="","",Weekly_Inspections!$A537&amp;"-A1")</f>
        <v/>
      </c>
      <c r="B537" s="47">
        <f>Weekly_Inspections!$B537</f>
        <v/>
      </c>
      <c r="C537">
        <f>Weekly_Inspections!$E537</f>
        <v/>
      </c>
      <c r="D537">
        <f>Weekly_Inspections!$F537</f>
        <v/>
      </c>
      <c r="E537">
        <f>Weekly_Inspections!$H537</f>
        <v/>
      </c>
      <c r="F537">
        <f>IF(Weekly_Inspections!$AX537&lt;&gt;"",Weekly_Inspections!$AX537,IF(Weekly_Inspections!$AY537&lt;&gt;"",Weekly_Inspections!$AY537,IF(Weekly_Inspections!$AZ537&lt;&gt;"",Weekly_Inspections!$AZ537,IF(Weekly_Inspections!$BA537&lt;&gt;"",Weekly_Inspections!$BA537,IF(Weekly_Inspections!$BB537&lt;&gt;"",Weekly_Inspections!$BB537,Weekly_Inspections!$R537)))))</f>
        <v/>
      </c>
      <c r="G537">
        <f>IF(OR(Weekly_Inspections!$AQ537&lt;&gt;"",Weekly_Inspections!$AR537&lt;&gt;"",Weekly_Inspections!$AS537&lt;&gt;""),Weekly_Inspections!$AQ537,"")</f>
        <v/>
      </c>
      <c r="H537">
        <f>Weekly_Inspections!$AP537</f>
        <v/>
      </c>
      <c r="I537">
        <f>Weekly_Inspections!$AR537</f>
        <v/>
      </c>
      <c r="J537">
        <f>Weekly_Inspections!$AS537</f>
        <v/>
      </c>
      <c r="K537">
        <f>Weekly_Inspections!$AU537</f>
        <v/>
      </c>
      <c r="L537" s="47">
        <f>Weekly_Inspections!$AV537</f>
        <v/>
      </c>
      <c r="M537">
        <f>IF($B537="","",IF($N537&lt;&gt;"","Closed",IF(OR($G537&lt;&gt;"",$I537&lt;&gt;"",$J537&lt;&gt;""),"Open","")))</f>
        <v/>
      </c>
      <c r="N537" s="47" t="n"/>
      <c r="O537">
        <f>IF($B537="","",IF($M537="Closed",IF($N537="","",$N537-$B537),TODAY()-$B537))</f>
        <v/>
      </c>
      <c r="P537">
        <f>IF(OR($B537="",$L537="",$M537="Closed"),"",IF(TODAY()&gt;$L537,"YES","NO"))</f>
        <v/>
      </c>
      <c r="Q537">
        <f>Weekly_Inspections!$AW537</f>
        <v/>
      </c>
    </row>
    <row r="538" ht="15" customHeight="1" s="45">
      <c r="A538">
        <f>IF(Weekly_Inspections!$B538="","",Weekly_Inspections!$A538&amp;"-A1")</f>
        <v/>
      </c>
      <c r="B538" s="47">
        <f>Weekly_Inspections!$B538</f>
        <v/>
      </c>
      <c r="C538">
        <f>Weekly_Inspections!$E538</f>
        <v/>
      </c>
      <c r="D538">
        <f>Weekly_Inspections!$F538</f>
        <v/>
      </c>
      <c r="E538">
        <f>Weekly_Inspections!$H538</f>
        <v/>
      </c>
      <c r="F538">
        <f>IF(Weekly_Inspections!$AX538&lt;&gt;"",Weekly_Inspections!$AX538,IF(Weekly_Inspections!$AY538&lt;&gt;"",Weekly_Inspections!$AY538,IF(Weekly_Inspections!$AZ538&lt;&gt;"",Weekly_Inspections!$AZ538,IF(Weekly_Inspections!$BA538&lt;&gt;"",Weekly_Inspections!$BA538,IF(Weekly_Inspections!$BB538&lt;&gt;"",Weekly_Inspections!$BB538,Weekly_Inspections!$R538)))))</f>
        <v/>
      </c>
      <c r="G538">
        <f>IF(OR(Weekly_Inspections!$AQ538&lt;&gt;"",Weekly_Inspections!$AR538&lt;&gt;"",Weekly_Inspections!$AS538&lt;&gt;""),Weekly_Inspections!$AQ538,"")</f>
        <v/>
      </c>
      <c r="H538">
        <f>Weekly_Inspections!$AP538</f>
        <v/>
      </c>
      <c r="I538">
        <f>Weekly_Inspections!$AR538</f>
        <v/>
      </c>
      <c r="J538">
        <f>Weekly_Inspections!$AS538</f>
        <v/>
      </c>
      <c r="K538">
        <f>Weekly_Inspections!$AU538</f>
        <v/>
      </c>
      <c r="L538" s="47">
        <f>Weekly_Inspections!$AV538</f>
        <v/>
      </c>
      <c r="M538">
        <f>IF($B538="","",IF($N538&lt;&gt;"","Closed",IF(OR($G538&lt;&gt;"",$I538&lt;&gt;"",$J538&lt;&gt;""),"Open","")))</f>
        <v/>
      </c>
      <c r="N538" s="47" t="n"/>
      <c r="O538">
        <f>IF($B538="","",IF($M538="Closed",IF($N538="","",$N538-$B538),TODAY()-$B538))</f>
        <v/>
      </c>
      <c r="P538">
        <f>IF(OR($B538="",$L538="",$M538="Closed"),"",IF(TODAY()&gt;$L538,"YES","NO"))</f>
        <v/>
      </c>
      <c r="Q538">
        <f>Weekly_Inspections!$AW538</f>
        <v/>
      </c>
    </row>
    <row r="539" ht="15" customHeight="1" s="45">
      <c r="A539">
        <f>IF(Weekly_Inspections!$B539="","",Weekly_Inspections!$A539&amp;"-A1")</f>
        <v/>
      </c>
      <c r="B539" s="47">
        <f>Weekly_Inspections!$B539</f>
        <v/>
      </c>
      <c r="C539">
        <f>Weekly_Inspections!$E539</f>
        <v/>
      </c>
      <c r="D539">
        <f>Weekly_Inspections!$F539</f>
        <v/>
      </c>
      <c r="E539">
        <f>Weekly_Inspections!$H539</f>
        <v/>
      </c>
      <c r="F539">
        <f>IF(Weekly_Inspections!$AX539&lt;&gt;"",Weekly_Inspections!$AX539,IF(Weekly_Inspections!$AY539&lt;&gt;"",Weekly_Inspections!$AY539,IF(Weekly_Inspections!$AZ539&lt;&gt;"",Weekly_Inspections!$AZ539,IF(Weekly_Inspections!$BA539&lt;&gt;"",Weekly_Inspections!$BA539,IF(Weekly_Inspections!$BB539&lt;&gt;"",Weekly_Inspections!$BB539,Weekly_Inspections!$R539)))))</f>
        <v/>
      </c>
      <c r="G539">
        <f>IF(OR(Weekly_Inspections!$AQ539&lt;&gt;"",Weekly_Inspections!$AR539&lt;&gt;"",Weekly_Inspections!$AS539&lt;&gt;""),Weekly_Inspections!$AQ539,"")</f>
        <v/>
      </c>
      <c r="H539">
        <f>Weekly_Inspections!$AP539</f>
        <v/>
      </c>
      <c r="I539">
        <f>Weekly_Inspections!$AR539</f>
        <v/>
      </c>
      <c r="J539">
        <f>Weekly_Inspections!$AS539</f>
        <v/>
      </c>
      <c r="K539">
        <f>Weekly_Inspections!$AU539</f>
        <v/>
      </c>
      <c r="L539" s="47">
        <f>Weekly_Inspections!$AV539</f>
        <v/>
      </c>
      <c r="M539">
        <f>IF($B539="","",IF($N539&lt;&gt;"","Closed",IF(OR($G539&lt;&gt;"",$I539&lt;&gt;"",$J539&lt;&gt;""),"Open","")))</f>
        <v/>
      </c>
      <c r="N539" s="47" t="n"/>
      <c r="O539">
        <f>IF($B539="","",IF($M539="Closed",IF($N539="","",$N539-$B539),TODAY()-$B539))</f>
        <v/>
      </c>
      <c r="P539">
        <f>IF(OR($B539="",$L539="",$M539="Closed"),"",IF(TODAY()&gt;$L539,"YES","NO"))</f>
        <v/>
      </c>
      <c r="Q539">
        <f>Weekly_Inspections!$AW539</f>
        <v/>
      </c>
    </row>
    <row r="540" ht="15" customHeight="1" s="45">
      <c r="A540">
        <f>IF(Weekly_Inspections!$B540="","",Weekly_Inspections!$A540&amp;"-A1")</f>
        <v/>
      </c>
      <c r="B540" s="47">
        <f>Weekly_Inspections!$B540</f>
        <v/>
      </c>
      <c r="C540">
        <f>Weekly_Inspections!$E540</f>
        <v/>
      </c>
      <c r="D540">
        <f>Weekly_Inspections!$F540</f>
        <v/>
      </c>
      <c r="E540">
        <f>Weekly_Inspections!$H540</f>
        <v/>
      </c>
      <c r="F540">
        <f>IF(Weekly_Inspections!$AX540&lt;&gt;"",Weekly_Inspections!$AX540,IF(Weekly_Inspections!$AY540&lt;&gt;"",Weekly_Inspections!$AY540,IF(Weekly_Inspections!$AZ540&lt;&gt;"",Weekly_Inspections!$AZ540,IF(Weekly_Inspections!$BA540&lt;&gt;"",Weekly_Inspections!$BA540,IF(Weekly_Inspections!$BB540&lt;&gt;"",Weekly_Inspections!$BB540,Weekly_Inspections!$R540)))))</f>
        <v/>
      </c>
      <c r="G540">
        <f>IF(OR(Weekly_Inspections!$AQ540&lt;&gt;"",Weekly_Inspections!$AR540&lt;&gt;"",Weekly_Inspections!$AS540&lt;&gt;""),Weekly_Inspections!$AQ540,"")</f>
        <v/>
      </c>
      <c r="H540">
        <f>Weekly_Inspections!$AP540</f>
        <v/>
      </c>
      <c r="I540">
        <f>Weekly_Inspections!$AR540</f>
        <v/>
      </c>
      <c r="J540">
        <f>Weekly_Inspections!$AS540</f>
        <v/>
      </c>
      <c r="K540">
        <f>Weekly_Inspections!$AU540</f>
        <v/>
      </c>
      <c r="L540" s="47">
        <f>Weekly_Inspections!$AV540</f>
        <v/>
      </c>
      <c r="M540">
        <f>IF($B540="","",IF($N540&lt;&gt;"","Closed",IF(OR($G540&lt;&gt;"",$I540&lt;&gt;"",$J540&lt;&gt;""),"Open","")))</f>
        <v/>
      </c>
      <c r="N540" s="47" t="n"/>
      <c r="O540">
        <f>IF($B540="","",IF($M540="Closed",IF($N540="","",$N540-$B540),TODAY()-$B540))</f>
        <v/>
      </c>
      <c r="P540">
        <f>IF(OR($B540="",$L540="",$M540="Closed"),"",IF(TODAY()&gt;$L540,"YES","NO"))</f>
        <v/>
      </c>
      <c r="Q540">
        <f>Weekly_Inspections!$AW540</f>
        <v/>
      </c>
    </row>
    <row r="541" ht="15" customHeight="1" s="45">
      <c r="A541">
        <f>IF(Weekly_Inspections!$B541="","",Weekly_Inspections!$A541&amp;"-A1")</f>
        <v/>
      </c>
      <c r="B541" s="47">
        <f>Weekly_Inspections!$B541</f>
        <v/>
      </c>
      <c r="C541">
        <f>Weekly_Inspections!$E541</f>
        <v/>
      </c>
      <c r="D541">
        <f>Weekly_Inspections!$F541</f>
        <v/>
      </c>
      <c r="E541">
        <f>Weekly_Inspections!$H541</f>
        <v/>
      </c>
      <c r="F541">
        <f>IF(Weekly_Inspections!$AX541&lt;&gt;"",Weekly_Inspections!$AX541,IF(Weekly_Inspections!$AY541&lt;&gt;"",Weekly_Inspections!$AY541,IF(Weekly_Inspections!$AZ541&lt;&gt;"",Weekly_Inspections!$AZ541,IF(Weekly_Inspections!$BA541&lt;&gt;"",Weekly_Inspections!$BA541,IF(Weekly_Inspections!$BB541&lt;&gt;"",Weekly_Inspections!$BB541,Weekly_Inspections!$R541)))))</f>
        <v/>
      </c>
      <c r="G541">
        <f>IF(OR(Weekly_Inspections!$AQ541&lt;&gt;"",Weekly_Inspections!$AR541&lt;&gt;"",Weekly_Inspections!$AS541&lt;&gt;""),Weekly_Inspections!$AQ541,"")</f>
        <v/>
      </c>
      <c r="H541">
        <f>Weekly_Inspections!$AP541</f>
        <v/>
      </c>
      <c r="I541">
        <f>Weekly_Inspections!$AR541</f>
        <v/>
      </c>
      <c r="J541">
        <f>Weekly_Inspections!$AS541</f>
        <v/>
      </c>
      <c r="K541">
        <f>Weekly_Inspections!$AU541</f>
        <v/>
      </c>
      <c r="L541" s="47">
        <f>Weekly_Inspections!$AV541</f>
        <v/>
      </c>
      <c r="M541">
        <f>IF($B541="","",IF($N541&lt;&gt;"","Closed",IF(OR($G541&lt;&gt;"",$I541&lt;&gt;"",$J541&lt;&gt;""),"Open","")))</f>
        <v/>
      </c>
      <c r="N541" s="47" t="n"/>
      <c r="O541">
        <f>IF($B541="","",IF($M541="Closed",IF($N541="","",$N541-$B541),TODAY()-$B541))</f>
        <v/>
      </c>
      <c r="P541">
        <f>IF(OR($B541="",$L541="",$M541="Closed"),"",IF(TODAY()&gt;$L541,"YES","NO"))</f>
        <v/>
      </c>
      <c r="Q541">
        <f>Weekly_Inspections!$AW541</f>
        <v/>
      </c>
    </row>
    <row r="542" ht="15" customHeight="1" s="45">
      <c r="A542">
        <f>IF(Weekly_Inspections!$B542="","",Weekly_Inspections!$A542&amp;"-A1")</f>
        <v/>
      </c>
      <c r="B542" s="47">
        <f>Weekly_Inspections!$B542</f>
        <v/>
      </c>
      <c r="C542">
        <f>Weekly_Inspections!$E542</f>
        <v/>
      </c>
      <c r="D542">
        <f>Weekly_Inspections!$F542</f>
        <v/>
      </c>
      <c r="E542">
        <f>Weekly_Inspections!$H542</f>
        <v/>
      </c>
      <c r="F542">
        <f>IF(Weekly_Inspections!$AX542&lt;&gt;"",Weekly_Inspections!$AX542,IF(Weekly_Inspections!$AY542&lt;&gt;"",Weekly_Inspections!$AY542,IF(Weekly_Inspections!$AZ542&lt;&gt;"",Weekly_Inspections!$AZ542,IF(Weekly_Inspections!$BA542&lt;&gt;"",Weekly_Inspections!$BA542,IF(Weekly_Inspections!$BB542&lt;&gt;"",Weekly_Inspections!$BB542,Weekly_Inspections!$R542)))))</f>
        <v/>
      </c>
      <c r="G542">
        <f>IF(OR(Weekly_Inspections!$AQ542&lt;&gt;"",Weekly_Inspections!$AR542&lt;&gt;"",Weekly_Inspections!$AS542&lt;&gt;""),Weekly_Inspections!$AQ542,"")</f>
        <v/>
      </c>
      <c r="H542">
        <f>Weekly_Inspections!$AP542</f>
        <v/>
      </c>
      <c r="I542">
        <f>Weekly_Inspections!$AR542</f>
        <v/>
      </c>
      <c r="J542">
        <f>Weekly_Inspections!$AS542</f>
        <v/>
      </c>
      <c r="K542">
        <f>Weekly_Inspections!$AU542</f>
        <v/>
      </c>
      <c r="L542" s="47">
        <f>Weekly_Inspections!$AV542</f>
        <v/>
      </c>
      <c r="M542">
        <f>IF($B542="","",IF($N542&lt;&gt;"","Closed",IF(OR($G542&lt;&gt;"",$I542&lt;&gt;"",$J542&lt;&gt;""),"Open","")))</f>
        <v/>
      </c>
      <c r="N542" s="47" t="n"/>
      <c r="O542">
        <f>IF($B542="","",IF($M542="Closed",IF($N542="","",$N542-$B542),TODAY()-$B542))</f>
        <v/>
      </c>
      <c r="P542">
        <f>IF(OR($B542="",$L542="",$M542="Closed"),"",IF(TODAY()&gt;$L542,"YES","NO"))</f>
        <v/>
      </c>
      <c r="Q542">
        <f>Weekly_Inspections!$AW542</f>
        <v/>
      </c>
    </row>
    <row r="543" ht="15" customHeight="1" s="45">
      <c r="A543">
        <f>IF(Weekly_Inspections!$B543="","",Weekly_Inspections!$A543&amp;"-A1")</f>
        <v/>
      </c>
      <c r="B543" s="47">
        <f>Weekly_Inspections!$B543</f>
        <v/>
      </c>
      <c r="C543">
        <f>Weekly_Inspections!$E543</f>
        <v/>
      </c>
      <c r="D543">
        <f>Weekly_Inspections!$F543</f>
        <v/>
      </c>
      <c r="E543">
        <f>Weekly_Inspections!$H543</f>
        <v/>
      </c>
      <c r="F543">
        <f>IF(Weekly_Inspections!$AX543&lt;&gt;"",Weekly_Inspections!$AX543,IF(Weekly_Inspections!$AY543&lt;&gt;"",Weekly_Inspections!$AY543,IF(Weekly_Inspections!$AZ543&lt;&gt;"",Weekly_Inspections!$AZ543,IF(Weekly_Inspections!$BA543&lt;&gt;"",Weekly_Inspections!$BA543,IF(Weekly_Inspections!$BB543&lt;&gt;"",Weekly_Inspections!$BB543,Weekly_Inspections!$R543)))))</f>
        <v/>
      </c>
      <c r="G543">
        <f>IF(OR(Weekly_Inspections!$AQ543&lt;&gt;"",Weekly_Inspections!$AR543&lt;&gt;"",Weekly_Inspections!$AS543&lt;&gt;""),Weekly_Inspections!$AQ543,"")</f>
        <v/>
      </c>
      <c r="H543">
        <f>Weekly_Inspections!$AP543</f>
        <v/>
      </c>
      <c r="I543">
        <f>Weekly_Inspections!$AR543</f>
        <v/>
      </c>
      <c r="J543">
        <f>Weekly_Inspections!$AS543</f>
        <v/>
      </c>
      <c r="K543">
        <f>Weekly_Inspections!$AU543</f>
        <v/>
      </c>
      <c r="L543" s="47">
        <f>Weekly_Inspections!$AV543</f>
        <v/>
      </c>
      <c r="M543">
        <f>IF($B543="","",IF($N543&lt;&gt;"","Closed",IF(OR($G543&lt;&gt;"",$I543&lt;&gt;"",$J543&lt;&gt;""),"Open","")))</f>
        <v/>
      </c>
      <c r="N543" s="47" t="n"/>
      <c r="O543">
        <f>IF($B543="","",IF($M543="Closed",IF($N543="","",$N543-$B543),TODAY()-$B543))</f>
        <v/>
      </c>
      <c r="P543">
        <f>IF(OR($B543="",$L543="",$M543="Closed"),"",IF(TODAY()&gt;$L543,"YES","NO"))</f>
        <v/>
      </c>
      <c r="Q543">
        <f>Weekly_Inspections!$AW543</f>
        <v/>
      </c>
    </row>
    <row r="544" ht="15" customHeight="1" s="45">
      <c r="A544">
        <f>IF(Weekly_Inspections!$B544="","",Weekly_Inspections!$A544&amp;"-A1")</f>
        <v/>
      </c>
      <c r="B544" s="47">
        <f>Weekly_Inspections!$B544</f>
        <v/>
      </c>
      <c r="C544">
        <f>Weekly_Inspections!$E544</f>
        <v/>
      </c>
      <c r="D544">
        <f>Weekly_Inspections!$F544</f>
        <v/>
      </c>
      <c r="E544">
        <f>Weekly_Inspections!$H544</f>
        <v/>
      </c>
      <c r="F544">
        <f>IF(Weekly_Inspections!$AX544&lt;&gt;"",Weekly_Inspections!$AX544,IF(Weekly_Inspections!$AY544&lt;&gt;"",Weekly_Inspections!$AY544,IF(Weekly_Inspections!$AZ544&lt;&gt;"",Weekly_Inspections!$AZ544,IF(Weekly_Inspections!$BA544&lt;&gt;"",Weekly_Inspections!$BA544,IF(Weekly_Inspections!$BB544&lt;&gt;"",Weekly_Inspections!$BB544,Weekly_Inspections!$R544)))))</f>
        <v/>
      </c>
      <c r="G544">
        <f>IF(OR(Weekly_Inspections!$AQ544&lt;&gt;"",Weekly_Inspections!$AR544&lt;&gt;"",Weekly_Inspections!$AS544&lt;&gt;""),Weekly_Inspections!$AQ544,"")</f>
        <v/>
      </c>
      <c r="H544">
        <f>Weekly_Inspections!$AP544</f>
        <v/>
      </c>
      <c r="I544">
        <f>Weekly_Inspections!$AR544</f>
        <v/>
      </c>
      <c r="J544">
        <f>Weekly_Inspections!$AS544</f>
        <v/>
      </c>
      <c r="K544">
        <f>Weekly_Inspections!$AU544</f>
        <v/>
      </c>
      <c r="L544" s="47">
        <f>Weekly_Inspections!$AV544</f>
        <v/>
      </c>
      <c r="M544">
        <f>IF($B544="","",IF($N544&lt;&gt;"","Closed",IF(OR($G544&lt;&gt;"",$I544&lt;&gt;"",$J544&lt;&gt;""),"Open","")))</f>
        <v/>
      </c>
      <c r="N544" s="47" t="n"/>
      <c r="O544">
        <f>IF($B544="","",IF($M544="Closed",IF($N544="","",$N544-$B544),TODAY()-$B544))</f>
        <v/>
      </c>
      <c r="P544">
        <f>IF(OR($B544="",$L544="",$M544="Closed"),"",IF(TODAY()&gt;$L544,"YES","NO"))</f>
        <v/>
      </c>
      <c r="Q544">
        <f>Weekly_Inspections!$AW544</f>
        <v/>
      </c>
    </row>
    <row r="545" ht="15" customHeight="1" s="45">
      <c r="A545">
        <f>IF(Weekly_Inspections!$B545="","",Weekly_Inspections!$A545&amp;"-A1")</f>
        <v/>
      </c>
      <c r="B545" s="47">
        <f>Weekly_Inspections!$B545</f>
        <v/>
      </c>
      <c r="C545">
        <f>Weekly_Inspections!$E545</f>
        <v/>
      </c>
      <c r="D545">
        <f>Weekly_Inspections!$F545</f>
        <v/>
      </c>
      <c r="E545">
        <f>Weekly_Inspections!$H545</f>
        <v/>
      </c>
      <c r="F545">
        <f>IF(Weekly_Inspections!$AX545&lt;&gt;"",Weekly_Inspections!$AX545,IF(Weekly_Inspections!$AY545&lt;&gt;"",Weekly_Inspections!$AY545,IF(Weekly_Inspections!$AZ545&lt;&gt;"",Weekly_Inspections!$AZ545,IF(Weekly_Inspections!$BA545&lt;&gt;"",Weekly_Inspections!$BA545,IF(Weekly_Inspections!$BB545&lt;&gt;"",Weekly_Inspections!$BB545,Weekly_Inspections!$R545)))))</f>
        <v/>
      </c>
      <c r="G545">
        <f>IF(OR(Weekly_Inspections!$AQ545&lt;&gt;"",Weekly_Inspections!$AR545&lt;&gt;"",Weekly_Inspections!$AS545&lt;&gt;""),Weekly_Inspections!$AQ545,"")</f>
        <v/>
      </c>
      <c r="H545">
        <f>Weekly_Inspections!$AP545</f>
        <v/>
      </c>
      <c r="I545">
        <f>Weekly_Inspections!$AR545</f>
        <v/>
      </c>
      <c r="J545">
        <f>Weekly_Inspections!$AS545</f>
        <v/>
      </c>
      <c r="K545">
        <f>Weekly_Inspections!$AU545</f>
        <v/>
      </c>
      <c r="L545" s="47">
        <f>Weekly_Inspections!$AV545</f>
        <v/>
      </c>
      <c r="M545">
        <f>IF($B545="","",IF($N545&lt;&gt;"","Closed",IF(OR($G545&lt;&gt;"",$I545&lt;&gt;"",$J545&lt;&gt;""),"Open","")))</f>
        <v/>
      </c>
      <c r="N545" s="47" t="n"/>
      <c r="O545">
        <f>IF($B545="","",IF($M545="Closed",IF($N545="","",$N545-$B545),TODAY()-$B545))</f>
        <v/>
      </c>
      <c r="P545">
        <f>IF(OR($B545="",$L545="",$M545="Closed"),"",IF(TODAY()&gt;$L545,"YES","NO"))</f>
        <v/>
      </c>
      <c r="Q545">
        <f>Weekly_Inspections!$AW545</f>
        <v/>
      </c>
    </row>
    <row r="546" ht="15" customHeight="1" s="45">
      <c r="A546">
        <f>IF(Weekly_Inspections!$B546="","",Weekly_Inspections!$A546&amp;"-A1")</f>
        <v/>
      </c>
      <c r="B546" s="47">
        <f>Weekly_Inspections!$B546</f>
        <v/>
      </c>
      <c r="C546">
        <f>Weekly_Inspections!$E546</f>
        <v/>
      </c>
      <c r="D546">
        <f>Weekly_Inspections!$F546</f>
        <v/>
      </c>
      <c r="E546">
        <f>Weekly_Inspections!$H546</f>
        <v/>
      </c>
      <c r="F546">
        <f>IF(Weekly_Inspections!$AX546&lt;&gt;"",Weekly_Inspections!$AX546,IF(Weekly_Inspections!$AY546&lt;&gt;"",Weekly_Inspections!$AY546,IF(Weekly_Inspections!$AZ546&lt;&gt;"",Weekly_Inspections!$AZ546,IF(Weekly_Inspections!$BA546&lt;&gt;"",Weekly_Inspections!$BA546,IF(Weekly_Inspections!$BB546&lt;&gt;"",Weekly_Inspections!$BB546,Weekly_Inspections!$R546)))))</f>
        <v/>
      </c>
      <c r="G546">
        <f>IF(OR(Weekly_Inspections!$AQ546&lt;&gt;"",Weekly_Inspections!$AR546&lt;&gt;"",Weekly_Inspections!$AS546&lt;&gt;""),Weekly_Inspections!$AQ546,"")</f>
        <v/>
      </c>
      <c r="H546">
        <f>Weekly_Inspections!$AP546</f>
        <v/>
      </c>
      <c r="I546">
        <f>Weekly_Inspections!$AR546</f>
        <v/>
      </c>
      <c r="J546">
        <f>Weekly_Inspections!$AS546</f>
        <v/>
      </c>
      <c r="K546">
        <f>Weekly_Inspections!$AU546</f>
        <v/>
      </c>
      <c r="L546" s="47">
        <f>Weekly_Inspections!$AV546</f>
        <v/>
      </c>
      <c r="M546">
        <f>IF($B546="","",IF($N546&lt;&gt;"","Closed",IF(OR($G546&lt;&gt;"",$I546&lt;&gt;"",$J546&lt;&gt;""),"Open","")))</f>
        <v/>
      </c>
      <c r="N546" s="47" t="n"/>
      <c r="O546">
        <f>IF($B546="","",IF($M546="Closed",IF($N546="","",$N546-$B546),TODAY()-$B546))</f>
        <v/>
      </c>
      <c r="P546">
        <f>IF(OR($B546="",$L546="",$M546="Closed"),"",IF(TODAY()&gt;$L546,"YES","NO"))</f>
        <v/>
      </c>
      <c r="Q546">
        <f>Weekly_Inspections!$AW546</f>
        <v/>
      </c>
    </row>
    <row r="547" ht="15" customHeight="1" s="45">
      <c r="A547">
        <f>IF(Weekly_Inspections!$B547="","",Weekly_Inspections!$A547&amp;"-A1")</f>
        <v/>
      </c>
      <c r="B547" s="47">
        <f>Weekly_Inspections!$B547</f>
        <v/>
      </c>
      <c r="C547">
        <f>Weekly_Inspections!$E547</f>
        <v/>
      </c>
      <c r="D547">
        <f>Weekly_Inspections!$F547</f>
        <v/>
      </c>
      <c r="E547">
        <f>Weekly_Inspections!$H547</f>
        <v/>
      </c>
      <c r="F547">
        <f>IF(Weekly_Inspections!$AX547&lt;&gt;"",Weekly_Inspections!$AX547,IF(Weekly_Inspections!$AY547&lt;&gt;"",Weekly_Inspections!$AY547,IF(Weekly_Inspections!$AZ547&lt;&gt;"",Weekly_Inspections!$AZ547,IF(Weekly_Inspections!$BA547&lt;&gt;"",Weekly_Inspections!$BA547,IF(Weekly_Inspections!$BB547&lt;&gt;"",Weekly_Inspections!$BB547,Weekly_Inspections!$R547)))))</f>
        <v/>
      </c>
      <c r="G547">
        <f>IF(OR(Weekly_Inspections!$AQ547&lt;&gt;"",Weekly_Inspections!$AR547&lt;&gt;"",Weekly_Inspections!$AS547&lt;&gt;""),Weekly_Inspections!$AQ547,"")</f>
        <v/>
      </c>
      <c r="H547">
        <f>Weekly_Inspections!$AP547</f>
        <v/>
      </c>
      <c r="I547">
        <f>Weekly_Inspections!$AR547</f>
        <v/>
      </c>
      <c r="J547">
        <f>Weekly_Inspections!$AS547</f>
        <v/>
      </c>
      <c r="K547">
        <f>Weekly_Inspections!$AU547</f>
        <v/>
      </c>
      <c r="L547" s="47">
        <f>Weekly_Inspections!$AV547</f>
        <v/>
      </c>
      <c r="M547">
        <f>IF($B547="","",IF($N547&lt;&gt;"","Closed",IF(OR($G547&lt;&gt;"",$I547&lt;&gt;"",$J547&lt;&gt;""),"Open","")))</f>
        <v/>
      </c>
      <c r="N547" s="47" t="n"/>
      <c r="O547">
        <f>IF($B547="","",IF($M547="Closed",IF($N547="","",$N547-$B547),TODAY()-$B547))</f>
        <v/>
      </c>
      <c r="P547">
        <f>IF(OR($B547="",$L547="",$M547="Closed"),"",IF(TODAY()&gt;$L547,"YES","NO"))</f>
        <v/>
      </c>
      <c r="Q547">
        <f>Weekly_Inspections!$AW547</f>
        <v/>
      </c>
    </row>
    <row r="548" ht="15" customHeight="1" s="45">
      <c r="A548">
        <f>IF(Weekly_Inspections!$B548="","",Weekly_Inspections!$A548&amp;"-A1")</f>
        <v/>
      </c>
      <c r="B548" s="47">
        <f>Weekly_Inspections!$B548</f>
        <v/>
      </c>
      <c r="C548">
        <f>Weekly_Inspections!$E548</f>
        <v/>
      </c>
      <c r="D548">
        <f>Weekly_Inspections!$F548</f>
        <v/>
      </c>
      <c r="E548">
        <f>Weekly_Inspections!$H548</f>
        <v/>
      </c>
      <c r="F548">
        <f>IF(Weekly_Inspections!$AX548&lt;&gt;"",Weekly_Inspections!$AX548,IF(Weekly_Inspections!$AY548&lt;&gt;"",Weekly_Inspections!$AY548,IF(Weekly_Inspections!$AZ548&lt;&gt;"",Weekly_Inspections!$AZ548,IF(Weekly_Inspections!$BA548&lt;&gt;"",Weekly_Inspections!$BA548,IF(Weekly_Inspections!$BB548&lt;&gt;"",Weekly_Inspections!$BB548,Weekly_Inspections!$R548)))))</f>
        <v/>
      </c>
      <c r="G548">
        <f>IF(OR(Weekly_Inspections!$AQ548&lt;&gt;"",Weekly_Inspections!$AR548&lt;&gt;"",Weekly_Inspections!$AS548&lt;&gt;""),Weekly_Inspections!$AQ548,"")</f>
        <v/>
      </c>
      <c r="H548">
        <f>Weekly_Inspections!$AP548</f>
        <v/>
      </c>
      <c r="I548">
        <f>Weekly_Inspections!$AR548</f>
        <v/>
      </c>
      <c r="J548">
        <f>Weekly_Inspections!$AS548</f>
        <v/>
      </c>
      <c r="K548">
        <f>Weekly_Inspections!$AU548</f>
        <v/>
      </c>
      <c r="L548" s="47">
        <f>Weekly_Inspections!$AV548</f>
        <v/>
      </c>
      <c r="M548">
        <f>IF($B548="","",IF($N548&lt;&gt;"","Closed",IF(OR($G548&lt;&gt;"",$I548&lt;&gt;"",$J548&lt;&gt;""),"Open","")))</f>
        <v/>
      </c>
      <c r="N548" s="47" t="n"/>
      <c r="O548">
        <f>IF($B548="","",IF($M548="Closed",IF($N548="","",$N548-$B548),TODAY()-$B548))</f>
        <v/>
      </c>
      <c r="P548">
        <f>IF(OR($B548="",$L548="",$M548="Closed"),"",IF(TODAY()&gt;$L548,"YES","NO"))</f>
        <v/>
      </c>
      <c r="Q548">
        <f>Weekly_Inspections!$AW548</f>
        <v/>
      </c>
    </row>
    <row r="549" ht="15" customHeight="1" s="45">
      <c r="A549">
        <f>IF(Weekly_Inspections!$B549="","",Weekly_Inspections!$A549&amp;"-A1")</f>
        <v/>
      </c>
      <c r="B549" s="47">
        <f>Weekly_Inspections!$B549</f>
        <v/>
      </c>
      <c r="C549">
        <f>Weekly_Inspections!$E549</f>
        <v/>
      </c>
      <c r="D549">
        <f>Weekly_Inspections!$F549</f>
        <v/>
      </c>
      <c r="E549">
        <f>Weekly_Inspections!$H549</f>
        <v/>
      </c>
      <c r="F549">
        <f>IF(Weekly_Inspections!$AX549&lt;&gt;"",Weekly_Inspections!$AX549,IF(Weekly_Inspections!$AY549&lt;&gt;"",Weekly_Inspections!$AY549,IF(Weekly_Inspections!$AZ549&lt;&gt;"",Weekly_Inspections!$AZ549,IF(Weekly_Inspections!$BA549&lt;&gt;"",Weekly_Inspections!$BA549,IF(Weekly_Inspections!$BB549&lt;&gt;"",Weekly_Inspections!$BB549,Weekly_Inspections!$R549)))))</f>
        <v/>
      </c>
      <c r="G549">
        <f>IF(OR(Weekly_Inspections!$AQ549&lt;&gt;"",Weekly_Inspections!$AR549&lt;&gt;"",Weekly_Inspections!$AS549&lt;&gt;""),Weekly_Inspections!$AQ549,"")</f>
        <v/>
      </c>
      <c r="H549">
        <f>Weekly_Inspections!$AP549</f>
        <v/>
      </c>
      <c r="I549">
        <f>Weekly_Inspections!$AR549</f>
        <v/>
      </c>
      <c r="J549">
        <f>Weekly_Inspections!$AS549</f>
        <v/>
      </c>
      <c r="K549">
        <f>Weekly_Inspections!$AU549</f>
        <v/>
      </c>
      <c r="L549" s="47">
        <f>Weekly_Inspections!$AV549</f>
        <v/>
      </c>
      <c r="M549">
        <f>IF($B549="","",IF($N549&lt;&gt;"","Closed",IF(OR($G549&lt;&gt;"",$I549&lt;&gt;"",$J549&lt;&gt;""),"Open","")))</f>
        <v/>
      </c>
      <c r="N549" s="47" t="n"/>
      <c r="O549">
        <f>IF($B549="","",IF($M549="Closed",IF($N549="","",$N549-$B549),TODAY()-$B549))</f>
        <v/>
      </c>
      <c r="P549">
        <f>IF(OR($B549="",$L549="",$M549="Closed"),"",IF(TODAY()&gt;$L549,"YES","NO"))</f>
        <v/>
      </c>
      <c r="Q549">
        <f>Weekly_Inspections!$AW549</f>
        <v/>
      </c>
    </row>
    <row r="550" ht="15" customHeight="1" s="45">
      <c r="A550">
        <f>IF(Weekly_Inspections!$B550="","",Weekly_Inspections!$A550&amp;"-A1")</f>
        <v/>
      </c>
      <c r="B550" s="47">
        <f>Weekly_Inspections!$B550</f>
        <v/>
      </c>
      <c r="C550">
        <f>Weekly_Inspections!$E550</f>
        <v/>
      </c>
      <c r="D550">
        <f>Weekly_Inspections!$F550</f>
        <v/>
      </c>
      <c r="E550">
        <f>Weekly_Inspections!$H550</f>
        <v/>
      </c>
      <c r="F550">
        <f>IF(Weekly_Inspections!$AX550&lt;&gt;"",Weekly_Inspections!$AX550,IF(Weekly_Inspections!$AY550&lt;&gt;"",Weekly_Inspections!$AY550,IF(Weekly_Inspections!$AZ550&lt;&gt;"",Weekly_Inspections!$AZ550,IF(Weekly_Inspections!$BA550&lt;&gt;"",Weekly_Inspections!$BA550,IF(Weekly_Inspections!$BB550&lt;&gt;"",Weekly_Inspections!$BB550,Weekly_Inspections!$R550)))))</f>
        <v/>
      </c>
      <c r="G550">
        <f>IF(OR(Weekly_Inspections!$AQ550&lt;&gt;"",Weekly_Inspections!$AR550&lt;&gt;"",Weekly_Inspections!$AS550&lt;&gt;""),Weekly_Inspections!$AQ550,"")</f>
        <v/>
      </c>
      <c r="H550">
        <f>Weekly_Inspections!$AP550</f>
        <v/>
      </c>
      <c r="I550">
        <f>Weekly_Inspections!$AR550</f>
        <v/>
      </c>
      <c r="J550">
        <f>Weekly_Inspections!$AS550</f>
        <v/>
      </c>
      <c r="K550">
        <f>Weekly_Inspections!$AU550</f>
        <v/>
      </c>
      <c r="L550" s="47">
        <f>Weekly_Inspections!$AV550</f>
        <v/>
      </c>
      <c r="M550">
        <f>IF($B550="","",IF($N550&lt;&gt;"","Closed",IF(OR($G550&lt;&gt;"",$I550&lt;&gt;"",$J550&lt;&gt;""),"Open","")))</f>
        <v/>
      </c>
      <c r="N550" s="47" t="n"/>
      <c r="O550">
        <f>IF($B550="","",IF($M550="Closed",IF($N550="","",$N550-$B550),TODAY()-$B550))</f>
        <v/>
      </c>
      <c r="P550">
        <f>IF(OR($B550="",$L550="",$M550="Closed"),"",IF(TODAY()&gt;$L550,"YES","NO"))</f>
        <v/>
      </c>
      <c r="Q550">
        <f>Weekly_Inspections!$AW550</f>
        <v/>
      </c>
    </row>
    <row r="551" ht="15" customHeight="1" s="45">
      <c r="A551">
        <f>IF(Weekly_Inspections!$B551="","",Weekly_Inspections!$A551&amp;"-A1")</f>
        <v/>
      </c>
      <c r="B551" s="47">
        <f>Weekly_Inspections!$B551</f>
        <v/>
      </c>
      <c r="C551">
        <f>Weekly_Inspections!$E551</f>
        <v/>
      </c>
      <c r="D551">
        <f>Weekly_Inspections!$F551</f>
        <v/>
      </c>
      <c r="E551">
        <f>Weekly_Inspections!$H551</f>
        <v/>
      </c>
      <c r="F551">
        <f>IF(Weekly_Inspections!$AX551&lt;&gt;"",Weekly_Inspections!$AX551,IF(Weekly_Inspections!$AY551&lt;&gt;"",Weekly_Inspections!$AY551,IF(Weekly_Inspections!$AZ551&lt;&gt;"",Weekly_Inspections!$AZ551,IF(Weekly_Inspections!$BA551&lt;&gt;"",Weekly_Inspections!$BA551,IF(Weekly_Inspections!$BB551&lt;&gt;"",Weekly_Inspections!$BB551,Weekly_Inspections!$R551)))))</f>
        <v/>
      </c>
      <c r="G551">
        <f>IF(OR(Weekly_Inspections!$AQ551&lt;&gt;"",Weekly_Inspections!$AR551&lt;&gt;"",Weekly_Inspections!$AS551&lt;&gt;""),Weekly_Inspections!$AQ551,"")</f>
        <v/>
      </c>
      <c r="H551">
        <f>Weekly_Inspections!$AP551</f>
        <v/>
      </c>
      <c r="I551">
        <f>Weekly_Inspections!$AR551</f>
        <v/>
      </c>
      <c r="J551">
        <f>Weekly_Inspections!$AS551</f>
        <v/>
      </c>
      <c r="K551">
        <f>Weekly_Inspections!$AU551</f>
        <v/>
      </c>
      <c r="L551" s="47">
        <f>Weekly_Inspections!$AV551</f>
        <v/>
      </c>
      <c r="M551">
        <f>IF($B551="","",IF($N551&lt;&gt;"","Closed",IF(OR($G551&lt;&gt;"",$I551&lt;&gt;"",$J551&lt;&gt;""),"Open","")))</f>
        <v/>
      </c>
      <c r="N551" s="47" t="n"/>
      <c r="O551">
        <f>IF($B551="","",IF($M551="Closed",IF($N551="","",$N551-$B551),TODAY()-$B551))</f>
        <v/>
      </c>
      <c r="P551">
        <f>IF(OR($B551="",$L551="",$M551="Closed"),"",IF(TODAY()&gt;$L551,"YES","NO"))</f>
        <v/>
      </c>
      <c r="Q551">
        <f>Weekly_Inspections!$AW551</f>
        <v/>
      </c>
    </row>
    <row r="552" ht="15" customHeight="1" s="45">
      <c r="A552">
        <f>IF(Weekly_Inspections!$B552="","",Weekly_Inspections!$A552&amp;"-A1")</f>
        <v/>
      </c>
      <c r="B552" s="47">
        <f>Weekly_Inspections!$B552</f>
        <v/>
      </c>
      <c r="C552">
        <f>Weekly_Inspections!$E552</f>
        <v/>
      </c>
      <c r="D552">
        <f>Weekly_Inspections!$F552</f>
        <v/>
      </c>
      <c r="E552">
        <f>Weekly_Inspections!$H552</f>
        <v/>
      </c>
      <c r="F552">
        <f>IF(Weekly_Inspections!$AX552&lt;&gt;"",Weekly_Inspections!$AX552,IF(Weekly_Inspections!$AY552&lt;&gt;"",Weekly_Inspections!$AY552,IF(Weekly_Inspections!$AZ552&lt;&gt;"",Weekly_Inspections!$AZ552,IF(Weekly_Inspections!$BA552&lt;&gt;"",Weekly_Inspections!$BA552,IF(Weekly_Inspections!$BB552&lt;&gt;"",Weekly_Inspections!$BB552,Weekly_Inspections!$R552)))))</f>
        <v/>
      </c>
      <c r="G552">
        <f>IF(OR(Weekly_Inspections!$AQ552&lt;&gt;"",Weekly_Inspections!$AR552&lt;&gt;"",Weekly_Inspections!$AS552&lt;&gt;""),Weekly_Inspections!$AQ552,"")</f>
        <v/>
      </c>
      <c r="H552">
        <f>Weekly_Inspections!$AP552</f>
        <v/>
      </c>
      <c r="I552">
        <f>Weekly_Inspections!$AR552</f>
        <v/>
      </c>
      <c r="J552">
        <f>Weekly_Inspections!$AS552</f>
        <v/>
      </c>
      <c r="K552">
        <f>Weekly_Inspections!$AU552</f>
        <v/>
      </c>
      <c r="L552" s="47">
        <f>Weekly_Inspections!$AV552</f>
        <v/>
      </c>
      <c r="M552">
        <f>IF($B552="","",IF($N552&lt;&gt;"","Closed",IF(OR($G552&lt;&gt;"",$I552&lt;&gt;"",$J552&lt;&gt;""),"Open","")))</f>
        <v/>
      </c>
      <c r="N552" s="47" t="n"/>
      <c r="O552">
        <f>IF($B552="","",IF($M552="Closed",IF($N552="","",$N552-$B552),TODAY()-$B552))</f>
        <v/>
      </c>
      <c r="P552">
        <f>IF(OR($B552="",$L552="",$M552="Closed"),"",IF(TODAY()&gt;$L552,"YES","NO"))</f>
        <v/>
      </c>
      <c r="Q552">
        <f>Weekly_Inspections!$AW552</f>
        <v/>
      </c>
    </row>
    <row r="553" ht="15" customHeight="1" s="45">
      <c r="A553">
        <f>IF(Weekly_Inspections!$B553="","",Weekly_Inspections!$A553&amp;"-A1")</f>
        <v/>
      </c>
      <c r="B553" s="47">
        <f>Weekly_Inspections!$B553</f>
        <v/>
      </c>
      <c r="C553">
        <f>Weekly_Inspections!$E553</f>
        <v/>
      </c>
      <c r="D553">
        <f>Weekly_Inspections!$F553</f>
        <v/>
      </c>
      <c r="E553">
        <f>Weekly_Inspections!$H553</f>
        <v/>
      </c>
      <c r="F553">
        <f>IF(Weekly_Inspections!$AX553&lt;&gt;"",Weekly_Inspections!$AX553,IF(Weekly_Inspections!$AY553&lt;&gt;"",Weekly_Inspections!$AY553,IF(Weekly_Inspections!$AZ553&lt;&gt;"",Weekly_Inspections!$AZ553,IF(Weekly_Inspections!$BA553&lt;&gt;"",Weekly_Inspections!$BA553,IF(Weekly_Inspections!$BB553&lt;&gt;"",Weekly_Inspections!$BB553,Weekly_Inspections!$R553)))))</f>
        <v/>
      </c>
      <c r="G553">
        <f>IF(OR(Weekly_Inspections!$AQ553&lt;&gt;"",Weekly_Inspections!$AR553&lt;&gt;"",Weekly_Inspections!$AS553&lt;&gt;""),Weekly_Inspections!$AQ553,"")</f>
        <v/>
      </c>
      <c r="H553">
        <f>Weekly_Inspections!$AP553</f>
        <v/>
      </c>
      <c r="I553">
        <f>Weekly_Inspections!$AR553</f>
        <v/>
      </c>
      <c r="J553">
        <f>Weekly_Inspections!$AS553</f>
        <v/>
      </c>
      <c r="K553">
        <f>Weekly_Inspections!$AU553</f>
        <v/>
      </c>
      <c r="L553" s="47">
        <f>Weekly_Inspections!$AV553</f>
        <v/>
      </c>
      <c r="M553">
        <f>IF($B553="","",IF($N553&lt;&gt;"","Closed",IF(OR($G553&lt;&gt;"",$I553&lt;&gt;"",$J553&lt;&gt;""),"Open","")))</f>
        <v/>
      </c>
      <c r="N553" s="47" t="n"/>
      <c r="O553">
        <f>IF($B553="","",IF($M553="Closed",IF($N553="","",$N553-$B553),TODAY()-$B553))</f>
        <v/>
      </c>
      <c r="P553">
        <f>IF(OR($B553="",$L553="",$M553="Closed"),"",IF(TODAY()&gt;$L553,"YES","NO"))</f>
        <v/>
      </c>
      <c r="Q553">
        <f>Weekly_Inspections!$AW553</f>
        <v/>
      </c>
    </row>
    <row r="554" ht="15" customHeight="1" s="45">
      <c r="A554">
        <f>IF(Weekly_Inspections!$B554="","",Weekly_Inspections!$A554&amp;"-A1")</f>
        <v/>
      </c>
      <c r="B554" s="47">
        <f>Weekly_Inspections!$B554</f>
        <v/>
      </c>
      <c r="C554">
        <f>Weekly_Inspections!$E554</f>
        <v/>
      </c>
      <c r="D554">
        <f>Weekly_Inspections!$F554</f>
        <v/>
      </c>
      <c r="E554">
        <f>Weekly_Inspections!$H554</f>
        <v/>
      </c>
      <c r="F554">
        <f>IF(Weekly_Inspections!$AX554&lt;&gt;"",Weekly_Inspections!$AX554,IF(Weekly_Inspections!$AY554&lt;&gt;"",Weekly_Inspections!$AY554,IF(Weekly_Inspections!$AZ554&lt;&gt;"",Weekly_Inspections!$AZ554,IF(Weekly_Inspections!$BA554&lt;&gt;"",Weekly_Inspections!$BA554,IF(Weekly_Inspections!$BB554&lt;&gt;"",Weekly_Inspections!$BB554,Weekly_Inspections!$R554)))))</f>
        <v/>
      </c>
      <c r="G554">
        <f>IF(OR(Weekly_Inspections!$AQ554&lt;&gt;"",Weekly_Inspections!$AR554&lt;&gt;"",Weekly_Inspections!$AS554&lt;&gt;""),Weekly_Inspections!$AQ554,"")</f>
        <v/>
      </c>
      <c r="H554">
        <f>Weekly_Inspections!$AP554</f>
        <v/>
      </c>
      <c r="I554">
        <f>Weekly_Inspections!$AR554</f>
        <v/>
      </c>
      <c r="J554">
        <f>Weekly_Inspections!$AS554</f>
        <v/>
      </c>
      <c r="K554">
        <f>Weekly_Inspections!$AU554</f>
        <v/>
      </c>
      <c r="L554" s="47">
        <f>Weekly_Inspections!$AV554</f>
        <v/>
      </c>
      <c r="M554">
        <f>IF($B554="","",IF($N554&lt;&gt;"","Closed",IF(OR($G554&lt;&gt;"",$I554&lt;&gt;"",$J554&lt;&gt;""),"Open","")))</f>
        <v/>
      </c>
      <c r="N554" s="47" t="n"/>
      <c r="O554">
        <f>IF($B554="","",IF($M554="Closed",IF($N554="","",$N554-$B554),TODAY()-$B554))</f>
        <v/>
      </c>
      <c r="P554">
        <f>IF(OR($B554="",$L554="",$M554="Closed"),"",IF(TODAY()&gt;$L554,"YES","NO"))</f>
        <v/>
      </c>
      <c r="Q554">
        <f>Weekly_Inspections!$AW554</f>
        <v/>
      </c>
    </row>
    <row r="555" ht="15" customHeight="1" s="45">
      <c r="A555">
        <f>IF(Weekly_Inspections!$B555="","",Weekly_Inspections!$A555&amp;"-A1")</f>
        <v/>
      </c>
      <c r="B555" s="47">
        <f>Weekly_Inspections!$B555</f>
        <v/>
      </c>
      <c r="C555">
        <f>Weekly_Inspections!$E555</f>
        <v/>
      </c>
      <c r="D555">
        <f>Weekly_Inspections!$F555</f>
        <v/>
      </c>
      <c r="E555">
        <f>Weekly_Inspections!$H555</f>
        <v/>
      </c>
      <c r="F555">
        <f>IF(Weekly_Inspections!$AX555&lt;&gt;"",Weekly_Inspections!$AX555,IF(Weekly_Inspections!$AY555&lt;&gt;"",Weekly_Inspections!$AY555,IF(Weekly_Inspections!$AZ555&lt;&gt;"",Weekly_Inspections!$AZ555,IF(Weekly_Inspections!$BA555&lt;&gt;"",Weekly_Inspections!$BA555,IF(Weekly_Inspections!$BB555&lt;&gt;"",Weekly_Inspections!$BB555,Weekly_Inspections!$R555)))))</f>
        <v/>
      </c>
      <c r="G555">
        <f>IF(OR(Weekly_Inspections!$AQ555&lt;&gt;"",Weekly_Inspections!$AR555&lt;&gt;"",Weekly_Inspections!$AS555&lt;&gt;""),Weekly_Inspections!$AQ555,"")</f>
        <v/>
      </c>
      <c r="H555">
        <f>Weekly_Inspections!$AP555</f>
        <v/>
      </c>
      <c r="I555">
        <f>Weekly_Inspections!$AR555</f>
        <v/>
      </c>
      <c r="J555">
        <f>Weekly_Inspections!$AS555</f>
        <v/>
      </c>
      <c r="K555">
        <f>Weekly_Inspections!$AU555</f>
        <v/>
      </c>
      <c r="L555" s="47">
        <f>Weekly_Inspections!$AV555</f>
        <v/>
      </c>
      <c r="M555">
        <f>IF($B555="","",IF($N555&lt;&gt;"","Closed",IF(OR($G555&lt;&gt;"",$I555&lt;&gt;"",$J555&lt;&gt;""),"Open","")))</f>
        <v/>
      </c>
      <c r="N555" s="47" t="n"/>
      <c r="O555">
        <f>IF($B555="","",IF($M555="Closed",IF($N555="","",$N555-$B555),TODAY()-$B555))</f>
        <v/>
      </c>
      <c r="P555">
        <f>IF(OR($B555="",$L555="",$M555="Closed"),"",IF(TODAY()&gt;$L555,"YES","NO"))</f>
        <v/>
      </c>
      <c r="Q555">
        <f>Weekly_Inspections!$AW555</f>
        <v/>
      </c>
    </row>
    <row r="556" ht="15" customHeight="1" s="45">
      <c r="A556">
        <f>IF(Weekly_Inspections!$B556="","",Weekly_Inspections!$A556&amp;"-A1")</f>
        <v/>
      </c>
      <c r="B556" s="47">
        <f>Weekly_Inspections!$B556</f>
        <v/>
      </c>
      <c r="C556">
        <f>Weekly_Inspections!$E556</f>
        <v/>
      </c>
      <c r="D556">
        <f>Weekly_Inspections!$F556</f>
        <v/>
      </c>
      <c r="E556">
        <f>Weekly_Inspections!$H556</f>
        <v/>
      </c>
      <c r="F556">
        <f>IF(Weekly_Inspections!$AX556&lt;&gt;"",Weekly_Inspections!$AX556,IF(Weekly_Inspections!$AY556&lt;&gt;"",Weekly_Inspections!$AY556,IF(Weekly_Inspections!$AZ556&lt;&gt;"",Weekly_Inspections!$AZ556,IF(Weekly_Inspections!$BA556&lt;&gt;"",Weekly_Inspections!$BA556,IF(Weekly_Inspections!$BB556&lt;&gt;"",Weekly_Inspections!$BB556,Weekly_Inspections!$R556)))))</f>
        <v/>
      </c>
      <c r="G556">
        <f>IF(OR(Weekly_Inspections!$AQ556&lt;&gt;"",Weekly_Inspections!$AR556&lt;&gt;"",Weekly_Inspections!$AS556&lt;&gt;""),Weekly_Inspections!$AQ556,"")</f>
        <v/>
      </c>
      <c r="H556">
        <f>Weekly_Inspections!$AP556</f>
        <v/>
      </c>
      <c r="I556">
        <f>Weekly_Inspections!$AR556</f>
        <v/>
      </c>
      <c r="J556">
        <f>Weekly_Inspections!$AS556</f>
        <v/>
      </c>
      <c r="K556">
        <f>Weekly_Inspections!$AU556</f>
        <v/>
      </c>
      <c r="L556" s="47">
        <f>Weekly_Inspections!$AV556</f>
        <v/>
      </c>
      <c r="M556">
        <f>IF($B556="","",IF($N556&lt;&gt;"","Closed",IF(OR($G556&lt;&gt;"",$I556&lt;&gt;"",$J556&lt;&gt;""),"Open","")))</f>
        <v/>
      </c>
      <c r="N556" s="47" t="n"/>
      <c r="O556">
        <f>IF($B556="","",IF($M556="Closed",IF($N556="","",$N556-$B556),TODAY()-$B556))</f>
        <v/>
      </c>
      <c r="P556">
        <f>IF(OR($B556="",$L556="",$M556="Closed"),"",IF(TODAY()&gt;$L556,"YES","NO"))</f>
        <v/>
      </c>
      <c r="Q556">
        <f>Weekly_Inspections!$AW556</f>
        <v/>
      </c>
    </row>
    <row r="557" ht="15" customHeight="1" s="45">
      <c r="A557">
        <f>IF(Weekly_Inspections!$B557="","",Weekly_Inspections!$A557&amp;"-A1")</f>
        <v/>
      </c>
      <c r="B557" s="47">
        <f>Weekly_Inspections!$B557</f>
        <v/>
      </c>
      <c r="C557">
        <f>Weekly_Inspections!$E557</f>
        <v/>
      </c>
      <c r="D557">
        <f>Weekly_Inspections!$F557</f>
        <v/>
      </c>
      <c r="E557">
        <f>Weekly_Inspections!$H557</f>
        <v/>
      </c>
      <c r="F557">
        <f>IF(Weekly_Inspections!$AX557&lt;&gt;"",Weekly_Inspections!$AX557,IF(Weekly_Inspections!$AY557&lt;&gt;"",Weekly_Inspections!$AY557,IF(Weekly_Inspections!$AZ557&lt;&gt;"",Weekly_Inspections!$AZ557,IF(Weekly_Inspections!$BA557&lt;&gt;"",Weekly_Inspections!$BA557,IF(Weekly_Inspections!$BB557&lt;&gt;"",Weekly_Inspections!$BB557,Weekly_Inspections!$R557)))))</f>
        <v/>
      </c>
      <c r="G557">
        <f>IF(OR(Weekly_Inspections!$AQ557&lt;&gt;"",Weekly_Inspections!$AR557&lt;&gt;"",Weekly_Inspections!$AS557&lt;&gt;""),Weekly_Inspections!$AQ557,"")</f>
        <v/>
      </c>
      <c r="H557">
        <f>Weekly_Inspections!$AP557</f>
        <v/>
      </c>
      <c r="I557">
        <f>Weekly_Inspections!$AR557</f>
        <v/>
      </c>
      <c r="J557">
        <f>Weekly_Inspections!$AS557</f>
        <v/>
      </c>
      <c r="K557">
        <f>Weekly_Inspections!$AU557</f>
        <v/>
      </c>
      <c r="L557" s="47">
        <f>Weekly_Inspections!$AV557</f>
        <v/>
      </c>
      <c r="M557">
        <f>IF($B557="","",IF($N557&lt;&gt;"","Closed",IF(OR($G557&lt;&gt;"",$I557&lt;&gt;"",$J557&lt;&gt;""),"Open","")))</f>
        <v/>
      </c>
      <c r="N557" s="47" t="n"/>
      <c r="O557">
        <f>IF($B557="","",IF($M557="Closed",IF($N557="","",$N557-$B557),TODAY()-$B557))</f>
        <v/>
      </c>
      <c r="P557">
        <f>IF(OR($B557="",$L557="",$M557="Closed"),"",IF(TODAY()&gt;$L557,"YES","NO"))</f>
        <v/>
      </c>
      <c r="Q557">
        <f>Weekly_Inspections!$AW557</f>
        <v/>
      </c>
    </row>
    <row r="558" ht="15" customHeight="1" s="45">
      <c r="A558">
        <f>IF(Weekly_Inspections!$B558="","",Weekly_Inspections!$A558&amp;"-A1")</f>
        <v/>
      </c>
      <c r="B558" s="47">
        <f>Weekly_Inspections!$B558</f>
        <v/>
      </c>
      <c r="C558">
        <f>Weekly_Inspections!$E558</f>
        <v/>
      </c>
      <c r="D558">
        <f>Weekly_Inspections!$F558</f>
        <v/>
      </c>
      <c r="E558">
        <f>Weekly_Inspections!$H558</f>
        <v/>
      </c>
      <c r="F558">
        <f>IF(Weekly_Inspections!$AX558&lt;&gt;"",Weekly_Inspections!$AX558,IF(Weekly_Inspections!$AY558&lt;&gt;"",Weekly_Inspections!$AY558,IF(Weekly_Inspections!$AZ558&lt;&gt;"",Weekly_Inspections!$AZ558,IF(Weekly_Inspections!$BA558&lt;&gt;"",Weekly_Inspections!$BA558,IF(Weekly_Inspections!$BB558&lt;&gt;"",Weekly_Inspections!$BB558,Weekly_Inspections!$R558)))))</f>
        <v/>
      </c>
      <c r="G558">
        <f>IF(OR(Weekly_Inspections!$AQ558&lt;&gt;"",Weekly_Inspections!$AR558&lt;&gt;"",Weekly_Inspections!$AS558&lt;&gt;""),Weekly_Inspections!$AQ558,"")</f>
        <v/>
      </c>
      <c r="H558">
        <f>Weekly_Inspections!$AP558</f>
        <v/>
      </c>
      <c r="I558">
        <f>Weekly_Inspections!$AR558</f>
        <v/>
      </c>
      <c r="J558">
        <f>Weekly_Inspections!$AS558</f>
        <v/>
      </c>
      <c r="K558">
        <f>Weekly_Inspections!$AU558</f>
        <v/>
      </c>
      <c r="L558" s="47">
        <f>Weekly_Inspections!$AV558</f>
        <v/>
      </c>
      <c r="M558">
        <f>IF($B558="","",IF($N558&lt;&gt;"","Closed",IF(OR($G558&lt;&gt;"",$I558&lt;&gt;"",$J558&lt;&gt;""),"Open","")))</f>
        <v/>
      </c>
      <c r="N558" s="47" t="n"/>
      <c r="O558">
        <f>IF($B558="","",IF($M558="Closed",IF($N558="","",$N558-$B558),TODAY()-$B558))</f>
        <v/>
      </c>
      <c r="P558">
        <f>IF(OR($B558="",$L558="",$M558="Closed"),"",IF(TODAY()&gt;$L558,"YES","NO"))</f>
        <v/>
      </c>
      <c r="Q558">
        <f>Weekly_Inspections!$AW558</f>
        <v/>
      </c>
    </row>
    <row r="559" ht="15" customHeight="1" s="45">
      <c r="A559">
        <f>IF(Weekly_Inspections!$B559="","",Weekly_Inspections!$A559&amp;"-A1")</f>
        <v/>
      </c>
      <c r="B559" s="47">
        <f>Weekly_Inspections!$B559</f>
        <v/>
      </c>
      <c r="C559">
        <f>Weekly_Inspections!$E559</f>
        <v/>
      </c>
      <c r="D559">
        <f>Weekly_Inspections!$F559</f>
        <v/>
      </c>
      <c r="E559">
        <f>Weekly_Inspections!$H559</f>
        <v/>
      </c>
      <c r="F559">
        <f>IF(Weekly_Inspections!$AX559&lt;&gt;"",Weekly_Inspections!$AX559,IF(Weekly_Inspections!$AY559&lt;&gt;"",Weekly_Inspections!$AY559,IF(Weekly_Inspections!$AZ559&lt;&gt;"",Weekly_Inspections!$AZ559,IF(Weekly_Inspections!$BA559&lt;&gt;"",Weekly_Inspections!$BA559,IF(Weekly_Inspections!$BB559&lt;&gt;"",Weekly_Inspections!$BB559,Weekly_Inspections!$R559)))))</f>
        <v/>
      </c>
      <c r="G559">
        <f>IF(OR(Weekly_Inspections!$AQ559&lt;&gt;"",Weekly_Inspections!$AR559&lt;&gt;"",Weekly_Inspections!$AS559&lt;&gt;""),Weekly_Inspections!$AQ559,"")</f>
        <v/>
      </c>
      <c r="H559">
        <f>Weekly_Inspections!$AP559</f>
        <v/>
      </c>
      <c r="I559">
        <f>Weekly_Inspections!$AR559</f>
        <v/>
      </c>
      <c r="J559">
        <f>Weekly_Inspections!$AS559</f>
        <v/>
      </c>
      <c r="K559">
        <f>Weekly_Inspections!$AU559</f>
        <v/>
      </c>
      <c r="L559" s="47">
        <f>Weekly_Inspections!$AV559</f>
        <v/>
      </c>
      <c r="M559">
        <f>IF($B559="","",IF($N559&lt;&gt;"","Closed",IF(OR($G559&lt;&gt;"",$I559&lt;&gt;"",$J559&lt;&gt;""),"Open","")))</f>
        <v/>
      </c>
      <c r="N559" s="47" t="n"/>
      <c r="O559">
        <f>IF($B559="","",IF($M559="Closed",IF($N559="","",$N559-$B559),TODAY()-$B559))</f>
        <v/>
      </c>
      <c r="P559">
        <f>IF(OR($B559="",$L559="",$M559="Closed"),"",IF(TODAY()&gt;$L559,"YES","NO"))</f>
        <v/>
      </c>
      <c r="Q559">
        <f>Weekly_Inspections!$AW559</f>
        <v/>
      </c>
    </row>
    <row r="560" ht="15" customHeight="1" s="45">
      <c r="A560">
        <f>IF(Weekly_Inspections!$B560="","",Weekly_Inspections!$A560&amp;"-A1")</f>
        <v/>
      </c>
      <c r="B560" s="47">
        <f>Weekly_Inspections!$B560</f>
        <v/>
      </c>
      <c r="C560">
        <f>Weekly_Inspections!$E560</f>
        <v/>
      </c>
      <c r="D560">
        <f>Weekly_Inspections!$F560</f>
        <v/>
      </c>
      <c r="E560">
        <f>Weekly_Inspections!$H560</f>
        <v/>
      </c>
      <c r="F560">
        <f>IF(Weekly_Inspections!$AX560&lt;&gt;"",Weekly_Inspections!$AX560,IF(Weekly_Inspections!$AY560&lt;&gt;"",Weekly_Inspections!$AY560,IF(Weekly_Inspections!$AZ560&lt;&gt;"",Weekly_Inspections!$AZ560,IF(Weekly_Inspections!$BA560&lt;&gt;"",Weekly_Inspections!$BA560,IF(Weekly_Inspections!$BB560&lt;&gt;"",Weekly_Inspections!$BB560,Weekly_Inspections!$R560)))))</f>
        <v/>
      </c>
      <c r="G560">
        <f>IF(OR(Weekly_Inspections!$AQ560&lt;&gt;"",Weekly_Inspections!$AR560&lt;&gt;"",Weekly_Inspections!$AS560&lt;&gt;""),Weekly_Inspections!$AQ560,"")</f>
        <v/>
      </c>
      <c r="H560">
        <f>Weekly_Inspections!$AP560</f>
        <v/>
      </c>
      <c r="I560">
        <f>Weekly_Inspections!$AR560</f>
        <v/>
      </c>
      <c r="J560">
        <f>Weekly_Inspections!$AS560</f>
        <v/>
      </c>
      <c r="K560">
        <f>Weekly_Inspections!$AU560</f>
        <v/>
      </c>
      <c r="L560" s="47">
        <f>Weekly_Inspections!$AV560</f>
        <v/>
      </c>
      <c r="M560">
        <f>IF($B560="","",IF($N560&lt;&gt;"","Closed",IF(OR($G560&lt;&gt;"",$I560&lt;&gt;"",$J560&lt;&gt;""),"Open","")))</f>
        <v/>
      </c>
      <c r="N560" s="47" t="n"/>
      <c r="O560">
        <f>IF($B560="","",IF($M560="Closed",IF($N560="","",$N560-$B560),TODAY()-$B560))</f>
        <v/>
      </c>
      <c r="P560">
        <f>IF(OR($B560="",$L560="",$M560="Closed"),"",IF(TODAY()&gt;$L560,"YES","NO"))</f>
        <v/>
      </c>
      <c r="Q560">
        <f>Weekly_Inspections!$AW560</f>
        <v/>
      </c>
    </row>
    <row r="561" ht="15" customHeight="1" s="45">
      <c r="A561">
        <f>IF(Weekly_Inspections!$B561="","",Weekly_Inspections!$A561&amp;"-A1")</f>
        <v/>
      </c>
      <c r="B561" s="47">
        <f>Weekly_Inspections!$B561</f>
        <v/>
      </c>
      <c r="C561">
        <f>Weekly_Inspections!$E561</f>
        <v/>
      </c>
      <c r="D561">
        <f>Weekly_Inspections!$F561</f>
        <v/>
      </c>
      <c r="E561">
        <f>Weekly_Inspections!$H561</f>
        <v/>
      </c>
      <c r="F561">
        <f>IF(Weekly_Inspections!$AX561&lt;&gt;"",Weekly_Inspections!$AX561,IF(Weekly_Inspections!$AY561&lt;&gt;"",Weekly_Inspections!$AY561,IF(Weekly_Inspections!$AZ561&lt;&gt;"",Weekly_Inspections!$AZ561,IF(Weekly_Inspections!$BA561&lt;&gt;"",Weekly_Inspections!$BA561,IF(Weekly_Inspections!$BB561&lt;&gt;"",Weekly_Inspections!$BB561,Weekly_Inspections!$R561)))))</f>
        <v/>
      </c>
      <c r="G561">
        <f>IF(OR(Weekly_Inspections!$AQ561&lt;&gt;"",Weekly_Inspections!$AR561&lt;&gt;"",Weekly_Inspections!$AS561&lt;&gt;""),Weekly_Inspections!$AQ561,"")</f>
        <v/>
      </c>
      <c r="H561">
        <f>Weekly_Inspections!$AP561</f>
        <v/>
      </c>
      <c r="I561">
        <f>Weekly_Inspections!$AR561</f>
        <v/>
      </c>
      <c r="J561">
        <f>Weekly_Inspections!$AS561</f>
        <v/>
      </c>
      <c r="K561">
        <f>Weekly_Inspections!$AU561</f>
        <v/>
      </c>
      <c r="L561" s="47">
        <f>Weekly_Inspections!$AV561</f>
        <v/>
      </c>
      <c r="M561">
        <f>IF($B561="","",IF($N561&lt;&gt;"","Closed",IF(OR($G561&lt;&gt;"",$I561&lt;&gt;"",$J561&lt;&gt;""),"Open","")))</f>
        <v/>
      </c>
      <c r="N561" s="47" t="n"/>
      <c r="O561">
        <f>IF($B561="","",IF($M561="Closed",IF($N561="","",$N561-$B561),TODAY()-$B561))</f>
        <v/>
      </c>
      <c r="P561">
        <f>IF(OR($B561="",$L561="",$M561="Closed"),"",IF(TODAY()&gt;$L561,"YES","NO"))</f>
        <v/>
      </c>
      <c r="Q561">
        <f>Weekly_Inspections!$AW561</f>
        <v/>
      </c>
    </row>
    <row r="562" ht="15" customHeight="1" s="45">
      <c r="A562">
        <f>IF(Weekly_Inspections!$B562="","",Weekly_Inspections!$A562&amp;"-A1")</f>
        <v/>
      </c>
      <c r="B562" s="47">
        <f>Weekly_Inspections!$B562</f>
        <v/>
      </c>
      <c r="C562">
        <f>Weekly_Inspections!$E562</f>
        <v/>
      </c>
      <c r="D562">
        <f>Weekly_Inspections!$F562</f>
        <v/>
      </c>
      <c r="E562">
        <f>Weekly_Inspections!$H562</f>
        <v/>
      </c>
      <c r="F562">
        <f>IF(Weekly_Inspections!$AX562&lt;&gt;"",Weekly_Inspections!$AX562,IF(Weekly_Inspections!$AY562&lt;&gt;"",Weekly_Inspections!$AY562,IF(Weekly_Inspections!$AZ562&lt;&gt;"",Weekly_Inspections!$AZ562,IF(Weekly_Inspections!$BA562&lt;&gt;"",Weekly_Inspections!$BA562,IF(Weekly_Inspections!$BB562&lt;&gt;"",Weekly_Inspections!$BB562,Weekly_Inspections!$R562)))))</f>
        <v/>
      </c>
      <c r="G562">
        <f>IF(OR(Weekly_Inspections!$AQ562&lt;&gt;"",Weekly_Inspections!$AR562&lt;&gt;"",Weekly_Inspections!$AS562&lt;&gt;""),Weekly_Inspections!$AQ562,"")</f>
        <v/>
      </c>
      <c r="H562">
        <f>Weekly_Inspections!$AP562</f>
        <v/>
      </c>
      <c r="I562">
        <f>Weekly_Inspections!$AR562</f>
        <v/>
      </c>
      <c r="J562">
        <f>Weekly_Inspections!$AS562</f>
        <v/>
      </c>
      <c r="K562">
        <f>Weekly_Inspections!$AU562</f>
        <v/>
      </c>
      <c r="L562" s="47">
        <f>Weekly_Inspections!$AV562</f>
        <v/>
      </c>
      <c r="M562">
        <f>IF($B562="","",IF($N562&lt;&gt;"","Closed",IF(OR($G562&lt;&gt;"",$I562&lt;&gt;"",$J562&lt;&gt;""),"Open","")))</f>
        <v/>
      </c>
      <c r="N562" s="47" t="n"/>
      <c r="O562">
        <f>IF($B562="","",IF($M562="Closed",IF($N562="","",$N562-$B562),TODAY()-$B562))</f>
        <v/>
      </c>
      <c r="P562">
        <f>IF(OR($B562="",$L562="",$M562="Closed"),"",IF(TODAY()&gt;$L562,"YES","NO"))</f>
        <v/>
      </c>
      <c r="Q562">
        <f>Weekly_Inspections!$AW562</f>
        <v/>
      </c>
    </row>
    <row r="563" ht="15" customHeight="1" s="45">
      <c r="A563">
        <f>IF(Weekly_Inspections!$B563="","",Weekly_Inspections!$A563&amp;"-A1")</f>
        <v/>
      </c>
      <c r="B563" s="47">
        <f>Weekly_Inspections!$B563</f>
        <v/>
      </c>
      <c r="C563">
        <f>Weekly_Inspections!$E563</f>
        <v/>
      </c>
      <c r="D563">
        <f>Weekly_Inspections!$F563</f>
        <v/>
      </c>
      <c r="E563">
        <f>Weekly_Inspections!$H563</f>
        <v/>
      </c>
      <c r="F563">
        <f>IF(Weekly_Inspections!$AX563&lt;&gt;"",Weekly_Inspections!$AX563,IF(Weekly_Inspections!$AY563&lt;&gt;"",Weekly_Inspections!$AY563,IF(Weekly_Inspections!$AZ563&lt;&gt;"",Weekly_Inspections!$AZ563,IF(Weekly_Inspections!$BA563&lt;&gt;"",Weekly_Inspections!$BA563,IF(Weekly_Inspections!$BB563&lt;&gt;"",Weekly_Inspections!$BB563,Weekly_Inspections!$R563)))))</f>
        <v/>
      </c>
      <c r="G563">
        <f>IF(OR(Weekly_Inspections!$AQ563&lt;&gt;"",Weekly_Inspections!$AR563&lt;&gt;"",Weekly_Inspections!$AS563&lt;&gt;""),Weekly_Inspections!$AQ563,"")</f>
        <v/>
      </c>
      <c r="H563">
        <f>Weekly_Inspections!$AP563</f>
        <v/>
      </c>
      <c r="I563">
        <f>Weekly_Inspections!$AR563</f>
        <v/>
      </c>
      <c r="J563">
        <f>Weekly_Inspections!$AS563</f>
        <v/>
      </c>
      <c r="K563">
        <f>Weekly_Inspections!$AU563</f>
        <v/>
      </c>
      <c r="L563" s="47">
        <f>Weekly_Inspections!$AV563</f>
        <v/>
      </c>
      <c r="M563">
        <f>IF($B563="","",IF($N563&lt;&gt;"","Closed",IF(OR($G563&lt;&gt;"",$I563&lt;&gt;"",$J563&lt;&gt;""),"Open","")))</f>
        <v/>
      </c>
      <c r="N563" s="47" t="n"/>
      <c r="O563">
        <f>IF($B563="","",IF($M563="Closed",IF($N563="","",$N563-$B563),TODAY()-$B563))</f>
        <v/>
      </c>
      <c r="P563">
        <f>IF(OR($B563="",$L563="",$M563="Closed"),"",IF(TODAY()&gt;$L563,"YES","NO"))</f>
        <v/>
      </c>
      <c r="Q563">
        <f>Weekly_Inspections!$AW563</f>
        <v/>
      </c>
    </row>
    <row r="564" ht="15" customHeight="1" s="45">
      <c r="A564">
        <f>IF(Weekly_Inspections!$B564="","",Weekly_Inspections!$A564&amp;"-A1")</f>
        <v/>
      </c>
      <c r="B564" s="47">
        <f>Weekly_Inspections!$B564</f>
        <v/>
      </c>
      <c r="C564">
        <f>Weekly_Inspections!$E564</f>
        <v/>
      </c>
      <c r="D564">
        <f>Weekly_Inspections!$F564</f>
        <v/>
      </c>
      <c r="E564">
        <f>Weekly_Inspections!$H564</f>
        <v/>
      </c>
      <c r="F564">
        <f>IF(Weekly_Inspections!$AX564&lt;&gt;"",Weekly_Inspections!$AX564,IF(Weekly_Inspections!$AY564&lt;&gt;"",Weekly_Inspections!$AY564,IF(Weekly_Inspections!$AZ564&lt;&gt;"",Weekly_Inspections!$AZ564,IF(Weekly_Inspections!$BA564&lt;&gt;"",Weekly_Inspections!$BA564,IF(Weekly_Inspections!$BB564&lt;&gt;"",Weekly_Inspections!$BB564,Weekly_Inspections!$R564)))))</f>
        <v/>
      </c>
      <c r="G564">
        <f>IF(OR(Weekly_Inspections!$AQ564&lt;&gt;"",Weekly_Inspections!$AR564&lt;&gt;"",Weekly_Inspections!$AS564&lt;&gt;""),Weekly_Inspections!$AQ564,"")</f>
        <v/>
      </c>
      <c r="H564">
        <f>Weekly_Inspections!$AP564</f>
        <v/>
      </c>
      <c r="I564">
        <f>Weekly_Inspections!$AR564</f>
        <v/>
      </c>
      <c r="J564">
        <f>Weekly_Inspections!$AS564</f>
        <v/>
      </c>
      <c r="K564">
        <f>Weekly_Inspections!$AU564</f>
        <v/>
      </c>
      <c r="L564" s="47">
        <f>Weekly_Inspections!$AV564</f>
        <v/>
      </c>
      <c r="M564">
        <f>IF($B564="","",IF($N564&lt;&gt;"","Closed",IF(OR($G564&lt;&gt;"",$I564&lt;&gt;"",$J564&lt;&gt;""),"Open","")))</f>
        <v/>
      </c>
      <c r="N564" s="47" t="n"/>
      <c r="O564">
        <f>IF($B564="","",IF($M564="Closed",IF($N564="","",$N564-$B564),TODAY()-$B564))</f>
        <v/>
      </c>
      <c r="P564">
        <f>IF(OR($B564="",$L564="",$M564="Closed"),"",IF(TODAY()&gt;$L564,"YES","NO"))</f>
        <v/>
      </c>
      <c r="Q564">
        <f>Weekly_Inspections!$AW564</f>
        <v/>
      </c>
    </row>
    <row r="565" ht="15" customHeight="1" s="45">
      <c r="A565">
        <f>IF(Weekly_Inspections!$B565="","",Weekly_Inspections!$A565&amp;"-A1")</f>
        <v/>
      </c>
      <c r="B565" s="47">
        <f>Weekly_Inspections!$B565</f>
        <v/>
      </c>
      <c r="C565">
        <f>Weekly_Inspections!$E565</f>
        <v/>
      </c>
      <c r="D565">
        <f>Weekly_Inspections!$F565</f>
        <v/>
      </c>
      <c r="E565">
        <f>Weekly_Inspections!$H565</f>
        <v/>
      </c>
      <c r="F565">
        <f>IF(Weekly_Inspections!$AX565&lt;&gt;"",Weekly_Inspections!$AX565,IF(Weekly_Inspections!$AY565&lt;&gt;"",Weekly_Inspections!$AY565,IF(Weekly_Inspections!$AZ565&lt;&gt;"",Weekly_Inspections!$AZ565,IF(Weekly_Inspections!$BA565&lt;&gt;"",Weekly_Inspections!$BA565,IF(Weekly_Inspections!$BB565&lt;&gt;"",Weekly_Inspections!$BB565,Weekly_Inspections!$R565)))))</f>
        <v/>
      </c>
      <c r="G565">
        <f>IF(OR(Weekly_Inspections!$AQ565&lt;&gt;"",Weekly_Inspections!$AR565&lt;&gt;"",Weekly_Inspections!$AS565&lt;&gt;""),Weekly_Inspections!$AQ565,"")</f>
        <v/>
      </c>
      <c r="H565">
        <f>Weekly_Inspections!$AP565</f>
        <v/>
      </c>
      <c r="I565">
        <f>Weekly_Inspections!$AR565</f>
        <v/>
      </c>
      <c r="J565">
        <f>Weekly_Inspections!$AS565</f>
        <v/>
      </c>
      <c r="K565">
        <f>Weekly_Inspections!$AU565</f>
        <v/>
      </c>
      <c r="L565" s="47">
        <f>Weekly_Inspections!$AV565</f>
        <v/>
      </c>
      <c r="M565">
        <f>IF($B565="","",IF($N565&lt;&gt;"","Closed",IF(OR($G565&lt;&gt;"",$I565&lt;&gt;"",$J565&lt;&gt;""),"Open","")))</f>
        <v/>
      </c>
      <c r="N565" s="47" t="n"/>
      <c r="O565">
        <f>IF($B565="","",IF($M565="Closed",IF($N565="","",$N565-$B565),TODAY()-$B565))</f>
        <v/>
      </c>
      <c r="P565">
        <f>IF(OR($B565="",$L565="",$M565="Closed"),"",IF(TODAY()&gt;$L565,"YES","NO"))</f>
        <v/>
      </c>
      <c r="Q565">
        <f>Weekly_Inspections!$AW565</f>
        <v/>
      </c>
    </row>
    <row r="566" ht="15" customHeight="1" s="45">
      <c r="A566">
        <f>IF(Weekly_Inspections!$B566="","",Weekly_Inspections!$A566&amp;"-A1")</f>
        <v/>
      </c>
      <c r="B566" s="47">
        <f>Weekly_Inspections!$B566</f>
        <v/>
      </c>
      <c r="C566">
        <f>Weekly_Inspections!$E566</f>
        <v/>
      </c>
      <c r="D566">
        <f>Weekly_Inspections!$F566</f>
        <v/>
      </c>
      <c r="E566">
        <f>Weekly_Inspections!$H566</f>
        <v/>
      </c>
      <c r="F566">
        <f>IF(Weekly_Inspections!$AX566&lt;&gt;"",Weekly_Inspections!$AX566,IF(Weekly_Inspections!$AY566&lt;&gt;"",Weekly_Inspections!$AY566,IF(Weekly_Inspections!$AZ566&lt;&gt;"",Weekly_Inspections!$AZ566,IF(Weekly_Inspections!$BA566&lt;&gt;"",Weekly_Inspections!$BA566,IF(Weekly_Inspections!$BB566&lt;&gt;"",Weekly_Inspections!$BB566,Weekly_Inspections!$R566)))))</f>
        <v/>
      </c>
      <c r="G566">
        <f>IF(OR(Weekly_Inspections!$AQ566&lt;&gt;"",Weekly_Inspections!$AR566&lt;&gt;"",Weekly_Inspections!$AS566&lt;&gt;""),Weekly_Inspections!$AQ566,"")</f>
        <v/>
      </c>
      <c r="H566">
        <f>Weekly_Inspections!$AP566</f>
        <v/>
      </c>
      <c r="I566">
        <f>Weekly_Inspections!$AR566</f>
        <v/>
      </c>
      <c r="J566">
        <f>Weekly_Inspections!$AS566</f>
        <v/>
      </c>
      <c r="K566">
        <f>Weekly_Inspections!$AU566</f>
        <v/>
      </c>
      <c r="L566" s="47">
        <f>Weekly_Inspections!$AV566</f>
        <v/>
      </c>
      <c r="M566">
        <f>IF($B566="","",IF($N566&lt;&gt;"","Closed",IF(OR($G566&lt;&gt;"",$I566&lt;&gt;"",$J566&lt;&gt;""),"Open","")))</f>
        <v/>
      </c>
      <c r="N566" s="47" t="n"/>
      <c r="O566">
        <f>IF($B566="","",IF($M566="Closed",IF($N566="","",$N566-$B566),TODAY()-$B566))</f>
        <v/>
      </c>
      <c r="P566">
        <f>IF(OR($B566="",$L566="",$M566="Closed"),"",IF(TODAY()&gt;$L566,"YES","NO"))</f>
        <v/>
      </c>
      <c r="Q566">
        <f>Weekly_Inspections!$AW566</f>
        <v/>
      </c>
    </row>
    <row r="567" ht="15" customHeight="1" s="45">
      <c r="A567">
        <f>IF(Weekly_Inspections!$B567="","",Weekly_Inspections!$A567&amp;"-A1")</f>
        <v/>
      </c>
      <c r="B567" s="47">
        <f>Weekly_Inspections!$B567</f>
        <v/>
      </c>
      <c r="C567">
        <f>Weekly_Inspections!$E567</f>
        <v/>
      </c>
      <c r="D567">
        <f>Weekly_Inspections!$F567</f>
        <v/>
      </c>
      <c r="E567">
        <f>Weekly_Inspections!$H567</f>
        <v/>
      </c>
      <c r="F567">
        <f>IF(Weekly_Inspections!$AX567&lt;&gt;"",Weekly_Inspections!$AX567,IF(Weekly_Inspections!$AY567&lt;&gt;"",Weekly_Inspections!$AY567,IF(Weekly_Inspections!$AZ567&lt;&gt;"",Weekly_Inspections!$AZ567,IF(Weekly_Inspections!$BA567&lt;&gt;"",Weekly_Inspections!$BA567,IF(Weekly_Inspections!$BB567&lt;&gt;"",Weekly_Inspections!$BB567,Weekly_Inspections!$R567)))))</f>
        <v/>
      </c>
      <c r="G567">
        <f>IF(OR(Weekly_Inspections!$AQ567&lt;&gt;"",Weekly_Inspections!$AR567&lt;&gt;"",Weekly_Inspections!$AS567&lt;&gt;""),Weekly_Inspections!$AQ567,"")</f>
        <v/>
      </c>
      <c r="H567">
        <f>Weekly_Inspections!$AP567</f>
        <v/>
      </c>
      <c r="I567">
        <f>Weekly_Inspections!$AR567</f>
        <v/>
      </c>
      <c r="J567">
        <f>Weekly_Inspections!$AS567</f>
        <v/>
      </c>
      <c r="K567">
        <f>Weekly_Inspections!$AU567</f>
        <v/>
      </c>
      <c r="L567" s="47">
        <f>Weekly_Inspections!$AV567</f>
        <v/>
      </c>
      <c r="M567">
        <f>IF($B567="","",IF($N567&lt;&gt;"","Closed",IF(OR($G567&lt;&gt;"",$I567&lt;&gt;"",$J567&lt;&gt;""),"Open","")))</f>
        <v/>
      </c>
      <c r="N567" s="47" t="n"/>
      <c r="O567">
        <f>IF($B567="","",IF($M567="Closed",IF($N567="","",$N567-$B567),TODAY()-$B567))</f>
        <v/>
      </c>
      <c r="P567">
        <f>IF(OR($B567="",$L567="",$M567="Closed"),"",IF(TODAY()&gt;$L567,"YES","NO"))</f>
        <v/>
      </c>
      <c r="Q567">
        <f>Weekly_Inspections!$AW567</f>
        <v/>
      </c>
    </row>
    <row r="568" ht="15" customHeight="1" s="45">
      <c r="A568">
        <f>IF(Weekly_Inspections!$B568="","",Weekly_Inspections!$A568&amp;"-A1")</f>
        <v/>
      </c>
      <c r="B568" s="47">
        <f>Weekly_Inspections!$B568</f>
        <v/>
      </c>
      <c r="C568">
        <f>Weekly_Inspections!$E568</f>
        <v/>
      </c>
      <c r="D568">
        <f>Weekly_Inspections!$F568</f>
        <v/>
      </c>
      <c r="E568">
        <f>Weekly_Inspections!$H568</f>
        <v/>
      </c>
      <c r="F568">
        <f>IF(Weekly_Inspections!$AX568&lt;&gt;"",Weekly_Inspections!$AX568,IF(Weekly_Inspections!$AY568&lt;&gt;"",Weekly_Inspections!$AY568,IF(Weekly_Inspections!$AZ568&lt;&gt;"",Weekly_Inspections!$AZ568,IF(Weekly_Inspections!$BA568&lt;&gt;"",Weekly_Inspections!$BA568,IF(Weekly_Inspections!$BB568&lt;&gt;"",Weekly_Inspections!$BB568,Weekly_Inspections!$R568)))))</f>
        <v/>
      </c>
      <c r="G568">
        <f>IF(OR(Weekly_Inspections!$AQ568&lt;&gt;"",Weekly_Inspections!$AR568&lt;&gt;"",Weekly_Inspections!$AS568&lt;&gt;""),Weekly_Inspections!$AQ568,"")</f>
        <v/>
      </c>
      <c r="H568">
        <f>Weekly_Inspections!$AP568</f>
        <v/>
      </c>
      <c r="I568">
        <f>Weekly_Inspections!$AR568</f>
        <v/>
      </c>
      <c r="J568">
        <f>Weekly_Inspections!$AS568</f>
        <v/>
      </c>
      <c r="K568">
        <f>Weekly_Inspections!$AU568</f>
        <v/>
      </c>
      <c r="L568" s="47">
        <f>Weekly_Inspections!$AV568</f>
        <v/>
      </c>
      <c r="M568">
        <f>IF($B568="","",IF($N568&lt;&gt;"","Closed",IF(OR($G568&lt;&gt;"",$I568&lt;&gt;"",$J568&lt;&gt;""),"Open","")))</f>
        <v/>
      </c>
      <c r="N568" s="47" t="n"/>
      <c r="O568">
        <f>IF($B568="","",IF($M568="Closed",IF($N568="","",$N568-$B568),TODAY()-$B568))</f>
        <v/>
      </c>
      <c r="P568">
        <f>IF(OR($B568="",$L568="",$M568="Closed"),"",IF(TODAY()&gt;$L568,"YES","NO"))</f>
        <v/>
      </c>
      <c r="Q568">
        <f>Weekly_Inspections!$AW568</f>
        <v/>
      </c>
    </row>
    <row r="569" ht="15" customHeight="1" s="45">
      <c r="A569">
        <f>IF(Weekly_Inspections!$B569="","",Weekly_Inspections!$A569&amp;"-A1")</f>
        <v/>
      </c>
      <c r="B569" s="47">
        <f>Weekly_Inspections!$B569</f>
        <v/>
      </c>
      <c r="C569">
        <f>Weekly_Inspections!$E569</f>
        <v/>
      </c>
      <c r="D569">
        <f>Weekly_Inspections!$F569</f>
        <v/>
      </c>
      <c r="E569">
        <f>Weekly_Inspections!$H569</f>
        <v/>
      </c>
      <c r="F569">
        <f>IF(Weekly_Inspections!$AX569&lt;&gt;"",Weekly_Inspections!$AX569,IF(Weekly_Inspections!$AY569&lt;&gt;"",Weekly_Inspections!$AY569,IF(Weekly_Inspections!$AZ569&lt;&gt;"",Weekly_Inspections!$AZ569,IF(Weekly_Inspections!$BA569&lt;&gt;"",Weekly_Inspections!$BA569,IF(Weekly_Inspections!$BB569&lt;&gt;"",Weekly_Inspections!$BB569,Weekly_Inspections!$R569)))))</f>
        <v/>
      </c>
      <c r="G569">
        <f>IF(OR(Weekly_Inspections!$AQ569&lt;&gt;"",Weekly_Inspections!$AR569&lt;&gt;"",Weekly_Inspections!$AS569&lt;&gt;""),Weekly_Inspections!$AQ569,"")</f>
        <v/>
      </c>
      <c r="H569">
        <f>Weekly_Inspections!$AP569</f>
        <v/>
      </c>
      <c r="I569">
        <f>Weekly_Inspections!$AR569</f>
        <v/>
      </c>
      <c r="J569">
        <f>Weekly_Inspections!$AS569</f>
        <v/>
      </c>
      <c r="K569">
        <f>Weekly_Inspections!$AU569</f>
        <v/>
      </c>
      <c r="L569" s="47">
        <f>Weekly_Inspections!$AV569</f>
        <v/>
      </c>
      <c r="M569">
        <f>IF($B569="","",IF($N569&lt;&gt;"","Closed",IF(OR($G569&lt;&gt;"",$I569&lt;&gt;"",$J569&lt;&gt;""),"Open","")))</f>
        <v/>
      </c>
      <c r="N569" s="47" t="n"/>
      <c r="O569">
        <f>IF($B569="","",IF($M569="Closed",IF($N569="","",$N569-$B569),TODAY()-$B569))</f>
        <v/>
      </c>
      <c r="P569">
        <f>IF(OR($B569="",$L569="",$M569="Closed"),"",IF(TODAY()&gt;$L569,"YES","NO"))</f>
        <v/>
      </c>
      <c r="Q569">
        <f>Weekly_Inspections!$AW569</f>
        <v/>
      </c>
    </row>
    <row r="570" ht="15" customHeight="1" s="45">
      <c r="A570">
        <f>IF(Weekly_Inspections!$B570="","",Weekly_Inspections!$A570&amp;"-A1")</f>
        <v/>
      </c>
      <c r="B570" s="47">
        <f>Weekly_Inspections!$B570</f>
        <v/>
      </c>
      <c r="C570">
        <f>Weekly_Inspections!$E570</f>
        <v/>
      </c>
      <c r="D570">
        <f>Weekly_Inspections!$F570</f>
        <v/>
      </c>
      <c r="E570">
        <f>Weekly_Inspections!$H570</f>
        <v/>
      </c>
      <c r="F570">
        <f>IF(Weekly_Inspections!$AX570&lt;&gt;"",Weekly_Inspections!$AX570,IF(Weekly_Inspections!$AY570&lt;&gt;"",Weekly_Inspections!$AY570,IF(Weekly_Inspections!$AZ570&lt;&gt;"",Weekly_Inspections!$AZ570,IF(Weekly_Inspections!$BA570&lt;&gt;"",Weekly_Inspections!$BA570,IF(Weekly_Inspections!$BB570&lt;&gt;"",Weekly_Inspections!$BB570,Weekly_Inspections!$R570)))))</f>
        <v/>
      </c>
      <c r="G570">
        <f>IF(OR(Weekly_Inspections!$AQ570&lt;&gt;"",Weekly_Inspections!$AR570&lt;&gt;"",Weekly_Inspections!$AS570&lt;&gt;""),Weekly_Inspections!$AQ570,"")</f>
        <v/>
      </c>
      <c r="H570">
        <f>Weekly_Inspections!$AP570</f>
        <v/>
      </c>
      <c r="I570">
        <f>Weekly_Inspections!$AR570</f>
        <v/>
      </c>
      <c r="J570">
        <f>Weekly_Inspections!$AS570</f>
        <v/>
      </c>
      <c r="K570">
        <f>Weekly_Inspections!$AU570</f>
        <v/>
      </c>
      <c r="L570" s="47">
        <f>Weekly_Inspections!$AV570</f>
        <v/>
      </c>
      <c r="M570">
        <f>IF($B570="","",IF($N570&lt;&gt;"","Closed",IF(OR($G570&lt;&gt;"",$I570&lt;&gt;"",$J570&lt;&gt;""),"Open","")))</f>
        <v/>
      </c>
      <c r="N570" s="47" t="n"/>
      <c r="O570">
        <f>IF($B570="","",IF($M570="Closed",IF($N570="","",$N570-$B570),TODAY()-$B570))</f>
        <v/>
      </c>
      <c r="P570">
        <f>IF(OR($B570="",$L570="",$M570="Closed"),"",IF(TODAY()&gt;$L570,"YES","NO"))</f>
        <v/>
      </c>
      <c r="Q570">
        <f>Weekly_Inspections!$AW570</f>
        <v/>
      </c>
    </row>
    <row r="571" ht="15" customHeight="1" s="45">
      <c r="A571">
        <f>IF(Weekly_Inspections!$B571="","",Weekly_Inspections!$A571&amp;"-A1")</f>
        <v/>
      </c>
      <c r="B571" s="47">
        <f>Weekly_Inspections!$B571</f>
        <v/>
      </c>
      <c r="C571">
        <f>Weekly_Inspections!$E571</f>
        <v/>
      </c>
      <c r="D571">
        <f>Weekly_Inspections!$F571</f>
        <v/>
      </c>
      <c r="E571">
        <f>Weekly_Inspections!$H571</f>
        <v/>
      </c>
      <c r="F571">
        <f>IF(Weekly_Inspections!$AX571&lt;&gt;"",Weekly_Inspections!$AX571,IF(Weekly_Inspections!$AY571&lt;&gt;"",Weekly_Inspections!$AY571,IF(Weekly_Inspections!$AZ571&lt;&gt;"",Weekly_Inspections!$AZ571,IF(Weekly_Inspections!$BA571&lt;&gt;"",Weekly_Inspections!$BA571,IF(Weekly_Inspections!$BB571&lt;&gt;"",Weekly_Inspections!$BB571,Weekly_Inspections!$R571)))))</f>
        <v/>
      </c>
      <c r="G571">
        <f>IF(OR(Weekly_Inspections!$AQ571&lt;&gt;"",Weekly_Inspections!$AR571&lt;&gt;"",Weekly_Inspections!$AS571&lt;&gt;""),Weekly_Inspections!$AQ571,"")</f>
        <v/>
      </c>
      <c r="H571">
        <f>Weekly_Inspections!$AP571</f>
        <v/>
      </c>
      <c r="I571">
        <f>Weekly_Inspections!$AR571</f>
        <v/>
      </c>
      <c r="J571">
        <f>Weekly_Inspections!$AS571</f>
        <v/>
      </c>
      <c r="K571">
        <f>Weekly_Inspections!$AU571</f>
        <v/>
      </c>
      <c r="L571" s="47">
        <f>Weekly_Inspections!$AV571</f>
        <v/>
      </c>
      <c r="M571">
        <f>IF($B571="","",IF($N571&lt;&gt;"","Closed",IF(OR($G571&lt;&gt;"",$I571&lt;&gt;"",$J571&lt;&gt;""),"Open","")))</f>
        <v/>
      </c>
      <c r="N571" s="47" t="n"/>
      <c r="O571">
        <f>IF($B571="","",IF($M571="Closed",IF($N571="","",$N571-$B571),TODAY()-$B571))</f>
        <v/>
      </c>
      <c r="P571">
        <f>IF(OR($B571="",$L571="",$M571="Closed"),"",IF(TODAY()&gt;$L571,"YES","NO"))</f>
        <v/>
      </c>
      <c r="Q571">
        <f>Weekly_Inspections!$AW571</f>
        <v/>
      </c>
    </row>
    <row r="572" ht="15" customHeight="1" s="45">
      <c r="A572">
        <f>IF(Weekly_Inspections!$B572="","",Weekly_Inspections!$A572&amp;"-A1")</f>
        <v/>
      </c>
      <c r="B572" s="47">
        <f>Weekly_Inspections!$B572</f>
        <v/>
      </c>
      <c r="C572">
        <f>Weekly_Inspections!$E572</f>
        <v/>
      </c>
      <c r="D572">
        <f>Weekly_Inspections!$F572</f>
        <v/>
      </c>
      <c r="E572">
        <f>Weekly_Inspections!$H572</f>
        <v/>
      </c>
      <c r="F572">
        <f>IF(Weekly_Inspections!$AX572&lt;&gt;"",Weekly_Inspections!$AX572,IF(Weekly_Inspections!$AY572&lt;&gt;"",Weekly_Inspections!$AY572,IF(Weekly_Inspections!$AZ572&lt;&gt;"",Weekly_Inspections!$AZ572,IF(Weekly_Inspections!$BA572&lt;&gt;"",Weekly_Inspections!$BA572,IF(Weekly_Inspections!$BB572&lt;&gt;"",Weekly_Inspections!$BB572,Weekly_Inspections!$R572)))))</f>
        <v/>
      </c>
      <c r="G572">
        <f>IF(OR(Weekly_Inspections!$AQ572&lt;&gt;"",Weekly_Inspections!$AR572&lt;&gt;"",Weekly_Inspections!$AS572&lt;&gt;""),Weekly_Inspections!$AQ572,"")</f>
        <v/>
      </c>
      <c r="H572">
        <f>Weekly_Inspections!$AP572</f>
        <v/>
      </c>
      <c r="I572">
        <f>Weekly_Inspections!$AR572</f>
        <v/>
      </c>
      <c r="J572">
        <f>Weekly_Inspections!$AS572</f>
        <v/>
      </c>
      <c r="K572">
        <f>Weekly_Inspections!$AU572</f>
        <v/>
      </c>
      <c r="L572" s="47">
        <f>Weekly_Inspections!$AV572</f>
        <v/>
      </c>
      <c r="M572">
        <f>IF($B572="","",IF($N572&lt;&gt;"","Closed",IF(OR($G572&lt;&gt;"",$I572&lt;&gt;"",$J572&lt;&gt;""),"Open","")))</f>
        <v/>
      </c>
      <c r="N572" s="47" t="n"/>
      <c r="O572">
        <f>IF($B572="","",IF($M572="Closed",IF($N572="","",$N572-$B572),TODAY()-$B572))</f>
        <v/>
      </c>
      <c r="P572">
        <f>IF(OR($B572="",$L572="",$M572="Closed"),"",IF(TODAY()&gt;$L572,"YES","NO"))</f>
        <v/>
      </c>
      <c r="Q572">
        <f>Weekly_Inspections!$AW572</f>
        <v/>
      </c>
    </row>
    <row r="573" ht="15" customHeight="1" s="45">
      <c r="A573">
        <f>IF(Weekly_Inspections!$B573="","",Weekly_Inspections!$A573&amp;"-A1")</f>
        <v/>
      </c>
      <c r="B573" s="47">
        <f>Weekly_Inspections!$B573</f>
        <v/>
      </c>
      <c r="C573">
        <f>Weekly_Inspections!$E573</f>
        <v/>
      </c>
      <c r="D573">
        <f>Weekly_Inspections!$F573</f>
        <v/>
      </c>
      <c r="E573">
        <f>Weekly_Inspections!$H573</f>
        <v/>
      </c>
      <c r="F573">
        <f>IF(Weekly_Inspections!$AX573&lt;&gt;"",Weekly_Inspections!$AX573,IF(Weekly_Inspections!$AY573&lt;&gt;"",Weekly_Inspections!$AY573,IF(Weekly_Inspections!$AZ573&lt;&gt;"",Weekly_Inspections!$AZ573,IF(Weekly_Inspections!$BA573&lt;&gt;"",Weekly_Inspections!$BA573,IF(Weekly_Inspections!$BB573&lt;&gt;"",Weekly_Inspections!$BB573,Weekly_Inspections!$R573)))))</f>
        <v/>
      </c>
      <c r="G573">
        <f>IF(OR(Weekly_Inspections!$AQ573&lt;&gt;"",Weekly_Inspections!$AR573&lt;&gt;"",Weekly_Inspections!$AS573&lt;&gt;""),Weekly_Inspections!$AQ573,"")</f>
        <v/>
      </c>
      <c r="H573">
        <f>Weekly_Inspections!$AP573</f>
        <v/>
      </c>
      <c r="I573">
        <f>Weekly_Inspections!$AR573</f>
        <v/>
      </c>
      <c r="J573">
        <f>Weekly_Inspections!$AS573</f>
        <v/>
      </c>
      <c r="K573">
        <f>Weekly_Inspections!$AU573</f>
        <v/>
      </c>
      <c r="L573" s="47">
        <f>Weekly_Inspections!$AV573</f>
        <v/>
      </c>
      <c r="M573">
        <f>IF($B573="","",IF($N573&lt;&gt;"","Closed",IF(OR($G573&lt;&gt;"",$I573&lt;&gt;"",$J573&lt;&gt;""),"Open","")))</f>
        <v/>
      </c>
      <c r="N573" s="47" t="n"/>
      <c r="O573">
        <f>IF($B573="","",IF($M573="Closed",IF($N573="","",$N573-$B573),TODAY()-$B573))</f>
        <v/>
      </c>
      <c r="P573">
        <f>IF(OR($B573="",$L573="",$M573="Closed"),"",IF(TODAY()&gt;$L573,"YES","NO"))</f>
        <v/>
      </c>
      <c r="Q573">
        <f>Weekly_Inspections!$AW573</f>
        <v/>
      </c>
    </row>
    <row r="574" ht="15" customHeight="1" s="45">
      <c r="A574">
        <f>IF(Weekly_Inspections!$B574="","",Weekly_Inspections!$A574&amp;"-A1")</f>
        <v/>
      </c>
      <c r="B574" s="47">
        <f>Weekly_Inspections!$B574</f>
        <v/>
      </c>
      <c r="C574">
        <f>Weekly_Inspections!$E574</f>
        <v/>
      </c>
      <c r="D574">
        <f>Weekly_Inspections!$F574</f>
        <v/>
      </c>
      <c r="E574">
        <f>Weekly_Inspections!$H574</f>
        <v/>
      </c>
      <c r="F574">
        <f>IF(Weekly_Inspections!$AX574&lt;&gt;"",Weekly_Inspections!$AX574,IF(Weekly_Inspections!$AY574&lt;&gt;"",Weekly_Inspections!$AY574,IF(Weekly_Inspections!$AZ574&lt;&gt;"",Weekly_Inspections!$AZ574,IF(Weekly_Inspections!$BA574&lt;&gt;"",Weekly_Inspections!$BA574,IF(Weekly_Inspections!$BB574&lt;&gt;"",Weekly_Inspections!$BB574,Weekly_Inspections!$R574)))))</f>
        <v/>
      </c>
      <c r="G574">
        <f>IF(OR(Weekly_Inspections!$AQ574&lt;&gt;"",Weekly_Inspections!$AR574&lt;&gt;"",Weekly_Inspections!$AS574&lt;&gt;""),Weekly_Inspections!$AQ574,"")</f>
        <v/>
      </c>
      <c r="H574">
        <f>Weekly_Inspections!$AP574</f>
        <v/>
      </c>
      <c r="I574">
        <f>Weekly_Inspections!$AR574</f>
        <v/>
      </c>
      <c r="J574">
        <f>Weekly_Inspections!$AS574</f>
        <v/>
      </c>
      <c r="K574">
        <f>Weekly_Inspections!$AU574</f>
        <v/>
      </c>
      <c r="L574" s="47">
        <f>Weekly_Inspections!$AV574</f>
        <v/>
      </c>
      <c r="M574">
        <f>IF($B574="","",IF($N574&lt;&gt;"","Closed",IF(OR($G574&lt;&gt;"",$I574&lt;&gt;"",$J574&lt;&gt;""),"Open","")))</f>
        <v/>
      </c>
      <c r="N574" s="47" t="n"/>
      <c r="O574">
        <f>IF($B574="","",IF($M574="Closed",IF($N574="","",$N574-$B574),TODAY()-$B574))</f>
        <v/>
      </c>
      <c r="P574">
        <f>IF(OR($B574="",$L574="",$M574="Closed"),"",IF(TODAY()&gt;$L574,"YES","NO"))</f>
        <v/>
      </c>
      <c r="Q574">
        <f>Weekly_Inspections!$AW574</f>
        <v/>
      </c>
    </row>
    <row r="575" ht="15" customHeight="1" s="45">
      <c r="A575">
        <f>IF(Weekly_Inspections!$B575="","",Weekly_Inspections!$A575&amp;"-A1")</f>
        <v/>
      </c>
      <c r="B575" s="47">
        <f>Weekly_Inspections!$B575</f>
        <v/>
      </c>
      <c r="C575">
        <f>Weekly_Inspections!$E575</f>
        <v/>
      </c>
      <c r="D575">
        <f>Weekly_Inspections!$F575</f>
        <v/>
      </c>
      <c r="E575">
        <f>Weekly_Inspections!$H575</f>
        <v/>
      </c>
      <c r="F575">
        <f>IF(Weekly_Inspections!$AX575&lt;&gt;"",Weekly_Inspections!$AX575,IF(Weekly_Inspections!$AY575&lt;&gt;"",Weekly_Inspections!$AY575,IF(Weekly_Inspections!$AZ575&lt;&gt;"",Weekly_Inspections!$AZ575,IF(Weekly_Inspections!$BA575&lt;&gt;"",Weekly_Inspections!$BA575,IF(Weekly_Inspections!$BB575&lt;&gt;"",Weekly_Inspections!$BB575,Weekly_Inspections!$R575)))))</f>
        <v/>
      </c>
      <c r="G575">
        <f>IF(OR(Weekly_Inspections!$AQ575&lt;&gt;"",Weekly_Inspections!$AR575&lt;&gt;"",Weekly_Inspections!$AS575&lt;&gt;""),Weekly_Inspections!$AQ575,"")</f>
        <v/>
      </c>
      <c r="H575">
        <f>Weekly_Inspections!$AP575</f>
        <v/>
      </c>
      <c r="I575">
        <f>Weekly_Inspections!$AR575</f>
        <v/>
      </c>
      <c r="J575">
        <f>Weekly_Inspections!$AS575</f>
        <v/>
      </c>
      <c r="K575">
        <f>Weekly_Inspections!$AU575</f>
        <v/>
      </c>
      <c r="L575" s="47">
        <f>Weekly_Inspections!$AV575</f>
        <v/>
      </c>
      <c r="M575">
        <f>IF($B575="","",IF($N575&lt;&gt;"","Closed",IF(OR($G575&lt;&gt;"",$I575&lt;&gt;"",$J575&lt;&gt;""),"Open","")))</f>
        <v/>
      </c>
      <c r="N575" s="47" t="n"/>
      <c r="O575">
        <f>IF($B575="","",IF($M575="Closed",IF($N575="","",$N575-$B575),TODAY()-$B575))</f>
        <v/>
      </c>
      <c r="P575">
        <f>IF(OR($B575="",$L575="",$M575="Closed"),"",IF(TODAY()&gt;$L575,"YES","NO"))</f>
        <v/>
      </c>
      <c r="Q575">
        <f>Weekly_Inspections!$AW575</f>
        <v/>
      </c>
    </row>
    <row r="576" ht="15" customHeight="1" s="45">
      <c r="A576">
        <f>IF(Weekly_Inspections!$B576="","",Weekly_Inspections!$A576&amp;"-A1")</f>
        <v/>
      </c>
      <c r="B576" s="47">
        <f>Weekly_Inspections!$B576</f>
        <v/>
      </c>
      <c r="C576">
        <f>Weekly_Inspections!$E576</f>
        <v/>
      </c>
      <c r="D576">
        <f>Weekly_Inspections!$F576</f>
        <v/>
      </c>
      <c r="E576">
        <f>Weekly_Inspections!$H576</f>
        <v/>
      </c>
      <c r="F576">
        <f>IF(Weekly_Inspections!$AX576&lt;&gt;"",Weekly_Inspections!$AX576,IF(Weekly_Inspections!$AY576&lt;&gt;"",Weekly_Inspections!$AY576,IF(Weekly_Inspections!$AZ576&lt;&gt;"",Weekly_Inspections!$AZ576,IF(Weekly_Inspections!$BA576&lt;&gt;"",Weekly_Inspections!$BA576,IF(Weekly_Inspections!$BB576&lt;&gt;"",Weekly_Inspections!$BB576,Weekly_Inspections!$R576)))))</f>
        <v/>
      </c>
      <c r="G576">
        <f>IF(OR(Weekly_Inspections!$AQ576&lt;&gt;"",Weekly_Inspections!$AR576&lt;&gt;"",Weekly_Inspections!$AS576&lt;&gt;""),Weekly_Inspections!$AQ576,"")</f>
        <v/>
      </c>
      <c r="H576">
        <f>Weekly_Inspections!$AP576</f>
        <v/>
      </c>
      <c r="I576">
        <f>Weekly_Inspections!$AR576</f>
        <v/>
      </c>
      <c r="J576">
        <f>Weekly_Inspections!$AS576</f>
        <v/>
      </c>
      <c r="K576">
        <f>Weekly_Inspections!$AU576</f>
        <v/>
      </c>
      <c r="L576" s="47">
        <f>Weekly_Inspections!$AV576</f>
        <v/>
      </c>
      <c r="M576">
        <f>IF($B576="","",IF($N576&lt;&gt;"","Closed",IF(OR($G576&lt;&gt;"",$I576&lt;&gt;"",$J576&lt;&gt;""),"Open","")))</f>
        <v/>
      </c>
      <c r="N576" s="47" t="n"/>
      <c r="O576">
        <f>IF($B576="","",IF($M576="Closed",IF($N576="","",$N576-$B576),TODAY()-$B576))</f>
        <v/>
      </c>
      <c r="P576">
        <f>IF(OR($B576="",$L576="",$M576="Closed"),"",IF(TODAY()&gt;$L576,"YES","NO"))</f>
        <v/>
      </c>
      <c r="Q576">
        <f>Weekly_Inspections!$AW576</f>
        <v/>
      </c>
    </row>
    <row r="577" ht="15" customHeight="1" s="45">
      <c r="A577">
        <f>IF(Weekly_Inspections!$B577="","",Weekly_Inspections!$A577&amp;"-A1")</f>
        <v/>
      </c>
      <c r="B577" s="47">
        <f>Weekly_Inspections!$B577</f>
        <v/>
      </c>
      <c r="C577">
        <f>Weekly_Inspections!$E577</f>
        <v/>
      </c>
      <c r="D577">
        <f>Weekly_Inspections!$F577</f>
        <v/>
      </c>
      <c r="E577">
        <f>Weekly_Inspections!$H577</f>
        <v/>
      </c>
      <c r="F577">
        <f>IF(Weekly_Inspections!$AX577&lt;&gt;"",Weekly_Inspections!$AX577,IF(Weekly_Inspections!$AY577&lt;&gt;"",Weekly_Inspections!$AY577,IF(Weekly_Inspections!$AZ577&lt;&gt;"",Weekly_Inspections!$AZ577,IF(Weekly_Inspections!$BA577&lt;&gt;"",Weekly_Inspections!$BA577,IF(Weekly_Inspections!$BB577&lt;&gt;"",Weekly_Inspections!$BB577,Weekly_Inspections!$R577)))))</f>
        <v/>
      </c>
      <c r="G577">
        <f>IF(OR(Weekly_Inspections!$AQ577&lt;&gt;"",Weekly_Inspections!$AR577&lt;&gt;"",Weekly_Inspections!$AS577&lt;&gt;""),Weekly_Inspections!$AQ577,"")</f>
        <v/>
      </c>
      <c r="H577">
        <f>Weekly_Inspections!$AP577</f>
        <v/>
      </c>
      <c r="I577">
        <f>Weekly_Inspections!$AR577</f>
        <v/>
      </c>
      <c r="J577">
        <f>Weekly_Inspections!$AS577</f>
        <v/>
      </c>
      <c r="K577">
        <f>Weekly_Inspections!$AU577</f>
        <v/>
      </c>
      <c r="L577" s="47">
        <f>Weekly_Inspections!$AV577</f>
        <v/>
      </c>
      <c r="M577">
        <f>IF($B577="","",IF($N577&lt;&gt;"","Closed",IF(OR($G577&lt;&gt;"",$I577&lt;&gt;"",$J577&lt;&gt;""),"Open","")))</f>
        <v/>
      </c>
      <c r="N577" s="47" t="n"/>
      <c r="O577">
        <f>IF($B577="","",IF($M577="Closed",IF($N577="","",$N577-$B577),TODAY()-$B577))</f>
        <v/>
      </c>
      <c r="P577">
        <f>IF(OR($B577="",$L577="",$M577="Closed"),"",IF(TODAY()&gt;$L577,"YES","NO"))</f>
        <v/>
      </c>
      <c r="Q577">
        <f>Weekly_Inspections!$AW577</f>
        <v/>
      </c>
    </row>
    <row r="578" ht="15" customHeight="1" s="45">
      <c r="A578">
        <f>IF(Weekly_Inspections!$B578="","",Weekly_Inspections!$A578&amp;"-A1")</f>
        <v/>
      </c>
      <c r="B578" s="47">
        <f>Weekly_Inspections!$B578</f>
        <v/>
      </c>
      <c r="C578">
        <f>Weekly_Inspections!$E578</f>
        <v/>
      </c>
      <c r="D578">
        <f>Weekly_Inspections!$F578</f>
        <v/>
      </c>
      <c r="E578">
        <f>Weekly_Inspections!$H578</f>
        <v/>
      </c>
      <c r="F578">
        <f>IF(Weekly_Inspections!$AX578&lt;&gt;"",Weekly_Inspections!$AX578,IF(Weekly_Inspections!$AY578&lt;&gt;"",Weekly_Inspections!$AY578,IF(Weekly_Inspections!$AZ578&lt;&gt;"",Weekly_Inspections!$AZ578,IF(Weekly_Inspections!$BA578&lt;&gt;"",Weekly_Inspections!$BA578,IF(Weekly_Inspections!$BB578&lt;&gt;"",Weekly_Inspections!$BB578,Weekly_Inspections!$R578)))))</f>
        <v/>
      </c>
      <c r="G578">
        <f>IF(OR(Weekly_Inspections!$AQ578&lt;&gt;"",Weekly_Inspections!$AR578&lt;&gt;"",Weekly_Inspections!$AS578&lt;&gt;""),Weekly_Inspections!$AQ578,"")</f>
        <v/>
      </c>
      <c r="H578">
        <f>Weekly_Inspections!$AP578</f>
        <v/>
      </c>
      <c r="I578">
        <f>Weekly_Inspections!$AR578</f>
        <v/>
      </c>
      <c r="J578">
        <f>Weekly_Inspections!$AS578</f>
        <v/>
      </c>
      <c r="K578">
        <f>Weekly_Inspections!$AU578</f>
        <v/>
      </c>
      <c r="L578" s="47">
        <f>Weekly_Inspections!$AV578</f>
        <v/>
      </c>
      <c r="M578">
        <f>IF($B578="","",IF($N578&lt;&gt;"","Closed",IF(OR($G578&lt;&gt;"",$I578&lt;&gt;"",$J578&lt;&gt;""),"Open","")))</f>
        <v/>
      </c>
      <c r="N578" s="47" t="n"/>
      <c r="O578">
        <f>IF($B578="","",IF($M578="Closed",IF($N578="","",$N578-$B578),TODAY()-$B578))</f>
        <v/>
      </c>
      <c r="P578">
        <f>IF(OR($B578="",$L578="",$M578="Closed"),"",IF(TODAY()&gt;$L578,"YES","NO"))</f>
        <v/>
      </c>
      <c r="Q578">
        <f>Weekly_Inspections!$AW578</f>
        <v/>
      </c>
    </row>
    <row r="579" ht="15" customHeight="1" s="45">
      <c r="A579">
        <f>IF(Weekly_Inspections!$B579="","",Weekly_Inspections!$A579&amp;"-A1")</f>
        <v/>
      </c>
      <c r="B579" s="47">
        <f>Weekly_Inspections!$B579</f>
        <v/>
      </c>
      <c r="C579">
        <f>Weekly_Inspections!$E579</f>
        <v/>
      </c>
      <c r="D579">
        <f>Weekly_Inspections!$F579</f>
        <v/>
      </c>
      <c r="E579">
        <f>Weekly_Inspections!$H579</f>
        <v/>
      </c>
      <c r="F579">
        <f>IF(Weekly_Inspections!$AX579&lt;&gt;"",Weekly_Inspections!$AX579,IF(Weekly_Inspections!$AY579&lt;&gt;"",Weekly_Inspections!$AY579,IF(Weekly_Inspections!$AZ579&lt;&gt;"",Weekly_Inspections!$AZ579,IF(Weekly_Inspections!$BA579&lt;&gt;"",Weekly_Inspections!$BA579,IF(Weekly_Inspections!$BB579&lt;&gt;"",Weekly_Inspections!$BB579,Weekly_Inspections!$R579)))))</f>
        <v/>
      </c>
      <c r="G579">
        <f>IF(OR(Weekly_Inspections!$AQ579&lt;&gt;"",Weekly_Inspections!$AR579&lt;&gt;"",Weekly_Inspections!$AS579&lt;&gt;""),Weekly_Inspections!$AQ579,"")</f>
        <v/>
      </c>
      <c r="H579">
        <f>Weekly_Inspections!$AP579</f>
        <v/>
      </c>
      <c r="I579">
        <f>Weekly_Inspections!$AR579</f>
        <v/>
      </c>
      <c r="J579">
        <f>Weekly_Inspections!$AS579</f>
        <v/>
      </c>
      <c r="K579">
        <f>Weekly_Inspections!$AU579</f>
        <v/>
      </c>
      <c r="L579" s="47">
        <f>Weekly_Inspections!$AV579</f>
        <v/>
      </c>
      <c r="M579">
        <f>IF($B579="","",IF($N579&lt;&gt;"","Closed",IF(OR($G579&lt;&gt;"",$I579&lt;&gt;"",$J579&lt;&gt;""),"Open","")))</f>
        <v/>
      </c>
      <c r="N579" s="47" t="n"/>
      <c r="O579">
        <f>IF($B579="","",IF($M579="Closed",IF($N579="","",$N579-$B579),TODAY()-$B579))</f>
        <v/>
      </c>
      <c r="P579">
        <f>IF(OR($B579="",$L579="",$M579="Closed"),"",IF(TODAY()&gt;$L579,"YES","NO"))</f>
        <v/>
      </c>
      <c r="Q579">
        <f>Weekly_Inspections!$AW579</f>
        <v/>
      </c>
    </row>
    <row r="580" ht="15" customHeight="1" s="45">
      <c r="A580">
        <f>IF(Weekly_Inspections!$B580="","",Weekly_Inspections!$A580&amp;"-A1")</f>
        <v/>
      </c>
      <c r="B580" s="47">
        <f>Weekly_Inspections!$B580</f>
        <v/>
      </c>
      <c r="C580">
        <f>Weekly_Inspections!$E580</f>
        <v/>
      </c>
      <c r="D580">
        <f>Weekly_Inspections!$F580</f>
        <v/>
      </c>
      <c r="E580">
        <f>Weekly_Inspections!$H580</f>
        <v/>
      </c>
      <c r="F580">
        <f>IF(Weekly_Inspections!$AX580&lt;&gt;"",Weekly_Inspections!$AX580,IF(Weekly_Inspections!$AY580&lt;&gt;"",Weekly_Inspections!$AY580,IF(Weekly_Inspections!$AZ580&lt;&gt;"",Weekly_Inspections!$AZ580,IF(Weekly_Inspections!$BA580&lt;&gt;"",Weekly_Inspections!$BA580,IF(Weekly_Inspections!$BB580&lt;&gt;"",Weekly_Inspections!$BB580,Weekly_Inspections!$R580)))))</f>
        <v/>
      </c>
      <c r="G580">
        <f>IF(OR(Weekly_Inspections!$AQ580&lt;&gt;"",Weekly_Inspections!$AR580&lt;&gt;"",Weekly_Inspections!$AS580&lt;&gt;""),Weekly_Inspections!$AQ580,"")</f>
        <v/>
      </c>
      <c r="H580">
        <f>Weekly_Inspections!$AP580</f>
        <v/>
      </c>
      <c r="I580">
        <f>Weekly_Inspections!$AR580</f>
        <v/>
      </c>
      <c r="J580">
        <f>Weekly_Inspections!$AS580</f>
        <v/>
      </c>
      <c r="K580">
        <f>Weekly_Inspections!$AU580</f>
        <v/>
      </c>
      <c r="L580" s="47">
        <f>Weekly_Inspections!$AV580</f>
        <v/>
      </c>
      <c r="M580">
        <f>IF($B580="","",IF($N580&lt;&gt;"","Closed",IF(OR($G580&lt;&gt;"",$I580&lt;&gt;"",$J580&lt;&gt;""),"Open","")))</f>
        <v/>
      </c>
      <c r="N580" s="47" t="n"/>
      <c r="O580">
        <f>IF($B580="","",IF($M580="Closed",IF($N580="","",$N580-$B580),TODAY()-$B580))</f>
        <v/>
      </c>
      <c r="P580">
        <f>IF(OR($B580="",$L580="",$M580="Closed"),"",IF(TODAY()&gt;$L580,"YES","NO"))</f>
        <v/>
      </c>
      <c r="Q580">
        <f>Weekly_Inspections!$AW580</f>
        <v/>
      </c>
    </row>
    <row r="581" ht="15" customHeight="1" s="45">
      <c r="A581">
        <f>IF(Weekly_Inspections!$B581="","",Weekly_Inspections!$A581&amp;"-A1")</f>
        <v/>
      </c>
      <c r="B581" s="47">
        <f>Weekly_Inspections!$B581</f>
        <v/>
      </c>
      <c r="C581">
        <f>Weekly_Inspections!$E581</f>
        <v/>
      </c>
      <c r="D581">
        <f>Weekly_Inspections!$F581</f>
        <v/>
      </c>
      <c r="E581">
        <f>Weekly_Inspections!$H581</f>
        <v/>
      </c>
      <c r="F581">
        <f>IF(Weekly_Inspections!$AX581&lt;&gt;"",Weekly_Inspections!$AX581,IF(Weekly_Inspections!$AY581&lt;&gt;"",Weekly_Inspections!$AY581,IF(Weekly_Inspections!$AZ581&lt;&gt;"",Weekly_Inspections!$AZ581,IF(Weekly_Inspections!$BA581&lt;&gt;"",Weekly_Inspections!$BA581,IF(Weekly_Inspections!$BB581&lt;&gt;"",Weekly_Inspections!$BB581,Weekly_Inspections!$R581)))))</f>
        <v/>
      </c>
      <c r="G581">
        <f>IF(OR(Weekly_Inspections!$AQ581&lt;&gt;"",Weekly_Inspections!$AR581&lt;&gt;"",Weekly_Inspections!$AS581&lt;&gt;""),Weekly_Inspections!$AQ581,"")</f>
        <v/>
      </c>
      <c r="H581">
        <f>Weekly_Inspections!$AP581</f>
        <v/>
      </c>
      <c r="I581">
        <f>Weekly_Inspections!$AR581</f>
        <v/>
      </c>
      <c r="J581">
        <f>Weekly_Inspections!$AS581</f>
        <v/>
      </c>
      <c r="K581">
        <f>Weekly_Inspections!$AU581</f>
        <v/>
      </c>
      <c r="L581" s="47">
        <f>Weekly_Inspections!$AV581</f>
        <v/>
      </c>
      <c r="M581">
        <f>IF($B581="","",IF($N581&lt;&gt;"","Closed",IF(OR($G581&lt;&gt;"",$I581&lt;&gt;"",$J581&lt;&gt;""),"Open","")))</f>
        <v/>
      </c>
      <c r="N581" s="47" t="n"/>
      <c r="O581">
        <f>IF($B581="","",IF($M581="Closed",IF($N581="","",$N581-$B581),TODAY()-$B581))</f>
        <v/>
      </c>
      <c r="P581">
        <f>IF(OR($B581="",$L581="",$M581="Closed"),"",IF(TODAY()&gt;$L581,"YES","NO"))</f>
        <v/>
      </c>
      <c r="Q581">
        <f>Weekly_Inspections!$AW581</f>
        <v/>
      </c>
    </row>
    <row r="582" ht="15" customHeight="1" s="45">
      <c r="A582">
        <f>IF(Weekly_Inspections!$B582="","",Weekly_Inspections!$A582&amp;"-A1")</f>
        <v/>
      </c>
      <c r="B582" s="47">
        <f>Weekly_Inspections!$B582</f>
        <v/>
      </c>
      <c r="C582">
        <f>Weekly_Inspections!$E582</f>
        <v/>
      </c>
      <c r="D582">
        <f>Weekly_Inspections!$F582</f>
        <v/>
      </c>
      <c r="E582">
        <f>Weekly_Inspections!$H582</f>
        <v/>
      </c>
      <c r="F582">
        <f>IF(Weekly_Inspections!$AX582&lt;&gt;"",Weekly_Inspections!$AX582,IF(Weekly_Inspections!$AY582&lt;&gt;"",Weekly_Inspections!$AY582,IF(Weekly_Inspections!$AZ582&lt;&gt;"",Weekly_Inspections!$AZ582,IF(Weekly_Inspections!$BA582&lt;&gt;"",Weekly_Inspections!$BA582,IF(Weekly_Inspections!$BB582&lt;&gt;"",Weekly_Inspections!$BB582,Weekly_Inspections!$R582)))))</f>
        <v/>
      </c>
      <c r="G582">
        <f>IF(OR(Weekly_Inspections!$AQ582&lt;&gt;"",Weekly_Inspections!$AR582&lt;&gt;"",Weekly_Inspections!$AS582&lt;&gt;""),Weekly_Inspections!$AQ582,"")</f>
        <v/>
      </c>
      <c r="H582">
        <f>Weekly_Inspections!$AP582</f>
        <v/>
      </c>
      <c r="I582">
        <f>Weekly_Inspections!$AR582</f>
        <v/>
      </c>
      <c r="J582">
        <f>Weekly_Inspections!$AS582</f>
        <v/>
      </c>
      <c r="K582">
        <f>Weekly_Inspections!$AU582</f>
        <v/>
      </c>
      <c r="L582" s="47">
        <f>Weekly_Inspections!$AV582</f>
        <v/>
      </c>
      <c r="M582">
        <f>IF($B582="","",IF($N582&lt;&gt;"","Closed",IF(OR($G582&lt;&gt;"",$I582&lt;&gt;"",$J582&lt;&gt;""),"Open","")))</f>
        <v/>
      </c>
      <c r="N582" s="47" t="n"/>
      <c r="O582">
        <f>IF($B582="","",IF($M582="Closed",IF($N582="","",$N582-$B582),TODAY()-$B582))</f>
        <v/>
      </c>
      <c r="P582">
        <f>IF(OR($B582="",$L582="",$M582="Closed"),"",IF(TODAY()&gt;$L582,"YES","NO"))</f>
        <v/>
      </c>
      <c r="Q582">
        <f>Weekly_Inspections!$AW582</f>
        <v/>
      </c>
    </row>
    <row r="583" ht="15" customHeight="1" s="45">
      <c r="A583">
        <f>IF(Weekly_Inspections!$B583="","",Weekly_Inspections!$A583&amp;"-A1")</f>
        <v/>
      </c>
      <c r="B583" s="47">
        <f>Weekly_Inspections!$B583</f>
        <v/>
      </c>
      <c r="C583">
        <f>Weekly_Inspections!$E583</f>
        <v/>
      </c>
      <c r="D583">
        <f>Weekly_Inspections!$F583</f>
        <v/>
      </c>
      <c r="E583">
        <f>Weekly_Inspections!$H583</f>
        <v/>
      </c>
      <c r="F583">
        <f>IF(Weekly_Inspections!$AX583&lt;&gt;"",Weekly_Inspections!$AX583,IF(Weekly_Inspections!$AY583&lt;&gt;"",Weekly_Inspections!$AY583,IF(Weekly_Inspections!$AZ583&lt;&gt;"",Weekly_Inspections!$AZ583,IF(Weekly_Inspections!$BA583&lt;&gt;"",Weekly_Inspections!$BA583,IF(Weekly_Inspections!$BB583&lt;&gt;"",Weekly_Inspections!$BB583,Weekly_Inspections!$R583)))))</f>
        <v/>
      </c>
      <c r="G583">
        <f>IF(OR(Weekly_Inspections!$AQ583&lt;&gt;"",Weekly_Inspections!$AR583&lt;&gt;"",Weekly_Inspections!$AS583&lt;&gt;""),Weekly_Inspections!$AQ583,"")</f>
        <v/>
      </c>
      <c r="H583">
        <f>Weekly_Inspections!$AP583</f>
        <v/>
      </c>
      <c r="I583">
        <f>Weekly_Inspections!$AR583</f>
        <v/>
      </c>
      <c r="J583">
        <f>Weekly_Inspections!$AS583</f>
        <v/>
      </c>
      <c r="K583">
        <f>Weekly_Inspections!$AU583</f>
        <v/>
      </c>
      <c r="L583" s="47">
        <f>Weekly_Inspections!$AV583</f>
        <v/>
      </c>
      <c r="M583">
        <f>IF($B583="","",IF($N583&lt;&gt;"","Closed",IF(OR($G583&lt;&gt;"",$I583&lt;&gt;"",$J583&lt;&gt;""),"Open","")))</f>
        <v/>
      </c>
      <c r="N583" s="47" t="n"/>
      <c r="O583">
        <f>IF($B583="","",IF($M583="Closed",IF($N583="","",$N583-$B583),TODAY()-$B583))</f>
        <v/>
      </c>
      <c r="P583">
        <f>IF(OR($B583="",$L583="",$M583="Closed"),"",IF(TODAY()&gt;$L583,"YES","NO"))</f>
        <v/>
      </c>
      <c r="Q583">
        <f>Weekly_Inspections!$AW583</f>
        <v/>
      </c>
    </row>
    <row r="584" ht="15" customHeight="1" s="45">
      <c r="A584">
        <f>IF(Weekly_Inspections!$B584="","",Weekly_Inspections!$A584&amp;"-A1")</f>
        <v/>
      </c>
      <c r="B584" s="47">
        <f>Weekly_Inspections!$B584</f>
        <v/>
      </c>
      <c r="C584">
        <f>Weekly_Inspections!$E584</f>
        <v/>
      </c>
      <c r="D584">
        <f>Weekly_Inspections!$F584</f>
        <v/>
      </c>
      <c r="E584">
        <f>Weekly_Inspections!$H584</f>
        <v/>
      </c>
      <c r="F584">
        <f>IF(Weekly_Inspections!$AX584&lt;&gt;"",Weekly_Inspections!$AX584,IF(Weekly_Inspections!$AY584&lt;&gt;"",Weekly_Inspections!$AY584,IF(Weekly_Inspections!$AZ584&lt;&gt;"",Weekly_Inspections!$AZ584,IF(Weekly_Inspections!$BA584&lt;&gt;"",Weekly_Inspections!$BA584,IF(Weekly_Inspections!$BB584&lt;&gt;"",Weekly_Inspections!$BB584,Weekly_Inspections!$R584)))))</f>
        <v/>
      </c>
      <c r="G584">
        <f>IF(OR(Weekly_Inspections!$AQ584&lt;&gt;"",Weekly_Inspections!$AR584&lt;&gt;"",Weekly_Inspections!$AS584&lt;&gt;""),Weekly_Inspections!$AQ584,"")</f>
        <v/>
      </c>
      <c r="H584">
        <f>Weekly_Inspections!$AP584</f>
        <v/>
      </c>
      <c r="I584">
        <f>Weekly_Inspections!$AR584</f>
        <v/>
      </c>
      <c r="J584">
        <f>Weekly_Inspections!$AS584</f>
        <v/>
      </c>
      <c r="K584">
        <f>Weekly_Inspections!$AU584</f>
        <v/>
      </c>
      <c r="L584" s="47">
        <f>Weekly_Inspections!$AV584</f>
        <v/>
      </c>
      <c r="M584">
        <f>IF($B584="","",IF($N584&lt;&gt;"","Closed",IF(OR($G584&lt;&gt;"",$I584&lt;&gt;"",$J584&lt;&gt;""),"Open","")))</f>
        <v/>
      </c>
      <c r="N584" s="47" t="n"/>
      <c r="O584">
        <f>IF($B584="","",IF($M584="Closed",IF($N584="","",$N584-$B584),TODAY()-$B584))</f>
        <v/>
      </c>
      <c r="P584">
        <f>IF(OR($B584="",$L584="",$M584="Closed"),"",IF(TODAY()&gt;$L584,"YES","NO"))</f>
        <v/>
      </c>
      <c r="Q584">
        <f>Weekly_Inspections!$AW584</f>
        <v/>
      </c>
    </row>
    <row r="585" ht="15" customHeight="1" s="45">
      <c r="A585">
        <f>IF(Weekly_Inspections!$B585="","",Weekly_Inspections!$A585&amp;"-A1")</f>
        <v/>
      </c>
      <c r="B585" s="47">
        <f>Weekly_Inspections!$B585</f>
        <v/>
      </c>
      <c r="C585">
        <f>Weekly_Inspections!$E585</f>
        <v/>
      </c>
      <c r="D585">
        <f>Weekly_Inspections!$F585</f>
        <v/>
      </c>
      <c r="E585">
        <f>Weekly_Inspections!$H585</f>
        <v/>
      </c>
      <c r="F585">
        <f>IF(Weekly_Inspections!$AX585&lt;&gt;"",Weekly_Inspections!$AX585,IF(Weekly_Inspections!$AY585&lt;&gt;"",Weekly_Inspections!$AY585,IF(Weekly_Inspections!$AZ585&lt;&gt;"",Weekly_Inspections!$AZ585,IF(Weekly_Inspections!$BA585&lt;&gt;"",Weekly_Inspections!$BA585,IF(Weekly_Inspections!$BB585&lt;&gt;"",Weekly_Inspections!$BB585,Weekly_Inspections!$R585)))))</f>
        <v/>
      </c>
      <c r="G585">
        <f>IF(OR(Weekly_Inspections!$AQ585&lt;&gt;"",Weekly_Inspections!$AR585&lt;&gt;"",Weekly_Inspections!$AS585&lt;&gt;""),Weekly_Inspections!$AQ585,"")</f>
        <v/>
      </c>
      <c r="H585">
        <f>Weekly_Inspections!$AP585</f>
        <v/>
      </c>
      <c r="I585">
        <f>Weekly_Inspections!$AR585</f>
        <v/>
      </c>
      <c r="J585">
        <f>Weekly_Inspections!$AS585</f>
        <v/>
      </c>
      <c r="K585">
        <f>Weekly_Inspections!$AU585</f>
        <v/>
      </c>
      <c r="L585" s="47">
        <f>Weekly_Inspections!$AV585</f>
        <v/>
      </c>
      <c r="M585">
        <f>IF($B585="","",IF($N585&lt;&gt;"","Closed",IF(OR($G585&lt;&gt;"",$I585&lt;&gt;"",$J585&lt;&gt;""),"Open","")))</f>
        <v/>
      </c>
      <c r="N585" s="47" t="n"/>
      <c r="O585">
        <f>IF($B585="","",IF($M585="Closed",IF($N585="","",$N585-$B585),TODAY()-$B585))</f>
        <v/>
      </c>
      <c r="P585">
        <f>IF(OR($B585="",$L585="",$M585="Closed"),"",IF(TODAY()&gt;$L585,"YES","NO"))</f>
        <v/>
      </c>
      <c r="Q585">
        <f>Weekly_Inspections!$AW585</f>
        <v/>
      </c>
    </row>
    <row r="586" ht="15" customHeight="1" s="45">
      <c r="A586">
        <f>IF(Weekly_Inspections!$B586="","",Weekly_Inspections!$A586&amp;"-A1")</f>
        <v/>
      </c>
      <c r="B586" s="47">
        <f>Weekly_Inspections!$B586</f>
        <v/>
      </c>
      <c r="C586">
        <f>Weekly_Inspections!$E586</f>
        <v/>
      </c>
      <c r="D586">
        <f>Weekly_Inspections!$F586</f>
        <v/>
      </c>
      <c r="E586">
        <f>Weekly_Inspections!$H586</f>
        <v/>
      </c>
      <c r="F586">
        <f>IF(Weekly_Inspections!$AX586&lt;&gt;"",Weekly_Inspections!$AX586,IF(Weekly_Inspections!$AY586&lt;&gt;"",Weekly_Inspections!$AY586,IF(Weekly_Inspections!$AZ586&lt;&gt;"",Weekly_Inspections!$AZ586,IF(Weekly_Inspections!$BA586&lt;&gt;"",Weekly_Inspections!$BA586,IF(Weekly_Inspections!$BB586&lt;&gt;"",Weekly_Inspections!$BB586,Weekly_Inspections!$R586)))))</f>
        <v/>
      </c>
      <c r="G586">
        <f>IF(OR(Weekly_Inspections!$AQ586&lt;&gt;"",Weekly_Inspections!$AR586&lt;&gt;"",Weekly_Inspections!$AS586&lt;&gt;""),Weekly_Inspections!$AQ586,"")</f>
        <v/>
      </c>
      <c r="H586">
        <f>Weekly_Inspections!$AP586</f>
        <v/>
      </c>
      <c r="I586">
        <f>Weekly_Inspections!$AR586</f>
        <v/>
      </c>
      <c r="J586">
        <f>Weekly_Inspections!$AS586</f>
        <v/>
      </c>
      <c r="K586">
        <f>Weekly_Inspections!$AU586</f>
        <v/>
      </c>
      <c r="L586" s="47">
        <f>Weekly_Inspections!$AV586</f>
        <v/>
      </c>
      <c r="M586">
        <f>IF($B586="","",IF($N586&lt;&gt;"","Closed",IF(OR($G586&lt;&gt;"",$I586&lt;&gt;"",$J586&lt;&gt;""),"Open","")))</f>
        <v/>
      </c>
      <c r="N586" s="47" t="n"/>
      <c r="O586">
        <f>IF($B586="","",IF($M586="Closed",IF($N586="","",$N586-$B586),TODAY()-$B586))</f>
        <v/>
      </c>
      <c r="P586">
        <f>IF(OR($B586="",$L586="",$M586="Closed"),"",IF(TODAY()&gt;$L586,"YES","NO"))</f>
        <v/>
      </c>
      <c r="Q586">
        <f>Weekly_Inspections!$AW586</f>
        <v/>
      </c>
    </row>
    <row r="587" ht="15" customHeight="1" s="45">
      <c r="A587">
        <f>IF(Weekly_Inspections!$B587="","",Weekly_Inspections!$A587&amp;"-A1")</f>
        <v/>
      </c>
      <c r="B587" s="47">
        <f>Weekly_Inspections!$B587</f>
        <v/>
      </c>
      <c r="C587">
        <f>Weekly_Inspections!$E587</f>
        <v/>
      </c>
      <c r="D587">
        <f>Weekly_Inspections!$F587</f>
        <v/>
      </c>
      <c r="E587">
        <f>Weekly_Inspections!$H587</f>
        <v/>
      </c>
      <c r="F587">
        <f>IF(Weekly_Inspections!$AX587&lt;&gt;"",Weekly_Inspections!$AX587,IF(Weekly_Inspections!$AY587&lt;&gt;"",Weekly_Inspections!$AY587,IF(Weekly_Inspections!$AZ587&lt;&gt;"",Weekly_Inspections!$AZ587,IF(Weekly_Inspections!$BA587&lt;&gt;"",Weekly_Inspections!$BA587,IF(Weekly_Inspections!$BB587&lt;&gt;"",Weekly_Inspections!$BB587,Weekly_Inspections!$R587)))))</f>
        <v/>
      </c>
      <c r="G587">
        <f>IF(OR(Weekly_Inspections!$AQ587&lt;&gt;"",Weekly_Inspections!$AR587&lt;&gt;"",Weekly_Inspections!$AS587&lt;&gt;""),Weekly_Inspections!$AQ587,"")</f>
        <v/>
      </c>
      <c r="H587">
        <f>Weekly_Inspections!$AP587</f>
        <v/>
      </c>
      <c r="I587">
        <f>Weekly_Inspections!$AR587</f>
        <v/>
      </c>
      <c r="J587">
        <f>Weekly_Inspections!$AS587</f>
        <v/>
      </c>
      <c r="K587">
        <f>Weekly_Inspections!$AU587</f>
        <v/>
      </c>
      <c r="L587" s="47">
        <f>Weekly_Inspections!$AV587</f>
        <v/>
      </c>
      <c r="M587">
        <f>IF($B587="","",IF($N587&lt;&gt;"","Closed",IF(OR($G587&lt;&gt;"",$I587&lt;&gt;"",$J587&lt;&gt;""),"Open","")))</f>
        <v/>
      </c>
      <c r="N587" s="47" t="n"/>
      <c r="O587">
        <f>IF($B587="","",IF($M587="Closed",IF($N587="","",$N587-$B587),TODAY()-$B587))</f>
        <v/>
      </c>
      <c r="P587">
        <f>IF(OR($B587="",$L587="",$M587="Closed"),"",IF(TODAY()&gt;$L587,"YES","NO"))</f>
        <v/>
      </c>
      <c r="Q587">
        <f>Weekly_Inspections!$AW587</f>
        <v/>
      </c>
    </row>
    <row r="588" ht="15" customHeight="1" s="45">
      <c r="A588">
        <f>IF(Weekly_Inspections!$B588="","",Weekly_Inspections!$A588&amp;"-A1")</f>
        <v/>
      </c>
      <c r="B588" s="47">
        <f>Weekly_Inspections!$B588</f>
        <v/>
      </c>
      <c r="C588">
        <f>Weekly_Inspections!$E588</f>
        <v/>
      </c>
      <c r="D588">
        <f>Weekly_Inspections!$F588</f>
        <v/>
      </c>
      <c r="E588">
        <f>Weekly_Inspections!$H588</f>
        <v/>
      </c>
      <c r="F588">
        <f>IF(Weekly_Inspections!$AX588&lt;&gt;"",Weekly_Inspections!$AX588,IF(Weekly_Inspections!$AY588&lt;&gt;"",Weekly_Inspections!$AY588,IF(Weekly_Inspections!$AZ588&lt;&gt;"",Weekly_Inspections!$AZ588,IF(Weekly_Inspections!$BA588&lt;&gt;"",Weekly_Inspections!$BA588,IF(Weekly_Inspections!$BB588&lt;&gt;"",Weekly_Inspections!$BB588,Weekly_Inspections!$R588)))))</f>
        <v/>
      </c>
      <c r="G588">
        <f>IF(OR(Weekly_Inspections!$AQ588&lt;&gt;"",Weekly_Inspections!$AR588&lt;&gt;"",Weekly_Inspections!$AS588&lt;&gt;""),Weekly_Inspections!$AQ588,"")</f>
        <v/>
      </c>
      <c r="H588">
        <f>Weekly_Inspections!$AP588</f>
        <v/>
      </c>
      <c r="I588">
        <f>Weekly_Inspections!$AR588</f>
        <v/>
      </c>
      <c r="J588">
        <f>Weekly_Inspections!$AS588</f>
        <v/>
      </c>
      <c r="K588">
        <f>Weekly_Inspections!$AU588</f>
        <v/>
      </c>
      <c r="L588" s="47">
        <f>Weekly_Inspections!$AV588</f>
        <v/>
      </c>
      <c r="M588">
        <f>IF($B588="","",IF($N588&lt;&gt;"","Closed",IF(OR($G588&lt;&gt;"",$I588&lt;&gt;"",$J588&lt;&gt;""),"Open","")))</f>
        <v/>
      </c>
      <c r="N588" s="47" t="n"/>
      <c r="O588">
        <f>IF($B588="","",IF($M588="Closed",IF($N588="","",$N588-$B588),TODAY()-$B588))</f>
        <v/>
      </c>
      <c r="P588">
        <f>IF(OR($B588="",$L588="",$M588="Closed"),"",IF(TODAY()&gt;$L588,"YES","NO"))</f>
        <v/>
      </c>
      <c r="Q588">
        <f>Weekly_Inspections!$AW588</f>
        <v/>
      </c>
    </row>
    <row r="589" ht="15" customHeight="1" s="45">
      <c r="A589">
        <f>IF(Weekly_Inspections!$B589="","",Weekly_Inspections!$A589&amp;"-A1")</f>
        <v/>
      </c>
      <c r="B589" s="47">
        <f>Weekly_Inspections!$B589</f>
        <v/>
      </c>
      <c r="C589">
        <f>Weekly_Inspections!$E589</f>
        <v/>
      </c>
      <c r="D589">
        <f>Weekly_Inspections!$F589</f>
        <v/>
      </c>
      <c r="E589">
        <f>Weekly_Inspections!$H589</f>
        <v/>
      </c>
      <c r="F589">
        <f>IF(Weekly_Inspections!$AX589&lt;&gt;"",Weekly_Inspections!$AX589,IF(Weekly_Inspections!$AY589&lt;&gt;"",Weekly_Inspections!$AY589,IF(Weekly_Inspections!$AZ589&lt;&gt;"",Weekly_Inspections!$AZ589,IF(Weekly_Inspections!$BA589&lt;&gt;"",Weekly_Inspections!$BA589,IF(Weekly_Inspections!$BB589&lt;&gt;"",Weekly_Inspections!$BB589,Weekly_Inspections!$R589)))))</f>
        <v/>
      </c>
      <c r="G589">
        <f>IF(OR(Weekly_Inspections!$AQ589&lt;&gt;"",Weekly_Inspections!$AR589&lt;&gt;"",Weekly_Inspections!$AS589&lt;&gt;""),Weekly_Inspections!$AQ589,"")</f>
        <v/>
      </c>
      <c r="H589">
        <f>Weekly_Inspections!$AP589</f>
        <v/>
      </c>
      <c r="I589">
        <f>Weekly_Inspections!$AR589</f>
        <v/>
      </c>
      <c r="J589">
        <f>Weekly_Inspections!$AS589</f>
        <v/>
      </c>
      <c r="K589">
        <f>Weekly_Inspections!$AU589</f>
        <v/>
      </c>
      <c r="L589" s="47">
        <f>Weekly_Inspections!$AV589</f>
        <v/>
      </c>
      <c r="M589">
        <f>IF($B589="","",IF($N589&lt;&gt;"","Closed",IF(OR($G589&lt;&gt;"",$I589&lt;&gt;"",$J589&lt;&gt;""),"Open","")))</f>
        <v/>
      </c>
      <c r="N589" s="47" t="n"/>
      <c r="O589">
        <f>IF($B589="","",IF($M589="Closed",IF($N589="","",$N589-$B589),TODAY()-$B589))</f>
        <v/>
      </c>
      <c r="P589">
        <f>IF(OR($B589="",$L589="",$M589="Closed"),"",IF(TODAY()&gt;$L589,"YES","NO"))</f>
        <v/>
      </c>
      <c r="Q589">
        <f>Weekly_Inspections!$AW589</f>
        <v/>
      </c>
    </row>
    <row r="590" ht="15" customHeight="1" s="45">
      <c r="A590">
        <f>IF(Weekly_Inspections!$B590="","",Weekly_Inspections!$A590&amp;"-A1")</f>
        <v/>
      </c>
      <c r="B590" s="47">
        <f>Weekly_Inspections!$B590</f>
        <v/>
      </c>
      <c r="C590">
        <f>Weekly_Inspections!$E590</f>
        <v/>
      </c>
      <c r="D590">
        <f>Weekly_Inspections!$F590</f>
        <v/>
      </c>
      <c r="E590">
        <f>Weekly_Inspections!$H590</f>
        <v/>
      </c>
      <c r="F590">
        <f>IF(Weekly_Inspections!$AX590&lt;&gt;"",Weekly_Inspections!$AX590,IF(Weekly_Inspections!$AY590&lt;&gt;"",Weekly_Inspections!$AY590,IF(Weekly_Inspections!$AZ590&lt;&gt;"",Weekly_Inspections!$AZ590,IF(Weekly_Inspections!$BA590&lt;&gt;"",Weekly_Inspections!$BA590,IF(Weekly_Inspections!$BB590&lt;&gt;"",Weekly_Inspections!$BB590,Weekly_Inspections!$R590)))))</f>
        <v/>
      </c>
      <c r="G590">
        <f>IF(OR(Weekly_Inspections!$AQ590&lt;&gt;"",Weekly_Inspections!$AR590&lt;&gt;"",Weekly_Inspections!$AS590&lt;&gt;""),Weekly_Inspections!$AQ590,"")</f>
        <v/>
      </c>
      <c r="H590">
        <f>Weekly_Inspections!$AP590</f>
        <v/>
      </c>
      <c r="I590">
        <f>Weekly_Inspections!$AR590</f>
        <v/>
      </c>
      <c r="J590">
        <f>Weekly_Inspections!$AS590</f>
        <v/>
      </c>
      <c r="K590">
        <f>Weekly_Inspections!$AU590</f>
        <v/>
      </c>
      <c r="L590" s="47">
        <f>Weekly_Inspections!$AV590</f>
        <v/>
      </c>
      <c r="M590">
        <f>IF($B590="","",IF($N590&lt;&gt;"","Closed",IF(OR($G590&lt;&gt;"",$I590&lt;&gt;"",$J590&lt;&gt;""),"Open","")))</f>
        <v/>
      </c>
      <c r="N590" s="47" t="n"/>
      <c r="O590">
        <f>IF($B590="","",IF($M590="Closed",IF($N590="","",$N590-$B590),TODAY()-$B590))</f>
        <v/>
      </c>
      <c r="P590">
        <f>IF(OR($B590="",$L590="",$M590="Closed"),"",IF(TODAY()&gt;$L590,"YES","NO"))</f>
        <v/>
      </c>
      <c r="Q590">
        <f>Weekly_Inspections!$AW590</f>
        <v/>
      </c>
    </row>
    <row r="591" ht="15" customHeight="1" s="45">
      <c r="A591">
        <f>IF(Weekly_Inspections!$B591="","",Weekly_Inspections!$A591&amp;"-A1")</f>
        <v/>
      </c>
      <c r="B591" s="47">
        <f>Weekly_Inspections!$B591</f>
        <v/>
      </c>
      <c r="C591">
        <f>Weekly_Inspections!$E591</f>
        <v/>
      </c>
      <c r="D591">
        <f>Weekly_Inspections!$F591</f>
        <v/>
      </c>
      <c r="E591">
        <f>Weekly_Inspections!$H591</f>
        <v/>
      </c>
      <c r="F591">
        <f>IF(Weekly_Inspections!$AX591&lt;&gt;"",Weekly_Inspections!$AX591,IF(Weekly_Inspections!$AY591&lt;&gt;"",Weekly_Inspections!$AY591,IF(Weekly_Inspections!$AZ591&lt;&gt;"",Weekly_Inspections!$AZ591,IF(Weekly_Inspections!$BA591&lt;&gt;"",Weekly_Inspections!$BA591,IF(Weekly_Inspections!$BB591&lt;&gt;"",Weekly_Inspections!$BB591,Weekly_Inspections!$R591)))))</f>
        <v/>
      </c>
      <c r="G591">
        <f>IF(OR(Weekly_Inspections!$AQ591&lt;&gt;"",Weekly_Inspections!$AR591&lt;&gt;"",Weekly_Inspections!$AS591&lt;&gt;""),Weekly_Inspections!$AQ591,"")</f>
        <v/>
      </c>
      <c r="H591">
        <f>Weekly_Inspections!$AP591</f>
        <v/>
      </c>
      <c r="I591">
        <f>Weekly_Inspections!$AR591</f>
        <v/>
      </c>
      <c r="J591">
        <f>Weekly_Inspections!$AS591</f>
        <v/>
      </c>
      <c r="K591">
        <f>Weekly_Inspections!$AU591</f>
        <v/>
      </c>
      <c r="L591" s="47">
        <f>Weekly_Inspections!$AV591</f>
        <v/>
      </c>
      <c r="M591">
        <f>IF($B591="","",IF($N591&lt;&gt;"","Closed",IF(OR($G591&lt;&gt;"",$I591&lt;&gt;"",$J591&lt;&gt;""),"Open","")))</f>
        <v/>
      </c>
      <c r="N591" s="47" t="n"/>
      <c r="O591">
        <f>IF($B591="","",IF($M591="Closed",IF($N591="","",$N591-$B591),TODAY()-$B591))</f>
        <v/>
      </c>
      <c r="P591">
        <f>IF(OR($B591="",$L591="",$M591="Closed"),"",IF(TODAY()&gt;$L591,"YES","NO"))</f>
        <v/>
      </c>
      <c r="Q591">
        <f>Weekly_Inspections!$AW591</f>
        <v/>
      </c>
    </row>
    <row r="592" ht="15" customHeight="1" s="45">
      <c r="A592">
        <f>IF(Weekly_Inspections!$B592="","",Weekly_Inspections!$A592&amp;"-A1")</f>
        <v/>
      </c>
      <c r="B592" s="47">
        <f>Weekly_Inspections!$B592</f>
        <v/>
      </c>
      <c r="C592">
        <f>Weekly_Inspections!$E592</f>
        <v/>
      </c>
      <c r="D592">
        <f>Weekly_Inspections!$F592</f>
        <v/>
      </c>
      <c r="E592">
        <f>Weekly_Inspections!$H592</f>
        <v/>
      </c>
      <c r="F592">
        <f>IF(Weekly_Inspections!$AX592&lt;&gt;"",Weekly_Inspections!$AX592,IF(Weekly_Inspections!$AY592&lt;&gt;"",Weekly_Inspections!$AY592,IF(Weekly_Inspections!$AZ592&lt;&gt;"",Weekly_Inspections!$AZ592,IF(Weekly_Inspections!$BA592&lt;&gt;"",Weekly_Inspections!$BA592,IF(Weekly_Inspections!$BB592&lt;&gt;"",Weekly_Inspections!$BB592,Weekly_Inspections!$R592)))))</f>
        <v/>
      </c>
      <c r="G592">
        <f>IF(OR(Weekly_Inspections!$AQ592&lt;&gt;"",Weekly_Inspections!$AR592&lt;&gt;"",Weekly_Inspections!$AS592&lt;&gt;""),Weekly_Inspections!$AQ592,"")</f>
        <v/>
      </c>
      <c r="H592">
        <f>Weekly_Inspections!$AP592</f>
        <v/>
      </c>
      <c r="I592">
        <f>Weekly_Inspections!$AR592</f>
        <v/>
      </c>
      <c r="J592">
        <f>Weekly_Inspections!$AS592</f>
        <v/>
      </c>
      <c r="K592">
        <f>Weekly_Inspections!$AU592</f>
        <v/>
      </c>
      <c r="L592" s="47">
        <f>Weekly_Inspections!$AV592</f>
        <v/>
      </c>
      <c r="M592">
        <f>IF($B592="","",IF($N592&lt;&gt;"","Closed",IF(OR($G592&lt;&gt;"",$I592&lt;&gt;"",$J592&lt;&gt;""),"Open","")))</f>
        <v/>
      </c>
      <c r="N592" s="47" t="n"/>
      <c r="O592">
        <f>IF($B592="","",IF($M592="Closed",IF($N592="","",$N592-$B592),TODAY()-$B592))</f>
        <v/>
      </c>
      <c r="P592">
        <f>IF(OR($B592="",$L592="",$M592="Closed"),"",IF(TODAY()&gt;$L592,"YES","NO"))</f>
        <v/>
      </c>
      <c r="Q592">
        <f>Weekly_Inspections!$AW592</f>
        <v/>
      </c>
    </row>
    <row r="593" ht="15" customHeight="1" s="45">
      <c r="A593">
        <f>IF(Weekly_Inspections!$B593="","",Weekly_Inspections!$A593&amp;"-A1")</f>
        <v/>
      </c>
      <c r="B593" s="47">
        <f>Weekly_Inspections!$B593</f>
        <v/>
      </c>
      <c r="C593">
        <f>Weekly_Inspections!$E593</f>
        <v/>
      </c>
      <c r="D593">
        <f>Weekly_Inspections!$F593</f>
        <v/>
      </c>
      <c r="E593">
        <f>Weekly_Inspections!$H593</f>
        <v/>
      </c>
      <c r="F593">
        <f>IF(Weekly_Inspections!$AX593&lt;&gt;"",Weekly_Inspections!$AX593,IF(Weekly_Inspections!$AY593&lt;&gt;"",Weekly_Inspections!$AY593,IF(Weekly_Inspections!$AZ593&lt;&gt;"",Weekly_Inspections!$AZ593,IF(Weekly_Inspections!$BA593&lt;&gt;"",Weekly_Inspections!$BA593,IF(Weekly_Inspections!$BB593&lt;&gt;"",Weekly_Inspections!$BB593,Weekly_Inspections!$R593)))))</f>
        <v/>
      </c>
      <c r="G593">
        <f>IF(OR(Weekly_Inspections!$AQ593&lt;&gt;"",Weekly_Inspections!$AR593&lt;&gt;"",Weekly_Inspections!$AS593&lt;&gt;""),Weekly_Inspections!$AQ593,"")</f>
        <v/>
      </c>
      <c r="H593">
        <f>Weekly_Inspections!$AP593</f>
        <v/>
      </c>
      <c r="I593">
        <f>Weekly_Inspections!$AR593</f>
        <v/>
      </c>
      <c r="J593">
        <f>Weekly_Inspections!$AS593</f>
        <v/>
      </c>
      <c r="K593">
        <f>Weekly_Inspections!$AU593</f>
        <v/>
      </c>
      <c r="L593" s="47">
        <f>Weekly_Inspections!$AV593</f>
        <v/>
      </c>
      <c r="M593">
        <f>IF($B593="","",IF($N593&lt;&gt;"","Closed",IF(OR($G593&lt;&gt;"",$I593&lt;&gt;"",$J593&lt;&gt;""),"Open","")))</f>
        <v/>
      </c>
      <c r="N593" s="47" t="n"/>
      <c r="O593">
        <f>IF($B593="","",IF($M593="Closed",IF($N593="","",$N593-$B593),TODAY()-$B593))</f>
        <v/>
      </c>
      <c r="P593">
        <f>IF(OR($B593="",$L593="",$M593="Closed"),"",IF(TODAY()&gt;$L593,"YES","NO"))</f>
        <v/>
      </c>
      <c r="Q593">
        <f>Weekly_Inspections!$AW593</f>
        <v/>
      </c>
    </row>
    <row r="594" ht="15" customHeight="1" s="45">
      <c r="A594">
        <f>IF(Weekly_Inspections!$B594="","",Weekly_Inspections!$A594&amp;"-A1")</f>
        <v/>
      </c>
      <c r="B594" s="47">
        <f>Weekly_Inspections!$B594</f>
        <v/>
      </c>
      <c r="C594">
        <f>Weekly_Inspections!$E594</f>
        <v/>
      </c>
      <c r="D594">
        <f>Weekly_Inspections!$F594</f>
        <v/>
      </c>
      <c r="E594">
        <f>Weekly_Inspections!$H594</f>
        <v/>
      </c>
      <c r="F594">
        <f>IF(Weekly_Inspections!$AX594&lt;&gt;"",Weekly_Inspections!$AX594,IF(Weekly_Inspections!$AY594&lt;&gt;"",Weekly_Inspections!$AY594,IF(Weekly_Inspections!$AZ594&lt;&gt;"",Weekly_Inspections!$AZ594,IF(Weekly_Inspections!$BA594&lt;&gt;"",Weekly_Inspections!$BA594,IF(Weekly_Inspections!$BB594&lt;&gt;"",Weekly_Inspections!$BB594,Weekly_Inspections!$R594)))))</f>
        <v/>
      </c>
      <c r="G594">
        <f>IF(OR(Weekly_Inspections!$AQ594&lt;&gt;"",Weekly_Inspections!$AR594&lt;&gt;"",Weekly_Inspections!$AS594&lt;&gt;""),Weekly_Inspections!$AQ594,"")</f>
        <v/>
      </c>
      <c r="H594">
        <f>Weekly_Inspections!$AP594</f>
        <v/>
      </c>
      <c r="I594">
        <f>Weekly_Inspections!$AR594</f>
        <v/>
      </c>
      <c r="J594">
        <f>Weekly_Inspections!$AS594</f>
        <v/>
      </c>
      <c r="K594">
        <f>Weekly_Inspections!$AU594</f>
        <v/>
      </c>
      <c r="L594" s="47">
        <f>Weekly_Inspections!$AV594</f>
        <v/>
      </c>
      <c r="M594">
        <f>IF($B594="","",IF($N594&lt;&gt;"","Closed",IF(OR($G594&lt;&gt;"",$I594&lt;&gt;"",$J594&lt;&gt;""),"Open","")))</f>
        <v/>
      </c>
      <c r="N594" s="47" t="n"/>
      <c r="O594">
        <f>IF($B594="","",IF($M594="Closed",IF($N594="","",$N594-$B594),TODAY()-$B594))</f>
        <v/>
      </c>
      <c r="P594">
        <f>IF(OR($B594="",$L594="",$M594="Closed"),"",IF(TODAY()&gt;$L594,"YES","NO"))</f>
        <v/>
      </c>
      <c r="Q594">
        <f>Weekly_Inspections!$AW594</f>
        <v/>
      </c>
    </row>
    <row r="595" ht="15" customHeight="1" s="45">
      <c r="A595">
        <f>IF(Weekly_Inspections!$B595="","",Weekly_Inspections!$A595&amp;"-A1")</f>
        <v/>
      </c>
      <c r="B595" s="47">
        <f>Weekly_Inspections!$B595</f>
        <v/>
      </c>
      <c r="C595">
        <f>Weekly_Inspections!$E595</f>
        <v/>
      </c>
      <c r="D595">
        <f>Weekly_Inspections!$F595</f>
        <v/>
      </c>
      <c r="E595">
        <f>Weekly_Inspections!$H595</f>
        <v/>
      </c>
      <c r="F595">
        <f>IF(Weekly_Inspections!$AX595&lt;&gt;"",Weekly_Inspections!$AX595,IF(Weekly_Inspections!$AY595&lt;&gt;"",Weekly_Inspections!$AY595,IF(Weekly_Inspections!$AZ595&lt;&gt;"",Weekly_Inspections!$AZ595,IF(Weekly_Inspections!$BA595&lt;&gt;"",Weekly_Inspections!$BA595,IF(Weekly_Inspections!$BB595&lt;&gt;"",Weekly_Inspections!$BB595,Weekly_Inspections!$R595)))))</f>
        <v/>
      </c>
      <c r="G595">
        <f>IF(OR(Weekly_Inspections!$AQ595&lt;&gt;"",Weekly_Inspections!$AR595&lt;&gt;"",Weekly_Inspections!$AS595&lt;&gt;""),Weekly_Inspections!$AQ595,"")</f>
        <v/>
      </c>
      <c r="H595">
        <f>Weekly_Inspections!$AP595</f>
        <v/>
      </c>
      <c r="I595">
        <f>Weekly_Inspections!$AR595</f>
        <v/>
      </c>
      <c r="J595">
        <f>Weekly_Inspections!$AS595</f>
        <v/>
      </c>
      <c r="K595">
        <f>Weekly_Inspections!$AU595</f>
        <v/>
      </c>
      <c r="L595" s="47">
        <f>Weekly_Inspections!$AV595</f>
        <v/>
      </c>
      <c r="M595">
        <f>IF($B595="","",IF($N595&lt;&gt;"","Closed",IF(OR($G595&lt;&gt;"",$I595&lt;&gt;"",$J595&lt;&gt;""),"Open","")))</f>
        <v/>
      </c>
      <c r="N595" s="47" t="n"/>
      <c r="O595">
        <f>IF($B595="","",IF($M595="Closed",IF($N595="","",$N595-$B595),TODAY()-$B595))</f>
        <v/>
      </c>
      <c r="P595">
        <f>IF(OR($B595="",$L595="",$M595="Closed"),"",IF(TODAY()&gt;$L595,"YES","NO"))</f>
        <v/>
      </c>
      <c r="Q595">
        <f>Weekly_Inspections!$AW595</f>
        <v/>
      </c>
    </row>
    <row r="596" ht="15" customHeight="1" s="45">
      <c r="A596">
        <f>IF(Weekly_Inspections!$B596="","",Weekly_Inspections!$A596&amp;"-A1")</f>
        <v/>
      </c>
      <c r="B596" s="47">
        <f>Weekly_Inspections!$B596</f>
        <v/>
      </c>
      <c r="C596">
        <f>Weekly_Inspections!$E596</f>
        <v/>
      </c>
      <c r="D596">
        <f>Weekly_Inspections!$F596</f>
        <v/>
      </c>
      <c r="E596">
        <f>Weekly_Inspections!$H596</f>
        <v/>
      </c>
      <c r="F596">
        <f>IF(Weekly_Inspections!$AX596&lt;&gt;"",Weekly_Inspections!$AX596,IF(Weekly_Inspections!$AY596&lt;&gt;"",Weekly_Inspections!$AY596,IF(Weekly_Inspections!$AZ596&lt;&gt;"",Weekly_Inspections!$AZ596,IF(Weekly_Inspections!$BA596&lt;&gt;"",Weekly_Inspections!$BA596,IF(Weekly_Inspections!$BB596&lt;&gt;"",Weekly_Inspections!$BB596,Weekly_Inspections!$R596)))))</f>
        <v/>
      </c>
      <c r="G596">
        <f>IF(OR(Weekly_Inspections!$AQ596&lt;&gt;"",Weekly_Inspections!$AR596&lt;&gt;"",Weekly_Inspections!$AS596&lt;&gt;""),Weekly_Inspections!$AQ596,"")</f>
        <v/>
      </c>
      <c r="H596">
        <f>Weekly_Inspections!$AP596</f>
        <v/>
      </c>
      <c r="I596">
        <f>Weekly_Inspections!$AR596</f>
        <v/>
      </c>
      <c r="J596">
        <f>Weekly_Inspections!$AS596</f>
        <v/>
      </c>
      <c r="K596">
        <f>Weekly_Inspections!$AU596</f>
        <v/>
      </c>
      <c r="L596" s="47">
        <f>Weekly_Inspections!$AV596</f>
        <v/>
      </c>
      <c r="M596">
        <f>IF($B596="","",IF($N596&lt;&gt;"","Closed",IF(OR($G596&lt;&gt;"",$I596&lt;&gt;"",$J596&lt;&gt;""),"Open","")))</f>
        <v/>
      </c>
      <c r="N596" s="47" t="n"/>
      <c r="O596">
        <f>IF($B596="","",IF($M596="Closed",IF($N596="","",$N596-$B596),TODAY()-$B596))</f>
        <v/>
      </c>
      <c r="P596">
        <f>IF(OR($B596="",$L596="",$M596="Closed"),"",IF(TODAY()&gt;$L596,"YES","NO"))</f>
        <v/>
      </c>
      <c r="Q596">
        <f>Weekly_Inspections!$AW596</f>
        <v/>
      </c>
    </row>
    <row r="597" ht="15" customHeight="1" s="45">
      <c r="A597">
        <f>IF(Weekly_Inspections!$B597="","",Weekly_Inspections!$A597&amp;"-A1")</f>
        <v/>
      </c>
      <c r="B597" s="47">
        <f>Weekly_Inspections!$B597</f>
        <v/>
      </c>
      <c r="C597">
        <f>Weekly_Inspections!$E597</f>
        <v/>
      </c>
      <c r="D597">
        <f>Weekly_Inspections!$F597</f>
        <v/>
      </c>
      <c r="E597">
        <f>Weekly_Inspections!$H597</f>
        <v/>
      </c>
      <c r="F597">
        <f>IF(Weekly_Inspections!$AX597&lt;&gt;"",Weekly_Inspections!$AX597,IF(Weekly_Inspections!$AY597&lt;&gt;"",Weekly_Inspections!$AY597,IF(Weekly_Inspections!$AZ597&lt;&gt;"",Weekly_Inspections!$AZ597,IF(Weekly_Inspections!$BA597&lt;&gt;"",Weekly_Inspections!$BA597,IF(Weekly_Inspections!$BB597&lt;&gt;"",Weekly_Inspections!$BB597,Weekly_Inspections!$R597)))))</f>
        <v/>
      </c>
      <c r="G597">
        <f>IF(OR(Weekly_Inspections!$AQ597&lt;&gt;"",Weekly_Inspections!$AR597&lt;&gt;"",Weekly_Inspections!$AS597&lt;&gt;""),Weekly_Inspections!$AQ597,"")</f>
        <v/>
      </c>
      <c r="H597">
        <f>Weekly_Inspections!$AP597</f>
        <v/>
      </c>
      <c r="I597">
        <f>Weekly_Inspections!$AR597</f>
        <v/>
      </c>
      <c r="J597">
        <f>Weekly_Inspections!$AS597</f>
        <v/>
      </c>
      <c r="K597">
        <f>Weekly_Inspections!$AU597</f>
        <v/>
      </c>
      <c r="L597" s="47">
        <f>Weekly_Inspections!$AV597</f>
        <v/>
      </c>
      <c r="M597">
        <f>IF($B597="","",IF($N597&lt;&gt;"","Closed",IF(OR($G597&lt;&gt;"",$I597&lt;&gt;"",$J597&lt;&gt;""),"Open","")))</f>
        <v/>
      </c>
      <c r="N597" s="47" t="n"/>
      <c r="O597">
        <f>IF($B597="","",IF($M597="Closed",IF($N597="","",$N597-$B597),TODAY()-$B597))</f>
        <v/>
      </c>
      <c r="P597">
        <f>IF(OR($B597="",$L597="",$M597="Closed"),"",IF(TODAY()&gt;$L597,"YES","NO"))</f>
        <v/>
      </c>
      <c r="Q597">
        <f>Weekly_Inspections!$AW597</f>
        <v/>
      </c>
    </row>
    <row r="598" ht="15" customHeight="1" s="45">
      <c r="A598">
        <f>IF(Weekly_Inspections!$B598="","",Weekly_Inspections!$A598&amp;"-A1")</f>
        <v/>
      </c>
      <c r="B598" s="47">
        <f>Weekly_Inspections!$B598</f>
        <v/>
      </c>
      <c r="C598">
        <f>Weekly_Inspections!$E598</f>
        <v/>
      </c>
      <c r="D598">
        <f>Weekly_Inspections!$F598</f>
        <v/>
      </c>
      <c r="E598">
        <f>Weekly_Inspections!$H598</f>
        <v/>
      </c>
      <c r="F598">
        <f>IF(Weekly_Inspections!$AX598&lt;&gt;"",Weekly_Inspections!$AX598,IF(Weekly_Inspections!$AY598&lt;&gt;"",Weekly_Inspections!$AY598,IF(Weekly_Inspections!$AZ598&lt;&gt;"",Weekly_Inspections!$AZ598,IF(Weekly_Inspections!$BA598&lt;&gt;"",Weekly_Inspections!$BA598,IF(Weekly_Inspections!$BB598&lt;&gt;"",Weekly_Inspections!$BB598,Weekly_Inspections!$R598)))))</f>
        <v/>
      </c>
      <c r="G598">
        <f>IF(OR(Weekly_Inspections!$AQ598&lt;&gt;"",Weekly_Inspections!$AR598&lt;&gt;"",Weekly_Inspections!$AS598&lt;&gt;""),Weekly_Inspections!$AQ598,"")</f>
        <v/>
      </c>
      <c r="H598">
        <f>Weekly_Inspections!$AP598</f>
        <v/>
      </c>
      <c r="I598">
        <f>Weekly_Inspections!$AR598</f>
        <v/>
      </c>
      <c r="J598">
        <f>Weekly_Inspections!$AS598</f>
        <v/>
      </c>
      <c r="K598">
        <f>Weekly_Inspections!$AU598</f>
        <v/>
      </c>
      <c r="L598" s="47">
        <f>Weekly_Inspections!$AV598</f>
        <v/>
      </c>
      <c r="M598">
        <f>IF($B598="","",IF($N598&lt;&gt;"","Closed",IF(OR($G598&lt;&gt;"",$I598&lt;&gt;"",$J598&lt;&gt;""),"Open","")))</f>
        <v/>
      </c>
      <c r="N598" s="47" t="n"/>
      <c r="O598">
        <f>IF($B598="","",IF($M598="Closed",IF($N598="","",$N598-$B598),TODAY()-$B598))</f>
        <v/>
      </c>
      <c r="P598">
        <f>IF(OR($B598="",$L598="",$M598="Closed"),"",IF(TODAY()&gt;$L598,"YES","NO"))</f>
        <v/>
      </c>
      <c r="Q598">
        <f>Weekly_Inspections!$AW598</f>
        <v/>
      </c>
    </row>
    <row r="599" ht="15" customHeight="1" s="45">
      <c r="A599">
        <f>IF(Weekly_Inspections!$B599="","",Weekly_Inspections!$A599&amp;"-A1")</f>
        <v/>
      </c>
      <c r="B599" s="47">
        <f>Weekly_Inspections!$B599</f>
        <v/>
      </c>
      <c r="C599">
        <f>Weekly_Inspections!$E599</f>
        <v/>
      </c>
      <c r="D599">
        <f>Weekly_Inspections!$F599</f>
        <v/>
      </c>
      <c r="E599">
        <f>Weekly_Inspections!$H599</f>
        <v/>
      </c>
      <c r="F599">
        <f>IF(Weekly_Inspections!$AX599&lt;&gt;"",Weekly_Inspections!$AX599,IF(Weekly_Inspections!$AY599&lt;&gt;"",Weekly_Inspections!$AY599,IF(Weekly_Inspections!$AZ599&lt;&gt;"",Weekly_Inspections!$AZ599,IF(Weekly_Inspections!$BA599&lt;&gt;"",Weekly_Inspections!$BA599,IF(Weekly_Inspections!$BB599&lt;&gt;"",Weekly_Inspections!$BB599,Weekly_Inspections!$R599)))))</f>
        <v/>
      </c>
      <c r="G599">
        <f>IF(OR(Weekly_Inspections!$AQ599&lt;&gt;"",Weekly_Inspections!$AR599&lt;&gt;"",Weekly_Inspections!$AS599&lt;&gt;""),Weekly_Inspections!$AQ599,"")</f>
        <v/>
      </c>
      <c r="H599">
        <f>Weekly_Inspections!$AP599</f>
        <v/>
      </c>
      <c r="I599">
        <f>Weekly_Inspections!$AR599</f>
        <v/>
      </c>
      <c r="J599">
        <f>Weekly_Inspections!$AS599</f>
        <v/>
      </c>
      <c r="K599">
        <f>Weekly_Inspections!$AU599</f>
        <v/>
      </c>
      <c r="L599" s="47">
        <f>Weekly_Inspections!$AV599</f>
        <v/>
      </c>
      <c r="M599">
        <f>IF($B599="","",IF($N599&lt;&gt;"","Closed",IF(OR($G599&lt;&gt;"",$I599&lt;&gt;"",$J599&lt;&gt;""),"Open","")))</f>
        <v/>
      </c>
      <c r="N599" s="47" t="n"/>
      <c r="O599">
        <f>IF($B599="","",IF($M599="Closed",IF($N599="","",$N599-$B599),TODAY()-$B599))</f>
        <v/>
      </c>
      <c r="P599">
        <f>IF(OR($B599="",$L599="",$M599="Closed"),"",IF(TODAY()&gt;$L599,"YES","NO"))</f>
        <v/>
      </c>
      <c r="Q599">
        <f>Weekly_Inspections!$AW599</f>
        <v/>
      </c>
    </row>
    <row r="600" ht="15" customHeight="1" s="45">
      <c r="A600">
        <f>IF(Weekly_Inspections!$B600="","",Weekly_Inspections!$A600&amp;"-A1")</f>
        <v/>
      </c>
      <c r="B600" s="47">
        <f>Weekly_Inspections!$B600</f>
        <v/>
      </c>
      <c r="C600">
        <f>Weekly_Inspections!$E600</f>
        <v/>
      </c>
      <c r="D600">
        <f>Weekly_Inspections!$F600</f>
        <v/>
      </c>
      <c r="E600">
        <f>Weekly_Inspections!$H600</f>
        <v/>
      </c>
      <c r="F600">
        <f>IF(Weekly_Inspections!$AX600&lt;&gt;"",Weekly_Inspections!$AX600,IF(Weekly_Inspections!$AY600&lt;&gt;"",Weekly_Inspections!$AY600,IF(Weekly_Inspections!$AZ600&lt;&gt;"",Weekly_Inspections!$AZ600,IF(Weekly_Inspections!$BA600&lt;&gt;"",Weekly_Inspections!$BA600,IF(Weekly_Inspections!$BB600&lt;&gt;"",Weekly_Inspections!$BB600,Weekly_Inspections!$R600)))))</f>
        <v/>
      </c>
      <c r="G600">
        <f>IF(OR(Weekly_Inspections!$AQ600&lt;&gt;"",Weekly_Inspections!$AR600&lt;&gt;"",Weekly_Inspections!$AS600&lt;&gt;""),Weekly_Inspections!$AQ600,"")</f>
        <v/>
      </c>
      <c r="H600">
        <f>Weekly_Inspections!$AP600</f>
        <v/>
      </c>
      <c r="I600">
        <f>Weekly_Inspections!$AR600</f>
        <v/>
      </c>
      <c r="J600">
        <f>Weekly_Inspections!$AS600</f>
        <v/>
      </c>
      <c r="K600">
        <f>Weekly_Inspections!$AU600</f>
        <v/>
      </c>
      <c r="L600" s="47">
        <f>Weekly_Inspections!$AV600</f>
        <v/>
      </c>
      <c r="M600">
        <f>IF($B600="","",IF($N600&lt;&gt;"","Closed",IF(OR($G600&lt;&gt;"",$I600&lt;&gt;"",$J600&lt;&gt;""),"Open","")))</f>
        <v/>
      </c>
      <c r="N600" s="47" t="n"/>
      <c r="O600">
        <f>IF($B600="","",IF($M600="Closed",IF($N600="","",$N600-$B600),TODAY()-$B600))</f>
        <v/>
      </c>
      <c r="P600">
        <f>IF(OR($B600="",$L600="",$M600="Closed"),"",IF(TODAY()&gt;$L600,"YES","NO"))</f>
        <v/>
      </c>
      <c r="Q600">
        <f>Weekly_Inspections!$AW600</f>
        <v/>
      </c>
    </row>
    <row r="601" ht="15" customHeight="1" s="45">
      <c r="A601">
        <f>IF(Weekly_Inspections!$B601="","",Weekly_Inspections!$A601&amp;"-A1")</f>
        <v/>
      </c>
      <c r="B601" s="47">
        <f>Weekly_Inspections!$B601</f>
        <v/>
      </c>
      <c r="C601">
        <f>Weekly_Inspections!$E601</f>
        <v/>
      </c>
      <c r="D601">
        <f>Weekly_Inspections!$F601</f>
        <v/>
      </c>
      <c r="E601">
        <f>Weekly_Inspections!$H601</f>
        <v/>
      </c>
      <c r="F601">
        <f>IF(Weekly_Inspections!$AX601&lt;&gt;"",Weekly_Inspections!$AX601,IF(Weekly_Inspections!$AY601&lt;&gt;"",Weekly_Inspections!$AY601,IF(Weekly_Inspections!$AZ601&lt;&gt;"",Weekly_Inspections!$AZ601,IF(Weekly_Inspections!$BA601&lt;&gt;"",Weekly_Inspections!$BA601,IF(Weekly_Inspections!$BB601&lt;&gt;"",Weekly_Inspections!$BB601,Weekly_Inspections!$R601)))))</f>
        <v/>
      </c>
      <c r="G601">
        <f>IF(OR(Weekly_Inspections!$AQ601&lt;&gt;"",Weekly_Inspections!$AR601&lt;&gt;"",Weekly_Inspections!$AS601&lt;&gt;""),Weekly_Inspections!$AQ601,"")</f>
        <v/>
      </c>
      <c r="H601">
        <f>Weekly_Inspections!$AP601</f>
        <v/>
      </c>
      <c r="I601">
        <f>Weekly_Inspections!$AR601</f>
        <v/>
      </c>
      <c r="J601">
        <f>Weekly_Inspections!$AS601</f>
        <v/>
      </c>
      <c r="K601">
        <f>Weekly_Inspections!$AU601</f>
        <v/>
      </c>
      <c r="L601" s="47">
        <f>Weekly_Inspections!$AV601</f>
        <v/>
      </c>
      <c r="M601">
        <f>IF($B601="","",IF($N601&lt;&gt;"","Closed",IF(OR($G601&lt;&gt;"",$I601&lt;&gt;"",$J601&lt;&gt;""),"Open","")))</f>
        <v/>
      </c>
      <c r="N601" s="47" t="n"/>
      <c r="O601">
        <f>IF($B601="","",IF($M601="Closed",IF($N601="","",$N601-$B601),TODAY()-$B601))</f>
        <v/>
      </c>
      <c r="P601">
        <f>IF(OR($B601="",$L601="",$M601="Closed"),"",IF(TODAY()&gt;$L601,"YES","NO"))</f>
        <v/>
      </c>
      <c r="Q601">
        <f>Weekly_Inspections!$AW601</f>
        <v/>
      </c>
    </row>
    <row r="602" ht="15" customHeight="1" s="45">
      <c r="A602">
        <f>IF(Weekly_Inspections!$B602="","",Weekly_Inspections!$A602&amp;"-A1")</f>
        <v/>
      </c>
      <c r="B602" s="47">
        <f>Weekly_Inspections!$B602</f>
        <v/>
      </c>
      <c r="C602">
        <f>Weekly_Inspections!$E602</f>
        <v/>
      </c>
      <c r="D602">
        <f>Weekly_Inspections!$F602</f>
        <v/>
      </c>
      <c r="E602">
        <f>Weekly_Inspections!$H602</f>
        <v/>
      </c>
      <c r="F602">
        <f>IF(Weekly_Inspections!$AX602&lt;&gt;"",Weekly_Inspections!$AX602,IF(Weekly_Inspections!$AY602&lt;&gt;"",Weekly_Inspections!$AY602,IF(Weekly_Inspections!$AZ602&lt;&gt;"",Weekly_Inspections!$AZ602,IF(Weekly_Inspections!$BA602&lt;&gt;"",Weekly_Inspections!$BA602,IF(Weekly_Inspections!$BB602&lt;&gt;"",Weekly_Inspections!$BB602,Weekly_Inspections!$R602)))))</f>
        <v/>
      </c>
      <c r="G602">
        <f>IF(OR(Weekly_Inspections!$AQ602&lt;&gt;"",Weekly_Inspections!$AR602&lt;&gt;"",Weekly_Inspections!$AS602&lt;&gt;""),Weekly_Inspections!$AQ602,"")</f>
        <v/>
      </c>
      <c r="H602">
        <f>Weekly_Inspections!$AP602</f>
        <v/>
      </c>
      <c r="I602">
        <f>Weekly_Inspections!$AR602</f>
        <v/>
      </c>
      <c r="J602">
        <f>Weekly_Inspections!$AS602</f>
        <v/>
      </c>
      <c r="K602">
        <f>Weekly_Inspections!$AU602</f>
        <v/>
      </c>
      <c r="L602" s="47">
        <f>Weekly_Inspections!$AV602</f>
        <v/>
      </c>
      <c r="M602">
        <f>IF($B602="","",IF($N602&lt;&gt;"","Closed",IF(OR($G602&lt;&gt;"",$I602&lt;&gt;"",$J602&lt;&gt;""),"Open","")))</f>
        <v/>
      </c>
      <c r="N602" s="47" t="n"/>
      <c r="O602">
        <f>IF($B602="","",IF($M602="Closed",IF($N602="","",$N602-$B602),TODAY()-$B602))</f>
        <v/>
      </c>
      <c r="P602">
        <f>IF(OR($B602="",$L602="",$M602="Closed"),"",IF(TODAY()&gt;$L602,"YES","NO"))</f>
        <v/>
      </c>
      <c r="Q602">
        <f>Weekly_Inspections!$AW602</f>
        <v/>
      </c>
    </row>
    <row r="603" ht="15" customHeight="1" s="45">
      <c r="A603">
        <f>IF(Weekly_Inspections!$B603="","",Weekly_Inspections!$A603&amp;"-A1")</f>
        <v/>
      </c>
      <c r="B603" s="47">
        <f>Weekly_Inspections!$B603</f>
        <v/>
      </c>
      <c r="C603">
        <f>Weekly_Inspections!$E603</f>
        <v/>
      </c>
      <c r="D603">
        <f>Weekly_Inspections!$F603</f>
        <v/>
      </c>
      <c r="E603">
        <f>Weekly_Inspections!$H603</f>
        <v/>
      </c>
      <c r="F603">
        <f>IF(Weekly_Inspections!$AX603&lt;&gt;"",Weekly_Inspections!$AX603,IF(Weekly_Inspections!$AY603&lt;&gt;"",Weekly_Inspections!$AY603,IF(Weekly_Inspections!$AZ603&lt;&gt;"",Weekly_Inspections!$AZ603,IF(Weekly_Inspections!$BA603&lt;&gt;"",Weekly_Inspections!$BA603,IF(Weekly_Inspections!$BB603&lt;&gt;"",Weekly_Inspections!$BB603,Weekly_Inspections!$R603)))))</f>
        <v/>
      </c>
      <c r="G603">
        <f>IF(OR(Weekly_Inspections!$AQ603&lt;&gt;"",Weekly_Inspections!$AR603&lt;&gt;"",Weekly_Inspections!$AS603&lt;&gt;""),Weekly_Inspections!$AQ603,"")</f>
        <v/>
      </c>
      <c r="H603">
        <f>Weekly_Inspections!$AP603</f>
        <v/>
      </c>
      <c r="I603">
        <f>Weekly_Inspections!$AR603</f>
        <v/>
      </c>
      <c r="J603">
        <f>Weekly_Inspections!$AS603</f>
        <v/>
      </c>
      <c r="K603">
        <f>Weekly_Inspections!$AU603</f>
        <v/>
      </c>
      <c r="L603" s="47">
        <f>Weekly_Inspections!$AV603</f>
        <v/>
      </c>
      <c r="M603">
        <f>IF($B603="","",IF($N603&lt;&gt;"","Closed",IF(OR($G603&lt;&gt;"",$I603&lt;&gt;"",$J603&lt;&gt;""),"Open","")))</f>
        <v/>
      </c>
      <c r="N603" s="47" t="n"/>
      <c r="O603">
        <f>IF($B603="","",IF($M603="Closed",IF($N603="","",$N603-$B603),TODAY()-$B603))</f>
        <v/>
      </c>
      <c r="P603">
        <f>IF(OR($B603="",$L603="",$M603="Closed"),"",IF(TODAY()&gt;$L603,"YES","NO"))</f>
        <v/>
      </c>
      <c r="Q603">
        <f>Weekly_Inspections!$AW603</f>
        <v/>
      </c>
    </row>
    <row r="604" ht="15" customHeight="1" s="45">
      <c r="A604">
        <f>IF(Weekly_Inspections!$B604="","",Weekly_Inspections!$A604&amp;"-A1")</f>
        <v/>
      </c>
      <c r="B604" s="47">
        <f>Weekly_Inspections!$B604</f>
        <v/>
      </c>
      <c r="C604">
        <f>Weekly_Inspections!$E604</f>
        <v/>
      </c>
      <c r="D604">
        <f>Weekly_Inspections!$F604</f>
        <v/>
      </c>
      <c r="E604">
        <f>Weekly_Inspections!$H604</f>
        <v/>
      </c>
      <c r="F604">
        <f>IF(Weekly_Inspections!$AX604&lt;&gt;"",Weekly_Inspections!$AX604,IF(Weekly_Inspections!$AY604&lt;&gt;"",Weekly_Inspections!$AY604,IF(Weekly_Inspections!$AZ604&lt;&gt;"",Weekly_Inspections!$AZ604,IF(Weekly_Inspections!$BA604&lt;&gt;"",Weekly_Inspections!$BA604,IF(Weekly_Inspections!$BB604&lt;&gt;"",Weekly_Inspections!$BB604,Weekly_Inspections!$R604)))))</f>
        <v/>
      </c>
      <c r="G604">
        <f>IF(OR(Weekly_Inspections!$AQ604&lt;&gt;"",Weekly_Inspections!$AR604&lt;&gt;"",Weekly_Inspections!$AS604&lt;&gt;""),Weekly_Inspections!$AQ604,"")</f>
        <v/>
      </c>
      <c r="H604">
        <f>Weekly_Inspections!$AP604</f>
        <v/>
      </c>
      <c r="I604">
        <f>Weekly_Inspections!$AR604</f>
        <v/>
      </c>
      <c r="J604">
        <f>Weekly_Inspections!$AS604</f>
        <v/>
      </c>
      <c r="K604">
        <f>Weekly_Inspections!$AU604</f>
        <v/>
      </c>
      <c r="L604" s="47">
        <f>Weekly_Inspections!$AV604</f>
        <v/>
      </c>
      <c r="M604">
        <f>IF($B604="","",IF($N604&lt;&gt;"","Closed",IF(OR($G604&lt;&gt;"",$I604&lt;&gt;"",$J604&lt;&gt;""),"Open","")))</f>
        <v/>
      </c>
      <c r="N604" s="47" t="n"/>
      <c r="O604">
        <f>IF($B604="","",IF($M604="Closed",IF($N604="","",$N604-$B604),TODAY()-$B604))</f>
        <v/>
      </c>
      <c r="P604">
        <f>IF(OR($B604="",$L604="",$M604="Closed"),"",IF(TODAY()&gt;$L604,"YES","NO"))</f>
        <v/>
      </c>
      <c r="Q604">
        <f>Weekly_Inspections!$AW604</f>
        <v/>
      </c>
    </row>
    <row r="605" ht="15" customHeight="1" s="45">
      <c r="A605">
        <f>IF(Weekly_Inspections!$B605="","",Weekly_Inspections!$A605&amp;"-A1")</f>
        <v/>
      </c>
      <c r="B605" s="47">
        <f>Weekly_Inspections!$B605</f>
        <v/>
      </c>
      <c r="C605">
        <f>Weekly_Inspections!$E605</f>
        <v/>
      </c>
      <c r="D605">
        <f>Weekly_Inspections!$F605</f>
        <v/>
      </c>
      <c r="E605">
        <f>Weekly_Inspections!$H605</f>
        <v/>
      </c>
      <c r="F605">
        <f>IF(Weekly_Inspections!$AX605&lt;&gt;"",Weekly_Inspections!$AX605,IF(Weekly_Inspections!$AY605&lt;&gt;"",Weekly_Inspections!$AY605,IF(Weekly_Inspections!$AZ605&lt;&gt;"",Weekly_Inspections!$AZ605,IF(Weekly_Inspections!$BA605&lt;&gt;"",Weekly_Inspections!$BA605,IF(Weekly_Inspections!$BB605&lt;&gt;"",Weekly_Inspections!$BB605,Weekly_Inspections!$R605)))))</f>
        <v/>
      </c>
      <c r="G605">
        <f>IF(OR(Weekly_Inspections!$AQ605&lt;&gt;"",Weekly_Inspections!$AR605&lt;&gt;"",Weekly_Inspections!$AS605&lt;&gt;""),Weekly_Inspections!$AQ605,"")</f>
        <v/>
      </c>
      <c r="H605">
        <f>Weekly_Inspections!$AP605</f>
        <v/>
      </c>
      <c r="I605">
        <f>Weekly_Inspections!$AR605</f>
        <v/>
      </c>
      <c r="J605">
        <f>Weekly_Inspections!$AS605</f>
        <v/>
      </c>
      <c r="K605">
        <f>Weekly_Inspections!$AU605</f>
        <v/>
      </c>
      <c r="L605" s="47">
        <f>Weekly_Inspections!$AV605</f>
        <v/>
      </c>
      <c r="M605">
        <f>IF($B605="","",IF($N605&lt;&gt;"","Closed",IF(OR($G605&lt;&gt;"",$I605&lt;&gt;"",$J605&lt;&gt;""),"Open","")))</f>
        <v/>
      </c>
      <c r="N605" s="47" t="n"/>
      <c r="O605">
        <f>IF($B605="","",IF($M605="Closed",IF($N605="","",$N605-$B605),TODAY()-$B605))</f>
        <v/>
      </c>
      <c r="P605">
        <f>IF(OR($B605="",$L605="",$M605="Closed"),"",IF(TODAY()&gt;$L605,"YES","NO"))</f>
        <v/>
      </c>
      <c r="Q605">
        <f>Weekly_Inspections!$AW605</f>
        <v/>
      </c>
    </row>
    <row r="606" ht="15" customHeight="1" s="45">
      <c r="A606">
        <f>IF(Weekly_Inspections!$B606="","",Weekly_Inspections!$A606&amp;"-A1")</f>
        <v/>
      </c>
      <c r="B606" s="47">
        <f>Weekly_Inspections!$B606</f>
        <v/>
      </c>
      <c r="C606">
        <f>Weekly_Inspections!$E606</f>
        <v/>
      </c>
      <c r="D606">
        <f>Weekly_Inspections!$F606</f>
        <v/>
      </c>
      <c r="E606">
        <f>Weekly_Inspections!$H606</f>
        <v/>
      </c>
      <c r="F606">
        <f>IF(Weekly_Inspections!$AX606&lt;&gt;"",Weekly_Inspections!$AX606,IF(Weekly_Inspections!$AY606&lt;&gt;"",Weekly_Inspections!$AY606,IF(Weekly_Inspections!$AZ606&lt;&gt;"",Weekly_Inspections!$AZ606,IF(Weekly_Inspections!$BA606&lt;&gt;"",Weekly_Inspections!$BA606,IF(Weekly_Inspections!$BB606&lt;&gt;"",Weekly_Inspections!$BB606,Weekly_Inspections!$R606)))))</f>
        <v/>
      </c>
      <c r="G606">
        <f>IF(OR(Weekly_Inspections!$AQ606&lt;&gt;"",Weekly_Inspections!$AR606&lt;&gt;"",Weekly_Inspections!$AS606&lt;&gt;""),Weekly_Inspections!$AQ606,"")</f>
        <v/>
      </c>
      <c r="H606">
        <f>Weekly_Inspections!$AP606</f>
        <v/>
      </c>
      <c r="I606">
        <f>Weekly_Inspections!$AR606</f>
        <v/>
      </c>
      <c r="J606">
        <f>Weekly_Inspections!$AS606</f>
        <v/>
      </c>
      <c r="K606">
        <f>Weekly_Inspections!$AU606</f>
        <v/>
      </c>
      <c r="L606" s="47">
        <f>Weekly_Inspections!$AV606</f>
        <v/>
      </c>
      <c r="M606">
        <f>IF($B606="","",IF($N606&lt;&gt;"","Closed",IF(OR($G606&lt;&gt;"",$I606&lt;&gt;"",$J606&lt;&gt;""),"Open","")))</f>
        <v/>
      </c>
      <c r="N606" s="47" t="n"/>
      <c r="O606">
        <f>IF($B606="","",IF($M606="Closed",IF($N606="","",$N606-$B606),TODAY()-$B606))</f>
        <v/>
      </c>
      <c r="P606">
        <f>IF(OR($B606="",$L606="",$M606="Closed"),"",IF(TODAY()&gt;$L606,"YES","NO"))</f>
        <v/>
      </c>
      <c r="Q606">
        <f>Weekly_Inspections!$AW606</f>
        <v/>
      </c>
    </row>
    <row r="607" ht="15" customHeight="1" s="45">
      <c r="A607">
        <f>IF(Weekly_Inspections!$B607="","",Weekly_Inspections!$A607&amp;"-A1")</f>
        <v/>
      </c>
      <c r="B607" s="47">
        <f>Weekly_Inspections!$B607</f>
        <v/>
      </c>
      <c r="C607">
        <f>Weekly_Inspections!$E607</f>
        <v/>
      </c>
      <c r="D607">
        <f>Weekly_Inspections!$F607</f>
        <v/>
      </c>
      <c r="E607">
        <f>Weekly_Inspections!$H607</f>
        <v/>
      </c>
      <c r="F607">
        <f>IF(Weekly_Inspections!$AX607&lt;&gt;"",Weekly_Inspections!$AX607,IF(Weekly_Inspections!$AY607&lt;&gt;"",Weekly_Inspections!$AY607,IF(Weekly_Inspections!$AZ607&lt;&gt;"",Weekly_Inspections!$AZ607,IF(Weekly_Inspections!$BA607&lt;&gt;"",Weekly_Inspections!$BA607,IF(Weekly_Inspections!$BB607&lt;&gt;"",Weekly_Inspections!$BB607,Weekly_Inspections!$R607)))))</f>
        <v/>
      </c>
      <c r="G607">
        <f>IF(OR(Weekly_Inspections!$AQ607&lt;&gt;"",Weekly_Inspections!$AR607&lt;&gt;"",Weekly_Inspections!$AS607&lt;&gt;""),Weekly_Inspections!$AQ607,"")</f>
        <v/>
      </c>
      <c r="H607">
        <f>Weekly_Inspections!$AP607</f>
        <v/>
      </c>
      <c r="I607">
        <f>Weekly_Inspections!$AR607</f>
        <v/>
      </c>
      <c r="J607">
        <f>Weekly_Inspections!$AS607</f>
        <v/>
      </c>
      <c r="K607">
        <f>Weekly_Inspections!$AU607</f>
        <v/>
      </c>
      <c r="L607" s="47">
        <f>Weekly_Inspections!$AV607</f>
        <v/>
      </c>
      <c r="M607">
        <f>IF($B607="","",IF($N607&lt;&gt;"","Closed",IF(OR($G607&lt;&gt;"",$I607&lt;&gt;"",$J607&lt;&gt;""),"Open","")))</f>
        <v/>
      </c>
      <c r="N607" s="47" t="n"/>
      <c r="O607">
        <f>IF($B607="","",IF($M607="Closed",IF($N607="","",$N607-$B607),TODAY()-$B607))</f>
        <v/>
      </c>
      <c r="P607">
        <f>IF(OR($B607="",$L607="",$M607="Closed"),"",IF(TODAY()&gt;$L607,"YES","NO"))</f>
        <v/>
      </c>
      <c r="Q607">
        <f>Weekly_Inspections!$AW607</f>
        <v/>
      </c>
    </row>
    <row r="608" ht="15" customHeight="1" s="45">
      <c r="A608">
        <f>IF(Weekly_Inspections!$B608="","",Weekly_Inspections!$A608&amp;"-A1")</f>
        <v/>
      </c>
      <c r="B608" s="47">
        <f>Weekly_Inspections!$B608</f>
        <v/>
      </c>
      <c r="C608">
        <f>Weekly_Inspections!$E608</f>
        <v/>
      </c>
      <c r="D608">
        <f>Weekly_Inspections!$F608</f>
        <v/>
      </c>
      <c r="E608">
        <f>Weekly_Inspections!$H608</f>
        <v/>
      </c>
      <c r="F608">
        <f>IF(Weekly_Inspections!$AX608&lt;&gt;"",Weekly_Inspections!$AX608,IF(Weekly_Inspections!$AY608&lt;&gt;"",Weekly_Inspections!$AY608,IF(Weekly_Inspections!$AZ608&lt;&gt;"",Weekly_Inspections!$AZ608,IF(Weekly_Inspections!$BA608&lt;&gt;"",Weekly_Inspections!$BA608,IF(Weekly_Inspections!$BB608&lt;&gt;"",Weekly_Inspections!$BB608,Weekly_Inspections!$R608)))))</f>
        <v/>
      </c>
      <c r="G608">
        <f>IF(OR(Weekly_Inspections!$AQ608&lt;&gt;"",Weekly_Inspections!$AR608&lt;&gt;"",Weekly_Inspections!$AS608&lt;&gt;""),Weekly_Inspections!$AQ608,"")</f>
        <v/>
      </c>
      <c r="H608">
        <f>Weekly_Inspections!$AP608</f>
        <v/>
      </c>
      <c r="I608">
        <f>Weekly_Inspections!$AR608</f>
        <v/>
      </c>
      <c r="J608">
        <f>Weekly_Inspections!$AS608</f>
        <v/>
      </c>
      <c r="K608">
        <f>Weekly_Inspections!$AU608</f>
        <v/>
      </c>
      <c r="L608" s="47">
        <f>Weekly_Inspections!$AV608</f>
        <v/>
      </c>
      <c r="M608">
        <f>IF($B608="","",IF($N608&lt;&gt;"","Closed",IF(OR($G608&lt;&gt;"",$I608&lt;&gt;"",$J608&lt;&gt;""),"Open","")))</f>
        <v/>
      </c>
      <c r="N608" s="47" t="n"/>
      <c r="O608">
        <f>IF($B608="","",IF($M608="Closed",IF($N608="","",$N608-$B608),TODAY()-$B608))</f>
        <v/>
      </c>
      <c r="P608">
        <f>IF(OR($B608="",$L608="",$M608="Closed"),"",IF(TODAY()&gt;$L608,"YES","NO"))</f>
        <v/>
      </c>
      <c r="Q608">
        <f>Weekly_Inspections!$AW608</f>
        <v/>
      </c>
    </row>
    <row r="609" ht="15" customHeight="1" s="45">
      <c r="A609">
        <f>IF(Weekly_Inspections!$B609="","",Weekly_Inspections!$A609&amp;"-A1")</f>
        <v/>
      </c>
      <c r="B609" s="47">
        <f>Weekly_Inspections!$B609</f>
        <v/>
      </c>
      <c r="C609">
        <f>Weekly_Inspections!$E609</f>
        <v/>
      </c>
      <c r="D609">
        <f>Weekly_Inspections!$F609</f>
        <v/>
      </c>
      <c r="E609">
        <f>Weekly_Inspections!$H609</f>
        <v/>
      </c>
      <c r="F609">
        <f>IF(Weekly_Inspections!$AX609&lt;&gt;"",Weekly_Inspections!$AX609,IF(Weekly_Inspections!$AY609&lt;&gt;"",Weekly_Inspections!$AY609,IF(Weekly_Inspections!$AZ609&lt;&gt;"",Weekly_Inspections!$AZ609,IF(Weekly_Inspections!$BA609&lt;&gt;"",Weekly_Inspections!$BA609,IF(Weekly_Inspections!$BB609&lt;&gt;"",Weekly_Inspections!$BB609,Weekly_Inspections!$R609)))))</f>
        <v/>
      </c>
      <c r="G609">
        <f>IF(OR(Weekly_Inspections!$AQ609&lt;&gt;"",Weekly_Inspections!$AR609&lt;&gt;"",Weekly_Inspections!$AS609&lt;&gt;""),Weekly_Inspections!$AQ609,"")</f>
        <v/>
      </c>
      <c r="H609">
        <f>Weekly_Inspections!$AP609</f>
        <v/>
      </c>
      <c r="I609">
        <f>Weekly_Inspections!$AR609</f>
        <v/>
      </c>
      <c r="J609">
        <f>Weekly_Inspections!$AS609</f>
        <v/>
      </c>
      <c r="K609">
        <f>Weekly_Inspections!$AU609</f>
        <v/>
      </c>
      <c r="L609" s="47">
        <f>Weekly_Inspections!$AV609</f>
        <v/>
      </c>
      <c r="M609">
        <f>IF($B609="","",IF($N609&lt;&gt;"","Closed",IF(OR($G609&lt;&gt;"",$I609&lt;&gt;"",$J609&lt;&gt;""),"Open","")))</f>
        <v/>
      </c>
      <c r="N609" s="47" t="n"/>
      <c r="O609">
        <f>IF($B609="","",IF($M609="Closed",IF($N609="","",$N609-$B609),TODAY()-$B609))</f>
        <v/>
      </c>
      <c r="P609">
        <f>IF(OR($B609="",$L609="",$M609="Closed"),"",IF(TODAY()&gt;$L609,"YES","NO"))</f>
        <v/>
      </c>
      <c r="Q609">
        <f>Weekly_Inspections!$AW609</f>
        <v/>
      </c>
    </row>
    <row r="610" ht="15" customHeight="1" s="45">
      <c r="A610">
        <f>IF(Weekly_Inspections!$B610="","",Weekly_Inspections!$A610&amp;"-A1")</f>
        <v/>
      </c>
      <c r="B610" s="47">
        <f>Weekly_Inspections!$B610</f>
        <v/>
      </c>
      <c r="C610">
        <f>Weekly_Inspections!$E610</f>
        <v/>
      </c>
      <c r="D610">
        <f>Weekly_Inspections!$F610</f>
        <v/>
      </c>
      <c r="E610">
        <f>Weekly_Inspections!$H610</f>
        <v/>
      </c>
      <c r="F610">
        <f>IF(Weekly_Inspections!$AX610&lt;&gt;"",Weekly_Inspections!$AX610,IF(Weekly_Inspections!$AY610&lt;&gt;"",Weekly_Inspections!$AY610,IF(Weekly_Inspections!$AZ610&lt;&gt;"",Weekly_Inspections!$AZ610,IF(Weekly_Inspections!$BA610&lt;&gt;"",Weekly_Inspections!$BA610,IF(Weekly_Inspections!$BB610&lt;&gt;"",Weekly_Inspections!$BB610,Weekly_Inspections!$R610)))))</f>
        <v/>
      </c>
      <c r="G610">
        <f>IF(OR(Weekly_Inspections!$AQ610&lt;&gt;"",Weekly_Inspections!$AR610&lt;&gt;"",Weekly_Inspections!$AS610&lt;&gt;""),Weekly_Inspections!$AQ610,"")</f>
        <v/>
      </c>
      <c r="H610">
        <f>Weekly_Inspections!$AP610</f>
        <v/>
      </c>
      <c r="I610">
        <f>Weekly_Inspections!$AR610</f>
        <v/>
      </c>
      <c r="J610">
        <f>Weekly_Inspections!$AS610</f>
        <v/>
      </c>
      <c r="K610">
        <f>Weekly_Inspections!$AU610</f>
        <v/>
      </c>
      <c r="L610" s="47">
        <f>Weekly_Inspections!$AV610</f>
        <v/>
      </c>
      <c r="M610">
        <f>IF($B610="","",IF($N610&lt;&gt;"","Closed",IF(OR($G610&lt;&gt;"",$I610&lt;&gt;"",$J610&lt;&gt;""),"Open","")))</f>
        <v/>
      </c>
      <c r="N610" s="47" t="n"/>
      <c r="O610">
        <f>IF($B610="","",IF($M610="Closed",IF($N610="","",$N610-$B610),TODAY()-$B610))</f>
        <v/>
      </c>
      <c r="P610">
        <f>IF(OR($B610="",$L610="",$M610="Closed"),"",IF(TODAY()&gt;$L610,"YES","NO"))</f>
        <v/>
      </c>
      <c r="Q610">
        <f>Weekly_Inspections!$AW610</f>
        <v/>
      </c>
    </row>
    <row r="611" ht="15" customHeight="1" s="45">
      <c r="A611">
        <f>IF(Weekly_Inspections!$B611="","",Weekly_Inspections!$A611&amp;"-A1")</f>
        <v/>
      </c>
      <c r="B611" s="47">
        <f>Weekly_Inspections!$B611</f>
        <v/>
      </c>
      <c r="C611">
        <f>Weekly_Inspections!$E611</f>
        <v/>
      </c>
      <c r="D611">
        <f>Weekly_Inspections!$F611</f>
        <v/>
      </c>
      <c r="E611">
        <f>Weekly_Inspections!$H611</f>
        <v/>
      </c>
      <c r="F611">
        <f>IF(Weekly_Inspections!$AX611&lt;&gt;"",Weekly_Inspections!$AX611,IF(Weekly_Inspections!$AY611&lt;&gt;"",Weekly_Inspections!$AY611,IF(Weekly_Inspections!$AZ611&lt;&gt;"",Weekly_Inspections!$AZ611,IF(Weekly_Inspections!$BA611&lt;&gt;"",Weekly_Inspections!$BA611,IF(Weekly_Inspections!$BB611&lt;&gt;"",Weekly_Inspections!$BB611,Weekly_Inspections!$R611)))))</f>
        <v/>
      </c>
      <c r="G611">
        <f>IF(OR(Weekly_Inspections!$AQ611&lt;&gt;"",Weekly_Inspections!$AR611&lt;&gt;"",Weekly_Inspections!$AS611&lt;&gt;""),Weekly_Inspections!$AQ611,"")</f>
        <v/>
      </c>
      <c r="H611">
        <f>Weekly_Inspections!$AP611</f>
        <v/>
      </c>
      <c r="I611">
        <f>Weekly_Inspections!$AR611</f>
        <v/>
      </c>
      <c r="J611">
        <f>Weekly_Inspections!$AS611</f>
        <v/>
      </c>
      <c r="K611">
        <f>Weekly_Inspections!$AU611</f>
        <v/>
      </c>
      <c r="L611" s="47">
        <f>Weekly_Inspections!$AV611</f>
        <v/>
      </c>
      <c r="M611">
        <f>IF($B611="","",IF($N611&lt;&gt;"","Closed",IF(OR($G611&lt;&gt;"",$I611&lt;&gt;"",$J611&lt;&gt;""),"Open","")))</f>
        <v/>
      </c>
      <c r="N611" s="47" t="n"/>
      <c r="O611">
        <f>IF($B611="","",IF($M611="Closed",IF($N611="","",$N611-$B611),TODAY()-$B611))</f>
        <v/>
      </c>
      <c r="P611">
        <f>IF(OR($B611="",$L611="",$M611="Closed"),"",IF(TODAY()&gt;$L611,"YES","NO"))</f>
        <v/>
      </c>
      <c r="Q611">
        <f>Weekly_Inspections!$AW611</f>
        <v/>
      </c>
    </row>
    <row r="612" ht="15" customHeight="1" s="45">
      <c r="A612">
        <f>IF(Weekly_Inspections!$B612="","",Weekly_Inspections!$A612&amp;"-A1")</f>
        <v/>
      </c>
      <c r="B612" s="47">
        <f>Weekly_Inspections!$B612</f>
        <v/>
      </c>
      <c r="C612">
        <f>Weekly_Inspections!$E612</f>
        <v/>
      </c>
      <c r="D612">
        <f>Weekly_Inspections!$F612</f>
        <v/>
      </c>
      <c r="E612">
        <f>Weekly_Inspections!$H612</f>
        <v/>
      </c>
      <c r="F612">
        <f>IF(Weekly_Inspections!$AX612&lt;&gt;"",Weekly_Inspections!$AX612,IF(Weekly_Inspections!$AY612&lt;&gt;"",Weekly_Inspections!$AY612,IF(Weekly_Inspections!$AZ612&lt;&gt;"",Weekly_Inspections!$AZ612,IF(Weekly_Inspections!$BA612&lt;&gt;"",Weekly_Inspections!$BA612,IF(Weekly_Inspections!$BB612&lt;&gt;"",Weekly_Inspections!$BB612,Weekly_Inspections!$R612)))))</f>
        <v/>
      </c>
      <c r="G612">
        <f>IF(OR(Weekly_Inspections!$AQ612&lt;&gt;"",Weekly_Inspections!$AR612&lt;&gt;"",Weekly_Inspections!$AS612&lt;&gt;""),Weekly_Inspections!$AQ612,"")</f>
        <v/>
      </c>
      <c r="H612">
        <f>Weekly_Inspections!$AP612</f>
        <v/>
      </c>
      <c r="I612">
        <f>Weekly_Inspections!$AR612</f>
        <v/>
      </c>
      <c r="J612">
        <f>Weekly_Inspections!$AS612</f>
        <v/>
      </c>
      <c r="K612">
        <f>Weekly_Inspections!$AU612</f>
        <v/>
      </c>
      <c r="L612" s="47">
        <f>Weekly_Inspections!$AV612</f>
        <v/>
      </c>
      <c r="M612">
        <f>IF($B612="","",IF($N612&lt;&gt;"","Closed",IF(OR($G612&lt;&gt;"",$I612&lt;&gt;"",$J612&lt;&gt;""),"Open","")))</f>
        <v/>
      </c>
      <c r="N612" s="47" t="n"/>
      <c r="O612">
        <f>IF($B612="","",IF($M612="Closed",IF($N612="","",$N612-$B612),TODAY()-$B612))</f>
        <v/>
      </c>
      <c r="P612">
        <f>IF(OR($B612="",$L612="",$M612="Closed"),"",IF(TODAY()&gt;$L612,"YES","NO"))</f>
        <v/>
      </c>
      <c r="Q612">
        <f>Weekly_Inspections!$AW612</f>
        <v/>
      </c>
    </row>
    <row r="613" ht="15" customHeight="1" s="45">
      <c r="A613">
        <f>IF(Weekly_Inspections!$B613="","",Weekly_Inspections!$A613&amp;"-A1")</f>
        <v/>
      </c>
      <c r="B613" s="47">
        <f>Weekly_Inspections!$B613</f>
        <v/>
      </c>
      <c r="C613">
        <f>Weekly_Inspections!$E613</f>
        <v/>
      </c>
      <c r="D613">
        <f>Weekly_Inspections!$F613</f>
        <v/>
      </c>
      <c r="E613">
        <f>Weekly_Inspections!$H613</f>
        <v/>
      </c>
      <c r="F613">
        <f>IF(Weekly_Inspections!$AX613&lt;&gt;"",Weekly_Inspections!$AX613,IF(Weekly_Inspections!$AY613&lt;&gt;"",Weekly_Inspections!$AY613,IF(Weekly_Inspections!$AZ613&lt;&gt;"",Weekly_Inspections!$AZ613,IF(Weekly_Inspections!$BA613&lt;&gt;"",Weekly_Inspections!$BA613,IF(Weekly_Inspections!$BB613&lt;&gt;"",Weekly_Inspections!$BB613,Weekly_Inspections!$R613)))))</f>
        <v/>
      </c>
      <c r="G613">
        <f>IF(OR(Weekly_Inspections!$AQ613&lt;&gt;"",Weekly_Inspections!$AR613&lt;&gt;"",Weekly_Inspections!$AS613&lt;&gt;""),Weekly_Inspections!$AQ613,"")</f>
        <v/>
      </c>
      <c r="H613">
        <f>Weekly_Inspections!$AP613</f>
        <v/>
      </c>
      <c r="I613">
        <f>Weekly_Inspections!$AR613</f>
        <v/>
      </c>
      <c r="J613">
        <f>Weekly_Inspections!$AS613</f>
        <v/>
      </c>
      <c r="K613">
        <f>Weekly_Inspections!$AU613</f>
        <v/>
      </c>
      <c r="L613" s="47">
        <f>Weekly_Inspections!$AV613</f>
        <v/>
      </c>
      <c r="M613">
        <f>IF($B613="","",IF($N613&lt;&gt;"","Closed",IF(OR($G613&lt;&gt;"",$I613&lt;&gt;"",$J613&lt;&gt;""),"Open","")))</f>
        <v/>
      </c>
      <c r="N613" s="47" t="n"/>
      <c r="O613">
        <f>IF($B613="","",IF($M613="Closed",IF($N613="","",$N613-$B613),TODAY()-$B613))</f>
        <v/>
      </c>
      <c r="P613">
        <f>IF(OR($B613="",$L613="",$M613="Closed"),"",IF(TODAY()&gt;$L613,"YES","NO"))</f>
        <v/>
      </c>
      <c r="Q613">
        <f>Weekly_Inspections!$AW613</f>
        <v/>
      </c>
    </row>
    <row r="614" ht="15" customHeight="1" s="45">
      <c r="A614">
        <f>IF(Weekly_Inspections!$B614="","",Weekly_Inspections!$A614&amp;"-A1")</f>
        <v/>
      </c>
      <c r="B614" s="47">
        <f>Weekly_Inspections!$B614</f>
        <v/>
      </c>
      <c r="C614">
        <f>Weekly_Inspections!$E614</f>
        <v/>
      </c>
      <c r="D614">
        <f>Weekly_Inspections!$F614</f>
        <v/>
      </c>
      <c r="E614">
        <f>Weekly_Inspections!$H614</f>
        <v/>
      </c>
      <c r="F614">
        <f>IF(Weekly_Inspections!$AX614&lt;&gt;"",Weekly_Inspections!$AX614,IF(Weekly_Inspections!$AY614&lt;&gt;"",Weekly_Inspections!$AY614,IF(Weekly_Inspections!$AZ614&lt;&gt;"",Weekly_Inspections!$AZ614,IF(Weekly_Inspections!$BA614&lt;&gt;"",Weekly_Inspections!$BA614,IF(Weekly_Inspections!$BB614&lt;&gt;"",Weekly_Inspections!$BB614,Weekly_Inspections!$R614)))))</f>
        <v/>
      </c>
      <c r="G614">
        <f>IF(OR(Weekly_Inspections!$AQ614&lt;&gt;"",Weekly_Inspections!$AR614&lt;&gt;"",Weekly_Inspections!$AS614&lt;&gt;""),Weekly_Inspections!$AQ614,"")</f>
        <v/>
      </c>
      <c r="H614">
        <f>Weekly_Inspections!$AP614</f>
        <v/>
      </c>
      <c r="I614">
        <f>Weekly_Inspections!$AR614</f>
        <v/>
      </c>
      <c r="J614">
        <f>Weekly_Inspections!$AS614</f>
        <v/>
      </c>
      <c r="K614">
        <f>Weekly_Inspections!$AU614</f>
        <v/>
      </c>
      <c r="L614" s="47">
        <f>Weekly_Inspections!$AV614</f>
        <v/>
      </c>
      <c r="M614">
        <f>IF($B614="","",IF($N614&lt;&gt;"","Closed",IF(OR($G614&lt;&gt;"",$I614&lt;&gt;"",$J614&lt;&gt;""),"Open","")))</f>
        <v/>
      </c>
      <c r="N614" s="47" t="n"/>
      <c r="O614">
        <f>IF($B614="","",IF($M614="Closed",IF($N614="","",$N614-$B614),TODAY()-$B614))</f>
        <v/>
      </c>
      <c r="P614">
        <f>IF(OR($B614="",$L614="",$M614="Closed"),"",IF(TODAY()&gt;$L614,"YES","NO"))</f>
        <v/>
      </c>
      <c r="Q614">
        <f>Weekly_Inspections!$AW614</f>
        <v/>
      </c>
    </row>
    <row r="615" ht="15" customHeight="1" s="45">
      <c r="A615">
        <f>IF(Weekly_Inspections!$B615="","",Weekly_Inspections!$A615&amp;"-A1")</f>
        <v/>
      </c>
      <c r="B615" s="47">
        <f>Weekly_Inspections!$B615</f>
        <v/>
      </c>
      <c r="C615">
        <f>Weekly_Inspections!$E615</f>
        <v/>
      </c>
      <c r="D615">
        <f>Weekly_Inspections!$F615</f>
        <v/>
      </c>
      <c r="E615">
        <f>Weekly_Inspections!$H615</f>
        <v/>
      </c>
      <c r="F615">
        <f>IF(Weekly_Inspections!$AX615&lt;&gt;"",Weekly_Inspections!$AX615,IF(Weekly_Inspections!$AY615&lt;&gt;"",Weekly_Inspections!$AY615,IF(Weekly_Inspections!$AZ615&lt;&gt;"",Weekly_Inspections!$AZ615,IF(Weekly_Inspections!$BA615&lt;&gt;"",Weekly_Inspections!$BA615,IF(Weekly_Inspections!$BB615&lt;&gt;"",Weekly_Inspections!$BB615,Weekly_Inspections!$R615)))))</f>
        <v/>
      </c>
      <c r="G615">
        <f>IF(OR(Weekly_Inspections!$AQ615&lt;&gt;"",Weekly_Inspections!$AR615&lt;&gt;"",Weekly_Inspections!$AS615&lt;&gt;""),Weekly_Inspections!$AQ615,"")</f>
        <v/>
      </c>
      <c r="H615">
        <f>Weekly_Inspections!$AP615</f>
        <v/>
      </c>
      <c r="I615">
        <f>Weekly_Inspections!$AR615</f>
        <v/>
      </c>
      <c r="J615">
        <f>Weekly_Inspections!$AS615</f>
        <v/>
      </c>
      <c r="K615">
        <f>Weekly_Inspections!$AU615</f>
        <v/>
      </c>
      <c r="L615" s="47">
        <f>Weekly_Inspections!$AV615</f>
        <v/>
      </c>
      <c r="M615">
        <f>IF($B615="","",IF($N615&lt;&gt;"","Closed",IF(OR($G615&lt;&gt;"",$I615&lt;&gt;"",$J615&lt;&gt;""),"Open","")))</f>
        <v/>
      </c>
      <c r="N615" s="47" t="n"/>
      <c r="O615">
        <f>IF($B615="","",IF($M615="Closed",IF($N615="","",$N615-$B615),TODAY()-$B615))</f>
        <v/>
      </c>
      <c r="P615">
        <f>IF(OR($B615="",$L615="",$M615="Closed"),"",IF(TODAY()&gt;$L615,"YES","NO"))</f>
        <v/>
      </c>
      <c r="Q615">
        <f>Weekly_Inspections!$AW615</f>
        <v/>
      </c>
    </row>
    <row r="616" ht="15" customHeight="1" s="45">
      <c r="A616">
        <f>IF(Weekly_Inspections!$B616="","",Weekly_Inspections!$A616&amp;"-A1")</f>
        <v/>
      </c>
      <c r="B616" s="47">
        <f>Weekly_Inspections!$B616</f>
        <v/>
      </c>
      <c r="C616">
        <f>Weekly_Inspections!$E616</f>
        <v/>
      </c>
      <c r="D616">
        <f>Weekly_Inspections!$F616</f>
        <v/>
      </c>
      <c r="E616">
        <f>Weekly_Inspections!$H616</f>
        <v/>
      </c>
      <c r="F616">
        <f>IF(Weekly_Inspections!$AX616&lt;&gt;"",Weekly_Inspections!$AX616,IF(Weekly_Inspections!$AY616&lt;&gt;"",Weekly_Inspections!$AY616,IF(Weekly_Inspections!$AZ616&lt;&gt;"",Weekly_Inspections!$AZ616,IF(Weekly_Inspections!$BA616&lt;&gt;"",Weekly_Inspections!$BA616,IF(Weekly_Inspections!$BB616&lt;&gt;"",Weekly_Inspections!$BB616,Weekly_Inspections!$R616)))))</f>
        <v/>
      </c>
      <c r="G616">
        <f>IF(OR(Weekly_Inspections!$AQ616&lt;&gt;"",Weekly_Inspections!$AR616&lt;&gt;"",Weekly_Inspections!$AS616&lt;&gt;""),Weekly_Inspections!$AQ616,"")</f>
        <v/>
      </c>
      <c r="H616">
        <f>Weekly_Inspections!$AP616</f>
        <v/>
      </c>
      <c r="I616">
        <f>Weekly_Inspections!$AR616</f>
        <v/>
      </c>
      <c r="J616">
        <f>Weekly_Inspections!$AS616</f>
        <v/>
      </c>
      <c r="K616">
        <f>Weekly_Inspections!$AU616</f>
        <v/>
      </c>
      <c r="L616" s="47">
        <f>Weekly_Inspections!$AV616</f>
        <v/>
      </c>
      <c r="M616">
        <f>IF($B616="","",IF($N616&lt;&gt;"","Closed",IF(OR($G616&lt;&gt;"",$I616&lt;&gt;"",$J616&lt;&gt;""),"Open","")))</f>
        <v/>
      </c>
      <c r="N616" s="47" t="n"/>
      <c r="O616">
        <f>IF($B616="","",IF($M616="Closed",IF($N616="","",$N616-$B616),TODAY()-$B616))</f>
        <v/>
      </c>
      <c r="P616">
        <f>IF(OR($B616="",$L616="",$M616="Closed"),"",IF(TODAY()&gt;$L616,"YES","NO"))</f>
        <v/>
      </c>
      <c r="Q616">
        <f>Weekly_Inspections!$AW616</f>
        <v/>
      </c>
    </row>
    <row r="617" ht="15" customHeight="1" s="45">
      <c r="A617">
        <f>IF(Weekly_Inspections!$B617="","",Weekly_Inspections!$A617&amp;"-A1")</f>
        <v/>
      </c>
      <c r="B617" s="47">
        <f>Weekly_Inspections!$B617</f>
        <v/>
      </c>
      <c r="C617">
        <f>Weekly_Inspections!$E617</f>
        <v/>
      </c>
      <c r="D617">
        <f>Weekly_Inspections!$F617</f>
        <v/>
      </c>
      <c r="E617">
        <f>Weekly_Inspections!$H617</f>
        <v/>
      </c>
      <c r="F617">
        <f>IF(Weekly_Inspections!$AX617&lt;&gt;"",Weekly_Inspections!$AX617,IF(Weekly_Inspections!$AY617&lt;&gt;"",Weekly_Inspections!$AY617,IF(Weekly_Inspections!$AZ617&lt;&gt;"",Weekly_Inspections!$AZ617,IF(Weekly_Inspections!$BA617&lt;&gt;"",Weekly_Inspections!$BA617,IF(Weekly_Inspections!$BB617&lt;&gt;"",Weekly_Inspections!$BB617,Weekly_Inspections!$R617)))))</f>
        <v/>
      </c>
      <c r="G617">
        <f>IF(OR(Weekly_Inspections!$AQ617&lt;&gt;"",Weekly_Inspections!$AR617&lt;&gt;"",Weekly_Inspections!$AS617&lt;&gt;""),Weekly_Inspections!$AQ617,"")</f>
        <v/>
      </c>
      <c r="H617">
        <f>Weekly_Inspections!$AP617</f>
        <v/>
      </c>
      <c r="I617">
        <f>Weekly_Inspections!$AR617</f>
        <v/>
      </c>
      <c r="J617">
        <f>Weekly_Inspections!$AS617</f>
        <v/>
      </c>
      <c r="K617">
        <f>Weekly_Inspections!$AU617</f>
        <v/>
      </c>
      <c r="L617" s="47">
        <f>Weekly_Inspections!$AV617</f>
        <v/>
      </c>
      <c r="M617">
        <f>IF($B617="","",IF($N617&lt;&gt;"","Closed",IF(OR($G617&lt;&gt;"",$I617&lt;&gt;"",$J617&lt;&gt;""),"Open","")))</f>
        <v/>
      </c>
      <c r="N617" s="47" t="n"/>
      <c r="O617">
        <f>IF($B617="","",IF($M617="Closed",IF($N617="","",$N617-$B617),TODAY()-$B617))</f>
        <v/>
      </c>
      <c r="P617">
        <f>IF(OR($B617="",$L617="",$M617="Closed"),"",IF(TODAY()&gt;$L617,"YES","NO"))</f>
        <v/>
      </c>
      <c r="Q617">
        <f>Weekly_Inspections!$AW617</f>
        <v/>
      </c>
    </row>
    <row r="618" ht="15" customHeight="1" s="45">
      <c r="A618">
        <f>IF(Weekly_Inspections!$B618="","",Weekly_Inspections!$A618&amp;"-A1")</f>
        <v/>
      </c>
      <c r="B618" s="47">
        <f>Weekly_Inspections!$B618</f>
        <v/>
      </c>
      <c r="C618">
        <f>Weekly_Inspections!$E618</f>
        <v/>
      </c>
      <c r="D618">
        <f>Weekly_Inspections!$F618</f>
        <v/>
      </c>
      <c r="E618">
        <f>Weekly_Inspections!$H618</f>
        <v/>
      </c>
      <c r="F618">
        <f>IF(Weekly_Inspections!$AX618&lt;&gt;"",Weekly_Inspections!$AX618,IF(Weekly_Inspections!$AY618&lt;&gt;"",Weekly_Inspections!$AY618,IF(Weekly_Inspections!$AZ618&lt;&gt;"",Weekly_Inspections!$AZ618,IF(Weekly_Inspections!$BA618&lt;&gt;"",Weekly_Inspections!$BA618,IF(Weekly_Inspections!$BB618&lt;&gt;"",Weekly_Inspections!$BB618,Weekly_Inspections!$R618)))))</f>
        <v/>
      </c>
      <c r="G618">
        <f>IF(OR(Weekly_Inspections!$AQ618&lt;&gt;"",Weekly_Inspections!$AR618&lt;&gt;"",Weekly_Inspections!$AS618&lt;&gt;""),Weekly_Inspections!$AQ618,"")</f>
        <v/>
      </c>
      <c r="H618">
        <f>Weekly_Inspections!$AP618</f>
        <v/>
      </c>
      <c r="I618">
        <f>Weekly_Inspections!$AR618</f>
        <v/>
      </c>
      <c r="J618">
        <f>Weekly_Inspections!$AS618</f>
        <v/>
      </c>
      <c r="K618">
        <f>Weekly_Inspections!$AU618</f>
        <v/>
      </c>
      <c r="L618" s="47">
        <f>Weekly_Inspections!$AV618</f>
        <v/>
      </c>
      <c r="M618">
        <f>IF($B618="","",IF($N618&lt;&gt;"","Closed",IF(OR($G618&lt;&gt;"",$I618&lt;&gt;"",$J618&lt;&gt;""),"Open","")))</f>
        <v/>
      </c>
      <c r="N618" s="47" t="n"/>
      <c r="O618">
        <f>IF($B618="","",IF($M618="Closed",IF($N618="","",$N618-$B618),TODAY()-$B618))</f>
        <v/>
      </c>
      <c r="P618">
        <f>IF(OR($B618="",$L618="",$M618="Closed"),"",IF(TODAY()&gt;$L618,"YES","NO"))</f>
        <v/>
      </c>
      <c r="Q618">
        <f>Weekly_Inspections!$AW618</f>
        <v/>
      </c>
    </row>
    <row r="619" ht="15" customHeight="1" s="45">
      <c r="A619">
        <f>IF(Weekly_Inspections!$B619="","",Weekly_Inspections!$A619&amp;"-A1")</f>
        <v/>
      </c>
      <c r="B619" s="47">
        <f>Weekly_Inspections!$B619</f>
        <v/>
      </c>
      <c r="C619">
        <f>Weekly_Inspections!$E619</f>
        <v/>
      </c>
      <c r="D619">
        <f>Weekly_Inspections!$F619</f>
        <v/>
      </c>
      <c r="E619">
        <f>Weekly_Inspections!$H619</f>
        <v/>
      </c>
      <c r="F619">
        <f>IF(Weekly_Inspections!$AX619&lt;&gt;"",Weekly_Inspections!$AX619,IF(Weekly_Inspections!$AY619&lt;&gt;"",Weekly_Inspections!$AY619,IF(Weekly_Inspections!$AZ619&lt;&gt;"",Weekly_Inspections!$AZ619,IF(Weekly_Inspections!$BA619&lt;&gt;"",Weekly_Inspections!$BA619,IF(Weekly_Inspections!$BB619&lt;&gt;"",Weekly_Inspections!$BB619,Weekly_Inspections!$R619)))))</f>
        <v/>
      </c>
      <c r="G619">
        <f>IF(OR(Weekly_Inspections!$AQ619&lt;&gt;"",Weekly_Inspections!$AR619&lt;&gt;"",Weekly_Inspections!$AS619&lt;&gt;""),Weekly_Inspections!$AQ619,"")</f>
        <v/>
      </c>
      <c r="H619">
        <f>Weekly_Inspections!$AP619</f>
        <v/>
      </c>
      <c r="I619">
        <f>Weekly_Inspections!$AR619</f>
        <v/>
      </c>
      <c r="J619">
        <f>Weekly_Inspections!$AS619</f>
        <v/>
      </c>
      <c r="K619">
        <f>Weekly_Inspections!$AU619</f>
        <v/>
      </c>
      <c r="L619" s="47">
        <f>Weekly_Inspections!$AV619</f>
        <v/>
      </c>
      <c r="M619">
        <f>IF($B619="","",IF($N619&lt;&gt;"","Closed",IF(OR($G619&lt;&gt;"",$I619&lt;&gt;"",$J619&lt;&gt;""),"Open","")))</f>
        <v/>
      </c>
      <c r="N619" s="47" t="n"/>
      <c r="O619">
        <f>IF($B619="","",IF($M619="Closed",IF($N619="","",$N619-$B619),TODAY()-$B619))</f>
        <v/>
      </c>
      <c r="P619">
        <f>IF(OR($B619="",$L619="",$M619="Closed"),"",IF(TODAY()&gt;$L619,"YES","NO"))</f>
        <v/>
      </c>
      <c r="Q619">
        <f>Weekly_Inspections!$AW619</f>
        <v/>
      </c>
    </row>
    <row r="620" ht="15" customHeight="1" s="45">
      <c r="A620">
        <f>IF(Weekly_Inspections!$B620="","",Weekly_Inspections!$A620&amp;"-A1")</f>
        <v/>
      </c>
      <c r="B620" s="47">
        <f>Weekly_Inspections!$B620</f>
        <v/>
      </c>
      <c r="C620">
        <f>Weekly_Inspections!$E620</f>
        <v/>
      </c>
      <c r="D620">
        <f>Weekly_Inspections!$F620</f>
        <v/>
      </c>
      <c r="E620">
        <f>Weekly_Inspections!$H620</f>
        <v/>
      </c>
      <c r="F620">
        <f>IF(Weekly_Inspections!$AX620&lt;&gt;"",Weekly_Inspections!$AX620,IF(Weekly_Inspections!$AY620&lt;&gt;"",Weekly_Inspections!$AY620,IF(Weekly_Inspections!$AZ620&lt;&gt;"",Weekly_Inspections!$AZ620,IF(Weekly_Inspections!$BA620&lt;&gt;"",Weekly_Inspections!$BA620,IF(Weekly_Inspections!$BB620&lt;&gt;"",Weekly_Inspections!$BB620,Weekly_Inspections!$R620)))))</f>
        <v/>
      </c>
      <c r="G620">
        <f>IF(OR(Weekly_Inspections!$AQ620&lt;&gt;"",Weekly_Inspections!$AR620&lt;&gt;"",Weekly_Inspections!$AS620&lt;&gt;""),Weekly_Inspections!$AQ620,"")</f>
        <v/>
      </c>
      <c r="H620">
        <f>Weekly_Inspections!$AP620</f>
        <v/>
      </c>
      <c r="I620">
        <f>Weekly_Inspections!$AR620</f>
        <v/>
      </c>
      <c r="J620">
        <f>Weekly_Inspections!$AS620</f>
        <v/>
      </c>
      <c r="K620">
        <f>Weekly_Inspections!$AU620</f>
        <v/>
      </c>
      <c r="L620" s="47">
        <f>Weekly_Inspections!$AV620</f>
        <v/>
      </c>
      <c r="M620">
        <f>IF($B620="","",IF($N620&lt;&gt;"","Closed",IF(OR($G620&lt;&gt;"",$I620&lt;&gt;"",$J620&lt;&gt;""),"Open","")))</f>
        <v/>
      </c>
      <c r="N620" s="47" t="n"/>
      <c r="O620">
        <f>IF($B620="","",IF($M620="Closed",IF($N620="","",$N620-$B620),TODAY()-$B620))</f>
        <v/>
      </c>
      <c r="P620">
        <f>IF(OR($B620="",$L620="",$M620="Closed"),"",IF(TODAY()&gt;$L620,"YES","NO"))</f>
        <v/>
      </c>
      <c r="Q620">
        <f>Weekly_Inspections!$AW620</f>
        <v/>
      </c>
    </row>
    <row r="621" ht="15" customHeight="1" s="45">
      <c r="A621">
        <f>IF(Weekly_Inspections!$B621="","",Weekly_Inspections!$A621&amp;"-A1")</f>
        <v/>
      </c>
      <c r="B621" s="47">
        <f>Weekly_Inspections!$B621</f>
        <v/>
      </c>
      <c r="C621">
        <f>Weekly_Inspections!$E621</f>
        <v/>
      </c>
      <c r="D621">
        <f>Weekly_Inspections!$F621</f>
        <v/>
      </c>
      <c r="E621">
        <f>Weekly_Inspections!$H621</f>
        <v/>
      </c>
      <c r="F621">
        <f>IF(Weekly_Inspections!$AX621&lt;&gt;"",Weekly_Inspections!$AX621,IF(Weekly_Inspections!$AY621&lt;&gt;"",Weekly_Inspections!$AY621,IF(Weekly_Inspections!$AZ621&lt;&gt;"",Weekly_Inspections!$AZ621,IF(Weekly_Inspections!$BA621&lt;&gt;"",Weekly_Inspections!$BA621,IF(Weekly_Inspections!$BB621&lt;&gt;"",Weekly_Inspections!$BB621,Weekly_Inspections!$R621)))))</f>
        <v/>
      </c>
      <c r="G621">
        <f>IF(OR(Weekly_Inspections!$AQ621&lt;&gt;"",Weekly_Inspections!$AR621&lt;&gt;"",Weekly_Inspections!$AS621&lt;&gt;""),Weekly_Inspections!$AQ621,"")</f>
        <v/>
      </c>
      <c r="H621">
        <f>Weekly_Inspections!$AP621</f>
        <v/>
      </c>
      <c r="I621">
        <f>Weekly_Inspections!$AR621</f>
        <v/>
      </c>
      <c r="J621">
        <f>Weekly_Inspections!$AS621</f>
        <v/>
      </c>
      <c r="K621">
        <f>Weekly_Inspections!$AU621</f>
        <v/>
      </c>
      <c r="L621" s="47">
        <f>Weekly_Inspections!$AV621</f>
        <v/>
      </c>
      <c r="M621">
        <f>IF($B621="","",IF($N621&lt;&gt;"","Closed",IF(OR($G621&lt;&gt;"",$I621&lt;&gt;"",$J621&lt;&gt;""),"Open","")))</f>
        <v/>
      </c>
      <c r="N621" s="47" t="n"/>
      <c r="O621">
        <f>IF($B621="","",IF($M621="Closed",IF($N621="","",$N621-$B621),TODAY()-$B621))</f>
        <v/>
      </c>
      <c r="P621">
        <f>IF(OR($B621="",$L621="",$M621="Closed"),"",IF(TODAY()&gt;$L621,"YES","NO"))</f>
        <v/>
      </c>
      <c r="Q621">
        <f>Weekly_Inspections!$AW621</f>
        <v/>
      </c>
    </row>
    <row r="622" ht="15" customHeight="1" s="45">
      <c r="A622">
        <f>IF(Weekly_Inspections!$B622="","",Weekly_Inspections!$A622&amp;"-A1")</f>
        <v/>
      </c>
      <c r="B622" s="47">
        <f>Weekly_Inspections!$B622</f>
        <v/>
      </c>
      <c r="C622">
        <f>Weekly_Inspections!$E622</f>
        <v/>
      </c>
      <c r="D622">
        <f>Weekly_Inspections!$F622</f>
        <v/>
      </c>
      <c r="E622">
        <f>Weekly_Inspections!$H622</f>
        <v/>
      </c>
      <c r="F622">
        <f>IF(Weekly_Inspections!$AX622&lt;&gt;"",Weekly_Inspections!$AX622,IF(Weekly_Inspections!$AY622&lt;&gt;"",Weekly_Inspections!$AY622,IF(Weekly_Inspections!$AZ622&lt;&gt;"",Weekly_Inspections!$AZ622,IF(Weekly_Inspections!$BA622&lt;&gt;"",Weekly_Inspections!$BA622,IF(Weekly_Inspections!$BB622&lt;&gt;"",Weekly_Inspections!$BB622,Weekly_Inspections!$R622)))))</f>
        <v/>
      </c>
      <c r="G622">
        <f>IF(OR(Weekly_Inspections!$AQ622&lt;&gt;"",Weekly_Inspections!$AR622&lt;&gt;"",Weekly_Inspections!$AS622&lt;&gt;""),Weekly_Inspections!$AQ622,"")</f>
        <v/>
      </c>
      <c r="H622">
        <f>Weekly_Inspections!$AP622</f>
        <v/>
      </c>
      <c r="I622">
        <f>Weekly_Inspections!$AR622</f>
        <v/>
      </c>
      <c r="J622">
        <f>Weekly_Inspections!$AS622</f>
        <v/>
      </c>
      <c r="K622">
        <f>Weekly_Inspections!$AU622</f>
        <v/>
      </c>
      <c r="L622" s="47">
        <f>Weekly_Inspections!$AV622</f>
        <v/>
      </c>
      <c r="M622">
        <f>IF($B622="","",IF($N622&lt;&gt;"","Closed",IF(OR($G622&lt;&gt;"",$I622&lt;&gt;"",$J622&lt;&gt;""),"Open","")))</f>
        <v/>
      </c>
      <c r="N622" s="47" t="n"/>
      <c r="O622">
        <f>IF($B622="","",IF($M622="Closed",IF($N622="","",$N622-$B622),TODAY()-$B622))</f>
        <v/>
      </c>
      <c r="P622">
        <f>IF(OR($B622="",$L622="",$M622="Closed"),"",IF(TODAY()&gt;$L622,"YES","NO"))</f>
        <v/>
      </c>
      <c r="Q622">
        <f>Weekly_Inspections!$AW622</f>
        <v/>
      </c>
    </row>
    <row r="623" ht="15" customHeight="1" s="45">
      <c r="A623">
        <f>IF(Weekly_Inspections!$B623="","",Weekly_Inspections!$A623&amp;"-A1")</f>
        <v/>
      </c>
      <c r="B623" s="47">
        <f>Weekly_Inspections!$B623</f>
        <v/>
      </c>
      <c r="C623">
        <f>Weekly_Inspections!$E623</f>
        <v/>
      </c>
      <c r="D623">
        <f>Weekly_Inspections!$F623</f>
        <v/>
      </c>
      <c r="E623">
        <f>Weekly_Inspections!$H623</f>
        <v/>
      </c>
      <c r="F623">
        <f>IF(Weekly_Inspections!$AX623&lt;&gt;"",Weekly_Inspections!$AX623,IF(Weekly_Inspections!$AY623&lt;&gt;"",Weekly_Inspections!$AY623,IF(Weekly_Inspections!$AZ623&lt;&gt;"",Weekly_Inspections!$AZ623,IF(Weekly_Inspections!$BA623&lt;&gt;"",Weekly_Inspections!$BA623,IF(Weekly_Inspections!$BB623&lt;&gt;"",Weekly_Inspections!$BB623,Weekly_Inspections!$R623)))))</f>
        <v/>
      </c>
      <c r="G623">
        <f>IF(OR(Weekly_Inspections!$AQ623&lt;&gt;"",Weekly_Inspections!$AR623&lt;&gt;"",Weekly_Inspections!$AS623&lt;&gt;""),Weekly_Inspections!$AQ623,"")</f>
        <v/>
      </c>
      <c r="H623">
        <f>Weekly_Inspections!$AP623</f>
        <v/>
      </c>
      <c r="I623">
        <f>Weekly_Inspections!$AR623</f>
        <v/>
      </c>
      <c r="J623">
        <f>Weekly_Inspections!$AS623</f>
        <v/>
      </c>
      <c r="K623">
        <f>Weekly_Inspections!$AU623</f>
        <v/>
      </c>
      <c r="L623" s="47">
        <f>Weekly_Inspections!$AV623</f>
        <v/>
      </c>
      <c r="M623">
        <f>IF($B623="","",IF($N623&lt;&gt;"","Closed",IF(OR($G623&lt;&gt;"",$I623&lt;&gt;"",$J623&lt;&gt;""),"Open","")))</f>
        <v/>
      </c>
      <c r="N623" s="47" t="n"/>
      <c r="O623">
        <f>IF($B623="","",IF($M623="Closed",IF($N623="","",$N623-$B623),TODAY()-$B623))</f>
        <v/>
      </c>
      <c r="P623">
        <f>IF(OR($B623="",$L623="",$M623="Closed"),"",IF(TODAY()&gt;$L623,"YES","NO"))</f>
        <v/>
      </c>
      <c r="Q623">
        <f>Weekly_Inspections!$AW623</f>
        <v/>
      </c>
    </row>
    <row r="624" ht="15" customHeight="1" s="45">
      <c r="A624">
        <f>IF(Weekly_Inspections!$B624="","",Weekly_Inspections!$A624&amp;"-A1")</f>
        <v/>
      </c>
      <c r="B624" s="47">
        <f>Weekly_Inspections!$B624</f>
        <v/>
      </c>
      <c r="C624">
        <f>Weekly_Inspections!$E624</f>
        <v/>
      </c>
      <c r="D624">
        <f>Weekly_Inspections!$F624</f>
        <v/>
      </c>
      <c r="E624">
        <f>Weekly_Inspections!$H624</f>
        <v/>
      </c>
      <c r="F624">
        <f>IF(Weekly_Inspections!$AX624&lt;&gt;"",Weekly_Inspections!$AX624,IF(Weekly_Inspections!$AY624&lt;&gt;"",Weekly_Inspections!$AY624,IF(Weekly_Inspections!$AZ624&lt;&gt;"",Weekly_Inspections!$AZ624,IF(Weekly_Inspections!$BA624&lt;&gt;"",Weekly_Inspections!$BA624,IF(Weekly_Inspections!$BB624&lt;&gt;"",Weekly_Inspections!$BB624,Weekly_Inspections!$R624)))))</f>
        <v/>
      </c>
      <c r="G624">
        <f>IF(OR(Weekly_Inspections!$AQ624&lt;&gt;"",Weekly_Inspections!$AR624&lt;&gt;"",Weekly_Inspections!$AS624&lt;&gt;""),Weekly_Inspections!$AQ624,"")</f>
        <v/>
      </c>
      <c r="H624">
        <f>Weekly_Inspections!$AP624</f>
        <v/>
      </c>
      <c r="I624">
        <f>Weekly_Inspections!$AR624</f>
        <v/>
      </c>
      <c r="J624">
        <f>Weekly_Inspections!$AS624</f>
        <v/>
      </c>
      <c r="K624">
        <f>Weekly_Inspections!$AU624</f>
        <v/>
      </c>
      <c r="L624" s="47">
        <f>Weekly_Inspections!$AV624</f>
        <v/>
      </c>
      <c r="M624">
        <f>IF($B624="","",IF($N624&lt;&gt;"","Closed",IF(OR($G624&lt;&gt;"",$I624&lt;&gt;"",$J624&lt;&gt;""),"Open","")))</f>
        <v/>
      </c>
      <c r="N624" s="47" t="n"/>
      <c r="O624">
        <f>IF($B624="","",IF($M624="Closed",IF($N624="","",$N624-$B624),TODAY()-$B624))</f>
        <v/>
      </c>
      <c r="P624">
        <f>IF(OR($B624="",$L624="",$M624="Closed"),"",IF(TODAY()&gt;$L624,"YES","NO"))</f>
        <v/>
      </c>
      <c r="Q624">
        <f>Weekly_Inspections!$AW624</f>
        <v/>
      </c>
    </row>
    <row r="625" ht="15" customHeight="1" s="45">
      <c r="A625">
        <f>IF(Weekly_Inspections!$B625="","",Weekly_Inspections!$A625&amp;"-A1")</f>
        <v/>
      </c>
      <c r="B625" s="47">
        <f>Weekly_Inspections!$B625</f>
        <v/>
      </c>
      <c r="C625">
        <f>Weekly_Inspections!$E625</f>
        <v/>
      </c>
      <c r="D625">
        <f>Weekly_Inspections!$F625</f>
        <v/>
      </c>
      <c r="E625">
        <f>Weekly_Inspections!$H625</f>
        <v/>
      </c>
      <c r="F625">
        <f>IF(Weekly_Inspections!$AX625&lt;&gt;"",Weekly_Inspections!$AX625,IF(Weekly_Inspections!$AY625&lt;&gt;"",Weekly_Inspections!$AY625,IF(Weekly_Inspections!$AZ625&lt;&gt;"",Weekly_Inspections!$AZ625,IF(Weekly_Inspections!$BA625&lt;&gt;"",Weekly_Inspections!$BA625,IF(Weekly_Inspections!$BB625&lt;&gt;"",Weekly_Inspections!$BB625,Weekly_Inspections!$R625)))))</f>
        <v/>
      </c>
      <c r="G625">
        <f>IF(OR(Weekly_Inspections!$AQ625&lt;&gt;"",Weekly_Inspections!$AR625&lt;&gt;"",Weekly_Inspections!$AS625&lt;&gt;""),Weekly_Inspections!$AQ625,"")</f>
        <v/>
      </c>
      <c r="H625">
        <f>Weekly_Inspections!$AP625</f>
        <v/>
      </c>
      <c r="I625">
        <f>Weekly_Inspections!$AR625</f>
        <v/>
      </c>
      <c r="J625">
        <f>Weekly_Inspections!$AS625</f>
        <v/>
      </c>
      <c r="K625">
        <f>Weekly_Inspections!$AU625</f>
        <v/>
      </c>
      <c r="L625" s="47">
        <f>Weekly_Inspections!$AV625</f>
        <v/>
      </c>
      <c r="M625">
        <f>IF($B625="","",IF($N625&lt;&gt;"","Closed",IF(OR($G625&lt;&gt;"",$I625&lt;&gt;"",$J625&lt;&gt;""),"Open","")))</f>
        <v/>
      </c>
      <c r="N625" s="47" t="n"/>
      <c r="O625">
        <f>IF($B625="","",IF($M625="Closed",IF($N625="","",$N625-$B625),TODAY()-$B625))</f>
        <v/>
      </c>
      <c r="P625">
        <f>IF(OR($B625="",$L625="",$M625="Closed"),"",IF(TODAY()&gt;$L625,"YES","NO"))</f>
        <v/>
      </c>
      <c r="Q625">
        <f>Weekly_Inspections!$AW625</f>
        <v/>
      </c>
    </row>
    <row r="626" ht="15" customHeight="1" s="45">
      <c r="A626">
        <f>IF(Weekly_Inspections!$B626="","",Weekly_Inspections!$A626&amp;"-A1")</f>
        <v/>
      </c>
      <c r="B626" s="47">
        <f>Weekly_Inspections!$B626</f>
        <v/>
      </c>
      <c r="C626">
        <f>Weekly_Inspections!$E626</f>
        <v/>
      </c>
      <c r="D626">
        <f>Weekly_Inspections!$F626</f>
        <v/>
      </c>
      <c r="E626">
        <f>Weekly_Inspections!$H626</f>
        <v/>
      </c>
      <c r="F626">
        <f>IF(Weekly_Inspections!$AX626&lt;&gt;"",Weekly_Inspections!$AX626,IF(Weekly_Inspections!$AY626&lt;&gt;"",Weekly_Inspections!$AY626,IF(Weekly_Inspections!$AZ626&lt;&gt;"",Weekly_Inspections!$AZ626,IF(Weekly_Inspections!$BA626&lt;&gt;"",Weekly_Inspections!$BA626,IF(Weekly_Inspections!$BB626&lt;&gt;"",Weekly_Inspections!$BB626,Weekly_Inspections!$R626)))))</f>
        <v/>
      </c>
      <c r="G626">
        <f>IF(OR(Weekly_Inspections!$AQ626&lt;&gt;"",Weekly_Inspections!$AR626&lt;&gt;"",Weekly_Inspections!$AS626&lt;&gt;""),Weekly_Inspections!$AQ626,"")</f>
        <v/>
      </c>
      <c r="H626">
        <f>Weekly_Inspections!$AP626</f>
        <v/>
      </c>
      <c r="I626">
        <f>Weekly_Inspections!$AR626</f>
        <v/>
      </c>
      <c r="J626">
        <f>Weekly_Inspections!$AS626</f>
        <v/>
      </c>
      <c r="K626">
        <f>Weekly_Inspections!$AU626</f>
        <v/>
      </c>
      <c r="L626" s="47">
        <f>Weekly_Inspections!$AV626</f>
        <v/>
      </c>
      <c r="M626">
        <f>IF($B626="","",IF($N626&lt;&gt;"","Closed",IF(OR($G626&lt;&gt;"",$I626&lt;&gt;"",$J626&lt;&gt;""),"Open","")))</f>
        <v/>
      </c>
      <c r="N626" s="47" t="n"/>
      <c r="O626">
        <f>IF($B626="","",IF($M626="Closed",IF($N626="","",$N626-$B626),TODAY()-$B626))</f>
        <v/>
      </c>
      <c r="P626">
        <f>IF(OR($B626="",$L626="",$M626="Closed"),"",IF(TODAY()&gt;$L626,"YES","NO"))</f>
        <v/>
      </c>
      <c r="Q626">
        <f>Weekly_Inspections!$AW626</f>
        <v/>
      </c>
    </row>
    <row r="627" ht="15" customHeight="1" s="45">
      <c r="A627">
        <f>IF(Weekly_Inspections!$B627="","",Weekly_Inspections!$A627&amp;"-A1")</f>
        <v/>
      </c>
      <c r="B627" s="47">
        <f>Weekly_Inspections!$B627</f>
        <v/>
      </c>
      <c r="C627">
        <f>Weekly_Inspections!$E627</f>
        <v/>
      </c>
      <c r="D627">
        <f>Weekly_Inspections!$F627</f>
        <v/>
      </c>
      <c r="E627">
        <f>Weekly_Inspections!$H627</f>
        <v/>
      </c>
      <c r="F627">
        <f>IF(Weekly_Inspections!$AX627&lt;&gt;"",Weekly_Inspections!$AX627,IF(Weekly_Inspections!$AY627&lt;&gt;"",Weekly_Inspections!$AY627,IF(Weekly_Inspections!$AZ627&lt;&gt;"",Weekly_Inspections!$AZ627,IF(Weekly_Inspections!$BA627&lt;&gt;"",Weekly_Inspections!$BA627,IF(Weekly_Inspections!$BB627&lt;&gt;"",Weekly_Inspections!$BB627,Weekly_Inspections!$R627)))))</f>
        <v/>
      </c>
      <c r="G627">
        <f>IF(OR(Weekly_Inspections!$AQ627&lt;&gt;"",Weekly_Inspections!$AR627&lt;&gt;"",Weekly_Inspections!$AS627&lt;&gt;""),Weekly_Inspections!$AQ627,"")</f>
        <v/>
      </c>
      <c r="H627">
        <f>Weekly_Inspections!$AP627</f>
        <v/>
      </c>
      <c r="I627">
        <f>Weekly_Inspections!$AR627</f>
        <v/>
      </c>
      <c r="J627">
        <f>Weekly_Inspections!$AS627</f>
        <v/>
      </c>
      <c r="K627">
        <f>Weekly_Inspections!$AU627</f>
        <v/>
      </c>
      <c r="L627" s="47">
        <f>Weekly_Inspections!$AV627</f>
        <v/>
      </c>
      <c r="M627">
        <f>IF($B627="","",IF($N627&lt;&gt;"","Closed",IF(OR($G627&lt;&gt;"",$I627&lt;&gt;"",$J627&lt;&gt;""),"Open","")))</f>
        <v/>
      </c>
      <c r="N627" s="47" t="n"/>
      <c r="O627">
        <f>IF($B627="","",IF($M627="Closed",IF($N627="","",$N627-$B627),TODAY()-$B627))</f>
        <v/>
      </c>
      <c r="P627">
        <f>IF(OR($B627="",$L627="",$M627="Closed"),"",IF(TODAY()&gt;$L627,"YES","NO"))</f>
        <v/>
      </c>
      <c r="Q627">
        <f>Weekly_Inspections!$AW627</f>
        <v/>
      </c>
    </row>
    <row r="628" ht="15" customHeight="1" s="45">
      <c r="A628">
        <f>IF(Weekly_Inspections!$B628="","",Weekly_Inspections!$A628&amp;"-A1")</f>
        <v/>
      </c>
      <c r="B628" s="47">
        <f>Weekly_Inspections!$B628</f>
        <v/>
      </c>
      <c r="C628">
        <f>Weekly_Inspections!$E628</f>
        <v/>
      </c>
      <c r="D628">
        <f>Weekly_Inspections!$F628</f>
        <v/>
      </c>
      <c r="E628">
        <f>Weekly_Inspections!$H628</f>
        <v/>
      </c>
      <c r="F628">
        <f>IF(Weekly_Inspections!$AX628&lt;&gt;"",Weekly_Inspections!$AX628,IF(Weekly_Inspections!$AY628&lt;&gt;"",Weekly_Inspections!$AY628,IF(Weekly_Inspections!$AZ628&lt;&gt;"",Weekly_Inspections!$AZ628,IF(Weekly_Inspections!$BA628&lt;&gt;"",Weekly_Inspections!$BA628,IF(Weekly_Inspections!$BB628&lt;&gt;"",Weekly_Inspections!$BB628,Weekly_Inspections!$R628)))))</f>
        <v/>
      </c>
      <c r="G628">
        <f>IF(OR(Weekly_Inspections!$AQ628&lt;&gt;"",Weekly_Inspections!$AR628&lt;&gt;"",Weekly_Inspections!$AS628&lt;&gt;""),Weekly_Inspections!$AQ628,"")</f>
        <v/>
      </c>
      <c r="H628">
        <f>Weekly_Inspections!$AP628</f>
        <v/>
      </c>
      <c r="I628">
        <f>Weekly_Inspections!$AR628</f>
        <v/>
      </c>
      <c r="J628">
        <f>Weekly_Inspections!$AS628</f>
        <v/>
      </c>
      <c r="K628">
        <f>Weekly_Inspections!$AU628</f>
        <v/>
      </c>
      <c r="L628" s="47">
        <f>Weekly_Inspections!$AV628</f>
        <v/>
      </c>
      <c r="M628">
        <f>IF($B628="","",IF($N628&lt;&gt;"","Closed",IF(OR($G628&lt;&gt;"",$I628&lt;&gt;"",$J628&lt;&gt;""),"Open","")))</f>
        <v/>
      </c>
      <c r="N628" s="47" t="n"/>
      <c r="O628">
        <f>IF($B628="","",IF($M628="Closed",IF($N628="","",$N628-$B628),TODAY()-$B628))</f>
        <v/>
      </c>
      <c r="P628">
        <f>IF(OR($B628="",$L628="",$M628="Closed"),"",IF(TODAY()&gt;$L628,"YES","NO"))</f>
        <v/>
      </c>
      <c r="Q628">
        <f>Weekly_Inspections!$AW628</f>
        <v/>
      </c>
    </row>
    <row r="629" ht="15" customHeight="1" s="45">
      <c r="A629">
        <f>IF(Weekly_Inspections!$B629="","",Weekly_Inspections!$A629&amp;"-A1")</f>
        <v/>
      </c>
      <c r="B629" s="47">
        <f>Weekly_Inspections!$B629</f>
        <v/>
      </c>
      <c r="C629">
        <f>Weekly_Inspections!$E629</f>
        <v/>
      </c>
      <c r="D629">
        <f>Weekly_Inspections!$F629</f>
        <v/>
      </c>
      <c r="E629">
        <f>Weekly_Inspections!$H629</f>
        <v/>
      </c>
      <c r="F629">
        <f>IF(Weekly_Inspections!$AX629&lt;&gt;"",Weekly_Inspections!$AX629,IF(Weekly_Inspections!$AY629&lt;&gt;"",Weekly_Inspections!$AY629,IF(Weekly_Inspections!$AZ629&lt;&gt;"",Weekly_Inspections!$AZ629,IF(Weekly_Inspections!$BA629&lt;&gt;"",Weekly_Inspections!$BA629,IF(Weekly_Inspections!$BB629&lt;&gt;"",Weekly_Inspections!$BB629,Weekly_Inspections!$R629)))))</f>
        <v/>
      </c>
      <c r="G629">
        <f>IF(OR(Weekly_Inspections!$AQ629&lt;&gt;"",Weekly_Inspections!$AR629&lt;&gt;"",Weekly_Inspections!$AS629&lt;&gt;""),Weekly_Inspections!$AQ629,"")</f>
        <v/>
      </c>
      <c r="H629">
        <f>Weekly_Inspections!$AP629</f>
        <v/>
      </c>
      <c r="I629">
        <f>Weekly_Inspections!$AR629</f>
        <v/>
      </c>
      <c r="J629">
        <f>Weekly_Inspections!$AS629</f>
        <v/>
      </c>
      <c r="K629">
        <f>Weekly_Inspections!$AU629</f>
        <v/>
      </c>
      <c r="L629" s="47">
        <f>Weekly_Inspections!$AV629</f>
        <v/>
      </c>
      <c r="M629">
        <f>IF($B629="","",IF($N629&lt;&gt;"","Closed",IF(OR($G629&lt;&gt;"",$I629&lt;&gt;"",$J629&lt;&gt;""),"Open","")))</f>
        <v/>
      </c>
      <c r="N629" s="47" t="n"/>
      <c r="O629">
        <f>IF($B629="","",IF($M629="Closed",IF($N629="","",$N629-$B629),TODAY()-$B629))</f>
        <v/>
      </c>
      <c r="P629">
        <f>IF(OR($B629="",$L629="",$M629="Closed"),"",IF(TODAY()&gt;$L629,"YES","NO"))</f>
        <v/>
      </c>
      <c r="Q629">
        <f>Weekly_Inspections!$AW629</f>
        <v/>
      </c>
    </row>
    <row r="630" ht="15" customHeight="1" s="45">
      <c r="A630">
        <f>IF(Weekly_Inspections!$B630="","",Weekly_Inspections!$A630&amp;"-A1")</f>
        <v/>
      </c>
      <c r="B630" s="47">
        <f>Weekly_Inspections!$B630</f>
        <v/>
      </c>
      <c r="C630">
        <f>Weekly_Inspections!$E630</f>
        <v/>
      </c>
      <c r="D630">
        <f>Weekly_Inspections!$F630</f>
        <v/>
      </c>
      <c r="E630">
        <f>Weekly_Inspections!$H630</f>
        <v/>
      </c>
      <c r="F630">
        <f>IF(Weekly_Inspections!$AX630&lt;&gt;"",Weekly_Inspections!$AX630,IF(Weekly_Inspections!$AY630&lt;&gt;"",Weekly_Inspections!$AY630,IF(Weekly_Inspections!$AZ630&lt;&gt;"",Weekly_Inspections!$AZ630,IF(Weekly_Inspections!$BA630&lt;&gt;"",Weekly_Inspections!$BA630,IF(Weekly_Inspections!$BB630&lt;&gt;"",Weekly_Inspections!$BB630,Weekly_Inspections!$R630)))))</f>
        <v/>
      </c>
      <c r="G630">
        <f>IF(OR(Weekly_Inspections!$AQ630&lt;&gt;"",Weekly_Inspections!$AR630&lt;&gt;"",Weekly_Inspections!$AS630&lt;&gt;""),Weekly_Inspections!$AQ630,"")</f>
        <v/>
      </c>
      <c r="H630">
        <f>Weekly_Inspections!$AP630</f>
        <v/>
      </c>
      <c r="I630">
        <f>Weekly_Inspections!$AR630</f>
        <v/>
      </c>
      <c r="J630">
        <f>Weekly_Inspections!$AS630</f>
        <v/>
      </c>
      <c r="K630">
        <f>Weekly_Inspections!$AU630</f>
        <v/>
      </c>
      <c r="L630" s="47">
        <f>Weekly_Inspections!$AV630</f>
        <v/>
      </c>
      <c r="M630">
        <f>IF($B630="","",IF($N630&lt;&gt;"","Closed",IF(OR($G630&lt;&gt;"",$I630&lt;&gt;"",$J630&lt;&gt;""),"Open","")))</f>
        <v/>
      </c>
      <c r="N630" s="47" t="n"/>
      <c r="O630">
        <f>IF($B630="","",IF($M630="Closed",IF($N630="","",$N630-$B630),TODAY()-$B630))</f>
        <v/>
      </c>
      <c r="P630">
        <f>IF(OR($B630="",$L630="",$M630="Closed"),"",IF(TODAY()&gt;$L630,"YES","NO"))</f>
        <v/>
      </c>
      <c r="Q630">
        <f>Weekly_Inspections!$AW630</f>
        <v/>
      </c>
    </row>
    <row r="631" ht="15" customHeight="1" s="45">
      <c r="A631">
        <f>IF(Weekly_Inspections!$B631="","",Weekly_Inspections!$A631&amp;"-A1")</f>
        <v/>
      </c>
      <c r="B631" s="47">
        <f>Weekly_Inspections!$B631</f>
        <v/>
      </c>
      <c r="C631">
        <f>Weekly_Inspections!$E631</f>
        <v/>
      </c>
      <c r="D631">
        <f>Weekly_Inspections!$F631</f>
        <v/>
      </c>
      <c r="E631">
        <f>Weekly_Inspections!$H631</f>
        <v/>
      </c>
      <c r="F631">
        <f>IF(Weekly_Inspections!$AX631&lt;&gt;"",Weekly_Inspections!$AX631,IF(Weekly_Inspections!$AY631&lt;&gt;"",Weekly_Inspections!$AY631,IF(Weekly_Inspections!$AZ631&lt;&gt;"",Weekly_Inspections!$AZ631,IF(Weekly_Inspections!$BA631&lt;&gt;"",Weekly_Inspections!$BA631,IF(Weekly_Inspections!$BB631&lt;&gt;"",Weekly_Inspections!$BB631,Weekly_Inspections!$R631)))))</f>
        <v/>
      </c>
      <c r="G631">
        <f>IF(OR(Weekly_Inspections!$AQ631&lt;&gt;"",Weekly_Inspections!$AR631&lt;&gt;"",Weekly_Inspections!$AS631&lt;&gt;""),Weekly_Inspections!$AQ631,"")</f>
        <v/>
      </c>
      <c r="H631">
        <f>Weekly_Inspections!$AP631</f>
        <v/>
      </c>
      <c r="I631">
        <f>Weekly_Inspections!$AR631</f>
        <v/>
      </c>
      <c r="J631">
        <f>Weekly_Inspections!$AS631</f>
        <v/>
      </c>
      <c r="K631">
        <f>Weekly_Inspections!$AU631</f>
        <v/>
      </c>
      <c r="L631" s="47">
        <f>Weekly_Inspections!$AV631</f>
        <v/>
      </c>
      <c r="M631">
        <f>IF($B631="","",IF($N631&lt;&gt;"","Closed",IF(OR($G631&lt;&gt;"",$I631&lt;&gt;"",$J631&lt;&gt;""),"Open","")))</f>
        <v/>
      </c>
      <c r="N631" s="47" t="n"/>
      <c r="O631">
        <f>IF($B631="","",IF($M631="Closed",IF($N631="","",$N631-$B631),TODAY()-$B631))</f>
        <v/>
      </c>
      <c r="P631">
        <f>IF(OR($B631="",$L631="",$M631="Closed"),"",IF(TODAY()&gt;$L631,"YES","NO"))</f>
        <v/>
      </c>
      <c r="Q631">
        <f>Weekly_Inspections!$AW631</f>
        <v/>
      </c>
    </row>
    <row r="632" ht="15" customHeight="1" s="45">
      <c r="A632">
        <f>IF(Weekly_Inspections!$B632="","",Weekly_Inspections!$A632&amp;"-A1")</f>
        <v/>
      </c>
      <c r="B632" s="47">
        <f>Weekly_Inspections!$B632</f>
        <v/>
      </c>
      <c r="C632">
        <f>Weekly_Inspections!$E632</f>
        <v/>
      </c>
      <c r="D632">
        <f>Weekly_Inspections!$F632</f>
        <v/>
      </c>
      <c r="E632">
        <f>Weekly_Inspections!$H632</f>
        <v/>
      </c>
      <c r="F632">
        <f>IF(Weekly_Inspections!$AX632&lt;&gt;"",Weekly_Inspections!$AX632,IF(Weekly_Inspections!$AY632&lt;&gt;"",Weekly_Inspections!$AY632,IF(Weekly_Inspections!$AZ632&lt;&gt;"",Weekly_Inspections!$AZ632,IF(Weekly_Inspections!$BA632&lt;&gt;"",Weekly_Inspections!$BA632,IF(Weekly_Inspections!$BB632&lt;&gt;"",Weekly_Inspections!$BB632,Weekly_Inspections!$R632)))))</f>
        <v/>
      </c>
      <c r="G632">
        <f>IF(OR(Weekly_Inspections!$AQ632&lt;&gt;"",Weekly_Inspections!$AR632&lt;&gt;"",Weekly_Inspections!$AS632&lt;&gt;""),Weekly_Inspections!$AQ632,"")</f>
        <v/>
      </c>
      <c r="H632">
        <f>Weekly_Inspections!$AP632</f>
        <v/>
      </c>
      <c r="I632">
        <f>Weekly_Inspections!$AR632</f>
        <v/>
      </c>
      <c r="J632">
        <f>Weekly_Inspections!$AS632</f>
        <v/>
      </c>
      <c r="K632">
        <f>Weekly_Inspections!$AU632</f>
        <v/>
      </c>
      <c r="L632" s="47">
        <f>Weekly_Inspections!$AV632</f>
        <v/>
      </c>
      <c r="M632">
        <f>IF($B632="","",IF($N632&lt;&gt;"","Closed",IF(OR($G632&lt;&gt;"",$I632&lt;&gt;"",$J632&lt;&gt;""),"Open","")))</f>
        <v/>
      </c>
      <c r="N632" s="47" t="n"/>
      <c r="O632">
        <f>IF($B632="","",IF($M632="Closed",IF($N632="","",$N632-$B632),TODAY()-$B632))</f>
        <v/>
      </c>
      <c r="P632">
        <f>IF(OR($B632="",$L632="",$M632="Closed"),"",IF(TODAY()&gt;$L632,"YES","NO"))</f>
        <v/>
      </c>
      <c r="Q632">
        <f>Weekly_Inspections!$AW632</f>
        <v/>
      </c>
    </row>
    <row r="633" ht="15" customHeight="1" s="45">
      <c r="A633">
        <f>IF(Weekly_Inspections!$B633="","",Weekly_Inspections!$A633&amp;"-A1")</f>
        <v/>
      </c>
      <c r="B633" s="47">
        <f>Weekly_Inspections!$B633</f>
        <v/>
      </c>
      <c r="C633">
        <f>Weekly_Inspections!$E633</f>
        <v/>
      </c>
      <c r="D633">
        <f>Weekly_Inspections!$F633</f>
        <v/>
      </c>
      <c r="E633">
        <f>Weekly_Inspections!$H633</f>
        <v/>
      </c>
      <c r="F633">
        <f>IF(Weekly_Inspections!$AX633&lt;&gt;"",Weekly_Inspections!$AX633,IF(Weekly_Inspections!$AY633&lt;&gt;"",Weekly_Inspections!$AY633,IF(Weekly_Inspections!$AZ633&lt;&gt;"",Weekly_Inspections!$AZ633,IF(Weekly_Inspections!$BA633&lt;&gt;"",Weekly_Inspections!$BA633,IF(Weekly_Inspections!$BB633&lt;&gt;"",Weekly_Inspections!$BB633,Weekly_Inspections!$R633)))))</f>
        <v/>
      </c>
      <c r="G633">
        <f>IF(OR(Weekly_Inspections!$AQ633&lt;&gt;"",Weekly_Inspections!$AR633&lt;&gt;"",Weekly_Inspections!$AS633&lt;&gt;""),Weekly_Inspections!$AQ633,"")</f>
        <v/>
      </c>
      <c r="H633">
        <f>Weekly_Inspections!$AP633</f>
        <v/>
      </c>
      <c r="I633">
        <f>Weekly_Inspections!$AR633</f>
        <v/>
      </c>
      <c r="J633">
        <f>Weekly_Inspections!$AS633</f>
        <v/>
      </c>
      <c r="K633">
        <f>Weekly_Inspections!$AU633</f>
        <v/>
      </c>
      <c r="L633" s="47">
        <f>Weekly_Inspections!$AV633</f>
        <v/>
      </c>
      <c r="M633">
        <f>IF($B633="","",IF($N633&lt;&gt;"","Closed",IF(OR($G633&lt;&gt;"",$I633&lt;&gt;"",$J633&lt;&gt;""),"Open","")))</f>
        <v/>
      </c>
      <c r="N633" s="47" t="n"/>
      <c r="O633">
        <f>IF($B633="","",IF($M633="Closed",IF($N633="","",$N633-$B633),TODAY()-$B633))</f>
        <v/>
      </c>
      <c r="P633">
        <f>IF(OR($B633="",$L633="",$M633="Closed"),"",IF(TODAY()&gt;$L633,"YES","NO"))</f>
        <v/>
      </c>
      <c r="Q633">
        <f>Weekly_Inspections!$AW633</f>
        <v/>
      </c>
    </row>
    <row r="634" ht="15" customHeight="1" s="45">
      <c r="A634">
        <f>IF(Weekly_Inspections!$B634="","",Weekly_Inspections!$A634&amp;"-A1")</f>
        <v/>
      </c>
      <c r="B634" s="47">
        <f>Weekly_Inspections!$B634</f>
        <v/>
      </c>
      <c r="C634">
        <f>Weekly_Inspections!$E634</f>
        <v/>
      </c>
      <c r="D634">
        <f>Weekly_Inspections!$F634</f>
        <v/>
      </c>
      <c r="E634">
        <f>Weekly_Inspections!$H634</f>
        <v/>
      </c>
      <c r="F634">
        <f>IF(Weekly_Inspections!$AX634&lt;&gt;"",Weekly_Inspections!$AX634,IF(Weekly_Inspections!$AY634&lt;&gt;"",Weekly_Inspections!$AY634,IF(Weekly_Inspections!$AZ634&lt;&gt;"",Weekly_Inspections!$AZ634,IF(Weekly_Inspections!$BA634&lt;&gt;"",Weekly_Inspections!$BA634,IF(Weekly_Inspections!$BB634&lt;&gt;"",Weekly_Inspections!$BB634,Weekly_Inspections!$R634)))))</f>
        <v/>
      </c>
      <c r="G634">
        <f>IF(OR(Weekly_Inspections!$AQ634&lt;&gt;"",Weekly_Inspections!$AR634&lt;&gt;"",Weekly_Inspections!$AS634&lt;&gt;""),Weekly_Inspections!$AQ634,"")</f>
        <v/>
      </c>
      <c r="H634">
        <f>Weekly_Inspections!$AP634</f>
        <v/>
      </c>
      <c r="I634">
        <f>Weekly_Inspections!$AR634</f>
        <v/>
      </c>
      <c r="J634">
        <f>Weekly_Inspections!$AS634</f>
        <v/>
      </c>
      <c r="K634">
        <f>Weekly_Inspections!$AU634</f>
        <v/>
      </c>
      <c r="L634" s="47">
        <f>Weekly_Inspections!$AV634</f>
        <v/>
      </c>
      <c r="M634">
        <f>IF($B634="","",IF($N634&lt;&gt;"","Closed",IF(OR($G634&lt;&gt;"",$I634&lt;&gt;"",$J634&lt;&gt;""),"Open","")))</f>
        <v/>
      </c>
      <c r="N634" s="47" t="n"/>
      <c r="O634">
        <f>IF($B634="","",IF($M634="Closed",IF($N634="","",$N634-$B634),TODAY()-$B634))</f>
        <v/>
      </c>
      <c r="P634">
        <f>IF(OR($B634="",$L634="",$M634="Closed"),"",IF(TODAY()&gt;$L634,"YES","NO"))</f>
        <v/>
      </c>
      <c r="Q634">
        <f>Weekly_Inspections!$AW634</f>
        <v/>
      </c>
    </row>
    <row r="635" ht="15" customHeight="1" s="45">
      <c r="A635">
        <f>IF(Weekly_Inspections!$B635="","",Weekly_Inspections!$A635&amp;"-A1")</f>
        <v/>
      </c>
      <c r="B635" s="47">
        <f>Weekly_Inspections!$B635</f>
        <v/>
      </c>
      <c r="C635">
        <f>Weekly_Inspections!$E635</f>
        <v/>
      </c>
      <c r="D635">
        <f>Weekly_Inspections!$F635</f>
        <v/>
      </c>
      <c r="E635">
        <f>Weekly_Inspections!$H635</f>
        <v/>
      </c>
      <c r="F635">
        <f>IF(Weekly_Inspections!$AX635&lt;&gt;"",Weekly_Inspections!$AX635,IF(Weekly_Inspections!$AY635&lt;&gt;"",Weekly_Inspections!$AY635,IF(Weekly_Inspections!$AZ635&lt;&gt;"",Weekly_Inspections!$AZ635,IF(Weekly_Inspections!$BA635&lt;&gt;"",Weekly_Inspections!$BA635,IF(Weekly_Inspections!$BB635&lt;&gt;"",Weekly_Inspections!$BB635,Weekly_Inspections!$R635)))))</f>
        <v/>
      </c>
      <c r="G635">
        <f>IF(OR(Weekly_Inspections!$AQ635&lt;&gt;"",Weekly_Inspections!$AR635&lt;&gt;"",Weekly_Inspections!$AS635&lt;&gt;""),Weekly_Inspections!$AQ635,"")</f>
        <v/>
      </c>
      <c r="H635">
        <f>Weekly_Inspections!$AP635</f>
        <v/>
      </c>
      <c r="I635">
        <f>Weekly_Inspections!$AR635</f>
        <v/>
      </c>
      <c r="J635">
        <f>Weekly_Inspections!$AS635</f>
        <v/>
      </c>
      <c r="K635">
        <f>Weekly_Inspections!$AU635</f>
        <v/>
      </c>
      <c r="L635" s="47">
        <f>Weekly_Inspections!$AV635</f>
        <v/>
      </c>
      <c r="M635">
        <f>IF($B635="","",IF($N635&lt;&gt;"","Closed",IF(OR($G635&lt;&gt;"",$I635&lt;&gt;"",$J635&lt;&gt;""),"Open","")))</f>
        <v/>
      </c>
      <c r="N635" s="47" t="n"/>
      <c r="O635">
        <f>IF($B635="","",IF($M635="Closed",IF($N635="","",$N635-$B635),TODAY()-$B635))</f>
        <v/>
      </c>
      <c r="P635">
        <f>IF(OR($B635="",$L635="",$M635="Closed"),"",IF(TODAY()&gt;$L635,"YES","NO"))</f>
        <v/>
      </c>
      <c r="Q635">
        <f>Weekly_Inspections!$AW635</f>
        <v/>
      </c>
    </row>
    <row r="636" ht="15" customHeight="1" s="45">
      <c r="A636">
        <f>IF(Weekly_Inspections!$B636="","",Weekly_Inspections!$A636&amp;"-A1")</f>
        <v/>
      </c>
      <c r="B636" s="47">
        <f>Weekly_Inspections!$B636</f>
        <v/>
      </c>
      <c r="C636">
        <f>Weekly_Inspections!$E636</f>
        <v/>
      </c>
      <c r="D636">
        <f>Weekly_Inspections!$F636</f>
        <v/>
      </c>
      <c r="E636">
        <f>Weekly_Inspections!$H636</f>
        <v/>
      </c>
      <c r="F636">
        <f>IF(Weekly_Inspections!$AX636&lt;&gt;"",Weekly_Inspections!$AX636,IF(Weekly_Inspections!$AY636&lt;&gt;"",Weekly_Inspections!$AY636,IF(Weekly_Inspections!$AZ636&lt;&gt;"",Weekly_Inspections!$AZ636,IF(Weekly_Inspections!$BA636&lt;&gt;"",Weekly_Inspections!$BA636,IF(Weekly_Inspections!$BB636&lt;&gt;"",Weekly_Inspections!$BB636,Weekly_Inspections!$R636)))))</f>
        <v/>
      </c>
      <c r="G636">
        <f>IF(OR(Weekly_Inspections!$AQ636&lt;&gt;"",Weekly_Inspections!$AR636&lt;&gt;"",Weekly_Inspections!$AS636&lt;&gt;""),Weekly_Inspections!$AQ636,"")</f>
        <v/>
      </c>
      <c r="H636">
        <f>Weekly_Inspections!$AP636</f>
        <v/>
      </c>
      <c r="I636">
        <f>Weekly_Inspections!$AR636</f>
        <v/>
      </c>
      <c r="J636">
        <f>Weekly_Inspections!$AS636</f>
        <v/>
      </c>
      <c r="K636">
        <f>Weekly_Inspections!$AU636</f>
        <v/>
      </c>
      <c r="L636" s="47">
        <f>Weekly_Inspections!$AV636</f>
        <v/>
      </c>
      <c r="M636">
        <f>IF($B636="","",IF($N636&lt;&gt;"","Closed",IF(OR($G636&lt;&gt;"",$I636&lt;&gt;"",$J636&lt;&gt;""),"Open","")))</f>
        <v/>
      </c>
      <c r="N636" s="47" t="n"/>
      <c r="O636">
        <f>IF($B636="","",IF($M636="Closed",IF($N636="","",$N636-$B636),TODAY()-$B636))</f>
        <v/>
      </c>
      <c r="P636">
        <f>IF(OR($B636="",$L636="",$M636="Closed"),"",IF(TODAY()&gt;$L636,"YES","NO"))</f>
        <v/>
      </c>
      <c r="Q636">
        <f>Weekly_Inspections!$AW636</f>
        <v/>
      </c>
    </row>
    <row r="637" ht="15" customHeight="1" s="45">
      <c r="A637">
        <f>IF(Weekly_Inspections!$B637="","",Weekly_Inspections!$A637&amp;"-A1")</f>
        <v/>
      </c>
      <c r="B637" s="47">
        <f>Weekly_Inspections!$B637</f>
        <v/>
      </c>
      <c r="C637">
        <f>Weekly_Inspections!$E637</f>
        <v/>
      </c>
      <c r="D637">
        <f>Weekly_Inspections!$F637</f>
        <v/>
      </c>
      <c r="E637">
        <f>Weekly_Inspections!$H637</f>
        <v/>
      </c>
      <c r="F637">
        <f>IF(Weekly_Inspections!$AX637&lt;&gt;"",Weekly_Inspections!$AX637,IF(Weekly_Inspections!$AY637&lt;&gt;"",Weekly_Inspections!$AY637,IF(Weekly_Inspections!$AZ637&lt;&gt;"",Weekly_Inspections!$AZ637,IF(Weekly_Inspections!$BA637&lt;&gt;"",Weekly_Inspections!$BA637,IF(Weekly_Inspections!$BB637&lt;&gt;"",Weekly_Inspections!$BB637,Weekly_Inspections!$R637)))))</f>
        <v/>
      </c>
      <c r="G637">
        <f>IF(OR(Weekly_Inspections!$AQ637&lt;&gt;"",Weekly_Inspections!$AR637&lt;&gt;"",Weekly_Inspections!$AS637&lt;&gt;""),Weekly_Inspections!$AQ637,"")</f>
        <v/>
      </c>
      <c r="H637">
        <f>Weekly_Inspections!$AP637</f>
        <v/>
      </c>
      <c r="I637">
        <f>Weekly_Inspections!$AR637</f>
        <v/>
      </c>
      <c r="J637">
        <f>Weekly_Inspections!$AS637</f>
        <v/>
      </c>
      <c r="K637">
        <f>Weekly_Inspections!$AU637</f>
        <v/>
      </c>
      <c r="L637" s="47">
        <f>Weekly_Inspections!$AV637</f>
        <v/>
      </c>
      <c r="M637">
        <f>IF($B637="","",IF($N637&lt;&gt;"","Closed",IF(OR($G637&lt;&gt;"",$I637&lt;&gt;"",$J637&lt;&gt;""),"Open","")))</f>
        <v/>
      </c>
      <c r="N637" s="47" t="n"/>
      <c r="O637">
        <f>IF($B637="","",IF($M637="Closed",IF($N637="","",$N637-$B637),TODAY()-$B637))</f>
        <v/>
      </c>
      <c r="P637">
        <f>IF(OR($B637="",$L637="",$M637="Closed"),"",IF(TODAY()&gt;$L637,"YES","NO"))</f>
        <v/>
      </c>
      <c r="Q637">
        <f>Weekly_Inspections!$AW637</f>
        <v/>
      </c>
    </row>
    <row r="638" ht="15" customHeight="1" s="45">
      <c r="A638">
        <f>IF(Weekly_Inspections!$B638="","",Weekly_Inspections!$A638&amp;"-A1")</f>
        <v/>
      </c>
      <c r="B638" s="47">
        <f>Weekly_Inspections!$B638</f>
        <v/>
      </c>
      <c r="C638">
        <f>Weekly_Inspections!$E638</f>
        <v/>
      </c>
      <c r="D638">
        <f>Weekly_Inspections!$F638</f>
        <v/>
      </c>
      <c r="E638">
        <f>Weekly_Inspections!$H638</f>
        <v/>
      </c>
      <c r="F638">
        <f>IF(Weekly_Inspections!$AX638&lt;&gt;"",Weekly_Inspections!$AX638,IF(Weekly_Inspections!$AY638&lt;&gt;"",Weekly_Inspections!$AY638,IF(Weekly_Inspections!$AZ638&lt;&gt;"",Weekly_Inspections!$AZ638,IF(Weekly_Inspections!$BA638&lt;&gt;"",Weekly_Inspections!$BA638,IF(Weekly_Inspections!$BB638&lt;&gt;"",Weekly_Inspections!$BB638,Weekly_Inspections!$R638)))))</f>
        <v/>
      </c>
      <c r="G638">
        <f>IF(OR(Weekly_Inspections!$AQ638&lt;&gt;"",Weekly_Inspections!$AR638&lt;&gt;"",Weekly_Inspections!$AS638&lt;&gt;""),Weekly_Inspections!$AQ638,"")</f>
        <v/>
      </c>
      <c r="H638">
        <f>Weekly_Inspections!$AP638</f>
        <v/>
      </c>
      <c r="I638">
        <f>Weekly_Inspections!$AR638</f>
        <v/>
      </c>
      <c r="J638">
        <f>Weekly_Inspections!$AS638</f>
        <v/>
      </c>
      <c r="K638">
        <f>Weekly_Inspections!$AU638</f>
        <v/>
      </c>
      <c r="L638" s="47">
        <f>Weekly_Inspections!$AV638</f>
        <v/>
      </c>
      <c r="M638">
        <f>IF($B638="","",IF($N638&lt;&gt;"","Closed",IF(OR($G638&lt;&gt;"",$I638&lt;&gt;"",$J638&lt;&gt;""),"Open","")))</f>
        <v/>
      </c>
      <c r="N638" s="47" t="n"/>
      <c r="O638">
        <f>IF($B638="","",IF($M638="Closed",IF($N638="","",$N638-$B638),TODAY()-$B638))</f>
        <v/>
      </c>
      <c r="P638">
        <f>IF(OR($B638="",$L638="",$M638="Closed"),"",IF(TODAY()&gt;$L638,"YES","NO"))</f>
        <v/>
      </c>
      <c r="Q638">
        <f>Weekly_Inspections!$AW638</f>
        <v/>
      </c>
    </row>
    <row r="639" ht="15" customHeight="1" s="45">
      <c r="A639">
        <f>IF(Weekly_Inspections!$B639="","",Weekly_Inspections!$A639&amp;"-A1")</f>
        <v/>
      </c>
      <c r="B639" s="47">
        <f>Weekly_Inspections!$B639</f>
        <v/>
      </c>
      <c r="C639">
        <f>Weekly_Inspections!$E639</f>
        <v/>
      </c>
      <c r="D639">
        <f>Weekly_Inspections!$F639</f>
        <v/>
      </c>
      <c r="E639">
        <f>Weekly_Inspections!$H639</f>
        <v/>
      </c>
      <c r="F639">
        <f>IF(Weekly_Inspections!$AX639&lt;&gt;"",Weekly_Inspections!$AX639,IF(Weekly_Inspections!$AY639&lt;&gt;"",Weekly_Inspections!$AY639,IF(Weekly_Inspections!$AZ639&lt;&gt;"",Weekly_Inspections!$AZ639,IF(Weekly_Inspections!$BA639&lt;&gt;"",Weekly_Inspections!$BA639,IF(Weekly_Inspections!$BB639&lt;&gt;"",Weekly_Inspections!$BB639,Weekly_Inspections!$R639)))))</f>
        <v/>
      </c>
      <c r="G639">
        <f>IF(OR(Weekly_Inspections!$AQ639&lt;&gt;"",Weekly_Inspections!$AR639&lt;&gt;"",Weekly_Inspections!$AS639&lt;&gt;""),Weekly_Inspections!$AQ639,"")</f>
        <v/>
      </c>
      <c r="H639">
        <f>Weekly_Inspections!$AP639</f>
        <v/>
      </c>
      <c r="I639">
        <f>Weekly_Inspections!$AR639</f>
        <v/>
      </c>
      <c r="J639">
        <f>Weekly_Inspections!$AS639</f>
        <v/>
      </c>
      <c r="K639">
        <f>Weekly_Inspections!$AU639</f>
        <v/>
      </c>
      <c r="L639" s="47">
        <f>Weekly_Inspections!$AV639</f>
        <v/>
      </c>
      <c r="M639">
        <f>IF($B639="","",IF($N639&lt;&gt;"","Closed",IF(OR($G639&lt;&gt;"",$I639&lt;&gt;"",$J639&lt;&gt;""),"Open","")))</f>
        <v/>
      </c>
      <c r="N639" s="47" t="n"/>
      <c r="O639">
        <f>IF($B639="","",IF($M639="Closed",IF($N639="","",$N639-$B639),TODAY()-$B639))</f>
        <v/>
      </c>
      <c r="P639">
        <f>IF(OR($B639="",$L639="",$M639="Closed"),"",IF(TODAY()&gt;$L639,"YES","NO"))</f>
        <v/>
      </c>
      <c r="Q639">
        <f>Weekly_Inspections!$AW639</f>
        <v/>
      </c>
    </row>
    <row r="640" ht="15" customHeight="1" s="45">
      <c r="A640">
        <f>IF(Weekly_Inspections!$B640="","",Weekly_Inspections!$A640&amp;"-A1")</f>
        <v/>
      </c>
      <c r="B640" s="47">
        <f>Weekly_Inspections!$B640</f>
        <v/>
      </c>
      <c r="C640">
        <f>Weekly_Inspections!$E640</f>
        <v/>
      </c>
      <c r="D640">
        <f>Weekly_Inspections!$F640</f>
        <v/>
      </c>
      <c r="E640">
        <f>Weekly_Inspections!$H640</f>
        <v/>
      </c>
      <c r="F640">
        <f>IF(Weekly_Inspections!$AX640&lt;&gt;"",Weekly_Inspections!$AX640,IF(Weekly_Inspections!$AY640&lt;&gt;"",Weekly_Inspections!$AY640,IF(Weekly_Inspections!$AZ640&lt;&gt;"",Weekly_Inspections!$AZ640,IF(Weekly_Inspections!$BA640&lt;&gt;"",Weekly_Inspections!$BA640,IF(Weekly_Inspections!$BB640&lt;&gt;"",Weekly_Inspections!$BB640,Weekly_Inspections!$R640)))))</f>
        <v/>
      </c>
      <c r="G640">
        <f>IF(OR(Weekly_Inspections!$AQ640&lt;&gt;"",Weekly_Inspections!$AR640&lt;&gt;"",Weekly_Inspections!$AS640&lt;&gt;""),Weekly_Inspections!$AQ640,"")</f>
        <v/>
      </c>
      <c r="H640">
        <f>Weekly_Inspections!$AP640</f>
        <v/>
      </c>
      <c r="I640">
        <f>Weekly_Inspections!$AR640</f>
        <v/>
      </c>
      <c r="J640">
        <f>Weekly_Inspections!$AS640</f>
        <v/>
      </c>
      <c r="K640">
        <f>Weekly_Inspections!$AU640</f>
        <v/>
      </c>
      <c r="L640" s="47">
        <f>Weekly_Inspections!$AV640</f>
        <v/>
      </c>
      <c r="M640">
        <f>IF($B640="","",IF($N640&lt;&gt;"","Closed",IF(OR($G640&lt;&gt;"",$I640&lt;&gt;"",$J640&lt;&gt;""),"Open","")))</f>
        <v/>
      </c>
      <c r="N640" s="47" t="n"/>
      <c r="O640">
        <f>IF($B640="","",IF($M640="Closed",IF($N640="","",$N640-$B640),TODAY()-$B640))</f>
        <v/>
      </c>
      <c r="P640">
        <f>IF(OR($B640="",$L640="",$M640="Closed"),"",IF(TODAY()&gt;$L640,"YES","NO"))</f>
        <v/>
      </c>
      <c r="Q640">
        <f>Weekly_Inspections!$AW640</f>
        <v/>
      </c>
    </row>
    <row r="641" ht="15" customHeight="1" s="45">
      <c r="A641">
        <f>IF(Weekly_Inspections!$B641="","",Weekly_Inspections!$A641&amp;"-A1")</f>
        <v/>
      </c>
      <c r="B641" s="47">
        <f>Weekly_Inspections!$B641</f>
        <v/>
      </c>
      <c r="C641">
        <f>Weekly_Inspections!$E641</f>
        <v/>
      </c>
      <c r="D641">
        <f>Weekly_Inspections!$F641</f>
        <v/>
      </c>
      <c r="E641">
        <f>Weekly_Inspections!$H641</f>
        <v/>
      </c>
      <c r="F641">
        <f>IF(Weekly_Inspections!$AX641&lt;&gt;"",Weekly_Inspections!$AX641,IF(Weekly_Inspections!$AY641&lt;&gt;"",Weekly_Inspections!$AY641,IF(Weekly_Inspections!$AZ641&lt;&gt;"",Weekly_Inspections!$AZ641,IF(Weekly_Inspections!$BA641&lt;&gt;"",Weekly_Inspections!$BA641,IF(Weekly_Inspections!$BB641&lt;&gt;"",Weekly_Inspections!$BB641,Weekly_Inspections!$R641)))))</f>
        <v/>
      </c>
      <c r="G641">
        <f>IF(OR(Weekly_Inspections!$AQ641&lt;&gt;"",Weekly_Inspections!$AR641&lt;&gt;"",Weekly_Inspections!$AS641&lt;&gt;""),Weekly_Inspections!$AQ641,"")</f>
        <v/>
      </c>
      <c r="H641">
        <f>Weekly_Inspections!$AP641</f>
        <v/>
      </c>
      <c r="I641">
        <f>Weekly_Inspections!$AR641</f>
        <v/>
      </c>
      <c r="J641">
        <f>Weekly_Inspections!$AS641</f>
        <v/>
      </c>
      <c r="K641">
        <f>Weekly_Inspections!$AU641</f>
        <v/>
      </c>
      <c r="L641" s="47">
        <f>Weekly_Inspections!$AV641</f>
        <v/>
      </c>
      <c r="M641">
        <f>IF($B641="","",IF($N641&lt;&gt;"","Closed",IF(OR($G641&lt;&gt;"",$I641&lt;&gt;"",$J641&lt;&gt;""),"Open","")))</f>
        <v/>
      </c>
      <c r="N641" s="47" t="n"/>
      <c r="O641">
        <f>IF($B641="","",IF($M641="Closed",IF($N641="","",$N641-$B641),TODAY()-$B641))</f>
        <v/>
      </c>
      <c r="P641">
        <f>IF(OR($B641="",$L641="",$M641="Closed"),"",IF(TODAY()&gt;$L641,"YES","NO"))</f>
        <v/>
      </c>
      <c r="Q641">
        <f>Weekly_Inspections!$AW641</f>
        <v/>
      </c>
    </row>
    <row r="642" ht="15" customHeight="1" s="45">
      <c r="A642">
        <f>IF(Weekly_Inspections!$B642="","",Weekly_Inspections!$A642&amp;"-A1")</f>
        <v/>
      </c>
      <c r="B642" s="47">
        <f>Weekly_Inspections!$B642</f>
        <v/>
      </c>
      <c r="C642">
        <f>Weekly_Inspections!$E642</f>
        <v/>
      </c>
      <c r="D642">
        <f>Weekly_Inspections!$F642</f>
        <v/>
      </c>
      <c r="E642">
        <f>Weekly_Inspections!$H642</f>
        <v/>
      </c>
      <c r="F642">
        <f>IF(Weekly_Inspections!$AX642&lt;&gt;"",Weekly_Inspections!$AX642,IF(Weekly_Inspections!$AY642&lt;&gt;"",Weekly_Inspections!$AY642,IF(Weekly_Inspections!$AZ642&lt;&gt;"",Weekly_Inspections!$AZ642,IF(Weekly_Inspections!$BA642&lt;&gt;"",Weekly_Inspections!$BA642,IF(Weekly_Inspections!$BB642&lt;&gt;"",Weekly_Inspections!$BB642,Weekly_Inspections!$R642)))))</f>
        <v/>
      </c>
      <c r="G642">
        <f>IF(OR(Weekly_Inspections!$AQ642&lt;&gt;"",Weekly_Inspections!$AR642&lt;&gt;"",Weekly_Inspections!$AS642&lt;&gt;""),Weekly_Inspections!$AQ642,"")</f>
        <v/>
      </c>
      <c r="H642">
        <f>Weekly_Inspections!$AP642</f>
        <v/>
      </c>
      <c r="I642">
        <f>Weekly_Inspections!$AR642</f>
        <v/>
      </c>
      <c r="J642">
        <f>Weekly_Inspections!$AS642</f>
        <v/>
      </c>
      <c r="K642">
        <f>Weekly_Inspections!$AU642</f>
        <v/>
      </c>
      <c r="L642" s="47">
        <f>Weekly_Inspections!$AV642</f>
        <v/>
      </c>
      <c r="M642">
        <f>IF($B642="","",IF($N642&lt;&gt;"","Closed",IF(OR($G642&lt;&gt;"",$I642&lt;&gt;"",$J642&lt;&gt;""),"Open","")))</f>
        <v/>
      </c>
      <c r="N642" s="47" t="n"/>
      <c r="O642">
        <f>IF($B642="","",IF($M642="Closed",IF($N642="","",$N642-$B642),TODAY()-$B642))</f>
        <v/>
      </c>
      <c r="P642">
        <f>IF(OR($B642="",$L642="",$M642="Closed"),"",IF(TODAY()&gt;$L642,"YES","NO"))</f>
        <v/>
      </c>
      <c r="Q642">
        <f>Weekly_Inspections!$AW642</f>
        <v/>
      </c>
    </row>
    <row r="643" ht="15" customHeight="1" s="45">
      <c r="A643">
        <f>IF(Weekly_Inspections!$B643="","",Weekly_Inspections!$A643&amp;"-A1")</f>
        <v/>
      </c>
      <c r="B643" s="47">
        <f>Weekly_Inspections!$B643</f>
        <v/>
      </c>
      <c r="C643">
        <f>Weekly_Inspections!$E643</f>
        <v/>
      </c>
      <c r="D643">
        <f>Weekly_Inspections!$F643</f>
        <v/>
      </c>
      <c r="E643">
        <f>Weekly_Inspections!$H643</f>
        <v/>
      </c>
      <c r="F643">
        <f>IF(Weekly_Inspections!$AX643&lt;&gt;"",Weekly_Inspections!$AX643,IF(Weekly_Inspections!$AY643&lt;&gt;"",Weekly_Inspections!$AY643,IF(Weekly_Inspections!$AZ643&lt;&gt;"",Weekly_Inspections!$AZ643,IF(Weekly_Inspections!$BA643&lt;&gt;"",Weekly_Inspections!$BA643,IF(Weekly_Inspections!$BB643&lt;&gt;"",Weekly_Inspections!$BB643,Weekly_Inspections!$R643)))))</f>
        <v/>
      </c>
      <c r="G643">
        <f>IF(OR(Weekly_Inspections!$AQ643&lt;&gt;"",Weekly_Inspections!$AR643&lt;&gt;"",Weekly_Inspections!$AS643&lt;&gt;""),Weekly_Inspections!$AQ643,"")</f>
        <v/>
      </c>
      <c r="H643">
        <f>Weekly_Inspections!$AP643</f>
        <v/>
      </c>
      <c r="I643">
        <f>Weekly_Inspections!$AR643</f>
        <v/>
      </c>
      <c r="J643">
        <f>Weekly_Inspections!$AS643</f>
        <v/>
      </c>
      <c r="K643">
        <f>Weekly_Inspections!$AU643</f>
        <v/>
      </c>
      <c r="L643" s="47">
        <f>Weekly_Inspections!$AV643</f>
        <v/>
      </c>
      <c r="M643">
        <f>IF($B643="","",IF($N643&lt;&gt;"","Closed",IF(OR($G643&lt;&gt;"",$I643&lt;&gt;"",$J643&lt;&gt;""),"Open","")))</f>
        <v/>
      </c>
      <c r="N643" s="47" t="n"/>
      <c r="O643">
        <f>IF($B643="","",IF($M643="Closed",IF($N643="","",$N643-$B643),TODAY()-$B643))</f>
        <v/>
      </c>
      <c r="P643">
        <f>IF(OR($B643="",$L643="",$M643="Closed"),"",IF(TODAY()&gt;$L643,"YES","NO"))</f>
        <v/>
      </c>
      <c r="Q643">
        <f>Weekly_Inspections!$AW643</f>
        <v/>
      </c>
    </row>
    <row r="644" ht="15" customHeight="1" s="45">
      <c r="A644">
        <f>IF(Weekly_Inspections!$B644="","",Weekly_Inspections!$A644&amp;"-A1")</f>
        <v/>
      </c>
      <c r="B644" s="47">
        <f>Weekly_Inspections!$B644</f>
        <v/>
      </c>
      <c r="C644">
        <f>Weekly_Inspections!$E644</f>
        <v/>
      </c>
      <c r="D644">
        <f>Weekly_Inspections!$F644</f>
        <v/>
      </c>
      <c r="E644">
        <f>Weekly_Inspections!$H644</f>
        <v/>
      </c>
      <c r="F644">
        <f>IF(Weekly_Inspections!$AX644&lt;&gt;"",Weekly_Inspections!$AX644,IF(Weekly_Inspections!$AY644&lt;&gt;"",Weekly_Inspections!$AY644,IF(Weekly_Inspections!$AZ644&lt;&gt;"",Weekly_Inspections!$AZ644,IF(Weekly_Inspections!$BA644&lt;&gt;"",Weekly_Inspections!$BA644,IF(Weekly_Inspections!$BB644&lt;&gt;"",Weekly_Inspections!$BB644,Weekly_Inspections!$R644)))))</f>
        <v/>
      </c>
      <c r="G644">
        <f>IF(OR(Weekly_Inspections!$AQ644&lt;&gt;"",Weekly_Inspections!$AR644&lt;&gt;"",Weekly_Inspections!$AS644&lt;&gt;""),Weekly_Inspections!$AQ644,"")</f>
        <v/>
      </c>
      <c r="H644">
        <f>Weekly_Inspections!$AP644</f>
        <v/>
      </c>
      <c r="I644">
        <f>Weekly_Inspections!$AR644</f>
        <v/>
      </c>
      <c r="J644">
        <f>Weekly_Inspections!$AS644</f>
        <v/>
      </c>
      <c r="K644">
        <f>Weekly_Inspections!$AU644</f>
        <v/>
      </c>
      <c r="L644" s="47">
        <f>Weekly_Inspections!$AV644</f>
        <v/>
      </c>
      <c r="M644">
        <f>IF($B644="","",IF($N644&lt;&gt;"","Closed",IF(OR($G644&lt;&gt;"",$I644&lt;&gt;"",$J644&lt;&gt;""),"Open","")))</f>
        <v/>
      </c>
      <c r="N644" s="47" t="n"/>
      <c r="O644">
        <f>IF($B644="","",IF($M644="Closed",IF($N644="","",$N644-$B644),TODAY()-$B644))</f>
        <v/>
      </c>
      <c r="P644">
        <f>IF(OR($B644="",$L644="",$M644="Closed"),"",IF(TODAY()&gt;$L644,"YES","NO"))</f>
        <v/>
      </c>
      <c r="Q644">
        <f>Weekly_Inspections!$AW644</f>
        <v/>
      </c>
    </row>
    <row r="645" ht="15" customHeight="1" s="45">
      <c r="A645">
        <f>IF(Weekly_Inspections!$B645="","",Weekly_Inspections!$A645&amp;"-A1")</f>
        <v/>
      </c>
      <c r="B645" s="47">
        <f>Weekly_Inspections!$B645</f>
        <v/>
      </c>
      <c r="C645">
        <f>Weekly_Inspections!$E645</f>
        <v/>
      </c>
      <c r="D645">
        <f>Weekly_Inspections!$F645</f>
        <v/>
      </c>
      <c r="E645">
        <f>Weekly_Inspections!$H645</f>
        <v/>
      </c>
      <c r="F645">
        <f>IF(Weekly_Inspections!$AX645&lt;&gt;"",Weekly_Inspections!$AX645,IF(Weekly_Inspections!$AY645&lt;&gt;"",Weekly_Inspections!$AY645,IF(Weekly_Inspections!$AZ645&lt;&gt;"",Weekly_Inspections!$AZ645,IF(Weekly_Inspections!$BA645&lt;&gt;"",Weekly_Inspections!$BA645,IF(Weekly_Inspections!$BB645&lt;&gt;"",Weekly_Inspections!$BB645,Weekly_Inspections!$R645)))))</f>
        <v/>
      </c>
      <c r="G645">
        <f>IF(OR(Weekly_Inspections!$AQ645&lt;&gt;"",Weekly_Inspections!$AR645&lt;&gt;"",Weekly_Inspections!$AS645&lt;&gt;""),Weekly_Inspections!$AQ645,"")</f>
        <v/>
      </c>
      <c r="H645">
        <f>Weekly_Inspections!$AP645</f>
        <v/>
      </c>
      <c r="I645">
        <f>Weekly_Inspections!$AR645</f>
        <v/>
      </c>
      <c r="J645">
        <f>Weekly_Inspections!$AS645</f>
        <v/>
      </c>
      <c r="K645">
        <f>Weekly_Inspections!$AU645</f>
        <v/>
      </c>
      <c r="L645" s="47">
        <f>Weekly_Inspections!$AV645</f>
        <v/>
      </c>
      <c r="M645">
        <f>IF($B645="","",IF($N645&lt;&gt;"","Closed",IF(OR($G645&lt;&gt;"",$I645&lt;&gt;"",$J645&lt;&gt;""),"Open","")))</f>
        <v/>
      </c>
      <c r="N645" s="47" t="n"/>
      <c r="O645">
        <f>IF($B645="","",IF($M645="Closed",IF($N645="","",$N645-$B645),TODAY()-$B645))</f>
        <v/>
      </c>
      <c r="P645">
        <f>IF(OR($B645="",$L645="",$M645="Closed"),"",IF(TODAY()&gt;$L645,"YES","NO"))</f>
        <v/>
      </c>
      <c r="Q645">
        <f>Weekly_Inspections!$AW645</f>
        <v/>
      </c>
    </row>
    <row r="646" ht="15" customHeight="1" s="45">
      <c r="A646">
        <f>IF(Weekly_Inspections!$B646="","",Weekly_Inspections!$A646&amp;"-A1")</f>
        <v/>
      </c>
      <c r="B646" s="47">
        <f>Weekly_Inspections!$B646</f>
        <v/>
      </c>
      <c r="C646">
        <f>Weekly_Inspections!$E646</f>
        <v/>
      </c>
      <c r="D646">
        <f>Weekly_Inspections!$F646</f>
        <v/>
      </c>
      <c r="E646">
        <f>Weekly_Inspections!$H646</f>
        <v/>
      </c>
      <c r="F646">
        <f>IF(Weekly_Inspections!$AX646&lt;&gt;"",Weekly_Inspections!$AX646,IF(Weekly_Inspections!$AY646&lt;&gt;"",Weekly_Inspections!$AY646,IF(Weekly_Inspections!$AZ646&lt;&gt;"",Weekly_Inspections!$AZ646,IF(Weekly_Inspections!$BA646&lt;&gt;"",Weekly_Inspections!$BA646,IF(Weekly_Inspections!$BB646&lt;&gt;"",Weekly_Inspections!$BB646,Weekly_Inspections!$R646)))))</f>
        <v/>
      </c>
      <c r="G646">
        <f>IF(OR(Weekly_Inspections!$AQ646&lt;&gt;"",Weekly_Inspections!$AR646&lt;&gt;"",Weekly_Inspections!$AS646&lt;&gt;""),Weekly_Inspections!$AQ646,"")</f>
        <v/>
      </c>
      <c r="H646">
        <f>Weekly_Inspections!$AP646</f>
        <v/>
      </c>
      <c r="I646">
        <f>Weekly_Inspections!$AR646</f>
        <v/>
      </c>
      <c r="J646">
        <f>Weekly_Inspections!$AS646</f>
        <v/>
      </c>
      <c r="K646">
        <f>Weekly_Inspections!$AU646</f>
        <v/>
      </c>
      <c r="L646" s="47">
        <f>Weekly_Inspections!$AV646</f>
        <v/>
      </c>
      <c r="M646">
        <f>IF($B646="","",IF($N646&lt;&gt;"","Closed",IF(OR($G646&lt;&gt;"",$I646&lt;&gt;"",$J646&lt;&gt;""),"Open","")))</f>
        <v/>
      </c>
      <c r="N646" s="47" t="n"/>
      <c r="O646">
        <f>IF($B646="","",IF($M646="Closed",IF($N646="","",$N646-$B646),TODAY()-$B646))</f>
        <v/>
      </c>
      <c r="P646">
        <f>IF(OR($B646="",$L646="",$M646="Closed"),"",IF(TODAY()&gt;$L646,"YES","NO"))</f>
        <v/>
      </c>
      <c r="Q646">
        <f>Weekly_Inspections!$AW646</f>
        <v/>
      </c>
    </row>
    <row r="647" ht="15" customHeight="1" s="45">
      <c r="A647">
        <f>IF(Weekly_Inspections!$B647="","",Weekly_Inspections!$A647&amp;"-A1")</f>
        <v/>
      </c>
      <c r="B647" s="47">
        <f>Weekly_Inspections!$B647</f>
        <v/>
      </c>
      <c r="C647">
        <f>Weekly_Inspections!$E647</f>
        <v/>
      </c>
      <c r="D647">
        <f>Weekly_Inspections!$F647</f>
        <v/>
      </c>
      <c r="E647">
        <f>Weekly_Inspections!$H647</f>
        <v/>
      </c>
      <c r="F647">
        <f>IF(Weekly_Inspections!$AX647&lt;&gt;"",Weekly_Inspections!$AX647,IF(Weekly_Inspections!$AY647&lt;&gt;"",Weekly_Inspections!$AY647,IF(Weekly_Inspections!$AZ647&lt;&gt;"",Weekly_Inspections!$AZ647,IF(Weekly_Inspections!$BA647&lt;&gt;"",Weekly_Inspections!$BA647,IF(Weekly_Inspections!$BB647&lt;&gt;"",Weekly_Inspections!$BB647,Weekly_Inspections!$R647)))))</f>
        <v/>
      </c>
      <c r="G647">
        <f>IF(OR(Weekly_Inspections!$AQ647&lt;&gt;"",Weekly_Inspections!$AR647&lt;&gt;"",Weekly_Inspections!$AS647&lt;&gt;""),Weekly_Inspections!$AQ647,"")</f>
        <v/>
      </c>
      <c r="H647">
        <f>Weekly_Inspections!$AP647</f>
        <v/>
      </c>
      <c r="I647">
        <f>Weekly_Inspections!$AR647</f>
        <v/>
      </c>
      <c r="J647">
        <f>Weekly_Inspections!$AS647</f>
        <v/>
      </c>
      <c r="K647">
        <f>Weekly_Inspections!$AU647</f>
        <v/>
      </c>
      <c r="L647" s="47">
        <f>Weekly_Inspections!$AV647</f>
        <v/>
      </c>
      <c r="M647">
        <f>IF($B647="","",IF($N647&lt;&gt;"","Closed",IF(OR($G647&lt;&gt;"",$I647&lt;&gt;"",$J647&lt;&gt;""),"Open","")))</f>
        <v/>
      </c>
      <c r="N647" s="47" t="n"/>
      <c r="O647">
        <f>IF($B647="","",IF($M647="Closed",IF($N647="","",$N647-$B647),TODAY()-$B647))</f>
        <v/>
      </c>
      <c r="P647">
        <f>IF(OR($B647="",$L647="",$M647="Closed"),"",IF(TODAY()&gt;$L647,"YES","NO"))</f>
        <v/>
      </c>
      <c r="Q647">
        <f>Weekly_Inspections!$AW647</f>
        <v/>
      </c>
    </row>
    <row r="648" ht="15" customHeight="1" s="45">
      <c r="A648">
        <f>IF(Weekly_Inspections!$B648="","",Weekly_Inspections!$A648&amp;"-A1")</f>
        <v/>
      </c>
      <c r="B648" s="47">
        <f>Weekly_Inspections!$B648</f>
        <v/>
      </c>
      <c r="C648">
        <f>Weekly_Inspections!$E648</f>
        <v/>
      </c>
      <c r="D648">
        <f>Weekly_Inspections!$F648</f>
        <v/>
      </c>
      <c r="E648">
        <f>Weekly_Inspections!$H648</f>
        <v/>
      </c>
      <c r="F648">
        <f>IF(Weekly_Inspections!$AX648&lt;&gt;"",Weekly_Inspections!$AX648,IF(Weekly_Inspections!$AY648&lt;&gt;"",Weekly_Inspections!$AY648,IF(Weekly_Inspections!$AZ648&lt;&gt;"",Weekly_Inspections!$AZ648,IF(Weekly_Inspections!$BA648&lt;&gt;"",Weekly_Inspections!$BA648,IF(Weekly_Inspections!$BB648&lt;&gt;"",Weekly_Inspections!$BB648,Weekly_Inspections!$R648)))))</f>
        <v/>
      </c>
      <c r="G648">
        <f>IF(OR(Weekly_Inspections!$AQ648&lt;&gt;"",Weekly_Inspections!$AR648&lt;&gt;"",Weekly_Inspections!$AS648&lt;&gt;""),Weekly_Inspections!$AQ648,"")</f>
        <v/>
      </c>
      <c r="H648">
        <f>Weekly_Inspections!$AP648</f>
        <v/>
      </c>
      <c r="I648">
        <f>Weekly_Inspections!$AR648</f>
        <v/>
      </c>
      <c r="J648">
        <f>Weekly_Inspections!$AS648</f>
        <v/>
      </c>
      <c r="K648">
        <f>Weekly_Inspections!$AU648</f>
        <v/>
      </c>
      <c r="L648" s="47">
        <f>Weekly_Inspections!$AV648</f>
        <v/>
      </c>
      <c r="M648">
        <f>IF($B648="","",IF($N648&lt;&gt;"","Closed",IF(OR($G648&lt;&gt;"",$I648&lt;&gt;"",$J648&lt;&gt;""),"Open","")))</f>
        <v/>
      </c>
      <c r="N648" s="47" t="n"/>
      <c r="O648">
        <f>IF($B648="","",IF($M648="Closed",IF($N648="","",$N648-$B648),TODAY()-$B648))</f>
        <v/>
      </c>
      <c r="P648">
        <f>IF(OR($B648="",$L648="",$M648="Closed"),"",IF(TODAY()&gt;$L648,"YES","NO"))</f>
        <v/>
      </c>
      <c r="Q648">
        <f>Weekly_Inspections!$AW648</f>
        <v/>
      </c>
    </row>
    <row r="649" ht="15" customHeight="1" s="45">
      <c r="A649">
        <f>IF(Weekly_Inspections!$B649="","",Weekly_Inspections!$A649&amp;"-A1")</f>
        <v/>
      </c>
      <c r="B649" s="47">
        <f>Weekly_Inspections!$B649</f>
        <v/>
      </c>
      <c r="C649">
        <f>Weekly_Inspections!$E649</f>
        <v/>
      </c>
      <c r="D649">
        <f>Weekly_Inspections!$F649</f>
        <v/>
      </c>
      <c r="E649">
        <f>Weekly_Inspections!$H649</f>
        <v/>
      </c>
      <c r="F649">
        <f>IF(Weekly_Inspections!$AX649&lt;&gt;"",Weekly_Inspections!$AX649,IF(Weekly_Inspections!$AY649&lt;&gt;"",Weekly_Inspections!$AY649,IF(Weekly_Inspections!$AZ649&lt;&gt;"",Weekly_Inspections!$AZ649,IF(Weekly_Inspections!$BA649&lt;&gt;"",Weekly_Inspections!$BA649,IF(Weekly_Inspections!$BB649&lt;&gt;"",Weekly_Inspections!$BB649,Weekly_Inspections!$R649)))))</f>
        <v/>
      </c>
      <c r="G649">
        <f>IF(OR(Weekly_Inspections!$AQ649&lt;&gt;"",Weekly_Inspections!$AR649&lt;&gt;"",Weekly_Inspections!$AS649&lt;&gt;""),Weekly_Inspections!$AQ649,"")</f>
        <v/>
      </c>
      <c r="H649">
        <f>Weekly_Inspections!$AP649</f>
        <v/>
      </c>
      <c r="I649">
        <f>Weekly_Inspections!$AR649</f>
        <v/>
      </c>
      <c r="J649">
        <f>Weekly_Inspections!$AS649</f>
        <v/>
      </c>
      <c r="K649">
        <f>Weekly_Inspections!$AU649</f>
        <v/>
      </c>
      <c r="L649" s="47">
        <f>Weekly_Inspections!$AV649</f>
        <v/>
      </c>
      <c r="M649">
        <f>IF($B649="","",IF($N649&lt;&gt;"","Closed",IF(OR($G649&lt;&gt;"",$I649&lt;&gt;"",$J649&lt;&gt;""),"Open","")))</f>
        <v/>
      </c>
      <c r="N649" s="47" t="n"/>
      <c r="O649">
        <f>IF($B649="","",IF($M649="Closed",IF($N649="","",$N649-$B649),TODAY()-$B649))</f>
        <v/>
      </c>
      <c r="P649">
        <f>IF(OR($B649="",$L649="",$M649="Closed"),"",IF(TODAY()&gt;$L649,"YES","NO"))</f>
        <v/>
      </c>
      <c r="Q649">
        <f>Weekly_Inspections!$AW649</f>
        <v/>
      </c>
    </row>
    <row r="650" ht="15" customHeight="1" s="45">
      <c r="A650">
        <f>IF(Weekly_Inspections!$B650="","",Weekly_Inspections!$A650&amp;"-A1")</f>
        <v/>
      </c>
      <c r="B650" s="47">
        <f>Weekly_Inspections!$B650</f>
        <v/>
      </c>
      <c r="C650">
        <f>Weekly_Inspections!$E650</f>
        <v/>
      </c>
      <c r="D650">
        <f>Weekly_Inspections!$F650</f>
        <v/>
      </c>
      <c r="E650">
        <f>Weekly_Inspections!$H650</f>
        <v/>
      </c>
      <c r="F650">
        <f>IF(Weekly_Inspections!$AX650&lt;&gt;"",Weekly_Inspections!$AX650,IF(Weekly_Inspections!$AY650&lt;&gt;"",Weekly_Inspections!$AY650,IF(Weekly_Inspections!$AZ650&lt;&gt;"",Weekly_Inspections!$AZ650,IF(Weekly_Inspections!$BA650&lt;&gt;"",Weekly_Inspections!$BA650,IF(Weekly_Inspections!$BB650&lt;&gt;"",Weekly_Inspections!$BB650,Weekly_Inspections!$R650)))))</f>
        <v/>
      </c>
      <c r="G650">
        <f>IF(OR(Weekly_Inspections!$AQ650&lt;&gt;"",Weekly_Inspections!$AR650&lt;&gt;"",Weekly_Inspections!$AS650&lt;&gt;""),Weekly_Inspections!$AQ650,"")</f>
        <v/>
      </c>
      <c r="H650">
        <f>Weekly_Inspections!$AP650</f>
        <v/>
      </c>
      <c r="I650">
        <f>Weekly_Inspections!$AR650</f>
        <v/>
      </c>
      <c r="J650">
        <f>Weekly_Inspections!$AS650</f>
        <v/>
      </c>
      <c r="K650">
        <f>Weekly_Inspections!$AU650</f>
        <v/>
      </c>
      <c r="L650" s="47">
        <f>Weekly_Inspections!$AV650</f>
        <v/>
      </c>
      <c r="M650">
        <f>IF($B650="","",IF($N650&lt;&gt;"","Closed",IF(OR($G650&lt;&gt;"",$I650&lt;&gt;"",$J650&lt;&gt;""),"Open","")))</f>
        <v/>
      </c>
      <c r="N650" s="47" t="n"/>
      <c r="O650">
        <f>IF($B650="","",IF($M650="Closed",IF($N650="","",$N650-$B650),TODAY()-$B650))</f>
        <v/>
      </c>
      <c r="P650">
        <f>IF(OR($B650="",$L650="",$M650="Closed"),"",IF(TODAY()&gt;$L650,"YES","NO"))</f>
        <v/>
      </c>
      <c r="Q650">
        <f>Weekly_Inspections!$AW650</f>
        <v/>
      </c>
    </row>
    <row r="651" ht="15" customHeight="1" s="45">
      <c r="A651">
        <f>IF(Weekly_Inspections!$B651="","",Weekly_Inspections!$A651&amp;"-A1")</f>
        <v/>
      </c>
      <c r="B651" s="47">
        <f>Weekly_Inspections!$B651</f>
        <v/>
      </c>
      <c r="C651">
        <f>Weekly_Inspections!$E651</f>
        <v/>
      </c>
      <c r="D651">
        <f>Weekly_Inspections!$F651</f>
        <v/>
      </c>
      <c r="E651">
        <f>Weekly_Inspections!$H651</f>
        <v/>
      </c>
      <c r="F651">
        <f>IF(Weekly_Inspections!$AX651&lt;&gt;"",Weekly_Inspections!$AX651,IF(Weekly_Inspections!$AY651&lt;&gt;"",Weekly_Inspections!$AY651,IF(Weekly_Inspections!$AZ651&lt;&gt;"",Weekly_Inspections!$AZ651,IF(Weekly_Inspections!$BA651&lt;&gt;"",Weekly_Inspections!$BA651,IF(Weekly_Inspections!$BB651&lt;&gt;"",Weekly_Inspections!$BB651,Weekly_Inspections!$R651)))))</f>
        <v/>
      </c>
      <c r="G651">
        <f>IF(OR(Weekly_Inspections!$AQ651&lt;&gt;"",Weekly_Inspections!$AR651&lt;&gt;"",Weekly_Inspections!$AS651&lt;&gt;""),Weekly_Inspections!$AQ651,"")</f>
        <v/>
      </c>
      <c r="H651">
        <f>Weekly_Inspections!$AP651</f>
        <v/>
      </c>
      <c r="I651">
        <f>Weekly_Inspections!$AR651</f>
        <v/>
      </c>
      <c r="J651">
        <f>Weekly_Inspections!$AS651</f>
        <v/>
      </c>
      <c r="K651">
        <f>Weekly_Inspections!$AU651</f>
        <v/>
      </c>
      <c r="L651" s="47">
        <f>Weekly_Inspections!$AV651</f>
        <v/>
      </c>
      <c r="M651">
        <f>IF($B651="","",IF($N651&lt;&gt;"","Closed",IF(OR($G651&lt;&gt;"",$I651&lt;&gt;"",$J651&lt;&gt;""),"Open","")))</f>
        <v/>
      </c>
      <c r="N651" s="47" t="n"/>
      <c r="O651">
        <f>IF($B651="","",IF($M651="Closed",IF($N651="","",$N651-$B651),TODAY()-$B651))</f>
        <v/>
      </c>
      <c r="P651">
        <f>IF(OR($B651="",$L651="",$M651="Closed"),"",IF(TODAY()&gt;$L651,"YES","NO"))</f>
        <v/>
      </c>
      <c r="Q651">
        <f>Weekly_Inspections!$AW651</f>
        <v/>
      </c>
    </row>
    <row r="652" ht="15" customHeight="1" s="45">
      <c r="A652">
        <f>IF(Weekly_Inspections!$B652="","",Weekly_Inspections!$A652&amp;"-A1")</f>
        <v/>
      </c>
      <c r="B652" s="47">
        <f>Weekly_Inspections!$B652</f>
        <v/>
      </c>
      <c r="C652">
        <f>Weekly_Inspections!$E652</f>
        <v/>
      </c>
      <c r="D652">
        <f>Weekly_Inspections!$F652</f>
        <v/>
      </c>
      <c r="E652">
        <f>Weekly_Inspections!$H652</f>
        <v/>
      </c>
      <c r="F652">
        <f>IF(Weekly_Inspections!$AX652&lt;&gt;"",Weekly_Inspections!$AX652,IF(Weekly_Inspections!$AY652&lt;&gt;"",Weekly_Inspections!$AY652,IF(Weekly_Inspections!$AZ652&lt;&gt;"",Weekly_Inspections!$AZ652,IF(Weekly_Inspections!$BA652&lt;&gt;"",Weekly_Inspections!$BA652,IF(Weekly_Inspections!$BB652&lt;&gt;"",Weekly_Inspections!$BB652,Weekly_Inspections!$R652)))))</f>
        <v/>
      </c>
      <c r="G652">
        <f>IF(OR(Weekly_Inspections!$AQ652&lt;&gt;"",Weekly_Inspections!$AR652&lt;&gt;"",Weekly_Inspections!$AS652&lt;&gt;""),Weekly_Inspections!$AQ652,"")</f>
        <v/>
      </c>
      <c r="H652">
        <f>Weekly_Inspections!$AP652</f>
        <v/>
      </c>
      <c r="I652">
        <f>Weekly_Inspections!$AR652</f>
        <v/>
      </c>
      <c r="J652">
        <f>Weekly_Inspections!$AS652</f>
        <v/>
      </c>
      <c r="K652">
        <f>Weekly_Inspections!$AU652</f>
        <v/>
      </c>
      <c r="L652" s="47">
        <f>Weekly_Inspections!$AV652</f>
        <v/>
      </c>
      <c r="M652">
        <f>IF($B652="","",IF($N652&lt;&gt;"","Closed",IF(OR($G652&lt;&gt;"",$I652&lt;&gt;"",$J652&lt;&gt;""),"Open","")))</f>
        <v/>
      </c>
      <c r="N652" s="47" t="n"/>
      <c r="O652">
        <f>IF($B652="","",IF($M652="Closed",IF($N652="","",$N652-$B652),TODAY()-$B652))</f>
        <v/>
      </c>
      <c r="P652">
        <f>IF(OR($B652="",$L652="",$M652="Closed"),"",IF(TODAY()&gt;$L652,"YES","NO"))</f>
        <v/>
      </c>
      <c r="Q652">
        <f>Weekly_Inspections!$AW652</f>
        <v/>
      </c>
    </row>
    <row r="653" ht="15" customHeight="1" s="45">
      <c r="A653">
        <f>IF(Weekly_Inspections!$B653="","",Weekly_Inspections!$A653&amp;"-A1")</f>
        <v/>
      </c>
      <c r="B653" s="47">
        <f>Weekly_Inspections!$B653</f>
        <v/>
      </c>
      <c r="C653">
        <f>Weekly_Inspections!$E653</f>
        <v/>
      </c>
      <c r="D653">
        <f>Weekly_Inspections!$F653</f>
        <v/>
      </c>
      <c r="E653">
        <f>Weekly_Inspections!$H653</f>
        <v/>
      </c>
      <c r="F653">
        <f>IF(Weekly_Inspections!$AX653&lt;&gt;"",Weekly_Inspections!$AX653,IF(Weekly_Inspections!$AY653&lt;&gt;"",Weekly_Inspections!$AY653,IF(Weekly_Inspections!$AZ653&lt;&gt;"",Weekly_Inspections!$AZ653,IF(Weekly_Inspections!$BA653&lt;&gt;"",Weekly_Inspections!$BA653,IF(Weekly_Inspections!$BB653&lt;&gt;"",Weekly_Inspections!$BB653,Weekly_Inspections!$R653)))))</f>
        <v/>
      </c>
      <c r="G653">
        <f>IF(OR(Weekly_Inspections!$AQ653&lt;&gt;"",Weekly_Inspections!$AR653&lt;&gt;"",Weekly_Inspections!$AS653&lt;&gt;""),Weekly_Inspections!$AQ653,"")</f>
        <v/>
      </c>
      <c r="H653">
        <f>Weekly_Inspections!$AP653</f>
        <v/>
      </c>
      <c r="I653">
        <f>Weekly_Inspections!$AR653</f>
        <v/>
      </c>
      <c r="J653">
        <f>Weekly_Inspections!$AS653</f>
        <v/>
      </c>
      <c r="K653">
        <f>Weekly_Inspections!$AU653</f>
        <v/>
      </c>
      <c r="L653" s="47">
        <f>Weekly_Inspections!$AV653</f>
        <v/>
      </c>
      <c r="M653">
        <f>IF($B653="","",IF($N653&lt;&gt;"","Closed",IF(OR($G653&lt;&gt;"",$I653&lt;&gt;"",$J653&lt;&gt;""),"Open","")))</f>
        <v/>
      </c>
      <c r="N653" s="47" t="n"/>
      <c r="O653">
        <f>IF($B653="","",IF($M653="Closed",IF($N653="","",$N653-$B653),TODAY()-$B653))</f>
        <v/>
      </c>
      <c r="P653">
        <f>IF(OR($B653="",$L653="",$M653="Closed"),"",IF(TODAY()&gt;$L653,"YES","NO"))</f>
        <v/>
      </c>
      <c r="Q653">
        <f>Weekly_Inspections!$AW653</f>
        <v/>
      </c>
    </row>
    <row r="654" ht="15" customHeight="1" s="45">
      <c r="A654">
        <f>IF(Weekly_Inspections!$B654="","",Weekly_Inspections!$A654&amp;"-A1")</f>
        <v/>
      </c>
      <c r="B654" s="47">
        <f>Weekly_Inspections!$B654</f>
        <v/>
      </c>
      <c r="C654">
        <f>Weekly_Inspections!$E654</f>
        <v/>
      </c>
      <c r="D654">
        <f>Weekly_Inspections!$F654</f>
        <v/>
      </c>
      <c r="E654">
        <f>Weekly_Inspections!$H654</f>
        <v/>
      </c>
      <c r="F654">
        <f>IF(Weekly_Inspections!$AX654&lt;&gt;"",Weekly_Inspections!$AX654,IF(Weekly_Inspections!$AY654&lt;&gt;"",Weekly_Inspections!$AY654,IF(Weekly_Inspections!$AZ654&lt;&gt;"",Weekly_Inspections!$AZ654,IF(Weekly_Inspections!$BA654&lt;&gt;"",Weekly_Inspections!$BA654,IF(Weekly_Inspections!$BB654&lt;&gt;"",Weekly_Inspections!$BB654,Weekly_Inspections!$R654)))))</f>
        <v/>
      </c>
      <c r="G654">
        <f>IF(OR(Weekly_Inspections!$AQ654&lt;&gt;"",Weekly_Inspections!$AR654&lt;&gt;"",Weekly_Inspections!$AS654&lt;&gt;""),Weekly_Inspections!$AQ654,"")</f>
        <v/>
      </c>
      <c r="H654">
        <f>Weekly_Inspections!$AP654</f>
        <v/>
      </c>
      <c r="I654">
        <f>Weekly_Inspections!$AR654</f>
        <v/>
      </c>
      <c r="J654">
        <f>Weekly_Inspections!$AS654</f>
        <v/>
      </c>
      <c r="K654">
        <f>Weekly_Inspections!$AU654</f>
        <v/>
      </c>
      <c r="L654" s="47">
        <f>Weekly_Inspections!$AV654</f>
        <v/>
      </c>
      <c r="M654">
        <f>IF($B654="","",IF($N654&lt;&gt;"","Closed",IF(OR($G654&lt;&gt;"",$I654&lt;&gt;"",$J654&lt;&gt;""),"Open","")))</f>
        <v/>
      </c>
      <c r="N654" s="47" t="n"/>
      <c r="O654">
        <f>IF($B654="","",IF($M654="Closed",IF($N654="","",$N654-$B654),TODAY()-$B654))</f>
        <v/>
      </c>
      <c r="P654">
        <f>IF(OR($B654="",$L654="",$M654="Closed"),"",IF(TODAY()&gt;$L654,"YES","NO"))</f>
        <v/>
      </c>
      <c r="Q654">
        <f>Weekly_Inspections!$AW654</f>
        <v/>
      </c>
    </row>
    <row r="655" ht="15" customHeight="1" s="45">
      <c r="A655">
        <f>IF(Weekly_Inspections!$B655="","",Weekly_Inspections!$A655&amp;"-A1")</f>
        <v/>
      </c>
      <c r="B655" s="47">
        <f>Weekly_Inspections!$B655</f>
        <v/>
      </c>
      <c r="C655">
        <f>Weekly_Inspections!$E655</f>
        <v/>
      </c>
      <c r="D655">
        <f>Weekly_Inspections!$F655</f>
        <v/>
      </c>
      <c r="E655">
        <f>Weekly_Inspections!$H655</f>
        <v/>
      </c>
      <c r="F655">
        <f>IF(Weekly_Inspections!$AX655&lt;&gt;"",Weekly_Inspections!$AX655,IF(Weekly_Inspections!$AY655&lt;&gt;"",Weekly_Inspections!$AY655,IF(Weekly_Inspections!$AZ655&lt;&gt;"",Weekly_Inspections!$AZ655,IF(Weekly_Inspections!$BA655&lt;&gt;"",Weekly_Inspections!$BA655,IF(Weekly_Inspections!$BB655&lt;&gt;"",Weekly_Inspections!$BB655,Weekly_Inspections!$R655)))))</f>
        <v/>
      </c>
      <c r="G655">
        <f>IF(OR(Weekly_Inspections!$AQ655&lt;&gt;"",Weekly_Inspections!$AR655&lt;&gt;"",Weekly_Inspections!$AS655&lt;&gt;""),Weekly_Inspections!$AQ655,"")</f>
        <v/>
      </c>
      <c r="H655">
        <f>Weekly_Inspections!$AP655</f>
        <v/>
      </c>
      <c r="I655">
        <f>Weekly_Inspections!$AR655</f>
        <v/>
      </c>
      <c r="J655">
        <f>Weekly_Inspections!$AS655</f>
        <v/>
      </c>
      <c r="K655">
        <f>Weekly_Inspections!$AU655</f>
        <v/>
      </c>
      <c r="L655" s="47">
        <f>Weekly_Inspections!$AV655</f>
        <v/>
      </c>
      <c r="M655">
        <f>IF($B655="","",IF($N655&lt;&gt;"","Closed",IF(OR($G655&lt;&gt;"",$I655&lt;&gt;"",$J655&lt;&gt;""),"Open","")))</f>
        <v/>
      </c>
      <c r="N655" s="47" t="n"/>
      <c r="O655">
        <f>IF($B655="","",IF($M655="Closed",IF($N655="","",$N655-$B655),TODAY()-$B655))</f>
        <v/>
      </c>
      <c r="P655">
        <f>IF(OR($B655="",$L655="",$M655="Closed"),"",IF(TODAY()&gt;$L655,"YES","NO"))</f>
        <v/>
      </c>
      <c r="Q655">
        <f>Weekly_Inspections!$AW655</f>
        <v/>
      </c>
    </row>
    <row r="656" ht="15" customHeight="1" s="45">
      <c r="A656">
        <f>IF(Weekly_Inspections!$B656="","",Weekly_Inspections!$A656&amp;"-A1")</f>
        <v/>
      </c>
      <c r="B656" s="47">
        <f>Weekly_Inspections!$B656</f>
        <v/>
      </c>
      <c r="C656">
        <f>Weekly_Inspections!$E656</f>
        <v/>
      </c>
      <c r="D656">
        <f>Weekly_Inspections!$F656</f>
        <v/>
      </c>
      <c r="E656">
        <f>Weekly_Inspections!$H656</f>
        <v/>
      </c>
      <c r="F656">
        <f>IF(Weekly_Inspections!$AX656&lt;&gt;"",Weekly_Inspections!$AX656,IF(Weekly_Inspections!$AY656&lt;&gt;"",Weekly_Inspections!$AY656,IF(Weekly_Inspections!$AZ656&lt;&gt;"",Weekly_Inspections!$AZ656,IF(Weekly_Inspections!$BA656&lt;&gt;"",Weekly_Inspections!$BA656,IF(Weekly_Inspections!$BB656&lt;&gt;"",Weekly_Inspections!$BB656,Weekly_Inspections!$R656)))))</f>
        <v/>
      </c>
      <c r="G656">
        <f>IF(OR(Weekly_Inspections!$AQ656&lt;&gt;"",Weekly_Inspections!$AR656&lt;&gt;"",Weekly_Inspections!$AS656&lt;&gt;""),Weekly_Inspections!$AQ656,"")</f>
        <v/>
      </c>
      <c r="H656">
        <f>Weekly_Inspections!$AP656</f>
        <v/>
      </c>
      <c r="I656">
        <f>Weekly_Inspections!$AR656</f>
        <v/>
      </c>
      <c r="J656">
        <f>Weekly_Inspections!$AS656</f>
        <v/>
      </c>
      <c r="K656">
        <f>Weekly_Inspections!$AU656</f>
        <v/>
      </c>
      <c r="L656" s="47">
        <f>Weekly_Inspections!$AV656</f>
        <v/>
      </c>
      <c r="M656">
        <f>IF($B656="","",IF($N656&lt;&gt;"","Closed",IF(OR($G656&lt;&gt;"",$I656&lt;&gt;"",$J656&lt;&gt;""),"Open","")))</f>
        <v/>
      </c>
      <c r="N656" s="47" t="n"/>
      <c r="O656">
        <f>IF($B656="","",IF($M656="Closed",IF($N656="","",$N656-$B656),TODAY()-$B656))</f>
        <v/>
      </c>
      <c r="P656">
        <f>IF(OR($B656="",$L656="",$M656="Closed"),"",IF(TODAY()&gt;$L656,"YES","NO"))</f>
        <v/>
      </c>
      <c r="Q656">
        <f>Weekly_Inspections!$AW656</f>
        <v/>
      </c>
    </row>
    <row r="657" ht="15" customHeight="1" s="45">
      <c r="A657">
        <f>IF(Weekly_Inspections!$B657="","",Weekly_Inspections!$A657&amp;"-A1")</f>
        <v/>
      </c>
      <c r="B657" s="47">
        <f>Weekly_Inspections!$B657</f>
        <v/>
      </c>
      <c r="C657">
        <f>Weekly_Inspections!$E657</f>
        <v/>
      </c>
      <c r="D657">
        <f>Weekly_Inspections!$F657</f>
        <v/>
      </c>
      <c r="E657">
        <f>Weekly_Inspections!$H657</f>
        <v/>
      </c>
      <c r="F657">
        <f>IF(Weekly_Inspections!$AX657&lt;&gt;"",Weekly_Inspections!$AX657,IF(Weekly_Inspections!$AY657&lt;&gt;"",Weekly_Inspections!$AY657,IF(Weekly_Inspections!$AZ657&lt;&gt;"",Weekly_Inspections!$AZ657,IF(Weekly_Inspections!$BA657&lt;&gt;"",Weekly_Inspections!$BA657,IF(Weekly_Inspections!$BB657&lt;&gt;"",Weekly_Inspections!$BB657,Weekly_Inspections!$R657)))))</f>
        <v/>
      </c>
      <c r="G657">
        <f>IF(OR(Weekly_Inspections!$AQ657&lt;&gt;"",Weekly_Inspections!$AR657&lt;&gt;"",Weekly_Inspections!$AS657&lt;&gt;""),Weekly_Inspections!$AQ657,"")</f>
        <v/>
      </c>
      <c r="H657">
        <f>Weekly_Inspections!$AP657</f>
        <v/>
      </c>
      <c r="I657">
        <f>Weekly_Inspections!$AR657</f>
        <v/>
      </c>
      <c r="J657">
        <f>Weekly_Inspections!$AS657</f>
        <v/>
      </c>
      <c r="K657">
        <f>Weekly_Inspections!$AU657</f>
        <v/>
      </c>
      <c r="L657" s="47">
        <f>Weekly_Inspections!$AV657</f>
        <v/>
      </c>
      <c r="M657">
        <f>IF($B657="","",IF($N657&lt;&gt;"","Closed",IF(OR($G657&lt;&gt;"",$I657&lt;&gt;"",$J657&lt;&gt;""),"Open","")))</f>
        <v/>
      </c>
      <c r="N657" s="47" t="n"/>
      <c r="O657">
        <f>IF($B657="","",IF($M657="Closed",IF($N657="","",$N657-$B657),TODAY()-$B657))</f>
        <v/>
      </c>
      <c r="P657">
        <f>IF(OR($B657="",$L657="",$M657="Closed"),"",IF(TODAY()&gt;$L657,"YES","NO"))</f>
        <v/>
      </c>
      <c r="Q657">
        <f>Weekly_Inspections!$AW657</f>
        <v/>
      </c>
    </row>
    <row r="658" ht="15" customHeight="1" s="45">
      <c r="A658">
        <f>IF(Weekly_Inspections!$B658="","",Weekly_Inspections!$A658&amp;"-A1")</f>
        <v/>
      </c>
      <c r="B658" s="47">
        <f>Weekly_Inspections!$B658</f>
        <v/>
      </c>
      <c r="C658">
        <f>Weekly_Inspections!$E658</f>
        <v/>
      </c>
      <c r="D658">
        <f>Weekly_Inspections!$F658</f>
        <v/>
      </c>
      <c r="E658">
        <f>Weekly_Inspections!$H658</f>
        <v/>
      </c>
      <c r="F658">
        <f>IF(Weekly_Inspections!$AX658&lt;&gt;"",Weekly_Inspections!$AX658,IF(Weekly_Inspections!$AY658&lt;&gt;"",Weekly_Inspections!$AY658,IF(Weekly_Inspections!$AZ658&lt;&gt;"",Weekly_Inspections!$AZ658,IF(Weekly_Inspections!$BA658&lt;&gt;"",Weekly_Inspections!$BA658,IF(Weekly_Inspections!$BB658&lt;&gt;"",Weekly_Inspections!$BB658,Weekly_Inspections!$R658)))))</f>
        <v/>
      </c>
      <c r="G658">
        <f>IF(OR(Weekly_Inspections!$AQ658&lt;&gt;"",Weekly_Inspections!$AR658&lt;&gt;"",Weekly_Inspections!$AS658&lt;&gt;""),Weekly_Inspections!$AQ658,"")</f>
        <v/>
      </c>
      <c r="H658">
        <f>Weekly_Inspections!$AP658</f>
        <v/>
      </c>
      <c r="I658">
        <f>Weekly_Inspections!$AR658</f>
        <v/>
      </c>
      <c r="J658">
        <f>Weekly_Inspections!$AS658</f>
        <v/>
      </c>
      <c r="K658">
        <f>Weekly_Inspections!$AU658</f>
        <v/>
      </c>
      <c r="L658" s="47">
        <f>Weekly_Inspections!$AV658</f>
        <v/>
      </c>
      <c r="M658">
        <f>IF($B658="","",IF($N658&lt;&gt;"","Closed",IF(OR($G658&lt;&gt;"",$I658&lt;&gt;"",$J658&lt;&gt;""),"Open","")))</f>
        <v/>
      </c>
      <c r="N658" s="47" t="n"/>
      <c r="O658">
        <f>IF($B658="","",IF($M658="Closed",IF($N658="","",$N658-$B658),TODAY()-$B658))</f>
        <v/>
      </c>
      <c r="P658">
        <f>IF(OR($B658="",$L658="",$M658="Closed"),"",IF(TODAY()&gt;$L658,"YES","NO"))</f>
        <v/>
      </c>
      <c r="Q658">
        <f>Weekly_Inspections!$AW658</f>
        <v/>
      </c>
    </row>
    <row r="659" ht="15" customHeight="1" s="45">
      <c r="A659">
        <f>IF(Weekly_Inspections!$B659="","",Weekly_Inspections!$A659&amp;"-A1")</f>
        <v/>
      </c>
      <c r="B659" s="47">
        <f>Weekly_Inspections!$B659</f>
        <v/>
      </c>
      <c r="C659">
        <f>Weekly_Inspections!$E659</f>
        <v/>
      </c>
      <c r="D659">
        <f>Weekly_Inspections!$F659</f>
        <v/>
      </c>
      <c r="E659">
        <f>Weekly_Inspections!$H659</f>
        <v/>
      </c>
      <c r="F659">
        <f>IF(Weekly_Inspections!$AX659&lt;&gt;"",Weekly_Inspections!$AX659,IF(Weekly_Inspections!$AY659&lt;&gt;"",Weekly_Inspections!$AY659,IF(Weekly_Inspections!$AZ659&lt;&gt;"",Weekly_Inspections!$AZ659,IF(Weekly_Inspections!$BA659&lt;&gt;"",Weekly_Inspections!$BA659,IF(Weekly_Inspections!$BB659&lt;&gt;"",Weekly_Inspections!$BB659,Weekly_Inspections!$R659)))))</f>
        <v/>
      </c>
      <c r="G659">
        <f>IF(OR(Weekly_Inspections!$AQ659&lt;&gt;"",Weekly_Inspections!$AR659&lt;&gt;"",Weekly_Inspections!$AS659&lt;&gt;""),Weekly_Inspections!$AQ659,"")</f>
        <v/>
      </c>
      <c r="H659">
        <f>Weekly_Inspections!$AP659</f>
        <v/>
      </c>
      <c r="I659">
        <f>Weekly_Inspections!$AR659</f>
        <v/>
      </c>
      <c r="J659">
        <f>Weekly_Inspections!$AS659</f>
        <v/>
      </c>
      <c r="K659">
        <f>Weekly_Inspections!$AU659</f>
        <v/>
      </c>
      <c r="L659" s="47">
        <f>Weekly_Inspections!$AV659</f>
        <v/>
      </c>
      <c r="M659">
        <f>IF($B659="","",IF($N659&lt;&gt;"","Closed",IF(OR($G659&lt;&gt;"",$I659&lt;&gt;"",$J659&lt;&gt;""),"Open","")))</f>
        <v/>
      </c>
      <c r="N659" s="47" t="n"/>
      <c r="O659">
        <f>IF($B659="","",IF($M659="Closed",IF($N659="","",$N659-$B659),TODAY()-$B659))</f>
        <v/>
      </c>
      <c r="P659">
        <f>IF(OR($B659="",$L659="",$M659="Closed"),"",IF(TODAY()&gt;$L659,"YES","NO"))</f>
        <v/>
      </c>
      <c r="Q659">
        <f>Weekly_Inspections!$AW659</f>
        <v/>
      </c>
    </row>
    <row r="660" ht="15" customHeight="1" s="45">
      <c r="A660">
        <f>IF(Weekly_Inspections!$B660="","",Weekly_Inspections!$A660&amp;"-A1")</f>
        <v/>
      </c>
      <c r="B660" s="47">
        <f>Weekly_Inspections!$B660</f>
        <v/>
      </c>
      <c r="C660">
        <f>Weekly_Inspections!$E660</f>
        <v/>
      </c>
      <c r="D660">
        <f>Weekly_Inspections!$F660</f>
        <v/>
      </c>
      <c r="E660">
        <f>Weekly_Inspections!$H660</f>
        <v/>
      </c>
      <c r="F660">
        <f>IF(Weekly_Inspections!$AX660&lt;&gt;"",Weekly_Inspections!$AX660,IF(Weekly_Inspections!$AY660&lt;&gt;"",Weekly_Inspections!$AY660,IF(Weekly_Inspections!$AZ660&lt;&gt;"",Weekly_Inspections!$AZ660,IF(Weekly_Inspections!$BA660&lt;&gt;"",Weekly_Inspections!$BA660,IF(Weekly_Inspections!$BB660&lt;&gt;"",Weekly_Inspections!$BB660,Weekly_Inspections!$R660)))))</f>
        <v/>
      </c>
      <c r="G660">
        <f>IF(OR(Weekly_Inspections!$AQ660&lt;&gt;"",Weekly_Inspections!$AR660&lt;&gt;"",Weekly_Inspections!$AS660&lt;&gt;""),Weekly_Inspections!$AQ660,"")</f>
        <v/>
      </c>
      <c r="H660">
        <f>Weekly_Inspections!$AP660</f>
        <v/>
      </c>
      <c r="I660">
        <f>Weekly_Inspections!$AR660</f>
        <v/>
      </c>
      <c r="J660">
        <f>Weekly_Inspections!$AS660</f>
        <v/>
      </c>
      <c r="K660">
        <f>Weekly_Inspections!$AU660</f>
        <v/>
      </c>
      <c r="L660" s="47">
        <f>Weekly_Inspections!$AV660</f>
        <v/>
      </c>
      <c r="M660">
        <f>IF($B660="","",IF($N660&lt;&gt;"","Closed",IF(OR($G660&lt;&gt;"",$I660&lt;&gt;"",$J660&lt;&gt;""),"Open","")))</f>
        <v/>
      </c>
      <c r="N660" s="47" t="n"/>
      <c r="O660">
        <f>IF($B660="","",IF($M660="Closed",IF($N660="","",$N660-$B660),TODAY()-$B660))</f>
        <v/>
      </c>
      <c r="P660">
        <f>IF(OR($B660="",$L660="",$M660="Closed"),"",IF(TODAY()&gt;$L660,"YES","NO"))</f>
        <v/>
      </c>
      <c r="Q660">
        <f>Weekly_Inspections!$AW660</f>
        <v/>
      </c>
    </row>
    <row r="661" ht="15" customHeight="1" s="45">
      <c r="A661">
        <f>IF(Weekly_Inspections!$B661="","",Weekly_Inspections!$A661&amp;"-A1")</f>
        <v/>
      </c>
      <c r="B661" s="47">
        <f>Weekly_Inspections!$B661</f>
        <v/>
      </c>
      <c r="C661">
        <f>Weekly_Inspections!$E661</f>
        <v/>
      </c>
      <c r="D661">
        <f>Weekly_Inspections!$F661</f>
        <v/>
      </c>
      <c r="E661">
        <f>Weekly_Inspections!$H661</f>
        <v/>
      </c>
      <c r="F661">
        <f>IF(Weekly_Inspections!$AX661&lt;&gt;"",Weekly_Inspections!$AX661,IF(Weekly_Inspections!$AY661&lt;&gt;"",Weekly_Inspections!$AY661,IF(Weekly_Inspections!$AZ661&lt;&gt;"",Weekly_Inspections!$AZ661,IF(Weekly_Inspections!$BA661&lt;&gt;"",Weekly_Inspections!$BA661,IF(Weekly_Inspections!$BB661&lt;&gt;"",Weekly_Inspections!$BB661,Weekly_Inspections!$R661)))))</f>
        <v/>
      </c>
      <c r="G661">
        <f>IF(OR(Weekly_Inspections!$AQ661&lt;&gt;"",Weekly_Inspections!$AR661&lt;&gt;"",Weekly_Inspections!$AS661&lt;&gt;""),Weekly_Inspections!$AQ661,"")</f>
        <v/>
      </c>
      <c r="H661">
        <f>Weekly_Inspections!$AP661</f>
        <v/>
      </c>
      <c r="I661">
        <f>Weekly_Inspections!$AR661</f>
        <v/>
      </c>
      <c r="J661">
        <f>Weekly_Inspections!$AS661</f>
        <v/>
      </c>
      <c r="K661">
        <f>Weekly_Inspections!$AU661</f>
        <v/>
      </c>
      <c r="L661" s="47">
        <f>Weekly_Inspections!$AV661</f>
        <v/>
      </c>
      <c r="M661">
        <f>IF($B661="","",IF($N661&lt;&gt;"","Closed",IF(OR($G661&lt;&gt;"",$I661&lt;&gt;"",$J661&lt;&gt;""),"Open","")))</f>
        <v/>
      </c>
      <c r="N661" s="47" t="n"/>
      <c r="O661">
        <f>IF($B661="","",IF($M661="Closed",IF($N661="","",$N661-$B661),TODAY()-$B661))</f>
        <v/>
      </c>
      <c r="P661">
        <f>IF(OR($B661="",$L661="",$M661="Closed"),"",IF(TODAY()&gt;$L661,"YES","NO"))</f>
        <v/>
      </c>
      <c r="Q661">
        <f>Weekly_Inspections!$AW661</f>
        <v/>
      </c>
    </row>
    <row r="662" ht="15" customHeight="1" s="45">
      <c r="A662">
        <f>IF(Weekly_Inspections!$B662="","",Weekly_Inspections!$A662&amp;"-A1")</f>
        <v/>
      </c>
      <c r="B662" s="47">
        <f>Weekly_Inspections!$B662</f>
        <v/>
      </c>
      <c r="C662">
        <f>Weekly_Inspections!$E662</f>
        <v/>
      </c>
      <c r="D662">
        <f>Weekly_Inspections!$F662</f>
        <v/>
      </c>
      <c r="E662">
        <f>Weekly_Inspections!$H662</f>
        <v/>
      </c>
      <c r="F662">
        <f>IF(Weekly_Inspections!$AX662&lt;&gt;"",Weekly_Inspections!$AX662,IF(Weekly_Inspections!$AY662&lt;&gt;"",Weekly_Inspections!$AY662,IF(Weekly_Inspections!$AZ662&lt;&gt;"",Weekly_Inspections!$AZ662,IF(Weekly_Inspections!$BA662&lt;&gt;"",Weekly_Inspections!$BA662,IF(Weekly_Inspections!$BB662&lt;&gt;"",Weekly_Inspections!$BB662,Weekly_Inspections!$R662)))))</f>
        <v/>
      </c>
      <c r="G662">
        <f>IF(OR(Weekly_Inspections!$AQ662&lt;&gt;"",Weekly_Inspections!$AR662&lt;&gt;"",Weekly_Inspections!$AS662&lt;&gt;""),Weekly_Inspections!$AQ662,"")</f>
        <v/>
      </c>
      <c r="H662">
        <f>Weekly_Inspections!$AP662</f>
        <v/>
      </c>
      <c r="I662">
        <f>Weekly_Inspections!$AR662</f>
        <v/>
      </c>
      <c r="J662">
        <f>Weekly_Inspections!$AS662</f>
        <v/>
      </c>
      <c r="K662">
        <f>Weekly_Inspections!$AU662</f>
        <v/>
      </c>
      <c r="L662" s="47">
        <f>Weekly_Inspections!$AV662</f>
        <v/>
      </c>
      <c r="M662">
        <f>IF($B662="","",IF($N662&lt;&gt;"","Closed",IF(OR($G662&lt;&gt;"",$I662&lt;&gt;"",$J662&lt;&gt;""),"Open","")))</f>
        <v/>
      </c>
      <c r="N662" s="47" t="n"/>
      <c r="O662">
        <f>IF($B662="","",IF($M662="Closed",IF($N662="","",$N662-$B662),TODAY()-$B662))</f>
        <v/>
      </c>
      <c r="P662">
        <f>IF(OR($B662="",$L662="",$M662="Closed"),"",IF(TODAY()&gt;$L662,"YES","NO"))</f>
        <v/>
      </c>
      <c r="Q662">
        <f>Weekly_Inspections!$AW662</f>
        <v/>
      </c>
    </row>
    <row r="663" ht="15" customHeight="1" s="45">
      <c r="A663">
        <f>IF(Weekly_Inspections!$B663="","",Weekly_Inspections!$A663&amp;"-A1")</f>
        <v/>
      </c>
      <c r="B663" s="47">
        <f>Weekly_Inspections!$B663</f>
        <v/>
      </c>
      <c r="C663">
        <f>Weekly_Inspections!$E663</f>
        <v/>
      </c>
      <c r="D663">
        <f>Weekly_Inspections!$F663</f>
        <v/>
      </c>
      <c r="E663">
        <f>Weekly_Inspections!$H663</f>
        <v/>
      </c>
      <c r="F663">
        <f>IF(Weekly_Inspections!$AX663&lt;&gt;"",Weekly_Inspections!$AX663,IF(Weekly_Inspections!$AY663&lt;&gt;"",Weekly_Inspections!$AY663,IF(Weekly_Inspections!$AZ663&lt;&gt;"",Weekly_Inspections!$AZ663,IF(Weekly_Inspections!$BA663&lt;&gt;"",Weekly_Inspections!$BA663,IF(Weekly_Inspections!$BB663&lt;&gt;"",Weekly_Inspections!$BB663,Weekly_Inspections!$R663)))))</f>
        <v/>
      </c>
      <c r="G663">
        <f>IF(OR(Weekly_Inspections!$AQ663&lt;&gt;"",Weekly_Inspections!$AR663&lt;&gt;"",Weekly_Inspections!$AS663&lt;&gt;""),Weekly_Inspections!$AQ663,"")</f>
        <v/>
      </c>
      <c r="H663">
        <f>Weekly_Inspections!$AP663</f>
        <v/>
      </c>
      <c r="I663">
        <f>Weekly_Inspections!$AR663</f>
        <v/>
      </c>
      <c r="J663">
        <f>Weekly_Inspections!$AS663</f>
        <v/>
      </c>
      <c r="K663">
        <f>Weekly_Inspections!$AU663</f>
        <v/>
      </c>
      <c r="L663" s="47">
        <f>Weekly_Inspections!$AV663</f>
        <v/>
      </c>
      <c r="M663">
        <f>IF($B663="","",IF($N663&lt;&gt;"","Closed",IF(OR($G663&lt;&gt;"",$I663&lt;&gt;"",$J663&lt;&gt;""),"Open","")))</f>
        <v/>
      </c>
      <c r="N663" s="47" t="n"/>
      <c r="O663">
        <f>IF($B663="","",IF($M663="Closed",IF($N663="","",$N663-$B663),TODAY()-$B663))</f>
        <v/>
      </c>
      <c r="P663">
        <f>IF(OR($B663="",$L663="",$M663="Closed"),"",IF(TODAY()&gt;$L663,"YES","NO"))</f>
        <v/>
      </c>
      <c r="Q663">
        <f>Weekly_Inspections!$AW663</f>
        <v/>
      </c>
    </row>
    <row r="664" ht="15" customHeight="1" s="45">
      <c r="A664">
        <f>IF(Weekly_Inspections!$B664="","",Weekly_Inspections!$A664&amp;"-A1")</f>
        <v/>
      </c>
      <c r="B664" s="47">
        <f>Weekly_Inspections!$B664</f>
        <v/>
      </c>
      <c r="C664">
        <f>Weekly_Inspections!$E664</f>
        <v/>
      </c>
      <c r="D664">
        <f>Weekly_Inspections!$F664</f>
        <v/>
      </c>
      <c r="E664">
        <f>Weekly_Inspections!$H664</f>
        <v/>
      </c>
      <c r="F664">
        <f>IF(Weekly_Inspections!$AX664&lt;&gt;"",Weekly_Inspections!$AX664,IF(Weekly_Inspections!$AY664&lt;&gt;"",Weekly_Inspections!$AY664,IF(Weekly_Inspections!$AZ664&lt;&gt;"",Weekly_Inspections!$AZ664,IF(Weekly_Inspections!$BA664&lt;&gt;"",Weekly_Inspections!$BA664,IF(Weekly_Inspections!$BB664&lt;&gt;"",Weekly_Inspections!$BB664,Weekly_Inspections!$R664)))))</f>
        <v/>
      </c>
      <c r="G664">
        <f>IF(OR(Weekly_Inspections!$AQ664&lt;&gt;"",Weekly_Inspections!$AR664&lt;&gt;"",Weekly_Inspections!$AS664&lt;&gt;""),Weekly_Inspections!$AQ664,"")</f>
        <v/>
      </c>
      <c r="H664">
        <f>Weekly_Inspections!$AP664</f>
        <v/>
      </c>
      <c r="I664">
        <f>Weekly_Inspections!$AR664</f>
        <v/>
      </c>
      <c r="J664">
        <f>Weekly_Inspections!$AS664</f>
        <v/>
      </c>
      <c r="K664">
        <f>Weekly_Inspections!$AU664</f>
        <v/>
      </c>
      <c r="L664" s="47">
        <f>Weekly_Inspections!$AV664</f>
        <v/>
      </c>
      <c r="M664">
        <f>IF($B664="","",IF($N664&lt;&gt;"","Closed",IF(OR($G664&lt;&gt;"",$I664&lt;&gt;"",$J664&lt;&gt;""),"Open","")))</f>
        <v/>
      </c>
      <c r="N664" s="47" t="n"/>
      <c r="O664">
        <f>IF($B664="","",IF($M664="Closed",IF($N664="","",$N664-$B664),TODAY()-$B664))</f>
        <v/>
      </c>
      <c r="P664">
        <f>IF(OR($B664="",$L664="",$M664="Closed"),"",IF(TODAY()&gt;$L664,"YES","NO"))</f>
        <v/>
      </c>
      <c r="Q664">
        <f>Weekly_Inspections!$AW664</f>
        <v/>
      </c>
    </row>
    <row r="665" ht="15" customHeight="1" s="45">
      <c r="A665">
        <f>IF(Weekly_Inspections!$B665="","",Weekly_Inspections!$A665&amp;"-A1")</f>
        <v/>
      </c>
      <c r="B665" s="47">
        <f>Weekly_Inspections!$B665</f>
        <v/>
      </c>
      <c r="C665">
        <f>Weekly_Inspections!$E665</f>
        <v/>
      </c>
      <c r="D665">
        <f>Weekly_Inspections!$F665</f>
        <v/>
      </c>
      <c r="E665">
        <f>Weekly_Inspections!$H665</f>
        <v/>
      </c>
      <c r="F665">
        <f>IF(Weekly_Inspections!$AX665&lt;&gt;"",Weekly_Inspections!$AX665,IF(Weekly_Inspections!$AY665&lt;&gt;"",Weekly_Inspections!$AY665,IF(Weekly_Inspections!$AZ665&lt;&gt;"",Weekly_Inspections!$AZ665,IF(Weekly_Inspections!$BA665&lt;&gt;"",Weekly_Inspections!$BA665,IF(Weekly_Inspections!$BB665&lt;&gt;"",Weekly_Inspections!$BB665,Weekly_Inspections!$R665)))))</f>
        <v/>
      </c>
      <c r="G665">
        <f>IF(OR(Weekly_Inspections!$AQ665&lt;&gt;"",Weekly_Inspections!$AR665&lt;&gt;"",Weekly_Inspections!$AS665&lt;&gt;""),Weekly_Inspections!$AQ665,"")</f>
        <v/>
      </c>
      <c r="H665">
        <f>Weekly_Inspections!$AP665</f>
        <v/>
      </c>
      <c r="I665">
        <f>Weekly_Inspections!$AR665</f>
        <v/>
      </c>
      <c r="J665">
        <f>Weekly_Inspections!$AS665</f>
        <v/>
      </c>
      <c r="K665">
        <f>Weekly_Inspections!$AU665</f>
        <v/>
      </c>
      <c r="L665" s="47">
        <f>Weekly_Inspections!$AV665</f>
        <v/>
      </c>
      <c r="M665">
        <f>IF($B665="","",IF($N665&lt;&gt;"","Closed",IF(OR($G665&lt;&gt;"",$I665&lt;&gt;"",$J665&lt;&gt;""),"Open","")))</f>
        <v/>
      </c>
      <c r="N665" s="47" t="n"/>
      <c r="O665">
        <f>IF($B665="","",IF($M665="Closed",IF($N665="","",$N665-$B665),TODAY()-$B665))</f>
        <v/>
      </c>
      <c r="P665">
        <f>IF(OR($B665="",$L665="",$M665="Closed"),"",IF(TODAY()&gt;$L665,"YES","NO"))</f>
        <v/>
      </c>
      <c r="Q665">
        <f>Weekly_Inspections!$AW665</f>
        <v/>
      </c>
    </row>
    <row r="666" ht="15" customHeight="1" s="45">
      <c r="A666">
        <f>IF(Weekly_Inspections!$B666="","",Weekly_Inspections!$A666&amp;"-A1")</f>
        <v/>
      </c>
      <c r="B666" s="47">
        <f>Weekly_Inspections!$B666</f>
        <v/>
      </c>
      <c r="C666">
        <f>Weekly_Inspections!$E666</f>
        <v/>
      </c>
      <c r="D666">
        <f>Weekly_Inspections!$F666</f>
        <v/>
      </c>
      <c r="E666">
        <f>Weekly_Inspections!$H666</f>
        <v/>
      </c>
      <c r="F666">
        <f>IF(Weekly_Inspections!$AX666&lt;&gt;"",Weekly_Inspections!$AX666,IF(Weekly_Inspections!$AY666&lt;&gt;"",Weekly_Inspections!$AY666,IF(Weekly_Inspections!$AZ666&lt;&gt;"",Weekly_Inspections!$AZ666,IF(Weekly_Inspections!$BA666&lt;&gt;"",Weekly_Inspections!$BA666,IF(Weekly_Inspections!$BB666&lt;&gt;"",Weekly_Inspections!$BB666,Weekly_Inspections!$R666)))))</f>
        <v/>
      </c>
      <c r="G666">
        <f>IF(OR(Weekly_Inspections!$AQ666&lt;&gt;"",Weekly_Inspections!$AR666&lt;&gt;"",Weekly_Inspections!$AS666&lt;&gt;""),Weekly_Inspections!$AQ666,"")</f>
        <v/>
      </c>
      <c r="H666">
        <f>Weekly_Inspections!$AP666</f>
        <v/>
      </c>
      <c r="I666">
        <f>Weekly_Inspections!$AR666</f>
        <v/>
      </c>
      <c r="J666">
        <f>Weekly_Inspections!$AS666</f>
        <v/>
      </c>
      <c r="K666">
        <f>Weekly_Inspections!$AU666</f>
        <v/>
      </c>
      <c r="L666" s="47">
        <f>Weekly_Inspections!$AV666</f>
        <v/>
      </c>
      <c r="M666">
        <f>IF($B666="","",IF($N666&lt;&gt;"","Closed",IF(OR($G666&lt;&gt;"",$I666&lt;&gt;"",$J666&lt;&gt;""),"Open","")))</f>
        <v/>
      </c>
      <c r="N666" s="47" t="n"/>
      <c r="O666">
        <f>IF($B666="","",IF($M666="Closed",IF($N666="","",$N666-$B666),TODAY()-$B666))</f>
        <v/>
      </c>
      <c r="P666">
        <f>IF(OR($B666="",$L666="",$M666="Closed"),"",IF(TODAY()&gt;$L666,"YES","NO"))</f>
        <v/>
      </c>
      <c r="Q666">
        <f>Weekly_Inspections!$AW666</f>
        <v/>
      </c>
    </row>
    <row r="667" ht="15" customHeight="1" s="45">
      <c r="A667">
        <f>IF(Weekly_Inspections!$B667="","",Weekly_Inspections!$A667&amp;"-A1")</f>
        <v/>
      </c>
      <c r="B667" s="47">
        <f>Weekly_Inspections!$B667</f>
        <v/>
      </c>
      <c r="C667">
        <f>Weekly_Inspections!$E667</f>
        <v/>
      </c>
      <c r="D667">
        <f>Weekly_Inspections!$F667</f>
        <v/>
      </c>
      <c r="E667">
        <f>Weekly_Inspections!$H667</f>
        <v/>
      </c>
      <c r="F667">
        <f>IF(Weekly_Inspections!$AX667&lt;&gt;"",Weekly_Inspections!$AX667,IF(Weekly_Inspections!$AY667&lt;&gt;"",Weekly_Inspections!$AY667,IF(Weekly_Inspections!$AZ667&lt;&gt;"",Weekly_Inspections!$AZ667,IF(Weekly_Inspections!$BA667&lt;&gt;"",Weekly_Inspections!$BA667,IF(Weekly_Inspections!$BB667&lt;&gt;"",Weekly_Inspections!$BB667,Weekly_Inspections!$R667)))))</f>
        <v/>
      </c>
      <c r="G667">
        <f>IF(OR(Weekly_Inspections!$AQ667&lt;&gt;"",Weekly_Inspections!$AR667&lt;&gt;"",Weekly_Inspections!$AS667&lt;&gt;""),Weekly_Inspections!$AQ667,"")</f>
        <v/>
      </c>
      <c r="H667">
        <f>Weekly_Inspections!$AP667</f>
        <v/>
      </c>
      <c r="I667">
        <f>Weekly_Inspections!$AR667</f>
        <v/>
      </c>
      <c r="J667">
        <f>Weekly_Inspections!$AS667</f>
        <v/>
      </c>
      <c r="K667">
        <f>Weekly_Inspections!$AU667</f>
        <v/>
      </c>
      <c r="L667" s="47">
        <f>Weekly_Inspections!$AV667</f>
        <v/>
      </c>
      <c r="M667">
        <f>IF($B667="","",IF($N667&lt;&gt;"","Closed",IF(OR($G667&lt;&gt;"",$I667&lt;&gt;"",$J667&lt;&gt;""),"Open","")))</f>
        <v/>
      </c>
      <c r="N667" s="47" t="n"/>
      <c r="O667">
        <f>IF($B667="","",IF($M667="Closed",IF($N667="","",$N667-$B667),TODAY()-$B667))</f>
        <v/>
      </c>
      <c r="P667">
        <f>IF(OR($B667="",$L667="",$M667="Closed"),"",IF(TODAY()&gt;$L667,"YES","NO"))</f>
        <v/>
      </c>
      <c r="Q667">
        <f>Weekly_Inspections!$AW667</f>
        <v/>
      </c>
    </row>
    <row r="668" ht="15" customHeight="1" s="45">
      <c r="A668">
        <f>IF(Weekly_Inspections!$B668="","",Weekly_Inspections!$A668&amp;"-A1")</f>
        <v/>
      </c>
      <c r="B668" s="47">
        <f>Weekly_Inspections!$B668</f>
        <v/>
      </c>
      <c r="C668">
        <f>Weekly_Inspections!$E668</f>
        <v/>
      </c>
      <c r="D668">
        <f>Weekly_Inspections!$F668</f>
        <v/>
      </c>
      <c r="E668">
        <f>Weekly_Inspections!$H668</f>
        <v/>
      </c>
      <c r="F668">
        <f>IF(Weekly_Inspections!$AX668&lt;&gt;"",Weekly_Inspections!$AX668,IF(Weekly_Inspections!$AY668&lt;&gt;"",Weekly_Inspections!$AY668,IF(Weekly_Inspections!$AZ668&lt;&gt;"",Weekly_Inspections!$AZ668,IF(Weekly_Inspections!$BA668&lt;&gt;"",Weekly_Inspections!$BA668,IF(Weekly_Inspections!$BB668&lt;&gt;"",Weekly_Inspections!$BB668,Weekly_Inspections!$R668)))))</f>
        <v/>
      </c>
      <c r="G668">
        <f>IF(OR(Weekly_Inspections!$AQ668&lt;&gt;"",Weekly_Inspections!$AR668&lt;&gt;"",Weekly_Inspections!$AS668&lt;&gt;""),Weekly_Inspections!$AQ668,"")</f>
        <v/>
      </c>
      <c r="H668">
        <f>Weekly_Inspections!$AP668</f>
        <v/>
      </c>
      <c r="I668">
        <f>Weekly_Inspections!$AR668</f>
        <v/>
      </c>
      <c r="J668">
        <f>Weekly_Inspections!$AS668</f>
        <v/>
      </c>
      <c r="K668">
        <f>Weekly_Inspections!$AU668</f>
        <v/>
      </c>
      <c r="L668" s="47">
        <f>Weekly_Inspections!$AV668</f>
        <v/>
      </c>
      <c r="M668">
        <f>IF($B668="","",IF($N668&lt;&gt;"","Closed",IF(OR($G668&lt;&gt;"",$I668&lt;&gt;"",$J668&lt;&gt;""),"Open","")))</f>
        <v/>
      </c>
      <c r="N668" s="47" t="n"/>
      <c r="O668">
        <f>IF($B668="","",IF($M668="Closed",IF($N668="","",$N668-$B668),TODAY()-$B668))</f>
        <v/>
      </c>
      <c r="P668">
        <f>IF(OR($B668="",$L668="",$M668="Closed"),"",IF(TODAY()&gt;$L668,"YES","NO"))</f>
        <v/>
      </c>
      <c r="Q668">
        <f>Weekly_Inspections!$AW668</f>
        <v/>
      </c>
    </row>
    <row r="669" ht="15" customHeight="1" s="45">
      <c r="A669">
        <f>IF(Weekly_Inspections!$B669="","",Weekly_Inspections!$A669&amp;"-A1")</f>
        <v/>
      </c>
      <c r="B669" s="47">
        <f>Weekly_Inspections!$B669</f>
        <v/>
      </c>
      <c r="C669">
        <f>Weekly_Inspections!$E669</f>
        <v/>
      </c>
      <c r="D669">
        <f>Weekly_Inspections!$F669</f>
        <v/>
      </c>
      <c r="E669">
        <f>Weekly_Inspections!$H669</f>
        <v/>
      </c>
      <c r="F669">
        <f>IF(Weekly_Inspections!$AX669&lt;&gt;"",Weekly_Inspections!$AX669,IF(Weekly_Inspections!$AY669&lt;&gt;"",Weekly_Inspections!$AY669,IF(Weekly_Inspections!$AZ669&lt;&gt;"",Weekly_Inspections!$AZ669,IF(Weekly_Inspections!$BA669&lt;&gt;"",Weekly_Inspections!$BA669,IF(Weekly_Inspections!$BB669&lt;&gt;"",Weekly_Inspections!$BB669,Weekly_Inspections!$R669)))))</f>
        <v/>
      </c>
      <c r="G669">
        <f>IF(OR(Weekly_Inspections!$AQ669&lt;&gt;"",Weekly_Inspections!$AR669&lt;&gt;"",Weekly_Inspections!$AS669&lt;&gt;""),Weekly_Inspections!$AQ669,"")</f>
        <v/>
      </c>
      <c r="H669">
        <f>Weekly_Inspections!$AP669</f>
        <v/>
      </c>
      <c r="I669">
        <f>Weekly_Inspections!$AR669</f>
        <v/>
      </c>
      <c r="J669">
        <f>Weekly_Inspections!$AS669</f>
        <v/>
      </c>
      <c r="K669">
        <f>Weekly_Inspections!$AU669</f>
        <v/>
      </c>
      <c r="L669" s="47">
        <f>Weekly_Inspections!$AV669</f>
        <v/>
      </c>
      <c r="M669">
        <f>IF($B669="","",IF($N669&lt;&gt;"","Closed",IF(OR($G669&lt;&gt;"",$I669&lt;&gt;"",$J669&lt;&gt;""),"Open","")))</f>
        <v/>
      </c>
      <c r="N669" s="47" t="n"/>
      <c r="O669">
        <f>IF($B669="","",IF($M669="Closed",IF($N669="","",$N669-$B669),TODAY()-$B669))</f>
        <v/>
      </c>
      <c r="P669">
        <f>IF(OR($B669="",$L669="",$M669="Closed"),"",IF(TODAY()&gt;$L669,"YES","NO"))</f>
        <v/>
      </c>
      <c r="Q669">
        <f>Weekly_Inspections!$AW669</f>
        <v/>
      </c>
    </row>
    <row r="670" ht="15" customHeight="1" s="45">
      <c r="A670">
        <f>IF(Weekly_Inspections!$B670="","",Weekly_Inspections!$A670&amp;"-A1")</f>
        <v/>
      </c>
      <c r="B670" s="47">
        <f>Weekly_Inspections!$B670</f>
        <v/>
      </c>
      <c r="C670">
        <f>Weekly_Inspections!$E670</f>
        <v/>
      </c>
      <c r="D670">
        <f>Weekly_Inspections!$F670</f>
        <v/>
      </c>
      <c r="E670">
        <f>Weekly_Inspections!$H670</f>
        <v/>
      </c>
      <c r="F670">
        <f>IF(Weekly_Inspections!$AX670&lt;&gt;"",Weekly_Inspections!$AX670,IF(Weekly_Inspections!$AY670&lt;&gt;"",Weekly_Inspections!$AY670,IF(Weekly_Inspections!$AZ670&lt;&gt;"",Weekly_Inspections!$AZ670,IF(Weekly_Inspections!$BA670&lt;&gt;"",Weekly_Inspections!$BA670,IF(Weekly_Inspections!$BB670&lt;&gt;"",Weekly_Inspections!$BB670,Weekly_Inspections!$R670)))))</f>
        <v/>
      </c>
      <c r="G670">
        <f>IF(OR(Weekly_Inspections!$AQ670&lt;&gt;"",Weekly_Inspections!$AR670&lt;&gt;"",Weekly_Inspections!$AS670&lt;&gt;""),Weekly_Inspections!$AQ670,"")</f>
        <v/>
      </c>
      <c r="H670">
        <f>Weekly_Inspections!$AP670</f>
        <v/>
      </c>
      <c r="I670">
        <f>Weekly_Inspections!$AR670</f>
        <v/>
      </c>
      <c r="J670">
        <f>Weekly_Inspections!$AS670</f>
        <v/>
      </c>
      <c r="K670">
        <f>Weekly_Inspections!$AU670</f>
        <v/>
      </c>
      <c r="L670" s="47">
        <f>Weekly_Inspections!$AV670</f>
        <v/>
      </c>
      <c r="M670">
        <f>IF($B670="","",IF($N670&lt;&gt;"","Closed",IF(OR($G670&lt;&gt;"",$I670&lt;&gt;"",$J670&lt;&gt;""),"Open","")))</f>
        <v/>
      </c>
      <c r="N670" s="47" t="n"/>
      <c r="O670">
        <f>IF($B670="","",IF($M670="Closed",IF($N670="","",$N670-$B670),TODAY()-$B670))</f>
        <v/>
      </c>
      <c r="P670">
        <f>IF(OR($B670="",$L670="",$M670="Closed"),"",IF(TODAY()&gt;$L670,"YES","NO"))</f>
        <v/>
      </c>
      <c r="Q670">
        <f>Weekly_Inspections!$AW670</f>
        <v/>
      </c>
    </row>
    <row r="671" ht="15" customHeight="1" s="45">
      <c r="A671">
        <f>IF(Weekly_Inspections!$B671="","",Weekly_Inspections!$A671&amp;"-A1")</f>
        <v/>
      </c>
      <c r="B671" s="47">
        <f>Weekly_Inspections!$B671</f>
        <v/>
      </c>
      <c r="C671">
        <f>Weekly_Inspections!$E671</f>
        <v/>
      </c>
      <c r="D671">
        <f>Weekly_Inspections!$F671</f>
        <v/>
      </c>
      <c r="E671">
        <f>Weekly_Inspections!$H671</f>
        <v/>
      </c>
      <c r="F671">
        <f>IF(Weekly_Inspections!$AX671&lt;&gt;"",Weekly_Inspections!$AX671,IF(Weekly_Inspections!$AY671&lt;&gt;"",Weekly_Inspections!$AY671,IF(Weekly_Inspections!$AZ671&lt;&gt;"",Weekly_Inspections!$AZ671,IF(Weekly_Inspections!$BA671&lt;&gt;"",Weekly_Inspections!$BA671,IF(Weekly_Inspections!$BB671&lt;&gt;"",Weekly_Inspections!$BB671,Weekly_Inspections!$R671)))))</f>
        <v/>
      </c>
      <c r="G671">
        <f>IF(OR(Weekly_Inspections!$AQ671&lt;&gt;"",Weekly_Inspections!$AR671&lt;&gt;"",Weekly_Inspections!$AS671&lt;&gt;""),Weekly_Inspections!$AQ671,"")</f>
        <v/>
      </c>
      <c r="H671">
        <f>Weekly_Inspections!$AP671</f>
        <v/>
      </c>
      <c r="I671">
        <f>Weekly_Inspections!$AR671</f>
        <v/>
      </c>
      <c r="J671">
        <f>Weekly_Inspections!$AS671</f>
        <v/>
      </c>
      <c r="K671">
        <f>Weekly_Inspections!$AU671</f>
        <v/>
      </c>
      <c r="L671" s="47">
        <f>Weekly_Inspections!$AV671</f>
        <v/>
      </c>
      <c r="M671">
        <f>IF($B671="","",IF($N671&lt;&gt;"","Closed",IF(OR($G671&lt;&gt;"",$I671&lt;&gt;"",$J671&lt;&gt;""),"Open","")))</f>
        <v/>
      </c>
      <c r="N671" s="47" t="n"/>
      <c r="O671">
        <f>IF($B671="","",IF($M671="Closed",IF($N671="","",$N671-$B671),TODAY()-$B671))</f>
        <v/>
      </c>
      <c r="P671">
        <f>IF(OR($B671="",$L671="",$M671="Closed"),"",IF(TODAY()&gt;$L671,"YES","NO"))</f>
        <v/>
      </c>
      <c r="Q671">
        <f>Weekly_Inspections!$AW671</f>
        <v/>
      </c>
    </row>
    <row r="672" ht="15" customHeight="1" s="45">
      <c r="A672">
        <f>IF(Weekly_Inspections!$B672="","",Weekly_Inspections!$A672&amp;"-A1")</f>
        <v/>
      </c>
      <c r="B672" s="47">
        <f>Weekly_Inspections!$B672</f>
        <v/>
      </c>
      <c r="C672">
        <f>Weekly_Inspections!$E672</f>
        <v/>
      </c>
      <c r="D672">
        <f>Weekly_Inspections!$F672</f>
        <v/>
      </c>
      <c r="E672">
        <f>Weekly_Inspections!$H672</f>
        <v/>
      </c>
      <c r="F672">
        <f>IF(Weekly_Inspections!$AX672&lt;&gt;"",Weekly_Inspections!$AX672,IF(Weekly_Inspections!$AY672&lt;&gt;"",Weekly_Inspections!$AY672,IF(Weekly_Inspections!$AZ672&lt;&gt;"",Weekly_Inspections!$AZ672,IF(Weekly_Inspections!$BA672&lt;&gt;"",Weekly_Inspections!$BA672,IF(Weekly_Inspections!$BB672&lt;&gt;"",Weekly_Inspections!$BB672,Weekly_Inspections!$R672)))))</f>
        <v/>
      </c>
      <c r="G672">
        <f>IF(OR(Weekly_Inspections!$AQ672&lt;&gt;"",Weekly_Inspections!$AR672&lt;&gt;"",Weekly_Inspections!$AS672&lt;&gt;""),Weekly_Inspections!$AQ672,"")</f>
        <v/>
      </c>
      <c r="H672">
        <f>Weekly_Inspections!$AP672</f>
        <v/>
      </c>
      <c r="I672">
        <f>Weekly_Inspections!$AR672</f>
        <v/>
      </c>
      <c r="J672">
        <f>Weekly_Inspections!$AS672</f>
        <v/>
      </c>
      <c r="K672">
        <f>Weekly_Inspections!$AU672</f>
        <v/>
      </c>
      <c r="L672" s="47">
        <f>Weekly_Inspections!$AV672</f>
        <v/>
      </c>
      <c r="M672">
        <f>IF($B672="","",IF($N672&lt;&gt;"","Closed",IF(OR($G672&lt;&gt;"",$I672&lt;&gt;"",$J672&lt;&gt;""),"Open","")))</f>
        <v/>
      </c>
      <c r="N672" s="47" t="n"/>
      <c r="O672">
        <f>IF($B672="","",IF($M672="Closed",IF($N672="","",$N672-$B672),TODAY()-$B672))</f>
        <v/>
      </c>
      <c r="P672">
        <f>IF(OR($B672="",$L672="",$M672="Closed"),"",IF(TODAY()&gt;$L672,"YES","NO"))</f>
        <v/>
      </c>
      <c r="Q672">
        <f>Weekly_Inspections!$AW672</f>
        <v/>
      </c>
    </row>
    <row r="673" ht="15" customHeight="1" s="45">
      <c r="A673">
        <f>IF(Weekly_Inspections!$B673="","",Weekly_Inspections!$A673&amp;"-A1")</f>
        <v/>
      </c>
      <c r="B673" s="47">
        <f>Weekly_Inspections!$B673</f>
        <v/>
      </c>
      <c r="C673">
        <f>Weekly_Inspections!$E673</f>
        <v/>
      </c>
      <c r="D673">
        <f>Weekly_Inspections!$F673</f>
        <v/>
      </c>
      <c r="E673">
        <f>Weekly_Inspections!$H673</f>
        <v/>
      </c>
      <c r="F673">
        <f>IF(Weekly_Inspections!$AX673&lt;&gt;"",Weekly_Inspections!$AX673,IF(Weekly_Inspections!$AY673&lt;&gt;"",Weekly_Inspections!$AY673,IF(Weekly_Inspections!$AZ673&lt;&gt;"",Weekly_Inspections!$AZ673,IF(Weekly_Inspections!$BA673&lt;&gt;"",Weekly_Inspections!$BA673,IF(Weekly_Inspections!$BB673&lt;&gt;"",Weekly_Inspections!$BB673,Weekly_Inspections!$R673)))))</f>
        <v/>
      </c>
      <c r="G673">
        <f>IF(OR(Weekly_Inspections!$AQ673&lt;&gt;"",Weekly_Inspections!$AR673&lt;&gt;"",Weekly_Inspections!$AS673&lt;&gt;""),Weekly_Inspections!$AQ673,"")</f>
        <v/>
      </c>
      <c r="H673">
        <f>Weekly_Inspections!$AP673</f>
        <v/>
      </c>
      <c r="I673">
        <f>Weekly_Inspections!$AR673</f>
        <v/>
      </c>
      <c r="J673">
        <f>Weekly_Inspections!$AS673</f>
        <v/>
      </c>
      <c r="K673">
        <f>Weekly_Inspections!$AU673</f>
        <v/>
      </c>
      <c r="L673" s="47">
        <f>Weekly_Inspections!$AV673</f>
        <v/>
      </c>
      <c r="M673">
        <f>IF($B673="","",IF($N673&lt;&gt;"","Closed",IF(OR($G673&lt;&gt;"",$I673&lt;&gt;"",$J673&lt;&gt;""),"Open","")))</f>
        <v/>
      </c>
      <c r="N673" s="47" t="n"/>
      <c r="O673">
        <f>IF($B673="","",IF($M673="Closed",IF($N673="","",$N673-$B673),TODAY()-$B673))</f>
        <v/>
      </c>
      <c r="P673">
        <f>IF(OR($B673="",$L673="",$M673="Closed"),"",IF(TODAY()&gt;$L673,"YES","NO"))</f>
        <v/>
      </c>
      <c r="Q673">
        <f>Weekly_Inspections!$AW673</f>
        <v/>
      </c>
    </row>
    <row r="674" ht="15" customHeight="1" s="45">
      <c r="A674">
        <f>IF(Weekly_Inspections!$B674="","",Weekly_Inspections!$A674&amp;"-A1")</f>
        <v/>
      </c>
      <c r="B674" s="47">
        <f>Weekly_Inspections!$B674</f>
        <v/>
      </c>
      <c r="C674">
        <f>Weekly_Inspections!$E674</f>
        <v/>
      </c>
      <c r="D674">
        <f>Weekly_Inspections!$F674</f>
        <v/>
      </c>
      <c r="E674">
        <f>Weekly_Inspections!$H674</f>
        <v/>
      </c>
      <c r="F674">
        <f>IF(Weekly_Inspections!$AX674&lt;&gt;"",Weekly_Inspections!$AX674,IF(Weekly_Inspections!$AY674&lt;&gt;"",Weekly_Inspections!$AY674,IF(Weekly_Inspections!$AZ674&lt;&gt;"",Weekly_Inspections!$AZ674,IF(Weekly_Inspections!$BA674&lt;&gt;"",Weekly_Inspections!$BA674,IF(Weekly_Inspections!$BB674&lt;&gt;"",Weekly_Inspections!$BB674,Weekly_Inspections!$R674)))))</f>
        <v/>
      </c>
      <c r="G674">
        <f>IF(OR(Weekly_Inspections!$AQ674&lt;&gt;"",Weekly_Inspections!$AR674&lt;&gt;"",Weekly_Inspections!$AS674&lt;&gt;""),Weekly_Inspections!$AQ674,"")</f>
        <v/>
      </c>
      <c r="H674">
        <f>Weekly_Inspections!$AP674</f>
        <v/>
      </c>
      <c r="I674">
        <f>Weekly_Inspections!$AR674</f>
        <v/>
      </c>
      <c r="J674">
        <f>Weekly_Inspections!$AS674</f>
        <v/>
      </c>
      <c r="K674">
        <f>Weekly_Inspections!$AU674</f>
        <v/>
      </c>
      <c r="L674" s="47">
        <f>Weekly_Inspections!$AV674</f>
        <v/>
      </c>
      <c r="M674">
        <f>IF($B674="","",IF($N674&lt;&gt;"","Closed",IF(OR($G674&lt;&gt;"",$I674&lt;&gt;"",$J674&lt;&gt;""),"Open","")))</f>
        <v/>
      </c>
      <c r="N674" s="47" t="n"/>
      <c r="O674">
        <f>IF($B674="","",IF($M674="Closed",IF($N674="","",$N674-$B674),TODAY()-$B674))</f>
        <v/>
      </c>
      <c r="P674">
        <f>IF(OR($B674="",$L674="",$M674="Closed"),"",IF(TODAY()&gt;$L674,"YES","NO"))</f>
        <v/>
      </c>
      <c r="Q674">
        <f>Weekly_Inspections!$AW674</f>
        <v/>
      </c>
    </row>
    <row r="675" ht="15" customHeight="1" s="45">
      <c r="A675">
        <f>IF(Weekly_Inspections!$B675="","",Weekly_Inspections!$A675&amp;"-A1")</f>
        <v/>
      </c>
      <c r="B675" s="47">
        <f>Weekly_Inspections!$B675</f>
        <v/>
      </c>
      <c r="C675">
        <f>Weekly_Inspections!$E675</f>
        <v/>
      </c>
      <c r="D675">
        <f>Weekly_Inspections!$F675</f>
        <v/>
      </c>
      <c r="E675">
        <f>Weekly_Inspections!$H675</f>
        <v/>
      </c>
      <c r="F675">
        <f>IF(Weekly_Inspections!$AX675&lt;&gt;"",Weekly_Inspections!$AX675,IF(Weekly_Inspections!$AY675&lt;&gt;"",Weekly_Inspections!$AY675,IF(Weekly_Inspections!$AZ675&lt;&gt;"",Weekly_Inspections!$AZ675,IF(Weekly_Inspections!$BA675&lt;&gt;"",Weekly_Inspections!$BA675,IF(Weekly_Inspections!$BB675&lt;&gt;"",Weekly_Inspections!$BB675,Weekly_Inspections!$R675)))))</f>
        <v/>
      </c>
      <c r="G675">
        <f>IF(OR(Weekly_Inspections!$AQ675&lt;&gt;"",Weekly_Inspections!$AR675&lt;&gt;"",Weekly_Inspections!$AS675&lt;&gt;""),Weekly_Inspections!$AQ675,"")</f>
        <v/>
      </c>
      <c r="H675">
        <f>Weekly_Inspections!$AP675</f>
        <v/>
      </c>
      <c r="I675">
        <f>Weekly_Inspections!$AR675</f>
        <v/>
      </c>
      <c r="J675">
        <f>Weekly_Inspections!$AS675</f>
        <v/>
      </c>
      <c r="K675">
        <f>Weekly_Inspections!$AU675</f>
        <v/>
      </c>
      <c r="L675" s="47">
        <f>Weekly_Inspections!$AV675</f>
        <v/>
      </c>
      <c r="M675">
        <f>IF($B675="","",IF($N675&lt;&gt;"","Closed",IF(OR($G675&lt;&gt;"",$I675&lt;&gt;"",$J675&lt;&gt;""),"Open","")))</f>
        <v/>
      </c>
      <c r="N675" s="47" t="n"/>
      <c r="O675">
        <f>IF($B675="","",IF($M675="Closed",IF($N675="","",$N675-$B675),TODAY()-$B675))</f>
        <v/>
      </c>
      <c r="P675">
        <f>IF(OR($B675="",$L675="",$M675="Closed"),"",IF(TODAY()&gt;$L675,"YES","NO"))</f>
        <v/>
      </c>
      <c r="Q675">
        <f>Weekly_Inspections!$AW675</f>
        <v/>
      </c>
    </row>
    <row r="676" ht="15" customHeight="1" s="45">
      <c r="A676">
        <f>IF(Weekly_Inspections!$B676="","",Weekly_Inspections!$A676&amp;"-A1")</f>
        <v/>
      </c>
      <c r="B676" s="47">
        <f>Weekly_Inspections!$B676</f>
        <v/>
      </c>
      <c r="C676">
        <f>Weekly_Inspections!$E676</f>
        <v/>
      </c>
      <c r="D676">
        <f>Weekly_Inspections!$F676</f>
        <v/>
      </c>
      <c r="E676">
        <f>Weekly_Inspections!$H676</f>
        <v/>
      </c>
      <c r="F676">
        <f>IF(Weekly_Inspections!$AX676&lt;&gt;"",Weekly_Inspections!$AX676,IF(Weekly_Inspections!$AY676&lt;&gt;"",Weekly_Inspections!$AY676,IF(Weekly_Inspections!$AZ676&lt;&gt;"",Weekly_Inspections!$AZ676,IF(Weekly_Inspections!$BA676&lt;&gt;"",Weekly_Inspections!$BA676,IF(Weekly_Inspections!$BB676&lt;&gt;"",Weekly_Inspections!$BB676,Weekly_Inspections!$R676)))))</f>
        <v/>
      </c>
      <c r="G676">
        <f>IF(OR(Weekly_Inspections!$AQ676&lt;&gt;"",Weekly_Inspections!$AR676&lt;&gt;"",Weekly_Inspections!$AS676&lt;&gt;""),Weekly_Inspections!$AQ676,"")</f>
        <v/>
      </c>
      <c r="H676">
        <f>Weekly_Inspections!$AP676</f>
        <v/>
      </c>
      <c r="I676">
        <f>Weekly_Inspections!$AR676</f>
        <v/>
      </c>
      <c r="J676">
        <f>Weekly_Inspections!$AS676</f>
        <v/>
      </c>
      <c r="K676">
        <f>Weekly_Inspections!$AU676</f>
        <v/>
      </c>
      <c r="L676" s="47">
        <f>Weekly_Inspections!$AV676</f>
        <v/>
      </c>
      <c r="M676">
        <f>IF($B676="","",IF($N676&lt;&gt;"","Closed",IF(OR($G676&lt;&gt;"",$I676&lt;&gt;"",$J676&lt;&gt;""),"Open","")))</f>
        <v/>
      </c>
      <c r="N676" s="47" t="n"/>
      <c r="O676">
        <f>IF($B676="","",IF($M676="Closed",IF($N676="","",$N676-$B676),TODAY()-$B676))</f>
        <v/>
      </c>
      <c r="P676">
        <f>IF(OR($B676="",$L676="",$M676="Closed"),"",IF(TODAY()&gt;$L676,"YES","NO"))</f>
        <v/>
      </c>
      <c r="Q676">
        <f>Weekly_Inspections!$AW676</f>
        <v/>
      </c>
    </row>
    <row r="677" ht="15" customHeight="1" s="45">
      <c r="A677">
        <f>IF(Weekly_Inspections!$B677="","",Weekly_Inspections!$A677&amp;"-A1")</f>
        <v/>
      </c>
      <c r="B677" s="47">
        <f>Weekly_Inspections!$B677</f>
        <v/>
      </c>
      <c r="C677">
        <f>Weekly_Inspections!$E677</f>
        <v/>
      </c>
      <c r="D677">
        <f>Weekly_Inspections!$F677</f>
        <v/>
      </c>
      <c r="E677">
        <f>Weekly_Inspections!$H677</f>
        <v/>
      </c>
      <c r="F677">
        <f>IF(Weekly_Inspections!$AX677&lt;&gt;"",Weekly_Inspections!$AX677,IF(Weekly_Inspections!$AY677&lt;&gt;"",Weekly_Inspections!$AY677,IF(Weekly_Inspections!$AZ677&lt;&gt;"",Weekly_Inspections!$AZ677,IF(Weekly_Inspections!$BA677&lt;&gt;"",Weekly_Inspections!$BA677,IF(Weekly_Inspections!$BB677&lt;&gt;"",Weekly_Inspections!$BB677,Weekly_Inspections!$R677)))))</f>
        <v/>
      </c>
      <c r="G677">
        <f>IF(OR(Weekly_Inspections!$AQ677&lt;&gt;"",Weekly_Inspections!$AR677&lt;&gt;"",Weekly_Inspections!$AS677&lt;&gt;""),Weekly_Inspections!$AQ677,"")</f>
        <v/>
      </c>
      <c r="H677">
        <f>Weekly_Inspections!$AP677</f>
        <v/>
      </c>
      <c r="I677">
        <f>Weekly_Inspections!$AR677</f>
        <v/>
      </c>
      <c r="J677">
        <f>Weekly_Inspections!$AS677</f>
        <v/>
      </c>
      <c r="K677">
        <f>Weekly_Inspections!$AU677</f>
        <v/>
      </c>
      <c r="L677" s="47">
        <f>Weekly_Inspections!$AV677</f>
        <v/>
      </c>
      <c r="M677">
        <f>IF($B677="","",IF($N677&lt;&gt;"","Closed",IF(OR($G677&lt;&gt;"",$I677&lt;&gt;"",$J677&lt;&gt;""),"Open","")))</f>
        <v/>
      </c>
      <c r="N677" s="47" t="n"/>
      <c r="O677">
        <f>IF($B677="","",IF($M677="Closed",IF($N677="","",$N677-$B677),TODAY()-$B677))</f>
        <v/>
      </c>
      <c r="P677">
        <f>IF(OR($B677="",$L677="",$M677="Closed"),"",IF(TODAY()&gt;$L677,"YES","NO"))</f>
        <v/>
      </c>
      <c r="Q677">
        <f>Weekly_Inspections!$AW677</f>
        <v/>
      </c>
    </row>
    <row r="678" ht="15" customHeight="1" s="45">
      <c r="A678">
        <f>IF(Weekly_Inspections!$B678="","",Weekly_Inspections!$A678&amp;"-A1")</f>
        <v/>
      </c>
      <c r="B678" s="47">
        <f>Weekly_Inspections!$B678</f>
        <v/>
      </c>
      <c r="C678">
        <f>Weekly_Inspections!$E678</f>
        <v/>
      </c>
      <c r="D678">
        <f>Weekly_Inspections!$F678</f>
        <v/>
      </c>
      <c r="E678">
        <f>Weekly_Inspections!$H678</f>
        <v/>
      </c>
      <c r="F678">
        <f>IF(Weekly_Inspections!$AX678&lt;&gt;"",Weekly_Inspections!$AX678,IF(Weekly_Inspections!$AY678&lt;&gt;"",Weekly_Inspections!$AY678,IF(Weekly_Inspections!$AZ678&lt;&gt;"",Weekly_Inspections!$AZ678,IF(Weekly_Inspections!$BA678&lt;&gt;"",Weekly_Inspections!$BA678,IF(Weekly_Inspections!$BB678&lt;&gt;"",Weekly_Inspections!$BB678,Weekly_Inspections!$R678)))))</f>
        <v/>
      </c>
      <c r="G678">
        <f>IF(OR(Weekly_Inspections!$AQ678&lt;&gt;"",Weekly_Inspections!$AR678&lt;&gt;"",Weekly_Inspections!$AS678&lt;&gt;""),Weekly_Inspections!$AQ678,"")</f>
        <v/>
      </c>
      <c r="H678">
        <f>Weekly_Inspections!$AP678</f>
        <v/>
      </c>
      <c r="I678">
        <f>Weekly_Inspections!$AR678</f>
        <v/>
      </c>
      <c r="J678">
        <f>Weekly_Inspections!$AS678</f>
        <v/>
      </c>
      <c r="K678">
        <f>Weekly_Inspections!$AU678</f>
        <v/>
      </c>
      <c r="L678" s="47">
        <f>Weekly_Inspections!$AV678</f>
        <v/>
      </c>
      <c r="M678">
        <f>IF($B678="","",IF($N678&lt;&gt;"","Closed",IF(OR($G678&lt;&gt;"",$I678&lt;&gt;"",$J678&lt;&gt;""),"Open","")))</f>
        <v/>
      </c>
      <c r="N678" s="47" t="n"/>
      <c r="O678">
        <f>IF($B678="","",IF($M678="Closed",IF($N678="","",$N678-$B678),TODAY()-$B678))</f>
        <v/>
      </c>
      <c r="P678">
        <f>IF(OR($B678="",$L678="",$M678="Closed"),"",IF(TODAY()&gt;$L678,"YES","NO"))</f>
        <v/>
      </c>
      <c r="Q678">
        <f>Weekly_Inspections!$AW678</f>
        <v/>
      </c>
    </row>
    <row r="679" ht="15" customHeight="1" s="45">
      <c r="A679">
        <f>IF(Weekly_Inspections!$B679="","",Weekly_Inspections!$A679&amp;"-A1")</f>
        <v/>
      </c>
      <c r="B679" s="47">
        <f>Weekly_Inspections!$B679</f>
        <v/>
      </c>
      <c r="C679">
        <f>Weekly_Inspections!$E679</f>
        <v/>
      </c>
      <c r="D679">
        <f>Weekly_Inspections!$F679</f>
        <v/>
      </c>
      <c r="E679">
        <f>Weekly_Inspections!$H679</f>
        <v/>
      </c>
      <c r="F679">
        <f>IF(Weekly_Inspections!$AX679&lt;&gt;"",Weekly_Inspections!$AX679,IF(Weekly_Inspections!$AY679&lt;&gt;"",Weekly_Inspections!$AY679,IF(Weekly_Inspections!$AZ679&lt;&gt;"",Weekly_Inspections!$AZ679,IF(Weekly_Inspections!$BA679&lt;&gt;"",Weekly_Inspections!$BA679,IF(Weekly_Inspections!$BB679&lt;&gt;"",Weekly_Inspections!$BB679,Weekly_Inspections!$R679)))))</f>
        <v/>
      </c>
      <c r="G679">
        <f>IF(OR(Weekly_Inspections!$AQ679&lt;&gt;"",Weekly_Inspections!$AR679&lt;&gt;"",Weekly_Inspections!$AS679&lt;&gt;""),Weekly_Inspections!$AQ679,"")</f>
        <v/>
      </c>
      <c r="H679">
        <f>Weekly_Inspections!$AP679</f>
        <v/>
      </c>
      <c r="I679">
        <f>Weekly_Inspections!$AR679</f>
        <v/>
      </c>
      <c r="J679">
        <f>Weekly_Inspections!$AS679</f>
        <v/>
      </c>
      <c r="K679">
        <f>Weekly_Inspections!$AU679</f>
        <v/>
      </c>
      <c r="L679" s="47">
        <f>Weekly_Inspections!$AV679</f>
        <v/>
      </c>
      <c r="M679">
        <f>IF($B679="","",IF($N679&lt;&gt;"","Closed",IF(OR($G679&lt;&gt;"",$I679&lt;&gt;"",$J679&lt;&gt;""),"Open","")))</f>
        <v/>
      </c>
      <c r="N679" s="47" t="n"/>
      <c r="O679">
        <f>IF($B679="","",IF($M679="Closed",IF($N679="","",$N679-$B679),TODAY()-$B679))</f>
        <v/>
      </c>
      <c r="P679">
        <f>IF(OR($B679="",$L679="",$M679="Closed"),"",IF(TODAY()&gt;$L679,"YES","NO"))</f>
        <v/>
      </c>
      <c r="Q679">
        <f>Weekly_Inspections!$AW679</f>
        <v/>
      </c>
    </row>
    <row r="680" ht="15" customHeight="1" s="45">
      <c r="A680">
        <f>IF(Weekly_Inspections!$B680="","",Weekly_Inspections!$A680&amp;"-A1")</f>
        <v/>
      </c>
      <c r="B680" s="47">
        <f>Weekly_Inspections!$B680</f>
        <v/>
      </c>
      <c r="C680">
        <f>Weekly_Inspections!$E680</f>
        <v/>
      </c>
      <c r="D680">
        <f>Weekly_Inspections!$F680</f>
        <v/>
      </c>
      <c r="E680">
        <f>Weekly_Inspections!$H680</f>
        <v/>
      </c>
      <c r="F680">
        <f>IF(Weekly_Inspections!$AX680&lt;&gt;"",Weekly_Inspections!$AX680,IF(Weekly_Inspections!$AY680&lt;&gt;"",Weekly_Inspections!$AY680,IF(Weekly_Inspections!$AZ680&lt;&gt;"",Weekly_Inspections!$AZ680,IF(Weekly_Inspections!$BA680&lt;&gt;"",Weekly_Inspections!$BA680,IF(Weekly_Inspections!$BB680&lt;&gt;"",Weekly_Inspections!$BB680,Weekly_Inspections!$R680)))))</f>
        <v/>
      </c>
      <c r="G680">
        <f>IF(OR(Weekly_Inspections!$AQ680&lt;&gt;"",Weekly_Inspections!$AR680&lt;&gt;"",Weekly_Inspections!$AS680&lt;&gt;""),Weekly_Inspections!$AQ680,"")</f>
        <v/>
      </c>
      <c r="H680">
        <f>Weekly_Inspections!$AP680</f>
        <v/>
      </c>
      <c r="I680">
        <f>Weekly_Inspections!$AR680</f>
        <v/>
      </c>
      <c r="J680">
        <f>Weekly_Inspections!$AS680</f>
        <v/>
      </c>
      <c r="K680">
        <f>Weekly_Inspections!$AU680</f>
        <v/>
      </c>
      <c r="L680" s="47">
        <f>Weekly_Inspections!$AV680</f>
        <v/>
      </c>
      <c r="M680">
        <f>IF($B680="","",IF($N680&lt;&gt;"","Closed",IF(OR($G680&lt;&gt;"",$I680&lt;&gt;"",$J680&lt;&gt;""),"Open","")))</f>
        <v/>
      </c>
      <c r="N680" s="47" t="n"/>
      <c r="O680">
        <f>IF($B680="","",IF($M680="Closed",IF($N680="","",$N680-$B680),TODAY()-$B680))</f>
        <v/>
      </c>
      <c r="P680">
        <f>IF(OR($B680="",$L680="",$M680="Closed"),"",IF(TODAY()&gt;$L680,"YES","NO"))</f>
        <v/>
      </c>
      <c r="Q680">
        <f>Weekly_Inspections!$AW680</f>
        <v/>
      </c>
    </row>
    <row r="681" ht="15" customHeight="1" s="45">
      <c r="A681">
        <f>IF(Weekly_Inspections!$B681="","",Weekly_Inspections!$A681&amp;"-A1")</f>
        <v/>
      </c>
      <c r="B681" s="47">
        <f>Weekly_Inspections!$B681</f>
        <v/>
      </c>
      <c r="C681">
        <f>Weekly_Inspections!$E681</f>
        <v/>
      </c>
      <c r="D681">
        <f>Weekly_Inspections!$F681</f>
        <v/>
      </c>
      <c r="E681">
        <f>Weekly_Inspections!$H681</f>
        <v/>
      </c>
      <c r="F681">
        <f>IF(Weekly_Inspections!$AX681&lt;&gt;"",Weekly_Inspections!$AX681,IF(Weekly_Inspections!$AY681&lt;&gt;"",Weekly_Inspections!$AY681,IF(Weekly_Inspections!$AZ681&lt;&gt;"",Weekly_Inspections!$AZ681,IF(Weekly_Inspections!$BA681&lt;&gt;"",Weekly_Inspections!$BA681,IF(Weekly_Inspections!$BB681&lt;&gt;"",Weekly_Inspections!$BB681,Weekly_Inspections!$R681)))))</f>
        <v/>
      </c>
      <c r="G681">
        <f>IF(OR(Weekly_Inspections!$AQ681&lt;&gt;"",Weekly_Inspections!$AR681&lt;&gt;"",Weekly_Inspections!$AS681&lt;&gt;""),Weekly_Inspections!$AQ681,"")</f>
        <v/>
      </c>
      <c r="H681">
        <f>Weekly_Inspections!$AP681</f>
        <v/>
      </c>
      <c r="I681">
        <f>Weekly_Inspections!$AR681</f>
        <v/>
      </c>
      <c r="J681">
        <f>Weekly_Inspections!$AS681</f>
        <v/>
      </c>
      <c r="K681">
        <f>Weekly_Inspections!$AU681</f>
        <v/>
      </c>
      <c r="L681" s="47">
        <f>Weekly_Inspections!$AV681</f>
        <v/>
      </c>
      <c r="M681">
        <f>IF($B681="","",IF($N681&lt;&gt;"","Closed",IF(OR($G681&lt;&gt;"",$I681&lt;&gt;"",$J681&lt;&gt;""),"Open","")))</f>
        <v/>
      </c>
      <c r="N681" s="47" t="n"/>
      <c r="O681">
        <f>IF($B681="","",IF($M681="Closed",IF($N681="","",$N681-$B681),TODAY()-$B681))</f>
        <v/>
      </c>
      <c r="P681">
        <f>IF(OR($B681="",$L681="",$M681="Closed"),"",IF(TODAY()&gt;$L681,"YES","NO"))</f>
        <v/>
      </c>
      <c r="Q681">
        <f>Weekly_Inspections!$AW681</f>
        <v/>
      </c>
    </row>
    <row r="682" ht="15" customHeight="1" s="45">
      <c r="A682">
        <f>IF(Weekly_Inspections!$B682="","",Weekly_Inspections!$A682&amp;"-A1")</f>
        <v/>
      </c>
      <c r="B682" s="47">
        <f>Weekly_Inspections!$B682</f>
        <v/>
      </c>
      <c r="C682">
        <f>Weekly_Inspections!$E682</f>
        <v/>
      </c>
      <c r="D682">
        <f>Weekly_Inspections!$F682</f>
        <v/>
      </c>
      <c r="E682">
        <f>Weekly_Inspections!$H682</f>
        <v/>
      </c>
      <c r="F682">
        <f>IF(Weekly_Inspections!$AX682&lt;&gt;"",Weekly_Inspections!$AX682,IF(Weekly_Inspections!$AY682&lt;&gt;"",Weekly_Inspections!$AY682,IF(Weekly_Inspections!$AZ682&lt;&gt;"",Weekly_Inspections!$AZ682,IF(Weekly_Inspections!$BA682&lt;&gt;"",Weekly_Inspections!$BA682,IF(Weekly_Inspections!$BB682&lt;&gt;"",Weekly_Inspections!$BB682,Weekly_Inspections!$R682)))))</f>
        <v/>
      </c>
      <c r="G682">
        <f>IF(OR(Weekly_Inspections!$AQ682&lt;&gt;"",Weekly_Inspections!$AR682&lt;&gt;"",Weekly_Inspections!$AS682&lt;&gt;""),Weekly_Inspections!$AQ682,"")</f>
        <v/>
      </c>
      <c r="H682">
        <f>Weekly_Inspections!$AP682</f>
        <v/>
      </c>
      <c r="I682">
        <f>Weekly_Inspections!$AR682</f>
        <v/>
      </c>
      <c r="J682">
        <f>Weekly_Inspections!$AS682</f>
        <v/>
      </c>
      <c r="K682">
        <f>Weekly_Inspections!$AU682</f>
        <v/>
      </c>
      <c r="L682" s="47">
        <f>Weekly_Inspections!$AV682</f>
        <v/>
      </c>
      <c r="M682">
        <f>IF($B682="","",IF($N682&lt;&gt;"","Closed",IF(OR($G682&lt;&gt;"",$I682&lt;&gt;"",$J682&lt;&gt;""),"Open","")))</f>
        <v/>
      </c>
      <c r="N682" s="47" t="n"/>
      <c r="O682">
        <f>IF($B682="","",IF($M682="Closed",IF($N682="","",$N682-$B682),TODAY()-$B682))</f>
        <v/>
      </c>
      <c r="P682">
        <f>IF(OR($B682="",$L682="",$M682="Closed"),"",IF(TODAY()&gt;$L682,"YES","NO"))</f>
        <v/>
      </c>
      <c r="Q682">
        <f>Weekly_Inspections!$AW682</f>
        <v/>
      </c>
    </row>
    <row r="683" ht="15" customHeight="1" s="45">
      <c r="A683">
        <f>IF(Weekly_Inspections!$B683="","",Weekly_Inspections!$A683&amp;"-A1")</f>
        <v/>
      </c>
      <c r="B683" s="47">
        <f>Weekly_Inspections!$B683</f>
        <v/>
      </c>
      <c r="C683">
        <f>Weekly_Inspections!$E683</f>
        <v/>
      </c>
      <c r="D683">
        <f>Weekly_Inspections!$F683</f>
        <v/>
      </c>
      <c r="E683">
        <f>Weekly_Inspections!$H683</f>
        <v/>
      </c>
      <c r="F683">
        <f>IF(Weekly_Inspections!$AX683&lt;&gt;"",Weekly_Inspections!$AX683,IF(Weekly_Inspections!$AY683&lt;&gt;"",Weekly_Inspections!$AY683,IF(Weekly_Inspections!$AZ683&lt;&gt;"",Weekly_Inspections!$AZ683,IF(Weekly_Inspections!$BA683&lt;&gt;"",Weekly_Inspections!$BA683,IF(Weekly_Inspections!$BB683&lt;&gt;"",Weekly_Inspections!$BB683,Weekly_Inspections!$R683)))))</f>
        <v/>
      </c>
      <c r="G683">
        <f>IF(OR(Weekly_Inspections!$AQ683&lt;&gt;"",Weekly_Inspections!$AR683&lt;&gt;"",Weekly_Inspections!$AS683&lt;&gt;""),Weekly_Inspections!$AQ683,"")</f>
        <v/>
      </c>
      <c r="H683">
        <f>Weekly_Inspections!$AP683</f>
        <v/>
      </c>
      <c r="I683">
        <f>Weekly_Inspections!$AR683</f>
        <v/>
      </c>
      <c r="J683">
        <f>Weekly_Inspections!$AS683</f>
        <v/>
      </c>
      <c r="K683">
        <f>Weekly_Inspections!$AU683</f>
        <v/>
      </c>
      <c r="L683" s="47">
        <f>Weekly_Inspections!$AV683</f>
        <v/>
      </c>
      <c r="M683">
        <f>IF($B683="","",IF($N683&lt;&gt;"","Closed",IF(OR($G683&lt;&gt;"",$I683&lt;&gt;"",$J683&lt;&gt;""),"Open","")))</f>
        <v/>
      </c>
      <c r="N683" s="47" t="n"/>
      <c r="O683">
        <f>IF($B683="","",IF($M683="Closed",IF($N683="","",$N683-$B683),TODAY()-$B683))</f>
        <v/>
      </c>
      <c r="P683">
        <f>IF(OR($B683="",$L683="",$M683="Closed"),"",IF(TODAY()&gt;$L683,"YES","NO"))</f>
        <v/>
      </c>
      <c r="Q683">
        <f>Weekly_Inspections!$AW683</f>
        <v/>
      </c>
    </row>
    <row r="684" ht="15" customHeight="1" s="45">
      <c r="A684">
        <f>IF(Weekly_Inspections!$B684="","",Weekly_Inspections!$A684&amp;"-A1")</f>
        <v/>
      </c>
      <c r="B684" s="47">
        <f>Weekly_Inspections!$B684</f>
        <v/>
      </c>
      <c r="C684">
        <f>Weekly_Inspections!$E684</f>
        <v/>
      </c>
      <c r="D684">
        <f>Weekly_Inspections!$F684</f>
        <v/>
      </c>
      <c r="E684">
        <f>Weekly_Inspections!$H684</f>
        <v/>
      </c>
      <c r="F684">
        <f>IF(Weekly_Inspections!$AX684&lt;&gt;"",Weekly_Inspections!$AX684,IF(Weekly_Inspections!$AY684&lt;&gt;"",Weekly_Inspections!$AY684,IF(Weekly_Inspections!$AZ684&lt;&gt;"",Weekly_Inspections!$AZ684,IF(Weekly_Inspections!$BA684&lt;&gt;"",Weekly_Inspections!$BA684,IF(Weekly_Inspections!$BB684&lt;&gt;"",Weekly_Inspections!$BB684,Weekly_Inspections!$R684)))))</f>
        <v/>
      </c>
      <c r="G684">
        <f>IF(OR(Weekly_Inspections!$AQ684&lt;&gt;"",Weekly_Inspections!$AR684&lt;&gt;"",Weekly_Inspections!$AS684&lt;&gt;""),Weekly_Inspections!$AQ684,"")</f>
        <v/>
      </c>
      <c r="H684">
        <f>Weekly_Inspections!$AP684</f>
        <v/>
      </c>
      <c r="I684">
        <f>Weekly_Inspections!$AR684</f>
        <v/>
      </c>
      <c r="J684">
        <f>Weekly_Inspections!$AS684</f>
        <v/>
      </c>
      <c r="K684">
        <f>Weekly_Inspections!$AU684</f>
        <v/>
      </c>
      <c r="L684" s="47">
        <f>Weekly_Inspections!$AV684</f>
        <v/>
      </c>
      <c r="M684">
        <f>IF($B684="","",IF($N684&lt;&gt;"","Closed",IF(OR($G684&lt;&gt;"",$I684&lt;&gt;"",$J684&lt;&gt;""),"Open","")))</f>
        <v/>
      </c>
      <c r="N684" s="47" t="n"/>
      <c r="O684">
        <f>IF($B684="","",IF($M684="Closed",IF($N684="","",$N684-$B684),TODAY()-$B684))</f>
        <v/>
      </c>
      <c r="P684">
        <f>IF(OR($B684="",$L684="",$M684="Closed"),"",IF(TODAY()&gt;$L684,"YES","NO"))</f>
        <v/>
      </c>
      <c r="Q684">
        <f>Weekly_Inspections!$AW684</f>
        <v/>
      </c>
    </row>
    <row r="685" ht="15" customHeight="1" s="45">
      <c r="A685">
        <f>IF(Weekly_Inspections!$B685="","",Weekly_Inspections!$A685&amp;"-A1")</f>
        <v/>
      </c>
      <c r="B685" s="47">
        <f>Weekly_Inspections!$B685</f>
        <v/>
      </c>
      <c r="C685">
        <f>Weekly_Inspections!$E685</f>
        <v/>
      </c>
      <c r="D685">
        <f>Weekly_Inspections!$F685</f>
        <v/>
      </c>
      <c r="E685">
        <f>Weekly_Inspections!$H685</f>
        <v/>
      </c>
      <c r="F685">
        <f>IF(Weekly_Inspections!$AX685&lt;&gt;"",Weekly_Inspections!$AX685,IF(Weekly_Inspections!$AY685&lt;&gt;"",Weekly_Inspections!$AY685,IF(Weekly_Inspections!$AZ685&lt;&gt;"",Weekly_Inspections!$AZ685,IF(Weekly_Inspections!$BA685&lt;&gt;"",Weekly_Inspections!$BA685,IF(Weekly_Inspections!$BB685&lt;&gt;"",Weekly_Inspections!$BB685,Weekly_Inspections!$R685)))))</f>
        <v/>
      </c>
      <c r="G685">
        <f>IF(OR(Weekly_Inspections!$AQ685&lt;&gt;"",Weekly_Inspections!$AR685&lt;&gt;"",Weekly_Inspections!$AS685&lt;&gt;""),Weekly_Inspections!$AQ685,"")</f>
        <v/>
      </c>
      <c r="H685">
        <f>Weekly_Inspections!$AP685</f>
        <v/>
      </c>
      <c r="I685">
        <f>Weekly_Inspections!$AR685</f>
        <v/>
      </c>
      <c r="J685">
        <f>Weekly_Inspections!$AS685</f>
        <v/>
      </c>
      <c r="K685">
        <f>Weekly_Inspections!$AU685</f>
        <v/>
      </c>
      <c r="L685" s="47">
        <f>Weekly_Inspections!$AV685</f>
        <v/>
      </c>
      <c r="M685">
        <f>IF($B685="","",IF($N685&lt;&gt;"","Closed",IF(OR($G685&lt;&gt;"",$I685&lt;&gt;"",$J685&lt;&gt;""),"Open","")))</f>
        <v/>
      </c>
      <c r="N685" s="47" t="n"/>
      <c r="O685">
        <f>IF($B685="","",IF($M685="Closed",IF($N685="","",$N685-$B685),TODAY()-$B685))</f>
        <v/>
      </c>
      <c r="P685">
        <f>IF(OR($B685="",$L685="",$M685="Closed"),"",IF(TODAY()&gt;$L685,"YES","NO"))</f>
        <v/>
      </c>
      <c r="Q685">
        <f>Weekly_Inspections!$AW685</f>
        <v/>
      </c>
    </row>
    <row r="686" ht="15" customHeight="1" s="45">
      <c r="A686">
        <f>IF(Weekly_Inspections!$B686="","",Weekly_Inspections!$A686&amp;"-A1")</f>
        <v/>
      </c>
      <c r="B686" s="47">
        <f>Weekly_Inspections!$B686</f>
        <v/>
      </c>
      <c r="C686">
        <f>Weekly_Inspections!$E686</f>
        <v/>
      </c>
      <c r="D686">
        <f>Weekly_Inspections!$F686</f>
        <v/>
      </c>
      <c r="E686">
        <f>Weekly_Inspections!$H686</f>
        <v/>
      </c>
      <c r="F686">
        <f>IF(Weekly_Inspections!$AX686&lt;&gt;"",Weekly_Inspections!$AX686,IF(Weekly_Inspections!$AY686&lt;&gt;"",Weekly_Inspections!$AY686,IF(Weekly_Inspections!$AZ686&lt;&gt;"",Weekly_Inspections!$AZ686,IF(Weekly_Inspections!$BA686&lt;&gt;"",Weekly_Inspections!$BA686,IF(Weekly_Inspections!$BB686&lt;&gt;"",Weekly_Inspections!$BB686,Weekly_Inspections!$R686)))))</f>
        <v/>
      </c>
      <c r="G686">
        <f>IF(OR(Weekly_Inspections!$AQ686&lt;&gt;"",Weekly_Inspections!$AR686&lt;&gt;"",Weekly_Inspections!$AS686&lt;&gt;""),Weekly_Inspections!$AQ686,"")</f>
        <v/>
      </c>
      <c r="H686">
        <f>Weekly_Inspections!$AP686</f>
        <v/>
      </c>
      <c r="I686">
        <f>Weekly_Inspections!$AR686</f>
        <v/>
      </c>
      <c r="J686">
        <f>Weekly_Inspections!$AS686</f>
        <v/>
      </c>
      <c r="K686">
        <f>Weekly_Inspections!$AU686</f>
        <v/>
      </c>
      <c r="L686" s="47">
        <f>Weekly_Inspections!$AV686</f>
        <v/>
      </c>
      <c r="M686">
        <f>IF($B686="","",IF($N686&lt;&gt;"","Closed",IF(OR($G686&lt;&gt;"",$I686&lt;&gt;"",$J686&lt;&gt;""),"Open","")))</f>
        <v/>
      </c>
      <c r="N686" s="47" t="n"/>
      <c r="O686">
        <f>IF($B686="","",IF($M686="Closed",IF($N686="","",$N686-$B686),TODAY()-$B686))</f>
        <v/>
      </c>
      <c r="P686">
        <f>IF(OR($B686="",$L686="",$M686="Closed"),"",IF(TODAY()&gt;$L686,"YES","NO"))</f>
        <v/>
      </c>
      <c r="Q686">
        <f>Weekly_Inspections!$AW686</f>
        <v/>
      </c>
    </row>
    <row r="687" ht="15" customHeight="1" s="45">
      <c r="A687">
        <f>IF(Weekly_Inspections!$B687="","",Weekly_Inspections!$A687&amp;"-A1")</f>
        <v/>
      </c>
      <c r="B687" s="47">
        <f>Weekly_Inspections!$B687</f>
        <v/>
      </c>
      <c r="C687">
        <f>Weekly_Inspections!$E687</f>
        <v/>
      </c>
      <c r="D687">
        <f>Weekly_Inspections!$F687</f>
        <v/>
      </c>
      <c r="E687">
        <f>Weekly_Inspections!$H687</f>
        <v/>
      </c>
      <c r="F687">
        <f>IF(Weekly_Inspections!$AX687&lt;&gt;"",Weekly_Inspections!$AX687,IF(Weekly_Inspections!$AY687&lt;&gt;"",Weekly_Inspections!$AY687,IF(Weekly_Inspections!$AZ687&lt;&gt;"",Weekly_Inspections!$AZ687,IF(Weekly_Inspections!$BA687&lt;&gt;"",Weekly_Inspections!$BA687,IF(Weekly_Inspections!$BB687&lt;&gt;"",Weekly_Inspections!$BB687,Weekly_Inspections!$R687)))))</f>
        <v/>
      </c>
      <c r="G687">
        <f>IF(OR(Weekly_Inspections!$AQ687&lt;&gt;"",Weekly_Inspections!$AR687&lt;&gt;"",Weekly_Inspections!$AS687&lt;&gt;""),Weekly_Inspections!$AQ687,"")</f>
        <v/>
      </c>
      <c r="H687">
        <f>Weekly_Inspections!$AP687</f>
        <v/>
      </c>
      <c r="I687">
        <f>Weekly_Inspections!$AR687</f>
        <v/>
      </c>
      <c r="J687">
        <f>Weekly_Inspections!$AS687</f>
        <v/>
      </c>
      <c r="K687">
        <f>Weekly_Inspections!$AU687</f>
        <v/>
      </c>
      <c r="L687" s="47">
        <f>Weekly_Inspections!$AV687</f>
        <v/>
      </c>
      <c r="M687">
        <f>IF($B687="","",IF($N687&lt;&gt;"","Closed",IF(OR($G687&lt;&gt;"",$I687&lt;&gt;"",$J687&lt;&gt;""),"Open","")))</f>
        <v/>
      </c>
      <c r="N687" s="47" t="n"/>
      <c r="O687">
        <f>IF($B687="","",IF($M687="Closed",IF($N687="","",$N687-$B687),TODAY()-$B687))</f>
        <v/>
      </c>
      <c r="P687">
        <f>IF(OR($B687="",$L687="",$M687="Closed"),"",IF(TODAY()&gt;$L687,"YES","NO"))</f>
        <v/>
      </c>
      <c r="Q687">
        <f>Weekly_Inspections!$AW687</f>
        <v/>
      </c>
    </row>
    <row r="688" ht="15" customHeight="1" s="45">
      <c r="A688">
        <f>IF(Weekly_Inspections!$B688="","",Weekly_Inspections!$A688&amp;"-A1")</f>
        <v/>
      </c>
      <c r="B688" s="47">
        <f>Weekly_Inspections!$B688</f>
        <v/>
      </c>
      <c r="C688">
        <f>Weekly_Inspections!$E688</f>
        <v/>
      </c>
      <c r="D688">
        <f>Weekly_Inspections!$F688</f>
        <v/>
      </c>
      <c r="E688">
        <f>Weekly_Inspections!$H688</f>
        <v/>
      </c>
      <c r="F688">
        <f>IF(Weekly_Inspections!$AX688&lt;&gt;"",Weekly_Inspections!$AX688,IF(Weekly_Inspections!$AY688&lt;&gt;"",Weekly_Inspections!$AY688,IF(Weekly_Inspections!$AZ688&lt;&gt;"",Weekly_Inspections!$AZ688,IF(Weekly_Inspections!$BA688&lt;&gt;"",Weekly_Inspections!$BA688,IF(Weekly_Inspections!$BB688&lt;&gt;"",Weekly_Inspections!$BB688,Weekly_Inspections!$R688)))))</f>
        <v/>
      </c>
      <c r="G688">
        <f>IF(OR(Weekly_Inspections!$AQ688&lt;&gt;"",Weekly_Inspections!$AR688&lt;&gt;"",Weekly_Inspections!$AS688&lt;&gt;""),Weekly_Inspections!$AQ688,"")</f>
        <v/>
      </c>
      <c r="H688">
        <f>Weekly_Inspections!$AP688</f>
        <v/>
      </c>
      <c r="I688">
        <f>Weekly_Inspections!$AR688</f>
        <v/>
      </c>
      <c r="J688">
        <f>Weekly_Inspections!$AS688</f>
        <v/>
      </c>
      <c r="K688">
        <f>Weekly_Inspections!$AU688</f>
        <v/>
      </c>
      <c r="L688" s="47">
        <f>Weekly_Inspections!$AV688</f>
        <v/>
      </c>
      <c r="M688">
        <f>IF($B688="","",IF($N688&lt;&gt;"","Closed",IF(OR($G688&lt;&gt;"",$I688&lt;&gt;"",$J688&lt;&gt;""),"Open","")))</f>
        <v/>
      </c>
      <c r="N688" s="47" t="n"/>
      <c r="O688">
        <f>IF($B688="","",IF($M688="Closed",IF($N688="","",$N688-$B688),TODAY()-$B688))</f>
        <v/>
      </c>
      <c r="P688">
        <f>IF(OR($B688="",$L688="",$M688="Closed"),"",IF(TODAY()&gt;$L688,"YES","NO"))</f>
        <v/>
      </c>
      <c r="Q688">
        <f>Weekly_Inspections!$AW688</f>
        <v/>
      </c>
    </row>
    <row r="689" ht="15" customHeight="1" s="45">
      <c r="A689">
        <f>IF(Weekly_Inspections!$B689="","",Weekly_Inspections!$A689&amp;"-A1")</f>
        <v/>
      </c>
      <c r="B689" s="47">
        <f>Weekly_Inspections!$B689</f>
        <v/>
      </c>
      <c r="C689">
        <f>Weekly_Inspections!$E689</f>
        <v/>
      </c>
      <c r="D689">
        <f>Weekly_Inspections!$F689</f>
        <v/>
      </c>
      <c r="E689">
        <f>Weekly_Inspections!$H689</f>
        <v/>
      </c>
      <c r="F689">
        <f>IF(Weekly_Inspections!$AX689&lt;&gt;"",Weekly_Inspections!$AX689,IF(Weekly_Inspections!$AY689&lt;&gt;"",Weekly_Inspections!$AY689,IF(Weekly_Inspections!$AZ689&lt;&gt;"",Weekly_Inspections!$AZ689,IF(Weekly_Inspections!$BA689&lt;&gt;"",Weekly_Inspections!$BA689,IF(Weekly_Inspections!$BB689&lt;&gt;"",Weekly_Inspections!$BB689,Weekly_Inspections!$R689)))))</f>
        <v/>
      </c>
      <c r="G689">
        <f>IF(OR(Weekly_Inspections!$AQ689&lt;&gt;"",Weekly_Inspections!$AR689&lt;&gt;"",Weekly_Inspections!$AS689&lt;&gt;""),Weekly_Inspections!$AQ689,"")</f>
        <v/>
      </c>
      <c r="H689">
        <f>Weekly_Inspections!$AP689</f>
        <v/>
      </c>
      <c r="I689">
        <f>Weekly_Inspections!$AR689</f>
        <v/>
      </c>
      <c r="J689">
        <f>Weekly_Inspections!$AS689</f>
        <v/>
      </c>
      <c r="K689">
        <f>Weekly_Inspections!$AU689</f>
        <v/>
      </c>
      <c r="L689" s="47">
        <f>Weekly_Inspections!$AV689</f>
        <v/>
      </c>
      <c r="M689">
        <f>IF($B689="","",IF($N689&lt;&gt;"","Closed",IF(OR($G689&lt;&gt;"",$I689&lt;&gt;"",$J689&lt;&gt;""),"Open","")))</f>
        <v/>
      </c>
      <c r="N689" s="47" t="n"/>
      <c r="O689">
        <f>IF($B689="","",IF($M689="Closed",IF($N689="","",$N689-$B689),TODAY()-$B689))</f>
        <v/>
      </c>
      <c r="P689">
        <f>IF(OR($B689="",$L689="",$M689="Closed"),"",IF(TODAY()&gt;$L689,"YES","NO"))</f>
        <v/>
      </c>
      <c r="Q689">
        <f>Weekly_Inspections!$AW689</f>
        <v/>
      </c>
    </row>
    <row r="690" ht="15" customHeight="1" s="45">
      <c r="A690">
        <f>IF(Weekly_Inspections!$B690="","",Weekly_Inspections!$A690&amp;"-A1")</f>
        <v/>
      </c>
      <c r="B690" s="47">
        <f>Weekly_Inspections!$B690</f>
        <v/>
      </c>
      <c r="C690">
        <f>Weekly_Inspections!$E690</f>
        <v/>
      </c>
      <c r="D690">
        <f>Weekly_Inspections!$F690</f>
        <v/>
      </c>
      <c r="E690">
        <f>Weekly_Inspections!$H690</f>
        <v/>
      </c>
      <c r="F690">
        <f>IF(Weekly_Inspections!$AX690&lt;&gt;"",Weekly_Inspections!$AX690,IF(Weekly_Inspections!$AY690&lt;&gt;"",Weekly_Inspections!$AY690,IF(Weekly_Inspections!$AZ690&lt;&gt;"",Weekly_Inspections!$AZ690,IF(Weekly_Inspections!$BA690&lt;&gt;"",Weekly_Inspections!$BA690,IF(Weekly_Inspections!$BB690&lt;&gt;"",Weekly_Inspections!$BB690,Weekly_Inspections!$R690)))))</f>
        <v/>
      </c>
      <c r="G690">
        <f>IF(OR(Weekly_Inspections!$AQ690&lt;&gt;"",Weekly_Inspections!$AR690&lt;&gt;"",Weekly_Inspections!$AS690&lt;&gt;""),Weekly_Inspections!$AQ690,"")</f>
        <v/>
      </c>
      <c r="H690">
        <f>Weekly_Inspections!$AP690</f>
        <v/>
      </c>
      <c r="I690">
        <f>Weekly_Inspections!$AR690</f>
        <v/>
      </c>
      <c r="J690">
        <f>Weekly_Inspections!$AS690</f>
        <v/>
      </c>
      <c r="K690">
        <f>Weekly_Inspections!$AU690</f>
        <v/>
      </c>
      <c r="L690" s="47">
        <f>Weekly_Inspections!$AV690</f>
        <v/>
      </c>
      <c r="M690">
        <f>IF($B690="","",IF($N690&lt;&gt;"","Closed",IF(OR($G690&lt;&gt;"",$I690&lt;&gt;"",$J690&lt;&gt;""),"Open","")))</f>
        <v/>
      </c>
      <c r="N690" s="47" t="n"/>
      <c r="O690">
        <f>IF($B690="","",IF($M690="Closed",IF($N690="","",$N690-$B690),TODAY()-$B690))</f>
        <v/>
      </c>
      <c r="P690">
        <f>IF(OR($B690="",$L690="",$M690="Closed"),"",IF(TODAY()&gt;$L690,"YES","NO"))</f>
        <v/>
      </c>
      <c r="Q690">
        <f>Weekly_Inspections!$AW690</f>
        <v/>
      </c>
    </row>
    <row r="691" ht="15" customHeight="1" s="45">
      <c r="A691">
        <f>IF(Weekly_Inspections!$B691="","",Weekly_Inspections!$A691&amp;"-A1")</f>
        <v/>
      </c>
      <c r="B691" s="47">
        <f>Weekly_Inspections!$B691</f>
        <v/>
      </c>
      <c r="C691">
        <f>Weekly_Inspections!$E691</f>
        <v/>
      </c>
      <c r="D691">
        <f>Weekly_Inspections!$F691</f>
        <v/>
      </c>
      <c r="E691">
        <f>Weekly_Inspections!$H691</f>
        <v/>
      </c>
      <c r="F691">
        <f>IF(Weekly_Inspections!$AX691&lt;&gt;"",Weekly_Inspections!$AX691,IF(Weekly_Inspections!$AY691&lt;&gt;"",Weekly_Inspections!$AY691,IF(Weekly_Inspections!$AZ691&lt;&gt;"",Weekly_Inspections!$AZ691,IF(Weekly_Inspections!$BA691&lt;&gt;"",Weekly_Inspections!$BA691,IF(Weekly_Inspections!$BB691&lt;&gt;"",Weekly_Inspections!$BB691,Weekly_Inspections!$R691)))))</f>
        <v/>
      </c>
      <c r="G691">
        <f>IF(OR(Weekly_Inspections!$AQ691&lt;&gt;"",Weekly_Inspections!$AR691&lt;&gt;"",Weekly_Inspections!$AS691&lt;&gt;""),Weekly_Inspections!$AQ691,"")</f>
        <v/>
      </c>
      <c r="H691">
        <f>Weekly_Inspections!$AP691</f>
        <v/>
      </c>
      <c r="I691">
        <f>Weekly_Inspections!$AR691</f>
        <v/>
      </c>
      <c r="J691">
        <f>Weekly_Inspections!$AS691</f>
        <v/>
      </c>
      <c r="K691">
        <f>Weekly_Inspections!$AU691</f>
        <v/>
      </c>
      <c r="L691" s="47">
        <f>Weekly_Inspections!$AV691</f>
        <v/>
      </c>
      <c r="M691">
        <f>IF($B691="","",IF($N691&lt;&gt;"","Closed",IF(OR($G691&lt;&gt;"",$I691&lt;&gt;"",$J691&lt;&gt;""),"Open","")))</f>
        <v/>
      </c>
      <c r="N691" s="47" t="n"/>
      <c r="O691">
        <f>IF($B691="","",IF($M691="Closed",IF($N691="","",$N691-$B691),TODAY()-$B691))</f>
        <v/>
      </c>
      <c r="P691">
        <f>IF(OR($B691="",$L691="",$M691="Closed"),"",IF(TODAY()&gt;$L691,"YES","NO"))</f>
        <v/>
      </c>
      <c r="Q691">
        <f>Weekly_Inspections!$AW691</f>
        <v/>
      </c>
    </row>
    <row r="692" ht="15" customHeight="1" s="45">
      <c r="A692">
        <f>IF(Weekly_Inspections!$B692="","",Weekly_Inspections!$A692&amp;"-A1")</f>
        <v/>
      </c>
      <c r="B692" s="47">
        <f>Weekly_Inspections!$B692</f>
        <v/>
      </c>
      <c r="C692">
        <f>Weekly_Inspections!$E692</f>
        <v/>
      </c>
      <c r="D692">
        <f>Weekly_Inspections!$F692</f>
        <v/>
      </c>
      <c r="E692">
        <f>Weekly_Inspections!$H692</f>
        <v/>
      </c>
      <c r="F692">
        <f>IF(Weekly_Inspections!$AX692&lt;&gt;"",Weekly_Inspections!$AX692,IF(Weekly_Inspections!$AY692&lt;&gt;"",Weekly_Inspections!$AY692,IF(Weekly_Inspections!$AZ692&lt;&gt;"",Weekly_Inspections!$AZ692,IF(Weekly_Inspections!$BA692&lt;&gt;"",Weekly_Inspections!$BA692,IF(Weekly_Inspections!$BB692&lt;&gt;"",Weekly_Inspections!$BB692,Weekly_Inspections!$R692)))))</f>
        <v/>
      </c>
      <c r="G692">
        <f>IF(OR(Weekly_Inspections!$AQ692&lt;&gt;"",Weekly_Inspections!$AR692&lt;&gt;"",Weekly_Inspections!$AS692&lt;&gt;""),Weekly_Inspections!$AQ692,"")</f>
        <v/>
      </c>
      <c r="H692">
        <f>Weekly_Inspections!$AP692</f>
        <v/>
      </c>
      <c r="I692">
        <f>Weekly_Inspections!$AR692</f>
        <v/>
      </c>
      <c r="J692">
        <f>Weekly_Inspections!$AS692</f>
        <v/>
      </c>
      <c r="K692">
        <f>Weekly_Inspections!$AU692</f>
        <v/>
      </c>
      <c r="L692" s="47">
        <f>Weekly_Inspections!$AV692</f>
        <v/>
      </c>
      <c r="M692">
        <f>IF($B692="","",IF($N692&lt;&gt;"","Closed",IF(OR($G692&lt;&gt;"",$I692&lt;&gt;"",$J692&lt;&gt;""),"Open","")))</f>
        <v/>
      </c>
      <c r="N692" s="47" t="n"/>
      <c r="O692">
        <f>IF($B692="","",IF($M692="Closed",IF($N692="","",$N692-$B692),TODAY()-$B692))</f>
        <v/>
      </c>
      <c r="P692">
        <f>IF(OR($B692="",$L692="",$M692="Closed"),"",IF(TODAY()&gt;$L692,"YES","NO"))</f>
        <v/>
      </c>
      <c r="Q692">
        <f>Weekly_Inspections!$AW692</f>
        <v/>
      </c>
    </row>
    <row r="693" ht="15" customHeight="1" s="45">
      <c r="A693">
        <f>IF(Weekly_Inspections!$B693="","",Weekly_Inspections!$A693&amp;"-A1")</f>
        <v/>
      </c>
      <c r="B693" s="47">
        <f>Weekly_Inspections!$B693</f>
        <v/>
      </c>
      <c r="C693">
        <f>Weekly_Inspections!$E693</f>
        <v/>
      </c>
      <c r="D693">
        <f>Weekly_Inspections!$F693</f>
        <v/>
      </c>
      <c r="E693">
        <f>Weekly_Inspections!$H693</f>
        <v/>
      </c>
      <c r="F693">
        <f>IF(Weekly_Inspections!$AX693&lt;&gt;"",Weekly_Inspections!$AX693,IF(Weekly_Inspections!$AY693&lt;&gt;"",Weekly_Inspections!$AY693,IF(Weekly_Inspections!$AZ693&lt;&gt;"",Weekly_Inspections!$AZ693,IF(Weekly_Inspections!$BA693&lt;&gt;"",Weekly_Inspections!$BA693,IF(Weekly_Inspections!$BB693&lt;&gt;"",Weekly_Inspections!$BB693,Weekly_Inspections!$R693)))))</f>
        <v/>
      </c>
      <c r="G693">
        <f>IF(OR(Weekly_Inspections!$AQ693&lt;&gt;"",Weekly_Inspections!$AR693&lt;&gt;"",Weekly_Inspections!$AS693&lt;&gt;""),Weekly_Inspections!$AQ693,"")</f>
        <v/>
      </c>
      <c r="H693">
        <f>Weekly_Inspections!$AP693</f>
        <v/>
      </c>
      <c r="I693">
        <f>Weekly_Inspections!$AR693</f>
        <v/>
      </c>
      <c r="J693">
        <f>Weekly_Inspections!$AS693</f>
        <v/>
      </c>
      <c r="K693">
        <f>Weekly_Inspections!$AU693</f>
        <v/>
      </c>
      <c r="L693" s="47">
        <f>Weekly_Inspections!$AV693</f>
        <v/>
      </c>
      <c r="M693">
        <f>IF($B693="","",IF($N693&lt;&gt;"","Closed",IF(OR($G693&lt;&gt;"",$I693&lt;&gt;"",$J693&lt;&gt;""),"Open","")))</f>
        <v/>
      </c>
      <c r="N693" s="47" t="n"/>
      <c r="O693">
        <f>IF($B693="","",IF($M693="Closed",IF($N693="","",$N693-$B693),TODAY()-$B693))</f>
        <v/>
      </c>
      <c r="P693">
        <f>IF(OR($B693="",$L693="",$M693="Closed"),"",IF(TODAY()&gt;$L693,"YES","NO"))</f>
        <v/>
      </c>
      <c r="Q693">
        <f>Weekly_Inspections!$AW693</f>
        <v/>
      </c>
    </row>
    <row r="694" ht="15" customHeight="1" s="45">
      <c r="A694">
        <f>IF(Weekly_Inspections!$B694="","",Weekly_Inspections!$A694&amp;"-A1")</f>
        <v/>
      </c>
      <c r="B694" s="47">
        <f>Weekly_Inspections!$B694</f>
        <v/>
      </c>
      <c r="C694">
        <f>Weekly_Inspections!$E694</f>
        <v/>
      </c>
      <c r="D694">
        <f>Weekly_Inspections!$F694</f>
        <v/>
      </c>
      <c r="E694">
        <f>Weekly_Inspections!$H694</f>
        <v/>
      </c>
      <c r="F694">
        <f>IF(Weekly_Inspections!$AX694&lt;&gt;"",Weekly_Inspections!$AX694,IF(Weekly_Inspections!$AY694&lt;&gt;"",Weekly_Inspections!$AY694,IF(Weekly_Inspections!$AZ694&lt;&gt;"",Weekly_Inspections!$AZ694,IF(Weekly_Inspections!$BA694&lt;&gt;"",Weekly_Inspections!$BA694,IF(Weekly_Inspections!$BB694&lt;&gt;"",Weekly_Inspections!$BB694,Weekly_Inspections!$R694)))))</f>
        <v/>
      </c>
      <c r="G694">
        <f>IF(OR(Weekly_Inspections!$AQ694&lt;&gt;"",Weekly_Inspections!$AR694&lt;&gt;"",Weekly_Inspections!$AS694&lt;&gt;""),Weekly_Inspections!$AQ694,"")</f>
        <v/>
      </c>
      <c r="H694">
        <f>Weekly_Inspections!$AP694</f>
        <v/>
      </c>
      <c r="I694">
        <f>Weekly_Inspections!$AR694</f>
        <v/>
      </c>
      <c r="J694">
        <f>Weekly_Inspections!$AS694</f>
        <v/>
      </c>
      <c r="K694">
        <f>Weekly_Inspections!$AU694</f>
        <v/>
      </c>
      <c r="L694" s="47">
        <f>Weekly_Inspections!$AV694</f>
        <v/>
      </c>
      <c r="M694">
        <f>IF($B694="","",IF($N694&lt;&gt;"","Closed",IF(OR($G694&lt;&gt;"",$I694&lt;&gt;"",$J694&lt;&gt;""),"Open","")))</f>
        <v/>
      </c>
      <c r="N694" s="47" t="n"/>
      <c r="O694">
        <f>IF($B694="","",IF($M694="Closed",IF($N694="","",$N694-$B694),TODAY()-$B694))</f>
        <v/>
      </c>
      <c r="P694">
        <f>IF(OR($B694="",$L694="",$M694="Closed"),"",IF(TODAY()&gt;$L694,"YES","NO"))</f>
        <v/>
      </c>
      <c r="Q694">
        <f>Weekly_Inspections!$AW694</f>
        <v/>
      </c>
    </row>
    <row r="695" ht="15" customHeight="1" s="45">
      <c r="A695">
        <f>IF(Weekly_Inspections!$B695="","",Weekly_Inspections!$A695&amp;"-A1")</f>
        <v/>
      </c>
      <c r="B695" s="47">
        <f>Weekly_Inspections!$B695</f>
        <v/>
      </c>
      <c r="C695">
        <f>Weekly_Inspections!$E695</f>
        <v/>
      </c>
      <c r="D695">
        <f>Weekly_Inspections!$F695</f>
        <v/>
      </c>
      <c r="E695">
        <f>Weekly_Inspections!$H695</f>
        <v/>
      </c>
      <c r="F695">
        <f>IF(Weekly_Inspections!$AX695&lt;&gt;"",Weekly_Inspections!$AX695,IF(Weekly_Inspections!$AY695&lt;&gt;"",Weekly_Inspections!$AY695,IF(Weekly_Inspections!$AZ695&lt;&gt;"",Weekly_Inspections!$AZ695,IF(Weekly_Inspections!$BA695&lt;&gt;"",Weekly_Inspections!$BA695,IF(Weekly_Inspections!$BB695&lt;&gt;"",Weekly_Inspections!$BB695,Weekly_Inspections!$R695)))))</f>
        <v/>
      </c>
      <c r="G695">
        <f>IF(OR(Weekly_Inspections!$AQ695&lt;&gt;"",Weekly_Inspections!$AR695&lt;&gt;"",Weekly_Inspections!$AS695&lt;&gt;""),Weekly_Inspections!$AQ695,"")</f>
        <v/>
      </c>
      <c r="H695">
        <f>Weekly_Inspections!$AP695</f>
        <v/>
      </c>
      <c r="I695">
        <f>Weekly_Inspections!$AR695</f>
        <v/>
      </c>
      <c r="J695">
        <f>Weekly_Inspections!$AS695</f>
        <v/>
      </c>
      <c r="K695">
        <f>Weekly_Inspections!$AU695</f>
        <v/>
      </c>
      <c r="L695" s="47">
        <f>Weekly_Inspections!$AV695</f>
        <v/>
      </c>
      <c r="M695">
        <f>IF($B695="","",IF($N695&lt;&gt;"","Closed",IF(OR($G695&lt;&gt;"",$I695&lt;&gt;"",$J695&lt;&gt;""),"Open","")))</f>
        <v/>
      </c>
      <c r="N695" s="47" t="n"/>
      <c r="O695">
        <f>IF($B695="","",IF($M695="Closed",IF($N695="","",$N695-$B695),TODAY()-$B695))</f>
        <v/>
      </c>
      <c r="P695">
        <f>IF(OR($B695="",$L695="",$M695="Closed"),"",IF(TODAY()&gt;$L695,"YES","NO"))</f>
        <v/>
      </c>
      <c r="Q695">
        <f>Weekly_Inspections!$AW695</f>
        <v/>
      </c>
    </row>
    <row r="696" ht="15" customHeight="1" s="45">
      <c r="A696">
        <f>IF(Weekly_Inspections!$B696="","",Weekly_Inspections!$A696&amp;"-A1")</f>
        <v/>
      </c>
      <c r="B696" s="47">
        <f>Weekly_Inspections!$B696</f>
        <v/>
      </c>
      <c r="C696">
        <f>Weekly_Inspections!$E696</f>
        <v/>
      </c>
      <c r="D696">
        <f>Weekly_Inspections!$F696</f>
        <v/>
      </c>
      <c r="E696">
        <f>Weekly_Inspections!$H696</f>
        <v/>
      </c>
      <c r="F696">
        <f>IF(Weekly_Inspections!$AX696&lt;&gt;"",Weekly_Inspections!$AX696,IF(Weekly_Inspections!$AY696&lt;&gt;"",Weekly_Inspections!$AY696,IF(Weekly_Inspections!$AZ696&lt;&gt;"",Weekly_Inspections!$AZ696,IF(Weekly_Inspections!$BA696&lt;&gt;"",Weekly_Inspections!$BA696,IF(Weekly_Inspections!$BB696&lt;&gt;"",Weekly_Inspections!$BB696,Weekly_Inspections!$R696)))))</f>
        <v/>
      </c>
      <c r="G696">
        <f>IF(OR(Weekly_Inspections!$AQ696&lt;&gt;"",Weekly_Inspections!$AR696&lt;&gt;"",Weekly_Inspections!$AS696&lt;&gt;""),Weekly_Inspections!$AQ696,"")</f>
        <v/>
      </c>
      <c r="H696">
        <f>Weekly_Inspections!$AP696</f>
        <v/>
      </c>
      <c r="I696">
        <f>Weekly_Inspections!$AR696</f>
        <v/>
      </c>
      <c r="J696">
        <f>Weekly_Inspections!$AS696</f>
        <v/>
      </c>
      <c r="K696">
        <f>Weekly_Inspections!$AU696</f>
        <v/>
      </c>
      <c r="L696" s="47">
        <f>Weekly_Inspections!$AV696</f>
        <v/>
      </c>
      <c r="M696">
        <f>IF($B696="","",IF($N696&lt;&gt;"","Closed",IF(OR($G696&lt;&gt;"",$I696&lt;&gt;"",$J696&lt;&gt;""),"Open","")))</f>
        <v/>
      </c>
      <c r="N696" s="47" t="n"/>
      <c r="O696">
        <f>IF($B696="","",IF($M696="Closed",IF($N696="","",$N696-$B696),TODAY()-$B696))</f>
        <v/>
      </c>
      <c r="P696">
        <f>IF(OR($B696="",$L696="",$M696="Closed"),"",IF(TODAY()&gt;$L696,"YES","NO"))</f>
        <v/>
      </c>
      <c r="Q696">
        <f>Weekly_Inspections!$AW696</f>
        <v/>
      </c>
    </row>
    <row r="697" ht="15" customHeight="1" s="45">
      <c r="A697">
        <f>IF(Weekly_Inspections!$B697="","",Weekly_Inspections!$A697&amp;"-A1")</f>
        <v/>
      </c>
      <c r="B697" s="47">
        <f>Weekly_Inspections!$B697</f>
        <v/>
      </c>
      <c r="C697">
        <f>Weekly_Inspections!$E697</f>
        <v/>
      </c>
      <c r="D697">
        <f>Weekly_Inspections!$F697</f>
        <v/>
      </c>
      <c r="E697">
        <f>Weekly_Inspections!$H697</f>
        <v/>
      </c>
      <c r="F697">
        <f>IF(Weekly_Inspections!$AX697&lt;&gt;"",Weekly_Inspections!$AX697,IF(Weekly_Inspections!$AY697&lt;&gt;"",Weekly_Inspections!$AY697,IF(Weekly_Inspections!$AZ697&lt;&gt;"",Weekly_Inspections!$AZ697,IF(Weekly_Inspections!$BA697&lt;&gt;"",Weekly_Inspections!$BA697,IF(Weekly_Inspections!$BB697&lt;&gt;"",Weekly_Inspections!$BB697,Weekly_Inspections!$R697)))))</f>
        <v/>
      </c>
      <c r="G697">
        <f>IF(OR(Weekly_Inspections!$AQ697&lt;&gt;"",Weekly_Inspections!$AR697&lt;&gt;"",Weekly_Inspections!$AS697&lt;&gt;""),Weekly_Inspections!$AQ697,"")</f>
        <v/>
      </c>
      <c r="H697">
        <f>Weekly_Inspections!$AP697</f>
        <v/>
      </c>
      <c r="I697">
        <f>Weekly_Inspections!$AR697</f>
        <v/>
      </c>
      <c r="J697">
        <f>Weekly_Inspections!$AS697</f>
        <v/>
      </c>
      <c r="K697">
        <f>Weekly_Inspections!$AU697</f>
        <v/>
      </c>
      <c r="L697" s="47">
        <f>Weekly_Inspections!$AV697</f>
        <v/>
      </c>
      <c r="M697">
        <f>IF($B697="","",IF($N697&lt;&gt;"","Closed",IF(OR($G697&lt;&gt;"",$I697&lt;&gt;"",$J697&lt;&gt;""),"Open","")))</f>
        <v/>
      </c>
      <c r="N697" s="47" t="n"/>
      <c r="O697">
        <f>IF($B697="","",IF($M697="Closed",IF($N697="","",$N697-$B697),TODAY()-$B697))</f>
        <v/>
      </c>
      <c r="P697">
        <f>IF(OR($B697="",$L697="",$M697="Closed"),"",IF(TODAY()&gt;$L697,"YES","NO"))</f>
        <v/>
      </c>
      <c r="Q697">
        <f>Weekly_Inspections!$AW697</f>
        <v/>
      </c>
    </row>
    <row r="698" ht="15" customHeight="1" s="45">
      <c r="A698">
        <f>IF(Weekly_Inspections!$B698="","",Weekly_Inspections!$A698&amp;"-A1")</f>
        <v/>
      </c>
      <c r="B698" s="47">
        <f>Weekly_Inspections!$B698</f>
        <v/>
      </c>
      <c r="C698">
        <f>Weekly_Inspections!$E698</f>
        <v/>
      </c>
      <c r="D698">
        <f>Weekly_Inspections!$F698</f>
        <v/>
      </c>
      <c r="E698">
        <f>Weekly_Inspections!$H698</f>
        <v/>
      </c>
      <c r="F698">
        <f>IF(Weekly_Inspections!$AX698&lt;&gt;"",Weekly_Inspections!$AX698,IF(Weekly_Inspections!$AY698&lt;&gt;"",Weekly_Inspections!$AY698,IF(Weekly_Inspections!$AZ698&lt;&gt;"",Weekly_Inspections!$AZ698,IF(Weekly_Inspections!$BA698&lt;&gt;"",Weekly_Inspections!$BA698,IF(Weekly_Inspections!$BB698&lt;&gt;"",Weekly_Inspections!$BB698,Weekly_Inspections!$R698)))))</f>
        <v/>
      </c>
      <c r="G698">
        <f>IF(OR(Weekly_Inspections!$AQ698&lt;&gt;"",Weekly_Inspections!$AR698&lt;&gt;"",Weekly_Inspections!$AS698&lt;&gt;""),Weekly_Inspections!$AQ698,"")</f>
        <v/>
      </c>
      <c r="H698">
        <f>Weekly_Inspections!$AP698</f>
        <v/>
      </c>
      <c r="I698">
        <f>Weekly_Inspections!$AR698</f>
        <v/>
      </c>
      <c r="J698">
        <f>Weekly_Inspections!$AS698</f>
        <v/>
      </c>
      <c r="K698">
        <f>Weekly_Inspections!$AU698</f>
        <v/>
      </c>
      <c r="L698" s="47">
        <f>Weekly_Inspections!$AV698</f>
        <v/>
      </c>
      <c r="M698">
        <f>IF($B698="","",IF($N698&lt;&gt;"","Closed",IF(OR($G698&lt;&gt;"",$I698&lt;&gt;"",$J698&lt;&gt;""),"Open","")))</f>
        <v/>
      </c>
      <c r="N698" s="47" t="n"/>
      <c r="O698">
        <f>IF($B698="","",IF($M698="Closed",IF($N698="","",$N698-$B698),TODAY()-$B698))</f>
        <v/>
      </c>
      <c r="P698">
        <f>IF(OR($B698="",$L698="",$M698="Closed"),"",IF(TODAY()&gt;$L698,"YES","NO"))</f>
        <v/>
      </c>
      <c r="Q698">
        <f>Weekly_Inspections!$AW698</f>
        <v/>
      </c>
    </row>
    <row r="699" ht="15" customHeight="1" s="45">
      <c r="A699">
        <f>IF(Weekly_Inspections!$B699="","",Weekly_Inspections!$A699&amp;"-A1")</f>
        <v/>
      </c>
      <c r="B699" s="47">
        <f>Weekly_Inspections!$B699</f>
        <v/>
      </c>
      <c r="C699">
        <f>Weekly_Inspections!$E699</f>
        <v/>
      </c>
      <c r="D699">
        <f>Weekly_Inspections!$F699</f>
        <v/>
      </c>
      <c r="E699">
        <f>Weekly_Inspections!$H699</f>
        <v/>
      </c>
      <c r="F699">
        <f>IF(Weekly_Inspections!$AX699&lt;&gt;"",Weekly_Inspections!$AX699,IF(Weekly_Inspections!$AY699&lt;&gt;"",Weekly_Inspections!$AY699,IF(Weekly_Inspections!$AZ699&lt;&gt;"",Weekly_Inspections!$AZ699,IF(Weekly_Inspections!$BA699&lt;&gt;"",Weekly_Inspections!$BA699,IF(Weekly_Inspections!$BB699&lt;&gt;"",Weekly_Inspections!$BB699,Weekly_Inspections!$R699)))))</f>
        <v/>
      </c>
      <c r="G699">
        <f>IF(OR(Weekly_Inspections!$AQ699&lt;&gt;"",Weekly_Inspections!$AR699&lt;&gt;"",Weekly_Inspections!$AS699&lt;&gt;""),Weekly_Inspections!$AQ699,"")</f>
        <v/>
      </c>
      <c r="H699">
        <f>Weekly_Inspections!$AP699</f>
        <v/>
      </c>
      <c r="I699">
        <f>Weekly_Inspections!$AR699</f>
        <v/>
      </c>
      <c r="J699">
        <f>Weekly_Inspections!$AS699</f>
        <v/>
      </c>
      <c r="K699">
        <f>Weekly_Inspections!$AU699</f>
        <v/>
      </c>
      <c r="L699" s="47">
        <f>Weekly_Inspections!$AV699</f>
        <v/>
      </c>
      <c r="M699">
        <f>IF($B699="","",IF($N699&lt;&gt;"","Closed",IF(OR($G699&lt;&gt;"",$I699&lt;&gt;"",$J699&lt;&gt;""),"Open","")))</f>
        <v/>
      </c>
      <c r="N699" s="47" t="n"/>
      <c r="O699">
        <f>IF($B699="","",IF($M699="Closed",IF($N699="","",$N699-$B699),TODAY()-$B699))</f>
        <v/>
      </c>
      <c r="P699">
        <f>IF(OR($B699="",$L699="",$M699="Closed"),"",IF(TODAY()&gt;$L699,"YES","NO"))</f>
        <v/>
      </c>
      <c r="Q699">
        <f>Weekly_Inspections!$AW699</f>
        <v/>
      </c>
    </row>
    <row r="700" ht="15" customHeight="1" s="45">
      <c r="A700">
        <f>IF(Weekly_Inspections!$B700="","",Weekly_Inspections!$A700&amp;"-A1")</f>
        <v/>
      </c>
      <c r="B700" s="47">
        <f>Weekly_Inspections!$B700</f>
        <v/>
      </c>
      <c r="C700">
        <f>Weekly_Inspections!$E700</f>
        <v/>
      </c>
      <c r="D700">
        <f>Weekly_Inspections!$F700</f>
        <v/>
      </c>
      <c r="E700">
        <f>Weekly_Inspections!$H700</f>
        <v/>
      </c>
      <c r="F700">
        <f>IF(Weekly_Inspections!$AX700&lt;&gt;"",Weekly_Inspections!$AX700,IF(Weekly_Inspections!$AY700&lt;&gt;"",Weekly_Inspections!$AY700,IF(Weekly_Inspections!$AZ700&lt;&gt;"",Weekly_Inspections!$AZ700,IF(Weekly_Inspections!$BA700&lt;&gt;"",Weekly_Inspections!$BA700,IF(Weekly_Inspections!$BB700&lt;&gt;"",Weekly_Inspections!$BB700,Weekly_Inspections!$R700)))))</f>
        <v/>
      </c>
      <c r="G700">
        <f>IF(OR(Weekly_Inspections!$AQ700&lt;&gt;"",Weekly_Inspections!$AR700&lt;&gt;"",Weekly_Inspections!$AS700&lt;&gt;""),Weekly_Inspections!$AQ700,"")</f>
        <v/>
      </c>
      <c r="H700">
        <f>Weekly_Inspections!$AP700</f>
        <v/>
      </c>
      <c r="I700">
        <f>Weekly_Inspections!$AR700</f>
        <v/>
      </c>
      <c r="J700">
        <f>Weekly_Inspections!$AS700</f>
        <v/>
      </c>
      <c r="K700">
        <f>Weekly_Inspections!$AU700</f>
        <v/>
      </c>
      <c r="L700" s="47">
        <f>Weekly_Inspections!$AV700</f>
        <v/>
      </c>
      <c r="M700">
        <f>IF($B700="","",IF($N700&lt;&gt;"","Closed",IF(OR($G700&lt;&gt;"",$I700&lt;&gt;"",$J700&lt;&gt;""),"Open","")))</f>
        <v/>
      </c>
      <c r="N700" s="47" t="n"/>
      <c r="O700">
        <f>IF($B700="","",IF($M700="Closed",IF($N700="","",$N700-$B700),TODAY()-$B700))</f>
        <v/>
      </c>
      <c r="P700">
        <f>IF(OR($B700="",$L700="",$M700="Closed"),"",IF(TODAY()&gt;$L700,"YES","NO"))</f>
        <v/>
      </c>
      <c r="Q700">
        <f>Weekly_Inspections!$AW700</f>
        <v/>
      </c>
    </row>
    <row r="701" ht="15" customHeight="1" s="45">
      <c r="A701">
        <f>IF(Weekly_Inspections!$B701="","",Weekly_Inspections!$A701&amp;"-A1")</f>
        <v/>
      </c>
      <c r="B701" s="47">
        <f>Weekly_Inspections!$B701</f>
        <v/>
      </c>
      <c r="C701">
        <f>Weekly_Inspections!$E701</f>
        <v/>
      </c>
      <c r="D701">
        <f>Weekly_Inspections!$F701</f>
        <v/>
      </c>
      <c r="E701">
        <f>Weekly_Inspections!$H701</f>
        <v/>
      </c>
      <c r="F701">
        <f>IF(Weekly_Inspections!$AX701&lt;&gt;"",Weekly_Inspections!$AX701,IF(Weekly_Inspections!$AY701&lt;&gt;"",Weekly_Inspections!$AY701,IF(Weekly_Inspections!$AZ701&lt;&gt;"",Weekly_Inspections!$AZ701,IF(Weekly_Inspections!$BA701&lt;&gt;"",Weekly_Inspections!$BA701,IF(Weekly_Inspections!$BB701&lt;&gt;"",Weekly_Inspections!$BB701,Weekly_Inspections!$R701)))))</f>
        <v/>
      </c>
      <c r="G701">
        <f>IF(OR(Weekly_Inspections!$AQ701&lt;&gt;"",Weekly_Inspections!$AR701&lt;&gt;"",Weekly_Inspections!$AS701&lt;&gt;""),Weekly_Inspections!$AQ701,"")</f>
        <v/>
      </c>
      <c r="H701">
        <f>Weekly_Inspections!$AP701</f>
        <v/>
      </c>
      <c r="I701">
        <f>Weekly_Inspections!$AR701</f>
        <v/>
      </c>
      <c r="J701">
        <f>Weekly_Inspections!$AS701</f>
        <v/>
      </c>
      <c r="K701">
        <f>Weekly_Inspections!$AU701</f>
        <v/>
      </c>
      <c r="L701" s="47">
        <f>Weekly_Inspections!$AV701</f>
        <v/>
      </c>
      <c r="M701">
        <f>IF($B701="","",IF($N701&lt;&gt;"","Closed",IF(OR($G701&lt;&gt;"",$I701&lt;&gt;"",$J701&lt;&gt;""),"Open","")))</f>
        <v/>
      </c>
      <c r="N701" s="47" t="n"/>
      <c r="O701">
        <f>IF($B701="","",IF($M701="Closed",IF($N701="","",$N701-$B701),TODAY()-$B701))</f>
        <v/>
      </c>
      <c r="P701">
        <f>IF(OR($B701="",$L701="",$M701="Closed"),"",IF(TODAY()&gt;$L701,"YES","NO"))</f>
        <v/>
      </c>
      <c r="Q701">
        <f>Weekly_Inspections!$AW701</f>
        <v/>
      </c>
    </row>
    <row r="702" ht="15" customHeight="1" s="45">
      <c r="A702">
        <f>IF(Weekly_Inspections!$B702="","",Weekly_Inspections!$A702&amp;"-A1")</f>
        <v/>
      </c>
      <c r="B702" s="47">
        <f>Weekly_Inspections!$B702</f>
        <v/>
      </c>
      <c r="C702">
        <f>Weekly_Inspections!$E702</f>
        <v/>
      </c>
      <c r="D702">
        <f>Weekly_Inspections!$F702</f>
        <v/>
      </c>
      <c r="E702">
        <f>Weekly_Inspections!$H702</f>
        <v/>
      </c>
      <c r="F702">
        <f>IF(Weekly_Inspections!$AX702&lt;&gt;"",Weekly_Inspections!$AX702,IF(Weekly_Inspections!$AY702&lt;&gt;"",Weekly_Inspections!$AY702,IF(Weekly_Inspections!$AZ702&lt;&gt;"",Weekly_Inspections!$AZ702,IF(Weekly_Inspections!$BA702&lt;&gt;"",Weekly_Inspections!$BA702,IF(Weekly_Inspections!$BB702&lt;&gt;"",Weekly_Inspections!$BB702,Weekly_Inspections!$R702)))))</f>
        <v/>
      </c>
      <c r="G702">
        <f>IF(OR(Weekly_Inspections!$AQ702&lt;&gt;"",Weekly_Inspections!$AR702&lt;&gt;"",Weekly_Inspections!$AS702&lt;&gt;""),Weekly_Inspections!$AQ702,"")</f>
        <v/>
      </c>
      <c r="H702">
        <f>Weekly_Inspections!$AP702</f>
        <v/>
      </c>
      <c r="I702">
        <f>Weekly_Inspections!$AR702</f>
        <v/>
      </c>
      <c r="J702">
        <f>Weekly_Inspections!$AS702</f>
        <v/>
      </c>
      <c r="K702">
        <f>Weekly_Inspections!$AU702</f>
        <v/>
      </c>
      <c r="L702" s="47">
        <f>Weekly_Inspections!$AV702</f>
        <v/>
      </c>
      <c r="M702">
        <f>IF($B702="","",IF($N702&lt;&gt;"","Closed",IF(OR($G702&lt;&gt;"",$I702&lt;&gt;"",$J702&lt;&gt;""),"Open","")))</f>
        <v/>
      </c>
      <c r="N702" s="47" t="n"/>
      <c r="O702">
        <f>IF($B702="","",IF($M702="Closed",IF($N702="","",$N702-$B702),TODAY()-$B702))</f>
        <v/>
      </c>
      <c r="P702">
        <f>IF(OR($B702="",$L702="",$M702="Closed"),"",IF(TODAY()&gt;$L702,"YES","NO"))</f>
        <v/>
      </c>
      <c r="Q702">
        <f>Weekly_Inspections!$AW702</f>
        <v/>
      </c>
    </row>
    <row r="703" ht="15" customHeight="1" s="45">
      <c r="A703">
        <f>IF(Weekly_Inspections!$B703="","",Weekly_Inspections!$A703&amp;"-A1")</f>
        <v/>
      </c>
      <c r="B703" s="47">
        <f>Weekly_Inspections!$B703</f>
        <v/>
      </c>
      <c r="C703">
        <f>Weekly_Inspections!$E703</f>
        <v/>
      </c>
      <c r="D703">
        <f>Weekly_Inspections!$F703</f>
        <v/>
      </c>
      <c r="E703">
        <f>Weekly_Inspections!$H703</f>
        <v/>
      </c>
      <c r="F703">
        <f>IF(Weekly_Inspections!$AX703&lt;&gt;"",Weekly_Inspections!$AX703,IF(Weekly_Inspections!$AY703&lt;&gt;"",Weekly_Inspections!$AY703,IF(Weekly_Inspections!$AZ703&lt;&gt;"",Weekly_Inspections!$AZ703,IF(Weekly_Inspections!$BA703&lt;&gt;"",Weekly_Inspections!$BA703,IF(Weekly_Inspections!$BB703&lt;&gt;"",Weekly_Inspections!$BB703,Weekly_Inspections!$R703)))))</f>
        <v/>
      </c>
      <c r="G703">
        <f>IF(OR(Weekly_Inspections!$AQ703&lt;&gt;"",Weekly_Inspections!$AR703&lt;&gt;"",Weekly_Inspections!$AS703&lt;&gt;""),Weekly_Inspections!$AQ703,"")</f>
        <v/>
      </c>
      <c r="H703">
        <f>Weekly_Inspections!$AP703</f>
        <v/>
      </c>
      <c r="I703">
        <f>Weekly_Inspections!$AR703</f>
        <v/>
      </c>
      <c r="J703">
        <f>Weekly_Inspections!$AS703</f>
        <v/>
      </c>
      <c r="K703">
        <f>Weekly_Inspections!$AU703</f>
        <v/>
      </c>
      <c r="L703" s="47">
        <f>Weekly_Inspections!$AV703</f>
        <v/>
      </c>
      <c r="M703">
        <f>IF($B703="","",IF($N703&lt;&gt;"","Closed",IF(OR($G703&lt;&gt;"",$I703&lt;&gt;"",$J703&lt;&gt;""),"Open","")))</f>
        <v/>
      </c>
      <c r="N703" s="47" t="n"/>
      <c r="O703">
        <f>IF($B703="","",IF($M703="Closed",IF($N703="","",$N703-$B703),TODAY()-$B703))</f>
        <v/>
      </c>
      <c r="P703">
        <f>IF(OR($B703="",$L703="",$M703="Closed"),"",IF(TODAY()&gt;$L703,"YES","NO"))</f>
        <v/>
      </c>
      <c r="Q703">
        <f>Weekly_Inspections!$AW703</f>
        <v/>
      </c>
    </row>
    <row r="704" ht="15" customHeight="1" s="45">
      <c r="A704">
        <f>IF(Weekly_Inspections!$B704="","",Weekly_Inspections!$A704&amp;"-A1")</f>
        <v/>
      </c>
      <c r="B704" s="47">
        <f>Weekly_Inspections!$B704</f>
        <v/>
      </c>
      <c r="C704">
        <f>Weekly_Inspections!$E704</f>
        <v/>
      </c>
      <c r="D704">
        <f>Weekly_Inspections!$F704</f>
        <v/>
      </c>
      <c r="E704">
        <f>Weekly_Inspections!$H704</f>
        <v/>
      </c>
      <c r="F704">
        <f>IF(Weekly_Inspections!$AX704&lt;&gt;"",Weekly_Inspections!$AX704,IF(Weekly_Inspections!$AY704&lt;&gt;"",Weekly_Inspections!$AY704,IF(Weekly_Inspections!$AZ704&lt;&gt;"",Weekly_Inspections!$AZ704,IF(Weekly_Inspections!$BA704&lt;&gt;"",Weekly_Inspections!$BA704,IF(Weekly_Inspections!$BB704&lt;&gt;"",Weekly_Inspections!$BB704,Weekly_Inspections!$R704)))))</f>
        <v/>
      </c>
      <c r="G704">
        <f>IF(OR(Weekly_Inspections!$AQ704&lt;&gt;"",Weekly_Inspections!$AR704&lt;&gt;"",Weekly_Inspections!$AS704&lt;&gt;""),Weekly_Inspections!$AQ704,"")</f>
        <v/>
      </c>
      <c r="H704">
        <f>Weekly_Inspections!$AP704</f>
        <v/>
      </c>
      <c r="I704">
        <f>Weekly_Inspections!$AR704</f>
        <v/>
      </c>
      <c r="J704">
        <f>Weekly_Inspections!$AS704</f>
        <v/>
      </c>
      <c r="K704">
        <f>Weekly_Inspections!$AU704</f>
        <v/>
      </c>
      <c r="L704" s="47">
        <f>Weekly_Inspections!$AV704</f>
        <v/>
      </c>
      <c r="M704">
        <f>IF($B704="","",IF($N704&lt;&gt;"","Closed",IF(OR($G704&lt;&gt;"",$I704&lt;&gt;"",$J704&lt;&gt;""),"Open","")))</f>
        <v/>
      </c>
      <c r="N704" s="47" t="n"/>
      <c r="O704">
        <f>IF($B704="","",IF($M704="Closed",IF($N704="","",$N704-$B704),TODAY()-$B704))</f>
        <v/>
      </c>
      <c r="P704">
        <f>IF(OR($B704="",$L704="",$M704="Closed"),"",IF(TODAY()&gt;$L704,"YES","NO"))</f>
        <v/>
      </c>
      <c r="Q704">
        <f>Weekly_Inspections!$AW704</f>
        <v/>
      </c>
    </row>
    <row r="705" ht="15" customHeight="1" s="45">
      <c r="A705">
        <f>IF(Weekly_Inspections!$B705="","",Weekly_Inspections!$A705&amp;"-A1")</f>
        <v/>
      </c>
      <c r="B705" s="47">
        <f>Weekly_Inspections!$B705</f>
        <v/>
      </c>
      <c r="C705">
        <f>Weekly_Inspections!$E705</f>
        <v/>
      </c>
      <c r="D705">
        <f>Weekly_Inspections!$F705</f>
        <v/>
      </c>
      <c r="E705">
        <f>Weekly_Inspections!$H705</f>
        <v/>
      </c>
      <c r="F705">
        <f>IF(Weekly_Inspections!$AX705&lt;&gt;"",Weekly_Inspections!$AX705,IF(Weekly_Inspections!$AY705&lt;&gt;"",Weekly_Inspections!$AY705,IF(Weekly_Inspections!$AZ705&lt;&gt;"",Weekly_Inspections!$AZ705,IF(Weekly_Inspections!$BA705&lt;&gt;"",Weekly_Inspections!$BA705,IF(Weekly_Inspections!$BB705&lt;&gt;"",Weekly_Inspections!$BB705,Weekly_Inspections!$R705)))))</f>
        <v/>
      </c>
      <c r="G705">
        <f>IF(OR(Weekly_Inspections!$AQ705&lt;&gt;"",Weekly_Inspections!$AR705&lt;&gt;"",Weekly_Inspections!$AS705&lt;&gt;""),Weekly_Inspections!$AQ705,"")</f>
        <v/>
      </c>
      <c r="H705">
        <f>Weekly_Inspections!$AP705</f>
        <v/>
      </c>
      <c r="I705">
        <f>Weekly_Inspections!$AR705</f>
        <v/>
      </c>
      <c r="J705">
        <f>Weekly_Inspections!$AS705</f>
        <v/>
      </c>
      <c r="K705">
        <f>Weekly_Inspections!$AU705</f>
        <v/>
      </c>
      <c r="L705" s="47">
        <f>Weekly_Inspections!$AV705</f>
        <v/>
      </c>
      <c r="M705">
        <f>IF($B705="","",IF($N705&lt;&gt;"","Closed",IF(OR($G705&lt;&gt;"",$I705&lt;&gt;"",$J705&lt;&gt;""),"Open","")))</f>
        <v/>
      </c>
      <c r="N705" s="47" t="n"/>
      <c r="O705">
        <f>IF($B705="","",IF($M705="Closed",IF($N705="","",$N705-$B705),TODAY()-$B705))</f>
        <v/>
      </c>
      <c r="P705">
        <f>IF(OR($B705="",$L705="",$M705="Closed"),"",IF(TODAY()&gt;$L705,"YES","NO"))</f>
        <v/>
      </c>
      <c r="Q705">
        <f>Weekly_Inspections!$AW705</f>
        <v/>
      </c>
    </row>
    <row r="706" ht="15" customHeight="1" s="45">
      <c r="A706">
        <f>IF(Weekly_Inspections!$B706="","",Weekly_Inspections!$A706&amp;"-A1")</f>
        <v/>
      </c>
      <c r="B706" s="47">
        <f>Weekly_Inspections!$B706</f>
        <v/>
      </c>
      <c r="C706">
        <f>Weekly_Inspections!$E706</f>
        <v/>
      </c>
      <c r="D706">
        <f>Weekly_Inspections!$F706</f>
        <v/>
      </c>
      <c r="E706">
        <f>Weekly_Inspections!$H706</f>
        <v/>
      </c>
      <c r="F706">
        <f>IF(Weekly_Inspections!$AX706&lt;&gt;"",Weekly_Inspections!$AX706,IF(Weekly_Inspections!$AY706&lt;&gt;"",Weekly_Inspections!$AY706,IF(Weekly_Inspections!$AZ706&lt;&gt;"",Weekly_Inspections!$AZ706,IF(Weekly_Inspections!$BA706&lt;&gt;"",Weekly_Inspections!$BA706,IF(Weekly_Inspections!$BB706&lt;&gt;"",Weekly_Inspections!$BB706,Weekly_Inspections!$R706)))))</f>
        <v/>
      </c>
      <c r="G706">
        <f>IF(OR(Weekly_Inspections!$AQ706&lt;&gt;"",Weekly_Inspections!$AR706&lt;&gt;"",Weekly_Inspections!$AS706&lt;&gt;""),Weekly_Inspections!$AQ706,"")</f>
        <v/>
      </c>
      <c r="H706">
        <f>Weekly_Inspections!$AP706</f>
        <v/>
      </c>
      <c r="I706">
        <f>Weekly_Inspections!$AR706</f>
        <v/>
      </c>
      <c r="J706">
        <f>Weekly_Inspections!$AS706</f>
        <v/>
      </c>
      <c r="K706">
        <f>Weekly_Inspections!$AU706</f>
        <v/>
      </c>
      <c r="L706" s="47">
        <f>Weekly_Inspections!$AV706</f>
        <v/>
      </c>
      <c r="M706">
        <f>IF($B706="","",IF($N706&lt;&gt;"","Closed",IF(OR($G706&lt;&gt;"",$I706&lt;&gt;"",$J706&lt;&gt;""),"Open","")))</f>
        <v/>
      </c>
      <c r="N706" s="47" t="n"/>
      <c r="O706">
        <f>IF($B706="","",IF($M706="Closed",IF($N706="","",$N706-$B706),TODAY()-$B706))</f>
        <v/>
      </c>
      <c r="P706">
        <f>IF(OR($B706="",$L706="",$M706="Closed"),"",IF(TODAY()&gt;$L706,"YES","NO"))</f>
        <v/>
      </c>
      <c r="Q706">
        <f>Weekly_Inspections!$AW706</f>
        <v/>
      </c>
    </row>
    <row r="707" ht="15" customHeight="1" s="45">
      <c r="A707">
        <f>IF(Weekly_Inspections!$B707="","",Weekly_Inspections!$A707&amp;"-A1")</f>
        <v/>
      </c>
      <c r="B707" s="47">
        <f>Weekly_Inspections!$B707</f>
        <v/>
      </c>
      <c r="C707">
        <f>Weekly_Inspections!$E707</f>
        <v/>
      </c>
      <c r="D707">
        <f>Weekly_Inspections!$F707</f>
        <v/>
      </c>
      <c r="E707">
        <f>Weekly_Inspections!$H707</f>
        <v/>
      </c>
      <c r="F707">
        <f>IF(Weekly_Inspections!$AX707&lt;&gt;"",Weekly_Inspections!$AX707,IF(Weekly_Inspections!$AY707&lt;&gt;"",Weekly_Inspections!$AY707,IF(Weekly_Inspections!$AZ707&lt;&gt;"",Weekly_Inspections!$AZ707,IF(Weekly_Inspections!$BA707&lt;&gt;"",Weekly_Inspections!$BA707,IF(Weekly_Inspections!$BB707&lt;&gt;"",Weekly_Inspections!$BB707,Weekly_Inspections!$R707)))))</f>
        <v/>
      </c>
      <c r="G707">
        <f>IF(OR(Weekly_Inspections!$AQ707&lt;&gt;"",Weekly_Inspections!$AR707&lt;&gt;"",Weekly_Inspections!$AS707&lt;&gt;""),Weekly_Inspections!$AQ707,"")</f>
        <v/>
      </c>
      <c r="H707">
        <f>Weekly_Inspections!$AP707</f>
        <v/>
      </c>
      <c r="I707">
        <f>Weekly_Inspections!$AR707</f>
        <v/>
      </c>
      <c r="J707">
        <f>Weekly_Inspections!$AS707</f>
        <v/>
      </c>
      <c r="K707">
        <f>Weekly_Inspections!$AU707</f>
        <v/>
      </c>
      <c r="L707" s="47">
        <f>Weekly_Inspections!$AV707</f>
        <v/>
      </c>
      <c r="M707">
        <f>IF($B707="","",IF($N707&lt;&gt;"","Closed",IF(OR($G707&lt;&gt;"",$I707&lt;&gt;"",$J707&lt;&gt;""),"Open","")))</f>
        <v/>
      </c>
      <c r="N707" s="47" t="n"/>
      <c r="O707">
        <f>IF($B707="","",IF($M707="Closed",IF($N707="","",$N707-$B707),TODAY()-$B707))</f>
        <v/>
      </c>
      <c r="P707">
        <f>IF(OR($B707="",$L707="",$M707="Closed"),"",IF(TODAY()&gt;$L707,"YES","NO"))</f>
        <v/>
      </c>
      <c r="Q707">
        <f>Weekly_Inspections!$AW707</f>
        <v/>
      </c>
    </row>
    <row r="708" ht="15" customHeight="1" s="45">
      <c r="A708">
        <f>IF(Weekly_Inspections!$B708="","",Weekly_Inspections!$A708&amp;"-A1")</f>
        <v/>
      </c>
      <c r="B708" s="47">
        <f>Weekly_Inspections!$B708</f>
        <v/>
      </c>
      <c r="C708">
        <f>Weekly_Inspections!$E708</f>
        <v/>
      </c>
      <c r="D708">
        <f>Weekly_Inspections!$F708</f>
        <v/>
      </c>
      <c r="E708">
        <f>Weekly_Inspections!$H708</f>
        <v/>
      </c>
      <c r="F708">
        <f>IF(Weekly_Inspections!$AX708&lt;&gt;"",Weekly_Inspections!$AX708,IF(Weekly_Inspections!$AY708&lt;&gt;"",Weekly_Inspections!$AY708,IF(Weekly_Inspections!$AZ708&lt;&gt;"",Weekly_Inspections!$AZ708,IF(Weekly_Inspections!$BA708&lt;&gt;"",Weekly_Inspections!$BA708,IF(Weekly_Inspections!$BB708&lt;&gt;"",Weekly_Inspections!$BB708,Weekly_Inspections!$R708)))))</f>
        <v/>
      </c>
      <c r="G708">
        <f>IF(OR(Weekly_Inspections!$AQ708&lt;&gt;"",Weekly_Inspections!$AR708&lt;&gt;"",Weekly_Inspections!$AS708&lt;&gt;""),Weekly_Inspections!$AQ708,"")</f>
        <v/>
      </c>
      <c r="H708">
        <f>Weekly_Inspections!$AP708</f>
        <v/>
      </c>
      <c r="I708">
        <f>Weekly_Inspections!$AR708</f>
        <v/>
      </c>
      <c r="J708">
        <f>Weekly_Inspections!$AS708</f>
        <v/>
      </c>
      <c r="K708">
        <f>Weekly_Inspections!$AU708</f>
        <v/>
      </c>
      <c r="L708" s="47">
        <f>Weekly_Inspections!$AV708</f>
        <v/>
      </c>
      <c r="M708">
        <f>IF($B708="","",IF($N708&lt;&gt;"","Closed",IF(OR($G708&lt;&gt;"",$I708&lt;&gt;"",$J708&lt;&gt;""),"Open","")))</f>
        <v/>
      </c>
      <c r="N708" s="47" t="n"/>
      <c r="O708">
        <f>IF($B708="","",IF($M708="Closed",IF($N708="","",$N708-$B708),TODAY()-$B708))</f>
        <v/>
      </c>
      <c r="P708">
        <f>IF(OR($B708="",$L708="",$M708="Closed"),"",IF(TODAY()&gt;$L708,"YES","NO"))</f>
        <v/>
      </c>
      <c r="Q708">
        <f>Weekly_Inspections!$AW708</f>
        <v/>
      </c>
    </row>
    <row r="709" ht="15" customHeight="1" s="45">
      <c r="A709">
        <f>IF(Weekly_Inspections!$B709="","",Weekly_Inspections!$A709&amp;"-A1")</f>
        <v/>
      </c>
      <c r="B709" s="47">
        <f>Weekly_Inspections!$B709</f>
        <v/>
      </c>
      <c r="C709">
        <f>Weekly_Inspections!$E709</f>
        <v/>
      </c>
      <c r="D709">
        <f>Weekly_Inspections!$F709</f>
        <v/>
      </c>
      <c r="E709">
        <f>Weekly_Inspections!$H709</f>
        <v/>
      </c>
      <c r="F709">
        <f>IF(Weekly_Inspections!$AX709&lt;&gt;"",Weekly_Inspections!$AX709,IF(Weekly_Inspections!$AY709&lt;&gt;"",Weekly_Inspections!$AY709,IF(Weekly_Inspections!$AZ709&lt;&gt;"",Weekly_Inspections!$AZ709,IF(Weekly_Inspections!$BA709&lt;&gt;"",Weekly_Inspections!$BA709,IF(Weekly_Inspections!$BB709&lt;&gt;"",Weekly_Inspections!$BB709,Weekly_Inspections!$R709)))))</f>
        <v/>
      </c>
      <c r="G709">
        <f>IF(OR(Weekly_Inspections!$AQ709&lt;&gt;"",Weekly_Inspections!$AR709&lt;&gt;"",Weekly_Inspections!$AS709&lt;&gt;""),Weekly_Inspections!$AQ709,"")</f>
        <v/>
      </c>
      <c r="H709">
        <f>Weekly_Inspections!$AP709</f>
        <v/>
      </c>
      <c r="I709">
        <f>Weekly_Inspections!$AR709</f>
        <v/>
      </c>
      <c r="J709">
        <f>Weekly_Inspections!$AS709</f>
        <v/>
      </c>
      <c r="K709">
        <f>Weekly_Inspections!$AU709</f>
        <v/>
      </c>
      <c r="L709" s="47">
        <f>Weekly_Inspections!$AV709</f>
        <v/>
      </c>
      <c r="M709">
        <f>IF($B709="","",IF($N709&lt;&gt;"","Closed",IF(OR($G709&lt;&gt;"",$I709&lt;&gt;"",$J709&lt;&gt;""),"Open","")))</f>
        <v/>
      </c>
      <c r="N709" s="47" t="n"/>
      <c r="O709">
        <f>IF($B709="","",IF($M709="Closed",IF($N709="","",$N709-$B709),TODAY()-$B709))</f>
        <v/>
      </c>
      <c r="P709">
        <f>IF(OR($B709="",$L709="",$M709="Closed"),"",IF(TODAY()&gt;$L709,"YES","NO"))</f>
        <v/>
      </c>
      <c r="Q709">
        <f>Weekly_Inspections!$AW709</f>
        <v/>
      </c>
    </row>
    <row r="710" ht="15" customHeight="1" s="45">
      <c r="A710">
        <f>IF(Weekly_Inspections!$B710="","",Weekly_Inspections!$A710&amp;"-A1")</f>
        <v/>
      </c>
      <c r="B710" s="47">
        <f>Weekly_Inspections!$B710</f>
        <v/>
      </c>
      <c r="C710">
        <f>Weekly_Inspections!$E710</f>
        <v/>
      </c>
      <c r="D710">
        <f>Weekly_Inspections!$F710</f>
        <v/>
      </c>
      <c r="E710">
        <f>Weekly_Inspections!$H710</f>
        <v/>
      </c>
      <c r="F710">
        <f>IF(Weekly_Inspections!$AX710&lt;&gt;"",Weekly_Inspections!$AX710,IF(Weekly_Inspections!$AY710&lt;&gt;"",Weekly_Inspections!$AY710,IF(Weekly_Inspections!$AZ710&lt;&gt;"",Weekly_Inspections!$AZ710,IF(Weekly_Inspections!$BA710&lt;&gt;"",Weekly_Inspections!$BA710,IF(Weekly_Inspections!$BB710&lt;&gt;"",Weekly_Inspections!$BB710,Weekly_Inspections!$R710)))))</f>
        <v/>
      </c>
      <c r="G710">
        <f>IF(OR(Weekly_Inspections!$AQ710&lt;&gt;"",Weekly_Inspections!$AR710&lt;&gt;"",Weekly_Inspections!$AS710&lt;&gt;""),Weekly_Inspections!$AQ710,"")</f>
        <v/>
      </c>
      <c r="H710">
        <f>Weekly_Inspections!$AP710</f>
        <v/>
      </c>
      <c r="I710">
        <f>Weekly_Inspections!$AR710</f>
        <v/>
      </c>
      <c r="J710">
        <f>Weekly_Inspections!$AS710</f>
        <v/>
      </c>
      <c r="K710">
        <f>Weekly_Inspections!$AU710</f>
        <v/>
      </c>
      <c r="L710" s="47">
        <f>Weekly_Inspections!$AV710</f>
        <v/>
      </c>
      <c r="M710">
        <f>IF($B710="","",IF($N710&lt;&gt;"","Closed",IF(OR($G710&lt;&gt;"",$I710&lt;&gt;"",$J710&lt;&gt;""),"Open","")))</f>
        <v/>
      </c>
      <c r="N710" s="47" t="n"/>
      <c r="O710">
        <f>IF($B710="","",IF($M710="Closed",IF($N710="","",$N710-$B710),TODAY()-$B710))</f>
        <v/>
      </c>
      <c r="P710">
        <f>IF(OR($B710="",$L710="",$M710="Closed"),"",IF(TODAY()&gt;$L710,"YES","NO"))</f>
        <v/>
      </c>
      <c r="Q710">
        <f>Weekly_Inspections!$AW710</f>
        <v/>
      </c>
    </row>
    <row r="711" ht="15" customHeight="1" s="45">
      <c r="A711">
        <f>IF(Weekly_Inspections!$B711="","",Weekly_Inspections!$A711&amp;"-A1")</f>
        <v/>
      </c>
      <c r="B711" s="47">
        <f>Weekly_Inspections!$B711</f>
        <v/>
      </c>
      <c r="C711">
        <f>Weekly_Inspections!$E711</f>
        <v/>
      </c>
      <c r="D711">
        <f>Weekly_Inspections!$F711</f>
        <v/>
      </c>
      <c r="E711">
        <f>Weekly_Inspections!$H711</f>
        <v/>
      </c>
      <c r="F711">
        <f>IF(Weekly_Inspections!$AX711&lt;&gt;"",Weekly_Inspections!$AX711,IF(Weekly_Inspections!$AY711&lt;&gt;"",Weekly_Inspections!$AY711,IF(Weekly_Inspections!$AZ711&lt;&gt;"",Weekly_Inspections!$AZ711,IF(Weekly_Inspections!$BA711&lt;&gt;"",Weekly_Inspections!$BA711,IF(Weekly_Inspections!$BB711&lt;&gt;"",Weekly_Inspections!$BB711,Weekly_Inspections!$R711)))))</f>
        <v/>
      </c>
      <c r="G711">
        <f>IF(OR(Weekly_Inspections!$AQ711&lt;&gt;"",Weekly_Inspections!$AR711&lt;&gt;"",Weekly_Inspections!$AS711&lt;&gt;""),Weekly_Inspections!$AQ711,"")</f>
        <v/>
      </c>
      <c r="H711">
        <f>Weekly_Inspections!$AP711</f>
        <v/>
      </c>
      <c r="I711">
        <f>Weekly_Inspections!$AR711</f>
        <v/>
      </c>
      <c r="J711">
        <f>Weekly_Inspections!$AS711</f>
        <v/>
      </c>
      <c r="K711">
        <f>Weekly_Inspections!$AU711</f>
        <v/>
      </c>
      <c r="L711" s="47">
        <f>Weekly_Inspections!$AV711</f>
        <v/>
      </c>
      <c r="M711">
        <f>IF($B711="","",IF($N711&lt;&gt;"","Closed",IF(OR($G711&lt;&gt;"",$I711&lt;&gt;"",$J711&lt;&gt;""),"Open","")))</f>
        <v/>
      </c>
      <c r="N711" s="47" t="n"/>
      <c r="O711">
        <f>IF($B711="","",IF($M711="Closed",IF($N711="","",$N711-$B711),TODAY()-$B711))</f>
        <v/>
      </c>
      <c r="P711">
        <f>IF(OR($B711="",$L711="",$M711="Closed"),"",IF(TODAY()&gt;$L711,"YES","NO"))</f>
        <v/>
      </c>
      <c r="Q711">
        <f>Weekly_Inspections!$AW711</f>
        <v/>
      </c>
    </row>
    <row r="712" ht="15" customHeight="1" s="45">
      <c r="A712">
        <f>IF(Weekly_Inspections!$B712="","",Weekly_Inspections!$A712&amp;"-A1")</f>
        <v/>
      </c>
      <c r="B712" s="47">
        <f>Weekly_Inspections!$B712</f>
        <v/>
      </c>
      <c r="C712">
        <f>Weekly_Inspections!$E712</f>
        <v/>
      </c>
      <c r="D712">
        <f>Weekly_Inspections!$F712</f>
        <v/>
      </c>
      <c r="E712">
        <f>Weekly_Inspections!$H712</f>
        <v/>
      </c>
      <c r="F712">
        <f>IF(Weekly_Inspections!$AX712&lt;&gt;"",Weekly_Inspections!$AX712,IF(Weekly_Inspections!$AY712&lt;&gt;"",Weekly_Inspections!$AY712,IF(Weekly_Inspections!$AZ712&lt;&gt;"",Weekly_Inspections!$AZ712,IF(Weekly_Inspections!$BA712&lt;&gt;"",Weekly_Inspections!$BA712,IF(Weekly_Inspections!$BB712&lt;&gt;"",Weekly_Inspections!$BB712,Weekly_Inspections!$R712)))))</f>
        <v/>
      </c>
      <c r="G712">
        <f>IF(OR(Weekly_Inspections!$AQ712&lt;&gt;"",Weekly_Inspections!$AR712&lt;&gt;"",Weekly_Inspections!$AS712&lt;&gt;""),Weekly_Inspections!$AQ712,"")</f>
        <v/>
      </c>
      <c r="H712">
        <f>Weekly_Inspections!$AP712</f>
        <v/>
      </c>
      <c r="I712">
        <f>Weekly_Inspections!$AR712</f>
        <v/>
      </c>
      <c r="J712">
        <f>Weekly_Inspections!$AS712</f>
        <v/>
      </c>
      <c r="K712">
        <f>Weekly_Inspections!$AU712</f>
        <v/>
      </c>
      <c r="L712" s="47">
        <f>Weekly_Inspections!$AV712</f>
        <v/>
      </c>
      <c r="M712">
        <f>IF($B712="","",IF($N712&lt;&gt;"","Closed",IF(OR($G712&lt;&gt;"",$I712&lt;&gt;"",$J712&lt;&gt;""),"Open","")))</f>
        <v/>
      </c>
      <c r="N712" s="47" t="n"/>
      <c r="O712">
        <f>IF($B712="","",IF($M712="Closed",IF($N712="","",$N712-$B712),TODAY()-$B712))</f>
        <v/>
      </c>
      <c r="P712">
        <f>IF(OR($B712="",$L712="",$M712="Closed"),"",IF(TODAY()&gt;$L712,"YES","NO"))</f>
        <v/>
      </c>
      <c r="Q712">
        <f>Weekly_Inspections!$AW712</f>
        <v/>
      </c>
    </row>
    <row r="713" ht="15" customHeight="1" s="45">
      <c r="A713">
        <f>IF(Weekly_Inspections!$B713="","",Weekly_Inspections!$A713&amp;"-A1")</f>
        <v/>
      </c>
      <c r="B713" s="47">
        <f>Weekly_Inspections!$B713</f>
        <v/>
      </c>
      <c r="C713">
        <f>Weekly_Inspections!$E713</f>
        <v/>
      </c>
      <c r="D713">
        <f>Weekly_Inspections!$F713</f>
        <v/>
      </c>
      <c r="E713">
        <f>Weekly_Inspections!$H713</f>
        <v/>
      </c>
      <c r="F713">
        <f>IF(Weekly_Inspections!$AX713&lt;&gt;"",Weekly_Inspections!$AX713,IF(Weekly_Inspections!$AY713&lt;&gt;"",Weekly_Inspections!$AY713,IF(Weekly_Inspections!$AZ713&lt;&gt;"",Weekly_Inspections!$AZ713,IF(Weekly_Inspections!$BA713&lt;&gt;"",Weekly_Inspections!$BA713,IF(Weekly_Inspections!$BB713&lt;&gt;"",Weekly_Inspections!$BB713,Weekly_Inspections!$R713)))))</f>
        <v/>
      </c>
      <c r="G713">
        <f>IF(OR(Weekly_Inspections!$AQ713&lt;&gt;"",Weekly_Inspections!$AR713&lt;&gt;"",Weekly_Inspections!$AS713&lt;&gt;""),Weekly_Inspections!$AQ713,"")</f>
        <v/>
      </c>
      <c r="H713">
        <f>Weekly_Inspections!$AP713</f>
        <v/>
      </c>
      <c r="I713">
        <f>Weekly_Inspections!$AR713</f>
        <v/>
      </c>
      <c r="J713">
        <f>Weekly_Inspections!$AS713</f>
        <v/>
      </c>
      <c r="K713">
        <f>Weekly_Inspections!$AU713</f>
        <v/>
      </c>
      <c r="L713" s="47">
        <f>Weekly_Inspections!$AV713</f>
        <v/>
      </c>
      <c r="M713">
        <f>IF($B713="","",IF($N713&lt;&gt;"","Closed",IF(OR($G713&lt;&gt;"",$I713&lt;&gt;"",$J713&lt;&gt;""),"Open","")))</f>
        <v/>
      </c>
      <c r="N713" s="47" t="n"/>
      <c r="O713">
        <f>IF($B713="","",IF($M713="Closed",IF($N713="","",$N713-$B713),TODAY()-$B713))</f>
        <v/>
      </c>
      <c r="P713">
        <f>IF(OR($B713="",$L713="",$M713="Closed"),"",IF(TODAY()&gt;$L713,"YES","NO"))</f>
        <v/>
      </c>
      <c r="Q713">
        <f>Weekly_Inspections!$AW713</f>
        <v/>
      </c>
    </row>
    <row r="714" ht="15" customHeight="1" s="45">
      <c r="A714">
        <f>IF(Weekly_Inspections!$B714="","",Weekly_Inspections!$A714&amp;"-A1")</f>
        <v/>
      </c>
      <c r="B714" s="47">
        <f>Weekly_Inspections!$B714</f>
        <v/>
      </c>
      <c r="C714">
        <f>Weekly_Inspections!$E714</f>
        <v/>
      </c>
      <c r="D714">
        <f>Weekly_Inspections!$F714</f>
        <v/>
      </c>
      <c r="E714">
        <f>Weekly_Inspections!$H714</f>
        <v/>
      </c>
      <c r="F714">
        <f>IF(Weekly_Inspections!$AX714&lt;&gt;"",Weekly_Inspections!$AX714,IF(Weekly_Inspections!$AY714&lt;&gt;"",Weekly_Inspections!$AY714,IF(Weekly_Inspections!$AZ714&lt;&gt;"",Weekly_Inspections!$AZ714,IF(Weekly_Inspections!$BA714&lt;&gt;"",Weekly_Inspections!$BA714,IF(Weekly_Inspections!$BB714&lt;&gt;"",Weekly_Inspections!$BB714,Weekly_Inspections!$R714)))))</f>
        <v/>
      </c>
      <c r="G714">
        <f>IF(OR(Weekly_Inspections!$AQ714&lt;&gt;"",Weekly_Inspections!$AR714&lt;&gt;"",Weekly_Inspections!$AS714&lt;&gt;""),Weekly_Inspections!$AQ714,"")</f>
        <v/>
      </c>
      <c r="H714">
        <f>Weekly_Inspections!$AP714</f>
        <v/>
      </c>
      <c r="I714">
        <f>Weekly_Inspections!$AR714</f>
        <v/>
      </c>
      <c r="J714">
        <f>Weekly_Inspections!$AS714</f>
        <v/>
      </c>
      <c r="K714">
        <f>Weekly_Inspections!$AU714</f>
        <v/>
      </c>
      <c r="L714" s="47">
        <f>Weekly_Inspections!$AV714</f>
        <v/>
      </c>
      <c r="M714">
        <f>IF($B714="","",IF($N714&lt;&gt;"","Closed",IF(OR($G714&lt;&gt;"",$I714&lt;&gt;"",$J714&lt;&gt;""),"Open","")))</f>
        <v/>
      </c>
      <c r="N714" s="47" t="n"/>
      <c r="O714">
        <f>IF($B714="","",IF($M714="Closed",IF($N714="","",$N714-$B714),TODAY()-$B714))</f>
        <v/>
      </c>
      <c r="P714">
        <f>IF(OR($B714="",$L714="",$M714="Closed"),"",IF(TODAY()&gt;$L714,"YES","NO"))</f>
        <v/>
      </c>
      <c r="Q714">
        <f>Weekly_Inspections!$AW714</f>
        <v/>
      </c>
    </row>
    <row r="715" ht="15" customHeight="1" s="45">
      <c r="A715">
        <f>IF(Weekly_Inspections!$B715="","",Weekly_Inspections!$A715&amp;"-A1")</f>
        <v/>
      </c>
      <c r="B715" s="47">
        <f>Weekly_Inspections!$B715</f>
        <v/>
      </c>
      <c r="C715">
        <f>Weekly_Inspections!$E715</f>
        <v/>
      </c>
      <c r="D715">
        <f>Weekly_Inspections!$F715</f>
        <v/>
      </c>
      <c r="E715">
        <f>Weekly_Inspections!$H715</f>
        <v/>
      </c>
      <c r="F715">
        <f>IF(Weekly_Inspections!$AX715&lt;&gt;"",Weekly_Inspections!$AX715,IF(Weekly_Inspections!$AY715&lt;&gt;"",Weekly_Inspections!$AY715,IF(Weekly_Inspections!$AZ715&lt;&gt;"",Weekly_Inspections!$AZ715,IF(Weekly_Inspections!$BA715&lt;&gt;"",Weekly_Inspections!$BA715,IF(Weekly_Inspections!$BB715&lt;&gt;"",Weekly_Inspections!$BB715,Weekly_Inspections!$R715)))))</f>
        <v/>
      </c>
      <c r="G715">
        <f>IF(OR(Weekly_Inspections!$AQ715&lt;&gt;"",Weekly_Inspections!$AR715&lt;&gt;"",Weekly_Inspections!$AS715&lt;&gt;""),Weekly_Inspections!$AQ715,"")</f>
        <v/>
      </c>
      <c r="H715">
        <f>Weekly_Inspections!$AP715</f>
        <v/>
      </c>
      <c r="I715">
        <f>Weekly_Inspections!$AR715</f>
        <v/>
      </c>
      <c r="J715">
        <f>Weekly_Inspections!$AS715</f>
        <v/>
      </c>
      <c r="K715">
        <f>Weekly_Inspections!$AU715</f>
        <v/>
      </c>
      <c r="L715" s="47">
        <f>Weekly_Inspections!$AV715</f>
        <v/>
      </c>
      <c r="M715">
        <f>IF($B715="","",IF($N715&lt;&gt;"","Closed",IF(OR($G715&lt;&gt;"",$I715&lt;&gt;"",$J715&lt;&gt;""),"Open","")))</f>
        <v/>
      </c>
      <c r="N715" s="47" t="n"/>
      <c r="O715">
        <f>IF($B715="","",IF($M715="Closed",IF($N715="","",$N715-$B715),TODAY()-$B715))</f>
        <v/>
      </c>
      <c r="P715">
        <f>IF(OR($B715="",$L715="",$M715="Closed"),"",IF(TODAY()&gt;$L715,"YES","NO"))</f>
        <v/>
      </c>
      <c r="Q715">
        <f>Weekly_Inspections!$AW715</f>
        <v/>
      </c>
    </row>
    <row r="716" ht="15" customHeight="1" s="45">
      <c r="A716">
        <f>IF(Weekly_Inspections!$B716="","",Weekly_Inspections!$A716&amp;"-A1")</f>
        <v/>
      </c>
      <c r="B716" s="47">
        <f>Weekly_Inspections!$B716</f>
        <v/>
      </c>
      <c r="C716">
        <f>Weekly_Inspections!$E716</f>
        <v/>
      </c>
      <c r="D716">
        <f>Weekly_Inspections!$F716</f>
        <v/>
      </c>
      <c r="E716">
        <f>Weekly_Inspections!$H716</f>
        <v/>
      </c>
      <c r="F716">
        <f>IF(Weekly_Inspections!$AX716&lt;&gt;"",Weekly_Inspections!$AX716,IF(Weekly_Inspections!$AY716&lt;&gt;"",Weekly_Inspections!$AY716,IF(Weekly_Inspections!$AZ716&lt;&gt;"",Weekly_Inspections!$AZ716,IF(Weekly_Inspections!$BA716&lt;&gt;"",Weekly_Inspections!$BA716,IF(Weekly_Inspections!$BB716&lt;&gt;"",Weekly_Inspections!$BB716,Weekly_Inspections!$R716)))))</f>
        <v/>
      </c>
      <c r="G716">
        <f>IF(OR(Weekly_Inspections!$AQ716&lt;&gt;"",Weekly_Inspections!$AR716&lt;&gt;"",Weekly_Inspections!$AS716&lt;&gt;""),Weekly_Inspections!$AQ716,"")</f>
        <v/>
      </c>
      <c r="H716">
        <f>Weekly_Inspections!$AP716</f>
        <v/>
      </c>
      <c r="I716">
        <f>Weekly_Inspections!$AR716</f>
        <v/>
      </c>
      <c r="J716">
        <f>Weekly_Inspections!$AS716</f>
        <v/>
      </c>
      <c r="K716">
        <f>Weekly_Inspections!$AU716</f>
        <v/>
      </c>
      <c r="L716" s="47">
        <f>Weekly_Inspections!$AV716</f>
        <v/>
      </c>
      <c r="M716">
        <f>IF($B716="","",IF($N716&lt;&gt;"","Closed",IF(OR($G716&lt;&gt;"",$I716&lt;&gt;"",$J716&lt;&gt;""),"Open","")))</f>
        <v/>
      </c>
      <c r="N716" s="47" t="n"/>
      <c r="O716">
        <f>IF($B716="","",IF($M716="Closed",IF($N716="","",$N716-$B716),TODAY()-$B716))</f>
        <v/>
      </c>
      <c r="P716">
        <f>IF(OR($B716="",$L716="",$M716="Closed"),"",IF(TODAY()&gt;$L716,"YES","NO"))</f>
        <v/>
      </c>
      <c r="Q716">
        <f>Weekly_Inspections!$AW716</f>
        <v/>
      </c>
    </row>
    <row r="717" ht="15" customHeight="1" s="45">
      <c r="A717">
        <f>IF(Weekly_Inspections!$B717="","",Weekly_Inspections!$A717&amp;"-A1")</f>
        <v/>
      </c>
      <c r="B717" s="47">
        <f>Weekly_Inspections!$B717</f>
        <v/>
      </c>
      <c r="C717">
        <f>Weekly_Inspections!$E717</f>
        <v/>
      </c>
      <c r="D717">
        <f>Weekly_Inspections!$F717</f>
        <v/>
      </c>
      <c r="E717">
        <f>Weekly_Inspections!$H717</f>
        <v/>
      </c>
      <c r="F717">
        <f>IF(Weekly_Inspections!$AX717&lt;&gt;"",Weekly_Inspections!$AX717,IF(Weekly_Inspections!$AY717&lt;&gt;"",Weekly_Inspections!$AY717,IF(Weekly_Inspections!$AZ717&lt;&gt;"",Weekly_Inspections!$AZ717,IF(Weekly_Inspections!$BA717&lt;&gt;"",Weekly_Inspections!$BA717,IF(Weekly_Inspections!$BB717&lt;&gt;"",Weekly_Inspections!$BB717,Weekly_Inspections!$R717)))))</f>
        <v/>
      </c>
      <c r="G717">
        <f>IF(OR(Weekly_Inspections!$AQ717&lt;&gt;"",Weekly_Inspections!$AR717&lt;&gt;"",Weekly_Inspections!$AS717&lt;&gt;""),Weekly_Inspections!$AQ717,"")</f>
        <v/>
      </c>
      <c r="H717">
        <f>Weekly_Inspections!$AP717</f>
        <v/>
      </c>
      <c r="I717">
        <f>Weekly_Inspections!$AR717</f>
        <v/>
      </c>
      <c r="J717">
        <f>Weekly_Inspections!$AS717</f>
        <v/>
      </c>
      <c r="K717">
        <f>Weekly_Inspections!$AU717</f>
        <v/>
      </c>
      <c r="L717" s="47">
        <f>Weekly_Inspections!$AV717</f>
        <v/>
      </c>
      <c r="M717">
        <f>IF($B717="","",IF($N717&lt;&gt;"","Closed",IF(OR($G717&lt;&gt;"",$I717&lt;&gt;"",$J717&lt;&gt;""),"Open","")))</f>
        <v/>
      </c>
      <c r="N717" s="47" t="n"/>
      <c r="O717">
        <f>IF($B717="","",IF($M717="Closed",IF($N717="","",$N717-$B717),TODAY()-$B717))</f>
        <v/>
      </c>
      <c r="P717">
        <f>IF(OR($B717="",$L717="",$M717="Closed"),"",IF(TODAY()&gt;$L717,"YES","NO"))</f>
        <v/>
      </c>
      <c r="Q717">
        <f>Weekly_Inspections!$AW717</f>
        <v/>
      </c>
    </row>
    <row r="718" ht="15" customHeight="1" s="45">
      <c r="A718">
        <f>IF(Weekly_Inspections!$B718="","",Weekly_Inspections!$A718&amp;"-A1")</f>
        <v/>
      </c>
      <c r="B718" s="47">
        <f>Weekly_Inspections!$B718</f>
        <v/>
      </c>
      <c r="C718">
        <f>Weekly_Inspections!$E718</f>
        <v/>
      </c>
      <c r="D718">
        <f>Weekly_Inspections!$F718</f>
        <v/>
      </c>
      <c r="E718">
        <f>Weekly_Inspections!$H718</f>
        <v/>
      </c>
      <c r="F718">
        <f>IF(Weekly_Inspections!$AX718&lt;&gt;"",Weekly_Inspections!$AX718,IF(Weekly_Inspections!$AY718&lt;&gt;"",Weekly_Inspections!$AY718,IF(Weekly_Inspections!$AZ718&lt;&gt;"",Weekly_Inspections!$AZ718,IF(Weekly_Inspections!$BA718&lt;&gt;"",Weekly_Inspections!$BA718,IF(Weekly_Inspections!$BB718&lt;&gt;"",Weekly_Inspections!$BB718,Weekly_Inspections!$R718)))))</f>
        <v/>
      </c>
      <c r="G718">
        <f>IF(OR(Weekly_Inspections!$AQ718&lt;&gt;"",Weekly_Inspections!$AR718&lt;&gt;"",Weekly_Inspections!$AS718&lt;&gt;""),Weekly_Inspections!$AQ718,"")</f>
        <v/>
      </c>
      <c r="H718">
        <f>Weekly_Inspections!$AP718</f>
        <v/>
      </c>
      <c r="I718">
        <f>Weekly_Inspections!$AR718</f>
        <v/>
      </c>
      <c r="J718">
        <f>Weekly_Inspections!$AS718</f>
        <v/>
      </c>
      <c r="K718">
        <f>Weekly_Inspections!$AU718</f>
        <v/>
      </c>
      <c r="L718" s="47">
        <f>Weekly_Inspections!$AV718</f>
        <v/>
      </c>
      <c r="M718">
        <f>IF($B718="","",IF($N718&lt;&gt;"","Closed",IF(OR($G718&lt;&gt;"",$I718&lt;&gt;"",$J718&lt;&gt;""),"Open","")))</f>
        <v/>
      </c>
      <c r="N718" s="47" t="n"/>
      <c r="O718">
        <f>IF($B718="","",IF($M718="Closed",IF($N718="","",$N718-$B718),TODAY()-$B718))</f>
        <v/>
      </c>
      <c r="P718">
        <f>IF(OR($B718="",$L718="",$M718="Closed"),"",IF(TODAY()&gt;$L718,"YES","NO"))</f>
        <v/>
      </c>
      <c r="Q718">
        <f>Weekly_Inspections!$AW718</f>
        <v/>
      </c>
    </row>
    <row r="719" ht="15" customHeight="1" s="45">
      <c r="A719">
        <f>IF(Weekly_Inspections!$B719="","",Weekly_Inspections!$A719&amp;"-A1")</f>
        <v/>
      </c>
      <c r="B719" s="47">
        <f>Weekly_Inspections!$B719</f>
        <v/>
      </c>
      <c r="C719">
        <f>Weekly_Inspections!$E719</f>
        <v/>
      </c>
      <c r="D719">
        <f>Weekly_Inspections!$F719</f>
        <v/>
      </c>
      <c r="E719">
        <f>Weekly_Inspections!$H719</f>
        <v/>
      </c>
      <c r="F719">
        <f>IF(Weekly_Inspections!$AX719&lt;&gt;"",Weekly_Inspections!$AX719,IF(Weekly_Inspections!$AY719&lt;&gt;"",Weekly_Inspections!$AY719,IF(Weekly_Inspections!$AZ719&lt;&gt;"",Weekly_Inspections!$AZ719,IF(Weekly_Inspections!$BA719&lt;&gt;"",Weekly_Inspections!$BA719,IF(Weekly_Inspections!$BB719&lt;&gt;"",Weekly_Inspections!$BB719,Weekly_Inspections!$R719)))))</f>
        <v/>
      </c>
      <c r="G719">
        <f>IF(OR(Weekly_Inspections!$AQ719&lt;&gt;"",Weekly_Inspections!$AR719&lt;&gt;"",Weekly_Inspections!$AS719&lt;&gt;""),Weekly_Inspections!$AQ719,"")</f>
        <v/>
      </c>
      <c r="H719">
        <f>Weekly_Inspections!$AP719</f>
        <v/>
      </c>
      <c r="I719">
        <f>Weekly_Inspections!$AR719</f>
        <v/>
      </c>
      <c r="J719">
        <f>Weekly_Inspections!$AS719</f>
        <v/>
      </c>
      <c r="K719">
        <f>Weekly_Inspections!$AU719</f>
        <v/>
      </c>
      <c r="L719" s="47">
        <f>Weekly_Inspections!$AV719</f>
        <v/>
      </c>
      <c r="M719">
        <f>IF($B719="","",IF($N719&lt;&gt;"","Closed",IF(OR($G719&lt;&gt;"",$I719&lt;&gt;"",$J719&lt;&gt;""),"Open","")))</f>
        <v/>
      </c>
      <c r="N719" s="47" t="n"/>
      <c r="O719">
        <f>IF($B719="","",IF($M719="Closed",IF($N719="","",$N719-$B719),TODAY()-$B719))</f>
        <v/>
      </c>
      <c r="P719">
        <f>IF(OR($B719="",$L719="",$M719="Closed"),"",IF(TODAY()&gt;$L719,"YES","NO"))</f>
        <v/>
      </c>
      <c r="Q719">
        <f>Weekly_Inspections!$AW719</f>
        <v/>
      </c>
    </row>
    <row r="720" ht="15" customHeight="1" s="45">
      <c r="A720">
        <f>IF(Weekly_Inspections!$B720="","",Weekly_Inspections!$A720&amp;"-A1")</f>
        <v/>
      </c>
      <c r="B720" s="47">
        <f>Weekly_Inspections!$B720</f>
        <v/>
      </c>
      <c r="C720">
        <f>Weekly_Inspections!$E720</f>
        <v/>
      </c>
      <c r="D720">
        <f>Weekly_Inspections!$F720</f>
        <v/>
      </c>
      <c r="E720">
        <f>Weekly_Inspections!$H720</f>
        <v/>
      </c>
      <c r="F720">
        <f>IF(Weekly_Inspections!$AX720&lt;&gt;"",Weekly_Inspections!$AX720,IF(Weekly_Inspections!$AY720&lt;&gt;"",Weekly_Inspections!$AY720,IF(Weekly_Inspections!$AZ720&lt;&gt;"",Weekly_Inspections!$AZ720,IF(Weekly_Inspections!$BA720&lt;&gt;"",Weekly_Inspections!$BA720,IF(Weekly_Inspections!$BB720&lt;&gt;"",Weekly_Inspections!$BB720,Weekly_Inspections!$R720)))))</f>
        <v/>
      </c>
      <c r="G720">
        <f>IF(OR(Weekly_Inspections!$AQ720&lt;&gt;"",Weekly_Inspections!$AR720&lt;&gt;"",Weekly_Inspections!$AS720&lt;&gt;""),Weekly_Inspections!$AQ720,"")</f>
        <v/>
      </c>
      <c r="H720">
        <f>Weekly_Inspections!$AP720</f>
        <v/>
      </c>
      <c r="I720">
        <f>Weekly_Inspections!$AR720</f>
        <v/>
      </c>
      <c r="J720">
        <f>Weekly_Inspections!$AS720</f>
        <v/>
      </c>
      <c r="K720">
        <f>Weekly_Inspections!$AU720</f>
        <v/>
      </c>
      <c r="L720" s="47">
        <f>Weekly_Inspections!$AV720</f>
        <v/>
      </c>
      <c r="M720">
        <f>IF($B720="","",IF($N720&lt;&gt;"","Closed",IF(OR($G720&lt;&gt;"",$I720&lt;&gt;"",$J720&lt;&gt;""),"Open","")))</f>
        <v/>
      </c>
      <c r="N720" s="47" t="n"/>
      <c r="O720">
        <f>IF($B720="","",IF($M720="Closed",IF($N720="","",$N720-$B720),TODAY()-$B720))</f>
        <v/>
      </c>
      <c r="P720">
        <f>IF(OR($B720="",$L720="",$M720="Closed"),"",IF(TODAY()&gt;$L720,"YES","NO"))</f>
        <v/>
      </c>
      <c r="Q720">
        <f>Weekly_Inspections!$AW720</f>
        <v/>
      </c>
    </row>
    <row r="721" ht="15" customHeight="1" s="45">
      <c r="A721">
        <f>IF(Weekly_Inspections!$B721="","",Weekly_Inspections!$A721&amp;"-A1")</f>
        <v/>
      </c>
      <c r="B721" s="47">
        <f>Weekly_Inspections!$B721</f>
        <v/>
      </c>
      <c r="C721">
        <f>Weekly_Inspections!$E721</f>
        <v/>
      </c>
      <c r="D721">
        <f>Weekly_Inspections!$F721</f>
        <v/>
      </c>
      <c r="E721">
        <f>Weekly_Inspections!$H721</f>
        <v/>
      </c>
      <c r="F721">
        <f>IF(Weekly_Inspections!$AX721&lt;&gt;"",Weekly_Inspections!$AX721,IF(Weekly_Inspections!$AY721&lt;&gt;"",Weekly_Inspections!$AY721,IF(Weekly_Inspections!$AZ721&lt;&gt;"",Weekly_Inspections!$AZ721,IF(Weekly_Inspections!$BA721&lt;&gt;"",Weekly_Inspections!$BA721,IF(Weekly_Inspections!$BB721&lt;&gt;"",Weekly_Inspections!$BB721,Weekly_Inspections!$R721)))))</f>
        <v/>
      </c>
      <c r="G721">
        <f>IF(OR(Weekly_Inspections!$AQ721&lt;&gt;"",Weekly_Inspections!$AR721&lt;&gt;"",Weekly_Inspections!$AS721&lt;&gt;""),Weekly_Inspections!$AQ721,"")</f>
        <v/>
      </c>
      <c r="H721">
        <f>Weekly_Inspections!$AP721</f>
        <v/>
      </c>
      <c r="I721">
        <f>Weekly_Inspections!$AR721</f>
        <v/>
      </c>
      <c r="J721">
        <f>Weekly_Inspections!$AS721</f>
        <v/>
      </c>
      <c r="K721">
        <f>Weekly_Inspections!$AU721</f>
        <v/>
      </c>
      <c r="L721" s="47">
        <f>Weekly_Inspections!$AV721</f>
        <v/>
      </c>
      <c r="M721">
        <f>IF($B721="","",IF($N721&lt;&gt;"","Closed",IF(OR($G721&lt;&gt;"",$I721&lt;&gt;"",$J721&lt;&gt;""),"Open","")))</f>
        <v/>
      </c>
      <c r="N721" s="47" t="n"/>
      <c r="O721">
        <f>IF($B721="","",IF($M721="Closed",IF($N721="","",$N721-$B721),TODAY()-$B721))</f>
        <v/>
      </c>
      <c r="P721">
        <f>IF(OR($B721="",$L721="",$M721="Closed"),"",IF(TODAY()&gt;$L721,"YES","NO"))</f>
        <v/>
      </c>
      <c r="Q721">
        <f>Weekly_Inspections!$AW721</f>
        <v/>
      </c>
    </row>
    <row r="722" ht="15" customHeight="1" s="45">
      <c r="A722">
        <f>IF(Weekly_Inspections!$B722="","",Weekly_Inspections!$A722&amp;"-A1")</f>
        <v/>
      </c>
      <c r="B722" s="47">
        <f>Weekly_Inspections!$B722</f>
        <v/>
      </c>
      <c r="C722">
        <f>Weekly_Inspections!$E722</f>
        <v/>
      </c>
      <c r="D722">
        <f>Weekly_Inspections!$F722</f>
        <v/>
      </c>
      <c r="E722">
        <f>Weekly_Inspections!$H722</f>
        <v/>
      </c>
      <c r="F722">
        <f>IF(Weekly_Inspections!$AX722&lt;&gt;"",Weekly_Inspections!$AX722,IF(Weekly_Inspections!$AY722&lt;&gt;"",Weekly_Inspections!$AY722,IF(Weekly_Inspections!$AZ722&lt;&gt;"",Weekly_Inspections!$AZ722,IF(Weekly_Inspections!$BA722&lt;&gt;"",Weekly_Inspections!$BA722,IF(Weekly_Inspections!$BB722&lt;&gt;"",Weekly_Inspections!$BB722,Weekly_Inspections!$R722)))))</f>
        <v/>
      </c>
      <c r="G722">
        <f>IF(OR(Weekly_Inspections!$AQ722&lt;&gt;"",Weekly_Inspections!$AR722&lt;&gt;"",Weekly_Inspections!$AS722&lt;&gt;""),Weekly_Inspections!$AQ722,"")</f>
        <v/>
      </c>
      <c r="H722">
        <f>Weekly_Inspections!$AP722</f>
        <v/>
      </c>
      <c r="I722">
        <f>Weekly_Inspections!$AR722</f>
        <v/>
      </c>
      <c r="J722">
        <f>Weekly_Inspections!$AS722</f>
        <v/>
      </c>
      <c r="K722">
        <f>Weekly_Inspections!$AU722</f>
        <v/>
      </c>
      <c r="L722" s="47">
        <f>Weekly_Inspections!$AV722</f>
        <v/>
      </c>
      <c r="M722">
        <f>IF($B722="","",IF($N722&lt;&gt;"","Closed",IF(OR($G722&lt;&gt;"",$I722&lt;&gt;"",$J722&lt;&gt;""),"Open","")))</f>
        <v/>
      </c>
      <c r="N722" s="47" t="n"/>
      <c r="O722">
        <f>IF($B722="","",IF($M722="Closed",IF($N722="","",$N722-$B722),TODAY()-$B722))</f>
        <v/>
      </c>
      <c r="P722">
        <f>IF(OR($B722="",$L722="",$M722="Closed"),"",IF(TODAY()&gt;$L722,"YES","NO"))</f>
        <v/>
      </c>
      <c r="Q722">
        <f>Weekly_Inspections!$AW722</f>
        <v/>
      </c>
    </row>
    <row r="723" ht="15" customHeight="1" s="45">
      <c r="A723">
        <f>IF(Weekly_Inspections!$B723="","",Weekly_Inspections!$A723&amp;"-A1")</f>
        <v/>
      </c>
      <c r="B723" s="47">
        <f>Weekly_Inspections!$B723</f>
        <v/>
      </c>
      <c r="C723">
        <f>Weekly_Inspections!$E723</f>
        <v/>
      </c>
      <c r="D723">
        <f>Weekly_Inspections!$F723</f>
        <v/>
      </c>
      <c r="E723">
        <f>Weekly_Inspections!$H723</f>
        <v/>
      </c>
      <c r="F723">
        <f>IF(Weekly_Inspections!$AX723&lt;&gt;"",Weekly_Inspections!$AX723,IF(Weekly_Inspections!$AY723&lt;&gt;"",Weekly_Inspections!$AY723,IF(Weekly_Inspections!$AZ723&lt;&gt;"",Weekly_Inspections!$AZ723,IF(Weekly_Inspections!$BA723&lt;&gt;"",Weekly_Inspections!$BA723,IF(Weekly_Inspections!$BB723&lt;&gt;"",Weekly_Inspections!$BB723,Weekly_Inspections!$R723)))))</f>
        <v/>
      </c>
      <c r="G723">
        <f>IF(OR(Weekly_Inspections!$AQ723&lt;&gt;"",Weekly_Inspections!$AR723&lt;&gt;"",Weekly_Inspections!$AS723&lt;&gt;""),Weekly_Inspections!$AQ723,"")</f>
        <v/>
      </c>
      <c r="H723">
        <f>Weekly_Inspections!$AP723</f>
        <v/>
      </c>
      <c r="I723">
        <f>Weekly_Inspections!$AR723</f>
        <v/>
      </c>
      <c r="J723">
        <f>Weekly_Inspections!$AS723</f>
        <v/>
      </c>
      <c r="K723">
        <f>Weekly_Inspections!$AU723</f>
        <v/>
      </c>
      <c r="L723" s="47">
        <f>Weekly_Inspections!$AV723</f>
        <v/>
      </c>
      <c r="M723">
        <f>IF($B723="","",IF($N723&lt;&gt;"","Closed",IF(OR($G723&lt;&gt;"",$I723&lt;&gt;"",$J723&lt;&gt;""),"Open","")))</f>
        <v/>
      </c>
      <c r="N723" s="47" t="n"/>
      <c r="O723">
        <f>IF($B723="","",IF($M723="Closed",IF($N723="","",$N723-$B723),TODAY()-$B723))</f>
        <v/>
      </c>
      <c r="P723">
        <f>IF(OR($B723="",$L723="",$M723="Closed"),"",IF(TODAY()&gt;$L723,"YES","NO"))</f>
        <v/>
      </c>
      <c r="Q723">
        <f>Weekly_Inspections!$AW723</f>
        <v/>
      </c>
    </row>
    <row r="724" ht="15" customHeight="1" s="45">
      <c r="A724">
        <f>IF(Weekly_Inspections!$B724="","",Weekly_Inspections!$A724&amp;"-A1")</f>
        <v/>
      </c>
      <c r="B724" s="47">
        <f>Weekly_Inspections!$B724</f>
        <v/>
      </c>
      <c r="C724">
        <f>Weekly_Inspections!$E724</f>
        <v/>
      </c>
      <c r="D724">
        <f>Weekly_Inspections!$F724</f>
        <v/>
      </c>
      <c r="E724">
        <f>Weekly_Inspections!$H724</f>
        <v/>
      </c>
      <c r="F724">
        <f>IF(Weekly_Inspections!$AX724&lt;&gt;"",Weekly_Inspections!$AX724,IF(Weekly_Inspections!$AY724&lt;&gt;"",Weekly_Inspections!$AY724,IF(Weekly_Inspections!$AZ724&lt;&gt;"",Weekly_Inspections!$AZ724,IF(Weekly_Inspections!$BA724&lt;&gt;"",Weekly_Inspections!$BA724,IF(Weekly_Inspections!$BB724&lt;&gt;"",Weekly_Inspections!$BB724,Weekly_Inspections!$R724)))))</f>
        <v/>
      </c>
      <c r="G724">
        <f>IF(OR(Weekly_Inspections!$AQ724&lt;&gt;"",Weekly_Inspections!$AR724&lt;&gt;"",Weekly_Inspections!$AS724&lt;&gt;""),Weekly_Inspections!$AQ724,"")</f>
        <v/>
      </c>
      <c r="H724">
        <f>Weekly_Inspections!$AP724</f>
        <v/>
      </c>
      <c r="I724">
        <f>Weekly_Inspections!$AR724</f>
        <v/>
      </c>
      <c r="J724">
        <f>Weekly_Inspections!$AS724</f>
        <v/>
      </c>
      <c r="K724">
        <f>Weekly_Inspections!$AU724</f>
        <v/>
      </c>
      <c r="L724" s="47">
        <f>Weekly_Inspections!$AV724</f>
        <v/>
      </c>
      <c r="M724">
        <f>IF($B724="","",IF($N724&lt;&gt;"","Closed",IF(OR($G724&lt;&gt;"",$I724&lt;&gt;"",$J724&lt;&gt;""),"Open","")))</f>
        <v/>
      </c>
      <c r="N724" s="47" t="n"/>
      <c r="O724">
        <f>IF($B724="","",IF($M724="Closed",IF($N724="","",$N724-$B724),TODAY()-$B724))</f>
        <v/>
      </c>
      <c r="P724">
        <f>IF(OR($B724="",$L724="",$M724="Closed"),"",IF(TODAY()&gt;$L724,"YES","NO"))</f>
        <v/>
      </c>
      <c r="Q724">
        <f>Weekly_Inspections!$AW724</f>
        <v/>
      </c>
    </row>
    <row r="725" ht="15" customHeight="1" s="45">
      <c r="A725">
        <f>IF(Weekly_Inspections!$B725="","",Weekly_Inspections!$A725&amp;"-A1")</f>
        <v/>
      </c>
      <c r="B725" s="47">
        <f>Weekly_Inspections!$B725</f>
        <v/>
      </c>
      <c r="C725">
        <f>Weekly_Inspections!$E725</f>
        <v/>
      </c>
      <c r="D725">
        <f>Weekly_Inspections!$F725</f>
        <v/>
      </c>
      <c r="E725">
        <f>Weekly_Inspections!$H725</f>
        <v/>
      </c>
      <c r="F725">
        <f>IF(Weekly_Inspections!$AX725&lt;&gt;"",Weekly_Inspections!$AX725,IF(Weekly_Inspections!$AY725&lt;&gt;"",Weekly_Inspections!$AY725,IF(Weekly_Inspections!$AZ725&lt;&gt;"",Weekly_Inspections!$AZ725,IF(Weekly_Inspections!$BA725&lt;&gt;"",Weekly_Inspections!$BA725,IF(Weekly_Inspections!$BB725&lt;&gt;"",Weekly_Inspections!$BB725,Weekly_Inspections!$R725)))))</f>
        <v/>
      </c>
      <c r="G725">
        <f>IF(OR(Weekly_Inspections!$AQ725&lt;&gt;"",Weekly_Inspections!$AR725&lt;&gt;"",Weekly_Inspections!$AS725&lt;&gt;""),Weekly_Inspections!$AQ725,"")</f>
        <v/>
      </c>
      <c r="H725">
        <f>Weekly_Inspections!$AP725</f>
        <v/>
      </c>
      <c r="I725">
        <f>Weekly_Inspections!$AR725</f>
        <v/>
      </c>
      <c r="J725">
        <f>Weekly_Inspections!$AS725</f>
        <v/>
      </c>
      <c r="K725">
        <f>Weekly_Inspections!$AU725</f>
        <v/>
      </c>
      <c r="L725" s="47">
        <f>Weekly_Inspections!$AV725</f>
        <v/>
      </c>
      <c r="M725">
        <f>IF($B725="","",IF($N725&lt;&gt;"","Closed",IF(OR($G725&lt;&gt;"",$I725&lt;&gt;"",$J725&lt;&gt;""),"Open","")))</f>
        <v/>
      </c>
      <c r="N725" s="47" t="n"/>
      <c r="O725">
        <f>IF($B725="","",IF($M725="Closed",IF($N725="","",$N725-$B725),TODAY()-$B725))</f>
        <v/>
      </c>
      <c r="P725">
        <f>IF(OR($B725="",$L725="",$M725="Closed"),"",IF(TODAY()&gt;$L725,"YES","NO"))</f>
        <v/>
      </c>
      <c r="Q725">
        <f>Weekly_Inspections!$AW725</f>
        <v/>
      </c>
    </row>
    <row r="726" ht="15" customHeight="1" s="45">
      <c r="A726">
        <f>IF(Weekly_Inspections!$B726="","",Weekly_Inspections!$A726&amp;"-A1")</f>
        <v/>
      </c>
      <c r="B726" s="47">
        <f>Weekly_Inspections!$B726</f>
        <v/>
      </c>
      <c r="C726">
        <f>Weekly_Inspections!$E726</f>
        <v/>
      </c>
      <c r="D726">
        <f>Weekly_Inspections!$F726</f>
        <v/>
      </c>
      <c r="E726">
        <f>Weekly_Inspections!$H726</f>
        <v/>
      </c>
      <c r="F726">
        <f>IF(Weekly_Inspections!$AX726&lt;&gt;"",Weekly_Inspections!$AX726,IF(Weekly_Inspections!$AY726&lt;&gt;"",Weekly_Inspections!$AY726,IF(Weekly_Inspections!$AZ726&lt;&gt;"",Weekly_Inspections!$AZ726,IF(Weekly_Inspections!$BA726&lt;&gt;"",Weekly_Inspections!$BA726,IF(Weekly_Inspections!$BB726&lt;&gt;"",Weekly_Inspections!$BB726,Weekly_Inspections!$R726)))))</f>
        <v/>
      </c>
      <c r="G726">
        <f>IF(OR(Weekly_Inspections!$AQ726&lt;&gt;"",Weekly_Inspections!$AR726&lt;&gt;"",Weekly_Inspections!$AS726&lt;&gt;""),Weekly_Inspections!$AQ726,"")</f>
        <v/>
      </c>
      <c r="H726">
        <f>Weekly_Inspections!$AP726</f>
        <v/>
      </c>
      <c r="I726">
        <f>Weekly_Inspections!$AR726</f>
        <v/>
      </c>
      <c r="J726">
        <f>Weekly_Inspections!$AS726</f>
        <v/>
      </c>
      <c r="K726">
        <f>Weekly_Inspections!$AU726</f>
        <v/>
      </c>
      <c r="L726" s="47">
        <f>Weekly_Inspections!$AV726</f>
        <v/>
      </c>
      <c r="M726">
        <f>IF($B726="","",IF($N726&lt;&gt;"","Closed",IF(OR($G726&lt;&gt;"",$I726&lt;&gt;"",$J726&lt;&gt;""),"Open","")))</f>
        <v/>
      </c>
      <c r="N726" s="47" t="n"/>
      <c r="O726">
        <f>IF($B726="","",IF($M726="Closed",IF($N726="","",$N726-$B726),TODAY()-$B726))</f>
        <v/>
      </c>
      <c r="P726">
        <f>IF(OR($B726="",$L726="",$M726="Closed"),"",IF(TODAY()&gt;$L726,"YES","NO"))</f>
        <v/>
      </c>
      <c r="Q726">
        <f>Weekly_Inspections!$AW726</f>
        <v/>
      </c>
    </row>
    <row r="727" ht="15" customHeight="1" s="45">
      <c r="A727">
        <f>IF(Weekly_Inspections!$B727="","",Weekly_Inspections!$A727&amp;"-A1")</f>
        <v/>
      </c>
      <c r="B727" s="47">
        <f>Weekly_Inspections!$B727</f>
        <v/>
      </c>
      <c r="C727">
        <f>Weekly_Inspections!$E727</f>
        <v/>
      </c>
      <c r="D727">
        <f>Weekly_Inspections!$F727</f>
        <v/>
      </c>
      <c r="E727">
        <f>Weekly_Inspections!$H727</f>
        <v/>
      </c>
      <c r="F727">
        <f>IF(Weekly_Inspections!$AX727&lt;&gt;"",Weekly_Inspections!$AX727,IF(Weekly_Inspections!$AY727&lt;&gt;"",Weekly_Inspections!$AY727,IF(Weekly_Inspections!$AZ727&lt;&gt;"",Weekly_Inspections!$AZ727,IF(Weekly_Inspections!$BA727&lt;&gt;"",Weekly_Inspections!$BA727,IF(Weekly_Inspections!$BB727&lt;&gt;"",Weekly_Inspections!$BB727,Weekly_Inspections!$R727)))))</f>
        <v/>
      </c>
      <c r="G727">
        <f>IF(OR(Weekly_Inspections!$AQ727&lt;&gt;"",Weekly_Inspections!$AR727&lt;&gt;"",Weekly_Inspections!$AS727&lt;&gt;""),Weekly_Inspections!$AQ727,"")</f>
        <v/>
      </c>
      <c r="H727">
        <f>Weekly_Inspections!$AP727</f>
        <v/>
      </c>
      <c r="I727">
        <f>Weekly_Inspections!$AR727</f>
        <v/>
      </c>
      <c r="J727">
        <f>Weekly_Inspections!$AS727</f>
        <v/>
      </c>
      <c r="K727">
        <f>Weekly_Inspections!$AU727</f>
        <v/>
      </c>
      <c r="L727" s="47">
        <f>Weekly_Inspections!$AV727</f>
        <v/>
      </c>
      <c r="M727">
        <f>IF($B727="","",IF($N727&lt;&gt;"","Closed",IF(OR($G727&lt;&gt;"",$I727&lt;&gt;"",$J727&lt;&gt;""),"Open","")))</f>
        <v/>
      </c>
      <c r="N727" s="47" t="n"/>
      <c r="O727">
        <f>IF($B727="","",IF($M727="Closed",IF($N727="","",$N727-$B727),TODAY()-$B727))</f>
        <v/>
      </c>
      <c r="P727">
        <f>IF(OR($B727="",$L727="",$M727="Closed"),"",IF(TODAY()&gt;$L727,"YES","NO"))</f>
        <v/>
      </c>
      <c r="Q727">
        <f>Weekly_Inspections!$AW727</f>
        <v/>
      </c>
    </row>
    <row r="728" ht="15" customHeight="1" s="45">
      <c r="A728">
        <f>IF(Weekly_Inspections!$B728="","",Weekly_Inspections!$A728&amp;"-A1")</f>
        <v/>
      </c>
      <c r="B728" s="47">
        <f>Weekly_Inspections!$B728</f>
        <v/>
      </c>
      <c r="C728">
        <f>Weekly_Inspections!$E728</f>
        <v/>
      </c>
      <c r="D728">
        <f>Weekly_Inspections!$F728</f>
        <v/>
      </c>
      <c r="E728">
        <f>Weekly_Inspections!$H728</f>
        <v/>
      </c>
      <c r="F728">
        <f>IF(Weekly_Inspections!$AX728&lt;&gt;"",Weekly_Inspections!$AX728,IF(Weekly_Inspections!$AY728&lt;&gt;"",Weekly_Inspections!$AY728,IF(Weekly_Inspections!$AZ728&lt;&gt;"",Weekly_Inspections!$AZ728,IF(Weekly_Inspections!$BA728&lt;&gt;"",Weekly_Inspections!$BA728,IF(Weekly_Inspections!$BB728&lt;&gt;"",Weekly_Inspections!$BB728,Weekly_Inspections!$R728)))))</f>
        <v/>
      </c>
      <c r="G728">
        <f>IF(OR(Weekly_Inspections!$AQ728&lt;&gt;"",Weekly_Inspections!$AR728&lt;&gt;"",Weekly_Inspections!$AS728&lt;&gt;""),Weekly_Inspections!$AQ728,"")</f>
        <v/>
      </c>
      <c r="H728">
        <f>Weekly_Inspections!$AP728</f>
        <v/>
      </c>
      <c r="I728">
        <f>Weekly_Inspections!$AR728</f>
        <v/>
      </c>
      <c r="J728">
        <f>Weekly_Inspections!$AS728</f>
        <v/>
      </c>
      <c r="K728">
        <f>Weekly_Inspections!$AU728</f>
        <v/>
      </c>
      <c r="L728" s="47">
        <f>Weekly_Inspections!$AV728</f>
        <v/>
      </c>
      <c r="M728">
        <f>IF($B728="","",IF($N728&lt;&gt;"","Closed",IF(OR($G728&lt;&gt;"",$I728&lt;&gt;"",$J728&lt;&gt;""),"Open","")))</f>
        <v/>
      </c>
      <c r="N728" s="47" t="n"/>
      <c r="O728">
        <f>IF($B728="","",IF($M728="Closed",IF($N728="","",$N728-$B728),TODAY()-$B728))</f>
        <v/>
      </c>
      <c r="P728">
        <f>IF(OR($B728="",$L728="",$M728="Closed"),"",IF(TODAY()&gt;$L728,"YES","NO"))</f>
        <v/>
      </c>
      <c r="Q728">
        <f>Weekly_Inspections!$AW728</f>
        <v/>
      </c>
    </row>
    <row r="729" ht="15" customHeight="1" s="45">
      <c r="A729">
        <f>IF(Weekly_Inspections!$B729="","",Weekly_Inspections!$A729&amp;"-A1")</f>
        <v/>
      </c>
      <c r="B729" s="47">
        <f>Weekly_Inspections!$B729</f>
        <v/>
      </c>
      <c r="C729">
        <f>Weekly_Inspections!$E729</f>
        <v/>
      </c>
      <c r="D729">
        <f>Weekly_Inspections!$F729</f>
        <v/>
      </c>
      <c r="E729">
        <f>Weekly_Inspections!$H729</f>
        <v/>
      </c>
      <c r="F729">
        <f>IF(Weekly_Inspections!$AX729&lt;&gt;"",Weekly_Inspections!$AX729,IF(Weekly_Inspections!$AY729&lt;&gt;"",Weekly_Inspections!$AY729,IF(Weekly_Inspections!$AZ729&lt;&gt;"",Weekly_Inspections!$AZ729,IF(Weekly_Inspections!$BA729&lt;&gt;"",Weekly_Inspections!$BA729,IF(Weekly_Inspections!$BB729&lt;&gt;"",Weekly_Inspections!$BB729,Weekly_Inspections!$R729)))))</f>
        <v/>
      </c>
      <c r="G729">
        <f>IF(OR(Weekly_Inspections!$AQ729&lt;&gt;"",Weekly_Inspections!$AR729&lt;&gt;"",Weekly_Inspections!$AS729&lt;&gt;""),Weekly_Inspections!$AQ729,"")</f>
        <v/>
      </c>
      <c r="H729">
        <f>Weekly_Inspections!$AP729</f>
        <v/>
      </c>
      <c r="I729">
        <f>Weekly_Inspections!$AR729</f>
        <v/>
      </c>
      <c r="J729">
        <f>Weekly_Inspections!$AS729</f>
        <v/>
      </c>
      <c r="K729">
        <f>Weekly_Inspections!$AU729</f>
        <v/>
      </c>
      <c r="L729" s="47">
        <f>Weekly_Inspections!$AV729</f>
        <v/>
      </c>
      <c r="M729">
        <f>IF($B729="","",IF($N729&lt;&gt;"","Closed",IF(OR($G729&lt;&gt;"",$I729&lt;&gt;"",$J729&lt;&gt;""),"Open","")))</f>
        <v/>
      </c>
      <c r="N729" s="47" t="n"/>
      <c r="O729">
        <f>IF($B729="","",IF($M729="Closed",IF($N729="","",$N729-$B729),TODAY()-$B729))</f>
        <v/>
      </c>
      <c r="P729">
        <f>IF(OR($B729="",$L729="",$M729="Closed"),"",IF(TODAY()&gt;$L729,"YES","NO"))</f>
        <v/>
      </c>
      <c r="Q729">
        <f>Weekly_Inspections!$AW729</f>
        <v/>
      </c>
    </row>
    <row r="730" ht="15" customHeight="1" s="45">
      <c r="A730">
        <f>IF(Weekly_Inspections!$B730="","",Weekly_Inspections!$A730&amp;"-A1")</f>
        <v/>
      </c>
      <c r="B730" s="47">
        <f>Weekly_Inspections!$B730</f>
        <v/>
      </c>
      <c r="C730">
        <f>Weekly_Inspections!$E730</f>
        <v/>
      </c>
      <c r="D730">
        <f>Weekly_Inspections!$F730</f>
        <v/>
      </c>
      <c r="E730">
        <f>Weekly_Inspections!$H730</f>
        <v/>
      </c>
      <c r="F730">
        <f>IF(Weekly_Inspections!$AX730&lt;&gt;"",Weekly_Inspections!$AX730,IF(Weekly_Inspections!$AY730&lt;&gt;"",Weekly_Inspections!$AY730,IF(Weekly_Inspections!$AZ730&lt;&gt;"",Weekly_Inspections!$AZ730,IF(Weekly_Inspections!$BA730&lt;&gt;"",Weekly_Inspections!$BA730,IF(Weekly_Inspections!$BB730&lt;&gt;"",Weekly_Inspections!$BB730,Weekly_Inspections!$R730)))))</f>
        <v/>
      </c>
      <c r="G730">
        <f>IF(OR(Weekly_Inspections!$AQ730&lt;&gt;"",Weekly_Inspections!$AR730&lt;&gt;"",Weekly_Inspections!$AS730&lt;&gt;""),Weekly_Inspections!$AQ730,"")</f>
        <v/>
      </c>
      <c r="H730">
        <f>Weekly_Inspections!$AP730</f>
        <v/>
      </c>
      <c r="I730">
        <f>Weekly_Inspections!$AR730</f>
        <v/>
      </c>
      <c r="J730">
        <f>Weekly_Inspections!$AS730</f>
        <v/>
      </c>
      <c r="K730">
        <f>Weekly_Inspections!$AU730</f>
        <v/>
      </c>
      <c r="L730" s="47">
        <f>Weekly_Inspections!$AV730</f>
        <v/>
      </c>
      <c r="M730">
        <f>IF($B730="","",IF($N730&lt;&gt;"","Closed",IF(OR($G730&lt;&gt;"",$I730&lt;&gt;"",$J730&lt;&gt;""),"Open","")))</f>
        <v/>
      </c>
      <c r="N730" s="47" t="n"/>
      <c r="O730">
        <f>IF($B730="","",IF($M730="Closed",IF($N730="","",$N730-$B730),TODAY()-$B730))</f>
        <v/>
      </c>
      <c r="P730">
        <f>IF(OR($B730="",$L730="",$M730="Closed"),"",IF(TODAY()&gt;$L730,"YES","NO"))</f>
        <v/>
      </c>
      <c r="Q730">
        <f>Weekly_Inspections!$AW730</f>
        <v/>
      </c>
    </row>
    <row r="731" ht="15" customHeight="1" s="45">
      <c r="A731">
        <f>IF(Weekly_Inspections!$B731="","",Weekly_Inspections!$A731&amp;"-A1")</f>
        <v/>
      </c>
      <c r="B731" s="47">
        <f>Weekly_Inspections!$B731</f>
        <v/>
      </c>
      <c r="C731">
        <f>Weekly_Inspections!$E731</f>
        <v/>
      </c>
      <c r="D731">
        <f>Weekly_Inspections!$F731</f>
        <v/>
      </c>
      <c r="E731">
        <f>Weekly_Inspections!$H731</f>
        <v/>
      </c>
      <c r="F731">
        <f>IF(Weekly_Inspections!$AX731&lt;&gt;"",Weekly_Inspections!$AX731,IF(Weekly_Inspections!$AY731&lt;&gt;"",Weekly_Inspections!$AY731,IF(Weekly_Inspections!$AZ731&lt;&gt;"",Weekly_Inspections!$AZ731,IF(Weekly_Inspections!$BA731&lt;&gt;"",Weekly_Inspections!$BA731,IF(Weekly_Inspections!$BB731&lt;&gt;"",Weekly_Inspections!$BB731,Weekly_Inspections!$R731)))))</f>
        <v/>
      </c>
      <c r="G731">
        <f>IF(OR(Weekly_Inspections!$AQ731&lt;&gt;"",Weekly_Inspections!$AR731&lt;&gt;"",Weekly_Inspections!$AS731&lt;&gt;""),Weekly_Inspections!$AQ731,"")</f>
        <v/>
      </c>
      <c r="H731">
        <f>Weekly_Inspections!$AP731</f>
        <v/>
      </c>
      <c r="I731">
        <f>Weekly_Inspections!$AR731</f>
        <v/>
      </c>
      <c r="J731">
        <f>Weekly_Inspections!$AS731</f>
        <v/>
      </c>
      <c r="K731">
        <f>Weekly_Inspections!$AU731</f>
        <v/>
      </c>
      <c r="L731" s="47">
        <f>Weekly_Inspections!$AV731</f>
        <v/>
      </c>
      <c r="M731">
        <f>IF($B731="","",IF($N731&lt;&gt;"","Closed",IF(OR($G731&lt;&gt;"",$I731&lt;&gt;"",$J731&lt;&gt;""),"Open","")))</f>
        <v/>
      </c>
      <c r="N731" s="47" t="n"/>
      <c r="O731">
        <f>IF($B731="","",IF($M731="Closed",IF($N731="","",$N731-$B731),TODAY()-$B731))</f>
        <v/>
      </c>
      <c r="P731">
        <f>IF(OR($B731="",$L731="",$M731="Closed"),"",IF(TODAY()&gt;$L731,"YES","NO"))</f>
        <v/>
      </c>
      <c r="Q731">
        <f>Weekly_Inspections!$AW731</f>
        <v/>
      </c>
    </row>
    <row r="732" ht="15" customHeight="1" s="45">
      <c r="A732">
        <f>IF(Weekly_Inspections!$B732="","",Weekly_Inspections!$A732&amp;"-A1")</f>
        <v/>
      </c>
      <c r="B732" s="47">
        <f>Weekly_Inspections!$B732</f>
        <v/>
      </c>
      <c r="C732">
        <f>Weekly_Inspections!$E732</f>
        <v/>
      </c>
      <c r="D732">
        <f>Weekly_Inspections!$F732</f>
        <v/>
      </c>
      <c r="E732">
        <f>Weekly_Inspections!$H732</f>
        <v/>
      </c>
      <c r="F732">
        <f>IF(Weekly_Inspections!$AX732&lt;&gt;"",Weekly_Inspections!$AX732,IF(Weekly_Inspections!$AY732&lt;&gt;"",Weekly_Inspections!$AY732,IF(Weekly_Inspections!$AZ732&lt;&gt;"",Weekly_Inspections!$AZ732,IF(Weekly_Inspections!$BA732&lt;&gt;"",Weekly_Inspections!$BA732,IF(Weekly_Inspections!$BB732&lt;&gt;"",Weekly_Inspections!$BB732,Weekly_Inspections!$R732)))))</f>
        <v/>
      </c>
      <c r="G732">
        <f>IF(OR(Weekly_Inspections!$AQ732&lt;&gt;"",Weekly_Inspections!$AR732&lt;&gt;"",Weekly_Inspections!$AS732&lt;&gt;""),Weekly_Inspections!$AQ732,"")</f>
        <v/>
      </c>
      <c r="H732">
        <f>Weekly_Inspections!$AP732</f>
        <v/>
      </c>
      <c r="I732">
        <f>Weekly_Inspections!$AR732</f>
        <v/>
      </c>
      <c r="J732">
        <f>Weekly_Inspections!$AS732</f>
        <v/>
      </c>
      <c r="K732">
        <f>Weekly_Inspections!$AU732</f>
        <v/>
      </c>
      <c r="L732" s="47">
        <f>Weekly_Inspections!$AV732</f>
        <v/>
      </c>
      <c r="M732">
        <f>IF($B732="","",IF($N732&lt;&gt;"","Closed",IF(OR($G732&lt;&gt;"",$I732&lt;&gt;"",$J732&lt;&gt;""),"Open","")))</f>
        <v/>
      </c>
      <c r="N732" s="47" t="n"/>
      <c r="O732">
        <f>IF($B732="","",IF($M732="Closed",IF($N732="","",$N732-$B732),TODAY()-$B732))</f>
        <v/>
      </c>
      <c r="P732">
        <f>IF(OR($B732="",$L732="",$M732="Closed"),"",IF(TODAY()&gt;$L732,"YES","NO"))</f>
        <v/>
      </c>
      <c r="Q732">
        <f>Weekly_Inspections!$AW732</f>
        <v/>
      </c>
    </row>
    <row r="733" ht="15" customHeight="1" s="45">
      <c r="A733">
        <f>IF(Weekly_Inspections!$B733="","",Weekly_Inspections!$A733&amp;"-A1")</f>
        <v/>
      </c>
      <c r="B733" s="47">
        <f>Weekly_Inspections!$B733</f>
        <v/>
      </c>
      <c r="C733">
        <f>Weekly_Inspections!$E733</f>
        <v/>
      </c>
      <c r="D733">
        <f>Weekly_Inspections!$F733</f>
        <v/>
      </c>
      <c r="E733">
        <f>Weekly_Inspections!$H733</f>
        <v/>
      </c>
      <c r="F733">
        <f>IF(Weekly_Inspections!$AX733&lt;&gt;"",Weekly_Inspections!$AX733,IF(Weekly_Inspections!$AY733&lt;&gt;"",Weekly_Inspections!$AY733,IF(Weekly_Inspections!$AZ733&lt;&gt;"",Weekly_Inspections!$AZ733,IF(Weekly_Inspections!$BA733&lt;&gt;"",Weekly_Inspections!$BA733,IF(Weekly_Inspections!$BB733&lt;&gt;"",Weekly_Inspections!$BB733,Weekly_Inspections!$R733)))))</f>
        <v/>
      </c>
      <c r="G733">
        <f>IF(OR(Weekly_Inspections!$AQ733&lt;&gt;"",Weekly_Inspections!$AR733&lt;&gt;"",Weekly_Inspections!$AS733&lt;&gt;""),Weekly_Inspections!$AQ733,"")</f>
        <v/>
      </c>
      <c r="H733">
        <f>Weekly_Inspections!$AP733</f>
        <v/>
      </c>
      <c r="I733">
        <f>Weekly_Inspections!$AR733</f>
        <v/>
      </c>
      <c r="J733">
        <f>Weekly_Inspections!$AS733</f>
        <v/>
      </c>
      <c r="K733">
        <f>Weekly_Inspections!$AU733</f>
        <v/>
      </c>
      <c r="L733" s="47">
        <f>Weekly_Inspections!$AV733</f>
        <v/>
      </c>
      <c r="M733">
        <f>IF($B733="","",IF($N733&lt;&gt;"","Closed",IF(OR($G733&lt;&gt;"",$I733&lt;&gt;"",$J733&lt;&gt;""),"Open","")))</f>
        <v/>
      </c>
      <c r="N733" s="47" t="n"/>
      <c r="O733">
        <f>IF($B733="","",IF($M733="Closed",IF($N733="","",$N733-$B733),TODAY()-$B733))</f>
        <v/>
      </c>
      <c r="P733">
        <f>IF(OR($B733="",$L733="",$M733="Closed"),"",IF(TODAY()&gt;$L733,"YES","NO"))</f>
        <v/>
      </c>
      <c r="Q733">
        <f>Weekly_Inspections!$AW733</f>
        <v/>
      </c>
    </row>
    <row r="734" ht="15" customHeight="1" s="45">
      <c r="A734">
        <f>IF(Weekly_Inspections!$B734="","",Weekly_Inspections!$A734&amp;"-A1")</f>
        <v/>
      </c>
      <c r="B734" s="47">
        <f>Weekly_Inspections!$B734</f>
        <v/>
      </c>
      <c r="C734">
        <f>Weekly_Inspections!$E734</f>
        <v/>
      </c>
      <c r="D734">
        <f>Weekly_Inspections!$F734</f>
        <v/>
      </c>
      <c r="E734">
        <f>Weekly_Inspections!$H734</f>
        <v/>
      </c>
      <c r="F734">
        <f>IF(Weekly_Inspections!$AX734&lt;&gt;"",Weekly_Inspections!$AX734,IF(Weekly_Inspections!$AY734&lt;&gt;"",Weekly_Inspections!$AY734,IF(Weekly_Inspections!$AZ734&lt;&gt;"",Weekly_Inspections!$AZ734,IF(Weekly_Inspections!$BA734&lt;&gt;"",Weekly_Inspections!$BA734,IF(Weekly_Inspections!$BB734&lt;&gt;"",Weekly_Inspections!$BB734,Weekly_Inspections!$R734)))))</f>
        <v/>
      </c>
      <c r="G734">
        <f>IF(OR(Weekly_Inspections!$AQ734&lt;&gt;"",Weekly_Inspections!$AR734&lt;&gt;"",Weekly_Inspections!$AS734&lt;&gt;""),Weekly_Inspections!$AQ734,"")</f>
        <v/>
      </c>
      <c r="H734">
        <f>Weekly_Inspections!$AP734</f>
        <v/>
      </c>
      <c r="I734">
        <f>Weekly_Inspections!$AR734</f>
        <v/>
      </c>
      <c r="J734">
        <f>Weekly_Inspections!$AS734</f>
        <v/>
      </c>
      <c r="K734">
        <f>Weekly_Inspections!$AU734</f>
        <v/>
      </c>
      <c r="L734" s="47">
        <f>Weekly_Inspections!$AV734</f>
        <v/>
      </c>
      <c r="M734">
        <f>IF($B734="","",IF($N734&lt;&gt;"","Closed",IF(OR($G734&lt;&gt;"",$I734&lt;&gt;"",$J734&lt;&gt;""),"Open","")))</f>
        <v/>
      </c>
      <c r="N734" s="47" t="n"/>
      <c r="O734">
        <f>IF($B734="","",IF($M734="Closed",IF($N734="","",$N734-$B734),TODAY()-$B734))</f>
        <v/>
      </c>
      <c r="P734">
        <f>IF(OR($B734="",$L734="",$M734="Closed"),"",IF(TODAY()&gt;$L734,"YES","NO"))</f>
        <v/>
      </c>
      <c r="Q734">
        <f>Weekly_Inspections!$AW734</f>
        <v/>
      </c>
    </row>
    <row r="735" ht="15" customHeight="1" s="45">
      <c r="A735">
        <f>IF(Weekly_Inspections!$B735="","",Weekly_Inspections!$A735&amp;"-A1")</f>
        <v/>
      </c>
      <c r="B735" s="47">
        <f>Weekly_Inspections!$B735</f>
        <v/>
      </c>
      <c r="C735">
        <f>Weekly_Inspections!$E735</f>
        <v/>
      </c>
      <c r="D735">
        <f>Weekly_Inspections!$F735</f>
        <v/>
      </c>
      <c r="E735">
        <f>Weekly_Inspections!$H735</f>
        <v/>
      </c>
      <c r="F735">
        <f>IF(Weekly_Inspections!$AX735&lt;&gt;"",Weekly_Inspections!$AX735,IF(Weekly_Inspections!$AY735&lt;&gt;"",Weekly_Inspections!$AY735,IF(Weekly_Inspections!$AZ735&lt;&gt;"",Weekly_Inspections!$AZ735,IF(Weekly_Inspections!$BA735&lt;&gt;"",Weekly_Inspections!$BA735,IF(Weekly_Inspections!$BB735&lt;&gt;"",Weekly_Inspections!$BB735,Weekly_Inspections!$R735)))))</f>
        <v/>
      </c>
      <c r="G735">
        <f>IF(OR(Weekly_Inspections!$AQ735&lt;&gt;"",Weekly_Inspections!$AR735&lt;&gt;"",Weekly_Inspections!$AS735&lt;&gt;""),Weekly_Inspections!$AQ735,"")</f>
        <v/>
      </c>
      <c r="H735">
        <f>Weekly_Inspections!$AP735</f>
        <v/>
      </c>
      <c r="I735">
        <f>Weekly_Inspections!$AR735</f>
        <v/>
      </c>
      <c r="J735">
        <f>Weekly_Inspections!$AS735</f>
        <v/>
      </c>
      <c r="K735">
        <f>Weekly_Inspections!$AU735</f>
        <v/>
      </c>
      <c r="L735" s="47">
        <f>Weekly_Inspections!$AV735</f>
        <v/>
      </c>
      <c r="M735">
        <f>IF($B735="","",IF($N735&lt;&gt;"","Closed",IF(OR($G735&lt;&gt;"",$I735&lt;&gt;"",$J735&lt;&gt;""),"Open","")))</f>
        <v/>
      </c>
      <c r="N735" s="47" t="n"/>
      <c r="O735">
        <f>IF($B735="","",IF($M735="Closed",IF($N735="","",$N735-$B735),TODAY()-$B735))</f>
        <v/>
      </c>
      <c r="P735">
        <f>IF(OR($B735="",$L735="",$M735="Closed"),"",IF(TODAY()&gt;$L735,"YES","NO"))</f>
        <v/>
      </c>
      <c r="Q735">
        <f>Weekly_Inspections!$AW735</f>
        <v/>
      </c>
    </row>
    <row r="736" ht="15" customHeight="1" s="45">
      <c r="A736">
        <f>IF(Weekly_Inspections!$B736="","",Weekly_Inspections!$A736&amp;"-A1")</f>
        <v/>
      </c>
      <c r="B736" s="47">
        <f>Weekly_Inspections!$B736</f>
        <v/>
      </c>
      <c r="C736">
        <f>Weekly_Inspections!$E736</f>
        <v/>
      </c>
      <c r="D736">
        <f>Weekly_Inspections!$F736</f>
        <v/>
      </c>
      <c r="E736">
        <f>Weekly_Inspections!$H736</f>
        <v/>
      </c>
      <c r="F736">
        <f>IF(Weekly_Inspections!$AX736&lt;&gt;"",Weekly_Inspections!$AX736,IF(Weekly_Inspections!$AY736&lt;&gt;"",Weekly_Inspections!$AY736,IF(Weekly_Inspections!$AZ736&lt;&gt;"",Weekly_Inspections!$AZ736,IF(Weekly_Inspections!$BA736&lt;&gt;"",Weekly_Inspections!$BA736,IF(Weekly_Inspections!$BB736&lt;&gt;"",Weekly_Inspections!$BB736,Weekly_Inspections!$R736)))))</f>
        <v/>
      </c>
      <c r="G736">
        <f>IF(OR(Weekly_Inspections!$AQ736&lt;&gt;"",Weekly_Inspections!$AR736&lt;&gt;"",Weekly_Inspections!$AS736&lt;&gt;""),Weekly_Inspections!$AQ736,"")</f>
        <v/>
      </c>
      <c r="H736">
        <f>Weekly_Inspections!$AP736</f>
        <v/>
      </c>
      <c r="I736">
        <f>Weekly_Inspections!$AR736</f>
        <v/>
      </c>
      <c r="J736">
        <f>Weekly_Inspections!$AS736</f>
        <v/>
      </c>
      <c r="K736">
        <f>Weekly_Inspections!$AU736</f>
        <v/>
      </c>
      <c r="L736" s="47">
        <f>Weekly_Inspections!$AV736</f>
        <v/>
      </c>
      <c r="M736">
        <f>IF($B736="","",IF($N736&lt;&gt;"","Closed",IF(OR($G736&lt;&gt;"",$I736&lt;&gt;"",$J736&lt;&gt;""),"Open","")))</f>
        <v/>
      </c>
      <c r="N736" s="47" t="n"/>
      <c r="O736">
        <f>IF($B736="","",IF($M736="Closed",IF($N736="","",$N736-$B736),TODAY()-$B736))</f>
        <v/>
      </c>
      <c r="P736">
        <f>IF(OR($B736="",$L736="",$M736="Closed"),"",IF(TODAY()&gt;$L736,"YES","NO"))</f>
        <v/>
      </c>
      <c r="Q736">
        <f>Weekly_Inspections!$AW736</f>
        <v/>
      </c>
    </row>
    <row r="737" ht="15" customHeight="1" s="45">
      <c r="A737">
        <f>IF(Weekly_Inspections!$B737="","",Weekly_Inspections!$A737&amp;"-A1")</f>
        <v/>
      </c>
      <c r="B737" s="47">
        <f>Weekly_Inspections!$B737</f>
        <v/>
      </c>
      <c r="C737">
        <f>Weekly_Inspections!$E737</f>
        <v/>
      </c>
      <c r="D737">
        <f>Weekly_Inspections!$F737</f>
        <v/>
      </c>
      <c r="E737">
        <f>Weekly_Inspections!$H737</f>
        <v/>
      </c>
      <c r="F737">
        <f>IF(Weekly_Inspections!$AX737&lt;&gt;"",Weekly_Inspections!$AX737,IF(Weekly_Inspections!$AY737&lt;&gt;"",Weekly_Inspections!$AY737,IF(Weekly_Inspections!$AZ737&lt;&gt;"",Weekly_Inspections!$AZ737,IF(Weekly_Inspections!$BA737&lt;&gt;"",Weekly_Inspections!$BA737,IF(Weekly_Inspections!$BB737&lt;&gt;"",Weekly_Inspections!$BB737,Weekly_Inspections!$R737)))))</f>
        <v/>
      </c>
      <c r="G737">
        <f>IF(OR(Weekly_Inspections!$AQ737&lt;&gt;"",Weekly_Inspections!$AR737&lt;&gt;"",Weekly_Inspections!$AS737&lt;&gt;""),Weekly_Inspections!$AQ737,"")</f>
        <v/>
      </c>
      <c r="H737">
        <f>Weekly_Inspections!$AP737</f>
        <v/>
      </c>
      <c r="I737">
        <f>Weekly_Inspections!$AR737</f>
        <v/>
      </c>
      <c r="J737">
        <f>Weekly_Inspections!$AS737</f>
        <v/>
      </c>
      <c r="K737">
        <f>Weekly_Inspections!$AU737</f>
        <v/>
      </c>
      <c r="L737" s="47">
        <f>Weekly_Inspections!$AV737</f>
        <v/>
      </c>
      <c r="M737">
        <f>IF($B737="","",IF($N737&lt;&gt;"","Closed",IF(OR($G737&lt;&gt;"",$I737&lt;&gt;"",$J737&lt;&gt;""),"Open","")))</f>
        <v/>
      </c>
      <c r="N737" s="47" t="n"/>
      <c r="O737">
        <f>IF($B737="","",IF($M737="Closed",IF($N737="","",$N737-$B737),TODAY()-$B737))</f>
        <v/>
      </c>
      <c r="P737">
        <f>IF(OR($B737="",$L737="",$M737="Closed"),"",IF(TODAY()&gt;$L737,"YES","NO"))</f>
        <v/>
      </c>
      <c r="Q737">
        <f>Weekly_Inspections!$AW737</f>
        <v/>
      </c>
    </row>
    <row r="738" ht="15" customHeight="1" s="45">
      <c r="A738">
        <f>IF(Weekly_Inspections!$B738="","",Weekly_Inspections!$A738&amp;"-A1")</f>
        <v/>
      </c>
      <c r="B738" s="47">
        <f>Weekly_Inspections!$B738</f>
        <v/>
      </c>
      <c r="C738">
        <f>Weekly_Inspections!$E738</f>
        <v/>
      </c>
      <c r="D738">
        <f>Weekly_Inspections!$F738</f>
        <v/>
      </c>
      <c r="E738">
        <f>Weekly_Inspections!$H738</f>
        <v/>
      </c>
      <c r="F738">
        <f>IF(Weekly_Inspections!$AX738&lt;&gt;"",Weekly_Inspections!$AX738,IF(Weekly_Inspections!$AY738&lt;&gt;"",Weekly_Inspections!$AY738,IF(Weekly_Inspections!$AZ738&lt;&gt;"",Weekly_Inspections!$AZ738,IF(Weekly_Inspections!$BA738&lt;&gt;"",Weekly_Inspections!$BA738,IF(Weekly_Inspections!$BB738&lt;&gt;"",Weekly_Inspections!$BB738,Weekly_Inspections!$R738)))))</f>
        <v/>
      </c>
      <c r="G738">
        <f>IF(OR(Weekly_Inspections!$AQ738&lt;&gt;"",Weekly_Inspections!$AR738&lt;&gt;"",Weekly_Inspections!$AS738&lt;&gt;""),Weekly_Inspections!$AQ738,"")</f>
        <v/>
      </c>
      <c r="H738">
        <f>Weekly_Inspections!$AP738</f>
        <v/>
      </c>
      <c r="I738">
        <f>Weekly_Inspections!$AR738</f>
        <v/>
      </c>
      <c r="J738">
        <f>Weekly_Inspections!$AS738</f>
        <v/>
      </c>
      <c r="K738">
        <f>Weekly_Inspections!$AU738</f>
        <v/>
      </c>
      <c r="L738" s="47">
        <f>Weekly_Inspections!$AV738</f>
        <v/>
      </c>
      <c r="M738">
        <f>IF($B738="","",IF($N738&lt;&gt;"","Closed",IF(OR($G738&lt;&gt;"",$I738&lt;&gt;"",$J738&lt;&gt;""),"Open","")))</f>
        <v/>
      </c>
      <c r="N738" s="47" t="n"/>
      <c r="O738">
        <f>IF($B738="","",IF($M738="Closed",IF($N738="","",$N738-$B738),TODAY()-$B738))</f>
        <v/>
      </c>
      <c r="P738">
        <f>IF(OR($B738="",$L738="",$M738="Closed"),"",IF(TODAY()&gt;$L738,"YES","NO"))</f>
        <v/>
      </c>
      <c r="Q738">
        <f>Weekly_Inspections!$AW738</f>
        <v/>
      </c>
    </row>
    <row r="739" ht="15" customHeight="1" s="45">
      <c r="A739">
        <f>IF(Weekly_Inspections!$B739="","",Weekly_Inspections!$A739&amp;"-A1")</f>
        <v/>
      </c>
      <c r="B739" s="47">
        <f>Weekly_Inspections!$B739</f>
        <v/>
      </c>
      <c r="C739">
        <f>Weekly_Inspections!$E739</f>
        <v/>
      </c>
      <c r="D739">
        <f>Weekly_Inspections!$F739</f>
        <v/>
      </c>
      <c r="E739">
        <f>Weekly_Inspections!$H739</f>
        <v/>
      </c>
      <c r="F739">
        <f>IF(Weekly_Inspections!$AX739&lt;&gt;"",Weekly_Inspections!$AX739,IF(Weekly_Inspections!$AY739&lt;&gt;"",Weekly_Inspections!$AY739,IF(Weekly_Inspections!$AZ739&lt;&gt;"",Weekly_Inspections!$AZ739,IF(Weekly_Inspections!$BA739&lt;&gt;"",Weekly_Inspections!$BA739,IF(Weekly_Inspections!$BB739&lt;&gt;"",Weekly_Inspections!$BB739,Weekly_Inspections!$R739)))))</f>
        <v/>
      </c>
      <c r="G739">
        <f>IF(OR(Weekly_Inspections!$AQ739&lt;&gt;"",Weekly_Inspections!$AR739&lt;&gt;"",Weekly_Inspections!$AS739&lt;&gt;""),Weekly_Inspections!$AQ739,"")</f>
        <v/>
      </c>
      <c r="H739">
        <f>Weekly_Inspections!$AP739</f>
        <v/>
      </c>
      <c r="I739">
        <f>Weekly_Inspections!$AR739</f>
        <v/>
      </c>
      <c r="J739">
        <f>Weekly_Inspections!$AS739</f>
        <v/>
      </c>
      <c r="K739">
        <f>Weekly_Inspections!$AU739</f>
        <v/>
      </c>
      <c r="L739" s="47">
        <f>Weekly_Inspections!$AV739</f>
        <v/>
      </c>
      <c r="M739">
        <f>IF($B739="","",IF($N739&lt;&gt;"","Closed",IF(OR($G739&lt;&gt;"",$I739&lt;&gt;"",$J739&lt;&gt;""),"Open","")))</f>
        <v/>
      </c>
      <c r="N739" s="47" t="n"/>
      <c r="O739">
        <f>IF($B739="","",IF($M739="Closed",IF($N739="","",$N739-$B739),TODAY()-$B739))</f>
        <v/>
      </c>
      <c r="P739">
        <f>IF(OR($B739="",$L739="",$M739="Closed"),"",IF(TODAY()&gt;$L739,"YES","NO"))</f>
        <v/>
      </c>
      <c r="Q739">
        <f>Weekly_Inspections!$AW739</f>
        <v/>
      </c>
    </row>
    <row r="740" ht="15" customHeight="1" s="45">
      <c r="A740">
        <f>IF(Weekly_Inspections!$B740="","",Weekly_Inspections!$A740&amp;"-A1")</f>
        <v/>
      </c>
      <c r="B740" s="47">
        <f>Weekly_Inspections!$B740</f>
        <v/>
      </c>
      <c r="C740">
        <f>Weekly_Inspections!$E740</f>
        <v/>
      </c>
      <c r="D740">
        <f>Weekly_Inspections!$F740</f>
        <v/>
      </c>
      <c r="E740">
        <f>Weekly_Inspections!$H740</f>
        <v/>
      </c>
      <c r="F740">
        <f>IF(Weekly_Inspections!$AX740&lt;&gt;"",Weekly_Inspections!$AX740,IF(Weekly_Inspections!$AY740&lt;&gt;"",Weekly_Inspections!$AY740,IF(Weekly_Inspections!$AZ740&lt;&gt;"",Weekly_Inspections!$AZ740,IF(Weekly_Inspections!$BA740&lt;&gt;"",Weekly_Inspections!$BA740,IF(Weekly_Inspections!$BB740&lt;&gt;"",Weekly_Inspections!$BB740,Weekly_Inspections!$R740)))))</f>
        <v/>
      </c>
      <c r="G740">
        <f>IF(OR(Weekly_Inspections!$AQ740&lt;&gt;"",Weekly_Inspections!$AR740&lt;&gt;"",Weekly_Inspections!$AS740&lt;&gt;""),Weekly_Inspections!$AQ740,"")</f>
        <v/>
      </c>
      <c r="H740">
        <f>Weekly_Inspections!$AP740</f>
        <v/>
      </c>
      <c r="I740">
        <f>Weekly_Inspections!$AR740</f>
        <v/>
      </c>
      <c r="J740">
        <f>Weekly_Inspections!$AS740</f>
        <v/>
      </c>
      <c r="K740">
        <f>Weekly_Inspections!$AU740</f>
        <v/>
      </c>
      <c r="L740" s="47">
        <f>Weekly_Inspections!$AV740</f>
        <v/>
      </c>
      <c r="M740">
        <f>IF($B740="","",IF($N740&lt;&gt;"","Closed",IF(OR($G740&lt;&gt;"",$I740&lt;&gt;"",$J740&lt;&gt;""),"Open","")))</f>
        <v/>
      </c>
      <c r="N740" s="47" t="n"/>
      <c r="O740">
        <f>IF($B740="","",IF($M740="Closed",IF($N740="","",$N740-$B740),TODAY()-$B740))</f>
        <v/>
      </c>
      <c r="P740">
        <f>IF(OR($B740="",$L740="",$M740="Closed"),"",IF(TODAY()&gt;$L740,"YES","NO"))</f>
        <v/>
      </c>
      <c r="Q740">
        <f>Weekly_Inspections!$AW740</f>
        <v/>
      </c>
    </row>
    <row r="741" ht="15" customHeight="1" s="45">
      <c r="A741">
        <f>IF(Weekly_Inspections!$B741="","",Weekly_Inspections!$A741&amp;"-A1")</f>
        <v/>
      </c>
      <c r="B741" s="47">
        <f>Weekly_Inspections!$B741</f>
        <v/>
      </c>
      <c r="C741">
        <f>Weekly_Inspections!$E741</f>
        <v/>
      </c>
      <c r="D741">
        <f>Weekly_Inspections!$F741</f>
        <v/>
      </c>
      <c r="E741">
        <f>Weekly_Inspections!$H741</f>
        <v/>
      </c>
      <c r="F741">
        <f>IF(Weekly_Inspections!$AX741&lt;&gt;"",Weekly_Inspections!$AX741,IF(Weekly_Inspections!$AY741&lt;&gt;"",Weekly_Inspections!$AY741,IF(Weekly_Inspections!$AZ741&lt;&gt;"",Weekly_Inspections!$AZ741,IF(Weekly_Inspections!$BA741&lt;&gt;"",Weekly_Inspections!$BA741,IF(Weekly_Inspections!$BB741&lt;&gt;"",Weekly_Inspections!$BB741,Weekly_Inspections!$R741)))))</f>
        <v/>
      </c>
      <c r="G741">
        <f>IF(OR(Weekly_Inspections!$AQ741&lt;&gt;"",Weekly_Inspections!$AR741&lt;&gt;"",Weekly_Inspections!$AS741&lt;&gt;""),Weekly_Inspections!$AQ741,"")</f>
        <v/>
      </c>
      <c r="H741">
        <f>Weekly_Inspections!$AP741</f>
        <v/>
      </c>
      <c r="I741">
        <f>Weekly_Inspections!$AR741</f>
        <v/>
      </c>
      <c r="J741">
        <f>Weekly_Inspections!$AS741</f>
        <v/>
      </c>
      <c r="K741">
        <f>Weekly_Inspections!$AU741</f>
        <v/>
      </c>
      <c r="L741" s="47">
        <f>Weekly_Inspections!$AV741</f>
        <v/>
      </c>
      <c r="M741">
        <f>IF($B741="","",IF($N741&lt;&gt;"","Closed",IF(OR($G741&lt;&gt;"",$I741&lt;&gt;"",$J741&lt;&gt;""),"Open","")))</f>
        <v/>
      </c>
      <c r="N741" s="47" t="n"/>
      <c r="O741">
        <f>IF($B741="","",IF($M741="Closed",IF($N741="","",$N741-$B741),TODAY()-$B741))</f>
        <v/>
      </c>
      <c r="P741">
        <f>IF(OR($B741="",$L741="",$M741="Closed"),"",IF(TODAY()&gt;$L741,"YES","NO"))</f>
        <v/>
      </c>
      <c r="Q741">
        <f>Weekly_Inspections!$AW741</f>
        <v/>
      </c>
    </row>
    <row r="742" ht="15" customHeight="1" s="45">
      <c r="A742">
        <f>IF(Weekly_Inspections!$B742="","",Weekly_Inspections!$A742&amp;"-A1")</f>
        <v/>
      </c>
      <c r="B742" s="47">
        <f>Weekly_Inspections!$B742</f>
        <v/>
      </c>
      <c r="C742">
        <f>Weekly_Inspections!$E742</f>
        <v/>
      </c>
      <c r="D742">
        <f>Weekly_Inspections!$F742</f>
        <v/>
      </c>
      <c r="E742">
        <f>Weekly_Inspections!$H742</f>
        <v/>
      </c>
      <c r="F742">
        <f>IF(Weekly_Inspections!$AX742&lt;&gt;"",Weekly_Inspections!$AX742,IF(Weekly_Inspections!$AY742&lt;&gt;"",Weekly_Inspections!$AY742,IF(Weekly_Inspections!$AZ742&lt;&gt;"",Weekly_Inspections!$AZ742,IF(Weekly_Inspections!$BA742&lt;&gt;"",Weekly_Inspections!$BA742,IF(Weekly_Inspections!$BB742&lt;&gt;"",Weekly_Inspections!$BB742,Weekly_Inspections!$R742)))))</f>
        <v/>
      </c>
      <c r="G742">
        <f>IF(OR(Weekly_Inspections!$AQ742&lt;&gt;"",Weekly_Inspections!$AR742&lt;&gt;"",Weekly_Inspections!$AS742&lt;&gt;""),Weekly_Inspections!$AQ742,"")</f>
        <v/>
      </c>
      <c r="H742">
        <f>Weekly_Inspections!$AP742</f>
        <v/>
      </c>
      <c r="I742">
        <f>Weekly_Inspections!$AR742</f>
        <v/>
      </c>
      <c r="J742">
        <f>Weekly_Inspections!$AS742</f>
        <v/>
      </c>
      <c r="K742">
        <f>Weekly_Inspections!$AU742</f>
        <v/>
      </c>
      <c r="L742" s="47">
        <f>Weekly_Inspections!$AV742</f>
        <v/>
      </c>
      <c r="M742">
        <f>IF($B742="","",IF($N742&lt;&gt;"","Closed",IF(OR($G742&lt;&gt;"",$I742&lt;&gt;"",$J742&lt;&gt;""),"Open","")))</f>
        <v/>
      </c>
      <c r="N742" s="47" t="n"/>
      <c r="O742">
        <f>IF($B742="","",IF($M742="Closed",IF($N742="","",$N742-$B742),TODAY()-$B742))</f>
        <v/>
      </c>
      <c r="P742">
        <f>IF(OR($B742="",$L742="",$M742="Closed"),"",IF(TODAY()&gt;$L742,"YES","NO"))</f>
        <v/>
      </c>
      <c r="Q742">
        <f>Weekly_Inspections!$AW742</f>
        <v/>
      </c>
    </row>
    <row r="743" ht="15" customHeight="1" s="45">
      <c r="A743">
        <f>IF(Weekly_Inspections!$B743="","",Weekly_Inspections!$A743&amp;"-A1")</f>
        <v/>
      </c>
      <c r="B743" s="47">
        <f>Weekly_Inspections!$B743</f>
        <v/>
      </c>
      <c r="C743">
        <f>Weekly_Inspections!$E743</f>
        <v/>
      </c>
      <c r="D743">
        <f>Weekly_Inspections!$F743</f>
        <v/>
      </c>
      <c r="E743">
        <f>Weekly_Inspections!$H743</f>
        <v/>
      </c>
      <c r="F743">
        <f>IF(Weekly_Inspections!$AX743&lt;&gt;"",Weekly_Inspections!$AX743,IF(Weekly_Inspections!$AY743&lt;&gt;"",Weekly_Inspections!$AY743,IF(Weekly_Inspections!$AZ743&lt;&gt;"",Weekly_Inspections!$AZ743,IF(Weekly_Inspections!$BA743&lt;&gt;"",Weekly_Inspections!$BA743,IF(Weekly_Inspections!$BB743&lt;&gt;"",Weekly_Inspections!$BB743,Weekly_Inspections!$R743)))))</f>
        <v/>
      </c>
      <c r="G743">
        <f>IF(OR(Weekly_Inspections!$AQ743&lt;&gt;"",Weekly_Inspections!$AR743&lt;&gt;"",Weekly_Inspections!$AS743&lt;&gt;""),Weekly_Inspections!$AQ743,"")</f>
        <v/>
      </c>
      <c r="H743">
        <f>Weekly_Inspections!$AP743</f>
        <v/>
      </c>
      <c r="I743">
        <f>Weekly_Inspections!$AR743</f>
        <v/>
      </c>
      <c r="J743">
        <f>Weekly_Inspections!$AS743</f>
        <v/>
      </c>
      <c r="K743">
        <f>Weekly_Inspections!$AU743</f>
        <v/>
      </c>
      <c r="L743" s="47">
        <f>Weekly_Inspections!$AV743</f>
        <v/>
      </c>
      <c r="M743">
        <f>IF($B743="","",IF($N743&lt;&gt;"","Closed",IF(OR($G743&lt;&gt;"",$I743&lt;&gt;"",$J743&lt;&gt;""),"Open","")))</f>
        <v/>
      </c>
      <c r="N743" s="47" t="n"/>
      <c r="O743">
        <f>IF($B743="","",IF($M743="Closed",IF($N743="","",$N743-$B743),TODAY()-$B743))</f>
        <v/>
      </c>
      <c r="P743">
        <f>IF(OR($B743="",$L743="",$M743="Closed"),"",IF(TODAY()&gt;$L743,"YES","NO"))</f>
        <v/>
      </c>
      <c r="Q743">
        <f>Weekly_Inspections!$AW743</f>
        <v/>
      </c>
    </row>
    <row r="744" ht="15" customHeight="1" s="45">
      <c r="A744">
        <f>IF(Weekly_Inspections!$B744="","",Weekly_Inspections!$A744&amp;"-A1")</f>
        <v/>
      </c>
      <c r="B744" s="47">
        <f>Weekly_Inspections!$B744</f>
        <v/>
      </c>
      <c r="C744">
        <f>Weekly_Inspections!$E744</f>
        <v/>
      </c>
      <c r="D744">
        <f>Weekly_Inspections!$F744</f>
        <v/>
      </c>
      <c r="E744">
        <f>Weekly_Inspections!$H744</f>
        <v/>
      </c>
      <c r="F744">
        <f>IF(Weekly_Inspections!$AX744&lt;&gt;"",Weekly_Inspections!$AX744,IF(Weekly_Inspections!$AY744&lt;&gt;"",Weekly_Inspections!$AY744,IF(Weekly_Inspections!$AZ744&lt;&gt;"",Weekly_Inspections!$AZ744,IF(Weekly_Inspections!$BA744&lt;&gt;"",Weekly_Inspections!$BA744,IF(Weekly_Inspections!$BB744&lt;&gt;"",Weekly_Inspections!$BB744,Weekly_Inspections!$R744)))))</f>
        <v/>
      </c>
      <c r="G744">
        <f>IF(OR(Weekly_Inspections!$AQ744&lt;&gt;"",Weekly_Inspections!$AR744&lt;&gt;"",Weekly_Inspections!$AS744&lt;&gt;""),Weekly_Inspections!$AQ744,"")</f>
        <v/>
      </c>
      <c r="H744">
        <f>Weekly_Inspections!$AP744</f>
        <v/>
      </c>
      <c r="I744">
        <f>Weekly_Inspections!$AR744</f>
        <v/>
      </c>
      <c r="J744">
        <f>Weekly_Inspections!$AS744</f>
        <v/>
      </c>
      <c r="K744">
        <f>Weekly_Inspections!$AU744</f>
        <v/>
      </c>
      <c r="L744" s="47">
        <f>Weekly_Inspections!$AV744</f>
        <v/>
      </c>
      <c r="M744">
        <f>IF($B744="","",IF($N744&lt;&gt;"","Closed",IF(OR($G744&lt;&gt;"",$I744&lt;&gt;"",$J744&lt;&gt;""),"Open","")))</f>
        <v/>
      </c>
      <c r="N744" s="47" t="n"/>
      <c r="O744">
        <f>IF($B744="","",IF($M744="Closed",IF($N744="","",$N744-$B744),TODAY()-$B744))</f>
        <v/>
      </c>
      <c r="P744">
        <f>IF(OR($B744="",$L744="",$M744="Closed"),"",IF(TODAY()&gt;$L744,"YES","NO"))</f>
        <v/>
      </c>
      <c r="Q744">
        <f>Weekly_Inspections!$AW744</f>
        <v/>
      </c>
    </row>
    <row r="745" ht="15" customHeight="1" s="45">
      <c r="A745">
        <f>IF(Weekly_Inspections!$B745="","",Weekly_Inspections!$A745&amp;"-A1")</f>
        <v/>
      </c>
      <c r="B745" s="47">
        <f>Weekly_Inspections!$B745</f>
        <v/>
      </c>
      <c r="C745">
        <f>Weekly_Inspections!$E745</f>
        <v/>
      </c>
      <c r="D745">
        <f>Weekly_Inspections!$F745</f>
        <v/>
      </c>
      <c r="E745">
        <f>Weekly_Inspections!$H745</f>
        <v/>
      </c>
      <c r="F745">
        <f>IF(Weekly_Inspections!$AX745&lt;&gt;"",Weekly_Inspections!$AX745,IF(Weekly_Inspections!$AY745&lt;&gt;"",Weekly_Inspections!$AY745,IF(Weekly_Inspections!$AZ745&lt;&gt;"",Weekly_Inspections!$AZ745,IF(Weekly_Inspections!$BA745&lt;&gt;"",Weekly_Inspections!$BA745,IF(Weekly_Inspections!$BB745&lt;&gt;"",Weekly_Inspections!$BB745,Weekly_Inspections!$R745)))))</f>
        <v/>
      </c>
      <c r="G745">
        <f>IF(OR(Weekly_Inspections!$AQ745&lt;&gt;"",Weekly_Inspections!$AR745&lt;&gt;"",Weekly_Inspections!$AS745&lt;&gt;""),Weekly_Inspections!$AQ745,"")</f>
        <v/>
      </c>
      <c r="H745">
        <f>Weekly_Inspections!$AP745</f>
        <v/>
      </c>
      <c r="I745">
        <f>Weekly_Inspections!$AR745</f>
        <v/>
      </c>
      <c r="J745">
        <f>Weekly_Inspections!$AS745</f>
        <v/>
      </c>
      <c r="K745">
        <f>Weekly_Inspections!$AU745</f>
        <v/>
      </c>
      <c r="L745" s="47">
        <f>Weekly_Inspections!$AV745</f>
        <v/>
      </c>
      <c r="M745">
        <f>IF($B745="","",IF($N745&lt;&gt;"","Closed",IF(OR($G745&lt;&gt;"",$I745&lt;&gt;"",$J745&lt;&gt;""),"Open","")))</f>
        <v/>
      </c>
      <c r="N745" s="47" t="n"/>
      <c r="O745">
        <f>IF($B745="","",IF($M745="Closed",IF($N745="","",$N745-$B745),TODAY()-$B745))</f>
        <v/>
      </c>
      <c r="P745">
        <f>IF(OR($B745="",$L745="",$M745="Closed"),"",IF(TODAY()&gt;$L745,"YES","NO"))</f>
        <v/>
      </c>
      <c r="Q745">
        <f>Weekly_Inspections!$AW745</f>
        <v/>
      </c>
    </row>
    <row r="746" ht="15" customHeight="1" s="45">
      <c r="A746">
        <f>IF(Weekly_Inspections!$B746="","",Weekly_Inspections!$A746&amp;"-A1")</f>
        <v/>
      </c>
      <c r="B746" s="47">
        <f>Weekly_Inspections!$B746</f>
        <v/>
      </c>
      <c r="C746">
        <f>Weekly_Inspections!$E746</f>
        <v/>
      </c>
      <c r="D746">
        <f>Weekly_Inspections!$F746</f>
        <v/>
      </c>
      <c r="E746">
        <f>Weekly_Inspections!$H746</f>
        <v/>
      </c>
      <c r="F746">
        <f>IF(Weekly_Inspections!$AX746&lt;&gt;"",Weekly_Inspections!$AX746,IF(Weekly_Inspections!$AY746&lt;&gt;"",Weekly_Inspections!$AY746,IF(Weekly_Inspections!$AZ746&lt;&gt;"",Weekly_Inspections!$AZ746,IF(Weekly_Inspections!$BA746&lt;&gt;"",Weekly_Inspections!$BA746,IF(Weekly_Inspections!$BB746&lt;&gt;"",Weekly_Inspections!$BB746,Weekly_Inspections!$R746)))))</f>
        <v/>
      </c>
      <c r="G746">
        <f>IF(OR(Weekly_Inspections!$AQ746&lt;&gt;"",Weekly_Inspections!$AR746&lt;&gt;"",Weekly_Inspections!$AS746&lt;&gt;""),Weekly_Inspections!$AQ746,"")</f>
        <v/>
      </c>
      <c r="H746">
        <f>Weekly_Inspections!$AP746</f>
        <v/>
      </c>
      <c r="I746">
        <f>Weekly_Inspections!$AR746</f>
        <v/>
      </c>
      <c r="J746">
        <f>Weekly_Inspections!$AS746</f>
        <v/>
      </c>
      <c r="K746">
        <f>Weekly_Inspections!$AU746</f>
        <v/>
      </c>
      <c r="L746" s="47">
        <f>Weekly_Inspections!$AV746</f>
        <v/>
      </c>
      <c r="M746">
        <f>IF($B746="","",IF($N746&lt;&gt;"","Closed",IF(OR($G746&lt;&gt;"",$I746&lt;&gt;"",$J746&lt;&gt;""),"Open","")))</f>
        <v/>
      </c>
      <c r="N746" s="47" t="n"/>
      <c r="O746">
        <f>IF($B746="","",IF($M746="Closed",IF($N746="","",$N746-$B746),TODAY()-$B746))</f>
        <v/>
      </c>
      <c r="P746">
        <f>IF(OR($B746="",$L746="",$M746="Closed"),"",IF(TODAY()&gt;$L746,"YES","NO"))</f>
        <v/>
      </c>
      <c r="Q746">
        <f>Weekly_Inspections!$AW746</f>
        <v/>
      </c>
    </row>
    <row r="747" ht="15" customHeight="1" s="45">
      <c r="A747">
        <f>IF(Weekly_Inspections!$B747="","",Weekly_Inspections!$A747&amp;"-A1")</f>
        <v/>
      </c>
      <c r="B747" s="47">
        <f>Weekly_Inspections!$B747</f>
        <v/>
      </c>
      <c r="C747">
        <f>Weekly_Inspections!$E747</f>
        <v/>
      </c>
      <c r="D747">
        <f>Weekly_Inspections!$F747</f>
        <v/>
      </c>
      <c r="E747">
        <f>Weekly_Inspections!$H747</f>
        <v/>
      </c>
      <c r="F747">
        <f>IF(Weekly_Inspections!$AX747&lt;&gt;"",Weekly_Inspections!$AX747,IF(Weekly_Inspections!$AY747&lt;&gt;"",Weekly_Inspections!$AY747,IF(Weekly_Inspections!$AZ747&lt;&gt;"",Weekly_Inspections!$AZ747,IF(Weekly_Inspections!$BA747&lt;&gt;"",Weekly_Inspections!$BA747,IF(Weekly_Inspections!$BB747&lt;&gt;"",Weekly_Inspections!$BB747,Weekly_Inspections!$R747)))))</f>
        <v/>
      </c>
      <c r="G747">
        <f>IF(OR(Weekly_Inspections!$AQ747&lt;&gt;"",Weekly_Inspections!$AR747&lt;&gt;"",Weekly_Inspections!$AS747&lt;&gt;""),Weekly_Inspections!$AQ747,"")</f>
        <v/>
      </c>
      <c r="H747">
        <f>Weekly_Inspections!$AP747</f>
        <v/>
      </c>
      <c r="I747">
        <f>Weekly_Inspections!$AR747</f>
        <v/>
      </c>
      <c r="J747">
        <f>Weekly_Inspections!$AS747</f>
        <v/>
      </c>
      <c r="K747">
        <f>Weekly_Inspections!$AU747</f>
        <v/>
      </c>
      <c r="L747" s="47">
        <f>Weekly_Inspections!$AV747</f>
        <v/>
      </c>
      <c r="M747">
        <f>IF($B747="","",IF($N747&lt;&gt;"","Closed",IF(OR($G747&lt;&gt;"",$I747&lt;&gt;"",$J747&lt;&gt;""),"Open","")))</f>
        <v/>
      </c>
      <c r="N747" s="47" t="n"/>
      <c r="O747">
        <f>IF($B747="","",IF($M747="Closed",IF($N747="","",$N747-$B747),TODAY()-$B747))</f>
        <v/>
      </c>
      <c r="P747">
        <f>IF(OR($B747="",$L747="",$M747="Closed"),"",IF(TODAY()&gt;$L747,"YES","NO"))</f>
        <v/>
      </c>
      <c r="Q747">
        <f>Weekly_Inspections!$AW747</f>
        <v/>
      </c>
    </row>
    <row r="748" ht="15" customHeight="1" s="45">
      <c r="A748">
        <f>IF(Weekly_Inspections!$B748="","",Weekly_Inspections!$A748&amp;"-A1")</f>
        <v/>
      </c>
      <c r="B748" s="47">
        <f>Weekly_Inspections!$B748</f>
        <v/>
      </c>
      <c r="C748">
        <f>Weekly_Inspections!$E748</f>
        <v/>
      </c>
      <c r="D748">
        <f>Weekly_Inspections!$F748</f>
        <v/>
      </c>
      <c r="E748">
        <f>Weekly_Inspections!$H748</f>
        <v/>
      </c>
      <c r="F748">
        <f>IF(Weekly_Inspections!$AX748&lt;&gt;"",Weekly_Inspections!$AX748,IF(Weekly_Inspections!$AY748&lt;&gt;"",Weekly_Inspections!$AY748,IF(Weekly_Inspections!$AZ748&lt;&gt;"",Weekly_Inspections!$AZ748,IF(Weekly_Inspections!$BA748&lt;&gt;"",Weekly_Inspections!$BA748,IF(Weekly_Inspections!$BB748&lt;&gt;"",Weekly_Inspections!$BB748,Weekly_Inspections!$R748)))))</f>
        <v/>
      </c>
      <c r="G748">
        <f>IF(OR(Weekly_Inspections!$AQ748&lt;&gt;"",Weekly_Inspections!$AR748&lt;&gt;"",Weekly_Inspections!$AS748&lt;&gt;""),Weekly_Inspections!$AQ748,"")</f>
        <v/>
      </c>
      <c r="H748">
        <f>Weekly_Inspections!$AP748</f>
        <v/>
      </c>
      <c r="I748">
        <f>Weekly_Inspections!$AR748</f>
        <v/>
      </c>
      <c r="J748">
        <f>Weekly_Inspections!$AS748</f>
        <v/>
      </c>
      <c r="K748">
        <f>Weekly_Inspections!$AU748</f>
        <v/>
      </c>
      <c r="L748" s="47">
        <f>Weekly_Inspections!$AV748</f>
        <v/>
      </c>
      <c r="M748">
        <f>IF($B748="","",IF($N748&lt;&gt;"","Closed",IF(OR($G748&lt;&gt;"",$I748&lt;&gt;"",$J748&lt;&gt;""),"Open","")))</f>
        <v/>
      </c>
      <c r="N748" s="47" t="n"/>
      <c r="O748">
        <f>IF($B748="","",IF($M748="Closed",IF($N748="","",$N748-$B748),TODAY()-$B748))</f>
        <v/>
      </c>
      <c r="P748">
        <f>IF(OR($B748="",$L748="",$M748="Closed"),"",IF(TODAY()&gt;$L748,"YES","NO"))</f>
        <v/>
      </c>
      <c r="Q748">
        <f>Weekly_Inspections!$AW748</f>
        <v/>
      </c>
    </row>
    <row r="749" ht="15" customHeight="1" s="45">
      <c r="A749">
        <f>IF(Weekly_Inspections!$B749="","",Weekly_Inspections!$A749&amp;"-A1")</f>
        <v/>
      </c>
      <c r="B749" s="47">
        <f>Weekly_Inspections!$B749</f>
        <v/>
      </c>
      <c r="C749">
        <f>Weekly_Inspections!$E749</f>
        <v/>
      </c>
      <c r="D749">
        <f>Weekly_Inspections!$F749</f>
        <v/>
      </c>
      <c r="E749">
        <f>Weekly_Inspections!$H749</f>
        <v/>
      </c>
      <c r="F749">
        <f>IF(Weekly_Inspections!$AX749&lt;&gt;"",Weekly_Inspections!$AX749,IF(Weekly_Inspections!$AY749&lt;&gt;"",Weekly_Inspections!$AY749,IF(Weekly_Inspections!$AZ749&lt;&gt;"",Weekly_Inspections!$AZ749,IF(Weekly_Inspections!$BA749&lt;&gt;"",Weekly_Inspections!$BA749,IF(Weekly_Inspections!$BB749&lt;&gt;"",Weekly_Inspections!$BB749,Weekly_Inspections!$R749)))))</f>
        <v/>
      </c>
      <c r="G749">
        <f>IF(OR(Weekly_Inspections!$AQ749&lt;&gt;"",Weekly_Inspections!$AR749&lt;&gt;"",Weekly_Inspections!$AS749&lt;&gt;""),Weekly_Inspections!$AQ749,"")</f>
        <v/>
      </c>
      <c r="H749">
        <f>Weekly_Inspections!$AP749</f>
        <v/>
      </c>
      <c r="I749">
        <f>Weekly_Inspections!$AR749</f>
        <v/>
      </c>
      <c r="J749">
        <f>Weekly_Inspections!$AS749</f>
        <v/>
      </c>
      <c r="K749">
        <f>Weekly_Inspections!$AU749</f>
        <v/>
      </c>
      <c r="L749" s="47">
        <f>Weekly_Inspections!$AV749</f>
        <v/>
      </c>
      <c r="M749">
        <f>IF($B749="","",IF($N749&lt;&gt;"","Closed",IF(OR($G749&lt;&gt;"",$I749&lt;&gt;"",$J749&lt;&gt;""),"Open","")))</f>
        <v/>
      </c>
      <c r="N749" s="47" t="n"/>
      <c r="O749">
        <f>IF($B749="","",IF($M749="Closed",IF($N749="","",$N749-$B749),TODAY()-$B749))</f>
        <v/>
      </c>
      <c r="P749">
        <f>IF(OR($B749="",$L749="",$M749="Closed"),"",IF(TODAY()&gt;$L749,"YES","NO"))</f>
        <v/>
      </c>
      <c r="Q749">
        <f>Weekly_Inspections!$AW749</f>
        <v/>
      </c>
    </row>
    <row r="750" ht="15" customHeight="1" s="45">
      <c r="A750">
        <f>IF(Weekly_Inspections!$B750="","",Weekly_Inspections!$A750&amp;"-A1")</f>
        <v/>
      </c>
      <c r="B750" s="47">
        <f>Weekly_Inspections!$B750</f>
        <v/>
      </c>
      <c r="C750">
        <f>Weekly_Inspections!$E750</f>
        <v/>
      </c>
      <c r="D750">
        <f>Weekly_Inspections!$F750</f>
        <v/>
      </c>
      <c r="E750">
        <f>Weekly_Inspections!$H750</f>
        <v/>
      </c>
      <c r="F750">
        <f>IF(Weekly_Inspections!$AX750&lt;&gt;"",Weekly_Inspections!$AX750,IF(Weekly_Inspections!$AY750&lt;&gt;"",Weekly_Inspections!$AY750,IF(Weekly_Inspections!$AZ750&lt;&gt;"",Weekly_Inspections!$AZ750,IF(Weekly_Inspections!$BA750&lt;&gt;"",Weekly_Inspections!$BA750,IF(Weekly_Inspections!$BB750&lt;&gt;"",Weekly_Inspections!$BB750,Weekly_Inspections!$R750)))))</f>
        <v/>
      </c>
      <c r="G750">
        <f>IF(OR(Weekly_Inspections!$AQ750&lt;&gt;"",Weekly_Inspections!$AR750&lt;&gt;"",Weekly_Inspections!$AS750&lt;&gt;""),Weekly_Inspections!$AQ750,"")</f>
        <v/>
      </c>
      <c r="H750">
        <f>Weekly_Inspections!$AP750</f>
        <v/>
      </c>
      <c r="I750">
        <f>Weekly_Inspections!$AR750</f>
        <v/>
      </c>
      <c r="J750">
        <f>Weekly_Inspections!$AS750</f>
        <v/>
      </c>
      <c r="K750">
        <f>Weekly_Inspections!$AU750</f>
        <v/>
      </c>
      <c r="L750" s="47">
        <f>Weekly_Inspections!$AV750</f>
        <v/>
      </c>
      <c r="M750">
        <f>IF($B750="","",IF($N750&lt;&gt;"","Closed",IF(OR($G750&lt;&gt;"",$I750&lt;&gt;"",$J750&lt;&gt;""),"Open","")))</f>
        <v/>
      </c>
      <c r="N750" s="47" t="n"/>
      <c r="O750">
        <f>IF($B750="","",IF($M750="Closed",IF($N750="","",$N750-$B750),TODAY()-$B750))</f>
        <v/>
      </c>
      <c r="P750">
        <f>IF(OR($B750="",$L750="",$M750="Closed"),"",IF(TODAY()&gt;$L750,"YES","NO"))</f>
        <v/>
      </c>
      <c r="Q750">
        <f>Weekly_Inspections!$AW750</f>
        <v/>
      </c>
    </row>
    <row r="751" ht="15" customHeight="1" s="45">
      <c r="A751">
        <f>IF(Weekly_Inspections!$B751="","",Weekly_Inspections!$A751&amp;"-A1")</f>
        <v/>
      </c>
      <c r="B751" s="47">
        <f>Weekly_Inspections!$B751</f>
        <v/>
      </c>
      <c r="C751">
        <f>Weekly_Inspections!$E751</f>
        <v/>
      </c>
      <c r="D751">
        <f>Weekly_Inspections!$F751</f>
        <v/>
      </c>
      <c r="E751">
        <f>Weekly_Inspections!$H751</f>
        <v/>
      </c>
      <c r="F751">
        <f>IF(Weekly_Inspections!$AX751&lt;&gt;"",Weekly_Inspections!$AX751,IF(Weekly_Inspections!$AY751&lt;&gt;"",Weekly_Inspections!$AY751,IF(Weekly_Inspections!$AZ751&lt;&gt;"",Weekly_Inspections!$AZ751,IF(Weekly_Inspections!$BA751&lt;&gt;"",Weekly_Inspections!$BA751,IF(Weekly_Inspections!$BB751&lt;&gt;"",Weekly_Inspections!$BB751,Weekly_Inspections!$R751)))))</f>
        <v/>
      </c>
      <c r="G751">
        <f>IF(OR(Weekly_Inspections!$AQ751&lt;&gt;"",Weekly_Inspections!$AR751&lt;&gt;"",Weekly_Inspections!$AS751&lt;&gt;""),Weekly_Inspections!$AQ751,"")</f>
        <v/>
      </c>
      <c r="H751">
        <f>Weekly_Inspections!$AP751</f>
        <v/>
      </c>
      <c r="I751">
        <f>Weekly_Inspections!$AR751</f>
        <v/>
      </c>
      <c r="J751">
        <f>Weekly_Inspections!$AS751</f>
        <v/>
      </c>
      <c r="K751">
        <f>Weekly_Inspections!$AU751</f>
        <v/>
      </c>
      <c r="L751" s="47">
        <f>Weekly_Inspections!$AV751</f>
        <v/>
      </c>
      <c r="M751">
        <f>IF($B751="","",IF($N751&lt;&gt;"","Closed",IF(OR($G751&lt;&gt;"",$I751&lt;&gt;"",$J751&lt;&gt;""),"Open","")))</f>
        <v/>
      </c>
      <c r="N751" s="47" t="n"/>
      <c r="O751">
        <f>IF($B751="","",IF($M751="Closed",IF($N751="","",$N751-$B751),TODAY()-$B751))</f>
        <v/>
      </c>
      <c r="P751">
        <f>IF(OR($B751="",$L751="",$M751="Closed"),"",IF(TODAY()&gt;$L751,"YES","NO"))</f>
        <v/>
      </c>
      <c r="Q751">
        <f>Weekly_Inspections!$AW751</f>
        <v/>
      </c>
    </row>
    <row r="752" ht="15" customHeight="1" s="45">
      <c r="A752">
        <f>IF(Weekly_Inspections!$B752="","",Weekly_Inspections!$A752&amp;"-A1")</f>
        <v/>
      </c>
      <c r="B752" s="47">
        <f>Weekly_Inspections!$B752</f>
        <v/>
      </c>
      <c r="C752">
        <f>Weekly_Inspections!$E752</f>
        <v/>
      </c>
      <c r="D752">
        <f>Weekly_Inspections!$F752</f>
        <v/>
      </c>
      <c r="E752">
        <f>Weekly_Inspections!$H752</f>
        <v/>
      </c>
      <c r="F752">
        <f>IF(Weekly_Inspections!$AX752&lt;&gt;"",Weekly_Inspections!$AX752,IF(Weekly_Inspections!$AY752&lt;&gt;"",Weekly_Inspections!$AY752,IF(Weekly_Inspections!$AZ752&lt;&gt;"",Weekly_Inspections!$AZ752,IF(Weekly_Inspections!$BA752&lt;&gt;"",Weekly_Inspections!$BA752,IF(Weekly_Inspections!$BB752&lt;&gt;"",Weekly_Inspections!$BB752,Weekly_Inspections!$R752)))))</f>
        <v/>
      </c>
      <c r="G752">
        <f>IF(OR(Weekly_Inspections!$AQ752&lt;&gt;"",Weekly_Inspections!$AR752&lt;&gt;"",Weekly_Inspections!$AS752&lt;&gt;""),Weekly_Inspections!$AQ752,"")</f>
        <v/>
      </c>
      <c r="H752">
        <f>Weekly_Inspections!$AP752</f>
        <v/>
      </c>
      <c r="I752">
        <f>Weekly_Inspections!$AR752</f>
        <v/>
      </c>
      <c r="J752">
        <f>Weekly_Inspections!$AS752</f>
        <v/>
      </c>
      <c r="K752">
        <f>Weekly_Inspections!$AU752</f>
        <v/>
      </c>
      <c r="L752" s="47">
        <f>Weekly_Inspections!$AV752</f>
        <v/>
      </c>
      <c r="M752">
        <f>IF($B752="","",IF($N752&lt;&gt;"","Closed",IF(OR($G752&lt;&gt;"",$I752&lt;&gt;"",$J752&lt;&gt;""),"Open","")))</f>
        <v/>
      </c>
      <c r="N752" s="47" t="n"/>
      <c r="O752">
        <f>IF($B752="","",IF($M752="Closed",IF($N752="","",$N752-$B752),TODAY()-$B752))</f>
        <v/>
      </c>
      <c r="P752">
        <f>IF(OR($B752="",$L752="",$M752="Closed"),"",IF(TODAY()&gt;$L752,"YES","NO"))</f>
        <v/>
      </c>
      <c r="Q752">
        <f>Weekly_Inspections!$AW752</f>
        <v/>
      </c>
    </row>
    <row r="753" ht="15" customHeight="1" s="45">
      <c r="A753">
        <f>IF(Weekly_Inspections!$B753="","",Weekly_Inspections!$A753&amp;"-A1")</f>
        <v/>
      </c>
      <c r="B753" s="47">
        <f>Weekly_Inspections!$B753</f>
        <v/>
      </c>
      <c r="C753">
        <f>Weekly_Inspections!$E753</f>
        <v/>
      </c>
      <c r="D753">
        <f>Weekly_Inspections!$F753</f>
        <v/>
      </c>
      <c r="E753">
        <f>Weekly_Inspections!$H753</f>
        <v/>
      </c>
      <c r="F753">
        <f>IF(Weekly_Inspections!$AX753&lt;&gt;"",Weekly_Inspections!$AX753,IF(Weekly_Inspections!$AY753&lt;&gt;"",Weekly_Inspections!$AY753,IF(Weekly_Inspections!$AZ753&lt;&gt;"",Weekly_Inspections!$AZ753,IF(Weekly_Inspections!$BA753&lt;&gt;"",Weekly_Inspections!$BA753,IF(Weekly_Inspections!$BB753&lt;&gt;"",Weekly_Inspections!$BB753,Weekly_Inspections!$R753)))))</f>
        <v/>
      </c>
      <c r="G753">
        <f>IF(OR(Weekly_Inspections!$AQ753&lt;&gt;"",Weekly_Inspections!$AR753&lt;&gt;"",Weekly_Inspections!$AS753&lt;&gt;""),Weekly_Inspections!$AQ753,"")</f>
        <v/>
      </c>
      <c r="H753">
        <f>Weekly_Inspections!$AP753</f>
        <v/>
      </c>
      <c r="I753">
        <f>Weekly_Inspections!$AR753</f>
        <v/>
      </c>
      <c r="J753">
        <f>Weekly_Inspections!$AS753</f>
        <v/>
      </c>
      <c r="K753">
        <f>Weekly_Inspections!$AU753</f>
        <v/>
      </c>
      <c r="L753" s="47">
        <f>Weekly_Inspections!$AV753</f>
        <v/>
      </c>
      <c r="M753">
        <f>IF($B753="","",IF($N753&lt;&gt;"","Closed",IF(OR($G753&lt;&gt;"",$I753&lt;&gt;"",$J753&lt;&gt;""),"Open","")))</f>
        <v/>
      </c>
      <c r="N753" s="47" t="n"/>
      <c r="O753">
        <f>IF($B753="","",IF($M753="Closed",IF($N753="","",$N753-$B753),TODAY()-$B753))</f>
        <v/>
      </c>
      <c r="P753">
        <f>IF(OR($B753="",$L753="",$M753="Closed"),"",IF(TODAY()&gt;$L753,"YES","NO"))</f>
        <v/>
      </c>
      <c r="Q753">
        <f>Weekly_Inspections!$AW753</f>
        <v/>
      </c>
    </row>
    <row r="754" ht="15" customHeight="1" s="45">
      <c r="A754">
        <f>IF(Weekly_Inspections!$B754="","",Weekly_Inspections!$A754&amp;"-A1")</f>
        <v/>
      </c>
      <c r="B754" s="47">
        <f>Weekly_Inspections!$B754</f>
        <v/>
      </c>
      <c r="C754">
        <f>Weekly_Inspections!$E754</f>
        <v/>
      </c>
      <c r="D754">
        <f>Weekly_Inspections!$F754</f>
        <v/>
      </c>
      <c r="E754">
        <f>Weekly_Inspections!$H754</f>
        <v/>
      </c>
      <c r="F754">
        <f>IF(Weekly_Inspections!$AX754&lt;&gt;"",Weekly_Inspections!$AX754,IF(Weekly_Inspections!$AY754&lt;&gt;"",Weekly_Inspections!$AY754,IF(Weekly_Inspections!$AZ754&lt;&gt;"",Weekly_Inspections!$AZ754,IF(Weekly_Inspections!$BA754&lt;&gt;"",Weekly_Inspections!$BA754,IF(Weekly_Inspections!$BB754&lt;&gt;"",Weekly_Inspections!$BB754,Weekly_Inspections!$R754)))))</f>
        <v/>
      </c>
      <c r="G754">
        <f>IF(OR(Weekly_Inspections!$AQ754&lt;&gt;"",Weekly_Inspections!$AR754&lt;&gt;"",Weekly_Inspections!$AS754&lt;&gt;""),Weekly_Inspections!$AQ754,"")</f>
        <v/>
      </c>
      <c r="H754">
        <f>Weekly_Inspections!$AP754</f>
        <v/>
      </c>
      <c r="I754">
        <f>Weekly_Inspections!$AR754</f>
        <v/>
      </c>
      <c r="J754">
        <f>Weekly_Inspections!$AS754</f>
        <v/>
      </c>
      <c r="K754">
        <f>Weekly_Inspections!$AU754</f>
        <v/>
      </c>
      <c r="L754" s="47">
        <f>Weekly_Inspections!$AV754</f>
        <v/>
      </c>
      <c r="M754">
        <f>IF($B754="","",IF($N754&lt;&gt;"","Closed",IF(OR($G754&lt;&gt;"",$I754&lt;&gt;"",$J754&lt;&gt;""),"Open","")))</f>
        <v/>
      </c>
      <c r="N754" s="47" t="n"/>
      <c r="O754">
        <f>IF($B754="","",IF($M754="Closed",IF($N754="","",$N754-$B754),TODAY()-$B754))</f>
        <v/>
      </c>
      <c r="P754">
        <f>IF(OR($B754="",$L754="",$M754="Closed"),"",IF(TODAY()&gt;$L754,"YES","NO"))</f>
        <v/>
      </c>
      <c r="Q754">
        <f>Weekly_Inspections!$AW754</f>
        <v/>
      </c>
    </row>
    <row r="755" ht="15" customHeight="1" s="45">
      <c r="A755">
        <f>IF(Weekly_Inspections!$B755="","",Weekly_Inspections!$A755&amp;"-A1")</f>
        <v/>
      </c>
      <c r="B755" s="47">
        <f>Weekly_Inspections!$B755</f>
        <v/>
      </c>
      <c r="C755">
        <f>Weekly_Inspections!$E755</f>
        <v/>
      </c>
      <c r="D755">
        <f>Weekly_Inspections!$F755</f>
        <v/>
      </c>
      <c r="E755">
        <f>Weekly_Inspections!$H755</f>
        <v/>
      </c>
      <c r="F755">
        <f>IF(Weekly_Inspections!$AX755&lt;&gt;"",Weekly_Inspections!$AX755,IF(Weekly_Inspections!$AY755&lt;&gt;"",Weekly_Inspections!$AY755,IF(Weekly_Inspections!$AZ755&lt;&gt;"",Weekly_Inspections!$AZ755,IF(Weekly_Inspections!$BA755&lt;&gt;"",Weekly_Inspections!$BA755,IF(Weekly_Inspections!$BB755&lt;&gt;"",Weekly_Inspections!$BB755,Weekly_Inspections!$R755)))))</f>
        <v/>
      </c>
      <c r="G755">
        <f>IF(OR(Weekly_Inspections!$AQ755&lt;&gt;"",Weekly_Inspections!$AR755&lt;&gt;"",Weekly_Inspections!$AS755&lt;&gt;""),Weekly_Inspections!$AQ755,"")</f>
        <v/>
      </c>
      <c r="H755">
        <f>Weekly_Inspections!$AP755</f>
        <v/>
      </c>
      <c r="I755">
        <f>Weekly_Inspections!$AR755</f>
        <v/>
      </c>
      <c r="J755">
        <f>Weekly_Inspections!$AS755</f>
        <v/>
      </c>
      <c r="K755">
        <f>Weekly_Inspections!$AU755</f>
        <v/>
      </c>
      <c r="L755" s="47">
        <f>Weekly_Inspections!$AV755</f>
        <v/>
      </c>
      <c r="M755">
        <f>IF($B755="","",IF($N755&lt;&gt;"","Closed",IF(OR($G755&lt;&gt;"",$I755&lt;&gt;"",$J755&lt;&gt;""),"Open","")))</f>
        <v/>
      </c>
      <c r="N755" s="47" t="n"/>
      <c r="O755">
        <f>IF($B755="","",IF($M755="Closed",IF($N755="","",$N755-$B755),TODAY()-$B755))</f>
        <v/>
      </c>
      <c r="P755">
        <f>IF(OR($B755="",$L755="",$M755="Closed"),"",IF(TODAY()&gt;$L755,"YES","NO"))</f>
        <v/>
      </c>
      <c r="Q755">
        <f>Weekly_Inspections!$AW755</f>
        <v/>
      </c>
    </row>
    <row r="756" ht="15" customHeight="1" s="45">
      <c r="A756">
        <f>IF(Weekly_Inspections!$B756="","",Weekly_Inspections!$A756&amp;"-A1")</f>
        <v/>
      </c>
      <c r="B756" s="47">
        <f>Weekly_Inspections!$B756</f>
        <v/>
      </c>
      <c r="C756">
        <f>Weekly_Inspections!$E756</f>
        <v/>
      </c>
      <c r="D756">
        <f>Weekly_Inspections!$F756</f>
        <v/>
      </c>
      <c r="E756">
        <f>Weekly_Inspections!$H756</f>
        <v/>
      </c>
      <c r="F756">
        <f>IF(Weekly_Inspections!$AX756&lt;&gt;"",Weekly_Inspections!$AX756,IF(Weekly_Inspections!$AY756&lt;&gt;"",Weekly_Inspections!$AY756,IF(Weekly_Inspections!$AZ756&lt;&gt;"",Weekly_Inspections!$AZ756,IF(Weekly_Inspections!$BA756&lt;&gt;"",Weekly_Inspections!$BA756,IF(Weekly_Inspections!$BB756&lt;&gt;"",Weekly_Inspections!$BB756,Weekly_Inspections!$R756)))))</f>
        <v/>
      </c>
      <c r="G756">
        <f>IF(OR(Weekly_Inspections!$AQ756&lt;&gt;"",Weekly_Inspections!$AR756&lt;&gt;"",Weekly_Inspections!$AS756&lt;&gt;""),Weekly_Inspections!$AQ756,"")</f>
        <v/>
      </c>
      <c r="H756">
        <f>Weekly_Inspections!$AP756</f>
        <v/>
      </c>
      <c r="I756">
        <f>Weekly_Inspections!$AR756</f>
        <v/>
      </c>
      <c r="J756">
        <f>Weekly_Inspections!$AS756</f>
        <v/>
      </c>
      <c r="K756">
        <f>Weekly_Inspections!$AU756</f>
        <v/>
      </c>
      <c r="L756" s="47">
        <f>Weekly_Inspections!$AV756</f>
        <v/>
      </c>
      <c r="M756">
        <f>IF($B756="","",IF($N756&lt;&gt;"","Closed",IF(OR($G756&lt;&gt;"",$I756&lt;&gt;"",$J756&lt;&gt;""),"Open","")))</f>
        <v/>
      </c>
      <c r="N756" s="47" t="n"/>
      <c r="O756">
        <f>IF($B756="","",IF($M756="Closed",IF($N756="","",$N756-$B756),TODAY()-$B756))</f>
        <v/>
      </c>
      <c r="P756">
        <f>IF(OR($B756="",$L756="",$M756="Closed"),"",IF(TODAY()&gt;$L756,"YES","NO"))</f>
        <v/>
      </c>
      <c r="Q756">
        <f>Weekly_Inspections!$AW756</f>
        <v/>
      </c>
    </row>
    <row r="757" ht="15" customHeight="1" s="45">
      <c r="A757">
        <f>IF(Weekly_Inspections!$B757="","",Weekly_Inspections!$A757&amp;"-A1")</f>
        <v/>
      </c>
      <c r="B757" s="47">
        <f>Weekly_Inspections!$B757</f>
        <v/>
      </c>
      <c r="C757">
        <f>Weekly_Inspections!$E757</f>
        <v/>
      </c>
      <c r="D757">
        <f>Weekly_Inspections!$F757</f>
        <v/>
      </c>
      <c r="E757">
        <f>Weekly_Inspections!$H757</f>
        <v/>
      </c>
      <c r="F757">
        <f>IF(Weekly_Inspections!$AX757&lt;&gt;"",Weekly_Inspections!$AX757,IF(Weekly_Inspections!$AY757&lt;&gt;"",Weekly_Inspections!$AY757,IF(Weekly_Inspections!$AZ757&lt;&gt;"",Weekly_Inspections!$AZ757,IF(Weekly_Inspections!$BA757&lt;&gt;"",Weekly_Inspections!$BA757,IF(Weekly_Inspections!$BB757&lt;&gt;"",Weekly_Inspections!$BB757,Weekly_Inspections!$R757)))))</f>
        <v/>
      </c>
      <c r="G757">
        <f>IF(OR(Weekly_Inspections!$AQ757&lt;&gt;"",Weekly_Inspections!$AR757&lt;&gt;"",Weekly_Inspections!$AS757&lt;&gt;""),Weekly_Inspections!$AQ757,"")</f>
        <v/>
      </c>
      <c r="H757">
        <f>Weekly_Inspections!$AP757</f>
        <v/>
      </c>
      <c r="I757">
        <f>Weekly_Inspections!$AR757</f>
        <v/>
      </c>
      <c r="J757">
        <f>Weekly_Inspections!$AS757</f>
        <v/>
      </c>
      <c r="K757">
        <f>Weekly_Inspections!$AU757</f>
        <v/>
      </c>
      <c r="L757" s="47">
        <f>Weekly_Inspections!$AV757</f>
        <v/>
      </c>
      <c r="M757">
        <f>IF($B757="","",IF($N757&lt;&gt;"","Closed",IF(OR($G757&lt;&gt;"",$I757&lt;&gt;"",$J757&lt;&gt;""),"Open","")))</f>
        <v/>
      </c>
      <c r="N757" s="47" t="n"/>
      <c r="O757">
        <f>IF($B757="","",IF($M757="Closed",IF($N757="","",$N757-$B757),TODAY()-$B757))</f>
        <v/>
      </c>
      <c r="P757">
        <f>IF(OR($B757="",$L757="",$M757="Closed"),"",IF(TODAY()&gt;$L757,"YES","NO"))</f>
        <v/>
      </c>
      <c r="Q757">
        <f>Weekly_Inspections!$AW757</f>
        <v/>
      </c>
    </row>
    <row r="758" ht="15" customHeight="1" s="45">
      <c r="A758">
        <f>IF(Weekly_Inspections!$B758="","",Weekly_Inspections!$A758&amp;"-A1")</f>
        <v/>
      </c>
      <c r="B758" s="47">
        <f>Weekly_Inspections!$B758</f>
        <v/>
      </c>
      <c r="C758">
        <f>Weekly_Inspections!$E758</f>
        <v/>
      </c>
      <c r="D758">
        <f>Weekly_Inspections!$F758</f>
        <v/>
      </c>
      <c r="E758">
        <f>Weekly_Inspections!$H758</f>
        <v/>
      </c>
      <c r="F758">
        <f>IF(Weekly_Inspections!$AX758&lt;&gt;"",Weekly_Inspections!$AX758,IF(Weekly_Inspections!$AY758&lt;&gt;"",Weekly_Inspections!$AY758,IF(Weekly_Inspections!$AZ758&lt;&gt;"",Weekly_Inspections!$AZ758,IF(Weekly_Inspections!$BA758&lt;&gt;"",Weekly_Inspections!$BA758,IF(Weekly_Inspections!$BB758&lt;&gt;"",Weekly_Inspections!$BB758,Weekly_Inspections!$R758)))))</f>
        <v/>
      </c>
      <c r="G758">
        <f>IF(OR(Weekly_Inspections!$AQ758&lt;&gt;"",Weekly_Inspections!$AR758&lt;&gt;"",Weekly_Inspections!$AS758&lt;&gt;""),Weekly_Inspections!$AQ758,"")</f>
        <v/>
      </c>
      <c r="H758">
        <f>Weekly_Inspections!$AP758</f>
        <v/>
      </c>
      <c r="I758">
        <f>Weekly_Inspections!$AR758</f>
        <v/>
      </c>
      <c r="J758">
        <f>Weekly_Inspections!$AS758</f>
        <v/>
      </c>
      <c r="K758">
        <f>Weekly_Inspections!$AU758</f>
        <v/>
      </c>
      <c r="L758" s="47">
        <f>Weekly_Inspections!$AV758</f>
        <v/>
      </c>
      <c r="M758">
        <f>IF($B758="","",IF($N758&lt;&gt;"","Closed",IF(OR($G758&lt;&gt;"",$I758&lt;&gt;"",$J758&lt;&gt;""),"Open","")))</f>
        <v/>
      </c>
      <c r="N758" s="47" t="n"/>
      <c r="O758">
        <f>IF($B758="","",IF($M758="Closed",IF($N758="","",$N758-$B758),TODAY()-$B758))</f>
        <v/>
      </c>
      <c r="P758">
        <f>IF(OR($B758="",$L758="",$M758="Closed"),"",IF(TODAY()&gt;$L758,"YES","NO"))</f>
        <v/>
      </c>
      <c r="Q758">
        <f>Weekly_Inspections!$AW758</f>
        <v/>
      </c>
    </row>
    <row r="759" ht="15" customHeight="1" s="45">
      <c r="A759">
        <f>IF(Weekly_Inspections!$B759="","",Weekly_Inspections!$A759&amp;"-A1")</f>
        <v/>
      </c>
      <c r="B759" s="47">
        <f>Weekly_Inspections!$B759</f>
        <v/>
      </c>
      <c r="C759">
        <f>Weekly_Inspections!$E759</f>
        <v/>
      </c>
      <c r="D759">
        <f>Weekly_Inspections!$F759</f>
        <v/>
      </c>
      <c r="E759">
        <f>Weekly_Inspections!$H759</f>
        <v/>
      </c>
      <c r="F759">
        <f>IF(Weekly_Inspections!$AX759&lt;&gt;"",Weekly_Inspections!$AX759,IF(Weekly_Inspections!$AY759&lt;&gt;"",Weekly_Inspections!$AY759,IF(Weekly_Inspections!$AZ759&lt;&gt;"",Weekly_Inspections!$AZ759,IF(Weekly_Inspections!$BA759&lt;&gt;"",Weekly_Inspections!$BA759,IF(Weekly_Inspections!$BB759&lt;&gt;"",Weekly_Inspections!$BB759,Weekly_Inspections!$R759)))))</f>
        <v/>
      </c>
      <c r="G759">
        <f>IF(OR(Weekly_Inspections!$AQ759&lt;&gt;"",Weekly_Inspections!$AR759&lt;&gt;"",Weekly_Inspections!$AS759&lt;&gt;""),Weekly_Inspections!$AQ759,"")</f>
        <v/>
      </c>
      <c r="H759">
        <f>Weekly_Inspections!$AP759</f>
        <v/>
      </c>
      <c r="I759">
        <f>Weekly_Inspections!$AR759</f>
        <v/>
      </c>
      <c r="J759">
        <f>Weekly_Inspections!$AS759</f>
        <v/>
      </c>
      <c r="K759">
        <f>Weekly_Inspections!$AU759</f>
        <v/>
      </c>
      <c r="L759" s="47">
        <f>Weekly_Inspections!$AV759</f>
        <v/>
      </c>
      <c r="M759">
        <f>IF($B759="","",IF($N759&lt;&gt;"","Closed",IF(OR($G759&lt;&gt;"",$I759&lt;&gt;"",$J759&lt;&gt;""),"Open","")))</f>
        <v/>
      </c>
      <c r="N759" s="47" t="n"/>
      <c r="O759">
        <f>IF($B759="","",IF($M759="Closed",IF($N759="","",$N759-$B759),TODAY()-$B759))</f>
        <v/>
      </c>
      <c r="P759">
        <f>IF(OR($B759="",$L759="",$M759="Closed"),"",IF(TODAY()&gt;$L759,"YES","NO"))</f>
        <v/>
      </c>
      <c r="Q759">
        <f>Weekly_Inspections!$AW759</f>
        <v/>
      </c>
    </row>
    <row r="760" ht="15" customHeight="1" s="45">
      <c r="A760">
        <f>IF(Weekly_Inspections!$B760="","",Weekly_Inspections!$A760&amp;"-A1")</f>
        <v/>
      </c>
      <c r="B760" s="47">
        <f>Weekly_Inspections!$B760</f>
        <v/>
      </c>
      <c r="C760">
        <f>Weekly_Inspections!$E760</f>
        <v/>
      </c>
      <c r="D760">
        <f>Weekly_Inspections!$F760</f>
        <v/>
      </c>
      <c r="E760">
        <f>Weekly_Inspections!$H760</f>
        <v/>
      </c>
      <c r="F760">
        <f>IF(Weekly_Inspections!$AX760&lt;&gt;"",Weekly_Inspections!$AX760,IF(Weekly_Inspections!$AY760&lt;&gt;"",Weekly_Inspections!$AY760,IF(Weekly_Inspections!$AZ760&lt;&gt;"",Weekly_Inspections!$AZ760,IF(Weekly_Inspections!$BA760&lt;&gt;"",Weekly_Inspections!$BA760,IF(Weekly_Inspections!$BB760&lt;&gt;"",Weekly_Inspections!$BB760,Weekly_Inspections!$R760)))))</f>
        <v/>
      </c>
      <c r="G760">
        <f>IF(OR(Weekly_Inspections!$AQ760&lt;&gt;"",Weekly_Inspections!$AR760&lt;&gt;"",Weekly_Inspections!$AS760&lt;&gt;""),Weekly_Inspections!$AQ760,"")</f>
        <v/>
      </c>
      <c r="H760">
        <f>Weekly_Inspections!$AP760</f>
        <v/>
      </c>
      <c r="I760">
        <f>Weekly_Inspections!$AR760</f>
        <v/>
      </c>
      <c r="J760">
        <f>Weekly_Inspections!$AS760</f>
        <v/>
      </c>
      <c r="K760">
        <f>Weekly_Inspections!$AU760</f>
        <v/>
      </c>
      <c r="L760" s="47">
        <f>Weekly_Inspections!$AV760</f>
        <v/>
      </c>
      <c r="M760">
        <f>IF($B760="","",IF($N760&lt;&gt;"","Closed",IF(OR($G760&lt;&gt;"",$I760&lt;&gt;"",$J760&lt;&gt;""),"Open","")))</f>
        <v/>
      </c>
      <c r="N760" s="47" t="n"/>
      <c r="O760">
        <f>IF($B760="","",IF($M760="Closed",IF($N760="","",$N760-$B760),TODAY()-$B760))</f>
        <v/>
      </c>
      <c r="P760">
        <f>IF(OR($B760="",$L760="",$M760="Closed"),"",IF(TODAY()&gt;$L760,"YES","NO"))</f>
        <v/>
      </c>
      <c r="Q760">
        <f>Weekly_Inspections!$AW760</f>
        <v/>
      </c>
    </row>
    <row r="761" ht="15" customHeight="1" s="45">
      <c r="A761">
        <f>IF(Weekly_Inspections!$B761="","",Weekly_Inspections!$A761&amp;"-A1")</f>
        <v/>
      </c>
      <c r="B761" s="47">
        <f>Weekly_Inspections!$B761</f>
        <v/>
      </c>
      <c r="C761">
        <f>Weekly_Inspections!$E761</f>
        <v/>
      </c>
      <c r="D761">
        <f>Weekly_Inspections!$F761</f>
        <v/>
      </c>
      <c r="E761">
        <f>Weekly_Inspections!$H761</f>
        <v/>
      </c>
      <c r="F761">
        <f>IF(Weekly_Inspections!$AX761&lt;&gt;"",Weekly_Inspections!$AX761,IF(Weekly_Inspections!$AY761&lt;&gt;"",Weekly_Inspections!$AY761,IF(Weekly_Inspections!$AZ761&lt;&gt;"",Weekly_Inspections!$AZ761,IF(Weekly_Inspections!$BA761&lt;&gt;"",Weekly_Inspections!$BA761,IF(Weekly_Inspections!$BB761&lt;&gt;"",Weekly_Inspections!$BB761,Weekly_Inspections!$R761)))))</f>
        <v/>
      </c>
      <c r="G761">
        <f>IF(OR(Weekly_Inspections!$AQ761&lt;&gt;"",Weekly_Inspections!$AR761&lt;&gt;"",Weekly_Inspections!$AS761&lt;&gt;""),Weekly_Inspections!$AQ761,"")</f>
        <v/>
      </c>
      <c r="H761">
        <f>Weekly_Inspections!$AP761</f>
        <v/>
      </c>
      <c r="I761">
        <f>Weekly_Inspections!$AR761</f>
        <v/>
      </c>
      <c r="J761">
        <f>Weekly_Inspections!$AS761</f>
        <v/>
      </c>
      <c r="K761">
        <f>Weekly_Inspections!$AU761</f>
        <v/>
      </c>
      <c r="L761" s="47">
        <f>Weekly_Inspections!$AV761</f>
        <v/>
      </c>
      <c r="M761">
        <f>IF($B761="","",IF($N761&lt;&gt;"","Closed",IF(OR($G761&lt;&gt;"",$I761&lt;&gt;"",$J761&lt;&gt;""),"Open","")))</f>
        <v/>
      </c>
      <c r="N761" s="47" t="n"/>
      <c r="O761">
        <f>IF($B761="","",IF($M761="Closed",IF($N761="","",$N761-$B761),TODAY()-$B761))</f>
        <v/>
      </c>
      <c r="P761">
        <f>IF(OR($B761="",$L761="",$M761="Closed"),"",IF(TODAY()&gt;$L761,"YES","NO"))</f>
        <v/>
      </c>
      <c r="Q761">
        <f>Weekly_Inspections!$AW761</f>
        <v/>
      </c>
    </row>
    <row r="762" ht="15" customHeight="1" s="45">
      <c r="A762">
        <f>IF(Weekly_Inspections!$B762="","",Weekly_Inspections!$A762&amp;"-A1")</f>
        <v/>
      </c>
      <c r="B762" s="47">
        <f>Weekly_Inspections!$B762</f>
        <v/>
      </c>
      <c r="C762">
        <f>Weekly_Inspections!$E762</f>
        <v/>
      </c>
      <c r="D762">
        <f>Weekly_Inspections!$F762</f>
        <v/>
      </c>
      <c r="E762">
        <f>Weekly_Inspections!$H762</f>
        <v/>
      </c>
      <c r="F762">
        <f>IF(Weekly_Inspections!$AX762&lt;&gt;"",Weekly_Inspections!$AX762,IF(Weekly_Inspections!$AY762&lt;&gt;"",Weekly_Inspections!$AY762,IF(Weekly_Inspections!$AZ762&lt;&gt;"",Weekly_Inspections!$AZ762,IF(Weekly_Inspections!$BA762&lt;&gt;"",Weekly_Inspections!$BA762,IF(Weekly_Inspections!$BB762&lt;&gt;"",Weekly_Inspections!$BB762,Weekly_Inspections!$R762)))))</f>
        <v/>
      </c>
      <c r="G762">
        <f>IF(OR(Weekly_Inspections!$AQ762&lt;&gt;"",Weekly_Inspections!$AR762&lt;&gt;"",Weekly_Inspections!$AS762&lt;&gt;""),Weekly_Inspections!$AQ762,"")</f>
        <v/>
      </c>
      <c r="H762">
        <f>Weekly_Inspections!$AP762</f>
        <v/>
      </c>
      <c r="I762">
        <f>Weekly_Inspections!$AR762</f>
        <v/>
      </c>
      <c r="J762">
        <f>Weekly_Inspections!$AS762</f>
        <v/>
      </c>
      <c r="K762">
        <f>Weekly_Inspections!$AU762</f>
        <v/>
      </c>
      <c r="L762" s="47">
        <f>Weekly_Inspections!$AV762</f>
        <v/>
      </c>
      <c r="M762">
        <f>IF($B762="","",IF($N762&lt;&gt;"","Closed",IF(OR($G762&lt;&gt;"",$I762&lt;&gt;"",$J762&lt;&gt;""),"Open","")))</f>
        <v/>
      </c>
      <c r="N762" s="47" t="n"/>
      <c r="O762">
        <f>IF($B762="","",IF($M762="Closed",IF($N762="","",$N762-$B762),TODAY()-$B762))</f>
        <v/>
      </c>
      <c r="P762">
        <f>IF(OR($B762="",$L762="",$M762="Closed"),"",IF(TODAY()&gt;$L762,"YES","NO"))</f>
        <v/>
      </c>
      <c r="Q762">
        <f>Weekly_Inspections!$AW762</f>
        <v/>
      </c>
    </row>
    <row r="763" ht="15" customHeight="1" s="45">
      <c r="A763">
        <f>IF(Weekly_Inspections!$B763="","",Weekly_Inspections!$A763&amp;"-A1")</f>
        <v/>
      </c>
      <c r="B763" s="47">
        <f>Weekly_Inspections!$B763</f>
        <v/>
      </c>
      <c r="C763">
        <f>Weekly_Inspections!$E763</f>
        <v/>
      </c>
      <c r="D763">
        <f>Weekly_Inspections!$F763</f>
        <v/>
      </c>
      <c r="E763">
        <f>Weekly_Inspections!$H763</f>
        <v/>
      </c>
      <c r="F763">
        <f>IF(Weekly_Inspections!$AX763&lt;&gt;"",Weekly_Inspections!$AX763,IF(Weekly_Inspections!$AY763&lt;&gt;"",Weekly_Inspections!$AY763,IF(Weekly_Inspections!$AZ763&lt;&gt;"",Weekly_Inspections!$AZ763,IF(Weekly_Inspections!$BA763&lt;&gt;"",Weekly_Inspections!$BA763,IF(Weekly_Inspections!$BB763&lt;&gt;"",Weekly_Inspections!$BB763,Weekly_Inspections!$R763)))))</f>
        <v/>
      </c>
      <c r="G763">
        <f>IF(OR(Weekly_Inspections!$AQ763&lt;&gt;"",Weekly_Inspections!$AR763&lt;&gt;"",Weekly_Inspections!$AS763&lt;&gt;""),Weekly_Inspections!$AQ763,"")</f>
        <v/>
      </c>
      <c r="H763">
        <f>Weekly_Inspections!$AP763</f>
        <v/>
      </c>
      <c r="I763">
        <f>Weekly_Inspections!$AR763</f>
        <v/>
      </c>
      <c r="J763">
        <f>Weekly_Inspections!$AS763</f>
        <v/>
      </c>
      <c r="K763">
        <f>Weekly_Inspections!$AU763</f>
        <v/>
      </c>
      <c r="L763" s="47">
        <f>Weekly_Inspections!$AV763</f>
        <v/>
      </c>
      <c r="M763">
        <f>IF($B763="","",IF($N763&lt;&gt;"","Closed",IF(OR($G763&lt;&gt;"",$I763&lt;&gt;"",$J763&lt;&gt;""),"Open","")))</f>
        <v/>
      </c>
      <c r="N763" s="47" t="n"/>
      <c r="O763">
        <f>IF($B763="","",IF($M763="Closed",IF($N763="","",$N763-$B763),TODAY()-$B763))</f>
        <v/>
      </c>
      <c r="P763">
        <f>IF(OR($B763="",$L763="",$M763="Closed"),"",IF(TODAY()&gt;$L763,"YES","NO"))</f>
        <v/>
      </c>
      <c r="Q763">
        <f>Weekly_Inspections!$AW763</f>
        <v/>
      </c>
    </row>
    <row r="764" ht="15" customHeight="1" s="45">
      <c r="A764">
        <f>IF(Weekly_Inspections!$B764="","",Weekly_Inspections!$A764&amp;"-A1")</f>
        <v/>
      </c>
      <c r="B764" s="47">
        <f>Weekly_Inspections!$B764</f>
        <v/>
      </c>
      <c r="C764">
        <f>Weekly_Inspections!$E764</f>
        <v/>
      </c>
      <c r="D764">
        <f>Weekly_Inspections!$F764</f>
        <v/>
      </c>
      <c r="E764">
        <f>Weekly_Inspections!$H764</f>
        <v/>
      </c>
      <c r="F764">
        <f>IF(Weekly_Inspections!$AX764&lt;&gt;"",Weekly_Inspections!$AX764,IF(Weekly_Inspections!$AY764&lt;&gt;"",Weekly_Inspections!$AY764,IF(Weekly_Inspections!$AZ764&lt;&gt;"",Weekly_Inspections!$AZ764,IF(Weekly_Inspections!$BA764&lt;&gt;"",Weekly_Inspections!$BA764,IF(Weekly_Inspections!$BB764&lt;&gt;"",Weekly_Inspections!$BB764,Weekly_Inspections!$R764)))))</f>
        <v/>
      </c>
      <c r="G764">
        <f>IF(OR(Weekly_Inspections!$AQ764&lt;&gt;"",Weekly_Inspections!$AR764&lt;&gt;"",Weekly_Inspections!$AS764&lt;&gt;""),Weekly_Inspections!$AQ764,"")</f>
        <v/>
      </c>
      <c r="H764">
        <f>Weekly_Inspections!$AP764</f>
        <v/>
      </c>
      <c r="I764">
        <f>Weekly_Inspections!$AR764</f>
        <v/>
      </c>
      <c r="J764">
        <f>Weekly_Inspections!$AS764</f>
        <v/>
      </c>
      <c r="K764">
        <f>Weekly_Inspections!$AU764</f>
        <v/>
      </c>
      <c r="L764" s="47">
        <f>Weekly_Inspections!$AV764</f>
        <v/>
      </c>
      <c r="M764">
        <f>IF($B764="","",IF($N764&lt;&gt;"","Closed",IF(OR($G764&lt;&gt;"",$I764&lt;&gt;"",$J764&lt;&gt;""),"Open","")))</f>
        <v/>
      </c>
      <c r="N764" s="47" t="n"/>
      <c r="O764">
        <f>IF($B764="","",IF($M764="Closed",IF($N764="","",$N764-$B764),TODAY()-$B764))</f>
        <v/>
      </c>
      <c r="P764">
        <f>IF(OR($B764="",$L764="",$M764="Closed"),"",IF(TODAY()&gt;$L764,"YES","NO"))</f>
        <v/>
      </c>
      <c r="Q764">
        <f>Weekly_Inspections!$AW764</f>
        <v/>
      </c>
    </row>
    <row r="765" ht="15" customHeight="1" s="45">
      <c r="A765">
        <f>IF(Weekly_Inspections!$B765="","",Weekly_Inspections!$A765&amp;"-A1")</f>
        <v/>
      </c>
      <c r="B765" s="47">
        <f>Weekly_Inspections!$B765</f>
        <v/>
      </c>
      <c r="C765">
        <f>Weekly_Inspections!$E765</f>
        <v/>
      </c>
      <c r="D765">
        <f>Weekly_Inspections!$F765</f>
        <v/>
      </c>
      <c r="E765">
        <f>Weekly_Inspections!$H765</f>
        <v/>
      </c>
      <c r="F765">
        <f>IF(Weekly_Inspections!$AX765&lt;&gt;"",Weekly_Inspections!$AX765,IF(Weekly_Inspections!$AY765&lt;&gt;"",Weekly_Inspections!$AY765,IF(Weekly_Inspections!$AZ765&lt;&gt;"",Weekly_Inspections!$AZ765,IF(Weekly_Inspections!$BA765&lt;&gt;"",Weekly_Inspections!$BA765,IF(Weekly_Inspections!$BB765&lt;&gt;"",Weekly_Inspections!$BB765,Weekly_Inspections!$R765)))))</f>
        <v/>
      </c>
      <c r="G765">
        <f>IF(OR(Weekly_Inspections!$AQ765&lt;&gt;"",Weekly_Inspections!$AR765&lt;&gt;"",Weekly_Inspections!$AS765&lt;&gt;""),Weekly_Inspections!$AQ765,"")</f>
        <v/>
      </c>
      <c r="H765">
        <f>Weekly_Inspections!$AP765</f>
        <v/>
      </c>
      <c r="I765">
        <f>Weekly_Inspections!$AR765</f>
        <v/>
      </c>
      <c r="J765">
        <f>Weekly_Inspections!$AS765</f>
        <v/>
      </c>
      <c r="K765">
        <f>Weekly_Inspections!$AU765</f>
        <v/>
      </c>
      <c r="L765" s="47">
        <f>Weekly_Inspections!$AV765</f>
        <v/>
      </c>
      <c r="M765">
        <f>IF($B765="","",IF($N765&lt;&gt;"","Closed",IF(OR($G765&lt;&gt;"",$I765&lt;&gt;"",$J765&lt;&gt;""),"Open","")))</f>
        <v/>
      </c>
      <c r="N765" s="47" t="n"/>
      <c r="O765">
        <f>IF($B765="","",IF($M765="Closed",IF($N765="","",$N765-$B765),TODAY()-$B765))</f>
        <v/>
      </c>
      <c r="P765">
        <f>IF(OR($B765="",$L765="",$M765="Closed"),"",IF(TODAY()&gt;$L765,"YES","NO"))</f>
        <v/>
      </c>
      <c r="Q765">
        <f>Weekly_Inspections!$AW765</f>
        <v/>
      </c>
    </row>
    <row r="766" ht="15" customHeight="1" s="45">
      <c r="A766">
        <f>IF(Weekly_Inspections!$B766="","",Weekly_Inspections!$A766&amp;"-A1")</f>
        <v/>
      </c>
      <c r="B766" s="47">
        <f>Weekly_Inspections!$B766</f>
        <v/>
      </c>
      <c r="C766">
        <f>Weekly_Inspections!$E766</f>
        <v/>
      </c>
      <c r="D766">
        <f>Weekly_Inspections!$F766</f>
        <v/>
      </c>
      <c r="E766">
        <f>Weekly_Inspections!$H766</f>
        <v/>
      </c>
      <c r="F766">
        <f>IF(Weekly_Inspections!$AX766&lt;&gt;"",Weekly_Inspections!$AX766,IF(Weekly_Inspections!$AY766&lt;&gt;"",Weekly_Inspections!$AY766,IF(Weekly_Inspections!$AZ766&lt;&gt;"",Weekly_Inspections!$AZ766,IF(Weekly_Inspections!$BA766&lt;&gt;"",Weekly_Inspections!$BA766,IF(Weekly_Inspections!$BB766&lt;&gt;"",Weekly_Inspections!$BB766,Weekly_Inspections!$R766)))))</f>
        <v/>
      </c>
      <c r="G766">
        <f>IF(OR(Weekly_Inspections!$AQ766&lt;&gt;"",Weekly_Inspections!$AR766&lt;&gt;"",Weekly_Inspections!$AS766&lt;&gt;""),Weekly_Inspections!$AQ766,"")</f>
        <v/>
      </c>
      <c r="H766">
        <f>Weekly_Inspections!$AP766</f>
        <v/>
      </c>
      <c r="I766">
        <f>Weekly_Inspections!$AR766</f>
        <v/>
      </c>
      <c r="J766">
        <f>Weekly_Inspections!$AS766</f>
        <v/>
      </c>
      <c r="K766">
        <f>Weekly_Inspections!$AU766</f>
        <v/>
      </c>
      <c r="L766" s="47">
        <f>Weekly_Inspections!$AV766</f>
        <v/>
      </c>
      <c r="M766">
        <f>IF($B766="","",IF($N766&lt;&gt;"","Closed",IF(OR($G766&lt;&gt;"",$I766&lt;&gt;"",$J766&lt;&gt;""),"Open","")))</f>
        <v/>
      </c>
      <c r="N766" s="47" t="n"/>
      <c r="O766">
        <f>IF($B766="","",IF($M766="Closed",IF($N766="","",$N766-$B766),TODAY()-$B766))</f>
        <v/>
      </c>
      <c r="P766">
        <f>IF(OR($B766="",$L766="",$M766="Closed"),"",IF(TODAY()&gt;$L766,"YES","NO"))</f>
        <v/>
      </c>
      <c r="Q766">
        <f>Weekly_Inspections!$AW766</f>
        <v/>
      </c>
    </row>
    <row r="767" ht="15" customHeight="1" s="45">
      <c r="A767">
        <f>IF(Weekly_Inspections!$B767="","",Weekly_Inspections!$A767&amp;"-A1")</f>
        <v/>
      </c>
      <c r="B767" s="47">
        <f>Weekly_Inspections!$B767</f>
        <v/>
      </c>
      <c r="C767">
        <f>Weekly_Inspections!$E767</f>
        <v/>
      </c>
      <c r="D767">
        <f>Weekly_Inspections!$F767</f>
        <v/>
      </c>
      <c r="E767">
        <f>Weekly_Inspections!$H767</f>
        <v/>
      </c>
      <c r="F767">
        <f>IF(Weekly_Inspections!$AX767&lt;&gt;"",Weekly_Inspections!$AX767,IF(Weekly_Inspections!$AY767&lt;&gt;"",Weekly_Inspections!$AY767,IF(Weekly_Inspections!$AZ767&lt;&gt;"",Weekly_Inspections!$AZ767,IF(Weekly_Inspections!$BA767&lt;&gt;"",Weekly_Inspections!$BA767,IF(Weekly_Inspections!$BB767&lt;&gt;"",Weekly_Inspections!$BB767,Weekly_Inspections!$R767)))))</f>
        <v/>
      </c>
      <c r="G767">
        <f>IF(OR(Weekly_Inspections!$AQ767&lt;&gt;"",Weekly_Inspections!$AR767&lt;&gt;"",Weekly_Inspections!$AS767&lt;&gt;""),Weekly_Inspections!$AQ767,"")</f>
        <v/>
      </c>
      <c r="H767">
        <f>Weekly_Inspections!$AP767</f>
        <v/>
      </c>
      <c r="I767">
        <f>Weekly_Inspections!$AR767</f>
        <v/>
      </c>
      <c r="J767">
        <f>Weekly_Inspections!$AS767</f>
        <v/>
      </c>
      <c r="K767">
        <f>Weekly_Inspections!$AU767</f>
        <v/>
      </c>
      <c r="L767" s="47">
        <f>Weekly_Inspections!$AV767</f>
        <v/>
      </c>
      <c r="M767">
        <f>IF($B767="","",IF($N767&lt;&gt;"","Closed",IF(OR($G767&lt;&gt;"",$I767&lt;&gt;"",$J767&lt;&gt;""),"Open","")))</f>
        <v/>
      </c>
      <c r="N767" s="47" t="n"/>
      <c r="O767">
        <f>IF($B767="","",IF($M767="Closed",IF($N767="","",$N767-$B767),TODAY()-$B767))</f>
        <v/>
      </c>
      <c r="P767">
        <f>IF(OR($B767="",$L767="",$M767="Closed"),"",IF(TODAY()&gt;$L767,"YES","NO"))</f>
        <v/>
      </c>
      <c r="Q767">
        <f>Weekly_Inspections!$AW767</f>
        <v/>
      </c>
    </row>
    <row r="768" ht="15" customHeight="1" s="45">
      <c r="A768">
        <f>IF(Weekly_Inspections!$B768="","",Weekly_Inspections!$A768&amp;"-A1")</f>
        <v/>
      </c>
      <c r="B768" s="47">
        <f>Weekly_Inspections!$B768</f>
        <v/>
      </c>
      <c r="C768">
        <f>Weekly_Inspections!$E768</f>
        <v/>
      </c>
      <c r="D768">
        <f>Weekly_Inspections!$F768</f>
        <v/>
      </c>
      <c r="E768">
        <f>Weekly_Inspections!$H768</f>
        <v/>
      </c>
      <c r="F768">
        <f>IF(Weekly_Inspections!$AX768&lt;&gt;"",Weekly_Inspections!$AX768,IF(Weekly_Inspections!$AY768&lt;&gt;"",Weekly_Inspections!$AY768,IF(Weekly_Inspections!$AZ768&lt;&gt;"",Weekly_Inspections!$AZ768,IF(Weekly_Inspections!$BA768&lt;&gt;"",Weekly_Inspections!$BA768,IF(Weekly_Inspections!$BB768&lt;&gt;"",Weekly_Inspections!$BB768,Weekly_Inspections!$R768)))))</f>
        <v/>
      </c>
      <c r="G768">
        <f>IF(OR(Weekly_Inspections!$AQ768&lt;&gt;"",Weekly_Inspections!$AR768&lt;&gt;"",Weekly_Inspections!$AS768&lt;&gt;""),Weekly_Inspections!$AQ768,"")</f>
        <v/>
      </c>
      <c r="H768">
        <f>Weekly_Inspections!$AP768</f>
        <v/>
      </c>
      <c r="I768">
        <f>Weekly_Inspections!$AR768</f>
        <v/>
      </c>
      <c r="J768">
        <f>Weekly_Inspections!$AS768</f>
        <v/>
      </c>
      <c r="K768">
        <f>Weekly_Inspections!$AU768</f>
        <v/>
      </c>
      <c r="L768" s="47">
        <f>Weekly_Inspections!$AV768</f>
        <v/>
      </c>
      <c r="M768">
        <f>IF($B768="","",IF($N768&lt;&gt;"","Closed",IF(OR($G768&lt;&gt;"",$I768&lt;&gt;"",$J768&lt;&gt;""),"Open","")))</f>
        <v/>
      </c>
      <c r="N768" s="47" t="n"/>
      <c r="O768">
        <f>IF($B768="","",IF($M768="Closed",IF($N768="","",$N768-$B768),TODAY()-$B768))</f>
        <v/>
      </c>
      <c r="P768">
        <f>IF(OR($B768="",$L768="",$M768="Closed"),"",IF(TODAY()&gt;$L768,"YES","NO"))</f>
        <v/>
      </c>
      <c r="Q768">
        <f>Weekly_Inspections!$AW768</f>
        <v/>
      </c>
    </row>
    <row r="769" ht="15" customHeight="1" s="45">
      <c r="A769">
        <f>IF(Weekly_Inspections!$B769="","",Weekly_Inspections!$A769&amp;"-A1")</f>
        <v/>
      </c>
      <c r="B769" s="47">
        <f>Weekly_Inspections!$B769</f>
        <v/>
      </c>
      <c r="C769">
        <f>Weekly_Inspections!$E769</f>
        <v/>
      </c>
      <c r="D769">
        <f>Weekly_Inspections!$F769</f>
        <v/>
      </c>
      <c r="E769">
        <f>Weekly_Inspections!$H769</f>
        <v/>
      </c>
      <c r="F769">
        <f>IF(Weekly_Inspections!$AX769&lt;&gt;"",Weekly_Inspections!$AX769,IF(Weekly_Inspections!$AY769&lt;&gt;"",Weekly_Inspections!$AY769,IF(Weekly_Inspections!$AZ769&lt;&gt;"",Weekly_Inspections!$AZ769,IF(Weekly_Inspections!$BA769&lt;&gt;"",Weekly_Inspections!$BA769,IF(Weekly_Inspections!$BB769&lt;&gt;"",Weekly_Inspections!$BB769,Weekly_Inspections!$R769)))))</f>
        <v/>
      </c>
      <c r="G769">
        <f>IF(OR(Weekly_Inspections!$AQ769&lt;&gt;"",Weekly_Inspections!$AR769&lt;&gt;"",Weekly_Inspections!$AS769&lt;&gt;""),Weekly_Inspections!$AQ769,"")</f>
        <v/>
      </c>
      <c r="H769">
        <f>Weekly_Inspections!$AP769</f>
        <v/>
      </c>
      <c r="I769">
        <f>Weekly_Inspections!$AR769</f>
        <v/>
      </c>
      <c r="J769">
        <f>Weekly_Inspections!$AS769</f>
        <v/>
      </c>
      <c r="K769">
        <f>Weekly_Inspections!$AU769</f>
        <v/>
      </c>
      <c r="L769" s="47">
        <f>Weekly_Inspections!$AV769</f>
        <v/>
      </c>
      <c r="M769">
        <f>IF($B769="","",IF($N769&lt;&gt;"","Closed",IF(OR($G769&lt;&gt;"",$I769&lt;&gt;"",$J769&lt;&gt;""),"Open","")))</f>
        <v/>
      </c>
      <c r="N769" s="47" t="n"/>
      <c r="O769">
        <f>IF($B769="","",IF($M769="Closed",IF($N769="","",$N769-$B769),TODAY()-$B769))</f>
        <v/>
      </c>
      <c r="P769">
        <f>IF(OR($B769="",$L769="",$M769="Closed"),"",IF(TODAY()&gt;$L769,"YES","NO"))</f>
        <v/>
      </c>
      <c r="Q769">
        <f>Weekly_Inspections!$AW769</f>
        <v/>
      </c>
    </row>
    <row r="770" ht="15" customHeight="1" s="45">
      <c r="A770">
        <f>IF(Weekly_Inspections!$B770="","",Weekly_Inspections!$A770&amp;"-A1")</f>
        <v/>
      </c>
      <c r="B770" s="47">
        <f>Weekly_Inspections!$B770</f>
        <v/>
      </c>
      <c r="C770">
        <f>Weekly_Inspections!$E770</f>
        <v/>
      </c>
      <c r="D770">
        <f>Weekly_Inspections!$F770</f>
        <v/>
      </c>
      <c r="E770">
        <f>Weekly_Inspections!$H770</f>
        <v/>
      </c>
      <c r="F770">
        <f>IF(Weekly_Inspections!$AX770&lt;&gt;"",Weekly_Inspections!$AX770,IF(Weekly_Inspections!$AY770&lt;&gt;"",Weekly_Inspections!$AY770,IF(Weekly_Inspections!$AZ770&lt;&gt;"",Weekly_Inspections!$AZ770,IF(Weekly_Inspections!$BA770&lt;&gt;"",Weekly_Inspections!$BA770,IF(Weekly_Inspections!$BB770&lt;&gt;"",Weekly_Inspections!$BB770,Weekly_Inspections!$R770)))))</f>
        <v/>
      </c>
      <c r="G770">
        <f>IF(OR(Weekly_Inspections!$AQ770&lt;&gt;"",Weekly_Inspections!$AR770&lt;&gt;"",Weekly_Inspections!$AS770&lt;&gt;""),Weekly_Inspections!$AQ770,"")</f>
        <v/>
      </c>
      <c r="H770">
        <f>Weekly_Inspections!$AP770</f>
        <v/>
      </c>
      <c r="I770">
        <f>Weekly_Inspections!$AR770</f>
        <v/>
      </c>
      <c r="J770">
        <f>Weekly_Inspections!$AS770</f>
        <v/>
      </c>
      <c r="K770">
        <f>Weekly_Inspections!$AU770</f>
        <v/>
      </c>
      <c r="L770" s="47">
        <f>Weekly_Inspections!$AV770</f>
        <v/>
      </c>
      <c r="M770">
        <f>IF($B770="","",IF($N770&lt;&gt;"","Closed",IF(OR($G770&lt;&gt;"",$I770&lt;&gt;"",$J770&lt;&gt;""),"Open","")))</f>
        <v/>
      </c>
      <c r="N770" s="47" t="n"/>
      <c r="O770">
        <f>IF($B770="","",IF($M770="Closed",IF($N770="","",$N770-$B770),TODAY()-$B770))</f>
        <v/>
      </c>
      <c r="P770">
        <f>IF(OR($B770="",$L770="",$M770="Closed"),"",IF(TODAY()&gt;$L770,"YES","NO"))</f>
        <v/>
      </c>
      <c r="Q770">
        <f>Weekly_Inspections!$AW770</f>
        <v/>
      </c>
    </row>
    <row r="771" ht="15" customHeight="1" s="45">
      <c r="A771">
        <f>IF(Weekly_Inspections!$B771="","",Weekly_Inspections!$A771&amp;"-A1")</f>
        <v/>
      </c>
      <c r="B771" s="47">
        <f>Weekly_Inspections!$B771</f>
        <v/>
      </c>
      <c r="C771">
        <f>Weekly_Inspections!$E771</f>
        <v/>
      </c>
      <c r="D771">
        <f>Weekly_Inspections!$F771</f>
        <v/>
      </c>
      <c r="E771">
        <f>Weekly_Inspections!$H771</f>
        <v/>
      </c>
      <c r="F771">
        <f>IF(Weekly_Inspections!$AX771&lt;&gt;"",Weekly_Inspections!$AX771,IF(Weekly_Inspections!$AY771&lt;&gt;"",Weekly_Inspections!$AY771,IF(Weekly_Inspections!$AZ771&lt;&gt;"",Weekly_Inspections!$AZ771,IF(Weekly_Inspections!$BA771&lt;&gt;"",Weekly_Inspections!$BA771,IF(Weekly_Inspections!$BB771&lt;&gt;"",Weekly_Inspections!$BB771,Weekly_Inspections!$R771)))))</f>
        <v/>
      </c>
      <c r="G771">
        <f>IF(OR(Weekly_Inspections!$AQ771&lt;&gt;"",Weekly_Inspections!$AR771&lt;&gt;"",Weekly_Inspections!$AS771&lt;&gt;""),Weekly_Inspections!$AQ771,"")</f>
        <v/>
      </c>
      <c r="H771">
        <f>Weekly_Inspections!$AP771</f>
        <v/>
      </c>
      <c r="I771">
        <f>Weekly_Inspections!$AR771</f>
        <v/>
      </c>
      <c r="J771">
        <f>Weekly_Inspections!$AS771</f>
        <v/>
      </c>
      <c r="K771">
        <f>Weekly_Inspections!$AU771</f>
        <v/>
      </c>
      <c r="L771" s="47">
        <f>Weekly_Inspections!$AV771</f>
        <v/>
      </c>
      <c r="M771">
        <f>IF($B771="","",IF($N771&lt;&gt;"","Closed",IF(OR($G771&lt;&gt;"",$I771&lt;&gt;"",$J771&lt;&gt;""),"Open","")))</f>
        <v/>
      </c>
      <c r="N771" s="47" t="n"/>
      <c r="O771">
        <f>IF($B771="","",IF($M771="Closed",IF($N771="","",$N771-$B771),TODAY()-$B771))</f>
        <v/>
      </c>
      <c r="P771">
        <f>IF(OR($B771="",$L771="",$M771="Closed"),"",IF(TODAY()&gt;$L771,"YES","NO"))</f>
        <v/>
      </c>
      <c r="Q771">
        <f>Weekly_Inspections!$AW771</f>
        <v/>
      </c>
    </row>
    <row r="772" ht="15" customHeight="1" s="45">
      <c r="A772">
        <f>IF(Weekly_Inspections!$B772="","",Weekly_Inspections!$A772&amp;"-A1")</f>
        <v/>
      </c>
      <c r="B772" s="47">
        <f>Weekly_Inspections!$B772</f>
        <v/>
      </c>
      <c r="C772">
        <f>Weekly_Inspections!$E772</f>
        <v/>
      </c>
      <c r="D772">
        <f>Weekly_Inspections!$F772</f>
        <v/>
      </c>
      <c r="E772">
        <f>Weekly_Inspections!$H772</f>
        <v/>
      </c>
      <c r="F772">
        <f>IF(Weekly_Inspections!$AX772&lt;&gt;"",Weekly_Inspections!$AX772,IF(Weekly_Inspections!$AY772&lt;&gt;"",Weekly_Inspections!$AY772,IF(Weekly_Inspections!$AZ772&lt;&gt;"",Weekly_Inspections!$AZ772,IF(Weekly_Inspections!$BA772&lt;&gt;"",Weekly_Inspections!$BA772,IF(Weekly_Inspections!$BB772&lt;&gt;"",Weekly_Inspections!$BB772,Weekly_Inspections!$R772)))))</f>
        <v/>
      </c>
      <c r="G772">
        <f>IF(OR(Weekly_Inspections!$AQ772&lt;&gt;"",Weekly_Inspections!$AR772&lt;&gt;"",Weekly_Inspections!$AS772&lt;&gt;""),Weekly_Inspections!$AQ772,"")</f>
        <v/>
      </c>
      <c r="H772">
        <f>Weekly_Inspections!$AP772</f>
        <v/>
      </c>
      <c r="I772">
        <f>Weekly_Inspections!$AR772</f>
        <v/>
      </c>
      <c r="J772">
        <f>Weekly_Inspections!$AS772</f>
        <v/>
      </c>
      <c r="K772">
        <f>Weekly_Inspections!$AU772</f>
        <v/>
      </c>
      <c r="L772" s="47">
        <f>Weekly_Inspections!$AV772</f>
        <v/>
      </c>
      <c r="M772">
        <f>IF($B772="","",IF($N772&lt;&gt;"","Closed",IF(OR($G772&lt;&gt;"",$I772&lt;&gt;"",$J772&lt;&gt;""),"Open","")))</f>
        <v/>
      </c>
      <c r="N772" s="47" t="n"/>
      <c r="O772">
        <f>IF($B772="","",IF($M772="Closed",IF($N772="","",$N772-$B772),TODAY()-$B772))</f>
        <v/>
      </c>
      <c r="P772">
        <f>IF(OR($B772="",$L772="",$M772="Closed"),"",IF(TODAY()&gt;$L772,"YES","NO"))</f>
        <v/>
      </c>
      <c r="Q772">
        <f>Weekly_Inspections!$AW772</f>
        <v/>
      </c>
    </row>
    <row r="773" ht="15" customHeight="1" s="45">
      <c r="A773">
        <f>IF(Weekly_Inspections!$B773="","",Weekly_Inspections!$A773&amp;"-A1")</f>
        <v/>
      </c>
      <c r="B773" s="47">
        <f>Weekly_Inspections!$B773</f>
        <v/>
      </c>
      <c r="C773">
        <f>Weekly_Inspections!$E773</f>
        <v/>
      </c>
      <c r="D773">
        <f>Weekly_Inspections!$F773</f>
        <v/>
      </c>
      <c r="E773">
        <f>Weekly_Inspections!$H773</f>
        <v/>
      </c>
      <c r="F773">
        <f>IF(Weekly_Inspections!$AX773&lt;&gt;"",Weekly_Inspections!$AX773,IF(Weekly_Inspections!$AY773&lt;&gt;"",Weekly_Inspections!$AY773,IF(Weekly_Inspections!$AZ773&lt;&gt;"",Weekly_Inspections!$AZ773,IF(Weekly_Inspections!$BA773&lt;&gt;"",Weekly_Inspections!$BA773,IF(Weekly_Inspections!$BB773&lt;&gt;"",Weekly_Inspections!$BB773,Weekly_Inspections!$R773)))))</f>
        <v/>
      </c>
      <c r="G773">
        <f>IF(OR(Weekly_Inspections!$AQ773&lt;&gt;"",Weekly_Inspections!$AR773&lt;&gt;"",Weekly_Inspections!$AS773&lt;&gt;""),Weekly_Inspections!$AQ773,"")</f>
        <v/>
      </c>
      <c r="H773">
        <f>Weekly_Inspections!$AP773</f>
        <v/>
      </c>
      <c r="I773">
        <f>Weekly_Inspections!$AR773</f>
        <v/>
      </c>
      <c r="J773">
        <f>Weekly_Inspections!$AS773</f>
        <v/>
      </c>
      <c r="K773">
        <f>Weekly_Inspections!$AU773</f>
        <v/>
      </c>
      <c r="L773" s="47">
        <f>Weekly_Inspections!$AV773</f>
        <v/>
      </c>
      <c r="M773">
        <f>IF($B773="","",IF($N773&lt;&gt;"","Closed",IF(OR($G773&lt;&gt;"",$I773&lt;&gt;"",$J773&lt;&gt;""),"Open","")))</f>
        <v/>
      </c>
      <c r="N773" s="47" t="n"/>
      <c r="O773">
        <f>IF($B773="","",IF($M773="Closed",IF($N773="","",$N773-$B773),TODAY()-$B773))</f>
        <v/>
      </c>
      <c r="P773">
        <f>IF(OR($B773="",$L773="",$M773="Closed"),"",IF(TODAY()&gt;$L773,"YES","NO"))</f>
        <v/>
      </c>
      <c r="Q773">
        <f>Weekly_Inspections!$AW773</f>
        <v/>
      </c>
    </row>
    <row r="774" ht="15" customHeight="1" s="45">
      <c r="A774">
        <f>IF(Weekly_Inspections!$B774="","",Weekly_Inspections!$A774&amp;"-A1")</f>
        <v/>
      </c>
      <c r="B774" s="47">
        <f>Weekly_Inspections!$B774</f>
        <v/>
      </c>
      <c r="C774">
        <f>Weekly_Inspections!$E774</f>
        <v/>
      </c>
      <c r="D774">
        <f>Weekly_Inspections!$F774</f>
        <v/>
      </c>
      <c r="E774">
        <f>Weekly_Inspections!$H774</f>
        <v/>
      </c>
      <c r="F774">
        <f>IF(Weekly_Inspections!$AX774&lt;&gt;"",Weekly_Inspections!$AX774,IF(Weekly_Inspections!$AY774&lt;&gt;"",Weekly_Inspections!$AY774,IF(Weekly_Inspections!$AZ774&lt;&gt;"",Weekly_Inspections!$AZ774,IF(Weekly_Inspections!$BA774&lt;&gt;"",Weekly_Inspections!$BA774,IF(Weekly_Inspections!$BB774&lt;&gt;"",Weekly_Inspections!$BB774,Weekly_Inspections!$R774)))))</f>
        <v/>
      </c>
      <c r="G774">
        <f>IF(OR(Weekly_Inspections!$AQ774&lt;&gt;"",Weekly_Inspections!$AR774&lt;&gt;"",Weekly_Inspections!$AS774&lt;&gt;""),Weekly_Inspections!$AQ774,"")</f>
        <v/>
      </c>
      <c r="H774">
        <f>Weekly_Inspections!$AP774</f>
        <v/>
      </c>
      <c r="I774">
        <f>Weekly_Inspections!$AR774</f>
        <v/>
      </c>
      <c r="J774">
        <f>Weekly_Inspections!$AS774</f>
        <v/>
      </c>
      <c r="K774">
        <f>Weekly_Inspections!$AU774</f>
        <v/>
      </c>
      <c r="L774" s="47">
        <f>Weekly_Inspections!$AV774</f>
        <v/>
      </c>
      <c r="M774">
        <f>IF($B774="","",IF($N774&lt;&gt;"","Closed",IF(OR($G774&lt;&gt;"",$I774&lt;&gt;"",$J774&lt;&gt;""),"Open","")))</f>
        <v/>
      </c>
      <c r="N774" s="47" t="n"/>
      <c r="O774">
        <f>IF($B774="","",IF($M774="Closed",IF($N774="","",$N774-$B774),TODAY()-$B774))</f>
        <v/>
      </c>
      <c r="P774">
        <f>IF(OR($B774="",$L774="",$M774="Closed"),"",IF(TODAY()&gt;$L774,"YES","NO"))</f>
        <v/>
      </c>
      <c r="Q774">
        <f>Weekly_Inspections!$AW774</f>
        <v/>
      </c>
    </row>
    <row r="775" ht="15" customHeight="1" s="45">
      <c r="A775">
        <f>IF(Weekly_Inspections!$B775="","",Weekly_Inspections!$A775&amp;"-A1")</f>
        <v/>
      </c>
      <c r="B775" s="47">
        <f>Weekly_Inspections!$B775</f>
        <v/>
      </c>
      <c r="C775">
        <f>Weekly_Inspections!$E775</f>
        <v/>
      </c>
      <c r="D775">
        <f>Weekly_Inspections!$F775</f>
        <v/>
      </c>
      <c r="E775">
        <f>Weekly_Inspections!$H775</f>
        <v/>
      </c>
      <c r="F775">
        <f>IF(Weekly_Inspections!$AX775&lt;&gt;"",Weekly_Inspections!$AX775,IF(Weekly_Inspections!$AY775&lt;&gt;"",Weekly_Inspections!$AY775,IF(Weekly_Inspections!$AZ775&lt;&gt;"",Weekly_Inspections!$AZ775,IF(Weekly_Inspections!$BA775&lt;&gt;"",Weekly_Inspections!$BA775,IF(Weekly_Inspections!$BB775&lt;&gt;"",Weekly_Inspections!$BB775,Weekly_Inspections!$R775)))))</f>
        <v/>
      </c>
      <c r="G775">
        <f>IF(OR(Weekly_Inspections!$AQ775&lt;&gt;"",Weekly_Inspections!$AR775&lt;&gt;"",Weekly_Inspections!$AS775&lt;&gt;""),Weekly_Inspections!$AQ775,"")</f>
        <v/>
      </c>
      <c r="H775">
        <f>Weekly_Inspections!$AP775</f>
        <v/>
      </c>
      <c r="I775">
        <f>Weekly_Inspections!$AR775</f>
        <v/>
      </c>
      <c r="J775">
        <f>Weekly_Inspections!$AS775</f>
        <v/>
      </c>
      <c r="K775">
        <f>Weekly_Inspections!$AU775</f>
        <v/>
      </c>
      <c r="L775" s="47">
        <f>Weekly_Inspections!$AV775</f>
        <v/>
      </c>
      <c r="M775">
        <f>IF($B775="","",IF($N775&lt;&gt;"","Closed",IF(OR($G775&lt;&gt;"",$I775&lt;&gt;"",$J775&lt;&gt;""),"Open","")))</f>
        <v/>
      </c>
      <c r="N775" s="47" t="n"/>
      <c r="O775">
        <f>IF($B775="","",IF($M775="Closed",IF($N775="","",$N775-$B775),TODAY()-$B775))</f>
        <v/>
      </c>
      <c r="P775">
        <f>IF(OR($B775="",$L775="",$M775="Closed"),"",IF(TODAY()&gt;$L775,"YES","NO"))</f>
        <v/>
      </c>
      <c r="Q775">
        <f>Weekly_Inspections!$AW775</f>
        <v/>
      </c>
    </row>
    <row r="776" ht="15" customHeight="1" s="45">
      <c r="A776">
        <f>IF(Weekly_Inspections!$B776="","",Weekly_Inspections!$A776&amp;"-A1")</f>
        <v/>
      </c>
      <c r="B776" s="47">
        <f>Weekly_Inspections!$B776</f>
        <v/>
      </c>
      <c r="C776">
        <f>Weekly_Inspections!$E776</f>
        <v/>
      </c>
      <c r="D776">
        <f>Weekly_Inspections!$F776</f>
        <v/>
      </c>
      <c r="E776">
        <f>Weekly_Inspections!$H776</f>
        <v/>
      </c>
      <c r="F776">
        <f>IF(Weekly_Inspections!$AX776&lt;&gt;"",Weekly_Inspections!$AX776,IF(Weekly_Inspections!$AY776&lt;&gt;"",Weekly_Inspections!$AY776,IF(Weekly_Inspections!$AZ776&lt;&gt;"",Weekly_Inspections!$AZ776,IF(Weekly_Inspections!$BA776&lt;&gt;"",Weekly_Inspections!$BA776,IF(Weekly_Inspections!$BB776&lt;&gt;"",Weekly_Inspections!$BB776,Weekly_Inspections!$R776)))))</f>
        <v/>
      </c>
      <c r="G776">
        <f>IF(OR(Weekly_Inspections!$AQ776&lt;&gt;"",Weekly_Inspections!$AR776&lt;&gt;"",Weekly_Inspections!$AS776&lt;&gt;""),Weekly_Inspections!$AQ776,"")</f>
        <v/>
      </c>
      <c r="H776">
        <f>Weekly_Inspections!$AP776</f>
        <v/>
      </c>
      <c r="I776">
        <f>Weekly_Inspections!$AR776</f>
        <v/>
      </c>
      <c r="J776">
        <f>Weekly_Inspections!$AS776</f>
        <v/>
      </c>
      <c r="K776">
        <f>Weekly_Inspections!$AU776</f>
        <v/>
      </c>
      <c r="L776" s="47">
        <f>Weekly_Inspections!$AV776</f>
        <v/>
      </c>
      <c r="M776">
        <f>IF($B776="","",IF($N776&lt;&gt;"","Closed",IF(OR($G776&lt;&gt;"",$I776&lt;&gt;"",$J776&lt;&gt;""),"Open","")))</f>
        <v/>
      </c>
      <c r="N776" s="47" t="n"/>
      <c r="O776">
        <f>IF($B776="","",IF($M776="Closed",IF($N776="","",$N776-$B776),TODAY()-$B776))</f>
        <v/>
      </c>
      <c r="P776">
        <f>IF(OR($B776="",$L776="",$M776="Closed"),"",IF(TODAY()&gt;$L776,"YES","NO"))</f>
        <v/>
      </c>
      <c r="Q776">
        <f>Weekly_Inspections!$AW776</f>
        <v/>
      </c>
    </row>
    <row r="777" ht="15" customHeight="1" s="45">
      <c r="A777">
        <f>IF(Weekly_Inspections!$B777="","",Weekly_Inspections!$A777&amp;"-A1")</f>
        <v/>
      </c>
      <c r="B777" s="47">
        <f>Weekly_Inspections!$B777</f>
        <v/>
      </c>
      <c r="C777">
        <f>Weekly_Inspections!$E777</f>
        <v/>
      </c>
      <c r="D777">
        <f>Weekly_Inspections!$F777</f>
        <v/>
      </c>
      <c r="E777">
        <f>Weekly_Inspections!$H777</f>
        <v/>
      </c>
      <c r="F777">
        <f>IF(Weekly_Inspections!$AX777&lt;&gt;"",Weekly_Inspections!$AX777,IF(Weekly_Inspections!$AY777&lt;&gt;"",Weekly_Inspections!$AY777,IF(Weekly_Inspections!$AZ777&lt;&gt;"",Weekly_Inspections!$AZ777,IF(Weekly_Inspections!$BA777&lt;&gt;"",Weekly_Inspections!$BA777,IF(Weekly_Inspections!$BB777&lt;&gt;"",Weekly_Inspections!$BB777,Weekly_Inspections!$R777)))))</f>
        <v/>
      </c>
      <c r="G777">
        <f>IF(OR(Weekly_Inspections!$AQ777&lt;&gt;"",Weekly_Inspections!$AR777&lt;&gt;"",Weekly_Inspections!$AS777&lt;&gt;""),Weekly_Inspections!$AQ777,"")</f>
        <v/>
      </c>
      <c r="H777">
        <f>Weekly_Inspections!$AP777</f>
        <v/>
      </c>
      <c r="I777">
        <f>Weekly_Inspections!$AR777</f>
        <v/>
      </c>
      <c r="J777">
        <f>Weekly_Inspections!$AS777</f>
        <v/>
      </c>
      <c r="K777">
        <f>Weekly_Inspections!$AU777</f>
        <v/>
      </c>
      <c r="L777" s="47">
        <f>Weekly_Inspections!$AV777</f>
        <v/>
      </c>
      <c r="M777">
        <f>IF($B777="","",IF($N777&lt;&gt;"","Closed",IF(OR($G777&lt;&gt;"",$I777&lt;&gt;"",$J777&lt;&gt;""),"Open","")))</f>
        <v/>
      </c>
      <c r="N777" s="47" t="n"/>
      <c r="O777">
        <f>IF($B777="","",IF($M777="Closed",IF($N777="","",$N777-$B777),TODAY()-$B777))</f>
        <v/>
      </c>
      <c r="P777">
        <f>IF(OR($B777="",$L777="",$M777="Closed"),"",IF(TODAY()&gt;$L777,"YES","NO"))</f>
        <v/>
      </c>
      <c r="Q777">
        <f>Weekly_Inspections!$AW777</f>
        <v/>
      </c>
    </row>
    <row r="778" ht="15" customHeight="1" s="45">
      <c r="A778">
        <f>IF(Weekly_Inspections!$B778="","",Weekly_Inspections!$A778&amp;"-A1")</f>
        <v/>
      </c>
      <c r="B778" s="47">
        <f>Weekly_Inspections!$B778</f>
        <v/>
      </c>
      <c r="C778">
        <f>Weekly_Inspections!$E778</f>
        <v/>
      </c>
      <c r="D778">
        <f>Weekly_Inspections!$F778</f>
        <v/>
      </c>
      <c r="E778">
        <f>Weekly_Inspections!$H778</f>
        <v/>
      </c>
      <c r="F778">
        <f>IF(Weekly_Inspections!$AX778&lt;&gt;"",Weekly_Inspections!$AX778,IF(Weekly_Inspections!$AY778&lt;&gt;"",Weekly_Inspections!$AY778,IF(Weekly_Inspections!$AZ778&lt;&gt;"",Weekly_Inspections!$AZ778,IF(Weekly_Inspections!$BA778&lt;&gt;"",Weekly_Inspections!$BA778,IF(Weekly_Inspections!$BB778&lt;&gt;"",Weekly_Inspections!$BB778,Weekly_Inspections!$R778)))))</f>
        <v/>
      </c>
      <c r="G778">
        <f>IF(OR(Weekly_Inspections!$AQ778&lt;&gt;"",Weekly_Inspections!$AR778&lt;&gt;"",Weekly_Inspections!$AS778&lt;&gt;""),Weekly_Inspections!$AQ778,"")</f>
        <v/>
      </c>
      <c r="H778">
        <f>Weekly_Inspections!$AP778</f>
        <v/>
      </c>
      <c r="I778">
        <f>Weekly_Inspections!$AR778</f>
        <v/>
      </c>
      <c r="J778">
        <f>Weekly_Inspections!$AS778</f>
        <v/>
      </c>
      <c r="K778">
        <f>Weekly_Inspections!$AU778</f>
        <v/>
      </c>
      <c r="L778" s="47">
        <f>Weekly_Inspections!$AV778</f>
        <v/>
      </c>
      <c r="M778">
        <f>IF($B778="","",IF($N778&lt;&gt;"","Closed",IF(OR($G778&lt;&gt;"",$I778&lt;&gt;"",$J778&lt;&gt;""),"Open","")))</f>
        <v/>
      </c>
      <c r="N778" s="47" t="n"/>
      <c r="O778">
        <f>IF($B778="","",IF($M778="Closed",IF($N778="","",$N778-$B778),TODAY()-$B778))</f>
        <v/>
      </c>
      <c r="P778">
        <f>IF(OR($B778="",$L778="",$M778="Closed"),"",IF(TODAY()&gt;$L778,"YES","NO"))</f>
        <v/>
      </c>
      <c r="Q778">
        <f>Weekly_Inspections!$AW778</f>
        <v/>
      </c>
    </row>
    <row r="779" ht="15" customHeight="1" s="45">
      <c r="A779">
        <f>IF(Weekly_Inspections!$B779="","",Weekly_Inspections!$A779&amp;"-A1")</f>
        <v/>
      </c>
      <c r="B779" s="47">
        <f>Weekly_Inspections!$B779</f>
        <v/>
      </c>
      <c r="C779">
        <f>Weekly_Inspections!$E779</f>
        <v/>
      </c>
      <c r="D779">
        <f>Weekly_Inspections!$F779</f>
        <v/>
      </c>
      <c r="E779">
        <f>Weekly_Inspections!$H779</f>
        <v/>
      </c>
      <c r="F779">
        <f>IF(Weekly_Inspections!$AX779&lt;&gt;"",Weekly_Inspections!$AX779,IF(Weekly_Inspections!$AY779&lt;&gt;"",Weekly_Inspections!$AY779,IF(Weekly_Inspections!$AZ779&lt;&gt;"",Weekly_Inspections!$AZ779,IF(Weekly_Inspections!$BA779&lt;&gt;"",Weekly_Inspections!$BA779,IF(Weekly_Inspections!$BB779&lt;&gt;"",Weekly_Inspections!$BB779,Weekly_Inspections!$R779)))))</f>
        <v/>
      </c>
      <c r="G779">
        <f>IF(OR(Weekly_Inspections!$AQ779&lt;&gt;"",Weekly_Inspections!$AR779&lt;&gt;"",Weekly_Inspections!$AS779&lt;&gt;""),Weekly_Inspections!$AQ779,"")</f>
        <v/>
      </c>
      <c r="H779">
        <f>Weekly_Inspections!$AP779</f>
        <v/>
      </c>
      <c r="I779">
        <f>Weekly_Inspections!$AR779</f>
        <v/>
      </c>
      <c r="J779">
        <f>Weekly_Inspections!$AS779</f>
        <v/>
      </c>
      <c r="K779">
        <f>Weekly_Inspections!$AU779</f>
        <v/>
      </c>
      <c r="L779" s="47">
        <f>Weekly_Inspections!$AV779</f>
        <v/>
      </c>
      <c r="M779">
        <f>IF($B779="","",IF($N779&lt;&gt;"","Closed",IF(OR($G779&lt;&gt;"",$I779&lt;&gt;"",$J779&lt;&gt;""),"Open","")))</f>
        <v/>
      </c>
      <c r="N779" s="47" t="n"/>
      <c r="O779">
        <f>IF($B779="","",IF($M779="Closed",IF($N779="","",$N779-$B779),TODAY()-$B779))</f>
        <v/>
      </c>
      <c r="P779">
        <f>IF(OR($B779="",$L779="",$M779="Closed"),"",IF(TODAY()&gt;$L779,"YES","NO"))</f>
        <v/>
      </c>
      <c r="Q779">
        <f>Weekly_Inspections!$AW779</f>
        <v/>
      </c>
    </row>
    <row r="780" ht="15" customHeight="1" s="45">
      <c r="A780">
        <f>IF(Weekly_Inspections!$B780="","",Weekly_Inspections!$A780&amp;"-A1")</f>
        <v/>
      </c>
      <c r="B780" s="47">
        <f>Weekly_Inspections!$B780</f>
        <v/>
      </c>
      <c r="C780">
        <f>Weekly_Inspections!$E780</f>
        <v/>
      </c>
      <c r="D780">
        <f>Weekly_Inspections!$F780</f>
        <v/>
      </c>
      <c r="E780">
        <f>Weekly_Inspections!$H780</f>
        <v/>
      </c>
      <c r="F780">
        <f>IF(Weekly_Inspections!$AX780&lt;&gt;"",Weekly_Inspections!$AX780,IF(Weekly_Inspections!$AY780&lt;&gt;"",Weekly_Inspections!$AY780,IF(Weekly_Inspections!$AZ780&lt;&gt;"",Weekly_Inspections!$AZ780,IF(Weekly_Inspections!$BA780&lt;&gt;"",Weekly_Inspections!$BA780,IF(Weekly_Inspections!$BB780&lt;&gt;"",Weekly_Inspections!$BB780,Weekly_Inspections!$R780)))))</f>
        <v/>
      </c>
      <c r="G780">
        <f>IF(OR(Weekly_Inspections!$AQ780&lt;&gt;"",Weekly_Inspections!$AR780&lt;&gt;"",Weekly_Inspections!$AS780&lt;&gt;""),Weekly_Inspections!$AQ780,"")</f>
        <v/>
      </c>
      <c r="H780">
        <f>Weekly_Inspections!$AP780</f>
        <v/>
      </c>
      <c r="I780">
        <f>Weekly_Inspections!$AR780</f>
        <v/>
      </c>
      <c r="J780">
        <f>Weekly_Inspections!$AS780</f>
        <v/>
      </c>
      <c r="K780">
        <f>Weekly_Inspections!$AU780</f>
        <v/>
      </c>
      <c r="L780" s="47">
        <f>Weekly_Inspections!$AV780</f>
        <v/>
      </c>
      <c r="M780">
        <f>IF($B780="","",IF($N780&lt;&gt;"","Closed",IF(OR($G780&lt;&gt;"",$I780&lt;&gt;"",$J780&lt;&gt;""),"Open","")))</f>
        <v/>
      </c>
      <c r="N780" s="47" t="n"/>
      <c r="O780">
        <f>IF($B780="","",IF($M780="Closed",IF($N780="","",$N780-$B780),TODAY()-$B780))</f>
        <v/>
      </c>
      <c r="P780">
        <f>IF(OR($B780="",$L780="",$M780="Closed"),"",IF(TODAY()&gt;$L780,"YES","NO"))</f>
        <v/>
      </c>
      <c r="Q780">
        <f>Weekly_Inspections!$AW780</f>
        <v/>
      </c>
    </row>
    <row r="781" ht="15" customHeight="1" s="45">
      <c r="A781">
        <f>IF(Weekly_Inspections!$B781="","",Weekly_Inspections!$A781&amp;"-A1")</f>
        <v/>
      </c>
      <c r="B781" s="47">
        <f>Weekly_Inspections!$B781</f>
        <v/>
      </c>
      <c r="C781">
        <f>Weekly_Inspections!$E781</f>
        <v/>
      </c>
      <c r="D781">
        <f>Weekly_Inspections!$F781</f>
        <v/>
      </c>
      <c r="E781">
        <f>Weekly_Inspections!$H781</f>
        <v/>
      </c>
      <c r="F781">
        <f>IF(Weekly_Inspections!$AX781&lt;&gt;"",Weekly_Inspections!$AX781,IF(Weekly_Inspections!$AY781&lt;&gt;"",Weekly_Inspections!$AY781,IF(Weekly_Inspections!$AZ781&lt;&gt;"",Weekly_Inspections!$AZ781,IF(Weekly_Inspections!$BA781&lt;&gt;"",Weekly_Inspections!$BA781,IF(Weekly_Inspections!$BB781&lt;&gt;"",Weekly_Inspections!$BB781,Weekly_Inspections!$R781)))))</f>
        <v/>
      </c>
      <c r="G781">
        <f>IF(OR(Weekly_Inspections!$AQ781&lt;&gt;"",Weekly_Inspections!$AR781&lt;&gt;"",Weekly_Inspections!$AS781&lt;&gt;""),Weekly_Inspections!$AQ781,"")</f>
        <v/>
      </c>
      <c r="H781">
        <f>Weekly_Inspections!$AP781</f>
        <v/>
      </c>
      <c r="I781">
        <f>Weekly_Inspections!$AR781</f>
        <v/>
      </c>
      <c r="J781">
        <f>Weekly_Inspections!$AS781</f>
        <v/>
      </c>
      <c r="K781">
        <f>Weekly_Inspections!$AU781</f>
        <v/>
      </c>
      <c r="L781" s="47">
        <f>Weekly_Inspections!$AV781</f>
        <v/>
      </c>
      <c r="M781">
        <f>IF($B781="","",IF($N781&lt;&gt;"","Closed",IF(OR($G781&lt;&gt;"",$I781&lt;&gt;"",$J781&lt;&gt;""),"Open","")))</f>
        <v/>
      </c>
      <c r="N781" s="47" t="n"/>
      <c r="O781">
        <f>IF($B781="","",IF($M781="Closed",IF($N781="","",$N781-$B781),TODAY()-$B781))</f>
        <v/>
      </c>
      <c r="P781">
        <f>IF(OR($B781="",$L781="",$M781="Closed"),"",IF(TODAY()&gt;$L781,"YES","NO"))</f>
        <v/>
      </c>
      <c r="Q781">
        <f>Weekly_Inspections!$AW781</f>
        <v/>
      </c>
    </row>
    <row r="782" ht="15" customHeight="1" s="45">
      <c r="A782">
        <f>IF(Weekly_Inspections!$B782="","",Weekly_Inspections!$A782&amp;"-A1")</f>
        <v/>
      </c>
      <c r="B782" s="47">
        <f>Weekly_Inspections!$B782</f>
        <v/>
      </c>
      <c r="C782">
        <f>Weekly_Inspections!$E782</f>
        <v/>
      </c>
      <c r="D782">
        <f>Weekly_Inspections!$F782</f>
        <v/>
      </c>
      <c r="E782">
        <f>Weekly_Inspections!$H782</f>
        <v/>
      </c>
      <c r="F782">
        <f>IF(Weekly_Inspections!$AX782&lt;&gt;"",Weekly_Inspections!$AX782,IF(Weekly_Inspections!$AY782&lt;&gt;"",Weekly_Inspections!$AY782,IF(Weekly_Inspections!$AZ782&lt;&gt;"",Weekly_Inspections!$AZ782,IF(Weekly_Inspections!$BA782&lt;&gt;"",Weekly_Inspections!$BA782,IF(Weekly_Inspections!$BB782&lt;&gt;"",Weekly_Inspections!$BB782,Weekly_Inspections!$R782)))))</f>
        <v/>
      </c>
      <c r="G782">
        <f>IF(OR(Weekly_Inspections!$AQ782&lt;&gt;"",Weekly_Inspections!$AR782&lt;&gt;"",Weekly_Inspections!$AS782&lt;&gt;""),Weekly_Inspections!$AQ782,"")</f>
        <v/>
      </c>
      <c r="H782">
        <f>Weekly_Inspections!$AP782</f>
        <v/>
      </c>
      <c r="I782">
        <f>Weekly_Inspections!$AR782</f>
        <v/>
      </c>
      <c r="J782">
        <f>Weekly_Inspections!$AS782</f>
        <v/>
      </c>
      <c r="K782">
        <f>Weekly_Inspections!$AU782</f>
        <v/>
      </c>
      <c r="L782" s="47">
        <f>Weekly_Inspections!$AV782</f>
        <v/>
      </c>
      <c r="M782">
        <f>IF($B782="","",IF($N782&lt;&gt;"","Closed",IF(OR($G782&lt;&gt;"",$I782&lt;&gt;"",$J782&lt;&gt;""),"Open","")))</f>
        <v/>
      </c>
      <c r="N782" s="47" t="n"/>
      <c r="O782">
        <f>IF($B782="","",IF($M782="Closed",IF($N782="","",$N782-$B782),TODAY()-$B782))</f>
        <v/>
      </c>
      <c r="P782">
        <f>IF(OR($B782="",$L782="",$M782="Closed"),"",IF(TODAY()&gt;$L782,"YES","NO"))</f>
        <v/>
      </c>
      <c r="Q782">
        <f>Weekly_Inspections!$AW782</f>
        <v/>
      </c>
    </row>
    <row r="783" ht="15" customHeight="1" s="45">
      <c r="A783">
        <f>IF(Weekly_Inspections!$B783="","",Weekly_Inspections!$A783&amp;"-A1")</f>
        <v/>
      </c>
      <c r="B783" s="47">
        <f>Weekly_Inspections!$B783</f>
        <v/>
      </c>
      <c r="C783">
        <f>Weekly_Inspections!$E783</f>
        <v/>
      </c>
      <c r="D783">
        <f>Weekly_Inspections!$F783</f>
        <v/>
      </c>
      <c r="E783">
        <f>Weekly_Inspections!$H783</f>
        <v/>
      </c>
      <c r="F783">
        <f>IF(Weekly_Inspections!$AX783&lt;&gt;"",Weekly_Inspections!$AX783,IF(Weekly_Inspections!$AY783&lt;&gt;"",Weekly_Inspections!$AY783,IF(Weekly_Inspections!$AZ783&lt;&gt;"",Weekly_Inspections!$AZ783,IF(Weekly_Inspections!$BA783&lt;&gt;"",Weekly_Inspections!$BA783,IF(Weekly_Inspections!$BB783&lt;&gt;"",Weekly_Inspections!$BB783,Weekly_Inspections!$R783)))))</f>
        <v/>
      </c>
      <c r="G783">
        <f>IF(OR(Weekly_Inspections!$AQ783&lt;&gt;"",Weekly_Inspections!$AR783&lt;&gt;"",Weekly_Inspections!$AS783&lt;&gt;""),Weekly_Inspections!$AQ783,"")</f>
        <v/>
      </c>
      <c r="H783">
        <f>Weekly_Inspections!$AP783</f>
        <v/>
      </c>
      <c r="I783">
        <f>Weekly_Inspections!$AR783</f>
        <v/>
      </c>
      <c r="J783">
        <f>Weekly_Inspections!$AS783</f>
        <v/>
      </c>
      <c r="K783">
        <f>Weekly_Inspections!$AU783</f>
        <v/>
      </c>
      <c r="L783" s="47">
        <f>Weekly_Inspections!$AV783</f>
        <v/>
      </c>
      <c r="M783">
        <f>IF($B783="","",IF($N783&lt;&gt;"","Closed",IF(OR($G783&lt;&gt;"",$I783&lt;&gt;"",$J783&lt;&gt;""),"Open","")))</f>
        <v/>
      </c>
      <c r="N783" s="47" t="n"/>
      <c r="O783">
        <f>IF($B783="","",IF($M783="Closed",IF($N783="","",$N783-$B783),TODAY()-$B783))</f>
        <v/>
      </c>
      <c r="P783">
        <f>IF(OR($B783="",$L783="",$M783="Closed"),"",IF(TODAY()&gt;$L783,"YES","NO"))</f>
        <v/>
      </c>
      <c r="Q783">
        <f>Weekly_Inspections!$AW783</f>
        <v/>
      </c>
    </row>
    <row r="784" ht="15" customHeight="1" s="45">
      <c r="A784">
        <f>IF(Weekly_Inspections!$B784="","",Weekly_Inspections!$A784&amp;"-A1")</f>
        <v/>
      </c>
      <c r="B784" s="47">
        <f>Weekly_Inspections!$B784</f>
        <v/>
      </c>
      <c r="C784">
        <f>Weekly_Inspections!$E784</f>
        <v/>
      </c>
      <c r="D784">
        <f>Weekly_Inspections!$F784</f>
        <v/>
      </c>
      <c r="E784">
        <f>Weekly_Inspections!$H784</f>
        <v/>
      </c>
      <c r="F784">
        <f>IF(Weekly_Inspections!$AX784&lt;&gt;"",Weekly_Inspections!$AX784,IF(Weekly_Inspections!$AY784&lt;&gt;"",Weekly_Inspections!$AY784,IF(Weekly_Inspections!$AZ784&lt;&gt;"",Weekly_Inspections!$AZ784,IF(Weekly_Inspections!$BA784&lt;&gt;"",Weekly_Inspections!$BA784,IF(Weekly_Inspections!$BB784&lt;&gt;"",Weekly_Inspections!$BB784,Weekly_Inspections!$R784)))))</f>
        <v/>
      </c>
      <c r="G784">
        <f>IF(OR(Weekly_Inspections!$AQ784&lt;&gt;"",Weekly_Inspections!$AR784&lt;&gt;"",Weekly_Inspections!$AS784&lt;&gt;""),Weekly_Inspections!$AQ784,"")</f>
        <v/>
      </c>
      <c r="H784">
        <f>Weekly_Inspections!$AP784</f>
        <v/>
      </c>
      <c r="I784">
        <f>Weekly_Inspections!$AR784</f>
        <v/>
      </c>
      <c r="J784">
        <f>Weekly_Inspections!$AS784</f>
        <v/>
      </c>
      <c r="K784">
        <f>Weekly_Inspections!$AU784</f>
        <v/>
      </c>
      <c r="L784" s="47">
        <f>Weekly_Inspections!$AV784</f>
        <v/>
      </c>
      <c r="M784">
        <f>IF($B784="","",IF($N784&lt;&gt;"","Closed",IF(OR($G784&lt;&gt;"",$I784&lt;&gt;"",$J784&lt;&gt;""),"Open","")))</f>
        <v/>
      </c>
      <c r="N784" s="47" t="n"/>
      <c r="O784">
        <f>IF($B784="","",IF($M784="Closed",IF($N784="","",$N784-$B784),TODAY()-$B784))</f>
        <v/>
      </c>
      <c r="P784">
        <f>IF(OR($B784="",$L784="",$M784="Closed"),"",IF(TODAY()&gt;$L784,"YES","NO"))</f>
        <v/>
      </c>
      <c r="Q784">
        <f>Weekly_Inspections!$AW784</f>
        <v/>
      </c>
    </row>
    <row r="785" ht="15" customHeight="1" s="45">
      <c r="A785">
        <f>IF(Weekly_Inspections!$B785="","",Weekly_Inspections!$A785&amp;"-A1")</f>
        <v/>
      </c>
      <c r="B785" s="47">
        <f>Weekly_Inspections!$B785</f>
        <v/>
      </c>
      <c r="C785">
        <f>Weekly_Inspections!$E785</f>
        <v/>
      </c>
      <c r="D785">
        <f>Weekly_Inspections!$F785</f>
        <v/>
      </c>
      <c r="E785">
        <f>Weekly_Inspections!$H785</f>
        <v/>
      </c>
      <c r="F785">
        <f>IF(Weekly_Inspections!$AX785&lt;&gt;"",Weekly_Inspections!$AX785,IF(Weekly_Inspections!$AY785&lt;&gt;"",Weekly_Inspections!$AY785,IF(Weekly_Inspections!$AZ785&lt;&gt;"",Weekly_Inspections!$AZ785,IF(Weekly_Inspections!$BA785&lt;&gt;"",Weekly_Inspections!$BA785,IF(Weekly_Inspections!$BB785&lt;&gt;"",Weekly_Inspections!$BB785,Weekly_Inspections!$R785)))))</f>
        <v/>
      </c>
      <c r="G785">
        <f>IF(OR(Weekly_Inspections!$AQ785&lt;&gt;"",Weekly_Inspections!$AR785&lt;&gt;"",Weekly_Inspections!$AS785&lt;&gt;""),Weekly_Inspections!$AQ785,"")</f>
        <v/>
      </c>
      <c r="H785">
        <f>Weekly_Inspections!$AP785</f>
        <v/>
      </c>
      <c r="I785">
        <f>Weekly_Inspections!$AR785</f>
        <v/>
      </c>
      <c r="J785">
        <f>Weekly_Inspections!$AS785</f>
        <v/>
      </c>
      <c r="K785">
        <f>Weekly_Inspections!$AU785</f>
        <v/>
      </c>
      <c r="L785" s="47">
        <f>Weekly_Inspections!$AV785</f>
        <v/>
      </c>
      <c r="M785">
        <f>IF($B785="","",IF($N785&lt;&gt;"","Closed",IF(OR($G785&lt;&gt;"",$I785&lt;&gt;"",$J785&lt;&gt;""),"Open","")))</f>
        <v/>
      </c>
      <c r="N785" s="47" t="n"/>
      <c r="O785">
        <f>IF($B785="","",IF($M785="Closed",IF($N785="","",$N785-$B785),TODAY()-$B785))</f>
        <v/>
      </c>
      <c r="P785">
        <f>IF(OR($B785="",$L785="",$M785="Closed"),"",IF(TODAY()&gt;$L785,"YES","NO"))</f>
        <v/>
      </c>
      <c r="Q785">
        <f>Weekly_Inspections!$AW785</f>
        <v/>
      </c>
    </row>
    <row r="786" ht="15" customHeight="1" s="45">
      <c r="A786">
        <f>IF(Weekly_Inspections!$B786="","",Weekly_Inspections!$A786&amp;"-A1")</f>
        <v/>
      </c>
      <c r="B786" s="47">
        <f>Weekly_Inspections!$B786</f>
        <v/>
      </c>
      <c r="C786">
        <f>Weekly_Inspections!$E786</f>
        <v/>
      </c>
      <c r="D786">
        <f>Weekly_Inspections!$F786</f>
        <v/>
      </c>
      <c r="E786">
        <f>Weekly_Inspections!$H786</f>
        <v/>
      </c>
      <c r="F786">
        <f>IF(Weekly_Inspections!$AX786&lt;&gt;"",Weekly_Inspections!$AX786,IF(Weekly_Inspections!$AY786&lt;&gt;"",Weekly_Inspections!$AY786,IF(Weekly_Inspections!$AZ786&lt;&gt;"",Weekly_Inspections!$AZ786,IF(Weekly_Inspections!$BA786&lt;&gt;"",Weekly_Inspections!$BA786,IF(Weekly_Inspections!$BB786&lt;&gt;"",Weekly_Inspections!$BB786,Weekly_Inspections!$R786)))))</f>
        <v/>
      </c>
      <c r="G786">
        <f>IF(OR(Weekly_Inspections!$AQ786&lt;&gt;"",Weekly_Inspections!$AR786&lt;&gt;"",Weekly_Inspections!$AS786&lt;&gt;""),Weekly_Inspections!$AQ786,"")</f>
        <v/>
      </c>
      <c r="H786">
        <f>Weekly_Inspections!$AP786</f>
        <v/>
      </c>
      <c r="I786">
        <f>Weekly_Inspections!$AR786</f>
        <v/>
      </c>
      <c r="J786">
        <f>Weekly_Inspections!$AS786</f>
        <v/>
      </c>
      <c r="K786">
        <f>Weekly_Inspections!$AU786</f>
        <v/>
      </c>
      <c r="L786" s="47">
        <f>Weekly_Inspections!$AV786</f>
        <v/>
      </c>
      <c r="M786">
        <f>IF($B786="","",IF($N786&lt;&gt;"","Closed",IF(OR($G786&lt;&gt;"",$I786&lt;&gt;"",$J786&lt;&gt;""),"Open","")))</f>
        <v/>
      </c>
      <c r="N786" s="47" t="n"/>
      <c r="O786">
        <f>IF($B786="","",IF($M786="Closed",IF($N786="","",$N786-$B786),TODAY()-$B786))</f>
        <v/>
      </c>
      <c r="P786">
        <f>IF(OR($B786="",$L786="",$M786="Closed"),"",IF(TODAY()&gt;$L786,"YES","NO"))</f>
        <v/>
      </c>
      <c r="Q786">
        <f>Weekly_Inspections!$AW786</f>
        <v/>
      </c>
    </row>
    <row r="787" ht="15" customHeight="1" s="45">
      <c r="A787">
        <f>IF(Weekly_Inspections!$B787="","",Weekly_Inspections!$A787&amp;"-A1")</f>
        <v/>
      </c>
      <c r="B787" s="47">
        <f>Weekly_Inspections!$B787</f>
        <v/>
      </c>
      <c r="C787">
        <f>Weekly_Inspections!$E787</f>
        <v/>
      </c>
      <c r="D787">
        <f>Weekly_Inspections!$F787</f>
        <v/>
      </c>
      <c r="E787">
        <f>Weekly_Inspections!$H787</f>
        <v/>
      </c>
      <c r="F787">
        <f>IF(Weekly_Inspections!$AX787&lt;&gt;"",Weekly_Inspections!$AX787,IF(Weekly_Inspections!$AY787&lt;&gt;"",Weekly_Inspections!$AY787,IF(Weekly_Inspections!$AZ787&lt;&gt;"",Weekly_Inspections!$AZ787,IF(Weekly_Inspections!$BA787&lt;&gt;"",Weekly_Inspections!$BA787,IF(Weekly_Inspections!$BB787&lt;&gt;"",Weekly_Inspections!$BB787,Weekly_Inspections!$R787)))))</f>
        <v/>
      </c>
      <c r="G787">
        <f>IF(OR(Weekly_Inspections!$AQ787&lt;&gt;"",Weekly_Inspections!$AR787&lt;&gt;"",Weekly_Inspections!$AS787&lt;&gt;""),Weekly_Inspections!$AQ787,"")</f>
        <v/>
      </c>
      <c r="H787">
        <f>Weekly_Inspections!$AP787</f>
        <v/>
      </c>
      <c r="I787">
        <f>Weekly_Inspections!$AR787</f>
        <v/>
      </c>
      <c r="J787">
        <f>Weekly_Inspections!$AS787</f>
        <v/>
      </c>
      <c r="K787">
        <f>Weekly_Inspections!$AU787</f>
        <v/>
      </c>
      <c r="L787" s="47">
        <f>Weekly_Inspections!$AV787</f>
        <v/>
      </c>
      <c r="M787">
        <f>IF($B787="","",IF($N787&lt;&gt;"","Closed",IF(OR($G787&lt;&gt;"",$I787&lt;&gt;"",$J787&lt;&gt;""),"Open","")))</f>
        <v/>
      </c>
      <c r="N787" s="47" t="n"/>
      <c r="O787">
        <f>IF($B787="","",IF($M787="Closed",IF($N787="","",$N787-$B787),TODAY()-$B787))</f>
        <v/>
      </c>
      <c r="P787">
        <f>IF(OR($B787="",$L787="",$M787="Closed"),"",IF(TODAY()&gt;$L787,"YES","NO"))</f>
        <v/>
      </c>
      <c r="Q787">
        <f>Weekly_Inspections!$AW787</f>
        <v/>
      </c>
    </row>
    <row r="788" ht="15" customHeight="1" s="45">
      <c r="A788">
        <f>IF(Weekly_Inspections!$B788="","",Weekly_Inspections!$A788&amp;"-A1")</f>
        <v/>
      </c>
      <c r="B788" s="47">
        <f>Weekly_Inspections!$B788</f>
        <v/>
      </c>
      <c r="C788">
        <f>Weekly_Inspections!$E788</f>
        <v/>
      </c>
      <c r="D788">
        <f>Weekly_Inspections!$F788</f>
        <v/>
      </c>
      <c r="E788">
        <f>Weekly_Inspections!$H788</f>
        <v/>
      </c>
      <c r="F788">
        <f>IF(Weekly_Inspections!$AX788&lt;&gt;"",Weekly_Inspections!$AX788,IF(Weekly_Inspections!$AY788&lt;&gt;"",Weekly_Inspections!$AY788,IF(Weekly_Inspections!$AZ788&lt;&gt;"",Weekly_Inspections!$AZ788,IF(Weekly_Inspections!$BA788&lt;&gt;"",Weekly_Inspections!$BA788,IF(Weekly_Inspections!$BB788&lt;&gt;"",Weekly_Inspections!$BB788,Weekly_Inspections!$R788)))))</f>
        <v/>
      </c>
      <c r="G788">
        <f>IF(OR(Weekly_Inspections!$AQ788&lt;&gt;"",Weekly_Inspections!$AR788&lt;&gt;"",Weekly_Inspections!$AS788&lt;&gt;""),Weekly_Inspections!$AQ788,"")</f>
        <v/>
      </c>
      <c r="H788">
        <f>Weekly_Inspections!$AP788</f>
        <v/>
      </c>
      <c r="I788">
        <f>Weekly_Inspections!$AR788</f>
        <v/>
      </c>
      <c r="J788">
        <f>Weekly_Inspections!$AS788</f>
        <v/>
      </c>
      <c r="K788">
        <f>Weekly_Inspections!$AU788</f>
        <v/>
      </c>
      <c r="L788" s="47">
        <f>Weekly_Inspections!$AV788</f>
        <v/>
      </c>
      <c r="M788">
        <f>IF($B788="","",IF($N788&lt;&gt;"","Closed",IF(OR($G788&lt;&gt;"",$I788&lt;&gt;"",$J788&lt;&gt;""),"Open","")))</f>
        <v/>
      </c>
      <c r="N788" s="47" t="n"/>
      <c r="O788">
        <f>IF($B788="","",IF($M788="Closed",IF($N788="","",$N788-$B788),TODAY()-$B788))</f>
        <v/>
      </c>
      <c r="P788">
        <f>IF(OR($B788="",$L788="",$M788="Closed"),"",IF(TODAY()&gt;$L788,"YES","NO"))</f>
        <v/>
      </c>
      <c r="Q788">
        <f>Weekly_Inspections!$AW788</f>
        <v/>
      </c>
    </row>
    <row r="789" ht="15" customHeight="1" s="45">
      <c r="A789">
        <f>IF(Weekly_Inspections!$B789="","",Weekly_Inspections!$A789&amp;"-A1")</f>
        <v/>
      </c>
      <c r="B789" s="47">
        <f>Weekly_Inspections!$B789</f>
        <v/>
      </c>
      <c r="C789">
        <f>Weekly_Inspections!$E789</f>
        <v/>
      </c>
      <c r="D789">
        <f>Weekly_Inspections!$F789</f>
        <v/>
      </c>
      <c r="E789">
        <f>Weekly_Inspections!$H789</f>
        <v/>
      </c>
      <c r="F789">
        <f>IF(Weekly_Inspections!$AX789&lt;&gt;"",Weekly_Inspections!$AX789,IF(Weekly_Inspections!$AY789&lt;&gt;"",Weekly_Inspections!$AY789,IF(Weekly_Inspections!$AZ789&lt;&gt;"",Weekly_Inspections!$AZ789,IF(Weekly_Inspections!$BA789&lt;&gt;"",Weekly_Inspections!$BA789,IF(Weekly_Inspections!$BB789&lt;&gt;"",Weekly_Inspections!$BB789,Weekly_Inspections!$R789)))))</f>
        <v/>
      </c>
      <c r="G789">
        <f>IF(OR(Weekly_Inspections!$AQ789&lt;&gt;"",Weekly_Inspections!$AR789&lt;&gt;"",Weekly_Inspections!$AS789&lt;&gt;""),Weekly_Inspections!$AQ789,"")</f>
        <v/>
      </c>
      <c r="H789">
        <f>Weekly_Inspections!$AP789</f>
        <v/>
      </c>
      <c r="I789">
        <f>Weekly_Inspections!$AR789</f>
        <v/>
      </c>
      <c r="J789">
        <f>Weekly_Inspections!$AS789</f>
        <v/>
      </c>
      <c r="K789">
        <f>Weekly_Inspections!$AU789</f>
        <v/>
      </c>
      <c r="L789" s="47">
        <f>Weekly_Inspections!$AV789</f>
        <v/>
      </c>
      <c r="M789">
        <f>IF($B789="","",IF($N789&lt;&gt;"","Closed",IF(OR($G789&lt;&gt;"",$I789&lt;&gt;"",$J789&lt;&gt;""),"Open","")))</f>
        <v/>
      </c>
      <c r="N789" s="47" t="n"/>
      <c r="O789">
        <f>IF($B789="","",IF($M789="Closed",IF($N789="","",$N789-$B789),TODAY()-$B789))</f>
        <v/>
      </c>
      <c r="P789">
        <f>IF(OR($B789="",$L789="",$M789="Closed"),"",IF(TODAY()&gt;$L789,"YES","NO"))</f>
        <v/>
      </c>
      <c r="Q789">
        <f>Weekly_Inspections!$AW789</f>
        <v/>
      </c>
    </row>
    <row r="790" ht="15" customHeight="1" s="45">
      <c r="A790">
        <f>IF(Weekly_Inspections!$B790="","",Weekly_Inspections!$A790&amp;"-A1")</f>
        <v/>
      </c>
      <c r="B790" s="47">
        <f>Weekly_Inspections!$B790</f>
        <v/>
      </c>
      <c r="C790">
        <f>Weekly_Inspections!$E790</f>
        <v/>
      </c>
      <c r="D790">
        <f>Weekly_Inspections!$F790</f>
        <v/>
      </c>
      <c r="E790">
        <f>Weekly_Inspections!$H790</f>
        <v/>
      </c>
      <c r="F790">
        <f>IF(Weekly_Inspections!$AX790&lt;&gt;"",Weekly_Inspections!$AX790,IF(Weekly_Inspections!$AY790&lt;&gt;"",Weekly_Inspections!$AY790,IF(Weekly_Inspections!$AZ790&lt;&gt;"",Weekly_Inspections!$AZ790,IF(Weekly_Inspections!$BA790&lt;&gt;"",Weekly_Inspections!$BA790,IF(Weekly_Inspections!$BB790&lt;&gt;"",Weekly_Inspections!$BB790,Weekly_Inspections!$R790)))))</f>
        <v/>
      </c>
      <c r="G790">
        <f>IF(OR(Weekly_Inspections!$AQ790&lt;&gt;"",Weekly_Inspections!$AR790&lt;&gt;"",Weekly_Inspections!$AS790&lt;&gt;""),Weekly_Inspections!$AQ790,"")</f>
        <v/>
      </c>
      <c r="H790">
        <f>Weekly_Inspections!$AP790</f>
        <v/>
      </c>
      <c r="I790">
        <f>Weekly_Inspections!$AR790</f>
        <v/>
      </c>
      <c r="J790">
        <f>Weekly_Inspections!$AS790</f>
        <v/>
      </c>
      <c r="K790">
        <f>Weekly_Inspections!$AU790</f>
        <v/>
      </c>
      <c r="L790" s="47">
        <f>Weekly_Inspections!$AV790</f>
        <v/>
      </c>
      <c r="M790">
        <f>IF($B790="","",IF($N790&lt;&gt;"","Closed",IF(OR($G790&lt;&gt;"",$I790&lt;&gt;"",$J790&lt;&gt;""),"Open","")))</f>
        <v/>
      </c>
      <c r="N790" s="47" t="n"/>
      <c r="O790">
        <f>IF($B790="","",IF($M790="Closed",IF($N790="","",$N790-$B790),TODAY()-$B790))</f>
        <v/>
      </c>
      <c r="P790">
        <f>IF(OR($B790="",$L790="",$M790="Closed"),"",IF(TODAY()&gt;$L790,"YES","NO"))</f>
        <v/>
      </c>
      <c r="Q790">
        <f>Weekly_Inspections!$AW790</f>
        <v/>
      </c>
    </row>
    <row r="791" ht="15" customHeight="1" s="45">
      <c r="A791">
        <f>IF(Weekly_Inspections!$B791="","",Weekly_Inspections!$A791&amp;"-A1")</f>
        <v/>
      </c>
      <c r="B791" s="47">
        <f>Weekly_Inspections!$B791</f>
        <v/>
      </c>
      <c r="C791">
        <f>Weekly_Inspections!$E791</f>
        <v/>
      </c>
      <c r="D791">
        <f>Weekly_Inspections!$F791</f>
        <v/>
      </c>
      <c r="E791">
        <f>Weekly_Inspections!$H791</f>
        <v/>
      </c>
      <c r="F791">
        <f>IF(Weekly_Inspections!$AX791&lt;&gt;"",Weekly_Inspections!$AX791,IF(Weekly_Inspections!$AY791&lt;&gt;"",Weekly_Inspections!$AY791,IF(Weekly_Inspections!$AZ791&lt;&gt;"",Weekly_Inspections!$AZ791,IF(Weekly_Inspections!$BA791&lt;&gt;"",Weekly_Inspections!$BA791,IF(Weekly_Inspections!$BB791&lt;&gt;"",Weekly_Inspections!$BB791,Weekly_Inspections!$R791)))))</f>
        <v/>
      </c>
      <c r="G791">
        <f>IF(OR(Weekly_Inspections!$AQ791&lt;&gt;"",Weekly_Inspections!$AR791&lt;&gt;"",Weekly_Inspections!$AS791&lt;&gt;""),Weekly_Inspections!$AQ791,"")</f>
        <v/>
      </c>
      <c r="H791">
        <f>Weekly_Inspections!$AP791</f>
        <v/>
      </c>
      <c r="I791">
        <f>Weekly_Inspections!$AR791</f>
        <v/>
      </c>
      <c r="J791">
        <f>Weekly_Inspections!$AS791</f>
        <v/>
      </c>
      <c r="K791">
        <f>Weekly_Inspections!$AU791</f>
        <v/>
      </c>
      <c r="L791" s="47">
        <f>Weekly_Inspections!$AV791</f>
        <v/>
      </c>
      <c r="M791">
        <f>IF($B791="","",IF($N791&lt;&gt;"","Closed",IF(OR($G791&lt;&gt;"",$I791&lt;&gt;"",$J791&lt;&gt;""),"Open","")))</f>
        <v/>
      </c>
      <c r="N791" s="47" t="n"/>
      <c r="O791">
        <f>IF($B791="","",IF($M791="Closed",IF($N791="","",$N791-$B791),TODAY()-$B791))</f>
        <v/>
      </c>
      <c r="P791">
        <f>IF(OR($B791="",$L791="",$M791="Closed"),"",IF(TODAY()&gt;$L791,"YES","NO"))</f>
        <v/>
      </c>
      <c r="Q791">
        <f>Weekly_Inspections!$AW791</f>
        <v/>
      </c>
    </row>
    <row r="792" ht="15" customHeight="1" s="45">
      <c r="A792">
        <f>IF(Weekly_Inspections!$B792="","",Weekly_Inspections!$A792&amp;"-A1")</f>
        <v/>
      </c>
      <c r="B792" s="47">
        <f>Weekly_Inspections!$B792</f>
        <v/>
      </c>
      <c r="C792">
        <f>Weekly_Inspections!$E792</f>
        <v/>
      </c>
      <c r="D792">
        <f>Weekly_Inspections!$F792</f>
        <v/>
      </c>
      <c r="E792">
        <f>Weekly_Inspections!$H792</f>
        <v/>
      </c>
      <c r="F792">
        <f>IF(Weekly_Inspections!$AX792&lt;&gt;"",Weekly_Inspections!$AX792,IF(Weekly_Inspections!$AY792&lt;&gt;"",Weekly_Inspections!$AY792,IF(Weekly_Inspections!$AZ792&lt;&gt;"",Weekly_Inspections!$AZ792,IF(Weekly_Inspections!$BA792&lt;&gt;"",Weekly_Inspections!$BA792,IF(Weekly_Inspections!$BB792&lt;&gt;"",Weekly_Inspections!$BB792,Weekly_Inspections!$R792)))))</f>
        <v/>
      </c>
      <c r="G792">
        <f>IF(OR(Weekly_Inspections!$AQ792&lt;&gt;"",Weekly_Inspections!$AR792&lt;&gt;"",Weekly_Inspections!$AS792&lt;&gt;""),Weekly_Inspections!$AQ792,"")</f>
        <v/>
      </c>
      <c r="H792">
        <f>Weekly_Inspections!$AP792</f>
        <v/>
      </c>
      <c r="I792">
        <f>Weekly_Inspections!$AR792</f>
        <v/>
      </c>
      <c r="J792">
        <f>Weekly_Inspections!$AS792</f>
        <v/>
      </c>
      <c r="K792">
        <f>Weekly_Inspections!$AU792</f>
        <v/>
      </c>
      <c r="L792" s="47">
        <f>Weekly_Inspections!$AV792</f>
        <v/>
      </c>
      <c r="M792">
        <f>IF($B792="","",IF($N792&lt;&gt;"","Closed",IF(OR($G792&lt;&gt;"",$I792&lt;&gt;"",$J792&lt;&gt;""),"Open","")))</f>
        <v/>
      </c>
      <c r="N792" s="47" t="n"/>
      <c r="O792">
        <f>IF($B792="","",IF($M792="Closed",IF($N792="","",$N792-$B792),TODAY()-$B792))</f>
        <v/>
      </c>
      <c r="P792">
        <f>IF(OR($B792="",$L792="",$M792="Closed"),"",IF(TODAY()&gt;$L792,"YES","NO"))</f>
        <v/>
      </c>
      <c r="Q792">
        <f>Weekly_Inspections!$AW792</f>
        <v/>
      </c>
    </row>
    <row r="793" ht="15" customHeight="1" s="45">
      <c r="A793">
        <f>IF(Weekly_Inspections!$B793="","",Weekly_Inspections!$A793&amp;"-A1")</f>
        <v/>
      </c>
      <c r="B793" s="47">
        <f>Weekly_Inspections!$B793</f>
        <v/>
      </c>
      <c r="C793">
        <f>Weekly_Inspections!$E793</f>
        <v/>
      </c>
      <c r="D793">
        <f>Weekly_Inspections!$F793</f>
        <v/>
      </c>
      <c r="E793">
        <f>Weekly_Inspections!$H793</f>
        <v/>
      </c>
      <c r="F793">
        <f>IF(Weekly_Inspections!$AX793&lt;&gt;"",Weekly_Inspections!$AX793,IF(Weekly_Inspections!$AY793&lt;&gt;"",Weekly_Inspections!$AY793,IF(Weekly_Inspections!$AZ793&lt;&gt;"",Weekly_Inspections!$AZ793,IF(Weekly_Inspections!$BA793&lt;&gt;"",Weekly_Inspections!$BA793,IF(Weekly_Inspections!$BB793&lt;&gt;"",Weekly_Inspections!$BB793,Weekly_Inspections!$R793)))))</f>
        <v/>
      </c>
      <c r="G793">
        <f>IF(OR(Weekly_Inspections!$AQ793&lt;&gt;"",Weekly_Inspections!$AR793&lt;&gt;"",Weekly_Inspections!$AS793&lt;&gt;""),Weekly_Inspections!$AQ793,"")</f>
        <v/>
      </c>
      <c r="H793">
        <f>Weekly_Inspections!$AP793</f>
        <v/>
      </c>
      <c r="I793">
        <f>Weekly_Inspections!$AR793</f>
        <v/>
      </c>
      <c r="J793">
        <f>Weekly_Inspections!$AS793</f>
        <v/>
      </c>
      <c r="K793">
        <f>Weekly_Inspections!$AU793</f>
        <v/>
      </c>
      <c r="L793" s="47">
        <f>Weekly_Inspections!$AV793</f>
        <v/>
      </c>
      <c r="M793">
        <f>IF($B793="","",IF($N793&lt;&gt;"","Closed",IF(OR($G793&lt;&gt;"",$I793&lt;&gt;"",$J793&lt;&gt;""),"Open","")))</f>
        <v/>
      </c>
      <c r="N793" s="47" t="n"/>
      <c r="O793">
        <f>IF($B793="","",IF($M793="Closed",IF($N793="","",$N793-$B793),TODAY()-$B793))</f>
        <v/>
      </c>
      <c r="P793">
        <f>IF(OR($B793="",$L793="",$M793="Closed"),"",IF(TODAY()&gt;$L793,"YES","NO"))</f>
        <v/>
      </c>
      <c r="Q793">
        <f>Weekly_Inspections!$AW793</f>
        <v/>
      </c>
    </row>
    <row r="794" ht="15" customHeight="1" s="45">
      <c r="A794">
        <f>IF(Weekly_Inspections!$B794="","",Weekly_Inspections!$A794&amp;"-A1")</f>
        <v/>
      </c>
      <c r="B794" s="47">
        <f>Weekly_Inspections!$B794</f>
        <v/>
      </c>
      <c r="C794">
        <f>Weekly_Inspections!$E794</f>
        <v/>
      </c>
      <c r="D794">
        <f>Weekly_Inspections!$F794</f>
        <v/>
      </c>
      <c r="E794">
        <f>Weekly_Inspections!$H794</f>
        <v/>
      </c>
      <c r="F794">
        <f>IF(Weekly_Inspections!$AX794&lt;&gt;"",Weekly_Inspections!$AX794,IF(Weekly_Inspections!$AY794&lt;&gt;"",Weekly_Inspections!$AY794,IF(Weekly_Inspections!$AZ794&lt;&gt;"",Weekly_Inspections!$AZ794,IF(Weekly_Inspections!$BA794&lt;&gt;"",Weekly_Inspections!$BA794,IF(Weekly_Inspections!$BB794&lt;&gt;"",Weekly_Inspections!$BB794,Weekly_Inspections!$R794)))))</f>
        <v/>
      </c>
      <c r="G794">
        <f>IF(OR(Weekly_Inspections!$AQ794&lt;&gt;"",Weekly_Inspections!$AR794&lt;&gt;"",Weekly_Inspections!$AS794&lt;&gt;""),Weekly_Inspections!$AQ794,"")</f>
        <v/>
      </c>
      <c r="H794">
        <f>Weekly_Inspections!$AP794</f>
        <v/>
      </c>
      <c r="I794">
        <f>Weekly_Inspections!$AR794</f>
        <v/>
      </c>
      <c r="J794">
        <f>Weekly_Inspections!$AS794</f>
        <v/>
      </c>
      <c r="K794">
        <f>Weekly_Inspections!$AU794</f>
        <v/>
      </c>
      <c r="L794" s="47">
        <f>Weekly_Inspections!$AV794</f>
        <v/>
      </c>
      <c r="M794">
        <f>IF($B794="","",IF($N794&lt;&gt;"","Closed",IF(OR($G794&lt;&gt;"",$I794&lt;&gt;"",$J794&lt;&gt;""),"Open","")))</f>
        <v/>
      </c>
      <c r="N794" s="47" t="n"/>
      <c r="O794">
        <f>IF($B794="","",IF($M794="Closed",IF($N794="","",$N794-$B794),TODAY()-$B794))</f>
        <v/>
      </c>
      <c r="P794">
        <f>IF(OR($B794="",$L794="",$M794="Closed"),"",IF(TODAY()&gt;$L794,"YES","NO"))</f>
        <v/>
      </c>
      <c r="Q794">
        <f>Weekly_Inspections!$AW794</f>
        <v/>
      </c>
    </row>
    <row r="795" ht="15" customHeight="1" s="45">
      <c r="A795">
        <f>IF(Weekly_Inspections!$B795="","",Weekly_Inspections!$A795&amp;"-A1")</f>
        <v/>
      </c>
      <c r="B795" s="47">
        <f>Weekly_Inspections!$B795</f>
        <v/>
      </c>
      <c r="C795">
        <f>Weekly_Inspections!$E795</f>
        <v/>
      </c>
      <c r="D795">
        <f>Weekly_Inspections!$F795</f>
        <v/>
      </c>
      <c r="E795">
        <f>Weekly_Inspections!$H795</f>
        <v/>
      </c>
      <c r="F795">
        <f>IF(Weekly_Inspections!$AX795&lt;&gt;"",Weekly_Inspections!$AX795,IF(Weekly_Inspections!$AY795&lt;&gt;"",Weekly_Inspections!$AY795,IF(Weekly_Inspections!$AZ795&lt;&gt;"",Weekly_Inspections!$AZ795,IF(Weekly_Inspections!$BA795&lt;&gt;"",Weekly_Inspections!$BA795,IF(Weekly_Inspections!$BB795&lt;&gt;"",Weekly_Inspections!$BB795,Weekly_Inspections!$R795)))))</f>
        <v/>
      </c>
      <c r="G795">
        <f>IF(OR(Weekly_Inspections!$AQ795&lt;&gt;"",Weekly_Inspections!$AR795&lt;&gt;"",Weekly_Inspections!$AS795&lt;&gt;""),Weekly_Inspections!$AQ795,"")</f>
        <v/>
      </c>
      <c r="H795">
        <f>Weekly_Inspections!$AP795</f>
        <v/>
      </c>
      <c r="I795">
        <f>Weekly_Inspections!$AR795</f>
        <v/>
      </c>
      <c r="J795">
        <f>Weekly_Inspections!$AS795</f>
        <v/>
      </c>
      <c r="K795">
        <f>Weekly_Inspections!$AU795</f>
        <v/>
      </c>
      <c r="L795" s="47">
        <f>Weekly_Inspections!$AV795</f>
        <v/>
      </c>
      <c r="M795">
        <f>IF($B795="","",IF($N795&lt;&gt;"","Closed",IF(OR($G795&lt;&gt;"",$I795&lt;&gt;"",$J795&lt;&gt;""),"Open","")))</f>
        <v/>
      </c>
      <c r="N795" s="47" t="n"/>
      <c r="O795">
        <f>IF($B795="","",IF($M795="Closed",IF($N795="","",$N795-$B795),TODAY()-$B795))</f>
        <v/>
      </c>
      <c r="P795">
        <f>IF(OR($B795="",$L795="",$M795="Closed"),"",IF(TODAY()&gt;$L795,"YES","NO"))</f>
        <v/>
      </c>
      <c r="Q795">
        <f>Weekly_Inspections!$AW795</f>
        <v/>
      </c>
    </row>
    <row r="796" ht="15" customHeight="1" s="45">
      <c r="A796">
        <f>IF(Weekly_Inspections!$B796="","",Weekly_Inspections!$A796&amp;"-A1")</f>
        <v/>
      </c>
      <c r="B796" s="47">
        <f>Weekly_Inspections!$B796</f>
        <v/>
      </c>
      <c r="C796">
        <f>Weekly_Inspections!$E796</f>
        <v/>
      </c>
      <c r="D796">
        <f>Weekly_Inspections!$F796</f>
        <v/>
      </c>
      <c r="E796">
        <f>Weekly_Inspections!$H796</f>
        <v/>
      </c>
      <c r="F796">
        <f>IF(Weekly_Inspections!$AX796&lt;&gt;"",Weekly_Inspections!$AX796,IF(Weekly_Inspections!$AY796&lt;&gt;"",Weekly_Inspections!$AY796,IF(Weekly_Inspections!$AZ796&lt;&gt;"",Weekly_Inspections!$AZ796,IF(Weekly_Inspections!$BA796&lt;&gt;"",Weekly_Inspections!$BA796,IF(Weekly_Inspections!$BB796&lt;&gt;"",Weekly_Inspections!$BB796,Weekly_Inspections!$R796)))))</f>
        <v/>
      </c>
      <c r="G796">
        <f>IF(OR(Weekly_Inspections!$AQ796&lt;&gt;"",Weekly_Inspections!$AR796&lt;&gt;"",Weekly_Inspections!$AS796&lt;&gt;""),Weekly_Inspections!$AQ796,"")</f>
        <v/>
      </c>
      <c r="H796">
        <f>Weekly_Inspections!$AP796</f>
        <v/>
      </c>
      <c r="I796">
        <f>Weekly_Inspections!$AR796</f>
        <v/>
      </c>
      <c r="J796">
        <f>Weekly_Inspections!$AS796</f>
        <v/>
      </c>
      <c r="K796">
        <f>Weekly_Inspections!$AU796</f>
        <v/>
      </c>
      <c r="L796" s="47">
        <f>Weekly_Inspections!$AV796</f>
        <v/>
      </c>
      <c r="M796">
        <f>IF($B796="","",IF($N796&lt;&gt;"","Closed",IF(OR($G796&lt;&gt;"",$I796&lt;&gt;"",$J796&lt;&gt;""),"Open","")))</f>
        <v/>
      </c>
      <c r="N796" s="47" t="n"/>
      <c r="O796">
        <f>IF($B796="","",IF($M796="Closed",IF($N796="","",$N796-$B796),TODAY()-$B796))</f>
        <v/>
      </c>
      <c r="P796">
        <f>IF(OR($B796="",$L796="",$M796="Closed"),"",IF(TODAY()&gt;$L796,"YES","NO"))</f>
        <v/>
      </c>
      <c r="Q796">
        <f>Weekly_Inspections!$AW796</f>
        <v/>
      </c>
    </row>
    <row r="797" ht="15" customHeight="1" s="45">
      <c r="A797">
        <f>IF(Weekly_Inspections!$B797="","",Weekly_Inspections!$A797&amp;"-A1")</f>
        <v/>
      </c>
      <c r="B797" s="47">
        <f>Weekly_Inspections!$B797</f>
        <v/>
      </c>
      <c r="C797">
        <f>Weekly_Inspections!$E797</f>
        <v/>
      </c>
      <c r="D797">
        <f>Weekly_Inspections!$F797</f>
        <v/>
      </c>
      <c r="E797">
        <f>Weekly_Inspections!$H797</f>
        <v/>
      </c>
      <c r="F797">
        <f>IF(Weekly_Inspections!$AX797&lt;&gt;"",Weekly_Inspections!$AX797,IF(Weekly_Inspections!$AY797&lt;&gt;"",Weekly_Inspections!$AY797,IF(Weekly_Inspections!$AZ797&lt;&gt;"",Weekly_Inspections!$AZ797,IF(Weekly_Inspections!$BA797&lt;&gt;"",Weekly_Inspections!$BA797,IF(Weekly_Inspections!$BB797&lt;&gt;"",Weekly_Inspections!$BB797,Weekly_Inspections!$R797)))))</f>
        <v/>
      </c>
      <c r="G797">
        <f>IF(OR(Weekly_Inspections!$AQ797&lt;&gt;"",Weekly_Inspections!$AR797&lt;&gt;"",Weekly_Inspections!$AS797&lt;&gt;""),Weekly_Inspections!$AQ797,"")</f>
        <v/>
      </c>
      <c r="H797">
        <f>Weekly_Inspections!$AP797</f>
        <v/>
      </c>
      <c r="I797">
        <f>Weekly_Inspections!$AR797</f>
        <v/>
      </c>
      <c r="J797">
        <f>Weekly_Inspections!$AS797</f>
        <v/>
      </c>
      <c r="K797">
        <f>Weekly_Inspections!$AU797</f>
        <v/>
      </c>
      <c r="L797" s="47">
        <f>Weekly_Inspections!$AV797</f>
        <v/>
      </c>
      <c r="M797">
        <f>IF($B797="","",IF($N797&lt;&gt;"","Closed",IF(OR($G797&lt;&gt;"",$I797&lt;&gt;"",$J797&lt;&gt;""),"Open","")))</f>
        <v/>
      </c>
      <c r="N797" s="47" t="n"/>
      <c r="O797">
        <f>IF($B797="","",IF($M797="Closed",IF($N797="","",$N797-$B797),TODAY()-$B797))</f>
        <v/>
      </c>
      <c r="P797">
        <f>IF(OR($B797="",$L797="",$M797="Closed"),"",IF(TODAY()&gt;$L797,"YES","NO"))</f>
        <v/>
      </c>
      <c r="Q797">
        <f>Weekly_Inspections!$AW797</f>
        <v/>
      </c>
    </row>
    <row r="798" ht="15" customHeight="1" s="45">
      <c r="A798">
        <f>IF(Weekly_Inspections!$B798="","",Weekly_Inspections!$A798&amp;"-A1")</f>
        <v/>
      </c>
      <c r="B798" s="47">
        <f>Weekly_Inspections!$B798</f>
        <v/>
      </c>
      <c r="C798">
        <f>Weekly_Inspections!$E798</f>
        <v/>
      </c>
      <c r="D798">
        <f>Weekly_Inspections!$F798</f>
        <v/>
      </c>
      <c r="E798">
        <f>Weekly_Inspections!$H798</f>
        <v/>
      </c>
      <c r="F798">
        <f>IF(Weekly_Inspections!$AX798&lt;&gt;"",Weekly_Inspections!$AX798,IF(Weekly_Inspections!$AY798&lt;&gt;"",Weekly_Inspections!$AY798,IF(Weekly_Inspections!$AZ798&lt;&gt;"",Weekly_Inspections!$AZ798,IF(Weekly_Inspections!$BA798&lt;&gt;"",Weekly_Inspections!$BA798,IF(Weekly_Inspections!$BB798&lt;&gt;"",Weekly_Inspections!$BB798,Weekly_Inspections!$R798)))))</f>
        <v/>
      </c>
      <c r="G798">
        <f>IF(OR(Weekly_Inspections!$AQ798&lt;&gt;"",Weekly_Inspections!$AR798&lt;&gt;"",Weekly_Inspections!$AS798&lt;&gt;""),Weekly_Inspections!$AQ798,"")</f>
        <v/>
      </c>
      <c r="H798">
        <f>Weekly_Inspections!$AP798</f>
        <v/>
      </c>
      <c r="I798">
        <f>Weekly_Inspections!$AR798</f>
        <v/>
      </c>
      <c r="J798">
        <f>Weekly_Inspections!$AS798</f>
        <v/>
      </c>
      <c r="K798">
        <f>Weekly_Inspections!$AU798</f>
        <v/>
      </c>
      <c r="L798" s="47">
        <f>Weekly_Inspections!$AV798</f>
        <v/>
      </c>
      <c r="M798">
        <f>IF($B798="","",IF($N798&lt;&gt;"","Closed",IF(OR($G798&lt;&gt;"",$I798&lt;&gt;"",$J798&lt;&gt;""),"Open","")))</f>
        <v/>
      </c>
      <c r="N798" s="47" t="n"/>
      <c r="O798">
        <f>IF($B798="","",IF($M798="Closed",IF($N798="","",$N798-$B798),TODAY()-$B798))</f>
        <v/>
      </c>
      <c r="P798">
        <f>IF(OR($B798="",$L798="",$M798="Closed"),"",IF(TODAY()&gt;$L798,"YES","NO"))</f>
        <v/>
      </c>
      <c r="Q798">
        <f>Weekly_Inspections!$AW798</f>
        <v/>
      </c>
    </row>
    <row r="799" ht="15" customHeight="1" s="45">
      <c r="A799">
        <f>IF(Weekly_Inspections!$B799="","",Weekly_Inspections!$A799&amp;"-A1")</f>
        <v/>
      </c>
      <c r="B799" s="47">
        <f>Weekly_Inspections!$B799</f>
        <v/>
      </c>
      <c r="C799">
        <f>Weekly_Inspections!$E799</f>
        <v/>
      </c>
      <c r="D799">
        <f>Weekly_Inspections!$F799</f>
        <v/>
      </c>
      <c r="E799">
        <f>Weekly_Inspections!$H799</f>
        <v/>
      </c>
      <c r="F799">
        <f>IF(Weekly_Inspections!$AX799&lt;&gt;"",Weekly_Inspections!$AX799,IF(Weekly_Inspections!$AY799&lt;&gt;"",Weekly_Inspections!$AY799,IF(Weekly_Inspections!$AZ799&lt;&gt;"",Weekly_Inspections!$AZ799,IF(Weekly_Inspections!$BA799&lt;&gt;"",Weekly_Inspections!$BA799,IF(Weekly_Inspections!$BB799&lt;&gt;"",Weekly_Inspections!$BB799,Weekly_Inspections!$R799)))))</f>
        <v/>
      </c>
      <c r="G799">
        <f>IF(OR(Weekly_Inspections!$AQ799&lt;&gt;"",Weekly_Inspections!$AR799&lt;&gt;"",Weekly_Inspections!$AS799&lt;&gt;""),Weekly_Inspections!$AQ799,"")</f>
        <v/>
      </c>
      <c r="H799">
        <f>Weekly_Inspections!$AP799</f>
        <v/>
      </c>
      <c r="I799">
        <f>Weekly_Inspections!$AR799</f>
        <v/>
      </c>
      <c r="J799">
        <f>Weekly_Inspections!$AS799</f>
        <v/>
      </c>
      <c r="K799">
        <f>Weekly_Inspections!$AU799</f>
        <v/>
      </c>
      <c r="L799" s="47">
        <f>Weekly_Inspections!$AV799</f>
        <v/>
      </c>
      <c r="M799">
        <f>IF($B799="","",IF($N799&lt;&gt;"","Closed",IF(OR($G799&lt;&gt;"",$I799&lt;&gt;"",$J799&lt;&gt;""),"Open","")))</f>
        <v/>
      </c>
      <c r="N799" s="47" t="n"/>
      <c r="O799">
        <f>IF($B799="","",IF($M799="Closed",IF($N799="","",$N799-$B799),TODAY()-$B799))</f>
        <v/>
      </c>
      <c r="P799">
        <f>IF(OR($B799="",$L799="",$M799="Closed"),"",IF(TODAY()&gt;$L799,"YES","NO"))</f>
        <v/>
      </c>
      <c r="Q799">
        <f>Weekly_Inspections!$AW799</f>
        <v/>
      </c>
    </row>
    <row r="800" ht="15" customHeight="1" s="45">
      <c r="A800">
        <f>IF(Weekly_Inspections!$B800="","",Weekly_Inspections!$A800&amp;"-A1")</f>
        <v/>
      </c>
      <c r="B800" s="47">
        <f>Weekly_Inspections!$B800</f>
        <v/>
      </c>
      <c r="C800">
        <f>Weekly_Inspections!$E800</f>
        <v/>
      </c>
      <c r="D800">
        <f>Weekly_Inspections!$F800</f>
        <v/>
      </c>
      <c r="E800">
        <f>Weekly_Inspections!$H800</f>
        <v/>
      </c>
      <c r="F800">
        <f>IF(Weekly_Inspections!$AX800&lt;&gt;"",Weekly_Inspections!$AX800,IF(Weekly_Inspections!$AY800&lt;&gt;"",Weekly_Inspections!$AY800,IF(Weekly_Inspections!$AZ800&lt;&gt;"",Weekly_Inspections!$AZ800,IF(Weekly_Inspections!$BA800&lt;&gt;"",Weekly_Inspections!$BA800,IF(Weekly_Inspections!$BB800&lt;&gt;"",Weekly_Inspections!$BB800,Weekly_Inspections!$R800)))))</f>
        <v/>
      </c>
      <c r="G800">
        <f>IF(OR(Weekly_Inspections!$AQ800&lt;&gt;"",Weekly_Inspections!$AR800&lt;&gt;"",Weekly_Inspections!$AS800&lt;&gt;""),Weekly_Inspections!$AQ800,"")</f>
        <v/>
      </c>
      <c r="H800">
        <f>Weekly_Inspections!$AP800</f>
        <v/>
      </c>
      <c r="I800">
        <f>Weekly_Inspections!$AR800</f>
        <v/>
      </c>
      <c r="J800">
        <f>Weekly_Inspections!$AS800</f>
        <v/>
      </c>
      <c r="K800">
        <f>Weekly_Inspections!$AU800</f>
        <v/>
      </c>
      <c r="L800" s="47">
        <f>Weekly_Inspections!$AV800</f>
        <v/>
      </c>
      <c r="M800">
        <f>IF($B800="","",IF($N800&lt;&gt;"","Closed",IF(OR($G800&lt;&gt;"",$I800&lt;&gt;"",$J800&lt;&gt;""),"Open","")))</f>
        <v/>
      </c>
      <c r="N800" s="47" t="n"/>
      <c r="O800">
        <f>IF($B800="","",IF($M800="Closed",IF($N800="","",$N800-$B800),TODAY()-$B800))</f>
        <v/>
      </c>
      <c r="P800">
        <f>IF(OR($B800="",$L800="",$M800="Closed"),"",IF(TODAY()&gt;$L800,"YES","NO"))</f>
        <v/>
      </c>
      <c r="Q800">
        <f>Weekly_Inspections!$AW800</f>
        <v/>
      </c>
    </row>
    <row r="801" ht="15" customHeight="1" s="45">
      <c r="A801">
        <f>IF(Weekly_Inspections!$B801="","",Weekly_Inspections!$A801&amp;"-A1")</f>
        <v/>
      </c>
      <c r="B801" s="47">
        <f>Weekly_Inspections!$B801</f>
        <v/>
      </c>
      <c r="C801">
        <f>Weekly_Inspections!$E801</f>
        <v/>
      </c>
      <c r="D801">
        <f>Weekly_Inspections!$F801</f>
        <v/>
      </c>
      <c r="E801">
        <f>Weekly_Inspections!$H801</f>
        <v/>
      </c>
      <c r="F801">
        <f>IF(Weekly_Inspections!$AX801&lt;&gt;"",Weekly_Inspections!$AX801,IF(Weekly_Inspections!$AY801&lt;&gt;"",Weekly_Inspections!$AY801,IF(Weekly_Inspections!$AZ801&lt;&gt;"",Weekly_Inspections!$AZ801,IF(Weekly_Inspections!$BA801&lt;&gt;"",Weekly_Inspections!$BA801,IF(Weekly_Inspections!$BB801&lt;&gt;"",Weekly_Inspections!$BB801,Weekly_Inspections!$R801)))))</f>
        <v/>
      </c>
      <c r="G801">
        <f>IF(OR(Weekly_Inspections!$AQ801&lt;&gt;"",Weekly_Inspections!$AR801&lt;&gt;"",Weekly_Inspections!$AS801&lt;&gt;""),Weekly_Inspections!$AQ801,"")</f>
        <v/>
      </c>
      <c r="H801">
        <f>Weekly_Inspections!$AP801</f>
        <v/>
      </c>
      <c r="I801">
        <f>Weekly_Inspections!$AR801</f>
        <v/>
      </c>
      <c r="J801">
        <f>Weekly_Inspections!$AS801</f>
        <v/>
      </c>
      <c r="K801">
        <f>Weekly_Inspections!$AU801</f>
        <v/>
      </c>
      <c r="L801" s="47">
        <f>Weekly_Inspections!$AV801</f>
        <v/>
      </c>
      <c r="M801">
        <f>IF($B801="","",IF($N801&lt;&gt;"","Closed",IF(OR($G801&lt;&gt;"",$I801&lt;&gt;"",$J801&lt;&gt;""),"Open","")))</f>
        <v/>
      </c>
      <c r="N801" s="47" t="n"/>
      <c r="O801">
        <f>IF($B801="","",IF($M801="Closed",IF($N801="","",$N801-$B801),TODAY()-$B801))</f>
        <v/>
      </c>
      <c r="P801">
        <f>IF(OR($B801="",$L801="",$M801="Closed"),"",IF(TODAY()&gt;$L801,"YES","NO"))</f>
        <v/>
      </c>
      <c r="Q801">
        <f>Weekly_Inspections!$AW801</f>
        <v/>
      </c>
    </row>
    <row r="802" ht="15" customHeight="1" s="45">
      <c r="A802">
        <f>IF(Weekly_Inspections!$B802="","",Weekly_Inspections!$A802&amp;"-A1")</f>
        <v/>
      </c>
      <c r="B802" s="47">
        <f>Weekly_Inspections!$B802</f>
        <v/>
      </c>
      <c r="C802">
        <f>Weekly_Inspections!$E802</f>
        <v/>
      </c>
      <c r="D802">
        <f>Weekly_Inspections!$F802</f>
        <v/>
      </c>
      <c r="E802">
        <f>Weekly_Inspections!$H802</f>
        <v/>
      </c>
      <c r="F802">
        <f>IF(Weekly_Inspections!$AX802&lt;&gt;"",Weekly_Inspections!$AX802,IF(Weekly_Inspections!$AY802&lt;&gt;"",Weekly_Inspections!$AY802,IF(Weekly_Inspections!$AZ802&lt;&gt;"",Weekly_Inspections!$AZ802,IF(Weekly_Inspections!$BA802&lt;&gt;"",Weekly_Inspections!$BA802,IF(Weekly_Inspections!$BB802&lt;&gt;"",Weekly_Inspections!$BB802,Weekly_Inspections!$R802)))))</f>
        <v/>
      </c>
      <c r="G802">
        <f>IF(OR(Weekly_Inspections!$AQ802&lt;&gt;"",Weekly_Inspections!$AR802&lt;&gt;"",Weekly_Inspections!$AS802&lt;&gt;""),Weekly_Inspections!$AQ802,"")</f>
        <v/>
      </c>
      <c r="H802">
        <f>Weekly_Inspections!$AP802</f>
        <v/>
      </c>
      <c r="I802">
        <f>Weekly_Inspections!$AR802</f>
        <v/>
      </c>
      <c r="J802">
        <f>Weekly_Inspections!$AS802</f>
        <v/>
      </c>
      <c r="K802">
        <f>Weekly_Inspections!$AU802</f>
        <v/>
      </c>
      <c r="L802" s="47">
        <f>Weekly_Inspections!$AV802</f>
        <v/>
      </c>
      <c r="M802">
        <f>IF($B802="","",IF($N802&lt;&gt;"","Closed",IF(OR($G802&lt;&gt;"",$I802&lt;&gt;"",$J802&lt;&gt;""),"Open","")))</f>
        <v/>
      </c>
      <c r="N802" s="47" t="n"/>
      <c r="O802">
        <f>IF($B802="","",IF($M802="Closed",IF($N802="","",$N802-$B802),TODAY()-$B802))</f>
        <v/>
      </c>
      <c r="P802">
        <f>IF(OR($B802="",$L802="",$M802="Closed"),"",IF(TODAY()&gt;$L802,"YES","NO"))</f>
        <v/>
      </c>
      <c r="Q802">
        <f>Weekly_Inspections!$AW802</f>
        <v/>
      </c>
    </row>
    <row r="803" ht="15" customHeight="1" s="45">
      <c r="A803">
        <f>IF(Weekly_Inspections!$B803="","",Weekly_Inspections!$A803&amp;"-A1")</f>
        <v/>
      </c>
      <c r="B803" s="47">
        <f>Weekly_Inspections!$B803</f>
        <v/>
      </c>
      <c r="C803">
        <f>Weekly_Inspections!$E803</f>
        <v/>
      </c>
      <c r="D803">
        <f>Weekly_Inspections!$F803</f>
        <v/>
      </c>
      <c r="E803">
        <f>Weekly_Inspections!$H803</f>
        <v/>
      </c>
      <c r="F803">
        <f>IF(Weekly_Inspections!$AX803&lt;&gt;"",Weekly_Inspections!$AX803,IF(Weekly_Inspections!$AY803&lt;&gt;"",Weekly_Inspections!$AY803,IF(Weekly_Inspections!$AZ803&lt;&gt;"",Weekly_Inspections!$AZ803,IF(Weekly_Inspections!$BA803&lt;&gt;"",Weekly_Inspections!$BA803,IF(Weekly_Inspections!$BB803&lt;&gt;"",Weekly_Inspections!$BB803,Weekly_Inspections!$R803)))))</f>
        <v/>
      </c>
      <c r="G803">
        <f>IF(OR(Weekly_Inspections!$AQ803&lt;&gt;"",Weekly_Inspections!$AR803&lt;&gt;"",Weekly_Inspections!$AS803&lt;&gt;""),Weekly_Inspections!$AQ803,"")</f>
        <v/>
      </c>
      <c r="H803">
        <f>Weekly_Inspections!$AP803</f>
        <v/>
      </c>
      <c r="I803">
        <f>Weekly_Inspections!$AR803</f>
        <v/>
      </c>
      <c r="J803">
        <f>Weekly_Inspections!$AS803</f>
        <v/>
      </c>
      <c r="K803">
        <f>Weekly_Inspections!$AU803</f>
        <v/>
      </c>
      <c r="L803" s="47">
        <f>Weekly_Inspections!$AV803</f>
        <v/>
      </c>
      <c r="M803">
        <f>IF($B803="","",IF($N803&lt;&gt;"","Closed",IF(OR($G803&lt;&gt;"",$I803&lt;&gt;"",$J803&lt;&gt;""),"Open","")))</f>
        <v/>
      </c>
      <c r="N803" s="47" t="n"/>
      <c r="O803">
        <f>IF($B803="","",IF($M803="Closed",IF($N803="","",$N803-$B803),TODAY()-$B803))</f>
        <v/>
      </c>
      <c r="P803">
        <f>IF(OR($B803="",$L803="",$M803="Closed"),"",IF(TODAY()&gt;$L803,"YES","NO"))</f>
        <v/>
      </c>
      <c r="Q803">
        <f>Weekly_Inspections!$AW803</f>
        <v/>
      </c>
    </row>
    <row r="804" ht="15" customHeight="1" s="45">
      <c r="A804">
        <f>IF(Weekly_Inspections!$B804="","",Weekly_Inspections!$A804&amp;"-A1")</f>
        <v/>
      </c>
      <c r="B804" s="47">
        <f>Weekly_Inspections!$B804</f>
        <v/>
      </c>
      <c r="C804">
        <f>Weekly_Inspections!$E804</f>
        <v/>
      </c>
      <c r="D804">
        <f>Weekly_Inspections!$F804</f>
        <v/>
      </c>
      <c r="E804">
        <f>Weekly_Inspections!$H804</f>
        <v/>
      </c>
      <c r="F804">
        <f>IF(Weekly_Inspections!$AX804&lt;&gt;"",Weekly_Inspections!$AX804,IF(Weekly_Inspections!$AY804&lt;&gt;"",Weekly_Inspections!$AY804,IF(Weekly_Inspections!$AZ804&lt;&gt;"",Weekly_Inspections!$AZ804,IF(Weekly_Inspections!$BA804&lt;&gt;"",Weekly_Inspections!$BA804,IF(Weekly_Inspections!$BB804&lt;&gt;"",Weekly_Inspections!$BB804,Weekly_Inspections!$R804)))))</f>
        <v/>
      </c>
      <c r="G804">
        <f>IF(OR(Weekly_Inspections!$AQ804&lt;&gt;"",Weekly_Inspections!$AR804&lt;&gt;"",Weekly_Inspections!$AS804&lt;&gt;""),Weekly_Inspections!$AQ804,"")</f>
        <v/>
      </c>
      <c r="H804">
        <f>Weekly_Inspections!$AP804</f>
        <v/>
      </c>
      <c r="I804">
        <f>Weekly_Inspections!$AR804</f>
        <v/>
      </c>
      <c r="J804">
        <f>Weekly_Inspections!$AS804</f>
        <v/>
      </c>
      <c r="K804">
        <f>Weekly_Inspections!$AU804</f>
        <v/>
      </c>
      <c r="L804" s="47">
        <f>Weekly_Inspections!$AV804</f>
        <v/>
      </c>
      <c r="M804">
        <f>IF($B804="","",IF($N804&lt;&gt;"","Closed",IF(OR($G804&lt;&gt;"",$I804&lt;&gt;"",$J804&lt;&gt;""),"Open","")))</f>
        <v/>
      </c>
      <c r="N804" s="47" t="n"/>
      <c r="O804">
        <f>IF($B804="","",IF($M804="Closed",IF($N804="","",$N804-$B804),TODAY()-$B804))</f>
        <v/>
      </c>
      <c r="P804">
        <f>IF(OR($B804="",$L804="",$M804="Closed"),"",IF(TODAY()&gt;$L804,"YES","NO"))</f>
        <v/>
      </c>
      <c r="Q804">
        <f>Weekly_Inspections!$AW804</f>
        <v/>
      </c>
    </row>
    <row r="805" ht="15" customHeight="1" s="45">
      <c r="A805">
        <f>IF(Weekly_Inspections!$B805="","",Weekly_Inspections!$A805&amp;"-A1")</f>
        <v/>
      </c>
      <c r="B805" s="47">
        <f>Weekly_Inspections!$B805</f>
        <v/>
      </c>
      <c r="C805">
        <f>Weekly_Inspections!$E805</f>
        <v/>
      </c>
      <c r="D805">
        <f>Weekly_Inspections!$F805</f>
        <v/>
      </c>
      <c r="E805">
        <f>Weekly_Inspections!$H805</f>
        <v/>
      </c>
      <c r="F805">
        <f>IF(Weekly_Inspections!$AX805&lt;&gt;"",Weekly_Inspections!$AX805,IF(Weekly_Inspections!$AY805&lt;&gt;"",Weekly_Inspections!$AY805,IF(Weekly_Inspections!$AZ805&lt;&gt;"",Weekly_Inspections!$AZ805,IF(Weekly_Inspections!$BA805&lt;&gt;"",Weekly_Inspections!$BA805,IF(Weekly_Inspections!$BB805&lt;&gt;"",Weekly_Inspections!$BB805,Weekly_Inspections!$R805)))))</f>
        <v/>
      </c>
      <c r="G805">
        <f>IF(OR(Weekly_Inspections!$AQ805&lt;&gt;"",Weekly_Inspections!$AR805&lt;&gt;"",Weekly_Inspections!$AS805&lt;&gt;""),Weekly_Inspections!$AQ805,"")</f>
        <v/>
      </c>
      <c r="H805">
        <f>Weekly_Inspections!$AP805</f>
        <v/>
      </c>
      <c r="I805">
        <f>Weekly_Inspections!$AR805</f>
        <v/>
      </c>
      <c r="J805">
        <f>Weekly_Inspections!$AS805</f>
        <v/>
      </c>
      <c r="K805">
        <f>Weekly_Inspections!$AU805</f>
        <v/>
      </c>
      <c r="L805" s="47">
        <f>Weekly_Inspections!$AV805</f>
        <v/>
      </c>
      <c r="M805">
        <f>IF($B805="","",IF($N805&lt;&gt;"","Closed",IF(OR($G805&lt;&gt;"",$I805&lt;&gt;"",$J805&lt;&gt;""),"Open","")))</f>
        <v/>
      </c>
      <c r="N805" s="47" t="n"/>
      <c r="O805">
        <f>IF($B805="","",IF($M805="Closed",IF($N805="","",$N805-$B805),TODAY()-$B805))</f>
        <v/>
      </c>
      <c r="P805">
        <f>IF(OR($B805="",$L805="",$M805="Closed"),"",IF(TODAY()&gt;$L805,"YES","NO"))</f>
        <v/>
      </c>
      <c r="Q805">
        <f>Weekly_Inspections!$AW805</f>
        <v/>
      </c>
    </row>
    <row r="806" ht="15" customHeight="1" s="45">
      <c r="A806">
        <f>IF(Weekly_Inspections!$B806="","",Weekly_Inspections!$A806&amp;"-A1")</f>
        <v/>
      </c>
      <c r="B806" s="47">
        <f>Weekly_Inspections!$B806</f>
        <v/>
      </c>
      <c r="C806">
        <f>Weekly_Inspections!$E806</f>
        <v/>
      </c>
      <c r="D806">
        <f>Weekly_Inspections!$F806</f>
        <v/>
      </c>
      <c r="E806">
        <f>Weekly_Inspections!$H806</f>
        <v/>
      </c>
      <c r="F806">
        <f>IF(Weekly_Inspections!$AX806&lt;&gt;"",Weekly_Inspections!$AX806,IF(Weekly_Inspections!$AY806&lt;&gt;"",Weekly_Inspections!$AY806,IF(Weekly_Inspections!$AZ806&lt;&gt;"",Weekly_Inspections!$AZ806,IF(Weekly_Inspections!$BA806&lt;&gt;"",Weekly_Inspections!$BA806,IF(Weekly_Inspections!$BB806&lt;&gt;"",Weekly_Inspections!$BB806,Weekly_Inspections!$R806)))))</f>
        <v/>
      </c>
      <c r="G806">
        <f>IF(OR(Weekly_Inspections!$AQ806&lt;&gt;"",Weekly_Inspections!$AR806&lt;&gt;"",Weekly_Inspections!$AS806&lt;&gt;""),Weekly_Inspections!$AQ806,"")</f>
        <v/>
      </c>
      <c r="H806">
        <f>Weekly_Inspections!$AP806</f>
        <v/>
      </c>
      <c r="I806">
        <f>Weekly_Inspections!$AR806</f>
        <v/>
      </c>
      <c r="J806">
        <f>Weekly_Inspections!$AS806</f>
        <v/>
      </c>
      <c r="K806">
        <f>Weekly_Inspections!$AU806</f>
        <v/>
      </c>
      <c r="L806" s="47">
        <f>Weekly_Inspections!$AV806</f>
        <v/>
      </c>
      <c r="M806">
        <f>IF($B806="","",IF($N806&lt;&gt;"","Closed",IF(OR($G806&lt;&gt;"",$I806&lt;&gt;"",$J806&lt;&gt;""),"Open","")))</f>
        <v/>
      </c>
      <c r="N806" s="47" t="n"/>
      <c r="O806">
        <f>IF($B806="","",IF($M806="Closed",IF($N806="","",$N806-$B806),TODAY()-$B806))</f>
        <v/>
      </c>
      <c r="P806">
        <f>IF(OR($B806="",$L806="",$M806="Closed"),"",IF(TODAY()&gt;$L806,"YES","NO"))</f>
        <v/>
      </c>
      <c r="Q806">
        <f>Weekly_Inspections!$AW806</f>
        <v/>
      </c>
    </row>
    <row r="807" ht="15" customHeight="1" s="45">
      <c r="A807">
        <f>IF(Weekly_Inspections!$B807="","",Weekly_Inspections!$A807&amp;"-A1")</f>
        <v/>
      </c>
      <c r="B807" s="47">
        <f>Weekly_Inspections!$B807</f>
        <v/>
      </c>
      <c r="C807">
        <f>Weekly_Inspections!$E807</f>
        <v/>
      </c>
      <c r="D807">
        <f>Weekly_Inspections!$F807</f>
        <v/>
      </c>
      <c r="E807">
        <f>Weekly_Inspections!$H807</f>
        <v/>
      </c>
      <c r="F807">
        <f>IF(Weekly_Inspections!$AX807&lt;&gt;"",Weekly_Inspections!$AX807,IF(Weekly_Inspections!$AY807&lt;&gt;"",Weekly_Inspections!$AY807,IF(Weekly_Inspections!$AZ807&lt;&gt;"",Weekly_Inspections!$AZ807,IF(Weekly_Inspections!$BA807&lt;&gt;"",Weekly_Inspections!$BA807,IF(Weekly_Inspections!$BB807&lt;&gt;"",Weekly_Inspections!$BB807,Weekly_Inspections!$R807)))))</f>
        <v/>
      </c>
      <c r="G807">
        <f>IF(OR(Weekly_Inspections!$AQ807&lt;&gt;"",Weekly_Inspections!$AR807&lt;&gt;"",Weekly_Inspections!$AS807&lt;&gt;""),Weekly_Inspections!$AQ807,"")</f>
        <v/>
      </c>
      <c r="H807">
        <f>Weekly_Inspections!$AP807</f>
        <v/>
      </c>
      <c r="I807">
        <f>Weekly_Inspections!$AR807</f>
        <v/>
      </c>
      <c r="J807">
        <f>Weekly_Inspections!$AS807</f>
        <v/>
      </c>
      <c r="K807">
        <f>Weekly_Inspections!$AU807</f>
        <v/>
      </c>
      <c r="L807" s="47">
        <f>Weekly_Inspections!$AV807</f>
        <v/>
      </c>
      <c r="M807">
        <f>IF($B807="","",IF($N807&lt;&gt;"","Closed",IF(OR($G807&lt;&gt;"",$I807&lt;&gt;"",$J807&lt;&gt;""),"Open","")))</f>
        <v/>
      </c>
      <c r="N807" s="47" t="n"/>
      <c r="O807">
        <f>IF($B807="","",IF($M807="Closed",IF($N807="","",$N807-$B807),TODAY()-$B807))</f>
        <v/>
      </c>
      <c r="P807">
        <f>IF(OR($B807="",$L807="",$M807="Closed"),"",IF(TODAY()&gt;$L807,"YES","NO"))</f>
        <v/>
      </c>
      <c r="Q807">
        <f>Weekly_Inspections!$AW807</f>
        <v/>
      </c>
    </row>
    <row r="808" ht="15" customHeight="1" s="45">
      <c r="A808">
        <f>IF(Weekly_Inspections!$B808="","",Weekly_Inspections!$A808&amp;"-A1")</f>
        <v/>
      </c>
      <c r="B808" s="47">
        <f>Weekly_Inspections!$B808</f>
        <v/>
      </c>
      <c r="C808">
        <f>Weekly_Inspections!$E808</f>
        <v/>
      </c>
      <c r="D808">
        <f>Weekly_Inspections!$F808</f>
        <v/>
      </c>
      <c r="E808">
        <f>Weekly_Inspections!$H808</f>
        <v/>
      </c>
      <c r="F808">
        <f>IF(Weekly_Inspections!$AX808&lt;&gt;"",Weekly_Inspections!$AX808,IF(Weekly_Inspections!$AY808&lt;&gt;"",Weekly_Inspections!$AY808,IF(Weekly_Inspections!$AZ808&lt;&gt;"",Weekly_Inspections!$AZ808,IF(Weekly_Inspections!$BA808&lt;&gt;"",Weekly_Inspections!$BA808,IF(Weekly_Inspections!$BB808&lt;&gt;"",Weekly_Inspections!$BB808,Weekly_Inspections!$R808)))))</f>
        <v/>
      </c>
      <c r="G808">
        <f>IF(OR(Weekly_Inspections!$AQ808&lt;&gt;"",Weekly_Inspections!$AR808&lt;&gt;"",Weekly_Inspections!$AS808&lt;&gt;""),Weekly_Inspections!$AQ808,"")</f>
        <v/>
      </c>
      <c r="H808">
        <f>Weekly_Inspections!$AP808</f>
        <v/>
      </c>
      <c r="I808">
        <f>Weekly_Inspections!$AR808</f>
        <v/>
      </c>
      <c r="J808">
        <f>Weekly_Inspections!$AS808</f>
        <v/>
      </c>
      <c r="K808">
        <f>Weekly_Inspections!$AU808</f>
        <v/>
      </c>
      <c r="L808" s="47">
        <f>Weekly_Inspections!$AV808</f>
        <v/>
      </c>
      <c r="M808">
        <f>IF($B808="","",IF($N808&lt;&gt;"","Closed",IF(OR($G808&lt;&gt;"",$I808&lt;&gt;"",$J808&lt;&gt;""),"Open","")))</f>
        <v/>
      </c>
      <c r="N808" s="47" t="n"/>
      <c r="O808">
        <f>IF($B808="","",IF($M808="Closed",IF($N808="","",$N808-$B808),TODAY()-$B808))</f>
        <v/>
      </c>
      <c r="P808">
        <f>IF(OR($B808="",$L808="",$M808="Closed"),"",IF(TODAY()&gt;$L808,"YES","NO"))</f>
        <v/>
      </c>
      <c r="Q808">
        <f>Weekly_Inspections!$AW808</f>
        <v/>
      </c>
    </row>
    <row r="809" ht="15" customHeight="1" s="45">
      <c r="A809">
        <f>IF(Weekly_Inspections!$B809="","",Weekly_Inspections!$A809&amp;"-A1")</f>
        <v/>
      </c>
      <c r="B809" s="47">
        <f>Weekly_Inspections!$B809</f>
        <v/>
      </c>
      <c r="C809">
        <f>Weekly_Inspections!$E809</f>
        <v/>
      </c>
      <c r="D809">
        <f>Weekly_Inspections!$F809</f>
        <v/>
      </c>
      <c r="E809">
        <f>Weekly_Inspections!$H809</f>
        <v/>
      </c>
      <c r="F809">
        <f>IF(Weekly_Inspections!$AX809&lt;&gt;"",Weekly_Inspections!$AX809,IF(Weekly_Inspections!$AY809&lt;&gt;"",Weekly_Inspections!$AY809,IF(Weekly_Inspections!$AZ809&lt;&gt;"",Weekly_Inspections!$AZ809,IF(Weekly_Inspections!$BA809&lt;&gt;"",Weekly_Inspections!$BA809,IF(Weekly_Inspections!$BB809&lt;&gt;"",Weekly_Inspections!$BB809,Weekly_Inspections!$R809)))))</f>
        <v/>
      </c>
      <c r="G809">
        <f>IF(OR(Weekly_Inspections!$AQ809&lt;&gt;"",Weekly_Inspections!$AR809&lt;&gt;"",Weekly_Inspections!$AS809&lt;&gt;""),Weekly_Inspections!$AQ809,"")</f>
        <v/>
      </c>
      <c r="H809">
        <f>Weekly_Inspections!$AP809</f>
        <v/>
      </c>
      <c r="I809">
        <f>Weekly_Inspections!$AR809</f>
        <v/>
      </c>
      <c r="J809">
        <f>Weekly_Inspections!$AS809</f>
        <v/>
      </c>
      <c r="K809">
        <f>Weekly_Inspections!$AU809</f>
        <v/>
      </c>
      <c r="L809" s="47">
        <f>Weekly_Inspections!$AV809</f>
        <v/>
      </c>
      <c r="M809">
        <f>IF($B809="","",IF($N809&lt;&gt;"","Closed",IF(OR($G809&lt;&gt;"",$I809&lt;&gt;"",$J809&lt;&gt;""),"Open","")))</f>
        <v/>
      </c>
      <c r="N809" s="47" t="n"/>
      <c r="O809">
        <f>IF($B809="","",IF($M809="Closed",IF($N809="","",$N809-$B809),TODAY()-$B809))</f>
        <v/>
      </c>
      <c r="P809">
        <f>IF(OR($B809="",$L809="",$M809="Closed"),"",IF(TODAY()&gt;$L809,"YES","NO"))</f>
        <v/>
      </c>
      <c r="Q809">
        <f>Weekly_Inspections!$AW809</f>
        <v/>
      </c>
    </row>
    <row r="810" ht="15" customHeight="1" s="45">
      <c r="A810">
        <f>IF(Weekly_Inspections!$B810="","",Weekly_Inspections!$A810&amp;"-A1")</f>
        <v/>
      </c>
      <c r="B810" s="47">
        <f>Weekly_Inspections!$B810</f>
        <v/>
      </c>
      <c r="C810">
        <f>Weekly_Inspections!$E810</f>
        <v/>
      </c>
      <c r="D810">
        <f>Weekly_Inspections!$F810</f>
        <v/>
      </c>
      <c r="E810">
        <f>Weekly_Inspections!$H810</f>
        <v/>
      </c>
      <c r="F810">
        <f>IF(Weekly_Inspections!$AX810&lt;&gt;"",Weekly_Inspections!$AX810,IF(Weekly_Inspections!$AY810&lt;&gt;"",Weekly_Inspections!$AY810,IF(Weekly_Inspections!$AZ810&lt;&gt;"",Weekly_Inspections!$AZ810,IF(Weekly_Inspections!$BA810&lt;&gt;"",Weekly_Inspections!$BA810,IF(Weekly_Inspections!$BB810&lt;&gt;"",Weekly_Inspections!$BB810,Weekly_Inspections!$R810)))))</f>
        <v/>
      </c>
      <c r="G810">
        <f>IF(OR(Weekly_Inspections!$AQ810&lt;&gt;"",Weekly_Inspections!$AR810&lt;&gt;"",Weekly_Inspections!$AS810&lt;&gt;""),Weekly_Inspections!$AQ810,"")</f>
        <v/>
      </c>
      <c r="H810">
        <f>Weekly_Inspections!$AP810</f>
        <v/>
      </c>
      <c r="I810">
        <f>Weekly_Inspections!$AR810</f>
        <v/>
      </c>
      <c r="J810">
        <f>Weekly_Inspections!$AS810</f>
        <v/>
      </c>
      <c r="K810">
        <f>Weekly_Inspections!$AU810</f>
        <v/>
      </c>
      <c r="L810" s="47">
        <f>Weekly_Inspections!$AV810</f>
        <v/>
      </c>
      <c r="M810">
        <f>IF($B810="","",IF($N810&lt;&gt;"","Closed",IF(OR($G810&lt;&gt;"",$I810&lt;&gt;"",$J810&lt;&gt;""),"Open","")))</f>
        <v/>
      </c>
      <c r="N810" s="47" t="n"/>
      <c r="O810">
        <f>IF($B810="","",IF($M810="Closed",IF($N810="","",$N810-$B810),TODAY()-$B810))</f>
        <v/>
      </c>
      <c r="P810">
        <f>IF(OR($B810="",$L810="",$M810="Closed"),"",IF(TODAY()&gt;$L810,"YES","NO"))</f>
        <v/>
      </c>
      <c r="Q810">
        <f>Weekly_Inspections!$AW810</f>
        <v/>
      </c>
    </row>
    <row r="811" ht="15" customHeight="1" s="45">
      <c r="A811">
        <f>IF(Weekly_Inspections!$B811="","",Weekly_Inspections!$A811&amp;"-A1")</f>
        <v/>
      </c>
      <c r="B811" s="47">
        <f>Weekly_Inspections!$B811</f>
        <v/>
      </c>
      <c r="C811">
        <f>Weekly_Inspections!$E811</f>
        <v/>
      </c>
      <c r="D811">
        <f>Weekly_Inspections!$F811</f>
        <v/>
      </c>
      <c r="E811">
        <f>Weekly_Inspections!$H811</f>
        <v/>
      </c>
      <c r="F811">
        <f>IF(Weekly_Inspections!$AX811&lt;&gt;"",Weekly_Inspections!$AX811,IF(Weekly_Inspections!$AY811&lt;&gt;"",Weekly_Inspections!$AY811,IF(Weekly_Inspections!$AZ811&lt;&gt;"",Weekly_Inspections!$AZ811,IF(Weekly_Inspections!$BA811&lt;&gt;"",Weekly_Inspections!$BA811,IF(Weekly_Inspections!$BB811&lt;&gt;"",Weekly_Inspections!$BB811,Weekly_Inspections!$R811)))))</f>
        <v/>
      </c>
      <c r="G811">
        <f>IF(OR(Weekly_Inspections!$AQ811&lt;&gt;"",Weekly_Inspections!$AR811&lt;&gt;"",Weekly_Inspections!$AS811&lt;&gt;""),Weekly_Inspections!$AQ811,"")</f>
        <v/>
      </c>
      <c r="H811">
        <f>Weekly_Inspections!$AP811</f>
        <v/>
      </c>
      <c r="I811">
        <f>Weekly_Inspections!$AR811</f>
        <v/>
      </c>
      <c r="J811">
        <f>Weekly_Inspections!$AS811</f>
        <v/>
      </c>
      <c r="K811">
        <f>Weekly_Inspections!$AU811</f>
        <v/>
      </c>
      <c r="L811" s="47">
        <f>Weekly_Inspections!$AV811</f>
        <v/>
      </c>
      <c r="M811">
        <f>IF($B811="","",IF($N811&lt;&gt;"","Closed",IF(OR($G811&lt;&gt;"",$I811&lt;&gt;"",$J811&lt;&gt;""),"Open","")))</f>
        <v/>
      </c>
      <c r="N811" s="47" t="n"/>
      <c r="O811">
        <f>IF($B811="","",IF($M811="Closed",IF($N811="","",$N811-$B811),TODAY()-$B811))</f>
        <v/>
      </c>
      <c r="P811">
        <f>IF(OR($B811="",$L811="",$M811="Closed"),"",IF(TODAY()&gt;$L811,"YES","NO"))</f>
        <v/>
      </c>
      <c r="Q811">
        <f>Weekly_Inspections!$AW811</f>
        <v/>
      </c>
    </row>
    <row r="812" ht="15" customHeight="1" s="45">
      <c r="A812">
        <f>IF(Weekly_Inspections!$B812="","",Weekly_Inspections!$A812&amp;"-A1")</f>
        <v/>
      </c>
      <c r="B812" s="47">
        <f>Weekly_Inspections!$B812</f>
        <v/>
      </c>
      <c r="C812">
        <f>Weekly_Inspections!$E812</f>
        <v/>
      </c>
      <c r="D812">
        <f>Weekly_Inspections!$F812</f>
        <v/>
      </c>
      <c r="E812">
        <f>Weekly_Inspections!$H812</f>
        <v/>
      </c>
      <c r="F812">
        <f>IF(Weekly_Inspections!$AX812&lt;&gt;"",Weekly_Inspections!$AX812,IF(Weekly_Inspections!$AY812&lt;&gt;"",Weekly_Inspections!$AY812,IF(Weekly_Inspections!$AZ812&lt;&gt;"",Weekly_Inspections!$AZ812,IF(Weekly_Inspections!$BA812&lt;&gt;"",Weekly_Inspections!$BA812,IF(Weekly_Inspections!$BB812&lt;&gt;"",Weekly_Inspections!$BB812,Weekly_Inspections!$R812)))))</f>
        <v/>
      </c>
      <c r="G812">
        <f>IF(OR(Weekly_Inspections!$AQ812&lt;&gt;"",Weekly_Inspections!$AR812&lt;&gt;"",Weekly_Inspections!$AS812&lt;&gt;""),Weekly_Inspections!$AQ812,"")</f>
        <v/>
      </c>
      <c r="H812">
        <f>Weekly_Inspections!$AP812</f>
        <v/>
      </c>
      <c r="I812">
        <f>Weekly_Inspections!$AR812</f>
        <v/>
      </c>
      <c r="J812">
        <f>Weekly_Inspections!$AS812</f>
        <v/>
      </c>
      <c r="K812">
        <f>Weekly_Inspections!$AU812</f>
        <v/>
      </c>
      <c r="L812" s="47">
        <f>Weekly_Inspections!$AV812</f>
        <v/>
      </c>
      <c r="M812">
        <f>IF($B812="","",IF($N812&lt;&gt;"","Closed",IF(OR($G812&lt;&gt;"",$I812&lt;&gt;"",$J812&lt;&gt;""),"Open","")))</f>
        <v/>
      </c>
      <c r="N812" s="47" t="n"/>
      <c r="O812">
        <f>IF($B812="","",IF($M812="Closed",IF($N812="","",$N812-$B812),TODAY()-$B812))</f>
        <v/>
      </c>
      <c r="P812">
        <f>IF(OR($B812="",$L812="",$M812="Closed"),"",IF(TODAY()&gt;$L812,"YES","NO"))</f>
        <v/>
      </c>
      <c r="Q812">
        <f>Weekly_Inspections!$AW812</f>
        <v/>
      </c>
    </row>
    <row r="813" ht="15" customHeight="1" s="45">
      <c r="A813">
        <f>IF(Weekly_Inspections!$B813="","",Weekly_Inspections!$A813&amp;"-A1")</f>
        <v/>
      </c>
      <c r="B813" s="47">
        <f>Weekly_Inspections!$B813</f>
        <v/>
      </c>
      <c r="C813">
        <f>Weekly_Inspections!$E813</f>
        <v/>
      </c>
      <c r="D813">
        <f>Weekly_Inspections!$F813</f>
        <v/>
      </c>
      <c r="E813">
        <f>Weekly_Inspections!$H813</f>
        <v/>
      </c>
      <c r="F813">
        <f>IF(Weekly_Inspections!$AX813&lt;&gt;"",Weekly_Inspections!$AX813,IF(Weekly_Inspections!$AY813&lt;&gt;"",Weekly_Inspections!$AY813,IF(Weekly_Inspections!$AZ813&lt;&gt;"",Weekly_Inspections!$AZ813,IF(Weekly_Inspections!$BA813&lt;&gt;"",Weekly_Inspections!$BA813,IF(Weekly_Inspections!$BB813&lt;&gt;"",Weekly_Inspections!$BB813,Weekly_Inspections!$R813)))))</f>
        <v/>
      </c>
      <c r="G813">
        <f>IF(OR(Weekly_Inspections!$AQ813&lt;&gt;"",Weekly_Inspections!$AR813&lt;&gt;"",Weekly_Inspections!$AS813&lt;&gt;""),Weekly_Inspections!$AQ813,"")</f>
        <v/>
      </c>
      <c r="H813">
        <f>Weekly_Inspections!$AP813</f>
        <v/>
      </c>
      <c r="I813">
        <f>Weekly_Inspections!$AR813</f>
        <v/>
      </c>
      <c r="J813">
        <f>Weekly_Inspections!$AS813</f>
        <v/>
      </c>
      <c r="K813">
        <f>Weekly_Inspections!$AU813</f>
        <v/>
      </c>
      <c r="L813" s="47">
        <f>Weekly_Inspections!$AV813</f>
        <v/>
      </c>
      <c r="M813">
        <f>IF($B813="","",IF($N813&lt;&gt;"","Closed",IF(OR($G813&lt;&gt;"",$I813&lt;&gt;"",$J813&lt;&gt;""),"Open","")))</f>
        <v/>
      </c>
      <c r="N813" s="47" t="n"/>
      <c r="O813">
        <f>IF($B813="","",IF($M813="Closed",IF($N813="","",$N813-$B813),TODAY()-$B813))</f>
        <v/>
      </c>
      <c r="P813">
        <f>IF(OR($B813="",$L813="",$M813="Closed"),"",IF(TODAY()&gt;$L813,"YES","NO"))</f>
        <v/>
      </c>
      <c r="Q813">
        <f>Weekly_Inspections!$AW813</f>
        <v/>
      </c>
    </row>
    <row r="814" ht="15" customHeight="1" s="45">
      <c r="A814">
        <f>IF(Weekly_Inspections!$B814="","",Weekly_Inspections!$A814&amp;"-A1")</f>
        <v/>
      </c>
      <c r="B814" s="47">
        <f>Weekly_Inspections!$B814</f>
        <v/>
      </c>
      <c r="C814">
        <f>Weekly_Inspections!$E814</f>
        <v/>
      </c>
      <c r="D814">
        <f>Weekly_Inspections!$F814</f>
        <v/>
      </c>
      <c r="E814">
        <f>Weekly_Inspections!$H814</f>
        <v/>
      </c>
      <c r="F814">
        <f>IF(Weekly_Inspections!$AX814&lt;&gt;"",Weekly_Inspections!$AX814,IF(Weekly_Inspections!$AY814&lt;&gt;"",Weekly_Inspections!$AY814,IF(Weekly_Inspections!$AZ814&lt;&gt;"",Weekly_Inspections!$AZ814,IF(Weekly_Inspections!$BA814&lt;&gt;"",Weekly_Inspections!$BA814,IF(Weekly_Inspections!$BB814&lt;&gt;"",Weekly_Inspections!$BB814,Weekly_Inspections!$R814)))))</f>
        <v/>
      </c>
      <c r="G814">
        <f>IF(OR(Weekly_Inspections!$AQ814&lt;&gt;"",Weekly_Inspections!$AR814&lt;&gt;"",Weekly_Inspections!$AS814&lt;&gt;""),Weekly_Inspections!$AQ814,"")</f>
        <v/>
      </c>
      <c r="H814">
        <f>Weekly_Inspections!$AP814</f>
        <v/>
      </c>
      <c r="I814">
        <f>Weekly_Inspections!$AR814</f>
        <v/>
      </c>
      <c r="J814">
        <f>Weekly_Inspections!$AS814</f>
        <v/>
      </c>
      <c r="K814">
        <f>Weekly_Inspections!$AU814</f>
        <v/>
      </c>
      <c r="L814" s="47">
        <f>Weekly_Inspections!$AV814</f>
        <v/>
      </c>
      <c r="M814">
        <f>IF($B814="","",IF($N814&lt;&gt;"","Closed",IF(OR($G814&lt;&gt;"",$I814&lt;&gt;"",$J814&lt;&gt;""),"Open","")))</f>
        <v/>
      </c>
      <c r="N814" s="47" t="n"/>
      <c r="O814">
        <f>IF($B814="","",IF($M814="Closed",IF($N814="","",$N814-$B814),TODAY()-$B814))</f>
        <v/>
      </c>
      <c r="P814">
        <f>IF(OR($B814="",$L814="",$M814="Closed"),"",IF(TODAY()&gt;$L814,"YES","NO"))</f>
        <v/>
      </c>
      <c r="Q814">
        <f>Weekly_Inspections!$AW814</f>
        <v/>
      </c>
    </row>
    <row r="815" ht="15" customHeight="1" s="45">
      <c r="A815">
        <f>IF(Weekly_Inspections!$B815="","",Weekly_Inspections!$A815&amp;"-A1")</f>
        <v/>
      </c>
      <c r="B815" s="47">
        <f>Weekly_Inspections!$B815</f>
        <v/>
      </c>
      <c r="C815">
        <f>Weekly_Inspections!$E815</f>
        <v/>
      </c>
      <c r="D815">
        <f>Weekly_Inspections!$F815</f>
        <v/>
      </c>
      <c r="E815">
        <f>Weekly_Inspections!$H815</f>
        <v/>
      </c>
      <c r="F815">
        <f>IF(Weekly_Inspections!$AX815&lt;&gt;"",Weekly_Inspections!$AX815,IF(Weekly_Inspections!$AY815&lt;&gt;"",Weekly_Inspections!$AY815,IF(Weekly_Inspections!$AZ815&lt;&gt;"",Weekly_Inspections!$AZ815,IF(Weekly_Inspections!$BA815&lt;&gt;"",Weekly_Inspections!$BA815,IF(Weekly_Inspections!$BB815&lt;&gt;"",Weekly_Inspections!$BB815,Weekly_Inspections!$R815)))))</f>
        <v/>
      </c>
      <c r="G815">
        <f>IF(OR(Weekly_Inspections!$AQ815&lt;&gt;"",Weekly_Inspections!$AR815&lt;&gt;"",Weekly_Inspections!$AS815&lt;&gt;""),Weekly_Inspections!$AQ815,"")</f>
        <v/>
      </c>
      <c r="H815">
        <f>Weekly_Inspections!$AP815</f>
        <v/>
      </c>
      <c r="I815">
        <f>Weekly_Inspections!$AR815</f>
        <v/>
      </c>
      <c r="J815">
        <f>Weekly_Inspections!$AS815</f>
        <v/>
      </c>
      <c r="K815">
        <f>Weekly_Inspections!$AU815</f>
        <v/>
      </c>
      <c r="L815" s="47">
        <f>Weekly_Inspections!$AV815</f>
        <v/>
      </c>
      <c r="M815">
        <f>IF($B815="","",IF($N815&lt;&gt;"","Closed",IF(OR($G815&lt;&gt;"",$I815&lt;&gt;"",$J815&lt;&gt;""),"Open","")))</f>
        <v/>
      </c>
      <c r="N815" s="47" t="n"/>
      <c r="O815">
        <f>IF($B815="","",IF($M815="Closed",IF($N815="","",$N815-$B815),TODAY()-$B815))</f>
        <v/>
      </c>
      <c r="P815">
        <f>IF(OR($B815="",$L815="",$M815="Closed"),"",IF(TODAY()&gt;$L815,"YES","NO"))</f>
        <v/>
      </c>
      <c r="Q815">
        <f>Weekly_Inspections!$AW815</f>
        <v/>
      </c>
    </row>
    <row r="816" ht="15" customHeight="1" s="45">
      <c r="A816">
        <f>IF(Weekly_Inspections!$B816="","",Weekly_Inspections!$A816&amp;"-A1")</f>
        <v/>
      </c>
      <c r="B816" s="47">
        <f>Weekly_Inspections!$B816</f>
        <v/>
      </c>
      <c r="C816">
        <f>Weekly_Inspections!$E816</f>
        <v/>
      </c>
      <c r="D816">
        <f>Weekly_Inspections!$F816</f>
        <v/>
      </c>
      <c r="E816">
        <f>Weekly_Inspections!$H816</f>
        <v/>
      </c>
      <c r="F816">
        <f>IF(Weekly_Inspections!$AX816&lt;&gt;"",Weekly_Inspections!$AX816,IF(Weekly_Inspections!$AY816&lt;&gt;"",Weekly_Inspections!$AY816,IF(Weekly_Inspections!$AZ816&lt;&gt;"",Weekly_Inspections!$AZ816,IF(Weekly_Inspections!$BA816&lt;&gt;"",Weekly_Inspections!$BA816,IF(Weekly_Inspections!$BB816&lt;&gt;"",Weekly_Inspections!$BB816,Weekly_Inspections!$R816)))))</f>
        <v/>
      </c>
      <c r="G816">
        <f>IF(OR(Weekly_Inspections!$AQ816&lt;&gt;"",Weekly_Inspections!$AR816&lt;&gt;"",Weekly_Inspections!$AS816&lt;&gt;""),Weekly_Inspections!$AQ816,"")</f>
        <v/>
      </c>
      <c r="H816">
        <f>Weekly_Inspections!$AP816</f>
        <v/>
      </c>
      <c r="I816">
        <f>Weekly_Inspections!$AR816</f>
        <v/>
      </c>
      <c r="J816">
        <f>Weekly_Inspections!$AS816</f>
        <v/>
      </c>
      <c r="K816">
        <f>Weekly_Inspections!$AU816</f>
        <v/>
      </c>
      <c r="L816" s="47">
        <f>Weekly_Inspections!$AV816</f>
        <v/>
      </c>
      <c r="M816">
        <f>IF($B816="","",IF($N816&lt;&gt;"","Closed",IF(OR($G816&lt;&gt;"",$I816&lt;&gt;"",$J816&lt;&gt;""),"Open","")))</f>
        <v/>
      </c>
      <c r="N816" s="47" t="n"/>
      <c r="O816">
        <f>IF($B816="","",IF($M816="Closed",IF($N816="","",$N816-$B816),TODAY()-$B816))</f>
        <v/>
      </c>
      <c r="P816">
        <f>IF(OR($B816="",$L816="",$M816="Closed"),"",IF(TODAY()&gt;$L816,"YES","NO"))</f>
        <v/>
      </c>
      <c r="Q816">
        <f>Weekly_Inspections!$AW816</f>
        <v/>
      </c>
    </row>
    <row r="817" ht="15" customHeight="1" s="45">
      <c r="A817">
        <f>IF(Weekly_Inspections!$B817="","",Weekly_Inspections!$A817&amp;"-A1")</f>
        <v/>
      </c>
      <c r="B817" s="47">
        <f>Weekly_Inspections!$B817</f>
        <v/>
      </c>
      <c r="C817">
        <f>Weekly_Inspections!$E817</f>
        <v/>
      </c>
      <c r="D817">
        <f>Weekly_Inspections!$F817</f>
        <v/>
      </c>
      <c r="E817">
        <f>Weekly_Inspections!$H817</f>
        <v/>
      </c>
      <c r="F817">
        <f>IF(Weekly_Inspections!$AX817&lt;&gt;"",Weekly_Inspections!$AX817,IF(Weekly_Inspections!$AY817&lt;&gt;"",Weekly_Inspections!$AY817,IF(Weekly_Inspections!$AZ817&lt;&gt;"",Weekly_Inspections!$AZ817,IF(Weekly_Inspections!$BA817&lt;&gt;"",Weekly_Inspections!$BA817,IF(Weekly_Inspections!$BB817&lt;&gt;"",Weekly_Inspections!$BB817,Weekly_Inspections!$R817)))))</f>
        <v/>
      </c>
      <c r="G817">
        <f>IF(OR(Weekly_Inspections!$AQ817&lt;&gt;"",Weekly_Inspections!$AR817&lt;&gt;"",Weekly_Inspections!$AS817&lt;&gt;""),Weekly_Inspections!$AQ817,"")</f>
        <v/>
      </c>
      <c r="H817">
        <f>Weekly_Inspections!$AP817</f>
        <v/>
      </c>
      <c r="I817">
        <f>Weekly_Inspections!$AR817</f>
        <v/>
      </c>
      <c r="J817">
        <f>Weekly_Inspections!$AS817</f>
        <v/>
      </c>
      <c r="K817">
        <f>Weekly_Inspections!$AU817</f>
        <v/>
      </c>
      <c r="L817" s="47">
        <f>Weekly_Inspections!$AV817</f>
        <v/>
      </c>
      <c r="M817">
        <f>IF($B817="","",IF($N817&lt;&gt;"","Closed",IF(OR($G817&lt;&gt;"",$I817&lt;&gt;"",$J817&lt;&gt;""),"Open","")))</f>
        <v/>
      </c>
      <c r="N817" s="47" t="n"/>
      <c r="O817">
        <f>IF($B817="","",IF($M817="Closed",IF($N817="","",$N817-$B817),TODAY()-$B817))</f>
        <v/>
      </c>
      <c r="P817">
        <f>IF(OR($B817="",$L817="",$M817="Closed"),"",IF(TODAY()&gt;$L817,"YES","NO"))</f>
        <v/>
      </c>
      <c r="Q817">
        <f>Weekly_Inspections!$AW817</f>
        <v/>
      </c>
    </row>
    <row r="818" ht="15" customHeight="1" s="45">
      <c r="A818">
        <f>IF(Weekly_Inspections!$B818="","",Weekly_Inspections!$A818&amp;"-A1")</f>
        <v/>
      </c>
      <c r="B818" s="47">
        <f>Weekly_Inspections!$B818</f>
        <v/>
      </c>
      <c r="C818">
        <f>Weekly_Inspections!$E818</f>
        <v/>
      </c>
      <c r="D818">
        <f>Weekly_Inspections!$F818</f>
        <v/>
      </c>
      <c r="E818">
        <f>Weekly_Inspections!$H818</f>
        <v/>
      </c>
      <c r="F818">
        <f>IF(Weekly_Inspections!$AX818&lt;&gt;"",Weekly_Inspections!$AX818,IF(Weekly_Inspections!$AY818&lt;&gt;"",Weekly_Inspections!$AY818,IF(Weekly_Inspections!$AZ818&lt;&gt;"",Weekly_Inspections!$AZ818,IF(Weekly_Inspections!$BA818&lt;&gt;"",Weekly_Inspections!$BA818,IF(Weekly_Inspections!$BB818&lt;&gt;"",Weekly_Inspections!$BB818,Weekly_Inspections!$R818)))))</f>
        <v/>
      </c>
      <c r="G818">
        <f>IF(OR(Weekly_Inspections!$AQ818&lt;&gt;"",Weekly_Inspections!$AR818&lt;&gt;"",Weekly_Inspections!$AS818&lt;&gt;""),Weekly_Inspections!$AQ818,"")</f>
        <v/>
      </c>
      <c r="H818">
        <f>Weekly_Inspections!$AP818</f>
        <v/>
      </c>
      <c r="I818">
        <f>Weekly_Inspections!$AR818</f>
        <v/>
      </c>
      <c r="J818">
        <f>Weekly_Inspections!$AS818</f>
        <v/>
      </c>
      <c r="K818">
        <f>Weekly_Inspections!$AU818</f>
        <v/>
      </c>
      <c r="L818" s="47">
        <f>Weekly_Inspections!$AV818</f>
        <v/>
      </c>
      <c r="M818">
        <f>IF($B818="","",IF($N818&lt;&gt;"","Closed",IF(OR($G818&lt;&gt;"",$I818&lt;&gt;"",$J818&lt;&gt;""),"Open","")))</f>
        <v/>
      </c>
      <c r="N818" s="47" t="n"/>
      <c r="O818">
        <f>IF($B818="","",IF($M818="Closed",IF($N818="","",$N818-$B818),TODAY()-$B818))</f>
        <v/>
      </c>
      <c r="P818">
        <f>IF(OR($B818="",$L818="",$M818="Closed"),"",IF(TODAY()&gt;$L818,"YES","NO"))</f>
        <v/>
      </c>
      <c r="Q818">
        <f>Weekly_Inspections!$AW818</f>
        <v/>
      </c>
    </row>
    <row r="819" ht="15" customHeight="1" s="45">
      <c r="A819">
        <f>IF(Weekly_Inspections!$B819="","",Weekly_Inspections!$A819&amp;"-A1")</f>
        <v/>
      </c>
      <c r="B819" s="47">
        <f>Weekly_Inspections!$B819</f>
        <v/>
      </c>
      <c r="C819">
        <f>Weekly_Inspections!$E819</f>
        <v/>
      </c>
      <c r="D819">
        <f>Weekly_Inspections!$F819</f>
        <v/>
      </c>
      <c r="E819">
        <f>Weekly_Inspections!$H819</f>
        <v/>
      </c>
      <c r="F819">
        <f>IF(Weekly_Inspections!$AX819&lt;&gt;"",Weekly_Inspections!$AX819,IF(Weekly_Inspections!$AY819&lt;&gt;"",Weekly_Inspections!$AY819,IF(Weekly_Inspections!$AZ819&lt;&gt;"",Weekly_Inspections!$AZ819,IF(Weekly_Inspections!$BA819&lt;&gt;"",Weekly_Inspections!$BA819,IF(Weekly_Inspections!$BB819&lt;&gt;"",Weekly_Inspections!$BB819,Weekly_Inspections!$R819)))))</f>
        <v/>
      </c>
      <c r="G819">
        <f>IF(OR(Weekly_Inspections!$AQ819&lt;&gt;"",Weekly_Inspections!$AR819&lt;&gt;"",Weekly_Inspections!$AS819&lt;&gt;""),Weekly_Inspections!$AQ819,"")</f>
        <v/>
      </c>
      <c r="H819">
        <f>Weekly_Inspections!$AP819</f>
        <v/>
      </c>
      <c r="I819">
        <f>Weekly_Inspections!$AR819</f>
        <v/>
      </c>
      <c r="J819">
        <f>Weekly_Inspections!$AS819</f>
        <v/>
      </c>
      <c r="K819">
        <f>Weekly_Inspections!$AU819</f>
        <v/>
      </c>
      <c r="L819" s="47">
        <f>Weekly_Inspections!$AV819</f>
        <v/>
      </c>
      <c r="M819">
        <f>IF($B819="","",IF($N819&lt;&gt;"","Closed",IF(OR($G819&lt;&gt;"",$I819&lt;&gt;"",$J819&lt;&gt;""),"Open","")))</f>
        <v/>
      </c>
      <c r="N819" s="47" t="n"/>
      <c r="O819">
        <f>IF($B819="","",IF($M819="Closed",IF($N819="","",$N819-$B819),TODAY()-$B819))</f>
        <v/>
      </c>
      <c r="P819">
        <f>IF(OR($B819="",$L819="",$M819="Closed"),"",IF(TODAY()&gt;$L819,"YES","NO"))</f>
        <v/>
      </c>
      <c r="Q819">
        <f>Weekly_Inspections!$AW819</f>
        <v/>
      </c>
    </row>
    <row r="820" ht="15" customHeight="1" s="45">
      <c r="A820">
        <f>IF(Weekly_Inspections!$B820="","",Weekly_Inspections!$A820&amp;"-A1")</f>
        <v/>
      </c>
      <c r="B820" s="47">
        <f>Weekly_Inspections!$B820</f>
        <v/>
      </c>
      <c r="C820">
        <f>Weekly_Inspections!$E820</f>
        <v/>
      </c>
      <c r="D820">
        <f>Weekly_Inspections!$F820</f>
        <v/>
      </c>
      <c r="E820">
        <f>Weekly_Inspections!$H820</f>
        <v/>
      </c>
      <c r="F820">
        <f>IF(Weekly_Inspections!$AX820&lt;&gt;"",Weekly_Inspections!$AX820,IF(Weekly_Inspections!$AY820&lt;&gt;"",Weekly_Inspections!$AY820,IF(Weekly_Inspections!$AZ820&lt;&gt;"",Weekly_Inspections!$AZ820,IF(Weekly_Inspections!$BA820&lt;&gt;"",Weekly_Inspections!$BA820,IF(Weekly_Inspections!$BB820&lt;&gt;"",Weekly_Inspections!$BB820,Weekly_Inspections!$R820)))))</f>
        <v/>
      </c>
      <c r="G820">
        <f>IF(OR(Weekly_Inspections!$AQ820&lt;&gt;"",Weekly_Inspections!$AR820&lt;&gt;"",Weekly_Inspections!$AS820&lt;&gt;""),Weekly_Inspections!$AQ820,"")</f>
        <v/>
      </c>
      <c r="H820">
        <f>Weekly_Inspections!$AP820</f>
        <v/>
      </c>
      <c r="I820">
        <f>Weekly_Inspections!$AR820</f>
        <v/>
      </c>
      <c r="J820">
        <f>Weekly_Inspections!$AS820</f>
        <v/>
      </c>
      <c r="K820">
        <f>Weekly_Inspections!$AU820</f>
        <v/>
      </c>
      <c r="L820" s="47">
        <f>Weekly_Inspections!$AV820</f>
        <v/>
      </c>
      <c r="M820">
        <f>IF($B820="","",IF($N820&lt;&gt;"","Closed",IF(OR($G820&lt;&gt;"",$I820&lt;&gt;"",$J820&lt;&gt;""),"Open","")))</f>
        <v/>
      </c>
      <c r="N820" s="47" t="n"/>
      <c r="O820">
        <f>IF($B820="","",IF($M820="Closed",IF($N820="","",$N820-$B820),TODAY()-$B820))</f>
        <v/>
      </c>
      <c r="P820">
        <f>IF(OR($B820="",$L820="",$M820="Closed"),"",IF(TODAY()&gt;$L820,"YES","NO"))</f>
        <v/>
      </c>
      <c r="Q820">
        <f>Weekly_Inspections!$AW820</f>
        <v/>
      </c>
    </row>
    <row r="821" ht="15" customHeight="1" s="45">
      <c r="A821">
        <f>IF(Weekly_Inspections!$B821="","",Weekly_Inspections!$A821&amp;"-A1")</f>
        <v/>
      </c>
      <c r="B821" s="47">
        <f>Weekly_Inspections!$B821</f>
        <v/>
      </c>
      <c r="C821">
        <f>Weekly_Inspections!$E821</f>
        <v/>
      </c>
      <c r="D821">
        <f>Weekly_Inspections!$F821</f>
        <v/>
      </c>
      <c r="E821">
        <f>Weekly_Inspections!$H821</f>
        <v/>
      </c>
      <c r="F821">
        <f>IF(Weekly_Inspections!$AX821&lt;&gt;"",Weekly_Inspections!$AX821,IF(Weekly_Inspections!$AY821&lt;&gt;"",Weekly_Inspections!$AY821,IF(Weekly_Inspections!$AZ821&lt;&gt;"",Weekly_Inspections!$AZ821,IF(Weekly_Inspections!$BA821&lt;&gt;"",Weekly_Inspections!$BA821,IF(Weekly_Inspections!$BB821&lt;&gt;"",Weekly_Inspections!$BB821,Weekly_Inspections!$R821)))))</f>
        <v/>
      </c>
      <c r="G821">
        <f>IF(OR(Weekly_Inspections!$AQ821&lt;&gt;"",Weekly_Inspections!$AR821&lt;&gt;"",Weekly_Inspections!$AS821&lt;&gt;""),Weekly_Inspections!$AQ821,"")</f>
        <v/>
      </c>
      <c r="H821">
        <f>Weekly_Inspections!$AP821</f>
        <v/>
      </c>
      <c r="I821">
        <f>Weekly_Inspections!$AR821</f>
        <v/>
      </c>
      <c r="J821">
        <f>Weekly_Inspections!$AS821</f>
        <v/>
      </c>
      <c r="K821">
        <f>Weekly_Inspections!$AU821</f>
        <v/>
      </c>
      <c r="L821" s="47">
        <f>Weekly_Inspections!$AV821</f>
        <v/>
      </c>
      <c r="M821">
        <f>IF($B821="","",IF($N821&lt;&gt;"","Closed",IF(OR($G821&lt;&gt;"",$I821&lt;&gt;"",$J821&lt;&gt;""),"Open","")))</f>
        <v/>
      </c>
      <c r="N821" s="47" t="n"/>
      <c r="O821">
        <f>IF($B821="","",IF($M821="Closed",IF($N821="","",$N821-$B821),TODAY()-$B821))</f>
        <v/>
      </c>
      <c r="P821">
        <f>IF(OR($B821="",$L821="",$M821="Closed"),"",IF(TODAY()&gt;$L821,"YES","NO"))</f>
        <v/>
      </c>
      <c r="Q821">
        <f>Weekly_Inspections!$AW821</f>
        <v/>
      </c>
    </row>
    <row r="822" ht="15" customHeight="1" s="45">
      <c r="A822">
        <f>IF(Weekly_Inspections!$B822="","",Weekly_Inspections!$A822&amp;"-A1")</f>
        <v/>
      </c>
      <c r="B822" s="47">
        <f>Weekly_Inspections!$B822</f>
        <v/>
      </c>
      <c r="C822">
        <f>Weekly_Inspections!$E822</f>
        <v/>
      </c>
      <c r="D822">
        <f>Weekly_Inspections!$F822</f>
        <v/>
      </c>
      <c r="E822">
        <f>Weekly_Inspections!$H822</f>
        <v/>
      </c>
      <c r="F822">
        <f>IF(Weekly_Inspections!$AX822&lt;&gt;"",Weekly_Inspections!$AX822,IF(Weekly_Inspections!$AY822&lt;&gt;"",Weekly_Inspections!$AY822,IF(Weekly_Inspections!$AZ822&lt;&gt;"",Weekly_Inspections!$AZ822,IF(Weekly_Inspections!$BA822&lt;&gt;"",Weekly_Inspections!$BA822,IF(Weekly_Inspections!$BB822&lt;&gt;"",Weekly_Inspections!$BB822,Weekly_Inspections!$R822)))))</f>
        <v/>
      </c>
      <c r="G822">
        <f>IF(OR(Weekly_Inspections!$AQ822&lt;&gt;"",Weekly_Inspections!$AR822&lt;&gt;"",Weekly_Inspections!$AS822&lt;&gt;""),Weekly_Inspections!$AQ822,"")</f>
        <v/>
      </c>
      <c r="H822">
        <f>Weekly_Inspections!$AP822</f>
        <v/>
      </c>
      <c r="I822">
        <f>Weekly_Inspections!$AR822</f>
        <v/>
      </c>
      <c r="J822">
        <f>Weekly_Inspections!$AS822</f>
        <v/>
      </c>
      <c r="K822">
        <f>Weekly_Inspections!$AU822</f>
        <v/>
      </c>
      <c r="L822" s="47">
        <f>Weekly_Inspections!$AV822</f>
        <v/>
      </c>
      <c r="M822">
        <f>IF($B822="","",IF($N822&lt;&gt;"","Closed",IF(OR($G822&lt;&gt;"",$I822&lt;&gt;"",$J822&lt;&gt;""),"Open","")))</f>
        <v/>
      </c>
      <c r="N822" s="47" t="n"/>
      <c r="O822">
        <f>IF($B822="","",IF($M822="Closed",IF($N822="","",$N822-$B822),TODAY()-$B822))</f>
        <v/>
      </c>
      <c r="P822">
        <f>IF(OR($B822="",$L822="",$M822="Closed"),"",IF(TODAY()&gt;$L822,"YES","NO"))</f>
        <v/>
      </c>
      <c r="Q822">
        <f>Weekly_Inspections!$AW822</f>
        <v/>
      </c>
    </row>
    <row r="823" ht="15" customHeight="1" s="45">
      <c r="A823">
        <f>IF(Weekly_Inspections!$B823="","",Weekly_Inspections!$A823&amp;"-A1")</f>
        <v/>
      </c>
      <c r="B823" s="47">
        <f>Weekly_Inspections!$B823</f>
        <v/>
      </c>
      <c r="C823">
        <f>Weekly_Inspections!$E823</f>
        <v/>
      </c>
      <c r="D823">
        <f>Weekly_Inspections!$F823</f>
        <v/>
      </c>
      <c r="E823">
        <f>Weekly_Inspections!$H823</f>
        <v/>
      </c>
      <c r="F823">
        <f>IF(Weekly_Inspections!$AX823&lt;&gt;"",Weekly_Inspections!$AX823,IF(Weekly_Inspections!$AY823&lt;&gt;"",Weekly_Inspections!$AY823,IF(Weekly_Inspections!$AZ823&lt;&gt;"",Weekly_Inspections!$AZ823,IF(Weekly_Inspections!$BA823&lt;&gt;"",Weekly_Inspections!$BA823,IF(Weekly_Inspections!$BB823&lt;&gt;"",Weekly_Inspections!$BB823,Weekly_Inspections!$R823)))))</f>
        <v/>
      </c>
      <c r="G823">
        <f>IF(OR(Weekly_Inspections!$AQ823&lt;&gt;"",Weekly_Inspections!$AR823&lt;&gt;"",Weekly_Inspections!$AS823&lt;&gt;""),Weekly_Inspections!$AQ823,"")</f>
        <v/>
      </c>
      <c r="H823">
        <f>Weekly_Inspections!$AP823</f>
        <v/>
      </c>
      <c r="I823">
        <f>Weekly_Inspections!$AR823</f>
        <v/>
      </c>
      <c r="J823">
        <f>Weekly_Inspections!$AS823</f>
        <v/>
      </c>
      <c r="K823">
        <f>Weekly_Inspections!$AU823</f>
        <v/>
      </c>
      <c r="L823" s="47">
        <f>Weekly_Inspections!$AV823</f>
        <v/>
      </c>
      <c r="M823">
        <f>IF($B823="","",IF($N823&lt;&gt;"","Closed",IF(OR($G823&lt;&gt;"",$I823&lt;&gt;"",$J823&lt;&gt;""),"Open","")))</f>
        <v/>
      </c>
      <c r="N823" s="47" t="n"/>
      <c r="O823">
        <f>IF($B823="","",IF($M823="Closed",IF($N823="","",$N823-$B823),TODAY()-$B823))</f>
        <v/>
      </c>
      <c r="P823">
        <f>IF(OR($B823="",$L823="",$M823="Closed"),"",IF(TODAY()&gt;$L823,"YES","NO"))</f>
        <v/>
      </c>
      <c r="Q823">
        <f>Weekly_Inspections!$AW823</f>
        <v/>
      </c>
    </row>
    <row r="824" ht="15" customHeight="1" s="45">
      <c r="A824">
        <f>IF(Weekly_Inspections!$B824="","",Weekly_Inspections!$A824&amp;"-A1")</f>
        <v/>
      </c>
      <c r="B824" s="47">
        <f>Weekly_Inspections!$B824</f>
        <v/>
      </c>
      <c r="C824">
        <f>Weekly_Inspections!$E824</f>
        <v/>
      </c>
      <c r="D824">
        <f>Weekly_Inspections!$F824</f>
        <v/>
      </c>
      <c r="E824">
        <f>Weekly_Inspections!$H824</f>
        <v/>
      </c>
      <c r="F824">
        <f>IF(Weekly_Inspections!$AX824&lt;&gt;"",Weekly_Inspections!$AX824,IF(Weekly_Inspections!$AY824&lt;&gt;"",Weekly_Inspections!$AY824,IF(Weekly_Inspections!$AZ824&lt;&gt;"",Weekly_Inspections!$AZ824,IF(Weekly_Inspections!$BA824&lt;&gt;"",Weekly_Inspections!$BA824,IF(Weekly_Inspections!$BB824&lt;&gt;"",Weekly_Inspections!$BB824,Weekly_Inspections!$R824)))))</f>
        <v/>
      </c>
      <c r="G824">
        <f>IF(OR(Weekly_Inspections!$AQ824&lt;&gt;"",Weekly_Inspections!$AR824&lt;&gt;"",Weekly_Inspections!$AS824&lt;&gt;""),Weekly_Inspections!$AQ824,"")</f>
        <v/>
      </c>
      <c r="H824">
        <f>Weekly_Inspections!$AP824</f>
        <v/>
      </c>
      <c r="I824">
        <f>Weekly_Inspections!$AR824</f>
        <v/>
      </c>
      <c r="J824">
        <f>Weekly_Inspections!$AS824</f>
        <v/>
      </c>
      <c r="K824">
        <f>Weekly_Inspections!$AU824</f>
        <v/>
      </c>
      <c r="L824" s="47">
        <f>Weekly_Inspections!$AV824</f>
        <v/>
      </c>
      <c r="M824">
        <f>IF($B824="","",IF($N824&lt;&gt;"","Closed",IF(OR($G824&lt;&gt;"",$I824&lt;&gt;"",$J824&lt;&gt;""),"Open","")))</f>
        <v/>
      </c>
      <c r="N824" s="47" t="n"/>
      <c r="O824">
        <f>IF($B824="","",IF($M824="Closed",IF($N824="","",$N824-$B824),TODAY()-$B824))</f>
        <v/>
      </c>
      <c r="P824">
        <f>IF(OR($B824="",$L824="",$M824="Closed"),"",IF(TODAY()&gt;$L824,"YES","NO"))</f>
        <v/>
      </c>
      <c r="Q824">
        <f>Weekly_Inspections!$AW824</f>
        <v/>
      </c>
    </row>
    <row r="825" ht="15" customHeight="1" s="45">
      <c r="A825">
        <f>IF(Weekly_Inspections!$B825="","",Weekly_Inspections!$A825&amp;"-A1")</f>
        <v/>
      </c>
      <c r="B825" s="47">
        <f>Weekly_Inspections!$B825</f>
        <v/>
      </c>
      <c r="C825">
        <f>Weekly_Inspections!$E825</f>
        <v/>
      </c>
      <c r="D825">
        <f>Weekly_Inspections!$F825</f>
        <v/>
      </c>
      <c r="E825">
        <f>Weekly_Inspections!$H825</f>
        <v/>
      </c>
      <c r="F825">
        <f>IF(Weekly_Inspections!$AX825&lt;&gt;"",Weekly_Inspections!$AX825,IF(Weekly_Inspections!$AY825&lt;&gt;"",Weekly_Inspections!$AY825,IF(Weekly_Inspections!$AZ825&lt;&gt;"",Weekly_Inspections!$AZ825,IF(Weekly_Inspections!$BA825&lt;&gt;"",Weekly_Inspections!$BA825,IF(Weekly_Inspections!$BB825&lt;&gt;"",Weekly_Inspections!$BB825,Weekly_Inspections!$R825)))))</f>
        <v/>
      </c>
      <c r="G825">
        <f>IF(OR(Weekly_Inspections!$AQ825&lt;&gt;"",Weekly_Inspections!$AR825&lt;&gt;"",Weekly_Inspections!$AS825&lt;&gt;""),Weekly_Inspections!$AQ825,"")</f>
        <v/>
      </c>
      <c r="H825">
        <f>Weekly_Inspections!$AP825</f>
        <v/>
      </c>
      <c r="I825">
        <f>Weekly_Inspections!$AR825</f>
        <v/>
      </c>
      <c r="J825">
        <f>Weekly_Inspections!$AS825</f>
        <v/>
      </c>
      <c r="K825">
        <f>Weekly_Inspections!$AU825</f>
        <v/>
      </c>
      <c r="L825" s="47">
        <f>Weekly_Inspections!$AV825</f>
        <v/>
      </c>
      <c r="M825">
        <f>IF($B825="","",IF($N825&lt;&gt;"","Closed",IF(OR($G825&lt;&gt;"",$I825&lt;&gt;"",$J825&lt;&gt;""),"Open","")))</f>
        <v/>
      </c>
      <c r="N825" s="47" t="n"/>
      <c r="O825">
        <f>IF($B825="","",IF($M825="Closed",IF($N825="","",$N825-$B825),TODAY()-$B825))</f>
        <v/>
      </c>
      <c r="P825">
        <f>IF(OR($B825="",$L825="",$M825="Closed"),"",IF(TODAY()&gt;$L825,"YES","NO"))</f>
        <v/>
      </c>
      <c r="Q825">
        <f>Weekly_Inspections!$AW825</f>
        <v/>
      </c>
    </row>
    <row r="826" ht="15" customHeight="1" s="45">
      <c r="A826">
        <f>IF(Weekly_Inspections!$B826="","",Weekly_Inspections!$A826&amp;"-A1")</f>
        <v/>
      </c>
      <c r="B826" s="47">
        <f>Weekly_Inspections!$B826</f>
        <v/>
      </c>
      <c r="C826">
        <f>Weekly_Inspections!$E826</f>
        <v/>
      </c>
      <c r="D826">
        <f>Weekly_Inspections!$F826</f>
        <v/>
      </c>
      <c r="E826">
        <f>Weekly_Inspections!$H826</f>
        <v/>
      </c>
      <c r="F826">
        <f>IF(Weekly_Inspections!$AX826&lt;&gt;"",Weekly_Inspections!$AX826,IF(Weekly_Inspections!$AY826&lt;&gt;"",Weekly_Inspections!$AY826,IF(Weekly_Inspections!$AZ826&lt;&gt;"",Weekly_Inspections!$AZ826,IF(Weekly_Inspections!$BA826&lt;&gt;"",Weekly_Inspections!$BA826,IF(Weekly_Inspections!$BB826&lt;&gt;"",Weekly_Inspections!$BB826,Weekly_Inspections!$R826)))))</f>
        <v/>
      </c>
      <c r="G826">
        <f>IF(OR(Weekly_Inspections!$AQ826&lt;&gt;"",Weekly_Inspections!$AR826&lt;&gt;"",Weekly_Inspections!$AS826&lt;&gt;""),Weekly_Inspections!$AQ826,"")</f>
        <v/>
      </c>
      <c r="H826">
        <f>Weekly_Inspections!$AP826</f>
        <v/>
      </c>
      <c r="I826">
        <f>Weekly_Inspections!$AR826</f>
        <v/>
      </c>
      <c r="J826">
        <f>Weekly_Inspections!$AS826</f>
        <v/>
      </c>
      <c r="K826">
        <f>Weekly_Inspections!$AU826</f>
        <v/>
      </c>
      <c r="L826" s="47">
        <f>Weekly_Inspections!$AV826</f>
        <v/>
      </c>
      <c r="M826">
        <f>IF($B826="","",IF($N826&lt;&gt;"","Closed",IF(OR($G826&lt;&gt;"",$I826&lt;&gt;"",$J826&lt;&gt;""),"Open","")))</f>
        <v/>
      </c>
      <c r="N826" s="47" t="n"/>
      <c r="O826">
        <f>IF($B826="","",IF($M826="Closed",IF($N826="","",$N826-$B826),TODAY()-$B826))</f>
        <v/>
      </c>
      <c r="P826">
        <f>IF(OR($B826="",$L826="",$M826="Closed"),"",IF(TODAY()&gt;$L826,"YES","NO"))</f>
        <v/>
      </c>
      <c r="Q826">
        <f>Weekly_Inspections!$AW826</f>
        <v/>
      </c>
    </row>
    <row r="827" ht="15" customHeight="1" s="45">
      <c r="A827">
        <f>IF(Weekly_Inspections!$B827="","",Weekly_Inspections!$A827&amp;"-A1")</f>
        <v/>
      </c>
      <c r="B827" s="47">
        <f>Weekly_Inspections!$B827</f>
        <v/>
      </c>
      <c r="C827">
        <f>Weekly_Inspections!$E827</f>
        <v/>
      </c>
      <c r="D827">
        <f>Weekly_Inspections!$F827</f>
        <v/>
      </c>
      <c r="E827">
        <f>Weekly_Inspections!$H827</f>
        <v/>
      </c>
      <c r="F827">
        <f>IF(Weekly_Inspections!$AX827&lt;&gt;"",Weekly_Inspections!$AX827,IF(Weekly_Inspections!$AY827&lt;&gt;"",Weekly_Inspections!$AY827,IF(Weekly_Inspections!$AZ827&lt;&gt;"",Weekly_Inspections!$AZ827,IF(Weekly_Inspections!$BA827&lt;&gt;"",Weekly_Inspections!$BA827,IF(Weekly_Inspections!$BB827&lt;&gt;"",Weekly_Inspections!$BB827,Weekly_Inspections!$R827)))))</f>
        <v/>
      </c>
      <c r="G827">
        <f>IF(OR(Weekly_Inspections!$AQ827&lt;&gt;"",Weekly_Inspections!$AR827&lt;&gt;"",Weekly_Inspections!$AS827&lt;&gt;""),Weekly_Inspections!$AQ827,"")</f>
        <v/>
      </c>
      <c r="H827">
        <f>Weekly_Inspections!$AP827</f>
        <v/>
      </c>
      <c r="I827">
        <f>Weekly_Inspections!$AR827</f>
        <v/>
      </c>
      <c r="J827">
        <f>Weekly_Inspections!$AS827</f>
        <v/>
      </c>
      <c r="K827">
        <f>Weekly_Inspections!$AU827</f>
        <v/>
      </c>
      <c r="L827" s="47">
        <f>Weekly_Inspections!$AV827</f>
        <v/>
      </c>
      <c r="M827">
        <f>IF($B827="","",IF($N827&lt;&gt;"","Closed",IF(OR($G827&lt;&gt;"",$I827&lt;&gt;"",$J827&lt;&gt;""),"Open","")))</f>
        <v/>
      </c>
      <c r="N827" s="47" t="n"/>
      <c r="O827">
        <f>IF($B827="","",IF($M827="Closed",IF($N827="","",$N827-$B827),TODAY()-$B827))</f>
        <v/>
      </c>
      <c r="P827">
        <f>IF(OR($B827="",$L827="",$M827="Closed"),"",IF(TODAY()&gt;$L827,"YES","NO"))</f>
        <v/>
      </c>
      <c r="Q827">
        <f>Weekly_Inspections!$AW827</f>
        <v/>
      </c>
    </row>
    <row r="828" ht="15" customHeight="1" s="45">
      <c r="A828">
        <f>IF(Weekly_Inspections!$B828="","",Weekly_Inspections!$A828&amp;"-A1")</f>
        <v/>
      </c>
      <c r="B828" s="47">
        <f>Weekly_Inspections!$B828</f>
        <v/>
      </c>
      <c r="C828">
        <f>Weekly_Inspections!$E828</f>
        <v/>
      </c>
      <c r="D828">
        <f>Weekly_Inspections!$F828</f>
        <v/>
      </c>
      <c r="E828">
        <f>Weekly_Inspections!$H828</f>
        <v/>
      </c>
      <c r="F828">
        <f>IF(Weekly_Inspections!$AX828&lt;&gt;"",Weekly_Inspections!$AX828,IF(Weekly_Inspections!$AY828&lt;&gt;"",Weekly_Inspections!$AY828,IF(Weekly_Inspections!$AZ828&lt;&gt;"",Weekly_Inspections!$AZ828,IF(Weekly_Inspections!$BA828&lt;&gt;"",Weekly_Inspections!$BA828,IF(Weekly_Inspections!$BB828&lt;&gt;"",Weekly_Inspections!$BB828,Weekly_Inspections!$R828)))))</f>
        <v/>
      </c>
      <c r="G828">
        <f>IF(OR(Weekly_Inspections!$AQ828&lt;&gt;"",Weekly_Inspections!$AR828&lt;&gt;"",Weekly_Inspections!$AS828&lt;&gt;""),Weekly_Inspections!$AQ828,"")</f>
        <v/>
      </c>
      <c r="H828">
        <f>Weekly_Inspections!$AP828</f>
        <v/>
      </c>
      <c r="I828">
        <f>Weekly_Inspections!$AR828</f>
        <v/>
      </c>
      <c r="J828">
        <f>Weekly_Inspections!$AS828</f>
        <v/>
      </c>
      <c r="K828">
        <f>Weekly_Inspections!$AU828</f>
        <v/>
      </c>
      <c r="L828" s="47">
        <f>Weekly_Inspections!$AV828</f>
        <v/>
      </c>
      <c r="M828">
        <f>IF($B828="","",IF($N828&lt;&gt;"","Closed",IF(OR($G828&lt;&gt;"",$I828&lt;&gt;"",$J828&lt;&gt;""),"Open","")))</f>
        <v/>
      </c>
      <c r="N828" s="47" t="n"/>
      <c r="O828">
        <f>IF($B828="","",IF($M828="Closed",IF($N828="","",$N828-$B828),TODAY()-$B828))</f>
        <v/>
      </c>
      <c r="P828">
        <f>IF(OR($B828="",$L828="",$M828="Closed"),"",IF(TODAY()&gt;$L828,"YES","NO"))</f>
        <v/>
      </c>
      <c r="Q828">
        <f>Weekly_Inspections!$AW828</f>
        <v/>
      </c>
    </row>
    <row r="829" ht="15" customHeight="1" s="45">
      <c r="A829">
        <f>IF(Weekly_Inspections!$B829="","",Weekly_Inspections!$A829&amp;"-A1")</f>
        <v/>
      </c>
      <c r="B829" s="47">
        <f>Weekly_Inspections!$B829</f>
        <v/>
      </c>
      <c r="C829">
        <f>Weekly_Inspections!$E829</f>
        <v/>
      </c>
      <c r="D829">
        <f>Weekly_Inspections!$F829</f>
        <v/>
      </c>
      <c r="E829">
        <f>Weekly_Inspections!$H829</f>
        <v/>
      </c>
      <c r="F829">
        <f>IF(Weekly_Inspections!$AX829&lt;&gt;"",Weekly_Inspections!$AX829,IF(Weekly_Inspections!$AY829&lt;&gt;"",Weekly_Inspections!$AY829,IF(Weekly_Inspections!$AZ829&lt;&gt;"",Weekly_Inspections!$AZ829,IF(Weekly_Inspections!$BA829&lt;&gt;"",Weekly_Inspections!$BA829,IF(Weekly_Inspections!$BB829&lt;&gt;"",Weekly_Inspections!$BB829,Weekly_Inspections!$R829)))))</f>
        <v/>
      </c>
      <c r="G829">
        <f>IF(OR(Weekly_Inspections!$AQ829&lt;&gt;"",Weekly_Inspections!$AR829&lt;&gt;"",Weekly_Inspections!$AS829&lt;&gt;""),Weekly_Inspections!$AQ829,"")</f>
        <v/>
      </c>
      <c r="H829">
        <f>Weekly_Inspections!$AP829</f>
        <v/>
      </c>
      <c r="I829">
        <f>Weekly_Inspections!$AR829</f>
        <v/>
      </c>
      <c r="J829">
        <f>Weekly_Inspections!$AS829</f>
        <v/>
      </c>
      <c r="K829">
        <f>Weekly_Inspections!$AU829</f>
        <v/>
      </c>
      <c r="L829" s="47">
        <f>Weekly_Inspections!$AV829</f>
        <v/>
      </c>
      <c r="M829">
        <f>IF($B829="","",IF($N829&lt;&gt;"","Closed",IF(OR($G829&lt;&gt;"",$I829&lt;&gt;"",$J829&lt;&gt;""),"Open","")))</f>
        <v/>
      </c>
      <c r="N829" s="47" t="n"/>
      <c r="O829">
        <f>IF($B829="","",IF($M829="Closed",IF($N829="","",$N829-$B829),TODAY()-$B829))</f>
        <v/>
      </c>
      <c r="P829">
        <f>IF(OR($B829="",$L829="",$M829="Closed"),"",IF(TODAY()&gt;$L829,"YES","NO"))</f>
        <v/>
      </c>
      <c r="Q829">
        <f>Weekly_Inspections!$AW829</f>
        <v/>
      </c>
    </row>
    <row r="830" ht="15" customHeight="1" s="45">
      <c r="A830">
        <f>IF(Weekly_Inspections!$B830="","",Weekly_Inspections!$A830&amp;"-A1")</f>
        <v/>
      </c>
      <c r="B830" s="47">
        <f>Weekly_Inspections!$B830</f>
        <v/>
      </c>
      <c r="C830">
        <f>Weekly_Inspections!$E830</f>
        <v/>
      </c>
      <c r="D830">
        <f>Weekly_Inspections!$F830</f>
        <v/>
      </c>
      <c r="E830">
        <f>Weekly_Inspections!$H830</f>
        <v/>
      </c>
      <c r="F830">
        <f>IF(Weekly_Inspections!$AX830&lt;&gt;"",Weekly_Inspections!$AX830,IF(Weekly_Inspections!$AY830&lt;&gt;"",Weekly_Inspections!$AY830,IF(Weekly_Inspections!$AZ830&lt;&gt;"",Weekly_Inspections!$AZ830,IF(Weekly_Inspections!$BA830&lt;&gt;"",Weekly_Inspections!$BA830,IF(Weekly_Inspections!$BB830&lt;&gt;"",Weekly_Inspections!$BB830,Weekly_Inspections!$R830)))))</f>
        <v/>
      </c>
      <c r="G830">
        <f>IF(OR(Weekly_Inspections!$AQ830&lt;&gt;"",Weekly_Inspections!$AR830&lt;&gt;"",Weekly_Inspections!$AS830&lt;&gt;""),Weekly_Inspections!$AQ830,"")</f>
        <v/>
      </c>
      <c r="H830">
        <f>Weekly_Inspections!$AP830</f>
        <v/>
      </c>
      <c r="I830">
        <f>Weekly_Inspections!$AR830</f>
        <v/>
      </c>
      <c r="J830">
        <f>Weekly_Inspections!$AS830</f>
        <v/>
      </c>
      <c r="K830">
        <f>Weekly_Inspections!$AU830</f>
        <v/>
      </c>
      <c r="L830" s="47">
        <f>Weekly_Inspections!$AV830</f>
        <v/>
      </c>
      <c r="M830">
        <f>IF($B830="","",IF($N830&lt;&gt;"","Closed",IF(OR($G830&lt;&gt;"",$I830&lt;&gt;"",$J830&lt;&gt;""),"Open","")))</f>
        <v/>
      </c>
      <c r="N830" s="47" t="n"/>
      <c r="O830">
        <f>IF($B830="","",IF($M830="Closed",IF($N830="","",$N830-$B830),TODAY()-$B830))</f>
        <v/>
      </c>
      <c r="P830">
        <f>IF(OR($B830="",$L830="",$M830="Closed"),"",IF(TODAY()&gt;$L830,"YES","NO"))</f>
        <v/>
      </c>
      <c r="Q830">
        <f>Weekly_Inspections!$AW830</f>
        <v/>
      </c>
    </row>
    <row r="831" ht="15" customHeight="1" s="45">
      <c r="A831">
        <f>IF(Weekly_Inspections!$B831="","",Weekly_Inspections!$A831&amp;"-A1")</f>
        <v/>
      </c>
      <c r="B831" s="47">
        <f>Weekly_Inspections!$B831</f>
        <v/>
      </c>
      <c r="C831">
        <f>Weekly_Inspections!$E831</f>
        <v/>
      </c>
      <c r="D831">
        <f>Weekly_Inspections!$F831</f>
        <v/>
      </c>
      <c r="E831">
        <f>Weekly_Inspections!$H831</f>
        <v/>
      </c>
      <c r="F831">
        <f>IF(Weekly_Inspections!$AX831&lt;&gt;"",Weekly_Inspections!$AX831,IF(Weekly_Inspections!$AY831&lt;&gt;"",Weekly_Inspections!$AY831,IF(Weekly_Inspections!$AZ831&lt;&gt;"",Weekly_Inspections!$AZ831,IF(Weekly_Inspections!$BA831&lt;&gt;"",Weekly_Inspections!$BA831,IF(Weekly_Inspections!$BB831&lt;&gt;"",Weekly_Inspections!$BB831,Weekly_Inspections!$R831)))))</f>
        <v/>
      </c>
      <c r="G831">
        <f>IF(OR(Weekly_Inspections!$AQ831&lt;&gt;"",Weekly_Inspections!$AR831&lt;&gt;"",Weekly_Inspections!$AS831&lt;&gt;""),Weekly_Inspections!$AQ831,"")</f>
        <v/>
      </c>
      <c r="H831">
        <f>Weekly_Inspections!$AP831</f>
        <v/>
      </c>
      <c r="I831">
        <f>Weekly_Inspections!$AR831</f>
        <v/>
      </c>
      <c r="J831">
        <f>Weekly_Inspections!$AS831</f>
        <v/>
      </c>
      <c r="K831">
        <f>Weekly_Inspections!$AU831</f>
        <v/>
      </c>
      <c r="L831" s="47">
        <f>Weekly_Inspections!$AV831</f>
        <v/>
      </c>
      <c r="M831">
        <f>IF($B831="","",IF($N831&lt;&gt;"","Closed",IF(OR($G831&lt;&gt;"",$I831&lt;&gt;"",$J831&lt;&gt;""),"Open","")))</f>
        <v/>
      </c>
      <c r="N831" s="47" t="n"/>
      <c r="O831">
        <f>IF($B831="","",IF($M831="Closed",IF($N831="","",$N831-$B831),TODAY()-$B831))</f>
        <v/>
      </c>
      <c r="P831">
        <f>IF(OR($B831="",$L831="",$M831="Closed"),"",IF(TODAY()&gt;$L831,"YES","NO"))</f>
        <v/>
      </c>
      <c r="Q831">
        <f>Weekly_Inspections!$AW831</f>
        <v/>
      </c>
    </row>
    <row r="832" ht="15" customHeight="1" s="45">
      <c r="A832">
        <f>IF(Weekly_Inspections!$B832="","",Weekly_Inspections!$A832&amp;"-A1")</f>
        <v/>
      </c>
      <c r="B832" s="47">
        <f>Weekly_Inspections!$B832</f>
        <v/>
      </c>
      <c r="C832">
        <f>Weekly_Inspections!$E832</f>
        <v/>
      </c>
      <c r="D832">
        <f>Weekly_Inspections!$F832</f>
        <v/>
      </c>
      <c r="E832">
        <f>Weekly_Inspections!$H832</f>
        <v/>
      </c>
      <c r="F832">
        <f>IF(Weekly_Inspections!$AX832&lt;&gt;"",Weekly_Inspections!$AX832,IF(Weekly_Inspections!$AY832&lt;&gt;"",Weekly_Inspections!$AY832,IF(Weekly_Inspections!$AZ832&lt;&gt;"",Weekly_Inspections!$AZ832,IF(Weekly_Inspections!$BA832&lt;&gt;"",Weekly_Inspections!$BA832,IF(Weekly_Inspections!$BB832&lt;&gt;"",Weekly_Inspections!$BB832,Weekly_Inspections!$R832)))))</f>
        <v/>
      </c>
      <c r="G832">
        <f>IF(OR(Weekly_Inspections!$AQ832&lt;&gt;"",Weekly_Inspections!$AR832&lt;&gt;"",Weekly_Inspections!$AS832&lt;&gt;""),Weekly_Inspections!$AQ832,"")</f>
        <v/>
      </c>
      <c r="H832">
        <f>Weekly_Inspections!$AP832</f>
        <v/>
      </c>
      <c r="I832">
        <f>Weekly_Inspections!$AR832</f>
        <v/>
      </c>
      <c r="J832">
        <f>Weekly_Inspections!$AS832</f>
        <v/>
      </c>
      <c r="K832">
        <f>Weekly_Inspections!$AU832</f>
        <v/>
      </c>
      <c r="L832" s="47">
        <f>Weekly_Inspections!$AV832</f>
        <v/>
      </c>
      <c r="M832">
        <f>IF($B832="","",IF($N832&lt;&gt;"","Closed",IF(OR($G832&lt;&gt;"",$I832&lt;&gt;"",$J832&lt;&gt;""),"Open","")))</f>
        <v/>
      </c>
      <c r="N832" s="47" t="n"/>
      <c r="O832">
        <f>IF($B832="","",IF($M832="Closed",IF($N832="","",$N832-$B832),TODAY()-$B832))</f>
        <v/>
      </c>
      <c r="P832">
        <f>IF(OR($B832="",$L832="",$M832="Closed"),"",IF(TODAY()&gt;$L832,"YES","NO"))</f>
        <v/>
      </c>
      <c r="Q832">
        <f>Weekly_Inspections!$AW832</f>
        <v/>
      </c>
    </row>
    <row r="833" ht="15" customHeight="1" s="45">
      <c r="A833">
        <f>IF(Weekly_Inspections!$B833="","",Weekly_Inspections!$A833&amp;"-A1")</f>
        <v/>
      </c>
      <c r="B833" s="47">
        <f>Weekly_Inspections!$B833</f>
        <v/>
      </c>
      <c r="C833">
        <f>Weekly_Inspections!$E833</f>
        <v/>
      </c>
      <c r="D833">
        <f>Weekly_Inspections!$F833</f>
        <v/>
      </c>
      <c r="E833">
        <f>Weekly_Inspections!$H833</f>
        <v/>
      </c>
      <c r="F833">
        <f>IF(Weekly_Inspections!$AX833&lt;&gt;"",Weekly_Inspections!$AX833,IF(Weekly_Inspections!$AY833&lt;&gt;"",Weekly_Inspections!$AY833,IF(Weekly_Inspections!$AZ833&lt;&gt;"",Weekly_Inspections!$AZ833,IF(Weekly_Inspections!$BA833&lt;&gt;"",Weekly_Inspections!$BA833,IF(Weekly_Inspections!$BB833&lt;&gt;"",Weekly_Inspections!$BB833,Weekly_Inspections!$R833)))))</f>
        <v/>
      </c>
      <c r="G833">
        <f>IF(OR(Weekly_Inspections!$AQ833&lt;&gt;"",Weekly_Inspections!$AR833&lt;&gt;"",Weekly_Inspections!$AS833&lt;&gt;""),Weekly_Inspections!$AQ833,"")</f>
        <v/>
      </c>
      <c r="H833">
        <f>Weekly_Inspections!$AP833</f>
        <v/>
      </c>
      <c r="I833">
        <f>Weekly_Inspections!$AR833</f>
        <v/>
      </c>
      <c r="J833">
        <f>Weekly_Inspections!$AS833</f>
        <v/>
      </c>
      <c r="K833">
        <f>Weekly_Inspections!$AU833</f>
        <v/>
      </c>
      <c r="L833" s="47">
        <f>Weekly_Inspections!$AV833</f>
        <v/>
      </c>
      <c r="M833">
        <f>IF($B833="","",IF($N833&lt;&gt;"","Closed",IF(OR($G833&lt;&gt;"",$I833&lt;&gt;"",$J833&lt;&gt;""),"Open","")))</f>
        <v/>
      </c>
      <c r="N833" s="47" t="n"/>
      <c r="O833">
        <f>IF($B833="","",IF($M833="Closed",IF($N833="","",$N833-$B833),TODAY()-$B833))</f>
        <v/>
      </c>
      <c r="P833">
        <f>IF(OR($B833="",$L833="",$M833="Closed"),"",IF(TODAY()&gt;$L833,"YES","NO"))</f>
        <v/>
      </c>
      <c r="Q833">
        <f>Weekly_Inspections!$AW833</f>
        <v/>
      </c>
    </row>
    <row r="834" ht="15" customHeight="1" s="45">
      <c r="A834">
        <f>IF(Weekly_Inspections!$B834="","",Weekly_Inspections!$A834&amp;"-A1")</f>
        <v/>
      </c>
      <c r="B834" s="47">
        <f>Weekly_Inspections!$B834</f>
        <v/>
      </c>
      <c r="C834">
        <f>Weekly_Inspections!$E834</f>
        <v/>
      </c>
      <c r="D834">
        <f>Weekly_Inspections!$F834</f>
        <v/>
      </c>
      <c r="E834">
        <f>Weekly_Inspections!$H834</f>
        <v/>
      </c>
      <c r="F834">
        <f>IF(Weekly_Inspections!$AX834&lt;&gt;"",Weekly_Inspections!$AX834,IF(Weekly_Inspections!$AY834&lt;&gt;"",Weekly_Inspections!$AY834,IF(Weekly_Inspections!$AZ834&lt;&gt;"",Weekly_Inspections!$AZ834,IF(Weekly_Inspections!$BA834&lt;&gt;"",Weekly_Inspections!$BA834,IF(Weekly_Inspections!$BB834&lt;&gt;"",Weekly_Inspections!$BB834,Weekly_Inspections!$R834)))))</f>
        <v/>
      </c>
      <c r="G834">
        <f>IF(OR(Weekly_Inspections!$AQ834&lt;&gt;"",Weekly_Inspections!$AR834&lt;&gt;"",Weekly_Inspections!$AS834&lt;&gt;""),Weekly_Inspections!$AQ834,"")</f>
        <v/>
      </c>
      <c r="H834">
        <f>Weekly_Inspections!$AP834</f>
        <v/>
      </c>
      <c r="I834">
        <f>Weekly_Inspections!$AR834</f>
        <v/>
      </c>
      <c r="J834">
        <f>Weekly_Inspections!$AS834</f>
        <v/>
      </c>
      <c r="K834">
        <f>Weekly_Inspections!$AU834</f>
        <v/>
      </c>
      <c r="L834" s="47">
        <f>Weekly_Inspections!$AV834</f>
        <v/>
      </c>
      <c r="M834">
        <f>IF($B834="","",IF($N834&lt;&gt;"","Closed",IF(OR($G834&lt;&gt;"",$I834&lt;&gt;"",$J834&lt;&gt;""),"Open","")))</f>
        <v/>
      </c>
      <c r="N834" s="47" t="n"/>
      <c r="O834">
        <f>IF($B834="","",IF($M834="Closed",IF($N834="","",$N834-$B834),TODAY()-$B834))</f>
        <v/>
      </c>
      <c r="P834">
        <f>IF(OR($B834="",$L834="",$M834="Closed"),"",IF(TODAY()&gt;$L834,"YES","NO"))</f>
        <v/>
      </c>
      <c r="Q834">
        <f>Weekly_Inspections!$AW834</f>
        <v/>
      </c>
    </row>
    <row r="835" ht="15" customHeight="1" s="45">
      <c r="A835">
        <f>IF(Weekly_Inspections!$B835="","",Weekly_Inspections!$A835&amp;"-A1")</f>
        <v/>
      </c>
      <c r="B835" s="47">
        <f>Weekly_Inspections!$B835</f>
        <v/>
      </c>
      <c r="C835">
        <f>Weekly_Inspections!$E835</f>
        <v/>
      </c>
      <c r="D835">
        <f>Weekly_Inspections!$F835</f>
        <v/>
      </c>
      <c r="E835">
        <f>Weekly_Inspections!$H835</f>
        <v/>
      </c>
      <c r="F835">
        <f>IF(Weekly_Inspections!$AX835&lt;&gt;"",Weekly_Inspections!$AX835,IF(Weekly_Inspections!$AY835&lt;&gt;"",Weekly_Inspections!$AY835,IF(Weekly_Inspections!$AZ835&lt;&gt;"",Weekly_Inspections!$AZ835,IF(Weekly_Inspections!$BA835&lt;&gt;"",Weekly_Inspections!$BA835,IF(Weekly_Inspections!$BB835&lt;&gt;"",Weekly_Inspections!$BB835,Weekly_Inspections!$R835)))))</f>
        <v/>
      </c>
      <c r="G835">
        <f>IF(OR(Weekly_Inspections!$AQ835&lt;&gt;"",Weekly_Inspections!$AR835&lt;&gt;"",Weekly_Inspections!$AS835&lt;&gt;""),Weekly_Inspections!$AQ835,"")</f>
        <v/>
      </c>
      <c r="H835">
        <f>Weekly_Inspections!$AP835</f>
        <v/>
      </c>
      <c r="I835">
        <f>Weekly_Inspections!$AR835</f>
        <v/>
      </c>
      <c r="J835">
        <f>Weekly_Inspections!$AS835</f>
        <v/>
      </c>
      <c r="K835">
        <f>Weekly_Inspections!$AU835</f>
        <v/>
      </c>
      <c r="L835" s="47">
        <f>Weekly_Inspections!$AV835</f>
        <v/>
      </c>
      <c r="M835">
        <f>IF($B835="","",IF($N835&lt;&gt;"","Closed",IF(OR($G835&lt;&gt;"",$I835&lt;&gt;"",$J835&lt;&gt;""),"Open","")))</f>
        <v/>
      </c>
      <c r="N835" s="47" t="n"/>
      <c r="O835">
        <f>IF($B835="","",IF($M835="Closed",IF($N835="","",$N835-$B835),TODAY()-$B835))</f>
        <v/>
      </c>
      <c r="P835">
        <f>IF(OR($B835="",$L835="",$M835="Closed"),"",IF(TODAY()&gt;$L835,"YES","NO"))</f>
        <v/>
      </c>
      <c r="Q835">
        <f>Weekly_Inspections!$AW835</f>
        <v/>
      </c>
    </row>
    <row r="836" ht="15" customHeight="1" s="45">
      <c r="A836">
        <f>IF(Weekly_Inspections!$B836="","",Weekly_Inspections!$A836&amp;"-A1")</f>
        <v/>
      </c>
      <c r="B836" s="47">
        <f>Weekly_Inspections!$B836</f>
        <v/>
      </c>
      <c r="C836">
        <f>Weekly_Inspections!$E836</f>
        <v/>
      </c>
      <c r="D836">
        <f>Weekly_Inspections!$F836</f>
        <v/>
      </c>
      <c r="E836">
        <f>Weekly_Inspections!$H836</f>
        <v/>
      </c>
      <c r="F836">
        <f>IF(Weekly_Inspections!$AX836&lt;&gt;"",Weekly_Inspections!$AX836,IF(Weekly_Inspections!$AY836&lt;&gt;"",Weekly_Inspections!$AY836,IF(Weekly_Inspections!$AZ836&lt;&gt;"",Weekly_Inspections!$AZ836,IF(Weekly_Inspections!$BA836&lt;&gt;"",Weekly_Inspections!$BA836,IF(Weekly_Inspections!$BB836&lt;&gt;"",Weekly_Inspections!$BB836,Weekly_Inspections!$R836)))))</f>
        <v/>
      </c>
      <c r="G836">
        <f>IF(OR(Weekly_Inspections!$AQ836&lt;&gt;"",Weekly_Inspections!$AR836&lt;&gt;"",Weekly_Inspections!$AS836&lt;&gt;""),Weekly_Inspections!$AQ836,"")</f>
        <v/>
      </c>
      <c r="H836">
        <f>Weekly_Inspections!$AP836</f>
        <v/>
      </c>
      <c r="I836">
        <f>Weekly_Inspections!$AR836</f>
        <v/>
      </c>
      <c r="J836">
        <f>Weekly_Inspections!$AS836</f>
        <v/>
      </c>
      <c r="K836">
        <f>Weekly_Inspections!$AU836</f>
        <v/>
      </c>
      <c r="L836" s="47">
        <f>Weekly_Inspections!$AV836</f>
        <v/>
      </c>
      <c r="M836">
        <f>IF($B836="","",IF($N836&lt;&gt;"","Closed",IF(OR($G836&lt;&gt;"",$I836&lt;&gt;"",$J836&lt;&gt;""),"Open","")))</f>
        <v/>
      </c>
      <c r="N836" s="47" t="n"/>
      <c r="O836">
        <f>IF($B836="","",IF($M836="Closed",IF($N836="","",$N836-$B836),TODAY()-$B836))</f>
        <v/>
      </c>
      <c r="P836">
        <f>IF(OR($B836="",$L836="",$M836="Closed"),"",IF(TODAY()&gt;$L836,"YES","NO"))</f>
        <v/>
      </c>
      <c r="Q836">
        <f>Weekly_Inspections!$AW836</f>
        <v/>
      </c>
    </row>
    <row r="837" ht="15" customHeight="1" s="45">
      <c r="A837">
        <f>IF(Weekly_Inspections!$B837="","",Weekly_Inspections!$A837&amp;"-A1")</f>
        <v/>
      </c>
      <c r="B837" s="47">
        <f>Weekly_Inspections!$B837</f>
        <v/>
      </c>
      <c r="C837">
        <f>Weekly_Inspections!$E837</f>
        <v/>
      </c>
      <c r="D837">
        <f>Weekly_Inspections!$F837</f>
        <v/>
      </c>
      <c r="E837">
        <f>Weekly_Inspections!$H837</f>
        <v/>
      </c>
      <c r="F837">
        <f>IF(Weekly_Inspections!$AX837&lt;&gt;"",Weekly_Inspections!$AX837,IF(Weekly_Inspections!$AY837&lt;&gt;"",Weekly_Inspections!$AY837,IF(Weekly_Inspections!$AZ837&lt;&gt;"",Weekly_Inspections!$AZ837,IF(Weekly_Inspections!$BA837&lt;&gt;"",Weekly_Inspections!$BA837,IF(Weekly_Inspections!$BB837&lt;&gt;"",Weekly_Inspections!$BB837,Weekly_Inspections!$R837)))))</f>
        <v/>
      </c>
      <c r="G837">
        <f>IF(OR(Weekly_Inspections!$AQ837&lt;&gt;"",Weekly_Inspections!$AR837&lt;&gt;"",Weekly_Inspections!$AS837&lt;&gt;""),Weekly_Inspections!$AQ837,"")</f>
        <v/>
      </c>
      <c r="H837">
        <f>Weekly_Inspections!$AP837</f>
        <v/>
      </c>
      <c r="I837">
        <f>Weekly_Inspections!$AR837</f>
        <v/>
      </c>
      <c r="J837">
        <f>Weekly_Inspections!$AS837</f>
        <v/>
      </c>
      <c r="K837">
        <f>Weekly_Inspections!$AU837</f>
        <v/>
      </c>
      <c r="L837" s="47">
        <f>Weekly_Inspections!$AV837</f>
        <v/>
      </c>
      <c r="M837">
        <f>IF($B837="","",IF($N837&lt;&gt;"","Closed",IF(OR($G837&lt;&gt;"",$I837&lt;&gt;"",$J837&lt;&gt;""),"Open","")))</f>
        <v/>
      </c>
      <c r="N837" s="47" t="n"/>
      <c r="O837">
        <f>IF($B837="","",IF($M837="Closed",IF($N837="","",$N837-$B837),TODAY()-$B837))</f>
        <v/>
      </c>
      <c r="P837">
        <f>IF(OR($B837="",$L837="",$M837="Closed"),"",IF(TODAY()&gt;$L837,"YES","NO"))</f>
        <v/>
      </c>
      <c r="Q837">
        <f>Weekly_Inspections!$AW837</f>
        <v/>
      </c>
    </row>
    <row r="838" ht="15" customHeight="1" s="45">
      <c r="A838">
        <f>IF(Weekly_Inspections!$B838="","",Weekly_Inspections!$A838&amp;"-A1")</f>
        <v/>
      </c>
      <c r="B838" s="47">
        <f>Weekly_Inspections!$B838</f>
        <v/>
      </c>
      <c r="C838">
        <f>Weekly_Inspections!$E838</f>
        <v/>
      </c>
      <c r="D838">
        <f>Weekly_Inspections!$F838</f>
        <v/>
      </c>
      <c r="E838">
        <f>Weekly_Inspections!$H838</f>
        <v/>
      </c>
      <c r="F838">
        <f>IF(Weekly_Inspections!$AX838&lt;&gt;"",Weekly_Inspections!$AX838,IF(Weekly_Inspections!$AY838&lt;&gt;"",Weekly_Inspections!$AY838,IF(Weekly_Inspections!$AZ838&lt;&gt;"",Weekly_Inspections!$AZ838,IF(Weekly_Inspections!$BA838&lt;&gt;"",Weekly_Inspections!$BA838,IF(Weekly_Inspections!$BB838&lt;&gt;"",Weekly_Inspections!$BB838,Weekly_Inspections!$R838)))))</f>
        <v/>
      </c>
      <c r="G838">
        <f>IF(OR(Weekly_Inspections!$AQ838&lt;&gt;"",Weekly_Inspections!$AR838&lt;&gt;"",Weekly_Inspections!$AS838&lt;&gt;""),Weekly_Inspections!$AQ838,"")</f>
        <v/>
      </c>
      <c r="H838">
        <f>Weekly_Inspections!$AP838</f>
        <v/>
      </c>
      <c r="I838">
        <f>Weekly_Inspections!$AR838</f>
        <v/>
      </c>
      <c r="J838">
        <f>Weekly_Inspections!$AS838</f>
        <v/>
      </c>
      <c r="K838">
        <f>Weekly_Inspections!$AU838</f>
        <v/>
      </c>
      <c r="L838" s="47">
        <f>Weekly_Inspections!$AV838</f>
        <v/>
      </c>
      <c r="M838">
        <f>IF($B838="","",IF($N838&lt;&gt;"","Closed",IF(OR($G838&lt;&gt;"",$I838&lt;&gt;"",$J838&lt;&gt;""),"Open","")))</f>
        <v/>
      </c>
      <c r="N838" s="47" t="n"/>
      <c r="O838">
        <f>IF($B838="","",IF($M838="Closed",IF($N838="","",$N838-$B838),TODAY()-$B838))</f>
        <v/>
      </c>
      <c r="P838">
        <f>IF(OR($B838="",$L838="",$M838="Closed"),"",IF(TODAY()&gt;$L838,"YES","NO"))</f>
        <v/>
      </c>
      <c r="Q838">
        <f>Weekly_Inspections!$AW838</f>
        <v/>
      </c>
    </row>
    <row r="839" ht="15" customHeight="1" s="45">
      <c r="A839">
        <f>IF(Weekly_Inspections!$B839="","",Weekly_Inspections!$A839&amp;"-A1")</f>
        <v/>
      </c>
      <c r="B839" s="47">
        <f>Weekly_Inspections!$B839</f>
        <v/>
      </c>
      <c r="C839">
        <f>Weekly_Inspections!$E839</f>
        <v/>
      </c>
      <c r="D839">
        <f>Weekly_Inspections!$F839</f>
        <v/>
      </c>
      <c r="E839">
        <f>Weekly_Inspections!$H839</f>
        <v/>
      </c>
      <c r="F839">
        <f>IF(Weekly_Inspections!$AX839&lt;&gt;"",Weekly_Inspections!$AX839,IF(Weekly_Inspections!$AY839&lt;&gt;"",Weekly_Inspections!$AY839,IF(Weekly_Inspections!$AZ839&lt;&gt;"",Weekly_Inspections!$AZ839,IF(Weekly_Inspections!$BA839&lt;&gt;"",Weekly_Inspections!$BA839,IF(Weekly_Inspections!$BB839&lt;&gt;"",Weekly_Inspections!$BB839,Weekly_Inspections!$R839)))))</f>
        <v/>
      </c>
      <c r="G839">
        <f>IF(OR(Weekly_Inspections!$AQ839&lt;&gt;"",Weekly_Inspections!$AR839&lt;&gt;"",Weekly_Inspections!$AS839&lt;&gt;""),Weekly_Inspections!$AQ839,"")</f>
        <v/>
      </c>
      <c r="H839">
        <f>Weekly_Inspections!$AP839</f>
        <v/>
      </c>
      <c r="I839">
        <f>Weekly_Inspections!$AR839</f>
        <v/>
      </c>
      <c r="J839">
        <f>Weekly_Inspections!$AS839</f>
        <v/>
      </c>
      <c r="K839">
        <f>Weekly_Inspections!$AU839</f>
        <v/>
      </c>
      <c r="L839" s="47">
        <f>Weekly_Inspections!$AV839</f>
        <v/>
      </c>
      <c r="M839">
        <f>IF($B839="","",IF($N839&lt;&gt;"","Closed",IF(OR($G839&lt;&gt;"",$I839&lt;&gt;"",$J839&lt;&gt;""),"Open","")))</f>
        <v/>
      </c>
      <c r="N839" s="47" t="n"/>
      <c r="O839">
        <f>IF($B839="","",IF($M839="Closed",IF($N839="","",$N839-$B839),TODAY()-$B839))</f>
        <v/>
      </c>
      <c r="P839">
        <f>IF(OR($B839="",$L839="",$M839="Closed"),"",IF(TODAY()&gt;$L839,"YES","NO"))</f>
        <v/>
      </c>
      <c r="Q839">
        <f>Weekly_Inspections!$AW839</f>
        <v/>
      </c>
    </row>
    <row r="840" ht="15" customHeight="1" s="45">
      <c r="A840">
        <f>IF(Weekly_Inspections!$B840="","",Weekly_Inspections!$A840&amp;"-A1")</f>
        <v/>
      </c>
      <c r="B840" s="47">
        <f>Weekly_Inspections!$B840</f>
        <v/>
      </c>
      <c r="C840">
        <f>Weekly_Inspections!$E840</f>
        <v/>
      </c>
      <c r="D840">
        <f>Weekly_Inspections!$F840</f>
        <v/>
      </c>
      <c r="E840">
        <f>Weekly_Inspections!$H840</f>
        <v/>
      </c>
      <c r="F840">
        <f>IF(Weekly_Inspections!$AX840&lt;&gt;"",Weekly_Inspections!$AX840,IF(Weekly_Inspections!$AY840&lt;&gt;"",Weekly_Inspections!$AY840,IF(Weekly_Inspections!$AZ840&lt;&gt;"",Weekly_Inspections!$AZ840,IF(Weekly_Inspections!$BA840&lt;&gt;"",Weekly_Inspections!$BA840,IF(Weekly_Inspections!$BB840&lt;&gt;"",Weekly_Inspections!$BB840,Weekly_Inspections!$R840)))))</f>
        <v/>
      </c>
      <c r="G840">
        <f>IF(OR(Weekly_Inspections!$AQ840&lt;&gt;"",Weekly_Inspections!$AR840&lt;&gt;"",Weekly_Inspections!$AS840&lt;&gt;""),Weekly_Inspections!$AQ840,"")</f>
        <v/>
      </c>
      <c r="H840">
        <f>Weekly_Inspections!$AP840</f>
        <v/>
      </c>
      <c r="I840">
        <f>Weekly_Inspections!$AR840</f>
        <v/>
      </c>
      <c r="J840">
        <f>Weekly_Inspections!$AS840</f>
        <v/>
      </c>
      <c r="K840">
        <f>Weekly_Inspections!$AU840</f>
        <v/>
      </c>
      <c r="L840" s="47">
        <f>Weekly_Inspections!$AV840</f>
        <v/>
      </c>
      <c r="M840">
        <f>IF($B840="","",IF($N840&lt;&gt;"","Closed",IF(OR($G840&lt;&gt;"",$I840&lt;&gt;"",$J840&lt;&gt;""),"Open","")))</f>
        <v/>
      </c>
      <c r="N840" s="47" t="n"/>
      <c r="O840">
        <f>IF($B840="","",IF($M840="Closed",IF($N840="","",$N840-$B840),TODAY()-$B840))</f>
        <v/>
      </c>
      <c r="P840">
        <f>IF(OR($B840="",$L840="",$M840="Closed"),"",IF(TODAY()&gt;$L840,"YES","NO"))</f>
        <v/>
      </c>
      <c r="Q840">
        <f>Weekly_Inspections!$AW840</f>
        <v/>
      </c>
    </row>
    <row r="841" ht="15" customHeight="1" s="45">
      <c r="A841">
        <f>IF(Weekly_Inspections!$B841="","",Weekly_Inspections!$A841&amp;"-A1")</f>
        <v/>
      </c>
      <c r="B841" s="47">
        <f>Weekly_Inspections!$B841</f>
        <v/>
      </c>
      <c r="C841">
        <f>Weekly_Inspections!$E841</f>
        <v/>
      </c>
      <c r="D841">
        <f>Weekly_Inspections!$F841</f>
        <v/>
      </c>
      <c r="E841">
        <f>Weekly_Inspections!$H841</f>
        <v/>
      </c>
      <c r="F841">
        <f>IF(Weekly_Inspections!$AX841&lt;&gt;"",Weekly_Inspections!$AX841,IF(Weekly_Inspections!$AY841&lt;&gt;"",Weekly_Inspections!$AY841,IF(Weekly_Inspections!$AZ841&lt;&gt;"",Weekly_Inspections!$AZ841,IF(Weekly_Inspections!$BA841&lt;&gt;"",Weekly_Inspections!$BA841,IF(Weekly_Inspections!$BB841&lt;&gt;"",Weekly_Inspections!$BB841,Weekly_Inspections!$R841)))))</f>
        <v/>
      </c>
      <c r="G841">
        <f>IF(OR(Weekly_Inspections!$AQ841&lt;&gt;"",Weekly_Inspections!$AR841&lt;&gt;"",Weekly_Inspections!$AS841&lt;&gt;""),Weekly_Inspections!$AQ841,"")</f>
        <v/>
      </c>
      <c r="H841">
        <f>Weekly_Inspections!$AP841</f>
        <v/>
      </c>
      <c r="I841">
        <f>Weekly_Inspections!$AR841</f>
        <v/>
      </c>
      <c r="J841">
        <f>Weekly_Inspections!$AS841</f>
        <v/>
      </c>
      <c r="K841">
        <f>Weekly_Inspections!$AU841</f>
        <v/>
      </c>
      <c r="L841" s="47">
        <f>Weekly_Inspections!$AV841</f>
        <v/>
      </c>
      <c r="M841">
        <f>IF($B841="","",IF($N841&lt;&gt;"","Closed",IF(OR($G841&lt;&gt;"",$I841&lt;&gt;"",$J841&lt;&gt;""),"Open","")))</f>
        <v/>
      </c>
      <c r="N841" s="47" t="n"/>
      <c r="O841">
        <f>IF($B841="","",IF($M841="Closed",IF($N841="","",$N841-$B841),TODAY()-$B841))</f>
        <v/>
      </c>
      <c r="P841">
        <f>IF(OR($B841="",$L841="",$M841="Closed"),"",IF(TODAY()&gt;$L841,"YES","NO"))</f>
        <v/>
      </c>
      <c r="Q841">
        <f>Weekly_Inspections!$AW841</f>
        <v/>
      </c>
    </row>
    <row r="842" ht="15" customHeight="1" s="45">
      <c r="A842">
        <f>IF(Weekly_Inspections!$B842="","",Weekly_Inspections!$A842&amp;"-A1")</f>
        <v/>
      </c>
      <c r="B842" s="47">
        <f>Weekly_Inspections!$B842</f>
        <v/>
      </c>
      <c r="C842">
        <f>Weekly_Inspections!$E842</f>
        <v/>
      </c>
      <c r="D842">
        <f>Weekly_Inspections!$F842</f>
        <v/>
      </c>
      <c r="E842">
        <f>Weekly_Inspections!$H842</f>
        <v/>
      </c>
      <c r="F842">
        <f>IF(Weekly_Inspections!$AX842&lt;&gt;"",Weekly_Inspections!$AX842,IF(Weekly_Inspections!$AY842&lt;&gt;"",Weekly_Inspections!$AY842,IF(Weekly_Inspections!$AZ842&lt;&gt;"",Weekly_Inspections!$AZ842,IF(Weekly_Inspections!$BA842&lt;&gt;"",Weekly_Inspections!$BA842,IF(Weekly_Inspections!$BB842&lt;&gt;"",Weekly_Inspections!$BB842,Weekly_Inspections!$R842)))))</f>
        <v/>
      </c>
      <c r="G842">
        <f>IF(OR(Weekly_Inspections!$AQ842&lt;&gt;"",Weekly_Inspections!$AR842&lt;&gt;"",Weekly_Inspections!$AS842&lt;&gt;""),Weekly_Inspections!$AQ842,"")</f>
        <v/>
      </c>
      <c r="H842">
        <f>Weekly_Inspections!$AP842</f>
        <v/>
      </c>
      <c r="I842">
        <f>Weekly_Inspections!$AR842</f>
        <v/>
      </c>
      <c r="J842">
        <f>Weekly_Inspections!$AS842</f>
        <v/>
      </c>
      <c r="K842">
        <f>Weekly_Inspections!$AU842</f>
        <v/>
      </c>
      <c r="L842" s="47">
        <f>Weekly_Inspections!$AV842</f>
        <v/>
      </c>
      <c r="M842">
        <f>IF($B842="","",IF($N842&lt;&gt;"","Closed",IF(OR($G842&lt;&gt;"",$I842&lt;&gt;"",$J842&lt;&gt;""),"Open","")))</f>
        <v/>
      </c>
      <c r="N842" s="47" t="n"/>
      <c r="O842">
        <f>IF($B842="","",IF($M842="Closed",IF($N842="","",$N842-$B842),TODAY()-$B842))</f>
        <v/>
      </c>
      <c r="P842">
        <f>IF(OR($B842="",$L842="",$M842="Closed"),"",IF(TODAY()&gt;$L842,"YES","NO"))</f>
        <v/>
      </c>
      <c r="Q842">
        <f>Weekly_Inspections!$AW842</f>
        <v/>
      </c>
    </row>
    <row r="843" ht="15" customHeight="1" s="45">
      <c r="A843">
        <f>IF(Weekly_Inspections!$B843="","",Weekly_Inspections!$A843&amp;"-A1")</f>
        <v/>
      </c>
      <c r="B843" s="47">
        <f>Weekly_Inspections!$B843</f>
        <v/>
      </c>
      <c r="C843">
        <f>Weekly_Inspections!$E843</f>
        <v/>
      </c>
      <c r="D843">
        <f>Weekly_Inspections!$F843</f>
        <v/>
      </c>
      <c r="E843">
        <f>Weekly_Inspections!$H843</f>
        <v/>
      </c>
      <c r="F843">
        <f>IF(Weekly_Inspections!$AX843&lt;&gt;"",Weekly_Inspections!$AX843,IF(Weekly_Inspections!$AY843&lt;&gt;"",Weekly_Inspections!$AY843,IF(Weekly_Inspections!$AZ843&lt;&gt;"",Weekly_Inspections!$AZ843,IF(Weekly_Inspections!$BA843&lt;&gt;"",Weekly_Inspections!$BA843,IF(Weekly_Inspections!$BB843&lt;&gt;"",Weekly_Inspections!$BB843,Weekly_Inspections!$R843)))))</f>
        <v/>
      </c>
      <c r="G843">
        <f>IF(OR(Weekly_Inspections!$AQ843&lt;&gt;"",Weekly_Inspections!$AR843&lt;&gt;"",Weekly_Inspections!$AS843&lt;&gt;""),Weekly_Inspections!$AQ843,"")</f>
        <v/>
      </c>
      <c r="H843">
        <f>Weekly_Inspections!$AP843</f>
        <v/>
      </c>
      <c r="I843">
        <f>Weekly_Inspections!$AR843</f>
        <v/>
      </c>
      <c r="J843">
        <f>Weekly_Inspections!$AS843</f>
        <v/>
      </c>
      <c r="K843">
        <f>Weekly_Inspections!$AU843</f>
        <v/>
      </c>
      <c r="L843" s="47">
        <f>Weekly_Inspections!$AV843</f>
        <v/>
      </c>
      <c r="M843">
        <f>IF($B843="","",IF($N843&lt;&gt;"","Closed",IF(OR($G843&lt;&gt;"",$I843&lt;&gt;"",$J843&lt;&gt;""),"Open","")))</f>
        <v/>
      </c>
      <c r="N843" s="47" t="n"/>
      <c r="O843">
        <f>IF($B843="","",IF($M843="Closed",IF($N843="","",$N843-$B843),TODAY()-$B843))</f>
        <v/>
      </c>
      <c r="P843">
        <f>IF(OR($B843="",$L843="",$M843="Closed"),"",IF(TODAY()&gt;$L843,"YES","NO"))</f>
        <v/>
      </c>
      <c r="Q843">
        <f>Weekly_Inspections!$AW843</f>
        <v/>
      </c>
    </row>
    <row r="844" ht="15" customHeight="1" s="45">
      <c r="A844">
        <f>IF(Weekly_Inspections!$B844="","",Weekly_Inspections!$A844&amp;"-A1")</f>
        <v/>
      </c>
      <c r="B844" s="47">
        <f>Weekly_Inspections!$B844</f>
        <v/>
      </c>
      <c r="C844">
        <f>Weekly_Inspections!$E844</f>
        <v/>
      </c>
      <c r="D844">
        <f>Weekly_Inspections!$F844</f>
        <v/>
      </c>
      <c r="E844">
        <f>Weekly_Inspections!$H844</f>
        <v/>
      </c>
      <c r="F844">
        <f>IF(Weekly_Inspections!$AX844&lt;&gt;"",Weekly_Inspections!$AX844,IF(Weekly_Inspections!$AY844&lt;&gt;"",Weekly_Inspections!$AY844,IF(Weekly_Inspections!$AZ844&lt;&gt;"",Weekly_Inspections!$AZ844,IF(Weekly_Inspections!$BA844&lt;&gt;"",Weekly_Inspections!$BA844,IF(Weekly_Inspections!$BB844&lt;&gt;"",Weekly_Inspections!$BB844,Weekly_Inspections!$R844)))))</f>
        <v/>
      </c>
      <c r="G844">
        <f>IF(OR(Weekly_Inspections!$AQ844&lt;&gt;"",Weekly_Inspections!$AR844&lt;&gt;"",Weekly_Inspections!$AS844&lt;&gt;""),Weekly_Inspections!$AQ844,"")</f>
        <v/>
      </c>
      <c r="H844">
        <f>Weekly_Inspections!$AP844</f>
        <v/>
      </c>
      <c r="I844">
        <f>Weekly_Inspections!$AR844</f>
        <v/>
      </c>
      <c r="J844">
        <f>Weekly_Inspections!$AS844</f>
        <v/>
      </c>
      <c r="K844">
        <f>Weekly_Inspections!$AU844</f>
        <v/>
      </c>
      <c r="L844" s="47">
        <f>Weekly_Inspections!$AV844</f>
        <v/>
      </c>
      <c r="M844">
        <f>IF($B844="","",IF($N844&lt;&gt;"","Closed",IF(OR($G844&lt;&gt;"",$I844&lt;&gt;"",$J844&lt;&gt;""),"Open","")))</f>
        <v/>
      </c>
      <c r="N844" s="47" t="n"/>
      <c r="O844">
        <f>IF($B844="","",IF($M844="Closed",IF($N844="","",$N844-$B844),TODAY()-$B844))</f>
        <v/>
      </c>
      <c r="P844">
        <f>IF(OR($B844="",$L844="",$M844="Closed"),"",IF(TODAY()&gt;$L844,"YES","NO"))</f>
        <v/>
      </c>
      <c r="Q844">
        <f>Weekly_Inspections!$AW844</f>
        <v/>
      </c>
    </row>
    <row r="845" ht="15" customHeight="1" s="45">
      <c r="A845">
        <f>IF(Weekly_Inspections!$B845="","",Weekly_Inspections!$A845&amp;"-A1")</f>
        <v/>
      </c>
      <c r="B845" s="47">
        <f>Weekly_Inspections!$B845</f>
        <v/>
      </c>
      <c r="C845">
        <f>Weekly_Inspections!$E845</f>
        <v/>
      </c>
      <c r="D845">
        <f>Weekly_Inspections!$F845</f>
        <v/>
      </c>
      <c r="E845">
        <f>Weekly_Inspections!$H845</f>
        <v/>
      </c>
      <c r="F845">
        <f>IF(Weekly_Inspections!$AX845&lt;&gt;"",Weekly_Inspections!$AX845,IF(Weekly_Inspections!$AY845&lt;&gt;"",Weekly_Inspections!$AY845,IF(Weekly_Inspections!$AZ845&lt;&gt;"",Weekly_Inspections!$AZ845,IF(Weekly_Inspections!$BA845&lt;&gt;"",Weekly_Inspections!$BA845,IF(Weekly_Inspections!$BB845&lt;&gt;"",Weekly_Inspections!$BB845,Weekly_Inspections!$R845)))))</f>
        <v/>
      </c>
      <c r="G845">
        <f>IF(OR(Weekly_Inspections!$AQ845&lt;&gt;"",Weekly_Inspections!$AR845&lt;&gt;"",Weekly_Inspections!$AS845&lt;&gt;""),Weekly_Inspections!$AQ845,"")</f>
        <v/>
      </c>
      <c r="H845">
        <f>Weekly_Inspections!$AP845</f>
        <v/>
      </c>
      <c r="I845">
        <f>Weekly_Inspections!$AR845</f>
        <v/>
      </c>
      <c r="J845">
        <f>Weekly_Inspections!$AS845</f>
        <v/>
      </c>
      <c r="K845">
        <f>Weekly_Inspections!$AU845</f>
        <v/>
      </c>
      <c r="L845" s="47">
        <f>Weekly_Inspections!$AV845</f>
        <v/>
      </c>
      <c r="M845">
        <f>IF($B845="","",IF($N845&lt;&gt;"","Closed",IF(OR($G845&lt;&gt;"",$I845&lt;&gt;"",$J845&lt;&gt;""),"Open","")))</f>
        <v/>
      </c>
      <c r="N845" s="47" t="n"/>
      <c r="O845">
        <f>IF($B845="","",IF($M845="Closed",IF($N845="","",$N845-$B845),TODAY()-$B845))</f>
        <v/>
      </c>
      <c r="P845">
        <f>IF(OR($B845="",$L845="",$M845="Closed"),"",IF(TODAY()&gt;$L845,"YES","NO"))</f>
        <v/>
      </c>
      <c r="Q845">
        <f>Weekly_Inspections!$AW845</f>
        <v/>
      </c>
    </row>
    <row r="846" ht="15" customHeight="1" s="45">
      <c r="A846">
        <f>IF(Weekly_Inspections!$B846="","",Weekly_Inspections!$A846&amp;"-A1")</f>
        <v/>
      </c>
      <c r="B846" s="47">
        <f>Weekly_Inspections!$B846</f>
        <v/>
      </c>
      <c r="C846">
        <f>Weekly_Inspections!$E846</f>
        <v/>
      </c>
      <c r="D846">
        <f>Weekly_Inspections!$F846</f>
        <v/>
      </c>
      <c r="E846">
        <f>Weekly_Inspections!$H846</f>
        <v/>
      </c>
      <c r="F846">
        <f>IF(Weekly_Inspections!$AX846&lt;&gt;"",Weekly_Inspections!$AX846,IF(Weekly_Inspections!$AY846&lt;&gt;"",Weekly_Inspections!$AY846,IF(Weekly_Inspections!$AZ846&lt;&gt;"",Weekly_Inspections!$AZ846,IF(Weekly_Inspections!$BA846&lt;&gt;"",Weekly_Inspections!$BA846,IF(Weekly_Inspections!$BB846&lt;&gt;"",Weekly_Inspections!$BB846,Weekly_Inspections!$R846)))))</f>
        <v/>
      </c>
      <c r="G846">
        <f>IF(OR(Weekly_Inspections!$AQ846&lt;&gt;"",Weekly_Inspections!$AR846&lt;&gt;"",Weekly_Inspections!$AS846&lt;&gt;""),Weekly_Inspections!$AQ846,"")</f>
        <v/>
      </c>
      <c r="H846">
        <f>Weekly_Inspections!$AP846</f>
        <v/>
      </c>
      <c r="I846">
        <f>Weekly_Inspections!$AR846</f>
        <v/>
      </c>
      <c r="J846">
        <f>Weekly_Inspections!$AS846</f>
        <v/>
      </c>
      <c r="K846">
        <f>Weekly_Inspections!$AU846</f>
        <v/>
      </c>
      <c r="L846" s="47">
        <f>Weekly_Inspections!$AV846</f>
        <v/>
      </c>
      <c r="M846">
        <f>IF($B846="","",IF($N846&lt;&gt;"","Closed",IF(OR($G846&lt;&gt;"",$I846&lt;&gt;"",$J846&lt;&gt;""),"Open","")))</f>
        <v/>
      </c>
      <c r="N846" s="47" t="n"/>
      <c r="O846">
        <f>IF($B846="","",IF($M846="Closed",IF($N846="","",$N846-$B846),TODAY()-$B846))</f>
        <v/>
      </c>
      <c r="P846">
        <f>IF(OR($B846="",$L846="",$M846="Closed"),"",IF(TODAY()&gt;$L846,"YES","NO"))</f>
        <v/>
      </c>
      <c r="Q846">
        <f>Weekly_Inspections!$AW846</f>
        <v/>
      </c>
    </row>
    <row r="847" ht="15" customHeight="1" s="45">
      <c r="A847">
        <f>IF(Weekly_Inspections!$B847="","",Weekly_Inspections!$A847&amp;"-A1")</f>
        <v/>
      </c>
      <c r="B847" s="47">
        <f>Weekly_Inspections!$B847</f>
        <v/>
      </c>
      <c r="C847">
        <f>Weekly_Inspections!$E847</f>
        <v/>
      </c>
      <c r="D847">
        <f>Weekly_Inspections!$F847</f>
        <v/>
      </c>
      <c r="E847">
        <f>Weekly_Inspections!$H847</f>
        <v/>
      </c>
      <c r="F847">
        <f>IF(Weekly_Inspections!$AX847&lt;&gt;"",Weekly_Inspections!$AX847,IF(Weekly_Inspections!$AY847&lt;&gt;"",Weekly_Inspections!$AY847,IF(Weekly_Inspections!$AZ847&lt;&gt;"",Weekly_Inspections!$AZ847,IF(Weekly_Inspections!$BA847&lt;&gt;"",Weekly_Inspections!$BA847,IF(Weekly_Inspections!$BB847&lt;&gt;"",Weekly_Inspections!$BB847,Weekly_Inspections!$R847)))))</f>
        <v/>
      </c>
      <c r="G847">
        <f>IF(OR(Weekly_Inspections!$AQ847&lt;&gt;"",Weekly_Inspections!$AR847&lt;&gt;"",Weekly_Inspections!$AS847&lt;&gt;""),Weekly_Inspections!$AQ847,"")</f>
        <v/>
      </c>
      <c r="H847">
        <f>Weekly_Inspections!$AP847</f>
        <v/>
      </c>
      <c r="I847">
        <f>Weekly_Inspections!$AR847</f>
        <v/>
      </c>
      <c r="J847">
        <f>Weekly_Inspections!$AS847</f>
        <v/>
      </c>
      <c r="K847">
        <f>Weekly_Inspections!$AU847</f>
        <v/>
      </c>
      <c r="L847" s="47">
        <f>Weekly_Inspections!$AV847</f>
        <v/>
      </c>
      <c r="M847">
        <f>IF($B847="","",IF($N847&lt;&gt;"","Closed",IF(OR($G847&lt;&gt;"",$I847&lt;&gt;"",$J847&lt;&gt;""),"Open","")))</f>
        <v/>
      </c>
      <c r="N847" s="47" t="n"/>
      <c r="O847">
        <f>IF($B847="","",IF($M847="Closed",IF($N847="","",$N847-$B847),TODAY()-$B847))</f>
        <v/>
      </c>
      <c r="P847">
        <f>IF(OR($B847="",$L847="",$M847="Closed"),"",IF(TODAY()&gt;$L847,"YES","NO"))</f>
        <v/>
      </c>
      <c r="Q847">
        <f>Weekly_Inspections!$AW847</f>
        <v/>
      </c>
    </row>
    <row r="848" ht="15" customHeight="1" s="45">
      <c r="A848">
        <f>IF(Weekly_Inspections!$B848="","",Weekly_Inspections!$A848&amp;"-A1")</f>
        <v/>
      </c>
      <c r="B848" s="47">
        <f>Weekly_Inspections!$B848</f>
        <v/>
      </c>
      <c r="C848">
        <f>Weekly_Inspections!$E848</f>
        <v/>
      </c>
      <c r="D848">
        <f>Weekly_Inspections!$F848</f>
        <v/>
      </c>
      <c r="E848">
        <f>Weekly_Inspections!$H848</f>
        <v/>
      </c>
      <c r="F848">
        <f>IF(Weekly_Inspections!$AX848&lt;&gt;"",Weekly_Inspections!$AX848,IF(Weekly_Inspections!$AY848&lt;&gt;"",Weekly_Inspections!$AY848,IF(Weekly_Inspections!$AZ848&lt;&gt;"",Weekly_Inspections!$AZ848,IF(Weekly_Inspections!$BA848&lt;&gt;"",Weekly_Inspections!$BA848,IF(Weekly_Inspections!$BB848&lt;&gt;"",Weekly_Inspections!$BB848,Weekly_Inspections!$R848)))))</f>
        <v/>
      </c>
      <c r="G848">
        <f>IF(OR(Weekly_Inspections!$AQ848&lt;&gt;"",Weekly_Inspections!$AR848&lt;&gt;"",Weekly_Inspections!$AS848&lt;&gt;""),Weekly_Inspections!$AQ848,"")</f>
        <v/>
      </c>
      <c r="H848">
        <f>Weekly_Inspections!$AP848</f>
        <v/>
      </c>
      <c r="I848">
        <f>Weekly_Inspections!$AR848</f>
        <v/>
      </c>
      <c r="J848">
        <f>Weekly_Inspections!$AS848</f>
        <v/>
      </c>
      <c r="K848">
        <f>Weekly_Inspections!$AU848</f>
        <v/>
      </c>
      <c r="L848" s="47">
        <f>Weekly_Inspections!$AV848</f>
        <v/>
      </c>
      <c r="M848">
        <f>IF($B848="","",IF($N848&lt;&gt;"","Closed",IF(OR($G848&lt;&gt;"",$I848&lt;&gt;"",$J848&lt;&gt;""),"Open","")))</f>
        <v/>
      </c>
      <c r="N848" s="47" t="n"/>
      <c r="O848">
        <f>IF($B848="","",IF($M848="Closed",IF($N848="","",$N848-$B848),TODAY()-$B848))</f>
        <v/>
      </c>
      <c r="P848">
        <f>IF(OR($B848="",$L848="",$M848="Closed"),"",IF(TODAY()&gt;$L848,"YES","NO"))</f>
        <v/>
      </c>
      <c r="Q848">
        <f>Weekly_Inspections!$AW848</f>
        <v/>
      </c>
    </row>
    <row r="849" ht="15" customHeight="1" s="45">
      <c r="A849">
        <f>IF(Weekly_Inspections!$B849="","",Weekly_Inspections!$A849&amp;"-A1")</f>
        <v/>
      </c>
      <c r="B849" s="47">
        <f>Weekly_Inspections!$B849</f>
        <v/>
      </c>
      <c r="C849">
        <f>Weekly_Inspections!$E849</f>
        <v/>
      </c>
      <c r="D849">
        <f>Weekly_Inspections!$F849</f>
        <v/>
      </c>
      <c r="E849">
        <f>Weekly_Inspections!$H849</f>
        <v/>
      </c>
      <c r="F849">
        <f>IF(Weekly_Inspections!$AX849&lt;&gt;"",Weekly_Inspections!$AX849,IF(Weekly_Inspections!$AY849&lt;&gt;"",Weekly_Inspections!$AY849,IF(Weekly_Inspections!$AZ849&lt;&gt;"",Weekly_Inspections!$AZ849,IF(Weekly_Inspections!$BA849&lt;&gt;"",Weekly_Inspections!$BA849,IF(Weekly_Inspections!$BB849&lt;&gt;"",Weekly_Inspections!$BB849,Weekly_Inspections!$R849)))))</f>
        <v/>
      </c>
      <c r="G849">
        <f>IF(OR(Weekly_Inspections!$AQ849&lt;&gt;"",Weekly_Inspections!$AR849&lt;&gt;"",Weekly_Inspections!$AS849&lt;&gt;""),Weekly_Inspections!$AQ849,"")</f>
        <v/>
      </c>
      <c r="H849">
        <f>Weekly_Inspections!$AP849</f>
        <v/>
      </c>
      <c r="I849">
        <f>Weekly_Inspections!$AR849</f>
        <v/>
      </c>
      <c r="J849">
        <f>Weekly_Inspections!$AS849</f>
        <v/>
      </c>
      <c r="K849">
        <f>Weekly_Inspections!$AU849</f>
        <v/>
      </c>
      <c r="L849" s="47">
        <f>Weekly_Inspections!$AV849</f>
        <v/>
      </c>
      <c r="M849">
        <f>IF($B849="","",IF($N849&lt;&gt;"","Closed",IF(OR($G849&lt;&gt;"",$I849&lt;&gt;"",$J849&lt;&gt;""),"Open","")))</f>
        <v/>
      </c>
      <c r="N849" s="47" t="n"/>
      <c r="O849">
        <f>IF($B849="","",IF($M849="Closed",IF($N849="","",$N849-$B849),TODAY()-$B849))</f>
        <v/>
      </c>
      <c r="P849">
        <f>IF(OR($B849="",$L849="",$M849="Closed"),"",IF(TODAY()&gt;$L849,"YES","NO"))</f>
        <v/>
      </c>
      <c r="Q849">
        <f>Weekly_Inspections!$AW849</f>
        <v/>
      </c>
    </row>
    <row r="850" ht="15" customHeight="1" s="45">
      <c r="A850">
        <f>IF(Weekly_Inspections!$B850="","",Weekly_Inspections!$A850&amp;"-A1")</f>
        <v/>
      </c>
      <c r="B850" s="47">
        <f>Weekly_Inspections!$B850</f>
        <v/>
      </c>
      <c r="C850">
        <f>Weekly_Inspections!$E850</f>
        <v/>
      </c>
      <c r="D850">
        <f>Weekly_Inspections!$F850</f>
        <v/>
      </c>
      <c r="E850">
        <f>Weekly_Inspections!$H850</f>
        <v/>
      </c>
      <c r="F850">
        <f>IF(Weekly_Inspections!$AX850&lt;&gt;"",Weekly_Inspections!$AX850,IF(Weekly_Inspections!$AY850&lt;&gt;"",Weekly_Inspections!$AY850,IF(Weekly_Inspections!$AZ850&lt;&gt;"",Weekly_Inspections!$AZ850,IF(Weekly_Inspections!$BA850&lt;&gt;"",Weekly_Inspections!$BA850,IF(Weekly_Inspections!$BB850&lt;&gt;"",Weekly_Inspections!$BB850,Weekly_Inspections!$R850)))))</f>
        <v/>
      </c>
      <c r="G850">
        <f>IF(OR(Weekly_Inspections!$AQ850&lt;&gt;"",Weekly_Inspections!$AR850&lt;&gt;"",Weekly_Inspections!$AS850&lt;&gt;""),Weekly_Inspections!$AQ850,"")</f>
        <v/>
      </c>
      <c r="H850">
        <f>Weekly_Inspections!$AP850</f>
        <v/>
      </c>
      <c r="I850">
        <f>Weekly_Inspections!$AR850</f>
        <v/>
      </c>
      <c r="J850">
        <f>Weekly_Inspections!$AS850</f>
        <v/>
      </c>
      <c r="K850">
        <f>Weekly_Inspections!$AU850</f>
        <v/>
      </c>
      <c r="L850" s="47">
        <f>Weekly_Inspections!$AV850</f>
        <v/>
      </c>
      <c r="M850">
        <f>IF($B850="","",IF($N850&lt;&gt;"","Closed",IF(OR($G850&lt;&gt;"",$I850&lt;&gt;"",$J850&lt;&gt;""),"Open","")))</f>
        <v/>
      </c>
      <c r="N850" s="47" t="n"/>
      <c r="O850">
        <f>IF($B850="","",IF($M850="Closed",IF($N850="","",$N850-$B850),TODAY()-$B850))</f>
        <v/>
      </c>
      <c r="P850">
        <f>IF(OR($B850="",$L850="",$M850="Closed"),"",IF(TODAY()&gt;$L850,"YES","NO"))</f>
        <v/>
      </c>
      <c r="Q850">
        <f>Weekly_Inspections!$AW850</f>
        <v/>
      </c>
    </row>
    <row r="851" ht="15" customHeight="1" s="45">
      <c r="A851">
        <f>IF(Weekly_Inspections!$B851="","",Weekly_Inspections!$A851&amp;"-A1")</f>
        <v/>
      </c>
      <c r="B851" s="47">
        <f>Weekly_Inspections!$B851</f>
        <v/>
      </c>
      <c r="C851">
        <f>Weekly_Inspections!$E851</f>
        <v/>
      </c>
      <c r="D851">
        <f>Weekly_Inspections!$F851</f>
        <v/>
      </c>
      <c r="E851">
        <f>Weekly_Inspections!$H851</f>
        <v/>
      </c>
      <c r="F851">
        <f>IF(Weekly_Inspections!$AX851&lt;&gt;"",Weekly_Inspections!$AX851,IF(Weekly_Inspections!$AY851&lt;&gt;"",Weekly_Inspections!$AY851,IF(Weekly_Inspections!$AZ851&lt;&gt;"",Weekly_Inspections!$AZ851,IF(Weekly_Inspections!$BA851&lt;&gt;"",Weekly_Inspections!$BA851,IF(Weekly_Inspections!$BB851&lt;&gt;"",Weekly_Inspections!$BB851,Weekly_Inspections!$R851)))))</f>
        <v/>
      </c>
      <c r="G851">
        <f>IF(OR(Weekly_Inspections!$AQ851&lt;&gt;"",Weekly_Inspections!$AR851&lt;&gt;"",Weekly_Inspections!$AS851&lt;&gt;""),Weekly_Inspections!$AQ851,"")</f>
        <v/>
      </c>
      <c r="H851">
        <f>Weekly_Inspections!$AP851</f>
        <v/>
      </c>
      <c r="I851">
        <f>Weekly_Inspections!$AR851</f>
        <v/>
      </c>
      <c r="J851">
        <f>Weekly_Inspections!$AS851</f>
        <v/>
      </c>
      <c r="K851">
        <f>Weekly_Inspections!$AU851</f>
        <v/>
      </c>
      <c r="L851" s="47">
        <f>Weekly_Inspections!$AV851</f>
        <v/>
      </c>
      <c r="M851">
        <f>IF($B851="","",IF($N851&lt;&gt;"","Closed",IF(OR($G851&lt;&gt;"",$I851&lt;&gt;"",$J851&lt;&gt;""),"Open","")))</f>
        <v/>
      </c>
      <c r="N851" s="47" t="n"/>
      <c r="O851">
        <f>IF($B851="","",IF($M851="Closed",IF($N851="","",$N851-$B851),TODAY()-$B851))</f>
        <v/>
      </c>
      <c r="P851">
        <f>IF(OR($B851="",$L851="",$M851="Closed"),"",IF(TODAY()&gt;$L851,"YES","NO"))</f>
        <v/>
      </c>
      <c r="Q851">
        <f>Weekly_Inspections!$AW851</f>
        <v/>
      </c>
    </row>
    <row r="852" ht="15" customHeight="1" s="45">
      <c r="A852">
        <f>IF(Weekly_Inspections!$B852="","",Weekly_Inspections!$A852&amp;"-A1")</f>
        <v/>
      </c>
      <c r="B852" s="47">
        <f>Weekly_Inspections!$B852</f>
        <v/>
      </c>
      <c r="C852">
        <f>Weekly_Inspections!$E852</f>
        <v/>
      </c>
      <c r="D852">
        <f>Weekly_Inspections!$F852</f>
        <v/>
      </c>
      <c r="E852">
        <f>Weekly_Inspections!$H852</f>
        <v/>
      </c>
      <c r="F852">
        <f>IF(Weekly_Inspections!$AX852&lt;&gt;"",Weekly_Inspections!$AX852,IF(Weekly_Inspections!$AY852&lt;&gt;"",Weekly_Inspections!$AY852,IF(Weekly_Inspections!$AZ852&lt;&gt;"",Weekly_Inspections!$AZ852,IF(Weekly_Inspections!$BA852&lt;&gt;"",Weekly_Inspections!$BA852,IF(Weekly_Inspections!$BB852&lt;&gt;"",Weekly_Inspections!$BB852,Weekly_Inspections!$R852)))))</f>
        <v/>
      </c>
      <c r="G852">
        <f>IF(OR(Weekly_Inspections!$AQ852&lt;&gt;"",Weekly_Inspections!$AR852&lt;&gt;"",Weekly_Inspections!$AS852&lt;&gt;""),Weekly_Inspections!$AQ852,"")</f>
        <v/>
      </c>
      <c r="H852">
        <f>Weekly_Inspections!$AP852</f>
        <v/>
      </c>
      <c r="I852">
        <f>Weekly_Inspections!$AR852</f>
        <v/>
      </c>
      <c r="J852">
        <f>Weekly_Inspections!$AS852</f>
        <v/>
      </c>
      <c r="K852">
        <f>Weekly_Inspections!$AU852</f>
        <v/>
      </c>
      <c r="L852" s="47">
        <f>Weekly_Inspections!$AV852</f>
        <v/>
      </c>
      <c r="M852">
        <f>IF($B852="","",IF($N852&lt;&gt;"","Closed",IF(OR($G852&lt;&gt;"",$I852&lt;&gt;"",$J852&lt;&gt;""),"Open","")))</f>
        <v/>
      </c>
      <c r="N852" s="47" t="n"/>
      <c r="O852">
        <f>IF($B852="","",IF($M852="Closed",IF($N852="","",$N852-$B852),TODAY()-$B852))</f>
        <v/>
      </c>
      <c r="P852">
        <f>IF(OR($B852="",$L852="",$M852="Closed"),"",IF(TODAY()&gt;$L852,"YES","NO"))</f>
        <v/>
      </c>
      <c r="Q852">
        <f>Weekly_Inspections!$AW852</f>
        <v/>
      </c>
    </row>
    <row r="853" ht="15" customHeight="1" s="45">
      <c r="A853">
        <f>IF(Weekly_Inspections!$B853="","",Weekly_Inspections!$A853&amp;"-A1")</f>
        <v/>
      </c>
      <c r="B853" s="47">
        <f>Weekly_Inspections!$B853</f>
        <v/>
      </c>
      <c r="C853">
        <f>Weekly_Inspections!$E853</f>
        <v/>
      </c>
      <c r="D853">
        <f>Weekly_Inspections!$F853</f>
        <v/>
      </c>
      <c r="E853">
        <f>Weekly_Inspections!$H853</f>
        <v/>
      </c>
      <c r="F853">
        <f>IF(Weekly_Inspections!$AX853&lt;&gt;"",Weekly_Inspections!$AX853,IF(Weekly_Inspections!$AY853&lt;&gt;"",Weekly_Inspections!$AY853,IF(Weekly_Inspections!$AZ853&lt;&gt;"",Weekly_Inspections!$AZ853,IF(Weekly_Inspections!$BA853&lt;&gt;"",Weekly_Inspections!$BA853,IF(Weekly_Inspections!$BB853&lt;&gt;"",Weekly_Inspections!$BB853,Weekly_Inspections!$R853)))))</f>
        <v/>
      </c>
      <c r="G853">
        <f>IF(OR(Weekly_Inspections!$AQ853&lt;&gt;"",Weekly_Inspections!$AR853&lt;&gt;"",Weekly_Inspections!$AS853&lt;&gt;""),Weekly_Inspections!$AQ853,"")</f>
        <v/>
      </c>
      <c r="H853">
        <f>Weekly_Inspections!$AP853</f>
        <v/>
      </c>
      <c r="I853">
        <f>Weekly_Inspections!$AR853</f>
        <v/>
      </c>
      <c r="J853">
        <f>Weekly_Inspections!$AS853</f>
        <v/>
      </c>
      <c r="K853">
        <f>Weekly_Inspections!$AU853</f>
        <v/>
      </c>
      <c r="L853" s="47">
        <f>Weekly_Inspections!$AV853</f>
        <v/>
      </c>
      <c r="M853">
        <f>IF($B853="","",IF($N853&lt;&gt;"","Closed",IF(OR($G853&lt;&gt;"",$I853&lt;&gt;"",$J853&lt;&gt;""),"Open","")))</f>
        <v/>
      </c>
      <c r="N853" s="47" t="n"/>
      <c r="O853">
        <f>IF($B853="","",IF($M853="Closed",IF($N853="","",$N853-$B853),TODAY()-$B853))</f>
        <v/>
      </c>
      <c r="P853">
        <f>IF(OR($B853="",$L853="",$M853="Closed"),"",IF(TODAY()&gt;$L853,"YES","NO"))</f>
        <v/>
      </c>
      <c r="Q853">
        <f>Weekly_Inspections!$AW853</f>
        <v/>
      </c>
    </row>
    <row r="854" ht="15" customHeight="1" s="45">
      <c r="A854">
        <f>IF(Weekly_Inspections!$B854="","",Weekly_Inspections!$A854&amp;"-A1")</f>
        <v/>
      </c>
      <c r="B854" s="47">
        <f>Weekly_Inspections!$B854</f>
        <v/>
      </c>
      <c r="C854">
        <f>Weekly_Inspections!$E854</f>
        <v/>
      </c>
      <c r="D854">
        <f>Weekly_Inspections!$F854</f>
        <v/>
      </c>
      <c r="E854">
        <f>Weekly_Inspections!$H854</f>
        <v/>
      </c>
      <c r="F854">
        <f>IF(Weekly_Inspections!$AX854&lt;&gt;"",Weekly_Inspections!$AX854,IF(Weekly_Inspections!$AY854&lt;&gt;"",Weekly_Inspections!$AY854,IF(Weekly_Inspections!$AZ854&lt;&gt;"",Weekly_Inspections!$AZ854,IF(Weekly_Inspections!$BA854&lt;&gt;"",Weekly_Inspections!$BA854,IF(Weekly_Inspections!$BB854&lt;&gt;"",Weekly_Inspections!$BB854,Weekly_Inspections!$R854)))))</f>
        <v/>
      </c>
      <c r="G854">
        <f>IF(OR(Weekly_Inspections!$AQ854&lt;&gt;"",Weekly_Inspections!$AR854&lt;&gt;"",Weekly_Inspections!$AS854&lt;&gt;""),Weekly_Inspections!$AQ854,"")</f>
        <v/>
      </c>
      <c r="H854">
        <f>Weekly_Inspections!$AP854</f>
        <v/>
      </c>
      <c r="I854">
        <f>Weekly_Inspections!$AR854</f>
        <v/>
      </c>
      <c r="J854">
        <f>Weekly_Inspections!$AS854</f>
        <v/>
      </c>
      <c r="K854">
        <f>Weekly_Inspections!$AU854</f>
        <v/>
      </c>
      <c r="L854" s="47">
        <f>Weekly_Inspections!$AV854</f>
        <v/>
      </c>
      <c r="M854">
        <f>IF($B854="","",IF($N854&lt;&gt;"","Closed",IF(OR($G854&lt;&gt;"",$I854&lt;&gt;"",$J854&lt;&gt;""),"Open","")))</f>
        <v/>
      </c>
      <c r="N854" s="47" t="n"/>
      <c r="O854">
        <f>IF($B854="","",IF($M854="Closed",IF($N854="","",$N854-$B854),TODAY()-$B854))</f>
        <v/>
      </c>
      <c r="P854">
        <f>IF(OR($B854="",$L854="",$M854="Closed"),"",IF(TODAY()&gt;$L854,"YES","NO"))</f>
        <v/>
      </c>
      <c r="Q854">
        <f>Weekly_Inspections!$AW854</f>
        <v/>
      </c>
    </row>
    <row r="855" ht="15" customHeight="1" s="45">
      <c r="A855">
        <f>IF(Weekly_Inspections!$B855="","",Weekly_Inspections!$A855&amp;"-A1")</f>
        <v/>
      </c>
      <c r="B855" s="47">
        <f>Weekly_Inspections!$B855</f>
        <v/>
      </c>
      <c r="C855">
        <f>Weekly_Inspections!$E855</f>
        <v/>
      </c>
      <c r="D855">
        <f>Weekly_Inspections!$F855</f>
        <v/>
      </c>
      <c r="E855">
        <f>Weekly_Inspections!$H855</f>
        <v/>
      </c>
      <c r="F855">
        <f>IF(Weekly_Inspections!$AX855&lt;&gt;"",Weekly_Inspections!$AX855,IF(Weekly_Inspections!$AY855&lt;&gt;"",Weekly_Inspections!$AY855,IF(Weekly_Inspections!$AZ855&lt;&gt;"",Weekly_Inspections!$AZ855,IF(Weekly_Inspections!$BA855&lt;&gt;"",Weekly_Inspections!$BA855,IF(Weekly_Inspections!$BB855&lt;&gt;"",Weekly_Inspections!$BB855,Weekly_Inspections!$R855)))))</f>
        <v/>
      </c>
      <c r="G855">
        <f>IF(OR(Weekly_Inspections!$AQ855&lt;&gt;"",Weekly_Inspections!$AR855&lt;&gt;"",Weekly_Inspections!$AS855&lt;&gt;""),Weekly_Inspections!$AQ855,"")</f>
        <v/>
      </c>
      <c r="H855">
        <f>Weekly_Inspections!$AP855</f>
        <v/>
      </c>
      <c r="I855">
        <f>Weekly_Inspections!$AR855</f>
        <v/>
      </c>
      <c r="J855">
        <f>Weekly_Inspections!$AS855</f>
        <v/>
      </c>
      <c r="K855">
        <f>Weekly_Inspections!$AU855</f>
        <v/>
      </c>
      <c r="L855" s="47">
        <f>Weekly_Inspections!$AV855</f>
        <v/>
      </c>
      <c r="M855">
        <f>IF($B855="","",IF($N855&lt;&gt;"","Closed",IF(OR($G855&lt;&gt;"",$I855&lt;&gt;"",$J855&lt;&gt;""),"Open","")))</f>
        <v/>
      </c>
      <c r="N855" s="47" t="n"/>
      <c r="O855">
        <f>IF($B855="","",IF($M855="Closed",IF($N855="","",$N855-$B855),TODAY()-$B855))</f>
        <v/>
      </c>
      <c r="P855">
        <f>IF(OR($B855="",$L855="",$M855="Closed"),"",IF(TODAY()&gt;$L855,"YES","NO"))</f>
        <v/>
      </c>
      <c r="Q855">
        <f>Weekly_Inspections!$AW855</f>
        <v/>
      </c>
    </row>
    <row r="856" ht="15" customHeight="1" s="45">
      <c r="A856">
        <f>IF(Weekly_Inspections!$B856="","",Weekly_Inspections!$A856&amp;"-A1")</f>
        <v/>
      </c>
      <c r="B856" s="47">
        <f>Weekly_Inspections!$B856</f>
        <v/>
      </c>
      <c r="C856">
        <f>Weekly_Inspections!$E856</f>
        <v/>
      </c>
      <c r="D856">
        <f>Weekly_Inspections!$F856</f>
        <v/>
      </c>
      <c r="E856">
        <f>Weekly_Inspections!$H856</f>
        <v/>
      </c>
      <c r="F856">
        <f>IF(Weekly_Inspections!$AX856&lt;&gt;"",Weekly_Inspections!$AX856,IF(Weekly_Inspections!$AY856&lt;&gt;"",Weekly_Inspections!$AY856,IF(Weekly_Inspections!$AZ856&lt;&gt;"",Weekly_Inspections!$AZ856,IF(Weekly_Inspections!$BA856&lt;&gt;"",Weekly_Inspections!$BA856,IF(Weekly_Inspections!$BB856&lt;&gt;"",Weekly_Inspections!$BB856,Weekly_Inspections!$R856)))))</f>
        <v/>
      </c>
      <c r="G856">
        <f>IF(OR(Weekly_Inspections!$AQ856&lt;&gt;"",Weekly_Inspections!$AR856&lt;&gt;"",Weekly_Inspections!$AS856&lt;&gt;""),Weekly_Inspections!$AQ856,"")</f>
        <v/>
      </c>
      <c r="H856">
        <f>Weekly_Inspections!$AP856</f>
        <v/>
      </c>
      <c r="I856">
        <f>Weekly_Inspections!$AR856</f>
        <v/>
      </c>
      <c r="J856">
        <f>Weekly_Inspections!$AS856</f>
        <v/>
      </c>
      <c r="K856">
        <f>Weekly_Inspections!$AU856</f>
        <v/>
      </c>
      <c r="L856" s="47">
        <f>Weekly_Inspections!$AV856</f>
        <v/>
      </c>
      <c r="M856">
        <f>IF($B856="","",IF($N856&lt;&gt;"","Closed",IF(OR($G856&lt;&gt;"",$I856&lt;&gt;"",$J856&lt;&gt;""),"Open","")))</f>
        <v/>
      </c>
      <c r="N856" s="47" t="n"/>
      <c r="O856">
        <f>IF($B856="","",IF($M856="Closed",IF($N856="","",$N856-$B856),TODAY()-$B856))</f>
        <v/>
      </c>
      <c r="P856">
        <f>IF(OR($B856="",$L856="",$M856="Closed"),"",IF(TODAY()&gt;$L856,"YES","NO"))</f>
        <v/>
      </c>
      <c r="Q856">
        <f>Weekly_Inspections!$AW856</f>
        <v/>
      </c>
    </row>
    <row r="857" ht="15" customHeight="1" s="45">
      <c r="A857">
        <f>IF(Weekly_Inspections!$B857="","",Weekly_Inspections!$A857&amp;"-A1")</f>
        <v/>
      </c>
      <c r="B857" s="47">
        <f>Weekly_Inspections!$B857</f>
        <v/>
      </c>
      <c r="C857">
        <f>Weekly_Inspections!$E857</f>
        <v/>
      </c>
      <c r="D857">
        <f>Weekly_Inspections!$F857</f>
        <v/>
      </c>
      <c r="E857">
        <f>Weekly_Inspections!$H857</f>
        <v/>
      </c>
      <c r="F857">
        <f>IF(Weekly_Inspections!$AX857&lt;&gt;"",Weekly_Inspections!$AX857,IF(Weekly_Inspections!$AY857&lt;&gt;"",Weekly_Inspections!$AY857,IF(Weekly_Inspections!$AZ857&lt;&gt;"",Weekly_Inspections!$AZ857,IF(Weekly_Inspections!$BA857&lt;&gt;"",Weekly_Inspections!$BA857,IF(Weekly_Inspections!$BB857&lt;&gt;"",Weekly_Inspections!$BB857,Weekly_Inspections!$R857)))))</f>
        <v/>
      </c>
      <c r="G857">
        <f>IF(OR(Weekly_Inspections!$AQ857&lt;&gt;"",Weekly_Inspections!$AR857&lt;&gt;"",Weekly_Inspections!$AS857&lt;&gt;""),Weekly_Inspections!$AQ857,"")</f>
        <v/>
      </c>
      <c r="H857">
        <f>Weekly_Inspections!$AP857</f>
        <v/>
      </c>
      <c r="I857">
        <f>Weekly_Inspections!$AR857</f>
        <v/>
      </c>
      <c r="J857">
        <f>Weekly_Inspections!$AS857</f>
        <v/>
      </c>
      <c r="K857">
        <f>Weekly_Inspections!$AU857</f>
        <v/>
      </c>
      <c r="L857" s="47">
        <f>Weekly_Inspections!$AV857</f>
        <v/>
      </c>
      <c r="M857">
        <f>IF($B857="","",IF($N857&lt;&gt;"","Closed",IF(OR($G857&lt;&gt;"",$I857&lt;&gt;"",$J857&lt;&gt;""),"Open","")))</f>
        <v/>
      </c>
      <c r="N857" s="47" t="n"/>
      <c r="O857">
        <f>IF($B857="","",IF($M857="Closed",IF($N857="","",$N857-$B857),TODAY()-$B857))</f>
        <v/>
      </c>
      <c r="P857">
        <f>IF(OR($B857="",$L857="",$M857="Closed"),"",IF(TODAY()&gt;$L857,"YES","NO"))</f>
        <v/>
      </c>
      <c r="Q857">
        <f>Weekly_Inspections!$AW857</f>
        <v/>
      </c>
    </row>
    <row r="858" ht="15" customHeight="1" s="45">
      <c r="A858">
        <f>IF(Weekly_Inspections!$B858="","",Weekly_Inspections!$A858&amp;"-A1")</f>
        <v/>
      </c>
      <c r="B858" s="47">
        <f>Weekly_Inspections!$B858</f>
        <v/>
      </c>
      <c r="C858">
        <f>Weekly_Inspections!$E858</f>
        <v/>
      </c>
      <c r="D858">
        <f>Weekly_Inspections!$F858</f>
        <v/>
      </c>
      <c r="E858">
        <f>Weekly_Inspections!$H858</f>
        <v/>
      </c>
      <c r="F858">
        <f>IF(Weekly_Inspections!$AX858&lt;&gt;"",Weekly_Inspections!$AX858,IF(Weekly_Inspections!$AY858&lt;&gt;"",Weekly_Inspections!$AY858,IF(Weekly_Inspections!$AZ858&lt;&gt;"",Weekly_Inspections!$AZ858,IF(Weekly_Inspections!$BA858&lt;&gt;"",Weekly_Inspections!$BA858,IF(Weekly_Inspections!$BB858&lt;&gt;"",Weekly_Inspections!$BB858,Weekly_Inspections!$R858)))))</f>
        <v/>
      </c>
      <c r="G858">
        <f>IF(OR(Weekly_Inspections!$AQ858&lt;&gt;"",Weekly_Inspections!$AR858&lt;&gt;"",Weekly_Inspections!$AS858&lt;&gt;""),Weekly_Inspections!$AQ858,"")</f>
        <v/>
      </c>
      <c r="H858">
        <f>Weekly_Inspections!$AP858</f>
        <v/>
      </c>
      <c r="I858">
        <f>Weekly_Inspections!$AR858</f>
        <v/>
      </c>
      <c r="J858">
        <f>Weekly_Inspections!$AS858</f>
        <v/>
      </c>
      <c r="K858">
        <f>Weekly_Inspections!$AU858</f>
        <v/>
      </c>
      <c r="L858" s="47">
        <f>Weekly_Inspections!$AV858</f>
        <v/>
      </c>
      <c r="M858">
        <f>IF($B858="","",IF($N858&lt;&gt;"","Closed",IF(OR($G858&lt;&gt;"",$I858&lt;&gt;"",$J858&lt;&gt;""),"Open","")))</f>
        <v/>
      </c>
      <c r="N858" s="47" t="n"/>
      <c r="O858">
        <f>IF($B858="","",IF($M858="Closed",IF($N858="","",$N858-$B858),TODAY()-$B858))</f>
        <v/>
      </c>
      <c r="P858">
        <f>IF(OR($B858="",$L858="",$M858="Closed"),"",IF(TODAY()&gt;$L858,"YES","NO"))</f>
        <v/>
      </c>
      <c r="Q858">
        <f>Weekly_Inspections!$AW858</f>
        <v/>
      </c>
    </row>
    <row r="859" ht="15" customHeight="1" s="45">
      <c r="A859">
        <f>IF(Weekly_Inspections!$B859="","",Weekly_Inspections!$A859&amp;"-A1")</f>
        <v/>
      </c>
      <c r="B859" s="47">
        <f>Weekly_Inspections!$B859</f>
        <v/>
      </c>
      <c r="C859">
        <f>Weekly_Inspections!$E859</f>
        <v/>
      </c>
      <c r="D859">
        <f>Weekly_Inspections!$F859</f>
        <v/>
      </c>
      <c r="E859">
        <f>Weekly_Inspections!$H859</f>
        <v/>
      </c>
      <c r="F859">
        <f>IF(Weekly_Inspections!$AX859&lt;&gt;"",Weekly_Inspections!$AX859,IF(Weekly_Inspections!$AY859&lt;&gt;"",Weekly_Inspections!$AY859,IF(Weekly_Inspections!$AZ859&lt;&gt;"",Weekly_Inspections!$AZ859,IF(Weekly_Inspections!$BA859&lt;&gt;"",Weekly_Inspections!$BA859,IF(Weekly_Inspections!$BB859&lt;&gt;"",Weekly_Inspections!$BB859,Weekly_Inspections!$R859)))))</f>
        <v/>
      </c>
      <c r="G859">
        <f>IF(OR(Weekly_Inspections!$AQ859&lt;&gt;"",Weekly_Inspections!$AR859&lt;&gt;"",Weekly_Inspections!$AS859&lt;&gt;""),Weekly_Inspections!$AQ859,"")</f>
        <v/>
      </c>
      <c r="H859">
        <f>Weekly_Inspections!$AP859</f>
        <v/>
      </c>
      <c r="I859">
        <f>Weekly_Inspections!$AR859</f>
        <v/>
      </c>
      <c r="J859">
        <f>Weekly_Inspections!$AS859</f>
        <v/>
      </c>
      <c r="K859">
        <f>Weekly_Inspections!$AU859</f>
        <v/>
      </c>
      <c r="L859" s="47">
        <f>Weekly_Inspections!$AV859</f>
        <v/>
      </c>
      <c r="M859">
        <f>IF($B859="","",IF($N859&lt;&gt;"","Closed",IF(OR($G859&lt;&gt;"",$I859&lt;&gt;"",$J859&lt;&gt;""),"Open","")))</f>
        <v/>
      </c>
      <c r="N859" s="47" t="n"/>
      <c r="O859">
        <f>IF($B859="","",IF($M859="Closed",IF($N859="","",$N859-$B859),TODAY()-$B859))</f>
        <v/>
      </c>
      <c r="P859">
        <f>IF(OR($B859="",$L859="",$M859="Closed"),"",IF(TODAY()&gt;$L859,"YES","NO"))</f>
        <v/>
      </c>
      <c r="Q859">
        <f>Weekly_Inspections!$AW859</f>
        <v/>
      </c>
    </row>
    <row r="860" ht="15" customHeight="1" s="45">
      <c r="A860">
        <f>IF(Weekly_Inspections!$B860="","",Weekly_Inspections!$A860&amp;"-A1")</f>
        <v/>
      </c>
      <c r="B860" s="47">
        <f>Weekly_Inspections!$B860</f>
        <v/>
      </c>
      <c r="C860">
        <f>Weekly_Inspections!$E860</f>
        <v/>
      </c>
      <c r="D860">
        <f>Weekly_Inspections!$F860</f>
        <v/>
      </c>
      <c r="E860">
        <f>Weekly_Inspections!$H860</f>
        <v/>
      </c>
      <c r="F860">
        <f>IF(Weekly_Inspections!$AX860&lt;&gt;"",Weekly_Inspections!$AX860,IF(Weekly_Inspections!$AY860&lt;&gt;"",Weekly_Inspections!$AY860,IF(Weekly_Inspections!$AZ860&lt;&gt;"",Weekly_Inspections!$AZ860,IF(Weekly_Inspections!$BA860&lt;&gt;"",Weekly_Inspections!$BA860,IF(Weekly_Inspections!$BB860&lt;&gt;"",Weekly_Inspections!$BB860,Weekly_Inspections!$R860)))))</f>
        <v/>
      </c>
      <c r="G860">
        <f>IF(OR(Weekly_Inspections!$AQ860&lt;&gt;"",Weekly_Inspections!$AR860&lt;&gt;"",Weekly_Inspections!$AS860&lt;&gt;""),Weekly_Inspections!$AQ860,"")</f>
        <v/>
      </c>
      <c r="H860">
        <f>Weekly_Inspections!$AP860</f>
        <v/>
      </c>
      <c r="I860">
        <f>Weekly_Inspections!$AR860</f>
        <v/>
      </c>
      <c r="J860">
        <f>Weekly_Inspections!$AS860</f>
        <v/>
      </c>
      <c r="K860">
        <f>Weekly_Inspections!$AU860</f>
        <v/>
      </c>
      <c r="L860" s="47">
        <f>Weekly_Inspections!$AV860</f>
        <v/>
      </c>
      <c r="M860">
        <f>IF($B860="","",IF($N860&lt;&gt;"","Closed",IF(OR($G860&lt;&gt;"",$I860&lt;&gt;"",$J860&lt;&gt;""),"Open","")))</f>
        <v/>
      </c>
      <c r="N860" s="47" t="n"/>
      <c r="O860">
        <f>IF($B860="","",IF($M860="Closed",IF($N860="","",$N860-$B860),TODAY()-$B860))</f>
        <v/>
      </c>
      <c r="P860">
        <f>IF(OR($B860="",$L860="",$M860="Closed"),"",IF(TODAY()&gt;$L860,"YES","NO"))</f>
        <v/>
      </c>
      <c r="Q860">
        <f>Weekly_Inspections!$AW860</f>
        <v/>
      </c>
    </row>
    <row r="861" ht="15" customHeight="1" s="45">
      <c r="A861">
        <f>IF(Weekly_Inspections!$B861="","",Weekly_Inspections!$A861&amp;"-A1")</f>
        <v/>
      </c>
      <c r="B861" s="47">
        <f>Weekly_Inspections!$B861</f>
        <v/>
      </c>
      <c r="C861">
        <f>Weekly_Inspections!$E861</f>
        <v/>
      </c>
      <c r="D861">
        <f>Weekly_Inspections!$F861</f>
        <v/>
      </c>
      <c r="E861">
        <f>Weekly_Inspections!$H861</f>
        <v/>
      </c>
      <c r="F861">
        <f>IF(Weekly_Inspections!$AX861&lt;&gt;"",Weekly_Inspections!$AX861,IF(Weekly_Inspections!$AY861&lt;&gt;"",Weekly_Inspections!$AY861,IF(Weekly_Inspections!$AZ861&lt;&gt;"",Weekly_Inspections!$AZ861,IF(Weekly_Inspections!$BA861&lt;&gt;"",Weekly_Inspections!$BA861,IF(Weekly_Inspections!$BB861&lt;&gt;"",Weekly_Inspections!$BB861,Weekly_Inspections!$R861)))))</f>
        <v/>
      </c>
      <c r="G861">
        <f>IF(OR(Weekly_Inspections!$AQ861&lt;&gt;"",Weekly_Inspections!$AR861&lt;&gt;"",Weekly_Inspections!$AS861&lt;&gt;""),Weekly_Inspections!$AQ861,"")</f>
        <v/>
      </c>
      <c r="H861">
        <f>Weekly_Inspections!$AP861</f>
        <v/>
      </c>
      <c r="I861">
        <f>Weekly_Inspections!$AR861</f>
        <v/>
      </c>
      <c r="J861">
        <f>Weekly_Inspections!$AS861</f>
        <v/>
      </c>
      <c r="K861">
        <f>Weekly_Inspections!$AU861</f>
        <v/>
      </c>
      <c r="L861" s="47">
        <f>Weekly_Inspections!$AV861</f>
        <v/>
      </c>
      <c r="M861">
        <f>IF($B861="","",IF($N861&lt;&gt;"","Closed",IF(OR($G861&lt;&gt;"",$I861&lt;&gt;"",$J861&lt;&gt;""),"Open","")))</f>
        <v/>
      </c>
      <c r="N861" s="47" t="n"/>
      <c r="O861">
        <f>IF($B861="","",IF($M861="Closed",IF($N861="","",$N861-$B861),TODAY()-$B861))</f>
        <v/>
      </c>
      <c r="P861">
        <f>IF(OR($B861="",$L861="",$M861="Closed"),"",IF(TODAY()&gt;$L861,"YES","NO"))</f>
        <v/>
      </c>
      <c r="Q861">
        <f>Weekly_Inspections!$AW861</f>
        <v/>
      </c>
    </row>
    <row r="862" ht="15" customHeight="1" s="45">
      <c r="A862">
        <f>IF(Weekly_Inspections!$B862="","",Weekly_Inspections!$A862&amp;"-A1")</f>
        <v/>
      </c>
      <c r="B862" s="47">
        <f>Weekly_Inspections!$B862</f>
        <v/>
      </c>
      <c r="C862">
        <f>Weekly_Inspections!$E862</f>
        <v/>
      </c>
      <c r="D862">
        <f>Weekly_Inspections!$F862</f>
        <v/>
      </c>
      <c r="E862">
        <f>Weekly_Inspections!$H862</f>
        <v/>
      </c>
      <c r="F862">
        <f>IF(Weekly_Inspections!$AX862&lt;&gt;"",Weekly_Inspections!$AX862,IF(Weekly_Inspections!$AY862&lt;&gt;"",Weekly_Inspections!$AY862,IF(Weekly_Inspections!$AZ862&lt;&gt;"",Weekly_Inspections!$AZ862,IF(Weekly_Inspections!$BA862&lt;&gt;"",Weekly_Inspections!$BA862,IF(Weekly_Inspections!$BB862&lt;&gt;"",Weekly_Inspections!$BB862,Weekly_Inspections!$R862)))))</f>
        <v/>
      </c>
      <c r="G862">
        <f>IF(OR(Weekly_Inspections!$AQ862&lt;&gt;"",Weekly_Inspections!$AR862&lt;&gt;"",Weekly_Inspections!$AS862&lt;&gt;""),Weekly_Inspections!$AQ862,"")</f>
        <v/>
      </c>
      <c r="H862">
        <f>Weekly_Inspections!$AP862</f>
        <v/>
      </c>
      <c r="I862">
        <f>Weekly_Inspections!$AR862</f>
        <v/>
      </c>
      <c r="J862">
        <f>Weekly_Inspections!$AS862</f>
        <v/>
      </c>
      <c r="K862">
        <f>Weekly_Inspections!$AU862</f>
        <v/>
      </c>
      <c r="L862" s="47">
        <f>Weekly_Inspections!$AV862</f>
        <v/>
      </c>
      <c r="M862">
        <f>IF($B862="","",IF($N862&lt;&gt;"","Closed",IF(OR($G862&lt;&gt;"",$I862&lt;&gt;"",$J862&lt;&gt;""),"Open","")))</f>
        <v/>
      </c>
      <c r="N862" s="47" t="n"/>
      <c r="O862">
        <f>IF($B862="","",IF($M862="Closed",IF($N862="","",$N862-$B862),TODAY()-$B862))</f>
        <v/>
      </c>
      <c r="P862">
        <f>IF(OR($B862="",$L862="",$M862="Closed"),"",IF(TODAY()&gt;$L862,"YES","NO"))</f>
        <v/>
      </c>
      <c r="Q862">
        <f>Weekly_Inspections!$AW862</f>
        <v/>
      </c>
    </row>
    <row r="863" ht="15" customHeight="1" s="45">
      <c r="A863">
        <f>IF(Weekly_Inspections!$B863="","",Weekly_Inspections!$A863&amp;"-A1")</f>
        <v/>
      </c>
      <c r="B863" s="47">
        <f>Weekly_Inspections!$B863</f>
        <v/>
      </c>
      <c r="C863">
        <f>Weekly_Inspections!$E863</f>
        <v/>
      </c>
      <c r="D863">
        <f>Weekly_Inspections!$F863</f>
        <v/>
      </c>
      <c r="E863">
        <f>Weekly_Inspections!$H863</f>
        <v/>
      </c>
      <c r="F863">
        <f>IF(Weekly_Inspections!$AX863&lt;&gt;"",Weekly_Inspections!$AX863,IF(Weekly_Inspections!$AY863&lt;&gt;"",Weekly_Inspections!$AY863,IF(Weekly_Inspections!$AZ863&lt;&gt;"",Weekly_Inspections!$AZ863,IF(Weekly_Inspections!$BA863&lt;&gt;"",Weekly_Inspections!$BA863,IF(Weekly_Inspections!$BB863&lt;&gt;"",Weekly_Inspections!$BB863,Weekly_Inspections!$R863)))))</f>
        <v/>
      </c>
      <c r="G863">
        <f>IF(OR(Weekly_Inspections!$AQ863&lt;&gt;"",Weekly_Inspections!$AR863&lt;&gt;"",Weekly_Inspections!$AS863&lt;&gt;""),Weekly_Inspections!$AQ863,"")</f>
        <v/>
      </c>
      <c r="H863">
        <f>Weekly_Inspections!$AP863</f>
        <v/>
      </c>
      <c r="I863">
        <f>Weekly_Inspections!$AR863</f>
        <v/>
      </c>
      <c r="J863">
        <f>Weekly_Inspections!$AS863</f>
        <v/>
      </c>
      <c r="K863">
        <f>Weekly_Inspections!$AU863</f>
        <v/>
      </c>
      <c r="L863" s="47">
        <f>Weekly_Inspections!$AV863</f>
        <v/>
      </c>
      <c r="M863">
        <f>IF($B863="","",IF($N863&lt;&gt;"","Closed",IF(OR($G863&lt;&gt;"",$I863&lt;&gt;"",$J863&lt;&gt;""),"Open","")))</f>
        <v/>
      </c>
      <c r="N863" s="47" t="n"/>
      <c r="O863">
        <f>IF($B863="","",IF($M863="Closed",IF($N863="","",$N863-$B863),TODAY()-$B863))</f>
        <v/>
      </c>
      <c r="P863">
        <f>IF(OR($B863="",$L863="",$M863="Closed"),"",IF(TODAY()&gt;$L863,"YES","NO"))</f>
        <v/>
      </c>
      <c r="Q863">
        <f>Weekly_Inspections!$AW863</f>
        <v/>
      </c>
    </row>
    <row r="864" ht="15" customHeight="1" s="45">
      <c r="A864">
        <f>IF(Weekly_Inspections!$B864="","",Weekly_Inspections!$A864&amp;"-A1")</f>
        <v/>
      </c>
      <c r="B864" s="47">
        <f>Weekly_Inspections!$B864</f>
        <v/>
      </c>
      <c r="C864">
        <f>Weekly_Inspections!$E864</f>
        <v/>
      </c>
      <c r="D864">
        <f>Weekly_Inspections!$F864</f>
        <v/>
      </c>
      <c r="E864">
        <f>Weekly_Inspections!$H864</f>
        <v/>
      </c>
      <c r="F864">
        <f>IF(Weekly_Inspections!$AX864&lt;&gt;"",Weekly_Inspections!$AX864,IF(Weekly_Inspections!$AY864&lt;&gt;"",Weekly_Inspections!$AY864,IF(Weekly_Inspections!$AZ864&lt;&gt;"",Weekly_Inspections!$AZ864,IF(Weekly_Inspections!$BA864&lt;&gt;"",Weekly_Inspections!$BA864,IF(Weekly_Inspections!$BB864&lt;&gt;"",Weekly_Inspections!$BB864,Weekly_Inspections!$R864)))))</f>
        <v/>
      </c>
      <c r="G864">
        <f>IF(OR(Weekly_Inspections!$AQ864&lt;&gt;"",Weekly_Inspections!$AR864&lt;&gt;"",Weekly_Inspections!$AS864&lt;&gt;""),Weekly_Inspections!$AQ864,"")</f>
        <v/>
      </c>
      <c r="H864">
        <f>Weekly_Inspections!$AP864</f>
        <v/>
      </c>
      <c r="I864">
        <f>Weekly_Inspections!$AR864</f>
        <v/>
      </c>
      <c r="J864">
        <f>Weekly_Inspections!$AS864</f>
        <v/>
      </c>
      <c r="K864">
        <f>Weekly_Inspections!$AU864</f>
        <v/>
      </c>
      <c r="L864" s="47">
        <f>Weekly_Inspections!$AV864</f>
        <v/>
      </c>
      <c r="M864">
        <f>IF($B864="","",IF($N864&lt;&gt;"","Closed",IF(OR($G864&lt;&gt;"",$I864&lt;&gt;"",$J864&lt;&gt;""),"Open","")))</f>
        <v/>
      </c>
      <c r="N864" s="47" t="n"/>
      <c r="O864">
        <f>IF($B864="","",IF($M864="Closed",IF($N864="","",$N864-$B864),TODAY()-$B864))</f>
        <v/>
      </c>
      <c r="P864">
        <f>IF(OR($B864="",$L864="",$M864="Closed"),"",IF(TODAY()&gt;$L864,"YES","NO"))</f>
        <v/>
      </c>
      <c r="Q864">
        <f>Weekly_Inspections!$AW864</f>
        <v/>
      </c>
    </row>
    <row r="865" ht="15" customHeight="1" s="45">
      <c r="A865">
        <f>IF(Weekly_Inspections!$B865="","",Weekly_Inspections!$A865&amp;"-A1")</f>
        <v/>
      </c>
      <c r="B865" s="47">
        <f>Weekly_Inspections!$B865</f>
        <v/>
      </c>
      <c r="C865">
        <f>Weekly_Inspections!$E865</f>
        <v/>
      </c>
      <c r="D865">
        <f>Weekly_Inspections!$F865</f>
        <v/>
      </c>
      <c r="E865">
        <f>Weekly_Inspections!$H865</f>
        <v/>
      </c>
      <c r="F865">
        <f>IF(Weekly_Inspections!$AX865&lt;&gt;"",Weekly_Inspections!$AX865,IF(Weekly_Inspections!$AY865&lt;&gt;"",Weekly_Inspections!$AY865,IF(Weekly_Inspections!$AZ865&lt;&gt;"",Weekly_Inspections!$AZ865,IF(Weekly_Inspections!$BA865&lt;&gt;"",Weekly_Inspections!$BA865,IF(Weekly_Inspections!$BB865&lt;&gt;"",Weekly_Inspections!$BB865,Weekly_Inspections!$R865)))))</f>
        <v/>
      </c>
      <c r="G865">
        <f>IF(OR(Weekly_Inspections!$AQ865&lt;&gt;"",Weekly_Inspections!$AR865&lt;&gt;"",Weekly_Inspections!$AS865&lt;&gt;""),Weekly_Inspections!$AQ865,"")</f>
        <v/>
      </c>
      <c r="H865">
        <f>Weekly_Inspections!$AP865</f>
        <v/>
      </c>
      <c r="I865">
        <f>Weekly_Inspections!$AR865</f>
        <v/>
      </c>
      <c r="J865">
        <f>Weekly_Inspections!$AS865</f>
        <v/>
      </c>
      <c r="K865">
        <f>Weekly_Inspections!$AU865</f>
        <v/>
      </c>
      <c r="L865" s="47">
        <f>Weekly_Inspections!$AV865</f>
        <v/>
      </c>
      <c r="M865">
        <f>IF($B865="","",IF($N865&lt;&gt;"","Closed",IF(OR($G865&lt;&gt;"",$I865&lt;&gt;"",$J865&lt;&gt;""),"Open","")))</f>
        <v/>
      </c>
      <c r="N865" s="47" t="n"/>
      <c r="O865">
        <f>IF($B865="","",IF($M865="Closed",IF($N865="","",$N865-$B865),TODAY()-$B865))</f>
        <v/>
      </c>
      <c r="P865">
        <f>IF(OR($B865="",$L865="",$M865="Closed"),"",IF(TODAY()&gt;$L865,"YES","NO"))</f>
        <v/>
      </c>
      <c r="Q865">
        <f>Weekly_Inspections!$AW865</f>
        <v/>
      </c>
    </row>
    <row r="866" ht="15" customHeight="1" s="45">
      <c r="A866">
        <f>IF(Weekly_Inspections!$B866="","",Weekly_Inspections!$A866&amp;"-A1")</f>
        <v/>
      </c>
      <c r="B866" s="47">
        <f>Weekly_Inspections!$B866</f>
        <v/>
      </c>
      <c r="C866">
        <f>Weekly_Inspections!$E866</f>
        <v/>
      </c>
      <c r="D866">
        <f>Weekly_Inspections!$F866</f>
        <v/>
      </c>
      <c r="E866">
        <f>Weekly_Inspections!$H866</f>
        <v/>
      </c>
      <c r="F866">
        <f>IF(Weekly_Inspections!$AX866&lt;&gt;"",Weekly_Inspections!$AX866,IF(Weekly_Inspections!$AY866&lt;&gt;"",Weekly_Inspections!$AY866,IF(Weekly_Inspections!$AZ866&lt;&gt;"",Weekly_Inspections!$AZ866,IF(Weekly_Inspections!$BA866&lt;&gt;"",Weekly_Inspections!$BA866,IF(Weekly_Inspections!$BB866&lt;&gt;"",Weekly_Inspections!$BB866,Weekly_Inspections!$R866)))))</f>
        <v/>
      </c>
      <c r="G866">
        <f>IF(OR(Weekly_Inspections!$AQ866&lt;&gt;"",Weekly_Inspections!$AR866&lt;&gt;"",Weekly_Inspections!$AS866&lt;&gt;""),Weekly_Inspections!$AQ866,"")</f>
        <v/>
      </c>
      <c r="H866">
        <f>Weekly_Inspections!$AP866</f>
        <v/>
      </c>
      <c r="I866">
        <f>Weekly_Inspections!$AR866</f>
        <v/>
      </c>
      <c r="J866">
        <f>Weekly_Inspections!$AS866</f>
        <v/>
      </c>
      <c r="K866">
        <f>Weekly_Inspections!$AU866</f>
        <v/>
      </c>
      <c r="L866" s="47">
        <f>Weekly_Inspections!$AV866</f>
        <v/>
      </c>
      <c r="M866">
        <f>IF($B866="","",IF($N866&lt;&gt;"","Closed",IF(OR($G866&lt;&gt;"",$I866&lt;&gt;"",$J866&lt;&gt;""),"Open","")))</f>
        <v/>
      </c>
      <c r="N866" s="47" t="n"/>
      <c r="O866">
        <f>IF($B866="","",IF($M866="Closed",IF($N866="","",$N866-$B866),TODAY()-$B866))</f>
        <v/>
      </c>
      <c r="P866">
        <f>IF(OR($B866="",$L866="",$M866="Closed"),"",IF(TODAY()&gt;$L866,"YES","NO"))</f>
        <v/>
      </c>
      <c r="Q866">
        <f>Weekly_Inspections!$AW866</f>
        <v/>
      </c>
    </row>
    <row r="867" ht="15" customHeight="1" s="45">
      <c r="A867">
        <f>IF(Weekly_Inspections!$B867="","",Weekly_Inspections!$A867&amp;"-A1")</f>
        <v/>
      </c>
      <c r="B867" s="47">
        <f>Weekly_Inspections!$B867</f>
        <v/>
      </c>
      <c r="C867">
        <f>Weekly_Inspections!$E867</f>
        <v/>
      </c>
      <c r="D867">
        <f>Weekly_Inspections!$F867</f>
        <v/>
      </c>
      <c r="E867">
        <f>Weekly_Inspections!$H867</f>
        <v/>
      </c>
      <c r="F867">
        <f>IF(Weekly_Inspections!$AX867&lt;&gt;"",Weekly_Inspections!$AX867,IF(Weekly_Inspections!$AY867&lt;&gt;"",Weekly_Inspections!$AY867,IF(Weekly_Inspections!$AZ867&lt;&gt;"",Weekly_Inspections!$AZ867,IF(Weekly_Inspections!$BA867&lt;&gt;"",Weekly_Inspections!$BA867,IF(Weekly_Inspections!$BB867&lt;&gt;"",Weekly_Inspections!$BB867,Weekly_Inspections!$R867)))))</f>
        <v/>
      </c>
      <c r="G867">
        <f>IF(OR(Weekly_Inspections!$AQ867&lt;&gt;"",Weekly_Inspections!$AR867&lt;&gt;"",Weekly_Inspections!$AS867&lt;&gt;""),Weekly_Inspections!$AQ867,"")</f>
        <v/>
      </c>
      <c r="H867">
        <f>Weekly_Inspections!$AP867</f>
        <v/>
      </c>
      <c r="I867">
        <f>Weekly_Inspections!$AR867</f>
        <v/>
      </c>
      <c r="J867">
        <f>Weekly_Inspections!$AS867</f>
        <v/>
      </c>
      <c r="K867">
        <f>Weekly_Inspections!$AU867</f>
        <v/>
      </c>
      <c r="L867" s="47">
        <f>Weekly_Inspections!$AV867</f>
        <v/>
      </c>
      <c r="M867">
        <f>IF($B867="","",IF($N867&lt;&gt;"","Closed",IF(OR($G867&lt;&gt;"",$I867&lt;&gt;"",$J867&lt;&gt;""),"Open","")))</f>
        <v/>
      </c>
      <c r="N867" s="47" t="n"/>
      <c r="O867">
        <f>IF($B867="","",IF($M867="Closed",IF($N867="","",$N867-$B867),TODAY()-$B867))</f>
        <v/>
      </c>
      <c r="P867">
        <f>IF(OR($B867="",$L867="",$M867="Closed"),"",IF(TODAY()&gt;$L867,"YES","NO"))</f>
        <v/>
      </c>
      <c r="Q867">
        <f>Weekly_Inspections!$AW867</f>
        <v/>
      </c>
    </row>
    <row r="868" ht="15" customHeight="1" s="45">
      <c r="A868">
        <f>IF(Weekly_Inspections!$B868="","",Weekly_Inspections!$A868&amp;"-A1")</f>
        <v/>
      </c>
      <c r="B868" s="47">
        <f>Weekly_Inspections!$B868</f>
        <v/>
      </c>
      <c r="C868">
        <f>Weekly_Inspections!$E868</f>
        <v/>
      </c>
      <c r="D868">
        <f>Weekly_Inspections!$F868</f>
        <v/>
      </c>
      <c r="E868">
        <f>Weekly_Inspections!$H868</f>
        <v/>
      </c>
      <c r="F868">
        <f>IF(Weekly_Inspections!$AX868&lt;&gt;"",Weekly_Inspections!$AX868,IF(Weekly_Inspections!$AY868&lt;&gt;"",Weekly_Inspections!$AY868,IF(Weekly_Inspections!$AZ868&lt;&gt;"",Weekly_Inspections!$AZ868,IF(Weekly_Inspections!$BA868&lt;&gt;"",Weekly_Inspections!$BA868,IF(Weekly_Inspections!$BB868&lt;&gt;"",Weekly_Inspections!$BB868,Weekly_Inspections!$R868)))))</f>
        <v/>
      </c>
      <c r="G868">
        <f>IF(OR(Weekly_Inspections!$AQ868&lt;&gt;"",Weekly_Inspections!$AR868&lt;&gt;"",Weekly_Inspections!$AS868&lt;&gt;""),Weekly_Inspections!$AQ868,"")</f>
        <v/>
      </c>
      <c r="H868">
        <f>Weekly_Inspections!$AP868</f>
        <v/>
      </c>
      <c r="I868">
        <f>Weekly_Inspections!$AR868</f>
        <v/>
      </c>
      <c r="J868">
        <f>Weekly_Inspections!$AS868</f>
        <v/>
      </c>
      <c r="K868">
        <f>Weekly_Inspections!$AU868</f>
        <v/>
      </c>
      <c r="L868" s="47">
        <f>Weekly_Inspections!$AV868</f>
        <v/>
      </c>
      <c r="M868">
        <f>IF($B868="","",IF($N868&lt;&gt;"","Closed",IF(OR($G868&lt;&gt;"",$I868&lt;&gt;"",$J868&lt;&gt;""),"Open","")))</f>
        <v/>
      </c>
      <c r="N868" s="47" t="n"/>
      <c r="O868">
        <f>IF($B868="","",IF($M868="Closed",IF($N868="","",$N868-$B868),TODAY()-$B868))</f>
        <v/>
      </c>
      <c r="P868">
        <f>IF(OR($B868="",$L868="",$M868="Closed"),"",IF(TODAY()&gt;$L868,"YES","NO"))</f>
        <v/>
      </c>
      <c r="Q868">
        <f>Weekly_Inspections!$AW868</f>
        <v/>
      </c>
    </row>
    <row r="869" ht="15" customHeight="1" s="45">
      <c r="A869">
        <f>IF(Weekly_Inspections!$B869="","",Weekly_Inspections!$A869&amp;"-A1")</f>
        <v/>
      </c>
      <c r="B869" s="47">
        <f>Weekly_Inspections!$B869</f>
        <v/>
      </c>
      <c r="C869">
        <f>Weekly_Inspections!$E869</f>
        <v/>
      </c>
      <c r="D869">
        <f>Weekly_Inspections!$F869</f>
        <v/>
      </c>
      <c r="E869">
        <f>Weekly_Inspections!$H869</f>
        <v/>
      </c>
      <c r="F869">
        <f>IF(Weekly_Inspections!$AX869&lt;&gt;"",Weekly_Inspections!$AX869,IF(Weekly_Inspections!$AY869&lt;&gt;"",Weekly_Inspections!$AY869,IF(Weekly_Inspections!$AZ869&lt;&gt;"",Weekly_Inspections!$AZ869,IF(Weekly_Inspections!$BA869&lt;&gt;"",Weekly_Inspections!$BA869,IF(Weekly_Inspections!$BB869&lt;&gt;"",Weekly_Inspections!$BB869,Weekly_Inspections!$R869)))))</f>
        <v/>
      </c>
      <c r="G869">
        <f>IF(OR(Weekly_Inspections!$AQ869&lt;&gt;"",Weekly_Inspections!$AR869&lt;&gt;"",Weekly_Inspections!$AS869&lt;&gt;""),Weekly_Inspections!$AQ869,"")</f>
        <v/>
      </c>
      <c r="H869">
        <f>Weekly_Inspections!$AP869</f>
        <v/>
      </c>
      <c r="I869">
        <f>Weekly_Inspections!$AR869</f>
        <v/>
      </c>
      <c r="J869">
        <f>Weekly_Inspections!$AS869</f>
        <v/>
      </c>
      <c r="K869">
        <f>Weekly_Inspections!$AU869</f>
        <v/>
      </c>
      <c r="L869" s="47">
        <f>Weekly_Inspections!$AV869</f>
        <v/>
      </c>
      <c r="M869">
        <f>IF($B869="","",IF($N869&lt;&gt;"","Closed",IF(OR($G869&lt;&gt;"",$I869&lt;&gt;"",$J869&lt;&gt;""),"Open","")))</f>
        <v/>
      </c>
      <c r="N869" s="47" t="n"/>
      <c r="O869">
        <f>IF($B869="","",IF($M869="Closed",IF($N869="","",$N869-$B869),TODAY()-$B869))</f>
        <v/>
      </c>
      <c r="P869">
        <f>IF(OR($B869="",$L869="",$M869="Closed"),"",IF(TODAY()&gt;$L869,"YES","NO"))</f>
        <v/>
      </c>
      <c r="Q869">
        <f>Weekly_Inspections!$AW869</f>
        <v/>
      </c>
    </row>
    <row r="870" ht="15" customHeight="1" s="45">
      <c r="A870">
        <f>IF(Weekly_Inspections!$B870="","",Weekly_Inspections!$A870&amp;"-A1")</f>
        <v/>
      </c>
      <c r="B870" s="47">
        <f>Weekly_Inspections!$B870</f>
        <v/>
      </c>
      <c r="C870">
        <f>Weekly_Inspections!$E870</f>
        <v/>
      </c>
      <c r="D870">
        <f>Weekly_Inspections!$F870</f>
        <v/>
      </c>
      <c r="E870">
        <f>Weekly_Inspections!$H870</f>
        <v/>
      </c>
      <c r="F870">
        <f>IF(Weekly_Inspections!$AX870&lt;&gt;"",Weekly_Inspections!$AX870,IF(Weekly_Inspections!$AY870&lt;&gt;"",Weekly_Inspections!$AY870,IF(Weekly_Inspections!$AZ870&lt;&gt;"",Weekly_Inspections!$AZ870,IF(Weekly_Inspections!$BA870&lt;&gt;"",Weekly_Inspections!$BA870,IF(Weekly_Inspections!$BB870&lt;&gt;"",Weekly_Inspections!$BB870,Weekly_Inspections!$R870)))))</f>
        <v/>
      </c>
      <c r="G870">
        <f>IF(OR(Weekly_Inspections!$AQ870&lt;&gt;"",Weekly_Inspections!$AR870&lt;&gt;"",Weekly_Inspections!$AS870&lt;&gt;""),Weekly_Inspections!$AQ870,"")</f>
        <v/>
      </c>
      <c r="H870">
        <f>Weekly_Inspections!$AP870</f>
        <v/>
      </c>
      <c r="I870">
        <f>Weekly_Inspections!$AR870</f>
        <v/>
      </c>
      <c r="J870">
        <f>Weekly_Inspections!$AS870</f>
        <v/>
      </c>
      <c r="K870">
        <f>Weekly_Inspections!$AU870</f>
        <v/>
      </c>
      <c r="L870" s="47">
        <f>Weekly_Inspections!$AV870</f>
        <v/>
      </c>
      <c r="M870">
        <f>IF($B870="","",IF($N870&lt;&gt;"","Closed",IF(OR($G870&lt;&gt;"",$I870&lt;&gt;"",$J870&lt;&gt;""),"Open","")))</f>
        <v/>
      </c>
      <c r="N870" s="47" t="n"/>
      <c r="O870">
        <f>IF($B870="","",IF($M870="Closed",IF($N870="","",$N870-$B870),TODAY()-$B870))</f>
        <v/>
      </c>
      <c r="P870">
        <f>IF(OR($B870="",$L870="",$M870="Closed"),"",IF(TODAY()&gt;$L870,"YES","NO"))</f>
        <v/>
      </c>
      <c r="Q870">
        <f>Weekly_Inspections!$AW870</f>
        <v/>
      </c>
    </row>
    <row r="871" ht="15" customHeight="1" s="45">
      <c r="A871">
        <f>IF(Weekly_Inspections!$B871="","",Weekly_Inspections!$A871&amp;"-A1")</f>
        <v/>
      </c>
      <c r="B871" s="47">
        <f>Weekly_Inspections!$B871</f>
        <v/>
      </c>
      <c r="C871">
        <f>Weekly_Inspections!$E871</f>
        <v/>
      </c>
      <c r="D871">
        <f>Weekly_Inspections!$F871</f>
        <v/>
      </c>
      <c r="E871">
        <f>Weekly_Inspections!$H871</f>
        <v/>
      </c>
      <c r="F871">
        <f>IF(Weekly_Inspections!$AX871&lt;&gt;"",Weekly_Inspections!$AX871,IF(Weekly_Inspections!$AY871&lt;&gt;"",Weekly_Inspections!$AY871,IF(Weekly_Inspections!$AZ871&lt;&gt;"",Weekly_Inspections!$AZ871,IF(Weekly_Inspections!$BA871&lt;&gt;"",Weekly_Inspections!$BA871,IF(Weekly_Inspections!$BB871&lt;&gt;"",Weekly_Inspections!$BB871,Weekly_Inspections!$R871)))))</f>
        <v/>
      </c>
      <c r="G871">
        <f>IF(OR(Weekly_Inspections!$AQ871&lt;&gt;"",Weekly_Inspections!$AR871&lt;&gt;"",Weekly_Inspections!$AS871&lt;&gt;""),Weekly_Inspections!$AQ871,"")</f>
        <v/>
      </c>
      <c r="H871">
        <f>Weekly_Inspections!$AP871</f>
        <v/>
      </c>
      <c r="I871">
        <f>Weekly_Inspections!$AR871</f>
        <v/>
      </c>
      <c r="J871">
        <f>Weekly_Inspections!$AS871</f>
        <v/>
      </c>
      <c r="K871">
        <f>Weekly_Inspections!$AU871</f>
        <v/>
      </c>
      <c r="L871" s="47">
        <f>Weekly_Inspections!$AV871</f>
        <v/>
      </c>
      <c r="M871">
        <f>IF($B871="","",IF($N871&lt;&gt;"","Closed",IF(OR($G871&lt;&gt;"",$I871&lt;&gt;"",$J871&lt;&gt;""),"Open","")))</f>
        <v/>
      </c>
      <c r="N871" s="47" t="n"/>
      <c r="O871">
        <f>IF($B871="","",IF($M871="Closed",IF($N871="","",$N871-$B871),TODAY()-$B871))</f>
        <v/>
      </c>
      <c r="P871">
        <f>IF(OR($B871="",$L871="",$M871="Closed"),"",IF(TODAY()&gt;$L871,"YES","NO"))</f>
        <v/>
      </c>
      <c r="Q871">
        <f>Weekly_Inspections!$AW871</f>
        <v/>
      </c>
    </row>
    <row r="872" ht="15" customHeight="1" s="45">
      <c r="A872">
        <f>IF(Weekly_Inspections!$B872="","",Weekly_Inspections!$A872&amp;"-A1")</f>
        <v/>
      </c>
      <c r="B872" s="47">
        <f>Weekly_Inspections!$B872</f>
        <v/>
      </c>
      <c r="C872">
        <f>Weekly_Inspections!$E872</f>
        <v/>
      </c>
      <c r="D872">
        <f>Weekly_Inspections!$F872</f>
        <v/>
      </c>
      <c r="E872">
        <f>Weekly_Inspections!$H872</f>
        <v/>
      </c>
      <c r="F872">
        <f>IF(Weekly_Inspections!$AX872&lt;&gt;"",Weekly_Inspections!$AX872,IF(Weekly_Inspections!$AY872&lt;&gt;"",Weekly_Inspections!$AY872,IF(Weekly_Inspections!$AZ872&lt;&gt;"",Weekly_Inspections!$AZ872,IF(Weekly_Inspections!$BA872&lt;&gt;"",Weekly_Inspections!$BA872,IF(Weekly_Inspections!$BB872&lt;&gt;"",Weekly_Inspections!$BB872,Weekly_Inspections!$R872)))))</f>
        <v/>
      </c>
      <c r="G872">
        <f>IF(OR(Weekly_Inspections!$AQ872&lt;&gt;"",Weekly_Inspections!$AR872&lt;&gt;"",Weekly_Inspections!$AS872&lt;&gt;""),Weekly_Inspections!$AQ872,"")</f>
        <v/>
      </c>
      <c r="H872">
        <f>Weekly_Inspections!$AP872</f>
        <v/>
      </c>
      <c r="I872">
        <f>Weekly_Inspections!$AR872</f>
        <v/>
      </c>
      <c r="J872">
        <f>Weekly_Inspections!$AS872</f>
        <v/>
      </c>
      <c r="K872">
        <f>Weekly_Inspections!$AU872</f>
        <v/>
      </c>
      <c r="L872" s="47">
        <f>Weekly_Inspections!$AV872</f>
        <v/>
      </c>
      <c r="M872">
        <f>IF($B872="","",IF($N872&lt;&gt;"","Closed",IF(OR($G872&lt;&gt;"",$I872&lt;&gt;"",$J872&lt;&gt;""),"Open","")))</f>
        <v/>
      </c>
      <c r="N872" s="47" t="n"/>
      <c r="O872">
        <f>IF($B872="","",IF($M872="Closed",IF($N872="","",$N872-$B872),TODAY()-$B872))</f>
        <v/>
      </c>
      <c r="P872">
        <f>IF(OR($B872="",$L872="",$M872="Closed"),"",IF(TODAY()&gt;$L872,"YES","NO"))</f>
        <v/>
      </c>
      <c r="Q872">
        <f>Weekly_Inspections!$AW872</f>
        <v/>
      </c>
    </row>
    <row r="873" ht="15" customHeight="1" s="45">
      <c r="A873">
        <f>IF(Weekly_Inspections!$B873="","",Weekly_Inspections!$A873&amp;"-A1")</f>
        <v/>
      </c>
      <c r="B873" s="47">
        <f>Weekly_Inspections!$B873</f>
        <v/>
      </c>
      <c r="C873">
        <f>Weekly_Inspections!$E873</f>
        <v/>
      </c>
      <c r="D873">
        <f>Weekly_Inspections!$F873</f>
        <v/>
      </c>
      <c r="E873">
        <f>Weekly_Inspections!$H873</f>
        <v/>
      </c>
      <c r="F873">
        <f>IF(Weekly_Inspections!$AX873&lt;&gt;"",Weekly_Inspections!$AX873,IF(Weekly_Inspections!$AY873&lt;&gt;"",Weekly_Inspections!$AY873,IF(Weekly_Inspections!$AZ873&lt;&gt;"",Weekly_Inspections!$AZ873,IF(Weekly_Inspections!$BA873&lt;&gt;"",Weekly_Inspections!$BA873,IF(Weekly_Inspections!$BB873&lt;&gt;"",Weekly_Inspections!$BB873,Weekly_Inspections!$R873)))))</f>
        <v/>
      </c>
      <c r="G873">
        <f>IF(OR(Weekly_Inspections!$AQ873&lt;&gt;"",Weekly_Inspections!$AR873&lt;&gt;"",Weekly_Inspections!$AS873&lt;&gt;""),Weekly_Inspections!$AQ873,"")</f>
        <v/>
      </c>
      <c r="H873">
        <f>Weekly_Inspections!$AP873</f>
        <v/>
      </c>
      <c r="I873">
        <f>Weekly_Inspections!$AR873</f>
        <v/>
      </c>
      <c r="J873">
        <f>Weekly_Inspections!$AS873</f>
        <v/>
      </c>
      <c r="K873">
        <f>Weekly_Inspections!$AU873</f>
        <v/>
      </c>
      <c r="L873" s="47">
        <f>Weekly_Inspections!$AV873</f>
        <v/>
      </c>
      <c r="M873">
        <f>IF($B873="","",IF($N873&lt;&gt;"","Closed",IF(OR($G873&lt;&gt;"",$I873&lt;&gt;"",$J873&lt;&gt;""),"Open","")))</f>
        <v/>
      </c>
      <c r="N873" s="47" t="n"/>
      <c r="O873">
        <f>IF($B873="","",IF($M873="Closed",IF($N873="","",$N873-$B873),TODAY()-$B873))</f>
        <v/>
      </c>
      <c r="P873">
        <f>IF(OR($B873="",$L873="",$M873="Closed"),"",IF(TODAY()&gt;$L873,"YES","NO"))</f>
        <v/>
      </c>
      <c r="Q873">
        <f>Weekly_Inspections!$AW873</f>
        <v/>
      </c>
    </row>
    <row r="874" ht="15" customHeight="1" s="45">
      <c r="A874">
        <f>IF(Weekly_Inspections!$B874="","",Weekly_Inspections!$A874&amp;"-A1")</f>
        <v/>
      </c>
      <c r="B874" s="47">
        <f>Weekly_Inspections!$B874</f>
        <v/>
      </c>
      <c r="C874">
        <f>Weekly_Inspections!$E874</f>
        <v/>
      </c>
      <c r="D874">
        <f>Weekly_Inspections!$F874</f>
        <v/>
      </c>
      <c r="E874">
        <f>Weekly_Inspections!$H874</f>
        <v/>
      </c>
      <c r="F874">
        <f>IF(Weekly_Inspections!$AX874&lt;&gt;"",Weekly_Inspections!$AX874,IF(Weekly_Inspections!$AY874&lt;&gt;"",Weekly_Inspections!$AY874,IF(Weekly_Inspections!$AZ874&lt;&gt;"",Weekly_Inspections!$AZ874,IF(Weekly_Inspections!$BA874&lt;&gt;"",Weekly_Inspections!$BA874,IF(Weekly_Inspections!$BB874&lt;&gt;"",Weekly_Inspections!$BB874,Weekly_Inspections!$R874)))))</f>
        <v/>
      </c>
      <c r="G874">
        <f>IF(OR(Weekly_Inspections!$AQ874&lt;&gt;"",Weekly_Inspections!$AR874&lt;&gt;"",Weekly_Inspections!$AS874&lt;&gt;""),Weekly_Inspections!$AQ874,"")</f>
        <v/>
      </c>
      <c r="H874">
        <f>Weekly_Inspections!$AP874</f>
        <v/>
      </c>
      <c r="I874">
        <f>Weekly_Inspections!$AR874</f>
        <v/>
      </c>
      <c r="J874">
        <f>Weekly_Inspections!$AS874</f>
        <v/>
      </c>
      <c r="K874">
        <f>Weekly_Inspections!$AU874</f>
        <v/>
      </c>
      <c r="L874" s="47">
        <f>Weekly_Inspections!$AV874</f>
        <v/>
      </c>
      <c r="M874">
        <f>IF($B874="","",IF($N874&lt;&gt;"","Closed",IF(OR($G874&lt;&gt;"",$I874&lt;&gt;"",$J874&lt;&gt;""),"Open","")))</f>
        <v/>
      </c>
      <c r="N874" s="47" t="n"/>
      <c r="O874">
        <f>IF($B874="","",IF($M874="Closed",IF($N874="","",$N874-$B874),TODAY()-$B874))</f>
        <v/>
      </c>
      <c r="P874">
        <f>IF(OR($B874="",$L874="",$M874="Closed"),"",IF(TODAY()&gt;$L874,"YES","NO"))</f>
        <v/>
      </c>
      <c r="Q874">
        <f>Weekly_Inspections!$AW874</f>
        <v/>
      </c>
    </row>
    <row r="875" ht="15" customHeight="1" s="45">
      <c r="A875">
        <f>IF(Weekly_Inspections!$B875="","",Weekly_Inspections!$A875&amp;"-A1")</f>
        <v/>
      </c>
      <c r="B875" s="47">
        <f>Weekly_Inspections!$B875</f>
        <v/>
      </c>
      <c r="C875">
        <f>Weekly_Inspections!$E875</f>
        <v/>
      </c>
      <c r="D875">
        <f>Weekly_Inspections!$F875</f>
        <v/>
      </c>
      <c r="E875">
        <f>Weekly_Inspections!$H875</f>
        <v/>
      </c>
      <c r="F875">
        <f>IF(Weekly_Inspections!$AX875&lt;&gt;"",Weekly_Inspections!$AX875,IF(Weekly_Inspections!$AY875&lt;&gt;"",Weekly_Inspections!$AY875,IF(Weekly_Inspections!$AZ875&lt;&gt;"",Weekly_Inspections!$AZ875,IF(Weekly_Inspections!$BA875&lt;&gt;"",Weekly_Inspections!$BA875,IF(Weekly_Inspections!$BB875&lt;&gt;"",Weekly_Inspections!$BB875,Weekly_Inspections!$R875)))))</f>
        <v/>
      </c>
      <c r="G875">
        <f>IF(OR(Weekly_Inspections!$AQ875&lt;&gt;"",Weekly_Inspections!$AR875&lt;&gt;"",Weekly_Inspections!$AS875&lt;&gt;""),Weekly_Inspections!$AQ875,"")</f>
        <v/>
      </c>
      <c r="H875">
        <f>Weekly_Inspections!$AP875</f>
        <v/>
      </c>
      <c r="I875">
        <f>Weekly_Inspections!$AR875</f>
        <v/>
      </c>
      <c r="J875">
        <f>Weekly_Inspections!$AS875</f>
        <v/>
      </c>
      <c r="K875">
        <f>Weekly_Inspections!$AU875</f>
        <v/>
      </c>
      <c r="L875" s="47">
        <f>Weekly_Inspections!$AV875</f>
        <v/>
      </c>
      <c r="M875">
        <f>IF($B875="","",IF($N875&lt;&gt;"","Closed",IF(OR($G875&lt;&gt;"",$I875&lt;&gt;"",$J875&lt;&gt;""),"Open","")))</f>
        <v/>
      </c>
      <c r="N875" s="47" t="n"/>
      <c r="O875">
        <f>IF($B875="","",IF($M875="Closed",IF($N875="","",$N875-$B875),TODAY()-$B875))</f>
        <v/>
      </c>
      <c r="P875">
        <f>IF(OR($B875="",$L875="",$M875="Closed"),"",IF(TODAY()&gt;$L875,"YES","NO"))</f>
        <v/>
      </c>
      <c r="Q875">
        <f>Weekly_Inspections!$AW875</f>
        <v/>
      </c>
    </row>
    <row r="876" ht="15" customHeight="1" s="45">
      <c r="A876">
        <f>IF(Weekly_Inspections!$B876="","",Weekly_Inspections!$A876&amp;"-A1")</f>
        <v/>
      </c>
      <c r="B876" s="47">
        <f>Weekly_Inspections!$B876</f>
        <v/>
      </c>
      <c r="C876">
        <f>Weekly_Inspections!$E876</f>
        <v/>
      </c>
      <c r="D876">
        <f>Weekly_Inspections!$F876</f>
        <v/>
      </c>
      <c r="E876">
        <f>Weekly_Inspections!$H876</f>
        <v/>
      </c>
      <c r="F876">
        <f>IF(Weekly_Inspections!$AX876&lt;&gt;"",Weekly_Inspections!$AX876,IF(Weekly_Inspections!$AY876&lt;&gt;"",Weekly_Inspections!$AY876,IF(Weekly_Inspections!$AZ876&lt;&gt;"",Weekly_Inspections!$AZ876,IF(Weekly_Inspections!$BA876&lt;&gt;"",Weekly_Inspections!$BA876,IF(Weekly_Inspections!$BB876&lt;&gt;"",Weekly_Inspections!$BB876,Weekly_Inspections!$R876)))))</f>
        <v/>
      </c>
      <c r="G876">
        <f>IF(OR(Weekly_Inspections!$AQ876&lt;&gt;"",Weekly_Inspections!$AR876&lt;&gt;"",Weekly_Inspections!$AS876&lt;&gt;""),Weekly_Inspections!$AQ876,"")</f>
        <v/>
      </c>
      <c r="H876">
        <f>Weekly_Inspections!$AP876</f>
        <v/>
      </c>
      <c r="I876">
        <f>Weekly_Inspections!$AR876</f>
        <v/>
      </c>
      <c r="J876">
        <f>Weekly_Inspections!$AS876</f>
        <v/>
      </c>
      <c r="K876">
        <f>Weekly_Inspections!$AU876</f>
        <v/>
      </c>
      <c r="L876" s="47">
        <f>Weekly_Inspections!$AV876</f>
        <v/>
      </c>
      <c r="M876">
        <f>IF($B876="","",IF($N876&lt;&gt;"","Closed",IF(OR($G876&lt;&gt;"",$I876&lt;&gt;"",$J876&lt;&gt;""),"Open","")))</f>
        <v/>
      </c>
      <c r="N876" s="47" t="n"/>
      <c r="O876">
        <f>IF($B876="","",IF($M876="Closed",IF($N876="","",$N876-$B876),TODAY()-$B876))</f>
        <v/>
      </c>
      <c r="P876">
        <f>IF(OR($B876="",$L876="",$M876="Closed"),"",IF(TODAY()&gt;$L876,"YES","NO"))</f>
        <v/>
      </c>
      <c r="Q876">
        <f>Weekly_Inspections!$AW876</f>
        <v/>
      </c>
    </row>
    <row r="877" ht="15" customHeight="1" s="45">
      <c r="A877">
        <f>IF(Weekly_Inspections!$B877="","",Weekly_Inspections!$A877&amp;"-A1")</f>
        <v/>
      </c>
      <c r="B877" s="47">
        <f>Weekly_Inspections!$B877</f>
        <v/>
      </c>
      <c r="C877">
        <f>Weekly_Inspections!$E877</f>
        <v/>
      </c>
      <c r="D877">
        <f>Weekly_Inspections!$F877</f>
        <v/>
      </c>
      <c r="E877">
        <f>Weekly_Inspections!$H877</f>
        <v/>
      </c>
      <c r="F877">
        <f>IF(Weekly_Inspections!$AX877&lt;&gt;"",Weekly_Inspections!$AX877,IF(Weekly_Inspections!$AY877&lt;&gt;"",Weekly_Inspections!$AY877,IF(Weekly_Inspections!$AZ877&lt;&gt;"",Weekly_Inspections!$AZ877,IF(Weekly_Inspections!$BA877&lt;&gt;"",Weekly_Inspections!$BA877,IF(Weekly_Inspections!$BB877&lt;&gt;"",Weekly_Inspections!$BB877,Weekly_Inspections!$R877)))))</f>
        <v/>
      </c>
      <c r="G877">
        <f>IF(OR(Weekly_Inspections!$AQ877&lt;&gt;"",Weekly_Inspections!$AR877&lt;&gt;"",Weekly_Inspections!$AS877&lt;&gt;""),Weekly_Inspections!$AQ877,"")</f>
        <v/>
      </c>
      <c r="H877">
        <f>Weekly_Inspections!$AP877</f>
        <v/>
      </c>
      <c r="I877">
        <f>Weekly_Inspections!$AR877</f>
        <v/>
      </c>
      <c r="J877">
        <f>Weekly_Inspections!$AS877</f>
        <v/>
      </c>
      <c r="K877">
        <f>Weekly_Inspections!$AU877</f>
        <v/>
      </c>
      <c r="L877" s="47">
        <f>Weekly_Inspections!$AV877</f>
        <v/>
      </c>
      <c r="M877">
        <f>IF($B877="","",IF($N877&lt;&gt;"","Closed",IF(OR($G877&lt;&gt;"",$I877&lt;&gt;"",$J877&lt;&gt;""),"Open","")))</f>
        <v/>
      </c>
      <c r="N877" s="47" t="n"/>
      <c r="O877">
        <f>IF($B877="","",IF($M877="Closed",IF($N877="","",$N877-$B877),TODAY()-$B877))</f>
        <v/>
      </c>
      <c r="P877">
        <f>IF(OR($B877="",$L877="",$M877="Closed"),"",IF(TODAY()&gt;$L877,"YES","NO"))</f>
        <v/>
      </c>
      <c r="Q877">
        <f>Weekly_Inspections!$AW877</f>
        <v/>
      </c>
    </row>
    <row r="878" ht="15" customHeight="1" s="45">
      <c r="A878">
        <f>IF(Weekly_Inspections!$B878="","",Weekly_Inspections!$A878&amp;"-A1")</f>
        <v/>
      </c>
      <c r="B878" s="47">
        <f>Weekly_Inspections!$B878</f>
        <v/>
      </c>
      <c r="C878">
        <f>Weekly_Inspections!$E878</f>
        <v/>
      </c>
      <c r="D878">
        <f>Weekly_Inspections!$F878</f>
        <v/>
      </c>
      <c r="E878">
        <f>Weekly_Inspections!$H878</f>
        <v/>
      </c>
      <c r="F878">
        <f>IF(Weekly_Inspections!$AX878&lt;&gt;"",Weekly_Inspections!$AX878,IF(Weekly_Inspections!$AY878&lt;&gt;"",Weekly_Inspections!$AY878,IF(Weekly_Inspections!$AZ878&lt;&gt;"",Weekly_Inspections!$AZ878,IF(Weekly_Inspections!$BA878&lt;&gt;"",Weekly_Inspections!$BA878,IF(Weekly_Inspections!$BB878&lt;&gt;"",Weekly_Inspections!$BB878,Weekly_Inspections!$R878)))))</f>
        <v/>
      </c>
      <c r="G878">
        <f>IF(OR(Weekly_Inspections!$AQ878&lt;&gt;"",Weekly_Inspections!$AR878&lt;&gt;"",Weekly_Inspections!$AS878&lt;&gt;""),Weekly_Inspections!$AQ878,"")</f>
        <v/>
      </c>
      <c r="H878">
        <f>Weekly_Inspections!$AP878</f>
        <v/>
      </c>
      <c r="I878">
        <f>Weekly_Inspections!$AR878</f>
        <v/>
      </c>
      <c r="J878">
        <f>Weekly_Inspections!$AS878</f>
        <v/>
      </c>
      <c r="K878">
        <f>Weekly_Inspections!$AU878</f>
        <v/>
      </c>
      <c r="L878" s="47">
        <f>Weekly_Inspections!$AV878</f>
        <v/>
      </c>
      <c r="M878">
        <f>IF($B878="","",IF($N878&lt;&gt;"","Closed",IF(OR($G878&lt;&gt;"",$I878&lt;&gt;"",$J878&lt;&gt;""),"Open","")))</f>
        <v/>
      </c>
      <c r="N878" s="47" t="n"/>
      <c r="O878">
        <f>IF($B878="","",IF($M878="Closed",IF($N878="","",$N878-$B878),TODAY()-$B878))</f>
        <v/>
      </c>
      <c r="P878">
        <f>IF(OR($B878="",$L878="",$M878="Closed"),"",IF(TODAY()&gt;$L878,"YES","NO"))</f>
        <v/>
      </c>
      <c r="Q878">
        <f>Weekly_Inspections!$AW878</f>
        <v/>
      </c>
    </row>
    <row r="879" ht="15" customHeight="1" s="45">
      <c r="A879">
        <f>IF(Weekly_Inspections!$B879="","",Weekly_Inspections!$A879&amp;"-A1")</f>
        <v/>
      </c>
      <c r="B879" s="47">
        <f>Weekly_Inspections!$B879</f>
        <v/>
      </c>
      <c r="C879">
        <f>Weekly_Inspections!$E879</f>
        <v/>
      </c>
      <c r="D879">
        <f>Weekly_Inspections!$F879</f>
        <v/>
      </c>
      <c r="E879">
        <f>Weekly_Inspections!$H879</f>
        <v/>
      </c>
      <c r="F879">
        <f>IF(Weekly_Inspections!$AX879&lt;&gt;"",Weekly_Inspections!$AX879,IF(Weekly_Inspections!$AY879&lt;&gt;"",Weekly_Inspections!$AY879,IF(Weekly_Inspections!$AZ879&lt;&gt;"",Weekly_Inspections!$AZ879,IF(Weekly_Inspections!$BA879&lt;&gt;"",Weekly_Inspections!$BA879,IF(Weekly_Inspections!$BB879&lt;&gt;"",Weekly_Inspections!$BB879,Weekly_Inspections!$R879)))))</f>
        <v/>
      </c>
      <c r="G879">
        <f>IF(OR(Weekly_Inspections!$AQ879&lt;&gt;"",Weekly_Inspections!$AR879&lt;&gt;"",Weekly_Inspections!$AS879&lt;&gt;""),Weekly_Inspections!$AQ879,"")</f>
        <v/>
      </c>
      <c r="H879">
        <f>Weekly_Inspections!$AP879</f>
        <v/>
      </c>
      <c r="I879">
        <f>Weekly_Inspections!$AR879</f>
        <v/>
      </c>
      <c r="J879">
        <f>Weekly_Inspections!$AS879</f>
        <v/>
      </c>
      <c r="K879">
        <f>Weekly_Inspections!$AU879</f>
        <v/>
      </c>
      <c r="L879" s="47">
        <f>Weekly_Inspections!$AV879</f>
        <v/>
      </c>
      <c r="M879">
        <f>IF($B879="","",IF($N879&lt;&gt;"","Closed",IF(OR($G879&lt;&gt;"",$I879&lt;&gt;"",$J879&lt;&gt;""),"Open","")))</f>
        <v/>
      </c>
      <c r="N879" s="47" t="n"/>
      <c r="O879">
        <f>IF($B879="","",IF($M879="Closed",IF($N879="","",$N879-$B879),TODAY()-$B879))</f>
        <v/>
      </c>
      <c r="P879">
        <f>IF(OR($B879="",$L879="",$M879="Closed"),"",IF(TODAY()&gt;$L879,"YES","NO"))</f>
        <v/>
      </c>
      <c r="Q879">
        <f>Weekly_Inspections!$AW879</f>
        <v/>
      </c>
    </row>
    <row r="880" ht="15" customHeight="1" s="45">
      <c r="A880">
        <f>IF(Weekly_Inspections!$B880="","",Weekly_Inspections!$A880&amp;"-A1")</f>
        <v/>
      </c>
      <c r="B880" s="47">
        <f>Weekly_Inspections!$B880</f>
        <v/>
      </c>
      <c r="C880">
        <f>Weekly_Inspections!$E880</f>
        <v/>
      </c>
      <c r="D880">
        <f>Weekly_Inspections!$F880</f>
        <v/>
      </c>
      <c r="E880">
        <f>Weekly_Inspections!$H880</f>
        <v/>
      </c>
      <c r="F880">
        <f>IF(Weekly_Inspections!$AX880&lt;&gt;"",Weekly_Inspections!$AX880,IF(Weekly_Inspections!$AY880&lt;&gt;"",Weekly_Inspections!$AY880,IF(Weekly_Inspections!$AZ880&lt;&gt;"",Weekly_Inspections!$AZ880,IF(Weekly_Inspections!$BA880&lt;&gt;"",Weekly_Inspections!$BA880,IF(Weekly_Inspections!$BB880&lt;&gt;"",Weekly_Inspections!$BB880,Weekly_Inspections!$R880)))))</f>
        <v/>
      </c>
      <c r="G880">
        <f>IF(OR(Weekly_Inspections!$AQ880&lt;&gt;"",Weekly_Inspections!$AR880&lt;&gt;"",Weekly_Inspections!$AS880&lt;&gt;""),Weekly_Inspections!$AQ880,"")</f>
        <v/>
      </c>
      <c r="H880">
        <f>Weekly_Inspections!$AP880</f>
        <v/>
      </c>
      <c r="I880">
        <f>Weekly_Inspections!$AR880</f>
        <v/>
      </c>
      <c r="J880">
        <f>Weekly_Inspections!$AS880</f>
        <v/>
      </c>
      <c r="K880">
        <f>Weekly_Inspections!$AU880</f>
        <v/>
      </c>
      <c r="L880" s="47">
        <f>Weekly_Inspections!$AV880</f>
        <v/>
      </c>
      <c r="M880">
        <f>IF($B880="","",IF($N880&lt;&gt;"","Closed",IF(OR($G880&lt;&gt;"",$I880&lt;&gt;"",$J880&lt;&gt;""),"Open","")))</f>
        <v/>
      </c>
      <c r="N880" s="47" t="n"/>
      <c r="O880">
        <f>IF($B880="","",IF($M880="Closed",IF($N880="","",$N880-$B880),TODAY()-$B880))</f>
        <v/>
      </c>
      <c r="P880">
        <f>IF(OR($B880="",$L880="",$M880="Closed"),"",IF(TODAY()&gt;$L880,"YES","NO"))</f>
        <v/>
      </c>
      <c r="Q880">
        <f>Weekly_Inspections!$AW880</f>
        <v/>
      </c>
    </row>
    <row r="881" ht="15" customHeight="1" s="45">
      <c r="A881">
        <f>IF(Weekly_Inspections!$B881="","",Weekly_Inspections!$A881&amp;"-A1")</f>
        <v/>
      </c>
      <c r="B881" s="47">
        <f>Weekly_Inspections!$B881</f>
        <v/>
      </c>
      <c r="C881">
        <f>Weekly_Inspections!$E881</f>
        <v/>
      </c>
      <c r="D881">
        <f>Weekly_Inspections!$F881</f>
        <v/>
      </c>
      <c r="E881">
        <f>Weekly_Inspections!$H881</f>
        <v/>
      </c>
      <c r="F881">
        <f>IF(Weekly_Inspections!$AX881&lt;&gt;"",Weekly_Inspections!$AX881,IF(Weekly_Inspections!$AY881&lt;&gt;"",Weekly_Inspections!$AY881,IF(Weekly_Inspections!$AZ881&lt;&gt;"",Weekly_Inspections!$AZ881,IF(Weekly_Inspections!$BA881&lt;&gt;"",Weekly_Inspections!$BA881,IF(Weekly_Inspections!$BB881&lt;&gt;"",Weekly_Inspections!$BB881,Weekly_Inspections!$R881)))))</f>
        <v/>
      </c>
      <c r="G881">
        <f>IF(OR(Weekly_Inspections!$AQ881&lt;&gt;"",Weekly_Inspections!$AR881&lt;&gt;"",Weekly_Inspections!$AS881&lt;&gt;""),Weekly_Inspections!$AQ881,"")</f>
        <v/>
      </c>
      <c r="H881">
        <f>Weekly_Inspections!$AP881</f>
        <v/>
      </c>
      <c r="I881">
        <f>Weekly_Inspections!$AR881</f>
        <v/>
      </c>
      <c r="J881">
        <f>Weekly_Inspections!$AS881</f>
        <v/>
      </c>
      <c r="K881">
        <f>Weekly_Inspections!$AU881</f>
        <v/>
      </c>
      <c r="L881" s="47">
        <f>Weekly_Inspections!$AV881</f>
        <v/>
      </c>
      <c r="M881">
        <f>IF($B881="","",IF($N881&lt;&gt;"","Closed",IF(OR($G881&lt;&gt;"",$I881&lt;&gt;"",$J881&lt;&gt;""),"Open","")))</f>
        <v/>
      </c>
      <c r="N881" s="47" t="n"/>
      <c r="O881">
        <f>IF($B881="","",IF($M881="Closed",IF($N881="","",$N881-$B881),TODAY()-$B881))</f>
        <v/>
      </c>
      <c r="P881">
        <f>IF(OR($B881="",$L881="",$M881="Closed"),"",IF(TODAY()&gt;$L881,"YES","NO"))</f>
        <v/>
      </c>
      <c r="Q881">
        <f>Weekly_Inspections!$AW881</f>
        <v/>
      </c>
    </row>
    <row r="882" ht="15" customHeight="1" s="45">
      <c r="A882">
        <f>IF(Weekly_Inspections!$B882="","",Weekly_Inspections!$A882&amp;"-A1")</f>
        <v/>
      </c>
      <c r="B882" s="47">
        <f>Weekly_Inspections!$B882</f>
        <v/>
      </c>
      <c r="C882">
        <f>Weekly_Inspections!$E882</f>
        <v/>
      </c>
      <c r="D882">
        <f>Weekly_Inspections!$F882</f>
        <v/>
      </c>
      <c r="E882">
        <f>Weekly_Inspections!$H882</f>
        <v/>
      </c>
      <c r="F882">
        <f>IF(Weekly_Inspections!$AX882&lt;&gt;"",Weekly_Inspections!$AX882,IF(Weekly_Inspections!$AY882&lt;&gt;"",Weekly_Inspections!$AY882,IF(Weekly_Inspections!$AZ882&lt;&gt;"",Weekly_Inspections!$AZ882,IF(Weekly_Inspections!$BA882&lt;&gt;"",Weekly_Inspections!$BA882,IF(Weekly_Inspections!$BB882&lt;&gt;"",Weekly_Inspections!$BB882,Weekly_Inspections!$R882)))))</f>
        <v/>
      </c>
      <c r="G882">
        <f>IF(OR(Weekly_Inspections!$AQ882&lt;&gt;"",Weekly_Inspections!$AR882&lt;&gt;"",Weekly_Inspections!$AS882&lt;&gt;""),Weekly_Inspections!$AQ882,"")</f>
        <v/>
      </c>
      <c r="H882">
        <f>Weekly_Inspections!$AP882</f>
        <v/>
      </c>
      <c r="I882">
        <f>Weekly_Inspections!$AR882</f>
        <v/>
      </c>
      <c r="J882">
        <f>Weekly_Inspections!$AS882</f>
        <v/>
      </c>
      <c r="K882">
        <f>Weekly_Inspections!$AU882</f>
        <v/>
      </c>
      <c r="L882" s="47">
        <f>Weekly_Inspections!$AV882</f>
        <v/>
      </c>
      <c r="M882">
        <f>IF($B882="","",IF($N882&lt;&gt;"","Closed",IF(OR($G882&lt;&gt;"",$I882&lt;&gt;"",$J882&lt;&gt;""),"Open","")))</f>
        <v/>
      </c>
      <c r="N882" s="47" t="n"/>
      <c r="O882">
        <f>IF($B882="","",IF($M882="Closed",IF($N882="","",$N882-$B882),TODAY()-$B882))</f>
        <v/>
      </c>
      <c r="P882">
        <f>IF(OR($B882="",$L882="",$M882="Closed"),"",IF(TODAY()&gt;$L882,"YES","NO"))</f>
        <v/>
      </c>
      <c r="Q882">
        <f>Weekly_Inspections!$AW882</f>
        <v/>
      </c>
    </row>
    <row r="883" ht="15" customHeight="1" s="45">
      <c r="A883">
        <f>IF(Weekly_Inspections!$B883="","",Weekly_Inspections!$A883&amp;"-A1")</f>
        <v/>
      </c>
      <c r="B883" s="47">
        <f>Weekly_Inspections!$B883</f>
        <v/>
      </c>
      <c r="C883">
        <f>Weekly_Inspections!$E883</f>
        <v/>
      </c>
      <c r="D883">
        <f>Weekly_Inspections!$F883</f>
        <v/>
      </c>
      <c r="E883">
        <f>Weekly_Inspections!$H883</f>
        <v/>
      </c>
      <c r="F883">
        <f>IF(Weekly_Inspections!$AX883&lt;&gt;"",Weekly_Inspections!$AX883,IF(Weekly_Inspections!$AY883&lt;&gt;"",Weekly_Inspections!$AY883,IF(Weekly_Inspections!$AZ883&lt;&gt;"",Weekly_Inspections!$AZ883,IF(Weekly_Inspections!$BA883&lt;&gt;"",Weekly_Inspections!$BA883,IF(Weekly_Inspections!$BB883&lt;&gt;"",Weekly_Inspections!$BB883,Weekly_Inspections!$R883)))))</f>
        <v/>
      </c>
      <c r="G883">
        <f>IF(OR(Weekly_Inspections!$AQ883&lt;&gt;"",Weekly_Inspections!$AR883&lt;&gt;"",Weekly_Inspections!$AS883&lt;&gt;""),Weekly_Inspections!$AQ883,"")</f>
        <v/>
      </c>
      <c r="H883">
        <f>Weekly_Inspections!$AP883</f>
        <v/>
      </c>
      <c r="I883">
        <f>Weekly_Inspections!$AR883</f>
        <v/>
      </c>
      <c r="J883">
        <f>Weekly_Inspections!$AS883</f>
        <v/>
      </c>
      <c r="K883">
        <f>Weekly_Inspections!$AU883</f>
        <v/>
      </c>
      <c r="L883" s="47">
        <f>Weekly_Inspections!$AV883</f>
        <v/>
      </c>
      <c r="M883">
        <f>IF($B883="","",IF($N883&lt;&gt;"","Closed",IF(OR($G883&lt;&gt;"",$I883&lt;&gt;"",$J883&lt;&gt;""),"Open","")))</f>
        <v/>
      </c>
      <c r="N883" s="47" t="n"/>
      <c r="O883">
        <f>IF($B883="","",IF($M883="Closed",IF($N883="","",$N883-$B883),TODAY()-$B883))</f>
        <v/>
      </c>
      <c r="P883">
        <f>IF(OR($B883="",$L883="",$M883="Closed"),"",IF(TODAY()&gt;$L883,"YES","NO"))</f>
        <v/>
      </c>
      <c r="Q883">
        <f>Weekly_Inspections!$AW883</f>
        <v/>
      </c>
    </row>
    <row r="884" ht="15" customHeight="1" s="45">
      <c r="A884">
        <f>IF(Weekly_Inspections!$B884="","",Weekly_Inspections!$A884&amp;"-A1")</f>
        <v/>
      </c>
      <c r="B884" s="47">
        <f>Weekly_Inspections!$B884</f>
        <v/>
      </c>
      <c r="C884">
        <f>Weekly_Inspections!$E884</f>
        <v/>
      </c>
      <c r="D884">
        <f>Weekly_Inspections!$F884</f>
        <v/>
      </c>
      <c r="E884">
        <f>Weekly_Inspections!$H884</f>
        <v/>
      </c>
      <c r="F884">
        <f>IF(Weekly_Inspections!$AX884&lt;&gt;"",Weekly_Inspections!$AX884,IF(Weekly_Inspections!$AY884&lt;&gt;"",Weekly_Inspections!$AY884,IF(Weekly_Inspections!$AZ884&lt;&gt;"",Weekly_Inspections!$AZ884,IF(Weekly_Inspections!$BA884&lt;&gt;"",Weekly_Inspections!$BA884,IF(Weekly_Inspections!$BB884&lt;&gt;"",Weekly_Inspections!$BB884,Weekly_Inspections!$R884)))))</f>
        <v/>
      </c>
      <c r="G884">
        <f>IF(OR(Weekly_Inspections!$AQ884&lt;&gt;"",Weekly_Inspections!$AR884&lt;&gt;"",Weekly_Inspections!$AS884&lt;&gt;""),Weekly_Inspections!$AQ884,"")</f>
        <v/>
      </c>
      <c r="H884">
        <f>Weekly_Inspections!$AP884</f>
        <v/>
      </c>
      <c r="I884">
        <f>Weekly_Inspections!$AR884</f>
        <v/>
      </c>
      <c r="J884">
        <f>Weekly_Inspections!$AS884</f>
        <v/>
      </c>
      <c r="K884">
        <f>Weekly_Inspections!$AU884</f>
        <v/>
      </c>
      <c r="L884" s="47">
        <f>Weekly_Inspections!$AV884</f>
        <v/>
      </c>
      <c r="M884">
        <f>IF($B884="","",IF($N884&lt;&gt;"","Closed",IF(OR($G884&lt;&gt;"",$I884&lt;&gt;"",$J884&lt;&gt;""),"Open","")))</f>
        <v/>
      </c>
      <c r="N884" s="47" t="n"/>
      <c r="O884">
        <f>IF($B884="","",IF($M884="Closed",IF($N884="","",$N884-$B884),TODAY()-$B884))</f>
        <v/>
      </c>
      <c r="P884">
        <f>IF(OR($B884="",$L884="",$M884="Closed"),"",IF(TODAY()&gt;$L884,"YES","NO"))</f>
        <v/>
      </c>
      <c r="Q884">
        <f>Weekly_Inspections!$AW884</f>
        <v/>
      </c>
    </row>
    <row r="885" ht="15" customHeight="1" s="45">
      <c r="A885">
        <f>IF(Weekly_Inspections!$B885="","",Weekly_Inspections!$A885&amp;"-A1")</f>
        <v/>
      </c>
      <c r="B885" s="47">
        <f>Weekly_Inspections!$B885</f>
        <v/>
      </c>
      <c r="C885">
        <f>Weekly_Inspections!$E885</f>
        <v/>
      </c>
      <c r="D885">
        <f>Weekly_Inspections!$F885</f>
        <v/>
      </c>
      <c r="E885">
        <f>Weekly_Inspections!$H885</f>
        <v/>
      </c>
      <c r="F885">
        <f>IF(Weekly_Inspections!$AX885&lt;&gt;"",Weekly_Inspections!$AX885,IF(Weekly_Inspections!$AY885&lt;&gt;"",Weekly_Inspections!$AY885,IF(Weekly_Inspections!$AZ885&lt;&gt;"",Weekly_Inspections!$AZ885,IF(Weekly_Inspections!$BA885&lt;&gt;"",Weekly_Inspections!$BA885,IF(Weekly_Inspections!$BB885&lt;&gt;"",Weekly_Inspections!$BB885,Weekly_Inspections!$R885)))))</f>
        <v/>
      </c>
      <c r="G885">
        <f>IF(OR(Weekly_Inspections!$AQ885&lt;&gt;"",Weekly_Inspections!$AR885&lt;&gt;"",Weekly_Inspections!$AS885&lt;&gt;""),Weekly_Inspections!$AQ885,"")</f>
        <v/>
      </c>
      <c r="H885">
        <f>Weekly_Inspections!$AP885</f>
        <v/>
      </c>
      <c r="I885">
        <f>Weekly_Inspections!$AR885</f>
        <v/>
      </c>
      <c r="J885">
        <f>Weekly_Inspections!$AS885</f>
        <v/>
      </c>
      <c r="K885">
        <f>Weekly_Inspections!$AU885</f>
        <v/>
      </c>
      <c r="L885" s="47">
        <f>Weekly_Inspections!$AV885</f>
        <v/>
      </c>
      <c r="M885">
        <f>IF($B885="","",IF($N885&lt;&gt;"","Closed",IF(OR($G885&lt;&gt;"",$I885&lt;&gt;"",$J885&lt;&gt;""),"Open","")))</f>
        <v/>
      </c>
      <c r="N885" s="47" t="n"/>
      <c r="O885">
        <f>IF($B885="","",IF($M885="Closed",IF($N885="","",$N885-$B885),TODAY()-$B885))</f>
        <v/>
      </c>
      <c r="P885">
        <f>IF(OR($B885="",$L885="",$M885="Closed"),"",IF(TODAY()&gt;$L885,"YES","NO"))</f>
        <v/>
      </c>
      <c r="Q885">
        <f>Weekly_Inspections!$AW885</f>
        <v/>
      </c>
    </row>
    <row r="886" ht="15" customHeight="1" s="45">
      <c r="A886">
        <f>IF(Weekly_Inspections!$B886="","",Weekly_Inspections!$A886&amp;"-A1")</f>
        <v/>
      </c>
      <c r="B886" s="47">
        <f>Weekly_Inspections!$B886</f>
        <v/>
      </c>
      <c r="C886">
        <f>Weekly_Inspections!$E886</f>
        <v/>
      </c>
      <c r="D886">
        <f>Weekly_Inspections!$F886</f>
        <v/>
      </c>
      <c r="E886">
        <f>Weekly_Inspections!$H886</f>
        <v/>
      </c>
      <c r="F886">
        <f>IF(Weekly_Inspections!$AX886&lt;&gt;"",Weekly_Inspections!$AX886,IF(Weekly_Inspections!$AY886&lt;&gt;"",Weekly_Inspections!$AY886,IF(Weekly_Inspections!$AZ886&lt;&gt;"",Weekly_Inspections!$AZ886,IF(Weekly_Inspections!$BA886&lt;&gt;"",Weekly_Inspections!$BA886,IF(Weekly_Inspections!$BB886&lt;&gt;"",Weekly_Inspections!$BB886,Weekly_Inspections!$R886)))))</f>
        <v/>
      </c>
      <c r="G886">
        <f>IF(OR(Weekly_Inspections!$AQ886&lt;&gt;"",Weekly_Inspections!$AR886&lt;&gt;"",Weekly_Inspections!$AS886&lt;&gt;""),Weekly_Inspections!$AQ886,"")</f>
        <v/>
      </c>
      <c r="H886">
        <f>Weekly_Inspections!$AP886</f>
        <v/>
      </c>
      <c r="I886">
        <f>Weekly_Inspections!$AR886</f>
        <v/>
      </c>
      <c r="J886">
        <f>Weekly_Inspections!$AS886</f>
        <v/>
      </c>
      <c r="K886">
        <f>Weekly_Inspections!$AU886</f>
        <v/>
      </c>
      <c r="L886" s="47">
        <f>Weekly_Inspections!$AV886</f>
        <v/>
      </c>
      <c r="M886">
        <f>IF($B886="","",IF($N886&lt;&gt;"","Closed",IF(OR($G886&lt;&gt;"",$I886&lt;&gt;"",$J886&lt;&gt;""),"Open","")))</f>
        <v/>
      </c>
      <c r="N886" s="47" t="n"/>
      <c r="O886">
        <f>IF($B886="","",IF($M886="Closed",IF($N886="","",$N886-$B886),TODAY()-$B886))</f>
        <v/>
      </c>
      <c r="P886">
        <f>IF(OR($B886="",$L886="",$M886="Closed"),"",IF(TODAY()&gt;$L886,"YES","NO"))</f>
        <v/>
      </c>
      <c r="Q886">
        <f>Weekly_Inspections!$AW886</f>
        <v/>
      </c>
    </row>
    <row r="887" ht="15" customHeight="1" s="45">
      <c r="A887">
        <f>IF(Weekly_Inspections!$B887="","",Weekly_Inspections!$A887&amp;"-A1")</f>
        <v/>
      </c>
      <c r="B887" s="47">
        <f>Weekly_Inspections!$B887</f>
        <v/>
      </c>
      <c r="C887">
        <f>Weekly_Inspections!$E887</f>
        <v/>
      </c>
      <c r="D887">
        <f>Weekly_Inspections!$F887</f>
        <v/>
      </c>
      <c r="E887">
        <f>Weekly_Inspections!$H887</f>
        <v/>
      </c>
      <c r="F887">
        <f>IF(Weekly_Inspections!$AX887&lt;&gt;"",Weekly_Inspections!$AX887,IF(Weekly_Inspections!$AY887&lt;&gt;"",Weekly_Inspections!$AY887,IF(Weekly_Inspections!$AZ887&lt;&gt;"",Weekly_Inspections!$AZ887,IF(Weekly_Inspections!$BA887&lt;&gt;"",Weekly_Inspections!$BA887,IF(Weekly_Inspections!$BB887&lt;&gt;"",Weekly_Inspections!$BB887,Weekly_Inspections!$R887)))))</f>
        <v/>
      </c>
      <c r="G887">
        <f>IF(OR(Weekly_Inspections!$AQ887&lt;&gt;"",Weekly_Inspections!$AR887&lt;&gt;"",Weekly_Inspections!$AS887&lt;&gt;""),Weekly_Inspections!$AQ887,"")</f>
        <v/>
      </c>
      <c r="H887">
        <f>Weekly_Inspections!$AP887</f>
        <v/>
      </c>
      <c r="I887">
        <f>Weekly_Inspections!$AR887</f>
        <v/>
      </c>
      <c r="J887">
        <f>Weekly_Inspections!$AS887</f>
        <v/>
      </c>
      <c r="K887">
        <f>Weekly_Inspections!$AU887</f>
        <v/>
      </c>
      <c r="L887" s="47">
        <f>Weekly_Inspections!$AV887</f>
        <v/>
      </c>
      <c r="M887">
        <f>IF($B887="","",IF($N887&lt;&gt;"","Closed",IF(OR($G887&lt;&gt;"",$I887&lt;&gt;"",$J887&lt;&gt;""),"Open","")))</f>
        <v/>
      </c>
      <c r="N887" s="47" t="n"/>
      <c r="O887">
        <f>IF($B887="","",IF($M887="Closed",IF($N887="","",$N887-$B887),TODAY()-$B887))</f>
        <v/>
      </c>
      <c r="P887">
        <f>IF(OR($B887="",$L887="",$M887="Closed"),"",IF(TODAY()&gt;$L887,"YES","NO"))</f>
        <v/>
      </c>
      <c r="Q887">
        <f>Weekly_Inspections!$AW887</f>
        <v/>
      </c>
    </row>
    <row r="888" ht="15" customHeight="1" s="45">
      <c r="A888">
        <f>IF(Weekly_Inspections!$B888="","",Weekly_Inspections!$A888&amp;"-A1")</f>
        <v/>
      </c>
      <c r="B888" s="47">
        <f>Weekly_Inspections!$B888</f>
        <v/>
      </c>
      <c r="C888">
        <f>Weekly_Inspections!$E888</f>
        <v/>
      </c>
      <c r="D888">
        <f>Weekly_Inspections!$F888</f>
        <v/>
      </c>
      <c r="E888">
        <f>Weekly_Inspections!$H888</f>
        <v/>
      </c>
      <c r="F888">
        <f>IF(Weekly_Inspections!$AX888&lt;&gt;"",Weekly_Inspections!$AX888,IF(Weekly_Inspections!$AY888&lt;&gt;"",Weekly_Inspections!$AY888,IF(Weekly_Inspections!$AZ888&lt;&gt;"",Weekly_Inspections!$AZ888,IF(Weekly_Inspections!$BA888&lt;&gt;"",Weekly_Inspections!$BA888,IF(Weekly_Inspections!$BB888&lt;&gt;"",Weekly_Inspections!$BB888,Weekly_Inspections!$R888)))))</f>
        <v/>
      </c>
      <c r="G888">
        <f>IF(OR(Weekly_Inspections!$AQ888&lt;&gt;"",Weekly_Inspections!$AR888&lt;&gt;"",Weekly_Inspections!$AS888&lt;&gt;""),Weekly_Inspections!$AQ888,"")</f>
        <v/>
      </c>
      <c r="H888">
        <f>Weekly_Inspections!$AP888</f>
        <v/>
      </c>
      <c r="I888">
        <f>Weekly_Inspections!$AR888</f>
        <v/>
      </c>
      <c r="J888">
        <f>Weekly_Inspections!$AS888</f>
        <v/>
      </c>
      <c r="K888">
        <f>Weekly_Inspections!$AU888</f>
        <v/>
      </c>
      <c r="L888" s="47">
        <f>Weekly_Inspections!$AV888</f>
        <v/>
      </c>
      <c r="M888">
        <f>IF($B888="","",IF($N888&lt;&gt;"","Closed",IF(OR($G888&lt;&gt;"",$I888&lt;&gt;"",$J888&lt;&gt;""),"Open","")))</f>
        <v/>
      </c>
      <c r="N888" s="47" t="n"/>
      <c r="O888">
        <f>IF($B888="","",IF($M888="Closed",IF($N888="","",$N888-$B888),TODAY()-$B888))</f>
        <v/>
      </c>
      <c r="P888">
        <f>IF(OR($B888="",$L888="",$M888="Closed"),"",IF(TODAY()&gt;$L888,"YES","NO"))</f>
        <v/>
      </c>
      <c r="Q888">
        <f>Weekly_Inspections!$AW888</f>
        <v/>
      </c>
    </row>
    <row r="889" ht="15" customHeight="1" s="45">
      <c r="A889">
        <f>IF(Weekly_Inspections!$B889="","",Weekly_Inspections!$A889&amp;"-A1")</f>
        <v/>
      </c>
      <c r="B889" s="47">
        <f>Weekly_Inspections!$B889</f>
        <v/>
      </c>
      <c r="C889">
        <f>Weekly_Inspections!$E889</f>
        <v/>
      </c>
      <c r="D889">
        <f>Weekly_Inspections!$F889</f>
        <v/>
      </c>
      <c r="E889">
        <f>Weekly_Inspections!$H889</f>
        <v/>
      </c>
      <c r="F889">
        <f>IF(Weekly_Inspections!$AX889&lt;&gt;"",Weekly_Inspections!$AX889,IF(Weekly_Inspections!$AY889&lt;&gt;"",Weekly_Inspections!$AY889,IF(Weekly_Inspections!$AZ889&lt;&gt;"",Weekly_Inspections!$AZ889,IF(Weekly_Inspections!$BA889&lt;&gt;"",Weekly_Inspections!$BA889,IF(Weekly_Inspections!$BB889&lt;&gt;"",Weekly_Inspections!$BB889,Weekly_Inspections!$R889)))))</f>
        <v/>
      </c>
      <c r="G889">
        <f>IF(OR(Weekly_Inspections!$AQ889&lt;&gt;"",Weekly_Inspections!$AR889&lt;&gt;"",Weekly_Inspections!$AS889&lt;&gt;""),Weekly_Inspections!$AQ889,"")</f>
        <v/>
      </c>
      <c r="H889">
        <f>Weekly_Inspections!$AP889</f>
        <v/>
      </c>
      <c r="I889">
        <f>Weekly_Inspections!$AR889</f>
        <v/>
      </c>
      <c r="J889">
        <f>Weekly_Inspections!$AS889</f>
        <v/>
      </c>
      <c r="K889">
        <f>Weekly_Inspections!$AU889</f>
        <v/>
      </c>
      <c r="L889" s="47">
        <f>Weekly_Inspections!$AV889</f>
        <v/>
      </c>
      <c r="M889">
        <f>IF($B889="","",IF($N889&lt;&gt;"","Closed",IF(OR($G889&lt;&gt;"",$I889&lt;&gt;"",$J889&lt;&gt;""),"Open","")))</f>
        <v/>
      </c>
      <c r="N889" s="47" t="n"/>
      <c r="O889">
        <f>IF($B889="","",IF($M889="Closed",IF($N889="","",$N889-$B889),TODAY()-$B889))</f>
        <v/>
      </c>
      <c r="P889">
        <f>IF(OR($B889="",$L889="",$M889="Closed"),"",IF(TODAY()&gt;$L889,"YES","NO"))</f>
        <v/>
      </c>
      <c r="Q889">
        <f>Weekly_Inspections!$AW889</f>
        <v/>
      </c>
    </row>
    <row r="890" ht="15" customHeight="1" s="45">
      <c r="A890">
        <f>IF(Weekly_Inspections!$B890="","",Weekly_Inspections!$A890&amp;"-A1")</f>
        <v/>
      </c>
      <c r="B890" s="47">
        <f>Weekly_Inspections!$B890</f>
        <v/>
      </c>
      <c r="C890">
        <f>Weekly_Inspections!$E890</f>
        <v/>
      </c>
      <c r="D890">
        <f>Weekly_Inspections!$F890</f>
        <v/>
      </c>
      <c r="E890">
        <f>Weekly_Inspections!$H890</f>
        <v/>
      </c>
      <c r="F890">
        <f>IF(Weekly_Inspections!$AX890&lt;&gt;"",Weekly_Inspections!$AX890,IF(Weekly_Inspections!$AY890&lt;&gt;"",Weekly_Inspections!$AY890,IF(Weekly_Inspections!$AZ890&lt;&gt;"",Weekly_Inspections!$AZ890,IF(Weekly_Inspections!$BA890&lt;&gt;"",Weekly_Inspections!$BA890,IF(Weekly_Inspections!$BB890&lt;&gt;"",Weekly_Inspections!$BB890,Weekly_Inspections!$R890)))))</f>
        <v/>
      </c>
      <c r="G890">
        <f>IF(OR(Weekly_Inspections!$AQ890&lt;&gt;"",Weekly_Inspections!$AR890&lt;&gt;"",Weekly_Inspections!$AS890&lt;&gt;""),Weekly_Inspections!$AQ890,"")</f>
        <v/>
      </c>
      <c r="H890">
        <f>Weekly_Inspections!$AP890</f>
        <v/>
      </c>
      <c r="I890">
        <f>Weekly_Inspections!$AR890</f>
        <v/>
      </c>
      <c r="J890">
        <f>Weekly_Inspections!$AS890</f>
        <v/>
      </c>
      <c r="K890">
        <f>Weekly_Inspections!$AU890</f>
        <v/>
      </c>
      <c r="L890" s="47">
        <f>Weekly_Inspections!$AV890</f>
        <v/>
      </c>
      <c r="M890">
        <f>IF($B890="","",IF($N890&lt;&gt;"","Closed",IF(OR($G890&lt;&gt;"",$I890&lt;&gt;"",$J890&lt;&gt;""),"Open","")))</f>
        <v/>
      </c>
      <c r="N890" s="47" t="n"/>
      <c r="O890">
        <f>IF($B890="","",IF($M890="Closed",IF($N890="","",$N890-$B890),TODAY()-$B890))</f>
        <v/>
      </c>
      <c r="P890">
        <f>IF(OR($B890="",$L890="",$M890="Closed"),"",IF(TODAY()&gt;$L890,"YES","NO"))</f>
        <v/>
      </c>
      <c r="Q890">
        <f>Weekly_Inspections!$AW890</f>
        <v/>
      </c>
    </row>
    <row r="891" ht="15" customHeight="1" s="45">
      <c r="A891">
        <f>IF(Weekly_Inspections!$B891="","",Weekly_Inspections!$A891&amp;"-A1")</f>
        <v/>
      </c>
      <c r="B891" s="47">
        <f>Weekly_Inspections!$B891</f>
        <v/>
      </c>
      <c r="C891">
        <f>Weekly_Inspections!$E891</f>
        <v/>
      </c>
      <c r="D891">
        <f>Weekly_Inspections!$F891</f>
        <v/>
      </c>
      <c r="E891">
        <f>Weekly_Inspections!$H891</f>
        <v/>
      </c>
      <c r="F891">
        <f>IF(Weekly_Inspections!$AX891&lt;&gt;"",Weekly_Inspections!$AX891,IF(Weekly_Inspections!$AY891&lt;&gt;"",Weekly_Inspections!$AY891,IF(Weekly_Inspections!$AZ891&lt;&gt;"",Weekly_Inspections!$AZ891,IF(Weekly_Inspections!$BA891&lt;&gt;"",Weekly_Inspections!$BA891,IF(Weekly_Inspections!$BB891&lt;&gt;"",Weekly_Inspections!$BB891,Weekly_Inspections!$R891)))))</f>
        <v/>
      </c>
      <c r="G891">
        <f>IF(OR(Weekly_Inspections!$AQ891&lt;&gt;"",Weekly_Inspections!$AR891&lt;&gt;"",Weekly_Inspections!$AS891&lt;&gt;""),Weekly_Inspections!$AQ891,"")</f>
        <v/>
      </c>
      <c r="H891">
        <f>Weekly_Inspections!$AP891</f>
        <v/>
      </c>
      <c r="I891">
        <f>Weekly_Inspections!$AR891</f>
        <v/>
      </c>
      <c r="J891">
        <f>Weekly_Inspections!$AS891</f>
        <v/>
      </c>
      <c r="K891">
        <f>Weekly_Inspections!$AU891</f>
        <v/>
      </c>
      <c r="L891" s="47">
        <f>Weekly_Inspections!$AV891</f>
        <v/>
      </c>
      <c r="M891">
        <f>IF($B891="","",IF($N891&lt;&gt;"","Closed",IF(OR($G891&lt;&gt;"",$I891&lt;&gt;"",$J891&lt;&gt;""),"Open","")))</f>
        <v/>
      </c>
      <c r="N891" s="47" t="n"/>
      <c r="O891">
        <f>IF($B891="","",IF($M891="Closed",IF($N891="","",$N891-$B891),TODAY()-$B891))</f>
        <v/>
      </c>
      <c r="P891">
        <f>IF(OR($B891="",$L891="",$M891="Closed"),"",IF(TODAY()&gt;$L891,"YES","NO"))</f>
        <v/>
      </c>
      <c r="Q891">
        <f>Weekly_Inspections!$AW891</f>
        <v/>
      </c>
    </row>
    <row r="892" ht="15" customHeight="1" s="45">
      <c r="A892">
        <f>IF(Weekly_Inspections!$B892="","",Weekly_Inspections!$A892&amp;"-A1")</f>
        <v/>
      </c>
      <c r="B892" s="47">
        <f>Weekly_Inspections!$B892</f>
        <v/>
      </c>
      <c r="C892">
        <f>Weekly_Inspections!$E892</f>
        <v/>
      </c>
      <c r="D892">
        <f>Weekly_Inspections!$F892</f>
        <v/>
      </c>
      <c r="E892">
        <f>Weekly_Inspections!$H892</f>
        <v/>
      </c>
      <c r="F892">
        <f>IF(Weekly_Inspections!$AX892&lt;&gt;"",Weekly_Inspections!$AX892,IF(Weekly_Inspections!$AY892&lt;&gt;"",Weekly_Inspections!$AY892,IF(Weekly_Inspections!$AZ892&lt;&gt;"",Weekly_Inspections!$AZ892,IF(Weekly_Inspections!$BA892&lt;&gt;"",Weekly_Inspections!$BA892,IF(Weekly_Inspections!$BB892&lt;&gt;"",Weekly_Inspections!$BB892,Weekly_Inspections!$R892)))))</f>
        <v/>
      </c>
      <c r="G892">
        <f>IF(OR(Weekly_Inspections!$AQ892&lt;&gt;"",Weekly_Inspections!$AR892&lt;&gt;"",Weekly_Inspections!$AS892&lt;&gt;""),Weekly_Inspections!$AQ892,"")</f>
        <v/>
      </c>
      <c r="H892">
        <f>Weekly_Inspections!$AP892</f>
        <v/>
      </c>
      <c r="I892">
        <f>Weekly_Inspections!$AR892</f>
        <v/>
      </c>
      <c r="J892">
        <f>Weekly_Inspections!$AS892</f>
        <v/>
      </c>
      <c r="K892">
        <f>Weekly_Inspections!$AU892</f>
        <v/>
      </c>
      <c r="L892" s="47">
        <f>Weekly_Inspections!$AV892</f>
        <v/>
      </c>
      <c r="M892">
        <f>IF($B892="","",IF($N892&lt;&gt;"","Closed",IF(OR($G892&lt;&gt;"",$I892&lt;&gt;"",$J892&lt;&gt;""),"Open","")))</f>
        <v/>
      </c>
      <c r="N892" s="47" t="n"/>
      <c r="O892">
        <f>IF($B892="","",IF($M892="Closed",IF($N892="","",$N892-$B892),TODAY()-$B892))</f>
        <v/>
      </c>
      <c r="P892">
        <f>IF(OR($B892="",$L892="",$M892="Closed"),"",IF(TODAY()&gt;$L892,"YES","NO"))</f>
        <v/>
      </c>
      <c r="Q892">
        <f>Weekly_Inspections!$AW892</f>
        <v/>
      </c>
    </row>
    <row r="893" ht="15" customHeight="1" s="45">
      <c r="A893">
        <f>IF(Weekly_Inspections!$B893="","",Weekly_Inspections!$A893&amp;"-A1")</f>
        <v/>
      </c>
      <c r="B893" s="47">
        <f>Weekly_Inspections!$B893</f>
        <v/>
      </c>
      <c r="C893">
        <f>Weekly_Inspections!$E893</f>
        <v/>
      </c>
      <c r="D893">
        <f>Weekly_Inspections!$F893</f>
        <v/>
      </c>
      <c r="E893">
        <f>Weekly_Inspections!$H893</f>
        <v/>
      </c>
      <c r="F893">
        <f>IF(Weekly_Inspections!$AX893&lt;&gt;"",Weekly_Inspections!$AX893,IF(Weekly_Inspections!$AY893&lt;&gt;"",Weekly_Inspections!$AY893,IF(Weekly_Inspections!$AZ893&lt;&gt;"",Weekly_Inspections!$AZ893,IF(Weekly_Inspections!$BA893&lt;&gt;"",Weekly_Inspections!$BA893,IF(Weekly_Inspections!$BB893&lt;&gt;"",Weekly_Inspections!$BB893,Weekly_Inspections!$R893)))))</f>
        <v/>
      </c>
      <c r="G893">
        <f>IF(OR(Weekly_Inspections!$AQ893&lt;&gt;"",Weekly_Inspections!$AR893&lt;&gt;"",Weekly_Inspections!$AS893&lt;&gt;""),Weekly_Inspections!$AQ893,"")</f>
        <v/>
      </c>
      <c r="H893">
        <f>Weekly_Inspections!$AP893</f>
        <v/>
      </c>
      <c r="I893">
        <f>Weekly_Inspections!$AR893</f>
        <v/>
      </c>
      <c r="J893">
        <f>Weekly_Inspections!$AS893</f>
        <v/>
      </c>
      <c r="K893">
        <f>Weekly_Inspections!$AU893</f>
        <v/>
      </c>
      <c r="L893" s="47">
        <f>Weekly_Inspections!$AV893</f>
        <v/>
      </c>
      <c r="M893">
        <f>IF($B893="","",IF($N893&lt;&gt;"","Closed",IF(OR($G893&lt;&gt;"",$I893&lt;&gt;"",$J893&lt;&gt;""),"Open","")))</f>
        <v/>
      </c>
      <c r="N893" s="47" t="n"/>
      <c r="O893">
        <f>IF($B893="","",IF($M893="Closed",IF($N893="","",$N893-$B893),TODAY()-$B893))</f>
        <v/>
      </c>
      <c r="P893">
        <f>IF(OR($B893="",$L893="",$M893="Closed"),"",IF(TODAY()&gt;$L893,"YES","NO"))</f>
        <v/>
      </c>
      <c r="Q893">
        <f>Weekly_Inspections!$AW893</f>
        <v/>
      </c>
    </row>
    <row r="894" ht="15" customHeight="1" s="45">
      <c r="A894">
        <f>IF(Weekly_Inspections!$B894="","",Weekly_Inspections!$A894&amp;"-A1")</f>
        <v/>
      </c>
      <c r="B894" s="47">
        <f>Weekly_Inspections!$B894</f>
        <v/>
      </c>
      <c r="C894">
        <f>Weekly_Inspections!$E894</f>
        <v/>
      </c>
      <c r="D894">
        <f>Weekly_Inspections!$F894</f>
        <v/>
      </c>
      <c r="E894">
        <f>Weekly_Inspections!$H894</f>
        <v/>
      </c>
      <c r="F894">
        <f>IF(Weekly_Inspections!$AX894&lt;&gt;"",Weekly_Inspections!$AX894,IF(Weekly_Inspections!$AY894&lt;&gt;"",Weekly_Inspections!$AY894,IF(Weekly_Inspections!$AZ894&lt;&gt;"",Weekly_Inspections!$AZ894,IF(Weekly_Inspections!$BA894&lt;&gt;"",Weekly_Inspections!$BA894,IF(Weekly_Inspections!$BB894&lt;&gt;"",Weekly_Inspections!$BB894,Weekly_Inspections!$R894)))))</f>
        <v/>
      </c>
      <c r="G894">
        <f>IF(OR(Weekly_Inspections!$AQ894&lt;&gt;"",Weekly_Inspections!$AR894&lt;&gt;"",Weekly_Inspections!$AS894&lt;&gt;""),Weekly_Inspections!$AQ894,"")</f>
        <v/>
      </c>
      <c r="H894">
        <f>Weekly_Inspections!$AP894</f>
        <v/>
      </c>
      <c r="I894">
        <f>Weekly_Inspections!$AR894</f>
        <v/>
      </c>
      <c r="J894">
        <f>Weekly_Inspections!$AS894</f>
        <v/>
      </c>
      <c r="K894">
        <f>Weekly_Inspections!$AU894</f>
        <v/>
      </c>
      <c r="L894" s="47">
        <f>Weekly_Inspections!$AV894</f>
        <v/>
      </c>
      <c r="M894">
        <f>IF($B894="","",IF($N894&lt;&gt;"","Closed",IF(OR($G894&lt;&gt;"",$I894&lt;&gt;"",$J894&lt;&gt;""),"Open","")))</f>
        <v/>
      </c>
      <c r="N894" s="47" t="n"/>
      <c r="O894">
        <f>IF($B894="","",IF($M894="Closed",IF($N894="","",$N894-$B894),TODAY()-$B894))</f>
        <v/>
      </c>
      <c r="P894">
        <f>IF(OR($B894="",$L894="",$M894="Closed"),"",IF(TODAY()&gt;$L894,"YES","NO"))</f>
        <v/>
      </c>
      <c r="Q894">
        <f>Weekly_Inspections!$AW894</f>
        <v/>
      </c>
    </row>
    <row r="895" ht="15" customHeight="1" s="45">
      <c r="A895">
        <f>IF(Weekly_Inspections!$B895="","",Weekly_Inspections!$A895&amp;"-A1")</f>
        <v/>
      </c>
      <c r="B895" s="47">
        <f>Weekly_Inspections!$B895</f>
        <v/>
      </c>
      <c r="C895">
        <f>Weekly_Inspections!$E895</f>
        <v/>
      </c>
      <c r="D895">
        <f>Weekly_Inspections!$F895</f>
        <v/>
      </c>
      <c r="E895">
        <f>Weekly_Inspections!$H895</f>
        <v/>
      </c>
      <c r="F895">
        <f>IF(Weekly_Inspections!$AX895&lt;&gt;"",Weekly_Inspections!$AX895,IF(Weekly_Inspections!$AY895&lt;&gt;"",Weekly_Inspections!$AY895,IF(Weekly_Inspections!$AZ895&lt;&gt;"",Weekly_Inspections!$AZ895,IF(Weekly_Inspections!$BA895&lt;&gt;"",Weekly_Inspections!$BA895,IF(Weekly_Inspections!$BB895&lt;&gt;"",Weekly_Inspections!$BB895,Weekly_Inspections!$R895)))))</f>
        <v/>
      </c>
      <c r="G895">
        <f>IF(OR(Weekly_Inspections!$AQ895&lt;&gt;"",Weekly_Inspections!$AR895&lt;&gt;"",Weekly_Inspections!$AS895&lt;&gt;""),Weekly_Inspections!$AQ895,"")</f>
        <v/>
      </c>
      <c r="H895">
        <f>Weekly_Inspections!$AP895</f>
        <v/>
      </c>
      <c r="I895">
        <f>Weekly_Inspections!$AR895</f>
        <v/>
      </c>
      <c r="J895">
        <f>Weekly_Inspections!$AS895</f>
        <v/>
      </c>
      <c r="K895">
        <f>Weekly_Inspections!$AU895</f>
        <v/>
      </c>
      <c r="L895" s="47">
        <f>Weekly_Inspections!$AV895</f>
        <v/>
      </c>
      <c r="M895">
        <f>IF($B895="","",IF($N895&lt;&gt;"","Closed",IF(OR($G895&lt;&gt;"",$I895&lt;&gt;"",$J895&lt;&gt;""),"Open","")))</f>
        <v/>
      </c>
      <c r="N895" s="47" t="n"/>
      <c r="O895">
        <f>IF($B895="","",IF($M895="Closed",IF($N895="","",$N895-$B895),TODAY()-$B895))</f>
        <v/>
      </c>
      <c r="P895">
        <f>IF(OR($B895="",$L895="",$M895="Closed"),"",IF(TODAY()&gt;$L895,"YES","NO"))</f>
        <v/>
      </c>
      <c r="Q895">
        <f>Weekly_Inspections!$AW895</f>
        <v/>
      </c>
    </row>
    <row r="896" ht="15" customHeight="1" s="45">
      <c r="A896">
        <f>IF(Weekly_Inspections!$B896="","",Weekly_Inspections!$A896&amp;"-A1")</f>
        <v/>
      </c>
      <c r="B896" s="47">
        <f>Weekly_Inspections!$B896</f>
        <v/>
      </c>
      <c r="C896">
        <f>Weekly_Inspections!$E896</f>
        <v/>
      </c>
      <c r="D896">
        <f>Weekly_Inspections!$F896</f>
        <v/>
      </c>
      <c r="E896">
        <f>Weekly_Inspections!$H896</f>
        <v/>
      </c>
      <c r="F896">
        <f>IF(Weekly_Inspections!$AX896&lt;&gt;"",Weekly_Inspections!$AX896,IF(Weekly_Inspections!$AY896&lt;&gt;"",Weekly_Inspections!$AY896,IF(Weekly_Inspections!$AZ896&lt;&gt;"",Weekly_Inspections!$AZ896,IF(Weekly_Inspections!$BA896&lt;&gt;"",Weekly_Inspections!$BA896,IF(Weekly_Inspections!$BB896&lt;&gt;"",Weekly_Inspections!$BB896,Weekly_Inspections!$R896)))))</f>
        <v/>
      </c>
      <c r="G896">
        <f>IF(OR(Weekly_Inspections!$AQ896&lt;&gt;"",Weekly_Inspections!$AR896&lt;&gt;"",Weekly_Inspections!$AS896&lt;&gt;""),Weekly_Inspections!$AQ896,"")</f>
        <v/>
      </c>
      <c r="H896">
        <f>Weekly_Inspections!$AP896</f>
        <v/>
      </c>
      <c r="I896">
        <f>Weekly_Inspections!$AR896</f>
        <v/>
      </c>
      <c r="J896">
        <f>Weekly_Inspections!$AS896</f>
        <v/>
      </c>
      <c r="K896">
        <f>Weekly_Inspections!$AU896</f>
        <v/>
      </c>
      <c r="L896" s="47">
        <f>Weekly_Inspections!$AV896</f>
        <v/>
      </c>
      <c r="M896">
        <f>IF($B896="","",IF($N896&lt;&gt;"","Closed",IF(OR($G896&lt;&gt;"",$I896&lt;&gt;"",$J896&lt;&gt;""),"Open","")))</f>
        <v/>
      </c>
      <c r="N896" s="47" t="n"/>
      <c r="O896">
        <f>IF($B896="","",IF($M896="Closed",IF($N896="","",$N896-$B896),TODAY()-$B896))</f>
        <v/>
      </c>
      <c r="P896">
        <f>IF(OR($B896="",$L896="",$M896="Closed"),"",IF(TODAY()&gt;$L896,"YES","NO"))</f>
        <v/>
      </c>
      <c r="Q896">
        <f>Weekly_Inspections!$AW896</f>
        <v/>
      </c>
    </row>
    <row r="897" ht="15" customHeight="1" s="45">
      <c r="A897">
        <f>IF(Weekly_Inspections!$B897="","",Weekly_Inspections!$A897&amp;"-A1")</f>
        <v/>
      </c>
      <c r="B897" s="47">
        <f>Weekly_Inspections!$B897</f>
        <v/>
      </c>
      <c r="C897">
        <f>Weekly_Inspections!$E897</f>
        <v/>
      </c>
      <c r="D897">
        <f>Weekly_Inspections!$F897</f>
        <v/>
      </c>
      <c r="E897">
        <f>Weekly_Inspections!$H897</f>
        <v/>
      </c>
      <c r="F897">
        <f>IF(Weekly_Inspections!$AX897&lt;&gt;"",Weekly_Inspections!$AX897,IF(Weekly_Inspections!$AY897&lt;&gt;"",Weekly_Inspections!$AY897,IF(Weekly_Inspections!$AZ897&lt;&gt;"",Weekly_Inspections!$AZ897,IF(Weekly_Inspections!$BA897&lt;&gt;"",Weekly_Inspections!$BA897,IF(Weekly_Inspections!$BB897&lt;&gt;"",Weekly_Inspections!$BB897,Weekly_Inspections!$R897)))))</f>
        <v/>
      </c>
      <c r="G897">
        <f>IF(OR(Weekly_Inspections!$AQ897&lt;&gt;"",Weekly_Inspections!$AR897&lt;&gt;"",Weekly_Inspections!$AS897&lt;&gt;""),Weekly_Inspections!$AQ897,"")</f>
        <v/>
      </c>
      <c r="H897">
        <f>Weekly_Inspections!$AP897</f>
        <v/>
      </c>
      <c r="I897">
        <f>Weekly_Inspections!$AR897</f>
        <v/>
      </c>
      <c r="J897">
        <f>Weekly_Inspections!$AS897</f>
        <v/>
      </c>
      <c r="K897">
        <f>Weekly_Inspections!$AU897</f>
        <v/>
      </c>
      <c r="L897" s="47">
        <f>Weekly_Inspections!$AV897</f>
        <v/>
      </c>
      <c r="M897">
        <f>IF($B897="","",IF($N897&lt;&gt;"","Closed",IF(OR($G897&lt;&gt;"",$I897&lt;&gt;"",$J897&lt;&gt;""),"Open","")))</f>
        <v/>
      </c>
      <c r="N897" s="47" t="n"/>
      <c r="O897">
        <f>IF($B897="","",IF($M897="Closed",IF($N897="","",$N897-$B897),TODAY()-$B897))</f>
        <v/>
      </c>
      <c r="P897">
        <f>IF(OR($B897="",$L897="",$M897="Closed"),"",IF(TODAY()&gt;$L897,"YES","NO"))</f>
        <v/>
      </c>
      <c r="Q897">
        <f>Weekly_Inspections!$AW897</f>
        <v/>
      </c>
    </row>
    <row r="898" ht="15" customHeight="1" s="45">
      <c r="A898">
        <f>IF(Weekly_Inspections!$B898="","",Weekly_Inspections!$A898&amp;"-A1")</f>
        <v/>
      </c>
      <c r="B898" s="47">
        <f>Weekly_Inspections!$B898</f>
        <v/>
      </c>
      <c r="C898">
        <f>Weekly_Inspections!$E898</f>
        <v/>
      </c>
      <c r="D898">
        <f>Weekly_Inspections!$F898</f>
        <v/>
      </c>
      <c r="E898">
        <f>Weekly_Inspections!$H898</f>
        <v/>
      </c>
      <c r="F898">
        <f>IF(Weekly_Inspections!$AX898&lt;&gt;"",Weekly_Inspections!$AX898,IF(Weekly_Inspections!$AY898&lt;&gt;"",Weekly_Inspections!$AY898,IF(Weekly_Inspections!$AZ898&lt;&gt;"",Weekly_Inspections!$AZ898,IF(Weekly_Inspections!$BA898&lt;&gt;"",Weekly_Inspections!$BA898,IF(Weekly_Inspections!$BB898&lt;&gt;"",Weekly_Inspections!$BB898,Weekly_Inspections!$R898)))))</f>
        <v/>
      </c>
      <c r="G898">
        <f>IF(OR(Weekly_Inspections!$AQ898&lt;&gt;"",Weekly_Inspections!$AR898&lt;&gt;"",Weekly_Inspections!$AS898&lt;&gt;""),Weekly_Inspections!$AQ898,"")</f>
        <v/>
      </c>
      <c r="H898">
        <f>Weekly_Inspections!$AP898</f>
        <v/>
      </c>
      <c r="I898">
        <f>Weekly_Inspections!$AR898</f>
        <v/>
      </c>
      <c r="J898">
        <f>Weekly_Inspections!$AS898</f>
        <v/>
      </c>
      <c r="K898">
        <f>Weekly_Inspections!$AU898</f>
        <v/>
      </c>
      <c r="L898" s="47">
        <f>Weekly_Inspections!$AV898</f>
        <v/>
      </c>
      <c r="M898">
        <f>IF($B898="","",IF($N898&lt;&gt;"","Closed",IF(OR($G898&lt;&gt;"",$I898&lt;&gt;"",$J898&lt;&gt;""),"Open","")))</f>
        <v/>
      </c>
      <c r="N898" s="47" t="n"/>
      <c r="O898">
        <f>IF($B898="","",IF($M898="Closed",IF($N898="","",$N898-$B898),TODAY()-$B898))</f>
        <v/>
      </c>
      <c r="P898">
        <f>IF(OR($B898="",$L898="",$M898="Closed"),"",IF(TODAY()&gt;$L898,"YES","NO"))</f>
        <v/>
      </c>
      <c r="Q898">
        <f>Weekly_Inspections!$AW898</f>
        <v/>
      </c>
    </row>
    <row r="899" ht="15" customHeight="1" s="45">
      <c r="A899">
        <f>IF(Weekly_Inspections!$B899="","",Weekly_Inspections!$A899&amp;"-A1")</f>
        <v/>
      </c>
      <c r="B899" s="47">
        <f>Weekly_Inspections!$B899</f>
        <v/>
      </c>
      <c r="C899">
        <f>Weekly_Inspections!$E899</f>
        <v/>
      </c>
      <c r="D899">
        <f>Weekly_Inspections!$F899</f>
        <v/>
      </c>
      <c r="E899">
        <f>Weekly_Inspections!$H899</f>
        <v/>
      </c>
      <c r="F899">
        <f>IF(Weekly_Inspections!$AX899&lt;&gt;"",Weekly_Inspections!$AX899,IF(Weekly_Inspections!$AY899&lt;&gt;"",Weekly_Inspections!$AY899,IF(Weekly_Inspections!$AZ899&lt;&gt;"",Weekly_Inspections!$AZ899,IF(Weekly_Inspections!$BA899&lt;&gt;"",Weekly_Inspections!$BA899,IF(Weekly_Inspections!$BB899&lt;&gt;"",Weekly_Inspections!$BB899,Weekly_Inspections!$R899)))))</f>
        <v/>
      </c>
      <c r="G899">
        <f>IF(OR(Weekly_Inspections!$AQ899&lt;&gt;"",Weekly_Inspections!$AR899&lt;&gt;"",Weekly_Inspections!$AS899&lt;&gt;""),Weekly_Inspections!$AQ899,"")</f>
        <v/>
      </c>
      <c r="H899">
        <f>Weekly_Inspections!$AP899</f>
        <v/>
      </c>
      <c r="I899">
        <f>Weekly_Inspections!$AR899</f>
        <v/>
      </c>
      <c r="J899">
        <f>Weekly_Inspections!$AS899</f>
        <v/>
      </c>
      <c r="K899">
        <f>Weekly_Inspections!$AU899</f>
        <v/>
      </c>
      <c r="L899" s="47">
        <f>Weekly_Inspections!$AV899</f>
        <v/>
      </c>
      <c r="M899">
        <f>IF($B899="","",IF($N899&lt;&gt;"","Closed",IF(OR($G899&lt;&gt;"",$I899&lt;&gt;"",$J899&lt;&gt;""),"Open","")))</f>
        <v/>
      </c>
      <c r="N899" s="47" t="n"/>
      <c r="O899">
        <f>IF($B899="","",IF($M899="Closed",IF($N899="","",$N899-$B899),TODAY()-$B899))</f>
        <v/>
      </c>
      <c r="P899">
        <f>IF(OR($B899="",$L899="",$M899="Closed"),"",IF(TODAY()&gt;$L899,"YES","NO"))</f>
        <v/>
      </c>
      <c r="Q899">
        <f>Weekly_Inspections!$AW899</f>
        <v/>
      </c>
    </row>
    <row r="900" ht="15" customHeight="1" s="45">
      <c r="A900">
        <f>IF(Weekly_Inspections!$B900="","",Weekly_Inspections!$A900&amp;"-A1")</f>
        <v/>
      </c>
      <c r="B900" s="47">
        <f>Weekly_Inspections!$B900</f>
        <v/>
      </c>
      <c r="C900">
        <f>Weekly_Inspections!$E900</f>
        <v/>
      </c>
      <c r="D900">
        <f>Weekly_Inspections!$F900</f>
        <v/>
      </c>
      <c r="E900">
        <f>Weekly_Inspections!$H900</f>
        <v/>
      </c>
      <c r="F900">
        <f>IF(Weekly_Inspections!$AX900&lt;&gt;"",Weekly_Inspections!$AX900,IF(Weekly_Inspections!$AY900&lt;&gt;"",Weekly_Inspections!$AY900,IF(Weekly_Inspections!$AZ900&lt;&gt;"",Weekly_Inspections!$AZ900,IF(Weekly_Inspections!$BA900&lt;&gt;"",Weekly_Inspections!$BA900,IF(Weekly_Inspections!$BB900&lt;&gt;"",Weekly_Inspections!$BB900,Weekly_Inspections!$R900)))))</f>
        <v/>
      </c>
      <c r="G900">
        <f>IF(OR(Weekly_Inspections!$AQ900&lt;&gt;"",Weekly_Inspections!$AR900&lt;&gt;"",Weekly_Inspections!$AS900&lt;&gt;""),Weekly_Inspections!$AQ900,"")</f>
        <v/>
      </c>
      <c r="H900">
        <f>Weekly_Inspections!$AP900</f>
        <v/>
      </c>
      <c r="I900">
        <f>Weekly_Inspections!$AR900</f>
        <v/>
      </c>
      <c r="J900">
        <f>Weekly_Inspections!$AS900</f>
        <v/>
      </c>
      <c r="K900">
        <f>Weekly_Inspections!$AU900</f>
        <v/>
      </c>
      <c r="L900" s="47">
        <f>Weekly_Inspections!$AV900</f>
        <v/>
      </c>
      <c r="M900">
        <f>IF($B900="","",IF($N900&lt;&gt;"","Closed",IF(OR($G900&lt;&gt;"",$I900&lt;&gt;"",$J900&lt;&gt;""),"Open","")))</f>
        <v/>
      </c>
      <c r="N900" s="47" t="n"/>
      <c r="O900">
        <f>IF($B900="","",IF($M900="Closed",IF($N900="","",$N900-$B900),TODAY()-$B900))</f>
        <v/>
      </c>
      <c r="P900">
        <f>IF(OR($B900="",$L900="",$M900="Closed"),"",IF(TODAY()&gt;$L900,"YES","NO"))</f>
        <v/>
      </c>
      <c r="Q900">
        <f>Weekly_Inspections!$AW900</f>
        <v/>
      </c>
    </row>
    <row r="901" ht="15" customHeight="1" s="45">
      <c r="A901">
        <f>IF(Weekly_Inspections!$B901="","",Weekly_Inspections!$A901&amp;"-A1")</f>
        <v/>
      </c>
      <c r="B901" s="47">
        <f>Weekly_Inspections!$B901</f>
        <v/>
      </c>
      <c r="C901">
        <f>Weekly_Inspections!$E901</f>
        <v/>
      </c>
      <c r="D901">
        <f>Weekly_Inspections!$F901</f>
        <v/>
      </c>
      <c r="E901">
        <f>Weekly_Inspections!$H901</f>
        <v/>
      </c>
      <c r="F901">
        <f>IF(Weekly_Inspections!$AX901&lt;&gt;"",Weekly_Inspections!$AX901,IF(Weekly_Inspections!$AY901&lt;&gt;"",Weekly_Inspections!$AY901,IF(Weekly_Inspections!$AZ901&lt;&gt;"",Weekly_Inspections!$AZ901,IF(Weekly_Inspections!$BA901&lt;&gt;"",Weekly_Inspections!$BA901,IF(Weekly_Inspections!$BB901&lt;&gt;"",Weekly_Inspections!$BB901,Weekly_Inspections!$R901)))))</f>
        <v/>
      </c>
      <c r="G901">
        <f>IF(OR(Weekly_Inspections!$AQ901&lt;&gt;"",Weekly_Inspections!$AR901&lt;&gt;"",Weekly_Inspections!$AS901&lt;&gt;""),Weekly_Inspections!$AQ901,"")</f>
        <v/>
      </c>
      <c r="H901">
        <f>Weekly_Inspections!$AP901</f>
        <v/>
      </c>
      <c r="I901">
        <f>Weekly_Inspections!$AR901</f>
        <v/>
      </c>
      <c r="J901">
        <f>Weekly_Inspections!$AS901</f>
        <v/>
      </c>
      <c r="K901">
        <f>Weekly_Inspections!$AU901</f>
        <v/>
      </c>
      <c r="L901" s="47">
        <f>Weekly_Inspections!$AV901</f>
        <v/>
      </c>
      <c r="M901">
        <f>IF($B901="","",IF($N901&lt;&gt;"","Closed",IF(OR($G901&lt;&gt;"",$I901&lt;&gt;"",$J901&lt;&gt;""),"Open","")))</f>
        <v/>
      </c>
      <c r="N901" s="47" t="n"/>
      <c r="O901">
        <f>IF($B901="","",IF($M901="Closed",IF($N901="","",$N901-$B901),TODAY()-$B901))</f>
        <v/>
      </c>
      <c r="P901">
        <f>IF(OR($B901="",$L901="",$M901="Closed"),"",IF(TODAY()&gt;$L901,"YES","NO"))</f>
        <v/>
      </c>
      <c r="Q901">
        <f>Weekly_Inspections!$AW901</f>
        <v/>
      </c>
    </row>
    <row r="902" ht="15" customHeight="1" s="45">
      <c r="A902">
        <f>IF(Weekly_Inspections!$B902="","",Weekly_Inspections!$A902&amp;"-A1")</f>
        <v/>
      </c>
      <c r="B902" s="47">
        <f>Weekly_Inspections!$B902</f>
        <v/>
      </c>
      <c r="C902">
        <f>Weekly_Inspections!$E902</f>
        <v/>
      </c>
      <c r="D902">
        <f>Weekly_Inspections!$F902</f>
        <v/>
      </c>
      <c r="E902">
        <f>Weekly_Inspections!$H902</f>
        <v/>
      </c>
      <c r="F902">
        <f>IF(Weekly_Inspections!$AX902&lt;&gt;"",Weekly_Inspections!$AX902,IF(Weekly_Inspections!$AY902&lt;&gt;"",Weekly_Inspections!$AY902,IF(Weekly_Inspections!$AZ902&lt;&gt;"",Weekly_Inspections!$AZ902,IF(Weekly_Inspections!$BA902&lt;&gt;"",Weekly_Inspections!$BA902,IF(Weekly_Inspections!$BB902&lt;&gt;"",Weekly_Inspections!$BB902,Weekly_Inspections!$R902)))))</f>
        <v/>
      </c>
      <c r="G902">
        <f>IF(OR(Weekly_Inspections!$AQ902&lt;&gt;"",Weekly_Inspections!$AR902&lt;&gt;"",Weekly_Inspections!$AS902&lt;&gt;""),Weekly_Inspections!$AQ902,"")</f>
        <v/>
      </c>
      <c r="H902">
        <f>Weekly_Inspections!$AP902</f>
        <v/>
      </c>
      <c r="I902">
        <f>Weekly_Inspections!$AR902</f>
        <v/>
      </c>
      <c r="J902">
        <f>Weekly_Inspections!$AS902</f>
        <v/>
      </c>
      <c r="K902">
        <f>Weekly_Inspections!$AU902</f>
        <v/>
      </c>
      <c r="L902" s="47">
        <f>Weekly_Inspections!$AV902</f>
        <v/>
      </c>
      <c r="M902">
        <f>IF($B902="","",IF($N902&lt;&gt;"","Closed",IF(OR($G902&lt;&gt;"",$I902&lt;&gt;"",$J902&lt;&gt;""),"Open","")))</f>
        <v/>
      </c>
      <c r="N902" s="47" t="n"/>
      <c r="O902">
        <f>IF($B902="","",IF($M902="Closed",IF($N902="","",$N902-$B902),TODAY()-$B902))</f>
        <v/>
      </c>
      <c r="P902">
        <f>IF(OR($B902="",$L902="",$M902="Closed"),"",IF(TODAY()&gt;$L902,"YES","NO"))</f>
        <v/>
      </c>
      <c r="Q902">
        <f>Weekly_Inspections!$AW902</f>
        <v/>
      </c>
    </row>
    <row r="903" ht="15" customHeight="1" s="45">
      <c r="A903">
        <f>IF(Weekly_Inspections!$B903="","",Weekly_Inspections!$A903&amp;"-A1")</f>
        <v/>
      </c>
      <c r="B903" s="47">
        <f>Weekly_Inspections!$B903</f>
        <v/>
      </c>
      <c r="C903">
        <f>Weekly_Inspections!$E903</f>
        <v/>
      </c>
      <c r="D903">
        <f>Weekly_Inspections!$F903</f>
        <v/>
      </c>
      <c r="E903">
        <f>Weekly_Inspections!$H903</f>
        <v/>
      </c>
      <c r="F903">
        <f>IF(Weekly_Inspections!$AX903&lt;&gt;"",Weekly_Inspections!$AX903,IF(Weekly_Inspections!$AY903&lt;&gt;"",Weekly_Inspections!$AY903,IF(Weekly_Inspections!$AZ903&lt;&gt;"",Weekly_Inspections!$AZ903,IF(Weekly_Inspections!$BA903&lt;&gt;"",Weekly_Inspections!$BA903,IF(Weekly_Inspections!$BB903&lt;&gt;"",Weekly_Inspections!$BB903,Weekly_Inspections!$R903)))))</f>
        <v/>
      </c>
      <c r="G903">
        <f>IF(OR(Weekly_Inspections!$AQ903&lt;&gt;"",Weekly_Inspections!$AR903&lt;&gt;"",Weekly_Inspections!$AS903&lt;&gt;""),Weekly_Inspections!$AQ903,"")</f>
        <v/>
      </c>
      <c r="H903">
        <f>Weekly_Inspections!$AP903</f>
        <v/>
      </c>
      <c r="I903">
        <f>Weekly_Inspections!$AR903</f>
        <v/>
      </c>
      <c r="J903">
        <f>Weekly_Inspections!$AS903</f>
        <v/>
      </c>
      <c r="K903">
        <f>Weekly_Inspections!$AU903</f>
        <v/>
      </c>
      <c r="L903" s="47">
        <f>Weekly_Inspections!$AV903</f>
        <v/>
      </c>
      <c r="M903">
        <f>IF($B903="","",IF($N903&lt;&gt;"","Closed",IF(OR($G903&lt;&gt;"",$I903&lt;&gt;"",$J903&lt;&gt;""),"Open","")))</f>
        <v/>
      </c>
      <c r="N903" s="47" t="n"/>
      <c r="O903">
        <f>IF($B903="","",IF($M903="Closed",IF($N903="","",$N903-$B903),TODAY()-$B903))</f>
        <v/>
      </c>
      <c r="P903">
        <f>IF(OR($B903="",$L903="",$M903="Closed"),"",IF(TODAY()&gt;$L903,"YES","NO"))</f>
        <v/>
      </c>
      <c r="Q903">
        <f>Weekly_Inspections!$AW903</f>
        <v/>
      </c>
    </row>
    <row r="904" ht="15" customHeight="1" s="45">
      <c r="A904">
        <f>IF(Weekly_Inspections!$B904="","",Weekly_Inspections!$A904&amp;"-A1")</f>
        <v/>
      </c>
      <c r="B904" s="47">
        <f>Weekly_Inspections!$B904</f>
        <v/>
      </c>
      <c r="C904">
        <f>Weekly_Inspections!$E904</f>
        <v/>
      </c>
      <c r="D904">
        <f>Weekly_Inspections!$F904</f>
        <v/>
      </c>
      <c r="E904">
        <f>Weekly_Inspections!$H904</f>
        <v/>
      </c>
      <c r="F904">
        <f>IF(Weekly_Inspections!$AX904&lt;&gt;"",Weekly_Inspections!$AX904,IF(Weekly_Inspections!$AY904&lt;&gt;"",Weekly_Inspections!$AY904,IF(Weekly_Inspections!$AZ904&lt;&gt;"",Weekly_Inspections!$AZ904,IF(Weekly_Inspections!$BA904&lt;&gt;"",Weekly_Inspections!$BA904,IF(Weekly_Inspections!$BB904&lt;&gt;"",Weekly_Inspections!$BB904,Weekly_Inspections!$R904)))))</f>
        <v/>
      </c>
      <c r="G904">
        <f>IF(OR(Weekly_Inspections!$AQ904&lt;&gt;"",Weekly_Inspections!$AR904&lt;&gt;"",Weekly_Inspections!$AS904&lt;&gt;""),Weekly_Inspections!$AQ904,"")</f>
        <v/>
      </c>
      <c r="H904">
        <f>Weekly_Inspections!$AP904</f>
        <v/>
      </c>
      <c r="I904">
        <f>Weekly_Inspections!$AR904</f>
        <v/>
      </c>
      <c r="J904">
        <f>Weekly_Inspections!$AS904</f>
        <v/>
      </c>
      <c r="K904">
        <f>Weekly_Inspections!$AU904</f>
        <v/>
      </c>
      <c r="L904" s="47">
        <f>Weekly_Inspections!$AV904</f>
        <v/>
      </c>
      <c r="M904">
        <f>IF($B904="","",IF($N904&lt;&gt;"","Closed",IF(OR($G904&lt;&gt;"",$I904&lt;&gt;"",$J904&lt;&gt;""),"Open","")))</f>
        <v/>
      </c>
      <c r="N904" s="47" t="n"/>
      <c r="O904">
        <f>IF($B904="","",IF($M904="Closed",IF($N904="","",$N904-$B904),TODAY()-$B904))</f>
        <v/>
      </c>
      <c r="P904">
        <f>IF(OR($B904="",$L904="",$M904="Closed"),"",IF(TODAY()&gt;$L904,"YES","NO"))</f>
        <v/>
      </c>
      <c r="Q904">
        <f>Weekly_Inspections!$AW904</f>
        <v/>
      </c>
    </row>
    <row r="905" ht="15" customHeight="1" s="45">
      <c r="A905">
        <f>IF(Weekly_Inspections!$B905="","",Weekly_Inspections!$A905&amp;"-A1")</f>
        <v/>
      </c>
      <c r="B905" s="47">
        <f>Weekly_Inspections!$B905</f>
        <v/>
      </c>
      <c r="C905">
        <f>Weekly_Inspections!$E905</f>
        <v/>
      </c>
      <c r="D905">
        <f>Weekly_Inspections!$F905</f>
        <v/>
      </c>
      <c r="E905">
        <f>Weekly_Inspections!$H905</f>
        <v/>
      </c>
      <c r="F905">
        <f>IF(Weekly_Inspections!$AX905&lt;&gt;"",Weekly_Inspections!$AX905,IF(Weekly_Inspections!$AY905&lt;&gt;"",Weekly_Inspections!$AY905,IF(Weekly_Inspections!$AZ905&lt;&gt;"",Weekly_Inspections!$AZ905,IF(Weekly_Inspections!$BA905&lt;&gt;"",Weekly_Inspections!$BA905,IF(Weekly_Inspections!$BB905&lt;&gt;"",Weekly_Inspections!$BB905,Weekly_Inspections!$R905)))))</f>
        <v/>
      </c>
      <c r="G905">
        <f>IF(OR(Weekly_Inspections!$AQ905&lt;&gt;"",Weekly_Inspections!$AR905&lt;&gt;"",Weekly_Inspections!$AS905&lt;&gt;""),Weekly_Inspections!$AQ905,"")</f>
        <v/>
      </c>
      <c r="H905">
        <f>Weekly_Inspections!$AP905</f>
        <v/>
      </c>
      <c r="I905">
        <f>Weekly_Inspections!$AR905</f>
        <v/>
      </c>
      <c r="J905">
        <f>Weekly_Inspections!$AS905</f>
        <v/>
      </c>
      <c r="K905">
        <f>Weekly_Inspections!$AU905</f>
        <v/>
      </c>
      <c r="L905" s="47">
        <f>Weekly_Inspections!$AV905</f>
        <v/>
      </c>
      <c r="M905">
        <f>IF($B905="","",IF($N905&lt;&gt;"","Closed",IF(OR($G905&lt;&gt;"",$I905&lt;&gt;"",$J905&lt;&gt;""),"Open","")))</f>
        <v/>
      </c>
      <c r="N905" s="47" t="n"/>
      <c r="O905">
        <f>IF($B905="","",IF($M905="Closed",IF($N905="","",$N905-$B905),TODAY()-$B905))</f>
        <v/>
      </c>
      <c r="P905">
        <f>IF(OR($B905="",$L905="",$M905="Closed"),"",IF(TODAY()&gt;$L905,"YES","NO"))</f>
        <v/>
      </c>
      <c r="Q905">
        <f>Weekly_Inspections!$AW905</f>
        <v/>
      </c>
    </row>
    <row r="906" ht="15" customHeight="1" s="45">
      <c r="A906">
        <f>IF(Weekly_Inspections!$B906="","",Weekly_Inspections!$A906&amp;"-A1")</f>
        <v/>
      </c>
      <c r="B906" s="47">
        <f>Weekly_Inspections!$B906</f>
        <v/>
      </c>
      <c r="C906">
        <f>Weekly_Inspections!$E906</f>
        <v/>
      </c>
      <c r="D906">
        <f>Weekly_Inspections!$F906</f>
        <v/>
      </c>
      <c r="E906">
        <f>Weekly_Inspections!$H906</f>
        <v/>
      </c>
      <c r="F906">
        <f>IF(Weekly_Inspections!$AX906&lt;&gt;"",Weekly_Inspections!$AX906,IF(Weekly_Inspections!$AY906&lt;&gt;"",Weekly_Inspections!$AY906,IF(Weekly_Inspections!$AZ906&lt;&gt;"",Weekly_Inspections!$AZ906,IF(Weekly_Inspections!$BA906&lt;&gt;"",Weekly_Inspections!$BA906,IF(Weekly_Inspections!$BB906&lt;&gt;"",Weekly_Inspections!$BB906,Weekly_Inspections!$R906)))))</f>
        <v/>
      </c>
      <c r="G906">
        <f>IF(OR(Weekly_Inspections!$AQ906&lt;&gt;"",Weekly_Inspections!$AR906&lt;&gt;"",Weekly_Inspections!$AS906&lt;&gt;""),Weekly_Inspections!$AQ906,"")</f>
        <v/>
      </c>
      <c r="H906">
        <f>Weekly_Inspections!$AP906</f>
        <v/>
      </c>
      <c r="I906">
        <f>Weekly_Inspections!$AR906</f>
        <v/>
      </c>
      <c r="J906">
        <f>Weekly_Inspections!$AS906</f>
        <v/>
      </c>
      <c r="K906">
        <f>Weekly_Inspections!$AU906</f>
        <v/>
      </c>
      <c r="L906" s="47">
        <f>Weekly_Inspections!$AV906</f>
        <v/>
      </c>
      <c r="M906">
        <f>IF($B906="","",IF($N906&lt;&gt;"","Closed",IF(OR($G906&lt;&gt;"",$I906&lt;&gt;"",$J906&lt;&gt;""),"Open","")))</f>
        <v/>
      </c>
      <c r="N906" s="47" t="n"/>
      <c r="O906">
        <f>IF($B906="","",IF($M906="Closed",IF($N906="","",$N906-$B906),TODAY()-$B906))</f>
        <v/>
      </c>
      <c r="P906">
        <f>IF(OR($B906="",$L906="",$M906="Closed"),"",IF(TODAY()&gt;$L906,"YES","NO"))</f>
        <v/>
      </c>
      <c r="Q906">
        <f>Weekly_Inspections!$AW906</f>
        <v/>
      </c>
    </row>
    <row r="907" ht="15" customHeight="1" s="45">
      <c r="A907">
        <f>IF(Weekly_Inspections!$B907="","",Weekly_Inspections!$A907&amp;"-A1")</f>
        <v/>
      </c>
      <c r="B907" s="47">
        <f>Weekly_Inspections!$B907</f>
        <v/>
      </c>
      <c r="C907">
        <f>Weekly_Inspections!$E907</f>
        <v/>
      </c>
      <c r="D907">
        <f>Weekly_Inspections!$F907</f>
        <v/>
      </c>
      <c r="E907">
        <f>Weekly_Inspections!$H907</f>
        <v/>
      </c>
      <c r="F907">
        <f>IF(Weekly_Inspections!$AX907&lt;&gt;"",Weekly_Inspections!$AX907,IF(Weekly_Inspections!$AY907&lt;&gt;"",Weekly_Inspections!$AY907,IF(Weekly_Inspections!$AZ907&lt;&gt;"",Weekly_Inspections!$AZ907,IF(Weekly_Inspections!$BA907&lt;&gt;"",Weekly_Inspections!$BA907,IF(Weekly_Inspections!$BB907&lt;&gt;"",Weekly_Inspections!$BB907,Weekly_Inspections!$R907)))))</f>
        <v/>
      </c>
      <c r="G907">
        <f>IF(OR(Weekly_Inspections!$AQ907&lt;&gt;"",Weekly_Inspections!$AR907&lt;&gt;"",Weekly_Inspections!$AS907&lt;&gt;""),Weekly_Inspections!$AQ907,"")</f>
        <v/>
      </c>
      <c r="H907">
        <f>Weekly_Inspections!$AP907</f>
        <v/>
      </c>
      <c r="I907">
        <f>Weekly_Inspections!$AR907</f>
        <v/>
      </c>
      <c r="J907">
        <f>Weekly_Inspections!$AS907</f>
        <v/>
      </c>
      <c r="K907">
        <f>Weekly_Inspections!$AU907</f>
        <v/>
      </c>
      <c r="L907" s="47">
        <f>Weekly_Inspections!$AV907</f>
        <v/>
      </c>
      <c r="M907">
        <f>IF($B907="","",IF($N907&lt;&gt;"","Closed",IF(OR($G907&lt;&gt;"",$I907&lt;&gt;"",$J907&lt;&gt;""),"Open","")))</f>
        <v/>
      </c>
      <c r="N907" s="47" t="n"/>
      <c r="O907">
        <f>IF($B907="","",IF($M907="Closed",IF($N907="","",$N907-$B907),TODAY()-$B907))</f>
        <v/>
      </c>
      <c r="P907">
        <f>IF(OR($B907="",$L907="",$M907="Closed"),"",IF(TODAY()&gt;$L907,"YES","NO"))</f>
        <v/>
      </c>
      <c r="Q907">
        <f>Weekly_Inspections!$AW907</f>
        <v/>
      </c>
    </row>
    <row r="908" ht="15" customHeight="1" s="45">
      <c r="A908">
        <f>IF(Weekly_Inspections!$B908="","",Weekly_Inspections!$A908&amp;"-A1")</f>
        <v/>
      </c>
      <c r="B908" s="47">
        <f>Weekly_Inspections!$B908</f>
        <v/>
      </c>
      <c r="C908">
        <f>Weekly_Inspections!$E908</f>
        <v/>
      </c>
      <c r="D908">
        <f>Weekly_Inspections!$F908</f>
        <v/>
      </c>
      <c r="E908">
        <f>Weekly_Inspections!$H908</f>
        <v/>
      </c>
      <c r="F908">
        <f>IF(Weekly_Inspections!$AX908&lt;&gt;"",Weekly_Inspections!$AX908,IF(Weekly_Inspections!$AY908&lt;&gt;"",Weekly_Inspections!$AY908,IF(Weekly_Inspections!$AZ908&lt;&gt;"",Weekly_Inspections!$AZ908,IF(Weekly_Inspections!$BA908&lt;&gt;"",Weekly_Inspections!$BA908,IF(Weekly_Inspections!$BB908&lt;&gt;"",Weekly_Inspections!$BB908,Weekly_Inspections!$R908)))))</f>
        <v/>
      </c>
      <c r="G908">
        <f>IF(OR(Weekly_Inspections!$AQ908&lt;&gt;"",Weekly_Inspections!$AR908&lt;&gt;"",Weekly_Inspections!$AS908&lt;&gt;""),Weekly_Inspections!$AQ908,"")</f>
        <v/>
      </c>
      <c r="H908">
        <f>Weekly_Inspections!$AP908</f>
        <v/>
      </c>
      <c r="I908">
        <f>Weekly_Inspections!$AR908</f>
        <v/>
      </c>
      <c r="J908">
        <f>Weekly_Inspections!$AS908</f>
        <v/>
      </c>
      <c r="K908">
        <f>Weekly_Inspections!$AU908</f>
        <v/>
      </c>
      <c r="L908" s="47">
        <f>Weekly_Inspections!$AV908</f>
        <v/>
      </c>
      <c r="M908">
        <f>IF($B908="","",IF($N908&lt;&gt;"","Closed",IF(OR($G908&lt;&gt;"",$I908&lt;&gt;"",$J908&lt;&gt;""),"Open","")))</f>
        <v/>
      </c>
      <c r="N908" s="47" t="n"/>
      <c r="O908">
        <f>IF($B908="","",IF($M908="Closed",IF($N908="","",$N908-$B908),TODAY()-$B908))</f>
        <v/>
      </c>
      <c r="P908">
        <f>IF(OR($B908="",$L908="",$M908="Closed"),"",IF(TODAY()&gt;$L908,"YES","NO"))</f>
        <v/>
      </c>
      <c r="Q908">
        <f>Weekly_Inspections!$AW908</f>
        <v/>
      </c>
    </row>
    <row r="909" ht="15" customHeight="1" s="45">
      <c r="A909">
        <f>IF(Weekly_Inspections!$B909="","",Weekly_Inspections!$A909&amp;"-A1")</f>
        <v/>
      </c>
      <c r="B909" s="47">
        <f>Weekly_Inspections!$B909</f>
        <v/>
      </c>
      <c r="C909">
        <f>Weekly_Inspections!$E909</f>
        <v/>
      </c>
      <c r="D909">
        <f>Weekly_Inspections!$F909</f>
        <v/>
      </c>
      <c r="E909">
        <f>Weekly_Inspections!$H909</f>
        <v/>
      </c>
      <c r="F909">
        <f>IF(Weekly_Inspections!$AX909&lt;&gt;"",Weekly_Inspections!$AX909,IF(Weekly_Inspections!$AY909&lt;&gt;"",Weekly_Inspections!$AY909,IF(Weekly_Inspections!$AZ909&lt;&gt;"",Weekly_Inspections!$AZ909,IF(Weekly_Inspections!$BA909&lt;&gt;"",Weekly_Inspections!$BA909,IF(Weekly_Inspections!$BB909&lt;&gt;"",Weekly_Inspections!$BB909,Weekly_Inspections!$R909)))))</f>
        <v/>
      </c>
      <c r="G909">
        <f>IF(OR(Weekly_Inspections!$AQ909&lt;&gt;"",Weekly_Inspections!$AR909&lt;&gt;"",Weekly_Inspections!$AS909&lt;&gt;""),Weekly_Inspections!$AQ909,"")</f>
        <v/>
      </c>
      <c r="H909">
        <f>Weekly_Inspections!$AP909</f>
        <v/>
      </c>
      <c r="I909">
        <f>Weekly_Inspections!$AR909</f>
        <v/>
      </c>
      <c r="J909">
        <f>Weekly_Inspections!$AS909</f>
        <v/>
      </c>
      <c r="K909">
        <f>Weekly_Inspections!$AU909</f>
        <v/>
      </c>
      <c r="L909" s="47">
        <f>Weekly_Inspections!$AV909</f>
        <v/>
      </c>
      <c r="M909">
        <f>IF($B909="","",IF($N909&lt;&gt;"","Closed",IF(OR($G909&lt;&gt;"",$I909&lt;&gt;"",$J909&lt;&gt;""),"Open","")))</f>
        <v/>
      </c>
      <c r="N909" s="47" t="n"/>
      <c r="O909">
        <f>IF($B909="","",IF($M909="Closed",IF($N909="","",$N909-$B909),TODAY()-$B909))</f>
        <v/>
      </c>
      <c r="P909">
        <f>IF(OR($B909="",$L909="",$M909="Closed"),"",IF(TODAY()&gt;$L909,"YES","NO"))</f>
        <v/>
      </c>
      <c r="Q909">
        <f>Weekly_Inspections!$AW909</f>
        <v/>
      </c>
    </row>
    <row r="910" ht="15" customHeight="1" s="45">
      <c r="A910">
        <f>IF(Weekly_Inspections!$B910="","",Weekly_Inspections!$A910&amp;"-A1")</f>
        <v/>
      </c>
      <c r="B910" s="47">
        <f>Weekly_Inspections!$B910</f>
        <v/>
      </c>
      <c r="C910">
        <f>Weekly_Inspections!$E910</f>
        <v/>
      </c>
      <c r="D910">
        <f>Weekly_Inspections!$F910</f>
        <v/>
      </c>
      <c r="E910">
        <f>Weekly_Inspections!$H910</f>
        <v/>
      </c>
      <c r="F910">
        <f>IF(Weekly_Inspections!$AX910&lt;&gt;"",Weekly_Inspections!$AX910,IF(Weekly_Inspections!$AY910&lt;&gt;"",Weekly_Inspections!$AY910,IF(Weekly_Inspections!$AZ910&lt;&gt;"",Weekly_Inspections!$AZ910,IF(Weekly_Inspections!$BA910&lt;&gt;"",Weekly_Inspections!$BA910,IF(Weekly_Inspections!$BB910&lt;&gt;"",Weekly_Inspections!$BB910,Weekly_Inspections!$R910)))))</f>
        <v/>
      </c>
      <c r="G910">
        <f>IF(OR(Weekly_Inspections!$AQ910&lt;&gt;"",Weekly_Inspections!$AR910&lt;&gt;"",Weekly_Inspections!$AS910&lt;&gt;""),Weekly_Inspections!$AQ910,"")</f>
        <v/>
      </c>
      <c r="H910">
        <f>Weekly_Inspections!$AP910</f>
        <v/>
      </c>
      <c r="I910">
        <f>Weekly_Inspections!$AR910</f>
        <v/>
      </c>
      <c r="J910">
        <f>Weekly_Inspections!$AS910</f>
        <v/>
      </c>
      <c r="K910">
        <f>Weekly_Inspections!$AU910</f>
        <v/>
      </c>
      <c r="L910" s="47">
        <f>Weekly_Inspections!$AV910</f>
        <v/>
      </c>
      <c r="M910">
        <f>IF($B910="","",IF($N910&lt;&gt;"","Closed",IF(OR($G910&lt;&gt;"",$I910&lt;&gt;"",$J910&lt;&gt;""),"Open","")))</f>
        <v/>
      </c>
      <c r="N910" s="47" t="n"/>
      <c r="O910">
        <f>IF($B910="","",IF($M910="Closed",IF($N910="","",$N910-$B910),TODAY()-$B910))</f>
        <v/>
      </c>
      <c r="P910">
        <f>IF(OR($B910="",$L910="",$M910="Closed"),"",IF(TODAY()&gt;$L910,"YES","NO"))</f>
        <v/>
      </c>
      <c r="Q910">
        <f>Weekly_Inspections!$AW910</f>
        <v/>
      </c>
    </row>
    <row r="911" ht="15" customHeight="1" s="45">
      <c r="A911">
        <f>IF(Weekly_Inspections!$B911="","",Weekly_Inspections!$A911&amp;"-A1")</f>
        <v/>
      </c>
      <c r="B911" s="47">
        <f>Weekly_Inspections!$B911</f>
        <v/>
      </c>
      <c r="C911">
        <f>Weekly_Inspections!$E911</f>
        <v/>
      </c>
      <c r="D911">
        <f>Weekly_Inspections!$F911</f>
        <v/>
      </c>
      <c r="E911">
        <f>Weekly_Inspections!$H911</f>
        <v/>
      </c>
      <c r="F911">
        <f>IF(Weekly_Inspections!$AX911&lt;&gt;"",Weekly_Inspections!$AX911,IF(Weekly_Inspections!$AY911&lt;&gt;"",Weekly_Inspections!$AY911,IF(Weekly_Inspections!$AZ911&lt;&gt;"",Weekly_Inspections!$AZ911,IF(Weekly_Inspections!$BA911&lt;&gt;"",Weekly_Inspections!$BA911,IF(Weekly_Inspections!$BB911&lt;&gt;"",Weekly_Inspections!$BB911,Weekly_Inspections!$R911)))))</f>
        <v/>
      </c>
      <c r="G911">
        <f>IF(OR(Weekly_Inspections!$AQ911&lt;&gt;"",Weekly_Inspections!$AR911&lt;&gt;"",Weekly_Inspections!$AS911&lt;&gt;""),Weekly_Inspections!$AQ911,"")</f>
        <v/>
      </c>
      <c r="H911">
        <f>Weekly_Inspections!$AP911</f>
        <v/>
      </c>
      <c r="I911">
        <f>Weekly_Inspections!$AR911</f>
        <v/>
      </c>
      <c r="J911">
        <f>Weekly_Inspections!$AS911</f>
        <v/>
      </c>
      <c r="K911">
        <f>Weekly_Inspections!$AU911</f>
        <v/>
      </c>
      <c r="L911" s="47">
        <f>Weekly_Inspections!$AV911</f>
        <v/>
      </c>
      <c r="M911">
        <f>IF($B911="","",IF($N911&lt;&gt;"","Closed",IF(OR($G911&lt;&gt;"",$I911&lt;&gt;"",$J911&lt;&gt;""),"Open","")))</f>
        <v/>
      </c>
      <c r="N911" s="47" t="n"/>
      <c r="O911">
        <f>IF($B911="","",IF($M911="Closed",IF($N911="","",$N911-$B911),TODAY()-$B911))</f>
        <v/>
      </c>
      <c r="P911">
        <f>IF(OR($B911="",$L911="",$M911="Closed"),"",IF(TODAY()&gt;$L911,"YES","NO"))</f>
        <v/>
      </c>
      <c r="Q911">
        <f>Weekly_Inspections!$AW911</f>
        <v/>
      </c>
    </row>
    <row r="912" ht="15" customHeight="1" s="45">
      <c r="A912">
        <f>IF(Weekly_Inspections!$B912="","",Weekly_Inspections!$A912&amp;"-A1")</f>
        <v/>
      </c>
      <c r="B912" s="47">
        <f>Weekly_Inspections!$B912</f>
        <v/>
      </c>
      <c r="C912">
        <f>Weekly_Inspections!$E912</f>
        <v/>
      </c>
      <c r="D912">
        <f>Weekly_Inspections!$F912</f>
        <v/>
      </c>
      <c r="E912">
        <f>Weekly_Inspections!$H912</f>
        <v/>
      </c>
      <c r="F912">
        <f>IF(Weekly_Inspections!$AX912&lt;&gt;"",Weekly_Inspections!$AX912,IF(Weekly_Inspections!$AY912&lt;&gt;"",Weekly_Inspections!$AY912,IF(Weekly_Inspections!$AZ912&lt;&gt;"",Weekly_Inspections!$AZ912,IF(Weekly_Inspections!$BA912&lt;&gt;"",Weekly_Inspections!$BA912,IF(Weekly_Inspections!$BB912&lt;&gt;"",Weekly_Inspections!$BB912,Weekly_Inspections!$R912)))))</f>
        <v/>
      </c>
      <c r="G912">
        <f>IF(OR(Weekly_Inspections!$AQ912&lt;&gt;"",Weekly_Inspections!$AR912&lt;&gt;"",Weekly_Inspections!$AS912&lt;&gt;""),Weekly_Inspections!$AQ912,"")</f>
        <v/>
      </c>
      <c r="H912">
        <f>Weekly_Inspections!$AP912</f>
        <v/>
      </c>
      <c r="I912">
        <f>Weekly_Inspections!$AR912</f>
        <v/>
      </c>
      <c r="J912">
        <f>Weekly_Inspections!$AS912</f>
        <v/>
      </c>
      <c r="K912">
        <f>Weekly_Inspections!$AU912</f>
        <v/>
      </c>
      <c r="L912" s="47">
        <f>Weekly_Inspections!$AV912</f>
        <v/>
      </c>
      <c r="M912">
        <f>IF($B912="","",IF($N912&lt;&gt;"","Closed",IF(OR($G912&lt;&gt;"",$I912&lt;&gt;"",$J912&lt;&gt;""),"Open","")))</f>
        <v/>
      </c>
      <c r="N912" s="47" t="n"/>
      <c r="O912">
        <f>IF($B912="","",IF($M912="Closed",IF($N912="","",$N912-$B912),TODAY()-$B912))</f>
        <v/>
      </c>
      <c r="P912">
        <f>IF(OR($B912="",$L912="",$M912="Closed"),"",IF(TODAY()&gt;$L912,"YES","NO"))</f>
        <v/>
      </c>
      <c r="Q912">
        <f>Weekly_Inspections!$AW912</f>
        <v/>
      </c>
    </row>
    <row r="913" ht="15" customHeight="1" s="45">
      <c r="A913">
        <f>IF(Weekly_Inspections!$B913="","",Weekly_Inspections!$A913&amp;"-A1")</f>
        <v/>
      </c>
      <c r="B913" s="47">
        <f>Weekly_Inspections!$B913</f>
        <v/>
      </c>
      <c r="C913">
        <f>Weekly_Inspections!$E913</f>
        <v/>
      </c>
      <c r="D913">
        <f>Weekly_Inspections!$F913</f>
        <v/>
      </c>
      <c r="E913">
        <f>Weekly_Inspections!$H913</f>
        <v/>
      </c>
      <c r="F913">
        <f>IF(Weekly_Inspections!$AX913&lt;&gt;"",Weekly_Inspections!$AX913,IF(Weekly_Inspections!$AY913&lt;&gt;"",Weekly_Inspections!$AY913,IF(Weekly_Inspections!$AZ913&lt;&gt;"",Weekly_Inspections!$AZ913,IF(Weekly_Inspections!$BA913&lt;&gt;"",Weekly_Inspections!$BA913,IF(Weekly_Inspections!$BB913&lt;&gt;"",Weekly_Inspections!$BB913,Weekly_Inspections!$R913)))))</f>
        <v/>
      </c>
      <c r="G913">
        <f>IF(OR(Weekly_Inspections!$AQ913&lt;&gt;"",Weekly_Inspections!$AR913&lt;&gt;"",Weekly_Inspections!$AS913&lt;&gt;""),Weekly_Inspections!$AQ913,"")</f>
        <v/>
      </c>
      <c r="H913">
        <f>Weekly_Inspections!$AP913</f>
        <v/>
      </c>
      <c r="I913">
        <f>Weekly_Inspections!$AR913</f>
        <v/>
      </c>
      <c r="J913">
        <f>Weekly_Inspections!$AS913</f>
        <v/>
      </c>
      <c r="K913">
        <f>Weekly_Inspections!$AU913</f>
        <v/>
      </c>
      <c r="L913" s="47">
        <f>Weekly_Inspections!$AV913</f>
        <v/>
      </c>
      <c r="M913">
        <f>IF($B913="","",IF($N913&lt;&gt;"","Closed",IF(OR($G913&lt;&gt;"",$I913&lt;&gt;"",$J913&lt;&gt;""),"Open","")))</f>
        <v/>
      </c>
      <c r="N913" s="47" t="n"/>
      <c r="O913">
        <f>IF($B913="","",IF($M913="Closed",IF($N913="","",$N913-$B913),TODAY()-$B913))</f>
        <v/>
      </c>
      <c r="P913">
        <f>IF(OR($B913="",$L913="",$M913="Closed"),"",IF(TODAY()&gt;$L913,"YES","NO"))</f>
        <v/>
      </c>
      <c r="Q913">
        <f>Weekly_Inspections!$AW913</f>
        <v/>
      </c>
    </row>
    <row r="914" ht="15" customHeight="1" s="45">
      <c r="A914">
        <f>IF(Weekly_Inspections!$B914="","",Weekly_Inspections!$A914&amp;"-A1")</f>
        <v/>
      </c>
      <c r="B914" s="47">
        <f>Weekly_Inspections!$B914</f>
        <v/>
      </c>
      <c r="C914">
        <f>Weekly_Inspections!$E914</f>
        <v/>
      </c>
      <c r="D914">
        <f>Weekly_Inspections!$F914</f>
        <v/>
      </c>
      <c r="E914">
        <f>Weekly_Inspections!$H914</f>
        <v/>
      </c>
      <c r="F914">
        <f>IF(Weekly_Inspections!$AX914&lt;&gt;"",Weekly_Inspections!$AX914,IF(Weekly_Inspections!$AY914&lt;&gt;"",Weekly_Inspections!$AY914,IF(Weekly_Inspections!$AZ914&lt;&gt;"",Weekly_Inspections!$AZ914,IF(Weekly_Inspections!$BA914&lt;&gt;"",Weekly_Inspections!$BA914,IF(Weekly_Inspections!$BB914&lt;&gt;"",Weekly_Inspections!$BB914,Weekly_Inspections!$R914)))))</f>
        <v/>
      </c>
      <c r="G914">
        <f>IF(OR(Weekly_Inspections!$AQ914&lt;&gt;"",Weekly_Inspections!$AR914&lt;&gt;"",Weekly_Inspections!$AS914&lt;&gt;""),Weekly_Inspections!$AQ914,"")</f>
        <v/>
      </c>
      <c r="H914">
        <f>Weekly_Inspections!$AP914</f>
        <v/>
      </c>
      <c r="I914">
        <f>Weekly_Inspections!$AR914</f>
        <v/>
      </c>
      <c r="J914">
        <f>Weekly_Inspections!$AS914</f>
        <v/>
      </c>
      <c r="K914">
        <f>Weekly_Inspections!$AU914</f>
        <v/>
      </c>
      <c r="L914" s="47">
        <f>Weekly_Inspections!$AV914</f>
        <v/>
      </c>
      <c r="M914">
        <f>IF($B914="","",IF($N914&lt;&gt;"","Closed",IF(OR($G914&lt;&gt;"",$I914&lt;&gt;"",$J914&lt;&gt;""),"Open","")))</f>
        <v/>
      </c>
      <c r="N914" s="47" t="n"/>
      <c r="O914">
        <f>IF($B914="","",IF($M914="Closed",IF($N914="","",$N914-$B914),TODAY()-$B914))</f>
        <v/>
      </c>
      <c r="P914">
        <f>IF(OR($B914="",$L914="",$M914="Closed"),"",IF(TODAY()&gt;$L914,"YES","NO"))</f>
        <v/>
      </c>
      <c r="Q914">
        <f>Weekly_Inspections!$AW914</f>
        <v/>
      </c>
    </row>
    <row r="915" ht="15" customHeight="1" s="45">
      <c r="A915">
        <f>IF(Weekly_Inspections!$B915="","",Weekly_Inspections!$A915&amp;"-A1")</f>
        <v/>
      </c>
      <c r="B915" s="47">
        <f>Weekly_Inspections!$B915</f>
        <v/>
      </c>
      <c r="C915">
        <f>Weekly_Inspections!$E915</f>
        <v/>
      </c>
      <c r="D915">
        <f>Weekly_Inspections!$F915</f>
        <v/>
      </c>
      <c r="E915">
        <f>Weekly_Inspections!$H915</f>
        <v/>
      </c>
      <c r="F915">
        <f>IF(Weekly_Inspections!$AX915&lt;&gt;"",Weekly_Inspections!$AX915,IF(Weekly_Inspections!$AY915&lt;&gt;"",Weekly_Inspections!$AY915,IF(Weekly_Inspections!$AZ915&lt;&gt;"",Weekly_Inspections!$AZ915,IF(Weekly_Inspections!$BA915&lt;&gt;"",Weekly_Inspections!$BA915,IF(Weekly_Inspections!$BB915&lt;&gt;"",Weekly_Inspections!$BB915,Weekly_Inspections!$R915)))))</f>
        <v/>
      </c>
      <c r="G915">
        <f>IF(OR(Weekly_Inspections!$AQ915&lt;&gt;"",Weekly_Inspections!$AR915&lt;&gt;"",Weekly_Inspections!$AS915&lt;&gt;""),Weekly_Inspections!$AQ915,"")</f>
        <v/>
      </c>
      <c r="H915">
        <f>Weekly_Inspections!$AP915</f>
        <v/>
      </c>
      <c r="I915">
        <f>Weekly_Inspections!$AR915</f>
        <v/>
      </c>
      <c r="J915">
        <f>Weekly_Inspections!$AS915</f>
        <v/>
      </c>
      <c r="K915">
        <f>Weekly_Inspections!$AU915</f>
        <v/>
      </c>
      <c r="L915" s="47">
        <f>Weekly_Inspections!$AV915</f>
        <v/>
      </c>
      <c r="M915">
        <f>IF($B915="","",IF($N915&lt;&gt;"","Closed",IF(OR($G915&lt;&gt;"",$I915&lt;&gt;"",$J915&lt;&gt;""),"Open","")))</f>
        <v/>
      </c>
      <c r="N915" s="47" t="n"/>
      <c r="O915">
        <f>IF($B915="","",IF($M915="Closed",IF($N915="","",$N915-$B915),TODAY()-$B915))</f>
        <v/>
      </c>
      <c r="P915">
        <f>IF(OR($B915="",$L915="",$M915="Closed"),"",IF(TODAY()&gt;$L915,"YES","NO"))</f>
        <v/>
      </c>
      <c r="Q915">
        <f>Weekly_Inspections!$AW915</f>
        <v/>
      </c>
    </row>
    <row r="916" ht="15" customHeight="1" s="45">
      <c r="A916">
        <f>IF(Weekly_Inspections!$B916="","",Weekly_Inspections!$A916&amp;"-A1")</f>
        <v/>
      </c>
      <c r="B916" s="47">
        <f>Weekly_Inspections!$B916</f>
        <v/>
      </c>
      <c r="C916">
        <f>Weekly_Inspections!$E916</f>
        <v/>
      </c>
      <c r="D916">
        <f>Weekly_Inspections!$F916</f>
        <v/>
      </c>
      <c r="E916">
        <f>Weekly_Inspections!$H916</f>
        <v/>
      </c>
      <c r="F916">
        <f>IF(Weekly_Inspections!$AX916&lt;&gt;"",Weekly_Inspections!$AX916,IF(Weekly_Inspections!$AY916&lt;&gt;"",Weekly_Inspections!$AY916,IF(Weekly_Inspections!$AZ916&lt;&gt;"",Weekly_Inspections!$AZ916,IF(Weekly_Inspections!$BA916&lt;&gt;"",Weekly_Inspections!$BA916,IF(Weekly_Inspections!$BB916&lt;&gt;"",Weekly_Inspections!$BB916,Weekly_Inspections!$R916)))))</f>
        <v/>
      </c>
      <c r="G916">
        <f>IF(OR(Weekly_Inspections!$AQ916&lt;&gt;"",Weekly_Inspections!$AR916&lt;&gt;"",Weekly_Inspections!$AS916&lt;&gt;""),Weekly_Inspections!$AQ916,"")</f>
        <v/>
      </c>
      <c r="H916">
        <f>Weekly_Inspections!$AP916</f>
        <v/>
      </c>
      <c r="I916">
        <f>Weekly_Inspections!$AR916</f>
        <v/>
      </c>
      <c r="J916">
        <f>Weekly_Inspections!$AS916</f>
        <v/>
      </c>
      <c r="K916">
        <f>Weekly_Inspections!$AU916</f>
        <v/>
      </c>
      <c r="L916" s="47">
        <f>Weekly_Inspections!$AV916</f>
        <v/>
      </c>
      <c r="M916">
        <f>IF($B916="","",IF($N916&lt;&gt;"","Closed",IF(OR($G916&lt;&gt;"",$I916&lt;&gt;"",$J916&lt;&gt;""),"Open","")))</f>
        <v/>
      </c>
      <c r="N916" s="47" t="n"/>
      <c r="O916">
        <f>IF($B916="","",IF($M916="Closed",IF($N916="","",$N916-$B916),TODAY()-$B916))</f>
        <v/>
      </c>
      <c r="P916">
        <f>IF(OR($B916="",$L916="",$M916="Closed"),"",IF(TODAY()&gt;$L916,"YES","NO"))</f>
        <v/>
      </c>
      <c r="Q916">
        <f>Weekly_Inspections!$AW916</f>
        <v/>
      </c>
    </row>
    <row r="917" ht="15" customHeight="1" s="45">
      <c r="A917">
        <f>IF(Weekly_Inspections!$B917="","",Weekly_Inspections!$A917&amp;"-A1")</f>
        <v/>
      </c>
      <c r="B917" s="47">
        <f>Weekly_Inspections!$B917</f>
        <v/>
      </c>
      <c r="C917">
        <f>Weekly_Inspections!$E917</f>
        <v/>
      </c>
      <c r="D917">
        <f>Weekly_Inspections!$F917</f>
        <v/>
      </c>
      <c r="E917">
        <f>Weekly_Inspections!$H917</f>
        <v/>
      </c>
      <c r="F917">
        <f>IF(Weekly_Inspections!$AX917&lt;&gt;"",Weekly_Inspections!$AX917,IF(Weekly_Inspections!$AY917&lt;&gt;"",Weekly_Inspections!$AY917,IF(Weekly_Inspections!$AZ917&lt;&gt;"",Weekly_Inspections!$AZ917,IF(Weekly_Inspections!$BA917&lt;&gt;"",Weekly_Inspections!$BA917,IF(Weekly_Inspections!$BB917&lt;&gt;"",Weekly_Inspections!$BB917,Weekly_Inspections!$R917)))))</f>
        <v/>
      </c>
      <c r="G917">
        <f>IF(OR(Weekly_Inspections!$AQ917&lt;&gt;"",Weekly_Inspections!$AR917&lt;&gt;"",Weekly_Inspections!$AS917&lt;&gt;""),Weekly_Inspections!$AQ917,"")</f>
        <v/>
      </c>
      <c r="H917">
        <f>Weekly_Inspections!$AP917</f>
        <v/>
      </c>
      <c r="I917">
        <f>Weekly_Inspections!$AR917</f>
        <v/>
      </c>
      <c r="J917">
        <f>Weekly_Inspections!$AS917</f>
        <v/>
      </c>
      <c r="K917">
        <f>Weekly_Inspections!$AU917</f>
        <v/>
      </c>
      <c r="L917" s="47">
        <f>Weekly_Inspections!$AV917</f>
        <v/>
      </c>
      <c r="M917">
        <f>IF($B917="","",IF($N917&lt;&gt;"","Closed",IF(OR($G917&lt;&gt;"",$I917&lt;&gt;"",$J917&lt;&gt;""),"Open","")))</f>
        <v/>
      </c>
      <c r="N917" s="47" t="n"/>
      <c r="O917">
        <f>IF($B917="","",IF($M917="Closed",IF($N917="","",$N917-$B917),TODAY()-$B917))</f>
        <v/>
      </c>
      <c r="P917">
        <f>IF(OR($B917="",$L917="",$M917="Closed"),"",IF(TODAY()&gt;$L917,"YES","NO"))</f>
        <v/>
      </c>
      <c r="Q917">
        <f>Weekly_Inspections!$AW917</f>
        <v/>
      </c>
    </row>
    <row r="918" ht="15" customHeight="1" s="45">
      <c r="A918">
        <f>IF(Weekly_Inspections!$B918="","",Weekly_Inspections!$A918&amp;"-A1")</f>
        <v/>
      </c>
      <c r="B918" s="47">
        <f>Weekly_Inspections!$B918</f>
        <v/>
      </c>
      <c r="C918">
        <f>Weekly_Inspections!$E918</f>
        <v/>
      </c>
      <c r="D918">
        <f>Weekly_Inspections!$F918</f>
        <v/>
      </c>
      <c r="E918">
        <f>Weekly_Inspections!$H918</f>
        <v/>
      </c>
      <c r="F918">
        <f>IF(Weekly_Inspections!$AX918&lt;&gt;"",Weekly_Inspections!$AX918,IF(Weekly_Inspections!$AY918&lt;&gt;"",Weekly_Inspections!$AY918,IF(Weekly_Inspections!$AZ918&lt;&gt;"",Weekly_Inspections!$AZ918,IF(Weekly_Inspections!$BA918&lt;&gt;"",Weekly_Inspections!$BA918,IF(Weekly_Inspections!$BB918&lt;&gt;"",Weekly_Inspections!$BB918,Weekly_Inspections!$R918)))))</f>
        <v/>
      </c>
      <c r="G918">
        <f>IF(OR(Weekly_Inspections!$AQ918&lt;&gt;"",Weekly_Inspections!$AR918&lt;&gt;"",Weekly_Inspections!$AS918&lt;&gt;""),Weekly_Inspections!$AQ918,"")</f>
        <v/>
      </c>
      <c r="H918">
        <f>Weekly_Inspections!$AP918</f>
        <v/>
      </c>
      <c r="I918">
        <f>Weekly_Inspections!$AR918</f>
        <v/>
      </c>
      <c r="J918">
        <f>Weekly_Inspections!$AS918</f>
        <v/>
      </c>
      <c r="K918">
        <f>Weekly_Inspections!$AU918</f>
        <v/>
      </c>
      <c r="L918" s="47">
        <f>Weekly_Inspections!$AV918</f>
        <v/>
      </c>
      <c r="M918">
        <f>IF($B918="","",IF($N918&lt;&gt;"","Closed",IF(OR($G918&lt;&gt;"",$I918&lt;&gt;"",$J918&lt;&gt;""),"Open","")))</f>
        <v/>
      </c>
      <c r="N918" s="47" t="n"/>
      <c r="O918">
        <f>IF($B918="","",IF($M918="Closed",IF($N918="","",$N918-$B918),TODAY()-$B918))</f>
        <v/>
      </c>
      <c r="P918">
        <f>IF(OR($B918="",$L918="",$M918="Closed"),"",IF(TODAY()&gt;$L918,"YES","NO"))</f>
        <v/>
      </c>
      <c r="Q918">
        <f>Weekly_Inspections!$AW918</f>
        <v/>
      </c>
    </row>
    <row r="919" ht="15" customHeight="1" s="45">
      <c r="A919">
        <f>IF(Weekly_Inspections!$B919="","",Weekly_Inspections!$A919&amp;"-A1")</f>
        <v/>
      </c>
      <c r="B919" s="47">
        <f>Weekly_Inspections!$B919</f>
        <v/>
      </c>
      <c r="C919">
        <f>Weekly_Inspections!$E919</f>
        <v/>
      </c>
      <c r="D919">
        <f>Weekly_Inspections!$F919</f>
        <v/>
      </c>
      <c r="E919">
        <f>Weekly_Inspections!$H919</f>
        <v/>
      </c>
      <c r="F919">
        <f>IF(Weekly_Inspections!$AX919&lt;&gt;"",Weekly_Inspections!$AX919,IF(Weekly_Inspections!$AY919&lt;&gt;"",Weekly_Inspections!$AY919,IF(Weekly_Inspections!$AZ919&lt;&gt;"",Weekly_Inspections!$AZ919,IF(Weekly_Inspections!$BA919&lt;&gt;"",Weekly_Inspections!$BA919,IF(Weekly_Inspections!$BB919&lt;&gt;"",Weekly_Inspections!$BB919,Weekly_Inspections!$R919)))))</f>
        <v/>
      </c>
      <c r="G919">
        <f>IF(OR(Weekly_Inspections!$AQ919&lt;&gt;"",Weekly_Inspections!$AR919&lt;&gt;"",Weekly_Inspections!$AS919&lt;&gt;""),Weekly_Inspections!$AQ919,"")</f>
        <v/>
      </c>
      <c r="H919">
        <f>Weekly_Inspections!$AP919</f>
        <v/>
      </c>
      <c r="I919">
        <f>Weekly_Inspections!$AR919</f>
        <v/>
      </c>
      <c r="J919">
        <f>Weekly_Inspections!$AS919</f>
        <v/>
      </c>
      <c r="K919">
        <f>Weekly_Inspections!$AU919</f>
        <v/>
      </c>
      <c r="L919" s="47">
        <f>Weekly_Inspections!$AV919</f>
        <v/>
      </c>
      <c r="M919">
        <f>IF($B919="","",IF($N919&lt;&gt;"","Closed",IF(OR($G919&lt;&gt;"",$I919&lt;&gt;"",$J919&lt;&gt;""),"Open","")))</f>
        <v/>
      </c>
      <c r="N919" s="47" t="n"/>
      <c r="O919">
        <f>IF($B919="","",IF($M919="Closed",IF($N919="","",$N919-$B919),TODAY()-$B919))</f>
        <v/>
      </c>
      <c r="P919">
        <f>IF(OR($B919="",$L919="",$M919="Closed"),"",IF(TODAY()&gt;$L919,"YES","NO"))</f>
        <v/>
      </c>
      <c r="Q919">
        <f>Weekly_Inspections!$AW919</f>
        <v/>
      </c>
    </row>
    <row r="920" ht="15" customHeight="1" s="45">
      <c r="A920">
        <f>IF(Weekly_Inspections!$B920="","",Weekly_Inspections!$A920&amp;"-A1")</f>
        <v/>
      </c>
      <c r="B920" s="47">
        <f>Weekly_Inspections!$B920</f>
        <v/>
      </c>
      <c r="C920">
        <f>Weekly_Inspections!$E920</f>
        <v/>
      </c>
      <c r="D920">
        <f>Weekly_Inspections!$F920</f>
        <v/>
      </c>
      <c r="E920">
        <f>Weekly_Inspections!$H920</f>
        <v/>
      </c>
      <c r="F920">
        <f>IF(Weekly_Inspections!$AX920&lt;&gt;"",Weekly_Inspections!$AX920,IF(Weekly_Inspections!$AY920&lt;&gt;"",Weekly_Inspections!$AY920,IF(Weekly_Inspections!$AZ920&lt;&gt;"",Weekly_Inspections!$AZ920,IF(Weekly_Inspections!$BA920&lt;&gt;"",Weekly_Inspections!$BA920,IF(Weekly_Inspections!$BB920&lt;&gt;"",Weekly_Inspections!$BB920,Weekly_Inspections!$R920)))))</f>
        <v/>
      </c>
      <c r="G920">
        <f>IF(OR(Weekly_Inspections!$AQ920&lt;&gt;"",Weekly_Inspections!$AR920&lt;&gt;"",Weekly_Inspections!$AS920&lt;&gt;""),Weekly_Inspections!$AQ920,"")</f>
        <v/>
      </c>
      <c r="H920">
        <f>Weekly_Inspections!$AP920</f>
        <v/>
      </c>
      <c r="I920">
        <f>Weekly_Inspections!$AR920</f>
        <v/>
      </c>
      <c r="J920">
        <f>Weekly_Inspections!$AS920</f>
        <v/>
      </c>
      <c r="K920">
        <f>Weekly_Inspections!$AU920</f>
        <v/>
      </c>
      <c r="L920" s="47">
        <f>Weekly_Inspections!$AV920</f>
        <v/>
      </c>
      <c r="M920">
        <f>IF($B920="","",IF($N920&lt;&gt;"","Closed",IF(OR($G920&lt;&gt;"",$I920&lt;&gt;"",$J920&lt;&gt;""),"Open","")))</f>
        <v/>
      </c>
      <c r="N920" s="47" t="n"/>
      <c r="O920">
        <f>IF($B920="","",IF($M920="Closed",IF($N920="","",$N920-$B920),TODAY()-$B920))</f>
        <v/>
      </c>
      <c r="P920">
        <f>IF(OR($B920="",$L920="",$M920="Closed"),"",IF(TODAY()&gt;$L920,"YES","NO"))</f>
        <v/>
      </c>
      <c r="Q920">
        <f>Weekly_Inspections!$AW920</f>
        <v/>
      </c>
    </row>
    <row r="921" ht="15" customHeight="1" s="45">
      <c r="A921">
        <f>IF(Weekly_Inspections!$B921="","",Weekly_Inspections!$A921&amp;"-A1")</f>
        <v/>
      </c>
      <c r="B921" s="47">
        <f>Weekly_Inspections!$B921</f>
        <v/>
      </c>
      <c r="C921">
        <f>Weekly_Inspections!$E921</f>
        <v/>
      </c>
      <c r="D921">
        <f>Weekly_Inspections!$F921</f>
        <v/>
      </c>
      <c r="E921">
        <f>Weekly_Inspections!$H921</f>
        <v/>
      </c>
      <c r="F921">
        <f>IF(Weekly_Inspections!$AX921&lt;&gt;"",Weekly_Inspections!$AX921,IF(Weekly_Inspections!$AY921&lt;&gt;"",Weekly_Inspections!$AY921,IF(Weekly_Inspections!$AZ921&lt;&gt;"",Weekly_Inspections!$AZ921,IF(Weekly_Inspections!$BA921&lt;&gt;"",Weekly_Inspections!$BA921,IF(Weekly_Inspections!$BB921&lt;&gt;"",Weekly_Inspections!$BB921,Weekly_Inspections!$R921)))))</f>
        <v/>
      </c>
      <c r="G921">
        <f>IF(OR(Weekly_Inspections!$AQ921&lt;&gt;"",Weekly_Inspections!$AR921&lt;&gt;"",Weekly_Inspections!$AS921&lt;&gt;""),Weekly_Inspections!$AQ921,"")</f>
        <v/>
      </c>
      <c r="H921">
        <f>Weekly_Inspections!$AP921</f>
        <v/>
      </c>
      <c r="I921">
        <f>Weekly_Inspections!$AR921</f>
        <v/>
      </c>
      <c r="J921">
        <f>Weekly_Inspections!$AS921</f>
        <v/>
      </c>
      <c r="K921">
        <f>Weekly_Inspections!$AU921</f>
        <v/>
      </c>
      <c r="L921" s="47">
        <f>Weekly_Inspections!$AV921</f>
        <v/>
      </c>
      <c r="M921">
        <f>IF($B921="","",IF($N921&lt;&gt;"","Closed",IF(OR($G921&lt;&gt;"",$I921&lt;&gt;"",$J921&lt;&gt;""),"Open","")))</f>
        <v/>
      </c>
      <c r="N921" s="47" t="n"/>
      <c r="O921">
        <f>IF($B921="","",IF($M921="Closed",IF($N921="","",$N921-$B921),TODAY()-$B921))</f>
        <v/>
      </c>
      <c r="P921">
        <f>IF(OR($B921="",$L921="",$M921="Closed"),"",IF(TODAY()&gt;$L921,"YES","NO"))</f>
        <v/>
      </c>
      <c r="Q921">
        <f>Weekly_Inspections!$AW921</f>
        <v/>
      </c>
    </row>
    <row r="922" ht="15" customHeight="1" s="45">
      <c r="A922">
        <f>IF(Weekly_Inspections!$B922="","",Weekly_Inspections!$A922&amp;"-A1")</f>
        <v/>
      </c>
      <c r="B922" s="47">
        <f>Weekly_Inspections!$B922</f>
        <v/>
      </c>
      <c r="C922">
        <f>Weekly_Inspections!$E922</f>
        <v/>
      </c>
      <c r="D922">
        <f>Weekly_Inspections!$F922</f>
        <v/>
      </c>
      <c r="E922">
        <f>Weekly_Inspections!$H922</f>
        <v/>
      </c>
      <c r="F922">
        <f>IF(Weekly_Inspections!$AX922&lt;&gt;"",Weekly_Inspections!$AX922,IF(Weekly_Inspections!$AY922&lt;&gt;"",Weekly_Inspections!$AY922,IF(Weekly_Inspections!$AZ922&lt;&gt;"",Weekly_Inspections!$AZ922,IF(Weekly_Inspections!$BA922&lt;&gt;"",Weekly_Inspections!$BA922,IF(Weekly_Inspections!$BB922&lt;&gt;"",Weekly_Inspections!$BB922,Weekly_Inspections!$R922)))))</f>
        <v/>
      </c>
      <c r="G922">
        <f>IF(OR(Weekly_Inspections!$AQ922&lt;&gt;"",Weekly_Inspections!$AR922&lt;&gt;"",Weekly_Inspections!$AS922&lt;&gt;""),Weekly_Inspections!$AQ922,"")</f>
        <v/>
      </c>
      <c r="H922">
        <f>Weekly_Inspections!$AP922</f>
        <v/>
      </c>
      <c r="I922">
        <f>Weekly_Inspections!$AR922</f>
        <v/>
      </c>
      <c r="J922">
        <f>Weekly_Inspections!$AS922</f>
        <v/>
      </c>
      <c r="K922">
        <f>Weekly_Inspections!$AU922</f>
        <v/>
      </c>
      <c r="L922" s="47">
        <f>Weekly_Inspections!$AV922</f>
        <v/>
      </c>
      <c r="M922">
        <f>IF($B922="","",IF($N922&lt;&gt;"","Closed",IF(OR($G922&lt;&gt;"",$I922&lt;&gt;"",$J922&lt;&gt;""),"Open","")))</f>
        <v/>
      </c>
      <c r="N922" s="47" t="n"/>
      <c r="O922">
        <f>IF($B922="","",IF($M922="Closed",IF($N922="","",$N922-$B922),TODAY()-$B922))</f>
        <v/>
      </c>
      <c r="P922">
        <f>IF(OR($B922="",$L922="",$M922="Closed"),"",IF(TODAY()&gt;$L922,"YES","NO"))</f>
        <v/>
      </c>
      <c r="Q922">
        <f>Weekly_Inspections!$AW922</f>
        <v/>
      </c>
    </row>
    <row r="923" ht="15" customHeight="1" s="45">
      <c r="A923">
        <f>IF(Weekly_Inspections!$B923="","",Weekly_Inspections!$A923&amp;"-A1")</f>
        <v/>
      </c>
      <c r="B923" s="47">
        <f>Weekly_Inspections!$B923</f>
        <v/>
      </c>
      <c r="C923">
        <f>Weekly_Inspections!$E923</f>
        <v/>
      </c>
      <c r="D923">
        <f>Weekly_Inspections!$F923</f>
        <v/>
      </c>
      <c r="E923">
        <f>Weekly_Inspections!$H923</f>
        <v/>
      </c>
      <c r="F923">
        <f>IF(Weekly_Inspections!$AX923&lt;&gt;"",Weekly_Inspections!$AX923,IF(Weekly_Inspections!$AY923&lt;&gt;"",Weekly_Inspections!$AY923,IF(Weekly_Inspections!$AZ923&lt;&gt;"",Weekly_Inspections!$AZ923,IF(Weekly_Inspections!$BA923&lt;&gt;"",Weekly_Inspections!$BA923,IF(Weekly_Inspections!$BB923&lt;&gt;"",Weekly_Inspections!$BB923,Weekly_Inspections!$R923)))))</f>
        <v/>
      </c>
      <c r="G923">
        <f>IF(OR(Weekly_Inspections!$AQ923&lt;&gt;"",Weekly_Inspections!$AR923&lt;&gt;"",Weekly_Inspections!$AS923&lt;&gt;""),Weekly_Inspections!$AQ923,"")</f>
        <v/>
      </c>
      <c r="H923">
        <f>Weekly_Inspections!$AP923</f>
        <v/>
      </c>
      <c r="I923">
        <f>Weekly_Inspections!$AR923</f>
        <v/>
      </c>
      <c r="J923">
        <f>Weekly_Inspections!$AS923</f>
        <v/>
      </c>
      <c r="K923">
        <f>Weekly_Inspections!$AU923</f>
        <v/>
      </c>
      <c r="L923" s="47">
        <f>Weekly_Inspections!$AV923</f>
        <v/>
      </c>
      <c r="M923">
        <f>IF($B923="","",IF($N923&lt;&gt;"","Closed",IF(OR($G923&lt;&gt;"",$I923&lt;&gt;"",$J923&lt;&gt;""),"Open","")))</f>
        <v/>
      </c>
      <c r="N923" s="47" t="n"/>
      <c r="O923">
        <f>IF($B923="","",IF($M923="Closed",IF($N923="","",$N923-$B923),TODAY()-$B923))</f>
        <v/>
      </c>
      <c r="P923">
        <f>IF(OR($B923="",$L923="",$M923="Closed"),"",IF(TODAY()&gt;$L923,"YES","NO"))</f>
        <v/>
      </c>
      <c r="Q923">
        <f>Weekly_Inspections!$AW923</f>
        <v/>
      </c>
    </row>
    <row r="924" ht="15" customHeight="1" s="45">
      <c r="A924">
        <f>IF(Weekly_Inspections!$B924="","",Weekly_Inspections!$A924&amp;"-A1")</f>
        <v/>
      </c>
      <c r="B924" s="47">
        <f>Weekly_Inspections!$B924</f>
        <v/>
      </c>
      <c r="C924">
        <f>Weekly_Inspections!$E924</f>
        <v/>
      </c>
      <c r="D924">
        <f>Weekly_Inspections!$F924</f>
        <v/>
      </c>
      <c r="E924">
        <f>Weekly_Inspections!$H924</f>
        <v/>
      </c>
      <c r="F924">
        <f>IF(Weekly_Inspections!$AX924&lt;&gt;"",Weekly_Inspections!$AX924,IF(Weekly_Inspections!$AY924&lt;&gt;"",Weekly_Inspections!$AY924,IF(Weekly_Inspections!$AZ924&lt;&gt;"",Weekly_Inspections!$AZ924,IF(Weekly_Inspections!$BA924&lt;&gt;"",Weekly_Inspections!$BA924,IF(Weekly_Inspections!$BB924&lt;&gt;"",Weekly_Inspections!$BB924,Weekly_Inspections!$R924)))))</f>
        <v/>
      </c>
      <c r="G924">
        <f>IF(OR(Weekly_Inspections!$AQ924&lt;&gt;"",Weekly_Inspections!$AR924&lt;&gt;"",Weekly_Inspections!$AS924&lt;&gt;""),Weekly_Inspections!$AQ924,"")</f>
        <v/>
      </c>
      <c r="H924">
        <f>Weekly_Inspections!$AP924</f>
        <v/>
      </c>
      <c r="I924">
        <f>Weekly_Inspections!$AR924</f>
        <v/>
      </c>
      <c r="J924">
        <f>Weekly_Inspections!$AS924</f>
        <v/>
      </c>
      <c r="K924">
        <f>Weekly_Inspections!$AU924</f>
        <v/>
      </c>
      <c r="L924" s="47">
        <f>Weekly_Inspections!$AV924</f>
        <v/>
      </c>
      <c r="M924">
        <f>IF($B924="","",IF($N924&lt;&gt;"","Closed",IF(OR($G924&lt;&gt;"",$I924&lt;&gt;"",$J924&lt;&gt;""),"Open","")))</f>
        <v/>
      </c>
      <c r="N924" s="47" t="n"/>
      <c r="O924">
        <f>IF($B924="","",IF($M924="Closed",IF($N924="","",$N924-$B924),TODAY()-$B924))</f>
        <v/>
      </c>
      <c r="P924">
        <f>IF(OR($B924="",$L924="",$M924="Closed"),"",IF(TODAY()&gt;$L924,"YES","NO"))</f>
        <v/>
      </c>
      <c r="Q924">
        <f>Weekly_Inspections!$AW924</f>
        <v/>
      </c>
    </row>
    <row r="925" ht="15" customHeight="1" s="45">
      <c r="A925">
        <f>IF(Weekly_Inspections!$B925="","",Weekly_Inspections!$A925&amp;"-A1")</f>
        <v/>
      </c>
      <c r="B925" s="47">
        <f>Weekly_Inspections!$B925</f>
        <v/>
      </c>
      <c r="C925">
        <f>Weekly_Inspections!$E925</f>
        <v/>
      </c>
      <c r="D925">
        <f>Weekly_Inspections!$F925</f>
        <v/>
      </c>
      <c r="E925">
        <f>Weekly_Inspections!$H925</f>
        <v/>
      </c>
      <c r="F925">
        <f>IF(Weekly_Inspections!$AX925&lt;&gt;"",Weekly_Inspections!$AX925,IF(Weekly_Inspections!$AY925&lt;&gt;"",Weekly_Inspections!$AY925,IF(Weekly_Inspections!$AZ925&lt;&gt;"",Weekly_Inspections!$AZ925,IF(Weekly_Inspections!$BA925&lt;&gt;"",Weekly_Inspections!$BA925,IF(Weekly_Inspections!$BB925&lt;&gt;"",Weekly_Inspections!$BB925,Weekly_Inspections!$R925)))))</f>
        <v/>
      </c>
      <c r="G925">
        <f>IF(OR(Weekly_Inspections!$AQ925&lt;&gt;"",Weekly_Inspections!$AR925&lt;&gt;"",Weekly_Inspections!$AS925&lt;&gt;""),Weekly_Inspections!$AQ925,"")</f>
        <v/>
      </c>
      <c r="H925">
        <f>Weekly_Inspections!$AP925</f>
        <v/>
      </c>
      <c r="I925">
        <f>Weekly_Inspections!$AR925</f>
        <v/>
      </c>
      <c r="J925">
        <f>Weekly_Inspections!$AS925</f>
        <v/>
      </c>
      <c r="K925">
        <f>Weekly_Inspections!$AU925</f>
        <v/>
      </c>
      <c r="L925" s="47">
        <f>Weekly_Inspections!$AV925</f>
        <v/>
      </c>
      <c r="M925">
        <f>IF($B925="","",IF($N925&lt;&gt;"","Closed",IF(OR($G925&lt;&gt;"",$I925&lt;&gt;"",$J925&lt;&gt;""),"Open","")))</f>
        <v/>
      </c>
      <c r="N925" s="47" t="n"/>
      <c r="O925">
        <f>IF($B925="","",IF($M925="Closed",IF($N925="","",$N925-$B925),TODAY()-$B925))</f>
        <v/>
      </c>
      <c r="P925">
        <f>IF(OR($B925="",$L925="",$M925="Closed"),"",IF(TODAY()&gt;$L925,"YES","NO"))</f>
        <v/>
      </c>
      <c r="Q925">
        <f>Weekly_Inspections!$AW925</f>
        <v/>
      </c>
    </row>
    <row r="926" ht="15" customHeight="1" s="45">
      <c r="A926">
        <f>IF(Weekly_Inspections!$B926="","",Weekly_Inspections!$A926&amp;"-A1")</f>
        <v/>
      </c>
      <c r="B926" s="47">
        <f>Weekly_Inspections!$B926</f>
        <v/>
      </c>
      <c r="C926">
        <f>Weekly_Inspections!$E926</f>
        <v/>
      </c>
      <c r="D926">
        <f>Weekly_Inspections!$F926</f>
        <v/>
      </c>
      <c r="E926">
        <f>Weekly_Inspections!$H926</f>
        <v/>
      </c>
      <c r="F926">
        <f>IF(Weekly_Inspections!$AX926&lt;&gt;"",Weekly_Inspections!$AX926,IF(Weekly_Inspections!$AY926&lt;&gt;"",Weekly_Inspections!$AY926,IF(Weekly_Inspections!$AZ926&lt;&gt;"",Weekly_Inspections!$AZ926,IF(Weekly_Inspections!$BA926&lt;&gt;"",Weekly_Inspections!$BA926,IF(Weekly_Inspections!$BB926&lt;&gt;"",Weekly_Inspections!$BB926,Weekly_Inspections!$R926)))))</f>
        <v/>
      </c>
      <c r="G926">
        <f>IF(OR(Weekly_Inspections!$AQ926&lt;&gt;"",Weekly_Inspections!$AR926&lt;&gt;"",Weekly_Inspections!$AS926&lt;&gt;""),Weekly_Inspections!$AQ926,"")</f>
        <v/>
      </c>
      <c r="H926">
        <f>Weekly_Inspections!$AP926</f>
        <v/>
      </c>
      <c r="I926">
        <f>Weekly_Inspections!$AR926</f>
        <v/>
      </c>
      <c r="J926">
        <f>Weekly_Inspections!$AS926</f>
        <v/>
      </c>
      <c r="K926">
        <f>Weekly_Inspections!$AU926</f>
        <v/>
      </c>
      <c r="L926" s="47">
        <f>Weekly_Inspections!$AV926</f>
        <v/>
      </c>
      <c r="M926">
        <f>IF($B926="","",IF($N926&lt;&gt;"","Closed",IF(OR($G926&lt;&gt;"",$I926&lt;&gt;"",$J926&lt;&gt;""),"Open","")))</f>
        <v/>
      </c>
      <c r="N926" s="47" t="n"/>
      <c r="O926">
        <f>IF($B926="","",IF($M926="Closed",IF($N926="","",$N926-$B926),TODAY()-$B926))</f>
        <v/>
      </c>
      <c r="P926">
        <f>IF(OR($B926="",$L926="",$M926="Closed"),"",IF(TODAY()&gt;$L926,"YES","NO"))</f>
        <v/>
      </c>
      <c r="Q926">
        <f>Weekly_Inspections!$AW926</f>
        <v/>
      </c>
    </row>
    <row r="927" ht="15" customHeight="1" s="45">
      <c r="A927">
        <f>IF(Weekly_Inspections!$B927="","",Weekly_Inspections!$A927&amp;"-A1")</f>
        <v/>
      </c>
      <c r="B927" s="47">
        <f>Weekly_Inspections!$B927</f>
        <v/>
      </c>
      <c r="C927">
        <f>Weekly_Inspections!$E927</f>
        <v/>
      </c>
      <c r="D927">
        <f>Weekly_Inspections!$F927</f>
        <v/>
      </c>
      <c r="E927">
        <f>Weekly_Inspections!$H927</f>
        <v/>
      </c>
      <c r="F927">
        <f>IF(Weekly_Inspections!$AX927&lt;&gt;"",Weekly_Inspections!$AX927,IF(Weekly_Inspections!$AY927&lt;&gt;"",Weekly_Inspections!$AY927,IF(Weekly_Inspections!$AZ927&lt;&gt;"",Weekly_Inspections!$AZ927,IF(Weekly_Inspections!$BA927&lt;&gt;"",Weekly_Inspections!$BA927,IF(Weekly_Inspections!$BB927&lt;&gt;"",Weekly_Inspections!$BB927,Weekly_Inspections!$R927)))))</f>
        <v/>
      </c>
      <c r="G927">
        <f>IF(OR(Weekly_Inspections!$AQ927&lt;&gt;"",Weekly_Inspections!$AR927&lt;&gt;"",Weekly_Inspections!$AS927&lt;&gt;""),Weekly_Inspections!$AQ927,"")</f>
        <v/>
      </c>
      <c r="H927">
        <f>Weekly_Inspections!$AP927</f>
        <v/>
      </c>
      <c r="I927">
        <f>Weekly_Inspections!$AR927</f>
        <v/>
      </c>
      <c r="J927">
        <f>Weekly_Inspections!$AS927</f>
        <v/>
      </c>
      <c r="K927">
        <f>Weekly_Inspections!$AU927</f>
        <v/>
      </c>
      <c r="L927" s="47">
        <f>Weekly_Inspections!$AV927</f>
        <v/>
      </c>
      <c r="M927">
        <f>IF($B927="","",IF($N927&lt;&gt;"","Closed",IF(OR($G927&lt;&gt;"",$I927&lt;&gt;"",$J927&lt;&gt;""),"Open","")))</f>
        <v/>
      </c>
      <c r="N927" s="47" t="n"/>
      <c r="O927">
        <f>IF($B927="","",IF($M927="Closed",IF($N927="","",$N927-$B927),TODAY()-$B927))</f>
        <v/>
      </c>
      <c r="P927">
        <f>IF(OR($B927="",$L927="",$M927="Closed"),"",IF(TODAY()&gt;$L927,"YES","NO"))</f>
        <v/>
      </c>
      <c r="Q927">
        <f>Weekly_Inspections!$AW927</f>
        <v/>
      </c>
    </row>
    <row r="928" ht="15" customHeight="1" s="45">
      <c r="A928">
        <f>IF(Weekly_Inspections!$B928="","",Weekly_Inspections!$A928&amp;"-A1")</f>
        <v/>
      </c>
      <c r="B928" s="47">
        <f>Weekly_Inspections!$B928</f>
        <v/>
      </c>
      <c r="C928">
        <f>Weekly_Inspections!$E928</f>
        <v/>
      </c>
      <c r="D928">
        <f>Weekly_Inspections!$F928</f>
        <v/>
      </c>
      <c r="E928">
        <f>Weekly_Inspections!$H928</f>
        <v/>
      </c>
      <c r="F928">
        <f>IF(Weekly_Inspections!$AX928&lt;&gt;"",Weekly_Inspections!$AX928,IF(Weekly_Inspections!$AY928&lt;&gt;"",Weekly_Inspections!$AY928,IF(Weekly_Inspections!$AZ928&lt;&gt;"",Weekly_Inspections!$AZ928,IF(Weekly_Inspections!$BA928&lt;&gt;"",Weekly_Inspections!$BA928,IF(Weekly_Inspections!$BB928&lt;&gt;"",Weekly_Inspections!$BB928,Weekly_Inspections!$R928)))))</f>
        <v/>
      </c>
      <c r="G928">
        <f>IF(OR(Weekly_Inspections!$AQ928&lt;&gt;"",Weekly_Inspections!$AR928&lt;&gt;"",Weekly_Inspections!$AS928&lt;&gt;""),Weekly_Inspections!$AQ928,"")</f>
        <v/>
      </c>
      <c r="H928">
        <f>Weekly_Inspections!$AP928</f>
        <v/>
      </c>
      <c r="I928">
        <f>Weekly_Inspections!$AR928</f>
        <v/>
      </c>
      <c r="J928">
        <f>Weekly_Inspections!$AS928</f>
        <v/>
      </c>
      <c r="K928">
        <f>Weekly_Inspections!$AU928</f>
        <v/>
      </c>
      <c r="L928" s="47">
        <f>Weekly_Inspections!$AV928</f>
        <v/>
      </c>
      <c r="M928">
        <f>IF($B928="","",IF($N928&lt;&gt;"","Closed",IF(OR($G928&lt;&gt;"",$I928&lt;&gt;"",$J928&lt;&gt;""),"Open","")))</f>
        <v/>
      </c>
      <c r="N928" s="47" t="n"/>
      <c r="O928">
        <f>IF($B928="","",IF($M928="Closed",IF($N928="","",$N928-$B928),TODAY()-$B928))</f>
        <v/>
      </c>
      <c r="P928">
        <f>IF(OR($B928="",$L928="",$M928="Closed"),"",IF(TODAY()&gt;$L928,"YES","NO"))</f>
        <v/>
      </c>
      <c r="Q928">
        <f>Weekly_Inspections!$AW928</f>
        <v/>
      </c>
    </row>
    <row r="929" ht="15" customHeight="1" s="45">
      <c r="A929">
        <f>IF(Weekly_Inspections!$B929="","",Weekly_Inspections!$A929&amp;"-A1")</f>
        <v/>
      </c>
      <c r="B929" s="47">
        <f>Weekly_Inspections!$B929</f>
        <v/>
      </c>
      <c r="C929">
        <f>Weekly_Inspections!$E929</f>
        <v/>
      </c>
      <c r="D929">
        <f>Weekly_Inspections!$F929</f>
        <v/>
      </c>
      <c r="E929">
        <f>Weekly_Inspections!$H929</f>
        <v/>
      </c>
      <c r="F929">
        <f>IF(Weekly_Inspections!$AX929&lt;&gt;"",Weekly_Inspections!$AX929,IF(Weekly_Inspections!$AY929&lt;&gt;"",Weekly_Inspections!$AY929,IF(Weekly_Inspections!$AZ929&lt;&gt;"",Weekly_Inspections!$AZ929,IF(Weekly_Inspections!$BA929&lt;&gt;"",Weekly_Inspections!$BA929,IF(Weekly_Inspections!$BB929&lt;&gt;"",Weekly_Inspections!$BB929,Weekly_Inspections!$R929)))))</f>
        <v/>
      </c>
      <c r="G929">
        <f>IF(OR(Weekly_Inspections!$AQ929&lt;&gt;"",Weekly_Inspections!$AR929&lt;&gt;"",Weekly_Inspections!$AS929&lt;&gt;""),Weekly_Inspections!$AQ929,"")</f>
        <v/>
      </c>
      <c r="H929">
        <f>Weekly_Inspections!$AP929</f>
        <v/>
      </c>
      <c r="I929">
        <f>Weekly_Inspections!$AR929</f>
        <v/>
      </c>
      <c r="J929">
        <f>Weekly_Inspections!$AS929</f>
        <v/>
      </c>
      <c r="K929">
        <f>Weekly_Inspections!$AU929</f>
        <v/>
      </c>
      <c r="L929" s="47">
        <f>Weekly_Inspections!$AV929</f>
        <v/>
      </c>
      <c r="M929">
        <f>IF($B929="","",IF($N929&lt;&gt;"","Closed",IF(OR($G929&lt;&gt;"",$I929&lt;&gt;"",$J929&lt;&gt;""),"Open","")))</f>
        <v/>
      </c>
      <c r="N929" s="47" t="n"/>
      <c r="O929">
        <f>IF($B929="","",IF($M929="Closed",IF($N929="","",$N929-$B929),TODAY()-$B929))</f>
        <v/>
      </c>
      <c r="P929">
        <f>IF(OR($B929="",$L929="",$M929="Closed"),"",IF(TODAY()&gt;$L929,"YES","NO"))</f>
        <v/>
      </c>
      <c r="Q929">
        <f>Weekly_Inspections!$AW929</f>
        <v/>
      </c>
    </row>
    <row r="930" ht="15" customHeight="1" s="45">
      <c r="A930">
        <f>IF(Weekly_Inspections!$B930="","",Weekly_Inspections!$A930&amp;"-A1")</f>
        <v/>
      </c>
      <c r="B930" s="47">
        <f>Weekly_Inspections!$B930</f>
        <v/>
      </c>
      <c r="C930">
        <f>Weekly_Inspections!$E930</f>
        <v/>
      </c>
      <c r="D930">
        <f>Weekly_Inspections!$F930</f>
        <v/>
      </c>
      <c r="E930">
        <f>Weekly_Inspections!$H930</f>
        <v/>
      </c>
      <c r="F930">
        <f>IF(Weekly_Inspections!$AX930&lt;&gt;"",Weekly_Inspections!$AX930,IF(Weekly_Inspections!$AY930&lt;&gt;"",Weekly_Inspections!$AY930,IF(Weekly_Inspections!$AZ930&lt;&gt;"",Weekly_Inspections!$AZ930,IF(Weekly_Inspections!$BA930&lt;&gt;"",Weekly_Inspections!$BA930,IF(Weekly_Inspections!$BB930&lt;&gt;"",Weekly_Inspections!$BB930,Weekly_Inspections!$R930)))))</f>
        <v/>
      </c>
      <c r="G930">
        <f>IF(OR(Weekly_Inspections!$AQ930&lt;&gt;"",Weekly_Inspections!$AR930&lt;&gt;"",Weekly_Inspections!$AS930&lt;&gt;""),Weekly_Inspections!$AQ930,"")</f>
        <v/>
      </c>
      <c r="H930">
        <f>Weekly_Inspections!$AP930</f>
        <v/>
      </c>
      <c r="I930">
        <f>Weekly_Inspections!$AR930</f>
        <v/>
      </c>
      <c r="J930">
        <f>Weekly_Inspections!$AS930</f>
        <v/>
      </c>
      <c r="K930">
        <f>Weekly_Inspections!$AU930</f>
        <v/>
      </c>
      <c r="L930" s="47">
        <f>Weekly_Inspections!$AV930</f>
        <v/>
      </c>
      <c r="M930">
        <f>IF($B930="","",IF($N930&lt;&gt;"","Closed",IF(OR($G930&lt;&gt;"",$I930&lt;&gt;"",$J930&lt;&gt;""),"Open","")))</f>
        <v/>
      </c>
      <c r="N930" s="47" t="n"/>
      <c r="O930">
        <f>IF($B930="","",IF($M930="Closed",IF($N930="","",$N930-$B930),TODAY()-$B930))</f>
        <v/>
      </c>
      <c r="P930">
        <f>IF(OR($B930="",$L930="",$M930="Closed"),"",IF(TODAY()&gt;$L930,"YES","NO"))</f>
        <v/>
      </c>
      <c r="Q930">
        <f>Weekly_Inspections!$AW930</f>
        <v/>
      </c>
    </row>
    <row r="931" ht="15" customHeight="1" s="45">
      <c r="A931">
        <f>IF(Weekly_Inspections!$B931="","",Weekly_Inspections!$A931&amp;"-A1")</f>
        <v/>
      </c>
      <c r="B931" s="47">
        <f>Weekly_Inspections!$B931</f>
        <v/>
      </c>
      <c r="C931">
        <f>Weekly_Inspections!$E931</f>
        <v/>
      </c>
      <c r="D931">
        <f>Weekly_Inspections!$F931</f>
        <v/>
      </c>
      <c r="E931">
        <f>Weekly_Inspections!$H931</f>
        <v/>
      </c>
      <c r="F931">
        <f>IF(Weekly_Inspections!$AX931&lt;&gt;"",Weekly_Inspections!$AX931,IF(Weekly_Inspections!$AY931&lt;&gt;"",Weekly_Inspections!$AY931,IF(Weekly_Inspections!$AZ931&lt;&gt;"",Weekly_Inspections!$AZ931,IF(Weekly_Inspections!$BA931&lt;&gt;"",Weekly_Inspections!$BA931,IF(Weekly_Inspections!$BB931&lt;&gt;"",Weekly_Inspections!$BB931,Weekly_Inspections!$R931)))))</f>
        <v/>
      </c>
      <c r="G931">
        <f>IF(OR(Weekly_Inspections!$AQ931&lt;&gt;"",Weekly_Inspections!$AR931&lt;&gt;"",Weekly_Inspections!$AS931&lt;&gt;""),Weekly_Inspections!$AQ931,"")</f>
        <v/>
      </c>
      <c r="H931">
        <f>Weekly_Inspections!$AP931</f>
        <v/>
      </c>
      <c r="I931">
        <f>Weekly_Inspections!$AR931</f>
        <v/>
      </c>
      <c r="J931">
        <f>Weekly_Inspections!$AS931</f>
        <v/>
      </c>
      <c r="K931">
        <f>Weekly_Inspections!$AU931</f>
        <v/>
      </c>
      <c r="L931" s="47">
        <f>Weekly_Inspections!$AV931</f>
        <v/>
      </c>
      <c r="M931">
        <f>IF($B931="","",IF($N931&lt;&gt;"","Closed",IF(OR($G931&lt;&gt;"",$I931&lt;&gt;"",$J931&lt;&gt;""),"Open","")))</f>
        <v/>
      </c>
      <c r="N931" s="47" t="n"/>
      <c r="O931">
        <f>IF($B931="","",IF($M931="Closed",IF($N931="","",$N931-$B931),TODAY()-$B931))</f>
        <v/>
      </c>
      <c r="P931">
        <f>IF(OR($B931="",$L931="",$M931="Closed"),"",IF(TODAY()&gt;$L931,"YES","NO"))</f>
        <v/>
      </c>
      <c r="Q931">
        <f>Weekly_Inspections!$AW931</f>
        <v/>
      </c>
    </row>
    <row r="932" ht="15" customHeight="1" s="45">
      <c r="A932">
        <f>IF(Weekly_Inspections!$B932="","",Weekly_Inspections!$A932&amp;"-A1")</f>
        <v/>
      </c>
      <c r="B932" s="47">
        <f>Weekly_Inspections!$B932</f>
        <v/>
      </c>
      <c r="C932">
        <f>Weekly_Inspections!$E932</f>
        <v/>
      </c>
      <c r="D932">
        <f>Weekly_Inspections!$F932</f>
        <v/>
      </c>
      <c r="E932">
        <f>Weekly_Inspections!$H932</f>
        <v/>
      </c>
      <c r="F932">
        <f>IF(Weekly_Inspections!$AX932&lt;&gt;"",Weekly_Inspections!$AX932,IF(Weekly_Inspections!$AY932&lt;&gt;"",Weekly_Inspections!$AY932,IF(Weekly_Inspections!$AZ932&lt;&gt;"",Weekly_Inspections!$AZ932,IF(Weekly_Inspections!$BA932&lt;&gt;"",Weekly_Inspections!$BA932,IF(Weekly_Inspections!$BB932&lt;&gt;"",Weekly_Inspections!$BB932,Weekly_Inspections!$R932)))))</f>
        <v/>
      </c>
      <c r="G932">
        <f>IF(OR(Weekly_Inspections!$AQ932&lt;&gt;"",Weekly_Inspections!$AR932&lt;&gt;"",Weekly_Inspections!$AS932&lt;&gt;""),Weekly_Inspections!$AQ932,"")</f>
        <v/>
      </c>
      <c r="H932">
        <f>Weekly_Inspections!$AP932</f>
        <v/>
      </c>
      <c r="I932">
        <f>Weekly_Inspections!$AR932</f>
        <v/>
      </c>
      <c r="J932">
        <f>Weekly_Inspections!$AS932</f>
        <v/>
      </c>
      <c r="K932">
        <f>Weekly_Inspections!$AU932</f>
        <v/>
      </c>
      <c r="L932" s="47">
        <f>Weekly_Inspections!$AV932</f>
        <v/>
      </c>
      <c r="M932">
        <f>IF($B932="","",IF($N932&lt;&gt;"","Closed",IF(OR($G932&lt;&gt;"",$I932&lt;&gt;"",$J932&lt;&gt;""),"Open","")))</f>
        <v/>
      </c>
      <c r="N932" s="47" t="n"/>
      <c r="O932">
        <f>IF($B932="","",IF($M932="Closed",IF($N932="","",$N932-$B932),TODAY()-$B932))</f>
        <v/>
      </c>
      <c r="P932">
        <f>IF(OR($B932="",$L932="",$M932="Closed"),"",IF(TODAY()&gt;$L932,"YES","NO"))</f>
        <v/>
      </c>
      <c r="Q932">
        <f>Weekly_Inspections!$AW932</f>
        <v/>
      </c>
    </row>
    <row r="933" ht="15" customHeight="1" s="45">
      <c r="A933">
        <f>IF(Weekly_Inspections!$B933="","",Weekly_Inspections!$A933&amp;"-A1")</f>
        <v/>
      </c>
      <c r="B933" s="47">
        <f>Weekly_Inspections!$B933</f>
        <v/>
      </c>
      <c r="C933">
        <f>Weekly_Inspections!$E933</f>
        <v/>
      </c>
      <c r="D933">
        <f>Weekly_Inspections!$F933</f>
        <v/>
      </c>
      <c r="E933">
        <f>Weekly_Inspections!$H933</f>
        <v/>
      </c>
      <c r="F933">
        <f>IF(Weekly_Inspections!$AX933&lt;&gt;"",Weekly_Inspections!$AX933,IF(Weekly_Inspections!$AY933&lt;&gt;"",Weekly_Inspections!$AY933,IF(Weekly_Inspections!$AZ933&lt;&gt;"",Weekly_Inspections!$AZ933,IF(Weekly_Inspections!$BA933&lt;&gt;"",Weekly_Inspections!$BA933,IF(Weekly_Inspections!$BB933&lt;&gt;"",Weekly_Inspections!$BB933,Weekly_Inspections!$R933)))))</f>
        <v/>
      </c>
      <c r="G933">
        <f>IF(OR(Weekly_Inspections!$AQ933&lt;&gt;"",Weekly_Inspections!$AR933&lt;&gt;"",Weekly_Inspections!$AS933&lt;&gt;""),Weekly_Inspections!$AQ933,"")</f>
        <v/>
      </c>
      <c r="H933">
        <f>Weekly_Inspections!$AP933</f>
        <v/>
      </c>
      <c r="I933">
        <f>Weekly_Inspections!$AR933</f>
        <v/>
      </c>
      <c r="J933">
        <f>Weekly_Inspections!$AS933</f>
        <v/>
      </c>
      <c r="K933">
        <f>Weekly_Inspections!$AU933</f>
        <v/>
      </c>
      <c r="L933" s="47">
        <f>Weekly_Inspections!$AV933</f>
        <v/>
      </c>
      <c r="M933">
        <f>IF($B933="","",IF($N933&lt;&gt;"","Closed",IF(OR($G933&lt;&gt;"",$I933&lt;&gt;"",$J933&lt;&gt;""),"Open","")))</f>
        <v/>
      </c>
      <c r="N933" s="47" t="n"/>
      <c r="O933">
        <f>IF($B933="","",IF($M933="Closed",IF($N933="","",$N933-$B933),TODAY()-$B933))</f>
        <v/>
      </c>
      <c r="P933">
        <f>IF(OR($B933="",$L933="",$M933="Closed"),"",IF(TODAY()&gt;$L933,"YES","NO"))</f>
        <v/>
      </c>
      <c r="Q933">
        <f>Weekly_Inspections!$AW933</f>
        <v/>
      </c>
    </row>
    <row r="934" ht="15" customHeight="1" s="45">
      <c r="A934">
        <f>IF(Weekly_Inspections!$B934="","",Weekly_Inspections!$A934&amp;"-A1")</f>
        <v/>
      </c>
      <c r="B934" s="47">
        <f>Weekly_Inspections!$B934</f>
        <v/>
      </c>
      <c r="C934">
        <f>Weekly_Inspections!$E934</f>
        <v/>
      </c>
      <c r="D934">
        <f>Weekly_Inspections!$F934</f>
        <v/>
      </c>
      <c r="E934">
        <f>Weekly_Inspections!$H934</f>
        <v/>
      </c>
      <c r="F934">
        <f>IF(Weekly_Inspections!$AX934&lt;&gt;"",Weekly_Inspections!$AX934,IF(Weekly_Inspections!$AY934&lt;&gt;"",Weekly_Inspections!$AY934,IF(Weekly_Inspections!$AZ934&lt;&gt;"",Weekly_Inspections!$AZ934,IF(Weekly_Inspections!$BA934&lt;&gt;"",Weekly_Inspections!$BA934,IF(Weekly_Inspections!$BB934&lt;&gt;"",Weekly_Inspections!$BB934,Weekly_Inspections!$R934)))))</f>
        <v/>
      </c>
      <c r="G934">
        <f>IF(OR(Weekly_Inspections!$AQ934&lt;&gt;"",Weekly_Inspections!$AR934&lt;&gt;"",Weekly_Inspections!$AS934&lt;&gt;""),Weekly_Inspections!$AQ934,"")</f>
        <v/>
      </c>
      <c r="H934">
        <f>Weekly_Inspections!$AP934</f>
        <v/>
      </c>
      <c r="I934">
        <f>Weekly_Inspections!$AR934</f>
        <v/>
      </c>
      <c r="J934">
        <f>Weekly_Inspections!$AS934</f>
        <v/>
      </c>
      <c r="K934">
        <f>Weekly_Inspections!$AU934</f>
        <v/>
      </c>
      <c r="L934" s="47">
        <f>Weekly_Inspections!$AV934</f>
        <v/>
      </c>
      <c r="M934">
        <f>IF($B934="","",IF($N934&lt;&gt;"","Closed",IF(OR($G934&lt;&gt;"",$I934&lt;&gt;"",$J934&lt;&gt;""),"Open","")))</f>
        <v/>
      </c>
      <c r="N934" s="47" t="n"/>
      <c r="O934">
        <f>IF($B934="","",IF($M934="Closed",IF($N934="","",$N934-$B934),TODAY()-$B934))</f>
        <v/>
      </c>
      <c r="P934">
        <f>IF(OR($B934="",$L934="",$M934="Closed"),"",IF(TODAY()&gt;$L934,"YES","NO"))</f>
        <v/>
      </c>
      <c r="Q934">
        <f>Weekly_Inspections!$AW934</f>
        <v/>
      </c>
    </row>
    <row r="935" ht="15" customHeight="1" s="45">
      <c r="A935">
        <f>IF(Weekly_Inspections!$B935="","",Weekly_Inspections!$A935&amp;"-A1")</f>
        <v/>
      </c>
      <c r="B935" s="47">
        <f>Weekly_Inspections!$B935</f>
        <v/>
      </c>
      <c r="C935">
        <f>Weekly_Inspections!$E935</f>
        <v/>
      </c>
      <c r="D935">
        <f>Weekly_Inspections!$F935</f>
        <v/>
      </c>
      <c r="E935">
        <f>Weekly_Inspections!$H935</f>
        <v/>
      </c>
      <c r="F935">
        <f>IF(Weekly_Inspections!$AX935&lt;&gt;"",Weekly_Inspections!$AX935,IF(Weekly_Inspections!$AY935&lt;&gt;"",Weekly_Inspections!$AY935,IF(Weekly_Inspections!$AZ935&lt;&gt;"",Weekly_Inspections!$AZ935,IF(Weekly_Inspections!$BA935&lt;&gt;"",Weekly_Inspections!$BA935,IF(Weekly_Inspections!$BB935&lt;&gt;"",Weekly_Inspections!$BB935,Weekly_Inspections!$R935)))))</f>
        <v/>
      </c>
      <c r="G935">
        <f>IF(OR(Weekly_Inspections!$AQ935&lt;&gt;"",Weekly_Inspections!$AR935&lt;&gt;"",Weekly_Inspections!$AS935&lt;&gt;""),Weekly_Inspections!$AQ935,"")</f>
        <v/>
      </c>
      <c r="H935">
        <f>Weekly_Inspections!$AP935</f>
        <v/>
      </c>
      <c r="I935">
        <f>Weekly_Inspections!$AR935</f>
        <v/>
      </c>
      <c r="J935">
        <f>Weekly_Inspections!$AS935</f>
        <v/>
      </c>
      <c r="K935">
        <f>Weekly_Inspections!$AU935</f>
        <v/>
      </c>
      <c r="L935" s="47">
        <f>Weekly_Inspections!$AV935</f>
        <v/>
      </c>
      <c r="M935">
        <f>IF($B935="","",IF($N935&lt;&gt;"","Closed",IF(OR($G935&lt;&gt;"",$I935&lt;&gt;"",$J935&lt;&gt;""),"Open","")))</f>
        <v/>
      </c>
      <c r="N935" s="47" t="n"/>
      <c r="O935">
        <f>IF($B935="","",IF($M935="Closed",IF($N935="","",$N935-$B935),TODAY()-$B935))</f>
        <v/>
      </c>
      <c r="P935">
        <f>IF(OR($B935="",$L935="",$M935="Closed"),"",IF(TODAY()&gt;$L935,"YES","NO"))</f>
        <v/>
      </c>
      <c r="Q935">
        <f>Weekly_Inspections!$AW935</f>
        <v/>
      </c>
    </row>
    <row r="936" ht="15" customHeight="1" s="45">
      <c r="A936">
        <f>IF(Weekly_Inspections!$B936="","",Weekly_Inspections!$A936&amp;"-A1")</f>
        <v/>
      </c>
      <c r="B936" s="47">
        <f>Weekly_Inspections!$B936</f>
        <v/>
      </c>
      <c r="C936">
        <f>Weekly_Inspections!$E936</f>
        <v/>
      </c>
      <c r="D936">
        <f>Weekly_Inspections!$F936</f>
        <v/>
      </c>
      <c r="E936">
        <f>Weekly_Inspections!$H936</f>
        <v/>
      </c>
      <c r="F936">
        <f>IF(Weekly_Inspections!$AX936&lt;&gt;"",Weekly_Inspections!$AX936,IF(Weekly_Inspections!$AY936&lt;&gt;"",Weekly_Inspections!$AY936,IF(Weekly_Inspections!$AZ936&lt;&gt;"",Weekly_Inspections!$AZ936,IF(Weekly_Inspections!$BA936&lt;&gt;"",Weekly_Inspections!$BA936,IF(Weekly_Inspections!$BB936&lt;&gt;"",Weekly_Inspections!$BB936,Weekly_Inspections!$R936)))))</f>
        <v/>
      </c>
      <c r="G936">
        <f>IF(OR(Weekly_Inspections!$AQ936&lt;&gt;"",Weekly_Inspections!$AR936&lt;&gt;"",Weekly_Inspections!$AS936&lt;&gt;""),Weekly_Inspections!$AQ936,"")</f>
        <v/>
      </c>
      <c r="H936">
        <f>Weekly_Inspections!$AP936</f>
        <v/>
      </c>
      <c r="I936">
        <f>Weekly_Inspections!$AR936</f>
        <v/>
      </c>
      <c r="J936">
        <f>Weekly_Inspections!$AS936</f>
        <v/>
      </c>
      <c r="K936">
        <f>Weekly_Inspections!$AU936</f>
        <v/>
      </c>
      <c r="L936" s="47">
        <f>Weekly_Inspections!$AV936</f>
        <v/>
      </c>
      <c r="M936">
        <f>IF($B936="","",IF($N936&lt;&gt;"","Closed",IF(OR($G936&lt;&gt;"",$I936&lt;&gt;"",$J936&lt;&gt;""),"Open","")))</f>
        <v/>
      </c>
      <c r="N936" s="47" t="n"/>
      <c r="O936">
        <f>IF($B936="","",IF($M936="Closed",IF($N936="","",$N936-$B936),TODAY()-$B936))</f>
        <v/>
      </c>
      <c r="P936">
        <f>IF(OR($B936="",$L936="",$M936="Closed"),"",IF(TODAY()&gt;$L936,"YES","NO"))</f>
        <v/>
      </c>
      <c r="Q936">
        <f>Weekly_Inspections!$AW936</f>
        <v/>
      </c>
    </row>
    <row r="937" ht="15" customHeight="1" s="45">
      <c r="A937">
        <f>IF(Weekly_Inspections!$B937="","",Weekly_Inspections!$A937&amp;"-A1")</f>
        <v/>
      </c>
      <c r="B937" s="47">
        <f>Weekly_Inspections!$B937</f>
        <v/>
      </c>
      <c r="C937">
        <f>Weekly_Inspections!$E937</f>
        <v/>
      </c>
      <c r="D937">
        <f>Weekly_Inspections!$F937</f>
        <v/>
      </c>
      <c r="E937">
        <f>Weekly_Inspections!$H937</f>
        <v/>
      </c>
      <c r="F937">
        <f>IF(Weekly_Inspections!$AX937&lt;&gt;"",Weekly_Inspections!$AX937,IF(Weekly_Inspections!$AY937&lt;&gt;"",Weekly_Inspections!$AY937,IF(Weekly_Inspections!$AZ937&lt;&gt;"",Weekly_Inspections!$AZ937,IF(Weekly_Inspections!$BA937&lt;&gt;"",Weekly_Inspections!$BA937,IF(Weekly_Inspections!$BB937&lt;&gt;"",Weekly_Inspections!$BB937,Weekly_Inspections!$R937)))))</f>
        <v/>
      </c>
      <c r="G937">
        <f>IF(OR(Weekly_Inspections!$AQ937&lt;&gt;"",Weekly_Inspections!$AR937&lt;&gt;"",Weekly_Inspections!$AS937&lt;&gt;""),Weekly_Inspections!$AQ937,"")</f>
        <v/>
      </c>
      <c r="H937">
        <f>Weekly_Inspections!$AP937</f>
        <v/>
      </c>
      <c r="I937">
        <f>Weekly_Inspections!$AR937</f>
        <v/>
      </c>
      <c r="J937">
        <f>Weekly_Inspections!$AS937</f>
        <v/>
      </c>
      <c r="K937">
        <f>Weekly_Inspections!$AU937</f>
        <v/>
      </c>
      <c r="L937" s="47">
        <f>Weekly_Inspections!$AV937</f>
        <v/>
      </c>
      <c r="M937">
        <f>IF($B937="","",IF($N937&lt;&gt;"","Closed",IF(OR($G937&lt;&gt;"",$I937&lt;&gt;"",$J937&lt;&gt;""),"Open","")))</f>
        <v/>
      </c>
      <c r="N937" s="47" t="n"/>
      <c r="O937">
        <f>IF($B937="","",IF($M937="Closed",IF($N937="","",$N937-$B937),TODAY()-$B937))</f>
        <v/>
      </c>
      <c r="P937">
        <f>IF(OR($B937="",$L937="",$M937="Closed"),"",IF(TODAY()&gt;$L937,"YES","NO"))</f>
        <v/>
      </c>
      <c r="Q937">
        <f>Weekly_Inspections!$AW937</f>
        <v/>
      </c>
    </row>
    <row r="938" ht="15" customHeight="1" s="45">
      <c r="A938">
        <f>IF(Weekly_Inspections!$B938="","",Weekly_Inspections!$A938&amp;"-A1")</f>
        <v/>
      </c>
      <c r="B938" s="47">
        <f>Weekly_Inspections!$B938</f>
        <v/>
      </c>
      <c r="C938">
        <f>Weekly_Inspections!$E938</f>
        <v/>
      </c>
      <c r="D938">
        <f>Weekly_Inspections!$F938</f>
        <v/>
      </c>
      <c r="E938">
        <f>Weekly_Inspections!$H938</f>
        <v/>
      </c>
      <c r="F938">
        <f>IF(Weekly_Inspections!$AX938&lt;&gt;"",Weekly_Inspections!$AX938,IF(Weekly_Inspections!$AY938&lt;&gt;"",Weekly_Inspections!$AY938,IF(Weekly_Inspections!$AZ938&lt;&gt;"",Weekly_Inspections!$AZ938,IF(Weekly_Inspections!$BA938&lt;&gt;"",Weekly_Inspections!$BA938,IF(Weekly_Inspections!$BB938&lt;&gt;"",Weekly_Inspections!$BB938,Weekly_Inspections!$R938)))))</f>
        <v/>
      </c>
      <c r="G938">
        <f>IF(OR(Weekly_Inspections!$AQ938&lt;&gt;"",Weekly_Inspections!$AR938&lt;&gt;"",Weekly_Inspections!$AS938&lt;&gt;""),Weekly_Inspections!$AQ938,"")</f>
        <v/>
      </c>
      <c r="H938">
        <f>Weekly_Inspections!$AP938</f>
        <v/>
      </c>
      <c r="I938">
        <f>Weekly_Inspections!$AR938</f>
        <v/>
      </c>
      <c r="J938">
        <f>Weekly_Inspections!$AS938</f>
        <v/>
      </c>
      <c r="K938">
        <f>Weekly_Inspections!$AU938</f>
        <v/>
      </c>
      <c r="L938" s="47">
        <f>Weekly_Inspections!$AV938</f>
        <v/>
      </c>
      <c r="M938">
        <f>IF($B938="","",IF($N938&lt;&gt;"","Closed",IF(OR($G938&lt;&gt;"",$I938&lt;&gt;"",$J938&lt;&gt;""),"Open","")))</f>
        <v/>
      </c>
      <c r="N938" s="47" t="n"/>
      <c r="O938">
        <f>IF($B938="","",IF($M938="Closed",IF($N938="","",$N938-$B938),TODAY()-$B938))</f>
        <v/>
      </c>
      <c r="P938">
        <f>IF(OR($B938="",$L938="",$M938="Closed"),"",IF(TODAY()&gt;$L938,"YES","NO"))</f>
        <v/>
      </c>
      <c r="Q938">
        <f>Weekly_Inspections!$AW938</f>
        <v/>
      </c>
    </row>
    <row r="939" ht="15" customHeight="1" s="45">
      <c r="A939">
        <f>IF(Weekly_Inspections!$B939="","",Weekly_Inspections!$A939&amp;"-A1")</f>
        <v/>
      </c>
      <c r="B939" s="47">
        <f>Weekly_Inspections!$B939</f>
        <v/>
      </c>
      <c r="C939">
        <f>Weekly_Inspections!$E939</f>
        <v/>
      </c>
      <c r="D939">
        <f>Weekly_Inspections!$F939</f>
        <v/>
      </c>
      <c r="E939">
        <f>Weekly_Inspections!$H939</f>
        <v/>
      </c>
      <c r="F939">
        <f>IF(Weekly_Inspections!$AX939&lt;&gt;"",Weekly_Inspections!$AX939,IF(Weekly_Inspections!$AY939&lt;&gt;"",Weekly_Inspections!$AY939,IF(Weekly_Inspections!$AZ939&lt;&gt;"",Weekly_Inspections!$AZ939,IF(Weekly_Inspections!$BA939&lt;&gt;"",Weekly_Inspections!$BA939,IF(Weekly_Inspections!$BB939&lt;&gt;"",Weekly_Inspections!$BB939,Weekly_Inspections!$R939)))))</f>
        <v/>
      </c>
      <c r="G939">
        <f>IF(OR(Weekly_Inspections!$AQ939&lt;&gt;"",Weekly_Inspections!$AR939&lt;&gt;"",Weekly_Inspections!$AS939&lt;&gt;""),Weekly_Inspections!$AQ939,"")</f>
        <v/>
      </c>
      <c r="H939">
        <f>Weekly_Inspections!$AP939</f>
        <v/>
      </c>
      <c r="I939">
        <f>Weekly_Inspections!$AR939</f>
        <v/>
      </c>
      <c r="J939">
        <f>Weekly_Inspections!$AS939</f>
        <v/>
      </c>
      <c r="K939">
        <f>Weekly_Inspections!$AU939</f>
        <v/>
      </c>
      <c r="L939" s="47">
        <f>Weekly_Inspections!$AV939</f>
        <v/>
      </c>
      <c r="M939">
        <f>IF($B939="","",IF($N939&lt;&gt;"","Closed",IF(OR($G939&lt;&gt;"",$I939&lt;&gt;"",$J939&lt;&gt;""),"Open","")))</f>
        <v/>
      </c>
      <c r="N939" s="47" t="n"/>
      <c r="O939">
        <f>IF($B939="","",IF($M939="Closed",IF($N939="","",$N939-$B939),TODAY()-$B939))</f>
        <v/>
      </c>
      <c r="P939">
        <f>IF(OR($B939="",$L939="",$M939="Closed"),"",IF(TODAY()&gt;$L939,"YES","NO"))</f>
        <v/>
      </c>
      <c r="Q939">
        <f>Weekly_Inspections!$AW939</f>
        <v/>
      </c>
    </row>
    <row r="940" ht="15" customHeight="1" s="45">
      <c r="A940">
        <f>IF(Weekly_Inspections!$B940="","",Weekly_Inspections!$A940&amp;"-A1")</f>
        <v/>
      </c>
      <c r="B940" s="47">
        <f>Weekly_Inspections!$B940</f>
        <v/>
      </c>
      <c r="C940">
        <f>Weekly_Inspections!$E940</f>
        <v/>
      </c>
      <c r="D940">
        <f>Weekly_Inspections!$F940</f>
        <v/>
      </c>
      <c r="E940">
        <f>Weekly_Inspections!$H940</f>
        <v/>
      </c>
      <c r="F940">
        <f>IF(Weekly_Inspections!$AX940&lt;&gt;"",Weekly_Inspections!$AX940,IF(Weekly_Inspections!$AY940&lt;&gt;"",Weekly_Inspections!$AY940,IF(Weekly_Inspections!$AZ940&lt;&gt;"",Weekly_Inspections!$AZ940,IF(Weekly_Inspections!$BA940&lt;&gt;"",Weekly_Inspections!$BA940,IF(Weekly_Inspections!$BB940&lt;&gt;"",Weekly_Inspections!$BB940,Weekly_Inspections!$R940)))))</f>
        <v/>
      </c>
      <c r="G940">
        <f>IF(OR(Weekly_Inspections!$AQ940&lt;&gt;"",Weekly_Inspections!$AR940&lt;&gt;"",Weekly_Inspections!$AS940&lt;&gt;""),Weekly_Inspections!$AQ940,"")</f>
        <v/>
      </c>
      <c r="H940">
        <f>Weekly_Inspections!$AP940</f>
        <v/>
      </c>
      <c r="I940">
        <f>Weekly_Inspections!$AR940</f>
        <v/>
      </c>
      <c r="J940">
        <f>Weekly_Inspections!$AS940</f>
        <v/>
      </c>
      <c r="K940">
        <f>Weekly_Inspections!$AU940</f>
        <v/>
      </c>
      <c r="L940" s="47">
        <f>Weekly_Inspections!$AV940</f>
        <v/>
      </c>
      <c r="M940">
        <f>IF($B940="","",IF($N940&lt;&gt;"","Closed",IF(OR($G940&lt;&gt;"",$I940&lt;&gt;"",$J940&lt;&gt;""),"Open","")))</f>
        <v/>
      </c>
      <c r="N940" s="47" t="n"/>
      <c r="O940">
        <f>IF($B940="","",IF($M940="Closed",IF($N940="","",$N940-$B940),TODAY()-$B940))</f>
        <v/>
      </c>
      <c r="P940">
        <f>IF(OR($B940="",$L940="",$M940="Closed"),"",IF(TODAY()&gt;$L940,"YES","NO"))</f>
        <v/>
      </c>
      <c r="Q940">
        <f>Weekly_Inspections!$AW940</f>
        <v/>
      </c>
    </row>
    <row r="941" ht="15" customHeight="1" s="45">
      <c r="A941">
        <f>IF(Weekly_Inspections!$B941="","",Weekly_Inspections!$A941&amp;"-A1")</f>
        <v/>
      </c>
      <c r="B941" s="47">
        <f>Weekly_Inspections!$B941</f>
        <v/>
      </c>
      <c r="C941">
        <f>Weekly_Inspections!$E941</f>
        <v/>
      </c>
      <c r="D941">
        <f>Weekly_Inspections!$F941</f>
        <v/>
      </c>
      <c r="E941">
        <f>Weekly_Inspections!$H941</f>
        <v/>
      </c>
      <c r="F941">
        <f>IF(Weekly_Inspections!$AX941&lt;&gt;"",Weekly_Inspections!$AX941,IF(Weekly_Inspections!$AY941&lt;&gt;"",Weekly_Inspections!$AY941,IF(Weekly_Inspections!$AZ941&lt;&gt;"",Weekly_Inspections!$AZ941,IF(Weekly_Inspections!$BA941&lt;&gt;"",Weekly_Inspections!$BA941,IF(Weekly_Inspections!$BB941&lt;&gt;"",Weekly_Inspections!$BB941,Weekly_Inspections!$R941)))))</f>
        <v/>
      </c>
      <c r="G941">
        <f>IF(OR(Weekly_Inspections!$AQ941&lt;&gt;"",Weekly_Inspections!$AR941&lt;&gt;"",Weekly_Inspections!$AS941&lt;&gt;""),Weekly_Inspections!$AQ941,"")</f>
        <v/>
      </c>
      <c r="H941">
        <f>Weekly_Inspections!$AP941</f>
        <v/>
      </c>
      <c r="I941">
        <f>Weekly_Inspections!$AR941</f>
        <v/>
      </c>
      <c r="J941">
        <f>Weekly_Inspections!$AS941</f>
        <v/>
      </c>
      <c r="K941">
        <f>Weekly_Inspections!$AU941</f>
        <v/>
      </c>
      <c r="L941" s="47">
        <f>Weekly_Inspections!$AV941</f>
        <v/>
      </c>
      <c r="M941">
        <f>IF($B941="","",IF($N941&lt;&gt;"","Closed",IF(OR($G941&lt;&gt;"",$I941&lt;&gt;"",$J941&lt;&gt;""),"Open","")))</f>
        <v/>
      </c>
      <c r="N941" s="47" t="n"/>
      <c r="O941">
        <f>IF($B941="","",IF($M941="Closed",IF($N941="","",$N941-$B941),TODAY()-$B941))</f>
        <v/>
      </c>
      <c r="P941">
        <f>IF(OR($B941="",$L941="",$M941="Closed"),"",IF(TODAY()&gt;$L941,"YES","NO"))</f>
        <v/>
      </c>
      <c r="Q941">
        <f>Weekly_Inspections!$AW941</f>
        <v/>
      </c>
    </row>
    <row r="942" ht="15" customHeight="1" s="45">
      <c r="A942">
        <f>IF(Weekly_Inspections!$B942="","",Weekly_Inspections!$A942&amp;"-A1")</f>
        <v/>
      </c>
      <c r="B942" s="47">
        <f>Weekly_Inspections!$B942</f>
        <v/>
      </c>
      <c r="C942">
        <f>Weekly_Inspections!$E942</f>
        <v/>
      </c>
      <c r="D942">
        <f>Weekly_Inspections!$F942</f>
        <v/>
      </c>
      <c r="E942">
        <f>Weekly_Inspections!$H942</f>
        <v/>
      </c>
      <c r="F942">
        <f>IF(Weekly_Inspections!$AX942&lt;&gt;"",Weekly_Inspections!$AX942,IF(Weekly_Inspections!$AY942&lt;&gt;"",Weekly_Inspections!$AY942,IF(Weekly_Inspections!$AZ942&lt;&gt;"",Weekly_Inspections!$AZ942,IF(Weekly_Inspections!$BA942&lt;&gt;"",Weekly_Inspections!$BA942,IF(Weekly_Inspections!$BB942&lt;&gt;"",Weekly_Inspections!$BB942,Weekly_Inspections!$R942)))))</f>
        <v/>
      </c>
      <c r="G942">
        <f>IF(OR(Weekly_Inspections!$AQ942&lt;&gt;"",Weekly_Inspections!$AR942&lt;&gt;"",Weekly_Inspections!$AS942&lt;&gt;""),Weekly_Inspections!$AQ942,"")</f>
        <v/>
      </c>
      <c r="H942">
        <f>Weekly_Inspections!$AP942</f>
        <v/>
      </c>
      <c r="I942">
        <f>Weekly_Inspections!$AR942</f>
        <v/>
      </c>
      <c r="J942">
        <f>Weekly_Inspections!$AS942</f>
        <v/>
      </c>
      <c r="K942">
        <f>Weekly_Inspections!$AU942</f>
        <v/>
      </c>
      <c r="L942" s="47">
        <f>Weekly_Inspections!$AV942</f>
        <v/>
      </c>
      <c r="M942">
        <f>IF($B942="","",IF($N942&lt;&gt;"","Closed",IF(OR($G942&lt;&gt;"",$I942&lt;&gt;"",$J942&lt;&gt;""),"Open","")))</f>
        <v/>
      </c>
      <c r="N942" s="47" t="n"/>
      <c r="O942">
        <f>IF($B942="","",IF($M942="Closed",IF($N942="","",$N942-$B942),TODAY()-$B942))</f>
        <v/>
      </c>
      <c r="P942">
        <f>IF(OR($B942="",$L942="",$M942="Closed"),"",IF(TODAY()&gt;$L942,"YES","NO"))</f>
        <v/>
      </c>
      <c r="Q942">
        <f>Weekly_Inspections!$AW942</f>
        <v/>
      </c>
    </row>
    <row r="943" ht="15" customHeight="1" s="45">
      <c r="A943">
        <f>IF(Weekly_Inspections!$B943="","",Weekly_Inspections!$A943&amp;"-A1")</f>
        <v/>
      </c>
      <c r="B943" s="47">
        <f>Weekly_Inspections!$B943</f>
        <v/>
      </c>
      <c r="C943">
        <f>Weekly_Inspections!$E943</f>
        <v/>
      </c>
      <c r="D943">
        <f>Weekly_Inspections!$F943</f>
        <v/>
      </c>
      <c r="E943">
        <f>Weekly_Inspections!$H943</f>
        <v/>
      </c>
      <c r="F943">
        <f>IF(Weekly_Inspections!$AX943&lt;&gt;"",Weekly_Inspections!$AX943,IF(Weekly_Inspections!$AY943&lt;&gt;"",Weekly_Inspections!$AY943,IF(Weekly_Inspections!$AZ943&lt;&gt;"",Weekly_Inspections!$AZ943,IF(Weekly_Inspections!$BA943&lt;&gt;"",Weekly_Inspections!$BA943,IF(Weekly_Inspections!$BB943&lt;&gt;"",Weekly_Inspections!$BB943,Weekly_Inspections!$R943)))))</f>
        <v/>
      </c>
      <c r="G943">
        <f>IF(OR(Weekly_Inspections!$AQ943&lt;&gt;"",Weekly_Inspections!$AR943&lt;&gt;"",Weekly_Inspections!$AS943&lt;&gt;""),Weekly_Inspections!$AQ943,"")</f>
        <v/>
      </c>
      <c r="H943">
        <f>Weekly_Inspections!$AP943</f>
        <v/>
      </c>
      <c r="I943">
        <f>Weekly_Inspections!$AR943</f>
        <v/>
      </c>
      <c r="J943">
        <f>Weekly_Inspections!$AS943</f>
        <v/>
      </c>
      <c r="K943">
        <f>Weekly_Inspections!$AU943</f>
        <v/>
      </c>
      <c r="L943" s="47">
        <f>Weekly_Inspections!$AV943</f>
        <v/>
      </c>
      <c r="M943">
        <f>IF($B943="","",IF($N943&lt;&gt;"","Closed",IF(OR($G943&lt;&gt;"",$I943&lt;&gt;"",$J943&lt;&gt;""),"Open","")))</f>
        <v/>
      </c>
      <c r="N943" s="47" t="n"/>
      <c r="O943">
        <f>IF($B943="","",IF($M943="Closed",IF($N943="","",$N943-$B943),TODAY()-$B943))</f>
        <v/>
      </c>
      <c r="P943">
        <f>IF(OR($B943="",$L943="",$M943="Closed"),"",IF(TODAY()&gt;$L943,"YES","NO"))</f>
        <v/>
      </c>
      <c r="Q943">
        <f>Weekly_Inspections!$AW943</f>
        <v/>
      </c>
    </row>
    <row r="944" ht="15" customHeight="1" s="45">
      <c r="A944">
        <f>IF(Weekly_Inspections!$B944="","",Weekly_Inspections!$A944&amp;"-A1")</f>
        <v/>
      </c>
      <c r="B944" s="47">
        <f>Weekly_Inspections!$B944</f>
        <v/>
      </c>
      <c r="C944">
        <f>Weekly_Inspections!$E944</f>
        <v/>
      </c>
      <c r="D944">
        <f>Weekly_Inspections!$F944</f>
        <v/>
      </c>
      <c r="E944">
        <f>Weekly_Inspections!$H944</f>
        <v/>
      </c>
      <c r="F944">
        <f>IF(Weekly_Inspections!$AX944&lt;&gt;"",Weekly_Inspections!$AX944,IF(Weekly_Inspections!$AY944&lt;&gt;"",Weekly_Inspections!$AY944,IF(Weekly_Inspections!$AZ944&lt;&gt;"",Weekly_Inspections!$AZ944,IF(Weekly_Inspections!$BA944&lt;&gt;"",Weekly_Inspections!$BA944,IF(Weekly_Inspections!$BB944&lt;&gt;"",Weekly_Inspections!$BB944,Weekly_Inspections!$R944)))))</f>
        <v/>
      </c>
      <c r="G944">
        <f>IF(OR(Weekly_Inspections!$AQ944&lt;&gt;"",Weekly_Inspections!$AR944&lt;&gt;"",Weekly_Inspections!$AS944&lt;&gt;""),Weekly_Inspections!$AQ944,"")</f>
        <v/>
      </c>
      <c r="H944">
        <f>Weekly_Inspections!$AP944</f>
        <v/>
      </c>
      <c r="I944">
        <f>Weekly_Inspections!$AR944</f>
        <v/>
      </c>
      <c r="J944">
        <f>Weekly_Inspections!$AS944</f>
        <v/>
      </c>
      <c r="K944">
        <f>Weekly_Inspections!$AU944</f>
        <v/>
      </c>
      <c r="L944" s="47">
        <f>Weekly_Inspections!$AV944</f>
        <v/>
      </c>
      <c r="M944">
        <f>IF($B944="","",IF($N944&lt;&gt;"","Closed",IF(OR($G944&lt;&gt;"",$I944&lt;&gt;"",$J944&lt;&gt;""),"Open","")))</f>
        <v/>
      </c>
      <c r="N944" s="47" t="n"/>
      <c r="O944">
        <f>IF($B944="","",IF($M944="Closed",IF($N944="","",$N944-$B944),TODAY()-$B944))</f>
        <v/>
      </c>
      <c r="P944">
        <f>IF(OR($B944="",$L944="",$M944="Closed"),"",IF(TODAY()&gt;$L944,"YES","NO"))</f>
        <v/>
      </c>
      <c r="Q944">
        <f>Weekly_Inspections!$AW944</f>
        <v/>
      </c>
    </row>
    <row r="945" ht="15" customHeight="1" s="45">
      <c r="A945">
        <f>IF(Weekly_Inspections!$B945="","",Weekly_Inspections!$A945&amp;"-A1")</f>
        <v/>
      </c>
      <c r="B945" s="47">
        <f>Weekly_Inspections!$B945</f>
        <v/>
      </c>
      <c r="C945">
        <f>Weekly_Inspections!$E945</f>
        <v/>
      </c>
      <c r="D945">
        <f>Weekly_Inspections!$F945</f>
        <v/>
      </c>
      <c r="E945">
        <f>Weekly_Inspections!$H945</f>
        <v/>
      </c>
      <c r="F945">
        <f>IF(Weekly_Inspections!$AX945&lt;&gt;"",Weekly_Inspections!$AX945,IF(Weekly_Inspections!$AY945&lt;&gt;"",Weekly_Inspections!$AY945,IF(Weekly_Inspections!$AZ945&lt;&gt;"",Weekly_Inspections!$AZ945,IF(Weekly_Inspections!$BA945&lt;&gt;"",Weekly_Inspections!$BA945,IF(Weekly_Inspections!$BB945&lt;&gt;"",Weekly_Inspections!$BB945,Weekly_Inspections!$R945)))))</f>
        <v/>
      </c>
      <c r="G945">
        <f>IF(OR(Weekly_Inspections!$AQ945&lt;&gt;"",Weekly_Inspections!$AR945&lt;&gt;"",Weekly_Inspections!$AS945&lt;&gt;""),Weekly_Inspections!$AQ945,"")</f>
        <v/>
      </c>
      <c r="H945">
        <f>Weekly_Inspections!$AP945</f>
        <v/>
      </c>
      <c r="I945">
        <f>Weekly_Inspections!$AR945</f>
        <v/>
      </c>
      <c r="J945">
        <f>Weekly_Inspections!$AS945</f>
        <v/>
      </c>
      <c r="K945">
        <f>Weekly_Inspections!$AU945</f>
        <v/>
      </c>
      <c r="L945" s="47">
        <f>Weekly_Inspections!$AV945</f>
        <v/>
      </c>
      <c r="M945">
        <f>IF($B945="","",IF($N945&lt;&gt;"","Closed",IF(OR($G945&lt;&gt;"",$I945&lt;&gt;"",$J945&lt;&gt;""),"Open","")))</f>
        <v/>
      </c>
      <c r="N945" s="47" t="n"/>
      <c r="O945">
        <f>IF($B945="","",IF($M945="Closed",IF($N945="","",$N945-$B945),TODAY()-$B945))</f>
        <v/>
      </c>
      <c r="P945">
        <f>IF(OR($B945="",$L945="",$M945="Closed"),"",IF(TODAY()&gt;$L945,"YES","NO"))</f>
        <v/>
      </c>
      <c r="Q945">
        <f>Weekly_Inspections!$AW945</f>
        <v/>
      </c>
    </row>
    <row r="946" ht="15" customHeight="1" s="45">
      <c r="A946">
        <f>IF(Weekly_Inspections!$B946="","",Weekly_Inspections!$A946&amp;"-A1")</f>
        <v/>
      </c>
      <c r="B946" s="47">
        <f>Weekly_Inspections!$B946</f>
        <v/>
      </c>
      <c r="C946">
        <f>Weekly_Inspections!$E946</f>
        <v/>
      </c>
      <c r="D946">
        <f>Weekly_Inspections!$F946</f>
        <v/>
      </c>
      <c r="E946">
        <f>Weekly_Inspections!$H946</f>
        <v/>
      </c>
      <c r="F946">
        <f>IF(Weekly_Inspections!$AX946&lt;&gt;"",Weekly_Inspections!$AX946,IF(Weekly_Inspections!$AY946&lt;&gt;"",Weekly_Inspections!$AY946,IF(Weekly_Inspections!$AZ946&lt;&gt;"",Weekly_Inspections!$AZ946,IF(Weekly_Inspections!$BA946&lt;&gt;"",Weekly_Inspections!$BA946,IF(Weekly_Inspections!$BB946&lt;&gt;"",Weekly_Inspections!$BB946,Weekly_Inspections!$R946)))))</f>
        <v/>
      </c>
      <c r="G946">
        <f>IF(OR(Weekly_Inspections!$AQ946&lt;&gt;"",Weekly_Inspections!$AR946&lt;&gt;"",Weekly_Inspections!$AS946&lt;&gt;""),Weekly_Inspections!$AQ946,"")</f>
        <v/>
      </c>
      <c r="H946">
        <f>Weekly_Inspections!$AP946</f>
        <v/>
      </c>
      <c r="I946">
        <f>Weekly_Inspections!$AR946</f>
        <v/>
      </c>
      <c r="J946">
        <f>Weekly_Inspections!$AS946</f>
        <v/>
      </c>
      <c r="K946">
        <f>Weekly_Inspections!$AU946</f>
        <v/>
      </c>
      <c r="L946" s="47">
        <f>Weekly_Inspections!$AV946</f>
        <v/>
      </c>
      <c r="M946">
        <f>IF($B946="","",IF($N946&lt;&gt;"","Closed",IF(OR($G946&lt;&gt;"",$I946&lt;&gt;"",$J946&lt;&gt;""),"Open","")))</f>
        <v/>
      </c>
      <c r="N946" s="47" t="n"/>
      <c r="O946">
        <f>IF($B946="","",IF($M946="Closed",IF($N946="","",$N946-$B946),TODAY()-$B946))</f>
        <v/>
      </c>
      <c r="P946">
        <f>IF(OR($B946="",$L946="",$M946="Closed"),"",IF(TODAY()&gt;$L946,"YES","NO"))</f>
        <v/>
      </c>
      <c r="Q946">
        <f>Weekly_Inspections!$AW946</f>
        <v/>
      </c>
    </row>
    <row r="947" ht="15" customHeight="1" s="45">
      <c r="A947">
        <f>IF(Weekly_Inspections!$B947="","",Weekly_Inspections!$A947&amp;"-A1")</f>
        <v/>
      </c>
      <c r="B947" s="47">
        <f>Weekly_Inspections!$B947</f>
        <v/>
      </c>
      <c r="C947">
        <f>Weekly_Inspections!$E947</f>
        <v/>
      </c>
      <c r="D947">
        <f>Weekly_Inspections!$F947</f>
        <v/>
      </c>
      <c r="E947">
        <f>Weekly_Inspections!$H947</f>
        <v/>
      </c>
      <c r="F947">
        <f>IF(Weekly_Inspections!$AX947&lt;&gt;"",Weekly_Inspections!$AX947,IF(Weekly_Inspections!$AY947&lt;&gt;"",Weekly_Inspections!$AY947,IF(Weekly_Inspections!$AZ947&lt;&gt;"",Weekly_Inspections!$AZ947,IF(Weekly_Inspections!$BA947&lt;&gt;"",Weekly_Inspections!$BA947,IF(Weekly_Inspections!$BB947&lt;&gt;"",Weekly_Inspections!$BB947,Weekly_Inspections!$R947)))))</f>
        <v/>
      </c>
      <c r="G947">
        <f>IF(OR(Weekly_Inspections!$AQ947&lt;&gt;"",Weekly_Inspections!$AR947&lt;&gt;"",Weekly_Inspections!$AS947&lt;&gt;""),Weekly_Inspections!$AQ947,"")</f>
        <v/>
      </c>
      <c r="H947">
        <f>Weekly_Inspections!$AP947</f>
        <v/>
      </c>
      <c r="I947">
        <f>Weekly_Inspections!$AR947</f>
        <v/>
      </c>
      <c r="J947">
        <f>Weekly_Inspections!$AS947</f>
        <v/>
      </c>
      <c r="K947">
        <f>Weekly_Inspections!$AU947</f>
        <v/>
      </c>
      <c r="L947" s="47">
        <f>Weekly_Inspections!$AV947</f>
        <v/>
      </c>
      <c r="M947">
        <f>IF($B947="","",IF($N947&lt;&gt;"","Closed",IF(OR($G947&lt;&gt;"",$I947&lt;&gt;"",$J947&lt;&gt;""),"Open","")))</f>
        <v/>
      </c>
      <c r="N947" s="47" t="n"/>
      <c r="O947">
        <f>IF($B947="","",IF($M947="Closed",IF($N947="","",$N947-$B947),TODAY()-$B947))</f>
        <v/>
      </c>
      <c r="P947">
        <f>IF(OR($B947="",$L947="",$M947="Closed"),"",IF(TODAY()&gt;$L947,"YES","NO"))</f>
        <v/>
      </c>
      <c r="Q947">
        <f>Weekly_Inspections!$AW947</f>
        <v/>
      </c>
    </row>
    <row r="948" ht="15" customHeight="1" s="45">
      <c r="A948">
        <f>IF(Weekly_Inspections!$B948="","",Weekly_Inspections!$A948&amp;"-A1")</f>
        <v/>
      </c>
      <c r="B948" s="47">
        <f>Weekly_Inspections!$B948</f>
        <v/>
      </c>
      <c r="C948">
        <f>Weekly_Inspections!$E948</f>
        <v/>
      </c>
      <c r="D948">
        <f>Weekly_Inspections!$F948</f>
        <v/>
      </c>
      <c r="E948">
        <f>Weekly_Inspections!$H948</f>
        <v/>
      </c>
      <c r="F948">
        <f>IF(Weekly_Inspections!$AX948&lt;&gt;"",Weekly_Inspections!$AX948,IF(Weekly_Inspections!$AY948&lt;&gt;"",Weekly_Inspections!$AY948,IF(Weekly_Inspections!$AZ948&lt;&gt;"",Weekly_Inspections!$AZ948,IF(Weekly_Inspections!$BA948&lt;&gt;"",Weekly_Inspections!$BA948,IF(Weekly_Inspections!$BB948&lt;&gt;"",Weekly_Inspections!$BB948,Weekly_Inspections!$R948)))))</f>
        <v/>
      </c>
      <c r="G948">
        <f>IF(OR(Weekly_Inspections!$AQ948&lt;&gt;"",Weekly_Inspections!$AR948&lt;&gt;"",Weekly_Inspections!$AS948&lt;&gt;""),Weekly_Inspections!$AQ948,"")</f>
        <v/>
      </c>
      <c r="H948">
        <f>Weekly_Inspections!$AP948</f>
        <v/>
      </c>
      <c r="I948">
        <f>Weekly_Inspections!$AR948</f>
        <v/>
      </c>
      <c r="J948">
        <f>Weekly_Inspections!$AS948</f>
        <v/>
      </c>
      <c r="K948">
        <f>Weekly_Inspections!$AU948</f>
        <v/>
      </c>
      <c r="L948" s="47">
        <f>Weekly_Inspections!$AV948</f>
        <v/>
      </c>
      <c r="M948">
        <f>IF($B948="","",IF($N948&lt;&gt;"","Closed",IF(OR($G948&lt;&gt;"",$I948&lt;&gt;"",$J948&lt;&gt;""),"Open","")))</f>
        <v/>
      </c>
      <c r="N948" s="47" t="n"/>
      <c r="O948">
        <f>IF($B948="","",IF($M948="Closed",IF($N948="","",$N948-$B948),TODAY()-$B948))</f>
        <v/>
      </c>
      <c r="P948">
        <f>IF(OR($B948="",$L948="",$M948="Closed"),"",IF(TODAY()&gt;$L948,"YES","NO"))</f>
        <v/>
      </c>
      <c r="Q948">
        <f>Weekly_Inspections!$AW948</f>
        <v/>
      </c>
    </row>
    <row r="949" ht="15" customHeight="1" s="45">
      <c r="A949">
        <f>IF(Weekly_Inspections!$B949="","",Weekly_Inspections!$A949&amp;"-A1")</f>
        <v/>
      </c>
      <c r="B949" s="47">
        <f>Weekly_Inspections!$B949</f>
        <v/>
      </c>
      <c r="C949">
        <f>Weekly_Inspections!$E949</f>
        <v/>
      </c>
      <c r="D949">
        <f>Weekly_Inspections!$F949</f>
        <v/>
      </c>
      <c r="E949">
        <f>Weekly_Inspections!$H949</f>
        <v/>
      </c>
      <c r="F949">
        <f>IF(Weekly_Inspections!$AX949&lt;&gt;"",Weekly_Inspections!$AX949,IF(Weekly_Inspections!$AY949&lt;&gt;"",Weekly_Inspections!$AY949,IF(Weekly_Inspections!$AZ949&lt;&gt;"",Weekly_Inspections!$AZ949,IF(Weekly_Inspections!$BA949&lt;&gt;"",Weekly_Inspections!$BA949,IF(Weekly_Inspections!$BB949&lt;&gt;"",Weekly_Inspections!$BB949,Weekly_Inspections!$R949)))))</f>
        <v/>
      </c>
      <c r="G949">
        <f>IF(OR(Weekly_Inspections!$AQ949&lt;&gt;"",Weekly_Inspections!$AR949&lt;&gt;"",Weekly_Inspections!$AS949&lt;&gt;""),Weekly_Inspections!$AQ949,"")</f>
        <v/>
      </c>
      <c r="H949">
        <f>Weekly_Inspections!$AP949</f>
        <v/>
      </c>
      <c r="I949">
        <f>Weekly_Inspections!$AR949</f>
        <v/>
      </c>
      <c r="J949">
        <f>Weekly_Inspections!$AS949</f>
        <v/>
      </c>
      <c r="K949">
        <f>Weekly_Inspections!$AU949</f>
        <v/>
      </c>
      <c r="L949" s="47">
        <f>Weekly_Inspections!$AV949</f>
        <v/>
      </c>
      <c r="M949">
        <f>IF($B949="","",IF($N949&lt;&gt;"","Closed",IF(OR($G949&lt;&gt;"",$I949&lt;&gt;"",$J949&lt;&gt;""),"Open","")))</f>
        <v/>
      </c>
      <c r="N949" s="47" t="n"/>
      <c r="O949">
        <f>IF($B949="","",IF($M949="Closed",IF($N949="","",$N949-$B949),TODAY()-$B949))</f>
        <v/>
      </c>
      <c r="P949">
        <f>IF(OR($B949="",$L949="",$M949="Closed"),"",IF(TODAY()&gt;$L949,"YES","NO"))</f>
        <v/>
      </c>
      <c r="Q949">
        <f>Weekly_Inspections!$AW949</f>
        <v/>
      </c>
    </row>
    <row r="950" ht="15" customHeight="1" s="45">
      <c r="A950">
        <f>IF(Weekly_Inspections!$B950="","",Weekly_Inspections!$A950&amp;"-A1")</f>
        <v/>
      </c>
      <c r="B950" s="47">
        <f>Weekly_Inspections!$B950</f>
        <v/>
      </c>
      <c r="C950">
        <f>Weekly_Inspections!$E950</f>
        <v/>
      </c>
      <c r="D950">
        <f>Weekly_Inspections!$F950</f>
        <v/>
      </c>
      <c r="E950">
        <f>Weekly_Inspections!$H950</f>
        <v/>
      </c>
      <c r="F950">
        <f>IF(Weekly_Inspections!$AX950&lt;&gt;"",Weekly_Inspections!$AX950,IF(Weekly_Inspections!$AY950&lt;&gt;"",Weekly_Inspections!$AY950,IF(Weekly_Inspections!$AZ950&lt;&gt;"",Weekly_Inspections!$AZ950,IF(Weekly_Inspections!$BA950&lt;&gt;"",Weekly_Inspections!$BA950,IF(Weekly_Inspections!$BB950&lt;&gt;"",Weekly_Inspections!$BB950,Weekly_Inspections!$R950)))))</f>
        <v/>
      </c>
      <c r="G950">
        <f>IF(OR(Weekly_Inspections!$AQ950&lt;&gt;"",Weekly_Inspections!$AR950&lt;&gt;"",Weekly_Inspections!$AS950&lt;&gt;""),Weekly_Inspections!$AQ950,"")</f>
        <v/>
      </c>
      <c r="H950">
        <f>Weekly_Inspections!$AP950</f>
        <v/>
      </c>
      <c r="I950">
        <f>Weekly_Inspections!$AR950</f>
        <v/>
      </c>
      <c r="J950">
        <f>Weekly_Inspections!$AS950</f>
        <v/>
      </c>
      <c r="K950">
        <f>Weekly_Inspections!$AU950</f>
        <v/>
      </c>
      <c r="L950" s="47">
        <f>Weekly_Inspections!$AV950</f>
        <v/>
      </c>
      <c r="M950">
        <f>IF($B950="","",IF($N950&lt;&gt;"","Closed",IF(OR($G950&lt;&gt;"",$I950&lt;&gt;"",$J950&lt;&gt;""),"Open","")))</f>
        <v/>
      </c>
      <c r="N950" s="47" t="n"/>
      <c r="O950">
        <f>IF($B950="","",IF($M950="Closed",IF($N950="","",$N950-$B950),TODAY()-$B950))</f>
        <v/>
      </c>
      <c r="P950">
        <f>IF(OR($B950="",$L950="",$M950="Closed"),"",IF(TODAY()&gt;$L950,"YES","NO"))</f>
        <v/>
      </c>
      <c r="Q950">
        <f>Weekly_Inspections!$AW950</f>
        <v/>
      </c>
    </row>
    <row r="951" ht="15" customHeight="1" s="45">
      <c r="A951">
        <f>IF(Weekly_Inspections!$B951="","",Weekly_Inspections!$A951&amp;"-A1")</f>
        <v/>
      </c>
      <c r="B951" s="47">
        <f>Weekly_Inspections!$B951</f>
        <v/>
      </c>
      <c r="C951">
        <f>Weekly_Inspections!$E951</f>
        <v/>
      </c>
      <c r="D951">
        <f>Weekly_Inspections!$F951</f>
        <v/>
      </c>
      <c r="E951">
        <f>Weekly_Inspections!$H951</f>
        <v/>
      </c>
      <c r="F951">
        <f>IF(Weekly_Inspections!$AX951&lt;&gt;"",Weekly_Inspections!$AX951,IF(Weekly_Inspections!$AY951&lt;&gt;"",Weekly_Inspections!$AY951,IF(Weekly_Inspections!$AZ951&lt;&gt;"",Weekly_Inspections!$AZ951,IF(Weekly_Inspections!$BA951&lt;&gt;"",Weekly_Inspections!$BA951,IF(Weekly_Inspections!$BB951&lt;&gt;"",Weekly_Inspections!$BB951,Weekly_Inspections!$R951)))))</f>
        <v/>
      </c>
      <c r="G951">
        <f>IF(OR(Weekly_Inspections!$AQ951&lt;&gt;"",Weekly_Inspections!$AR951&lt;&gt;"",Weekly_Inspections!$AS951&lt;&gt;""),Weekly_Inspections!$AQ951,"")</f>
        <v/>
      </c>
      <c r="H951">
        <f>Weekly_Inspections!$AP951</f>
        <v/>
      </c>
      <c r="I951">
        <f>Weekly_Inspections!$AR951</f>
        <v/>
      </c>
      <c r="J951">
        <f>Weekly_Inspections!$AS951</f>
        <v/>
      </c>
      <c r="K951">
        <f>Weekly_Inspections!$AU951</f>
        <v/>
      </c>
      <c r="L951" s="47">
        <f>Weekly_Inspections!$AV951</f>
        <v/>
      </c>
      <c r="M951">
        <f>IF($B951="","",IF($N951&lt;&gt;"","Closed",IF(OR($G951&lt;&gt;"",$I951&lt;&gt;"",$J951&lt;&gt;""),"Open","")))</f>
        <v/>
      </c>
      <c r="N951" s="47" t="n"/>
      <c r="O951">
        <f>IF($B951="","",IF($M951="Closed",IF($N951="","",$N951-$B951),TODAY()-$B951))</f>
        <v/>
      </c>
      <c r="P951">
        <f>IF(OR($B951="",$L951="",$M951="Closed"),"",IF(TODAY()&gt;$L951,"YES","NO"))</f>
        <v/>
      </c>
      <c r="Q951">
        <f>Weekly_Inspections!$AW951</f>
        <v/>
      </c>
    </row>
    <row r="952" ht="15" customHeight="1" s="45">
      <c r="A952">
        <f>IF(Weekly_Inspections!$B952="","",Weekly_Inspections!$A952&amp;"-A1")</f>
        <v/>
      </c>
      <c r="B952" s="47">
        <f>Weekly_Inspections!$B952</f>
        <v/>
      </c>
      <c r="C952">
        <f>Weekly_Inspections!$E952</f>
        <v/>
      </c>
      <c r="D952">
        <f>Weekly_Inspections!$F952</f>
        <v/>
      </c>
      <c r="E952">
        <f>Weekly_Inspections!$H952</f>
        <v/>
      </c>
      <c r="F952">
        <f>IF(Weekly_Inspections!$AX952&lt;&gt;"",Weekly_Inspections!$AX952,IF(Weekly_Inspections!$AY952&lt;&gt;"",Weekly_Inspections!$AY952,IF(Weekly_Inspections!$AZ952&lt;&gt;"",Weekly_Inspections!$AZ952,IF(Weekly_Inspections!$BA952&lt;&gt;"",Weekly_Inspections!$BA952,IF(Weekly_Inspections!$BB952&lt;&gt;"",Weekly_Inspections!$BB952,Weekly_Inspections!$R952)))))</f>
        <v/>
      </c>
      <c r="G952">
        <f>IF(OR(Weekly_Inspections!$AQ952&lt;&gt;"",Weekly_Inspections!$AR952&lt;&gt;"",Weekly_Inspections!$AS952&lt;&gt;""),Weekly_Inspections!$AQ952,"")</f>
        <v/>
      </c>
      <c r="H952">
        <f>Weekly_Inspections!$AP952</f>
        <v/>
      </c>
      <c r="I952">
        <f>Weekly_Inspections!$AR952</f>
        <v/>
      </c>
      <c r="J952">
        <f>Weekly_Inspections!$AS952</f>
        <v/>
      </c>
      <c r="K952">
        <f>Weekly_Inspections!$AU952</f>
        <v/>
      </c>
      <c r="L952" s="47">
        <f>Weekly_Inspections!$AV952</f>
        <v/>
      </c>
      <c r="M952">
        <f>IF($B952="","",IF($N952&lt;&gt;"","Closed",IF(OR($G952&lt;&gt;"",$I952&lt;&gt;"",$J952&lt;&gt;""),"Open","")))</f>
        <v/>
      </c>
      <c r="N952" s="47" t="n"/>
      <c r="O952">
        <f>IF($B952="","",IF($M952="Closed",IF($N952="","",$N952-$B952),TODAY()-$B952))</f>
        <v/>
      </c>
      <c r="P952">
        <f>IF(OR($B952="",$L952="",$M952="Closed"),"",IF(TODAY()&gt;$L952,"YES","NO"))</f>
        <v/>
      </c>
      <c r="Q952">
        <f>Weekly_Inspections!$AW952</f>
        <v/>
      </c>
    </row>
    <row r="953" ht="15" customHeight="1" s="45">
      <c r="A953">
        <f>IF(Weekly_Inspections!$B953="","",Weekly_Inspections!$A953&amp;"-A1")</f>
        <v/>
      </c>
      <c r="B953" s="47">
        <f>Weekly_Inspections!$B953</f>
        <v/>
      </c>
      <c r="C953">
        <f>Weekly_Inspections!$E953</f>
        <v/>
      </c>
      <c r="D953">
        <f>Weekly_Inspections!$F953</f>
        <v/>
      </c>
      <c r="E953">
        <f>Weekly_Inspections!$H953</f>
        <v/>
      </c>
      <c r="F953">
        <f>IF(Weekly_Inspections!$AX953&lt;&gt;"",Weekly_Inspections!$AX953,IF(Weekly_Inspections!$AY953&lt;&gt;"",Weekly_Inspections!$AY953,IF(Weekly_Inspections!$AZ953&lt;&gt;"",Weekly_Inspections!$AZ953,IF(Weekly_Inspections!$BA953&lt;&gt;"",Weekly_Inspections!$BA953,IF(Weekly_Inspections!$BB953&lt;&gt;"",Weekly_Inspections!$BB953,Weekly_Inspections!$R953)))))</f>
        <v/>
      </c>
      <c r="G953">
        <f>IF(OR(Weekly_Inspections!$AQ953&lt;&gt;"",Weekly_Inspections!$AR953&lt;&gt;"",Weekly_Inspections!$AS953&lt;&gt;""),Weekly_Inspections!$AQ953,"")</f>
        <v/>
      </c>
      <c r="H953">
        <f>Weekly_Inspections!$AP953</f>
        <v/>
      </c>
      <c r="I953">
        <f>Weekly_Inspections!$AR953</f>
        <v/>
      </c>
      <c r="J953">
        <f>Weekly_Inspections!$AS953</f>
        <v/>
      </c>
      <c r="K953">
        <f>Weekly_Inspections!$AU953</f>
        <v/>
      </c>
      <c r="L953" s="47">
        <f>Weekly_Inspections!$AV953</f>
        <v/>
      </c>
      <c r="M953">
        <f>IF($B953="","",IF($N953&lt;&gt;"","Closed",IF(OR($G953&lt;&gt;"",$I953&lt;&gt;"",$J953&lt;&gt;""),"Open","")))</f>
        <v/>
      </c>
      <c r="N953" s="47" t="n"/>
      <c r="O953">
        <f>IF($B953="","",IF($M953="Closed",IF($N953="","",$N953-$B953),TODAY()-$B953))</f>
        <v/>
      </c>
      <c r="P953">
        <f>IF(OR($B953="",$L953="",$M953="Closed"),"",IF(TODAY()&gt;$L953,"YES","NO"))</f>
        <v/>
      </c>
      <c r="Q953">
        <f>Weekly_Inspections!$AW953</f>
        <v/>
      </c>
    </row>
    <row r="954" ht="15" customHeight="1" s="45">
      <c r="A954">
        <f>IF(Weekly_Inspections!$B954="","",Weekly_Inspections!$A954&amp;"-A1")</f>
        <v/>
      </c>
      <c r="B954" s="47">
        <f>Weekly_Inspections!$B954</f>
        <v/>
      </c>
      <c r="C954">
        <f>Weekly_Inspections!$E954</f>
        <v/>
      </c>
      <c r="D954">
        <f>Weekly_Inspections!$F954</f>
        <v/>
      </c>
      <c r="E954">
        <f>Weekly_Inspections!$H954</f>
        <v/>
      </c>
      <c r="F954">
        <f>IF(Weekly_Inspections!$AX954&lt;&gt;"",Weekly_Inspections!$AX954,IF(Weekly_Inspections!$AY954&lt;&gt;"",Weekly_Inspections!$AY954,IF(Weekly_Inspections!$AZ954&lt;&gt;"",Weekly_Inspections!$AZ954,IF(Weekly_Inspections!$BA954&lt;&gt;"",Weekly_Inspections!$BA954,IF(Weekly_Inspections!$BB954&lt;&gt;"",Weekly_Inspections!$BB954,Weekly_Inspections!$R954)))))</f>
        <v/>
      </c>
      <c r="G954">
        <f>IF(OR(Weekly_Inspections!$AQ954&lt;&gt;"",Weekly_Inspections!$AR954&lt;&gt;"",Weekly_Inspections!$AS954&lt;&gt;""),Weekly_Inspections!$AQ954,"")</f>
        <v/>
      </c>
      <c r="H954">
        <f>Weekly_Inspections!$AP954</f>
        <v/>
      </c>
      <c r="I954">
        <f>Weekly_Inspections!$AR954</f>
        <v/>
      </c>
      <c r="J954">
        <f>Weekly_Inspections!$AS954</f>
        <v/>
      </c>
      <c r="K954">
        <f>Weekly_Inspections!$AU954</f>
        <v/>
      </c>
      <c r="L954" s="47">
        <f>Weekly_Inspections!$AV954</f>
        <v/>
      </c>
      <c r="M954">
        <f>IF($B954="","",IF($N954&lt;&gt;"","Closed",IF(OR($G954&lt;&gt;"",$I954&lt;&gt;"",$J954&lt;&gt;""),"Open","")))</f>
        <v/>
      </c>
      <c r="N954" s="47" t="n"/>
      <c r="O954">
        <f>IF($B954="","",IF($M954="Closed",IF($N954="","",$N954-$B954),TODAY()-$B954))</f>
        <v/>
      </c>
      <c r="P954">
        <f>IF(OR($B954="",$L954="",$M954="Closed"),"",IF(TODAY()&gt;$L954,"YES","NO"))</f>
        <v/>
      </c>
      <c r="Q954">
        <f>Weekly_Inspections!$AW954</f>
        <v/>
      </c>
    </row>
    <row r="955" ht="15" customHeight="1" s="45">
      <c r="A955">
        <f>IF(Weekly_Inspections!$B955="","",Weekly_Inspections!$A955&amp;"-A1")</f>
        <v/>
      </c>
      <c r="B955" s="47">
        <f>Weekly_Inspections!$B955</f>
        <v/>
      </c>
      <c r="C955">
        <f>Weekly_Inspections!$E955</f>
        <v/>
      </c>
      <c r="D955">
        <f>Weekly_Inspections!$F955</f>
        <v/>
      </c>
      <c r="E955">
        <f>Weekly_Inspections!$H955</f>
        <v/>
      </c>
      <c r="F955">
        <f>IF(Weekly_Inspections!$AX955&lt;&gt;"",Weekly_Inspections!$AX955,IF(Weekly_Inspections!$AY955&lt;&gt;"",Weekly_Inspections!$AY955,IF(Weekly_Inspections!$AZ955&lt;&gt;"",Weekly_Inspections!$AZ955,IF(Weekly_Inspections!$BA955&lt;&gt;"",Weekly_Inspections!$BA955,IF(Weekly_Inspections!$BB955&lt;&gt;"",Weekly_Inspections!$BB955,Weekly_Inspections!$R955)))))</f>
        <v/>
      </c>
      <c r="G955">
        <f>IF(OR(Weekly_Inspections!$AQ955&lt;&gt;"",Weekly_Inspections!$AR955&lt;&gt;"",Weekly_Inspections!$AS955&lt;&gt;""),Weekly_Inspections!$AQ955,"")</f>
        <v/>
      </c>
      <c r="H955">
        <f>Weekly_Inspections!$AP955</f>
        <v/>
      </c>
      <c r="I955">
        <f>Weekly_Inspections!$AR955</f>
        <v/>
      </c>
      <c r="J955">
        <f>Weekly_Inspections!$AS955</f>
        <v/>
      </c>
      <c r="K955">
        <f>Weekly_Inspections!$AU955</f>
        <v/>
      </c>
      <c r="L955" s="47">
        <f>Weekly_Inspections!$AV955</f>
        <v/>
      </c>
      <c r="M955">
        <f>IF($B955="","",IF($N955&lt;&gt;"","Closed",IF(OR($G955&lt;&gt;"",$I955&lt;&gt;"",$J955&lt;&gt;""),"Open","")))</f>
        <v/>
      </c>
      <c r="N955" s="47" t="n"/>
      <c r="O955">
        <f>IF($B955="","",IF($M955="Closed",IF($N955="","",$N955-$B955),TODAY()-$B955))</f>
        <v/>
      </c>
      <c r="P955">
        <f>IF(OR($B955="",$L955="",$M955="Closed"),"",IF(TODAY()&gt;$L955,"YES","NO"))</f>
        <v/>
      </c>
      <c r="Q955">
        <f>Weekly_Inspections!$AW955</f>
        <v/>
      </c>
    </row>
    <row r="956" ht="15" customHeight="1" s="45">
      <c r="A956">
        <f>IF(Weekly_Inspections!$B956="","",Weekly_Inspections!$A956&amp;"-A1")</f>
        <v/>
      </c>
      <c r="B956" s="47">
        <f>Weekly_Inspections!$B956</f>
        <v/>
      </c>
      <c r="C956">
        <f>Weekly_Inspections!$E956</f>
        <v/>
      </c>
      <c r="D956">
        <f>Weekly_Inspections!$F956</f>
        <v/>
      </c>
      <c r="E956">
        <f>Weekly_Inspections!$H956</f>
        <v/>
      </c>
      <c r="F956">
        <f>IF(Weekly_Inspections!$AX956&lt;&gt;"",Weekly_Inspections!$AX956,IF(Weekly_Inspections!$AY956&lt;&gt;"",Weekly_Inspections!$AY956,IF(Weekly_Inspections!$AZ956&lt;&gt;"",Weekly_Inspections!$AZ956,IF(Weekly_Inspections!$BA956&lt;&gt;"",Weekly_Inspections!$BA956,IF(Weekly_Inspections!$BB956&lt;&gt;"",Weekly_Inspections!$BB956,Weekly_Inspections!$R956)))))</f>
        <v/>
      </c>
      <c r="G956">
        <f>IF(OR(Weekly_Inspections!$AQ956&lt;&gt;"",Weekly_Inspections!$AR956&lt;&gt;"",Weekly_Inspections!$AS956&lt;&gt;""),Weekly_Inspections!$AQ956,"")</f>
        <v/>
      </c>
      <c r="H956">
        <f>Weekly_Inspections!$AP956</f>
        <v/>
      </c>
      <c r="I956">
        <f>Weekly_Inspections!$AR956</f>
        <v/>
      </c>
      <c r="J956">
        <f>Weekly_Inspections!$AS956</f>
        <v/>
      </c>
      <c r="K956">
        <f>Weekly_Inspections!$AU956</f>
        <v/>
      </c>
      <c r="L956" s="47">
        <f>Weekly_Inspections!$AV956</f>
        <v/>
      </c>
      <c r="M956">
        <f>IF($B956="","",IF($N956&lt;&gt;"","Closed",IF(OR($G956&lt;&gt;"",$I956&lt;&gt;"",$J956&lt;&gt;""),"Open","")))</f>
        <v/>
      </c>
      <c r="N956" s="47" t="n"/>
      <c r="O956">
        <f>IF($B956="","",IF($M956="Closed",IF($N956="","",$N956-$B956),TODAY()-$B956))</f>
        <v/>
      </c>
      <c r="P956">
        <f>IF(OR($B956="",$L956="",$M956="Closed"),"",IF(TODAY()&gt;$L956,"YES","NO"))</f>
        <v/>
      </c>
      <c r="Q956">
        <f>Weekly_Inspections!$AW956</f>
        <v/>
      </c>
    </row>
    <row r="957" ht="15" customHeight="1" s="45">
      <c r="A957">
        <f>IF(Weekly_Inspections!$B957="","",Weekly_Inspections!$A957&amp;"-A1")</f>
        <v/>
      </c>
      <c r="B957" s="47">
        <f>Weekly_Inspections!$B957</f>
        <v/>
      </c>
      <c r="C957">
        <f>Weekly_Inspections!$E957</f>
        <v/>
      </c>
      <c r="D957">
        <f>Weekly_Inspections!$F957</f>
        <v/>
      </c>
      <c r="E957">
        <f>Weekly_Inspections!$H957</f>
        <v/>
      </c>
      <c r="F957">
        <f>IF(Weekly_Inspections!$AX957&lt;&gt;"",Weekly_Inspections!$AX957,IF(Weekly_Inspections!$AY957&lt;&gt;"",Weekly_Inspections!$AY957,IF(Weekly_Inspections!$AZ957&lt;&gt;"",Weekly_Inspections!$AZ957,IF(Weekly_Inspections!$BA957&lt;&gt;"",Weekly_Inspections!$BA957,IF(Weekly_Inspections!$BB957&lt;&gt;"",Weekly_Inspections!$BB957,Weekly_Inspections!$R957)))))</f>
        <v/>
      </c>
      <c r="G957">
        <f>IF(OR(Weekly_Inspections!$AQ957&lt;&gt;"",Weekly_Inspections!$AR957&lt;&gt;"",Weekly_Inspections!$AS957&lt;&gt;""),Weekly_Inspections!$AQ957,"")</f>
        <v/>
      </c>
      <c r="H957">
        <f>Weekly_Inspections!$AP957</f>
        <v/>
      </c>
      <c r="I957">
        <f>Weekly_Inspections!$AR957</f>
        <v/>
      </c>
      <c r="J957">
        <f>Weekly_Inspections!$AS957</f>
        <v/>
      </c>
      <c r="K957">
        <f>Weekly_Inspections!$AU957</f>
        <v/>
      </c>
      <c r="L957" s="47">
        <f>Weekly_Inspections!$AV957</f>
        <v/>
      </c>
      <c r="M957">
        <f>IF($B957="","",IF($N957&lt;&gt;"","Closed",IF(OR($G957&lt;&gt;"",$I957&lt;&gt;"",$J957&lt;&gt;""),"Open","")))</f>
        <v/>
      </c>
      <c r="N957" s="47" t="n"/>
      <c r="O957">
        <f>IF($B957="","",IF($M957="Closed",IF($N957="","",$N957-$B957),TODAY()-$B957))</f>
        <v/>
      </c>
      <c r="P957">
        <f>IF(OR($B957="",$L957="",$M957="Closed"),"",IF(TODAY()&gt;$L957,"YES","NO"))</f>
        <v/>
      </c>
      <c r="Q957">
        <f>Weekly_Inspections!$AW957</f>
        <v/>
      </c>
    </row>
    <row r="958" ht="15" customHeight="1" s="45">
      <c r="A958">
        <f>IF(Weekly_Inspections!$B958="","",Weekly_Inspections!$A958&amp;"-A1")</f>
        <v/>
      </c>
      <c r="B958" s="47">
        <f>Weekly_Inspections!$B958</f>
        <v/>
      </c>
      <c r="C958">
        <f>Weekly_Inspections!$E958</f>
        <v/>
      </c>
      <c r="D958">
        <f>Weekly_Inspections!$F958</f>
        <v/>
      </c>
      <c r="E958">
        <f>Weekly_Inspections!$H958</f>
        <v/>
      </c>
      <c r="F958">
        <f>IF(Weekly_Inspections!$AX958&lt;&gt;"",Weekly_Inspections!$AX958,IF(Weekly_Inspections!$AY958&lt;&gt;"",Weekly_Inspections!$AY958,IF(Weekly_Inspections!$AZ958&lt;&gt;"",Weekly_Inspections!$AZ958,IF(Weekly_Inspections!$BA958&lt;&gt;"",Weekly_Inspections!$BA958,IF(Weekly_Inspections!$BB958&lt;&gt;"",Weekly_Inspections!$BB958,Weekly_Inspections!$R958)))))</f>
        <v/>
      </c>
      <c r="G958">
        <f>IF(OR(Weekly_Inspections!$AQ958&lt;&gt;"",Weekly_Inspections!$AR958&lt;&gt;"",Weekly_Inspections!$AS958&lt;&gt;""),Weekly_Inspections!$AQ958,"")</f>
        <v/>
      </c>
      <c r="H958">
        <f>Weekly_Inspections!$AP958</f>
        <v/>
      </c>
      <c r="I958">
        <f>Weekly_Inspections!$AR958</f>
        <v/>
      </c>
      <c r="J958">
        <f>Weekly_Inspections!$AS958</f>
        <v/>
      </c>
      <c r="K958">
        <f>Weekly_Inspections!$AU958</f>
        <v/>
      </c>
      <c r="L958" s="47">
        <f>Weekly_Inspections!$AV958</f>
        <v/>
      </c>
      <c r="M958">
        <f>IF($B958="","",IF($N958&lt;&gt;"","Closed",IF(OR($G958&lt;&gt;"",$I958&lt;&gt;"",$J958&lt;&gt;""),"Open","")))</f>
        <v/>
      </c>
      <c r="N958" s="47" t="n"/>
      <c r="O958">
        <f>IF($B958="","",IF($M958="Closed",IF($N958="","",$N958-$B958),TODAY()-$B958))</f>
        <v/>
      </c>
      <c r="P958">
        <f>IF(OR($B958="",$L958="",$M958="Closed"),"",IF(TODAY()&gt;$L958,"YES","NO"))</f>
        <v/>
      </c>
      <c r="Q958">
        <f>Weekly_Inspections!$AW958</f>
        <v/>
      </c>
    </row>
    <row r="959" ht="15" customHeight="1" s="45">
      <c r="A959">
        <f>IF(Weekly_Inspections!$B959="","",Weekly_Inspections!$A959&amp;"-A1")</f>
        <v/>
      </c>
      <c r="B959" s="47">
        <f>Weekly_Inspections!$B959</f>
        <v/>
      </c>
      <c r="C959">
        <f>Weekly_Inspections!$E959</f>
        <v/>
      </c>
      <c r="D959">
        <f>Weekly_Inspections!$F959</f>
        <v/>
      </c>
      <c r="E959">
        <f>Weekly_Inspections!$H959</f>
        <v/>
      </c>
      <c r="F959">
        <f>IF(Weekly_Inspections!$AX959&lt;&gt;"",Weekly_Inspections!$AX959,IF(Weekly_Inspections!$AY959&lt;&gt;"",Weekly_Inspections!$AY959,IF(Weekly_Inspections!$AZ959&lt;&gt;"",Weekly_Inspections!$AZ959,IF(Weekly_Inspections!$BA959&lt;&gt;"",Weekly_Inspections!$BA959,IF(Weekly_Inspections!$BB959&lt;&gt;"",Weekly_Inspections!$BB959,Weekly_Inspections!$R959)))))</f>
        <v/>
      </c>
      <c r="G959">
        <f>IF(OR(Weekly_Inspections!$AQ959&lt;&gt;"",Weekly_Inspections!$AR959&lt;&gt;"",Weekly_Inspections!$AS959&lt;&gt;""),Weekly_Inspections!$AQ959,"")</f>
        <v/>
      </c>
      <c r="H959">
        <f>Weekly_Inspections!$AP959</f>
        <v/>
      </c>
      <c r="I959">
        <f>Weekly_Inspections!$AR959</f>
        <v/>
      </c>
      <c r="J959">
        <f>Weekly_Inspections!$AS959</f>
        <v/>
      </c>
      <c r="K959">
        <f>Weekly_Inspections!$AU959</f>
        <v/>
      </c>
      <c r="L959" s="47">
        <f>Weekly_Inspections!$AV959</f>
        <v/>
      </c>
      <c r="M959">
        <f>IF($B959="","",IF($N959&lt;&gt;"","Closed",IF(OR($G959&lt;&gt;"",$I959&lt;&gt;"",$J959&lt;&gt;""),"Open","")))</f>
        <v/>
      </c>
      <c r="N959" s="47" t="n"/>
      <c r="O959">
        <f>IF($B959="","",IF($M959="Closed",IF($N959="","",$N959-$B959),TODAY()-$B959))</f>
        <v/>
      </c>
      <c r="P959">
        <f>IF(OR($B959="",$L959="",$M959="Closed"),"",IF(TODAY()&gt;$L959,"YES","NO"))</f>
        <v/>
      </c>
      <c r="Q959">
        <f>Weekly_Inspections!$AW959</f>
        <v/>
      </c>
    </row>
    <row r="960" ht="15" customHeight="1" s="45">
      <c r="A960">
        <f>IF(Weekly_Inspections!$B960="","",Weekly_Inspections!$A960&amp;"-A1")</f>
        <v/>
      </c>
      <c r="B960" s="47">
        <f>Weekly_Inspections!$B960</f>
        <v/>
      </c>
      <c r="C960">
        <f>Weekly_Inspections!$E960</f>
        <v/>
      </c>
      <c r="D960">
        <f>Weekly_Inspections!$F960</f>
        <v/>
      </c>
      <c r="E960">
        <f>Weekly_Inspections!$H960</f>
        <v/>
      </c>
      <c r="F960">
        <f>IF(Weekly_Inspections!$AX960&lt;&gt;"",Weekly_Inspections!$AX960,IF(Weekly_Inspections!$AY960&lt;&gt;"",Weekly_Inspections!$AY960,IF(Weekly_Inspections!$AZ960&lt;&gt;"",Weekly_Inspections!$AZ960,IF(Weekly_Inspections!$BA960&lt;&gt;"",Weekly_Inspections!$BA960,IF(Weekly_Inspections!$BB960&lt;&gt;"",Weekly_Inspections!$BB960,Weekly_Inspections!$R960)))))</f>
        <v/>
      </c>
      <c r="G960">
        <f>IF(OR(Weekly_Inspections!$AQ960&lt;&gt;"",Weekly_Inspections!$AR960&lt;&gt;"",Weekly_Inspections!$AS960&lt;&gt;""),Weekly_Inspections!$AQ960,"")</f>
        <v/>
      </c>
      <c r="H960">
        <f>Weekly_Inspections!$AP960</f>
        <v/>
      </c>
      <c r="I960">
        <f>Weekly_Inspections!$AR960</f>
        <v/>
      </c>
      <c r="J960">
        <f>Weekly_Inspections!$AS960</f>
        <v/>
      </c>
      <c r="K960">
        <f>Weekly_Inspections!$AU960</f>
        <v/>
      </c>
      <c r="L960" s="47">
        <f>Weekly_Inspections!$AV960</f>
        <v/>
      </c>
      <c r="M960">
        <f>IF($B960="","",IF($N960&lt;&gt;"","Closed",IF(OR($G960&lt;&gt;"",$I960&lt;&gt;"",$J960&lt;&gt;""),"Open","")))</f>
        <v/>
      </c>
      <c r="N960" s="47" t="n"/>
      <c r="O960">
        <f>IF($B960="","",IF($M960="Closed",IF($N960="","",$N960-$B960),TODAY()-$B960))</f>
        <v/>
      </c>
      <c r="P960">
        <f>IF(OR($B960="",$L960="",$M960="Closed"),"",IF(TODAY()&gt;$L960,"YES","NO"))</f>
        <v/>
      </c>
      <c r="Q960">
        <f>Weekly_Inspections!$AW960</f>
        <v/>
      </c>
    </row>
    <row r="961" ht="15" customHeight="1" s="45">
      <c r="A961">
        <f>IF(Weekly_Inspections!$B961="","",Weekly_Inspections!$A961&amp;"-A1")</f>
        <v/>
      </c>
      <c r="B961" s="47">
        <f>Weekly_Inspections!$B961</f>
        <v/>
      </c>
      <c r="C961">
        <f>Weekly_Inspections!$E961</f>
        <v/>
      </c>
      <c r="D961">
        <f>Weekly_Inspections!$F961</f>
        <v/>
      </c>
      <c r="E961">
        <f>Weekly_Inspections!$H961</f>
        <v/>
      </c>
      <c r="F961">
        <f>IF(Weekly_Inspections!$AX961&lt;&gt;"",Weekly_Inspections!$AX961,IF(Weekly_Inspections!$AY961&lt;&gt;"",Weekly_Inspections!$AY961,IF(Weekly_Inspections!$AZ961&lt;&gt;"",Weekly_Inspections!$AZ961,IF(Weekly_Inspections!$BA961&lt;&gt;"",Weekly_Inspections!$BA961,IF(Weekly_Inspections!$BB961&lt;&gt;"",Weekly_Inspections!$BB961,Weekly_Inspections!$R961)))))</f>
        <v/>
      </c>
      <c r="G961">
        <f>IF(OR(Weekly_Inspections!$AQ961&lt;&gt;"",Weekly_Inspections!$AR961&lt;&gt;"",Weekly_Inspections!$AS961&lt;&gt;""),Weekly_Inspections!$AQ961,"")</f>
        <v/>
      </c>
      <c r="H961">
        <f>Weekly_Inspections!$AP961</f>
        <v/>
      </c>
      <c r="I961">
        <f>Weekly_Inspections!$AR961</f>
        <v/>
      </c>
      <c r="J961">
        <f>Weekly_Inspections!$AS961</f>
        <v/>
      </c>
      <c r="K961">
        <f>Weekly_Inspections!$AU961</f>
        <v/>
      </c>
      <c r="L961" s="47">
        <f>Weekly_Inspections!$AV961</f>
        <v/>
      </c>
      <c r="M961">
        <f>IF($B961="","",IF($N961&lt;&gt;"","Closed",IF(OR($G961&lt;&gt;"",$I961&lt;&gt;"",$J961&lt;&gt;""),"Open","")))</f>
        <v/>
      </c>
      <c r="N961" s="47" t="n"/>
      <c r="O961">
        <f>IF($B961="","",IF($M961="Closed",IF($N961="","",$N961-$B961),TODAY()-$B961))</f>
        <v/>
      </c>
      <c r="P961">
        <f>IF(OR($B961="",$L961="",$M961="Closed"),"",IF(TODAY()&gt;$L961,"YES","NO"))</f>
        <v/>
      </c>
      <c r="Q961">
        <f>Weekly_Inspections!$AW961</f>
        <v/>
      </c>
    </row>
    <row r="962" ht="15" customHeight="1" s="45">
      <c r="A962">
        <f>IF(Weekly_Inspections!$B962="","",Weekly_Inspections!$A962&amp;"-A1")</f>
        <v/>
      </c>
      <c r="B962" s="47">
        <f>Weekly_Inspections!$B962</f>
        <v/>
      </c>
      <c r="C962">
        <f>Weekly_Inspections!$E962</f>
        <v/>
      </c>
      <c r="D962">
        <f>Weekly_Inspections!$F962</f>
        <v/>
      </c>
      <c r="E962">
        <f>Weekly_Inspections!$H962</f>
        <v/>
      </c>
      <c r="F962">
        <f>IF(Weekly_Inspections!$AX962&lt;&gt;"",Weekly_Inspections!$AX962,IF(Weekly_Inspections!$AY962&lt;&gt;"",Weekly_Inspections!$AY962,IF(Weekly_Inspections!$AZ962&lt;&gt;"",Weekly_Inspections!$AZ962,IF(Weekly_Inspections!$BA962&lt;&gt;"",Weekly_Inspections!$BA962,IF(Weekly_Inspections!$BB962&lt;&gt;"",Weekly_Inspections!$BB962,Weekly_Inspections!$R962)))))</f>
        <v/>
      </c>
      <c r="G962">
        <f>IF(OR(Weekly_Inspections!$AQ962&lt;&gt;"",Weekly_Inspections!$AR962&lt;&gt;"",Weekly_Inspections!$AS962&lt;&gt;""),Weekly_Inspections!$AQ962,"")</f>
        <v/>
      </c>
      <c r="H962">
        <f>Weekly_Inspections!$AP962</f>
        <v/>
      </c>
      <c r="I962">
        <f>Weekly_Inspections!$AR962</f>
        <v/>
      </c>
      <c r="J962">
        <f>Weekly_Inspections!$AS962</f>
        <v/>
      </c>
      <c r="K962">
        <f>Weekly_Inspections!$AU962</f>
        <v/>
      </c>
      <c r="L962" s="47">
        <f>Weekly_Inspections!$AV962</f>
        <v/>
      </c>
      <c r="M962">
        <f>IF($B962="","",IF($N962&lt;&gt;"","Closed",IF(OR($G962&lt;&gt;"",$I962&lt;&gt;"",$J962&lt;&gt;""),"Open","")))</f>
        <v/>
      </c>
      <c r="N962" s="47" t="n"/>
      <c r="O962">
        <f>IF($B962="","",IF($M962="Closed",IF($N962="","",$N962-$B962),TODAY()-$B962))</f>
        <v/>
      </c>
      <c r="P962">
        <f>IF(OR($B962="",$L962="",$M962="Closed"),"",IF(TODAY()&gt;$L962,"YES","NO"))</f>
        <v/>
      </c>
      <c r="Q962">
        <f>Weekly_Inspections!$AW962</f>
        <v/>
      </c>
    </row>
    <row r="963" ht="15" customHeight="1" s="45">
      <c r="A963">
        <f>IF(Weekly_Inspections!$B963="","",Weekly_Inspections!$A963&amp;"-A1")</f>
        <v/>
      </c>
      <c r="B963" s="47">
        <f>Weekly_Inspections!$B963</f>
        <v/>
      </c>
      <c r="C963">
        <f>Weekly_Inspections!$E963</f>
        <v/>
      </c>
      <c r="D963">
        <f>Weekly_Inspections!$F963</f>
        <v/>
      </c>
      <c r="E963">
        <f>Weekly_Inspections!$H963</f>
        <v/>
      </c>
      <c r="F963">
        <f>IF(Weekly_Inspections!$AX963&lt;&gt;"",Weekly_Inspections!$AX963,IF(Weekly_Inspections!$AY963&lt;&gt;"",Weekly_Inspections!$AY963,IF(Weekly_Inspections!$AZ963&lt;&gt;"",Weekly_Inspections!$AZ963,IF(Weekly_Inspections!$BA963&lt;&gt;"",Weekly_Inspections!$BA963,IF(Weekly_Inspections!$BB963&lt;&gt;"",Weekly_Inspections!$BB963,Weekly_Inspections!$R963)))))</f>
        <v/>
      </c>
      <c r="G963">
        <f>IF(OR(Weekly_Inspections!$AQ963&lt;&gt;"",Weekly_Inspections!$AR963&lt;&gt;"",Weekly_Inspections!$AS963&lt;&gt;""),Weekly_Inspections!$AQ963,"")</f>
        <v/>
      </c>
      <c r="H963">
        <f>Weekly_Inspections!$AP963</f>
        <v/>
      </c>
      <c r="I963">
        <f>Weekly_Inspections!$AR963</f>
        <v/>
      </c>
      <c r="J963">
        <f>Weekly_Inspections!$AS963</f>
        <v/>
      </c>
      <c r="K963">
        <f>Weekly_Inspections!$AU963</f>
        <v/>
      </c>
      <c r="L963" s="47">
        <f>Weekly_Inspections!$AV963</f>
        <v/>
      </c>
      <c r="M963">
        <f>IF($B963="","",IF($N963&lt;&gt;"","Closed",IF(OR($G963&lt;&gt;"",$I963&lt;&gt;"",$J963&lt;&gt;""),"Open","")))</f>
        <v/>
      </c>
      <c r="N963" s="47" t="n"/>
      <c r="O963">
        <f>IF($B963="","",IF($M963="Closed",IF($N963="","",$N963-$B963),TODAY()-$B963))</f>
        <v/>
      </c>
      <c r="P963">
        <f>IF(OR($B963="",$L963="",$M963="Closed"),"",IF(TODAY()&gt;$L963,"YES","NO"))</f>
        <v/>
      </c>
      <c r="Q963">
        <f>Weekly_Inspections!$AW963</f>
        <v/>
      </c>
    </row>
    <row r="964" ht="15" customHeight="1" s="45">
      <c r="A964">
        <f>IF(Weekly_Inspections!$B964="","",Weekly_Inspections!$A964&amp;"-A1")</f>
        <v/>
      </c>
      <c r="B964" s="47">
        <f>Weekly_Inspections!$B964</f>
        <v/>
      </c>
      <c r="C964">
        <f>Weekly_Inspections!$E964</f>
        <v/>
      </c>
      <c r="D964">
        <f>Weekly_Inspections!$F964</f>
        <v/>
      </c>
      <c r="E964">
        <f>Weekly_Inspections!$H964</f>
        <v/>
      </c>
      <c r="F964">
        <f>IF(Weekly_Inspections!$AX964&lt;&gt;"",Weekly_Inspections!$AX964,IF(Weekly_Inspections!$AY964&lt;&gt;"",Weekly_Inspections!$AY964,IF(Weekly_Inspections!$AZ964&lt;&gt;"",Weekly_Inspections!$AZ964,IF(Weekly_Inspections!$BA964&lt;&gt;"",Weekly_Inspections!$BA964,IF(Weekly_Inspections!$BB964&lt;&gt;"",Weekly_Inspections!$BB964,Weekly_Inspections!$R964)))))</f>
        <v/>
      </c>
      <c r="G964">
        <f>IF(OR(Weekly_Inspections!$AQ964&lt;&gt;"",Weekly_Inspections!$AR964&lt;&gt;"",Weekly_Inspections!$AS964&lt;&gt;""),Weekly_Inspections!$AQ964,"")</f>
        <v/>
      </c>
      <c r="H964">
        <f>Weekly_Inspections!$AP964</f>
        <v/>
      </c>
      <c r="I964">
        <f>Weekly_Inspections!$AR964</f>
        <v/>
      </c>
      <c r="J964">
        <f>Weekly_Inspections!$AS964</f>
        <v/>
      </c>
      <c r="K964">
        <f>Weekly_Inspections!$AU964</f>
        <v/>
      </c>
      <c r="L964" s="47">
        <f>Weekly_Inspections!$AV964</f>
        <v/>
      </c>
      <c r="M964">
        <f>IF($B964="","",IF($N964&lt;&gt;"","Closed",IF(OR($G964&lt;&gt;"",$I964&lt;&gt;"",$J964&lt;&gt;""),"Open","")))</f>
        <v/>
      </c>
      <c r="N964" s="47" t="n"/>
      <c r="O964">
        <f>IF($B964="","",IF($M964="Closed",IF($N964="","",$N964-$B964),TODAY()-$B964))</f>
        <v/>
      </c>
      <c r="P964">
        <f>IF(OR($B964="",$L964="",$M964="Closed"),"",IF(TODAY()&gt;$L964,"YES","NO"))</f>
        <v/>
      </c>
      <c r="Q964">
        <f>Weekly_Inspections!$AW964</f>
        <v/>
      </c>
    </row>
    <row r="965" ht="15" customHeight="1" s="45">
      <c r="A965">
        <f>IF(Weekly_Inspections!$B965="","",Weekly_Inspections!$A965&amp;"-A1")</f>
        <v/>
      </c>
      <c r="B965" s="47">
        <f>Weekly_Inspections!$B965</f>
        <v/>
      </c>
      <c r="C965">
        <f>Weekly_Inspections!$E965</f>
        <v/>
      </c>
      <c r="D965">
        <f>Weekly_Inspections!$F965</f>
        <v/>
      </c>
      <c r="E965">
        <f>Weekly_Inspections!$H965</f>
        <v/>
      </c>
      <c r="F965">
        <f>IF(Weekly_Inspections!$AX965&lt;&gt;"",Weekly_Inspections!$AX965,IF(Weekly_Inspections!$AY965&lt;&gt;"",Weekly_Inspections!$AY965,IF(Weekly_Inspections!$AZ965&lt;&gt;"",Weekly_Inspections!$AZ965,IF(Weekly_Inspections!$BA965&lt;&gt;"",Weekly_Inspections!$BA965,IF(Weekly_Inspections!$BB965&lt;&gt;"",Weekly_Inspections!$BB965,Weekly_Inspections!$R965)))))</f>
        <v/>
      </c>
      <c r="G965">
        <f>IF(OR(Weekly_Inspections!$AQ965&lt;&gt;"",Weekly_Inspections!$AR965&lt;&gt;"",Weekly_Inspections!$AS965&lt;&gt;""),Weekly_Inspections!$AQ965,"")</f>
        <v/>
      </c>
      <c r="H965">
        <f>Weekly_Inspections!$AP965</f>
        <v/>
      </c>
      <c r="I965">
        <f>Weekly_Inspections!$AR965</f>
        <v/>
      </c>
      <c r="J965">
        <f>Weekly_Inspections!$AS965</f>
        <v/>
      </c>
      <c r="K965">
        <f>Weekly_Inspections!$AU965</f>
        <v/>
      </c>
      <c r="L965" s="47">
        <f>Weekly_Inspections!$AV965</f>
        <v/>
      </c>
      <c r="M965">
        <f>IF($B965="","",IF($N965&lt;&gt;"","Closed",IF(OR($G965&lt;&gt;"",$I965&lt;&gt;"",$J965&lt;&gt;""),"Open","")))</f>
        <v/>
      </c>
      <c r="N965" s="47" t="n"/>
      <c r="O965">
        <f>IF($B965="","",IF($M965="Closed",IF($N965="","",$N965-$B965),TODAY()-$B965))</f>
        <v/>
      </c>
      <c r="P965">
        <f>IF(OR($B965="",$L965="",$M965="Closed"),"",IF(TODAY()&gt;$L965,"YES","NO"))</f>
        <v/>
      </c>
      <c r="Q965">
        <f>Weekly_Inspections!$AW965</f>
        <v/>
      </c>
    </row>
    <row r="966" ht="15" customHeight="1" s="45">
      <c r="A966">
        <f>IF(Weekly_Inspections!$B966="","",Weekly_Inspections!$A966&amp;"-A1")</f>
        <v/>
      </c>
      <c r="B966" s="47">
        <f>Weekly_Inspections!$B966</f>
        <v/>
      </c>
      <c r="C966">
        <f>Weekly_Inspections!$E966</f>
        <v/>
      </c>
      <c r="D966">
        <f>Weekly_Inspections!$F966</f>
        <v/>
      </c>
      <c r="E966">
        <f>Weekly_Inspections!$H966</f>
        <v/>
      </c>
      <c r="F966">
        <f>IF(Weekly_Inspections!$AX966&lt;&gt;"",Weekly_Inspections!$AX966,IF(Weekly_Inspections!$AY966&lt;&gt;"",Weekly_Inspections!$AY966,IF(Weekly_Inspections!$AZ966&lt;&gt;"",Weekly_Inspections!$AZ966,IF(Weekly_Inspections!$BA966&lt;&gt;"",Weekly_Inspections!$BA966,IF(Weekly_Inspections!$BB966&lt;&gt;"",Weekly_Inspections!$BB966,Weekly_Inspections!$R966)))))</f>
        <v/>
      </c>
      <c r="G966">
        <f>IF(OR(Weekly_Inspections!$AQ966&lt;&gt;"",Weekly_Inspections!$AR966&lt;&gt;"",Weekly_Inspections!$AS966&lt;&gt;""),Weekly_Inspections!$AQ966,"")</f>
        <v/>
      </c>
      <c r="H966">
        <f>Weekly_Inspections!$AP966</f>
        <v/>
      </c>
      <c r="I966">
        <f>Weekly_Inspections!$AR966</f>
        <v/>
      </c>
      <c r="J966">
        <f>Weekly_Inspections!$AS966</f>
        <v/>
      </c>
      <c r="K966">
        <f>Weekly_Inspections!$AU966</f>
        <v/>
      </c>
      <c r="L966" s="47">
        <f>Weekly_Inspections!$AV966</f>
        <v/>
      </c>
      <c r="M966">
        <f>IF($B966="","",IF($N966&lt;&gt;"","Closed",IF(OR($G966&lt;&gt;"",$I966&lt;&gt;"",$J966&lt;&gt;""),"Open","")))</f>
        <v/>
      </c>
      <c r="N966" s="47" t="n"/>
      <c r="O966">
        <f>IF($B966="","",IF($M966="Closed",IF($N966="","",$N966-$B966),TODAY()-$B966))</f>
        <v/>
      </c>
      <c r="P966">
        <f>IF(OR($B966="",$L966="",$M966="Closed"),"",IF(TODAY()&gt;$L966,"YES","NO"))</f>
        <v/>
      </c>
      <c r="Q966">
        <f>Weekly_Inspections!$AW966</f>
        <v/>
      </c>
    </row>
    <row r="967" ht="15" customHeight="1" s="45">
      <c r="A967">
        <f>IF(Weekly_Inspections!$B967="","",Weekly_Inspections!$A967&amp;"-A1")</f>
        <v/>
      </c>
      <c r="B967" s="47">
        <f>Weekly_Inspections!$B967</f>
        <v/>
      </c>
      <c r="C967">
        <f>Weekly_Inspections!$E967</f>
        <v/>
      </c>
      <c r="D967">
        <f>Weekly_Inspections!$F967</f>
        <v/>
      </c>
      <c r="E967">
        <f>Weekly_Inspections!$H967</f>
        <v/>
      </c>
      <c r="F967">
        <f>IF(Weekly_Inspections!$AX967&lt;&gt;"",Weekly_Inspections!$AX967,IF(Weekly_Inspections!$AY967&lt;&gt;"",Weekly_Inspections!$AY967,IF(Weekly_Inspections!$AZ967&lt;&gt;"",Weekly_Inspections!$AZ967,IF(Weekly_Inspections!$BA967&lt;&gt;"",Weekly_Inspections!$BA967,IF(Weekly_Inspections!$BB967&lt;&gt;"",Weekly_Inspections!$BB967,Weekly_Inspections!$R967)))))</f>
        <v/>
      </c>
      <c r="G967">
        <f>IF(OR(Weekly_Inspections!$AQ967&lt;&gt;"",Weekly_Inspections!$AR967&lt;&gt;"",Weekly_Inspections!$AS967&lt;&gt;""),Weekly_Inspections!$AQ967,"")</f>
        <v/>
      </c>
      <c r="H967">
        <f>Weekly_Inspections!$AP967</f>
        <v/>
      </c>
      <c r="I967">
        <f>Weekly_Inspections!$AR967</f>
        <v/>
      </c>
      <c r="J967">
        <f>Weekly_Inspections!$AS967</f>
        <v/>
      </c>
      <c r="K967">
        <f>Weekly_Inspections!$AU967</f>
        <v/>
      </c>
      <c r="L967" s="47">
        <f>Weekly_Inspections!$AV967</f>
        <v/>
      </c>
      <c r="M967">
        <f>IF($B967="","",IF($N967&lt;&gt;"","Closed",IF(OR($G967&lt;&gt;"",$I967&lt;&gt;"",$J967&lt;&gt;""),"Open","")))</f>
        <v/>
      </c>
      <c r="N967" s="47" t="n"/>
      <c r="O967">
        <f>IF($B967="","",IF($M967="Closed",IF($N967="","",$N967-$B967),TODAY()-$B967))</f>
        <v/>
      </c>
      <c r="P967">
        <f>IF(OR($B967="",$L967="",$M967="Closed"),"",IF(TODAY()&gt;$L967,"YES","NO"))</f>
        <v/>
      </c>
      <c r="Q967">
        <f>Weekly_Inspections!$AW967</f>
        <v/>
      </c>
    </row>
    <row r="968" ht="15" customHeight="1" s="45">
      <c r="A968">
        <f>IF(Weekly_Inspections!$B968="","",Weekly_Inspections!$A968&amp;"-A1")</f>
        <v/>
      </c>
      <c r="B968" s="47">
        <f>Weekly_Inspections!$B968</f>
        <v/>
      </c>
      <c r="C968">
        <f>Weekly_Inspections!$E968</f>
        <v/>
      </c>
      <c r="D968">
        <f>Weekly_Inspections!$F968</f>
        <v/>
      </c>
      <c r="E968">
        <f>Weekly_Inspections!$H968</f>
        <v/>
      </c>
      <c r="F968">
        <f>IF(Weekly_Inspections!$AX968&lt;&gt;"",Weekly_Inspections!$AX968,IF(Weekly_Inspections!$AY968&lt;&gt;"",Weekly_Inspections!$AY968,IF(Weekly_Inspections!$AZ968&lt;&gt;"",Weekly_Inspections!$AZ968,IF(Weekly_Inspections!$BA968&lt;&gt;"",Weekly_Inspections!$BA968,IF(Weekly_Inspections!$BB968&lt;&gt;"",Weekly_Inspections!$BB968,Weekly_Inspections!$R968)))))</f>
        <v/>
      </c>
      <c r="G968">
        <f>IF(OR(Weekly_Inspections!$AQ968&lt;&gt;"",Weekly_Inspections!$AR968&lt;&gt;"",Weekly_Inspections!$AS968&lt;&gt;""),Weekly_Inspections!$AQ968,"")</f>
        <v/>
      </c>
      <c r="H968">
        <f>Weekly_Inspections!$AP968</f>
        <v/>
      </c>
      <c r="I968">
        <f>Weekly_Inspections!$AR968</f>
        <v/>
      </c>
      <c r="J968">
        <f>Weekly_Inspections!$AS968</f>
        <v/>
      </c>
      <c r="K968">
        <f>Weekly_Inspections!$AU968</f>
        <v/>
      </c>
      <c r="L968" s="47">
        <f>Weekly_Inspections!$AV968</f>
        <v/>
      </c>
      <c r="M968">
        <f>IF($B968="","",IF($N968&lt;&gt;"","Closed",IF(OR($G968&lt;&gt;"",$I968&lt;&gt;"",$J968&lt;&gt;""),"Open","")))</f>
        <v/>
      </c>
      <c r="N968" s="47" t="n"/>
      <c r="O968">
        <f>IF($B968="","",IF($M968="Closed",IF($N968="","",$N968-$B968),TODAY()-$B968))</f>
        <v/>
      </c>
      <c r="P968">
        <f>IF(OR($B968="",$L968="",$M968="Closed"),"",IF(TODAY()&gt;$L968,"YES","NO"))</f>
        <v/>
      </c>
      <c r="Q968">
        <f>Weekly_Inspections!$AW968</f>
        <v/>
      </c>
    </row>
    <row r="969" ht="15" customHeight="1" s="45">
      <c r="A969">
        <f>IF(Weekly_Inspections!$B969="","",Weekly_Inspections!$A969&amp;"-A1")</f>
        <v/>
      </c>
      <c r="B969" s="47">
        <f>Weekly_Inspections!$B969</f>
        <v/>
      </c>
      <c r="C969">
        <f>Weekly_Inspections!$E969</f>
        <v/>
      </c>
      <c r="D969">
        <f>Weekly_Inspections!$F969</f>
        <v/>
      </c>
      <c r="E969">
        <f>Weekly_Inspections!$H969</f>
        <v/>
      </c>
      <c r="F969">
        <f>IF(Weekly_Inspections!$AX969&lt;&gt;"",Weekly_Inspections!$AX969,IF(Weekly_Inspections!$AY969&lt;&gt;"",Weekly_Inspections!$AY969,IF(Weekly_Inspections!$AZ969&lt;&gt;"",Weekly_Inspections!$AZ969,IF(Weekly_Inspections!$BA969&lt;&gt;"",Weekly_Inspections!$BA969,IF(Weekly_Inspections!$BB969&lt;&gt;"",Weekly_Inspections!$BB969,Weekly_Inspections!$R969)))))</f>
        <v/>
      </c>
      <c r="G969">
        <f>IF(OR(Weekly_Inspections!$AQ969&lt;&gt;"",Weekly_Inspections!$AR969&lt;&gt;"",Weekly_Inspections!$AS969&lt;&gt;""),Weekly_Inspections!$AQ969,"")</f>
        <v/>
      </c>
      <c r="H969">
        <f>Weekly_Inspections!$AP969</f>
        <v/>
      </c>
      <c r="I969">
        <f>Weekly_Inspections!$AR969</f>
        <v/>
      </c>
      <c r="J969">
        <f>Weekly_Inspections!$AS969</f>
        <v/>
      </c>
      <c r="K969">
        <f>Weekly_Inspections!$AU969</f>
        <v/>
      </c>
      <c r="L969" s="47">
        <f>Weekly_Inspections!$AV969</f>
        <v/>
      </c>
      <c r="M969">
        <f>IF($B969="","",IF($N969&lt;&gt;"","Closed",IF(OR($G969&lt;&gt;"",$I969&lt;&gt;"",$J969&lt;&gt;""),"Open","")))</f>
        <v/>
      </c>
      <c r="N969" s="47" t="n"/>
      <c r="O969">
        <f>IF($B969="","",IF($M969="Closed",IF($N969="","",$N969-$B969),TODAY()-$B969))</f>
        <v/>
      </c>
      <c r="P969">
        <f>IF(OR($B969="",$L969="",$M969="Closed"),"",IF(TODAY()&gt;$L969,"YES","NO"))</f>
        <v/>
      </c>
      <c r="Q969">
        <f>Weekly_Inspections!$AW969</f>
        <v/>
      </c>
    </row>
    <row r="970" ht="15" customHeight="1" s="45">
      <c r="A970">
        <f>IF(Weekly_Inspections!$B970="","",Weekly_Inspections!$A970&amp;"-A1")</f>
        <v/>
      </c>
      <c r="B970" s="47">
        <f>Weekly_Inspections!$B970</f>
        <v/>
      </c>
      <c r="C970">
        <f>Weekly_Inspections!$E970</f>
        <v/>
      </c>
      <c r="D970">
        <f>Weekly_Inspections!$F970</f>
        <v/>
      </c>
      <c r="E970">
        <f>Weekly_Inspections!$H970</f>
        <v/>
      </c>
      <c r="F970">
        <f>IF(Weekly_Inspections!$AX970&lt;&gt;"",Weekly_Inspections!$AX970,IF(Weekly_Inspections!$AY970&lt;&gt;"",Weekly_Inspections!$AY970,IF(Weekly_Inspections!$AZ970&lt;&gt;"",Weekly_Inspections!$AZ970,IF(Weekly_Inspections!$BA970&lt;&gt;"",Weekly_Inspections!$BA970,IF(Weekly_Inspections!$BB970&lt;&gt;"",Weekly_Inspections!$BB970,Weekly_Inspections!$R970)))))</f>
        <v/>
      </c>
      <c r="G970">
        <f>IF(OR(Weekly_Inspections!$AQ970&lt;&gt;"",Weekly_Inspections!$AR970&lt;&gt;"",Weekly_Inspections!$AS970&lt;&gt;""),Weekly_Inspections!$AQ970,"")</f>
        <v/>
      </c>
      <c r="H970">
        <f>Weekly_Inspections!$AP970</f>
        <v/>
      </c>
      <c r="I970">
        <f>Weekly_Inspections!$AR970</f>
        <v/>
      </c>
      <c r="J970">
        <f>Weekly_Inspections!$AS970</f>
        <v/>
      </c>
      <c r="K970">
        <f>Weekly_Inspections!$AU970</f>
        <v/>
      </c>
      <c r="L970" s="47">
        <f>Weekly_Inspections!$AV970</f>
        <v/>
      </c>
      <c r="M970">
        <f>IF($B970="","",IF($N970&lt;&gt;"","Closed",IF(OR($G970&lt;&gt;"",$I970&lt;&gt;"",$J970&lt;&gt;""),"Open","")))</f>
        <v/>
      </c>
      <c r="N970" s="47" t="n"/>
      <c r="O970">
        <f>IF($B970="","",IF($M970="Closed",IF($N970="","",$N970-$B970),TODAY()-$B970))</f>
        <v/>
      </c>
      <c r="P970">
        <f>IF(OR($B970="",$L970="",$M970="Closed"),"",IF(TODAY()&gt;$L970,"YES","NO"))</f>
        <v/>
      </c>
      <c r="Q970">
        <f>Weekly_Inspections!$AW970</f>
        <v/>
      </c>
    </row>
    <row r="971" ht="15" customHeight="1" s="45">
      <c r="A971">
        <f>IF(Weekly_Inspections!$B971="","",Weekly_Inspections!$A971&amp;"-A1")</f>
        <v/>
      </c>
      <c r="B971" s="47">
        <f>Weekly_Inspections!$B971</f>
        <v/>
      </c>
      <c r="C971">
        <f>Weekly_Inspections!$E971</f>
        <v/>
      </c>
      <c r="D971">
        <f>Weekly_Inspections!$F971</f>
        <v/>
      </c>
      <c r="E971">
        <f>Weekly_Inspections!$H971</f>
        <v/>
      </c>
      <c r="F971">
        <f>IF(Weekly_Inspections!$AX971&lt;&gt;"",Weekly_Inspections!$AX971,IF(Weekly_Inspections!$AY971&lt;&gt;"",Weekly_Inspections!$AY971,IF(Weekly_Inspections!$AZ971&lt;&gt;"",Weekly_Inspections!$AZ971,IF(Weekly_Inspections!$BA971&lt;&gt;"",Weekly_Inspections!$BA971,IF(Weekly_Inspections!$BB971&lt;&gt;"",Weekly_Inspections!$BB971,Weekly_Inspections!$R971)))))</f>
        <v/>
      </c>
      <c r="G971">
        <f>IF(OR(Weekly_Inspections!$AQ971&lt;&gt;"",Weekly_Inspections!$AR971&lt;&gt;"",Weekly_Inspections!$AS971&lt;&gt;""),Weekly_Inspections!$AQ971,"")</f>
        <v/>
      </c>
      <c r="H971">
        <f>Weekly_Inspections!$AP971</f>
        <v/>
      </c>
      <c r="I971">
        <f>Weekly_Inspections!$AR971</f>
        <v/>
      </c>
      <c r="J971">
        <f>Weekly_Inspections!$AS971</f>
        <v/>
      </c>
      <c r="K971">
        <f>Weekly_Inspections!$AU971</f>
        <v/>
      </c>
      <c r="L971" s="47">
        <f>Weekly_Inspections!$AV971</f>
        <v/>
      </c>
      <c r="M971">
        <f>IF($B971="","",IF($N971&lt;&gt;"","Closed",IF(OR($G971&lt;&gt;"",$I971&lt;&gt;"",$J971&lt;&gt;""),"Open","")))</f>
        <v/>
      </c>
      <c r="N971" s="47" t="n"/>
      <c r="O971">
        <f>IF($B971="","",IF($M971="Closed",IF($N971="","",$N971-$B971),TODAY()-$B971))</f>
        <v/>
      </c>
      <c r="P971">
        <f>IF(OR($B971="",$L971="",$M971="Closed"),"",IF(TODAY()&gt;$L971,"YES","NO"))</f>
        <v/>
      </c>
      <c r="Q971">
        <f>Weekly_Inspections!$AW971</f>
        <v/>
      </c>
    </row>
    <row r="972" ht="15" customHeight="1" s="45">
      <c r="A972">
        <f>IF(Weekly_Inspections!$B972="","",Weekly_Inspections!$A972&amp;"-A1")</f>
        <v/>
      </c>
      <c r="B972" s="47">
        <f>Weekly_Inspections!$B972</f>
        <v/>
      </c>
      <c r="C972">
        <f>Weekly_Inspections!$E972</f>
        <v/>
      </c>
      <c r="D972">
        <f>Weekly_Inspections!$F972</f>
        <v/>
      </c>
      <c r="E972">
        <f>Weekly_Inspections!$H972</f>
        <v/>
      </c>
      <c r="F972">
        <f>IF(Weekly_Inspections!$AX972&lt;&gt;"",Weekly_Inspections!$AX972,IF(Weekly_Inspections!$AY972&lt;&gt;"",Weekly_Inspections!$AY972,IF(Weekly_Inspections!$AZ972&lt;&gt;"",Weekly_Inspections!$AZ972,IF(Weekly_Inspections!$BA972&lt;&gt;"",Weekly_Inspections!$BA972,IF(Weekly_Inspections!$BB972&lt;&gt;"",Weekly_Inspections!$BB972,Weekly_Inspections!$R972)))))</f>
        <v/>
      </c>
      <c r="G972">
        <f>IF(OR(Weekly_Inspections!$AQ972&lt;&gt;"",Weekly_Inspections!$AR972&lt;&gt;"",Weekly_Inspections!$AS972&lt;&gt;""),Weekly_Inspections!$AQ972,"")</f>
        <v/>
      </c>
      <c r="H972">
        <f>Weekly_Inspections!$AP972</f>
        <v/>
      </c>
      <c r="I972">
        <f>Weekly_Inspections!$AR972</f>
        <v/>
      </c>
      <c r="J972">
        <f>Weekly_Inspections!$AS972</f>
        <v/>
      </c>
      <c r="K972">
        <f>Weekly_Inspections!$AU972</f>
        <v/>
      </c>
      <c r="L972" s="47">
        <f>Weekly_Inspections!$AV972</f>
        <v/>
      </c>
      <c r="M972">
        <f>IF($B972="","",IF($N972&lt;&gt;"","Closed",IF(OR($G972&lt;&gt;"",$I972&lt;&gt;"",$J972&lt;&gt;""),"Open","")))</f>
        <v/>
      </c>
      <c r="N972" s="47" t="n"/>
      <c r="O972">
        <f>IF($B972="","",IF($M972="Closed",IF($N972="","",$N972-$B972),TODAY()-$B972))</f>
        <v/>
      </c>
      <c r="P972">
        <f>IF(OR($B972="",$L972="",$M972="Closed"),"",IF(TODAY()&gt;$L972,"YES","NO"))</f>
        <v/>
      </c>
      <c r="Q972">
        <f>Weekly_Inspections!$AW972</f>
        <v/>
      </c>
    </row>
    <row r="973" ht="15" customHeight="1" s="45">
      <c r="A973">
        <f>IF(Weekly_Inspections!$B973="","",Weekly_Inspections!$A973&amp;"-A1")</f>
        <v/>
      </c>
      <c r="B973" s="47">
        <f>Weekly_Inspections!$B973</f>
        <v/>
      </c>
      <c r="C973">
        <f>Weekly_Inspections!$E973</f>
        <v/>
      </c>
      <c r="D973">
        <f>Weekly_Inspections!$F973</f>
        <v/>
      </c>
      <c r="E973">
        <f>Weekly_Inspections!$H973</f>
        <v/>
      </c>
      <c r="F973">
        <f>IF(Weekly_Inspections!$AX973&lt;&gt;"",Weekly_Inspections!$AX973,IF(Weekly_Inspections!$AY973&lt;&gt;"",Weekly_Inspections!$AY973,IF(Weekly_Inspections!$AZ973&lt;&gt;"",Weekly_Inspections!$AZ973,IF(Weekly_Inspections!$BA973&lt;&gt;"",Weekly_Inspections!$BA973,IF(Weekly_Inspections!$BB973&lt;&gt;"",Weekly_Inspections!$BB973,Weekly_Inspections!$R973)))))</f>
        <v/>
      </c>
      <c r="G973">
        <f>IF(OR(Weekly_Inspections!$AQ973&lt;&gt;"",Weekly_Inspections!$AR973&lt;&gt;"",Weekly_Inspections!$AS973&lt;&gt;""),Weekly_Inspections!$AQ973,"")</f>
        <v/>
      </c>
      <c r="H973">
        <f>Weekly_Inspections!$AP973</f>
        <v/>
      </c>
      <c r="I973">
        <f>Weekly_Inspections!$AR973</f>
        <v/>
      </c>
      <c r="J973">
        <f>Weekly_Inspections!$AS973</f>
        <v/>
      </c>
      <c r="K973">
        <f>Weekly_Inspections!$AU973</f>
        <v/>
      </c>
      <c r="L973" s="47">
        <f>Weekly_Inspections!$AV973</f>
        <v/>
      </c>
      <c r="M973">
        <f>IF($B973="","",IF($N973&lt;&gt;"","Closed",IF(OR($G973&lt;&gt;"",$I973&lt;&gt;"",$J973&lt;&gt;""),"Open","")))</f>
        <v/>
      </c>
      <c r="N973" s="47" t="n"/>
      <c r="O973">
        <f>IF($B973="","",IF($M973="Closed",IF($N973="","",$N973-$B973),TODAY()-$B973))</f>
        <v/>
      </c>
      <c r="P973">
        <f>IF(OR($B973="",$L973="",$M973="Closed"),"",IF(TODAY()&gt;$L973,"YES","NO"))</f>
        <v/>
      </c>
      <c r="Q973">
        <f>Weekly_Inspections!$AW973</f>
        <v/>
      </c>
    </row>
    <row r="974" ht="15" customHeight="1" s="45">
      <c r="A974">
        <f>IF(Weekly_Inspections!$B974="","",Weekly_Inspections!$A974&amp;"-A1")</f>
        <v/>
      </c>
      <c r="B974" s="47">
        <f>Weekly_Inspections!$B974</f>
        <v/>
      </c>
      <c r="C974">
        <f>Weekly_Inspections!$E974</f>
        <v/>
      </c>
      <c r="D974">
        <f>Weekly_Inspections!$F974</f>
        <v/>
      </c>
      <c r="E974">
        <f>Weekly_Inspections!$H974</f>
        <v/>
      </c>
      <c r="F974">
        <f>IF(Weekly_Inspections!$AX974&lt;&gt;"",Weekly_Inspections!$AX974,IF(Weekly_Inspections!$AY974&lt;&gt;"",Weekly_Inspections!$AY974,IF(Weekly_Inspections!$AZ974&lt;&gt;"",Weekly_Inspections!$AZ974,IF(Weekly_Inspections!$BA974&lt;&gt;"",Weekly_Inspections!$BA974,IF(Weekly_Inspections!$BB974&lt;&gt;"",Weekly_Inspections!$BB974,Weekly_Inspections!$R974)))))</f>
        <v/>
      </c>
      <c r="G974">
        <f>IF(OR(Weekly_Inspections!$AQ974&lt;&gt;"",Weekly_Inspections!$AR974&lt;&gt;"",Weekly_Inspections!$AS974&lt;&gt;""),Weekly_Inspections!$AQ974,"")</f>
        <v/>
      </c>
      <c r="H974">
        <f>Weekly_Inspections!$AP974</f>
        <v/>
      </c>
      <c r="I974">
        <f>Weekly_Inspections!$AR974</f>
        <v/>
      </c>
      <c r="J974">
        <f>Weekly_Inspections!$AS974</f>
        <v/>
      </c>
      <c r="K974">
        <f>Weekly_Inspections!$AU974</f>
        <v/>
      </c>
      <c r="L974" s="47">
        <f>Weekly_Inspections!$AV974</f>
        <v/>
      </c>
      <c r="M974">
        <f>IF($B974="","",IF($N974&lt;&gt;"","Closed",IF(OR($G974&lt;&gt;"",$I974&lt;&gt;"",$J974&lt;&gt;""),"Open","")))</f>
        <v/>
      </c>
      <c r="N974" s="47" t="n"/>
      <c r="O974">
        <f>IF($B974="","",IF($M974="Closed",IF($N974="","",$N974-$B974),TODAY()-$B974))</f>
        <v/>
      </c>
      <c r="P974">
        <f>IF(OR($B974="",$L974="",$M974="Closed"),"",IF(TODAY()&gt;$L974,"YES","NO"))</f>
        <v/>
      </c>
      <c r="Q974">
        <f>Weekly_Inspections!$AW974</f>
        <v/>
      </c>
    </row>
    <row r="975" ht="15" customHeight="1" s="45">
      <c r="A975">
        <f>IF(Weekly_Inspections!$B975="","",Weekly_Inspections!$A975&amp;"-A1")</f>
        <v/>
      </c>
      <c r="B975" s="47">
        <f>Weekly_Inspections!$B975</f>
        <v/>
      </c>
      <c r="C975">
        <f>Weekly_Inspections!$E975</f>
        <v/>
      </c>
      <c r="D975">
        <f>Weekly_Inspections!$F975</f>
        <v/>
      </c>
      <c r="E975">
        <f>Weekly_Inspections!$H975</f>
        <v/>
      </c>
      <c r="F975">
        <f>IF(Weekly_Inspections!$AX975&lt;&gt;"",Weekly_Inspections!$AX975,IF(Weekly_Inspections!$AY975&lt;&gt;"",Weekly_Inspections!$AY975,IF(Weekly_Inspections!$AZ975&lt;&gt;"",Weekly_Inspections!$AZ975,IF(Weekly_Inspections!$BA975&lt;&gt;"",Weekly_Inspections!$BA975,IF(Weekly_Inspections!$BB975&lt;&gt;"",Weekly_Inspections!$BB975,Weekly_Inspections!$R975)))))</f>
        <v/>
      </c>
      <c r="G975">
        <f>IF(OR(Weekly_Inspections!$AQ975&lt;&gt;"",Weekly_Inspections!$AR975&lt;&gt;"",Weekly_Inspections!$AS975&lt;&gt;""),Weekly_Inspections!$AQ975,"")</f>
        <v/>
      </c>
      <c r="H975">
        <f>Weekly_Inspections!$AP975</f>
        <v/>
      </c>
      <c r="I975">
        <f>Weekly_Inspections!$AR975</f>
        <v/>
      </c>
      <c r="J975">
        <f>Weekly_Inspections!$AS975</f>
        <v/>
      </c>
      <c r="K975">
        <f>Weekly_Inspections!$AU975</f>
        <v/>
      </c>
      <c r="L975" s="47">
        <f>Weekly_Inspections!$AV975</f>
        <v/>
      </c>
      <c r="M975">
        <f>IF($B975="","",IF($N975&lt;&gt;"","Closed",IF(OR($G975&lt;&gt;"",$I975&lt;&gt;"",$J975&lt;&gt;""),"Open","")))</f>
        <v/>
      </c>
      <c r="N975" s="47" t="n"/>
      <c r="O975">
        <f>IF($B975="","",IF($M975="Closed",IF($N975="","",$N975-$B975),TODAY()-$B975))</f>
        <v/>
      </c>
      <c r="P975">
        <f>IF(OR($B975="",$L975="",$M975="Closed"),"",IF(TODAY()&gt;$L975,"YES","NO"))</f>
        <v/>
      </c>
      <c r="Q975">
        <f>Weekly_Inspections!$AW975</f>
        <v/>
      </c>
    </row>
    <row r="976" ht="15" customHeight="1" s="45">
      <c r="A976">
        <f>IF(Weekly_Inspections!$B976="","",Weekly_Inspections!$A976&amp;"-A1")</f>
        <v/>
      </c>
      <c r="B976" s="47">
        <f>Weekly_Inspections!$B976</f>
        <v/>
      </c>
      <c r="C976">
        <f>Weekly_Inspections!$E976</f>
        <v/>
      </c>
      <c r="D976">
        <f>Weekly_Inspections!$F976</f>
        <v/>
      </c>
      <c r="E976">
        <f>Weekly_Inspections!$H976</f>
        <v/>
      </c>
      <c r="F976">
        <f>IF(Weekly_Inspections!$AX976&lt;&gt;"",Weekly_Inspections!$AX976,IF(Weekly_Inspections!$AY976&lt;&gt;"",Weekly_Inspections!$AY976,IF(Weekly_Inspections!$AZ976&lt;&gt;"",Weekly_Inspections!$AZ976,IF(Weekly_Inspections!$BA976&lt;&gt;"",Weekly_Inspections!$BA976,IF(Weekly_Inspections!$BB976&lt;&gt;"",Weekly_Inspections!$BB976,Weekly_Inspections!$R976)))))</f>
        <v/>
      </c>
      <c r="G976">
        <f>IF(OR(Weekly_Inspections!$AQ976&lt;&gt;"",Weekly_Inspections!$AR976&lt;&gt;"",Weekly_Inspections!$AS976&lt;&gt;""),Weekly_Inspections!$AQ976,"")</f>
        <v/>
      </c>
      <c r="H976">
        <f>Weekly_Inspections!$AP976</f>
        <v/>
      </c>
      <c r="I976">
        <f>Weekly_Inspections!$AR976</f>
        <v/>
      </c>
      <c r="J976">
        <f>Weekly_Inspections!$AS976</f>
        <v/>
      </c>
      <c r="K976">
        <f>Weekly_Inspections!$AU976</f>
        <v/>
      </c>
      <c r="L976" s="47">
        <f>Weekly_Inspections!$AV976</f>
        <v/>
      </c>
      <c r="M976">
        <f>IF($B976="","",IF($N976&lt;&gt;"","Closed",IF(OR($G976&lt;&gt;"",$I976&lt;&gt;"",$J976&lt;&gt;""),"Open","")))</f>
        <v/>
      </c>
      <c r="N976" s="47" t="n"/>
      <c r="O976">
        <f>IF($B976="","",IF($M976="Closed",IF($N976="","",$N976-$B976),TODAY()-$B976))</f>
        <v/>
      </c>
      <c r="P976">
        <f>IF(OR($B976="",$L976="",$M976="Closed"),"",IF(TODAY()&gt;$L976,"YES","NO"))</f>
        <v/>
      </c>
      <c r="Q976">
        <f>Weekly_Inspections!$AW976</f>
        <v/>
      </c>
    </row>
    <row r="977" ht="15" customHeight="1" s="45">
      <c r="A977">
        <f>IF(Weekly_Inspections!$B977="","",Weekly_Inspections!$A977&amp;"-A1")</f>
        <v/>
      </c>
      <c r="B977" s="47">
        <f>Weekly_Inspections!$B977</f>
        <v/>
      </c>
      <c r="C977">
        <f>Weekly_Inspections!$E977</f>
        <v/>
      </c>
      <c r="D977">
        <f>Weekly_Inspections!$F977</f>
        <v/>
      </c>
      <c r="E977">
        <f>Weekly_Inspections!$H977</f>
        <v/>
      </c>
      <c r="F977">
        <f>IF(Weekly_Inspections!$AX977&lt;&gt;"",Weekly_Inspections!$AX977,IF(Weekly_Inspections!$AY977&lt;&gt;"",Weekly_Inspections!$AY977,IF(Weekly_Inspections!$AZ977&lt;&gt;"",Weekly_Inspections!$AZ977,IF(Weekly_Inspections!$BA977&lt;&gt;"",Weekly_Inspections!$BA977,IF(Weekly_Inspections!$BB977&lt;&gt;"",Weekly_Inspections!$BB977,Weekly_Inspections!$R977)))))</f>
        <v/>
      </c>
      <c r="G977">
        <f>IF(OR(Weekly_Inspections!$AQ977&lt;&gt;"",Weekly_Inspections!$AR977&lt;&gt;"",Weekly_Inspections!$AS977&lt;&gt;""),Weekly_Inspections!$AQ977,"")</f>
        <v/>
      </c>
      <c r="H977">
        <f>Weekly_Inspections!$AP977</f>
        <v/>
      </c>
      <c r="I977">
        <f>Weekly_Inspections!$AR977</f>
        <v/>
      </c>
      <c r="J977">
        <f>Weekly_Inspections!$AS977</f>
        <v/>
      </c>
      <c r="K977">
        <f>Weekly_Inspections!$AU977</f>
        <v/>
      </c>
      <c r="L977" s="47">
        <f>Weekly_Inspections!$AV977</f>
        <v/>
      </c>
      <c r="M977">
        <f>IF($B977="","",IF($N977&lt;&gt;"","Closed",IF(OR($G977&lt;&gt;"",$I977&lt;&gt;"",$J977&lt;&gt;""),"Open","")))</f>
        <v/>
      </c>
      <c r="N977" s="47" t="n"/>
      <c r="O977">
        <f>IF($B977="","",IF($M977="Closed",IF($N977="","",$N977-$B977),TODAY()-$B977))</f>
        <v/>
      </c>
      <c r="P977">
        <f>IF(OR($B977="",$L977="",$M977="Closed"),"",IF(TODAY()&gt;$L977,"YES","NO"))</f>
        <v/>
      </c>
      <c r="Q977">
        <f>Weekly_Inspections!$AW977</f>
        <v/>
      </c>
    </row>
    <row r="978" ht="15" customHeight="1" s="45">
      <c r="A978">
        <f>IF(Weekly_Inspections!$B978="","",Weekly_Inspections!$A978&amp;"-A1")</f>
        <v/>
      </c>
      <c r="B978" s="47">
        <f>Weekly_Inspections!$B978</f>
        <v/>
      </c>
      <c r="C978">
        <f>Weekly_Inspections!$E978</f>
        <v/>
      </c>
      <c r="D978">
        <f>Weekly_Inspections!$F978</f>
        <v/>
      </c>
      <c r="E978">
        <f>Weekly_Inspections!$H978</f>
        <v/>
      </c>
      <c r="F978">
        <f>IF(Weekly_Inspections!$AX978&lt;&gt;"",Weekly_Inspections!$AX978,IF(Weekly_Inspections!$AY978&lt;&gt;"",Weekly_Inspections!$AY978,IF(Weekly_Inspections!$AZ978&lt;&gt;"",Weekly_Inspections!$AZ978,IF(Weekly_Inspections!$BA978&lt;&gt;"",Weekly_Inspections!$BA978,IF(Weekly_Inspections!$BB978&lt;&gt;"",Weekly_Inspections!$BB978,Weekly_Inspections!$R978)))))</f>
        <v/>
      </c>
      <c r="G978">
        <f>IF(OR(Weekly_Inspections!$AQ978&lt;&gt;"",Weekly_Inspections!$AR978&lt;&gt;"",Weekly_Inspections!$AS978&lt;&gt;""),Weekly_Inspections!$AQ978,"")</f>
        <v/>
      </c>
      <c r="H978">
        <f>Weekly_Inspections!$AP978</f>
        <v/>
      </c>
      <c r="I978">
        <f>Weekly_Inspections!$AR978</f>
        <v/>
      </c>
      <c r="J978">
        <f>Weekly_Inspections!$AS978</f>
        <v/>
      </c>
      <c r="K978">
        <f>Weekly_Inspections!$AU978</f>
        <v/>
      </c>
      <c r="L978" s="47">
        <f>Weekly_Inspections!$AV978</f>
        <v/>
      </c>
      <c r="M978">
        <f>IF($B978="","",IF($N978&lt;&gt;"","Closed",IF(OR($G978&lt;&gt;"",$I978&lt;&gt;"",$J978&lt;&gt;""),"Open","")))</f>
        <v/>
      </c>
      <c r="N978" s="47" t="n"/>
      <c r="O978">
        <f>IF($B978="","",IF($M978="Closed",IF($N978="","",$N978-$B978),TODAY()-$B978))</f>
        <v/>
      </c>
      <c r="P978">
        <f>IF(OR($B978="",$L978="",$M978="Closed"),"",IF(TODAY()&gt;$L978,"YES","NO"))</f>
        <v/>
      </c>
      <c r="Q978">
        <f>Weekly_Inspections!$AW978</f>
        <v/>
      </c>
    </row>
    <row r="979" ht="15" customHeight="1" s="45">
      <c r="A979">
        <f>IF(Weekly_Inspections!$B979="","",Weekly_Inspections!$A979&amp;"-A1")</f>
        <v/>
      </c>
      <c r="B979" s="47">
        <f>Weekly_Inspections!$B979</f>
        <v/>
      </c>
      <c r="C979">
        <f>Weekly_Inspections!$E979</f>
        <v/>
      </c>
      <c r="D979">
        <f>Weekly_Inspections!$F979</f>
        <v/>
      </c>
      <c r="E979">
        <f>Weekly_Inspections!$H979</f>
        <v/>
      </c>
      <c r="F979">
        <f>IF(Weekly_Inspections!$AX979&lt;&gt;"",Weekly_Inspections!$AX979,IF(Weekly_Inspections!$AY979&lt;&gt;"",Weekly_Inspections!$AY979,IF(Weekly_Inspections!$AZ979&lt;&gt;"",Weekly_Inspections!$AZ979,IF(Weekly_Inspections!$BA979&lt;&gt;"",Weekly_Inspections!$BA979,IF(Weekly_Inspections!$BB979&lt;&gt;"",Weekly_Inspections!$BB979,Weekly_Inspections!$R979)))))</f>
        <v/>
      </c>
      <c r="G979">
        <f>IF(OR(Weekly_Inspections!$AQ979&lt;&gt;"",Weekly_Inspections!$AR979&lt;&gt;"",Weekly_Inspections!$AS979&lt;&gt;""),Weekly_Inspections!$AQ979,"")</f>
        <v/>
      </c>
      <c r="H979">
        <f>Weekly_Inspections!$AP979</f>
        <v/>
      </c>
      <c r="I979">
        <f>Weekly_Inspections!$AR979</f>
        <v/>
      </c>
      <c r="J979">
        <f>Weekly_Inspections!$AS979</f>
        <v/>
      </c>
      <c r="K979">
        <f>Weekly_Inspections!$AU979</f>
        <v/>
      </c>
      <c r="L979" s="47">
        <f>Weekly_Inspections!$AV979</f>
        <v/>
      </c>
      <c r="M979">
        <f>IF($B979="","",IF($N979&lt;&gt;"","Closed",IF(OR($G979&lt;&gt;"",$I979&lt;&gt;"",$J979&lt;&gt;""),"Open","")))</f>
        <v/>
      </c>
      <c r="N979" s="47" t="n"/>
      <c r="O979">
        <f>IF($B979="","",IF($M979="Closed",IF($N979="","",$N979-$B979),TODAY()-$B979))</f>
        <v/>
      </c>
      <c r="P979">
        <f>IF(OR($B979="",$L979="",$M979="Closed"),"",IF(TODAY()&gt;$L979,"YES","NO"))</f>
        <v/>
      </c>
      <c r="Q979">
        <f>Weekly_Inspections!$AW979</f>
        <v/>
      </c>
    </row>
    <row r="980" ht="15" customHeight="1" s="45">
      <c r="A980">
        <f>IF(Weekly_Inspections!$B980="","",Weekly_Inspections!$A980&amp;"-A1")</f>
        <v/>
      </c>
      <c r="B980" s="47">
        <f>Weekly_Inspections!$B980</f>
        <v/>
      </c>
      <c r="C980">
        <f>Weekly_Inspections!$E980</f>
        <v/>
      </c>
      <c r="D980">
        <f>Weekly_Inspections!$F980</f>
        <v/>
      </c>
      <c r="E980">
        <f>Weekly_Inspections!$H980</f>
        <v/>
      </c>
      <c r="F980">
        <f>IF(Weekly_Inspections!$AX980&lt;&gt;"",Weekly_Inspections!$AX980,IF(Weekly_Inspections!$AY980&lt;&gt;"",Weekly_Inspections!$AY980,IF(Weekly_Inspections!$AZ980&lt;&gt;"",Weekly_Inspections!$AZ980,IF(Weekly_Inspections!$BA980&lt;&gt;"",Weekly_Inspections!$BA980,IF(Weekly_Inspections!$BB980&lt;&gt;"",Weekly_Inspections!$BB980,Weekly_Inspections!$R980)))))</f>
        <v/>
      </c>
      <c r="G980">
        <f>IF(OR(Weekly_Inspections!$AQ980&lt;&gt;"",Weekly_Inspections!$AR980&lt;&gt;"",Weekly_Inspections!$AS980&lt;&gt;""),Weekly_Inspections!$AQ980,"")</f>
        <v/>
      </c>
      <c r="H980">
        <f>Weekly_Inspections!$AP980</f>
        <v/>
      </c>
      <c r="I980">
        <f>Weekly_Inspections!$AR980</f>
        <v/>
      </c>
      <c r="J980">
        <f>Weekly_Inspections!$AS980</f>
        <v/>
      </c>
      <c r="K980">
        <f>Weekly_Inspections!$AU980</f>
        <v/>
      </c>
      <c r="L980" s="47">
        <f>Weekly_Inspections!$AV980</f>
        <v/>
      </c>
      <c r="M980">
        <f>IF($B980="","",IF($N980&lt;&gt;"","Closed",IF(OR($G980&lt;&gt;"",$I980&lt;&gt;"",$J980&lt;&gt;""),"Open","")))</f>
        <v/>
      </c>
      <c r="N980" s="47" t="n"/>
      <c r="O980">
        <f>IF($B980="","",IF($M980="Closed",IF($N980="","",$N980-$B980),TODAY()-$B980))</f>
        <v/>
      </c>
      <c r="P980">
        <f>IF(OR($B980="",$L980="",$M980="Closed"),"",IF(TODAY()&gt;$L980,"YES","NO"))</f>
        <v/>
      </c>
      <c r="Q980">
        <f>Weekly_Inspections!$AW980</f>
        <v/>
      </c>
    </row>
    <row r="981" ht="15" customHeight="1" s="45">
      <c r="A981">
        <f>IF(Weekly_Inspections!$B981="","",Weekly_Inspections!$A981&amp;"-A1")</f>
        <v/>
      </c>
      <c r="B981" s="47">
        <f>Weekly_Inspections!$B981</f>
        <v/>
      </c>
      <c r="C981">
        <f>Weekly_Inspections!$E981</f>
        <v/>
      </c>
      <c r="D981">
        <f>Weekly_Inspections!$F981</f>
        <v/>
      </c>
      <c r="E981">
        <f>Weekly_Inspections!$H981</f>
        <v/>
      </c>
      <c r="F981">
        <f>IF(Weekly_Inspections!$AX981&lt;&gt;"",Weekly_Inspections!$AX981,IF(Weekly_Inspections!$AY981&lt;&gt;"",Weekly_Inspections!$AY981,IF(Weekly_Inspections!$AZ981&lt;&gt;"",Weekly_Inspections!$AZ981,IF(Weekly_Inspections!$BA981&lt;&gt;"",Weekly_Inspections!$BA981,IF(Weekly_Inspections!$BB981&lt;&gt;"",Weekly_Inspections!$BB981,Weekly_Inspections!$R981)))))</f>
        <v/>
      </c>
      <c r="G981">
        <f>IF(OR(Weekly_Inspections!$AQ981&lt;&gt;"",Weekly_Inspections!$AR981&lt;&gt;"",Weekly_Inspections!$AS981&lt;&gt;""),Weekly_Inspections!$AQ981,"")</f>
        <v/>
      </c>
      <c r="H981">
        <f>Weekly_Inspections!$AP981</f>
        <v/>
      </c>
      <c r="I981">
        <f>Weekly_Inspections!$AR981</f>
        <v/>
      </c>
      <c r="J981">
        <f>Weekly_Inspections!$AS981</f>
        <v/>
      </c>
      <c r="K981">
        <f>Weekly_Inspections!$AU981</f>
        <v/>
      </c>
      <c r="L981" s="47">
        <f>Weekly_Inspections!$AV981</f>
        <v/>
      </c>
      <c r="M981">
        <f>IF($B981="","",IF($N981&lt;&gt;"","Closed",IF(OR($G981&lt;&gt;"",$I981&lt;&gt;"",$J981&lt;&gt;""),"Open","")))</f>
        <v/>
      </c>
      <c r="N981" s="47" t="n"/>
      <c r="O981">
        <f>IF($B981="","",IF($M981="Closed",IF($N981="","",$N981-$B981),TODAY()-$B981))</f>
        <v/>
      </c>
      <c r="P981">
        <f>IF(OR($B981="",$L981="",$M981="Closed"),"",IF(TODAY()&gt;$L981,"YES","NO"))</f>
        <v/>
      </c>
      <c r="Q981">
        <f>Weekly_Inspections!$AW981</f>
        <v/>
      </c>
    </row>
    <row r="982" ht="15" customHeight="1" s="45">
      <c r="A982">
        <f>IF(Weekly_Inspections!$B982="","",Weekly_Inspections!$A982&amp;"-A1")</f>
        <v/>
      </c>
      <c r="B982" s="47">
        <f>Weekly_Inspections!$B982</f>
        <v/>
      </c>
      <c r="C982">
        <f>Weekly_Inspections!$E982</f>
        <v/>
      </c>
      <c r="D982">
        <f>Weekly_Inspections!$F982</f>
        <v/>
      </c>
      <c r="E982">
        <f>Weekly_Inspections!$H982</f>
        <v/>
      </c>
      <c r="F982">
        <f>IF(Weekly_Inspections!$AX982&lt;&gt;"",Weekly_Inspections!$AX982,IF(Weekly_Inspections!$AY982&lt;&gt;"",Weekly_Inspections!$AY982,IF(Weekly_Inspections!$AZ982&lt;&gt;"",Weekly_Inspections!$AZ982,IF(Weekly_Inspections!$BA982&lt;&gt;"",Weekly_Inspections!$BA982,IF(Weekly_Inspections!$BB982&lt;&gt;"",Weekly_Inspections!$BB982,Weekly_Inspections!$R982)))))</f>
        <v/>
      </c>
      <c r="G982">
        <f>IF(OR(Weekly_Inspections!$AQ982&lt;&gt;"",Weekly_Inspections!$AR982&lt;&gt;"",Weekly_Inspections!$AS982&lt;&gt;""),Weekly_Inspections!$AQ982,"")</f>
        <v/>
      </c>
      <c r="H982">
        <f>Weekly_Inspections!$AP982</f>
        <v/>
      </c>
      <c r="I982">
        <f>Weekly_Inspections!$AR982</f>
        <v/>
      </c>
      <c r="J982">
        <f>Weekly_Inspections!$AS982</f>
        <v/>
      </c>
      <c r="K982">
        <f>Weekly_Inspections!$AU982</f>
        <v/>
      </c>
      <c r="L982" s="47">
        <f>Weekly_Inspections!$AV982</f>
        <v/>
      </c>
      <c r="M982">
        <f>IF($B982="","",IF($N982&lt;&gt;"","Closed",IF(OR($G982&lt;&gt;"",$I982&lt;&gt;"",$J982&lt;&gt;""),"Open","")))</f>
        <v/>
      </c>
      <c r="N982" s="47" t="n"/>
      <c r="O982">
        <f>IF($B982="","",IF($M982="Closed",IF($N982="","",$N982-$B982),TODAY()-$B982))</f>
        <v/>
      </c>
      <c r="P982">
        <f>IF(OR($B982="",$L982="",$M982="Closed"),"",IF(TODAY()&gt;$L982,"YES","NO"))</f>
        <v/>
      </c>
      <c r="Q982">
        <f>Weekly_Inspections!$AW982</f>
        <v/>
      </c>
    </row>
    <row r="983" ht="15" customHeight="1" s="45">
      <c r="A983">
        <f>IF(Weekly_Inspections!$B983="","",Weekly_Inspections!$A983&amp;"-A1")</f>
        <v/>
      </c>
      <c r="B983" s="47">
        <f>Weekly_Inspections!$B983</f>
        <v/>
      </c>
      <c r="C983">
        <f>Weekly_Inspections!$E983</f>
        <v/>
      </c>
      <c r="D983">
        <f>Weekly_Inspections!$F983</f>
        <v/>
      </c>
      <c r="E983">
        <f>Weekly_Inspections!$H983</f>
        <v/>
      </c>
      <c r="F983">
        <f>IF(Weekly_Inspections!$AX983&lt;&gt;"",Weekly_Inspections!$AX983,IF(Weekly_Inspections!$AY983&lt;&gt;"",Weekly_Inspections!$AY983,IF(Weekly_Inspections!$AZ983&lt;&gt;"",Weekly_Inspections!$AZ983,IF(Weekly_Inspections!$BA983&lt;&gt;"",Weekly_Inspections!$BA983,IF(Weekly_Inspections!$BB983&lt;&gt;"",Weekly_Inspections!$BB983,Weekly_Inspections!$R983)))))</f>
        <v/>
      </c>
      <c r="G983">
        <f>IF(OR(Weekly_Inspections!$AQ983&lt;&gt;"",Weekly_Inspections!$AR983&lt;&gt;"",Weekly_Inspections!$AS983&lt;&gt;""),Weekly_Inspections!$AQ983,"")</f>
        <v/>
      </c>
      <c r="H983">
        <f>Weekly_Inspections!$AP983</f>
        <v/>
      </c>
      <c r="I983">
        <f>Weekly_Inspections!$AR983</f>
        <v/>
      </c>
      <c r="J983">
        <f>Weekly_Inspections!$AS983</f>
        <v/>
      </c>
      <c r="K983">
        <f>Weekly_Inspections!$AU983</f>
        <v/>
      </c>
      <c r="L983" s="47">
        <f>Weekly_Inspections!$AV983</f>
        <v/>
      </c>
      <c r="M983">
        <f>IF($B983="","",IF($N983&lt;&gt;"","Closed",IF(OR($G983&lt;&gt;"",$I983&lt;&gt;"",$J983&lt;&gt;""),"Open","")))</f>
        <v/>
      </c>
      <c r="N983" s="47" t="n"/>
      <c r="O983">
        <f>IF($B983="","",IF($M983="Closed",IF($N983="","",$N983-$B983),TODAY()-$B983))</f>
        <v/>
      </c>
      <c r="P983">
        <f>IF(OR($B983="",$L983="",$M983="Closed"),"",IF(TODAY()&gt;$L983,"YES","NO"))</f>
        <v/>
      </c>
      <c r="Q983">
        <f>Weekly_Inspections!$AW983</f>
        <v/>
      </c>
    </row>
    <row r="984" ht="15" customHeight="1" s="45">
      <c r="A984">
        <f>IF(Weekly_Inspections!$B984="","",Weekly_Inspections!$A984&amp;"-A1")</f>
        <v/>
      </c>
      <c r="B984" s="47">
        <f>Weekly_Inspections!$B984</f>
        <v/>
      </c>
      <c r="C984">
        <f>Weekly_Inspections!$E984</f>
        <v/>
      </c>
      <c r="D984">
        <f>Weekly_Inspections!$F984</f>
        <v/>
      </c>
      <c r="E984">
        <f>Weekly_Inspections!$H984</f>
        <v/>
      </c>
      <c r="F984">
        <f>IF(Weekly_Inspections!$AX984&lt;&gt;"",Weekly_Inspections!$AX984,IF(Weekly_Inspections!$AY984&lt;&gt;"",Weekly_Inspections!$AY984,IF(Weekly_Inspections!$AZ984&lt;&gt;"",Weekly_Inspections!$AZ984,IF(Weekly_Inspections!$BA984&lt;&gt;"",Weekly_Inspections!$BA984,IF(Weekly_Inspections!$BB984&lt;&gt;"",Weekly_Inspections!$BB984,Weekly_Inspections!$R984)))))</f>
        <v/>
      </c>
      <c r="G984">
        <f>IF(OR(Weekly_Inspections!$AQ984&lt;&gt;"",Weekly_Inspections!$AR984&lt;&gt;"",Weekly_Inspections!$AS984&lt;&gt;""),Weekly_Inspections!$AQ984,"")</f>
        <v/>
      </c>
      <c r="H984">
        <f>Weekly_Inspections!$AP984</f>
        <v/>
      </c>
      <c r="I984">
        <f>Weekly_Inspections!$AR984</f>
        <v/>
      </c>
      <c r="J984">
        <f>Weekly_Inspections!$AS984</f>
        <v/>
      </c>
      <c r="K984">
        <f>Weekly_Inspections!$AU984</f>
        <v/>
      </c>
      <c r="L984" s="47">
        <f>Weekly_Inspections!$AV984</f>
        <v/>
      </c>
      <c r="M984">
        <f>IF($B984="","",IF($N984&lt;&gt;"","Closed",IF(OR($G984&lt;&gt;"",$I984&lt;&gt;"",$J984&lt;&gt;""),"Open","")))</f>
        <v/>
      </c>
      <c r="N984" s="47" t="n"/>
      <c r="O984">
        <f>IF($B984="","",IF($M984="Closed",IF($N984="","",$N984-$B984),TODAY()-$B984))</f>
        <v/>
      </c>
      <c r="P984">
        <f>IF(OR($B984="",$L984="",$M984="Closed"),"",IF(TODAY()&gt;$L984,"YES","NO"))</f>
        <v/>
      </c>
      <c r="Q984">
        <f>Weekly_Inspections!$AW984</f>
        <v/>
      </c>
    </row>
    <row r="985" ht="15" customHeight="1" s="45">
      <c r="A985">
        <f>IF(Weekly_Inspections!$B985="","",Weekly_Inspections!$A985&amp;"-A1")</f>
        <v/>
      </c>
      <c r="B985" s="47">
        <f>Weekly_Inspections!$B985</f>
        <v/>
      </c>
      <c r="C985">
        <f>Weekly_Inspections!$E985</f>
        <v/>
      </c>
      <c r="D985">
        <f>Weekly_Inspections!$F985</f>
        <v/>
      </c>
      <c r="E985">
        <f>Weekly_Inspections!$H985</f>
        <v/>
      </c>
      <c r="F985">
        <f>IF(Weekly_Inspections!$AX985&lt;&gt;"",Weekly_Inspections!$AX985,IF(Weekly_Inspections!$AY985&lt;&gt;"",Weekly_Inspections!$AY985,IF(Weekly_Inspections!$AZ985&lt;&gt;"",Weekly_Inspections!$AZ985,IF(Weekly_Inspections!$BA985&lt;&gt;"",Weekly_Inspections!$BA985,IF(Weekly_Inspections!$BB985&lt;&gt;"",Weekly_Inspections!$BB985,Weekly_Inspections!$R985)))))</f>
        <v/>
      </c>
      <c r="G985">
        <f>IF(OR(Weekly_Inspections!$AQ985&lt;&gt;"",Weekly_Inspections!$AR985&lt;&gt;"",Weekly_Inspections!$AS985&lt;&gt;""),Weekly_Inspections!$AQ985,"")</f>
        <v/>
      </c>
      <c r="H985">
        <f>Weekly_Inspections!$AP985</f>
        <v/>
      </c>
      <c r="I985">
        <f>Weekly_Inspections!$AR985</f>
        <v/>
      </c>
      <c r="J985">
        <f>Weekly_Inspections!$AS985</f>
        <v/>
      </c>
      <c r="K985">
        <f>Weekly_Inspections!$AU985</f>
        <v/>
      </c>
      <c r="L985" s="47">
        <f>Weekly_Inspections!$AV985</f>
        <v/>
      </c>
      <c r="M985">
        <f>IF($B985="","",IF($N985&lt;&gt;"","Closed",IF(OR($G985&lt;&gt;"",$I985&lt;&gt;"",$J985&lt;&gt;""),"Open","")))</f>
        <v/>
      </c>
      <c r="N985" s="47" t="n"/>
      <c r="O985">
        <f>IF($B985="","",IF($M985="Closed",IF($N985="","",$N985-$B985),TODAY()-$B985))</f>
        <v/>
      </c>
      <c r="P985">
        <f>IF(OR($B985="",$L985="",$M985="Closed"),"",IF(TODAY()&gt;$L985,"YES","NO"))</f>
        <v/>
      </c>
      <c r="Q985">
        <f>Weekly_Inspections!$AW985</f>
        <v/>
      </c>
    </row>
    <row r="986" ht="15" customHeight="1" s="45">
      <c r="A986">
        <f>IF(Weekly_Inspections!$B986="","",Weekly_Inspections!$A986&amp;"-A1")</f>
        <v/>
      </c>
      <c r="B986" s="47">
        <f>Weekly_Inspections!$B986</f>
        <v/>
      </c>
      <c r="C986">
        <f>Weekly_Inspections!$E986</f>
        <v/>
      </c>
      <c r="D986">
        <f>Weekly_Inspections!$F986</f>
        <v/>
      </c>
      <c r="E986">
        <f>Weekly_Inspections!$H986</f>
        <v/>
      </c>
      <c r="F986">
        <f>IF(Weekly_Inspections!$AX986&lt;&gt;"",Weekly_Inspections!$AX986,IF(Weekly_Inspections!$AY986&lt;&gt;"",Weekly_Inspections!$AY986,IF(Weekly_Inspections!$AZ986&lt;&gt;"",Weekly_Inspections!$AZ986,IF(Weekly_Inspections!$BA986&lt;&gt;"",Weekly_Inspections!$BA986,IF(Weekly_Inspections!$BB986&lt;&gt;"",Weekly_Inspections!$BB986,Weekly_Inspections!$R986)))))</f>
        <v/>
      </c>
      <c r="G986">
        <f>IF(OR(Weekly_Inspections!$AQ986&lt;&gt;"",Weekly_Inspections!$AR986&lt;&gt;"",Weekly_Inspections!$AS986&lt;&gt;""),Weekly_Inspections!$AQ986,"")</f>
        <v/>
      </c>
      <c r="H986">
        <f>Weekly_Inspections!$AP986</f>
        <v/>
      </c>
      <c r="I986">
        <f>Weekly_Inspections!$AR986</f>
        <v/>
      </c>
      <c r="J986">
        <f>Weekly_Inspections!$AS986</f>
        <v/>
      </c>
      <c r="K986">
        <f>Weekly_Inspections!$AU986</f>
        <v/>
      </c>
      <c r="L986" s="47">
        <f>Weekly_Inspections!$AV986</f>
        <v/>
      </c>
      <c r="M986">
        <f>IF($B986="","",IF($N986&lt;&gt;"","Closed",IF(OR($G986&lt;&gt;"",$I986&lt;&gt;"",$J986&lt;&gt;""),"Open","")))</f>
        <v/>
      </c>
      <c r="N986" s="47" t="n"/>
      <c r="O986">
        <f>IF($B986="","",IF($M986="Closed",IF($N986="","",$N986-$B986),TODAY()-$B986))</f>
        <v/>
      </c>
      <c r="P986">
        <f>IF(OR($B986="",$L986="",$M986="Closed"),"",IF(TODAY()&gt;$L986,"YES","NO"))</f>
        <v/>
      </c>
      <c r="Q986">
        <f>Weekly_Inspections!$AW986</f>
        <v/>
      </c>
    </row>
    <row r="987" ht="15" customHeight="1" s="45">
      <c r="A987">
        <f>IF(Weekly_Inspections!$B987="","",Weekly_Inspections!$A987&amp;"-A1")</f>
        <v/>
      </c>
      <c r="B987" s="47">
        <f>Weekly_Inspections!$B987</f>
        <v/>
      </c>
      <c r="C987">
        <f>Weekly_Inspections!$E987</f>
        <v/>
      </c>
      <c r="D987">
        <f>Weekly_Inspections!$F987</f>
        <v/>
      </c>
      <c r="E987">
        <f>Weekly_Inspections!$H987</f>
        <v/>
      </c>
      <c r="F987">
        <f>IF(Weekly_Inspections!$AX987&lt;&gt;"",Weekly_Inspections!$AX987,IF(Weekly_Inspections!$AY987&lt;&gt;"",Weekly_Inspections!$AY987,IF(Weekly_Inspections!$AZ987&lt;&gt;"",Weekly_Inspections!$AZ987,IF(Weekly_Inspections!$BA987&lt;&gt;"",Weekly_Inspections!$BA987,IF(Weekly_Inspections!$BB987&lt;&gt;"",Weekly_Inspections!$BB987,Weekly_Inspections!$R987)))))</f>
        <v/>
      </c>
      <c r="G987">
        <f>IF(OR(Weekly_Inspections!$AQ987&lt;&gt;"",Weekly_Inspections!$AR987&lt;&gt;"",Weekly_Inspections!$AS987&lt;&gt;""),Weekly_Inspections!$AQ987,"")</f>
        <v/>
      </c>
      <c r="H987">
        <f>Weekly_Inspections!$AP987</f>
        <v/>
      </c>
      <c r="I987">
        <f>Weekly_Inspections!$AR987</f>
        <v/>
      </c>
      <c r="J987">
        <f>Weekly_Inspections!$AS987</f>
        <v/>
      </c>
      <c r="K987">
        <f>Weekly_Inspections!$AU987</f>
        <v/>
      </c>
      <c r="L987" s="47">
        <f>Weekly_Inspections!$AV987</f>
        <v/>
      </c>
      <c r="M987">
        <f>IF($B987="","",IF($N987&lt;&gt;"","Closed",IF(OR($G987&lt;&gt;"",$I987&lt;&gt;"",$J987&lt;&gt;""),"Open","")))</f>
        <v/>
      </c>
      <c r="N987" s="47" t="n"/>
      <c r="O987">
        <f>IF($B987="","",IF($M987="Closed",IF($N987="","",$N987-$B987),TODAY()-$B987))</f>
        <v/>
      </c>
      <c r="P987">
        <f>IF(OR($B987="",$L987="",$M987="Closed"),"",IF(TODAY()&gt;$L987,"YES","NO"))</f>
        <v/>
      </c>
      <c r="Q987">
        <f>Weekly_Inspections!$AW987</f>
        <v/>
      </c>
    </row>
    <row r="988" ht="15" customHeight="1" s="45">
      <c r="A988">
        <f>IF(Weekly_Inspections!$B988="","",Weekly_Inspections!$A988&amp;"-A1")</f>
        <v/>
      </c>
      <c r="B988" s="47">
        <f>Weekly_Inspections!$B988</f>
        <v/>
      </c>
      <c r="C988">
        <f>Weekly_Inspections!$E988</f>
        <v/>
      </c>
      <c r="D988">
        <f>Weekly_Inspections!$F988</f>
        <v/>
      </c>
      <c r="E988">
        <f>Weekly_Inspections!$H988</f>
        <v/>
      </c>
      <c r="F988">
        <f>IF(Weekly_Inspections!$AX988&lt;&gt;"",Weekly_Inspections!$AX988,IF(Weekly_Inspections!$AY988&lt;&gt;"",Weekly_Inspections!$AY988,IF(Weekly_Inspections!$AZ988&lt;&gt;"",Weekly_Inspections!$AZ988,IF(Weekly_Inspections!$BA988&lt;&gt;"",Weekly_Inspections!$BA988,IF(Weekly_Inspections!$BB988&lt;&gt;"",Weekly_Inspections!$BB988,Weekly_Inspections!$R988)))))</f>
        <v/>
      </c>
      <c r="G988">
        <f>IF(OR(Weekly_Inspections!$AQ988&lt;&gt;"",Weekly_Inspections!$AR988&lt;&gt;"",Weekly_Inspections!$AS988&lt;&gt;""),Weekly_Inspections!$AQ988,"")</f>
        <v/>
      </c>
      <c r="H988">
        <f>Weekly_Inspections!$AP988</f>
        <v/>
      </c>
      <c r="I988">
        <f>Weekly_Inspections!$AR988</f>
        <v/>
      </c>
      <c r="J988">
        <f>Weekly_Inspections!$AS988</f>
        <v/>
      </c>
      <c r="K988">
        <f>Weekly_Inspections!$AU988</f>
        <v/>
      </c>
      <c r="L988" s="47">
        <f>Weekly_Inspections!$AV988</f>
        <v/>
      </c>
      <c r="M988">
        <f>IF($B988="","",IF($N988&lt;&gt;"","Closed",IF(OR($G988&lt;&gt;"",$I988&lt;&gt;"",$J988&lt;&gt;""),"Open","")))</f>
        <v/>
      </c>
      <c r="N988" s="47" t="n"/>
      <c r="O988">
        <f>IF($B988="","",IF($M988="Closed",IF($N988="","",$N988-$B988),TODAY()-$B988))</f>
        <v/>
      </c>
      <c r="P988">
        <f>IF(OR($B988="",$L988="",$M988="Closed"),"",IF(TODAY()&gt;$L988,"YES","NO"))</f>
        <v/>
      </c>
      <c r="Q988">
        <f>Weekly_Inspections!$AW988</f>
        <v/>
      </c>
    </row>
    <row r="989" ht="15" customHeight="1" s="45">
      <c r="A989">
        <f>IF(Weekly_Inspections!$B989="","",Weekly_Inspections!$A989&amp;"-A1")</f>
        <v/>
      </c>
      <c r="B989" s="47">
        <f>Weekly_Inspections!$B989</f>
        <v/>
      </c>
      <c r="C989">
        <f>Weekly_Inspections!$E989</f>
        <v/>
      </c>
      <c r="D989">
        <f>Weekly_Inspections!$F989</f>
        <v/>
      </c>
      <c r="E989">
        <f>Weekly_Inspections!$H989</f>
        <v/>
      </c>
      <c r="F989">
        <f>IF(Weekly_Inspections!$AX989&lt;&gt;"",Weekly_Inspections!$AX989,IF(Weekly_Inspections!$AY989&lt;&gt;"",Weekly_Inspections!$AY989,IF(Weekly_Inspections!$AZ989&lt;&gt;"",Weekly_Inspections!$AZ989,IF(Weekly_Inspections!$BA989&lt;&gt;"",Weekly_Inspections!$BA989,IF(Weekly_Inspections!$BB989&lt;&gt;"",Weekly_Inspections!$BB989,Weekly_Inspections!$R989)))))</f>
        <v/>
      </c>
      <c r="G989">
        <f>IF(OR(Weekly_Inspections!$AQ989&lt;&gt;"",Weekly_Inspections!$AR989&lt;&gt;"",Weekly_Inspections!$AS989&lt;&gt;""),Weekly_Inspections!$AQ989,"")</f>
        <v/>
      </c>
      <c r="H989">
        <f>Weekly_Inspections!$AP989</f>
        <v/>
      </c>
      <c r="I989">
        <f>Weekly_Inspections!$AR989</f>
        <v/>
      </c>
      <c r="J989">
        <f>Weekly_Inspections!$AS989</f>
        <v/>
      </c>
      <c r="K989">
        <f>Weekly_Inspections!$AU989</f>
        <v/>
      </c>
      <c r="L989" s="47">
        <f>Weekly_Inspections!$AV989</f>
        <v/>
      </c>
      <c r="M989">
        <f>IF($B989="","",IF($N989&lt;&gt;"","Closed",IF(OR($G989&lt;&gt;"",$I989&lt;&gt;"",$J989&lt;&gt;""),"Open","")))</f>
        <v/>
      </c>
      <c r="N989" s="47" t="n"/>
      <c r="O989">
        <f>IF($B989="","",IF($M989="Closed",IF($N989="","",$N989-$B989),TODAY()-$B989))</f>
        <v/>
      </c>
      <c r="P989">
        <f>IF(OR($B989="",$L989="",$M989="Closed"),"",IF(TODAY()&gt;$L989,"YES","NO"))</f>
        <v/>
      </c>
      <c r="Q989">
        <f>Weekly_Inspections!$AW989</f>
        <v/>
      </c>
    </row>
    <row r="990" ht="15" customHeight="1" s="45">
      <c r="A990">
        <f>IF(Weekly_Inspections!$B990="","",Weekly_Inspections!$A990&amp;"-A1")</f>
        <v/>
      </c>
      <c r="B990" s="47">
        <f>Weekly_Inspections!$B990</f>
        <v/>
      </c>
      <c r="C990">
        <f>Weekly_Inspections!$E990</f>
        <v/>
      </c>
      <c r="D990">
        <f>Weekly_Inspections!$F990</f>
        <v/>
      </c>
      <c r="E990">
        <f>Weekly_Inspections!$H990</f>
        <v/>
      </c>
      <c r="F990">
        <f>IF(Weekly_Inspections!$AX990&lt;&gt;"",Weekly_Inspections!$AX990,IF(Weekly_Inspections!$AY990&lt;&gt;"",Weekly_Inspections!$AY990,IF(Weekly_Inspections!$AZ990&lt;&gt;"",Weekly_Inspections!$AZ990,IF(Weekly_Inspections!$BA990&lt;&gt;"",Weekly_Inspections!$BA990,IF(Weekly_Inspections!$BB990&lt;&gt;"",Weekly_Inspections!$BB990,Weekly_Inspections!$R990)))))</f>
        <v/>
      </c>
      <c r="G990">
        <f>IF(OR(Weekly_Inspections!$AQ990&lt;&gt;"",Weekly_Inspections!$AR990&lt;&gt;"",Weekly_Inspections!$AS990&lt;&gt;""),Weekly_Inspections!$AQ990,"")</f>
        <v/>
      </c>
      <c r="H990">
        <f>Weekly_Inspections!$AP990</f>
        <v/>
      </c>
      <c r="I990">
        <f>Weekly_Inspections!$AR990</f>
        <v/>
      </c>
      <c r="J990">
        <f>Weekly_Inspections!$AS990</f>
        <v/>
      </c>
      <c r="K990">
        <f>Weekly_Inspections!$AU990</f>
        <v/>
      </c>
      <c r="L990" s="47">
        <f>Weekly_Inspections!$AV990</f>
        <v/>
      </c>
      <c r="M990">
        <f>IF($B990="","",IF($N990&lt;&gt;"","Closed",IF(OR($G990&lt;&gt;"",$I990&lt;&gt;"",$J990&lt;&gt;""),"Open","")))</f>
        <v/>
      </c>
      <c r="N990" s="47" t="n"/>
      <c r="O990">
        <f>IF($B990="","",IF($M990="Closed",IF($N990="","",$N990-$B990),TODAY()-$B990))</f>
        <v/>
      </c>
      <c r="P990">
        <f>IF(OR($B990="",$L990="",$M990="Closed"),"",IF(TODAY()&gt;$L990,"YES","NO"))</f>
        <v/>
      </c>
      <c r="Q990">
        <f>Weekly_Inspections!$AW990</f>
        <v/>
      </c>
    </row>
    <row r="991" ht="15" customHeight="1" s="45">
      <c r="A991">
        <f>IF(Weekly_Inspections!$B991="","",Weekly_Inspections!$A991&amp;"-A1")</f>
        <v/>
      </c>
      <c r="B991" s="47">
        <f>Weekly_Inspections!$B991</f>
        <v/>
      </c>
      <c r="C991">
        <f>Weekly_Inspections!$E991</f>
        <v/>
      </c>
      <c r="D991">
        <f>Weekly_Inspections!$F991</f>
        <v/>
      </c>
      <c r="E991">
        <f>Weekly_Inspections!$H991</f>
        <v/>
      </c>
      <c r="F991">
        <f>IF(Weekly_Inspections!$AX991&lt;&gt;"",Weekly_Inspections!$AX991,IF(Weekly_Inspections!$AY991&lt;&gt;"",Weekly_Inspections!$AY991,IF(Weekly_Inspections!$AZ991&lt;&gt;"",Weekly_Inspections!$AZ991,IF(Weekly_Inspections!$BA991&lt;&gt;"",Weekly_Inspections!$BA991,IF(Weekly_Inspections!$BB991&lt;&gt;"",Weekly_Inspections!$BB991,Weekly_Inspections!$R991)))))</f>
        <v/>
      </c>
      <c r="G991">
        <f>IF(OR(Weekly_Inspections!$AQ991&lt;&gt;"",Weekly_Inspections!$AR991&lt;&gt;"",Weekly_Inspections!$AS991&lt;&gt;""),Weekly_Inspections!$AQ991,"")</f>
        <v/>
      </c>
      <c r="H991">
        <f>Weekly_Inspections!$AP991</f>
        <v/>
      </c>
      <c r="I991">
        <f>Weekly_Inspections!$AR991</f>
        <v/>
      </c>
      <c r="J991">
        <f>Weekly_Inspections!$AS991</f>
        <v/>
      </c>
      <c r="K991">
        <f>Weekly_Inspections!$AU991</f>
        <v/>
      </c>
      <c r="L991" s="47">
        <f>Weekly_Inspections!$AV991</f>
        <v/>
      </c>
      <c r="M991">
        <f>IF($B991="","",IF($N991&lt;&gt;"","Closed",IF(OR($G991&lt;&gt;"",$I991&lt;&gt;"",$J991&lt;&gt;""),"Open","")))</f>
        <v/>
      </c>
      <c r="N991" s="47" t="n"/>
      <c r="O991">
        <f>IF($B991="","",IF($M991="Closed",IF($N991="","",$N991-$B991),TODAY()-$B991))</f>
        <v/>
      </c>
      <c r="P991">
        <f>IF(OR($B991="",$L991="",$M991="Closed"),"",IF(TODAY()&gt;$L991,"YES","NO"))</f>
        <v/>
      </c>
      <c r="Q991">
        <f>Weekly_Inspections!$AW991</f>
        <v/>
      </c>
    </row>
    <row r="992" ht="15" customHeight="1" s="45">
      <c r="A992">
        <f>IF(Weekly_Inspections!$B992="","",Weekly_Inspections!$A992&amp;"-A1")</f>
        <v/>
      </c>
      <c r="B992" s="47">
        <f>Weekly_Inspections!$B992</f>
        <v/>
      </c>
      <c r="C992">
        <f>Weekly_Inspections!$E992</f>
        <v/>
      </c>
      <c r="D992">
        <f>Weekly_Inspections!$F992</f>
        <v/>
      </c>
      <c r="E992">
        <f>Weekly_Inspections!$H992</f>
        <v/>
      </c>
      <c r="F992">
        <f>IF(Weekly_Inspections!$AX992&lt;&gt;"",Weekly_Inspections!$AX992,IF(Weekly_Inspections!$AY992&lt;&gt;"",Weekly_Inspections!$AY992,IF(Weekly_Inspections!$AZ992&lt;&gt;"",Weekly_Inspections!$AZ992,IF(Weekly_Inspections!$BA992&lt;&gt;"",Weekly_Inspections!$BA992,IF(Weekly_Inspections!$BB992&lt;&gt;"",Weekly_Inspections!$BB992,Weekly_Inspections!$R992)))))</f>
        <v/>
      </c>
      <c r="G992">
        <f>IF(OR(Weekly_Inspections!$AQ992&lt;&gt;"",Weekly_Inspections!$AR992&lt;&gt;"",Weekly_Inspections!$AS992&lt;&gt;""),Weekly_Inspections!$AQ992,"")</f>
        <v/>
      </c>
      <c r="H992">
        <f>Weekly_Inspections!$AP992</f>
        <v/>
      </c>
      <c r="I992">
        <f>Weekly_Inspections!$AR992</f>
        <v/>
      </c>
      <c r="J992">
        <f>Weekly_Inspections!$AS992</f>
        <v/>
      </c>
      <c r="K992">
        <f>Weekly_Inspections!$AU992</f>
        <v/>
      </c>
      <c r="L992" s="47">
        <f>Weekly_Inspections!$AV992</f>
        <v/>
      </c>
      <c r="M992">
        <f>IF($B992="","",IF($N992&lt;&gt;"","Closed",IF(OR($G992&lt;&gt;"",$I992&lt;&gt;"",$J992&lt;&gt;""),"Open","")))</f>
        <v/>
      </c>
      <c r="N992" s="47" t="n"/>
      <c r="O992">
        <f>IF($B992="","",IF($M992="Closed",IF($N992="","",$N992-$B992),TODAY()-$B992))</f>
        <v/>
      </c>
      <c r="P992">
        <f>IF(OR($B992="",$L992="",$M992="Closed"),"",IF(TODAY()&gt;$L992,"YES","NO"))</f>
        <v/>
      </c>
      <c r="Q992">
        <f>Weekly_Inspections!$AW992</f>
        <v/>
      </c>
    </row>
    <row r="993" ht="15" customHeight="1" s="45">
      <c r="A993">
        <f>IF(Weekly_Inspections!$B993="","",Weekly_Inspections!$A993&amp;"-A1")</f>
        <v/>
      </c>
      <c r="B993" s="47">
        <f>Weekly_Inspections!$B993</f>
        <v/>
      </c>
      <c r="C993">
        <f>Weekly_Inspections!$E993</f>
        <v/>
      </c>
      <c r="D993">
        <f>Weekly_Inspections!$F993</f>
        <v/>
      </c>
      <c r="E993">
        <f>Weekly_Inspections!$H993</f>
        <v/>
      </c>
      <c r="F993">
        <f>IF(Weekly_Inspections!$AX993&lt;&gt;"",Weekly_Inspections!$AX993,IF(Weekly_Inspections!$AY993&lt;&gt;"",Weekly_Inspections!$AY993,IF(Weekly_Inspections!$AZ993&lt;&gt;"",Weekly_Inspections!$AZ993,IF(Weekly_Inspections!$BA993&lt;&gt;"",Weekly_Inspections!$BA993,IF(Weekly_Inspections!$BB993&lt;&gt;"",Weekly_Inspections!$BB993,Weekly_Inspections!$R993)))))</f>
        <v/>
      </c>
      <c r="G993">
        <f>IF(OR(Weekly_Inspections!$AQ993&lt;&gt;"",Weekly_Inspections!$AR993&lt;&gt;"",Weekly_Inspections!$AS993&lt;&gt;""),Weekly_Inspections!$AQ993,"")</f>
        <v/>
      </c>
      <c r="H993">
        <f>Weekly_Inspections!$AP993</f>
        <v/>
      </c>
      <c r="I993">
        <f>Weekly_Inspections!$AR993</f>
        <v/>
      </c>
      <c r="J993">
        <f>Weekly_Inspections!$AS993</f>
        <v/>
      </c>
      <c r="K993">
        <f>Weekly_Inspections!$AU993</f>
        <v/>
      </c>
      <c r="L993" s="47">
        <f>Weekly_Inspections!$AV993</f>
        <v/>
      </c>
      <c r="M993">
        <f>IF($B993="","",IF($N993&lt;&gt;"","Closed",IF(OR($G993&lt;&gt;"",$I993&lt;&gt;"",$J993&lt;&gt;""),"Open","")))</f>
        <v/>
      </c>
      <c r="N993" s="47" t="n"/>
      <c r="O993">
        <f>IF($B993="","",IF($M993="Closed",IF($N993="","",$N993-$B993),TODAY()-$B993))</f>
        <v/>
      </c>
      <c r="P993">
        <f>IF(OR($B993="",$L993="",$M993="Closed"),"",IF(TODAY()&gt;$L993,"YES","NO"))</f>
        <v/>
      </c>
      <c r="Q993">
        <f>Weekly_Inspections!$AW993</f>
        <v/>
      </c>
    </row>
    <row r="994" ht="15" customHeight="1" s="45">
      <c r="A994">
        <f>IF(Weekly_Inspections!$B994="","",Weekly_Inspections!$A994&amp;"-A1")</f>
        <v/>
      </c>
      <c r="B994" s="47">
        <f>Weekly_Inspections!$B994</f>
        <v/>
      </c>
      <c r="C994">
        <f>Weekly_Inspections!$E994</f>
        <v/>
      </c>
      <c r="D994">
        <f>Weekly_Inspections!$F994</f>
        <v/>
      </c>
      <c r="E994">
        <f>Weekly_Inspections!$H994</f>
        <v/>
      </c>
      <c r="F994">
        <f>IF(Weekly_Inspections!$AX994&lt;&gt;"",Weekly_Inspections!$AX994,IF(Weekly_Inspections!$AY994&lt;&gt;"",Weekly_Inspections!$AY994,IF(Weekly_Inspections!$AZ994&lt;&gt;"",Weekly_Inspections!$AZ994,IF(Weekly_Inspections!$BA994&lt;&gt;"",Weekly_Inspections!$BA994,IF(Weekly_Inspections!$BB994&lt;&gt;"",Weekly_Inspections!$BB994,Weekly_Inspections!$R994)))))</f>
        <v/>
      </c>
      <c r="G994">
        <f>IF(OR(Weekly_Inspections!$AQ994&lt;&gt;"",Weekly_Inspections!$AR994&lt;&gt;"",Weekly_Inspections!$AS994&lt;&gt;""),Weekly_Inspections!$AQ994,"")</f>
        <v/>
      </c>
      <c r="H994">
        <f>Weekly_Inspections!$AP994</f>
        <v/>
      </c>
      <c r="I994">
        <f>Weekly_Inspections!$AR994</f>
        <v/>
      </c>
      <c r="J994">
        <f>Weekly_Inspections!$AS994</f>
        <v/>
      </c>
      <c r="K994">
        <f>Weekly_Inspections!$AU994</f>
        <v/>
      </c>
      <c r="L994" s="47">
        <f>Weekly_Inspections!$AV994</f>
        <v/>
      </c>
      <c r="M994">
        <f>IF($B994="","",IF($N994&lt;&gt;"","Closed",IF(OR($G994&lt;&gt;"",$I994&lt;&gt;"",$J994&lt;&gt;""),"Open","")))</f>
        <v/>
      </c>
      <c r="N994" s="47" t="n"/>
      <c r="O994">
        <f>IF($B994="","",IF($M994="Closed",IF($N994="","",$N994-$B994),TODAY()-$B994))</f>
        <v/>
      </c>
      <c r="P994">
        <f>IF(OR($B994="",$L994="",$M994="Closed"),"",IF(TODAY()&gt;$L994,"YES","NO"))</f>
        <v/>
      </c>
      <c r="Q994">
        <f>Weekly_Inspections!$AW994</f>
        <v/>
      </c>
    </row>
    <row r="995" ht="15" customHeight="1" s="45">
      <c r="A995">
        <f>IF(Weekly_Inspections!$B995="","",Weekly_Inspections!$A995&amp;"-A1")</f>
        <v/>
      </c>
      <c r="B995" s="47">
        <f>Weekly_Inspections!$B995</f>
        <v/>
      </c>
      <c r="C995">
        <f>Weekly_Inspections!$E995</f>
        <v/>
      </c>
      <c r="D995">
        <f>Weekly_Inspections!$F995</f>
        <v/>
      </c>
      <c r="E995">
        <f>Weekly_Inspections!$H995</f>
        <v/>
      </c>
      <c r="F995">
        <f>IF(Weekly_Inspections!$AX995&lt;&gt;"",Weekly_Inspections!$AX995,IF(Weekly_Inspections!$AY995&lt;&gt;"",Weekly_Inspections!$AY995,IF(Weekly_Inspections!$AZ995&lt;&gt;"",Weekly_Inspections!$AZ995,IF(Weekly_Inspections!$BA995&lt;&gt;"",Weekly_Inspections!$BA995,IF(Weekly_Inspections!$BB995&lt;&gt;"",Weekly_Inspections!$BB995,Weekly_Inspections!$R995)))))</f>
        <v/>
      </c>
      <c r="G995">
        <f>IF(OR(Weekly_Inspections!$AQ995&lt;&gt;"",Weekly_Inspections!$AR995&lt;&gt;"",Weekly_Inspections!$AS995&lt;&gt;""),Weekly_Inspections!$AQ995,"")</f>
        <v/>
      </c>
      <c r="H995">
        <f>Weekly_Inspections!$AP995</f>
        <v/>
      </c>
      <c r="I995">
        <f>Weekly_Inspections!$AR995</f>
        <v/>
      </c>
      <c r="J995">
        <f>Weekly_Inspections!$AS995</f>
        <v/>
      </c>
      <c r="K995">
        <f>Weekly_Inspections!$AU995</f>
        <v/>
      </c>
      <c r="L995" s="47">
        <f>Weekly_Inspections!$AV995</f>
        <v/>
      </c>
      <c r="M995">
        <f>IF($B995="","",IF($N995&lt;&gt;"","Closed",IF(OR($G995&lt;&gt;"",$I995&lt;&gt;"",$J995&lt;&gt;""),"Open","")))</f>
        <v/>
      </c>
      <c r="N995" s="47" t="n"/>
      <c r="O995">
        <f>IF($B995="","",IF($M995="Closed",IF($N995="","",$N995-$B995),TODAY()-$B995))</f>
        <v/>
      </c>
      <c r="P995">
        <f>IF(OR($B995="",$L995="",$M995="Closed"),"",IF(TODAY()&gt;$L995,"YES","NO"))</f>
        <v/>
      </c>
      <c r="Q995">
        <f>Weekly_Inspections!$AW995</f>
        <v/>
      </c>
    </row>
    <row r="996" ht="15" customHeight="1" s="45">
      <c r="A996">
        <f>IF(Weekly_Inspections!$B996="","",Weekly_Inspections!$A996&amp;"-A1")</f>
        <v/>
      </c>
      <c r="B996" s="47">
        <f>Weekly_Inspections!$B996</f>
        <v/>
      </c>
      <c r="C996">
        <f>Weekly_Inspections!$E996</f>
        <v/>
      </c>
      <c r="D996">
        <f>Weekly_Inspections!$F996</f>
        <v/>
      </c>
      <c r="E996">
        <f>Weekly_Inspections!$H996</f>
        <v/>
      </c>
      <c r="F996">
        <f>IF(Weekly_Inspections!$AX996&lt;&gt;"",Weekly_Inspections!$AX996,IF(Weekly_Inspections!$AY996&lt;&gt;"",Weekly_Inspections!$AY996,IF(Weekly_Inspections!$AZ996&lt;&gt;"",Weekly_Inspections!$AZ996,IF(Weekly_Inspections!$BA996&lt;&gt;"",Weekly_Inspections!$BA996,IF(Weekly_Inspections!$BB996&lt;&gt;"",Weekly_Inspections!$BB996,Weekly_Inspections!$R996)))))</f>
        <v/>
      </c>
      <c r="G996">
        <f>IF(OR(Weekly_Inspections!$AQ996&lt;&gt;"",Weekly_Inspections!$AR996&lt;&gt;"",Weekly_Inspections!$AS996&lt;&gt;""),Weekly_Inspections!$AQ996,"")</f>
        <v/>
      </c>
      <c r="H996">
        <f>Weekly_Inspections!$AP996</f>
        <v/>
      </c>
      <c r="I996">
        <f>Weekly_Inspections!$AR996</f>
        <v/>
      </c>
      <c r="J996">
        <f>Weekly_Inspections!$AS996</f>
        <v/>
      </c>
      <c r="K996">
        <f>Weekly_Inspections!$AU996</f>
        <v/>
      </c>
      <c r="L996" s="47">
        <f>Weekly_Inspections!$AV996</f>
        <v/>
      </c>
      <c r="M996">
        <f>IF($B996="","",IF($N996&lt;&gt;"","Closed",IF(OR($G996&lt;&gt;"",$I996&lt;&gt;"",$J996&lt;&gt;""),"Open","")))</f>
        <v/>
      </c>
      <c r="N996" s="47" t="n"/>
      <c r="O996">
        <f>IF($B996="","",IF($M996="Closed",IF($N996="","",$N996-$B996),TODAY()-$B996))</f>
        <v/>
      </c>
      <c r="P996">
        <f>IF(OR($B996="",$L996="",$M996="Closed"),"",IF(TODAY()&gt;$L996,"YES","NO"))</f>
        <v/>
      </c>
      <c r="Q996">
        <f>Weekly_Inspections!$AW996</f>
        <v/>
      </c>
    </row>
  </sheetData>
  <mergeCells count="2">
    <mergeCell ref="A2:Q2"/>
    <mergeCell ref="A1:Q1"/>
  </mergeCells>
  <conditionalFormatting sqref="P4:P499">
    <cfRule type="expression" priority="2" dxfId="0">
      <formula>P4="YES"</formula>
    </cfRule>
  </conditionalFormatting>
  <dataValidations count="5">
    <dataValidation sqref="C4:C996" showDropDown="0" showInputMessage="0" showErrorMessage="0" allowBlank="1" errorTitle="Invalid entry" error="Use the dropdown values only." prompt="Select from the approved list." type="list">
      <formula1>=Package_List</formula1>
    </dataValidation>
    <dataValidation sqref="D4:D996" showDropDown="0" showInputMessage="0" showErrorMessage="0" allowBlank="1" errorTitle="Invalid entry" error="Use the dropdown values only." prompt="Select from the approved list." type="list">
      <formula1>=Cluster_List</formula1>
    </dataValidation>
    <dataValidation sqref="F4:F996" showDropDown="0" showInputMessage="0" showErrorMessage="0" allowBlank="1" errorTitle="Invalid entry" error="Use the dropdown values only." prompt="Select from the approved list." type="list">
      <formula1>=KPI_List</formula1>
    </dataValidation>
    <dataValidation sqref="H4:H996" showDropDown="0" showInputMessage="0" showErrorMessage="0" allowBlank="1" errorTitle="Invalid entry" error="Use the dropdown values only." prompt="Select from the approved list." type="list">
      <formula1>=Root_Cause_List</formula1>
    </dataValidation>
    <dataValidation sqref="M4:M996" showDropDown="0" showInputMessage="0" showErrorMessage="0" allowBlank="1" errorTitle="Invalid entry" error="Use the dropdown values only." prompt="Select from the approved list." type="list">
      <formula1>=Status_List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2026-03-30T13:42:00Z</dcterms:created>
  <dcterms:modified xmlns:dcterms="http://purl.org/dc/terms/" xmlns:xsi="http://www.w3.org/2001/XMLSchema-instance" xsi:type="dcterms:W3CDTF">2026-03-30T13:42:01Z</dcterms:modified>
</cp:coreProperties>
</file>